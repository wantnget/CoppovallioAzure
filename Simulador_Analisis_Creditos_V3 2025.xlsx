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ctrlProps/ctrlProps5.xml" ContentType="application/vnd.ms-excel.contro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ineas de Credito" sheetId="1" state="visible" r:id="rId3"/>
    <sheet name="Ponderación" sheetId="2" state="visible" r:id="rId4"/>
    <sheet name="Base Perfil" sheetId="3" state="visible" r:id="rId5"/>
    <sheet name="Evaluacion de Cartera" sheetId="4" state="hidden" r:id="rId6"/>
    <sheet name="BD" sheetId="5" state="visible" r:id="rId7"/>
    <sheet name="Parametros" sheetId="6" state="visible" r:id="rId8"/>
    <sheet name="Score_Cifin" sheetId="7" state="visible" r:id="rId9"/>
    <sheet name="Base_Asociados" sheetId="8" state="visible" r:id="rId10"/>
    <sheet name="Capacidad_Endeudamiento" sheetId="9" state="visible" r:id="rId11"/>
    <sheet name="Datos_Iniciales" sheetId="10" state="visible" r:id="rId12"/>
    <sheet name="Hoja1" sheetId="11" state="visible" r:id="rId13"/>
    <sheet name="NIVEL ENERO" sheetId="12" state="visible" r:id="rId14"/>
  </sheets>
  <externalReferences>
    <externalReference r:id="rId15"/>
    <externalReference r:id="rId16"/>
    <externalReference r:id="rId17"/>
  </externalReferences>
  <definedNames>
    <definedName function="false" hidden="true" localSheetId="7" name="_xlnm._FilterDatabase" vbProcedure="false">Base_Asociados!$B$5:$AK$3952</definedName>
    <definedName function="false" hidden="true" localSheetId="4" name="_xlnm._FilterDatabase" vbProcedure="false">BD!$B$5:$T$5</definedName>
    <definedName function="false" hidden="false" localSheetId="8" name="_xlnm.Print_Area" vbProcedure="false">Capacidad_Endeudamiento!$A$1:$D$119</definedName>
    <definedName function="false" hidden="false" name="Analistas" vbProcedure="false">Parametros!$B$45:$B$52</definedName>
    <definedName function="false" hidden="false" name="Jefes" vbProcedure="false">Parametros!$D$45:$D$48</definedName>
    <definedName function="false" hidden="false" name="Periocidad" vbProcedure="false">Datos_Iniciales!$R$10:$R$12</definedName>
    <definedName function="false" hidden="false" name="Periodos" vbProcedure="false">Datos_Iniciales!$S$10:$S$12</definedName>
    <definedName function="false" hidden="false" name="SI_NO" vbProcedure="false">Capacidad_Endeudamiento!$O$18:$O$19</definedName>
    <definedName function="false" hidden="false" name="Tipo_Sal" vbProcedure="false">Capacidad_Endeudamiento!$O$22:$O$25</definedName>
    <definedName function="false" hidden="true" name="_xleta.BASE" vbProcedure="false">#NAME?</definedName>
    <definedName function="false" hidden="true" name="_xleta.MIN" vbProcedure="false">#NAME?</definedName>
    <definedName function="false" hidden="false" localSheetId="4" name="Analistas" vbProcedure="false">[1]Capacidad_Endeudamiento!$O$12:$O$16</definedName>
    <definedName function="false" hidden="false" localSheetId="4" name="Jefes" vbProcedure="false">[1]Capacidad_Endeudamiento!$Q$13:$Q$16</definedName>
    <definedName function="false" hidden="false" localSheetId="4" name="Periocidad" vbProcedure="false">[1]Datos_Iniciales!$R$10:$R$12</definedName>
    <definedName function="false" hidden="false" localSheetId="4" name="SI_NO" vbProcedure="false">[1]Capacidad_Endeudamiento!$O$18:$O$19</definedName>
    <definedName function="false" hidden="false" localSheetId="4" name="Tipo_Sal" vbProcedure="false">[1]Capacidad_Endeudamiento!$O$22:$O$24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Administrador</author>
  </authors>
  <commentList>
    <comment ref="A3" authorId="0">
      <text>
        <r>
          <rPr>
            <sz val="10"/>
            <rFont val="Arial"/>
            <family val="2"/>
          </rPr>
          <t xml:space="preserve">REVISAR LISTADO DE EDADES DE ASOCIADOS</t>
        </r>
      </text>
    </comment>
  </commentList>
</comments>
</file>

<file path=xl/sharedStrings.xml><?xml version="1.0" encoding="utf-8"?>
<sst xmlns="http://schemas.openxmlformats.org/spreadsheetml/2006/main" count="17565" uniqueCount="5813">
  <si>
    <t xml:space="preserve">LINEAS DE CREDITOS VIGENTES </t>
  </si>
  <si>
    <t xml:space="preserve">N°</t>
  </si>
  <si>
    <t xml:space="preserve">Linea</t>
  </si>
  <si>
    <t xml:space="preserve">Descripción Producto</t>
  </si>
  <si>
    <t xml:space="preserve">Tasa</t>
  </si>
  <si>
    <t xml:space="preserve">Tipo_Cartera</t>
  </si>
  <si>
    <t xml:space="preserve">Desprotegido Max</t>
  </si>
  <si>
    <t xml:space="preserve">Credito Afianzado</t>
  </si>
  <si>
    <t xml:space="preserve">Compra Cartera</t>
  </si>
  <si>
    <t xml:space="preserve">Consumo</t>
  </si>
  <si>
    <t xml:space="preserve">SI</t>
  </si>
  <si>
    <t xml:space="preserve">Cred. Ord. Ant. Cinco Años</t>
  </si>
  <si>
    <t xml:space="preserve">NO</t>
  </si>
  <si>
    <t xml:space="preserve">Credito Empleados</t>
  </si>
  <si>
    <t xml:space="preserve">Credito Ordinario</t>
  </si>
  <si>
    <t xml:space="preserve">Cred. Ord. Ant. Quince Años</t>
  </si>
  <si>
    <t xml:space="preserve">Ptmo.Ord.No24</t>
  </si>
  <si>
    <t xml:space="preserve">Credito De Vehiculo</t>
  </si>
  <si>
    <t xml:space="preserve">Ptmo.Ant.Prim</t>
  </si>
  <si>
    <t xml:space="preserve">Educativo</t>
  </si>
  <si>
    <t xml:space="preserve">Orden Comercio</t>
  </si>
  <si>
    <t xml:space="preserve">Eventos</t>
  </si>
  <si>
    <t xml:space="preserve">Cred. Ord. Ant. Diez Años</t>
  </si>
  <si>
    <t xml:space="preserve">Polizas Soat</t>
  </si>
  <si>
    <t xml:space="preserve">Turismo Orden</t>
  </si>
  <si>
    <t xml:space="preserve">Libre</t>
  </si>
  <si>
    <t xml:space="preserve">Credito Afianzadora</t>
  </si>
  <si>
    <t xml:space="preserve">Impuestos</t>
  </si>
  <si>
    <t xml:space="preserve">Póliza Externa</t>
  </si>
  <si>
    <t xml:space="preserve">Cred.Ord. Gerencia</t>
  </si>
  <si>
    <t xml:space="preserve">Ptmo.Ant.Prim 1 Cuota</t>
  </si>
  <si>
    <t xml:space="preserve">Cupo Rotativo Avance</t>
  </si>
  <si>
    <t xml:space="preserve">Campaña A</t>
  </si>
  <si>
    <t xml:space="preserve">Campaña B</t>
  </si>
  <si>
    <t xml:space="preserve">Campaña C</t>
  </si>
  <si>
    <t xml:space="preserve">NUEVA PONDERACION</t>
  </si>
  <si>
    <t xml:space="preserve">1. EDAD</t>
  </si>
  <si>
    <t xml:space="preserve">AÑOS</t>
  </si>
  <si>
    <t xml:space="preserve">PONDERACION</t>
  </si>
  <si>
    <t xml:space="preserve">18-25</t>
  </si>
  <si>
    <t xml:space="preserve">26-45</t>
  </si>
  <si>
    <t xml:space="preserve">46-60</t>
  </si>
  <si>
    <t xml:space="preserve">MAYOR DE 60</t>
  </si>
  <si>
    <t xml:space="preserve">0. AHORROS EN EL FONDO</t>
  </si>
  <si>
    <t xml:space="preserve">PONDERACION GENERAL</t>
  </si>
  <si>
    <t xml:space="preserve">PROP</t>
  </si>
  <si>
    <t xml:space="preserve">1. NIVEL DE RIESGO</t>
  </si>
  <si>
    <t xml:space="preserve">2. USUARIO DE CREDITO EN LA COOP</t>
  </si>
  <si>
    <t xml:space="preserve">3. EDAD</t>
  </si>
  <si>
    <t xml:space="preserve">4. No PERSONAS A CARGO</t>
  </si>
  <si>
    <t xml:space="preserve">2. USUARIO DE CREDITO EN EL FONDO</t>
  </si>
  <si>
    <t xml:space="preserve">5. TIPO DE VIVIENDA</t>
  </si>
  <si>
    <t xml:space="preserve">6. ANTIGÜEDAD EN LA COOPERATIVA</t>
  </si>
  <si>
    <t xml:space="preserve">7. ANTIGÜEDAD LABORAL</t>
  </si>
  <si>
    <t xml:space="preserve">8. NIVEL DE INGRESOS</t>
  </si>
  <si>
    <t xml:space="preserve">PERFIL A</t>
  </si>
  <si>
    <t xml:space="preserve">ENTRE 4,01 A 5.83</t>
  </si>
  <si>
    <t xml:space="preserve">PERFIL B</t>
  </si>
  <si>
    <t xml:space="preserve">ENTRE 2.70 A  4.00</t>
  </si>
  <si>
    <t xml:space="preserve">PERFIL C</t>
  </si>
  <si>
    <t xml:space="preserve">ENTRE 0  A  2.69</t>
  </si>
  <si>
    <t xml:space="preserve">A</t>
  </si>
  <si>
    <t xml:space="preserve">B</t>
  </si>
  <si>
    <t xml:space="preserve">4.00</t>
  </si>
  <si>
    <t xml:space="preserve">C</t>
  </si>
  <si>
    <t xml:space="preserve">5.TIPO DE VIVIENDA</t>
  </si>
  <si>
    <t xml:space="preserve">FAMILIAR</t>
  </si>
  <si>
    <t xml:space="preserve">ARRENDADA</t>
  </si>
  <si>
    <t xml:space="preserve">PROPIA  SIN HIPOTECA</t>
  </si>
  <si>
    <t xml:space="preserve">HIPOTECADA</t>
  </si>
  <si>
    <t xml:space="preserve">OTRAS</t>
  </si>
  <si>
    <t xml:space="preserve">6.ANTIGÜEDAD EN COOPVALILI (Años)</t>
  </si>
  <si>
    <t xml:space="preserve">7.ANTIGÜEDAD LABORAL (Años)</t>
  </si>
  <si>
    <t xml:space="preserve">DATOS DE ENTRADA</t>
  </si>
  <si>
    <t xml:space="preserve">CALCULOS</t>
  </si>
  <si>
    <t xml:space="preserve">RESULTADOS</t>
  </si>
  <si>
    <t xml:space="preserve">SCORE</t>
  </si>
  <si>
    <t xml:space="preserve">INGRESOS</t>
  </si>
  <si>
    <t xml:space="preserve">AHORROS_FONDO</t>
  </si>
  <si>
    <t xml:space="preserve">USARIO_CREDITO</t>
  </si>
  <si>
    <t xml:space="preserve">EDAD</t>
  </si>
  <si>
    <t xml:space="preserve">PERSONAS A CARGO</t>
  </si>
  <si>
    <t xml:space="preserve">TIPO_VIVIENDA</t>
  </si>
  <si>
    <t xml:space="preserve">ANTIGÜEDAD_FONDO</t>
  </si>
  <si>
    <t xml:space="preserve">ANTIGÜEDAD_LABORAL</t>
  </si>
  <si>
    <t xml:space="preserve">AHORROS FONDO</t>
  </si>
  <si>
    <t xml:space="preserve">SCOR_NIVEL_RIESGO</t>
  </si>
  <si>
    <t xml:space="preserve">SCOR_EDAD</t>
  </si>
  <si>
    <t xml:space="preserve">SCOR_PCARGO</t>
  </si>
  <si>
    <t xml:space="preserve">SCOR_VIVIENDA</t>
  </si>
  <si>
    <t xml:space="preserve">SCOR_ANT_COOP</t>
  </si>
  <si>
    <t xml:space="preserve">SCOR_ANT_LABORAL</t>
  </si>
  <si>
    <t xml:space="preserve">SCOR_INGRESOS</t>
  </si>
  <si>
    <t xml:space="preserve">TOTALES_SCOR</t>
  </si>
  <si>
    <t xml:space="preserve">PERFILES</t>
  </si>
  <si>
    <t xml:space="preserve">TU</t>
  </si>
  <si>
    <t xml:space="preserve">Base_Asociados</t>
  </si>
  <si>
    <t xml:space="preserve">API</t>
  </si>
  <si>
    <t xml:space="preserve">chat input</t>
  </si>
  <si>
    <t xml:space="preserve">Egresos Segurdad Social</t>
  </si>
  <si>
    <t xml:space="preserve">Minimo Vital</t>
  </si>
  <si>
    <t xml:space="preserve">Cuota_Sector</t>
  </si>
  <si>
    <t xml:space="preserve">Descuento Empresa</t>
  </si>
  <si>
    <t xml:space="preserve">Total Egresos</t>
  </si>
  <si>
    <t xml:space="preserve">Egresos Asociados</t>
  </si>
  <si>
    <t xml:space="preserve">CC</t>
  </si>
  <si>
    <t xml:space="preserve">COOPERATIVA DE TRABAJODRES DE LA FUNDACIÓN VALLE DEL LILI</t>
  </si>
  <si>
    <t xml:space="preserve">BASE DE DATOS CREDITOS ANALIZADOS</t>
  </si>
  <si>
    <t xml:space="preserve">Auxiliar</t>
  </si>
  <si>
    <t xml:space="preserve">N° CEDULA</t>
  </si>
  <si>
    <t xml:space="preserve">ASOCIADO</t>
  </si>
  <si>
    <t xml:space="preserve">EMPRESA</t>
  </si>
  <si>
    <t xml:space="preserve">SALARIO</t>
  </si>
  <si>
    <t xml:space="preserve">LÍNEA DE CRÉDITO</t>
  </si>
  <si>
    <t xml:space="preserve">MONTO SOLICITADO</t>
  </si>
  <si>
    <t xml:space="preserve">SCOR CIFIN</t>
  </si>
  <si>
    <t xml:space="preserve">ENDEUDAMIENTO ACTUAL</t>
  </si>
  <si>
    <t xml:space="preserve">ENDEUDAMIENTO PROYECTADO</t>
  </si>
  <si>
    <t xml:space="preserve">CME</t>
  </si>
  <si>
    <t xml:space="preserve">CMD</t>
  </si>
  <si>
    <t xml:space="preserve">PERFIL</t>
  </si>
  <si>
    <t xml:space="preserve">SOLVENCIA</t>
  </si>
  <si>
    <t xml:space="preserve">NIVEL_EDEUDAMIENTO</t>
  </si>
  <si>
    <t xml:space="preserve">TASA</t>
  </si>
  <si>
    <t xml:space="preserve">GARANTIA</t>
  </si>
  <si>
    <t xml:space="preserve">DEUDA SECTOR</t>
  </si>
  <si>
    <t xml:space="preserve">OBSERVACIONES</t>
  </si>
  <si>
    <t xml:space="preserve">FECHA</t>
  </si>
  <si>
    <t xml:space="preserve">Guerrero Rosero Jesus Orlando</t>
  </si>
  <si>
    <t xml:space="preserve">FVL</t>
  </si>
  <si>
    <t xml:space="preserve">Aportes</t>
  </si>
  <si>
    <t xml:space="preserve">Ortega Conda Hebert Augusto</t>
  </si>
  <si>
    <t xml:space="preserve">Gonzalez Triviño Karen Yuliana</t>
  </si>
  <si>
    <t xml:space="preserve">TIENE CREDITO AFIANZADORA </t>
  </si>
  <si>
    <t xml:space="preserve">Osorio Toro Carolina</t>
  </si>
  <si>
    <t xml:space="preserve">FUNDACION VALLE DEL LILI</t>
  </si>
  <si>
    <t xml:space="preserve">Pillimue Del Campo Yulieth Andrea</t>
  </si>
  <si>
    <t xml:space="preserve">Soto Velez John Stiven</t>
  </si>
  <si>
    <t xml:space="preserve">Millan Taguado Wilmer Jose</t>
  </si>
  <si>
    <t xml:space="preserve">tiene cesantias pignoradas</t>
  </si>
  <si>
    <t xml:space="preserve">Arboleda Cuene  Danessa Alejandra</t>
  </si>
  <si>
    <t xml:space="preserve">Alzate Arce Juan Esteban</t>
  </si>
  <si>
    <t xml:space="preserve">Vela Zambrano Jakeline</t>
  </si>
  <si>
    <t xml:space="preserve">Ortega Ortega Herson Orlando</t>
  </si>
  <si>
    <t xml:space="preserve">Martinez Gomez Diego Alejandro</t>
  </si>
  <si>
    <t xml:space="preserve">Parra Hurtado Juan Carlos</t>
  </si>
  <si>
    <t xml:space="preserve">recoge creditos</t>
  </si>
  <si>
    <t xml:space="preserve">Salazar Idrobo Laura Daniela</t>
  </si>
  <si>
    <t xml:space="preserve">Orejuela Zuñiga Yessica Lorena</t>
  </si>
  <si>
    <t xml:space="preserve">Cruz Galvez Sandra Milena</t>
  </si>
  <si>
    <t xml:space="preserve">Zuñiga Capote Karem Julieth</t>
  </si>
  <si>
    <t xml:space="preserve">Solarte Martinez Yohana Estefany</t>
  </si>
  <si>
    <t xml:space="preserve">Agudelo Ospina Marilyn Gisela</t>
  </si>
  <si>
    <t xml:space="preserve">COOPVALILI</t>
  </si>
  <si>
    <t xml:space="preserve">Linares Ortiz Tatiana</t>
  </si>
  <si>
    <t xml:space="preserve">Salcedo Rodriguez Nathalia</t>
  </si>
  <si>
    <t xml:space="preserve">tiene credito afianzadora </t>
  </si>
  <si>
    <t xml:space="preserve">Escobar Lopez Giovanna</t>
  </si>
  <si>
    <t xml:space="preserve">FUNDACION VALLE DEL LILI - HONORARIOS</t>
  </si>
  <si>
    <t xml:space="preserve">Ramirez Valencia Maria Del Mar</t>
  </si>
  <si>
    <t xml:space="preserve">Bolaños Ceballos John Marlon</t>
  </si>
  <si>
    <t xml:space="preserve">pignora cesantias</t>
  </si>
  <si>
    <t xml:space="preserve">Hidalgo Gomez Diana Maria</t>
  </si>
  <si>
    <t xml:space="preserve">Prato Hernandez Rosa Margarita</t>
  </si>
  <si>
    <t xml:space="preserve">Rivas Mora Marlon</t>
  </si>
  <si>
    <t xml:space="preserve">Rodriguez Zapata Yaneth Milena</t>
  </si>
  <si>
    <t xml:space="preserve">tiene afianzadora</t>
  </si>
  <si>
    <t xml:space="preserve">Hernandez Yusti Maria Cristina</t>
  </si>
  <si>
    <t xml:space="preserve">Cortes Molina Leydi Vanessa</t>
  </si>
  <si>
    <t xml:space="preserve">Balanta Castellar Kelly Johanna</t>
  </si>
  <si>
    <t xml:space="preserve">Gomez Morera Juan Carlos</t>
  </si>
  <si>
    <t xml:space="preserve">Ospina Bermudez Leidy Diana</t>
  </si>
  <si>
    <t xml:space="preserve">Perez Villa Yully Andrea</t>
  </si>
  <si>
    <t xml:space="preserve">Gomez Muñoz Maria Angelica</t>
  </si>
  <si>
    <t xml:space="preserve">Granada Montealegre Javier Andrey</t>
  </si>
  <si>
    <t xml:space="preserve">Arrieta Yucuma Andres Felipe</t>
  </si>
  <si>
    <t xml:space="preserve">Opance Collo Milton Lider</t>
  </si>
  <si>
    <t xml:space="preserve">Correa Giraldo Cristian Andres</t>
  </si>
  <si>
    <t xml:space="preserve">Gaviria Erazo Sergio Enrique</t>
  </si>
  <si>
    <t xml:space="preserve">Maldonado Marin Hever Andres</t>
  </si>
  <si>
    <t xml:space="preserve">Orejuela Arteaga Daniela Fernanda</t>
  </si>
  <si>
    <t xml:space="preserve">Muñoz Ibarguen Leidy Carolina</t>
  </si>
  <si>
    <t xml:space="preserve">Chaquea Martinez Paola Andrea</t>
  </si>
  <si>
    <t xml:space="preserve">Mercado Tobias Ana Carolina</t>
  </si>
  <si>
    <t xml:space="preserve">Cardenas Hernandez Maria Esmeralda</t>
  </si>
  <si>
    <t xml:space="preserve">ASOCIACION VOLUNTARIADO FCVL</t>
  </si>
  <si>
    <t xml:space="preserve">Ortiz Grisales Telmo</t>
  </si>
  <si>
    <t xml:space="preserve">TIENE VEHICULO PIGNORADO Y RESPALDA ESTE REDITO CON AFIANZADORA</t>
  </si>
  <si>
    <t xml:space="preserve">Rocha Gutierrez Cindy Yulied</t>
  </si>
  <si>
    <t xml:space="preserve">Mesa Ospina Maria Camila</t>
  </si>
  <si>
    <t xml:space="preserve">Barajas Carbonell Amanda Eugenia</t>
  </si>
  <si>
    <t xml:space="preserve">Restrepo Trujillo Shakira Andrea</t>
  </si>
  <si>
    <t xml:space="preserve">Gaviria Diaz Duber Alexis</t>
  </si>
  <si>
    <t xml:space="preserve">Velez Valencia Pablo Alejandro</t>
  </si>
  <si>
    <t xml:space="preserve">tiene garantia afianzadora</t>
  </si>
  <si>
    <t xml:space="preserve">Lozano Valderrama Ana Maria</t>
  </si>
  <si>
    <t xml:space="preserve">Ortiz Niño Luz Marina</t>
  </si>
  <si>
    <t xml:space="preserve">Viveros Viafara Jhan Camilo</t>
  </si>
  <si>
    <t xml:space="preserve">tiene afianzadora como respaldo</t>
  </si>
  <si>
    <t xml:space="preserve">Valencia Cobo Eliana</t>
  </si>
  <si>
    <t xml:space="preserve">Castillo Valdes Julithza</t>
  </si>
  <si>
    <t xml:space="preserve">Cuero Caicedo Geidy Vanessa</t>
  </si>
  <si>
    <t xml:space="preserve">Medina Lozano Yuliana</t>
  </si>
  <si>
    <t xml:space="preserve">Oyola Valderrama Claudia Ximena</t>
  </si>
  <si>
    <t xml:space="preserve">Coronell Martinez Aldemir Jose</t>
  </si>
  <si>
    <t xml:space="preserve">Arenas Virgen Angela Maria</t>
  </si>
  <si>
    <t xml:space="preserve">Cardona Aldana Lina Marcela</t>
  </si>
  <si>
    <t xml:space="preserve">Varela Angucho Zeudy Janeth</t>
  </si>
  <si>
    <t xml:space="preserve">Villani Bahamon  Carolina</t>
  </si>
  <si>
    <t xml:space="preserve">Rojas Bolaños Diana Carolina</t>
  </si>
  <si>
    <t xml:space="preserve">Lorez Marquez Herman Alexander</t>
  </si>
  <si>
    <t xml:space="preserve">Gil Montilla Ivonny</t>
  </si>
  <si>
    <t xml:space="preserve">Ñustes Aragon Ana Mercedes</t>
  </si>
  <si>
    <t xml:space="preserve">Hinestroza  Gamboa Celimo</t>
  </si>
  <si>
    <t xml:space="preserve">Camacho Vanegas Claudia Patricia</t>
  </si>
  <si>
    <t xml:space="preserve">Torres Ordoñez Yessica Alexandra</t>
  </si>
  <si>
    <t xml:space="preserve">Perez Naranjo Paula Alejandra</t>
  </si>
  <si>
    <t xml:space="preserve">Rodriguez Castrillon Nelson Alberto</t>
  </si>
  <si>
    <t xml:space="preserve">Vargas Montejo Florinda</t>
  </si>
  <si>
    <t xml:space="preserve">PENSIONADA</t>
  </si>
  <si>
    <t xml:space="preserve">Millan Torres Sthephany</t>
  </si>
  <si>
    <t xml:space="preserve">Barona Sinisterra Sonia</t>
  </si>
  <si>
    <t xml:space="preserve">Montañez Sebastian</t>
  </si>
  <si>
    <t xml:space="preserve">Montenegro Martinez Javier</t>
  </si>
  <si>
    <t xml:space="preserve">Perdomo Chilito Lina Marcela</t>
  </si>
  <si>
    <t xml:space="preserve">Lopez Cadena Ancizar</t>
  </si>
  <si>
    <t xml:space="preserve">Martinez Torres Diana Marcela</t>
  </si>
  <si>
    <t xml:space="preserve">Ballesteros Garcia Juan Carlos</t>
  </si>
  <si>
    <t xml:space="preserve">Duque Henao Lina Marcela</t>
  </si>
  <si>
    <t xml:space="preserve">Clavijo Gutierrez Bibiana</t>
  </si>
  <si>
    <t xml:space="preserve">Rodas Lopez Karen Lorena</t>
  </si>
  <si>
    <t xml:space="preserve">Paz Quiñonez Deisy Veronica</t>
  </si>
  <si>
    <t xml:space="preserve">Tolosa Barrera Maria Isabel</t>
  </si>
  <si>
    <t xml:space="preserve">Vergara Solano Stephania</t>
  </si>
  <si>
    <t xml:space="preserve">Rodriguez Parra Fabiola</t>
  </si>
  <si>
    <t xml:space="preserve">Osorio Lozano Daniela Andrea</t>
  </si>
  <si>
    <t xml:space="preserve">Moreno Brito Valeria</t>
  </si>
  <si>
    <t xml:space="preserve">Cortes Cortes Lenis Valentina</t>
  </si>
  <si>
    <t xml:space="preserve">Timana Imbachi Gelen Yojana</t>
  </si>
  <si>
    <t xml:space="preserve">Pacheco Benavides Diana Marcela</t>
  </si>
  <si>
    <t xml:space="preserve">Ibarra Carabali Yanely</t>
  </si>
  <si>
    <t xml:space="preserve">Espitia Jojoa Claudia Liliana</t>
  </si>
  <si>
    <t xml:space="preserve">Lucumi Muñoz Paola Andrea</t>
  </si>
  <si>
    <t xml:space="preserve">Castillo Chaves Oriana Carolina</t>
  </si>
  <si>
    <t xml:space="preserve">Holguin Pineda Claribeth</t>
  </si>
  <si>
    <t xml:space="preserve">Perez Taquez Angelica</t>
  </si>
  <si>
    <t xml:space="preserve">FUNDACION VALLE DEL LILI HONORARIOS</t>
  </si>
  <si>
    <t xml:space="preserve">Jimenez Obando Jhon Esneider</t>
  </si>
  <si>
    <t xml:space="preserve">Alzate Zambrano Anggie Yolanda</t>
  </si>
  <si>
    <t xml:space="preserve">Duque Diaz Dayan</t>
  </si>
  <si>
    <t xml:space="preserve">Watts Pajaro Fredy Alejandro</t>
  </si>
  <si>
    <t xml:space="preserve">Seidel Aguilera Jacqueline</t>
  </si>
  <si>
    <t xml:space="preserve">presenta codeudor y tiene buen score</t>
  </si>
  <si>
    <t xml:space="preserve">Navas Guzman Llady Cecilia</t>
  </si>
  <si>
    <t xml:space="preserve">Sanchez Morales Juliana Isabel</t>
  </si>
  <si>
    <t xml:space="preserve">tiene garantia un vehiculo </t>
  </si>
  <si>
    <t xml:space="preserve">Barrios Diez David Andres</t>
  </si>
  <si>
    <t xml:space="preserve">Quimbaya Gaviria Sandra Lucia</t>
  </si>
  <si>
    <t xml:space="preserve">Sanchez Morales Alba Lucy</t>
  </si>
  <si>
    <t xml:space="preserve">Carmona Montoya Yeraldin</t>
  </si>
  <si>
    <t xml:space="preserve">Castaño Diana Consuelo</t>
  </si>
  <si>
    <t xml:space="preserve">Montezuma Diaz Vanessa</t>
  </si>
  <si>
    <t xml:space="preserve">Cuartas Arcila Sindy Fernanda</t>
  </si>
  <si>
    <t xml:space="preserve">PIGNORA VEHICULO</t>
  </si>
  <si>
    <t xml:space="preserve">Enriquez Ponce Maria Alejandra</t>
  </si>
  <si>
    <t xml:space="preserve">Vargas Buritica Ingrith Nataly</t>
  </si>
  <si>
    <t xml:space="preserve">Cisneros Garcia  Mayra  Alejandra </t>
  </si>
  <si>
    <t xml:space="preserve">recoge creditos por valor de $ 2.034.819</t>
  </si>
  <si>
    <t xml:space="preserve">Chango Restrepo Brayan Stiven</t>
  </si>
  <si>
    <t xml:space="preserve">Idrobo Trochez Yomaira</t>
  </si>
  <si>
    <t xml:space="preserve">Velasco Churi Lizeth</t>
  </si>
  <si>
    <t xml:space="preserve">Nuñez Torres Douglas Alberto</t>
  </si>
  <si>
    <t xml:space="preserve">Berrio Botero Paula Andrea</t>
  </si>
  <si>
    <t xml:space="preserve">Orozco Guerrero Sandra Patricia</t>
  </si>
  <si>
    <t xml:space="preserve">Bonilla Valencia Leidy Juliana</t>
  </si>
  <si>
    <t xml:space="preserve">Hidalgo Lemos Darling Dayana</t>
  </si>
  <si>
    <t xml:space="preserve">Paez Otero Daniela</t>
  </si>
  <si>
    <t xml:space="preserve">Papamija Delgado Luz Adriana</t>
  </si>
  <si>
    <t xml:space="preserve">Castrillon Florez Marisol</t>
  </si>
  <si>
    <t xml:space="preserve">Morales Rojas Cristhian David</t>
  </si>
  <si>
    <t xml:space="preserve">Hernandez Lopez Derly</t>
  </si>
  <si>
    <t xml:space="preserve">Mejia Correa Leidy Johana</t>
  </si>
  <si>
    <t xml:space="preserve">Velez Valencia Dennis Yurani</t>
  </si>
  <si>
    <t xml:space="preserve">Montaño Hurtado Fanny</t>
  </si>
  <si>
    <t xml:space="preserve">Alvarado Molina Treicy Mayuri</t>
  </si>
  <si>
    <t xml:space="preserve">RECOGE CREDITO</t>
  </si>
  <si>
    <t xml:space="preserve">Isaza Valencia Hernan Alonso</t>
  </si>
  <si>
    <t xml:space="preserve">Benavides Pino Stefani</t>
  </si>
  <si>
    <t xml:space="preserve">Charry Castaño Adriana</t>
  </si>
  <si>
    <t xml:space="preserve">tiene vehiculo pignorado y asegura por $ 30.900.000 a favor de Coopvalili</t>
  </si>
  <si>
    <t xml:space="preserve">Diaz Galvez Marleny Del Socorro</t>
  </si>
  <si>
    <t xml:space="preserve">Avila Prado Dorian Alberto</t>
  </si>
  <si>
    <t xml:space="preserve">Valencia Mosquera Alexandra</t>
  </si>
  <si>
    <t xml:space="preserve">Ortiz Micolta Jhon Bernardo</t>
  </si>
  <si>
    <t xml:space="preserve">Valencia Ortega Emily Yaneth</t>
  </si>
  <si>
    <t xml:space="preserve">Arce Marin Yeferzon</t>
  </si>
  <si>
    <t xml:space="preserve">Mendez Tobon Carolina</t>
  </si>
  <si>
    <t xml:space="preserve">Botero Rivera Maria Marcela</t>
  </si>
  <si>
    <t xml:space="preserve">Quiñones Rosero Julian David</t>
  </si>
  <si>
    <t xml:space="preserve">Mina Lopez Leidy Johana</t>
  </si>
  <si>
    <t xml:space="preserve">Calvache Hoyos Liseth Fernanda</t>
  </si>
  <si>
    <t xml:space="preserve">Reinel Bermudez Jimena Marbel</t>
  </si>
  <si>
    <t xml:space="preserve">Torres Quintana Tatiana</t>
  </si>
  <si>
    <t xml:space="preserve">Gallego Gallego Yuliana Andrea</t>
  </si>
  <si>
    <t xml:space="preserve">Mejia Marmolejo Monica Maria</t>
  </si>
  <si>
    <t xml:space="preserve">Leon Motato Maira Alejandra</t>
  </si>
  <si>
    <t xml:space="preserve">Insandara Ruano Diana Lizetth</t>
  </si>
  <si>
    <t xml:space="preserve">Nieto Sanchez Catherine Julieth</t>
  </si>
  <si>
    <t xml:space="preserve">Taborda Gomez Leidy Tatiana</t>
  </si>
  <si>
    <t xml:space="preserve">Mancilla Lerma Yendy Rocio</t>
  </si>
  <si>
    <t xml:space="preserve">Gonzalez Florez Sandra Liliana</t>
  </si>
  <si>
    <t xml:space="preserve">pignora vehiculo</t>
  </si>
  <si>
    <t xml:space="preserve">Ramos Vernaza Johnny Andres</t>
  </si>
  <si>
    <t xml:space="preserve">Dominguez Estrada Norberto</t>
  </si>
  <si>
    <t xml:space="preserve">Paz Enilce</t>
  </si>
  <si>
    <t xml:space="preserve">Mejia Hernandez Fanny Patricia</t>
  </si>
  <si>
    <t xml:space="preserve">Caicedo Montenegro Marcia</t>
  </si>
  <si>
    <t xml:space="preserve">Carta de compromiso para nivel de endeudamiento.</t>
  </si>
  <si>
    <t xml:space="preserve">Vidal Castañeda Liceth Adriana</t>
  </si>
  <si>
    <t xml:space="preserve">Sanchez Elago Valeria Andrea</t>
  </si>
  <si>
    <t xml:space="preserve">Patiño Leivi Yoana</t>
  </si>
  <si>
    <t xml:space="preserve">Endo Cano Daira Fernanda</t>
  </si>
  <si>
    <t xml:space="preserve">Coronado Alzate Sandra Viviana</t>
  </si>
  <si>
    <t xml:space="preserve">Gaviria Valderrama Gabriel</t>
  </si>
  <si>
    <t xml:space="preserve">Perez Mamiam Andres Felipe</t>
  </si>
  <si>
    <t xml:space="preserve">Montenegro Pardo Sandra Cecilia</t>
  </si>
  <si>
    <t xml:space="preserve">Solarte Riascos Karina Angelly</t>
  </si>
  <si>
    <t xml:space="preserve">Prieto Alzate Constanza</t>
  </si>
  <si>
    <t xml:space="preserve">el carro queda pignorado </t>
  </si>
  <si>
    <t xml:space="preserve">Mera Castro  Anyi Andrea</t>
  </si>
  <si>
    <t xml:space="preserve">Arteaga Ibarra  Ingrid Karina</t>
  </si>
  <si>
    <t xml:space="preserve">presenta codeduor y tiene credito afianzadora</t>
  </si>
  <si>
    <t xml:space="preserve">Urrego Lotero Edinson Andres</t>
  </si>
  <si>
    <t xml:space="preserve">Martinez Benitez Lina Johanna</t>
  </si>
  <si>
    <t xml:space="preserve">Molina Hurtado Maria Irene</t>
  </si>
  <si>
    <t xml:space="preserve">Cabezas Rincon Beatriz Carolina</t>
  </si>
  <si>
    <t xml:space="preserve">tiene credito afianzadora</t>
  </si>
  <si>
    <t xml:space="preserve">Moreno Vasquez Karina Marcela</t>
  </si>
  <si>
    <t xml:space="preserve">Lerma Caicedo Diana Fernanda</t>
  </si>
  <si>
    <t xml:space="preserve">Montaño Preciado Jhon Freddy</t>
  </si>
  <si>
    <t xml:space="preserve">Moreno Mindinero Betty</t>
  </si>
  <si>
    <t xml:space="preserve">Lozano Cuaspa Karen Yulieth</t>
  </si>
  <si>
    <t xml:space="preserve">Villalobos Torijano Natalia Andrea</t>
  </si>
  <si>
    <t xml:space="preserve">Mosquera Bermudez Darly Nayibi</t>
  </si>
  <si>
    <t xml:space="preserve">Zapata Orozco Sandra Lorena</t>
  </si>
  <si>
    <t xml:space="preserve">Valencia Restrepo Maribell</t>
  </si>
  <si>
    <t xml:space="preserve">Gonzalez Perez Juan Camilo</t>
  </si>
  <si>
    <t xml:space="preserve">Vargas Betancur Monica Alejandra</t>
  </si>
  <si>
    <t xml:space="preserve">Marmolejo Casañas Alexander</t>
  </si>
  <si>
    <t xml:space="preserve">Guzman Muñoz Aldemar</t>
  </si>
  <si>
    <t xml:space="preserve">Restrepo Perea Valentina</t>
  </si>
  <si>
    <t xml:space="preserve">Vasquez Garcia Juan Carlos</t>
  </si>
  <si>
    <t xml:space="preserve">Correa Loaiza Neyla Lorena</t>
  </si>
  <si>
    <t xml:space="preserve">Florez Alzate Luz Elena</t>
  </si>
  <si>
    <t xml:space="preserve">tiene afianzadora </t>
  </si>
  <si>
    <t xml:space="preserve">Delgado Tabima Jessica</t>
  </si>
  <si>
    <t xml:space="preserve">Mulato Olaya Kelly Giovana</t>
  </si>
  <si>
    <t xml:space="preserve">Anacona Hernandez Yolanda Liria</t>
  </si>
  <si>
    <t xml:space="preserve">Torres Amaguaya Derek David</t>
  </si>
  <si>
    <t xml:space="preserve">Castro Dominguez Alejandra Maria</t>
  </si>
  <si>
    <t xml:space="preserve">Martinez Muñoz Diana Lorena</t>
  </si>
  <si>
    <t xml:space="preserve">Gutierrez Dominguez Miguel Angel</t>
  </si>
  <si>
    <t xml:space="preserve">Vallecilla Bolivar Maria Claudia</t>
  </si>
  <si>
    <t xml:space="preserve">Lerma Sanchez Narly</t>
  </si>
  <si>
    <t xml:space="preserve">Caiza Narvaez Yiner Efrey</t>
  </si>
  <si>
    <t xml:space="preserve">Betancourt Alcazar Solanlly Andrea</t>
  </si>
  <si>
    <t xml:space="preserve">Hurtado Urrea Glenda Gisela</t>
  </si>
  <si>
    <t xml:space="preserve">Rosero Lemos Linda Lorena</t>
  </si>
  <si>
    <t xml:space="preserve">Caraballo Bolaños Jimena</t>
  </si>
  <si>
    <t xml:space="preserve">Salas Castro Olga Yaneth</t>
  </si>
  <si>
    <t xml:space="preserve">Valencia Gallego Sharon Disney</t>
  </si>
  <si>
    <t xml:space="preserve">Palacios Sierra Yaira Milena</t>
  </si>
  <si>
    <t xml:space="preserve">Guerrero Ingrid Yiset</t>
  </si>
  <si>
    <t xml:space="preserve">Cordoba Quintero Maria Del Pilar</t>
  </si>
  <si>
    <t xml:space="preserve">Ordoñez Calero Della Viviana</t>
  </si>
  <si>
    <t xml:space="preserve">Caicedo Caicedo Zulay Cristina</t>
  </si>
  <si>
    <t xml:space="preserve">Ramirez Garces Claudia Carolina</t>
  </si>
  <si>
    <t xml:space="preserve">Vaca Benavides Marcela</t>
  </si>
  <si>
    <t xml:space="preserve">Cruz Gomez Leidy Maria</t>
  </si>
  <si>
    <t xml:space="preserve">Alegrias Hidalgo Julian Andres</t>
  </si>
  <si>
    <t xml:space="preserve">Herrera Rolon Wilman</t>
  </si>
  <si>
    <t xml:space="preserve">Ulabarry Kevin Alexander</t>
  </si>
  <si>
    <t xml:space="preserve">Posso Sanchez Sonia Rocio</t>
  </si>
  <si>
    <t xml:space="preserve">Candamil Mera Estephanie Julieth</t>
  </si>
  <si>
    <t xml:space="preserve">Mancilla Bedon David Fernando</t>
  </si>
  <si>
    <t xml:space="preserve">Ortiz Cordoba Angelica Maria</t>
  </si>
  <si>
    <t xml:space="preserve">Solarte Benavidez Guillermo</t>
  </si>
  <si>
    <t xml:space="preserve">Uribe Cardenas Julian Andres</t>
  </si>
  <si>
    <t xml:space="preserve">Cruz Colonia Jovanna</t>
  </si>
  <si>
    <t xml:space="preserve">Arias Ceron Eliana Marcela</t>
  </si>
  <si>
    <t xml:space="preserve">Ibarguen Ibarguen Liliam</t>
  </si>
  <si>
    <t xml:space="preserve">Ocampo Talanga Yuli Viviana</t>
  </si>
  <si>
    <t xml:space="preserve">Dominguez Arciniegas Natalia</t>
  </si>
  <si>
    <t xml:space="preserve">Angulo Preciado Maria Alejandra</t>
  </si>
  <si>
    <t xml:space="preserve">Gregory Gomez Isabella</t>
  </si>
  <si>
    <t xml:space="preserve">Gomez Garcia Manuel Alejandro</t>
  </si>
  <si>
    <t xml:space="preserve">Vidal Bueno Jorge Hernan</t>
  </si>
  <si>
    <t xml:space="preserve">Poveda Clavijo Carlos Alberto</t>
  </si>
  <si>
    <t xml:space="preserve">Murillo Cuero Derly Viviana</t>
  </si>
  <si>
    <t xml:space="preserve">Olarte Arenas Maria Fernanda</t>
  </si>
  <si>
    <t xml:space="preserve">Mondragon Vergara Leydi Johana</t>
  </si>
  <si>
    <t xml:space="preserve">Nuñez Muñoz Marisol</t>
  </si>
  <si>
    <t xml:space="preserve">Lozano Lasso Martha Iisabel</t>
  </si>
  <si>
    <t xml:space="preserve">Ceron Zuñiga Deisy Alexandra</t>
  </si>
  <si>
    <t xml:space="preserve">Cortes Victoria Jeniffer Tatiana</t>
  </si>
  <si>
    <t xml:space="preserve">Gallego Lemos Laura Marcela</t>
  </si>
  <si>
    <t xml:space="preserve">Gonzalez Bustamante Veronica</t>
  </si>
  <si>
    <t xml:space="preserve">Carabali Mena Yilmar</t>
  </si>
  <si>
    <t xml:space="preserve">Ospina Betancourt Jennifer Jhoanna</t>
  </si>
  <si>
    <t xml:space="preserve">Muñoz Rojas Kerly Viviana</t>
  </si>
  <si>
    <t xml:space="preserve">Valdes Martinez Anabel Alexandra</t>
  </si>
  <si>
    <t xml:space="preserve">Muñoz Angulo Ana Lucia</t>
  </si>
  <si>
    <t xml:space="preserve">Martinez Sarasty Eliana Alexandra</t>
  </si>
  <si>
    <t xml:space="preserve">Orozco Muñoz Ana Maria.</t>
  </si>
  <si>
    <t xml:space="preserve">Jimenez Alvarez Maria Teresa</t>
  </si>
  <si>
    <t xml:space="preserve">Lopez Arana Gisela</t>
  </si>
  <si>
    <t xml:space="preserve">TIENE AFIANZADORA</t>
  </si>
  <si>
    <t xml:space="preserve">Goyes Recalde Luz Viviana</t>
  </si>
  <si>
    <t xml:space="preserve">Velasquez Alegria Diannet</t>
  </si>
  <si>
    <t xml:space="preserve">Villegas Leydi Carolina</t>
  </si>
  <si>
    <t xml:space="preserve">Garcia Montero Lina Marcela</t>
  </si>
  <si>
    <t xml:space="preserve">Peña Rodriguez Juanita Loren</t>
  </si>
  <si>
    <t xml:space="preserve">Herrera Ovalle John Alexander</t>
  </si>
  <si>
    <t xml:space="preserve">Lucumi Munoz Paola Andrea</t>
  </si>
  <si>
    <t xml:space="preserve">Velasco Olano Cindy Lorena</t>
  </si>
  <si>
    <t xml:space="preserve">Hoyos Otoa Ginna Lizeth</t>
  </si>
  <si>
    <t xml:space="preserve">Jaramillo Gutierrez Maria Alejandra</t>
  </si>
  <si>
    <t xml:space="preserve">Pena Chocue Diana Carolina</t>
  </si>
  <si>
    <t xml:space="preserve">Marquez Patino Diana Vanessa</t>
  </si>
  <si>
    <t xml:space="preserve">Gonzalias Caicedo Alberto</t>
  </si>
  <si>
    <t xml:space="preserve">Martinez Meza Adriana Amparo</t>
  </si>
  <si>
    <t xml:space="preserve">Lozano Arteaga Lineth Biviana</t>
  </si>
  <si>
    <t xml:space="preserve">Cano Mina Natalia Eugenia</t>
  </si>
  <si>
    <t xml:space="preserve">Munoz Orlando David</t>
  </si>
  <si>
    <t xml:space="preserve">Burbano Saenz Monica Johanna</t>
  </si>
  <si>
    <t xml:space="preserve">recoge credito</t>
  </si>
  <si>
    <t xml:space="preserve">Diaz Guerrero Jhony Andres</t>
  </si>
  <si>
    <t xml:space="preserve">Ramirez Cifuentes Andres Felipe</t>
  </si>
  <si>
    <t xml:space="preserve">Amezquita Restrepo Yuly Andrea</t>
  </si>
  <si>
    <t xml:space="preserve">Balanta Morales Juan Fernando</t>
  </si>
  <si>
    <t xml:space="preserve">Trujillo Arango German Humberto</t>
  </si>
  <si>
    <t xml:space="preserve">Lopez Moreno Leydyjhoana</t>
  </si>
  <si>
    <t xml:space="preserve">Arias Rivas Viridiana</t>
  </si>
  <si>
    <t xml:space="preserve">Guerrero Jimenez Alba Liliana</t>
  </si>
  <si>
    <t xml:space="preserve">Ordonez Cruz Maria Lucy</t>
  </si>
  <si>
    <t xml:space="preserve">ADMINISTRADOR COLOMBIANA DE PENSIONES</t>
  </si>
  <si>
    <t xml:space="preserve">Zuniga Marroquin Maryuri</t>
  </si>
  <si>
    <t xml:space="preserve">Guevara Mendoza Maria Fernanda</t>
  </si>
  <si>
    <t xml:space="preserve">Toro Castro Irene</t>
  </si>
  <si>
    <t xml:space="preserve">Davila Toro Deyra Alejandra</t>
  </si>
  <si>
    <t xml:space="preserve">Castrillon Monroy Lina Marcela</t>
  </si>
  <si>
    <t xml:space="preserve">Ruiz Montalvo Marlen</t>
  </si>
  <si>
    <t xml:space="preserve">Garcia Fajardo Ledy Nayibe</t>
  </si>
  <si>
    <t xml:space="preserve">Quintana Arce Gloria Luzley</t>
  </si>
  <si>
    <t xml:space="preserve">Acosta Polo Amparo Delsocorro</t>
  </si>
  <si>
    <t xml:space="preserve">Arevalo Katherine Andrea</t>
  </si>
  <si>
    <t xml:space="preserve">Portilla Jaramillo Maria Angelica</t>
  </si>
  <si>
    <t xml:space="preserve">Ceron Campo Natalia</t>
  </si>
  <si>
    <t xml:space="preserve">Beltran Ospina Luz Angela</t>
  </si>
  <si>
    <t xml:space="preserve">Mora Castaneda Yaneth</t>
  </si>
  <si>
    <t xml:space="preserve">Castano Castro Martha Isabel</t>
  </si>
  <si>
    <t xml:space="preserve">Sanchez Barrera Angelica Maria</t>
  </si>
  <si>
    <t xml:space="preserve">Astaiza Munoz Andrea</t>
  </si>
  <si>
    <t xml:space="preserve">Grajales Maria Luzvianey</t>
  </si>
  <si>
    <t xml:space="preserve">Taborda Valencia Paulo Andres</t>
  </si>
  <si>
    <t xml:space="preserve">Villa Galban Jaqueline</t>
  </si>
  <si>
    <t xml:space="preserve">Maya Solano Maria Del Mar</t>
  </si>
  <si>
    <t xml:space="preserve">Suache Avendano Paula Andrea</t>
  </si>
  <si>
    <t xml:space="preserve">Valois Cruz Sandra Milena</t>
  </si>
  <si>
    <t xml:space="preserve">Ordonez Yonda Janeth</t>
  </si>
  <si>
    <t xml:space="preserve">Alvarez Ortiz Leydy Fernanda</t>
  </si>
  <si>
    <t xml:space="preserve">Valdes Garrido Carlos Andres</t>
  </si>
  <si>
    <t xml:space="preserve">tiene afianzadora y codeudor</t>
  </si>
  <si>
    <t xml:space="preserve">Mejia Vargas  Julio Cesar</t>
  </si>
  <si>
    <t xml:space="preserve">Caicedo Diaz Yaneth Alexandra</t>
  </si>
  <si>
    <t xml:space="preserve">tiena afianzadora</t>
  </si>
  <si>
    <t xml:space="preserve">Leal Reyes Francy Elena</t>
  </si>
  <si>
    <t xml:space="preserve">Alzate Ortiz Viviana Andrea</t>
  </si>
  <si>
    <t xml:space="preserve">Taborda Carrilo Diana Alexandra</t>
  </si>
  <si>
    <t xml:space="preserve">Soto Marroquin Alejandro</t>
  </si>
  <si>
    <t xml:space="preserve">Guerrero Fajardo Gloria Piedad</t>
  </si>
  <si>
    <t xml:space="preserve">Quigua Serna Angie Valentina</t>
  </si>
  <si>
    <t xml:space="preserve">Jimenez Larrahondo Michel Alejandra</t>
  </si>
  <si>
    <t xml:space="preserve">Hurtado Garcia Leidy Viviana</t>
  </si>
  <si>
    <t xml:space="preserve">Vergara Castano Stefanie</t>
  </si>
  <si>
    <t xml:space="preserve">Gutierrez  Moreno Daniel Felipe</t>
  </si>
  <si>
    <t xml:space="preserve">Montoya Barreto Lisbeth</t>
  </si>
  <si>
    <t xml:space="preserve">Vega Valencia Aura Stella</t>
  </si>
  <si>
    <t xml:space="preserve">Lopez Martinez Jazmin Luisa</t>
  </si>
  <si>
    <t xml:space="preserve">Bedoya Chavez Erika Liseth</t>
  </si>
  <si>
    <t xml:space="preserve">Lucumi Cortes Bessy Tatiana</t>
  </si>
  <si>
    <t xml:space="preserve">Castro Escobar Zindy Alexandra</t>
  </si>
  <si>
    <t xml:space="preserve">Orejuela Zuniga Yessica Lorena</t>
  </si>
  <si>
    <t xml:space="preserve">Florez Vera Mayra Alejandra</t>
  </si>
  <si>
    <t xml:space="preserve">Ramirez Mejia Marycel</t>
  </si>
  <si>
    <t xml:space="preserve">Serrano Lopez Angelica Maria</t>
  </si>
  <si>
    <t xml:space="preserve">Oviedo Bolanos Maddely Vanessa</t>
  </si>
  <si>
    <t xml:space="preserve">Orozco Guzman Daniela</t>
  </si>
  <si>
    <t xml:space="preserve">Alcala Flores Mercedes Del Pilar</t>
  </si>
  <si>
    <t xml:space="preserve">Londono Beltran Kelly Alexandra</t>
  </si>
  <si>
    <t xml:space="preserve">Fandino Piamba Paola Andrea</t>
  </si>
  <si>
    <t xml:space="preserve">Meneses Arcila Maria Fernanda</t>
  </si>
  <si>
    <t xml:space="preserve">Morales Carmona Carlos Andres</t>
  </si>
  <si>
    <t xml:space="preserve">PRESENTA CODEUDOR</t>
  </si>
  <si>
    <t xml:space="preserve">Sierra Casas Yiscella</t>
  </si>
  <si>
    <t xml:space="preserve">Erazo Munoz Daniel</t>
  </si>
  <si>
    <t xml:space="preserve">Giron Campos Bryhan Eduardo</t>
  </si>
  <si>
    <t xml:space="preserve">Perea Hernandez Francis Betina</t>
  </si>
  <si>
    <t xml:space="preserve">Martinez Gutierrez Luzbeira</t>
  </si>
  <si>
    <t xml:space="preserve">tiene vehiculo pignorado</t>
  </si>
  <si>
    <t xml:space="preserve">Gomez Jose Olmes</t>
  </si>
  <si>
    <t xml:space="preserve">Rodriguez Correa Jhonny</t>
  </si>
  <si>
    <t xml:space="preserve">Lemos Orejuela Laura Maria</t>
  </si>
  <si>
    <t xml:space="preserve">Hidalgo Sanchez Alejandro</t>
  </si>
  <si>
    <t xml:space="preserve">Arias Osorio Diana Marcela</t>
  </si>
  <si>
    <t xml:space="preserve">Morales Lorza Maria Magdalena</t>
  </si>
  <si>
    <t xml:space="preserve">Pertuz Barrios Isabel Maria</t>
  </si>
  <si>
    <t xml:space="preserve">Vanegas Amaya Jessica</t>
  </si>
  <si>
    <t xml:space="preserve">Loaiza Naranjo Johnsonfrey</t>
  </si>
  <si>
    <t xml:space="preserve">tiene vehiculo pignorado y asegurado</t>
  </si>
  <si>
    <t xml:space="preserve">Pasuy Bastidas Neil Mauricio</t>
  </si>
  <si>
    <t xml:space="preserve">Vega Mosquera Andres Mauricio</t>
  </si>
  <si>
    <t xml:space="preserve">tiene viculo pignorado y asegurado</t>
  </si>
  <si>
    <t xml:space="preserve">Alban Castro Giovanna</t>
  </si>
  <si>
    <t xml:space="preserve">Calderon Ladino Maria Constanza</t>
  </si>
  <si>
    <t xml:space="preserve">Garcia Lucumi Sara Lizeth</t>
  </si>
  <si>
    <t xml:space="preserve">Benitez Santana Nazly Caterinne</t>
  </si>
  <si>
    <t xml:space="preserve">Flor Otero Angie Yulieth</t>
  </si>
  <si>
    <t xml:space="preserve">Navia Moreno Aura Celmira</t>
  </si>
  <si>
    <t xml:space="preserve">Espinosa Alvarez Hugo Armando</t>
  </si>
  <si>
    <t xml:space="preserve">Viafara Martinez Jessica Natalia</t>
  </si>
  <si>
    <t xml:space="preserve">Gomez Nunez Anggie Nathaly</t>
  </si>
  <si>
    <t xml:space="preserve">Correa Munoz Lindelia</t>
  </si>
  <si>
    <t xml:space="preserve">Villota Guerrero Eduardo</t>
  </si>
  <si>
    <t xml:space="preserve">Torres Torres  Jerlyn Tarin</t>
  </si>
  <si>
    <t xml:space="preserve">Muriel Guzman Derly Dayana</t>
  </si>
  <si>
    <t xml:space="preserve">Guzman Patino Katherine</t>
  </si>
  <si>
    <t xml:space="preserve">Medina Truque Edilberto</t>
  </si>
  <si>
    <t xml:space="preserve">Bejarano Balanta Natalia</t>
  </si>
  <si>
    <t xml:space="preserve">Murillo Echavarria Maria Camila</t>
  </si>
  <si>
    <t xml:space="preserve">Fernandez Nunez Katherine</t>
  </si>
  <si>
    <t xml:space="preserve">Valencia Oyola Tara Mabel</t>
  </si>
  <si>
    <t xml:space="preserve">Borja Munoz Dora Viviana</t>
  </si>
  <si>
    <t xml:space="preserve">Paredes Guaca Mary Luz</t>
  </si>
  <si>
    <t xml:space="preserve">Alvarez Cuero Jessica Manuela</t>
  </si>
  <si>
    <t xml:space="preserve">Diaz Villegas Dany Felipe</t>
  </si>
  <si>
    <t xml:space="preserve">Figueroa Cardona Kelly Marcela</t>
  </si>
  <si>
    <t xml:space="preserve">tiene pignorado vehiculo con poliza</t>
  </si>
  <si>
    <t xml:space="preserve">Morales Antolinez Joan Stiven</t>
  </si>
  <si>
    <t xml:space="preserve">Reyes Pineros Clara Elisa</t>
  </si>
  <si>
    <t xml:space="preserve">Valencia Gomez Angela Maria</t>
  </si>
  <si>
    <t xml:space="preserve">Pinzon Vasquez Lina Paola</t>
  </si>
  <si>
    <t xml:space="preserve">Bonilla Escobar Martha Lucia</t>
  </si>
  <si>
    <t xml:space="preserve">Otero Mosquera Brayan Andres</t>
  </si>
  <si>
    <t xml:space="preserve">Valencia Borja Andrea</t>
  </si>
  <si>
    <t xml:space="preserve">Quitumbo Quiguanas Yamirth</t>
  </si>
  <si>
    <t xml:space="preserve">Bermudez Galvez Martha Cecilia</t>
  </si>
  <si>
    <t xml:space="preserve">Garcia Acevedo Carlos Alberto</t>
  </si>
  <si>
    <t xml:space="preserve">Rodriguez Diaz Diego Fernando</t>
  </si>
  <si>
    <t xml:space="preserve">Cardozo Luis Felipe</t>
  </si>
  <si>
    <t xml:space="preserve">Pechene Quinchia Consuelo Liseth</t>
  </si>
  <si>
    <t xml:space="preserve">Narvaez Castillo Dayana Andrea</t>
  </si>
  <si>
    <t xml:space="preserve">Davila Herrera Lorena</t>
  </si>
  <si>
    <t xml:space="preserve">Hernandez Martinez Lorena</t>
  </si>
  <si>
    <t xml:space="preserve">Ledezma Cuero Limka Mary</t>
  </si>
  <si>
    <t xml:space="preserve">Narvaez Castro Ely Tatiana</t>
  </si>
  <si>
    <t xml:space="preserve">Trujillo Rodriguez Monica</t>
  </si>
  <si>
    <t xml:space="preserve">Florez Meneses Cindy Johanna</t>
  </si>
  <si>
    <t xml:space="preserve">Gonzalez Rodriguez Yazmin</t>
  </si>
  <si>
    <t xml:space="preserve">Marin Corrales Leydi Katheryn</t>
  </si>
  <si>
    <t xml:space="preserve">PIGNORA CARRO CON SEGURO</t>
  </si>
  <si>
    <t xml:space="preserve">Daza Barona Ofelia</t>
  </si>
  <si>
    <t xml:space="preserve">RECOGE CREDITOS POR VALOR DE $ 2555745</t>
  </si>
  <si>
    <t xml:space="preserve">Borja Yepez Ricardo</t>
  </si>
  <si>
    <t xml:space="preserve">Verdugo Ruiz Leidy Carolina</t>
  </si>
  <si>
    <t xml:space="preserve">Diaz Anacona Alejandra</t>
  </si>
  <si>
    <t xml:space="preserve">Varela Rodriguez Claudia Fernanda</t>
  </si>
  <si>
    <t xml:space="preserve">Tellez Cubillos Marian</t>
  </si>
  <si>
    <t xml:space="preserve">Taborda Arevalo Carlos Ariel</t>
  </si>
  <si>
    <t xml:space="preserve">Rodriguez Izquierdo Karol Liceth</t>
  </si>
  <si>
    <t xml:space="preserve">Gil Motato Santiago</t>
  </si>
  <si>
    <t xml:space="preserve">Brinez Paz Katheryn</t>
  </si>
  <si>
    <t xml:space="preserve">Ramirez Chavez Angela Maria</t>
  </si>
  <si>
    <t xml:space="preserve">Urrea Correa Carolina</t>
  </si>
  <si>
    <t xml:space="preserve">Martinez Becerra Martha Lucia</t>
  </si>
  <si>
    <t xml:space="preserve">Rincon Soto Martha Lucia</t>
  </si>
  <si>
    <t xml:space="preserve">Tigreros Perez Yaneth</t>
  </si>
  <si>
    <t xml:space="preserve">Garzon Osorio Adriana</t>
  </si>
  <si>
    <t xml:space="preserve">tiene motocicleta pignorada</t>
  </si>
  <si>
    <t xml:space="preserve">TIENE VEHICULO PIGNORADO</t>
  </si>
  <si>
    <t xml:space="preserve">Avila Piamba Brahyan Mauricio</t>
  </si>
  <si>
    <t xml:space="preserve">Gomez Munoz Maria Angelica</t>
  </si>
  <si>
    <t xml:space="preserve">Cortes Lorza Gustavo Adolfo</t>
  </si>
  <si>
    <t xml:space="preserve">Camacho Vargas Maribel</t>
  </si>
  <si>
    <t xml:space="preserve">Ramos Lizarazo Jorge Eliecer</t>
  </si>
  <si>
    <t xml:space="preserve">Gonzalez Gonzalez Diana Carolina</t>
  </si>
  <si>
    <t xml:space="preserve">Angarita Arango Sandra Milena</t>
  </si>
  <si>
    <t xml:space="preserve">Pena Osorio Ana Maria</t>
  </si>
  <si>
    <t xml:space="preserve">Diaz Aragon Karol Yesenia</t>
  </si>
  <si>
    <t xml:space="preserve">Espinosa Cifuentes Luis Fernando</t>
  </si>
  <si>
    <t xml:space="preserve">Velasquez Quintero Jhonathan </t>
  </si>
  <si>
    <t xml:space="preserve">Presenta codeudora que lleva en la fundacion 29 años y tiene buen cifin 909</t>
  </si>
  <si>
    <t xml:space="preserve">Mora Cordoba Giovanny</t>
  </si>
  <si>
    <t xml:space="preserve">FUNDACION VALLE DEL LILI </t>
  </si>
  <si>
    <t xml:space="preserve">Jaramillo Ramirez Gloria Patricia</t>
  </si>
  <si>
    <t xml:space="preserve">Pignora moto</t>
  </si>
  <si>
    <t xml:space="preserve">Torres Castaneda Claudia  Milena</t>
  </si>
  <si>
    <t xml:space="preserve">Caceres Wilson</t>
  </si>
  <si>
    <t xml:space="preserve">Trujillo Grijalba Francisco Javier</t>
  </si>
  <si>
    <t xml:space="preserve">Silva Zambrano Jennyfer Daniela</t>
  </si>
  <si>
    <t xml:space="preserve">Carvajal Jimenez Carlos Andres</t>
  </si>
  <si>
    <t xml:space="preserve">Munoz Echeverry Sandra Milena</t>
  </si>
  <si>
    <t xml:space="preserve">Medina Salazar Jose Luis</t>
  </si>
  <si>
    <t xml:space="preserve">Ramirez Sierra Dora Estelia</t>
  </si>
  <si>
    <t xml:space="preserve">Orejuela Gonzalez Yohana</t>
  </si>
  <si>
    <t xml:space="preserve">Lopez Duque Sirley Dayana</t>
  </si>
  <si>
    <t xml:space="preserve">Useche Becerra Brian Alexis</t>
  </si>
  <si>
    <t xml:space="preserve">Montoya Laguna Luisa Fernnada</t>
  </si>
  <si>
    <t xml:space="preserve">Palma Lopez Juan Diego</t>
  </si>
  <si>
    <t xml:space="preserve">Gomez Leiva Christian Camilo</t>
  </si>
  <si>
    <t xml:space="preserve">Mena Maldonado Anyela Patricia</t>
  </si>
  <si>
    <t xml:space="preserve">Ceballos Camacho Lina Karime</t>
  </si>
  <si>
    <t xml:space="preserve">Chilito Lenis Geison Roodrigo</t>
  </si>
  <si>
    <t xml:space="preserve">Collazos Piedrahita Miryam Estella</t>
  </si>
  <si>
    <t xml:space="preserve">Mozo Colorado Yenny Yaneth</t>
  </si>
  <si>
    <t xml:space="preserve">Riascos Cuero Nancy Johana</t>
  </si>
  <si>
    <t xml:space="preserve">Neira Diaz Miguel Angel</t>
  </si>
  <si>
    <t xml:space="preserve">Ortiz Cadena Kelly Julieth</t>
  </si>
  <si>
    <t xml:space="preserve">Florez Ceballos Jose Over</t>
  </si>
  <si>
    <t xml:space="preserve">PIGNORA CESANTIAS</t>
  </si>
  <si>
    <t xml:space="preserve">Bolaños Chamorro Yeimy Katerine</t>
  </si>
  <si>
    <t xml:space="preserve">PIGNORA CESANTIAS $5.000.000</t>
  </si>
  <si>
    <t xml:space="preserve">Juanillo Mina Johana Andrea</t>
  </si>
  <si>
    <t xml:space="preserve">PIGNORA CESANTIAS $9.500.000</t>
  </si>
  <si>
    <t xml:space="preserve">Londono Arevalo Ana Bolena</t>
  </si>
  <si>
    <t xml:space="preserve">Narvaez Jimenez Juan Carlos</t>
  </si>
  <si>
    <t xml:space="preserve">RECOGE CREDITOS</t>
  </si>
  <si>
    <t xml:space="preserve">Flechas Guzman Jessica Lorena</t>
  </si>
  <si>
    <t xml:space="preserve">Candelo Arce Juan Sebastian</t>
  </si>
  <si>
    <t xml:space="preserve">Castano Castillo Maria Fernanda</t>
  </si>
  <si>
    <t xml:space="preserve">pignora motocicleta</t>
  </si>
  <si>
    <t xml:space="preserve">Montenegro Figueroa Yeferson Stiven</t>
  </si>
  <si>
    <t xml:space="preserve">Arias Bran Yerferson</t>
  </si>
  <si>
    <t xml:space="preserve">Aragon Ibarra Diana Patricia</t>
  </si>
  <si>
    <t xml:space="preserve">Londoño Yepes Jessica</t>
  </si>
  <si>
    <t xml:space="preserve">Ramos Serna Sandra Lorena</t>
  </si>
  <si>
    <t xml:space="preserve">Sandoval Carabali Yuseth Magaly</t>
  </si>
  <si>
    <t xml:space="preserve">Giraldo Salazar Leidy Lorena</t>
  </si>
  <si>
    <t xml:space="preserve">Vera Mejia Liceth</t>
  </si>
  <si>
    <t xml:space="preserve">Marin Cruz Sandra Estefania</t>
  </si>
  <si>
    <t xml:space="preserve">Ospina Hernandez Juan Pablo</t>
  </si>
  <si>
    <t xml:space="preserve">Ella es codeduora</t>
  </si>
  <si>
    <t xml:space="preserve">Marin Marin Brayan Andres</t>
  </si>
  <si>
    <t xml:space="preserve">Martinez Munoz Diana Lorena</t>
  </si>
  <si>
    <t xml:space="preserve">tiene moto pignorada y asegurada por $ 9.800.000</t>
  </si>
  <si>
    <t xml:space="preserve">Gonzalez Cisneros Stefanny</t>
  </si>
  <si>
    <t xml:space="preserve">Cardona Montoya Tifany Michelee</t>
  </si>
  <si>
    <t xml:space="preserve">Londono Lopez Edwin</t>
  </si>
  <si>
    <t xml:space="preserve">Calero Molina Nubia</t>
  </si>
  <si>
    <t xml:space="preserve">Bustos Cruz Eylen Andrea</t>
  </si>
  <si>
    <t xml:space="preserve">Munoz Munoz Faysuli</t>
  </si>
  <si>
    <t xml:space="preserve">Ceron Quintero Maribel</t>
  </si>
  <si>
    <t xml:space="preserve">Mejia Montes Claudia Lorena</t>
  </si>
  <si>
    <t xml:space="preserve">Urrea Claudia Ximena</t>
  </si>
  <si>
    <t xml:space="preserve">Llanten Granda Diana Marcela</t>
  </si>
  <si>
    <t xml:space="preserve">Perez Rodriguez Mayra Alejandra</t>
  </si>
  <si>
    <t xml:space="preserve">Motta Realpe Lizeth Paola</t>
  </si>
  <si>
    <t xml:space="preserve">Lopez Ramirez Diego Fernando</t>
  </si>
  <si>
    <t xml:space="preserve">Pignora vehiculo</t>
  </si>
  <si>
    <t xml:space="preserve">Sanchez Velez Maria Isabel</t>
  </si>
  <si>
    <t xml:space="preserve">Falcon Perez Pedro Fabian</t>
  </si>
  <si>
    <t xml:space="preserve">pignora vehiculo y con la poliza de seguros</t>
  </si>
  <si>
    <t xml:space="preserve">Carvajal Barona Mayra Alejandra</t>
  </si>
  <si>
    <t xml:space="preserve">pignora moto y con la poliza de seguros</t>
  </si>
  <si>
    <t xml:space="preserve">Mina Roberto Carlos</t>
  </si>
  <si>
    <t xml:space="preserve">Castro Toro Yineth Karolay</t>
  </si>
  <si>
    <t xml:space="preserve">Mamian Mamian Tania Vanesa</t>
  </si>
  <si>
    <t xml:space="preserve">Garcia Vera Jessica Viviana</t>
  </si>
  <si>
    <t xml:space="preserve">Tombe Ospina Andrea</t>
  </si>
  <si>
    <t xml:space="preserve">Gomez Cruz Francy Lizbeth</t>
  </si>
  <si>
    <t xml:space="preserve">Suarez Prieto Vilma Katerine</t>
  </si>
  <si>
    <t xml:space="preserve">tine moto pignorada y afianzadora</t>
  </si>
  <si>
    <t xml:space="preserve">Bautista Valencia Juan David</t>
  </si>
  <si>
    <t xml:space="preserve">Daza Sanchez Ingrid Gisela</t>
  </si>
  <si>
    <t xml:space="preserve">Rojas Almeida Daniella</t>
  </si>
  <si>
    <t xml:space="preserve">Rivera Arcila Camilo Andres</t>
  </si>
  <si>
    <t xml:space="preserve">Timote Hurtado Lina Marcela</t>
  </si>
  <si>
    <t xml:space="preserve">Barbosa Cardona Geraldine</t>
  </si>
  <si>
    <t xml:space="preserve">Villalobos Hurtado Victoria Eugenia</t>
  </si>
  <si>
    <t xml:space="preserve">Cardona Castano Alberto Harold</t>
  </si>
  <si>
    <t xml:space="preserve">Elejalde Pena Rosa Elena</t>
  </si>
  <si>
    <t xml:space="preserve">Ciclos Largo Leyda</t>
  </si>
  <si>
    <t xml:space="preserve">Zapata Montenegro Jhoselim</t>
  </si>
  <si>
    <t xml:space="preserve">Cuero Perea Sugeidy</t>
  </si>
  <si>
    <t xml:space="preserve">Cisneros Solarte Yeny Liseth</t>
  </si>
  <si>
    <t xml:space="preserve">Chavarro Perea Clara Ines</t>
  </si>
  <si>
    <t xml:space="preserve">Gonzalez Escobar Liliana</t>
  </si>
  <si>
    <t xml:space="preserve">Cisneros Munoz Leidi Johanna</t>
  </si>
  <si>
    <t xml:space="preserve">Bravo Amaya Susana</t>
  </si>
  <si>
    <t xml:space="preserve">Espinosa Reyes Diana Cristina</t>
  </si>
  <si>
    <t xml:space="preserve">Marin Grajales Ronal Andres</t>
  </si>
  <si>
    <t xml:space="preserve">Orbes Lasso Angela Daniela</t>
  </si>
  <si>
    <t xml:space="preserve">Chito Mamian Clara Ines</t>
  </si>
  <si>
    <t xml:space="preserve">Almanza Garcia Arelix</t>
  </si>
  <si>
    <t xml:space="preserve">Ortiz Ordonez Francia Astrid</t>
  </si>
  <si>
    <t xml:space="preserve">Quenoran Lopez  Natalia Andrea</t>
  </si>
  <si>
    <t xml:space="preserve">Castaneda Henao Fabian</t>
  </si>
  <si>
    <t xml:space="preserve">Paz Quinonez Deisy Veronica</t>
  </si>
  <si>
    <t xml:space="preserve">Mondragon Martinez Valentina</t>
  </si>
  <si>
    <t xml:space="preserve">Delgado Cruz Bibiana Carmenza</t>
  </si>
  <si>
    <t xml:space="preserve">Garcia Cantuni Esteban</t>
  </si>
  <si>
    <t xml:space="preserve">Navia Gutierrez Ludwin Vang</t>
  </si>
  <si>
    <t xml:space="preserve">Colorado Ocoro Mayra Alejandra</t>
  </si>
  <si>
    <t xml:space="preserve">Artunduaga Quinones Sofia</t>
  </si>
  <si>
    <t xml:space="preserve">Dominguez Cepeda Laura Lorena</t>
  </si>
  <si>
    <t xml:space="preserve">carro pignorado</t>
  </si>
  <si>
    <t xml:space="preserve">Jaramillo Herrera Sirley</t>
  </si>
  <si>
    <t xml:space="preserve">TIENE GARANTIA AFIANZADORA</t>
  </si>
  <si>
    <t xml:space="preserve">Cespedes Zamora Liliana</t>
  </si>
  <si>
    <t xml:space="preserve">Villota Chamorro Ana Cristina</t>
  </si>
  <si>
    <t xml:space="preserve">Toro Correa Jose Joaquin</t>
  </si>
  <si>
    <t xml:space="preserve">TIENE VEHICULO PIGNORADO Y ASESGURADO</t>
  </si>
  <si>
    <t xml:space="preserve">PRESENTA CODEUDOR Y COMPROMETE PRIMA DE $ 1.050.000</t>
  </si>
  <si>
    <t xml:space="preserve">Guerrero Herrera Maria Antonella</t>
  </si>
  <si>
    <t xml:space="preserve">Lombana Espinosa Charlene Alejandra</t>
  </si>
  <si>
    <t xml:space="preserve">tiene carro pignorado</t>
  </si>
  <si>
    <t xml:space="preserve">Torres Benavides Vileidy Dayana</t>
  </si>
  <si>
    <t xml:space="preserve">Ocampo Zemanate Leidy Vanessa</t>
  </si>
  <si>
    <t xml:space="preserve">Albornoz Ibarguen Leydi Johanna</t>
  </si>
  <si>
    <t xml:space="preserve">Restrepo Delgado Luis Miguel</t>
  </si>
  <si>
    <t xml:space="preserve">Paredes Galvez Diana Maritza</t>
  </si>
  <si>
    <t xml:space="preserve">Acosta Arango Youly Esthefhanie</t>
  </si>
  <si>
    <t xml:space="preserve">Mezu Figueroa Vivian Liset</t>
  </si>
  <si>
    <t xml:space="preserve">Ramirez Alzate Paula Andrea</t>
  </si>
  <si>
    <t xml:space="preserve">Gamboa Amaya Norly Vanessa</t>
  </si>
  <si>
    <t xml:space="preserve">Ospina Rendon Carolina</t>
  </si>
  <si>
    <t xml:space="preserve">Fajardo Bermudez Flor Deisy</t>
  </si>
  <si>
    <t xml:space="preserve">Yepes Flor Brayan Steven</t>
  </si>
  <si>
    <t xml:space="preserve">Charcopa Castro Maryuri Bellanire</t>
  </si>
  <si>
    <t xml:space="preserve">Cardona Escobar Sonia Liliana</t>
  </si>
  <si>
    <t xml:space="preserve">Valencia Carabali Charles William</t>
  </si>
  <si>
    <t xml:space="preserve">Betancourt Palomino Katherine Michelle</t>
  </si>
  <si>
    <t xml:space="preserve">Idrobo Merchancano Angie Carolina</t>
  </si>
  <si>
    <t xml:space="preserve">Delgado Alvarez Alexis</t>
  </si>
  <si>
    <t xml:space="preserve">Uribe Paz Harvin Ricardo</t>
  </si>
  <si>
    <t xml:space="preserve">Saavedra Andrade Marleny</t>
  </si>
  <si>
    <t xml:space="preserve">Urquijo Patino Dorian Esteban</t>
  </si>
  <si>
    <t xml:space="preserve">Checa Cardenas Maryury</t>
  </si>
  <si>
    <t xml:space="preserve">Granados Giraldo Diana Alejandra</t>
  </si>
  <si>
    <t xml:space="preserve">Gaviria Sary</t>
  </si>
  <si>
    <t xml:space="preserve">Cardona Martinez Luz Adriana</t>
  </si>
  <si>
    <t xml:space="preserve">Londoño Sanchez Diego Fernando</t>
  </si>
  <si>
    <t xml:space="preserve">Fernandez Martinez Diana Marcela</t>
  </si>
  <si>
    <t xml:space="preserve">se recoge creditos</t>
  </si>
  <si>
    <t xml:space="preserve">Torres Orozco Adriana Mayerly</t>
  </si>
  <si>
    <t xml:space="preserve">Gonzalez Hincapie Leonardo</t>
  </si>
  <si>
    <t xml:space="preserve">Guerrero Mejia Oscar Eduardo</t>
  </si>
  <si>
    <t xml:space="preserve">Arango Mercado Maria Paula</t>
  </si>
  <si>
    <t xml:space="preserve">FUNDACION FVL</t>
  </si>
  <si>
    <t xml:space="preserve">Arbelaez Vivas Arturo</t>
  </si>
  <si>
    <t xml:space="preserve">FUNDACION VALLE DE LILI</t>
  </si>
  <si>
    <t xml:space="preserve">tiene moto pignorada</t>
  </si>
  <si>
    <t xml:space="preserve">Benavides Guerrero Maria Victoria</t>
  </si>
  <si>
    <t xml:space="preserve">Carranza Cohecha William</t>
  </si>
  <si>
    <t xml:space="preserve">Patino Betancourt Ana Josefa</t>
  </si>
  <si>
    <t xml:space="preserve">Luna Martinez Dario Gerardo</t>
  </si>
  <si>
    <t xml:space="preserve">Vallecilla Grueso Fabian</t>
  </si>
  <si>
    <t xml:space="preserve">Quintero Londono Diego Fernando</t>
  </si>
  <si>
    <t xml:space="preserve">Salazar Madrid Johanna</t>
  </si>
  <si>
    <t xml:space="preserve">Florez Chaux John Stiven</t>
  </si>
  <si>
    <t xml:space="preserve">FUNDACION VALLE DEL DEL LILI</t>
  </si>
  <si>
    <t xml:space="preserve">Mina Campo Diana Lizeth</t>
  </si>
  <si>
    <t xml:space="preserve">Vidal Lopez Yuliana</t>
  </si>
  <si>
    <t xml:space="preserve">Doza Martinez Liliana</t>
  </si>
  <si>
    <t xml:space="preserve">FUNDACION VALE DEL LILI</t>
  </si>
  <si>
    <t xml:space="preserve">Figueroa Escobar Nayda Iomaira</t>
  </si>
  <si>
    <t xml:space="preserve">Ledesma Ceballos Mayerli</t>
  </si>
  <si>
    <t xml:space="preserve">Saa Ordonez Ingrid  Lorena</t>
  </si>
  <si>
    <t xml:space="preserve">FUNDACION VALLE LILI</t>
  </si>
  <si>
    <t xml:space="preserve">Velasco Ramirez Hillary</t>
  </si>
  <si>
    <t xml:space="preserve">Acosta Viveros Estepanie</t>
  </si>
  <si>
    <t xml:space="preserve">Ruiz Medina Jenifer Dayana</t>
  </si>
  <si>
    <t xml:space="preserve">Chaves Hoyos Angie Tatiana</t>
  </si>
  <si>
    <t xml:space="preserve">Lopez Bonilla Gineth</t>
  </si>
  <si>
    <t xml:space="preserve">tiene vehiculo pignorado (moto)</t>
  </si>
  <si>
    <t xml:space="preserve">Rios Vergara Dina Liris</t>
  </si>
  <si>
    <t xml:space="preserve">Flor Diaz Diana Maria</t>
  </si>
  <si>
    <t xml:space="preserve">Illera Paez Claudia Maritza</t>
  </si>
  <si>
    <t xml:space="preserve">Ramos Lasso Julian</t>
  </si>
  <si>
    <t xml:space="preserve">Zuniga Lopez Diego Fernando</t>
  </si>
  <si>
    <t xml:space="preserve">Carabali Lozano Oriana Yireth</t>
  </si>
  <si>
    <t xml:space="preserve">Sanchez Bolivar Luisa Fernanda</t>
  </si>
  <si>
    <t xml:space="preserve">Carvajal Cardone Valentina</t>
  </si>
  <si>
    <t xml:space="preserve">Valencia Ipiales Juan Pablo</t>
  </si>
  <si>
    <t xml:space="preserve">Mendoza Garcia Neyris</t>
  </si>
  <si>
    <t xml:space="preserve">Del Castillo Alvarez Luz Angelica</t>
  </si>
  <si>
    <t xml:space="preserve">Jordan Hurtado Esther Julia</t>
  </si>
  <si>
    <t xml:space="preserve">Garcia Vente Marlyn Socorro</t>
  </si>
  <si>
    <t xml:space="preserve">Quimbaya Falla Simena Del Pilar</t>
  </si>
  <si>
    <t xml:space="preserve">Espana Ortegon Jhon Edinson</t>
  </si>
  <si>
    <t xml:space="preserve">recoge credito Por $ 2.000.000</t>
  </si>
  <si>
    <t xml:space="preserve">Bolanos Beltran David Alexander</t>
  </si>
  <si>
    <t xml:space="preserve">Casaran Cortes Kelly Johana</t>
  </si>
  <si>
    <t xml:space="preserve">Ovalle Munoz Nadia Carolina</t>
  </si>
  <si>
    <t xml:space="preserve">FUNDACION CLINICA VALLE DEL LILI</t>
  </si>
  <si>
    <t xml:space="preserve">Hurtado Ramos Melfi</t>
  </si>
  <si>
    <t xml:space="preserve">Aguino Torres Alex Ruben</t>
  </si>
  <si>
    <t xml:space="preserve">Bedoya Idarraga Colombia</t>
  </si>
  <si>
    <t xml:space="preserve">COLPENSIONES</t>
  </si>
  <si>
    <t xml:space="preserve">Moreno Rivera Angie Del Carmen</t>
  </si>
  <si>
    <t xml:space="preserve">Jordan Rengifo Alejandra</t>
  </si>
  <si>
    <t xml:space="preserve">presenta codeudora</t>
  </si>
  <si>
    <t xml:space="preserve">Perlaza Arias Isabel</t>
  </si>
  <si>
    <t xml:space="preserve">Clavijo Margarita</t>
  </si>
  <si>
    <t xml:space="preserve">Mera Zuniga Sindy Elizabeth</t>
  </si>
  <si>
    <t xml:space="preserve">Quijano Pillimue Antonio Jose</t>
  </si>
  <si>
    <t xml:space="preserve">Guaza Mejia Zuleima</t>
  </si>
  <si>
    <t xml:space="preserve">Sandoval Calero Maria Camila</t>
  </si>
  <si>
    <t xml:space="preserve">Hincapie Cardenas Catherine Johanna</t>
  </si>
  <si>
    <t xml:space="preserve">Tapiero Portela Diana Milena</t>
  </si>
  <si>
    <t xml:space="preserve">Guerrero Zamora Nancy Viviana</t>
  </si>
  <si>
    <t xml:space="preserve">Cortes Cardona Diana Constanza</t>
  </si>
  <si>
    <t xml:space="preserve">Osorio Nieto Lina Maria</t>
  </si>
  <si>
    <t xml:space="preserve">Monroy Marulanda Jenny</t>
  </si>
  <si>
    <t xml:space="preserve">Zuñiga Fernandez Jeferson</t>
  </si>
  <si>
    <t xml:space="preserve">Melo Munoz Yurley Dayana</t>
  </si>
  <si>
    <t xml:space="preserve">PIGNORA MOTOCICLETA</t>
  </si>
  <si>
    <t xml:space="preserve">FUNDACION VALLLE DE LILI</t>
  </si>
  <si>
    <t xml:space="preserve">Ortega Castro Emilsen</t>
  </si>
  <si>
    <t xml:space="preserve">tiene cesantias y moto pignorada</t>
  </si>
  <si>
    <t xml:space="preserve">CR 98 18 49</t>
  </si>
  <si>
    <t xml:space="preserve">Fraga Recalde Nelson Andres</t>
  </si>
  <si>
    <t xml:space="preserve">Perdomo Quinchia Johanna Carolina</t>
  </si>
  <si>
    <t xml:space="preserve">recoge 2 creditos</t>
  </si>
  <si>
    <t xml:space="preserve">recoge 1 creditos</t>
  </si>
  <si>
    <t xml:space="preserve">Lemos Martinez David Alexander</t>
  </si>
  <si>
    <t xml:space="preserve">Jurado Garcia Eider</t>
  </si>
  <si>
    <t xml:space="preserve">Gordillo Pimentel Paola Andrea</t>
  </si>
  <si>
    <t xml:space="preserve">Aristizabal Medina Johan Anderson</t>
  </si>
  <si>
    <t xml:space="preserve">VOLUNTARIADO</t>
  </si>
  <si>
    <t xml:space="preserve">Lopez Martinez Karol Ximena</t>
  </si>
  <si>
    <t xml:space="preserve">Barrera Aroca Jimena</t>
  </si>
  <si>
    <t xml:space="preserve">Correa Gonzalez Carolina</t>
  </si>
  <si>
    <t xml:space="preserve">Vaca Viteri Edis Rubira</t>
  </si>
  <si>
    <t xml:space="preserve">Paz Monje Martha Ivonne</t>
  </si>
  <si>
    <t xml:space="preserve">Balanta Yelen Astrid</t>
  </si>
  <si>
    <t xml:space="preserve">Loboa Ortiz Dahiana</t>
  </si>
  <si>
    <t xml:space="preserve">Cardozo Agudelo Claudia Milena</t>
  </si>
  <si>
    <t xml:space="preserve">Galindo Espinosa Gisell Natalia</t>
  </si>
  <si>
    <t xml:space="preserve">FUNDACION VALLE D ELILI</t>
  </si>
  <si>
    <t xml:space="preserve">Rodriguez Almario Jully Paulin</t>
  </si>
  <si>
    <t xml:space="preserve">FUNDACION CVALLE DEL LILI</t>
  </si>
  <si>
    <t xml:space="preserve">Presenta codeudor MAIRA ALEJANDRA LEON Nivel en el 36% salario $ 2.893.800 antigüedad 6 años</t>
  </si>
  <si>
    <t xml:space="preserve">Sandoval Munoz Mabel Yojana</t>
  </si>
  <si>
    <t xml:space="preserve">Ramirez Vargas Diana Marcela</t>
  </si>
  <si>
    <t xml:space="preserve">Tello Carvajal Kateryn Dayana</t>
  </si>
  <si>
    <t xml:space="preserve">Rivera Coronel Naysha Mishel</t>
  </si>
  <si>
    <t xml:space="preserve">Diaz Carabali Maria Ines</t>
  </si>
  <si>
    <t xml:space="preserve">ASOCIACION VOLUNTARIADO FUNDACION VALLE</t>
  </si>
  <si>
    <t xml:space="preserve">FUNDAION VALLE DEL LILI</t>
  </si>
  <si>
    <t xml:space="preserve">Davila Ledesma Hugo Fernando</t>
  </si>
  <si>
    <t xml:space="preserve">Chamizo Londono Ana Lorena</t>
  </si>
  <si>
    <t xml:space="preserve">Solis Diaz Paola Andrea</t>
  </si>
  <si>
    <t xml:space="preserve">Benitez Lopez Ana Miledy</t>
  </si>
  <si>
    <t xml:space="preserve">Mosquera Diaz Jhonny Alexander</t>
  </si>
  <si>
    <t xml:space="preserve">Arroyo Florez Kimberly</t>
  </si>
  <si>
    <t xml:space="preserve">pignora moto</t>
  </si>
  <si>
    <t xml:space="preserve">Marin Astros Diego Alberto</t>
  </si>
  <si>
    <t xml:space="preserve">Velasquez Quintero Jhonathan</t>
  </si>
  <si>
    <t xml:space="preserve">presentaq coeduor DR Freddy Watts Pajaro Salrio $ 39.644.480 urgenciologo 9 años en la FVL</t>
  </si>
  <si>
    <t xml:space="preserve">Payan Mina Karin Alejandra</t>
  </si>
  <si>
    <t xml:space="preserve">presenta codeduor Dra Laura Marcela Carabali salario $ 6.796.400 N.E 20%</t>
  </si>
  <si>
    <t xml:space="preserve">Mesa Olmos Danna Gisela</t>
  </si>
  <si>
    <t xml:space="preserve">Hernandez Salazar Ingrid Paola</t>
  </si>
  <si>
    <t xml:space="preserve">Moreno Velasco Delcy Liliana</t>
  </si>
  <si>
    <t xml:space="preserve">Jimenez Caicedo Lorena</t>
  </si>
  <si>
    <t xml:space="preserve">asociada tiene como respaldo afianzadora</t>
  </si>
  <si>
    <t xml:space="preserve">Asociada tiene como respaldo afianzadora</t>
  </si>
  <si>
    <t xml:space="preserve">SMMLV 2024</t>
  </si>
  <si>
    <t xml:space="preserve">Tipo de Contrato</t>
  </si>
  <si>
    <t xml:space="preserve">Protección de ley SMMLV</t>
  </si>
  <si>
    <t xml:space="preserve">Normal</t>
  </si>
  <si>
    <t xml:space="preserve">Integral</t>
  </si>
  <si>
    <t xml:space="preserve">Pensionado</t>
  </si>
  <si>
    <t xml:space="preserve">Fondo de Solidaridad</t>
  </si>
  <si>
    <t xml:space="preserve">Tasa de Usura (Dic 2024)</t>
  </si>
  <si>
    <t xml:space="preserve">Plazo Tarjetas</t>
  </si>
  <si>
    <t xml:space="preserve">Intereses a las cesantias</t>
  </si>
  <si>
    <t xml:space="preserve">Rango atribuciones</t>
  </si>
  <si>
    <t xml:space="preserve">Desde</t>
  </si>
  <si>
    <t xml:space="preserve">Hasta</t>
  </si>
  <si>
    <t xml:space="preserve">Rango</t>
  </si>
  <si>
    <t xml:space="preserve">Jefe de Credito y Cartera</t>
  </si>
  <si>
    <t xml:space="preserve">Gerente</t>
  </si>
  <si>
    <t xml:space="preserve">Comité de Credito</t>
  </si>
  <si>
    <t xml:space="preserve">Consejo de Administración</t>
  </si>
  <si>
    <t xml:space="preserve">Nivel de Endeudamiento</t>
  </si>
  <si>
    <t xml:space="preserve">Ajustada</t>
  </si>
  <si>
    <t xml:space="preserve">&gt;</t>
  </si>
  <si>
    <t xml:space="preserve">Excepción</t>
  </si>
  <si>
    <t xml:space="preserve">Desprotegidos - Creditos no Afianzados</t>
  </si>
  <si>
    <t xml:space="preserve">Salario</t>
  </si>
  <si>
    <t xml:space="preserve">Perfil</t>
  </si>
  <si>
    <t xml:space="preserve">Nº SMMLV</t>
  </si>
  <si>
    <t xml:space="preserve">Valor Desprotegido</t>
  </si>
  <si>
    <t xml:space="preserve">Desprotegidos - Creditos Afianzados</t>
  </si>
  <si>
    <t xml:space="preserve">Desprotegido</t>
  </si>
  <si>
    <t xml:space="preserve">Analistas</t>
  </si>
  <si>
    <t xml:space="preserve">Jefes</t>
  </si>
  <si>
    <t xml:space="preserve">Lorena Jimenez</t>
  </si>
  <si>
    <t xml:space="preserve">Hugo Fernando Dávila</t>
  </si>
  <si>
    <t xml:space="preserve">Diana Martinez</t>
  </si>
  <si>
    <t xml:space="preserve">Marilyn Agudelo</t>
  </si>
  <si>
    <t xml:space="preserve">Emily Valencia</t>
  </si>
  <si>
    <t xml:space="preserve">Camila Murillo</t>
  </si>
  <si>
    <t xml:space="preserve">TIPO_IDENTIFICACION</t>
  </si>
  <si>
    <t xml:space="preserve">NUMERO_IDENTIFICACION</t>
  </si>
  <si>
    <t xml:space="preserve">CREDITVISION</t>
  </si>
  <si>
    <t xml:space="preserve">BASE DE DATOS ASOCIADOS A JUNIO 2023</t>
  </si>
  <si>
    <t xml:space="preserve">AGRICOLA EL CABUYAL </t>
  </si>
  <si>
    <t xml:space="preserve">INFORMACION BASE DE DATOS COOPVALILI</t>
  </si>
  <si>
    <t xml:space="preserve">FORMULAS</t>
  </si>
  <si>
    <t xml:space="preserve">AGRODEC</t>
  </si>
  <si>
    <t xml:space="preserve">Cedula</t>
  </si>
  <si>
    <t xml:space="preserve">apellido</t>
  </si>
  <si>
    <t xml:space="preserve">nombre</t>
  </si>
  <si>
    <t xml:space="preserve">ciudad</t>
  </si>
  <si>
    <t xml:space="preserve">estado civil</t>
  </si>
  <si>
    <t xml:space="preserve">aportes</t>
  </si>
  <si>
    <t xml:space="preserve">deuda Coopvalili</t>
  </si>
  <si>
    <t xml:space="preserve">edad</t>
  </si>
  <si>
    <t xml:space="preserve">Tipo Vivienda</t>
  </si>
  <si>
    <t xml:space="preserve">Fecha Ing Coopvalili</t>
  </si>
  <si>
    <t xml:space="preserve">Fecha Ing FVL</t>
  </si>
  <si>
    <t xml:space="preserve">personas a cargo</t>
  </si>
  <si>
    <t xml:space="preserve">Empresa</t>
  </si>
  <si>
    <t xml:space="preserve">Nivel</t>
  </si>
  <si>
    <t xml:space="preserve">Cuota Disponible FVL</t>
  </si>
  <si>
    <t xml:space="preserve">Antigüedad en la Cooperativa</t>
  </si>
  <si>
    <t xml:space="preserve">Antigüedad Laboral</t>
  </si>
  <si>
    <t xml:space="preserve">Usuario De Credito en Coopvalili</t>
  </si>
  <si>
    <t xml:space="preserve">ESTADO_CIVIL</t>
  </si>
  <si>
    <t xml:space="preserve">MINA</t>
  </si>
  <si>
    <t xml:space="preserve">ROBERTO CARLOS</t>
  </si>
  <si>
    <t xml:space="preserve">CALI</t>
  </si>
  <si>
    <t xml:space="preserve">Union libre</t>
  </si>
  <si>
    <t xml:space="preserve">BALANTA MINA</t>
  </si>
  <si>
    <t xml:space="preserve">GENEZAID</t>
  </si>
  <si>
    <t xml:space="preserve">Casado(a)</t>
  </si>
  <si>
    <t xml:space="preserve">GUERRERO ROSERO</t>
  </si>
  <si>
    <t xml:space="preserve">JESUS ORLANDO</t>
  </si>
  <si>
    <t xml:space="preserve">CARVAJAL JIMENEZ</t>
  </si>
  <si>
    <t xml:space="preserve">CARLOS ANDRES</t>
  </si>
  <si>
    <t xml:space="preserve">Soltero(a)</t>
  </si>
  <si>
    <t xml:space="preserve">TORO GARCIA</t>
  </si>
  <si>
    <t xml:space="preserve">JOHN FABIO</t>
  </si>
  <si>
    <t xml:space="preserve">ROJAS GARCIA</t>
  </si>
  <si>
    <t xml:space="preserve">ALEXANDER</t>
  </si>
  <si>
    <t xml:space="preserve">GOMEZ GRISALES</t>
  </si>
  <si>
    <t xml:space="preserve">ALVARO HERNAN</t>
  </si>
  <si>
    <t xml:space="preserve">MONDRAGON GORDILLO</t>
  </si>
  <si>
    <t xml:space="preserve">FERNELLY</t>
  </si>
  <si>
    <t xml:space="preserve">ANDRADE BLANCO</t>
  </si>
  <si>
    <t xml:space="preserve">LUIS FERNANDO</t>
  </si>
  <si>
    <t xml:space="preserve">TORO CORREA</t>
  </si>
  <si>
    <t xml:space="preserve">JOSE JOAQUIN</t>
  </si>
  <si>
    <t xml:space="preserve">DELGADO ALVAREZ</t>
  </si>
  <si>
    <t xml:space="preserve">ALEXIS</t>
  </si>
  <si>
    <t xml:space="preserve">FLORIDA</t>
  </si>
  <si>
    <t xml:space="preserve">VIDAL BUENO</t>
  </si>
  <si>
    <t xml:space="preserve">JORGE HERNAN</t>
  </si>
  <si>
    <t xml:space="preserve">LAMBRANO BARRERA</t>
  </si>
  <si>
    <t xml:space="preserve">RAFAEL ARMANDO</t>
  </si>
  <si>
    <t xml:space="preserve">TRUJILLO ARANGO</t>
  </si>
  <si>
    <t xml:space="preserve">GERMAN HUMBERTO</t>
  </si>
  <si>
    <t xml:space="preserve">CORREA GARCIA</t>
  </si>
  <si>
    <t xml:space="preserve">ORLANDO</t>
  </si>
  <si>
    <t xml:space="preserve">HURTADO PABON</t>
  </si>
  <si>
    <t xml:space="preserve">HARRY FABIAN</t>
  </si>
  <si>
    <t xml:space="preserve">ORDONEZ PALECHOR</t>
  </si>
  <si>
    <t xml:space="preserve">MARIO GENTIL</t>
  </si>
  <si>
    <t xml:space="preserve">JAMUNDÍ</t>
  </si>
  <si>
    <t xml:space="preserve">HURTADO HURTADO</t>
  </si>
  <si>
    <t xml:space="preserve">JOHN JAMES</t>
  </si>
  <si>
    <t xml:space="preserve">HERNANDEZ CHAVEZ</t>
  </si>
  <si>
    <t xml:space="preserve">CARLOS HOLMES</t>
  </si>
  <si>
    <t xml:space="preserve">MOSQUERA PALACIO</t>
  </si>
  <si>
    <t xml:space="preserve">EVIS JOTH</t>
  </si>
  <si>
    <t xml:space="preserve">HINESTROZA  GAMBOA</t>
  </si>
  <si>
    <t xml:space="preserve">CELIMO</t>
  </si>
  <si>
    <t xml:space="preserve">JOJOA HERNANDEZ</t>
  </si>
  <si>
    <t xml:space="preserve">MILTON ALEXANDER</t>
  </si>
  <si>
    <t xml:space="preserve">CANAMEJOY GARCIA</t>
  </si>
  <si>
    <t xml:space="preserve">JUAN PABLO</t>
  </si>
  <si>
    <t xml:space="preserve">ANGULO SEGURA</t>
  </si>
  <si>
    <t xml:space="preserve">ARVEY</t>
  </si>
  <si>
    <t xml:space="preserve">LLOREDA MEJIA</t>
  </si>
  <si>
    <t xml:space="preserve">LUIS FRANCISCO</t>
  </si>
  <si>
    <t xml:space="preserve">Separado(a)</t>
  </si>
  <si>
    <t xml:space="preserve">RAMOS LASSO</t>
  </si>
  <si>
    <t xml:space="preserve">JULIAN</t>
  </si>
  <si>
    <t xml:space="preserve">MEZA TORRES</t>
  </si>
  <si>
    <t xml:space="preserve">EDWAR ERNESTO</t>
  </si>
  <si>
    <t xml:space="preserve">DIAZ MENESES</t>
  </si>
  <si>
    <t xml:space="preserve">DAVID ORLANDO</t>
  </si>
  <si>
    <t xml:space="preserve">MONTANO PRECIADO</t>
  </si>
  <si>
    <t xml:space="preserve">JHON FREDDY</t>
  </si>
  <si>
    <t xml:space="preserve">MUNOZ VALERO</t>
  </si>
  <si>
    <t xml:space="preserve">ALVARO</t>
  </si>
  <si>
    <t xml:space="preserve">ARANGO NARVAEZ</t>
  </si>
  <si>
    <t xml:space="preserve">OSCAR EDUARDO</t>
  </si>
  <si>
    <t xml:space="preserve">OCAMPO GALLEGO</t>
  </si>
  <si>
    <t xml:space="preserve">JONNATHAN</t>
  </si>
  <si>
    <t xml:space="preserve">WAGNER DIAZ</t>
  </si>
  <si>
    <t xml:space="preserve">JULIO ENRIQUE</t>
  </si>
  <si>
    <t xml:space="preserve">NINO MOTATO</t>
  </si>
  <si>
    <t xml:space="preserve">HUGO FERNANDO</t>
  </si>
  <si>
    <t xml:space="preserve">URIBE PAZ</t>
  </si>
  <si>
    <t xml:space="preserve">HARVIN RICARDO</t>
  </si>
  <si>
    <t xml:space="preserve">TROCHEZ DELGADO</t>
  </si>
  <si>
    <t xml:space="preserve">JHON JAIRO</t>
  </si>
  <si>
    <t xml:space="preserve">VIVEROS DARAVINA</t>
  </si>
  <si>
    <t xml:space="preserve">JAIR SIDNEY</t>
  </si>
  <si>
    <t xml:space="preserve">GOMEZ</t>
  </si>
  <si>
    <t xml:space="preserve">JOSE OLMES</t>
  </si>
  <si>
    <t xml:space="preserve">GONZALEZ OLIVEROS</t>
  </si>
  <si>
    <t xml:space="preserve">OIDOR LOZANO</t>
  </si>
  <si>
    <t xml:space="preserve">GINO HUMBERTO</t>
  </si>
  <si>
    <t xml:space="preserve">RAMIREZ MARIN</t>
  </si>
  <si>
    <t xml:space="preserve">DIEGO HERNAN</t>
  </si>
  <si>
    <t xml:space="preserve">BARRAGAN CALDERON</t>
  </si>
  <si>
    <t xml:space="preserve">DIEGO MAURICIO</t>
  </si>
  <si>
    <t xml:space="preserve">ZAPATA VELASCO</t>
  </si>
  <si>
    <t xml:space="preserve">HERNAN ALONSO</t>
  </si>
  <si>
    <t xml:space="preserve">VEGA MOSQUERA</t>
  </si>
  <si>
    <t xml:space="preserve">ANDRES MAURICIO</t>
  </si>
  <si>
    <t xml:space="preserve">CAICEDO QUINTERO</t>
  </si>
  <si>
    <t xml:space="preserve">LEANDRO</t>
  </si>
  <si>
    <t xml:space="preserve">MORALES SANCHEZ</t>
  </si>
  <si>
    <t xml:space="preserve">MIGUEL ANGEL</t>
  </si>
  <si>
    <t xml:space="preserve">CARDOZO</t>
  </si>
  <si>
    <t xml:space="preserve">LUIS FELIPE</t>
  </si>
  <si>
    <t xml:space="preserve">DELGADO VILLEGAS</t>
  </si>
  <si>
    <t xml:space="preserve">CARLOS ALBERTO</t>
  </si>
  <si>
    <t xml:space="preserve">CARDENAS VARELA</t>
  </si>
  <si>
    <t xml:space="preserve">LUIS EDUARDO</t>
  </si>
  <si>
    <t xml:space="preserve">MONTENEGRO MARTINEZ</t>
  </si>
  <si>
    <t xml:space="preserve">JAVIER</t>
  </si>
  <si>
    <t xml:space="preserve">ARBELAEZ VIVAS</t>
  </si>
  <si>
    <t xml:space="preserve">ARTURO</t>
  </si>
  <si>
    <t xml:space="preserve">RINCON CRUZ</t>
  </si>
  <si>
    <t xml:space="preserve">RAFAEL ANTONIO</t>
  </si>
  <si>
    <t xml:space="preserve">DOMINGUEZ ESTRADA</t>
  </si>
  <si>
    <t xml:space="preserve">NORBERTO</t>
  </si>
  <si>
    <t xml:space="preserve">MARIN ASTROS</t>
  </si>
  <si>
    <t xml:space="preserve">DIEGO ALBERTO</t>
  </si>
  <si>
    <t xml:space="preserve">SOLARTE BENAVIDEZ</t>
  </si>
  <si>
    <t xml:space="preserve">GUILLERMO</t>
  </si>
  <si>
    <t xml:space="preserve">LEON TAMAYO</t>
  </si>
  <si>
    <t xml:space="preserve">JAIRO</t>
  </si>
  <si>
    <t xml:space="preserve">MEJIA VARGAS </t>
  </si>
  <si>
    <t xml:space="preserve">JULIO CESAR</t>
  </si>
  <si>
    <t xml:space="preserve">GOMEZ MORERA</t>
  </si>
  <si>
    <t xml:space="preserve">JUAN CARLOS</t>
  </si>
  <si>
    <t xml:space="preserve">LOPEZ RAMIREZ</t>
  </si>
  <si>
    <t xml:space="preserve">DIEGO FERNANDO</t>
  </si>
  <si>
    <t xml:space="preserve">PASUY BASTIDAS</t>
  </si>
  <si>
    <t xml:space="preserve">NEIL MAURICIO</t>
  </si>
  <si>
    <t xml:space="preserve">MAZUERA GIRALDO</t>
  </si>
  <si>
    <t xml:space="preserve">MAURICIO</t>
  </si>
  <si>
    <t xml:space="preserve">ADRADA MONTENEGRO</t>
  </si>
  <si>
    <t xml:space="preserve">APOLINAR</t>
  </si>
  <si>
    <t xml:space="preserve">VALENCIA ORDONEZ</t>
  </si>
  <si>
    <t xml:space="preserve">SEPULVEDA GUTIERREZ</t>
  </si>
  <si>
    <t xml:space="preserve">BERLEY ANTONIO</t>
  </si>
  <si>
    <t xml:space="preserve">VASQUEZ GARCIA</t>
  </si>
  <si>
    <t xml:space="preserve">ANGULO TORO</t>
  </si>
  <si>
    <t xml:space="preserve">URIBE CARDENAS</t>
  </si>
  <si>
    <t xml:space="preserve">JULIAN ANDRES</t>
  </si>
  <si>
    <t xml:space="preserve">CARABALI RODRIGUEZ</t>
  </si>
  <si>
    <t xml:space="preserve">WILFREDYS</t>
  </si>
  <si>
    <t xml:space="preserve">SALDANA</t>
  </si>
  <si>
    <t xml:space="preserve">URQUIJO PATINO</t>
  </si>
  <si>
    <t xml:space="preserve">DORIAN ESTEBAN</t>
  </si>
  <si>
    <t xml:space="preserve">DIAZ GUERRERO</t>
  </si>
  <si>
    <t xml:space="preserve">JHONY ANDRES</t>
  </si>
  <si>
    <t xml:space="preserve">ANACONA ANGULO</t>
  </si>
  <si>
    <t xml:space="preserve">LUIS ALBERTO</t>
  </si>
  <si>
    <t xml:space="preserve">ALMESA IBARRA</t>
  </si>
  <si>
    <t xml:space="preserve">JEISSON</t>
  </si>
  <si>
    <t xml:space="preserve">OPANCE COLLO</t>
  </si>
  <si>
    <t xml:space="preserve">MILTON LIDER</t>
  </si>
  <si>
    <t xml:space="preserve">DAVILA LEDESMA</t>
  </si>
  <si>
    <t xml:space="preserve">PARRA LOPEZ</t>
  </si>
  <si>
    <t xml:space="preserve">GUSTAVO ANDRES</t>
  </si>
  <si>
    <t xml:space="preserve">HERRERA VILLALBA</t>
  </si>
  <si>
    <t xml:space="preserve">CHARLES ROWER</t>
  </si>
  <si>
    <t xml:space="preserve">SERNA ESPINOSA</t>
  </si>
  <si>
    <t xml:space="preserve">FABIAN ANDRES</t>
  </si>
  <si>
    <t xml:space="preserve">CORREA MURILLO</t>
  </si>
  <si>
    <t xml:space="preserve">CESAR AUGUSTO</t>
  </si>
  <si>
    <t xml:space="preserve">TABORDA VALENCIA</t>
  </si>
  <si>
    <t xml:space="preserve">PAULO ANDRES</t>
  </si>
  <si>
    <t xml:space="preserve">DIAZ SALGADO</t>
  </si>
  <si>
    <t xml:space="preserve">JESUS ALVENIS</t>
  </si>
  <si>
    <t xml:space="preserve">CALLE CAMACHO</t>
  </si>
  <si>
    <t xml:space="preserve">DEYBI</t>
  </si>
  <si>
    <t xml:space="preserve">Viudo(a)</t>
  </si>
  <si>
    <t xml:space="preserve">JAVELA HERRERA</t>
  </si>
  <si>
    <t xml:space="preserve">FRAGA RECALDE</t>
  </si>
  <si>
    <t xml:space="preserve">NELSON ANDRES</t>
  </si>
  <si>
    <t xml:space="preserve">URREGO LOTERO</t>
  </si>
  <si>
    <t xml:space="preserve">EDINSON ANDRES</t>
  </si>
  <si>
    <t xml:space="preserve">SERNA GIRALDO</t>
  </si>
  <si>
    <t xml:space="preserve">SILVA LOZANO</t>
  </si>
  <si>
    <t xml:space="preserve">JEFFERSON</t>
  </si>
  <si>
    <t xml:space="preserve">ISAZA VALENCIA</t>
  </si>
  <si>
    <t xml:space="preserve">LONDONO HERNANDEZ</t>
  </si>
  <si>
    <t xml:space="preserve">ROBERTH ANDRES</t>
  </si>
  <si>
    <t xml:space="preserve">LONDONO LOPEZ</t>
  </si>
  <si>
    <t xml:space="preserve">EDWIN</t>
  </si>
  <si>
    <t xml:space="preserve">RODRIGUEZ DIAZ</t>
  </si>
  <si>
    <t xml:space="preserve">CANTILLO DUEÑAS</t>
  </si>
  <si>
    <t xml:space="preserve">ELIECER ANTONIO</t>
  </si>
  <si>
    <t xml:space="preserve">PELAEZ HURTADO</t>
  </si>
  <si>
    <t xml:space="preserve">BLANCA HELENA</t>
  </si>
  <si>
    <t xml:space="preserve">RODRIGUEZ GONZALEZ</t>
  </si>
  <si>
    <t xml:space="preserve">ISAGLEIDYS DEL AMPARO</t>
  </si>
  <si>
    <t xml:space="preserve">LOBO HERNANDEZ</t>
  </si>
  <si>
    <t xml:space="preserve">KELLY JOHANA</t>
  </si>
  <si>
    <t xml:space="preserve">NAVARRO ZULUAGA</t>
  </si>
  <si>
    <t xml:space="preserve">YULIETH LORENA</t>
  </si>
  <si>
    <t xml:space="preserve">VILLADA ALVAREZ</t>
  </si>
  <si>
    <t xml:space="preserve">MIYERLAY</t>
  </si>
  <si>
    <t xml:space="preserve">ZULUAGA RAMIREZ</t>
  </si>
  <si>
    <t xml:space="preserve">SANDRA MILENA</t>
  </si>
  <si>
    <t xml:space="preserve">ZAPATA ZAPATA</t>
  </si>
  <si>
    <t xml:space="preserve">LUZ ADRIANA</t>
  </si>
  <si>
    <t xml:space="preserve">ADARVE COBO</t>
  </si>
  <si>
    <t xml:space="preserve">SANDRA LILIANA</t>
  </si>
  <si>
    <t xml:space="preserve">CARDONA MARTINEZ</t>
  </si>
  <si>
    <t xml:space="preserve">TAPASCO RAMIREZ</t>
  </si>
  <si>
    <t xml:space="preserve">GLORIA OLIVIA</t>
  </si>
  <si>
    <t xml:space="preserve">ABRIL ACEVEDO</t>
  </si>
  <si>
    <t xml:space="preserve">MONICA ALEJANDRA</t>
  </si>
  <si>
    <t xml:space="preserve">ARIAS CERON</t>
  </si>
  <si>
    <t xml:space="preserve">ELIANA MARCELA</t>
  </si>
  <si>
    <t xml:space="preserve">ILLERA PAEZ</t>
  </si>
  <si>
    <t xml:space="preserve">CLAUDIA MARITZA</t>
  </si>
  <si>
    <t xml:space="preserve">MILLAN CORREA</t>
  </si>
  <si>
    <t xml:space="preserve">DIANA LIZETH</t>
  </si>
  <si>
    <t xml:space="preserve">PEREZ SCHMALBACH</t>
  </si>
  <si>
    <t xml:space="preserve">SANDRA PATRICIA DEL CARMEN</t>
  </si>
  <si>
    <t xml:space="preserve">POPO CARABALI</t>
  </si>
  <si>
    <t xml:space="preserve">LUZ DELY</t>
  </si>
  <si>
    <t xml:space="preserve">PAZ MOSQUERA</t>
  </si>
  <si>
    <t xml:space="preserve">ILSA GEOVANA</t>
  </si>
  <si>
    <t xml:space="preserve">VALENCIA COBO</t>
  </si>
  <si>
    <t xml:space="preserve">ELIANA</t>
  </si>
  <si>
    <t xml:space="preserve">GUERRERO FAJARDO</t>
  </si>
  <si>
    <t xml:space="preserve">GLORIA PIEDAD</t>
  </si>
  <si>
    <t xml:space="preserve">PENNA OIDOR</t>
  </si>
  <si>
    <t xml:space="preserve">MARIA ISABEL</t>
  </si>
  <si>
    <t xml:space="preserve">CALOTO</t>
  </si>
  <si>
    <t xml:space="preserve">RODRIGUEZ MOSQUERA</t>
  </si>
  <si>
    <t xml:space="preserve">MANLY</t>
  </si>
  <si>
    <t xml:space="preserve">CICLOS LARGO</t>
  </si>
  <si>
    <t xml:space="preserve">LEYDA</t>
  </si>
  <si>
    <t xml:space="preserve">LOPEZ MARTINEZ</t>
  </si>
  <si>
    <t xml:space="preserve">JAZMIN LUISA</t>
  </si>
  <si>
    <t xml:space="preserve">QUENORAN POLINDARA</t>
  </si>
  <si>
    <t xml:space="preserve">NAVAS JIMENEZ</t>
  </si>
  <si>
    <t xml:space="preserve">CLARA LUCIA</t>
  </si>
  <si>
    <t xml:space="preserve">ALMANZA GARCIA</t>
  </si>
  <si>
    <t xml:space="preserve">ARELIX</t>
  </si>
  <si>
    <t xml:space="preserve">LANDAZURI ARIAS</t>
  </si>
  <si>
    <t xml:space="preserve">ELIZABETH</t>
  </si>
  <si>
    <t xml:space="preserve">TORRES CASTANEDA</t>
  </si>
  <si>
    <t xml:space="preserve">CLAUDIA  MILENA</t>
  </si>
  <si>
    <t xml:space="preserve">LERMA SANCHEZ</t>
  </si>
  <si>
    <t xml:space="preserve">NARLY</t>
  </si>
  <si>
    <t xml:space="preserve">CAICEDO CAICEDO</t>
  </si>
  <si>
    <t xml:space="preserve">ZULAY CRISTINA</t>
  </si>
  <si>
    <t xml:space="preserve">SERNA CAUCAYO</t>
  </si>
  <si>
    <t xml:space="preserve">PAOLA ANDREA</t>
  </si>
  <si>
    <t xml:space="preserve">DOZA MARTINEZ</t>
  </si>
  <si>
    <t xml:space="preserve">LILIANA</t>
  </si>
  <si>
    <t xml:space="preserve">ELEJALDE PENA</t>
  </si>
  <si>
    <t xml:space="preserve">ROSA ELENA</t>
  </si>
  <si>
    <t xml:space="preserve">JIMENEZ NUNEZ</t>
  </si>
  <si>
    <t xml:space="preserve">SANDRA VIVIANA</t>
  </si>
  <si>
    <t xml:space="preserve">MOLINA</t>
  </si>
  <si>
    <t xml:space="preserve">GEORGINA</t>
  </si>
  <si>
    <t xml:space="preserve">ARANGO VILLOTA</t>
  </si>
  <si>
    <t xml:space="preserve">CLAUDIA</t>
  </si>
  <si>
    <t xml:space="preserve">LASSO RAMOS</t>
  </si>
  <si>
    <t xml:space="preserve">YEIN</t>
  </si>
  <si>
    <t xml:space="preserve">CRUZ COLONIA</t>
  </si>
  <si>
    <t xml:space="preserve">JOVANNA</t>
  </si>
  <si>
    <t xml:space="preserve">CALDERON LADINO</t>
  </si>
  <si>
    <t xml:space="preserve">MARIA CONSTANZA</t>
  </si>
  <si>
    <t xml:space="preserve">GUERRERO SANCHEZ</t>
  </si>
  <si>
    <t xml:space="preserve">CAROLINA</t>
  </si>
  <si>
    <t xml:space="preserve">VALENCIA MOSQUERA</t>
  </si>
  <si>
    <t xml:space="preserve">ALEXANDRA</t>
  </si>
  <si>
    <t xml:space="preserve">MORENO GAMBOA</t>
  </si>
  <si>
    <t xml:space="preserve">NIDIA NELSY</t>
  </si>
  <si>
    <t xml:space="preserve">VIDAL MARIN</t>
  </si>
  <si>
    <t xml:space="preserve">BERMEO CARDONA</t>
  </si>
  <si>
    <t xml:space="preserve">MARIBETH</t>
  </si>
  <si>
    <t xml:space="preserve">VALENCIA ORTEGA</t>
  </si>
  <si>
    <t xml:space="preserve">EMILY YANETH</t>
  </si>
  <si>
    <t xml:space="preserve">CASTRILLON MURILLO</t>
  </si>
  <si>
    <t xml:space="preserve">PAREDES GUACA</t>
  </si>
  <si>
    <t xml:space="preserve">MARY LUZ</t>
  </si>
  <si>
    <t xml:space="preserve">DIAZ QUINONES</t>
  </si>
  <si>
    <t xml:space="preserve">MORALES TORO</t>
  </si>
  <si>
    <t xml:space="preserve">ROSMERY</t>
  </si>
  <si>
    <t xml:space="preserve">MOSQUERA CASTRO</t>
  </si>
  <si>
    <t xml:space="preserve">MALLELY</t>
  </si>
  <si>
    <t xml:space="preserve">CAMACHO VARGAS</t>
  </si>
  <si>
    <t xml:space="preserve">MARIBEL</t>
  </si>
  <si>
    <t xml:space="preserve">MEJIA HURTADO</t>
  </si>
  <si>
    <t xml:space="preserve">ANA FERNANDA</t>
  </si>
  <si>
    <t xml:space="preserve">BRAVO AMAYA</t>
  </si>
  <si>
    <t xml:space="preserve">SUSANA</t>
  </si>
  <si>
    <t xml:space="preserve">TORRES SANTAMARIA</t>
  </si>
  <si>
    <t xml:space="preserve">JORLYN</t>
  </si>
  <si>
    <t xml:space="preserve">QUINTERO CALZADA</t>
  </si>
  <si>
    <t xml:space="preserve">DIANA YAZMINE</t>
  </si>
  <si>
    <t xml:space="preserve">HERNANDEZ QUICENO</t>
  </si>
  <si>
    <t xml:space="preserve">NATHALIE</t>
  </si>
  <si>
    <t xml:space="preserve">LOZANO LASSO</t>
  </si>
  <si>
    <t xml:space="preserve">MARTHA IISABEL</t>
  </si>
  <si>
    <t xml:space="preserve">CERON VALENCIA</t>
  </si>
  <si>
    <t xml:space="preserve">LEONOR ANDREA</t>
  </si>
  <si>
    <t xml:space="preserve">OROZCO MUNOZ</t>
  </si>
  <si>
    <t xml:space="preserve">ANA MARIA.</t>
  </si>
  <si>
    <t xml:space="preserve">FERNANDEZ NUNEZ</t>
  </si>
  <si>
    <t xml:space="preserve">KATHERINE</t>
  </si>
  <si>
    <t xml:space="preserve">CAICEDO CAMPO</t>
  </si>
  <si>
    <t xml:space="preserve">DIANA CAROLINA</t>
  </si>
  <si>
    <t xml:space="preserve">QUINTERO CORREA</t>
  </si>
  <si>
    <t xml:space="preserve">LADY JOHANNA</t>
  </si>
  <si>
    <t xml:space="preserve">VALENCIA GUARNIZO</t>
  </si>
  <si>
    <t xml:space="preserve">PAOLA</t>
  </si>
  <si>
    <t xml:space="preserve">BARCOS ASPRILLA</t>
  </si>
  <si>
    <t xml:space="preserve">KAROLL YESENIA</t>
  </si>
  <si>
    <t xml:space="preserve">DOMINGUEZ CEPEDA</t>
  </si>
  <si>
    <t xml:space="preserve">LAURA LORENA</t>
  </si>
  <si>
    <t xml:space="preserve">GAVIRIA</t>
  </si>
  <si>
    <t xml:space="preserve">SARY</t>
  </si>
  <si>
    <t xml:space="preserve">HURTADO URREA</t>
  </si>
  <si>
    <t xml:space="preserve">GLENDA GISELA</t>
  </si>
  <si>
    <t xml:space="preserve">COLLAZOS PIEDRAHITA</t>
  </si>
  <si>
    <t xml:space="preserve">MIRYAM ESTELLA</t>
  </si>
  <si>
    <t xml:space="preserve">MACHADO ESCOBAR</t>
  </si>
  <si>
    <t xml:space="preserve">LUZ MARINA</t>
  </si>
  <si>
    <t xml:space="preserve">ESPINOZA CARDONA</t>
  </si>
  <si>
    <t xml:space="preserve">CLAUDIA JIMENA</t>
  </si>
  <si>
    <t xml:space="preserve">VANEGAS AMAYA</t>
  </si>
  <si>
    <t xml:space="preserve">JESSICA</t>
  </si>
  <si>
    <t xml:space="preserve">CALERO MOLINA</t>
  </si>
  <si>
    <t xml:space="preserve">NUBIA</t>
  </si>
  <si>
    <t xml:space="preserve">ALVAREZ MONTENEGRO</t>
  </si>
  <si>
    <t xml:space="preserve">ADRIANA</t>
  </si>
  <si>
    <t xml:space="preserve">PENA AYALA</t>
  </si>
  <si>
    <t xml:space="preserve">ANA MARIA</t>
  </si>
  <si>
    <t xml:space="preserve">BENAVIDEZ RICO</t>
  </si>
  <si>
    <t xml:space="preserve">YENIFER</t>
  </si>
  <si>
    <t xml:space="preserve">PLAZA</t>
  </si>
  <si>
    <t xml:space="preserve">MARTHA</t>
  </si>
  <si>
    <t xml:space="preserve">POTES AMEZQUITA</t>
  </si>
  <si>
    <t xml:space="preserve">MYRIAM</t>
  </si>
  <si>
    <t xml:space="preserve">QUIROZ CASTRILLON</t>
  </si>
  <si>
    <t xml:space="preserve">ANA MILENA</t>
  </si>
  <si>
    <t xml:space="preserve">HURTADO OROZCO</t>
  </si>
  <si>
    <t xml:space="preserve">MARIA DELPILAR</t>
  </si>
  <si>
    <t xml:space="preserve">CAICEDO</t>
  </si>
  <si>
    <t xml:space="preserve">LUZ MARYURI</t>
  </si>
  <si>
    <t xml:space="preserve">MENA GUTIERREZ</t>
  </si>
  <si>
    <t xml:space="preserve">CATALINA</t>
  </si>
  <si>
    <t xml:space="preserve">Divorciado</t>
  </si>
  <si>
    <t xml:space="preserve">MUNOZ ARENAS</t>
  </si>
  <si>
    <t xml:space="preserve">ANGELA YURANY</t>
  </si>
  <si>
    <t xml:space="preserve">MUNOZ BONILLA</t>
  </si>
  <si>
    <t xml:space="preserve">RAMIREZ MARTINEZ</t>
  </si>
  <si>
    <t xml:space="preserve">YURI ANDREA</t>
  </si>
  <si>
    <t xml:space="preserve">PALMIRA</t>
  </si>
  <si>
    <t xml:space="preserve">SANDOVAL CARABALI</t>
  </si>
  <si>
    <t xml:space="preserve">YUSETH MAGALY</t>
  </si>
  <si>
    <t xml:space="preserve">LENIS HERRERA</t>
  </si>
  <si>
    <t xml:space="preserve">MARIA JULIANA</t>
  </si>
  <si>
    <t xml:space="preserve">RIVERA MUNOZ</t>
  </si>
  <si>
    <t xml:space="preserve">EDILMA LUCY</t>
  </si>
  <si>
    <t xml:space="preserve">BOTINA ARANGO</t>
  </si>
  <si>
    <t xml:space="preserve">ERICA MARCELA</t>
  </si>
  <si>
    <t xml:space="preserve">ESPINOSA MUNOZ</t>
  </si>
  <si>
    <t xml:space="preserve">MONICA</t>
  </si>
  <si>
    <t xml:space="preserve">CUERO PEREA</t>
  </si>
  <si>
    <t xml:space="preserve">SUGEIDY</t>
  </si>
  <si>
    <t xml:space="preserve">GOYES RECALDE</t>
  </si>
  <si>
    <t xml:space="preserve">LUZ VIVIANA</t>
  </si>
  <si>
    <t xml:space="preserve">RIVERA CRUZ</t>
  </si>
  <si>
    <t xml:space="preserve">LEIDY ROSANA</t>
  </si>
  <si>
    <t xml:space="preserve">ALBAN CASTRO</t>
  </si>
  <si>
    <t xml:space="preserve">GIOVANNA</t>
  </si>
  <si>
    <t xml:space="preserve">LOPEZ ROJAS</t>
  </si>
  <si>
    <t xml:space="preserve">MARIA DEL PILAR</t>
  </si>
  <si>
    <t xml:space="preserve">CANAVERAL CANDELO</t>
  </si>
  <si>
    <t xml:space="preserve">ORIANA FAYSURY</t>
  </si>
  <si>
    <t xml:space="preserve">GIL RIOS</t>
  </si>
  <si>
    <t xml:space="preserve">OLGA LUCIA</t>
  </si>
  <si>
    <t xml:space="preserve">CARDONA PENA</t>
  </si>
  <si>
    <t xml:space="preserve">BIBIANA PATRICIA</t>
  </si>
  <si>
    <t xml:space="preserve">NORENA OSPINA</t>
  </si>
  <si>
    <t xml:space="preserve">SAUDY</t>
  </si>
  <si>
    <t xml:space="preserve">MEJIA HERNANDEZ</t>
  </si>
  <si>
    <t xml:space="preserve">FANNY PATRICIA</t>
  </si>
  <si>
    <t xml:space="preserve">BETANCUR RUIZ</t>
  </si>
  <si>
    <t xml:space="preserve">DIANA ELENA</t>
  </si>
  <si>
    <t xml:space="preserve">MONTOYA CAMARGO</t>
  </si>
  <si>
    <t xml:space="preserve">ZAMIRA</t>
  </si>
  <si>
    <t xml:space="preserve">TRIANA PARRA</t>
  </si>
  <si>
    <t xml:space="preserve">LUZ STELLA</t>
  </si>
  <si>
    <t xml:space="preserve">DE LA CRUZ MARULANDA</t>
  </si>
  <si>
    <t xml:space="preserve">BEATRIZ EUGENIA</t>
  </si>
  <si>
    <t xml:space="preserve">CASTRILLON MONROY</t>
  </si>
  <si>
    <t xml:space="preserve">LINA MARCELA</t>
  </si>
  <si>
    <t xml:space="preserve">DUQUE DUQUE</t>
  </si>
  <si>
    <t xml:space="preserve">MARGARITA MARIA</t>
  </si>
  <si>
    <t xml:space="preserve">VILLOTA CHAMORRO</t>
  </si>
  <si>
    <t xml:space="preserve">ANA CRISTINA</t>
  </si>
  <si>
    <t xml:space="preserve">OSORIO TORO</t>
  </si>
  <si>
    <t xml:space="preserve">LOPEZ LOPEZ</t>
  </si>
  <si>
    <t xml:space="preserve">SUGHEY MILENA</t>
  </si>
  <si>
    <t xml:space="preserve">DIAZ GALVEZ</t>
  </si>
  <si>
    <t xml:space="preserve">MARLENY DEL SOCORRO</t>
  </si>
  <si>
    <t xml:space="preserve">ACOSTA POLO</t>
  </si>
  <si>
    <t xml:space="preserve">AMPARO DELSOCORRO</t>
  </si>
  <si>
    <t xml:space="preserve">CHARFUELAN CALPA</t>
  </si>
  <si>
    <t xml:space="preserve">NANCY DEL ROSARIO</t>
  </si>
  <si>
    <t xml:space="preserve">LUCUMI CARVAJAL</t>
  </si>
  <si>
    <t xml:space="preserve">NELSY</t>
  </si>
  <si>
    <t xml:space="preserve">SALAS CASTRO</t>
  </si>
  <si>
    <t xml:space="preserve">OLGA YANETH</t>
  </si>
  <si>
    <t xml:space="preserve">CASTRO VALENCIA</t>
  </si>
  <si>
    <t xml:space="preserve">VARGAS CARDONA</t>
  </si>
  <si>
    <t xml:space="preserve">MURILLO CUERO</t>
  </si>
  <si>
    <t xml:space="preserve">DERLY VIVIANA</t>
  </si>
  <si>
    <t xml:space="preserve">CORONADO ALZATE</t>
  </si>
  <si>
    <t xml:space="preserve">CASTILLO PINO</t>
  </si>
  <si>
    <t xml:space="preserve">MONICA ANDREA</t>
  </si>
  <si>
    <t xml:space="preserve">ROJAS ZAPATA</t>
  </si>
  <si>
    <t xml:space="preserve">SANCHEZ BARRERA</t>
  </si>
  <si>
    <t xml:space="preserve">ANGELICA MARIA</t>
  </si>
  <si>
    <t xml:space="preserve">HURTADO GARCIA</t>
  </si>
  <si>
    <t xml:space="preserve">LEIDY VIVIANA</t>
  </si>
  <si>
    <t xml:space="preserve">GUERRERO VALLEJO</t>
  </si>
  <si>
    <t xml:space="preserve">LEYDI JOHANNA</t>
  </si>
  <si>
    <t xml:space="preserve">ESPITIA JOJOA</t>
  </si>
  <si>
    <t xml:space="preserve">CLAUDIA LILIANA</t>
  </si>
  <si>
    <t xml:space="preserve">ORTIZ CADENA</t>
  </si>
  <si>
    <t xml:space="preserve">KELLY JULIETH</t>
  </si>
  <si>
    <t xml:space="preserve">BARRERA AROCA</t>
  </si>
  <si>
    <t xml:space="preserve">JIMENA</t>
  </si>
  <si>
    <t xml:space="preserve">JARAMILLO CARDENAS</t>
  </si>
  <si>
    <t xml:space="preserve">DIANA CATALINA</t>
  </si>
  <si>
    <t xml:space="preserve">FLOR DIAZ</t>
  </si>
  <si>
    <t xml:space="preserve">DIANA MARIA</t>
  </si>
  <si>
    <t xml:space="preserve">NUNEZ MUNOZ</t>
  </si>
  <si>
    <t xml:space="preserve">MARISOL</t>
  </si>
  <si>
    <t xml:space="preserve">SALAZAR GARCIA</t>
  </si>
  <si>
    <t xml:space="preserve">CLAUDIA LORENA</t>
  </si>
  <si>
    <t xml:space="preserve">NAVIA MORENO</t>
  </si>
  <si>
    <t xml:space="preserve">AURA CELMIRA</t>
  </si>
  <si>
    <t xml:space="preserve">HURTADO CASTRO</t>
  </si>
  <si>
    <t xml:space="preserve">CARMENZA</t>
  </si>
  <si>
    <t xml:space="preserve">TORO CASTRO</t>
  </si>
  <si>
    <t xml:space="preserve">IRENE</t>
  </si>
  <si>
    <t xml:space="preserve">QUITUMBO QUIGUANAS</t>
  </si>
  <si>
    <t xml:space="preserve">YAMIRTH</t>
  </si>
  <si>
    <t xml:space="preserve">NAZARIT</t>
  </si>
  <si>
    <t xml:space="preserve">CARMEN JANETH</t>
  </si>
  <si>
    <t xml:space="preserve">BAYER TABORDA</t>
  </si>
  <si>
    <t xml:space="preserve">ANLLELY</t>
  </si>
  <si>
    <t xml:space="preserve">CERON QUINTERO</t>
  </si>
  <si>
    <t xml:space="preserve">CHECA CARDENAS</t>
  </si>
  <si>
    <t xml:space="preserve">MARYURY</t>
  </si>
  <si>
    <t xml:space="preserve">MEDINA BARRAGAN</t>
  </si>
  <si>
    <t xml:space="preserve">ANGELICA</t>
  </si>
  <si>
    <t xml:space="preserve">PINZON VASQUEZ</t>
  </si>
  <si>
    <t xml:space="preserve">LINA PAOLA</t>
  </si>
  <si>
    <t xml:space="preserve">PEREIRA GONZALEZ</t>
  </si>
  <si>
    <t xml:space="preserve">LADY CAROLINA</t>
  </si>
  <si>
    <t xml:space="preserve">NIETO SANCHEZ</t>
  </si>
  <si>
    <t xml:space="preserve">CATHERINE JULIETH</t>
  </si>
  <si>
    <t xml:space="preserve">OCAMPO PALACIO</t>
  </si>
  <si>
    <t xml:space="preserve">LUZ ANGELA</t>
  </si>
  <si>
    <t xml:space="preserve">BALANTA CORTEZ</t>
  </si>
  <si>
    <t xml:space="preserve">NANCY</t>
  </si>
  <si>
    <t xml:space="preserve">OCHOA RIOS</t>
  </si>
  <si>
    <t xml:space="preserve">SANDRA SILVANA</t>
  </si>
  <si>
    <t xml:space="preserve">MARIN PEREZ</t>
  </si>
  <si>
    <t xml:space="preserve">DAZA BARONA</t>
  </si>
  <si>
    <t xml:space="preserve">OFELIA</t>
  </si>
  <si>
    <t xml:space="preserve">GIL MONTILLA</t>
  </si>
  <si>
    <t xml:space="preserve">IVONNY</t>
  </si>
  <si>
    <t xml:space="preserve">GRAJALES</t>
  </si>
  <si>
    <t xml:space="preserve">MARIA LUZVIANEY</t>
  </si>
  <si>
    <t xml:space="preserve">NAVIA CAMPO</t>
  </si>
  <si>
    <t xml:space="preserve">JARAMILLO HERRERA</t>
  </si>
  <si>
    <t xml:space="preserve">SIRLEY</t>
  </si>
  <si>
    <t xml:space="preserve">MENDEZ BOTELLO</t>
  </si>
  <si>
    <t xml:space="preserve">ISABEL CRISTINA</t>
  </si>
  <si>
    <t xml:space="preserve">HURTADO RAMOS</t>
  </si>
  <si>
    <t xml:space="preserve">MELFI</t>
  </si>
  <si>
    <t xml:space="preserve">CORREA DAZA</t>
  </si>
  <si>
    <t xml:space="preserve">YENNY LORENA</t>
  </si>
  <si>
    <t xml:space="preserve">PIEDRAHITA VIAFARA</t>
  </si>
  <si>
    <t xml:space="preserve">CLAUDIA MERCEDES</t>
  </si>
  <si>
    <t xml:space="preserve">CORDOBA QUINTERO</t>
  </si>
  <si>
    <t xml:space="preserve">CARDONA HERNANDEZ</t>
  </si>
  <si>
    <t xml:space="preserve">VARELA ANGUCHO</t>
  </si>
  <si>
    <t xml:space="preserve">ZEUDY JANETH</t>
  </si>
  <si>
    <t xml:space="preserve">VELASQUEZ ALEGRIA</t>
  </si>
  <si>
    <t xml:space="preserve">DIANNET</t>
  </si>
  <si>
    <t xml:space="preserve">ACOSTA GUZMAN</t>
  </si>
  <si>
    <t xml:space="preserve">CARMEN ROSA</t>
  </si>
  <si>
    <t xml:space="preserve">MUNOZ ECHEVERRY</t>
  </si>
  <si>
    <t xml:space="preserve">ARANGO SAENZ</t>
  </si>
  <si>
    <t xml:space="preserve">VARGAS DELGADO</t>
  </si>
  <si>
    <t xml:space="preserve">MARIA ORFELINA</t>
  </si>
  <si>
    <t xml:space="preserve">DIAZ ESPINAL</t>
  </si>
  <si>
    <t xml:space="preserve">DIANA MARCELA</t>
  </si>
  <si>
    <t xml:space="preserve">URREA</t>
  </si>
  <si>
    <t xml:space="preserve">CLAUDIA XIMENA</t>
  </si>
  <si>
    <t xml:space="preserve">RUIZ ESCOBAR</t>
  </si>
  <si>
    <t xml:space="preserve">SANDRA LIZETH</t>
  </si>
  <si>
    <t xml:space="preserve">VALLEJO FERNANDEZ</t>
  </si>
  <si>
    <t xml:space="preserve">ADRIANA PATRICIA</t>
  </si>
  <si>
    <t xml:space="preserve">ORTIZ ROJAS</t>
  </si>
  <si>
    <t xml:space="preserve">HELEN JOHANA</t>
  </si>
  <si>
    <t xml:space="preserve">DURAN</t>
  </si>
  <si>
    <t xml:space="preserve">DOLLY</t>
  </si>
  <si>
    <t xml:space="preserve">GONZALEZ CARVAJAL</t>
  </si>
  <si>
    <t xml:space="preserve">MARTINEZ BECERRA</t>
  </si>
  <si>
    <t xml:space="preserve">MARTHA LUCIA</t>
  </si>
  <si>
    <t xml:space="preserve">LEON HERNANDEZ</t>
  </si>
  <si>
    <t xml:space="preserve">YURY JULIANA</t>
  </si>
  <si>
    <t xml:space="preserve">MARIN POSSO</t>
  </si>
  <si>
    <t xml:space="preserve">MARCELA</t>
  </si>
  <si>
    <t xml:space="preserve">PERDOMO QUINCHIA</t>
  </si>
  <si>
    <t xml:space="preserve">JOHANNA CAROLINA</t>
  </si>
  <si>
    <t xml:space="preserve">CASTRO GOMEZ</t>
  </si>
  <si>
    <t xml:space="preserve">MUNOZ MUNOZ</t>
  </si>
  <si>
    <t xml:space="preserve">FAYSULI</t>
  </si>
  <si>
    <t xml:space="preserve">BORJA MUNOZ</t>
  </si>
  <si>
    <t xml:space="preserve">DORA VIVIANA</t>
  </si>
  <si>
    <t xml:space="preserve">DUQUE MENESES</t>
  </si>
  <si>
    <t xml:space="preserve">DIANA LORENA</t>
  </si>
  <si>
    <t xml:space="preserve">COLINA HENAO</t>
  </si>
  <si>
    <t xml:space="preserve">DIANA YURANY</t>
  </si>
  <si>
    <t xml:space="preserve">PERDOMO MARTINEZ</t>
  </si>
  <si>
    <t xml:space="preserve">MADELEYNE</t>
  </si>
  <si>
    <t xml:space="preserve">MAGLIONI CASTRO</t>
  </si>
  <si>
    <t xml:space="preserve">MELISA</t>
  </si>
  <si>
    <t xml:space="preserve">DINAS MUNOZ</t>
  </si>
  <si>
    <t xml:space="preserve">ETTIANA</t>
  </si>
  <si>
    <t xml:space="preserve">BEDOYA CORTES</t>
  </si>
  <si>
    <t xml:space="preserve">BEDOYA IDARRAGA</t>
  </si>
  <si>
    <t xml:space="preserve">COLOMBIA</t>
  </si>
  <si>
    <t xml:space="preserve">BARONA SINISTERRA</t>
  </si>
  <si>
    <t xml:space="preserve">SONIA</t>
  </si>
  <si>
    <t xml:space="preserve">HERNANDEZ PRADO</t>
  </si>
  <si>
    <t xml:space="preserve">GLORIA STELLA</t>
  </si>
  <si>
    <t xml:space="preserve">ECHEVERRY BERMUDEZ</t>
  </si>
  <si>
    <t xml:space="preserve">CLARA INES</t>
  </si>
  <si>
    <t xml:space="preserve">ANGARITA POLANIA</t>
  </si>
  <si>
    <t xml:space="preserve">MARIA FERNANDA</t>
  </si>
  <si>
    <t xml:space="preserve">BONILLA ESCOBAR</t>
  </si>
  <si>
    <t xml:space="preserve">ORDONEZ CRUZ</t>
  </si>
  <si>
    <t xml:space="preserve">MARIA LUCY</t>
  </si>
  <si>
    <t xml:space="preserve">VILLEGAS RUBIO</t>
  </si>
  <si>
    <t xml:space="preserve">RAFFAL VILLEGAS</t>
  </si>
  <si>
    <t xml:space="preserve">DIAZ MENDOZA</t>
  </si>
  <si>
    <t xml:space="preserve">TRINIDAD</t>
  </si>
  <si>
    <t xml:space="preserve">PAZ MONJE</t>
  </si>
  <si>
    <t xml:space="preserve">MARTHA IVONNE</t>
  </si>
  <si>
    <t xml:space="preserve">HERRERA MORALES</t>
  </si>
  <si>
    <t xml:space="preserve">GUISELLE</t>
  </si>
  <si>
    <t xml:space="preserve">MUNOZ GOMEZ</t>
  </si>
  <si>
    <t xml:space="preserve">CASTANO BOLANOS</t>
  </si>
  <si>
    <t xml:space="preserve">MARGOIRE EVELIN</t>
  </si>
  <si>
    <t xml:space="preserve">BANGUERA HINESTROZA</t>
  </si>
  <si>
    <t xml:space="preserve">MARLENE</t>
  </si>
  <si>
    <t xml:space="preserve">CALVO OCAMPO</t>
  </si>
  <si>
    <t xml:space="preserve">ORFENY</t>
  </si>
  <si>
    <t xml:space="preserve">JARAMILLO RAMIREZ</t>
  </si>
  <si>
    <t xml:space="preserve">GLORIA PATRICIA</t>
  </si>
  <si>
    <t xml:space="preserve">MORENO NARVAEZ</t>
  </si>
  <si>
    <t xml:space="preserve">LUZ HELENA</t>
  </si>
  <si>
    <t xml:space="preserve">MOSQUERA MOSQUERA</t>
  </si>
  <si>
    <t xml:space="preserve">BEATRIZ</t>
  </si>
  <si>
    <t xml:space="preserve">CUELLAR MARTINEZ</t>
  </si>
  <si>
    <t xml:space="preserve">GLORIA NELFY</t>
  </si>
  <si>
    <t xml:space="preserve">BERMUDEZ GALVEZ</t>
  </si>
  <si>
    <t xml:space="preserve">MARTHA CECILIA</t>
  </si>
  <si>
    <t xml:space="preserve">BELALCAZAR ANGOLA</t>
  </si>
  <si>
    <t xml:space="preserve">PATRICIA</t>
  </si>
  <si>
    <t xml:space="preserve">ORDONEZ CARDONA</t>
  </si>
  <si>
    <t xml:space="preserve">MARIA SOLANYI</t>
  </si>
  <si>
    <t xml:space="preserve">PRIETO ALZATE</t>
  </si>
  <si>
    <t xml:space="preserve">CONSTANZA</t>
  </si>
  <si>
    <t xml:space="preserve">OREJUELA CARAVALI</t>
  </si>
  <si>
    <t xml:space="preserve">MARIA YANETH</t>
  </si>
  <si>
    <t xml:space="preserve">LARRAHONDO MAHECHA</t>
  </si>
  <si>
    <t xml:space="preserve">CARMEN ELISA</t>
  </si>
  <si>
    <t xml:space="preserve">ARANGO FRANCO</t>
  </si>
  <si>
    <t xml:space="preserve">FERNANDEZ CORREA</t>
  </si>
  <si>
    <t xml:space="preserve">JANETH PATRICIA</t>
  </si>
  <si>
    <t xml:space="preserve">MIRANDA GOMEZ</t>
  </si>
  <si>
    <t xml:space="preserve">MARGOT</t>
  </si>
  <si>
    <t xml:space="preserve">YUMBO</t>
  </si>
  <si>
    <t xml:space="preserve">DELGADO LOZANO</t>
  </si>
  <si>
    <t xml:space="preserve">NAYIBE</t>
  </si>
  <si>
    <t xml:space="preserve">VILLEGAS VILLEGAS</t>
  </si>
  <si>
    <t xml:space="preserve">ALEJANDRA</t>
  </si>
  <si>
    <t xml:space="preserve">CARABALI ISAJAR</t>
  </si>
  <si>
    <t xml:space="preserve">FANDINO PIAMBA</t>
  </si>
  <si>
    <t xml:space="preserve">FERNANDEZ MARTINEZ</t>
  </si>
  <si>
    <t xml:space="preserve">PABON FERNANDEZ</t>
  </si>
  <si>
    <t xml:space="preserve">ERIKA MILENA</t>
  </si>
  <si>
    <t xml:space="preserve"> </t>
  </si>
  <si>
    <t xml:space="preserve">HUERTAS CANIZARES</t>
  </si>
  <si>
    <t xml:space="preserve">KAROL JULIANA</t>
  </si>
  <si>
    <t xml:space="preserve">VILLAQUIRAN LONDONO</t>
  </si>
  <si>
    <t xml:space="preserve">SARA VIVIANA</t>
  </si>
  <si>
    <t xml:space="preserve">CAICEDO VARGAS</t>
  </si>
  <si>
    <t xml:space="preserve">MAGALY</t>
  </si>
  <si>
    <t xml:space="preserve">VIVAS MENDEZ</t>
  </si>
  <si>
    <t xml:space="preserve">JACKELINE</t>
  </si>
  <si>
    <t xml:space="preserve">SEGURA IDROBO</t>
  </si>
  <si>
    <t xml:space="preserve">AZUCENA</t>
  </si>
  <si>
    <t xml:space="preserve">MINA MAZUERA</t>
  </si>
  <si>
    <t xml:space="preserve">VIBIAN  LICETH</t>
  </si>
  <si>
    <t xml:space="preserve">APONZA</t>
  </si>
  <si>
    <t xml:space="preserve">YAMILET</t>
  </si>
  <si>
    <t xml:space="preserve">OREJUELA ALVAREZ</t>
  </si>
  <si>
    <t xml:space="preserve">SANDRA PATRICIA</t>
  </si>
  <si>
    <t xml:space="preserve">PUERTO TEJADA</t>
  </si>
  <si>
    <t xml:space="preserve">VEGA VALENCIA</t>
  </si>
  <si>
    <t xml:space="preserve">AURA STELLA</t>
  </si>
  <si>
    <t xml:space="preserve">GUAZA MEJIA</t>
  </si>
  <si>
    <t xml:space="preserve">ZULEIMA</t>
  </si>
  <si>
    <t xml:space="preserve">OTALORA PALOMINO</t>
  </si>
  <si>
    <t xml:space="preserve">ILIEANA</t>
  </si>
  <si>
    <t xml:space="preserve">MOSQUERA BARRAGAN</t>
  </si>
  <si>
    <t xml:space="preserve">MARIA ELENA</t>
  </si>
  <si>
    <t xml:space="preserve">MERA URBANO</t>
  </si>
  <si>
    <t xml:space="preserve">SANCHEZ HURTADO</t>
  </si>
  <si>
    <t xml:space="preserve">ERIRA CEBALLOS</t>
  </si>
  <si>
    <t xml:space="preserve">EDIT MARGOT</t>
  </si>
  <si>
    <t xml:space="preserve">MOSQUERA ARTEAGA</t>
  </si>
  <si>
    <t xml:space="preserve">NILSA YAZMIN</t>
  </si>
  <si>
    <t xml:space="preserve">ZAPATA MULATO</t>
  </si>
  <si>
    <t xml:space="preserve">NURLEYI</t>
  </si>
  <si>
    <t xml:space="preserve">ORTIZ NINO</t>
  </si>
  <si>
    <t xml:space="preserve">OSPINA BERMUDEZ</t>
  </si>
  <si>
    <t xml:space="preserve">LEIDY DIANA</t>
  </si>
  <si>
    <t xml:space="preserve">ESCOBAR LOPEZ</t>
  </si>
  <si>
    <t xml:space="preserve">COBO GONZALEZ</t>
  </si>
  <si>
    <t xml:space="preserve">NASLY MARLENI</t>
  </si>
  <si>
    <t xml:space="preserve">BOLANOZ PAZ</t>
  </si>
  <si>
    <t xml:space="preserve">LEIDY JOHANNA</t>
  </si>
  <si>
    <t xml:space="preserve">PLAZA RAMIREZ</t>
  </si>
  <si>
    <t xml:space="preserve">BIBIAN MAYELI</t>
  </si>
  <si>
    <t xml:space="preserve">LOPEZ TOBAR</t>
  </si>
  <si>
    <t xml:space="preserve">FLORESNEIDA</t>
  </si>
  <si>
    <t xml:space="preserve">GARCIA VENTE</t>
  </si>
  <si>
    <t xml:space="preserve">MARLYN SOCORRO</t>
  </si>
  <si>
    <t xml:space="preserve">NAVAS GUZMAN</t>
  </si>
  <si>
    <t xml:space="preserve">LLADY CECILIA</t>
  </si>
  <si>
    <t xml:space="preserve">MURILLO BENITEZ</t>
  </si>
  <si>
    <t xml:space="preserve">MARIA RUBIELA</t>
  </si>
  <si>
    <t xml:space="preserve">ALMARIO PERDOMO</t>
  </si>
  <si>
    <t xml:space="preserve">AMPARO</t>
  </si>
  <si>
    <t xml:space="preserve">LOPEZ TRUJILLO</t>
  </si>
  <si>
    <t xml:space="preserve">GENNY VANESSA</t>
  </si>
  <si>
    <t xml:space="preserve">ALVERNIA LOBO</t>
  </si>
  <si>
    <t xml:space="preserve">SUACHE AVENDANO</t>
  </si>
  <si>
    <t xml:space="preserve">PAULA ANDREA</t>
  </si>
  <si>
    <t xml:space="preserve">TRIANA TRIVINO</t>
  </si>
  <si>
    <t xml:space="preserve">MARTHA ISABEL</t>
  </si>
  <si>
    <t xml:space="preserve">ORREGO FLOREZ</t>
  </si>
  <si>
    <t xml:space="preserve">MARLY SULEYDI</t>
  </si>
  <si>
    <t xml:space="preserve">CABEZAS TORRES</t>
  </si>
  <si>
    <t xml:space="preserve">LUZ AYDEE</t>
  </si>
  <si>
    <t xml:space="preserve">VALENCIA OME</t>
  </si>
  <si>
    <t xml:space="preserve">YUDY PATRICIA</t>
  </si>
  <si>
    <t xml:space="preserve">LOZANO VALDERRAMA</t>
  </si>
  <si>
    <t xml:space="preserve">VILLA RAMIREZ</t>
  </si>
  <si>
    <t xml:space="preserve">HEIDY</t>
  </si>
  <si>
    <t xml:space="preserve">DELGADO OSPINA</t>
  </si>
  <si>
    <t xml:space="preserve">LUZ DELBY</t>
  </si>
  <si>
    <t xml:space="preserve">VALENCIA MORENO</t>
  </si>
  <si>
    <t xml:space="preserve">ALBA LUCIA</t>
  </si>
  <si>
    <t xml:space="preserve">VELEZ CASTILLO</t>
  </si>
  <si>
    <t xml:space="preserve">YOHANA PATRICIA</t>
  </si>
  <si>
    <t xml:space="preserve">MARIN MONTOYA</t>
  </si>
  <si>
    <t xml:space="preserve">ALBA MILENA</t>
  </si>
  <si>
    <t xml:space="preserve">CORREA LOAIZA</t>
  </si>
  <si>
    <t xml:space="preserve">NEYLA LORENA</t>
  </si>
  <si>
    <t xml:space="preserve">CESPEDES ZAMORA</t>
  </si>
  <si>
    <t xml:space="preserve">GARCIA GOMEZ</t>
  </si>
  <si>
    <t xml:space="preserve">NEIDY JOHANA</t>
  </si>
  <si>
    <t xml:space="preserve">LOMBANA ESPINOSA</t>
  </si>
  <si>
    <t xml:space="preserve">CHARLENE ALEJANDRA</t>
  </si>
  <si>
    <t xml:space="preserve">LOPEZ MORENO</t>
  </si>
  <si>
    <t xml:space="preserve">LEYDYJHOANA</t>
  </si>
  <si>
    <t xml:space="preserve">ANACONA HERNANDEZ</t>
  </si>
  <si>
    <t xml:space="preserve">YOLANDA LIRIA</t>
  </si>
  <si>
    <t xml:space="preserve">OREJUELA GONZALEZ</t>
  </si>
  <si>
    <t xml:space="preserve">YOHANA</t>
  </si>
  <si>
    <t xml:space="preserve">CORREA MUNOZ</t>
  </si>
  <si>
    <t xml:space="preserve">LINDELIA</t>
  </si>
  <si>
    <t xml:space="preserve">BONILLA VARGAS</t>
  </si>
  <si>
    <t xml:space="preserve">ESCAMILLA FRANCO</t>
  </si>
  <si>
    <t xml:space="preserve">FERNANDEZ RAMIREZ</t>
  </si>
  <si>
    <t xml:space="preserve">MARLY ANDREA</t>
  </si>
  <si>
    <t xml:space="preserve">URBANO CAYAPU</t>
  </si>
  <si>
    <t xml:space="preserve">NURIA ANGELICA</t>
  </si>
  <si>
    <t xml:space="preserve">SANCHEZ AVELLANEDA</t>
  </si>
  <si>
    <t xml:space="preserve">ALBAN RIVERA</t>
  </si>
  <si>
    <t xml:space="preserve">OLIVEROS ORTIZ</t>
  </si>
  <si>
    <t xml:space="preserve">SARA JULIETH</t>
  </si>
  <si>
    <t xml:space="preserve">MUNOZ VALENCIA</t>
  </si>
  <si>
    <t xml:space="preserve">YORLADIS</t>
  </si>
  <si>
    <t xml:space="preserve">PEREZ TAQUEZ</t>
  </si>
  <si>
    <t xml:space="preserve">RESTREPO RIVERA</t>
  </si>
  <si>
    <t xml:space="preserve">LERMA CAICEDO</t>
  </si>
  <si>
    <t xml:space="preserve">DIANA FERNANDA</t>
  </si>
  <si>
    <t xml:space="preserve">CASTAÑEDA BETANCUR</t>
  </si>
  <si>
    <t xml:space="preserve">ESPANA</t>
  </si>
  <si>
    <t xml:space="preserve">TATIANA ANDREA</t>
  </si>
  <si>
    <t xml:space="preserve">GUZMAN BEATRIZ</t>
  </si>
  <si>
    <t xml:space="preserve">ELENA</t>
  </si>
  <si>
    <t xml:space="preserve">TORRES NIETO</t>
  </si>
  <si>
    <t xml:space="preserve">GUTIERREZ CORTES</t>
  </si>
  <si>
    <t xml:space="preserve">ANGELA MARIA</t>
  </si>
  <si>
    <t xml:space="preserve">TRUJILLO RODRIGUEZ</t>
  </si>
  <si>
    <t xml:space="preserve">GOMEZ CARABALI</t>
  </si>
  <si>
    <t xml:space="preserve">YENI ALEJANDRA</t>
  </si>
  <si>
    <t xml:space="preserve">VANEGAS MOTOA</t>
  </si>
  <si>
    <t xml:space="preserve">DEYVI MARCELA</t>
  </si>
  <si>
    <t xml:space="preserve">MONTOYA BARRETO</t>
  </si>
  <si>
    <t xml:space="preserve">LISBETH</t>
  </si>
  <si>
    <t xml:space="preserve">MORALES ORTIZ</t>
  </si>
  <si>
    <t xml:space="preserve">JOHANNA ANDREA</t>
  </si>
  <si>
    <t xml:space="preserve">GONZALEZ CORTES</t>
  </si>
  <si>
    <t xml:space="preserve">SAAVEDRA TRUJILLO</t>
  </si>
  <si>
    <t xml:space="preserve">MARIA ALEJANDRA</t>
  </si>
  <si>
    <t xml:space="preserve">BURBANO QUINTERO</t>
  </si>
  <si>
    <t xml:space="preserve">INGRITH CAROLA</t>
  </si>
  <si>
    <t xml:space="preserve">ARCOS ARCOS</t>
  </si>
  <si>
    <t xml:space="preserve">YULI DEICY ANDREA</t>
  </si>
  <si>
    <t xml:space="preserve">GARCIA FAJARDO</t>
  </si>
  <si>
    <t xml:space="preserve">LEDY NAYIBE</t>
  </si>
  <si>
    <t xml:space="preserve">MONTANO HURTADO</t>
  </si>
  <si>
    <t xml:space="preserve">MARTHA LILIANA</t>
  </si>
  <si>
    <t xml:space="preserve">RENGIFO VALENCIA</t>
  </si>
  <si>
    <t xml:space="preserve">YURANY</t>
  </si>
  <si>
    <t xml:space="preserve">PAREJA GONZALEZ</t>
  </si>
  <si>
    <t xml:space="preserve">MADELY</t>
  </si>
  <si>
    <t xml:space="preserve">PAPAMIJA DELGADO</t>
  </si>
  <si>
    <t xml:space="preserve">CHAVARRO PEREA</t>
  </si>
  <si>
    <t xml:space="preserve">MEZA MUNETON</t>
  </si>
  <si>
    <t xml:space="preserve">MARIA CECILIA</t>
  </si>
  <si>
    <t xml:space="preserve">QUIMBAYA FALLA</t>
  </si>
  <si>
    <t xml:space="preserve">SIMENA DEL PILAR</t>
  </si>
  <si>
    <t xml:space="preserve">VALENCIA OYOLA</t>
  </si>
  <si>
    <t xml:space="preserve">TARA MABEL</t>
  </si>
  <si>
    <t xml:space="preserve">SUAREZ PRIETO</t>
  </si>
  <si>
    <t xml:space="preserve">VILMA KATERINE</t>
  </si>
  <si>
    <t xml:space="preserve">GALLEGO PAZ</t>
  </si>
  <si>
    <t xml:space="preserve">SONIA YURANY</t>
  </si>
  <si>
    <t xml:space="preserve">CORTES CARDONA</t>
  </si>
  <si>
    <t xml:space="preserve">DIANA CONSTANZA</t>
  </si>
  <si>
    <t xml:space="preserve">QUINTERO VALDEZ</t>
  </si>
  <si>
    <t xml:space="preserve">LIZETH</t>
  </si>
  <si>
    <t xml:space="preserve">PAYAN VELEZ</t>
  </si>
  <si>
    <t xml:space="preserve">VANESSA</t>
  </si>
  <si>
    <t xml:space="preserve">MURILLAS GONZALEZ</t>
  </si>
  <si>
    <t xml:space="preserve">HURTADO TENORIO</t>
  </si>
  <si>
    <t xml:space="preserve">RODRIGUEZ HERRERA</t>
  </si>
  <si>
    <t xml:space="preserve">LORENA</t>
  </si>
  <si>
    <t xml:space="preserve">CANDELARIA</t>
  </si>
  <si>
    <t xml:space="preserve">BELTRAN LOPEZ</t>
  </si>
  <si>
    <t xml:space="preserve">CRISTEL JOHANA</t>
  </si>
  <si>
    <t xml:space="preserve">NUVAN RIVERA</t>
  </si>
  <si>
    <t xml:space="preserve">GONZALEZ ABONIA</t>
  </si>
  <si>
    <t xml:space="preserve">CORTES TOVAR</t>
  </si>
  <si>
    <t xml:space="preserve">JENNIFER TATIANA</t>
  </si>
  <si>
    <t xml:space="preserve">CISNEROS SOLARTE</t>
  </si>
  <si>
    <t xml:space="preserve">YENY LISETH</t>
  </si>
  <si>
    <t xml:space="preserve">IBARGUEN IBARGUEN</t>
  </si>
  <si>
    <t xml:space="preserve">LILIAM</t>
  </si>
  <si>
    <t xml:space="preserve">ESPINOSA GUERRERO</t>
  </si>
  <si>
    <t xml:space="preserve">MONICA VIVIANA</t>
  </si>
  <si>
    <t xml:space="preserve">CRUZ VASCO</t>
  </si>
  <si>
    <t xml:space="preserve">MARIA LUISA</t>
  </si>
  <si>
    <t xml:space="preserve">ORDONEZ ORDONEZ</t>
  </si>
  <si>
    <t xml:space="preserve">DOLLY MARGOTH</t>
  </si>
  <si>
    <t xml:space="preserve">OROZCO GUERRERO</t>
  </si>
  <si>
    <t xml:space="preserve">BURGOS CASANOVA</t>
  </si>
  <si>
    <t xml:space="preserve">PATRICIA LUCIA</t>
  </si>
  <si>
    <t xml:space="preserve">RINCON VILLARREAL</t>
  </si>
  <si>
    <t xml:space="preserve">JIMENEZ CAICEDO</t>
  </si>
  <si>
    <t xml:space="preserve">GIRALDO FERNANDEZ</t>
  </si>
  <si>
    <t xml:space="preserve">JULIET MARCELA</t>
  </si>
  <si>
    <t xml:space="preserve">ESPINOSA REYES</t>
  </si>
  <si>
    <t xml:space="preserve">DIANA CRISTINA</t>
  </si>
  <si>
    <t xml:space="preserve">ARANGO LOTERO</t>
  </si>
  <si>
    <t xml:space="preserve">CONSUELO</t>
  </si>
  <si>
    <t xml:space="preserve">AZCARATE VELEZ</t>
  </si>
  <si>
    <t xml:space="preserve">HERNANDEZ YUSTI</t>
  </si>
  <si>
    <t xml:space="preserve">MARIA CRISTINA</t>
  </si>
  <si>
    <t xml:space="preserve">HENAO AGUILAR</t>
  </si>
  <si>
    <t xml:space="preserve">ALEXA VIVIAN</t>
  </si>
  <si>
    <t xml:space="preserve">VELA ZAMBRANO</t>
  </si>
  <si>
    <t xml:space="preserve">JAKELINE</t>
  </si>
  <si>
    <t xml:space="preserve">LOBOA ORTIZ</t>
  </si>
  <si>
    <t xml:space="preserve">DAHIANA</t>
  </si>
  <si>
    <t xml:space="preserve">PARRA CASTRILLON</t>
  </si>
  <si>
    <t xml:space="preserve">MARIA VICTORIA</t>
  </si>
  <si>
    <t xml:space="preserve">GARCIA ARTEAGA</t>
  </si>
  <si>
    <t xml:space="preserve">ERIKA MARIA</t>
  </si>
  <si>
    <t xml:space="preserve">RAMIREZ SIERRA</t>
  </si>
  <si>
    <t xml:space="preserve">DORA ESTELIA</t>
  </si>
  <si>
    <t xml:space="preserve">AREVALO</t>
  </si>
  <si>
    <t xml:space="preserve">MERY</t>
  </si>
  <si>
    <t xml:space="preserve">MUNOZ GAITAN</t>
  </si>
  <si>
    <t xml:space="preserve">ANA MATILDE</t>
  </si>
  <si>
    <t xml:space="preserve">PAZ</t>
  </si>
  <si>
    <t xml:space="preserve">ENILCE</t>
  </si>
  <si>
    <t xml:space="preserve">VARGAS MONTEJO</t>
  </si>
  <si>
    <t xml:space="preserve">FLORINDA</t>
  </si>
  <si>
    <t xml:space="preserve">MARTINEZ GIRALDO</t>
  </si>
  <si>
    <t xml:space="preserve">GOMEZ CARMONA</t>
  </si>
  <si>
    <t xml:space="preserve">ANGELA MARCELA</t>
  </si>
  <si>
    <t xml:space="preserve">JIMENEZ ALVAREZ</t>
  </si>
  <si>
    <t xml:space="preserve">MARIA TERESA</t>
  </si>
  <si>
    <t xml:space="preserve">HINCAPIE ZAPATA</t>
  </si>
  <si>
    <t xml:space="preserve">LINA CONSTANZA</t>
  </si>
  <si>
    <t xml:space="preserve">CORAL HERNANDEZ</t>
  </si>
  <si>
    <t xml:space="preserve">MADRID MADRID</t>
  </si>
  <si>
    <t xml:space="preserve">MIRYAM DEJESUS</t>
  </si>
  <si>
    <t xml:space="preserve">CASTRILLON OSORIO</t>
  </si>
  <si>
    <t xml:space="preserve">VARGAS BETANCUR</t>
  </si>
  <si>
    <t xml:space="preserve">MARTINEZ ROLDAN</t>
  </si>
  <si>
    <t xml:space="preserve">MARIA PAULINA</t>
  </si>
  <si>
    <t xml:space="preserve">CHARRIS CASTRO</t>
  </si>
  <si>
    <t xml:space="preserve">YASELIS</t>
  </si>
  <si>
    <t xml:space="preserve">RIOS VERGARA</t>
  </si>
  <si>
    <t xml:space="preserve">DINA LIRIS</t>
  </si>
  <si>
    <t xml:space="preserve">GARCES POLO</t>
  </si>
  <si>
    <t xml:space="preserve">SIGNEY DEL PILAR</t>
  </si>
  <si>
    <t xml:space="preserve">BALANTA</t>
  </si>
  <si>
    <t xml:space="preserve">YELEN ASTRID</t>
  </si>
  <si>
    <t xml:space="preserve">OBANDO ARANA</t>
  </si>
  <si>
    <t xml:space="preserve">JANNET</t>
  </si>
  <si>
    <t xml:space="preserve">GONZALEZ ACOSTA</t>
  </si>
  <si>
    <t xml:space="preserve">MAGDA PATRICIA</t>
  </si>
  <si>
    <t xml:space="preserve">BENAVIDES ZAMUDIO</t>
  </si>
  <si>
    <t xml:space="preserve">DIANA MARITZA</t>
  </si>
  <si>
    <t xml:space="preserve">MORA CASTANEDA</t>
  </si>
  <si>
    <t xml:space="preserve">YANETH</t>
  </si>
  <si>
    <t xml:space="preserve">MURILLO ANZOLA</t>
  </si>
  <si>
    <t xml:space="preserve">MERCADO TOBIAS</t>
  </si>
  <si>
    <t xml:space="preserve">ANA CAROLINA</t>
  </si>
  <si>
    <t xml:space="preserve">LOZANO ARTEAGA</t>
  </si>
  <si>
    <t xml:space="preserve">LINETH BIVIANA</t>
  </si>
  <si>
    <t xml:space="preserve">IDARRAGA HINCAPIE</t>
  </si>
  <si>
    <t xml:space="preserve">MIRYAM YOLANDA</t>
  </si>
  <si>
    <t xml:space="preserve">MOLINA DAZA</t>
  </si>
  <si>
    <t xml:space="preserve">GIL AMPUDIA</t>
  </si>
  <si>
    <t xml:space="preserve">CAMPOS SALDARRIAGA</t>
  </si>
  <si>
    <t xml:space="preserve">AIDA MARCELA</t>
  </si>
  <si>
    <t xml:space="preserve">VARGAS ESCOBAR</t>
  </si>
  <si>
    <t xml:space="preserve">LINA MARIA</t>
  </si>
  <si>
    <t xml:space="preserve">NUSTES ARAGON</t>
  </si>
  <si>
    <t xml:space="preserve">ANA MERCEDES</t>
  </si>
  <si>
    <t xml:space="preserve">TABORDA CARRILO</t>
  </si>
  <si>
    <t xml:space="preserve">DIANA ALEXANDRA</t>
  </si>
  <si>
    <t xml:space="preserve">BENAVIDES GUERRERO</t>
  </si>
  <si>
    <t xml:space="preserve">TORRES TORRES</t>
  </si>
  <si>
    <t xml:space="preserve">JERLYN TARIN</t>
  </si>
  <si>
    <t xml:space="preserve">BONILLA ANGULO</t>
  </si>
  <si>
    <t xml:space="preserve">LADY VIVIANA</t>
  </si>
  <si>
    <t xml:space="preserve">MENENDEZ GUERRERO</t>
  </si>
  <si>
    <t xml:space="preserve">LEIDY YASMIN</t>
  </si>
  <si>
    <t xml:space="preserve">DIAZ MONTEALEGRE</t>
  </si>
  <si>
    <t xml:space="preserve">SILVIA LORENA</t>
  </si>
  <si>
    <t xml:space="preserve">CHARRY CASTANO</t>
  </si>
  <si>
    <t xml:space="preserve">VASQUEZ ROMERO</t>
  </si>
  <si>
    <t xml:space="preserve">YASURY</t>
  </si>
  <si>
    <t xml:space="preserve">CASTILLO VALENTIERA</t>
  </si>
  <si>
    <t xml:space="preserve">CARMEN MANUELA</t>
  </si>
  <si>
    <t xml:space="preserve">TREJO ROJAS</t>
  </si>
  <si>
    <t xml:space="preserve">DAYRA YAMILE</t>
  </si>
  <si>
    <t xml:space="preserve">VASQUEZ MUNOS</t>
  </si>
  <si>
    <t xml:space="preserve">DALY RIGUEY</t>
  </si>
  <si>
    <t xml:space="preserve">PARRA BENAVIDES</t>
  </si>
  <si>
    <t xml:space="preserve">BASANTE ERAZO</t>
  </si>
  <si>
    <t xml:space="preserve">SANDRA IRENE</t>
  </si>
  <si>
    <t xml:space="preserve">GOMEZ HERNANDEZ</t>
  </si>
  <si>
    <t xml:space="preserve">MARIA ELVIRA</t>
  </si>
  <si>
    <t xml:space="preserve">PATINO BETANCOURT</t>
  </si>
  <si>
    <t xml:space="preserve">ANA JOSEFA</t>
  </si>
  <si>
    <t xml:space="preserve">PRATO HERNANDEZ</t>
  </si>
  <si>
    <t xml:space="preserve">ROSA MARGARITA</t>
  </si>
  <si>
    <t xml:space="preserve">LEAL REYES</t>
  </si>
  <si>
    <t xml:space="preserve">FRANCY ELENA</t>
  </si>
  <si>
    <t xml:space="preserve">MARTINEZ LOPEZ</t>
  </si>
  <si>
    <t xml:space="preserve">ANA MARCELA</t>
  </si>
  <si>
    <t xml:space="preserve">CEPEDA LOPEZ</t>
  </si>
  <si>
    <t xml:space="preserve">AURA MILENA</t>
  </si>
  <si>
    <t xml:space="preserve">MARTINEZ GUTIERREZ</t>
  </si>
  <si>
    <t xml:space="preserve">LUZBEIRA</t>
  </si>
  <si>
    <t xml:space="preserve">CIFUENTES POSADA</t>
  </si>
  <si>
    <t xml:space="preserve">DORHIE ZULENY</t>
  </si>
  <si>
    <t xml:space="preserve">IMBAGO VALENZUELA</t>
  </si>
  <si>
    <t xml:space="preserve">ROSA ANGELICA</t>
  </si>
  <si>
    <t xml:space="preserve">MORENO VELASCO</t>
  </si>
  <si>
    <t xml:space="preserve">DELCY LILIANA</t>
  </si>
  <si>
    <t xml:space="preserve">LEON RIOS</t>
  </si>
  <si>
    <t xml:space="preserve">GARZON OSORIO</t>
  </si>
  <si>
    <t xml:space="preserve">MONTENEGRO PARDO</t>
  </si>
  <si>
    <t xml:space="preserve">SANDRA CECILIA</t>
  </si>
  <si>
    <t xml:space="preserve">LOPEZ ARANA</t>
  </si>
  <si>
    <t xml:space="preserve">GISELA</t>
  </si>
  <si>
    <t xml:space="preserve">AGUIRRE TORRES</t>
  </si>
  <si>
    <t xml:space="preserve">ORTEGA ROJAS</t>
  </si>
  <si>
    <t xml:space="preserve">GLADYS</t>
  </si>
  <si>
    <t xml:space="preserve">EL CERRITO</t>
  </si>
  <si>
    <t xml:space="preserve">TOLOSA BARRERA</t>
  </si>
  <si>
    <t xml:space="preserve">REYES MADRINAN</t>
  </si>
  <si>
    <t xml:space="preserve">MARIA XIMENA</t>
  </si>
  <si>
    <t xml:space="preserve">SANCHEZ OREJUELA</t>
  </si>
  <si>
    <t xml:space="preserve">LIDA CONSTANZA</t>
  </si>
  <si>
    <t xml:space="preserve">FIGUEROA ESCOBAR</t>
  </si>
  <si>
    <t xml:space="preserve">NAYDA IOMAIRA</t>
  </si>
  <si>
    <t xml:space="preserve">SERRANO LOPEZ</t>
  </si>
  <si>
    <t xml:space="preserve">CUELLAR IBANEZ</t>
  </si>
  <si>
    <t xml:space="preserve">MORENO SANCLEMENTE</t>
  </si>
  <si>
    <t xml:space="preserve">SILVIA LILIANA</t>
  </si>
  <si>
    <t xml:space="preserve">AVILA JIMENEZ</t>
  </si>
  <si>
    <t xml:space="preserve">JARAMILLO MONCADA</t>
  </si>
  <si>
    <t xml:space="preserve">LEIBNIS</t>
  </si>
  <si>
    <t xml:space="preserve">MERA ZAPATA</t>
  </si>
  <si>
    <t xml:space="preserve">ZULMA</t>
  </si>
  <si>
    <t xml:space="preserve">HOLGUIN PINEDA</t>
  </si>
  <si>
    <t xml:space="preserve">CLARIBETH</t>
  </si>
  <si>
    <t xml:space="preserve">TROCHEZ REALPE</t>
  </si>
  <si>
    <t xml:space="preserve">BRICEIDA</t>
  </si>
  <si>
    <t xml:space="preserve">NARVAEZ GARCIA</t>
  </si>
  <si>
    <t xml:space="preserve">CIFUENTES CASTRO</t>
  </si>
  <si>
    <t xml:space="preserve">DORA INES</t>
  </si>
  <si>
    <t xml:space="preserve">CARDONA ESCOBAR</t>
  </si>
  <si>
    <t xml:space="preserve">SONIA LILIANA</t>
  </si>
  <si>
    <t xml:space="preserve">JORDAN RENGIFO</t>
  </si>
  <si>
    <t xml:space="preserve">REYES PINEROS</t>
  </si>
  <si>
    <t xml:space="preserve">CLARA ELISA</t>
  </si>
  <si>
    <t xml:space="preserve">SILVA ROMERO</t>
  </si>
  <si>
    <t xml:space="preserve">VIVIANA</t>
  </si>
  <si>
    <t xml:space="preserve">BARAJAS CARBONELL</t>
  </si>
  <si>
    <t xml:space="preserve">AMANDA EUGENIA</t>
  </si>
  <si>
    <t xml:space="preserve">SANCHEZ VELEZ</t>
  </si>
  <si>
    <t xml:space="preserve">VALLECILLA BOLIVAR</t>
  </si>
  <si>
    <t xml:space="preserve">MARIA CLAUDIA</t>
  </si>
  <si>
    <t xml:space="preserve">LIZCANO ARANA</t>
  </si>
  <si>
    <t xml:space="preserve">GUERRERO JIMENEZ</t>
  </si>
  <si>
    <t xml:space="preserve">ALBA LILIANA</t>
  </si>
  <si>
    <t xml:space="preserve">CARDENAS HERNANDEZ</t>
  </si>
  <si>
    <t xml:space="preserve">MARIA ESMERALDA</t>
  </si>
  <si>
    <t xml:space="preserve">BUENO CRUZ</t>
  </si>
  <si>
    <t xml:space="preserve">MOSQUERA TRUJILLO</t>
  </si>
  <si>
    <t xml:space="preserve">LILIANA JAMILETH</t>
  </si>
  <si>
    <t xml:space="preserve">SANCHEZ MORALES</t>
  </si>
  <si>
    <t xml:space="preserve">ALBA LUCY</t>
  </si>
  <si>
    <t xml:space="preserve">SANCHEZ</t>
  </si>
  <si>
    <t xml:space="preserve">VILLANIRA</t>
  </si>
  <si>
    <t xml:space="preserve">MONTEZUMA GARCIA</t>
  </si>
  <si>
    <t xml:space="preserve">INOCENCIA</t>
  </si>
  <si>
    <t xml:space="preserve">GONZALEZ ESCOBAR</t>
  </si>
  <si>
    <t xml:space="preserve">VALENCIA RESTREPO</t>
  </si>
  <si>
    <t xml:space="preserve">MARIBELL</t>
  </si>
  <si>
    <t xml:space="preserve">ARREDONDO</t>
  </si>
  <si>
    <t xml:space="preserve">SALDARRIAGA ZULUAGA</t>
  </si>
  <si>
    <t xml:space="preserve">DIAZ CARABALI</t>
  </si>
  <si>
    <t xml:space="preserve">MARIA INES</t>
  </si>
  <si>
    <t xml:space="preserve">RUIZ MONTALVO</t>
  </si>
  <si>
    <t xml:space="preserve">MARLEN</t>
  </si>
  <si>
    <t xml:space="preserve">TREJOS APRADEZ</t>
  </si>
  <si>
    <t xml:space="preserve">YACKELINE</t>
  </si>
  <si>
    <t xml:space="preserve">SALAZAR OROZCO</t>
  </si>
  <si>
    <t xml:space="preserve">ZULMA OFIR</t>
  </si>
  <si>
    <t xml:space="preserve">CAICEDO DIAZ</t>
  </si>
  <si>
    <t xml:space="preserve">YANETH ALEXANDRA</t>
  </si>
  <si>
    <t xml:space="preserve">FRANCO CUELLAR</t>
  </si>
  <si>
    <t xml:space="preserve">NAVAS GARCIA</t>
  </si>
  <si>
    <t xml:space="preserve">MORALES MONCADA</t>
  </si>
  <si>
    <t xml:space="preserve">LINA BETH</t>
  </si>
  <si>
    <t xml:space="preserve">ALDANA BEDOYA</t>
  </si>
  <si>
    <t xml:space="preserve">SERNA MARTINEZ</t>
  </si>
  <si>
    <t xml:space="preserve">CHICA GRISALES</t>
  </si>
  <si>
    <t xml:space="preserve">FLOREZ ALZATE</t>
  </si>
  <si>
    <t xml:space="preserve">LUZ ELENA</t>
  </si>
  <si>
    <t xml:space="preserve">OTERO MORA</t>
  </si>
  <si>
    <t xml:space="preserve">CLAUDIA CRISTINA</t>
  </si>
  <si>
    <t xml:space="preserve">CORTES BARBOSA</t>
  </si>
  <si>
    <t xml:space="preserve">FRANCIA</t>
  </si>
  <si>
    <t xml:space="preserve">MENDOZA  ESCOBAR</t>
  </si>
  <si>
    <t xml:space="preserve">JULIANA ANDREA</t>
  </si>
  <si>
    <t xml:space="preserve">MORENO BELTRAN</t>
  </si>
  <si>
    <t xml:space="preserve">SIRIA IBONY</t>
  </si>
  <si>
    <t xml:space="preserve">VIVAS CARDONA</t>
  </si>
  <si>
    <t xml:space="preserve">SONIA ISABEL</t>
  </si>
  <si>
    <t xml:space="preserve">MARTINEZ BENITEZ</t>
  </si>
  <si>
    <t xml:space="preserve">LINA JOHANNA</t>
  </si>
  <si>
    <t xml:space="preserve">ROSERO ECHEVERRI</t>
  </si>
  <si>
    <t xml:space="preserve">SULENY MARGARITA</t>
  </si>
  <si>
    <t xml:space="preserve">VOLVERAS VOLVERAS</t>
  </si>
  <si>
    <t xml:space="preserve">CARMEN ELVIRA</t>
  </si>
  <si>
    <t xml:space="preserve">QUIMBAYA GAVIRIA</t>
  </si>
  <si>
    <t xml:space="preserve">SANDRA LUCIA</t>
  </si>
  <si>
    <t xml:space="preserve">SANDOVAL VIVEROS</t>
  </si>
  <si>
    <t xml:space="preserve">MUNOZ CASTANO</t>
  </si>
  <si>
    <t xml:space="preserve">RINCON SOTO</t>
  </si>
  <si>
    <t xml:space="preserve">ROLDAN TENORIO</t>
  </si>
  <si>
    <t xml:space="preserve">SAAVEDRA ANDRADE</t>
  </si>
  <si>
    <t xml:space="preserve">MARLENY</t>
  </si>
  <si>
    <t xml:space="preserve">RAMIREZ GIL</t>
  </si>
  <si>
    <t xml:space="preserve">YATSBY</t>
  </si>
  <si>
    <t xml:space="preserve">RAMIREZ MEJIA</t>
  </si>
  <si>
    <t xml:space="preserve">MARYCEL</t>
  </si>
  <si>
    <t xml:space="preserve">CASTRO TORRES</t>
  </si>
  <si>
    <t xml:space="preserve">VACA VITERI</t>
  </si>
  <si>
    <t xml:space="preserve">EDIS RUBIRA</t>
  </si>
  <si>
    <t xml:space="preserve">ZUNIGA MARROQUIN</t>
  </si>
  <si>
    <t xml:space="preserve">MARYURI</t>
  </si>
  <si>
    <t xml:space="preserve">CUELLAR ORTIZ</t>
  </si>
  <si>
    <t xml:space="preserve">ALVARADO CALLEJAS</t>
  </si>
  <si>
    <t xml:space="preserve">NANCY ANGELICA</t>
  </si>
  <si>
    <t xml:space="preserve">GUERRERO HERRERA</t>
  </si>
  <si>
    <t xml:space="preserve">MARIA ANTONELLA</t>
  </si>
  <si>
    <t xml:space="preserve">MORENO ZULETA</t>
  </si>
  <si>
    <t xml:space="preserve">MARIA PIEDAD</t>
  </si>
  <si>
    <t xml:space="preserve">JOSA ROSERO</t>
  </si>
  <si>
    <t xml:space="preserve">VILLADA GALVIS</t>
  </si>
  <si>
    <t xml:space="preserve">ENERIED LUCERO</t>
  </si>
  <si>
    <t xml:space="preserve">SANCHEZ VERNAZA</t>
  </si>
  <si>
    <t xml:space="preserve">LUZ ANGELY</t>
  </si>
  <si>
    <t xml:space="preserve">BELTRAN BONILLA</t>
  </si>
  <si>
    <t xml:space="preserve">ARANGO PAREDES</t>
  </si>
  <si>
    <t xml:space="preserve">ALBA MAGDALY</t>
  </si>
  <si>
    <t xml:space="preserve">JARAMILLO OSSA</t>
  </si>
  <si>
    <t xml:space="preserve">FARIDE</t>
  </si>
  <si>
    <t xml:space="preserve">MORENO MINDINERO</t>
  </si>
  <si>
    <t xml:space="preserve">BETTY</t>
  </si>
  <si>
    <t xml:space="preserve">SAAVEDRA MAYORCA</t>
  </si>
  <si>
    <t xml:space="preserve">DIANA KATERINE</t>
  </si>
  <si>
    <t xml:space="preserve">CARABALLO BOLANOS</t>
  </si>
  <si>
    <t xml:space="preserve">JURADO VAQUIRO</t>
  </si>
  <si>
    <t xml:space="preserve">YAJAIRA</t>
  </si>
  <si>
    <t xml:space="preserve">CASTANO</t>
  </si>
  <si>
    <t xml:space="preserve">DIANA CONSUELO</t>
  </si>
  <si>
    <t xml:space="preserve">CLAVIJO</t>
  </si>
  <si>
    <t xml:space="preserve">MARGARITA</t>
  </si>
  <si>
    <t xml:space="preserve">VILLA GALBAN</t>
  </si>
  <si>
    <t xml:space="preserve">JAQUELINE</t>
  </si>
  <si>
    <t xml:space="preserve">CORAL GUTIERREZ</t>
  </si>
  <si>
    <t xml:space="preserve">MIRDZA</t>
  </si>
  <si>
    <t xml:space="preserve">MONROY MARULANDA</t>
  </si>
  <si>
    <t xml:space="preserve">JENNY</t>
  </si>
  <si>
    <t xml:space="preserve">VASQUEZ ALBAN</t>
  </si>
  <si>
    <t xml:space="preserve">YOHANNA PAOLA</t>
  </si>
  <si>
    <t xml:space="preserve">ORTEGA CASTRO</t>
  </si>
  <si>
    <t xml:space="preserve">EMILSEN</t>
  </si>
  <si>
    <t xml:space="preserve">ARIAS RIVAS</t>
  </si>
  <si>
    <t xml:space="preserve">VIRIDIANA</t>
  </si>
  <si>
    <t xml:space="preserve">CAMACHO MARMOLEJO</t>
  </si>
  <si>
    <t xml:space="preserve">AMY PATRICIA</t>
  </si>
  <si>
    <t xml:space="preserve">CARDENAS CESPEDES</t>
  </si>
  <si>
    <t xml:space="preserve">VERA CORTES</t>
  </si>
  <si>
    <t xml:space="preserve">LIZETH PATRICIA</t>
  </si>
  <si>
    <t xml:space="preserve">OSPINA CARMONA</t>
  </si>
  <si>
    <t xml:space="preserve">GONZALEZ FLOREZ</t>
  </si>
  <si>
    <t xml:space="preserve">HURTADO BARRIOS</t>
  </si>
  <si>
    <t xml:space="preserve">GONZALEZ QUINONES</t>
  </si>
  <si>
    <t xml:space="preserve">YULI</t>
  </si>
  <si>
    <t xml:space="preserve">AGUILAR MUÑOZ</t>
  </si>
  <si>
    <t xml:space="preserve">ESCOBAR VALENCIA</t>
  </si>
  <si>
    <t xml:space="preserve">LEMOS OREJUELA</t>
  </si>
  <si>
    <t xml:space="preserve">LAURA MARIA</t>
  </si>
  <si>
    <t xml:space="preserve">ANCHICO PAZ</t>
  </si>
  <si>
    <t xml:space="preserve">HERRERA PALACIOS</t>
  </si>
  <si>
    <t xml:space="preserve">CAMPO DAZA</t>
  </si>
  <si>
    <t xml:space="preserve">DELIA LUCIA</t>
  </si>
  <si>
    <t xml:space="preserve">PINZON LARGACHA</t>
  </si>
  <si>
    <t xml:space="preserve">LADY YOLIVE</t>
  </si>
  <si>
    <t xml:space="preserve">CHANTRE CORTES</t>
  </si>
  <si>
    <t xml:space="preserve">SIRLEY MARYURI</t>
  </si>
  <si>
    <t xml:space="preserve">DIAGO GONZALEZ</t>
  </si>
  <si>
    <t xml:space="preserve">JENNIFER</t>
  </si>
  <si>
    <t xml:space="preserve">CISNEROS MUNOZ</t>
  </si>
  <si>
    <t xml:space="preserve">LEIDI JOHANNA</t>
  </si>
  <si>
    <t xml:space="preserve">LOPEZ LOZADA</t>
  </si>
  <si>
    <t xml:space="preserve">LEIDY KATHERINE</t>
  </si>
  <si>
    <t xml:space="preserve">ORTIZ NARVAEZ</t>
  </si>
  <si>
    <t xml:space="preserve">DERLY JANETH</t>
  </si>
  <si>
    <t xml:space="preserve">GARCIA ORTIZ</t>
  </si>
  <si>
    <t xml:space="preserve">YURANI</t>
  </si>
  <si>
    <t xml:space="preserve">ARAGON IBARRA</t>
  </si>
  <si>
    <t xml:space="preserve">DIANA PATRICIA</t>
  </si>
  <si>
    <t xml:space="preserve">VALOIS CRUZ</t>
  </si>
  <si>
    <t xml:space="preserve">OTERO GARCIA</t>
  </si>
  <si>
    <t xml:space="preserve">GINA FERNANDA</t>
  </si>
  <si>
    <t xml:space="preserve">AGUADO CATANO</t>
  </si>
  <si>
    <t xml:space="preserve">ILCE VERONICA</t>
  </si>
  <si>
    <t xml:space="preserve">PALACIO TRUJILLO</t>
  </si>
  <si>
    <t xml:space="preserve">VALENCIA GOMEZ</t>
  </si>
  <si>
    <t xml:space="preserve">DAVILA HERRERA</t>
  </si>
  <si>
    <t xml:space="preserve">PEREZ VEGA</t>
  </si>
  <si>
    <t xml:space="preserve">MARTINEZ TORRES</t>
  </si>
  <si>
    <t xml:space="preserve">ESCOBAR CORDOBA</t>
  </si>
  <si>
    <t xml:space="preserve">INGRID YOHANA</t>
  </si>
  <si>
    <t xml:space="preserve">RAMIREZ GARCES</t>
  </si>
  <si>
    <t xml:space="preserve">CLAUDIA CAROLINA</t>
  </si>
  <si>
    <t xml:space="preserve">CHICAIZA GALLARDO</t>
  </si>
  <si>
    <t xml:space="preserve">YULEIDY MILETH</t>
  </si>
  <si>
    <t xml:space="preserve">RAMIREZ VARGAS</t>
  </si>
  <si>
    <t xml:space="preserve">GUTIERREZ MEJIA</t>
  </si>
  <si>
    <t xml:space="preserve">ALVAREZ VALDES</t>
  </si>
  <si>
    <t xml:space="preserve">ISABELA</t>
  </si>
  <si>
    <t xml:space="preserve">MOSQUERA BERMUDEZ</t>
  </si>
  <si>
    <t xml:space="preserve">DARLY NAYIBI</t>
  </si>
  <si>
    <t xml:space="preserve">TENORIO MONTEALEGRE</t>
  </si>
  <si>
    <t xml:space="preserve">SHIRLEY IBERICA</t>
  </si>
  <si>
    <t xml:space="preserve">BETANCOURT MARIN</t>
  </si>
  <si>
    <t xml:space="preserve">LEIDY ANDREA</t>
  </si>
  <si>
    <t xml:space="preserve">QUEVEDO VEGA</t>
  </si>
  <si>
    <t xml:space="preserve">KELLY JOHANNA</t>
  </si>
  <si>
    <t xml:space="preserve">ALCALA FLORES</t>
  </si>
  <si>
    <t xml:space="preserve">MERCEDES DEL PILAR</t>
  </si>
  <si>
    <t xml:space="preserve">BENITEZ SANTANA</t>
  </si>
  <si>
    <t xml:space="preserve">NAZLY CATERINNE</t>
  </si>
  <si>
    <t xml:space="preserve">OSPINA BETANCOURT</t>
  </si>
  <si>
    <t xml:space="preserve">JENNIFER JHOANNA</t>
  </si>
  <si>
    <t xml:space="preserve">HERNANDEZ MARTINEZ</t>
  </si>
  <si>
    <t xml:space="preserve">IBARGUEN ASPRILLA</t>
  </si>
  <si>
    <t xml:space="preserve">LEYDY YISEL</t>
  </si>
  <si>
    <t xml:space="preserve">CHAMIZO LONDONO</t>
  </si>
  <si>
    <t xml:space="preserve">ANA LORENA</t>
  </si>
  <si>
    <t xml:space="preserve">RUIZ</t>
  </si>
  <si>
    <t xml:space="preserve">HEIDY JOHANA</t>
  </si>
  <si>
    <t xml:space="preserve">LOPEZ MARIN</t>
  </si>
  <si>
    <t xml:space="preserve">VILLALOBOS HURTADO</t>
  </si>
  <si>
    <t xml:space="preserve">VICTORIA EUGENIA</t>
  </si>
  <si>
    <t xml:space="preserve">MANRIQUE MOLINA</t>
  </si>
  <si>
    <t xml:space="preserve">GUTIERREZ GARCIA</t>
  </si>
  <si>
    <t xml:space="preserve">DIANA ZULEIMA</t>
  </si>
  <si>
    <t xml:space="preserve">GUERRERO</t>
  </si>
  <si>
    <t xml:space="preserve">INGRID YISET</t>
  </si>
  <si>
    <t xml:space="preserve">LOPEZ ARBOLEDA</t>
  </si>
  <si>
    <t xml:space="preserve">PATINO</t>
  </si>
  <si>
    <t xml:space="preserve">LEIVI YOANA</t>
  </si>
  <si>
    <t xml:space="preserve">GUERRERO ZAMORA</t>
  </si>
  <si>
    <t xml:space="preserve">NANCY VIVIANA</t>
  </si>
  <si>
    <t xml:space="preserve">GUACAN UCHIMA</t>
  </si>
  <si>
    <t xml:space="preserve">AYDA NELLY</t>
  </si>
  <si>
    <t xml:space="preserve">ROJAS MONTOYA</t>
  </si>
  <si>
    <t xml:space="preserve">TRIANA CUBILLOS</t>
  </si>
  <si>
    <t xml:space="preserve">AMEZQUITA RESTREPO</t>
  </si>
  <si>
    <t xml:space="preserve">YULY ANDREA</t>
  </si>
  <si>
    <t xml:space="preserve">PAZ QUINONEZ</t>
  </si>
  <si>
    <t xml:space="preserve">DEISY VERONICA</t>
  </si>
  <si>
    <t xml:space="preserve">CARDOZO AGUDELO</t>
  </si>
  <si>
    <t xml:space="preserve">CLAUDIA MILENA</t>
  </si>
  <si>
    <t xml:space="preserve">GARCIA PAVA</t>
  </si>
  <si>
    <t xml:space="preserve">JAIME HERNANDO</t>
  </si>
  <si>
    <t xml:space="preserve">PRADA RIOS</t>
  </si>
  <si>
    <t xml:space="preserve">SERGIO IVAN</t>
  </si>
  <si>
    <t xml:space="preserve">FALCON PEREZ</t>
  </si>
  <si>
    <t xml:space="preserve">PEDRO FABIAN</t>
  </si>
  <si>
    <t xml:space="preserve">ARISTIZABAL FRANCO</t>
  </si>
  <si>
    <t xml:space="preserve">CARLOS ARTURO</t>
  </si>
  <si>
    <t xml:space="preserve">LOAIZA NARANJO</t>
  </si>
  <si>
    <t xml:space="preserve">JOHNSONFREY</t>
  </si>
  <si>
    <t xml:space="preserve">MEDINA SALAZAR</t>
  </si>
  <si>
    <t xml:space="preserve">JOSE LUIS</t>
  </si>
  <si>
    <t xml:space="preserve">ILES DORADO</t>
  </si>
  <si>
    <t xml:space="preserve">EDILSON</t>
  </si>
  <si>
    <t xml:space="preserve">OVALLE PINEDA</t>
  </si>
  <si>
    <t xml:space="preserve">JOSE FERNANDO</t>
  </si>
  <si>
    <t xml:space="preserve">CARRANZA COHECHA</t>
  </si>
  <si>
    <t xml:space="preserve">WILLIAM</t>
  </si>
  <si>
    <t xml:space="preserve">CORONELL MARTINEZ</t>
  </si>
  <si>
    <t xml:space="preserve">ALDEMIR JOSE</t>
  </si>
  <si>
    <t xml:space="preserve">GONZALEZ SOLARTE</t>
  </si>
  <si>
    <t xml:space="preserve">EDWIN JAVIER</t>
  </si>
  <si>
    <t xml:space="preserve">VELEZ VALENCIA</t>
  </si>
  <si>
    <t xml:space="preserve">PABLO ALEJANDRO</t>
  </si>
  <si>
    <t xml:space="preserve">VILLOTA GUERRERO</t>
  </si>
  <si>
    <t xml:space="preserve">EDUARDO</t>
  </si>
  <si>
    <t xml:space="preserve">MARTINEZ GUZMAN</t>
  </si>
  <si>
    <t xml:space="preserve">DIEGO ANDRES</t>
  </si>
  <si>
    <t xml:space="preserve">MORALES ROJAS</t>
  </si>
  <si>
    <t xml:space="preserve">CRISTHIAN DAVID</t>
  </si>
  <si>
    <t xml:space="preserve">CACERES</t>
  </si>
  <si>
    <t xml:space="preserve">WILSON</t>
  </si>
  <si>
    <t xml:space="preserve">DORADO RAMIREZ</t>
  </si>
  <si>
    <t xml:space="preserve">MONDOL MORA</t>
  </si>
  <si>
    <t xml:space="preserve">CRISTIAN</t>
  </si>
  <si>
    <t xml:space="preserve">CERON CASTILLO</t>
  </si>
  <si>
    <t xml:space="preserve">DAVID DANIEL</t>
  </si>
  <si>
    <t xml:space="preserve">RODRIGUEZ CORREA</t>
  </si>
  <si>
    <t xml:space="preserve">JHONNY</t>
  </si>
  <si>
    <t xml:space="preserve">SINISTERRA ROSERO</t>
  </si>
  <si>
    <t xml:space="preserve">ANDRES FERNANDO</t>
  </si>
  <si>
    <t xml:space="preserve">ORTIZ GRISALES</t>
  </si>
  <si>
    <t xml:space="preserve">TELMO</t>
  </si>
  <si>
    <t xml:space="preserve">VELASQUEZ QUINTERO</t>
  </si>
  <si>
    <t xml:space="preserve">JHONATHAN</t>
  </si>
  <si>
    <t xml:space="preserve">ALVAREZ BEDOYA</t>
  </si>
  <si>
    <t xml:space="preserve">WILSON FABIAN</t>
  </si>
  <si>
    <t xml:space="preserve">FLOREZ CEBALLOS</t>
  </si>
  <si>
    <t xml:space="preserve">JOSE OVER</t>
  </si>
  <si>
    <t xml:space="preserve">ARCILA CERON</t>
  </si>
  <si>
    <t xml:space="preserve">FRANCISCO JAVIER</t>
  </si>
  <si>
    <t xml:space="preserve">AVILA PRADO</t>
  </si>
  <si>
    <t xml:space="preserve">DORIAN ALBERTO</t>
  </si>
  <si>
    <t xml:space="preserve">GONZALEZ USMA</t>
  </si>
  <si>
    <t xml:space="preserve">OSCAR MAURICIO</t>
  </si>
  <si>
    <t xml:space="preserve">CASANOVA VILLAMARIN</t>
  </si>
  <si>
    <t xml:space="preserve">ANDRES</t>
  </si>
  <si>
    <t xml:space="preserve">RODRIGUEZ CASTRILLON</t>
  </si>
  <si>
    <t xml:space="preserve">NELSON ALBERTO</t>
  </si>
  <si>
    <t xml:space="preserve">HENAO ACOSTA</t>
  </si>
  <si>
    <t xml:space="preserve">FERNEY</t>
  </si>
  <si>
    <t xml:space="preserve">CAICEDO SANCHEZ</t>
  </si>
  <si>
    <t xml:space="preserve">VELASCO GUTIERREZ</t>
  </si>
  <si>
    <t xml:space="preserve">CARLOS ANTONIO</t>
  </si>
  <si>
    <t xml:space="preserve">SALCEDO ESPINAL</t>
  </si>
  <si>
    <t xml:space="preserve">FERNANDO</t>
  </si>
  <si>
    <t xml:space="preserve">VICENT GALVIS</t>
  </si>
  <si>
    <t xml:space="preserve">EDGAR JULIAN</t>
  </si>
  <si>
    <t xml:space="preserve">ALVARADO ZAPATA</t>
  </si>
  <si>
    <t xml:space="preserve">JAVIER MAURICIO</t>
  </si>
  <si>
    <t xml:space="preserve">AGUDELO ORTIZ</t>
  </si>
  <si>
    <t xml:space="preserve">LUBIN</t>
  </si>
  <si>
    <t xml:space="preserve">BORJA YEPEZ</t>
  </si>
  <si>
    <t xml:space="preserve">RICARDO</t>
  </si>
  <si>
    <t xml:space="preserve">QUINTERO LONDONO</t>
  </si>
  <si>
    <t xml:space="preserve">DORADO CAICEDO</t>
  </si>
  <si>
    <t xml:space="preserve">JERSON ANDRES</t>
  </si>
  <si>
    <t xml:space="preserve">LOPEZ CADENA</t>
  </si>
  <si>
    <t xml:space="preserve">ANCIZAR</t>
  </si>
  <si>
    <t xml:space="preserve">VALDES GARRIDO</t>
  </si>
  <si>
    <t xml:space="preserve">BALLESTEROS GARCIA</t>
  </si>
  <si>
    <t xml:space="preserve">MARTINEZ CARRERA</t>
  </si>
  <si>
    <t xml:space="preserve">HECTOR PORFIRIO</t>
  </si>
  <si>
    <t xml:space="preserve">BOLANOS CEBALLOS</t>
  </si>
  <si>
    <t xml:space="preserve">JOHN MARLON</t>
  </si>
  <si>
    <t xml:space="preserve">MONCADA ROJAS</t>
  </si>
  <si>
    <t xml:space="preserve">VICTOR MANUEL</t>
  </si>
  <si>
    <t xml:space="preserve">MUNOZ CACHIMBO</t>
  </si>
  <si>
    <t xml:space="preserve">HEINER.</t>
  </si>
  <si>
    <t xml:space="preserve">COLLAZOS CARVAJAL</t>
  </si>
  <si>
    <t xml:space="preserve">MIGUEL ANDRES</t>
  </si>
  <si>
    <t xml:space="preserve">MILLAN TAGUADO</t>
  </si>
  <si>
    <t xml:space="preserve">WILMER JOSE</t>
  </si>
  <si>
    <t xml:space="preserve">ORTIZ MICOLTA</t>
  </si>
  <si>
    <t xml:space="preserve">JHON BERNARDO</t>
  </si>
  <si>
    <t xml:space="preserve">MONTERO RAMIREZ</t>
  </si>
  <si>
    <t xml:space="preserve">CERON RENGIFO</t>
  </si>
  <si>
    <t xml:space="preserve">GARCIA CASTANO</t>
  </si>
  <si>
    <t xml:space="preserve">JORGE ANDRES</t>
  </si>
  <si>
    <t xml:space="preserve">JURADO GARCIA</t>
  </si>
  <si>
    <t xml:space="preserve">EIDER</t>
  </si>
  <si>
    <t xml:space="preserve">RUIZ SAENZ</t>
  </si>
  <si>
    <t xml:space="preserve">HERRERA ROLON</t>
  </si>
  <si>
    <t xml:space="preserve">WILMAN</t>
  </si>
  <si>
    <t xml:space="preserve">MONTOYA</t>
  </si>
  <si>
    <t xml:space="preserve">OTERO VIDAL</t>
  </si>
  <si>
    <t xml:space="preserve">CARLOS SAUL</t>
  </si>
  <si>
    <t xml:space="preserve">HERRERA ALVAREZ</t>
  </si>
  <si>
    <t xml:space="preserve">JORGE MARIO</t>
  </si>
  <si>
    <t xml:space="preserve">ZEMANATE</t>
  </si>
  <si>
    <t xml:space="preserve">CARLOS GUILLERMO</t>
  </si>
  <si>
    <t xml:space="preserve">LEMOS MARTINEZ</t>
  </si>
  <si>
    <t xml:space="preserve">DAVID ALEXANDER</t>
  </si>
  <si>
    <t xml:space="preserve">TABORDA AREVALO</t>
  </si>
  <si>
    <t xml:space="preserve">CARLOS ARIEL</t>
  </si>
  <si>
    <t xml:space="preserve">POVEDA CLAVIJO</t>
  </si>
  <si>
    <t xml:space="preserve">BALANTA MORALES</t>
  </si>
  <si>
    <t xml:space="preserve">JUAN FERNANDO</t>
  </si>
  <si>
    <t xml:space="preserve">CUENCA TRUJILLO</t>
  </si>
  <si>
    <t xml:space="preserve">MIRAMAG MUNOZ</t>
  </si>
  <si>
    <t xml:space="preserve">COOPERATIVA DE TRABAJADORES</t>
  </si>
  <si>
    <t xml:space="preserve">DE LA FUNDACION VALLE DEL LILI</t>
  </si>
  <si>
    <t xml:space="preserve">LOPEZ GARCIA</t>
  </si>
  <si>
    <t xml:space="preserve">SANTIAGO</t>
  </si>
  <si>
    <t xml:space="preserve">TIMANA IMBACHI</t>
  </si>
  <si>
    <t xml:space="preserve">GELEN YOJANA</t>
  </si>
  <si>
    <t xml:space="preserve">MANCILLA LERMA</t>
  </si>
  <si>
    <t xml:space="preserve">YENDY ROCIO</t>
  </si>
  <si>
    <t xml:space="preserve">CAICEDO SINISTERRA</t>
  </si>
  <si>
    <t xml:space="preserve">CLARIVEL</t>
  </si>
  <si>
    <t xml:space="preserve">ULABARRY</t>
  </si>
  <si>
    <t xml:space="preserve">KEVIN ALEXANDER</t>
  </si>
  <si>
    <t xml:space="preserve">RENGIFO FLOR</t>
  </si>
  <si>
    <t xml:space="preserve">HAROLD ALEXIS</t>
  </si>
  <si>
    <t xml:space="preserve">VIDAL CAICEDO</t>
  </si>
  <si>
    <t xml:space="preserve">CRISTIAN ANDRES</t>
  </si>
  <si>
    <t xml:space="preserve">FAJARDO VALDES</t>
  </si>
  <si>
    <t xml:space="preserve">MARITZA YULIANA</t>
  </si>
  <si>
    <t xml:space="preserve">LEDEZMA CUERO</t>
  </si>
  <si>
    <t xml:space="preserve">LIMKA MARY</t>
  </si>
  <si>
    <t xml:space="preserve">HERNANDEZ SALAZAR</t>
  </si>
  <si>
    <t xml:space="preserve">INGRID PAOLA</t>
  </si>
  <si>
    <t xml:space="preserve">VILLAQUIRAN JARAMILLO</t>
  </si>
  <si>
    <t xml:space="preserve">LINDA VALERIA</t>
  </si>
  <si>
    <t xml:space="preserve">SOSCUE GRIJALVA</t>
  </si>
  <si>
    <t xml:space="preserve">CRISTIAN ALBEIRO</t>
  </si>
  <si>
    <t xml:space="preserve">FORY SOLIS</t>
  </si>
  <si>
    <t xml:space="preserve">GISELA ANDREA</t>
  </si>
  <si>
    <t xml:space="preserve">MORENO RIVERA</t>
  </si>
  <si>
    <t xml:space="preserve">ANGIE DEL CARMEN</t>
  </si>
  <si>
    <t xml:space="preserve">RIOS AVILA</t>
  </si>
  <si>
    <t xml:space="preserve">YANDRY LORENA</t>
  </si>
  <si>
    <t xml:space="preserve">OLAYA TRUJILLO</t>
  </si>
  <si>
    <t xml:space="preserve">NANCY YIRLEI</t>
  </si>
  <si>
    <t xml:space="preserve">ORTIZ CASTILLO</t>
  </si>
  <si>
    <t xml:space="preserve">WASHINGTON ALEXANDER</t>
  </si>
  <si>
    <t xml:space="preserve">RENDON MONCADA</t>
  </si>
  <si>
    <t xml:space="preserve">ANGIE LORENA</t>
  </si>
  <si>
    <t xml:space="preserve">RAMOS LIZARAZO</t>
  </si>
  <si>
    <t xml:space="preserve">JORGE ELIECER</t>
  </si>
  <si>
    <t xml:space="preserve">CRIOLLO SANCHEZ</t>
  </si>
  <si>
    <t xml:space="preserve">NICOLE PAMELA</t>
  </si>
  <si>
    <t xml:space="preserve">PLATA AYALA</t>
  </si>
  <si>
    <t xml:space="preserve">NATALIA</t>
  </si>
  <si>
    <t xml:space="preserve">LERNA ESCOBAR</t>
  </si>
  <si>
    <t xml:space="preserve">STIGUAR</t>
  </si>
  <si>
    <t xml:space="preserve">RODRIGUEZ NICHOLLS</t>
  </si>
  <si>
    <t xml:space="preserve">FRANCO ROLDAN</t>
  </si>
  <si>
    <t xml:space="preserve">GERMAN CAMILO</t>
  </si>
  <si>
    <t xml:space="preserve">GONZALEZ PEREZ</t>
  </si>
  <si>
    <t xml:space="preserve">MURILLO ENRIQUEZ</t>
  </si>
  <si>
    <t xml:space="preserve">ESPINOSA ALVAREZ</t>
  </si>
  <si>
    <t xml:space="preserve">HUGO ARMANDO</t>
  </si>
  <si>
    <t xml:space="preserve">DELGADO AGUALIMPIA</t>
  </si>
  <si>
    <t xml:space="preserve">BRAYAN JUNIOR</t>
  </si>
  <si>
    <t xml:space="preserve">CUSPIAN GONZALEZ</t>
  </si>
  <si>
    <t xml:space="preserve">NATHALIE CAROLINA</t>
  </si>
  <si>
    <t xml:space="preserve">REVELO VELEZ</t>
  </si>
  <si>
    <t xml:space="preserve">CABEZAS VALENCIA</t>
  </si>
  <si>
    <t xml:space="preserve">INGRID JULIETH</t>
  </si>
  <si>
    <t xml:space="preserve">VELEZ BLANCO</t>
  </si>
  <si>
    <t xml:space="preserve">SARA</t>
  </si>
  <si>
    <t xml:space="preserve">VALENCIA GALLEGO</t>
  </si>
  <si>
    <t xml:space="preserve">SHARON DISNEY</t>
  </si>
  <si>
    <t xml:space="preserve">CUEVAS RIASCOS</t>
  </si>
  <si>
    <t xml:space="preserve">JHOAN SEBASTIAN</t>
  </si>
  <si>
    <t xml:space="preserve">TORRES ORDONEZ</t>
  </si>
  <si>
    <t xml:space="preserve">YESSICA ALEXANDRA</t>
  </si>
  <si>
    <t xml:space="preserve">LEDESMA CEBALLOS</t>
  </si>
  <si>
    <t xml:space="preserve">MAYERLI</t>
  </si>
  <si>
    <t xml:space="preserve">LOPEZ OSPINA</t>
  </si>
  <si>
    <t xml:space="preserve">JOHN ESTEBAN</t>
  </si>
  <si>
    <t xml:space="preserve">HERNANDEZ SANCHEZ</t>
  </si>
  <si>
    <t xml:space="preserve">STEFANY</t>
  </si>
  <si>
    <t xml:space="preserve">TENORIO</t>
  </si>
  <si>
    <t xml:space="preserve">KARELIZ STEPHANY</t>
  </si>
  <si>
    <t xml:space="preserve">CARABALI LOZANO</t>
  </si>
  <si>
    <t xml:space="preserve">ORIANA YIRETH</t>
  </si>
  <si>
    <t xml:space="preserve">QUIGUA SERNA</t>
  </si>
  <si>
    <t xml:space="preserve">ANGIE VALENTINA</t>
  </si>
  <si>
    <t xml:space="preserve">LONDONO LEITON</t>
  </si>
  <si>
    <t xml:space="preserve">ANGIE DANIELA</t>
  </si>
  <si>
    <t xml:space="preserve">CARDONA SOTO</t>
  </si>
  <si>
    <t xml:space="preserve">LEIDY MANUELA</t>
  </si>
  <si>
    <t xml:space="preserve">VELEZ RODRIGUEZ</t>
  </si>
  <si>
    <t xml:space="preserve">NICOL NATALIA</t>
  </si>
  <si>
    <t xml:space="preserve">URBANO BRAVO</t>
  </si>
  <si>
    <t xml:space="preserve">URREA PAJA</t>
  </si>
  <si>
    <t xml:space="preserve">VALENTINA</t>
  </si>
  <si>
    <t xml:space="preserve">CAMINO VILLAMIL</t>
  </si>
  <si>
    <t xml:space="preserve">MARIA JOSE</t>
  </si>
  <si>
    <t xml:space="preserve">CASTRO RESTREPO</t>
  </si>
  <si>
    <t xml:space="preserve">KAROLINA</t>
  </si>
  <si>
    <t xml:space="preserve">ZULES MEJIA</t>
  </si>
  <si>
    <t xml:space="preserve">LAURA ISABEL</t>
  </si>
  <si>
    <t xml:space="preserve">COLLAZOS BARRIOS</t>
  </si>
  <si>
    <t xml:space="preserve">ISABELLA</t>
  </si>
  <si>
    <t xml:space="preserve">MARIN MACCA</t>
  </si>
  <si>
    <t xml:space="preserve">DANIEL SANTIAGO</t>
  </si>
  <si>
    <t xml:space="preserve">ARANGO MERCADO</t>
  </si>
  <si>
    <t xml:space="preserve">MARIA PAULA</t>
  </si>
  <si>
    <t xml:space="preserve">FORERO VILLAFANE</t>
  </si>
  <si>
    <t xml:space="preserve">MARIANA</t>
  </si>
  <si>
    <t xml:space="preserve">TORRES PRADO</t>
  </si>
  <si>
    <t xml:space="preserve">MARIA CAMILA</t>
  </si>
  <si>
    <t xml:space="preserve">PRADO RODRIGUEZ</t>
  </si>
  <si>
    <t xml:space="preserve">DEVIA MONEDERO</t>
  </si>
  <si>
    <t xml:space="preserve">CRIOLLO BURGOS</t>
  </si>
  <si>
    <t xml:space="preserve">CRISTINA</t>
  </si>
  <si>
    <t xml:space="preserve">VALENCIA IPIALES</t>
  </si>
  <si>
    <t xml:space="preserve">CAPOTE RODRIGUEZ</t>
  </si>
  <si>
    <t xml:space="preserve">LOZANO CEBALLOS</t>
  </si>
  <si>
    <t xml:space="preserve">BRAYAN STEVEN</t>
  </si>
  <si>
    <t xml:space="preserve">VIVAS RODRIGUEZ</t>
  </si>
  <si>
    <t xml:space="preserve">MARYI ANDREA</t>
  </si>
  <si>
    <t xml:space="preserve">CORTES CORTES</t>
  </si>
  <si>
    <t xml:space="preserve">LENIS VALENTINA</t>
  </si>
  <si>
    <t xml:space="preserve">BETANCUR ACOSTA</t>
  </si>
  <si>
    <t xml:space="preserve">KENLLY VIVIANA</t>
  </si>
  <si>
    <t xml:space="preserve">MONTENEGRO FIGUEROA</t>
  </si>
  <si>
    <t xml:space="preserve">YEFERSON STIVEN</t>
  </si>
  <si>
    <t xml:space="preserve">ORDONEZ GONZALEZ</t>
  </si>
  <si>
    <t xml:space="preserve">YISETH FERNANDA</t>
  </si>
  <si>
    <t xml:space="preserve">MONTOYA LAGUNA</t>
  </si>
  <si>
    <t xml:space="preserve">LUISA FERNNADA</t>
  </si>
  <si>
    <t xml:space="preserve">QUINTERO REINA</t>
  </si>
  <si>
    <t xml:space="preserve">LINDA YULITZA</t>
  </si>
  <si>
    <t xml:space="preserve">TORIJANO BONILLA</t>
  </si>
  <si>
    <t xml:space="preserve">JHON DELVIS</t>
  </si>
  <si>
    <t xml:space="preserve">LENIS GRUESO</t>
  </si>
  <si>
    <t xml:space="preserve">VIVIAN DANIELA</t>
  </si>
  <si>
    <t xml:space="preserve">DIAZ JOAQUI</t>
  </si>
  <si>
    <t xml:space="preserve">JAZMIN</t>
  </si>
  <si>
    <t xml:space="preserve">MESTIZO CRUZ</t>
  </si>
  <si>
    <t xml:space="preserve">KENSY DAHIANA</t>
  </si>
  <si>
    <t xml:space="preserve">ZUNIGA LOPEZ</t>
  </si>
  <si>
    <t xml:space="preserve">CARDONA MONTOYA</t>
  </si>
  <si>
    <t xml:space="preserve">TIFANY MICHELEE</t>
  </si>
  <si>
    <t xml:space="preserve">GIL MOTATO</t>
  </si>
  <si>
    <t xml:space="preserve">URREGO OSPINA</t>
  </si>
  <si>
    <t xml:space="preserve">ANLLY TATIANA</t>
  </si>
  <si>
    <t xml:space="preserve">MERA ROSERO</t>
  </si>
  <si>
    <t xml:space="preserve">ARIAS BRAN</t>
  </si>
  <si>
    <t xml:space="preserve">YERFERSON</t>
  </si>
  <si>
    <t xml:space="preserve">PENA RODRIGUEZ</t>
  </si>
  <si>
    <t xml:space="preserve">JUANITA LOREN</t>
  </si>
  <si>
    <t xml:space="preserve">RENGIFO RODRIGUEZ</t>
  </si>
  <si>
    <t xml:space="preserve">LAURA VALENTINA</t>
  </si>
  <si>
    <t xml:space="preserve">GONZALEZ MORENO</t>
  </si>
  <si>
    <t xml:space="preserve">LOREN DANIELA</t>
  </si>
  <si>
    <t xml:space="preserve">TORO ACOSTA</t>
  </si>
  <si>
    <t xml:space="preserve">ANGELA YISEL</t>
  </si>
  <si>
    <t xml:space="preserve">VALENCIA VALENCIA</t>
  </si>
  <si>
    <t xml:space="preserve">BETTY FRANCISCA</t>
  </si>
  <si>
    <t xml:space="preserve">OVIEDO ROSERO</t>
  </si>
  <si>
    <t xml:space="preserve">LEIDY TATIANA</t>
  </si>
  <si>
    <t xml:space="preserve">PACHECO BENAVIDES</t>
  </si>
  <si>
    <t xml:space="preserve">JAVE RIVAS</t>
  </si>
  <si>
    <t xml:space="preserve">GONZALEZ TRIVINO</t>
  </si>
  <si>
    <t xml:space="preserve">KAREN YULIANA</t>
  </si>
  <si>
    <t xml:space="preserve">OREJUELA ARTEAGA</t>
  </si>
  <si>
    <t xml:space="preserve">DANIELA FERNANDA</t>
  </si>
  <si>
    <t xml:space="preserve">GARCIA SANDOBAL</t>
  </si>
  <si>
    <t xml:space="preserve">LOAIZA RENGIFO</t>
  </si>
  <si>
    <t xml:space="preserve">CARVAJAL CARDONE</t>
  </si>
  <si>
    <t xml:space="preserve">VELASCO VELASCO</t>
  </si>
  <si>
    <t xml:space="preserve">NESLY YISEET</t>
  </si>
  <si>
    <t xml:space="preserve">RODRIGUEZ GUTIERREZ</t>
  </si>
  <si>
    <t xml:space="preserve">FLECHAS GUZMAN</t>
  </si>
  <si>
    <t xml:space="preserve">JESSICA LORENA</t>
  </si>
  <si>
    <t xml:space="preserve">CUARAN ORDONEZ</t>
  </si>
  <si>
    <t xml:space="preserve">FELIPE ARNOLDO</t>
  </si>
  <si>
    <t xml:space="preserve">INSANDARA RUANO</t>
  </si>
  <si>
    <t xml:space="preserve">DIANA LIZETTH</t>
  </si>
  <si>
    <t xml:space="preserve">ACOSTO PALACIO</t>
  </si>
  <si>
    <t xml:space="preserve">FONSECA MEJIA</t>
  </si>
  <si>
    <t xml:space="preserve">ARCOS MONROY</t>
  </si>
  <si>
    <t xml:space="preserve">LUISA ALEJANDRA</t>
  </si>
  <si>
    <t xml:space="preserve">MARTINEZ SANTAMARIA</t>
  </si>
  <si>
    <t xml:space="preserve">LAURA</t>
  </si>
  <si>
    <t xml:space="preserve">OCAMPO MORENO</t>
  </si>
  <si>
    <t xml:space="preserve">SEBATIAN</t>
  </si>
  <si>
    <t xml:space="preserve">CARDONA RODRIGUEZ</t>
  </si>
  <si>
    <t xml:space="preserve">MARRUGO MACHUCA</t>
  </si>
  <si>
    <t xml:space="preserve">OSCAR IVAN</t>
  </si>
  <si>
    <t xml:space="preserve">RODAS MUNOZ</t>
  </si>
  <si>
    <t xml:space="preserve">LUISA FERNANDA</t>
  </si>
  <si>
    <t xml:space="preserve">PALMERA AYALA</t>
  </si>
  <si>
    <t xml:space="preserve">JEFERZON AGUSTO</t>
  </si>
  <si>
    <t xml:space="preserve">LEIVA HERNANDEZ</t>
  </si>
  <si>
    <t xml:space="preserve">JOAN MANUEL</t>
  </si>
  <si>
    <t xml:space="preserve">BARROS FONTALVO</t>
  </si>
  <si>
    <t xml:space="preserve">KARINA LUZ</t>
  </si>
  <si>
    <t xml:space="preserve">CUELLO MEZA</t>
  </si>
  <si>
    <t xml:space="preserve">CHRISTIAN CAMILO</t>
  </si>
  <si>
    <t xml:space="preserve">MERCADO ZABALA</t>
  </si>
  <si>
    <t xml:space="preserve">OMAR JOSE</t>
  </si>
  <si>
    <t xml:space="preserve">SOLIS SOTOMAYOR</t>
  </si>
  <si>
    <t xml:space="preserve">YISETH MARCELA</t>
  </si>
  <si>
    <t xml:space="preserve">GARCIA BONILLA</t>
  </si>
  <si>
    <t xml:space="preserve">MARIA MONICA</t>
  </si>
  <si>
    <t xml:space="preserve">CASTRO SAYA</t>
  </si>
  <si>
    <t xml:space="preserve">YASNEIRA</t>
  </si>
  <si>
    <t xml:space="preserve">GIRALDO VALENCIA </t>
  </si>
  <si>
    <t xml:space="preserve">CRISTHIAN FERNANDO</t>
  </si>
  <si>
    <t xml:space="preserve">RAMIREZ MONTOYA</t>
  </si>
  <si>
    <t xml:space="preserve">PAOLA ALEJANDRA</t>
  </si>
  <si>
    <t xml:space="preserve">CASANOVA NOGUERA</t>
  </si>
  <si>
    <t xml:space="preserve">MABEL OFELIA</t>
  </si>
  <si>
    <t xml:space="preserve">AGUIRRE JIMENEZ</t>
  </si>
  <si>
    <t xml:space="preserve">WINDY JULIETH</t>
  </si>
  <si>
    <t xml:space="preserve">GIRALDO NIETO</t>
  </si>
  <si>
    <t xml:space="preserve">CLAUDIA YINETH</t>
  </si>
  <si>
    <t xml:space="preserve">LOPEZ HINCAPIE</t>
  </si>
  <si>
    <t xml:space="preserve">ERIKA JOHANA|</t>
  </si>
  <si>
    <t xml:space="preserve">CORREA GIRALDO</t>
  </si>
  <si>
    <t xml:space="preserve">GREGORY GOMEZ</t>
  </si>
  <si>
    <t xml:space="preserve">QUINAYAS MARTINEZ</t>
  </si>
  <si>
    <t xml:space="preserve">DEISY ANDREA</t>
  </si>
  <si>
    <t xml:space="preserve">PATINO CAMAYO</t>
  </si>
  <si>
    <t xml:space="preserve">NAYADIS</t>
  </si>
  <si>
    <t xml:space="preserve">VIDAL LOPEZ</t>
  </si>
  <si>
    <t xml:space="preserve">YULIANA</t>
  </si>
  <si>
    <t xml:space="preserve">GONZALEZ GUAPACHA</t>
  </si>
  <si>
    <t xml:space="preserve">CINDY LORENA</t>
  </si>
  <si>
    <t xml:space="preserve">SOLORZANO TABARES</t>
  </si>
  <si>
    <t xml:space="preserve">CINDY JOHANNA</t>
  </si>
  <si>
    <t xml:space="preserve">IBARRA CARABALI</t>
  </si>
  <si>
    <t xml:space="preserve">YANELY</t>
  </si>
  <si>
    <t xml:space="preserve">GOMEZ VELEZ</t>
  </si>
  <si>
    <t xml:space="preserve">KAREN SIRLEY</t>
  </si>
  <si>
    <t xml:space="preserve">LUCUMI CARABALI</t>
  </si>
  <si>
    <t xml:space="preserve">SINDY LORENA</t>
  </si>
  <si>
    <t xml:space="preserve">VELASCO CHURI</t>
  </si>
  <si>
    <t xml:space="preserve">HURTADO GRANJA</t>
  </si>
  <si>
    <t xml:space="preserve">GUTIERREZ SANCHEZ</t>
  </si>
  <si>
    <t xml:space="preserve">MEDINA GONZALIAS</t>
  </si>
  <si>
    <t xml:space="preserve">MOZO COLORADO</t>
  </si>
  <si>
    <t xml:space="preserve">YENNY YANETH</t>
  </si>
  <si>
    <t xml:space="preserve">SANCHEZ SIERRA</t>
  </si>
  <si>
    <t xml:space="preserve">SANDRA MARCELA</t>
  </si>
  <si>
    <t xml:space="preserve">GRANADA RAMIREZ</t>
  </si>
  <si>
    <t xml:space="preserve">JUAN CAMILO</t>
  </si>
  <si>
    <t xml:space="preserve">MORALES YALANDA</t>
  </si>
  <si>
    <t xml:space="preserve">DIAZ VILLEGAS</t>
  </si>
  <si>
    <t xml:space="preserve">DANY FELIPE</t>
  </si>
  <si>
    <t xml:space="preserve">RUIZ VALENCIA</t>
  </si>
  <si>
    <t xml:space="preserve">ANYELA MARCELA</t>
  </si>
  <si>
    <t xml:space="preserve">MINAYO VARGAS</t>
  </si>
  <si>
    <t xml:space="preserve">CASTRO ESCOBAR</t>
  </si>
  <si>
    <t xml:space="preserve">ZINDY ALEXANDRA</t>
  </si>
  <si>
    <t xml:space="preserve">CLAROS ULLUNE</t>
  </si>
  <si>
    <t xml:space="preserve">LUIS ENRIQUE</t>
  </si>
  <si>
    <t xml:space="preserve">CERON LUBO</t>
  </si>
  <si>
    <t xml:space="preserve">CERON CAMPO</t>
  </si>
  <si>
    <t xml:space="preserve">OSEJO VARONA</t>
  </si>
  <si>
    <t xml:space="preserve">COLORADO OCORO</t>
  </si>
  <si>
    <t xml:space="preserve">MAYRA ALEJANDRA</t>
  </si>
  <si>
    <t xml:space="preserve">GONZALEZ CASAS</t>
  </si>
  <si>
    <t xml:space="preserve">MARIA ANTONIA</t>
  </si>
  <si>
    <t xml:space="preserve">JIMENEZ NAVIA</t>
  </si>
  <si>
    <t xml:space="preserve">DIDIER</t>
  </si>
  <si>
    <t xml:space="preserve">MONTANO PALOMINO</t>
  </si>
  <si>
    <t xml:space="preserve">YUDI VANESSA</t>
  </si>
  <si>
    <t xml:space="preserve">ANGULO QUISOBONY</t>
  </si>
  <si>
    <t xml:space="preserve">DEYCY FERNANDA</t>
  </si>
  <si>
    <t xml:space="preserve">VELASCO OLANO</t>
  </si>
  <si>
    <t xml:space="preserve">CASTRO FORY</t>
  </si>
  <si>
    <t xml:space="preserve">MEZU FIGUEROA</t>
  </si>
  <si>
    <t xml:space="preserve">VIVIAN LISET</t>
  </si>
  <si>
    <t xml:space="preserve">BARNEY OROZCO</t>
  </si>
  <si>
    <t xml:space="preserve">HINGRI JOVANA</t>
  </si>
  <si>
    <t xml:space="preserve">VELASCO CARBONERO</t>
  </si>
  <si>
    <t xml:space="preserve">ANDRES FELIPE</t>
  </si>
  <si>
    <t xml:space="preserve">POMAR HERRERA</t>
  </si>
  <si>
    <t xml:space="preserve">GUSTAVO ADOLFO</t>
  </si>
  <si>
    <t xml:space="preserve">FAJARDO RAMIREZ</t>
  </si>
  <si>
    <t xml:space="preserve">JENNY TATIANA</t>
  </si>
  <si>
    <t xml:space="preserve">RAMOS TENGANO</t>
  </si>
  <si>
    <t xml:space="preserve">NATALIA ANDREA</t>
  </si>
  <si>
    <t xml:space="preserve">ARRIETA YUCUMA</t>
  </si>
  <si>
    <t xml:space="preserve">CARABALI CARABALI</t>
  </si>
  <si>
    <t xml:space="preserve">LAURA MARCELA</t>
  </si>
  <si>
    <t xml:space="preserve">VILLANUEVA SECUE</t>
  </si>
  <si>
    <t xml:space="preserve">EDWARD ANDRES</t>
  </si>
  <si>
    <t xml:space="preserve">CASARAN CORTES</t>
  </si>
  <si>
    <t xml:space="preserve">BALANTA GARCIA</t>
  </si>
  <si>
    <t xml:space="preserve">ALVARO JAVIER</t>
  </si>
  <si>
    <t xml:space="preserve">MAMIAN MAMIAN</t>
  </si>
  <si>
    <t xml:space="preserve">TANIA VANESA</t>
  </si>
  <si>
    <t xml:space="preserve">CAIZA NARVAEZ</t>
  </si>
  <si>
    <t xml:space="preserve">YINER EFREY</t>
  </si>
  <si>
    <t xml:space="preserve">BOLANOS HURTADO</t>
  </si>
  <si>
    <t xml:space="preserve">BERTHA ALEJANDRA</t>
  </si>
  <si>
    <t xml:space="preserve">CASSO DICUE</t>
  </si>
  <si>
    <t xml:space="preserve">LISBETH LORENA</t>
  </si>
  <si>
    <t xml:space="preserve">MENDOZA GARCIA</t>
  </si>
  <si>
    <t xml:space="preserve">NEYRIS</t>
  </si>
  <si>
    <t xml:space="preserve">MOLINA ROBINSON</t>
  </si>
  <si>
    <t xml:space="preserve">YOLIMA ANDREA</t>
  </si>
  <si>
    <t xml:space="preserve">JIMENEZ COGOLLO</t>
  </si>
  <si>
    <t xml:space="preserve">SIRLY YAREI</t>
  </si>
  <si>
    <t xml:space="preserve">SANTANDER DE QUILICHAO</t>
  </si>
  <si>
    <t xml:space="preserve">RAMOS GENES</t>
  </si>
  <si>
    <t xml:space="preserve">LUNA GONZALEZ</t>
  </si>
  <si>
    <t xml:space="preserve">MARELVI MARIA</t>
  </si>
  <si>
    <t xml:space="preserve">FLOREZ CHAUX</t>
  </si>
  <si>
    <t xml:space="preserve">JOHN STIVEN</t>
  </si>
  <si>
    <t xml:space="preserve">ROJAS JARA</t>
  </si>
  <si>
    <t xml:space="preserve">WILBERTO</t>
  </si>
  <si>
    <t xml:space="preserve">CAMACHO VANEGAS</t>
  </si>
  <si>
    <t xml:space="preserve">CLAUDIA PATRICIA</t>
  </si>
  <si>
    <t xml:space="preserve">MARTINEZ MORENO</t>
  </si>
  <si>
    <t xml:space="preserve">RITA MARIA</t>
  </si>
  <si>
    <t xml:space="preserve">ALEMAN  OSPINO</t>
  </si>
  <si>
    <t xml:space="preserve">DASNEIDA DANITH</t>
  </si>
  <si>
    <t xml:space="preserve">OJEDA ORDONEZ</t>
  </si>
  <si>
    <t xml:space="preserve">KENEDY</t>
  </si>
  <si>
    <t xml:space="preserve">LANDAZURY CASANOVA</t>
  </si>
  <si>
    <t xml:space="preserve">CRUZ MALEIDA</t>
  </si>
  <si>
    <t xml:space="preserve">AVENDANO BARRANCO</t>
  </si>
  <si>
    <t xml:space="preserve">YENIRETH SASTITH</t>
  </si>
  <si>
    <t xml:space="preserve">FRAGA MEJIA</t>
  </si>
  <si>
    <t xml:space="preserve">BARCENAS ENRIQUEZ</t>
  </si>
  <si>
    <t xml:space="preserve">INGRID LORENA</t>
  </si>
  <si>
    <t xml:space="preserve">MORAN CONSTAIN</t>
  </si>
  <si>
    <t xml:space="preserve">ANDREA NATHALY</t>
  </si>
  <si>
    <t xml:space="preserve">ARTEAGA IBARRA</t>
  </si>
  <si>
    <t xml:space="preserve">INGRID KARINA</t>
  </si>
  <si>
    <t xml:space="preserve">PIANDA LABRADA</t>
  </si>
  <si>
    <t xml:space="preserve">ANDRES ESTEBAN</t>
  </si>
  <si>
    <t xml:space="preserve">RIASCOS MORAN</t>
  </si>
  <si>
    <t xml:space="preserve">LEYDY NATHALIA</t>
  </si>
  <si>
    <t xml:space="preserve">SEIDEL AGUILERA</t>
  </si>
  <si>
    <t xml:space="preserve">JACQUELINE</t>
  </si>
  <si>
    <t xml:space="preserve">GUERRERO BOLANOS</t>
  </si>
  <si>
    <t xml:space="preserve">SARITA JULIE</t>
  </si>
  <si>
    <t xml:space="preserve">DAZA</t>
  </si>
  <si>
    <t xml:space="preserve">MARIA JIMENA</t>
  </si>
  <si>
    <t xml:space="preserve">MONTILLA GARCIA</t>
  </si>
  <si>
    <t xml:space="preserve">DIANA MANYELY</t>
  </si>
  <si>
    <t xml:space="preserve">SOLARTE MARTINEZ</t>
  </si>
  <si>
    <t xml:space="preserve">YOHANA ESTEFANY</t>
  </si>
  <si>
    <t xml:space="preserve">OVIEDO BOLANOS</t>
  </si>
  <si>
    <t xml:space="preserve">MADDELY VANESSA</t>
  </si>
  <si>
    <t xml:space="preserve">ORTEGA ORTEGA</t>
  </si>
  <si>
    <t xml:space="preserve">HERSON ORLANDO</t>
  </si>
  <si>
    <t xml:space="preserve">DELGADO CRUZ</t>
  </si>
  <si>
    <t xml:space="preserve">BIBIANA CARMENZA</t>
  </si>
  <si>
    <t xml:space="preserve">ORTIZ CUERO</t>
  </si>
  <si>
    <t xml:space="preserve">PURA ZORAIDA</t>
  </si>
  <si>
    <t xml:space="preserve">ERASO IDROBO</t>
  </si>
  <si>
    <t xml:space="preserve">YODANCI MABEL</t>
  </si>
  <si>
    <t xml:space="preserve">PEREA HERNANDEZ</t>
  </si>
  <si>
    <t xml:space="preserve">FRANCIS BETINA</t>
  </si>
  <si>
    <t xml:space="preserve">AGUINO TORRES</t>
  </si>
  <si>
    <t xml:space="preserve">ALEX RUBEN</t>
  </si>
  <si>
    <t xml:space="preserve">ORTEGA TORRES</t>
  </si>
  <si>
    <t xml:space="preserve">MERCI</t>
  </si>
  <si>
    <t xml:space="preserve">CORTES PLAZA</t>
  </si>
  <si>
    <t xml:space="preserve">MARYORI CAROLINA</t>
  </si>
  <si>
    <t xml:space="preserve">ORDONEZ PRECIADO</t>
  </si>
  <si>
    <t xml:space="preserve">ZUANI VANESSA</t>
  </si>
  <si>
    <t xml:space="preserve">RODRIGUEZ RIASCOS</t>
  </si>
  <si>
    <t xml:space="preserve">JOSE EDINSON</t>
  </si>
  <si>
    <t xml:space="preserve">TENORIO CASTILLO</t>
  </si>
  <si>
    <t xml:space="preserve">KATHERIN BARNEY</t>
  </si>
  <si>
    <t xml:space="preserve">ROJAS OCAMPO</t>
  </si>
  <si>
    <t xml:space="preserve">ROSERO LEMOS</t>
  </si>
  <si>
    <t xml:space="preserve">LINDA LORENA</t>
  </si>
  <si>
    <t xml:space="preserve">RUBIO PUERTA</t>
  </si>
  <si>
    <t xml:space="preserve">MARIA ESTEFANY</t>
  </si>
  <si>
    <t xml:space="preserve">YEPES GONZALEZ</t>
  </si>
  <si>
    <t xml:space="preserve">BRENDA VANESSA</t>
  </si>
  <si>
    <t xml:space="preserve">GALLO ARIAS</t>
  </si>
  <si>
    <t xml:space="preserve">WILDER ANDREDI</t>
  </si>
  <si>
    <t xml:space="preserve">BETANCOURT PEREZ</t>
  </si>
  <si>
    <t xml:space="preserve">RIVERA CORONEL</t>
  </si>
  <si>
    <t xml:space="preserve">NAYSHA MISHEL</t>
  </si>
  <si>
    <t xml:space="preserve">BENITEZ LOPEZ</t>
  </si>
  <si>
    <t xml:space="preserve">ANA MILEDY</t>
  </si>
  <si>
    <t xml:space="preserve">MEJIA COBILLA</t>
  </si>
  <si>
    <t xml:space="preserve">JOHNATTAN DAVID</t>
  </si>
  <si>
    <t xml:space="preserve">BERMUDEZ GOMEZ</t>
  </si>
  <si>
    <t xml:space="preserve">VITERI QUISCUALTUD</t>
  </si>
  <si>
    <t xml:space="preserve">LEIDY PATRICIA</t>
  </si>
  <si>
    <t xml:space="preserve">ALZATE ORTIZ</t>
  </si>
  <si>
    <t xml:space="preserve">VIVIANA ANDREA</t>
  </si>
  <si>
    <t xml:space="preserve">DIAZ SASTOQUE</t>
  </si>
  <si>
    <t xml:space="preserve">CINDY TATIANA</t>
  </si>
  <si>
    <t xml:space="preserve">ZAMORA DIAZ</t>
  </si>
  <si>
    <t xml:space="preserve">IDROBO MERCHANCANO</t>
  </si>
  <si>
    <t xml:space="preserve">ANGIE CAROLINA</t>
  </si>
  <si>
    <t xml:space="preserve">RODRIGUEZ IZQUIERDO</t>
  </si>
  <si>
    <t xml:space="preserve">KAROL LICETH</t>
  </si>
  <si>
    <t xml:space="preserve">HERRERA MOLINA</t>
  </si>
  <si>
    <t xml:space="preserve">LEIDY ALEXANDRA</t>
  </si>
  <si>
    <t xml:space="preserve">ORTIZ ORDONEZ</t>
  </si>
  <si>
    <t xml:space="preserve">FRANCIA ASTRID</t>
  </si>
  <si>
    <t xml:space="preserve">NARVAEZ JIMENEZ</t>
  </si>
  <si>
    <t xml:space="preserve">SANCHEZ MORENO</t>
  </si>
  <si>
    <t xml:space="preserve">JOHN ALEXANDER</t>
  </si>
  <si>
    <t xml:space="preserve">VILLA QUEBRADA</t>
  </si>
  <si>
    <t xml:space="preserve">KATHERIN</t>
  </si>
  <si>
    <t xml:space="preserve">GRISALES MORENO</t>
  </si>
  <si>
    <t xml:space="preserve">LOZANO PRADO</t>
  </si>
  <si>
    <t xml:space="preserve">FERNANDEZ PRADA</t>
  </si>
  <si>
    <t xml:space="preserve">CARLOS DAVINSI</t>
  </si>
  <si>
    <t xml:space="preserve">MORALES ALVIS</t>
  </si>
  <si>
    <t xml:space="preserve">MARTINEZ ROJAS</t>
  </si>
  <si>
    <t xml:space="preserve">STEPHANY</t>
  </si>
  <si>
    <t xml:space="preserve">ANTURI ZEA</t>
  </si>
  <si>
    <t xml:space="preserve">OLARTE SILVA</t>
  </si>
  <si>
    <t xml:space="preserve">SEBASTIAN</t>
  </si>
  <si>
    <t xml:space="preserve">MOLINA CAICEDO</t>
  </si>
  <si>
    <t xml:space="preserve">HAROLD ANDRES</t>
  </si>
  <si>
    <t xml:space="preserve">MULATO OLAYA</t>
  </si>
  <si>
    <t xml:space="preserve">KELLY GIOVANA</t>
  </si>
  <si>
    <t xml:space="preserve">GOMEZ LEIVA</t>
  </si>
  <si>
    <t xml:space="preserve">DAVILA VALENCIA</t>
  </si>
  <si>
    <t xml:space="preserve">JACKELIN</t>
  </si>
  <si>
    <t xml:space="preserve">FLOR OTERO</t>
  </si>
  <si>
    <t xml:space="preserve">ANGIE YULIETH</t>
  </si>
  <si>
    <t xml:space="preserve">AGUIRRE CORTEZ</t>
  </si>
  <si>
    <t xml:space="preserve">HURTADO CANAVERAL</t>
  </si>
  <si>
    <t xml:space="preserve">MEJIA MONTES</t>
  </si>
  <si>
    <t xml:space="preserve">GALLEGO SERNA</t>
  </si>
  <si>
    <t xml:space="preserve">SILVANA ESTEFANIA</t>
  </si>
  <si>
    <t xml:space="preserve">LONDONO SANCHEZ</t>
  </si>
  <si>
    <t xml:space="preserve">SERNA BECOCHE</t>
  </si>
  <si>
    <t xml:space="preserve">FABIO ANDRES</t>
  </si>
  <si>
    <t xml:space="preserve">ANAYA TROYANO</t>
  </si>
  <si>
    <t xml:space="preserve">MARTINEZ CUASQUEN</t>
  </si>
  <si>
    <t xml:space="preserve">OSORIO LOZANO</t>
  </si>
  <si>
    <t xml:space="preserve">DANIELA ANDREA</t>
  </si>
  <si>
    <t xml:space="preserve">ZUNIGA FERNANDEZ</t>
  </si>
  <si>
    <t xml:space="preserve">JEFERSON</t>
  </si>
  <si>
    <t xml:space="preserve">VASQUEZ MARIN</t>
  </si>
  <si>
    <t xml:space="preserve">LEYDI TATIANA</t>
  </si>
  <si>
    <t xml:space="preserve">RAMIREZ VALENCIA</t>
  </si>
  <si>
    <t xml:space="preserve">MARIA DEL MAR</t>
  </si>
  <si>
    <t xml:space="preserve">CHANGO RESTREPO</t>
  </si>
  <si>
    <t xml:space="preserve">BRAYAN STIVEN</t>
  </si>
  <si>
    <t xml:space="preserve">GARCIA MORALES</t>
  </si>
  <si>
    <t xml:space="preserve">VERGARA CASTANO</t>
  </si>
  <si>
    <t xml:space="preserve">STEFANIE</t>
  </si>
  <si>
    <t xml:space="preserve">VILLEGAS GRISALES</t>
  </si>
  <si>
    <t xml:space="preserve">RICHARD ALEJANDRO</t>
  </si>
  <si>
    <t xml:space="preserve">MARQUEZ SILVA</t>
  </si>
  <si>
    <t xml:space="preserve">DANIELA</t>
  </si>
  <si>
    <t xml:space="preserve">LOPEZ GONZALEZ</t>
  </si>
  <si>
    <t xml:space="preserve">MIRYAM FERNANDA</t>
  </si>
  <si>
    <t xml:space="preserve">PAEZ OTERO</t>
  </si>
  <si>
    <t xml:space="preserve">MADRONERO ROSERO</t>
  </si>
  <si>
    <t xml:space="preserve">ELKIN ARLEY</t>
  </si>
  <si>
    <t xml:space="preserve">HURTADO POMEO</t>
  </si>
  <si>
    <t xml:space="preserve">DANNA MARCELA</t>
  </si>
  <si>
    <t xml:space="preserve">URCUQUI MILLAN</t>
  </si>
  <si>
    <t xml:space="preserve">SALINAS RENGIFO</t>
  </si>
  <si>
    <t xml:space="preserve">NORMA ALEXANDRA</t>
  </si>
  <si>
    <t xml:space="preserve">VIDAL CASTANEDA</t>
  </si>
  <si>
    <t xml:space="preserve">LICETH ADRIANA</t>
  </si>
  <si>
    <t xml:space="preserve">BERNAL ERASO</t>
  </si>
  <si>
    <t xml:space="preserve">MAIRA ALEJANDRA</t>
  </si>
  <si>
    <t xml:space="preserve">GALVIS CATANO</t>
  </si>
  <si>
    <t xml:space="preserve">FERNANDEZ MACIAS</t>
  </si>
  <si>
    <t xml:space="preserve">JOHAN CAMILO</t>
  </si>
  <si>
    <t xml:space="preserve">ORTIZ CORDOBA</t>
  </si>
  <si>
    <t xml:space="preserve">MORENO BRITO</t>
  </si>
  <si>
    <t xml:space="preserve">VALERIA</t>
  </si>
  <si>
    <t xml:space="preserve">PERDOMO CHILITO</t>
  </si>
  <si>
    <t xml:space="preserve">ROJAS HOYOS</t>
  </si>
  <si>
    <t xml:space="preserve">JUAN DAVID</t>
  </si>
  <si>
    <t xml:space="preserve">MORIONES GARCES</t>
  </si>
  <si>
    <t xml:space="preserve">KAREN DAYANNA</t>
  </si>
  <si>
    <t xml:space="preserve">VACA MUNOZ</t>
  </si>
  <si>
    <t xml:space="preserve">BENAVIDES CANDEZANO</t>
  </si>
  <si>
    <t xml:space="preserve">NARVAEZ CASTRO</t>
  </si>
  <si>
    <t xml:space="preserve">ELY TATIANA</t>
  </si>
  <si>
    <t xml:space="preserve">BURBANO BOLANOS</t>
  </si>
  <si>
    <t xml:space="preserve">ALEXA YURLIETH</t>
  </si>
  <si>
    <t xml:space="preserve">SANDOVAL CALERO</t>
  </si>
  <si>
    <t xml:space="preserve">MORALES CARABALI</t>
  </si>
  <si>
    <t xml:space="preserve">KAROL MICHELL</t>
  </si>
  <si>
    <t xml:space="preserve">BARBOSA CARDONA</t>
  </si>
  <si>
    <t xml:space="preserve">GERALDINE</t>
  </si>
  <si>
    <t xml:space="preserve">GAVIRIA ERAZO</t>
  </si>
  <si>
    <t xml:space="preserve">SERGIO ENRIQUE</t>
  </si>
  <si>
    <t xml:space="preserve">GOMEZ NUNEZ</t>
  </si>
  <si>
    <t xml:space="preserve">ANGGIE NATHALY</t>
  </si>
  <si>
    <t xml:space="preserve">AGUIRRE CARMONA</t>
  </si>
  <si>
    <t xml:space="preserve">ZUNIGA OLAVE</t>
  </si>
  <si>
    <t xml:space="preserve">PADILLA BETANCOURT</t>
  </si>
  <si>
    <t xml:space="preserve">CARLA JIMENA</t>
  </si>
  <si>
    <t xml:space="preserve">CASTANO CASTILLO</t>
  </si>
  <si>
    <t xml:space="preserve">BOCANEGRA GONZALEZ</t>
  </si>
  <si>
    <t xml:space="preserve">GALVIS GARCIA</t>
  </si>
  <si>
    <t xml:space="preserve">ERIKA ALEJANDRA</t>
  </si>
  <si>
    <t xml:space="preserve">VIVAS GUTIERREZ</t>
  </si>
  <si>
    <t xml:space="preserve">RIASCOS SATIZABAL</t>
  </si>
  <si>
    <t xml:space="preserve">MELISSA</t>
  </si>
  <si>
    <t xml:space="preserve">BEJARANO BALANTA</t>
  </si>
  <si>
    <t xml:space="preserve">JIMENEZ TIMANA</t>
  </si>
  <si>
    <t xml:space="preserve">BRAYAN ALEJANDRO</t>
  </si>
  <si>
    <t xml:space="preserve">PINO MUNOZ</t>
  </si>
  <si>
    <t xml:space="preserve">ANGEL GOMEZ</t>
  </si>
  <si>
    <t xml:space="preserve">HELLEN DANIELA</t>
  </si>
  <si>
    <t xml:space="preserve">NARVAEZ CASTILLO</t>
  </si>
  <si>
    <t xml:space="preserve">DAYANA ANDREA</t>
  </si>
  <si>
    <t xml:space="preserve">GONZALEZ BUSTAMANTE</t>
  </si>
  <si>
    <t xml:space="preserve">VERONICA</t>
  </si>
  <si>
    <t xml:space="preserve">SOLIZ ORTIZ</t>
  </si>
  <si>
    <t xml:space="preserve">CLAVIJO FORERO</t>
  </si>
  <si>
    <t xml:space="preserve">FORERO VILLAN</t>
  </si>
  <si>
    <t xml:space="preserve">NATHALIA</t>
  </si>
  <si>
    <t xml:space="preserve">MUNOZ PEREZ</t>
  </si>
  <si>
    <t xml:space="preserve">MARTINEZ CARMONA</t>
  </si>
  <si>
    <t xml:space="preserve">RAMIREZ GALLEGO</t>
  </si>
  <si>
    <t xml:space="preserve">JULIAN DAVID</t>
  </si>
  <si>
    <t xml:space="preserve">ORBES LASSO</t>
  </si>
  <si>
    <t xml:space="preserve">ANGELA DANIELA</t>
  </si>
  <si>
    <t xml:space="preserve">MONDRAGON MARTINEZ</t>
  </si>
  <si>
    <t xml:space="preserve">MANCILLA BEDON</t>
  </si>
  <si>
    <t xml:space="preserve">DAVID FERNANDO</t>
  </si>
  <si>
    <t xml:space="preserve">SANCHEZ MARTINEZ</t>
  </si>
  <si>
    <t xml:space="preserve">MAILY CATALINA</t>
  </si>
  <si>
    <t xml:space="preserve">DIAZ BERNAL</t>
  </si>
  <si>
    <t xml:space="preserve">BREYNER</t>
  </si>
  <si>
    <t xml:space="preserve">RODRIGUEZ CAICEDO</t>
  </si>
  <si>
    <t xml:space="preserve">PEREZ MUNOZ</t>
  </si>
  <si>
    <t xml:space="preserve">DAHYANA MARCELA</t>
  </si>
  <si>
    <t xml:space="preserve">MERA MESA</t>
  </si>
  <si>
    <t xml:space="preserve">JUAN ESTEBAN</t>
  </si>
  <si>
    <t xml:space="preserve">BEDOYA SALAZAR</t>
  </si>
  <si>
    <t xml:space="preserve">MIGUEL EDUARDO</t>
  </si>
  <si>
    <t xml:space="preserve">OSORIO BETANCURTH</t>
  </si>
  <si>
    <t xml:space="preserve">INGRID MARISEL</t>
  </si>
  <si>
    <t xml:space="preserve">REYES HURTADO</t>
  </si>
  <si>
    <t xml:space="preserve">EVERLYN MARCELA</t>
  </si>
  <si>
    <t xml:space="preserve">SOLARTE MONTOYA</t>
  </si>
  <si>
    <t xml:space="preserve">ALVAREZ ORTIZ</t>
  </si>
  <si>
    <t xml:space="preserve">LEYDY FERNANDA</t>
  </si>
  <si>
    <t xml:space="preserve">VALENCIA QUINONEZ</t>
  </si>
  <si>
    <t xml:space="preserve">ERIKA PAMELA</t>
  </si>
  <si>
    <t xml:space="preserve">ESCOBAR</t>
  </si>
  <si>
    <t xml:space="preserve">LEIDY JOHANA</t>
  </si>
  <si>
    <t xml:space="preserve">JARAMILLO CARDONA</t>
  </si>
  <si>
    <t xml:space="preserve">CASTANEDA GRANDA</t>
  </si>
  <si>
    <t xml:space="preserve">DOMINGUEZ BUITRON</t>
  </si>
  <si>
    <t xml:space="preserve">JANETH LIDBELAY</t>
  </si>
  <si>
    <t xml:space="preserve">VILLANO REYES</t>
  </si>
  <si>
    <t xml:space="preserve">MORALES CIFUENTES</t>
  </si>
  <si>
    <t xml:space="preserve">ELIANA ANDREA</t>
  </si>
  <si>
    <t xml:space="preserve">VIVAS PELAEZ</t>
  </si>
  <si>
    <t xml:space="preserve">MARITZA</t>
  </si>
  <si>
    <t xml:space="preserve">LONDONO CERON</t>
  </si>
  <si>
    <t xml:space="preserve">JAMES</t>
  </si>
  <si>
    <t xml:space="preserve">CERON ZUNIGA</t>
  </si>
  <si>
    <t xml:space="preserve">DEISY ALEXANDRA</t>
  </si>
  <si>
    <t xml:space="preserve">MORENO TRUJILLO</t>
  </si>
  <si>
    <t xml:space="preserve">GASCA MARIN</t>
  </si>
  <si>
    <t xml:space="preserve">QUIJANO PILLIMUE</t>
  </si>
  <si>
    <t xml:space="preserve">ANTONIO JOSE</t>
  </si>
  <si>
    <t xml:space="preserve">RIVERA FLOREZ</t>
  </si>
  <si>
    <t xml:space="preserve">ARIAS OSORIO</t>
  </si>
  <si>
    <t xml:space="preserve">COSME VIAFARA</t>
  </si>
  <si>
    <t xml:space="preserve">VILLEGAS</t>
  </si>
  <si>
    <t xml:space="preserve">LEYDI CAROLINA</t>
  </si>
  <si>
    <t xml:space="preserve">GARCIA BUITRON</t>
  </si>
  <si>
    <t xml:space="preserve">SEGURA ORTIZ</t>
  </si>
  <si>
    <t xml:space="preserve">SOL MAYRA</t>
  </si>
  <si>
    <t xml:space="preserve">AVILA PIAMBA</t>
  </si>
  <si>
    <t xml:space="preserve">BRAHYAN MAURICIO</t>
  </si>
  <si>
    <t xml:space="preserve">CALVO</t>
  </si>
  <si>
    <t xml:space="preserve">ELIANA FERNANDA</t>
  </si>
  <si>
    <t xml:space="preserve">RODRIGUEZ GARCIA</t>
  </si>
  <si>
    <t xml:space="preserve">ADRIANA MARCELA</t>
  </si>
  <si>
    <t xml:space="preserve">PAYAN MINA</t>
  </si>
  <si>
    <t xml:space="preserve">KARIN ALEJANDRA</t>
  </si>
  <si>
    <t xml:space="preserve">SAAVEDRA CAMACHO</t>
  </si>
  <si>
    <t xml:space="preserve">DIAZ OLMOS</t>
  </si>
  <si>
    <t xml:space="preserve">BAUTISTA VALENCIA</t>
  </si>
  <si>
    <t xml:space="preserve">VIVEROS VIAFARA</t>
  </si>
  <si>
    <t xml:space="preserve">JHAN CAMILO</t>
  </si>
  <si>
    <t xml:space="preserve">DIAZ ARAGON</t>
  </si>
  <si>
    <t xml:space="preserve">KAROL YESENIA</t>
  </si>
  <si>
    <t xml:space="preserve">GONZALEZ HEREDIA</t>
  </si>
  <si>
    <t xml:space="preserve">MONICA PATRICIA</t>
  </si>
  <si>
    <t xml:space="preserve">MESA OLMOS</t>
  </si>
  <si>
    <t xml:space="preserve">DANNA GISELA</t>
  </si>
  <si>
    <t xml:space="preserve">HOLGUIN CARVAJAL</t>
  </si>
  <si>
    <t xml:space="preserve">JOHANA</t>
  </si>
  <si>
    <t xml:space="preserve">BARAJAS GALLON</t>
  </si>
  <si>
    <t xml:space="preserve">JORDAN HURTADO</t>
  </si>
  <si>
    <t xml:space="preserve">ESTHER JULIA</t>
  </si>
  <si>
    <t xml:space="preserve">VARON BARRIOS</t>
  </si>
  <si>
    <t xml:space="preserve">YINA MARCELA</t>
  </si>
  <si>
    <t xml:space="preserve">CLAVIJO GUTIERREZ</t>
  </si>
  <si>
    <t xml:space="preserve">BIBIANA</t>
  </si>
  <si>
    <t xml:space="preserve">JURADO ALVAREZ</t>
  </si>
  <si>
    <t xml:space="preserve">JISELL SAMANDA</t>
  </si>
  <si>
    <t xml:space="preserve">MORA BETANCOURTH</t>
  </si>
  <si>
    <t xml:space="preserve">GYCEL</t>
  </si>
  <si>
    <t xml:space="preserve">LINARES ORTIZ</t>
  </si>
  <si>
    <t xml:space="preserve">TATIANA</t>
  </si>
  <si>
    <t xml:space="preserve">OBANDO VALENCIA</t>
  </si>
  <si>
    <t xml:space="preserve">ANGELA XILENE</t>
  </si>
  <si>
    <t xml:space="preserve">KAROL XIMENA</t>
  </si>
  <si>
    <t xml:space="preserve">FANNY</t>
  </si>
  <si>
    <t xml:space="preserve">VALDES MARTINEZ</t>
  </si>
  <si>
    <t xml:space="preserve">ANABEL ALEXANDRA</t>
  </si>
  <si>
    <t xml:space="preserve">MOSQUERA SERRANO</t>
  </si>
  <si>
    <t xml:space="preserve">MALLY SHIRLEY</t>
  </si>
  <si>
    <t xml:space="preserve">MARIN CORRALES</t>
  </si>
  <si>
    <t xml:space="preserve">LEYDI KATHERYN</t>
  </si>
  <si>
    <t xml:space="preserve">COPETE BARONA</t>
  </si>
  <si>
    <t xml:space="preserve">VILLA RICA</t>
  </si>
  <si>
    <t xml:space="preserve">PIZARA HOLGUIN</t>
  </si>
  <si>
    <t xml:space="preserve">BREINER ALEJANDRO</t>
  </si>
  <si>
    <t xml:space="preserve">CARABALI MENA</t>
  </si>
  <si>
    <t xml:space="preserve">YILMAR</t>
  </si>
  <si>
    <t xml:space="preserve">RUIZ LOPEZ</t>
  </si>
  <si>
    <t xml:space="preserve">ERIKA YURANY</t>
  </si>
  <si>
    <t xml:space="preserve">RUIZ BARONA</t>
  </si>
  <si>
    <t xml:space="preserve">INGRID PATRICIA</t>
  </si>
  <si>
    <t xml:space="preserve">PARRA ALVAREZ</t>
  </si>
  <si>
    <t xml:space="preserve">CARLOS DAVID</t>
  </si>
  <si>
    <t xml:space="preserve">CHAVES HOYOS</t>
  </si>
  <si>
    <t xml:space="preserve">ANGIE TATIANA</t>
  </si>
  <si>
    <t xml:space="preserve">SOLARTE ORDONEZ</t>
  </si>
  <si>
    <t xml:space="preserve">INGRID NATALIA</t>
  </si>
  <si>
    <t xml:space="preserve">BETANCOURT COPETE</t>
  </si>
  <si>
    <t xml:space="preserve">GOMEZ SANCHEZ</t>
  </si>
  <si>
    <t xml:space="preserve">GARCIA SOTO</t>
  </si>
  <si>
    <t xml:space="preserve">HECTOR MARIO</t>
  </si>
  <si>
    <t xml:space="preserve">JIMENEZ MORENO</t>
  </si>
  <si>
    <t xml:space="preserve">HECTOR YEZID</t>
  </si>
  <si>
    <t xml:space="preserve">GALLEGO GALLEGO</t>
  </si>
  <si>
    <t xml:space="preserve">YULIANA ANDREA</t>
  </si>
  <si>
    <t xml:space="preserve">MORALES CARMONA</t>
  </si>
  <si>
    <t xml:space="preserve">PENA OSORIO</t>
  </si>
  <si>
    <t xml:space="preserve">FLOREZ MONEDERO</t>
  </si>
  <si>
    <t xml:space="preserve">JENNY MARCELA</t>
  </si>
  <si>
    <t xml:space="preserve">GUERRERO GOMEZ</t>
  </si>
  <si>
    <t xml:space="preserve">VARGAS TRUJILLO</t>
  </si>
  <si>
    <t xml:space="preserve">CRHISTIAN DAVID</t>
  </si>
  <si>
    <t xml:space="preserve">VIVAS FANDINO</t>
  </si>
  <si>
    <t xml:space="preserve">GARCIA CANTUNI</t>
  </si>
  <si>
    <t xml:space="preserve">ESTEBAN</t>
  </si>
  <si>
    <t xml:space="preserve">PEREZ RODRIGUEZ</t>
  </si>
  <si>
    <t xml:space="preserve">OREJUELA ZUNIGA</t>
  </si>
  <si>
    <t xml:space="preserve">YESSICA LORENA</t>
  </si>
  <si>
    <t xml:space="preserve">DAVILA TORO</t>
  </si>
  <si>
    <t xml:space="preserve">DEYRA ALEJANDRA</t>
  </si>
  <si>
    <t xml:space="preserve">BENAVIDES NARVAEZ</t>
  </si>
  <si>
    <t xml:space="preserve">ANGIE MELISSA</t>
  </si>
  <si>
    <t xml:space="preserve">CASTILLO VALDES</t>
  </si>
  <si>
    <t xml:space="preserve">JULITHZA</t>
  </si>
  <si>
    <t xml:space="preserve">HIDALGO LEMOS</t>
  </si>
  <si>
    <t xml:space="preserve">DARLING DAYANA</t>
  </si>
  <si>
    <t xml:space="preserve">GARCIA GARCIA</t>
  </si>
  <si>
    <t xml:space="preserve">JULIA GRACIELA</t>
  </si>
  <si>
    <t xml:space="preserve">MARIN CRUZ</t>
  </si>
  <si>
    <t xml:space="preserve">SANDRA ESTEFANIA</t>
  </si>
  <si>
    <t xml:space="preserve">LONDONO ECHEVERRY</t>
  </si>
  <si>
    <t xml:space="preserve">CAPERA  ROJAS</t>
  </si>
  <si>
    <t xml:space="preserve">OSSA CALDERON</t>
  </si>
  <si>
    <t xml:space="preserve">JULIAN FERNANDO</t>
  </si>
  <si>
    <t xml:space="preserve">RUIZ SATIZABAL</t>
  </si>
  <si>
    <t xml:space="preserve">KAREN LORENA</t>
  </si>
  <si>
    <t xml:space="preserve">RODRIGUEZ GUZMAN</t>
  </si>
  <si>
    <t xml:space="preserve">YURI CATERINE</t>
  </si>
  <si>
    <t xml:space="preserve">ROSERO CHAVEZ</t>
  </si>
  <si>
    <t xml:space="preserve">SANDRA LILIVET</t>
  </si>
  <si>
    <t xml:space="preserve">BOLANOS BELTRAN</t>
  </si>
  <si>
    <t xml:space="preserve">MONDRAGON VERGARA</t>
  </si>
  <si>
    <t xml:space="preserve">LEYDI JOHANA</t>
  </si>
  <si>
    <t xml:space="preserve">MENESES ARCILA</t>
  </si>
  <si>
    <t xml:space="preserve">MARCILLO DELGADO</t>
  </si>
  <si>
    <t xml:space="preserve">CASTANEDA PATINO</t>
  </si>
  <si>
    <t xml:space="preserve">COLORADO USMA</t>
  </si>
  <si>
    <t xml:space="preserve">HEISLY MARCELA</t>
  </si>
  <si>
    <t xml:space="preserve">VILLAMIL CARDONA</t>
  </si>
  <si>
    <t xml:space="preserve">MATEUS FLOREZ</t>
  </si>
  <si>
    <t xml:space="preserve">MUÑOZ PEÑA</t>
  </si>
  <si>
    <t xml:space="preserve">ESTEFANIA</t>
  </si>
  <si>
    <t xml:space="preserve">VALENCIA RATIVA</t>
  </si>
  <si>
    <t xml:space="preserve">LADY LICETH</t>
  </si>
  <si>
    <t xml:space="preserve">LONDONO AREVALO</t>
  </si>
  <si>
    <t xml:space="preserve">ANA BOLENA</t>
  </si>
  <si>
    <t xml:space="preserve">OLMOS MONDRAGON</t>
  </si>
  <si>
    <t xml:space="preserve">JEIMMY ESTEFANY</t>
  </si>
  <si>
    <t xml:space="preserve">DELGADO CARABALI</t>
  </si>
  <si>
    <t xml:space="preserve">LONDONO BARONA</t>
  </si>
  <si>
    <t xml:space="preserve">SERNA RIVERA</t>
  </si>
  <si>
    <t xml:space="preserve">CAICEDO MONTENEGRO</t>
  </si>
  <si>
    <t xml:space="preserve">MARCIA</t>
  </si>
  <si>
    <t xml:space="preserve">GAVIRIA DIAZ</t>
  </si>
  <si>
    <t xml:space="preserve">DUBER ALEXIS</t>
  </si>
  <si>
    <t xml:space="preserve">LARGO MONTOYA</t>
  </si>
  <si>
    <t xml:space="preserve">ZAPATA GARCIA</t>
  </si>
  <si>
    <t xml:space="preserve">MELO MUNOZ</t>
  </si>
  <si>
    <t xml:space="preserve">YURLEY DAYANA</t>
  </si>
  <si>
    <t xml:space="preserve">CUBILLOS DUQUE</t>
  </si>
  <si>
    <t xml:space="preserve">NARVAEZ SOTO</t>
  </si>
  <si>
    <t xml:space="preserve">SOTO BARRIOS</t>
  </si>
  <si>
    <t xml:space="preserve">ARANGO POLINDARA</t>
  </si>
  <si>
    <t xml:space="preserve">ALARCON SOTO</t>
  </si>
  <si>
    <t xml:space="preserve">JOHANA CAROLINA</t>
  </si>
  <si>
    <t xml:space="preserve">ECHEVERRY ROJAS</t>
  </si>
  <si>
    <t xml:space="preserve">SANDRA VEIRA</t>
  </si>
  <si>
    <t xml:space="preserve">CUARTAS ARCILA</t>
  </si>
  <si>
    <t xml:space="preserve">SINDY FERNANDA</t>
  </si>
  <si>
    <t xml:space="preserve">GARCIA ACEVEDO</t>
  </si>
  <si>
    <t xml:space="preserve">SOTO ADARVE</t>
  </si>
  <si>
    <t xml:space="preserve">KATHERINE ANDREA</t>
  </si>
  <si>
    <t xml:space="preserve">LINA ALEXANDRA</t>
  </si>
  <si>
    <t xml:space="preserve">MORA ORTIZ</t>
  </si>
  <si>
    <t xml:space="preserve">AUX MORA</t>
  </si>
  <si>
    <t xml:space="preserve">JIMENEZ GIRALDO</t>
  </si>
  <si>
    <t xml:space="preserve">AURA MARIA</t>
  </si>
  <si>
    <t xml:space="preserve">LONDONO SAAVEDRA</t>
  </si>
  <si>
    <t xml:space="preserve">JOHN ALEJANDRO</t>
  </si>
  <si>
    <t xml:space="preserve">TORRES QUINTANA</t>
  </si>
  <si>
    <t xml:space="preserve">ALZATE MEDINA</t>
  </si>
  <si>
    <t xml:space="preserve">JHONY LEANDRO</t>
  </si>
  <si>
    <t xml:space="preserve">BARON HERNANDEZ</t>
  </si>
  <si>
    <t xml:space="preserve">GARZON GUERRERO</t>
  </si>
  <si>
    <t xml:space="preserve">SOLIS DIAZ</t>
  </si>
  <si>
    <t xml:space="preserve">SALAZAR IDROBO</t>
  </si>
  <si>
    <t xml:space="preserve">LAURA DANIELA</t>
  </si>
  <si>
    <t xml:space="preserve">GALINDO SANCHEZ</t>
  </si>
  <si>
    <t xml:space="preserve">JUAN SEBASTIAN</t>
  </si>
  <si>
    <t xml:space="preserve">BOTERO LOPEZ</t>
  </si>
  <si>
    <t xml:space="preserve">MENA MALDONADO</t>
  </si>
  <si>
    <t xml:space="preserve">ANYELA PATRICIA</t>
  </si>
  <si>
    <t xml:space="preserve">TORRES SOTO</t>
  </si>
  <si>
    <t xml:space="preserve">CORREA BUSTAMENTE</t>
  </si>
  <si>
    <t xml:space="preserve">YULI PAOLA</t>
  </si>
  <si>
    <t xml:space="preserve">MARMOLEJO MONTOYA</t>
  </si>
  <si>
    <t xml:space="preserve">KATERIN</t>
  </si>
  <si>
    <t xml:space="preserve">MONDRAGON CASTILLO</t>
  </si>
  <si>
    <t xml:space="preserve">FAISURY</t>
  </si>
  <si>
    <t xml:space="preserve">LONDONO BELTRAN</t>
  </si>
  <si>
    <t xml:space="preserve">KELLY ALEXANDRA</t>
  </si>
  <si>
    <t xml:space="preserve">OLIVEROS LOPEZ</t>
  </si>
  <si>
    <t xml:space="preserve">MARIA ELISA</t>
  </si>
  <si>
    <t xml:space="preserve">GOMEZ MUNOZ</t>
  </si>
  <si>
    <t xml:space="preserve">GOMEZ GONZALEZ</t>
  </si>
  <si>
    <t xml:space="preserve">NATALIA MARCELA</t>
  </si>
  <si>
    <t xml:space="preserve">CASTRILLON TOBON</t>
  </si>
  <si>
    <t xml:space="preserve">JOHAN SEBASTIAN</t>
  </si>
  <si>
    <t xml:space="preserve">GUASPUD VALENCIA</t>
  </si>
  <si>
    <t xml:space="preserve">FRANCIA YULIANA</t>
  </si>
  <si>
    <t xml:space="preserve">ROJAS LONDONO</t>
  </si>
  <si>
    <t xml:space="preserve">KELLY ALEJANDRA</t>
  </si>
  <si>
    <t xml:space="preserve">BALANTA BARONA</t>
  </si>
  <si>
    <t xml:space="preserve">JHON GENNER</t>
  </si>
  <si>
    <t xml:space="preserve">MOLINA HURTADO</t>
  </si>
  <si>
    <t xml:space="preserve">MARIA IRENE</t>
  </si>
  <si>
    <t xml:space="preserve">SOLARTE LOPEZ</t>
  </si>
  <si>
    <t xml:space="preserve">LINA GUISELLA</t>
  </si>
  <si>
    <t xml:space="preserve">GARCIA ROSERO</t>
  </si>
  <si>
    <t xml:space="preserve">CLAUDIA BRIGGITTE</t>
  </si>
  <si>
    <t xml:space="preserve">GONZALEZ MONTENEGRO</t>
  </si>
  <si>
    <t xml:space="preserve">DUVAN CAMILO</t>
  </si>
  <si>
    <t xml:space="preserve">SASTOQUE ORTIZ</t>
  </si>
  <si>
    <t xml:space="preserve">MARY YULIETH</t>
  </si>
  <si>
    <t xml:space="preserve">ESCOBAR DAGUA</t>
  </si>
  <si>
    <t xml:space="preserve">INGRID YELIANE</t>
  </si>
  <si>
    <t xml:space="preserve">VIJES</t>
  </si>
  <si>
    <t xml:space="preserve">PADILLA FAJARDO</t>
  </si>
  <si>
    <t xml:space="preserve">LINA ISABEL</t>
  </si>
  <si>
    <t xml:space="preserve">MADRONERO MENESES</t>
  </si>
  <si>
    <t xml:space="preserve">MIRIAN YARELIS</t>
  </si>
  <si>
    <t xml:space="preserve">MARTINEZ GOMEZ</t>
  </si>
  <si>
    <t xml:space="preserve">DIEGO ALEJANDRO</t>
  </si>
  <si>
    <t xml:space="preserve">MARTINEZ POSADA</t>
  </si>
  <si>
    <t xml:space="preserve">KAREN PATRICIA</t>
  </si>
  <si>
    <t xml:space="preserve">LIZCANO LOPEZ</t>
  </si>
  <si>
    <t xml:space="preserve">ROSSIE GERALDINE</t>
  </si>
  <si>
    <t xml:space="preserve">TOTENA ROJAS</t>
  </si>
  <si>
    <t xml:space="preserve">TORRES AMAGUAYA</t>
  </si>
  <si>
    <t xml:space="preserve">DEREK DAVID</t>
  </si>
  <si>
    <t xml:space="preserve">CARDONA ZAPATA</t>
  </si>
  <si>
    <t xml:space="preserve">TRESPALACIOS VEGA</t>
  </si>
  <si>
    <t xml:space="preserve">YESID</t>
  </si>
  <si>
    <t xml:space="preserve">CALDERON CARO</t>
  </si>
  <si>
    <t xml:space="preserve">CINDY YULIANA</t>
  </si>
  <si>
    <t xml:space="preserve">PIZARRO MUNOZ</t>
  </si>
  <si>
    <t xml:space="preserve">JAVIER ESTEBAN</t>
  </si>
  <si>
    <t xml:space="preserve">CHIQUITO SANCHEZ</t>
  </si>
  <si>
    <t xml:space="preserve">CARCAMO HERNANDEZ</t>
  </si>
  <si>
    <t xml:space="preserve">PAOLA JOHANA</t>
  </si>
  <si>
    <t xml:space="preserve">VIVAS MORENO</t>
  </si>
  <si>
    <t xml:space="preserve">SANDRA YAMILET</t>
  </si>
  <si>
    <t xml:space="preserve">NUNEZ PELAEZ</t>
  </si>
  <si>
    <t xml:space="preserve">NATHALIA IVANOVNA</t>
  </si>
  <si>
    <t xml:space="preserve">GUERRERO MEJIA</t>
  </si>
  <si>
    <t xml:space="preserve">AGUIRRE FEIJOO</t>
  </si>
  <si>
    <t xml:space="preserve">SALAZAR RENDON</t>
  </si>
  <si>
    <t xml:space="preserve">DIEGO ALEXANDER</t>
  </si>
  <si>
    <t xml:space="preserve">MUNOZ ANGULO</t>
  </si>
  <si>
    <t xml:space="preserve">ANA LUCIA</t>
  </si>
  <si>
    <t xml:space="preserve">BOLANOS CHAMORRO</t>
  </si>
  <si>
    <t xml:space="preserve">YEIMY KATERINE</t>
  </si>
  <si>
    <t xml:space="preserve">HURTADO MONTOYA</t>
  </si>
  <si>
    <t xml:space="preserve">RODRIGUEZ ORTIZ</t>
  </si>
  <si>
    <t xml:space="preserve">YEICI ALEJANDRA</t>
  </si>
  <si>
    <t xml:space="preserve">SALAZAR ESCOBAR</t>
  </si>
  <si>
    <t xml:space="preserve">IVONNE</t>
  </si>
  <si>
    <t xml:space="preserve">ROSERO LOSADA</t>
  </si>
  <si>
    <t xml:space="preserve">INGRID STIVALIS</t>
  </si>
  <si>
    <t xml:space="preserve">MEJIA MARMOLEJO</t>
  </si>
  <si>
    <t xml:space="preserve">MONICA MARIA</t>
  </si>
  <si>
    <t xml:space="preserve">PERLAZA ARIAS</t>
  </si>
  <si>
    <t xml:space="preserve">ISABEL</t>
  </si>
  <si>
    <t xml:space="preserve">CARDONA CASTANO</t>
  </si>
  <si>
    <t xml:space="preserve">ALBERTO HAROLD</t>
  </si>
  <si>
    <t xml:space="preserve">PRISCILA</t>
  </si>
  <si>
    <t xml:space="preserve">NAVIA TORRES</t>
  </si>
  <si>
    <t xml:space="preserve">HERNANDEZ TRUJILLO</t>
  </si>
  <si>
    <t xml:space="preserve">YUCETH YANETH</t>
  </si>
  <si>
    <t xml:space="preserve">RIASCOS RIASCOS</t>
  </si>
  <si>
    <t xml:space="preserve">DORYS BETZAYDA</t>
  </si>
  <si>
    <t xml:space="preserve">GUASAQUILLO MOSQUERA</t>
  </si>
  <si>
    <t xml:space="preserve">YURANNY</t>
  </si>
  <si>
    <t xml:space="preserve">ALVAREZ HURTADO</t>
  </si>
  <si>
    <t xml:space="preserve">RAMIREZ</t>
  </si>
  <si>
    <t xml:space="preserve">LAURA ISABELLA</t>
  </si>
  <si>
    <t xml:space="preserve">PENA VALENCIA</t>
  </si>
  <si>
    <t xml:space="preserve">GUTIERREZ DOMINGUEZ</t>
  </si>
  <si>
    <t xml:space="preserve">CASTRO FERNANDEZ</t>
  </si>
  <si>
    <t xml:space="preserve">ROMERO TAFUR</t>
  </si>
  <si>
    <t xml:space="preserve">ANYELA VIVIANA</t>
  </si>
  <si>
    <t xml:space="preserve">JIMENEZ ORDONEZ</t>
  </si>
  <si>
    <t xml:space="preserve">GUSTAVO</t>
  </si>
  <si>
    <t xml:space="preserve">PUERTAS RAMIREZ</t>
  </si>
  <si>
    <t xml:space="preserve">ORTIZ TENORIO</t>
  </si>
  <si>
    <t xml:space="preserve">PAULO ROBERTO</t>
  </si>
  <si>
    <t xml:space="preserve">JIMENEZ VIVAS</t>
  </si>
  <si>
    <t xml:space="preserve">JORGE DAVID</t>
  </si>
  <si>
    <t xml:space="preserve">JUANILLO MINA</t>
  </si>
  <si>
    <t xml:space="preserve">JOHANA ANDREA</t>
  </si>
  <si>
    <t xml:space="preserve">RODRIGUEZ BARRETO</t>
  </si>
  <si>
    <t xml:space="preserve">EVELYN</t>
  </si>
  <si>
    <t xml:space="preserve">PILLIMUE DEL CAMPO</t>
  </si>
  <si>
    <t xml:space="preserve">YULIETH ANDREA</t>
  </si>
  <si>
    <t xml:space="preserve">JOHANNA ALESSANDRA</t>
  </si>
  <si>
    <t xml:space="preserve">PRADO GOMEZ</t>
  </si>
  <si>
    <t xml:space="preserve">MURILLO ECHAVARRIA</t>
  </si>
  <si>
    <t xml:space="preserve">BRAVO CUYATO</t>
  </si>
  <si>
    <t xml:space="preserve">ARCE MARIN</t>
  </si>
  <si>
    <t xml:space="preserve">YEFERZON</t>
  </si>
  <si>
    <t xml:space="preserve">MUNOZ IBARGUEN</t>
  </si>
  <si>
    <t xml:space="preserve">LEIDY CAROLINA</t>
  </si>
  <si>
    <t xml:space="preserve">TOVAR ROMERO</t>
  </si>
  <si>
    <t xml:space="preserve">JENNIFER ANDREA</t>
  </si>
  <si>
    <t xml:space="preserve">MERA ZUNIGA</t>
  </si>
  <si>
    <t xml:space="preserve">SINDY ELIZABETH</t>
  </si>
  <si>
    <t xml:space="preserve">ARENAS VIRGEN</t>
  </si>
  <si>
    <t xml:space="preserve">MUNOZ FLOREZ</t>
  </si>
  <si>
    <t xml:space="preserve">LUNA MURILLO</t>
  </si>
  <si>
    <t xml:space="preserve">QUINTERO GOMEZ</t>
  </si>
  <si>
    <t xml:space="preserve">YENNIFFER</t>
  </si>
  <si>
    <t xml:space="preserve">MUNOZ MANZANAREZ</t>
  </si>
  <si>
    <t xml:space="preserve">MONICA ROSARIO</t>
  </si>
  <si>
    <t xml:space="preserve">GONZALIAS CAICEDO</t>
  </si>
  <si>
    <t xml:space="preserve">ALBERTO</t>
  </si>
  <si>
    <t xml:space="preserve">LOAIZA CASTILLO</t>
  </si>
  <si>
    <t xml:space="preserve">CARLOS EDIER</t>
  </si>
  <si>
    <t xml:space="preserve">MUNOZ GUAMPE</t>
  </si>
  <si>
    <t xml:space="preserve">FANOR ANDRES</t>
  </si>
  <si>
    <t xml:space="preserve">URREA CORREA</t>
  </si>
  <si>
    <t xml:space="preserve">MORENO PEREZ</t>
  </si>
  <si>
    <t xml:space="preserve">MARIAM</t>
  </si>
  <si>
    <t xml:space="preserve">QUINTERO MERA</t>
  </si>
  <si>
    <t xml:space="preserve">LOREZ MARQUEZ</t>
  </si>
  <si>
    <t xml:space="preserve">HERMAN ALEXANDER</t>
  </si>
  <si>
    <t xml:space="preserve">TORRES OROZCO</t>
  </si>
  <si>
    <t xml:space="preserve">ADRIANA MAYERLY</t>
  </si>
  <si>
    <t xml:space="preserve">ESPINAL MARIN</t>
  </si>
  <si>
    <t xml:space="preserve">CINDY PAOLA</t>
  </si>
  <si>
    <t xml:space="preserve">OSPINA RENDON</t>
  </si>
  <si>
    <t xml:space="preserve">LOPEZ MONTENEGRO</t>
  </si>
  <si>
    <t xml:space="preserve">MOSQUERA DIAZ</t>
  </si>
  <si>
    <t xml:space="preserve">JHONNY ALEXANDER</t>
  </si>
  <si>
    <t xml:space="preserve">PARRA ORTEGON</t>
  </si>
  <si>
    <t xml:space="preserve">GUZMAN POLINDARA</t>
  </si>
  <si>
    <t xml:space="preserve">EVELYN DAYANA</t>
  </si>
  <si>
    <t xml:space="preserve">LONDONO YEPES</t>
  </si>
  <si>
    <t xml:space="preserve">CORDOBA ORTIZ</t>
  </si>
  <si>
    <t xml:space="preserve">DARIO ALEXANDER</t>
  </si>
  <si>
    <t xml:space="preserve">RESTREPO CUENCA</t>
  </si>
  <si>
    <t xml:space="preserve">LILIBETH</t>
  </si>
  <si>
    <t xml:space="preserve">BEDOYA GARCIA</t>
  </si>
  <si>
    <t xml:space="preserve">JULY ALEJANDRA</t>
  </si>
  <si>
    <t xml:space="preserve">HERRERA OVALLE</t>
  </si>
  <si>
    <t xml:space="preserve">OSORIO CARDONA</t>
  </si>
  <si>
    <t xml:space="preserve">POSADA ORTEGON</t>
  </si>
  <si>
    <t xml:space="preserve">CAICEDO MELO</t>
  </si>
  <si>
    <t xml:space="preserve">DARIO FERNANDO</t>
  </si>
  <si>
    <t xml:space="preserve">GONZALEZ GONZALEZ</t>
  </si>
  <si>
    <t xml:space="preserve">CHILITO LENIS</t>
  </si>
  <si>
    <t xml:space="preserve">GEISON ROODRIGO</t>
  </si>
  <si>
    <t xml:space="preserve">UMBARILA ROMERO</t>
  </si>
  <si>
    <t xml:space="preserve">MAYIRA ALEJANDRA</t>
  </si>
  <si>
    <t xml:space="preserve">NINO</t>
  </si>
  <si>
    <t xml:space="preserve">NIETO CASTRO</t>
  </si>
  <si>
    <t xml:space="preserve">JOHANA PATRICIA</t>
  </si>
  <si>
    <t xml:space="preserve">RODRIGUEZ</t>
  </si>
  <si>
    <t xml:space="preserve">YUDY YANETH</t>
  </si>
  <si>
    <t xml:space="preserve">ALZATE SIERRA</t>
  </si>
  <si>
    <t xml:space="preserve">FLOREZ MENESES</t>
  </si>
  <si>
    <t xml:space="preserve">RAMOS VERNAZA</t>
  </si>
  <si>
    <t xml:space="preserve">JOHNNY ANDRES</t>
  </si>
  <si>
    <t xml:space="preserve">HURTADO PANTOJA</t>
  </si>
  <si>
    <t xml:space="preserve">FIGUEROA RESTREPO</t>
  </si>
  <si>
    <t xml:space="preserve">LADY LAURA</t>
  </si>
  <si>
    <t xml:space="preserve">PALOMAR TRUJILLO</t>
  </si>
  <si>
    <t xml:space="preserve">JHON ALEXANDER</t>
  </si>
  <si>
    <t xml:space="preserve">DIAZ HEREDIA</t>
  </si>
  <si>
    <t xml:space="preserve">DIANA LISETH</t>
  </si>
  <si>
    <t xml:space="preserve">MEDINA LOZANO</t>
  </si>
  <si>
    <t xml:space="preserve">OSPINA HERNANDEZ</t>
  </si>
  <si>
    <t xml:space="preserve">CEBALLOS FERNANDEZ</t>
  </si>
  <si>
    <t xml:space="preserve">KETTY VANESSA</t>
  </si>
  <si>
    <t xml:space="preserve">CASTILLO CAICEDO</t>
  </si>
  <si>
    <t xml:space="preserve">JOSE JAMIL</t>
  </si>
  <si>
    <t xml:space="preserve">VALENCIA QUINTERO</t>
  </si>
  <si>
    <t xml:space="preserve">VILLANI BAHAMON</t>
  </si>
  <si>
    <t xml:space="preserve">VASQUEZ RAMIREZ</t>
  </si>
  <si>
    <t xml:space="preserve">MEJIA CORREA</t>
  </si>
  <si>
    <t xml:space="preserve">ENDO CANO</t>
  </si>
  <si>
    <t xml:space="preserve">DAIRA FERNANDA</t>
  </si>
  <si>
    <t xml:space="preserve">DOMINGUEZ VERA</t>
  </si>
  <si>
    <t xml:space="preserve">EVELIN</t>
  </si>
  <si>
    <t xml:space="preserve">CASTRO DOMINGUEZ</t>
  </si>
  <si>
    <t xml:space="preserve">ALEJANDRA MARIA</t>
  </si>
  <si>
    <t xml:space="preserve">VILLAQUIRAN MUNOZ</t>
  </si>
  <si>
    <t xml:space="preserve">SANDRA JIMENA</t>
  </si>
  <si>
    <t xml:space="preserve">RAMIREZ GARCIA</t>
  </si>
  <si>
    <t xml:space="preserve">BRYAN</t>
  </si>
  <si>
    <t xml:space="preserve">ALVAREZ CARTAGENA</t>
  </si>
  <si>
    <t xml:space="preserve">YOANA ANDREA</t>
  </si>
  <si>
    <t xml:space="preserve">HINCAPIE CARDENAS</t>
  </si>
  <si>
    <t xml:space="preserve">CATHERINE JOHANNA</t>
  </si>
  <si>
    <t xml:space="preserve">CASTRO</t>
  </si>
  <si>
    <t xml:space="preserve">RUTH VANESA</t>
  </si>
  <si>
    <t xml:space="preserve">DIAZ HERNANDEZ</t>
  </si>
  <si>
    <t xml:space="preserve">MARLIN ELVIRA</t>
  </si>
  <si>
    <t xml:space="preserve">LONDONO BLANDON</t>
  </si>
  <si>
    <t xml:space="preserve">OCAMPO TALANGA</t>
  </si>
  <si>
    <t xml:space="preserve">YULI VIVIANA</t>
  </si>
  <si>
    <t xml:space="preserve">GALLEGO CAICEDO</t>
  </si>
  <si>
    <t xml:space="preserve">ARISTIZABAL MEDINA</t>
  </si>
  <si>
    <t xml:space="preserve">JOHAN ANDERSON</t>
  </si>
  <si>
    <t xml:space="preserve">MORA LOBOA</t>
  </si>
  <si>
    <t xml:space="preserve">RUBY MARICELA</t>
  </si>
  <si>
    <t xml:space="preserve">TABORDA GOMEZ</t>
  </si>
  <si>
    <t xml:space="preserve">MUNOZ GARCES</t>
  </si>
  <si>
    <t xml:space="preserve">MEIBI MAYELI</t>
  </si>
  <si>
    <t xml:space="preserve">FLOREZ VERA</t>
  </si>
  <si>
    <t xml:space="preserve">AGUIRRE OBREGON</t>
  </si>
  <si>
    <t xml:space="preserve">HEIDY JANETH</t>
  </si>
  <si>
    <t xml:space="preserve">PADILLA CABRERA</t>
  </si>
  <si>
    <t xml:space="preserve">OCAMPO ZEMANATE</t>
  </si>
  <si>
    <t xml:space="preserve">LEIDY VANESSA</t>
  </si>
  <si>
    <t xml:space="preserve">SANCHEZ TIRADO</t>
  </si>
  <si>
    <t xml:space="preserve">AURA YINETH</t>
  </si>
  <si>
    <t xml:space="preserve">VARELA TINOCO</t>
  </si>
  <si>
    <t xml:space="preserve">AELEEN</t>
  </si>
  <si>
    <t xml:space="preserve">MORA AVENDANO</t>
  </si>
  <si>
    <t xml:space="preserve">JUAN GABRIEL</t>
  </si>
  <si>
    <t xml:space="preserve">CARABALI CAICEDO</t>
  </si>
  <si>
    <t xml:space="preserve">MAYRA JOHANA</t>
  </si>
  <si>
    <t xml:space="preserve">FLOREZ MOLINA</t>
  </si>
  <si>
    <t xml:space="preserve">LEYDI KATERINNE</t>
  </si>
  <si>
    <t xml:space="preserve">TORRES BENAVIDES</t>
  </si>
  <si>
    <t xml:space="preserve">VILEIDY DAYANA</t>
  </si>
  <si>
    <t xml:space="preserve">BARRIENTOS RAMOS</t>
  </si>
  <si>
    <t xml:space="preserve">LUIS DAVID</t>
  </si>
  <si>
    <t xml:space="preserve">MONTEZUMA DIAZ</t>
  </si>
  <si>
    <t xml:space="preserve">NAVIA GUTIERREZ</t>
  </si>
  <si>
    <t xml:space="preserve">LUDWIN VANG</t>
  </si>
  <si>
    <t xml:space="preserve">MARULANDA PARRA</t>
  </si>
  <si>
    <t xml:space="preserve">POVEDA GARCES</t>
  </si>
  <si>
    <t xml:space="preserve">ALLAN STEVEN</t>
  </si>
  <si>
    <t xml:space="preserve">VALLEJO OSORIO</t>
  </si>
  <si>
    <t xml:space="preserve">LARETZA</t>
  </si>
  <si>
    <t xml:space="preserve">HIDALGO GOMEZ</t>
  </si>
  <si>
    <t xml:space="preserve">CAROLINA ALEJANDRA</t>
  </si>
  <si>
    <t xml:space="preserve">MENDEZ TOBON</t>
  </si>
  <si>
    <t xml:space="preserve">VALENCIA RUIZ</t>
  </si>
  <si>
    <t xml:space="preserve">BEATRIZ ELENA</t>
  </si>
  <si>
    <t xml:space="preserve">MENA RODRIGUEZ</t>
  </si>
  <si>
    <t xml:space="preserve">LINA VANESSA</t>
  </si>
  <si>
    <t xml:space="preserve">ESPANA ORTEGON</t>
  </si>
  <si>
    <t xml:space="preserve">JHON EDINSON</t>
  </si>
  <si>
    <t xml:space="preserve">ASTAIZA MUNOZ</t>
  </si>
  <si>
    <t xml:space="preserve">ANDREA</t>
  </si>
  <si>
    <t xml:space="preserve">VALENCIA GAMBOA</t>
  </si>
  <si>
    <t xml:space="preserve">CHRISTIAN BALBINO</t>
  </si>
  <si>
    <t xml:space="preserve">TELLO BARONA</t>
  </si>
  <si>
    <t xml:space="preserve">VARGAS REQUENE</t>
  </si>
  <si>
    <t xml:space="preserve">LISED</t>
  </si>
  <si>
    <t xml:space="preserve">ANACONA CHIGUASUQUE</t>
  </si>
  <si>
    <t xml:space="preserve">MARIA VIVIANA</t>
  </si>
  <si>
    <t xml:space="preserve">ANGULO MERCADO</t>
  </si>
  <si>
    <t xml:space="preserve">GARCES DURAN</t>
  </si>
  <si>
    <t xml:space="preserve">DANIEL ENRIQUE</t>
  </si>
  <si>
    <t xml:space="preserve">VASQUEZ SUAREZ</t>
  </si>
  <si>
    <t xml:space="preserve">JONATHAN</t>
  </si>
  <si>
    <t xml:space="preserve">GUZMAN CASTELLAR</t>
  </si>
  <si>
    <t xml:space="preserve">CAGUAZANGO GIRALDO</t>
  </si>
  <si>
    <t xml:space="preserve">CINDY JULIE</t>
  </si>
  <si>
    <t xml:space="preserve">PEDROZA ALEGRIA</t>
  </si>
  <si>
    <t xml:space="preserve">DURAN URBANO</t>
  </si>
  <si>
    <t xml:space="preserve">DAYANNA CONSUELO</t>
  </si>
  <si>
    <t xml:space="preserve">MARTINEZ MUNOZ</t>
  </si>
  <si>
    <t xml:space="preserve">NOGUERA QUINONES</t>
  </si>
  <si>
    <t xml:space="preserve">MARIA ISABELLA</t>
  </si>
  <si>
    <t xml:space="preserve">SOTO REALPE</t>
  </si>
  <si>
    <t xml:space="preserve">ROSEMBERG</t>
  </si>
  <si>
    <t xml:space="preserve">CANO MINA</t>
  </si>
  <si>
    <t xml:space="preserve">NATALIA EUGENIA</t>
  </si>
  <si>
    <t xml:space="preserve">TIGREROS PEREZ</t>
  </si>
  <si>
    <t xml:space="preserve">MOTTA REALPE</t>
  </si>
  <si>
    <t xml:space="preserve">LIZETH PAOLA</t>
  </si>
  <si>
    <t xml:space="preserve">GUTIERREZ IJAJI</t>
  </si>
  <si>
    <t xml:space="preserve">ARBOLEDA PRECIADO</t>
  </si>
  <si>
    <t xml:space="preserve">LINA FERNANDA</t>
  </si>
  <si>
    <t xml:space="preserve">CASTANO CHAVEZ</t>
  </si>
  <si>
    <t xml:space="preserve">COLLAZOS FIERRO</t>
  </si>
  <si>
    <t xml:space="preserve">RODRIGUEZ CALDERON</t>
  </si>
  <si>
    <t xml:space="preserve">JASSON STEVEN</t>
  </si>
  <si>
    <t xml:space="preserve">RODRIGUEZ NOGUERA</t>
  </si>
  <si>
    <t xml:space="preserve">STEPHANIE</t>
  </si>
  <si>
    <t xml:space="preserve">VALENCIA BORJA</t>
  </si>
  <si>
    <t xml:space="preserve">ROJAS MORALES</t>
  </si>
  <si>
    <t xml:space="preserve">FIGUEROA CARDONA</t>
  </si>
  <si>
    <t xml:space="preserve">KELLY MARCELA</t>
  </si>
  <si>
    <t xml:space="preserve">ORTIZ ESCARPETA</t>
  </si>
  <si>
    <t xml:space="preserve">ALVARADO</t>
  </si>
  <si>
    <t xml:space="preserve">EDWARD</t>
  </si>
  <si>
    <t xml:space="preserve">SOLARTE RIASCOS</t>
  </si>
  <si>
    <t xml:space="preserve">KARINA ANGELLY</t>
  </si>
  <si>
    <t xml:space="preserve">MARMOLEJO CASANAS</t>
  </si>
  <si>
    <t xml:space="preserve">MARIN SERNA</t>
  </si>
  <si>
    <t xml:space="preserve">GARCIA HERNANDEZ</t>
  </si>
  <si>
    <t xml:space="preserve">JESSICA BEATRIZ</t>
  </si>
  <si>
    <t xml:space="preserve">RODRIGUEZ BECERRA</t>
  </si>
  <si>
    <t xml:space="preserve">TAPASCO MARTINEZ</t>
  </si>
  <si>
    <t xml:space="preserve">NUR ELIZANA</t>
  </si>
  <si>
    <t xml:space="preserve">HENAO GONZALEZ</t>
  </si>
  <si>
    <t xml:space="preserve">CLAUDIA ANDREA</t>
  </si>
  <si>
    <t xml:space="preserve">HOYOS OTOA</t>
  </si>
  <si>
    <t xml:space="preserve">GINNA LIZETH</t>
  </si>
  <si>
    <t xml:space="preserve">RAMIREZ CABRA</t>
  </si>
  <si>
    <t xml:space="preserve">ERIKA</t>
  </si>
  <si>
    <t xml:space="preserve">ZAPATA OROZCO</t>
  </si>
  <si>
    <t xml:space="preserve">SANDRA LORENA</t>
  </si>
  <si>
    <t xml:space="preserve">CORREA GONZALEZ</t>
  </si>
  <si>
    <t xml:space="preserve">CEBALLOS CAMACHO</t>
  </si>
  <si>
    <t xml:space="preserve">LINA KARIME</t>
  </si>
  <si>
    <t xml:space="preserve">GARCES BEDOYA</t>
  </si>
  <si>
    <t xml:space="preserve">SARA ISABEL</t>
  </si>
  <si>
    <t xml:space="preserve">RIVEROS MOGOLLON</t>
  </si>
  <si>
    <t xml:space="preserve">RODRIGUEZ GUEVARA</t>
  </si>
  <si>
    <t xml:space="preserve">CAROL STEFANNY</t>
  </si>
  <si>
    <t xml:space="preserve">BETANCOURT AYALA</t>
  </si>
  <si>
    <t xml:space="preserve">RAMIREZ CIFUENTES</t>
  </si>
  <si>
    <t xml:space="preserve">PEREZ MAMIAM</t>
  </si>
  <si>
    <t xml:space="preserve">MENESES RUIZ</t>
  </si>
  <si>
    <t xml:space="preserve">GARCIA JIMENEZ</t>
  </si>
  <si>
    <t xml:space="preserve">GIRALDO SALAZAR</t>
  </si>
  <si>
    <t xml:space="preserve">LEIDY LORENA</t>
  </si>
  <si>
    <t xml:space="preserve">MONTANO MICOLTA</t>
  </si>
  <si>
    <t xml:space="preserve">CLAUDIA CECILIA</t>
  </si>
  <si>
    <t xml:space="preserve">ACEVEDO GUERRERO</t>
  </si>
  <si>
    <t xml:space="preserve">DIANA XIMENA</t>
  </si>
  <si>
    <t xml:space="preserve">RINCON BURBANO</t>
  </si>
  <si>
    <t xml:space="preserve">KARENT YULIETH</t>
  </si>
  <si>
    <t xml:space="preserve">TORRES GONZALEZ</t>
  </si>
  <si>
    <t xml:space="preserve">ANGI CAROLINA</t>
  </si>
  <si>
    <t xml:space="preserve">ROMERO ARENAS</t>
  </si>
  <si>
    <t xml:space="preserve">LLANTEN LLANTEN</t>
  </si>
  <si>
    <t xml:space="preserve">LEIDY JHOANNA</t>
  </si>
  <si>
    <t xml:space="preserve">BENAVIDES PINO</t>
  </si>
  <si>
    <t xml:space="preserve">STEFANI</t>
  </si>
  <si>
    <t xml:space="preserve">ESPINOSA CIFUENTES</t>
  </si>
  <si>
    <t xml:space="preserve">GUTIERREZ ASTUDILLO</t>
  </si>
  <si>
    <t xml:space="preserve">DOMINGUEZ GIRALDO</t>
  </si>
  <si>
    <t xml:space="preserve">GOMEZ BENAVIDES</t>
  </si>
  <si>
    <t xml:space="preserve">NATHALIA MARCELA</t>
  </si>
  <si>
    <t xml:space="preserve">CULTID PIRATEQUE</t>
  </si>
  <si>
    <t xml:space="preserve">PEREIRA GOMEZ</t>
  </si>
  <si>
    <t xml:space="preserve">CHRISTIAN LEONARDO</t>
  </si>
  <si>
    <t xml:space="preserve">PALACIOS LUGO</t>
  </si>
  <si>
    <t xml:space="preserve">GUZMAN PATINO</t>
  </si>
  <si>
    <t xml:space="preserve">JIMENEZ CRUZ</t>
  </si>
  <si>
    <t xml:space="preserve">XIOMARA</t>
  </si>
  <si>
    <t xml:space="preserve">AGUDELO MURILLO</t>
  </si>
  <si>
    <t xml:space="preserve">GONZALEZ RODRIGUEZ</t>
  </si>
  <si>
    <t xml:space="preserve">YAZMIN</t>
  </si>
  <si>
    <t xml:space="preserve">LLANTEN GRANDA</t>
  </si>
  <si>
    <t xml:space="preserve">CABEZAS ESTERILLA</t>
  </si>
  <si>
    <t xml:space="preserve">ALVAREZ CUERO</t>
  </si>
  <si>
    <t xml:space="preserve">JESSICA MANUELA</t>
  </si>
  <si>
    <t xml:space="preserve">PECHENE QUINCHIA</t>
  </si>
  <si>
    <t xml:space="preserve">CONSUELO LISETH</t>
  </si>
  <si>
    <t xml:space="preserve">LONDONO PINEROS</t>
  </si>
  <si>
    <t xml:space="preserve">CRESPO LUNA</t>
  </si>
  <si>
    <t xml:space="preserve">TOMBE OSPINA</t>
  </si>
  <si>
    <t xml:space="preserve">DIAZ MONTOYA</t>
  </si>
  <si>
    <t xml:space="preserve">RUIZ RUIZ</t>
  </si>
  <si>
    <t xml:space="preserve">PORTILLA JARAMILLO</t>
  </si>
  <si>
    <t xml:space="preserve">MARIA ANGELICA</t>
  </si>
  <si>
    <t xml:space="preserve">RAMIREZ LOPEZ</t>
  </si>
  <si>
    <t xml:space="preserve">LIDA FERNANDA</t>
  </si>
  <si>
    <t xml:space="preserve">SIERRA POLO</t>
  </si>
  <si>
    <t xml:space="preserve">GALEANO ASTUDILLO</t>
  </si>
  <si>
    <t xml:space="preserve">YERALDIN</t>
  </si>
  <si>
    <t xml:space="preserve">VELASCO RAMIREZ</t>
  </si>
  <si>
    <t xml:space="preserve">HILLARY</t>
  </si>
  <si>
    <t xml:space="preserve">TRUJILLO ZUNIGA</t>
  </si>
  <si>
    <t xml:space="preserve">CERON GUEVARA</t>
  </si>
  <si>
    <t xml:space="preserve">RAMIREZ SUAREZ</t>
  </si>
  <si>
    <t xml:space="preserve">MONTOYA MORALES</t>
  </si>
  <si>
    <t xml:space="preserve">GUERRERO JUNCO</t>
  </si>
  <si>
    <t xml:space="preserve">GAVIRIA MENDOZA</t>
  </si>
  <si>
    <t xml:space="preserve">MOSQUERA POSSO</t>
  </si>
  <si>
    <t xml:space="preserve">VELEZ ARANA</t>
  </si>
  <si>
    <t xml:space="preserve">YAMILETH</t>
  </si>
  <si>
    <t xml:space="preserve">DUENAS CASTILLO</t>
  </si>
  <si>
    <t xml:space="preserve">TELLO CARVAJAL</t>
  </si>
  <si>
    <t xml:space="preserve">KATERYN DAYANA</t>
  </si>
  <si>
    <t xml:space="preserve">LOPEZ BONILLA</t>
  </si>
  <si>
    <t xml:space="preserve">GINETH</t>
  </si>
  <si>
    <t xml:space="preserve">FAJARDO BERMUDEZ</t>
  </si>
  <si>
    <t xml:space="preserve">FLOR DEISY</t>
  </si>
  <si>
    <t xml:space="preserve">CENTENO</t>
  </si>
  <si>
    <t xml:space="preserve">KIMBERLEE</t>
  </si>
  <si>
    <t xml:space="preserve">RUIZ MEDINA</t>
  </si>
  <si>
    <t xml:space="preserve">JENIFER DAYANA</t>
  </si>
  <si>
    <t xml:space="preserve">OSORIO VALENCIA</t>
  </si>
  <si>
    <t xml:space="preserve">OVALLE MUNOZ</t>
  </si>
  <si>
    <t xml:space="preserve">NADIA CAROLINA</t>
  </si>
  <si>
    <t xml:space="preserve">PARRA HURTADO</t>
  </si>
  <si>
    <t xml:space="preserve">ALBORNOZ IBARGUEN</t>
  </si>
  <si>
    <t xml:space="preserve">CORTES VICTORIA</t>
  </si>
  <si>
    <t xml:space="preserve">JENIFFER TATIANA</t>
  </si>
  <si>
    <t xml:space="preserve">USECHE BECERRA</t>
  </si>
  <si>
    <t xml:space="preserve">BRIAN ALEXIS</t>
  </si>
  <si>
    <t xml:space="preserve">RESTREPO DELGADO</t>
  </si>
  <si>
    <t xml:space="preserve">LUIS MIGUEL</t>
  </si>
  <si>
    <t xml:space="preserve">CORREA ARIAS</t>
  </si>
  <si>
    <t xml:space="preserve">LEYDI VANESSA</t>
  </si>
  <si>
    <t xml:space="preserve">CARDONA CASTRO</t>
  </si>
  <si>
    <t xml:space="preserve">JHON ALFONSO</t>
  </si>
  <si>
    <t xml:space="preserve">ALBARAN MURIEL</t>
  </si>
  <si>
    <t xml:space="preserve">WALDO ARENAS</t>
  </si>
  <si>
    <t xml:space="preserve">KELLY JHOJARY</t>
  </si>
  <si>
    <t xml:space="preserve">MORENO MUNOZ</t>
  </si>
  <si>
    <t xml:space="preserve">QUELAL BURBANO</t>
  </si>
  <si>
    <t xml:space="preserve">DEISY CAROLINA</t>
  </si>
  <si>
    <t xml:space="preserve">VASQUEZ MONDRAGON</t>
  </si>
  <si>
    <t xml:space="preserve">STEPHANNY</t>
  </si>
  <si>
    <t xml:space="preserve">JIMENEZ CAMACHO</t>
  </si>
  <si>
    <t xml:space="preserve">CLAUDIA LIZETH</t>
  </si>
  <si>
    <t xml:space="preserve">CUESTA HURTADO</t>
  </si>
  <si>
    <t xml:space="preserve">NUBIA SARAY</t>
  </si>
  <si>
    <t xml:space="preserve">ACEVEDO  ZUNIGA</t>
  </si>
  <si>
    <t xml:space="preserve">KAREN</t>
  </si>
  <si>
    <t xml:space="preserve">DELGADO TABIMA</t>
  </si>
  <si>
    <t xml:space="preserve">ZAPATA MONTENEGRO</t>
  </si>
  <si>
    <t xml:space="preserve">JHOSELIM</t>
  </si>
  <si>
    <t xml:space="preserve">OLARTE VALENCIA</t>
  </si>
  <si>
    <t xml:space="preserve">YULIANA PATRICIA</t>
  </si>
  <si>
    <t xml:space="preserve">TABARES MORALES</t>
  </si>
  <si>
    <t xml:space="preserve">TINTINAGO MAMIAN</t>
  </si>
  <si>
    <t xml:space="preserve">LEYDY LORENA</t>
  </si>
  <si>
    <t xml:space="preserve">VALENCIA CARABALI</t>
  </si>
  <si>
    <t xml:space="preserve">CHARLES WILLIAM</t>
  </si>
  <si>
    <t xml:space="preserve">OSPINA SANTA CRUZ</t>
  </si>
  <si>
    <t xml:space="preserve">BARONA ORTIZ</t>
  </si>
  <si>
    <t xml:space="preserve">ROJAS ALMEIDA</t>
  </si>
  <si>
    <t xml:space="preserve">DANIELLA</t>
  </si>
  <si>
    <t xml:space="preserve">CARDONA ALDANA</t>
  </si>
  <si>
    <t xml:space="preserve">ORDONEZ YONDA</t>
  </si>
  <si>
    <t xml:space="preserve">JANETH</t>
  </si>
  <si>
    <t xml:space="preserve">URIBE ZABALA</t>
  </si>
  <si>
    <t xml:space="preserve">DAVINSON</t>
  </si>
  <si>
    <t xml:space="preserve">SILVA MAMBUSCAY</t>
  </si>
  <si>
    <t xml:space="preserve">YENNY LICETH</t>
  </si>
  <si>
    <t xml:space="preserve">OLIVEROS JIMENEZ</t>
  </si>
  <si>
    <t xml:space="preserve">YENI LORENA</t>
  </si>
  <si>
    <t xml:space="preserve">MARIN GRAJALES</t>
  </si>
  <si>
    <t xml:space="preserve">RONAL ANDRES</t>
  </si>
  <si>
    <t xml:space="preserve">GARCIA LARA</t>
  </si>
  <si>
    <t xml:space="preserve">MARIO</t>
  </si>
  <si>
    <t xml:space="preserve">GIRALDO CLEVES</t>
  </si>
  <si>
    <t xml:space="preserve">BRIGITTE ANDREA</t>
  </si>
  <si>
    <t xml:space="preserve">ALVARADO MOLINA</t>
  </si>
  <si>
    <t xml:space="preserve">TREICY MAYURI</t>
  </si>
  <si>
    <t xml:space="preserve">CASTILLO ORTIZ</t>
  </si>
  <si>
    <t xml:space="preserve">MARTINEZ HURTADO</t>
  </si>
  <si>
    <t xml:space="preserve">KENNDY YESENIA</t>
  </si>
  <si>
    <t xml:space="preserve">LUCUMI MINA</t>
  </si>
  <si>
    <t xml:space="preserve">VIVAS RICON</t>
  </si>
  <si>
    <t xml:space="preserve">MARIA DEL ROSARIO</t>
  </si>
  <si>
    <t xml:space="preserve">BERMUDEZ TEJADA</t>
  </si>
  <si>
    <t xml:space="preserve">XIMENA ALEJANDRA</t>
  </si>
  <si>
    <t xml:space="preserve">MURILLO VIDAL</t>
  </si>
  <si>
    <t xml:space="preserve">CASTILLO CARDONA</t>
  </si>
  <si>
    <t xml:space="preserve">LUCUMI CORTES</t>
  </si>
  <si>
    <t xml:space="preserve">BESSY TATIANA</t>
  </si>
  <si>
    <t xml:space="preserve">GARCIA VERA</t>
  </si>
  <si>
    <t xml:space="preserve">JESSICA VIVIANA</t>
  </si>
  <si>
    <t xml:space="preserve">OTERO MOSQUERA</t>
  </si>
  <si>
    <t xml:space="preserve">BRAYAN ANDRES</t>
  </si>
  <si>
    <t xml:space="preserve">ORTIZ TORRES</t>
  </si>
  <si>
    <t xml:space="preserve">DIAZ CASTRO</t>
  </si>
  <si>
    <t xml:space="preserve">MARLLY CAROLINA</t>
  </si>
  <si>
    <t xml:space="preserve">JULIANA ISABEL</t>
  </si>
  <si>
    <t xml:space="preserve">ORTIZ PATINO</t>
  </si>
  <si>
    <t xml:space="preserve">KATERYN</t>
  </si>
  <si>
    <t xml:space="preserve">BRAVO CUERO</t>
  </si>
  <si>
    <t xml:space="preserve">TANIA LORENA</t>
  </si>
  <si>
    <t xml:space="preserve">CRUZ MANZANO</t>
  </si>
  <si>
    <t xml:space="preserve">MOSQUERA RODRIGUEZ</t>
  </si>
  <si>
    <t xml:space="preserve">VALENCIA CARDONA</t>
  </si>
  <si>
    <t xml:space="preserve">YURANI ANDREA</t>
  </si>
  <si>
    <t xml:space="preserve">OCONTO MARULANDA</t>
  </si>
  <si>
    <t xml:space="preserve">DIAZ GUTIERREZ</t>
  </si>
  <si>
    <t xml:space="preserve">ERIKA LORENA</t>
  </si>
  <si>
    <t xml:space="preserve">LANDAZURI VIVEROS</t>
  </si>
  <si>
    <t xml:space="preserve">CAROL LIZETH</t>
  </si>
  <si>
    <t xml:space="preserve">RAMIREZ CHAVEZ</t>
  </si>
  <si>
    <t xml:space="preserve">CARMONA MONTOYA</t>
  </si>
  <si>
    <t xml:space="preserve">CAICEDO CASTILLO</t>
  </si>
  <si>
    <t xml:space="preserve">KELLY</t>
  </si>
  <si>
    <t xml:space="preserve">MURIEL GUZMAN</t>
  </si>
  <si>
    <t xml:space="preserve">DERLY DAYANA</t>
  </si>
  <si>
    <t xml:space="preserve">GAMBOA AMAYA</t>
  </si>
  <si>
    <t xml:space="preserve">NORLY VANESSA</t>
  </si>
  <si>
    <t xml:space="preserve">COLLAZOS AGUIRRE</t>
  </si>
  <si>
    <t xml:space="preserve">MABEL FERNANDA</t>
  </si>
  <si>
    <t xml:space="preserve">LOPEZ OROZCO</t>
  </si>
  <si>
    <t xml:space="preserve">LYDA LIZETH</t>
  </si>
  <si>
    <t xml:space="preserve">SALCEDO RODRIGUEZ</t>
  </si>
  <si>
    <t xml:space="preserve">MERA CASTRO</t>
  </si>
  <si>
    <t xml:space="preserve">ANYI ANDREA</t>
  </si>
  <si>
    <t xml:space="preserve">ZAPATA GUTIERREZ</t>
  </si>
  <si>
    <t xml:space="preserve">LUZ KARIME</t>
  </si>
  <si>
    <t xml:space="preserve">ANGULO CORTES</t>
  </si>
  <si>
    <t xml:space="preserve">CARABALI CORCINO</t>
  </si>
  <si>
    <t xml:space="preserve">YEPES FLOR</t>
  </si>
  <si>
    <t xml:space="preserve">DAZA SANCHEZ</t>
  </si>
  <si>
    <t xml:space="preserve">INGRID GISELA</t>
  </si>
  <si>
    <t xml:space="preserve">OSORIO NIETO</t>
  </si>
  <si>
    <t xml:space="preserve">VALLEJO LASSO</t>
  </si>
  <si>
    <t xml:space="preserve">KARLEN CECILIA</t>
  </si>
  <si>
    <t xml:space="preserve">MORENO VASQUEZ</t>
  </si>
  <si>
    <t xml:space="preserve">KARINA MARCELA</t>
  </si>
  <si>
    <t xml:space="preserve">REINA CIFUENTES</t>
  </si>
  <si>
    <t xml:space="preserve">LAURA TATIANA</t>
  </si>
  <si>
    <t xml:space="preserve">CORREA LOPEZ</t>
  </si>
  <si>
    <t xml:space="preserve">JHARLEN VANNESA</t>
  </si>
  <si>
    <t xml:space="preserve">TIMOTE HURTADO</t>
  </si>
  <si>
    <t xml:space="preserve">BECERRA NIETO</t>
  </si>
  <si>
    <t xml:space="preserve">ESCOBAR FORONDA</t>
  </si>
  <si>
    <t xml:space="preserve">LUZ MAYURY</t>
  </si>
  <si>
    <t xml:space="preserve">BENAVIDES ZAPATA</t>
  </si>
  <si>
    <t xml:space="preserve">KELLY CAROLINA</t>
  </si>
  <si>
    <t xml:space="preserve">BELTRAN OSPINA</t>
  </si>
  <si>
    <t xml:space="preserve">SINESTERRA PENAGOS</t>
  </si>
  <si>
    <t xml:space="preserve">YENNY VANESSA</t>
  </si>
  <si>
    <t xml:space="preserve">GOMEZ MORALES</t>
  </si>
  <si>
    <t xml:space="preserve">SIERRA CASAS</t>
  </si>
  <si>
    <t xml:space="preserve">YISCELLA</t>
  </si>
  <si>
    <t xml:space="preserve">LUNA MARTINEZ</t>
  </si>
  <si>
    <t xml:space="preserve">DARIO GERARDO</t>
  </si>
  <si>
    <t xml:space="preserve">PEREZ NARANJO</t>
  </si>
  <si>
    <t xml:space="preserve">PAULA ALEJANDRA</t>
  </si>
  <si>
    <t xml:space="preserve">MONEDERO GAVIRIA</t>
  </si>
  <si>
    <t xml:space="preserve">MIYERLADY</t>
  </si>
  <si>
    <t xml:space="preserve">GUERRERO SALAZAR</t>
  </si>
  <si>
    <t xml:space="preserve">CASTILLO OSORIO</t>
  </si>
  <si>
    <t xml:space="preserve">BERMUDEZ ARROYO</t>
  </si>
  <si>
    <t xml:space="preserve">ESTEFHANY</t>
  </si>
  <si>
    <t xml:space="preserve">OROZCO PERALTA</t>
  </si>
  <si>
    <t xml:space="preserve">FAISYURY</t>
  </si>
  <si>
    <t xml:space="preserve">BANGUERO HOYOS</t>
  </si>
  <si>
    <t xml:space="preserve">CHITO MAMIAN</t>
  </si>
  <si>
    <t xml:space="preserve">SANCHEZ IDROBO</t>
  </si>
  <si>
    <t xml:space="preserve">ALBA NELLY</t>
  </si>
  <si>
    <t xml:space="preserve">GALVIS MENDOZA</t>
  </si>
  <si>
    <t xml:space="preserve">JARLYS</t>
  </si>
  <si>
    <t xml:space="preserve">MUNOZ ROJAS</t>
  </si>
  <si>
    <t xml:space="preserve">LIZETH KARIME</t>
  </si>
  <si>
    <t xml:space="preserve">ACOSTA VIVEROS</t>
  </si>
  <si>
    <t xml:space="preserve">ESTEPANIE</t>
  </si>
  <si>
    <t xml:space="preserve">ORDONEZ CALERO</t>
  </si>
  <si>
    <t xml:space="preserve">DELLA VIVIANA</t>
  </si>
  <si>
    <t xml:space="preserve">GUTIERREZ  MORENO</t>
  </si>
  <si>
    <t xml:space="preserve">DANIEL FELIPE</t>
  </si>
  <si>
    <t xml:space="preserve">MARMOLEJO VARGAS</t>
  </si>
  <si>
    <t xml:space="preserve">VERDUGO RUIZ</t>
  </si>
  <si>
    <t xml:space="preserve">ESQUIVEL CHAVEZ</t>
  </si>
  <si>
    <t xml:space="preserve">BRYAM ALEJANDRO</t>
  </si>
  <si>
    <t xml:space="preserve">NARVAEZ MANQUILLO</t>
  </si>
  <si>
    <t xml:space="preserve">SANCHEZ ELAGO</t>
  </si>
  <si>
    <t xml:space="preserve">VALERIA ANDREA</t>
  </si>
  <si>
    <t xml:space="preserve">RODRIGUEZ SANCHEZ</t>
  </si>
  <si>
    <t xml:space="preserve">STEFANIA</t>
  </si>
  <si>
    <t xml:space="preserve">CARDONA CAICEDO</t>
  </si>
  <si>
    <t xml:space="preserve">GRANADA MONTEALEGRE</t>
  </si>
  <si>
    <t xml:space="preserve">JAVIER ANDREY</t>
  </si>
  <si>
    <t xml:space="preserve">GRISALES ARANGO</t>
  </si>
  <si>
    <t xml:space="preserve">VIDAL SERRANO</t>
  </si>
  <si>
    <t xml:space="preserve">GEIDY XIOMARA</t>
  </si>
  <si>
    <t xml:space="preserve">SANCHEZ SILVA</t>
  </si>
  <si>
    <t xml:space="preserve">MICOLTA SOLARTE</t>
  </si>
  <si>
    <t xml:space="preserve">LIZETH VIVIANA</t>
  </si>
  <si>
    <t xml:space="preserve">FIGUEROA SALCEDO</t>
  </si>
  <si>
    <t xml:space="preserve">BRINEZ PAZ</t>
  </si>
  <si>
    <t xml:space="preserve">KATHERYN</t>
  </si>
  <si>
    <t xml:space="preserve">ANGULO CASTILLO</t>
  </si>
  <si>
    <t xml:space="preserve">SORANI</t>
  </si>
  <si>
    <t xml:space="preserve">ARTEAGA VACA</t>
  </si>
  <si>
    <t xml:space="preserve">KAREN LIZETH</t>
  </si>
  <si>
    <t xml:space="preserve">LABRADA ZAPATA</t>
  </si>
  <si>
    <t xml:space="preserve">RAMOS SERNA</t>
  </si>
  <si>
    <t xml:space="preserve">CABEZAS RINCON</t>
  </si>
  <si>
    <t xml:space="preserve">BEATRIZ CAROLINA</t>
  </si>
  <si>
    <t xml:space="preserve">DIAZ PAVI</t>
  </si>
  <si>
    <t xml:space="preserve">DALIA MAGNOLIA</t>
  </si>
  <si>
    <t xml:space="preserve">RIVERA RODRIGUEZ</t>
  </si>
  <si>
    <t xml:space="preserve">ARCE FORY</t>
  </si>
  <si>
    <t xml:space="preserve">GARCIA LUCUMI</t>
  </si>
  <si>
    <t xml:space="preserve">SARA LIZETH</t>
  </si>
  <si>
    <t xml:space="preserve">GUAITARILLA SOTO</t>
  </si>
  <si>
    <t xml:space="preserve">JUAN MANUEL</t>
  </si>
  <si>
    <t xml:space="preserve">GALEANO GUTIERREZ</t>
  </si>
  <si>
    <t xml:space="preserve">MARTINEZ SARASTY</t>
  </si>
  <si>
    <t xml:space="preserve">ELIANA ALEXANDRA</t>
  </si>
  <si>
    <t xml:space="preserve">MONTOYA MARTINEZ</t>
  </si>
  <si>
    <t xml:space="preserve">LUCUMI PERLAZA</t>
  </si>
  <si>
    <t xml:space="preserve">GLORIA IVONNE</t>
  </si>
  <si>
    <t xml:space="preserve">GUTIERREZ CALDERON</t>
  </si>
  <si>
    <t xml:space="preserve">PALOMEQUE JIMENEZ</t>
  </si>
  <si>
    <t xml:space="preserve">BAHAMON URIBE</t>
  </si>
  <si>
    <t xml:space="preserve">ACEVEDO ROJAS</t>
  </si>
  <si>
    <t xml:space="preserve">RODRIGUEZ ALMARIO</t>
  </si>
  <si>
    <t xml:space="preserve">JULLY PAULIN</t>
  </si>
  <si>
    <t xml:space="preserve">ARANGO CASTRO</t>
  </si>
  <si>
    <t xml:space="preserve">GLORIA SHIRLEY</t>
  </si>
  <si>
    <t xml:space="preserve">PAPAMIJA GONZALEZ</t>
  </si>
  <si>
    <t xml:space="preserve">MURIEL TABARES</t>
  </si>
  <si>
    <t xml:space="preserve">JENIFFER JESSET</t>
  </si>
  <si>
    <t xml:space="preserve">VALENCIA</t>
  </si>
  <si>
    <t xml:space="preserve">YENSY JULIETH</t>
  </si>
  <si>
    <t xml:space="preserve">SALAZAR FAJARDO</t>
  </si>
  <si>
    <t xml:space="preserve">LICETH CATHERINE</t>
  </si>
  <si>
    <t xml:space="preserve">GARCIA MONTERO</t>
  </si>
  <si>
    <t xml:space="preserve">YENI VANESSA</t>
  </si>
  <si>
    <t xml:space="preserve">RICO MARTINEZ</t>
  </si>
  <si>
    <t xml:space="preserve">ESLAVA AMU</t>
  </si>
  <si>
    <t xml:space="preserve">ANYELA FERNANDA</t>
  </si>
  <si>
    <t xml:space="preserve">URREA MARIN</t>
  </si>
  <si>
    <t xml:space="preserve">GARCIA ROBLES</t>
  </si>
  <si>
    <t xml:space="preserve">LOZANO CUASPA</t>
  </si>
  <si>
    <t xml:space="preserve">KAREN YULIETH</t>
  </si>
  <si>
    <t xml:space="preserve">ALZATE ARCE</t>
  </si>
  <si>
    <t xml:space="preserve">ORDONEZ SANCHEZ</t>
  </si>
  <si>
    <t xml:space="preserve">DOUGLAS ORLANDO</t>
  </si>
  <si>
    <t xml:space="preserve">CORREA ARCE</t>
  </si>
  <si>
    <t xml:space="preserve">CLAUDIA MARCELA</t>
  </si>
  <si>
    <t xml:space="preserve">SILVA ZAMBRANO</t>
  </si>
  <si>
    <t xml:space="preserve">JENNYFER DANIELA</t>
  </si>
  <si>
    <t xml:space="preserve">SOLORZANO VERGARA</t>
  </si>
  <si>
    <t xml:space="preserve">TOBAR SAAVEDRA</t>
  </si>
  <si>
    <t xml:space="preserve">CORTES MOLINA</t>
  </si>
  <si>
    <t xml:space="preserve">MONTANEZ</t>
  </si>
  <si>
    <t xml:space="preserve">CIFUENTES MEGUDAN</t>
  </si>
  <si>
    <t xml:space="preserve">OJEDA NARVAEZ</t>
  </si>
  <si>
    <t xml:space="preserve">LADY STEPHANY</t>
  </si>
  <si>
    <t xml:space="preserve">UNICANCER</t>
  </si>
  <si>
    <t xml:space="preserve">MEDINA QUINONES</t>
  </si>
  <si>
    <t xml:space="preserve">ESCOBAR PAZ</t>
  </si>
  <si>
    <t xml:space="preserve">NIDSON ANDRES</t>
  </si>
  <si>
    <t xml:space="preserve">GUTIERREZ PRADO</t>
  </si>
  <si>
    <t xml:space="preserve">DOMINGUEZ ARCINIEGAS</t>
  </si>
  <si>
    <t xml:space="preserve">PENA ZARATE</t>
  </si>
  <si>
    <t xml:space="preserve">EVELYN ELENA</t>
  </si>
  <si>
    <t xml:space="preserve">OSSA SINISTERRA</t>
  </si>
  <si>
    <t xml:space="preserve">DIANA RUBY</t>
  </si>
  <si>
    <t xml:space="preserve">CAUSADO CURREA</t>
  </si>
  <si>
    <t xml:space="preserve">CRISTIAN CAMILO</t>
  </si>
  <si>
    <t xml:space="preserve">VIAFARA MARTINEZ</t>
  </si>
  <si>
    <t xml:space="preserve">JESSICA NATALIA</t>
  </si>
  <si>
    <t xml:space="preserve">ORTEGA GIRALDO</t>
  </si>
  <si>
    <t xml:space="preserve">SOLARTE RENGIFO</t>
  </si>
  <si>
    <t xml:space="preserve">OSPINA VIVEROS</t>
  </si>
  <si>
    <t xml:space="preserve">ANYI CRISTINA</t>
  </si>
  <si>
    <t xml:space="preserve">LOPEZ TUNUBALA</t>
  </si>
  <si>
    <t xml:space="preserve">LOPEZ ACOSTA</t>
  </si>
  <si>
    <t xml:space="preserve">GOMEZ CADENA</t>
  </si>
  <si>
    <t xml:space="preserve">FELIPE</t>
  </si>
  <si>
    <t xml:space="preserve">ARENAS MUNOZ</t>
  </si>
  <si>
    <t xml:space="preserve">SONIA VANESA</t>
  </si>
  <si>
    <t xml:space="preserve">GONZALEZ CISNEROS</t>
  </si>
  <si>
    <t xml:space="preserve">STEFANNY</t>
  </si>
  <si>
    <t xml:space="preserve">MINA CUENCA</t>
  </si>
  <si>
    <t xml:space="preserve">YISEL FERNANDA</t>
  </si>
  <si>
    <t xml:space="preserve">GRANADOS GIRALDO</t>
  </si>
  <si>
    <t xml:space="preserve">DIANA ALEJANDRA</t>
  </si>
  <si>
    <t xml:space="preserve">ARROYO FLOREZ</t>
  </si>
  <si>
    <t xml:space="preserve">KIMBERLY</t>
  </si>
  <si>
    <t xml:space="preserve">MONTES MILLAN</t>
  </si>
  <si>
    <t xml:space="preserve">VERA MEJIA</t>
  </si>
  <si>
    <t xml:space="preserve">LICETH</t>
  </si>
  <si>
    <t xml:space="preserve">CAMBINDO GONZALEZ</t>
  </si>
  <si>
    <t xml:space="preserve">ANGELY YISETH</t>
  </si>
  <si>
    <t xml:space="preserve">ARTUNDUAGA QUINONES</t>
  </si>
  <si>
    <t xml:space="preserve">SOFIA</t>
  </si>
  <si>
    <t xml:space="preserve">SANCHEZ BOLIVAR</t>
  </si>
  <si>
    <t xml:space="preserve">CASTILLO FORERO</t>
  </si>
  <si>
    <t xml:space="preserve">YEPES GARCIA</t>
  </si>
  <si>
    <t xml:space="preserve">SOTO MEDINA</t>
  </si>
  <si>
    <t xml:space="preserve">KAREN JULIETH</t>
  </si>
  <si>
    <t xml:space="preserve">SANCHEZ MINA</t>
  </si>
  <si>
    <t xml:space="preserve">DANIELA MARCELA</t>
  </si>
  <si>
    <t xml:space="preserve">RODRIGUEZ ESCOBAR</t>
  </si>
  <si>
    <t xml:space="preserve">DILAN JEREMY</t>
  </si>
  <si>
    <t xml:space="preserve">ACOSTA ARANGO</t>
  </si>
  <si>
    <t xml:space="preserve">YOULY ESTHEFHANIE</t>
  </si>
  <si>
    <t xml:space="preserve">VARGAS MUNOZ</t>
  </si>
  <si>
    <t xml:space="preserve">MESA CASTANO</t>
  </si>
  <si>
    <t xml:space="preserve">ROCHA GUTIERREZ</t>
  </si>
  <si>
    <t xml:space="preserve">CINDY YULIED</t>
  </si>
  <si>
    <t xml:space="preserve">GONZALEZ HINESTROZA</t>
  </si>
  <si>
    <t xml:space="preserve">CHRISTIAN YECID</t>
  </si>
  <si>
    <t xml:space="preserve">VELEZ LOBATON</t>
  </si>
  <si>
    <t xml:space="preserve">YULI GISEL</t>
  </si>
  <si>
    <t xml:space="preserve">GORDILLO PIMENTEL</t>
  </si>
  <si>
    <t xml:space="preserve">MORENO ARCOS</t>
  </si>
  <si>
    <t xml:space="preserve">YURANY YESENIA</t>
  </si>
  <si>
    <t xml:space="preserve">SANABRIA CABUYA</t>
  </si>
  <si>
    <t xml:space="preserve">JEIMMY YULIETH</t>
  </si>
  <si>
    <t xml:space="preserve">BUSTOS VALENCIA</t>
  </si>
  <si>
    <t xml:space="preserve">SUAREZ TUQUERRES</t>
  </si>
  <si>
    <t xml:space="preserve">MANUEL ALEJANDRO</t>
  </si>
  <si>
    <t xml:space="preserve">QUINTERO QUINTERO</t>
  </si>
  <si>
    <t xml:space="preserve">VARELA RODRIGUEZ</t>
  </si>
  <si>
    <t xml:space="preserve">CLAUDIA FERNANDA</t>
  </si>
  <si>
    <t xml:space="preserve">DUQUE DIAZ</t>
  </si>
  <si>
    <t xml:space="preserve">DAYAN</t>
  </si>
  <si>
    <t xml:space="preserve">CANTERO SOTO</t>
  </si>
  <si>
    <t xml:space="preserve">SOLARTE TENORIO</t>
  </si>
  <si>
    <t xml:space="preserve">KELLY VANESSA</t>
  </si>
  <si>
    <t xml:space="preserve">GUZMAN MUNOZ</t>
  </si>
  <si>
    <t xml:space="preserve">ALDEMAR</t>
  </si>
  <si>
    <t xml:space="preserve">CANDELO ARCE</t>
  </si>
  <si>
    <t xml:space="preserve">AGREDO GARCIA</t>
  </si>
  <si>
    <t xml:space="preserve">MAYRA SUSANA</t>
  </si>
  <si>
    <t xml:space="preserve">VALENCIA LOPEZ</t>
  </si>
  <si>
    <t xml:space="preserve">SALAZAR MADRID</t>
  </si>
  <si>
    <t xml:space="preserve">JOHANNA</t>
  </si>
  <si>
    <t xml:space="preserve">MARIN MENDEZ</t>
  </si>
  <si>
    <t xml:space="preserve">GUTIERREZ RIVERA</t>
  </si>
  <si>
    <t xml:space="preserve">JONATHAN ANDRES</t>
  </si>
  <si>
    <t xml:space="preserve">MOSCOSO ARANGO</t>
  </si>
  <si>
    <t xml:space="preserve">YESICA VIVIANA</t>
  </si>
  <si>
    <t xml:space="preserve">GALLEGO OSORIO</t>
  </si>
  <si>
    <t xml:space="preserve">JAIBER LEANDRO</t>
  </si>
  <si>
    <t xml:space="preserve">MURILLO CASTANEDA</t>
  </si>
  <si>
    <t xml:space="preserve">BERNAL ORDONEZ</t>
  </si>
  <si>
    <t xml:space="preserve">KAREN TATIANA</t>
  </si>
  <si>
    <t xml:space="preserve">DEL CASTILLO ALVAREZ</t>
  </si>
  <si>
    <t xml:space="preserve">LUZ ANGELICA</t>
  </si>
  <si>
    <t xml:space="preserve">VILLOTA CADENA</t>
  </si>
  <si>
    <t xml:space="preserve">VERGARA SOLANO</t>
  </si>
  <si>
    <t xml:space="preserve">STEPHANIA</t>
  </si>
  <si>
    <t xml:space="preserve">ALEGRIAS HIDALGO</t>
  </si>
  <si>
    <t xml:space="preserve">ALVAREZ ARAUJO</t>
  </si>
  <si>
    <t xml:space="preserve">EILEN DAYANA</t>
  </si>
  <si>
    <t xml:space="preserve">BENJUMEA GRUESO</t>
  </si>
  <si>
    <t xml:space="preserve">GARCIA ATOY</t>
  </si>
  <si>
    <t xml:space="preserve">CARDENAS CARVAJAL</t>
  </si>
  <si>
    <t xml:space="preserve">RIOS LUGO</t>
  </si>
  <si>
    <t xml:space="preserve">KAREN JOHANNA</t>
  </si>
  <si>
    <t xml:space="preserve">BANGUERO RODRIGUEZ</t>
  </si>
  <si>
    <t xml:space="preserve">OYOLA VALDERRAMA</t>
  </si>
  <si>
    <t xml:space="preserve">GALVIS CIFUENTES</t>
  </si>
  <si>
    <t xml:space="preserve">SILVANA</t>
  </si>
  <si>
    <t xml:space="preserve">VERNAZA CABEZAS</t>
  </si>
  <si>
    <t xml:space="preserve">TUTACHA VELASCO</t>
  </si>
  <si>
    <t xml:space="preserve">PALACIOS LARROTA</t>
  </si>
  <si>
    <t xml:space="preserve">ADRIANA CAROLINA</t>
  </si>
  <si>
    <t xml:space="preserve">CAMPO JIMENEZ</t>
  </si>
  <si>
    <t xml:space="preserve">LOPEZ DUQUE</t>
  </si>
  <si>
    <t xml:space="preserve">SIRLEY DAYANA</t>
  </si>
  <si>
    <t xml:space="preserve">MEDINA TRUQUE</t>
  </si>
  <si>
    <t xml:space="preserve">EDILBERTO</t>
  </si>
  <si>
    <t xml:space="preserve">PENA BOCANEGRA</t>
  </si>
  <si>
    <t xml:space="preserve">STEPHANY ILIANA</t>
  </si>
  <si>
    <t xml:space="preserve">MARTINEZ MEZA</t>
  </si>
  <si>
    <t xml:space="preserve">ADRIANA AMPARO</t>
  </si>
  <si>
    <t xml:space="preserve">PALACIOS SIERRA</t>
  </si>
  <si>
    <t xml:space="preserve">YAIRA MILENA</t>
  </si>
  <si>
    <t xml:space="preserve">PARRA ARTUNDUAGA</t>
  </si>
  <si>
    <t xml:space="preserve">ANDREA ESTEFANIA</t>
  </si>
  <si>
    <t xml:space="preserve">BOTERO RIVERA</t>
  </si>
  <si>
    <t xml:space="preserve">MARIA MARCELA</t>
  </si>
  <si>
    <t xml:space="preserve">SOTO MARROQUIN</t>
  </si>
  <si>
    <t xml:space="preserve">ALEJANDRO</t>
  </si>
  <si>
    <t xml:space="preserve">VILLEGAS TEGUE</t>
  </si>
  <si>
    <t xml:space="preserve">HJONATAN</t>
  </si>
  <si>
    <t xml:space="preserve">JARAMILLO GUTIERREZ</t>
  </si>
  <si>
    <t xml:space="preserve">AGUIRRE CORTES</t>
  </si>
  <si>
    <t xml:space="preserve">JULIETH KATHERINE</t>
  </si>
  <si>
    <t xml:space="preserve">NARANJO PELAEZ</t>
  </si>
  <si>
    <t xml:space="preserve">SANDRA XIMENA</t>
  </si>
  <si>
    <t xml:space="preserve">MOSQUERA GAMBOA</t>
  </si>
  <si>
    <t xml:space="preserve">GONZALEZ NIETO</t>
  </si>
  <si>
    <t xml:space="preserve">LUCUMI MUNOZ</t>
  </si>
  <si>
    <t xml:space="preserve">NARVAEZ CAICEDO</t>
  </si>
  <si>
    <t xml:space="preserve">NESTOR STIVEN</t>
  </si>
  <si>
    <t xml:space="preserve">DUQUE AYALA</t>
  </si>
  <si>
    <t xml:space="preserve">SANTAMARIA AYALA</t>
  </si>
  <si>
    <t xml:space="preserve">JENIFER ANDREA</t>
  </si>
  <si>
    <t xml:space="preserve">NUNEZ TORRES</t>
  </si>
  <si>
    <t xml:space="preserve">DOUGLAS ALBERTO</t>
  </si>
  <si>
    <t xml:space="preserve">GOMEZ GARCIA</t>
  </si>
  <si>
    <t xml:space="preserve">RESTREPO OSORIO</t>
  </si>
  <si>
    <t xml:space="preserve">YESSICA NATHALIA</t>
  </si>
  <si>
    <t xml:space="preserve">OCAMPO PATINO</t>
  </si>
  <si>
    <t xml:space="preserve">NAVARRETE OLIVA</t>
  </si>
  <si>
    <t xml:space="preserve">RUIZ PEREZ</t>
  </si>
  <si>
    <t xml:space="preserve">RESTREPO PATINO</t>
  </si>
  <si>
    <t xml:space="preserve">CARLOS EDUARDO</t>
  </si>
  <si>
    <t xml:space="preserve">HOYOS CALVO</t>
  </si>
  <si>
    <t xml:space="preserve">CHAVARRIAGA CARDONA</t>
  </si>
  <si>
    <t xml:space="preserve">ROSAS PALOMINO</t>
  </si>
  <si>
    <t xml:space="preserve">CLAUDIA NATHALY</t>
  </si>
  <si>
    <t xml:space="preserve">VARGAS MARQUEZ</t>
  </si>
  <si>
    <t xml:space="preserve">MONICA TATIANA</t>
  </si>
  <si>
    <t xml:space="preserve">GONZALEZ HINCAPIE</t>
  </si>
  <si>
    <t xml:space="preserve">LEONARDO</t>
  </si>
  <si>
    <t xml:space="preserve">BELTRAN CAMACHO</t>
  </si>
  <si>
    <t xml:space="preserve">DAYAN LORENA</t>
  </si>
  <si>
    <t xml:space="preserve">HERNANDEZ LOPEZ</t>
  </si>
  <si>
    <t xml:space="preserve">DERLY</t>
  </si>
  <si>
    <t xml:space="preserve">REINOSA</t>
  </si>
  <si>
    <t xml:space="preserve">CARVAJAL BARONA</t>
  </si>
  <si>
    <t xml:space="preserve">GAVIRIA VALDERRAMA</t>
  </si>
  <si>
    <t xml:space="preserve">GABRIEL</t>
  </si>
  <si>
    <t xml:space="preserve">ZULUAGA GIRALDO</t>
  </si>
  <si>
    <t xml:space="preserve">MORALES ANTOLINEZ</t>
  </si>
  <si>
    <t xml:space="preserve">JOAN STIVEN</t>
  </si>
  <si>
    <t xml:space="preserve">LOMBANA RODRIGUEZ</t>
  </si>
  <si>
    <t xml:space="preserve">CRUZ VELASCO</t>
  </si>
  <si>
    <t xml:space="preserve">LINDA YESENIA</t>
  </si>
  <si>
    <t xml:space="preserve">BENITEZ PECHENE</t>
  </si>
  <si>
    <t xml:space="preserve">XIOMARA KATHERINE</t>
  </si>
  <si>
    <t xml:space="preserve">CORREA SEGURA</t>
  </si>
  <si>
    <t xml:space="preserve">ARIAS CEBALLOS</t>
  </si>
  <si>
    <t xml:space="preserve">JESSICA MARIA</t>
  </si>
  <si>
    <t xml:space="preserve">VILLALOBOS TORIJANO</t>
  </si>
  <si>
    <t xml:space="preserve">ARBOLEDA CRIOLLO</t>
  </si>
  <si>
    <t xml:space="preserve">CINDY DAHIANA</t>
  </si>
  <si>
    <t xml:space="preserve">MINA CAMPO</t>
  </si>
  <si>
    <t xml:space="preserve">JOLY GRAJALES</t>
  </si>
  <si>
    <t xml:space="preserve">JULIE YANINE</t>
  </si>
  <si>
    <t xml:space="preserve">VACA BENAVIDES</t>
  </si>
  <si>
    <t xml:space="preserve">AGUDELO OSPINA</t>
  </si>
  <si>
    <t xml:space="preserve">MARILYN GISELA</t>
  </si>
  <si>
    <t xml:space="preserve">LINDO SANCLEMENTE</t>
  </si>
  <si>
    <t xml:space="preserve">JULIANA ALEJANDRA</t>
  </si>
  <si>
    <t xml:space="preserve">BALANTA CASTELLAR</t>
  </si>
  <si>
    <t xml:space="preserve">CASTANEDA PEREZ</t>
  </si>
  <si>
    <t xml:space="preserve">MINA LOPEZ</t>
  </si>
  <si>
    <t xml:space="preserve">ROJO CASTILLO</t>
  </si>
  <si>
    <t xml:space="preserve">YULY MARCELA</t>
  </si>
  <si>
    <t xml:space="preserve">BUSTOS CRUZ</t>
  </si>
  <si>
    <t xml:space="preserve">EYLEN ANDREA</t>
  </si>
  <si>
    <t xml:space="preserve">GIRON CAMPOS</t>
  </si>
  <si>
    <t xml:space="preserve">BRYHAN EDUARDO</t>
  </si>
  <si>
    <t xml:space="preserve">CUERO RAMOS</t>
  </si>
  <si>
    <t xml:space="preserve">ALVAREZ LEMOS</t>
  </si>
  <si>
    <t xml:space="preserve">MERA CAICEDO</t>
  </si>
  <si>
    <t xml:space="preserve">JOSEPH WILLIAM</t>
  </si>
  <si>
    <t xml:space="preserve">TREJOS QUIGUA</t>
  </si>
  <si>
    <t xml:space="preserve">CISNEROS GARCIA</t>
  </si>
  <si>
    <t xml:space="preserve">MAYRA  ALEJANDRA</t>
  </si>
  <si>
    <t xml:space="preserve">ORDONEZ LISCANO</t>
  </si>
  <si>
    <t xml:space="preserve">MELISSA ANDREA</t>
  </si>
  <si>
    <t xml:space="preserve">OTALVARO SIERRA</t>
  </si>
  <si>
    <t xml:space="preserve">JORGE JHONNYER</t>
  </si>
  <si>
    <t xml:space="preserve">LOPEZ CASTANO</t>
  </si>
  <si>
    <t xml:space="preserve">EVA MARIA</t>
  </si>
  <si>
    <t xml:space="preserve">CORDOBA MURILO</t>
  </si>
  <si>
    <t xml:space="preserve">STEVEN</t>
  </si>
  <si>
    <t xml:space="preserve">MILLAN REINA</t>
  </si>
  <si>
    <t xml:space="preserve">BRIGGETY JOHANA</t>
  </si>
  <si>
    <t xml:space="preserve">BETANCOURT PALOMINO</t>
  </si>
  <si>
    <t xml:space="preserve">KATHERINE MICHELLE</t>
  </si>
  <si>
    <t xml:space="preserve">GALLEGO LEMOS</t>
  </si>
  <si>
    <t xml:space="preserve">ALZATE ZAMBRANO</t>
  </si>
  <si>
    <t xml:space="preserve">ANGGIE YOLANDA</t>
  </si>
  <si>
    <t xml:space="preserve">AGUIRRE SANCHEZ</t>
  </si>
  <si>
    <t xml:space="preserve">DAYAN LIZETH</t>
  </si>
  <si>
    <t xml:space="preserve">GUEVARA MENDOZA</t>
  </si>
  <si>
    <t xml:space="preserve">PRECIADO HENAO</t>
  </si>
  <si>
    <t xml:space="preserve">REINEL BERMUDEZ</t>
  </si>
  <si>
    <t xml:space="preserve">JIMENA MARBEL</t>
  </si>
  <si>
    <t xml:space="preserve">BALLESTEROS MORENO</t>
  </si>
  <si>
    <t xml:space="preserve">CASTANEDA HENAO</t>
  </si>
  <si>
    <t xml:space="preserve">FABIAN</t>
  </si>
  <si>
    <t xml:space="preserve">ZULETA ACEVEDO</t>
  </si>
  <si>
    <t xml:space="preserve">YOSELIN ANDREA</t>
  </si>
  <si>
    <t xml:space="preserve">CUERO VALLECILLA</t>
  </si>
  <si>
    <t xml:space="preserve">KATTERIN</t>
  </si>
  <si>
    <t xml:space="preserve">OROZCO GUZMAN</t>
  </si>
  <si>
    <t xml:space="preserve">OROZCO MEJIA</t>
  </si>
  <si>
    <t xml:space="preserve">MUNOZ MARTINEZ</t>
  </si>
  <si>
    <t xml:space="preserve">DEISY DANIELA</t>
  </si>
  <si>
    <t xml:space="preserve">ALAYON LIMA</t>
  </si>
  <si>
    <t xml:space="preserve">BOLANOS PENA</t>
  </si>
  <si>
    <t xml:space="preserve">MANUELA</t>
  </si>
  <si>
    <t xml:space="preserve">TARAPUES CALPA</t>
  </si>
  <si>
    <t xml:space="preserve">DURANGO CAVADIA</t>
  </si>
  <si>
    <t xml:space="preserve">MAYERLY</t>
  </si>
  <si>
    <t xml:space="preserve">BERMUDEZ GUTIERREZ</t>
  </si>
  <si>
    <t xml:space="preserve">MARQUEZ PATINO</t>
  </si>
  <si>
    <t xml:space="preserve">DIANA VANESSA</t>
  </si>
  <si>
    <t xml:space="preserve">ESPINOSA ERAZO</t>
  </si>
  <si>
    <t xml:space="preserve">SEBASTIAN ALLEN</t>
  </si>
  <si>
    <t xml:space="preserve">ACOSTA ROSALES</t>
  </si>
  <si>
    <t xml:space="preserve">VALENCIA JARAMILLO</t>
  </si>
  <si>
    <t xml:space="preserve">JESUS DAVID</t>
  </si>
  <si>
    <t xml:space="preserve">GONZALEZ IZQUIERDO</t>
  </si>
  <si>
    <t xml:space="preserve">LONDONO GUTIERREZ</t>
  </si>
  <si>
    <t xml:space="preserve">LUISA MARIA</t>
  </si>
  <si>
    <t xml:space="preserve">AGUDELO CASTRO</t>
  </si>
  <si>
    <t xml:space="preserve">RIASCOS CUERO</t>
  </si>
  <si>
    <t xml:space="preserve">NANCY JOHANA</t>
  </si>
  <si>
    <t xml:space="preserve">RESTREPO GONZALEZ</t>
  </si>
  <si>
    <t xml:space="preserve">ORLANDO ANDREY</t>
  </si>
  <si>
    <t xml:space="preserve">ALVAREZ DORADO</t>
  </si>
  <si>
    <t xml:space="preserve">GLORIA LIZETH</t>
  </si>
  <si>
    <t xml:space="preserve">RENGIFO BARRIOS</t>
  </si>
  <si>
    <t xml:space="preserve">ANDRES EDUARDO</t>
  </si>
  <si>
    <t xml:space="preserve">VELASQUEZ HERNANDEZ</t>
  </si>
  <si>
    <t xml:space="preserve">LEYDY YULIETH</t>
  </si>
  <si>
    <t xml:space="preserve">RAMOS DIAZ</t>
  </si>
  <si>
    <t xml:space="preserve">TRUJILLO ROSERO</t>
  </si>
  <si>
    <t xml:space="preserve">JENIFER</t>
  </si>
  <si>
    <t xml:space="preserve">CEBALLOS LOZADA</t>
  </si>
  <si>
    <t xml:space="preserve">GIRALDO SILVA</t>
  </si>
  <si>
    <t xml:space="preserve">JULIETH</t>
  </si>
  <si>
    <t xml:space="preserve">ROJAS BOLANOS</t>
  </si>
  <si>
    <t xml:space="preserve">PALMA LOPEZ</t>
  </si>
  <si>
    <t xml:space="preserve">JUAN DIEGO</t>
  </si>
  <si>
    <t xml:space="preserve">VELASCO VILLANI</t>
  </si>
  <si>
    <t xml:space="preserve">GINA PAOLA</t>
  </si>
  <si>
    <t xml:space="preserve">CORTES LORZA</t>
  </si>
  <si>
    <t xml:space="preserve">BEJARANO HERRERA</t>
  </si>
  <si>
    <t xml:space="preserve">CABAL GOMEZ</t>
  </si>
  <si>
    <t xml:space="preserve">OLGA PATRICIA</t>
  </si>
  <si>
    <t xml:space="preserve">KERLY VIVIANA</t>
  </si>
  <si>
    <t xml:space="preserve">HOYOS GUTIERREZ</t>
  </si>
  <si>
    <t xml:space="preserve">HEIDER HERNANDO</t>
  </si>
  <si>
    <t xml:space="preserve">TAPIERO PORTELA</t>
  </si>
  <si>
    <t xml:space="preserve">DIANA MILENA</t>
  </si>
  <si>
    <t xml:space="preserve">VALDES MANRIQUE</t>
  </si>
  <si>
    <t xml:space="preserve">MORA CORDOBA</t>
  </si>
  <si>
    <t xml:space="preserve">GIOVANNY</t>
  </si>
  <si>
    <t xml:space="preserve">VANEGAS CORREA</t>
  </si>
  <si>
    <t xml:space="preserve">NEIRA DIAZ</t>
  </si>
  <si>
    <t xml:space="preserve">VARGAS AZCARATE</t>
  </si>
  <si>
    <t xml:space="preserve">NATHALIA ANDREA</t>
  </si>
  <si>
    <t xml:space="preserve">LONDONO OVIEDO</t>
  </si>
  <si>
    <t xml:space="preserve">KELYN ANDREA</t>
  </si>
  <si>
    <t xml:space="preserve">PASTRANA RUBIANO</t>
  </si>
  <si>
    <t xml:space="preserve">XIMENA BRIGITTE</t>
  </si>
  <si>
    <t xml:space="preserve">MURILLO MURILLO</t>
  </si>
  <si>
    <t xml:space="preserve">KAREN GISELA</t>
  </si>
  <si>
    <t xml:space="preserve">LEON MOTATO</t>
  </si>
  <si>
    <t xml:space="preserve">APONTE CACERES</t>
  </si>
  <si>
    <t xml:space="preserve">DAVID MAURICIO</t>
  </si>
  <si>
    <t xml:space="preserve">TANGARIFE RIVERA</t>
  </si>
  <si>
    <t xml:space="preserve">NATHALY</t>
  </si>
  <si>
    <t xml:space="preserve">TORRES ORDOÑEZ</t>
  </si>
  <si>
    <t xml:space="preserve">SILVA RUIZ</t>
  </si>
  <si>
    <t xml:space="preserve">RAMOS CARABALI</t>
  </si>
  <si>
    <t xml:space="preserve">YINETH</t>
  </si>
  <si>
    <t xml:space="preserve">VILLANUEVA MEDINA</t>
  </si>
  <si>
    <t xml:space="preserve">RAMIREZ ALZATE</t>
  </si>
  <si>
    <t xml:space="preserve">SANDOVAL MUNOZ</t>
  </si>
  <si>
    <t xml:space="preserve">MABEL YOJANA</t>
  </si>
  <si>
    <t xml:space="preserve">CORTES DAVID</t>
  </si>
  <si>
    <t xml:space="preserve">JAILENE DANIELA</t>
  </si>
  <si>
    <t xml:space="preserve">NANEZ BARCO</t>
  </si>
  <si>
    <t xml:space="preserve">LAURA GISELLA</t>
  </si>
  <si>
    <t xml:space="preserve">TELLEZ CUBILLOS</t>
  </si>
  <si>
    <t xml:space="preserve">MARIAN</t>
  </si>
  <si>
    <t xml:space="preserve">DIAZ HERRERA</t>
  </si>
  <si>
    <t xml:space="preserve">VELASCO MEJIA</t>
  </si>
  <si>
    <t xml:space="preserve">MENZA TRIANA</t>
  </si>
  <si>
    <t xml:space="preserve">LIZBET TATIANA</t>
  </si>
  <si>
    <t xml:space="preserve">ANGULO PRECIADO</t>
  </si>
  <si>
    <t xml:space="preserve">HENAO PELAEZ</t>
  </si>
  <si>
    <t xml:space="preserve">ARBOLEDA CAICEDO</t>
  </si>
  <si>
    <t xml:space="preserve">OSORIO MURILLO</t>
  </si>
  <si>
    <t xml:space="preserve">KAREN NATALIA</t>
  </si>
  <si>
    <t xml:space="preserve">MAYA SOLANO</t>
  </si>
  <si>
    <t xml:space="preserve">QUENORAN LOPEZ</t>
  </si>
  <si>
    <t xml:space="preserve">RODRIGUEZ ALBARAN</t>
  </si>
  <si>
    <t xml:space="preserve">RUDY RUBIELA</t>
  </si>
  <si>
    <t xml:space="preserve">CRUZ CASTILLO</t>
  </si>
  <si>
    <t xml:space="preserve">OLAVE CARABALI</t>
  </si>
  <si>
    <t xml:space="preserve">SALDARRIAGA MILLAN</t>
  </si>
  <si>
    <t xml:space="preserve">LAURA CAMILA</t>
  </si>
  <si>
    <t xml:space="preserve">CUERO ORTIZ</t>
  </si>
  <si>
    <t xml:space="preserve">LUZ DIANA</t>
  </si>
  <si>
    <t xml:space="preserve">JIMENEZ LARRAHONDO</t>
  </si>
  <si>
    <t xml:space="preserve">MICHEL ALEJANDRA</t>
  </si>
  <si>
    <t xml:space="preserve">MARTINEZ URBANO</t>
  </si>
  <si>
    <t xml:space="preserve">JHANY NATALIA</t>
  </si>
  <si>
    <t xml:space="preserve">VALENCIA OSPINA</t>
  </si>
  <si>
    <t xml:space="preserve">FERNANDA</t>
  </si>
  <si>
    <t xml:space="preserve">BACCA ALVAREZ</t>
  </si>
  <si>
    <t xml:space="preserve">GALEANO RAMOS</t>
  </si>
  <si>
    <t xml:space="preserve">DAHIANA MICHEL</t>
  </si>
  <si>
    <t xml:space="preserve">DUQUE PARRA</t>
  </si>
  <si>
    <t xml:space="preserve">KEVIN EDUARDO</t>
  </si>
  <si>
    <t xml:space="preserve">AGUILAR TRUJILLANO</t>
  </si>
  <si>
    <t xml:space="preserve">RAMIREZ MORALES</t>
  </si>
  <si>
    <t xml:space="preserve">GARCES BENAVIDES</t>
  </si>
  <si>
    <t xml:space="preserve">PIEDRAHITA COLORADO</t>
  </si>
  <si>
    <t xml:space="preserve">OCAMPO GARCIA</t>
  </si>
  <si>
    <t xml:space="preserve">GUERRERO COLLAZOS</t>
  </si>
  <si>
    <t xml:space="preserve">MORENO MELO</t>
  </si>
  <si>
    <t xml:space="preserve">GISEL DANIELA</t>
  </si>
  <si>
    <t xml:space="preserve">CUMBE TORRES</t>
  </si>
  <si>
    <t xml:space="preserve">DIAZ ANACONA</t>
  </si>
  <si>
    <t xml:space="preserve">CASTANO LOPEZ</t>
  </si>
  <si>
    <t xml:space="preserve">ANA SOFIA</t>
  </si>
  <si>
    <t xml:space="preserve">RESTREPO PEREA</t>
  </si>
  <si>
    <t xml:space="preserve">ROJAS CHARRY</t>
  </si>
  <si>
    <t xml:space="preserve">JUAN FELIPE</t>
  </si>
  <si>
    <t xml:space="preserve">GALINDO ESPINOSA</t>
  </si>
  <si>
    <t xml:space="preserve">GISELL NATALIA</t>
  </si>
  <si>
    <t xml:space="preserve">GALINDEZ PIPICANO</t>
  </si>
  <si>
    <t xml:space="preserve">INGRITH CAMILA</t>
  </si>
  <si>
    <t xml:space="preserve">TRUJILLO ANDRADE</t>
  </si>
  <si>
    <t xml:space="preserve">VALENCIA OTERO</t>
  </si>
  <si>
    <t xml:space="preserve">ALISSON DAHIANA</t>
  </si>
  <si>
    <t xml:space="preserve">FUNDACIO VALLE DE LILI</t>
  </si>
  <si>
    <t xml:space="preserve">GALEANO RAMOS </t>
  </si>
  <si>
    <t xml:space="preserve">SUAREZ OROZCO</t>
  </si>
  <si>
    <t xml:space="preserve">JHOSTIN FABIAN</t>
  </si>
  <si>
    <t xml:space="preserve">CASTAÑO LOPEZ</t>
  </si>
  <si>
    <t xml:space="preserve">ORTEGA CONDA</t>
  </si>
  <si>
    <t xml:space="preserve">HEBERT AUGUSTO</t>
  </si>
  <si>
    <t xml:space="preserve">cedula</t>
  </si>
  <si>
    <t xml:space="preserve">COOPERATIVA DE TRABAJADORES DE LA FUNDACIÓN VALLE DEL LILI</t>
  </si>
  <si>
    <t xml:space="preserve">MODELO ASIGNACIÓN DE CRÉDITOS </t>
  </si>
  <si>
    <t xml:space="preserve">Solicitud N° </t>
  </si>
  <si>
    <t xml:space="preserve">Calculo Motor</t>
  </si>
  <si>
    <t xml:space="preserve">VALOR DESPROTEGIDO MAX DE LA LINEA</t>
  </si>
  <si>
    <t xml:space="preserve">Nota:</t>
  </si>
  <si>
    <t xml:space="preserve">GARANTÍA</t>
  </si>
  <si>
    <t xml:space="preserve">Parámetro</t>
  </si>
  <si>
    <t xml:space="preserve">Credito</t>
  </si>
  <si>
    <t xml:space="preserve">Monto</t>
  </si>
  <si>
    <t xml:space="preserve">Intereses Anual</t>
  </si>
  <si>
    <t xml:space="preserve">N° Cedula</t>
  </si>
  <si>
    <t xml:space="preserve">Tiempo en Años</t>
  </si>
  <si>
    <t xml:space="preserve">"primer_apellido"&amp;"segundo_apellido": "BARRIOS"&amp;"nombre": "YINA MARCELA",</t>
  </si>
  <si>
    <t xml:space="preserve">Asociado</t>
  </si>
  <si>
    <t xml:space="preserve">Pagos Anuales</t>
  </si>
  <si>
    <t xml:space="preserve">cliente_empresa</t>
  </si>
  <si>
    <t xml:space="preserve">Cuota</t>
  </si>
  <si>
    <t xml:space="preserve">saldo_fecha</t>
  </si>
  <si>
    <t xml:space="preserve">Cuota_Frecuencia</t>
  </si>
  <si>
    <t xml:space="preserve">SaldoCapital</t>
  </si>
  <si>
    <t xml:space="preserve">Deuda Coopvalili</t>
  </si>
  <si>
    <t xml:space="preserve">Cupo Rotativo</t>
  </si>
  <si>
    <t xml:space="preserve">Deuda &lt;&gt; TC y Coopvalili</t>
  </si>
  <si>
    <t xml:space="preserve">Deuda Sector</t>
  </si>
  <si>
    <t xml:space="preserve">Deuda de tarjetas en TU</t>
  </si>
  <si>
    <t xml:space="preserve">Cupos TDC</t>
  </si>
  <si>
    <t xml:space="preserve">Cuota TDC</t>
  </si>
  <si>
    <t xml:space="preserve">Cuota_fecha + ValorCuotaFija</t>
  </si>
  <si>
    <t xml:space="preserve">Cuota que Recoge Coopvalili</t>
  </si>
  <si>
    <t xml:space="preserve">Cuota que Recoge Sector</t>
  </si>
  <si>
    <t xml:space="preserve">Chat</t>
  </si>
  <si>
    <t xml:space="preserve">No se si es Chat o Base_Asociados</t>
  </si>
  <si>
    <t xml:space="preserve">Otros Ingresos</t>
  </si>
  <si>
    <t xml:space="preserve">No aplica</t>
  </si>
  <si>
    <t xml:space="preserve">Descuentos de Ley</t>
  </si>
  <si>
    <t xml:space="preserve">Cálculo Motor</t>
  </si>
  <si>
    <t xml:space="preserve">Egresos Volante de Pago</t>
  </si>
  <si>
    <t xml:space="preserve">Egresos Cuotas Sector </t>
  </si>
  <si>
    <t xml:space="preserve">Plazo</t>
  </si>
  <si>
    <t xml:space="preserve">Scor Cifin</t>
  </si>
  <si>
    <t xml:space="preserve">Tasa Interés Efectiva</t>
  </si>
  <si>
    <t xml:space="preserve">frecuencia</t>
  </si>
  <si>
    <t xml:space="preserve">Frecuencia de Pagos</t>
  </si>
  <si>
    <t xml:space="preserve">quincenal</t>
  </si>
  <si>
    <t xml:space="preserve">frecuencia_mes</t>
  </si>
  <si>
    <t xml:space="preserve">Frecuencia mes</t>
  </si>
  <si>
    <t xml:space="preserve">Ingresos</t>
  </si>
  <si>
    <t xml:space="preserve">Este cálculo implicitamente es mensual</t>
  </si>
  <si>
    <t xml:space="preserve">Mínimo Vital</t>
  </si>
  <si>
    <t xml:space="preserve">Egresos</t>
  </si>
  <si>
    <t xml:space="preserve">cuota_max_deu_mes</t>
  </si>
  <si>
    <t xml:space="preserve">Cuota Máximo por Endeudamiento Mensual</t>
  </si>
  <si>
    <t xml:space="preserve">cuota_max_deu_frec</t>
  </si>
  <si>
    <t xml:space="preserve">Cuota Máximo por Endeudamiento Periódica</t>
  </si>
  <si>
    <t xml:space="preserve">cuota_max_cap_mes</t>
  </si>
  <si>
    <t xml:space="preserve">Cuota Máxima por Capacidad Mensual</t>
  </si>
  <si>
    <t xml:space="preserve">cuota_max_cap_frec</t>
  </si>
  <si>
    <t xml:space="preserve">Cuota Máxima por Capacidad Periódica</t>
  </si>
  <si>
    <t xml:space="preserve">cuota_max_fin</t>
  </si>
  <si>
    <t xml:space="preserve">Cuota Máxima por Capacidad</t>
  </si>
  <si>
    <t xml:space="preserve">monto_endeuda</t>
  </si>
  <si>
    <t xml:space="preserve">Maximo Deuda por Endeudamiento</t>
  </si>
  <si>
    <t xml:space="preserve">Aportes y Ahorros</t>
  </si>
  <si>
    <t xml:space="preserve">Prenda 50%</t>
  </si>
  <si>
    <t xml:space="preserve">Cesantias</t>
  </si>
  <si>
    <t xml:space="preserve">Total Ahorros+Prestaciones</t>
  </si>
  <si>
    <t xml:space="preserve">monto_desprote</t>
  </si>
  <si>
    <t xml:space="preserve">Maximo Deuda por Desprotegido</t>
  </si>
  <si>
    <t xml:space="preserve">Nuevo Crédito = Total Aportes_Prest + Desprotegido viable - Deuda Actual</t>
  </si>
  <si>
    <t xml:space="preserve">monto_motor</t>
  </si>
  <si>
    <t xml:space="preserve">Valor Final del Crédito por Motor</t>
  </si>
  <si>
    <t xml:space="preserve">Línea de crédito</t>
  </si>
  <si>
    <t xml:space="preserve">monto_solicitud</t>
  </si>
  <si>
    <t xml:space="preserve">Monto Solicitado</t>
  </si>
  <si>
    <t xml:space="preserve">tasa_namv</t>
  </si>
  <si>
    <t xml:space="preserve">Tasa de Interés Periódica</t>
  </si>
  <si>
    <t xml:space="preserve">periodos</t>
  </si>
  <si>
    <t xml:space="preserve">N° de Periodos (n)</t>
  </si>
  <si>
    <t xml:space="preserve">tasa_per</t>
  </si>
  <si>
    <t xml:space="preserve">cuota_Per_soli</t>
  </si>
  <si>
    <t xml:space="preserve">Cuota Periodica Solicitada</t>
  </si>
  <si>
    <t xml:space="preserve">param</t>
  </si>
  <si>
    <t xml:space="preserve">Parámetro de crédito según reglas</t>
  </si>
  <si>
    <t xml:space="preserve">regla_1</t>
  </si>
  <si>
    <t xml:space="preserve">Regla 1 monto_motor &gt; = monto_solicitud</t>
  </si>
  <si>
    <t xml:space="preserve">1 = Aplica
0= No aplica</t>
  </si>
  <si>
    <t xml:space="preserve">regla_2</t>
  </si>
  <si>
    <t xml:space="preserve">Regla 2 monto_motor &gt; = param</t>
  </si>
  <si>
    <t xml:space="preserve">regla_3</t>
  </si>
  <si>
    <t xml:space="preserve">Regla 3 param &gt; = monto_motor</t>
  </si>
  <si>
    <t xml:space="preserve">monto_def</t>
  </si>
  <si>
    <t xml:space="preserve">Monto definitivo</t>
  </si>
  <si>
    <t xml:space="preserve">cuota_def</t>
  </si>
  <si>
    <t xml:space="preserve">Cuota definitiva</t>
  </si>
  <si>
    <t xml:space="preserve">concepto</t>
  </si>
  <si>
    <t xml:space="preserve">Concepto definitivo</t>
  </si>
  <si>
    <t xml:space="preserve">Validación Endeudamiento</t>
  </si>
  <si>
    <t xml:space="preserve">end_actual</t>
  </si>
  <si>
    <t xml:space="preserve">Endeudamiento Actual</t>
  </si>
  <si>
    <t xml:space="preserve">end_actual_cupo</t>
  </si>
  <si>
    <t xml:space="preserve">Endeudamiento Actual con Cupo Coopvalili</t>
  </si>
  <si>
    <t xml:space="preserve">end_proy</t>
  </si>
  <si>
    <t xml:space="preserve">Endeudamiento Proyectado</t>
  </si>
  <si>
    <t xml:space="preserve">end_proy_cupo</t>
  </si>
  <si>
    <t xml:space="preserve">Endeudamiento Proyectado Con Cupo Coopvalili</t>
  </si>
  <si>
    <t xml:space="preserve">max_end</t>
  </si>
  <si>
    <t xml:space="preserve">Máximo Endeudamiento</t>
  </si>
  <si>
    <t xml:space="preserve">cumple_end</t>
  </si>
  <si>
    <t xml:space="preserve">Cumple Endeudamiento</t>
  </si>
  <si>
    <t xml:space="preserve">1 = Cumple
0= No cumple</t>
  </si>
  <si>
    <t xml:space="preserve">Validación Solvencia</t>
  </si>
  <si>
    <t xml:space="preserve">solvencia</t>
  </si>
  <si>
    <t xml:space="preserve">Solvencia</t>
  </si>
  <si>
    <t xml:space="preserve">cumple_sol</t>
  </si>
  <si>
    <t xml:space="preserve">Validación Disponible</t>
  </si>
  <si>
    <t xml:space="preserve">disponible</t>
  </si>
  <si>
    <t xml:space="preserve">Disponible</t>
  </si>
  <si>
    <t xml:space="preserve">cumple_disp</t>
  </si>
  <si>
    <t xml:space="preserve">Validación Desprotegido</t>
  </si>
  <si>
    <t xml:space="preserve">max_desproteg</t>
  </si>
  <si>
    <t xml:space="preserve">Desprotegido Máximo</t>
  </si>
  <si>
    <t xml:space="preserve">desproteg</t>
  </si>
  <si>
    <t xml:space="preserve">Validación Cumplimiento</t>
  </si>
  <si>
    <t xml:space="preserve">cumple_total</t>
  </si>
  <si>
    <t xml:space="preserve">Cumplimiento 4 criterios</t>
  </si>
  <si>
    <t xml:space="preserve">Instancia de Aprobación</t>
  </si>
  <si>
    <t xml:space="preserve">Gerencia</t>
  </si>
  <si>
    <t xml:space="preserve">Observaciones:</t>
  </si>
  <si>
    <t xml:space="preserve">Modelo Realizado por  : HFDL</t>
  </si>
  <si>
    <t xml:space="preserve">Realizo.</t>
  </si>
  <si>
    <r>
      <rPr>
        <sz val="11"/>
        <color theme="1"/>
        <rFont val="Arial"/>
        <family val="2"/>
        <charset val="1"/>
      </rPr>
      <t xml:space="preserve">Reviso.</t>
    </r>
    <r>
      <rPr>
        <sz val="8"/>
        <color theme="1"/>
        <rFont val="Arial"/>
        <family val="2"/>
        <charset val="1"/>
      </rPr>
      <t xml:space="preserve">                                                                    </t>
    </r>
  </si>
  <si>
    <t xml:space="preserve">Formulación</t>
  </si>
  <si>
    <t xml:space="preserve">MODELO ASIGNACION DE CREDITOS</t>
  </si>
  <si>
    <t xml:space="preserve">Crédito Afianzado</t>
  </si>
  <si>
    <t xml:space="preserve">Linea de Credito</t>
  </si>
  <si>
    <t xml:space="preserve">Tipo de Salario Asociado</t>
  </si>
  <si>
    <t xml:space="preserve">Semanal</t>
  </si>
  <si>
    <t xml:space="preserve">Quincenal</t>
  </si>
  <si>
    <t xml:space="preserve">Mensual</t>
  </si>
  <si>
    <t xml:space="preserve">Egresos Cuotas Sector</t>
  </si>
  <si>
    <t xml:space="preserve">Plazo en años</t>
  </si>
  <si>
    <t xml:space="preserve">Score Cifin</t>
  </si>
  <si>
    <t xml:space="preserve">Cuota Cupo Tarjetas</t>
  </si>
  <si>
    <t xml:space="preserve">Cupos Tarjetas</t>
  </si>
  <si>
    <t xml:space="preserve">Recoge Cuotas Coopvalili</t>
  </si>
  <si>
    <t xml:space="preserve">Recoge Cuotas Sector</t>
  </si>
  <si>
    <t xml:space="preserve">Cupo Rotativo Coopvalili</t>
  </si>
  <si>
    <t xml:space="preserve">Ahorros En El Fondo</t>
  </si>
  <si>
    <t xml:space="preserve">Edad</t>
  </si>
  <si>
    <t xml:space="preserve">Personas a Cargo</t>
  </si>
  <si>
    <t xml:space="preserve">Pasivos</t>
  </si>
  <si>
    <t xml:space="preserve">Prenda</t>
  </si>
  <si>
    <t xml:space="preserve">plazo</t>
  </si>
  <si>
    <t xml:space="preserve">tasa</t>
  </si>
  <si>
    <t xml:space="preserve">cuota</t>
  </si>
  <si>
    <t xml:space="preserve">cuota real</t>
  </si>
  <si>
    <t xml:space="preserve">tasa real</t>
  </si>
  <si>
    <t xml:space="preserve">MINA  ROBERTO CARLOS</t>
  </si>
  <si>
    <t xml:space="preserve">Principal</t>
  </si>
  <si>
    <t xml:space="preserve">CARVAJAL JIMENEZ CARLOS ANDRES</t>
  </si>
  <si>
    <t xml:space="preserve">DELGADO ALVAREZ ALEXIS</t>
  </si>
  <si>
    <t xml:space="preserve">TRUJILLO ARANGO GERMAN HUMBERTO</t>
  </si>
  <si>
    <t xml:space="preserve">CORREA GARCIA ORLANDO</t>
  </si>
  <si>
    <t xml:space="preserve">HERNANDEZ CHAVEZ CARLOS HOLMES</t>
  </si>
  <si>
    <t xml:space="preserve">CANAMEJOY GARCIA JUAN PABLO</t>
  </si>
  <si>
    <t xml:space="preserve">LLOREDA MEJIA LUIS FRANCISCO</t>
  </si>
  <si>
    <t xml:space="preserve">DIAZ MENESES DAVID ORLANDO</t>
  </si>
  <si>
    <t xml:space="preserve">MUÑOZ VALERO ALVARO</t>
  </si>
  <si>
    <t xml:space="preserve">Limonar</t>
  </si>
  <si>
    <t xml:space="preserve">NIÑO MOTATO HUGO FERNANDO</t>
  </si>
  <si>
    <t xml:space="preserve">TROCHEZ DELGADO JHON JAIRO</t>
  </si>
  <si>
    <t xml:space="preserve">VEGA MOSQUERA ANDRES MAURICIO</t>
  </si>
  <si>
    <t xml:space="preserve">MORALES SANCHEZ MIGUEL ANGEL</t>
  </si>
  <si>
    <t xml:space="preserve">DELGADO VILLEGAS CARLOS ALBERTO</t>
  </si>
  <si>
    <t xml:space="preserve">CARDENAS VARELA LUIS EDUARDO</t>
  </si>
  <si>
    <t xml:space="preserve">MONTENEGRO MARTINEZ JAVIER</t>
  </si>
  <si>
    <t xml:space="preserve">RINCON CRUZ RAFAEL ANTONIO</t>
  </si>
  <si>
    <t xml:space="preserve">MARIN ASTROS DIEGO ALBERTO</t>
  </si>
  <si>
    <t xml:space="preserve">SOLARTE BENAVIDEZ GUILLERMO</t>
  </si>
  <si>
    <t xml:space="preserve">GOMEZ MORERA JUAN CARLOS</t>
  </si>
  <si>
    <t xml:space="preserve">LOPEZ RAMIREZ DIEGO FERNANDO</t>
  </si>
  <si>
    <t xml:space="preserve">PASUY BASTIDAS NEIL MAURICIO</t>
  </si>
  <si>
    <t xml:space="preserve">MAZUERA GIRALDO MAURICIO</t>
  </si>
  <si>
    <t xml:space="preserve">ADRADA MONTENEGRO APOLINAR</t>
  </si>
  <si>
    <t xml:space="preserve">SEPULVEDA GUTIERREZ BERLEY ANTONIO</t>
  </si>
  <si>
    <t xml:space="preserve">VASQUEZ GARCIA JUAN CARLOS</t>
  </si>
  <si>
    <t xml:space="preserve">URIBE CARDENAS JULIAN ANDRES</t>
  </si>
  <si>
    <t xml:space="preserve">SALDANA  OSCAR EDUARDO</t>
  </si>
  <si>
    <t xml:space="preserve">ANACONA ANGULO LUIS ALBERTO</t>
  </si>
  <si>
    <t xml:space="preserve">HERRERA VILLALBA CHARLES ROWER</t>
  </si>
  <si>
    <t xml:space="preserve">CORREA MURILLO CESAR AUGUSTO</t>
  </si>
  <si>
    <t xml:space="preserve">TABORDA VALENCIA PAULO ANDRES</t>
  </si>
  <si>
    <t xml:space="preserve">DIAZ SALGADO JESUS ALVENIS</t>
  </si>
  <si>
    <t xml:space="preserve">JAVELA HERRERA JULIAN</t>
  </si>
  <si>
    <t xml:space="preserve">FRAGA RECALDE NELSON ANDRES</t>
  </si>
  <si>
    <t xml:space="preserve">URREGO LOTERO EDINSON ANDRES</t>
  </si>
  <si>
    <t xml:space="preserve">ISAZA VALENCIA HERNAN ALONSO</t>
  </si>
  <si>
    <t xml:space="preserve">RODRIGUEZ DIAZ DIEGO FERNANDO</t>
  </si>
  <si>
    <t xml:space="preserve">NAVARRO ZULUAGA YULIETH LORENA</t>
  </si>
  <si>
    <t xml:space="preserve">CARDONA MARTINEZ LUZ ADRIANA</t>
  </si>
  <si>
    <t xml:space="preserve">ILLERA PAEZ CLAUDIA MARITZA</t>
  </si>
  <si>
    <t xml:space="preserve">MILLAN CORREA DIANA LIZETH</t>
  </si>
  <si>
    <t xml:space="preserve">GUERRERO FAJARDO GLORIA PIEDAD</t>
  </si>
  <si>
    <t xml:space="preserve">PENNA OIDOR MARIA ISABELITA</t>
  </si>
  <si>
    <t xml:space="preserve">SERNA CAUCAYO PAOLA ANDREA</t>
  </si>
  <si>
    <t xml:space="preserve">DOZA MARTINEZ LILIANA</t>
  </si>
  <si>
    <t xml:space="preserve">ELEJALDE PEÑA ROSA ELENA</t>
  </si>
  <si>
    <t xml:space="preserve">ARANGO VILLOTA CLAUDIA</t>
  </si>
  <si>
    <t xml:space="preserve">LASSO RAMOS YEIN</t>
  </si>
  <si>
    <t xml:space="preserve">GUERRERO SANCHEZ CAROLINA</t>
  </si>
  <si>
    <t xml:space="preserve">VALENCIA MOSQUERA ALEXANDRA</t>
  </si>
  <si>
    <t xml:space="preserve">MORENO GAMBOA NIDIA NELSY</t>
  </si>
  <si>
    <t xml:space="preserve">VIDAL MARIN LILIANA</t>
  </si>
  <si>
    <t xml:space="preserve">CASTRILLON MURILLO SANDRA MILENA</t>
  </si>
  <si>
    <t xml:space="preserve">MEJIA HURTADO ANA FERNANDA</t>
  </si>
  <si>
    <t xml:space="preserve">TORRES SANTAMARIA JORLYN</t>
  </si>
  <si>
    <t xml:space="preserve">QUINTERO CALZADA DIANA YAZMINE</t>
  </si>
  <si>
    <t xml:space="preserve">CERON VALENCIA LEONOR ANDREA</t>
  </si>
  <si>
    <t xml:space="preserve">OROZCO MUÑOZ ANA MARIA</t>
  </si>
  <si>
    <t xml:space="preserve">FERNANDEZ NUÑEZ KATHERINE</t>
  </si>
  <si>
    <t xml:space="preserve">BARCOS ASPRILLA KAROLL YESENIA</t>
  </si>
  <si>
    <t xml:space="preserve">GAVIRIA  SARY</t>
  </si>
  <si>
    <t xml:space="preserve">PEÑA AYALA ANA MARIA</t>
  </si>
  <si>
    <t xml:space="preserve">HURTADO OROZCO MARIA DEL PILAR</t>
  </si>
  <si>
    <t xml:space="preserve">RAMIREZ MARTINEZ YURY ANDREA</t>
  </si>
  <si>
    <t xml:space="preserve">SANDOVAL CARABALI YUSETH MAGALY</t>
  </si>
  <si>
    <t xml:space="preserve">LENIS HERRERA MARIA JULIANA</t>
  </si>
  <si>
    <t xml:space="preserve">RIVERA MUÑOZ EDILMA LUCY</t>
  </si>
  <si>
    <t xml:space="preserve">ESPINOSA MUÑOZ MONICA</t>
  </si>
  <si>
    <t xml:space="preserve">GOYES RECALDE LUZ VIVIANA</t>
  </si>
  <si>
    <t xml:space="preserve">RIVERA CRUZ LEIDY ROSANA</t>
  </si>
  <si>
    <t xml:space="preserve">LOPEZ ROJAS MARIA DEL PILAR</t>
  </si>
  <si>
    <t xml:space="preserve">CAÑAVERAL CANDELO ORIANA FAYSURY</t>
  </si>
  <si>
    <t xml:space="preserve">MEJIA HERNANDEZ FANNY PATRICIA</t>
  </si>
  <si>
    <t xml:space="preserve">CASTRILLON MONROY LINA MARCELA</t>
  </si>
  <si>
    <t xml:space="preserve">DUQUE DUQUE MARGARITA MARIA</t>
  </si>
  <si>
    <t xml:space="preserve">VILLOTA CHAMORRO ANA CRISTINA</t>
  </si>
  <si>
    <t xml:space="preserve">OSORIO TORO CAROLINA</t>
  </si>
  <si>
    <t xml:space="preserve">LOPEZ LOPEZ SUGHEY MILENA</t>
  </si>
  <si>
    <t xml:space="preserve">DIAZ GALVEZ MARLENY DEL SOCORRO</t>
  </si>
  <si>
    <t xml:space="preserve">ACOSTA POLO AMPARO DEL SOCORRO</t>
  </si>
  <si>
    <t xml:space="preserve">CHARFUELAN CALPA NANCY DEL ROSARIO</t>
  </si>
  <si>
    <t xml:space="preserve">CORONADO ALZATE SANDRA VIVIANA</t>
  </si>
  <si>
    <t xml:space="preserve">CASTILLO PINO MONICA ANDREA</t>
  </si>
  <si>
    <t xml:space="preserve">SANCHEZ BARRERA ANGELICA MARIA</t>
  </si>
  <si>
    <t xml:space="preserve">ESPITIA JOJOA CLAUDIA LILIANA</t>
  </si>
  <si>
    <t xml:space="preserve">JARAMILLO CARDENAS DIANA CATALINA</t>
  </si>
  <si>
    <t xml:space="preserve">NUÑEZ MUÑOZ MARISOL</t>
  </si>
  <si>
    <t xml:space="preserve">TORO CASTRO IRENE</t>
  </si>
  <si>
    <t xml:space="preserve">GARCIA CORREA MARIA ANGELICA</t>
  </si>
  <si>
    <t xml:space="preserve">BAYER TABORDA ANLLELY</t>
  </si>
  <si>
    <t xml:space="preserve">PINZON VASQUEZ LINA PAOLA</t>
  </si>
  <si>
    <t xml:space="preserve">BALANTA CORTES NANCY</t>
  </si>
  <si>
    <t xml:space="preserve">DAZA BARONA OFELIA</t>
  </si>
  <si>
    <t xml:space="preserve">GRAJALES  MARIA LUZVIANEY</t>
  </si>
  <si>
    <t xml:space="preserve">NAVIA CAMPO SANDRA MILENA</t>
  </si>
  <si>
    <t xml:space="preserve">JARAMILLO HERRERA SIRLEY</t>
  </si>
  <si>
    <t xml:space="preserve">PIEDRAHITA VIAFARA CLAUDIA MERCEDES</t>
  </si>
  <si>
    <t xml:space="preserve">CORDOBA QUINTERO MARIA DEL PILAR</t>
  </si>
  <si>
    <t xml:space="preserve">CARDONA HERNANDEZ ANGELICA</t>
  </si>
  <si>
    <t xml:space="preserve">VARELA ANGUCHO ZEUDY JANETH</t>
  </si>
  <si>
    <t xml:space="preserve">ARANGO SAENZ CAROLINA</t>
  </si>
  <si>
    <t xml:space="preserve">VARGAS DELGADO MARIA ORFELINA</t>
  </si>
  <si>
    <t xml:space="preserve">URREA  CLAUDIA XIMENA</t>
  </si>
  <si>
    <t xml:space="preserve">RUIZ ESCOBAR SANDRA LIZETH</t>
  </si>
  <si>
    <t xml:space="preserve">ORTIZ ROJAS HELEN JOHANA</t>
  </si>
  <si>
    <t xml:space="preserve">DURAN  DOLLY</t>
  </si>
  <si>
    <t xml:space="preserve">MARTINEZ BECERRA MARTHA LUCIA</t>
  </si>
  <si>
    <t xml:space="preserve">BORJA MUÑOZ DORA VIVIANA</t>
  </si>
  <si>
    <t xml:space="preserve">PERDOMO MARTINEZ MADELEYNE</t>
  </si>
  <si>
    <t xml:space="preserve">MAGLIONI CASTRO MELISA</t>
  </si>
  <si>
    <t xml:space="preserve">CALVO OCAMPO ORFENY</t>
  </si>
  <si>
    <t xml:space="preserve">JARAMILLO RAMIREZ GLORIA PATRICIA</t>
  </si>
  <si>
    <t xml:space="preserve">MORENO NARVAEZ LUZ HELENA</t>
  </si>
  <si>
    <t xml:space="preserve">LARRAHONDO MAHECHA CARMEN ELISA</t>
  </si>
  <si>
    <t xml:space="preserve">FERNANDEZ CORREA JANETH PATRICIA</t>
  </si>
  <si>
    <t xml:space="preserve">MIRANDA GOMEZ MARGOT</t>
  </si>
  <si>
    <t xml:space="preserve">VILLEGAS VILLEGAS ALEJANDRA</t>
  </si>
  <si>
    <t xml:space="preserve">FANDIÑO PIAMBA PAOLA ANDREA</t>
  </si>
  <si>
    <t xml:space="preserve">FERNANDEZ MARTINEZ DIANA MARCELA</t>
  </si>
  <si>
    <t xml:space="preserve">PABON FERNANDEZ ERIKA MILENA</t>
  </si>
  <si>
    <t xml:space="preserve">VIVAS MENDEZ JACKELINE</t>
  </si>
  <si>
    <t xml:space="preserve">MINA MAZUERA LILIANA</t>
  </si>
  <si>
    <t xml:space="preserve">LASSO RAMOS VIBIAN LICETH</t>
  </si>
  <si>
    <t xml:space="preserve">VEGA VALENCIA AURA STELLA</t>
  </si>
  <si>
    <t xml:space="preserve">GUAZA MEJIA ZULEIMA</t>
  </si>
  <si>
    <t xml:space="preserve">OTALORA PALOMINO ILIEANA</t>
  </si>
  <si>
    <t xml:space="preserve">0</t>
  </si>
  <si>
    <t xml:space="preserve">SANCHEZ HURTADO MARIA YANETH</t>
  </si>
  <si>
    <t xml:space="preserve">ERIRA CEBALLOS EDIT MARGOT</t>
  </si>
  <si>
    <t xml:space="preserve">MOSQUERA ARTEAGA NILSA YAZMIN</t>
  </si>
  <si>
    <t xml:space="preserve">BOLAÑOS PAZ LEIDY JOHANNA</t>
  </si>
  <si>
    <t xml:space="preserve">ALMARIO PERDOMO AMPARO</t>
  </si>
  <si>
    <t xml:space="preserve">TRIANA TRIVIÑO MARTHA ISABEL</t>
  </si>
  <si>
    <t xml:space="preserve">ORREGO FLOREZ MARLY SULEYDI</t>
  </si>
  <si>
    <t xml:space="preserve">LOMBANA ESPINOSA CHARLENE ALEJANDRA</t>
  </si>
  <si>
    <t xml:space="preserve">ANACONA HERNANDEZ YOLANDA LIRIA</t>
  </si>
  <si>
    <t xml:space="preserve">OREJUELA GONZALEZ YOHANA</t>
  </si>
  <si>
    <t xml:space="preserve">CORREA MUÑOZ LINDELIA</t>
  </si>
  <si>
    <t xml:space="preserve">BONILLA VARGAS MARIA DEL PILAR</t>
  </si>
  <si>
    <t xml:space="preserve">FERNANDEZ RAMIREZ MARLY ANDREA</t>
  </si>
  <si>
    <t xml:space="preserve">URBANO CAYAPU NURIA ANGELICA</t>
  </si>
  <si>
    <t xml:space="preserve">OLIVEROS ORTIZ SARA JULIETH</t>
  </si>
  <si>
    <t xml:space="preserve">MUÑOZ VALENCIA YORLADIS</t>
  </si>
  <si>
    <t xml:space="preserve">GUZMAN NARVAEZ BEATRIZ ELENA</t>
  </si>
  <si>
    <t xml:space="preserve">GUTIERREZ CORTES ANGELA MARIA</t>
  </si>
  <si>
    <t xml:space="preserve">GARCIA FAJARDO LEDY NAYIBE</t>
  </si>
  <si>
    <t xml:space="preserve">TREJO MATABAJOY MARIA DEL PILAR</t>
  </si>
  <si>
    <t xml:space="preserve">CORTES CARDONA DIANA CONSTANZA</t>
  </si>
  <si>
    <t xml:space="preserve">BELTRAN LOPEZ CRISTEL JOHANA</t>
  </si>
  <si>
    <t xml:space="preserve">CORTES TOVAR JENIFER TATIANA</t>
  </si>
  <si>
    <t xml:space="preserve">CRUZ VASCO MARIA LUISA</t>
  </si>
  <si>
    <t xml:space="preserve">GIRALDO FERNANDEZ JULIET MARCELA</t>
  </si>
  <si>
    <t xml:space="preserve">ESPINOSA REYES DIANA CRISTINA</t>
  </si>
  <si>
    <t xml:space="preserve">AZCARATE VELEZ BEATRIZ EUGENIA</t>
  </si>
  <si>
    <t xml:space="preserve">HERNANDEZ YUSTI MARIA CRISTINA</t>
  </si>
  <si>
    <t xml:space="preserve">LOBOA ORTIZ DAHIANA</t>
  </si>
  <si>
    <t xml:space="preserve">MUÑOZ GAITAN ANA MATILDE</t>
  </si>
  <si>
    <t xml:space="preserve">PAZ  ENILCE</t>
  </si>
  <si>
    <t xml:space="preserve">MARTINEZ GIRALDO LUZ ESTHELLA</t>
  </si>
  <si>
    <t xml:space="preserve">JIMENEZ ALVAREZ MARIA TERESA</t>
  </si>
  <si>
    <t xml:space="preserve">HINCAPIE ZAPATA LINA CONSTANZA</t>
  </si>
  <si>
    <t xml:space="preserve">BALANTA  YELEN ASTRID</t>
  </si>
  <si>
    <t xml:space="preserve">BENAVIDES ZAMUDIO DIANA MARITZA</t>
  </si>
  <si>
    <t xml:space="preserve">MORA CASTAÑEDA YANETH</t>
  </si>
  <si>
    <t xml:space="preserve">MURILLO ANZOLA ANGELA MARIA</t>
  </si>
  <si>
    <t xml:space="preserve">GIL AMPUDIA CAROLINA</t>
  </si>
  <si>
    <t xml:space="preserve">DIAZ MONTEALEGRE SILVIA LORENA</t>
  </si>
  <si>
    <t xml:space="preserve">CASTILLO VALENTIERRA CARMEN MANUELA</t>
  </si>
  <si>
    <t xml:space="preserve">TREJO ROJAS DAYRA YAMILE</t>
  </si>
  <si>
    <t xml:space="preserve">VASQUEZ MUÑOZ DALY RIGUEY</t>
  </si>
  <si>
    <t xml:space="preserve">GOMEZ HERNANDEZ MARIA ELVIRA</t>
  </si>
  <si>
    <t xml:space="preserve">PATIÑO BETANCOURT ANA JOSEFA</t>
  </si>
  <si>
    <t xml:space="preserve">PRATO HERNANDEZ ROSA MARGARITA</t>
  </si>
  <si>
    <t xml:space="preserve">MARTINEZ GUTIERREZ LUZBEIRA</t>
  </si>
  <si>
    <t xml:space="preserve">CIFUENTES POSADA DORHIE ZULENY</t>
  </si>
  <si>
    <t xml:space="preserve">LEON RIOS LILIANA</t>
  </si>
  <si>
    <t xml:space="preserve">LOPEZ ARANA GISELA</t>
  </si>
  <si>
    <t xml:space="preserve">ORTEGA ROJAS GLADYS</t>
  </si>
  <si>
    <t xml:space="preserve">TOLOSA BARRERA MARIA ISABEL</t>
  </si>
  <si>
    <t xml:space="preserve">SERRANO LOPEZ ANGELICA MARIA</t>
  </si>
  <si>
    <t xml:space="preserve">CUELLAR IBAÑEZ NUBIA</t>
  </si>
  <si>
    <t xml:space="preserve">MORENO SANCLEMENTE SILVIA LILIANA</t>
  </si>
  <si>
    <t xml:space="preserve">AVILA JIMENEZ SANDRA LILIANA</t>
  </si>
  <si>
    <t xml:space="preserve">JARAMILLO MONCADA LEIBNIS</t>
  </si>
  <si>
    <t xml:space="preserve">HOLGUIN PINEDA CLARIBETH</t>
  </si>
  <si>
    <t xml:space="preserve">TROCHEZ REALPE BRISEIDA</t>
  </si>
  <si>
    <t xml:space="preserve">Betania</t>
  </si>
  <si>
    <t xml:space="preserve">NARVAEZ GARCIA SANDRA PATRICIA</t>
  </si>
  <si>
    <t xml:space="preserve">CIFUENTES CASTRO DORA INES</t>
  </si>
  <si>
    <t xml:space="preserve">JORDAN RENGIFO ALEJANDRA</t>
  </si>
  <si>
    <t xml:space="preserve">VALLECILLA BOLIVAR MARIA CLAUDIA</t>
  </si>
  <si>
    <t xml:space="preserve">BUENO CRUZ FRANCY ELENA</t>
  </si>
  <si>
    <t xml:space="preserve">SANCHEZ MORALES ALBA LUCY</t>
  </si>
  <si>
    <t xml:space="preserve">SANCHEZ  VILLANIRA</t>
  </si>
  <si>
    <t xml:space="preserve">VALENCIA RESTREPO MARIBELL</t>
  </si>
  <si>
    <t xml:space="preserve">RUIZ MONTALVO MARLEN</t>
  </si>
  <si>
    <t xml:space="preserve">CAICEDO DIAZ YANETH ALEXANDRA</t>
  </si>
  <si>
    <t xml:space="preserve">FRANCO CUELLAR SANDRA LILIANA</t>
  </si>
  <si>
    <t xml:space="preserve">ALDANA BEDOYA SANDRA MILENA</t>
  </si>
  <si>
    <t xml:space="preserve">CHICA GRISALES LUZ ADRIANA</t>
  </si>
  <si>
    <t xml:space="preserve">FLOREZ ALZATE LUZ ELENA</t>
  </si>
  <si>
    <t xml:space="preserve">OTERO MORA CLAUDIA CRISTINA</t>
  </si>
  <si>
    <t xml:space="preserve">MOLINA  FRANCIA</t>
  </si>
  <si>
    <t xml:space="preserve">MORENO BELTRAN SIRIA IBONY</t>
  </si>
  <si>
    <t xml:space="preserve">MARTINEZ BENITEZ LINA JOHANNA</t>
  </si>
  <si>
    <t xml:space="preserve">VOLVERAS VOLVERAS CARMEN ELVIRA</t>
  </si>
  <si>
    <t xml:space="preserve">QUIMBAYA GAVIRIA SANDRA LUCIA</t>
  </si>
  <si>
    <t xml:space="preserve">SANDOVAL VIVEROS SANDRA MILENA</t>
  </si>
  <si>
    <t xml:space="preserve">MUÑOZ CASTAÑO ADRIANA</t>
  </si>
  <si>
    <t xml:space="preserve">RINCON SOTO MARTHA LUCIA</t>
  </si>
  <si>
    <t xml:space="preserve">SAAVEDRA ANDRADE MARLENY</t>
  </si>
  <si>
    <t xml:space="preserve">RAMIREZ GIL YATSBY</t>
  </si>
  <si>
    <t xml:space="preserve">VACA VITERI EDIS RUBIRA</t>
  </si>
  <si>
    <t xml:space="preserve">ZUÑIGA MARROQUIN MARYURI</t>
  </si>
  <si>
    <t xml:space="preserve">CUELLAR ORTIZ SANDRA PATRICIA</t>
  </si>
  <si>
    <t xml:space="preserve">MORENO ZULETA MARIA PIEDAD</t>
  </si>
  <si>
    <t xml:space="preserve">BELTRAN BONILLA CAROLINA</t>
  </si>
  <si>
    <t xml:space="preserve">JURADO VAQUIRO YAJAIRA</t>
  </si>
  <si>
    <t xml:space="preserve">CASTAÑO  DIANA CONSUELO</t>
  </si>
  <si>
    <t xml:space="preserve">VASQUEZ ALBAN YOHANNA PAOLA</t>
  </si>
  <si>
    <t xml:space="preserve">CAMACHO MARMOLEJO AMY PATRICIA</t>
  </si>
  <si>
    <t xml:space="preserve">OSPINA CARMONA SANDRA PATRICIA</t>
  </si>
  <si>
    <t xml:space="preserve">HURTADO BARRIOS ADRIANA</t>
  </si>
  <si>
    <t xml:space="preserve">AGUILAR MUÑOZ LIZETH</t>
  </si>
  <si>
    <t xml:space="preserve">LEMOS OREJUELA LAURA MARIA</t>
  </si>
  <si>
    <t xml:space="preserve">HERRERA PALACIOS CLAUDIA JIMENA</t>
  </si>
  <si>
    <t xml:space="preserve">CHANTRE CORTES SIRLEY MARYURI</t>
  </si>
  <si>
    <t xml:space="preserve">DIAGO GONZALEZ JENNIFER</t>
  </si>
  <si>
    <t xml:space="preserve">PALACIO TRUJILLO LORENA</t>
  </si>
  <si>
    <t xml:space="preserve">PEREZ VEGA LADY JOHANNA</t>
  </si>
  <si>
    <t xml:space="preserve">RAMIREZ GARCES CLAUDIA CAROLINA</t>
  </si>
  <si>
    <t xml:space="preserve">ALCALA FLORES MERCEDES DEL PILAR</t>
  </si>
  <si>
    <t xml:space="preserve">OSPINA BETANCOURT JENNIFER JHOANNA</t>
  </si>
  <si>
    <t xml:space="preserve">LOPEZ MARIN DIANA CATALINA</t>
  </si>
  <si>
    <t xml:space="preserve">GUERRERO  INGRID YISET</t>
  </si>
  <si>
    <t xml:space="preserve">PATIÑO  LEIVI YOANA</t>
  </si>
  <si>
    <t xml:space="preserve">ROJAS MONTOYA DIANA LORENA</t>
  </si>
  <si>
    <t xml:space="preserve">TRIANA CUBILLOS ANGELICA MARIA</t>
  </si>
  <si>
    <t xml:space="preserve">Alfaguara</t>
  </si>
  <si>
    <t xml:space="preserve">GARCIA PAVA JAIME HERNANDO</t>
  </si>
  <si>
    <t xml:space="preserve">ARISTIZABAL FRANCO CARLOS ARTURO</t>
  </si>
  <si>
    <t xml:space="preserve">OVALLE PINEDA JOSE FERNANDO</t>
  </si>
  <si>
    <t xml:space="preserve">CARRANZA COHECHA WILLIAM</t>
  </si>
  <si>
    <t xml:space="preserve">CORONELL MARTINEZ ALDEMIR JOSE</t>
  </si>
  <si>
    <t xml:space="preserve">GONZALEZ SOLARTE EDWIN JAVIER</t>
  </si>
  <si>
    <t xml:space="preserve">MORALES ROJAS CRISTHIAN DAVID</t>
  </si>
  <si>
    <t xml:space="preserve">MONDOL MORA CRISTIAN</t>
  </si>
  <si>
    <t xml:space="preserve">ORTIZ GRISALES TELMO</t>
  </si>
  <si>
    <t xml:space="preserve">GONZALEZ QUIÑONES ALEXANDER</t>
  </si>
  <si>
    <t xml:space="preserve">AVILA PRADO DORIAN ALBERTO</t>
  </si>
  <si>
    <t xml:space="preserve">GONZALEZ USMA OSCAR MAURICIO</t>
  </si>
  <si>
    <t xml:space="preserve">CASANOVA VILLAMARIN ANDRES</t>
  </si>
  <si>
    <t xml:space="preserve">CAICEDO SANCHEZ JOSE LUIS</t>
  </si>
  <si>
    <t xml:space="preserve">SALCEDO ESPINAL FERNANDO</t>
  </si>
  <si>
    <t xml:space="preserve">AGUDELO ORTIZ LUBIN</t>
  </si>
  <si>
    <t xml:space="preserve">BORJA YEPES RICARDO</t>
  </si>
  <si>
    <t xml:space="preserve">QUINTERO LONDOÑO DIEGO FERNANDO</t>
  </si>
  <si>
    <t xml:space="preserve">LOPEZ CADENA ANCIZAR</t>
  </si>
  <si>
    <t xml:space="preserve">VALDES GARRIDO CARLOS ANDRES</t>
  </si>
  <si>
    <t xml:space="preserve">BALLESTEROS GARCIA JUAN CARLOS</t>
  </si>
  <si>
    <t xml:space="preserve">MARTINEZ CARRERA HECTOR PORFIRIO</t>
  </si>
  <si>
    <t xml:space="preserve">BOLAÑOS CEBALLOS JOHN MARLON</t>
  </si>
  <si>
    <t xml:space="preserve">MUNOZ CACHIMBO HEINER</t>
  </si>
  <si>
    <t xml:space="preserve">COLLAZOS CARVAJAL MIGUEL ANDRES</t>
  </si>
  <si>
    <t xml:space="preserve">MILLAN TAGUADO WILMER JOSE</t>
  </si>
  <si>
    <t xml:space="preserve">MONTERO RAMIREZ ALEXANDER</t>
  </si>
  <si>
    <t xml:space="preserve">CERON RENGIFO MAURICIO</t>
  </si>
  <si>
    <t xml:space="preserve">RUIZ SAENZ RICARDO</t>
  </si>
  <si>
    <t xml:space="preserve">HERRERA ROLON WILMAN</t>
  </si>
  <si>
    <t xml:space="preserve">MONTOYA  JUAN CARLOS</t>
  </si>
  <si>
    <t xml:space="preserve">OTERO VIDAL CARLOS SAUL</t>
  </si>
  <si>
    <t xml:space="preserve">LEMOS MARTINEZ DAVID ALEXANDER</t>
  </si>
  <si>
    <t xml:space="preserve">BALANTA MORALES JUAN FERNANDO</t>
  </si>
  <si>
    <t xml:space="preserve">ANGULO QUISOBONY DEYCY FERNANDA</t>
  </si>
  <si>
    <t xml:space="preserve">PIANDA LABRADA ANDRES ESTEBAN</t>
  </si>
  <si>
    <t xml:space="preserve">DELGADO CRUZ BIBIANA CARMENZA</t>
  </si>
  <si>
    <t xml:space="preserve">OLARTE SILVA SEBASTIAN</t>
  </si>
  <si>
    <t xml:space="preserve">DOMINGUEZ BUITRON JANETH LIDBELAY</t>
  </si>
  <si>
    <t xml:space="preserve">GARCIA SOTO HECTOR MARIO</t>
  </si>
  <si>
    <t xml:space="preserve">GALLEGO GALLEGO YULIANA ANDREA</t>
  </si>
  <si>
    <t xml:space="preserve">CUARTAS ARCILA SINDY FERNANDA</t>
  </si>
  <si>
    <t xml:space="preserve">AREVALO  KATHERINE ANDREA</t>
  </si>
  <si>
    <t xml:space="preserve">MARMOLEJO MONTOYA KATERIN</t>
  </si>
  <si>
    <t xml:space="preserve">GUERRERO MEJIA OSCAR EDUARDO</t>
  </si>
  <si>
    <t xml:space="preserve">MEJIA MARMOLEJO MONICA MARIA</t>
  </si>
  <si>
    <t xml:space="preserve">HERNANDEZ TRUJILLO YUCETH YANETH</t>
  </si>
  <si>
    <t xml:space="preserve">GUASAQUILLO MOSQUERA YURANNY</t>
  </si>
  <si>
    <t xml:space="preserve">CASTRO FERNANDEZ NATHALIA</t>
  </si>
  <si>
    <t xml:space="preserve">JIMENEZ ORDOÑEZ GUSTAVO</t>
  </si>
  <si>
    <t xml:space="preserve">PILLIMUE DEL CAMPO YULIETH ANDREA</t>
  </si>
  <si>
    <t xml:space="preserve">MUÑOZ IBARGUEN LEIDY CAROLINA</t>
  </si>
  <si>
    <t xml:space="preserve">LUNA MURILLO VANESSA</t>
  </si>
  <si>
    <t xml:space="preserve">QUINTERO GOMEZ YENNIFFER</t>
  </si>
  <si>
    <t xml:space="preserve">OSPINA RENDON CAROLINA</t>
  </si>
  <si>
    <t xml:space="preserve">MOSQUERA DIAZ JHONNY ALEXANDER</t>
  </si>
  <si>
    <t xml:space="preserve">RESTREPO CUENCA LILIBETH</t>
  </si>
  <si>
    <t xml:space="preserve">HERRERA OVALLE JOHN ALEXANDER</t>
  </si>
  <si>
    <t xml:space="preserve">NIETO CASTRO JOHANA PATRICIA</t>
  </si>
  <si>
    <t xml:space="preserve">RAMOS VERNAZA JOHNNY ANDRES</t>
  </si>
  <si>
    <t xml:space="preserve">FIGUEROA RESTREPO LADY LAURA</t>
  </si>
  <si>
    <t xml:space="preserve">DIAZ HEREDIA DIANA LICETH</t>
  </si>
  <si>
    <t xml:space="preserve">VALENCIA QUINTERO VERONICA</t>
  </si>
  <si>
    <t xml:space="preserve">VILLANI BAHAMON CAROLINA</t>
  </si>
  <si>
    <t xml:space="preserve">HINCAPIE CARDENAS CATHERINE JOHANNA</t>
  </si>
  <si>
    <t xml:space="preserve">AGUIRRE OBREGON HEIDY JANETH</t>
  </si>
  <si>
    <t xml:space="preserve">VARELA TINOCO AELEEN</t>
  </si>
  <si>
    <t xml:space="preserve">MONTEZUMA DIAZ VANESSA</t>
  </si>
  <si>
    <t xml:space="preserve">TELLO BARONA ADRIANA</t>
  </si>
  <si>
    <t xml:space="preserve">RUIZ MEDINA JENIFER DAYANA</t>
  </si>
  <si>
    <t xml:space="preserve">GUERRERO SALAZAR PAULA ANDREA</t>
  </si>
  <si>
    <t xml:space="preserve">ACOSTA ARANGO JOULY ESTHEFHANIE</t>
  </si>
  <si>
    <t xml:space="preserve">BUSTOS VALENCIA SANDRA MARCELA</t>
  </si>
  <si>
    <t xml:space="preserve">SOLARTE TENORIO KELLY VANESSA</t>
  </si>
  <si>
    <t xml:space="preserve">POSADA ORTEGON MARISOL</t>
  </si>
  <si>
    <t xml:space="preserve">OREJUELA CARAVALI MARIA JANETH</t>
  </si>
  <si>
    <t xml:space="preserve">PARRA CASTRILLON MARIA VICTORIA</t>
  </si>
  <si>
    <t xml:space="preserve">MONTEZUMA GARCIA INOCENCIA</t>
  </si>
  <si>
    <t xml:space="preserve">SINISTERRA ROSERO ANDRES FERNANDO</t>
  </si>
  <si>
    <t xml:space="preserve">REINA CIFUENTES LAURA TATIANA</t>
  </si>
  <si>
    <t xml:space="preserve">JOSA ROSERO SANDRA LUCIA</t>
  </si>
  <si>
    <t xml:space="preserve">DAVILA VALENCIA JACKELIN</t>
  </si>
  <si>
    <t xml:space="preserve">GOMEZ SANCHEZ MAURICIO</t>
  </si>
  <si>
    <t xml:space="preserve">ARANGO LOTERO CONSUELO</t>
  </si>
  <si>
    <t xml:space="preserve">PERDOMO QUINCHIA JOHANNA CAROLINA</t>
  </si>
  <si>
    <t xml:space="preserve">MORENO VELASCO DELCY LILIANA</t>
  </si>
  <si>
    <t xml:space="preserve">MONTENEGRO PARDO SANDRA CECILIA</t>
  </si>
  <si>
    <t xml:space="preserve">CANO MINA NATHALIA EUGENIA</t>
  </si>
  <si>
    <t xml:space="preserve">GONZALEZ OLIVEROS LUIS FERNANDO</t>
  </si>
  <si>
    <t xml:space="preserve">CASTRO FORY YAJAIRA</t>
  </si>
  <si>
    <t xml:space="preserve">SOLARTE RIASCOS KARINA ANGELLY</t>
  </si>
  <si>
    <t xml:space="preserve">GALLEGO PAZ SONIA YURANY</t>
  </si>
  <si>
    <t xml:space="preserve">VIVAS MORENO SANDRA YAMILET</t>
  </si>
  <si>
    <t xml:space="preserve">RAMOS LASSO JULIAN</t>
  </si>
  <si>
    <t xml:space="preserve">USECHE BECERRA BRIAN ALEXIS</t>
  </si>
  <si>
    <t xml:space="preserve">VALENCIA IPIALES JUAN PABLO</t>
  </si>
  <si>
    <t xml:space="preserve">MOSQUERA MOSQUERA BEATRIZ</t>
  </si>
  <si>
    <t xml:space="preserve">GIRALDO SILVA JULIETH</t>
  </si>
  <si>
    <t xml:space="preserve">ORTIZ NIÑO LUZ MARINA</t>
  </si>
  <si>
    <t xml:space="preserve">ORDOÑEZ ORDOÑEZ DOLLY MARGOTH</t>
  </si>
  <si>
    <t xml:space="preserve">VERA CORTES LIZETH PATRICIA</t>
  </si>
  <si>
    <t xml:space="preserve">MONROY MARULANDA JENNY</t>
  </si>
  <si>
    <t xml:space="preserve">REYES MADRIÑAN MARIA XIMENA</t>
  </si>
  <si>
    <t xml:space="preserve">ANDRADE BLANCO LUIS FERNANDO</t>
  </si>
  <si>
    <t xml:space="preserve">TREJOS APRAEZ YACKELINE</t>
  </si>
  <si>
    <t xml:space="preserve">JORDAN HURTADO ESTHER JULIA</t>
  </si>
  <si>
    <t xml:space="preserve">NIETO SANCHEZ CATHERINE JULIETH</t>
  </si>
  <si>
    <t xml:space="preserve">VARGAS REQUENE LISED</t>
  </si>
  <si>
    <t xml:space="preserve">LOZANO VALDERRAMA ANA MARIA</t>
  </si>
  <si>
    <t xml:space="preserve">DUQUE DIAZ DAYAN</t>
  </si>
  <si>
    <t xml:space="preserve">CAICEDO  LUZ MARYURI</t>
  </si>
  <si>
    <t xml:space="preserve">IMBAGO VALENZUELA ROSA ANGELICA</t>
  </si>
  <si>
    <t xml:space="preserve">HERRERA ALVAREZ JORGE MARIO</t>
  </si>
  <si>
    <t xml:space="preserve">POVEDA CLAVIJO CARLOS ALBERTO</t>
  </si>
  <si>
    <t xml:space="preserve">OIDOR LOZANO GINO HUMBERTO</t>
  </si>
  <si>
    <t xml:space="preserve">GOMEZ GRISALES ALVARO HERNAN</t>
  </si>
  <si>
    <t xml:space="preserve">RODRIGUEZ CASTRILLON NELSON ALBERTO</t>
  </si>
  <si>
    <t xml:space="preserve">NORENA OSPINA SAUDY</t>
  </si>
  <si>
    <t xml:space="preserve">VARGAS CARDONA ANA MARIA</t>
  </si>
  <si>
    <t xml:space="preserve">CAMACHO VARGAS MARIBEL</t>
  </si>
  <si>
    <t xml:space="preserve">DELGADO LOZANO NAYIBE</t>
  </si>
  <si>
    <t xml:space="preserve">SANCHEZ VERNAZA LUZ ANYELY</t>
  </si>
  <si>
    <t xml:space="preserve">CARDENAS CESPEDES SUSANA</t>
  </si>
  <si>
    <t xml:space="preserve">OTERO GARCIA GINA FERNANDA</t>
  </si>
  <si>
    <t xml:space="preserve">LOPEZ LOZADA LEIDY KATHERINE</t>
  </si>
  <si>
    <t xml:space="preserve">GUTIERREZ MEJIA LUZ ADRIANA</t>
  </si>
  <si>
    <t xml:space="preserve">CORREA DAZA YENNY LORENA</t>
  </si>
  <si>
    <t xml:space="preserve">RANGEL BAHAMON DIANA MARIA</t>
  </si>
  <si>
    <t xml:space="preserve">GOMEZ CARMONA ANGELA MARCELA</t>
  </si>
  <si>
    <t xml:space="preserve">TRUJILLO RODRIGUEZ MONICA</t>
  </si>
  <si>
    <t xml:space="preserve">MOSQUERA TRUJILLO LILIANA JAMILETH</t>
  </si>
  <si>
    <t xml:space="preserve">LOAIZA NARANJO JOHNSONFREY</t>
  </si>
  <si>
    <t xml:space="preserve">Estacion</t>
  </si>
  <si>
    <t xml:space="preserve">QUIROZ CASTRILLON ANA MILENA</t>
  </si>
  <si>
    <t xml:space="preserve">BERMUDEZ GALVEZ MARTHA CECILIA</t>
  </si>
  <si>
    <t xml:space="preserve">LAMBRANO BARRERA RAFAEL ARMANDO</t>
  </si>
  <si>
    <t xml:space="preserve">SOTO REALPE ROSEMBERG</t>
  </si>
  <si>
    <t xml:space="preserve">MOTTA REALPE LIZETH PAOLA</t>
  </si>
  <si>
    <t xml:space="preserve">SALAZAR OROZCO ZULMA OFIR</t>
  </si>
  <si>
    <t xml:space="preserve">GUACAN UCHIMA AYDA NELLY</t>
  </si>
  <si>
    <t xml:space="preserve">PLAZA RAMIREZ BIBIAN MAYELI</t>
  </si>
  <si>
    <t xml:space="preserve">VILLOTA GUERRERO EDUARDO</t>
  </si>
  <si>
    <t xml:space="preserve">BELALCAZAR ANGOLA PATRICIA</t>
  </si>
  <si>
    <t xml:space="preserve">MENDEZ BOTELLO ISABEL CRISTINA</t>
  </si>
  <si>
    <t xml:space="preserve">OVALLE MUÑOZ NADIA CAROLINA</t>
  </si>
  <si>
    <t xml:space="preserve">SANCHEZ TIRADO AURA YINETH</t>
  </si>
  <si>
    <t xml:space="preserve">CHITO MAMIAN CLARA INES</t>
  </si>
  <si>
    <t xml:space="preserve">LONDOÑO BLANDON ALEJANDRA</t>
  </si>
  <si>
    <t xml:space="preserve">MERA URBANO SANDRA PATRICIA</t>
  </si>
  <si>
    <t xml:space="preserve">AMEZQUITA RESTREPO YULY ANDREA</t>
  </si>
  <si>
    <t xml:space="preserve">BENAVIDES ZAPATA KELLY CAROLINA</t>
  </si>
  <si>
    <t xml:space="preserve">BENAVIDEZ RICO YENIFER</t>
  </si>
  <si>
    <t xml:space="preserve">LOPEZ TOBAR FLORESNEIDA</t>
  </si>
  <si>
    <t xml:space="preserve">GARCIA JIMENEZ DIANA MARCELA</t>
  </si>
  <si>
    <t xml:space="preserve">CALLE CAMACHO DEYBI</t>
  </si>
  <si>
    <t xml:space="preserve">CLAVIJO  MARGARITA</t>
  </si>
  <si>
    <t xml:space="preserve">SALDARRIAGA ZULUAGA CAROLINA</t>
  </si>
  <si>
    <t xml:space="preserve">MONTOYA MARTINEZ LORENA</t>
  </si>
  <si>
    <t xml:space="preserve">MACHADO ESCOBAR LUZ MARINA</t>
  </si>
  <si>
    <t xml:space="preserve">LOMBANA RODRIGUEZ DIANA CAROLINA</t>
  </si>
  <si>
    <t xml:space="preserve">MIRAMAG MUÑOZ JUAN CARLOS</t>
  </si>
  <si>
    <t xml:space="preserve">DUQUE MENESES DIANA LORENA</t>
  </si>
  <si>
    <t xml:space="preserve">GONZALEZ HINCAPIE LEONARDO</t>
  </si>
  <si>
    <t xml:space="preserve">VILLEGAS TEGUE HJONATAN</t>
  </si>
  <si>
    <t xml:space="preserve">BETANCOURT MARIN LEIDY ANDREA</t>
  </si>
  <si>
    <t xml:space="preserve">HERNANDEZ LOPEZ DERLY</t>
  </si>
  <si>
    <t xml:space="preserve">CRUZ ROJAS MELIER</t>
  </si>
  <si>
    <t xml:space="preserve">MARTINEZ LOPEZ ANA MARCELA</t>
  </si>
  <si>
    <t xml:space="preserve">CASTRO ESCOBAR ZINDY ALEXANDRA</t>
  </si>
  <si>
    <t xml:space="preserve">GONZALEZ HINESTROZA CHRISTIAN YESCID</t>
  </si>
  <si>
    <t xml:space="preserve">MORENO MINDINERO BETTY</t>
  </si>
  <si>
    <t xml:space="preserve">ORDOÑEZ CALERO DELLA VIVIANA</t>
  </si>
  <si>
    <t xml:space="preserve">SUACHE AVENDAÑO PAULA ANDREA</t>
  </si>
  <si>
    <t xml:space="preserve">TRIANA PARRA LUZ STELLA</t>
  </si>
  <si>
    <t xml:space="preserve">JIMENEZ MORENO HECTOR YEZID</t>
  </si>
  <si>
    <t xml:space="preserve">LONDOÑO BELTRAN KELLY ALEXANDRA</t>
  </si>
  <si>
    <t xml:space="preserve">GUZMAN MUÑOZ ALDEMAR</t>
  </si>
  <si>
    <t xml:space="preserve">OSSA CALDERON JULIAN FERNANDO</t>
  </si>
  <si>
    <t xml:space="preserve">BOTINA ARANGO ERICA MARCELA</t>
  </si>
  <si>
    <t xml:space="preserve">HURTADO HURTADO JOHN JAMES</t>
  </si>
  <si>
    <t xml:space="preserve">FORY SOLIS GISELA ANDREA</t>
  </si>
  <si>
    <t xml:space="preserve">ARREDONDO  LUZ ADRIANA</t>
  </si>
  <si>
    <t xml:space="preserve">RENGIFO VALENCIA YURANY</t>
  </si>
  <si>
    <t xml:space="preserve">GONZALIAS CAICEDO ALBERTO</t>
  </si>
  <si>
    <t xml:space="preserve">OCAMPO GALLEGO JONNATHAN</t>
  </si>
  <si>
    <t xml:space="preserve">BOTERO RIVERA MARIA MARCELA</t>
  </si>
  <si>
    <t xml:space="preserve">VELA ZAMBRANO JAKELINE</t>
  </si>
  <si>
    <t xml:space="preserve">LUNA MARTINEZ DARIO GERARDO</t>
  </si>
  <si>
    <t xml:space="preserve">QUINTERO CORREA LADY JOHANNA</t>
  </si>
  <si>
    <t xml:space="preserve">QUELAL BURBANO DIANA MARCELA</t>
  </si>
  <si>
    <t xml:space="preserve">CANDELO ARCE JUAN SEBASTIAN</t>
  </si>
  <si>
    <t xml:space="preserve">CARDOZO AGUDELO CLAUDIA MILENA</t>
  </si>
  <si>
    <t xml:space="preserve">CAICEDO QUINTERO LEANDRO</t>
  </si>
  <si>
    <t xml:space="preserve">CRUZ COLONIA JOVANNA</t>
  </si>
  <si>
    <t xml:space="preserve">GUERRERO JIMENEZ ALBA LILIANA</t>
  </si>
  <si>
    <t xml:space="preserve">JOJOA HERNANDEZ MILTON ALEXANDER</t>
  </si>
  <si>
    <t xml:space="preserve">LOZANO PRADO INGRID JULIETH</t>
  </si>
  <si>
    <t xml:space="preserve">QUITUMBO QUIGUANAS YAMIRTH</t>
  </si>
  <si>
    <t xml:space="preserve">DOMINGUEZ ESTRADA NORBERTO</t>
  </si>
  <si>
    <t xml:space="preserve">OVIEDO BOLAÑOS MADDELY VANESSA</t>
  </si>
  <si>
    <t xml:space="preserve">CALDERON CARO CINDY YULIANA</t>
  </si>
  <si>
    <t xml:space="preserve">ROSERO LEMOS LINDA LORENA</t>
  </si>
  <si>
    <t xml:space="preserve">GARCIA BONILLA MARIA MONICA</t>
  </si>
  <si>
    <t xml:space="preserve">ALEMESA IBARRA JEISSON</t>
  </si>
  <si>
    <t xml:space="preserve">BENITEZ PECHENE XIOMARA KATHERINE</t>
  </si>
  <si>
    <t xml:space="preserve">COPETE BARONA CINDY JOHANNA</t>
  </si>
  <si>
    <t xml:space="preserve">DIAZ QUINTERO DIANA MARCELA</t>
  </si>
  <si>
    <t xml:space="preserve">UMBARILA ROMERO MAYIRA ALEJANDRA</t>
  </si>
  <si>
    <t xml:space="preserve">VALLEJO FERNANDEZ ADRIANA PATRICIA</t>
  </si>
  <si>
    <t xml:space="preserve">GONZALEZ CARVAJAL SANDRA MILENA</t>
  </si>
  <si>
    <t xml:space="preserve">BARRIENTOS RAMOS LUIS DAVID</t>
  </si>
  <si>
    <t xml:space="preserve">RUIZ SATIZABAL KAREN LORENA</t>
  </si>
  <si>
    <t xml:space="preserve">MORALES CIFUENTES ELIANA ANDREA</t>
  </si>
  <si>
    <t xml:space="preserve">CASTRILLON OSORIO LINA MARCELA</t>
  </si>
  <si>
    <t xml:space="preserve">PRADO GOMEZ NATHALIA</t>
  </si>
  <si>
    <t xml:space="preserve">ARAUJO MARTINEZ YOANA ESTEFANY</t>
  </si>
  <si>
    <t xml:space="preserve">VIDAL BUENO JORGE HERNAN</t>
  </si>
  <si>
    <t xml:space="preserve">ROJAS JARA WILBERTO</t>
  </si>
  <si>
    <t xml:space="preserve">PELAEZ HURTADO BLANCA HELENA</t>
  </si>
  <si>
    <t xml:space="preserve">GARCIA ORTIZ YURANI</t>
  </si>
  <si>
    <t xml:space="preserve">BONILLA ANGULO LADY VIVIANA</t>
  </si>
  <si>
    <t xml:space="preserve">MILLAN TORRES STHEPHANY</t>
  </si>
  <si>
    <t xml:space="preserve">ALZATE SIERRA MARTHA CECILIA</t>
  </si>
  <si>
    <t xml:space="preserve">CICLOS LARGO LEYDA</t>
  </si>
  <si>
    <t xml:space="preserve">NAVAS GUZMAN LLADY CECILIA</t>
  </si>
  <si>
    <t xml:space="preserve">NUÑEZ PELAEZ NATHALIA IVANOVNA</t>
  </si>
  <si>
    <t xml:space="preserve">BERMUDEZ GOMEZ YURANI</t>
  </si>
  <si>
    <t xml:space="preserve">QUINAYAS MARTINEZ DEISY ANDREA</t>
  </si>
  <si>
    <t xml:space="preserve">LOPEZ MORENO LEYDY JHOANA</t>
  </si>
  <si>
    <t xml:space="preserve">CUELLO MEZA CHRISTIAN CAMILO</t>
  </si>
  <si>
    <t xml:space="preserve">GONZALEZ PEREZ JUAN CAMILO</t>
  </si>
  <si>
    <t xml:space="preserve">ARBELAEZ VIVAS ARTURO</t>
  </si>
  <si>
    <t xml:space="preserve">CASTILLO CAICEDO JOSE JAMIL</t>
  </si>
  <si>
    <t xml:space="preserve">QUENORAN POLINDARA SANDRA MILENA</t>
  </si>
  <si>
    <t xml:space="preserve">ESPINAL MARIN CINDY PAOLA</t>
  </si>
  <si>
    <t xml:space="preserve">ESCOBAR FORONDA LUZ MAYURY</t>
  </si>
  <si>
    <t xml:space="preserve">SUAREZ PRIETO VILMA KATERINE</t>
  </si>
  <si>
    <t xml:space="preserve">ORTIZ TORRES JESSICA</t>
  </si>
  <si>
    <t xml:space="preserve">VANEGAS AMAYA JESSICA</t>
  </si>
  <si>
    <t xml:space="preserve">BURBANO QUINTERO INGRITH CAROLA</t>
  </si>
  <si>
    <t xml:space="preserve">LOPEZ ARBOLEDA MONICA</t>
  </si>
  <si>
    <t xml:space="preserve">VANEGAS MOTOA DEYVI MARCELA</t>
  </si>
  <si>
    <t xml:space="preserve">RAMIREZ CIFUENTES ANDRES FELIPE</t>
  </si>
  <si>
    <t xml:space="preserve">JIMENEZ CAMACHO CLAUDIA LIZETH</t>
  </si>
  <si>
    <t xml:space="preserve">SILVA MAMBUSCAY YENNY LICETH</t>
  </si>
  <si>
    <t xml:space="preserve">ROJAS ZAPATA KATHERINE</t>
  </si>
  <si>
    <t xml:space="preserve">PEREZ NARANJO PAULA ALEJANDRA</t>
  </si>
  <si>
    <t xml:space="preserve">ORTIZ ROJAS CAROLINA ALEJANDRA</t>
  </si>
  <si>
    <t xml:space="preserve">NAVIA MORENO AURA CELMIRA</t>
  </si>
  <si>
    <t xml:space="preserve">ORTIZ NARVAEZ DERLY JANETH</t>
  </si>
  <si>
    <t xml:space="preserve">DAVILA HERRERA LORENA</t>
  </si>
  <si>
    <t xml:space="preserve">IBARGUEN ASPRILLA LEYDY YISEL</t>
  </si>
  <si>
    <t xml:space="preserve">POVEDA GARCES ALAN STEVEN</t>
  </si>
  <si>
    <t xml:space="preserve">ARCILA CERON FRANCISCO JAVIER</t>
  </si>
  <si>
    <t xml:space="preserve">CAICEDO MELO DARIO FERNANDO</t>
  </si>
  <si>
    <t xml:space="preserve">MEDINA BARRAGAN ANGELICA</t>
  </si>
  <si>
    <t xml:space="preserve">FLORES CEBALLOS JOSE OVER</t>
  </si>
  <si>
    <t xml:space="preserve">GARCIA BUITRON MARIA ALEJANDRA</t>
  </si>
  <si>
    <t xml:space="preserve">TORRES TORRES JERLYN TARIN</t>
  </si>
  <si>
    <t xml:space="preserve">CUERO PEREA SUGEIDY</t>
  </si>
  <si>
    <t xml:space="preserve">CARDONA ALDANA LINA MARCELA</t>
  </si>
  <si>
    <t xml:space="preserve">MOLINA DAZA LEIDY VIVIANA</t>
  </si>
  <si>
    <t xml:space="preserve">MEDINA QUIÑONES ISABEL CRISTINA</t>
  </si>
  <si>
    <t xml:space="preserve">MEJIA CORREA LEYDI JOHANNA</t>
  </si>
  <si>
    <t xml:space="preserve">GUZMAN POLINDARA EVELYN DAYANA</t>
  </si>
  <si>
    <t xml:space="preserve">AUX MORA ROSA ELENA</t>
  </si>
  <si>
    <t xml:space="preserve">BETANCOURT PALOMINO KATHERINE MICHELLE</t>
  </si>
  <si>
    <t xml:space="preserve">LONDOÑO BARONA CAROLINA</t>
  </si>
  <si>
    <t xml:space="preserve">DIAZ VILLEGAS DANY FELIPE</t>
  </si>
  <si>
    <t xml:space="preserve">FALCON PEREZ PEDRO FABIAN</t>
  </si>
  <si>
    <t xml:space="preserve">BRAVO CUYATO DIANA CAROLINA</t>
  </si>
  <si>
    <t xml:space="preserve">TAPASCO MARTINEZ NUR ELIZANA</t>
  </si>
  <si>
    <t xml:space="preserve">ROCHA GUTIERREZ CINDY YULIED</t>
  </si>
  <si>
    <t xml:space="preserve">VALENCIA RUIZ BEATRIZ ELENA</t>
  </si>
  <si>
    <t xml:space="preserve">FLOR OTERO ANGIE YULIETH</t>
  </si>
  <si>
    <t xml:space="preserve">BEDOYA CORTES OLGA LUCIA</t>
  </si>
  <si>
    <t xml:space="preserve">LEIVA HERNANDEZ JOAN MANUEL</t>
  </si>
  <si>
    <t xml:space="preserve">VELEZ CASTILLO YOHANA PATRICIA</t>
  </si>
  <si>
    <t xml:space="preserve">CANTERO SOTO NATALIA</t>
  </si>
  <si>
    <t xml:space="preserve">RINCON BURBANO KARENT YULIETH</t>
  </si>
  <si>
    <t xml:space="preserve">CASTRO VALENCIA ANA MILENA</t>
  </si>
  <si>
    <t xml:space="preserve">SIERRA CASAS YISCELLA</t>
  </si>
  <si>
    <t xml:space="preserve">PASTRANA RUBIANO XIMENA BRIGITTE</t>
  </si>
  <si>
    <t xml:space="preserve">PAPAMIJA GONZALEZ YAMILET</t>
  </si>
  <si>
    <t xml:space="preserve">PAZ MOSQUERA ILSA GEOVANA</t>
  </si>
  <si>
    <t xml:space="preserve">DAZA  MARIA JIMENA</t>
  </si>
  <si>
    <t xml:space="preserve">VALENCIA OYOLA TARA MABEL</t>
  </si>
  <si>
    <t xml:space="preserve">LOPEZ MARTINEZ KAROL XIMENA</t>
  </si>
  <si>
    <t xml:space="preserve">HURTADO PANTOJA CAROLINA</t>
  </si>
  <si>
    <t xml:space="preserve">PEDROZA ALEGRIA LEIDY VIVIANA</t>
  </si>
  <si>
    <t xml:space="preserve">VARGAS BETANCUR MONICA ALEJANDRA</t>
  </si>
  <si>
    <t xml:space="preserve">URREA CORREA CAROLINA</t>
  </si>
  <si>
    <t xml:space="preserve">HURTADO CAÑAVERAL ANA CRISTINA</t>
  </si>
  <si>
    <t xml:space="preserve">ROJAS BOLAÑOS DIANA CAROLINA</t>
  </si>
  <si>
    <t xml:space="preserve">ACEVEDO GUERRERO DIANA XIMENA</t>
  </si>
  <si>
    <t xml:space="preserve">VALENCIA QUIÑONES ERIKA PAMELA</t>
  </si>
  <si>
    <t xml:space="preserve">OYOLA VALDERRAMA CLAUDIA XIMENA</t>
  </si>
  <si>
    <t xml:space="preserve">BOLAÑOS HURTADO BERTHA ALEJANDRA</t>
  </si>
  <si>
    <t xml:space="preserve">BUSTOS CRUZ EYLEN ANDREA</t>
  </si>
  <si>
    <t xml:space="preserve">FLOREZ MENESES CINDY JOHANNA</t>
  </si>
  <si>
    <t xml:space="preserve">GALLEGO LEMOS LAURA MARCELA</t>
  </si>
  <si>
    <t xml:space="preserve">VIAFARA MARTINEZ JESSICA NATALIA</t>
  </si>
  <si>
    <t xml:space="preserve">LOZANO ARTEAGA LINETH BIVIANA</t>
  </si>
  <si>
    <t xml:space="preserve">BERNAL ERASO MAIRA ALEJANDRA</t>
  </si>
  <si>
    <t xml:space="preserve">SERNA GIRALDO MAURICIO</t>
  </si>
  <si>
    <t xml:space="preserve">REINEL BERMUDEZ JIMENA MARBEL</t>
  </si>
  <si>
    <t xml:space="preserve">PADILLA CABRERA LUIS FERNANDO</t>
  </si>
  <si>
    <t xml:space="preserve">GARCIA ACEVEDO CARLOS ALBERTO</t>
  </si>
  <si>
    <t xml:space="preserve">INSANDARA RUANO DIANA LIZETTH</t>
  </si>
  <si>
    <t xml:space="preserve">BEJARANO HERRERA LADY JOHANNA</t>
  </si>
  <si>
    <t xml:space="preserve">ESPANA ORTEGON JHON EDINSON</t>
  </si>
  <si>
    <t xml:space="preserve">BELTRAN CAMACHO DAYAN LORENA</t>
  </si>
  <si>
    <t xml:space="preserve">PINZON LARGACHA LADY YOLIVE</t>
  </si>
  <si>
    <t xml:space="preserve">CUENCA TRUJILLO ALEXANDER</t>
  </si>
  <si>
    <t xml:space="preserve">CORTES VICTORIA JENIFFER TATIANA</t>
  </si>
  <si>
    <t xml:space="preserve">MADROÑERO MENESES MIRIAN YARELIS</t>
  </si>
  <si>
    <t xml:space="preserve">SALAZAR MADRID JOHANNA</t>
  </si>
  <si>
    <t xml:space="preserve">TANGARIFE RIVERA NATHALY</t>
  </si>
  <si>
    <t xml:space="preserve">MARIN GRAJALES RONAL ANDRES</t>
  </si>
  <si>
    <t xml:space="preserve">ROJAS GARCIA ALEXANDER</t>
  </si>
  <si>
    <t xml:space="preserve">JOLY GRAJALES JULIE YANINE</t>
  </si>
  <si>
    <t xml:space="preserve">MEJIA VARGAS JULIO CESAR</t>
  </si>
  <si>
    <t xml:space="preserve">ARTEAGA IBARRA INGRID KARINA</t>
  </si>
  <si>
    <t xml:space="preserve">CAMPO DAZA DELIA LUCIA</t>
  </si>
  <si>
    <t xml:space="preserve">QUEVEDO VEGA KELLY JOHANNA</t>
  </si>
  <si>
    <t xml:space="preserve">MARTINEZ SARASTY ELIANA ALEXANDRA</t>
  </si>
  <si>
    <t xml:space="preserve">PEÑA BOCANEGRA STEPHANY ILIANA</t>
  </si>
  <si>
    <t xml:space="preserve">GUZMAN PATIÑO KATHERINE</t>
  </si>
  <si>
    <t xml:space="preserve">NARVAEZ CAICEDO NESTOR STIVEN</t>
  </si>
  <si>
    <t xml:space="preserve">FIGUEROA CARDONA KELLY MARCELA</t>
  </si>
  <si>
    <t xml:space="preserve">ALEMAN OSPINO DASNEIDA DANITH</t>
  </si>
  <si>
    <t xml:space="preserve">TREJOS QUIGUA MARIA DEL MAR</t>
  </si>
  <si>
    <t xml:space="preserve">VICENT GALVIS EDGAR JULIAN</t>
  </si>
  <si>
    <t xml:space="preserve">TORO CORREA JOSE JOAQUIN</t>
  </si>
  <si>
    <t xml:space="preserve">GUTIERREZ DOMINGUEZ MIGUEL ANGEL</t>
  </si>
  <si>
    <t xml:space="preserve">CAGUAZANGO GIRALDO CINDY JULIE</t>
  </si>
  <si>
    <t xml:space="preserve">VERNAZA CABEZAS ANYELA PATRICIA</t>
  </si>
  <si>
    <t xml:space="preserve">WAGNER DIAZ JULIO ENRIQUE</t>
  </si>
  <si>
    <t xml:space="preserve">MOLINA  GEORGINA</t>
  </si>
  <si>
    <t xml:space="preserve">HENAO PELAEZ JESSICA NATALIA</t>
  </si>
  <si>
    <t xml:space="preserve">HOYOS OTOA GINNA LIZETH</t>
  </si>
  <si>
    <t xml:space="preserve">RIASCOS RIASCOS DORYS BETZAYDA</t>
  </si>
  <si>
    <t xml:space="preserve">RUBIO PUERTA MARIA ESTEFANY</t>
  </si>
  <si>
    <t xml:space="preserve">ALZATE MEDINA JHONY LEANDRO</t>
  </si>
  <si>
    <t xml:space="preserve">CERON LUBO JUAN PABLO</t>
  </si>
  <si>
    <t xml:space="preserve">ESPINOZA CARDONA CLAUDIA JIMENA</t>
  </si>
  <si>
    <t xml:space="preserve">MOSCOSO ARANGO YESICA VIVIANA</t>
  </si>
  <si>
    <t xml:space="preserve">CORREA SEGURA NATALIA</t>
  </si>
  <si>
    <t xml:space="preserve">MORALES MONCADA LINA BETH</t>
  </si>
  <si>
    <t xml:space="preserve">VIVAS CARDONA SONIA ISABEL</t>
  </si>
  <si>
    <t xml:space="preserve">MONTOYA BARRETO LISBETH</t>
  </si>
  <si>
    <t xml:space="preserve">CARABALLO BOLAÑOS JIMENA</t>
  </si>
  <si>
    <t xml:space="preserve">ESCOBAR VALENCIA MYRIAM</t>
  </si>
  <si>
    <t xml:space="preserve">VALENCIA GUARNIZO PAOLA</t>
  </si>
  <si>
    <t xml:space="preserve">GAVIRIA DIAZ DUBER ALEXIS</t>
  </si>
  <si>
    <t xml:space="preserve">LOAIZA CASTILLO CARLOS EDIER</t>
  </si>
  <si>
    <t xml:space="preserve">VIVAS FANDIÑO CAROLINA</t>
  </si>
  <si>
    <t xml:space="preserve">MURIEL TABARES JENIFFER JESSET</t>
  </si>
  <si>
    <t xml:space="preserve">VILLEGAS  LEYDI CAROLINA</t>
  </si>
  <si>
    <t xml:space="preserve">BOLAÑOS BELTRAN DAVID ALEXANDER</t>
  </si>
  <si>
    <t xml:space="preserve">MEDINA TRUQUE EDILBERTO</t>
  </si>
  <si>
    <t xml:space="preserve">BURGOS CASANOVA PATRICIA LUCIA</t>
  </si>
  <si>
    <t xml:space="preserve">LABRADA ZAPATA CAROLINA</t>
  </si>
  <si>
    <t xml:space="preserve">MUÑOZ ROJAS KERLY VIVIANA</t>
  </si>
  <si>
    <t xml:space="preserve">CAMPOS SALDARRIAGA AIDA MARCELA</t>
  </si>
  <si>
    <t xml:space="preserve">RENGIFO BARRIOS ANDRES EDUARDO</t>
  </si>
  <si>
    <t xml:space="preserve">LERMA CAICEDO CLAUDIA MARITZA</t>
  </si>
  <si>
    <t xml:space="preserve">ZULETA ACEVEDO YOSELIN ANDREA</t>
  </si>
  <si>
    <t xml:space="preserve">ORDOÑEZ YONDA JANETH</t>
  </si>
  <si>
    <t xml:space="preserve">ROJAS MORALES LAURA MARIA</t>
  </si>
  <si>
    <t xml:space="preserve">CHAMIZO LONDOÑO ANA LORENA</t>
  </si>
  <si>
    <t xml:space="preserve">ALVARADO  EDWARD</t>
  </si>
  <si>
    <t xml:space="preserve">LUCUMI MINA LINA MARCELA</t>
  </si>
  <si>
    <t xml:space="preserve">PARRA LOPEZ GUSTAVO ANDRES</t>
  </si>
  <si>
    <t xml:space="preserve">GONZALEZ NIETO DIANA MARCELA</t>
  </si>
  <si>
    <t xml:space="preserve">ORTIZ MICOLTA JHON BERNARDO</t>
  </si>
  <si>
    <t xml:space="preserve">RESTREPO GONZALEZ ORLANDO ANDREY</t>
  </si>
  <si>
    <t xml:space="preserve">BALANTA CASTELLAR KELLY JOHANNA</t>
  </si>
  <si>
    <t xml:space="preserve">LLANTEN LLANTEN LEIDY JHOANNA</t>
  </si>
  <si>
    <t xml:space="preserve">ARCE FORY LINA MARCELA</t>
  </si>
  <si>
    <t xml:space="preserve">TENORIO MONTEALEGRE SHIRLEY IBERICA</t>
  </si>
  <si>
    <t xml:space="preserve">AGUIRRE SANCHEZ DAYAN LIZETH</t>
  </si>
  <si>
    <t xml:space="preserve">ESPINOSA CIFUENTES LUIS FERNANDO</t>
  </si>
  <si>
    <t xml:space="preserve">URQUIJO PATIÑO DORIAN ESTEBAN</t>
  </si>
  <si>
    <t xml:space="preserve">NEIRA DIAZ MIGUEL ANGEL</t>
  </si>
  <si>
    <t xml:space="preserve">PEREZ RODRIGUEZ MAYRA ALEJANDRA</t>
  </si>
  <si>
    <t xml:space="preserve">GONZALEZ HEREDIA MONICA PATRICIA</t>
  </si>
  <si>
    <t xml:space="preserve">ARTEAGA VACA KAREN LIZETH</t>
  </si>
  <si>
    <t xml:space="preserve">PALACIOS LARROTA ADRIANA CAROLINA</t>
  </si>
  <si>
    <t xml:space="preserve">OSORIO LOZANO DANIELA ANDREA</t>
  </si>
  <si>
    <t xml:space="preserve">MERA CAICEDO JOSEPH WILLIAM</t>
  </si>
  <si>
    <t xml:space="preserve">TIGREROS PEREZ YANETH</t>
  </si>
  <si>
    <t xml:space="preserve">PEREIRA GONZALEZ LADY CAROLINA</t>
  </si>
  <si>
    <t xml:space="preserve">MORENO PEREZ MARIAM</t>
  </si>
  <si>
    <t xml:space="preserve">CEBALLOS FERNANDEZ KETTY VANESSA</t>
  </si>
  <si>
    <t xml:space="preserve">MENDEZ TOBON CAROLINA</t>
  </si>
  <si>
    <t xml:space="preserve">CORTES PLAZA MARYORI CAROLINA</t>
  </si>
  <si>
    <t xml:space="preserve">MARRUGO MACHUCA OSCAR IVAN</t>
  </si>
  <si>
    <t xml:space="preserve">ZAPATA VELASCO HERNAN ALONSO</t>
  </si>
  <si>
    <t xml:space="preserve">BAUTISTA VALENCIA JUAN DAVID</t>
  </si>
  <si>
    <t xml:space="preserve">DEL CASTILLO ALVAREZ LUZ ANGELICA</t>
  </si>
  <si>
    <t xml:space="preserve">RICO MARTINEZ ANGIE CAROLINA</t>
  </si>
  <si>
    <t xml:space="preserve">MINA CUENCA YISEL FERNANDA</t>
  </si>
  <si>
    <t xml:space="preserve">GOMEZ NUÑEZ ANGGIE NATHALY</t>
  </si>
  <si>
    <t xml:space="preserve">ALZATE ZAMBRANO ANGGIE YOLANDA</t>
  </si>
  <si>
    <t xml:space="preserve">CHICAIZA GALLARDO YULEIDY MILETH</t>
  </si>
  <si>
    <t xml:space="preserve">VELASQUEZ ALEGRIA DIANNET</t>
  </si>
  <si>
    <t xml:space="preserve">ORTEGA CASTRO EMILSE</t>
  </si>
  <si>
    <t xml:space="preserve">JUANILLO MINA JOHANA ANDREA</t>
  </si>
  <si>
    <t xml:space="preserve">CAICEDO VARGAS MAGALY</t>
  </si>
  <si>
    <t xml:space="preserve">MEZA MUÑETON MARIA CECILIA</t>
  </si>
  <si>
    <t xml:space="preserve">PORTILLA JARAMILLO MARIA ANGELICA</t>
  </si>
  <si>
    <t xml:space="preserve">VILLADA ALVAREZ MIYERLAY</t>
  </si>
  <si>
    <t xml:space="preserve">AGUIRRE CORTES JULIETH KATHERINE</t>
  </si>
  <si>
    <t xml:space="preserve">MARTINEZ TORRES DIANA MARCELA</t>
  </si>
  <si>
    <t xml:space="preserve">ANCHICO PAZ CARMENZA</t>
  </si>
  <si>
    <t xml:space="preserve">ENDO CANO DAIRA FERNANDA</t>
  </si>
  <si>
    <t xml:space="preserve">CISNEROS MUÑOZ LEIDI JOHANNA</t>
  </si>
  <si>
    <t xml:space="preserve">CARDONA CASTAÑO ALBERTO HAROLD</t>
  </si>
  <si>
    <t xml:space="preserve">LONDOÑO HERNANDEZ ROBERTH ANDRES</t>
  </si>
  <si>
    <t xml:space="preserve">SANCHEZ AVELLANEDA GLORIA PATRICIA</t>
  </si>
  <si>
    <t xml:space="preserve">LANDAZURY CASANOVA CRUZ MALEIDA</t>
  </si>
  <si>
    <t xml:space="preserve">ZAPATA MULATO NURLEYI</t>
  </si>
  <si>
    <t xml:space="preserve">GARCES DURAN DANIEL ENRIQUE</t>
  </si>
  <si>
    <t xml:space="preserve">GALEANO ASTUDILLO YERALDIN</t>
  </si>
  <si>
    <t xml:space="preserve">TRUJILLO ZUÑIGA LINA MARIA</t>
  </si>
  <si>
    <t xml:space="preserve">GIRON CAMPOS BRYHAN EDUARDO</t>
  </si>
  <si>
    <t xml:space="preserve">GUTIERREZ PRADO MARCELA</t>
  </si>
  <si>
    <t xml:space="preserve">OSORIO CARDONA MIYERLAY</t>
  </si>
  <si>
    <t xml:space="preserve">AVENDAÑO BARRANCO YENIRETH SASTITH</t>
  </si>
  <si>
    <t xml:space="preserve">LOPEZ DUQUE SIRLEY DAYANA</t>
  </si>
  <si>
    <t xml:space="preserve">WALDO ARENAS KELLY JHOJARY</t>
  </si>
  <si>
    <t xml:space="preserve">RODRIGUEZ GUEVARA CAROL STEFANNY</t>
  </si>
  <si>
    <t xml:space="preserve">CASTRO GOMEZ CAROLINA</t>
  </si>
  <si>
    <t xml:space="preserve">VASQUEZ RAMIREZ ALEXANDRA</t>
  </si>
  <si>
    <t xml:space="preserve">CORREA GONZALEZ CAROLINA</t>
  </si>
  <si>
    <t xml:space="preserve">RODRIGUEZ ALMARIO JULLY PAULIN</t>
  </si>
  <si>
    <t xml:space="preserve">CABEZAS ESTERILLA LEYDI JOHANNA</t>
  </si>
  <si>
    <t xml:space="preserve">JURADO ALVAREZ JISELL SAMANDA</t>
  </si>
  <si>
    <t xml:space="preserve">COLLAZOS PIEDRAHITA MIRYAM ESTELLA</t>
  </si>
  <si>
    <t xml:space="preserve">VERGARA SOLANO STEPHANIA</t>
  </si>
  <si>
    <t xml:space="preserve">VILLA GALBAN JAQUELINE</t>
  </si>
  <si>
    <t xml:space="preserve">GARCIA MONTERO LINA MARCELA</t>
  </si>
  <si>
    <t xml:space="preserve">TORRES GONZALEZ ANGI CAROLINA</t>
  </si>
  <si>
    <t xml:space="preserve">ARBOLEDA CRIOLLO CINDY DAHIANA</t>
  </si>
  <si>
    <t xml:space="preserve">LEAL REYES FRANCY ELENA</t>
  </si>
  <si>
    <t xml:space="preserve">BRAVO AMAYA SUSANA</t>
  </si>
  <si>
    <t xml:space="preserve">ESCOBAR  LEIDY JOHANA</t>
  </si>
  <si>
    <t xml:space="preserve">DIAZ HERNANDEZ MARLIN ELVIRA</t>
  </si>
  <si>
    <t xml:space="preserve">ESQUIVEL CHAVEZ BRYAM ALEJANDRO</t>
  </si>
  <si>
    <t xml:space="preserve">OJEDA ORDOÑEZ KENEDY</t>
  </si>
  <si>
    <t xml:space="preserve">CEBALLOS CAMACHO LINA KARIME</t>
  </si>
  <si>
    <t xml:space="preserve">CANTILLO DUEÑAS ELIECER ANTONIO</t>
  </si>
  <si>
    <t xml:space="preserve">MORENO BRITO VALERIA</t>
  </si>
  <si>
    <t xml:space="preserve">ALVAREZ BEDOYA WILSON FABIAN</t>
  </si>
  <si>
    <t xml:space="preserve">GOMEZ GARCIA MANUEL ALEJANDRO</t>
  </si>
  <si>
    <t xml:space="preserve">ROMERO ARENAS KATERINE</t>
  </si>
  <si>
    <t xml:space="preserve">ROSAS PALOMINO CLAUDIA NATHALY</t>
  </si>
  <si>
    <t xml:space="preserve">RAMIREZ MONTOYA PAOLA ALEJANDRA</t>
  </si>
  <si>
    <t xml:space="preserve">PRADO RODRIGUEZ ANA MARIA</t>
  </si>
  <si>
    <t xml:space="preserve">MARTINEZ POSADA KAREN PATRICIA</t>
  </si>
  <si>
    <t xml:space="preserve">OREJUELA ARTEAGA DANIELA FERNANDA</t>
  </si>
  <si>
    <t xml:space="preserve">LINARES ORTIZ TATIANA</t>
  </si>
  <si>
    <t xml:space="preserve">RODRIGUEZ GONZALEZ ISAGLEIDYS DEL AMPARO</t>
  </si>
  <si>
    <t xml:space="preserve">VASQUEZ ROMERO YASURY</t>
  </si>
  <si>
    <t xml:space="preserve">CARDONA PEÑA BIBIANA PATRICIA</t>
  </si>
  <si>
    <t xml:space="preserve">GRANADA RAMIREZ JUAN CAMILO</t>
  </si>
  <si>
    <t xml:space="preserve">ÑUSTES ARAGON ANA MERCEDES</t>
  </si>
  <si>
    <t xml:space="preserve">TOMBE OSPINA ANDREA</t>
  </si>
  <si>
    <t xml:space="preserve">AGUIRRE CORTEZ DIANA CAROLINA</t>
  </si>
  <si>
    <t xml:space="preserve">VALENCIA ORDOÑEZ LUIS FERNANDO</t>
  </si>
  <si>
    <t xml:space="preserve">VITERI QUISCUALTUD LEIDY PATRICIA</t>
  </si>
  <si>
    <t xml:space="preserve">SANCHEZ VELEZ MARIA ISABEL</t>
  </si>
  <si>
    <t xml:space="preserve">BEJARANO BALANTA NATALIA</t>
  </si>
  <si>
    <t xml:space="preserve">VALOIS CRUZ SANDRA MILENA</t>
  </si>
  <si>
    <t xml:space="preserve">FLOREZ MONEDERO JENNY MARCELA</t>
  </si>
  <si>
    <t xml:space="preserve">VALENCIA CARABALI CHARLES WILLIAM</t>
  </si>
  <si>
    <t xml:space="preserve">LEON TAMAYO JAIRO</t>
  </si>
  <si>
    <t xml:space="preserve">ORDOÑEZ PALECHOR MARIO GENTIL</t>
  </si>
  <si>
    <t xml:space="preserve">BURBANO BOLAÑOS ALEXA YURLIETH</t>
  </si>
  <si>
    <t xml:space="preserve">FLOREZ MOLINA LEIDY KATERINE</t>
  </si>
  <si>
    <t xml:space="preserve">CALVO  ELIANA FERNANDA</t>
  </si>
  <si>
    <t xml:space="preserve">AGUIRRE CARMONA KATHERINE</t>
  </si>
  <si>
    <t xml:space="preserve">CASTRO MARIN ANA MARIA</t>
  </si>
  <si>
    <t xml:space="preserve">MUÑOZ ROJAS LIZETH KARIME</t>
  </si>
  <si>
    <t xml:space="preserve">GOMEZ MORALES KATHERINE</t>
  </si>
  <si>
    <t xml:space="preserve">PALACIOS SIERRA YAIRA MILENA</t>
  </si>
  <si>
    <t xml:space="preserve">BAHAMON URIBE DANIELA</t>
  </si>
  <si>
    <t xml:space="preserve">CAICEDO CAMPO DIANA CAROLINA</t>
  </si>
  <si>
    <t xml:space="preserve">FLOR DIAZ DIANA MARIA</t>
  </si>
  <si>
    <t xml:space="preserve">GUERRERO BOLAÑOS SARITA JULIE</t>
  </si>
  <si>
    <t xml:space="preserve">FIGUEROA SALCEDO JEFERSON</t>
  </si>
  <si>
    <t xml:space="preserve">HIDALGO GOMEZ DIANA MARIA</t>
  </si>
  <si>
    <t xml:space="preserve">AVILA PIAMBA BRAHYAN MAURICIO</t>
  </si>
  <si>
    <t xml:space="preserve">MEZU FIGUEROA VIVIAN LISET</t>
  </si>
  <si>
    <t xml:space="preserve">PAYAN MINA KARIN ALEJANDRA</t>
  </si>
  <si>
    <t xml:space="preserve">CARDENAS CARVAJAL KELLY JOHANA</t>
  </si>
  <si>
    <t xml:space="preserve">CISNEROS GARCIA MAYRA ALEJANDRA</t>
  </si>
  <si>
    <t xml:space="preserve">GARCIA ATOY ANDRES FELIPE</t>
  </si>
  <si>
    <t xml:space="preserve">MANRIQUE MOLINA JESSICA</t>
  </si>
  <si>
    <t xml:space="preserve">TORRES SOTO ANDRES FELIPE</t>
  </si>
  <si>
    <t xml:space="preserve">VARGAS MUÑOZ ALBA LUCIA</t>
  </si>
  <si>
    <t xml:space="preserve">MENA RODRIGUEZ LINA VANESSA</t>
  </si>
  <si>
    <t xml:space="preserve">RAMOS TENGANO NATALIA ANDREA</t>
  </si>
  <si>
    <t xml:space="preserve">FERNANDEZ MACIAS JOHAN CAMILO</t>
  </si>
  <si>
    <t xml:space="preserve">RIVERA RODRIGUEZ JENNIFER</t>
  </si>
  <si>
    <t xml:space="preserve">LLANTEN GRANDA DIANA MARCELA</t>
  </si>
  <si>
    <t xml:space="preserve">GALINDEZ PIPICANO INGRITH CAMILA</t>
  </si>
  <si>
    <t xml:space="preserve">BALANTA GARCIA ALVARO JAVIER</t>
  </si>
  <si>
    <t xml:space="preserve">MORENO VASQUEZ KARINA MARCELA</t>
  </si>
  <si>
    <t xml:space="preserve">LEON MOTATO MAIRA ALEJANDRA</t>
  </si>
  <si>
    <t xml:space="preserve">BANGUERO RODRIGUEZ ANA MARIA</t>
  </si>
  <si>
    <t xml:space="preserve">ALVARADO MOLINA TREICY MAYURI</t>
  </si>
  <si>
    <t xml:space="preserve">BENAVIDES NARVAEZ ANGIE MELISSA</t>
  </si>
  <si>
    <t xml:space="preserve">MERA ZUÑIGA SINDY ELIZABETH</t>
  </si>
  <si>
    <t xml:space="preserve">ZAMORA DIAZ CAROLINA</t>
  </si>
  <si>
    <t xml:space="preserve">LANDAZURI ARIAS ELIZABETH</t>
  </si>
  <si>
    <t xml:space="preserve">CASARAN CORTES KELLY JOHANA</t>
  </si>
  <si>
    <t xml:space="preserve">GUTIERREZ CALDERON DANIELA</t>
  </si>
  <si>
    <t xml:space="preserve">REYES PINEROS CLARA ELISA</t>
  </si>
  <si>
    <t xml:space="preserve">RUIZ PEREZ LUZ ELENA</t>
  </si>
  <si>
    <t xml:space="preserve">ESCOBAR PAZ NIDSON ANDRES</t>
  </si>
  <si>
    <t xml:space="preserve">LERMA SANCHEZ NARLY</t>
  </si>
  <si>
    <t xml:space="preserve">DIAZ MONTOYA DIEGO FERNANDO</t>
  </si>
  <si>
    <t xml:space="preserve">BARROS FONTALVO KARINA LUZ</t>
  </si>
  <si>
    <t xml:space="preserve">GOMEZ BENAVIDES NATHALIA MARCELA</t>
  </si>
  <si>
    <t xml:space="preserve">TORRES QUINTANA TATIANA</t>
  </si>
  <si>
    <t xml:space="preserve">GARCIA CASTAÑO JORGE ANDRES</t>
  </si>
  <si>
    <t xml:space="preserve">AGUADO CATAÑO ILCE VERONICA</t>
  </si>
  <si>
    <t xml:space="preserve">SILVA RUIZ CAROLINA</t>
  </si>
  <si>
    <t xml:space="preserve">RESTREPO TRUJILLO SHAKIRA ANDREA</t>
  </si>
  <si>
    <t xml:space="preserve">ZAPATA OROZCO SANDRA LORENA</t>
  </si>
  <si>
    <t xml:space="preserve">RAMOS LIZARAZO JORGE ELIECER</t>
  </si>
  <si>
    <t xml:space="preserve">MOSQUERA GAMBOA TATIANA</t>
  </si>
  <si>
    <t xml:space="preserve">CASTAÑEDA PATIÑO JENNIFER</t>
  </si>
  <si>
    <t xml:space="preserve">MARTINEZ ROLDAN MARIA PAULINA</t>
  </si>
  <si>
    <t xml:space="preserve">CABEZAS RINCON BEATRIZ CAROLINA</t>
  </si>
  <si>
    <t xml:space="preserve">RUIZ LOPEZ ERIKA YURANY</t>
  </si>
  <si>
    <t xml:space="preserve">MUÑOZ ANGULO ANA LUCIA</t>
  </si>
  <si>
    <t xml:space="preserve">LONDOÑO ECHEVERRY CAROLINA</t>
  </si>
  <si>
    <t xml:space="preserve">YEPES GONZALEZ BRENDA VANESSA</t>
  </si>
  <si>
    <t xml:space="preserve">MESA OLMOS DANNA GISELA</t>
  </si>
  <si>
    <t xml:space="preserve">BALANTA BARONA JHON GENNER</t>
  </si>
  <si>
    <t xml:space="preserve">SIERRA POLO ISABELLA</t>
  </si>
  <si>
    <t xml:space="preserve">BERMUDEZ GUTIERREZ VALENTINA</t>
  </si>
  <si>
    <t xml:space="preserve">HURTADO GRANJA ANGELICA MARIA</t>
  </si>
  <si>
    <t xml:space="preserve">CASTILLO OSORIO SEBASTIAN</t>
  </si>
  <si>
    <t xml:space="preserve">VARGAS AZCARATE NATHALIA ANDREA</t>
  </si>
  <si>
    <t xml:space="preserve">MORALES TORO ROSMERY</t>
  </si>
  <si>
    <t xml:space="preserve">BARNEY OROZCO HINGRI JOVANA</t>
  </si>
  <si>
    <t xml:space="preserve">MEDINA LOZANO YULIANA</t>
  </si>
  <si>
    <t xml:space="preserve">QUINTERO VALDEZ LIZETH</t>
  </si>
  <si>
    <t xml:space="preserve">ARROYO FLOREZ KIMBERLY</t>
  </si>
  <si>
    <t xml:space="preserve">VIVEROS VIAFARA JHAN CAMILO</t>
  </si>
  <si>
    <t xml:space="preserve">CAMBINDO GONZALEZ ANGELY YISETH</t>
  </si>
  <si>
    <t xml:space="preserve">CAPERA ROJAS CAROLINA</t>
  </si>
  <si>
    <t xml:space="preserve">GUERRERO VALLEJO LEYDI JOHANNA</t>
  </si>
  <si>
    <t xml:space="preserve">HINESTROZA GAMBOA CELIMO</t>
  </si>
  <si>
    <t xml:space="preserve">FLOREZ CHAUX JOHN STIVEN</t>
  </si>
  <si>
    <t xml:space="preserve">CHANGO RESTREPO BRAYAN STIVEN</t>
  </si>
  <si>
    <t xml:space="preserve">BARCENAS ENRIQUEZ INGRID LORENA</t>
  </si>
  <si>
    <t xml:space="preserve">GARCIA VENTE MARLYN SOCORRO</t>
  </si>
  <si>
    <t xml:space="preserve">RODRIGUEZ  YUDY YANETH</t>
  </si>
  <si>
    <t xml:space="preserve">VILLALOBOS TORIJANO NATALIA ANDREA</t>
  </si>
  <si>
    <t xml:space="preserve">JIMENEZ CRUZ XIOMARA</t>
  </si>
  <si>
    <t xml:space="preserve">DUEÑAS CASTILLO SEBASTIAN</t>
  </si>
  <si>
    <t xml:space="preserve">CALDERON LADINO MARIA CONSTANZA</t>
  </si>
  <si>
    <t xml:space="preserve">GONZALEZ BUSTAMANTE VERONICA</t>
  </si>
  <si>
    <t xml:space="preserve">OROZCO GUZMAN DANIELA</t>
  </si>
  <si>
    <t xml:space="preserve">GIRALDO SALAZAR LEIDY LORENA</t>
  </si>
  <si>
    <t xml:space="preserve">VILLANO REYES ANDRES FELIPE</t>
  </si>
  <si>
    <t xml:space="preserve">OCHOA RIOS SANDRA SILVANA</t>
  </si>
  <si>
    <t xml:space="preserve">TABORDA CARRILLO DIANA ALEXANDRA</t>
  </si>
  <si>
    <t xml:space="preserve">VILLANUEVA SECUE EDWARD ANDRES</t>
  </si>
  <si>
    <t xml:space="preserve">ZULUAGA GIRALDO JUAN CAMILO</t>
  </si>
  <si>
    <t xml:space="preserve">ROSADA SOLARTE DANIELA</t>
  </si>
  <si>
    <t xml:space="preserve">VALENCIA OSPINA FERNANDA</t>
  </si>
  <si>
    <t xml:space="preserve">RAMIREZ MORALES MARLENE</t>
  </si>
  <si>
    <t xml:space="preserve">ROSERO CHAVEZ SANDRA LILIVET</t>
  </si>
  <si>
    <t xml:space="preserve">PEÑA RODRIGUEZ JUANITA LOREN</t>
  </si>
  <si>
    <t xml:space="preserve">CLAVIJO GUTIERREZ BIBIANA</t>
  </si>
  <si>
    <t xml:space="preserve">SANDOVAL MUÑOZ MABEL YOJANA</t>
  </si>
  <si>
    <t xml:space="preserve">DIAZ ANACONA ALEJANDRA</t>
  </si>
  <si>
    <t xml:space="preserve">ARISTIZABAL MEDINA JOHAN ANDERSON</t>
  </si>
  <si>
    <t xml:space="preserve">LARGO MONTOYA LUZ ANGELA</t>
  </si>
  <si>
    <t xml:space="preserve">LONDOÑO LOPEZ PAOLA ANDREA</t>
  </si>
  <si>
    <t xml:space="preserve">DIAZ ARAGON KAROL YESENIA</t>
  </si>
  <si>
    <t xml:space="preserve">CRUZ MANZANO CAROLINA</t>
  </si>
  <si>
    <t xml:space="preserve">NAVARRETE OLIVA VANESSA</t>
  </si>
  <si>
    <t xml:space="preserve">OLMOS MONDRAGON JEIMMY ESTEFANY</t>
  </si>
  <si>
    <t xml:space="preserve">CHAVARRIAGA CARDONA CAROLINA</t>
  </si>
  <si>
    <t xml:space="preserve">GIRALDO VALENCIA CRISTHIAN FERNANDO</t>
  </si>
  <si>
    <t xml:space="preserve">ULABARRY  KEVIN ALEXANDER</t>
  </si>
  <si>
    <t xml:space="preserve">LUCUMI PERLAZA GLORIA IVONNE</t>
  </si>
  <si>
    <t xml:space="preserve">LINDO SANCLEMENTE JULIANA ALEJANDRA</t>
  </si>
  <si>
    <t xml:space="preserve">COLORADO USMA HEISLY MARCELA</t>
  </si>
  <si>
    <t xml:space="preserve">SANCHEZ MORALES JULIANA ISABEL</t>
  </si>
  <si>
    <t xml:space="preserve">COLLAZOS BARRIOS ISABELLA</t>
  </si>
  <si>
    <t xml:space="preserve">ORDOÑEZ GONZALEZ YISETH FERNANDA</t>
  </si>
  <si>
    <t xml:space="preserve">YEPES GARCIA PATRICIA</t>
  </si>
  <si>
    <t xml:space="preserve">OSORIO MURILLO KAREN NATALIA</t>
  </si>
  <si>
    <t xml:space="preserve">ACOSTA ROSALES ALEJANDRA</t>
  </si>
  <si>
    <t xml:space="preserve">MONDRAGON CASTILLO FAISURY</t>
  </si>
  <si>
    <t xml:space="preserve">RODRIGUEZ GARCIA ADRIANA MARCELA</t>
  </si>
  <si>
    <t xml:space="preserve">TORRES BENAVIDES VILEIDY DAYANA</t>
  </si>
  <si>
    <t xml:space="preserve">MEJIA MONTES CLAUDIA LORENA</t>
  </si>
  <si>
    <t xml:space="preserve">SANCHEZ BOLIVAR LUISA FERNANDA</t>
  </si>
  <si>
    <t xml:space="preserve">PIZARA HOLGUIN BREINER ALEJANDRO</t>
  </si>
  <si>
    <t xml:space="preserve">NARVAEZ JIMENEZ JUAN CARLOS</t>
  </si>
  <si>
    <t xml:space="preserve">OSPINA VIVEROS ANYI CRISTINA</t>
  </si>
  <si>
    <t xml:space="preserve">GUERRERO JUNCO ALEJANDRA</t>
  </si>
  <si>
    <t xml:space="preserve">ARCE MARIN YEFERZON</t>
  </si>
  <si>
    <t xml:space="preserve">CERON ZUÑIGA DEISY ALEXANDRA</t>
  </si>
  <si>
    <t xml:space="preserve">LONDOÑO SANCHEZ DIEGO FERNANDO</t>
  </si>
  <si>
    <t xml:space="preserve">SALINAS RENGIFO NORMA ALEXANDRA</t>
  </si>
  <si>
    <t xml:space="preserve">OCAMPO TALAGA YULI VIVIANA</t>
  </si>
  <si>
    <t xml:space="preserve">CASTILLO ORTIZ DIANA MARCELA</t>
  </si>
  <si>
    <t xml:space="preserve">BECERRA NIETO KATHERINE</t>
  </si>
  <si>
    <t xml:space="preserve">BASANTE ERAZO SANDRA IRENE</t>
  </si>
  <si>
    <t xml:space="preserve">MARQUEZ SILVA DANIELA</t>
  </si>
  <si>
    <t xml:space="preserve">GUERRERO ROSERO JESUS ORLANDO</t>
  </si>
  <si>
    <t xml:space="preserve">VERDUGO RUIZ LEIDY CAROLINA</t>
  </si>
  <si>
    <t xml:space="preserve">CASTRILLON TOBON JOHAN SEBASTIAN</t>
  </si>
  <si>
    <t xml:space="preserve">AGUIRRE TORRES ELIANA FERNANDA</t>
  </si>
  <si>
    <t xml:space="preserve">PADILLA BETANCOURT CARLA JIMENA</t>
  </si>
  <si>
    <t xml:space="preserve">MORALES CARABALI KAROL MICHELL</t>
  </si>
  <si>
    <t xml:space="preserve">PAPAMIJA DELGADO LUZ ADRIANA</t>
  </si>
  <si>
    <t xml:space="preserve">OSSA SINISTERRA DIANA RUBY</t>
  </si>
  <si>
    <t xml:space="preserve">GONZALEZ MONTENEGRO DUVAN CAMILO</t>
  </si>
  <si>
    <t xml:space="preserve">PECHENE QUINCHIA CONSUELO LISETH</t>
  </si>
  <si>
    <t xml:space="preserve">VALENCIA CARDONA YURANI ANDREA</t>
  </si>
  <si>
    <t xml:space="preserve">RAMIREZ CHAVES ANGELA MARIA</t>
  </si>
  <si>
    <t xml:space="preserve">MARTINEZ GUZMAN DIEGO ANDRES</t>
  </si>
  <si>
    <t xml:space="preserve">PADILLA FAJARDO LINA ISABEL</t>
  </si>
  <si>
    <t xml:space="preserve">VIDAL LOPEZ YULIANA</t>
  </si>
  <si>
    <t xml:space="preserve">SALCEDO RODRIGUEZ NATHALIA</t>
  </si>
  <si>
    <t xml:space="preserve">RODAS MUÑOZ LUISA FERNANDA</t>
  </si>
  <si>
    <t xml:space="preserve">MENZA TRIANA LISBET TATIANA</t>
  </si>
  <si>
    <t xml:space="preserve">OVIEDO ROSERO LEIDY TATIANA</t>
  </si>
  <si>
    <t xml:space="preserve">HURTADO MONTOYA DIANA MARCELA</t>
  </si>
  <si>
    <t xml:space="preserve">HUERTAS CAÑIZARES KAROL JULIANA</t>
  </si>
  <si>
    <t xml:space="preserve">PALOMEQUE JIMENEZ LINA MARCELA</t>
  </si>
  <si>
    <t xml:space="preserve">JIMENEZ VIVAS JORGE DAVID</t>
  </si>
  <si>
    <t xml:space="preserve">ROMERO CHAMORRO ALVARO FERNANDO</t>
  </si>
  <si>
    <t xml:space="preserve">MOSQUERA SERRANO MALLY SHIRLEY</t>
  </si>
  <si>
    <t xml:space="preserve">BEDOYA GARCIA JULY ALEJANDRA</t>
  </si>
  <si>
    <t xml:space="preserve">RIOS VERGARA DINA LIRIS</t>
  </si>
  <si>
    <t xml:space="preserve">GARCES POLO SIGNEY DEL PILAR</t>
  </si>
  <si>
    <t xml:space="preserve">CORTES CORTES LENIS VALENTINA</t>
  </si>
  <si>
    <t xml:space="preserve">ALBAN CASTRO GUIOVANNA</t>
  </si>
  <si>
    <t xml:space="preserve">PRADA RIOS SERGIO IVAN</t>
  </si>
  <si>
    <t xml:space="preserve">CASTRO SAYA YASNEIRA</t>
  </si>
  <si>
    <t xml:space="preserve">ARTUNDUAGA QUIÑONES SOFIA</t>
  </si>
  <si>
    <t xml:space="preserve">GUTIERREZ GARCIA DIANA ZULEIMA</t>
  </si>
  <si>
    <t xml:space="preserve">LONDOÑO OVIEDO KELYN ANDREA</t>
  </si>
  <si>
    <t xml:space="preserve">GARCIA MORALES CAROLINA</t>
  </si>
  <si>
    <t xml:space="preserve">RIVERA FLOREZ ANGIE YULETH</t>
  </si>
  <si>
    <t xml:space="preserve">OBANDO VALENCIA ANGELA XILENE</t>
  </si>
  <si>
    <t xml:space="preserve">SOLIZ ORTIZ MELISSA</t>
  </si>
  <si>
    <t xml:space="preserve">ALVAREZ DORADO GLORIA LIZETH</t>
  </si>
  <si>
    <t xml:space="preserve">ORTIZ CASTILLO WASHINGTON ALEXANDER</t>
  </si>
  <si>
    <t xml:space="preserve">CASTAÑEDA GRANDA DIANA CAROLINA</t>
  </si>
  <si>
    <t xml:space="preserve">RAMIREZ ALZATE PAULA ANDREA</t>
  </si>
  <si>
    <t xml:space="preserve">PEREZ MAMIAN ANDRES FELIPE</t>
  </si>
  <si>
    <t xml:space="preserve">CASANOVA NOGUERA MABEL OFELIA</t>
  </si>
  <si>
    <t xml:space="preserve">RAMOS GENES MARIA JOSE</t>
  </si>
  <si>
    <t xml:space="preserve">GIL MONTILLA IVONNY</t>
  </si>
  <si>
    <t xml:space="preserve">SUAREZ TUQUERRES MANUEL ALEJANDRO</t>
  </si>
  <si>
    <t xml:space="preserve">VALENCIA GOMEZ ANGELA MARIA</t>
  </si>
  <si>
    <t xml:space="preserve">LOPEZ CASTAÑO EVA MARIA</t>
  </si>
  <si>
    <t xml:space="preserve">GONZALEZ ESCOBAR LILIANA</t>
  </si>
  <si>
    <t xml:space="preserve">BERMUDEZ TEJADA XIMENA ALEJANDRA</t>
  </si>
  <si>
    <t xml:space="preserve">MERA ROSERO ANGELICA MARIA</t>
  </si>
  <si>
    <t xml:space="preserve">VILLANUEVA MEDINA LEIDY JOHANA</t>
  </si>
  <si>
    <t xml:space="preserve">SASTOQUE ORTIZ MARY YULIETH</t>
  </si>
  <si>
    <t xml:space="preserve">TORRES OROZCO ADRIANA MAYERLY</t>
  </si>
  <si>
    <t xml:space="preserve">AGREDO GARCIA MAYRA SUSANA</t>
  </si>
  <si>
    <t xml:space="preserve">JARAMILLO CARDONA SANTIAGO</t>
  </si>
  <si>
    <t xml:space="preserve">HOLGUIN CARVAJAL JOHANA</t>
  </si>
  <si>
    <t xml:space="preserve">SOLARTE ORDOÑEZ INGRID NATALIA</t>
  </si>
  <si>
    <t xml:space="preserve">LONDOÑO AREVALO ANA BOLENA</t>
  </si>
  <si>
    <t xml:space="preserve">MORALES ANTOLINEZ JOAN STIVEN</t>
  </si>
  <si>
    <t xml:space="preserve">VACA BENAVIDES MARCELA</t>
  </si>
  <si>
    <t xml:space="preserve">OLAYA TRUJILLO NANCY YIRLEI</t>
  </si>
  <si>
    <t xml:space="preserve">DIAZ JOAQUI JAZMIN</t>
  </si>
  <si>
    <t xml:space="preserve">MINA LOPEZ LEIDY JOHANA</t>
  </si>
  <si>
    <t xml:space="preserve">OSORIO NIETO LINA MARIA</t>
  </si>
  <si>
    <t xml:space="preserve">ESCOBAR DAGUA INGRID YELIANE</t>
  </si>
  <si>
    <t xml:space="preserve">OCONTO MARULANDA KAREN</t>
  </si>
  <si>
    <t xml:space="preserve">LUCUMI CORTES BETSSY TATIANA</t>
  </si>
  <si>
    <t xml:space="preserve">CARDONA MONTOYA TIFFANY MICHELEE</t>
  </si>
  <si>
    <t xml:space="preserve">NARANJO PELAEZ SANDRA XIMENA</t>
  </si>
  <si>
    <t xml:space="preserve">GAVIRIA VALDERRAMA GABRIEL</t>
  </si>
  <si>
    <t xml:space="preserve">DOMINGUEZ VERA EVELIN</t>
  </si>
  <si>
    <t xml:space="preserve">VELEZ ARANA YAMILETH</t>
  </si>
  <si>
    <t xml:space="preserve">SOLIS DIAZ PAOLA ANDREA</t>
  </si>
  <si>
    <t xml:space="preserve">VIDAL CASTAÑEDA LICETH ADRIANA</t>
  </si>
  <si>
    <t xml:space="preserve">URREA PAJA VALENTINA</t>
  </si>
  <si>
    <t xml:space="preserve">CARVAJAL CARDONE VALENTINA</t>
  </si>
  <si>
    <t xml:space="preserve">CLAVIJO FORERO DANIELA FERNANDA</t>
  </si>
  <si>
    <t xml:space="preserve">QUENORAN LOPEZ NATALIA ANDREA</t>
  </si>
  <si>
    <t xml:space="preserve">CULTID PIRATEQUE ELIZABETH</t>
  </si>
  <si>
    <t xml:space="preserve">GOMEZ LEIVA CHRISTIAN CAMILO</t>
  </si>
  <si>
    <t xml:space="preserve">MANCILLA BEDON DAVID FERNANDO</t>
  </si>
  <si>
    <t xml:space="preserve">CAMPO JIMENEZ LUIS EDUARDO</t>
  </si>
  <si>
    <t xml:space="preserve">MENESES ARCILA MARIA FERNANDA</t>
  </si>
  <si>
    <t xml:space="preserve">MARULANDA PARRA LINA MARIA</t>
  </si>
  <si>
    <t xml:space="preserve">CASTRO RESTREPO KAROLINA</t>
  </si>
  <si>
    <t xml:space="preserve">VELASCO CARBONERO ANDRES FELIPE</t>
  </si>
  <si>
    <t xml:space="preserve">CARCAMO HERNANDEZ PAOLA JOHANA</t>
  </si>
  <si>
    <t xml:space="preserve">ECHEVERRY ROJAS SANDRA VEIRA</t>
  </si>
  <si>
    <t xml:space="preserve">URREGO OSPINA ANLLY TATIANA</t>
  </si>
  <si>
    <t xml:space="preserve">VALLEJO LASSO KARLEN CECILIA</t>
  </si>
  <si>
    <t xml:space="preserve">PARRA HURTADO JUAN CARLOS</t>
  </si>
  <si>
    <t xml:space="preserve">CAICEDO SINISTERRA CLARIVEL</t>
  </si>
  <si>
    <t xml:space="preserve">LUNA GONZALEZ MARELVI MARIA</t>
  </si>
  <si>
    <t xml:space="preserve">SOLIS SOTOMAYOR YISETH MARCELA</t>
  </si>
  <si>
    <t xml:space="preserve">CORTES MOLINA LEYDI VANESSA</t>
  </si>
  <si>
    <t xml:space="preserve">VIDAL SERRANO GEIDY XIOMARA</t>
  </si>
  <si>
    <t xml:space="preserve">HURTADO GARCIA LEIDY VIVIANA</t>
  </si>
  <si>
    <t xml:space="preserve">MORA LOBOA RUBY MARICELA</t>
  </si>
  <si>
    <t xml:space="preserve">SOLARTE LOPEZ LINA GUISELLA</t>
  </si>
  <si>
    <t xml:space="preserve">IBARRA CARABALI YANELY</t>
  </si>
  <si>
    <t xml:space="preserve">LOZANO CUASPA KAREN YULIETH</t>
  </si>
  <si>
    <t xml:space="preserve">VELEZ VALENCIA PABLO ALEJANDRO</t>
  </si>
  <si>
    <t xml:space="preserve">ROJO CASTILLO YULY MARCELA</t>
  </si>
  <si>
    <t xml:space="preserve">LOPEZ AGUIRRE SAMUEL DAVID</t>
  </si>
  <si>
    <t xml:space="preserve">VALENCIA GALLEGO SHARON DISNEY</t>
  </si>
  <si>
    <t xml:space="preserve">TOBAR SAAVEDRA MARIA CAMILA</t>
  </si>
  <si>
    <t xml:space="preserve">ZUÑIGA OLAVE MARIA ALEJANDRA</t>
  </si>
  <si>
    <t xml:space="preserve">CUMBE TORRES ANGELICA MARIA</t>
  </si>
  <si>
    <t xml:space="preserve">ROMERO TAFUR ANYELA VIVIANA</t>
  </si>
  <si>
    <t xml:space="preserve">MARIN CORRALES LEYDI KATHERYN</t>
  </si>
  <si>
    <t xml:space="preserve">ORTIZ ESCARPETA JULIAN</t>
  </si>
  <si>
    <t xml:space="preserve">MUÑOZ MARTINEZ DEISY DANIELA</t>
  </si>
  <si>
    <t xml:space="preserve">RODRIGUEZ GUTIERREZ PAOLA ANDREA</t>
  </si>
  <si>
    <t xml:space="preserve">AGUIRRE JIMENEZ WINDY JULIETH</t>
  </si>
  <si>
    <t xml:space="preserve">CARABALI CAICEDO MAYRA JOHANA</t>
  </si>
  <si>
    <t xml:space="preserve">HERRERA MOLINA LEIDY ALEXANDRA</t>
  </si>
  <si>
    <t xml:space="preserve">PAREDES GUACA MARY LUZ</t>
  </si>
  <si>
    <t xml:space="preserve">PARRA ARTUNDUAGA ANDREA ESTEFANIA</t>
  </si>
  <si>
    <t xml:space="preserve">SALAZAR FAJARDO LICETH CATHERINE</t>
  </si>
  <si>
    <t xml:space="preserve">BERMUDEZ ARROYO ESTEFHANY</t>
  </si>
  <si>
    <t xml:space="preserve">LONDOÑO PIÑEROS NATHALIA</t>
  </si>
  <si>
    <t xml:space="preserve">MARMOLEJO CASAÑAS ALEXANDER</t>
  </si>
  <si>
    <t xml:space="preserve">CHILITO LENIS GEISON RODRIGO</t>
  </si>
  <si>
    <t xml:space="preserve">VILLAMIL CARDONA ANDRES FERNANDO</t>
  </si>
  <si>
    <t xml:space="preserve">RUIZ RUIZ PAOLA ANDREA</t>
  </si>
  <si>
    <t xml:space="preserve">ANGEL GOMEZ HELLEN DANIELA</t>
  </si>
  <si>
    <t xml:space="preserve">DIAZ HERRERA LAURA</t>
  </si>
  <si>
    <t xml:space="preserve">LOZANO CEBALLOS BRYAN STEVEN</t>
  </si>
  <si>
    <t xml:space="preserve">TELLO CARVAJAL KATERYN DAYANA</t>
  </si>
  <si>
    <t xml:space="preserve">MERA CASTRO ANYI ANDREA</t>
  </si>
  <si>
    <t xml:space="preserve">FLECHAS GUZMÁN JESSICA LORENA</t>
  </si>
  <si>
    <t xml:space="preserve">COLLAZOS AGUIRRE MABEL FERNANDA</t>
  </si>
  <si>
    <t xml:space="preserve">GALLO ARIAS WILDER ANDREDI</t>
  </si>
  <si>
    <t xml:space="preserve">ZUÑIGA  LOPEZ DIEGO FERNANDO</t>
  </si>
  <si>
    <t xml:space="preserve">JIMENEZ TIMANA BRAYAN ALEJANDRO</t>
  </si>
  <si>
    <t xml:space="preserve">PALOMAR TRUJILLO JHON ALEXANDER</t>
  </si>
  <si>
    <t xml:space="preserve">IDROBO MERCHANCANO ANGIE CAROLINA</t>
  </si>
  <si>
    <t xml:space="preserve">RUIZ VALENCIA ANYELA MARCELA</t>
  </si>
  <si>
    <t xml:space="preserve">QUIGUA SERNA ANGIE VALENTINA</t>
  </si>
  <si>
    <t xml:space="preserve">OCAMPO GARCIA MARIA CAMILA</t>
  </si>
  <si>
    <t xml:space="preserve">GONZALEZ RODRIGUEZ YAZMIN</t>
  </si>
  <si>
    <t xml:space="preserve">FAJARDO VALDES MARITZA YULIANA</t>
  </si>
  <si>
    <t xml:space="preserve">GUEVARA MENDOZA MARIA FERNANDA</t>
  </si>
  <si>
    <t xml:space="preserve">GARCIA HERNANDEZ JESSICA BEATRIZ</t>
  </si>
  <si>
    <t xml:space="preserve">OSORIO BETANCURT INGRID MARISEL</t>
  </si>
  <si>
    <t xml:space="preserve">DIAZ CASTRO MARLLY CAROLINA</t>
  </si>
  <si>
    <t xml:space="preserve">VALENCIA OME YUDY PATRICIA</t>
  </si>
  <si>
    <t xml:space="preserve">CASTAÑO CHAVEZ LEYDI JOHANA</t>
  </si>
  <si>
    <t xml:space="preserve">BENJUMEA  GRUESSO DANIELA</t>
  </si>
  <si>
    <t xml:space="preserve">SALAZAR IDROBO LAURA DANIELA</t>
  </si>
  <si>
    <t xml:space="preserve">VELASQUEZ GIL LAYDI JOCELYNN</t>
  </si>
  <si>
    <t xml:space="preserve">SOLORZANO TABARES CINDY JOHANNA</t>
  </si>
  <si>
    <t xml:space="preserve">MARIN CRUZ SANDRA ESTEFANIA</t>
  </si>
  <si>
    <t xml:space="preserve">GIRALDO NIETO CLAUDIA YINETH</t>
  </si>
  <si>
    <t xml:space="preserve">CORTES DAVID JAILENE DANIELA</t>
  </si>
  <si>
    <t xml:space="preserve">ARANGO NARVAEZ OSCAR EDUARDO</t>
  </si>
  <si>
    <t xml:space="preserve">ESLAVA AMU ANYELA FERNANDA</t>
  </si>
  <si>
    <t xml:space="preserve">GARCIA ROBLES ALEXANDRA</t>
  </si>
  <si>
    <t xml:space="preserve">PEREIRA GOMEZ CHRISTIAN LEONARDO</t>
  </si>
  <si>
    <t xml:space="preserve">GARCIA LUCUMI SARA LIZETH</t>
  </si>
  <si>
    <t xml:space="preserve">MORA CORDOBA GIOVANNY</t>
  </si>
  <si>
    <t xml:space="preserve">VELASCO OLANO CINDY LORENA</t>
  </si>
  <si>
    <t xml:space="preserve">REINOSA  CLAUDIA MARCELA</t>
  </si>
  <si>
    <t xml:space="preserve">MANCILLA LERMA YENDY ROCIO</t>
  </si>
  <si>
    <t xml:space="preserve">ARRIETA YUCUMA ANDRES FELIPE</t>
  </si>
  <si>
    <t xml:space="preserve">HURTADO POMEO DANNA MARCELA</t>
  </si>
  <si>
    <t xml:space="preserve">LOPEZ HINCAPIE ERIKA JOHANA</t>
  </si>
  <si>
    <t xml:space="preserve">TABORDA AREVALO CARLOS ARIEL</t>
  </si>
  <si>
    <t xml:space="preserve">MUÑOZ MANZANAREZ MONICA ROSARIO</t>
  </si>
  <si>
    <t xml:space="preserve">MERCADO TOBIAS ANA CAROLINA</t>
  </si>
  <si>
    <t xml:space="preserve">MOZO COLORADO YENNY YANETH</t>
  </si>
  <si>
    <t xml:space="preserve">GARCIA VERA JESSICA</t>
  </si>
  <si>
    <t xml:space="preserve">MICOLTA SOLARTE LIZETH VIVIANA</t>
  </si>
  <si>
    <t xml:space="preserve">DIAZ OLMOS LINA MARCELA</t>
  </si>
  <si>
    <t xml:space="preserve">MURILLO CASTAÑEDA LIZETH</t>
  </si>
  <si>
    <t xml:space="preserve">LANDAZURI VIVEROS CAROL LIZETH</t>
  </si>
  <si>
    <t xml:space="preserve">GARCIA LARA MARIO</t>
  </si>
  <si>
    <t xml:space="preserve">RINCON VILLARREAL LUZ STELLA</t>
  </si>
  <si>
    <t xml:space="preserve">RAMIREZ VALENCIA MARIA DEL MAR</t>
  </si>
  <si>
    <t xml:space="preserve">ORTIZ TENORIO PAULO ROBERTO</t>
  </si>
  <si>
    <t xml:space="preserve">VARGAS MARQUEZ MONICA TATIANA</t>
  </si>
  <si>
    <t xml:space="preserve">ALVARADO CALLEJAS NANCY ANGELICA</t>
  </si>
  <si>
    <t xml:space="preserve">LONDOÑO LEITON ANGIE DANIELA</t>
  </si>
  <si>
    <t xml:space="preserve">PRECIADO HENAO ISABEL CRISTINA</t>
  </si>
  <si>
    <t xml:space="preserve">CAICEDO CASTILLO KELLY</t>
  </si>
  <si>
    <t xml:space="preserve">CUESTA HURTADO NUBIA SARAY</t>
  </si>
  <si>
    <t xml:space="preserve">MELO MUÑOZ YURLEY DAYANA</t>
  </si>
  <si>
    <t xml:space="preserve">LUCUMI CARABALI SINDY LORENA</t>
  </si>
  <si>
    <t xml:space="preserve">RAMOS SERNA SANDRA LORENA</t>
  </si>
  <si>
    <t xml:space="preserve">RODRIGUEZ ESCOBAR DILAN JEREMY</t>
  </si>
  <si>
    <t xml:space="preserve">MAYA SOLANO MARIA DEL MAR</t>
  </si>
  <si>
    <t xml:space="preserve">COLORADO OCORO MAYRA ALEJANDRA</t>
  </si>
  <si>
    <t xml:space="preserve">GARZON GUERRERO ALEJANDRA</t>
  </si>
  <si>
    <t xml:space="preserve">DIAZ GUTIERREZ ERIKA LORENA</t>
  </si>
  <si>
    <t xml:space="preserve">VASQUEZ SUAREZ JONATHAN</t>
  </si>
  <si>
    <t xml:space="preserve">CESPEDES ZAMORA LILIANA</t>
  </si>
  <si>
    <t xml:space="preserve">MONTOYA MORALES NATHALIA</t>
  </si>
  <si>
    <t xml:space="preserve">VALENCIA BORJA ANDREA</t>
  </si>
  <si>
    <t xml:space="preserve">GARCIA ROSERO CLAUDIA BRIGGTHE</t>
  </si>
  <si>
    <t xml:space="preserve">RODRIGUEZ NICHOLLS SANTIAGO</t>
  </si>
  <si>
    <t xml:space="preserve">BRIÑEZ PAZ KATHERYN</t>
  </si>
  <si>
    <t xml:space="preserve">ZAPATA ZAPATA LUZ ADRIANA</t>
  </si>
  <si>
    <t xml:space="preserve">RESTREPO PEREA VALENTINA</t>
  </si>
  <si>
    <t xml:space="preserve">ANGULO SEGURA ARVEY</t>
  </si>
  <si>
    <t xml:space="preserve">GONZALEZ GUAPACHA CINDY LORENA</t>
  </si>
  <si>
    <t xml:space="preserve">VALENCIA MORENO ALBA LUCIA</t>
  </si>
  <si>
    <t xml:space="preserve">CASTAÑEDA HENAO FABIAN</t>
  </si>
  <si>
    <t xml:space="preserve">AGUIRRE FEIJOO JOSE LUIS</t>
  </si>
  <si>
    <t xml:space="preserve">ABRIL ACEVEDO MONICA ALEJANDRA</t>
  </si>
  <si>
    <t xml:space="preserve">ADARVE COBO SANDRA LILIANA</t>
  </si>
  <si>
    <t xml:space="preserve">AGUIÑO TORRES ALEX RUBEN</t>
  </si>
  <si>
    <t xml:space="preserve">ALBAN RIVERA CAROLINA XIMENA</t>
  </si>
  <si>
    <t xml:space="preserve">ALVAREZ ORTIZ LEIDY FERNANDA</t>
  </si>
  <si>
    <t xml:space="preserve">ALVAREZ VALDES ISABELA</t>
  </si>
  <si>
    <t xml:space="preserve">ANDREA ESPAÑA TATIANA</t>
  </si>
  <si>
    <t xml:space="preserve">APONZA  YAMILET</t>
  </si>
  <si>
    <t xml:space="preserve">ARANGO FRANCO LILIANA</t>
  </si>
  <si>
    <t xml:space="preserve">ARANGO PAREDES ALBA MAGDALY</t>
  </si>
  <si>
    <t xml:space="preserve">ARCOS ARCOS YULI ANDREA</t>
  </si>
  <si>
    <t xml:space="preserve">ARENAS VIRGEN ANGELA MARIA</t>
  </si>
  <si>
    <t xml:space="preserve">BARAJAS CARBONELL AMANDA EUGENIA</t>
  </si>
  <si>
    <t xml:space="preserve">BARRAGAN CALDERON DIEGO MAURICIO</t>
  </si>
  <si>
    <t xml:space="preserve">BENITEZ LOPEZ ANA MILEDY</t>
  </si>
  <si>
    <t xml:space="preserve">BENITEZ SANTANA NAZLY CATERINNE</t>
  </si>
  <si>
    <t xml:space="preserve">BETANCOURT PEREZ PRISCILA</t>
  </si>
  <si>
    <t xml:space="preserve">BOLAÑOS CHAMORRO YEIMY KATERINE</t>
  </si>
  <si>
    <t xml:space="preserve">CABEZAS TORRES LUZ AYDEE</t>
  </si>
  <si>
    <t xml:space="preserve">CAICEDO CAICEDO ZULAY CRISTINA</t>
  </si>
  <si>
    <t xml:space="preserve">CARABALI ISAJAR ELIANA</t>
  </si>
  <si>
    <t xml:space="preserve">CASTILLO CARDONA LINA MARIA</t>
  </si>
  <si>
    <t xml:space="preserve">CEPEDA LOPEZ AURA MILENA</t>
  </si>
  <si>
    <t xml:space="preserve">CHECA CARDENAS MARYURY</t>
  </si>
  <si>
    <t xml:space="preserve">CISNEROS SOLARTE YENY LISETH</t>
  </si>
  <si>
    <t xml:space="preserve">COLINA HENAO DIANA</t>
  </si>
  <si>
    <t xml:space="preserve">CORAL GUTIERREZ MIRDZA</t>
  </si>
  <si>
    <t xml:space="preserve">CORTES LORZA GUSTAVO ADOLFO</t>
  </si>
  <si>
    <t xml:space="preserve">DE LA CRUZ MARULANDA BEATRIZ EUGENIA</t>
  </si>
  <si>
    <t xml:space="preserve">DELGADO OSPINA LUZ DELBY</t>
  </si>
  <si>
    <t xml:space="preserve">DINAS MUÑOZ ETTIANA</t>
  </si>
  <si>
    <t xml:space="preserve">DOMINGUEZ CEPEDA LAURA LORENA</t>
  </si>
  <si>
    <t xml:space="preserve">DORADO CAICEDO JERSON ANDRES</t>
  </si>
  <si>
    <t xml:space="preserve">ESPINOSA GUERRERO MONICA VIVIANA</t>
  </si>
  <si>
    <t xml:space="preserve">FAJARDO BERMUDEZ FLOR DEISY</t>
  </si>
  <si>
    <t xml:space="preserve">FIGUEROA ESCOBAR NAYDA IOMAIRA</t>
  </si>
  <si>
    <t xml:space="preserve">GARCIA ARTEAGA ERIKA MARIA</t>
  </si>
  <si>
    <t xml:space="preserve">GARCIA GARCIA JULIA GRACIELA</t>
  </si>
  <si>
    <t xml:space="preserve">GOMEZ CARABALI YENI ALEJANDRA</t>
  </si>
  <si>
    <t xml:space="preserve">GONZALEZ ABONIA SANDRA MILENA</t>
  </si>
  <si>
    <t xml:space="preserve">GONZALEZ CORTES DIANA CAROLINA</t>
  </si>
  <si>
    <t xml:space="preserve">GONZALEZ GONZALEZ DIANA CAROLINA</t>
  </si>
  <si>
    <t xml:space="preserve">GONZALEZ QUIÑONES YULI</t>
  </si>
  <si>
    <t xml:space="preserve">GUERRERO HERRERA MARIA ANTONELLA</t>
  </si>
  <si>
    <t xml:space="preserve">GUERRERO ZAMORA NANCY VIVIANA</t>
  </si>
  <si>
    <t xml:space="preserve">HENAO AGUILAR ALEXA VIVIAN</t>
  </si>
  <si>
    <t xml:space="preserve">HERNANDEZ QUICENO NATHALIE</t>
  </si>
  <si>
    <t xml:space="preserve">HURTADO RAMOS MELFI</t>
  </si>
  <si>
    <t xml:space="preserve">IBARGUEN IBARGUEN LILIAM</t>
  </si>
  <si>
    <t xml:space="preserve">JIMENEZ NAVIA DIDIER</t>
  </si>
  <si>
    <t xml:space="preserve">JIMENEZ NUÑEZ SANDRA VIVIANA</t>
  </si>
  <si>
    <t xml:space="preserve">JURADO GARCIA EIDER</t>
  </si>
  <si>
    <t xml:space="preserve">LERMA CAICEDO DIANA FERNANDA</t>
  </si>
  <si>
    <t xml:space="preserve">LIZCANO ARANA MARIA FERNANDA</t>
  </si>
  <si>
    <t xml:space="preserve">LOPEZ RAMIREZ JOHANNA ALESSANDRA</t>
  </si>
  <si>
    <t xml:space="preserve">LOZANO LASSO MARTHA ISABEL</t>
  </si>
  <si>
    <t xml:space="preserve">MARIN PEREZ LINA ALEXANDRA</t>
  </si>
  <si>
    <t xml:space="preserve">MARIN SERNA ANGELA MARIA</t>
  </si>
  <si>
    <t xml:space="preserve">MARMOLEJO VARGAS CRISTIAN</t>
  </si>
  <si>
    <t xml:space="preserve">MEDINA SALAZAR JOSE LUIS</t>
  </si>
  <si>
    <t xml:space="preserve">MENDOZA GARCIA NEYRIS</t>
  </si>
  <si>
    <t xml:space="preserve">MENENDEZ GUERRERO LEIDY YASMIN</t>
  </si>
  <si>
    <t xml:space="preserve">MERA ZAPATA ZULMA</t>
  </si>
  <si>
    <t xml:space="preserve">MONCADA ROJAS VICTOR MANUEL</t>
  </si>
  <si>
    <t xml:space="preserve">MONDRAGON VERGARA LEYDI JOHANA</t>
  </si>
  <si>
    <t xml:space="preserve">MONTANO PALOMINO YUDI VANESSA</t>
  </si>
  <si>
    <t xml:space="preserve">MONTAÑO HURTADO FANNY</t>
  </si>
  <si>
    <t xml:space="preserve">MORA ORTIZ LEYDI JOHANNA</t>
  </si>
  <si>
    <t xml:space="preserve">MORALES ALVIS DIANA MARCELA</t>
  </si>
  <si>
    <t xml:space="preserve">MORALES CARMONA CARLOS ANDRES</t>
  </si>
  <si>
    <t xml:space="preserve">MOSQUERA CASTRO MALLELY</t>
  </si>
  <si>
    <t xml:space="preserve">MUÑOZ ARENAS ANGELA YURANY</t>
  </si>
  <si>
    <t xml:space="preserve">MUÑOZ ECHEVERRY SANDRA MILENA</t>
  </si>
  <si>
    <t xml:space="preserve">MURILLAS GONZALEZ ANA MARIA</t>
  </si>
  <si>
    <t xml:space="preserve">MURILLO BENITEZ MARIA RUBIELA</t>
  </si>
  <si>
    <t xml:space="preserve">MURILLO CUERO DERLY VIVIANA</t>
  </si>
  <si>
    <t xml:space="preserve">NAVIA TORRES MARIA DEL MAR</t>
  </si>
  <si>
    <t xml:space="preserve">OCAMPO PATIÑO DIANA MARCELA</t>
  </si>
  <si>
    <t xml:space="preserve">OPANCE COLLO MILTON LIDER</t>
  </si>
  <si>
    <t xml:space="preserve">ORDOÑEZ LIZCANO MELISSA ANDREA</t>
  </si>
  <si>
    <t xml:space="preserve">ORDOÑEZ PRECIADO ZUANI VANESSA</t>
  </si>
  <si>
    <t xml:space="preserve">OREJUELA ALVAREZ SANDRA PATRICIA</t>
  </si>
  <si>
    <t xml:space="preserve">OREJUELA ZUÑIGA YESSICA LORENA</t>
  </si>
  <si>
    <t xml:space="preserve">ORTIZ ORDOÑEZ FRANCIA ASTRID</t>
  </si>
  <si>
    <t xml:space="preserve">OSORIO VALENCIA LEIDY ALEXANDRA</t>
  </si>
  <si>
    <t xml:space="preserve">PALMERA AYALA JEFERZON AGUSTO</t>
  </si>
  <si>
    <t xml:space="preserve">PAREJA GONZALEZ MADELY</t>
  </si>
  <si>
    <t xml:space="preserve">PIAMBA RENGIFO ANGELA MARIA</t>
  </si>
  <si>
    <t xml:space="preserve">POPO CARABALI LUZ DELY</t>
  </si>
  <si>
    <t xml:space="preserve">QUELAL BURBANO DEISY CAROLINA</t>
  </si>
  <si>
    <t xml:space="preserve">QUIMBAY FALLA SIMENA DEL PILAR</t>
  </si>
  <si>
    <t xml:space="preserve">QUINTERO MERA ELIZABETH</t>
  </si>
  <si>
    <t xml:space="preserve">RAMIREZ  LAURA ISABELLA</t>
  </si>
  <si>
    <t xml:space="preserve">RAMIREZ CABRA ERIKA</t>
  </si>
  <si>
    <t xml:space="preserve">RAMIREZ MARIN DIEGO HERNAN</t>
  </si>
  <si>
    <t xml:space="preserve">RAMIREZ SIERRA DORA ESTELIA</t>
  </si>
  <si>
    <t xml:space="preserve">RODRIGUEZ MOSQUERA MANLY</t>
  </si>
  <si>
    <t xml:space="preserve">RODRIGUEZ NOGUERA STEPHANIE</t>
  </si>
  <si>
    <t xml:space="preserve">ROJAS OCAMPO MARYURY</t>
  </si>
  <si>
    <t xml:space="preserve">ROLDAN TENORIO CLAUDIA XIMENA</t>
  </si>
  <si>
    <t xml:space="preserve">SALAS CASTRO OLGA YANETH</t>
  </si>
  <si>
    <t xml:space="preserve">SANCHEZ OREJUELA LIDA CONSTANZA</t>
  </si>
  <si>
    <t xml:space="preserve">SERNA ESPINOSA FABIAN ANDRES</t>
  </si>
  <si>
    <t xml:space="preserve">SERNA MARTINEZ MARIA DEL PILAR</t>
  </si>
  <si>
    <t xml:space="preserve">SERNA RIVERA JENNIFER</t>
  </si>
  <si>
    <t xml:space="preserve">SILVA ZAMBRANO JENNYFER DANIELA</t>
  </si>
  <si>
    <t xml:space="preserve">TORRES CASTAÑEDA CLAUDIA MILENA</t>
  </si>
  <si>
    <t xml:space="preserve">TORRES NIETO ADRIANA</t>
  </si>
  <si>
    <t xml:space="preserve">TRESPALACIOS VEGA YESID</t>
  </si>
  <si>
    <t xml:space="preserve">TRUJILLO ROSERO JENIFFER</t>
  </si>
  <si>
    <t xml:space="preserve">TUTACHA VELASCO PAULA ANDREA</t>
  </si>
  <si>
    <t xml:space="preserve">URREA MARIN GERALDINE</t>
  </si>
  <si>
    <t xml:space="preserve">VALENCIA CARDONA ERIKA ALEJANDRA</t>
  </si>
  <si>
    <t xml:space="preserve">VELASCO GUTIERREZ CARLOS ANTONIO</t>
  </si>
  <si>
    <t xml:space="preserve">VIVAS RINCON MARIA DEL ROSARIO</t>
  </si>
  <si>
    <t xml:space="preserve">ZUÑIGA FERNANDEZ JEFERSON</t>
  </si>
  <si>
    <t xml:space="preserve">SANDOVAL CALERO MARIA CAMILA</t>
  </si>
  <si>
    <t xml:space="preserve">ANTURI ZEA LEIDY JOHANNA</t>
  </si>
  <si>
    <t xml:space="preserve">NAVIA GUTIERREZ LUDWIN VANG</t>
  </si>
  <si>
    <t xml:space="preserve">ERASO HIDROBO YODANCI MABEL</t>
  </si>
  <si>
    <t xml:space="preserve">ALMANZA GARCIA ARELIX</t>
  </si>
  <si>
    <t xml:space="preserve">ZULUAGA RAMIREZ SANDRA MILENA</t>
  </si>
  <si>
    <t xml:space="preserve">ALVAREZ ARAUJO EILEN DAYANA</t>
  </si>
  <si>
    <t xml:space="preserve">ESPINOSA ASTUDILLO YESSENIA</t>
  </si>
  <si>
    <t xml:space="preserve">CASTRO TORRES SANDRA MILENA</t>
  </si>
  <si>
    <t xml:space="preserve">GALINDO ESPINOSA GISELL NATALIA</t>
  </si>
  <si>
    <t xml:space="preserve">ZAPATA GARCIA MARCELA</t>
  </si>
  <si>
    <t xml:space="preserve">GUTIERREZ ASTUDILLO MARIA ISABEL</t>
  </si>
  <si>
    <t xml:space="preserve">HOYOS GUTIERREZ HEIDER HERNANDO</t>
  </si>
  <si>
    <t xml:space="preserve">RODRIGUEZ SANCHEZ STEFANIA</t>
  </si>
  <si>
    <t xml:space="preserve">QUINTANA ARCE GLORIA LUZLEY</t>
  </si>
  <si>
    <t xml:space="preserve">CORREA BUSTAMANTE YULY PAOLA</t>
  </si>
  <si>
    <t xml:space="preserve">LOPEZ BONILLA GINETH</t>
  </si>
  <si>
    <t xml:space="preserve">BARRERA AROCA JIMENA</t>
  </si>
  <si>
    <t xml:space="preserve">ALVAREZ HURTADO DIANA PATRICIA</t>
  </si>
  <si>
    <t xml:space="preserve">FLOREZ VERA MAYRA ALEJANDRA</t>
  </si>
  <si>
    <t xml:space="preserve">CARABALI RODRIGUEZ WILFREDYS</t>
  </si>
  <si>
    <t xml:space="preserve">ARCOS MONROY LUISA ALEJANDRA</t>
  </si>
  <si>
    <t xml:space="preserve">ROSERO LOSADA INGRID STIVALIS</t>
  </si>
  <si>
    <t xml:space="preserve">DIAZ PAVI DALIA MAGNOLIA</t>
  </si>
  <si>
    <t xml:space="preserve">MORENO TRUJILLO MARTHA LUCIA</t>
  </si>
  <si>
    <t xml:space="preserve">MONTAÑEZ  SEBASTIAN</t>
  </si>
  <si>
    <t xml:space="preserve">DARAVIÑA USMA DANIEL ALEJANDRO</t>
  </si>
  <si>
    <t xml:space="preserve">BETANCUR ACOSTA KENLLY VIVIANA</t>
  </si>
  <si>
    <t xml:space="preserve">CRIOLLO BURGOS CRISTINA</t>
  </si>
  <si>
    <t xml:space="preserve">GOMEZ MUÑOZ MARIA ANGELICA</t>
  </si>
  <si>
    <t xml:space="preserve">PARRA BENAVIDES MARTHAISABEL</t>
  </si>
  <si>
    <t xml:space="preserve">LOPEZ TRUJILLO GENNY VANESSA</t>
  </si>
  <si>
    <t xml:space="preserve">GOMEZ VELEZ LUIS FELIPE</t>
  </si>
  <si>
    <t xml:space="preserve">VILLALOBOS HURTADO VICTORIA EUGENIA</t>
  </si>
  <si>
    <t xml:space="preserve">GRISALES MORENO DIANA MARCELA</t>
  </si>
  <si>
    <t xml:space="preserve">HURTADO PABON HARRY FABIAN</t>
  </si>
  <si>
    <t xml:space="preserve">MATEUS FLOREZ DIANA FERNANDA</t>
  </si>
  <si>
    <t xml:space="preserve">RODRIGUEZ ALBARAN RUDY RUBIELA</t>
  </si>
  <si>
    <t xml:space="preserve">URBANO BRAVO ANGELICA</t>
  </si>
  <si>
    <t xml:space="preserve">TAPIERO PORTELA DIANA MILENA</t>
  </si>
  <si>
    <t xml:space="preserve">ACOSTA VIVEROS ESTEPANIE</t>
  </si>
  <si>
    <t xml:space="preserve">NARVAEZ MANQUILLO DIANA MARCELA</t>
  </si>
  <si>
    <t xml:space="preserve">RAMIREZ SUAREZ VALENTINA</t>
  </si>
  <si>
    <t xml:space="preserve">MORA BETANCOURTH GYCEL</t>
  </si>
  <si>
    <t xml:space="preserve">MUÑOZ GARCES MEIBI MAYELI</t>
  </si>
  <si>
    <t xml:space="preserve">TORRES ORDOÑEZ YESSICA ALEXANDRA</t>
  </si>
  <si>
    <t xml:space="preserve">TINTINAGO MAMIAN LEYDY LORENA</t>
  </si>
  <si>
    <t xml:space="preserve">ROJAS HOYOS JUAN DAVID</t>
  </si>
  <si>
    <t xml:space="preserve">BETANCOURT PEREZ MARTHA LUCIA</t>
  </si>
  <si>
    <t xml:space="preserve">MARTINEZ CARMONA JUAN DAVID</t>
  </si>
  <si>
    <t xml:space="preserve">LEON HERNANDEZ YURY JULIANA</t>
  </si>
  <si>
    <t xml:space="preserve">OSPINA SANTACRUZ ANA MARIA</t>
  </si>
  <si>
    <t xml:space="preserve">MONTAÑO PRECIADO JHON FREDDY</t>
  </si>
  <si>
    <t xml:space="preserve">ORDOÑEZ SANCHEZ DOUGLAS ORLANDO</t>
  </si>
  <si>
    <t xml:space="preserve">ESCAMILLA FRANCO CAROLINA</t>
  </si>
  <si>
    <t xml:space="preserve">TELLEZ CUBILLOS MARIAN</t>
  </si>
  <si>
    <t xml:space="preserve">AGUILAR TRUJILLANO YURANI ANDREA</t>
  </si>
  <si>
    <t xml:space="preserve">RODRIGUEZ CALDERON JASSON STEVEN</t>
  </si>
  <si>
    <t xml:space="preserve">DAZA SANCHEZ INGRID GISELA</t>
  </si>
  <si>
    <t xml:space="preserve">ACEVEDO ZUÑIGA KAREN</t>
  </si>
  <si>
    <t xml:space="preserve">NARVAEZ CASTRO ELY TATIANA</t>
  </si>
  <si>
    <t xml:space="preserve">MORA AVENDAÑO JUAN GABRIEL</t>
  </si>
  <si>
    <t xml:space="preserve">AGUDELO MURILLO MARIA ALEJANDRA</t>
  </si>
  <si>
    <t xml:space="preserve">URIBE ZABALA DAVINSON</t>
  </si>
  <si>
    <t xml:space="preserve">RODRIGUEZ CORREA JHONNY</t>
  </si>
  <si>
    <t xml:space="preserve">SERNA BECOCHE FABIO ANDRES</t>
  </si>
  <si>
    <t xml:space="preserve">NUÑEZ TORRES DOUGLAS ALBERTO</t>
  </si>
  <si>
    <t xml:space="preserve">MERCADO ZABALA OMAR JOSE</t>
  </si>
  <si>
    <t xml:space="preserve">GIRALDO CLEVES BRIGITTE ANDREA</t>
  </si>
  <si>
    <t xml:space="preserve">PIZARRO MUÑOZ JAVIER ESTEBAN</t>
  </si>
  <si>
    <t xml:space="preserve">LIZCANO LOPEZ ROSSIE GERALDINE</t>
  </si>
  <si>
    <t xml:space="preserve">GONZALEZ IZQUIERDO ISABELLA</t>
  </si>
  <si>
    <t xml:space="preserve">CRIOLLO SANCHEZ NICOLE PAMELA</t>
  </si>
  <si>
    <t xml:space="preserve">GREGORY GOMEZ ISABELLA</t>
  </si>
  <si>
    <t xml:space="preserve">HURTADO URREA GLENDA GISELA</t>
  </si>
  <si>
    <t xml:space="preserve">VERGARA CASTAÑO STEFANI</t>
  </si>
  <si>
    <t xml:space="preserve">TIMANA IMBACHI GELEN YOJANA</t>
  </si>
  <si>
    <t xml:space="preserve">DIAZ GUERRERO JHONY ANDRES</t>
  </si>
  <si>
    <t xml:space="preserve">CABAL GOMEZ OLGA PATRICIA</t>
  </si>
  <si>
    <t xml:space="preserve">DURAN URBANO DAYANNA CONSUELO</t>
  </si>
  <si>
    <t xml:space="preserve">CAICEDO MONTENEGRO MARCIA</t>
  </si>
  <si>
    <t xml:space="preserve">LOAIZA RENGIFO MARIA DEL PILAR</t>
  </si>
  <si>
    <t xml:space="preserve">VELEZ BLANCO SARA</t>
  </si>
  <si>
    <t xml:space="preserve">SANABRIA CABUYA JEIMMY YULIETH</t>
  </si>
  <si>
    <t xml:space="preserve">AGUDELO CASTRO DANIEL FELIPE</t>
  </si>
  <si>
    <t xml:space="preserve">VILLEGAS GRISALES RICHARD ALEJANDRO</t>
  </si>
  <si>
    <t xml:space="preserve">SANCHEZ SILVA LIZETH</t>
  </si>
  <si>
    <t xml:space="preserve">GIL RIOS OLGA LUCIA</t>
  </si>
  <si>
    <t xml:space="preserve">PALACIOS LUGO JUAN CAMILO</t>
  </si>
  <si>
    <t xml:space="preserve">GASCA MARIN PAOLA ANDREA</t>
  </si>
  <si>
    <t xml:space="preserve">VALENCIA  YENSI JULIETH</t>
  </si>
  <si>
    <t xml:space="preserve">VIVAS PELAEZ MARITZA</t>
  </si>
  <si>
    <t xml:space="preserve">BRAVO CUERO TANIA LORENA</t>
  </si>
  <si>
    <t xml:space="preserve">TIMOTE HURTADO LINA MARCELA</t>
  </si>
  <si>
    <t xml:space="preserve">MOSQUERA POSSO LAURA DANIELA</t>
  </si>
  <si>
    <t xml:space="preserve">CASTILLO FORERO NATALIA</t>
  </si>
  <si>
    <t xml:space="preserve">MENESES RUIZ NATALIA</t>
  </si>
  <si>
    <t xml:space="preserve">RODRIGUEZ GUZMAN YURI CATERINE</t>
  </si>
  <si>
    <t xml:space="preserve">CANDAMIL MERA ESTEPHANIE JULIETH</t>
  </si>
  <si>
    <t xml:space="preserve">PEREA HERNANDEZ FRANCIS BETINA</t>
  </si>
  <si>
    <t xml:space="preserve">VELASCO CHURI LIZETH</t>
  </si>
  <si>
    <t xml:space="preserve">VELEZ RODRIGUEZ NICOL NATALIA</t>
  </si>
  <si>
    <t xml:space="preserve">ALARCON SOTO JOHANA CAROLINA</t>
  </si>
  <si>
    <t xml:space="preserve">GONZALEZ CISNEROS STEFANNY</t>
  </si>
  <si>
    <t xml:space="preserve">ORTIZ CADENA KELLY JULIETH</t>
  </si>
  <si>
    <t xml:space="preserve">DUQUE AYALA STEPHANY</t>
  </si>
  <si>
    <t xml:space="preserve">MARTINEZ MEZA ADRIANA AMPARO</t>
  </si>
  <si>
    <t xml:space="preserve">CUERO ORTIZ LUZ DIANA</t>
  </si>
  <si>
    <t xml:space="preserve">BETANCOURT COPETE PAOLA ANDREA</t>
  </si>
  <si>
    <t xml:space="preserve">MARIN MENDEZ PAULA ANDREA</t>
  </si>
  <si>
    <t xml:space="preserve">SOSCUE GRIJALVA CRISTIAN ALBEIRO</t>
  </si>
  <si>
    <t xml:space="preserve">GARCES BEDOYA SARA ISABEL</t>
  </si>
  <si>
    <t xml:space="preserve">VALDES MARTINEZ ANABEL ALEXANDRA</t>
  </si>
  <si>
    <t xml:space="preserve">PATIÑO CAMAYO NAYADIS</t>
  </si>
  <si>
    <t xml:space="preserve">MOSQUERA RODRÍGUEZ DIANA MARCELA</t>
  </si>
  <si>
    <t xml:space="preserve">OSPINA BERMUDEZ LEIDY DIANA</t>
  </si>
  <si>
    <t xml:space="preserve">ORTIZ PATIÑO KATERYN</t>
  </si>
  <si>
    <t xml:space="preserve">MUÑOZ MUÑOZ FAYSULI</t>
  </si>
  <si>
    <t xml:space="preserve">VELASCO VELASCO NESLY YISEET</t>
  </si>
  <si>
    <t xml:space="preserve">CLAROS ULLUNE LUIS ENRIQUE</t>
  </si>
  <si>
    <t xml:space="preserve">PEREZ MUÑOZ DAHYANA MARCELA</t>
  </si>
  <si>
    <t xml:space="preserve">CUEVAS RIASCOS JHOAN SEBASTIAN</t>
  </si>
  <si>
    <t xml:space="preserve">SALDARRIAGA MILLAN LAURA CAMILA</t>
  </si>
  <si>
    <t xml:space="preserve">MILLAN REINA BRIGGETY JOHANA</t>
  </si>
  <si>
    <t xml:space="preserve">MARTINEZ URBANO JHANY NATALIA</t>
  </si>
  <si>
    <t xml:space="preserve">BERNAL ORDOÑEZ KAREN TATIANA</t>
  </si>
  <si>
    <t xml:space="preserve">QUINTERO REINA LINDA YULITZA</t>
  </si>
  <si>
    <t xml:space="preserve">ROJAS LONDOÑO KELLY ALEJANDRA</t>
  </si>
  <si>
    <t xml:space="preserve">CAIZA NARVÁEZ YINER EFREY</t>
  </si>
  <si>
    <t xml:space="preserve">ROSERO ECHEVERRI SULENY MARGARITA</t>
  </si>
  <si>
    <t xml:space="preserve">ZEMANATE  CARLOS GUILLERMO</t>
  </si>
  <si>
    <t xml:space="preserve">DOMINGUEZ ARCINIEGAS ESTEFANIA</t>
  </si>
  <si>
    <t xml:space="preserve">CARDOZO  LUIS FELIPE</t>
  </si>
  <si>
    <t xml:space="preserve">VIDAL CAICEDO CRISTIAN ANDRES</t>
  </si>
  <si>
    <t xml:space="preserve">ASTAIZA MUÑOZ ANDREA</t>
  </si>
  <si>
    <t xml:space="preserve">OROZCO MEJIA DANIELA</t>
  </si>
  <si>
    <t xml:space="preserve">VIVAS GUTIERREZ DIEGO ANDRES</t>
  </si>
  <si>
    <t xml:space="preserve">ROJAS CHARRY JUAN FELIPE</t>
  </si>
  <si>
    <t xml:space="preserve">SEGURA IDROBO AZUCENA</t>
  </si>
  <si>
    <t xml:space="preserve">LUCUMI MUÑOZ PAOLA ANDREA</t>
  </si>
  <si>
    <t xml:space="preserve">GUERRERO COLLAZOS CATALINA</t>
  </si>
  <si>
    <t xml:space="preserve">MEZA TORRES EDWAR ERNESTO</t>
  </si>
  <si>
    <t xml:space="preserve">PERDOMO CHILITO LINA MARCELA</t>
  </si>
  <si>
    <t xml:space="preserve">RAMIREZ MEJIA MARYCEL</t>
  </si>
  <si>
    <t xml:space="preserve">CARVAJAL BARONA MAYRA ALEJANDRA</t>
  </si>
  <si>
    <t xml:space="preserve">URIBE PAZ HARVIN RICARDO</t>
  </si>
  <si>
    <t xml:space="preserve">OCAMPO MORENO SEBASTIAN</t>
  </si>
  <si>
    <t xml:space="preserve">ANGULO PRECIADO MARIA ALEJANDRA</t>
  </si>
  <si>
    <t xml:space="preserve">MORENO MUÑOZ SANDRA VIVIANA</t>
  </si>
  <si>
    <t xml:space="preserve">ARIAS RIVAS VIRIDIANA</t>
  </si>
  <si>
    <t xml:space="preserve">VILLAQUIRAN MUÑOZ SANDRA JIMENA</t>
  </si>
  <si>
    <t xml:space="preserve">RIASCOS MORAN LEYDY NATHALIA</t>
  </si>
  <si>
    <t xml:space="preserve">VILLA RAMIREZ HEIDY</t>
  </si>
  <si>
    <t xml:space="preserve">MONTOYA LAGUNA LUISA FERNANDA</t>
  </si>
  <si>
    <t xml:space="preserve">MEDINA GONZALIAS LORENA</t>
  </si>
  <si>
    <t xml:space="preserve">LENIS GRUESO VIVIAN DANIELA</t>
  </si>
  <si>
    <t xml:space="preserve">DURANGO CAVADIA MAYERLY</t>
  </si>
  <si>
    <t xml:space="preserve">BARAJAS GALLON ANGIE DANIELA</t>
  </si>
  <si>
    <t xml:space="preserve">GAVIRIA MENDOZA VALENTINA</t>
  </si>
  <si>
    <t xml:space="preserve">CUARAN ORDOÑEZ FELIPE ARNOLDO</t>
  </si>
  <si>
    <t xml:space="preserve">ILES DORADO EDILSON</t>
  </si>
  <si>
    <t xml:space="preserve">CERON GUEVARA JUAN SEBASTIAN</t>
  </si>
  <si>
    <t xml:space="preserve">NARVAEZ SOTO LUISA FERNANDA</t>
  </si>
  <si>
    <t xml:space="preserve">ANGULO MERCADO MONICA</t>
  </si>
  <si>
    <t xml:space="preserve">GALINDO SANCHEZ JUAN SEBASTIAN</t>
  </si>
  <si>
    <t xml:space="preserve">APONTE CACERES DAVID MAURICIO</t>
  </si>
  <si>
    <t xml:space="preserve">SANCHEZ MINA DANIELA MARCELA</t>
  </si>
  <si>
    <t xml:space="preserve">MARIN MACCA DANIEL SANTIAGO</t>
  </si>
  <si>
    <t xml:space="preserve">CASTAÑO LOPEZ ANA SOFÍA</t>
  </si>
  <si>
    <t xml:space="preserve">RODRIGUEZ CAICEDO LEIDY</t>
  </si>
  <si>
    <t xml:space="preserve">SOTO  ALEJANDRO</t>
  </si>
  <si>
    <t xml:space="preserve">CRUZ VELASCO LINDA YESENIA</t>
  </si>
  <si>
    <t xml:space="preserve">DELGADO CARABALI MARITZA</t>
  </si>
  <si>
    <t xml:space="preserve">MOLINA HURTADO MARIA IRENE</t>
  </si>
  <si>
    <t xml:space="preserve">GALVIS GARCIA ERIKA ALEJANDRA</t>
  </si>
  <si>
    <t xml:space="preserve">ALZATE ORTIZ VIVIANA ANDREA</t>
  </si>
  <si>
    <t xml:space="preserve">HERNANDEZ SALAZAR INGRID PAOLA</t>
  </si>
  <si>
    <t xml:space="preserve">SANTAMARIA AYALA JENIFER ANDREA</t>
  </si>
  <si>
    <t xml:space="preserve">MERA MESA JUAN ESTEBAN</t>
  </si>
  <si>
    <t xml:space="preserve">VILLOTA CADENA MARIA FERNANDA</t>
  </si>
  <si>
    <t xml:space="preserve">CORDOBA MURILLO STEVEN</t>
  </si>
  <si>
    <t xml:space="preserve">MORAN CONSTAIN ANDREA NATHALY</t>
  </si>
  <si>
    <t xml:space="preserve">VALLEJO OSORIO LARETZA</t>
  </si>
  <si>
    <t xml:space="preserve">FONSECA MEJIA MARIA CAMILA</t>
  </si>
  <si>
    <t xml:space="preserve">CUERO RAMOS MAIRA ALEJANDRA</t>
  </si>
  <si>
    <t xml:space="preserve">CUSPIAN GONZALEZ NATHALIE CAROLINA</t>
  </si>
  <si>
    <t xml:space="preserve">RIASCOS CUERO NANCY JOHANA</t>
  </si>
  <si>
    <t xml:space="preserve">HURTADO TENORIO DIANA FERNANDA</t>
  </si>
  <si>
    <t xml:space="preserve">CORREA LOAIZA NEYLA LORENA</t>
  </si>
  <si>
    <t xml:space="preserve">MAMIAN MAMIAN TANIA VANESA</t>
  </si>
  <si>
    <t xml:space="preserve">GUTIERREZ MORENO DANIEL FELIPE</t>
  </si>
  <si>
    <t xml:space="preserve">RESTREPO DELGADO LUIS MIGUEL</t>
  </si>
  <si>
    <t xml:space="preserve">CAMINO VILLAMIL MARIA JOSE</t>
  </si>
  <si>
    <t xml:space="preserve">SANCHEZ IDROBO ALBA NELLY</t>
  </si>
  <si>
    <t xml:space="preserve">PARRA ALVAREZ CARLOS DAVID</t>
  </si>
  <si>
    <t xml:space="preserve">GUZMAN CASTELLAR JHONNY ALEXANDER</t>
  </si>
  <si>
    <t xml:space="preserve">SALAZAR GARCIA CLAUDIA LORENA</t>
  </si>
  <si>
    <t xml:space="preserve">DAVILA TORO DEYRA  ALEJANDRA</t>
  </si>
  <si>
    <t xml:space="preserve">RENDON MONCADA ANGIE LORENA</t>
  </si>
  <si>
    <t xml:space="preserve">MURILLO VIDAL NATALIA</t>
  </si>
  <si>
    <t xml:space="preserve">OTERO MOSQUERA BRAYAN ANDRES</t>
  </si>
  <si>
    <t xml:space="preserve">MARTINEZ ROJAS STEPHANY</t>
  </si>
  <si>
    <t xml:space="preserve">LOPEZ ACOSTA CATALINA</t>
  </si>
  <si>
    <t xml:space="preserve">RESTREPO OSORIO YESSICA NATHALIA</t>
  </si>
  <si>
    <t xml:space="preserve">ARENAS MUÑOZ SONIA VANESA</t>
  </si>
  <si>
    <t xml:space="preserve">BARBOSA CARDONA GERALDINE</t>
  </si>
  <si>
    <t xml:space="preserve">GORDILLO PIMENTEL PAOLA ANDREA</t>
  </si>
  <si>
    <t xml:space="preserve">VARGAS TRUJILLO CRHISTIAN DAVID</t>
  </si>
  <si>
    <t xml:space="preserve">PAZ QUIÑONEZ DEISY VERONICA</t>
  </si>
  <si>
    <t xml:space="preserve">ORTEGA GIRALDO DANIELA</t>
  </si>
  <si>
    <t xml:space="preserve">PLAZA  MARTHA</t>
  </si>
  <si>
    <t xml:space="preserve">LOPEZ GONZALEZ MIRYAM FERNANDA</t>
  </si>
  <si>
    <t xml:space="preserve">MARTINEZ MORENO RITA MARIA</t>
  </si>
  <si>
    <t xml:space="preserve">SEIDEL  AGUILERA JACQUELINE</t>
  </si>
  <si>
    <t xml:space="preserve">ARBOLEDA CAICEDO ANA MARIA</t>
  </si>
  <si>
    <t xml:space="preserve">CASTRO DOMINGUEZ ALEJANDRA MARIA</t>
  </si>
  <si>
    <t xml:space="preserve">VERA MEJIA LICETH</t>
  </si>
  <si>
    <t xml:space="preserve">OSPINA HERNANDEZ JUAN PABLO</t>
  </si>
  <si>
    <t xml:space="preserve">CUBILLOS DUQUE DIANA CAROLINA</t>
  </si>
  <si>
    <t xml:space="preserve">CUERO VALLECILLA KATTERIN</t>
  </si>
  <si>
    <t xml:space="preserve">CASTAÑO CASTILLO MARIA FERNANDA</t>
  </si>
  <si>
    <t xml:space="preserve">GOMEZ VELEZ KAREN SIRLEY</t>
  </si>
  <si>
    <t xml:space="preserve">URCUQUI MILLAN LUISA FERNANDA</t>
  </si>
  <si>
    <t xml:space="preserve">NARVAEZ CASTILLO DAYANA ANDREA</t>
  </si>
  <si>
    <t xml:space="preserve">REVELO VELEZ CRISTIAN ANDRES</t>
  </si>
  <si>
    <t xml:space="preserve">BENAVIDES CANDEZANO PAULA ANDREA</t>
  </si>
  <si>
    <t xml:space="preserve">CARDONA RODRIGUEZ CESAR AUGUSTO</t>
  </si>
  <si>
    <t xml:space="preserve">MESTIZO CRUZ KENSY DAHIANA</t>
  </si>
  <si>
    <t xml:space="preserve">FRAGA MEJIA SANDRA PATRICIA</t>
  </si>
  <si>
    <t xml:space="preserve">GALEANO GUTIERREZ STEPHANY</t>
  </si>
  <si>
    <t xml:space="preserve">LEDEZMA CUERO LIMKA MARY</t>
  </si>
  <si>
    <t xml:space="preserve">MURIEL GUZMAN DERLY DAYANA</t>
  </si>
  <si>
    <t xml:space="preserve">SINISTERRA PENAGOS YENNY VANESSA</t>
  </si>
  <si>
    <t xml:space="preserve">LOPEZ OROZCO LYDA LIZETH</t>
  </si>
  <si>
    <t xml:space="preserve">FERNANDEZ PRADA CARLOS DAVINSI</t>
  </si>
  <si>
    <t xml:space="preserve">CARDONA ESCOBAR SONIA LILIANA</t>
  </si>
  <si>
    <t xml:space="preserve">PAEZ OTERO DANIELA</t>
  </si>
  <si>
    <t xml:space="preserve">ESPINOSA ALVAREZ HUGO ARMANDO</t>
  </si>
  <si>
    <t xml:space="preserve">PERLAZA ARIAS ISABEL</t>
  </si>
  <si>
    <t xml:space="preserve">OLIVEROS LOPEZ MARIA ELISA</t>
  </si>
  <si>
    <t xml:space="preserve">PEÑA ZARATE EVELYN ELENA</t>
  </si>
  <si>
    <t xml:space="preserve">LOPEZ TUNUBALA ISABEL CRISTINA</t>
  </si>
  <si>
    <t xml:space="preserve">MORIONES GARCES KAREN DAYANNA</t>
  </si>
  <si>
    <t xml:space="preserve">RODRIGUEZ BARRETO EVELYN</t>
  </si>
  <si>
    <t xml:space="preserve">VALENCIA COBO ELIANA</t>
  </si>
  <si>
    <t xml:space="preserve">CHAVES HOYOS ANGIE TATIANA</t>
  </si>
  <si>
    <t xml:space="preserve">BETANCOURT ALCAZAR SOLANLLY ANDREA</t>
  </si>
  <si>
    <t xml:space="preserve">TRUJILLO ANDRADE VALENTINA</t>
  </si>
  <si>
    <t xml:space="preserve">ALEGRIAS HIDALGO JULIAN ANDRES</t>
  </si>
  <si>
    <t xml:space="preserve">QUIJANO PILLIMUE ANTONIO JOSE</t>
  </si>
  <si>
    <t xml:space="preserve">BARON HERNANDEZ NATALIA</t>
  </si>
  <si>
    <t xml:space="preserve">SOTO MEDINA KAREN JULIETH</t>
  </si>
  <si>
    <t xml:space="preserve">LERNA ESCOBAR STIGUAR</t>
  </si>
  <si>
    <t xml:space="preserve">CARABALI LOZANO ORIANA YIRETH</t>
  </si>
  <si>
    <t xml:space="preserve">GAVIRIA ERAZO SERGIO ENRIQUE</t>
  </si>
  <si>
    <t xml:space="preserve">ARAGON IBARRA DIANA PATRICIA</t>
  </si>
  <si>
    <t xml:space="preserve">MUÑOZ FLOREZ HAROLD ANDRES</t>
  </si>
  <si>
    <t xml:space="preserve">BALLESTEROS MORENO DANIELA</t>
  </si>
  <si>
    <t xml:space="preserve">PEÑA VALENCIA JOHANA CAROLINA</t>
  </si>
  <si>
    <t xml:space="preserve">VILLA QUEBRADA KATHERIN</t>
  </si>
  <si>
    <t xml:space="preserve">MARQUEZ PATIÑO DIANA VANESSA</t>
  </si>
  <si>
    <t xml:space="preserve">OLIVEROS JIMENEZ YENI LORENA</t>
  </si>
  <si>
    <t xml:space="preserve">TORRES PRADO MARIA CAMILA</t>
  </si>
  <si>
    <t xml:space="preserve">LONDOÑO SAAVEDRA JOHN ALEJANDRO</t>
  </si>
  <si>
    <t xml:space="preserve">PEÑA OSORIO ANA MARIA</t>
  </si>
  <si>
    <t xml:space="preserve">VARELA RODRIGUEZ CLAUDIA FERNANDA</t>
  </si>
  <si>
    <t xml:space="preserve">RIVAS MORA MARLON</t>
  </si>
  <si>
    <t xml:space="preserve">GALLEGO OSORIO JAIBER LEANDRO</t>
  </si>
  <si>
    <t xml:space="preserve">CAMACHO VANEGAS CLAUDIA PATRICIA</t>
  </si>
  <si>
    <t xml:space="preserve">GUERRERO GÓMEZ DAVID FERNANDO</t>
  </si>
  <si>
    <t xml:space="preserve">ORTEGA ORTEGA HERSON ORLANDO</t>
  </si>
  <si>
    <t xml:space="preserve">SANCHEZ MORENO JOHN ALEXANDER</t>
  </si>
  <si>
    <t xml:space="preserve">ORTIZ CUERO PURA ZORAIDA</t>
  </si>
  <si>
    <t xml:space="preserve">CACERES  WILSON</t>
  </si>
  <si>
    <t xml:space="preserve">MONTAÑO MICOLTA CLAUDIA CECILIA</t>
  </si>
  <si>
    <t xml:space="preserve">MORENO RIVERA ANGIE DEL CARMEN</t>
  </si>
  <si>
    <t xml:space="preserve">OROZCO GUERRERO SANDRA PATRICIA</t>
  </si>
  <si>
    <t xml:space="preserve">JARAMILLO GUTIERREZ MARIA  ALEJANDRA</t>
  </si>
  <si>
    <t xml:space="preserve">MADROÑERO ROSERO ELKIN ARLEY</t>
  </si>
  <si>
    <t xml:space="preserve">JAVE RIVAS JAKELINE</t>
  </si>
  <si>
    <t xml:space="preserve">RUIZ  HEIDY JOHANA</t>
  </si>
  <si>
    <t xml:space="preserve">ALVAREZ CUERO JESSICA MANUELA</t>
  </si>
  <si>
    <t xml:space="preserve">FORERO VILLAFAÑE MARIANA</t>
  </si>
  <si>
    <t xml:space="preserve">MOSQUERA  PALACIO EVIS JOTH</t>
  </si>
  <si>
    <t xml:space="preserve">RODRIGUEZ ORTIZ YEICI ALEJANDRA</t>
  </si>
  <si>
    <t xml:space="preserve">PALMA LOPEZ JUAN DIEGO</t>
  </si>
  <si>
    <t xml:space="preserve">GALLEGO CAICEDO ADRIANA PATRICIA</t>
  </si>
  <si>
    <t xml:space="preserve">MOLINA CAICEDO HAROLD ANDRES</t>
  </si>
  <si>
    <t xml:space="preserve">LONDOÑO CERON JAMES</t>
  </si>
  <si>
    <t xml:space="preserve">VASQUEZ MARIN LEYDI TATIANA</t>
  </si>
  <si>
    <t xml:space="preserve">RENGIFO RODRÍGUEZ LAURA VALENTINA</t>
  </si>
  <si>
    <t xml:space="preserve">NUVAN RIVERA DIANA MARIA</t>
  </si>
  <si>
    <t xml:space="preserve">ALAYON LIMA YINA MARCELA</t>
  </si>
  <si>
    <t xml:space="preserve">VELASCO RAMIREZ HILLARY</t>
  </si>
  <si>
    <t xml:space="preserve">CHAVARRO PEREA CLARA INES</t>
  </si>
  <si>
    <t xml:space="preserve">BOTERO LOPEZ ISABELLA</t>
  </si>
  <si>
    <t xml:space="preserve">VACA MUÑOZ CARLOS ANDRES</t>
  </si>
  <si>
    <t xml:space="preserve">CARABALI MENA YILMAR</t>
  </si>
  <si>
    <t xml:space="preserve">MARTINEZ GOMEZ DIEGO ALEJANDRO</t>
  </si>
  <si>
    <t xml:space="preserve">RODRIGUEZ HERRERA LORENA</t>
  </si>
  <si>
    <t xml:space="preserve">LOREZ MARQUEZ HERMAN ALEXANDER</t>
  </si>
  <si>
    <t xml:space="preserve">GRANADA MONTEALEGRE JAVIER ANDREY</t>
  </si>
  <si>
    <t xml:space="preserve">SEGURA ORTIZ SOL MAYRA</t>
  </si>
  <si>
    <t xml:space="preserve">GARCES BENAVIDES DIANA CAROLINA</t>
  </si>
  <si>
    <t xml:space="preserve">GIL MOTATO SANTIAGO</t>
  </si>
  <si>
    <t xml:space="preserve">RIVERA CORONEL NAYSHA MISHEL</t>
  </si>
  <si>
    <t xml:space="preserve">LONDOÑO GUTIERREZ LUISA MARÍA</t>
  </si>
  <si>
    <t xml:space="preserve">BOLAÑOS PEÑA MANUELA</t>
  </si>
  <si>
    <t xml:space="preserve">TARAPUES CALPA SANDRA LILIANA</t>
  </si>
  <si>
    <t xml:space="preserve">CORREA GIRALDO CRISTIAN ANDRES</t>
  </si>
  <si>
    <t xml:space="preserve">VIVEROS DARAVIÑA JAIR SIDNEY</t>
  </si>
  <si>
    <t xml:space="preserve">ACEVEDO ROJAS ALVARO JAVIER</t>
  </si>
  <si>
    <t xml:space="preserve">LOPEZ OSPINA JOHN ESTEBAN</t>
  </si>
  <si>
    <t xml:space="preserve">GONZALEZ CASAS MARIA ANTONIA</t>
  </si>
  <si>
    <t xml:space="preserve">ARANGO CASTRO GLORIA SHIRLEY</t>
  </si>
  <si>
    <t xml:space="preserve">VILLAQUIRAN JARAMILLO LINDA VALERIA</t>
  </si>
  <si>
    <t xml:space="preserve">DOMINGUEZ GIRALDO LINA MARCELA</t>
  </si>
  <si>
    <t xml:space="preserve">ORTEGA TORRES MERCI</t>
  </si>
  <si>
    <t xml:space="preserve">SANCHEZ SIERRA SANDRA MARCELA</t>
  </si>
  <si>
    <t xml:space="preserve">MORENO ARCOS YURANI YESENIA</t>
  </si>
  <si>
    <t xml:space="preserve">ANACONA CHIGUASUQUE MARIA VIVIANA</t>
  </si>
  <si>
    <t xml:space="preserve">CARDONA CASTRO JOHN ALFONSO</t>
  </si>
  <si>
    <t xml:space="preserve">GAMBOA AMAYA NORLY VANESSA</t>
  </si>
  <si>
    <t xml:space="preserve">BANGUERO HOYOS STEPHANIE</t>
  </si>
  <si>
    <t xml:space="preserve">REYES HURTADO EVERLYN MARCELA</t>
  </si>
  <si>
    <t xml:space="preserve">OLAVE CARABALI DIANA LIZETH</t>
  </si>
  <si>
    <t xml:space="preserve">PACHECO BENAVIDES DIANA MARCELA</t>
  </si>
  <si>
    <t xml:space="preserve">ROJAS ALMEIDA DANIELLA</t>
  </si>
  <si>
    <t xml:space="preserve">GALVIS MENDOZA JARLYS</t>
  </si>
  <si>
    <t xml:space="preserve">SOLARTE MONTOYA VALENTINA</t>
  </si>
  <si>
    <t xml:space="preserve">CERON CAMPO NATALIA</t>
  </si>
  <si>
    <t xml:space="preserve">GONZALEZ MORENO LOREN DANIELA</t>
  </si>
  <si>
    <t xml:space="preserve">VALENCIA OTERO ALISSON DAHIANA</t>
  </si>
  <si>
    <t xml:space="preserve">ZAPATA GUTIÉRREZ LUZ KARIME</t>
  </si>
  <si>
    <t xml:space="preserve">HERNANDEZ MARTINEZ LORENA</t>
  </si>
  <si>
    <t xml:space="preserve">MOSQUERA  BERMUDEZ DARLY NAYIBI</t>
  </si>
  <si>
    <t xml:space="preserve">GRANADOS GIRALDO DIANA ALEJANDRA</t>
  </si>
  <si>
    <t xml:space="preserve">VARON BARRIOS YINA MARCELA</t>
  </si>
  <si>
    <t xml:space="preserve">SALAZAR RENDON DIEGO ALEXANDER</t>
  </si>
  <si>
    <t xml:space="preserve">MONTAÑO HURTADO MARTHA LILIANA</t>
  </si>
  <si>
    <t xml:space="preserve">LONDOÑO YEPES JESSICA</t>
  </si>
  <si>
    <t xml:space="preserve">CASTRO RESTREPO LEIDY JOHANA</t>
  </si>
  <si>
    <t xml:space="preserve">ALVAREZ CARTAGENA YOANA ANDREA</t>
  </si>
  <si>
    <t xml:space="preserve">RIOS LUGO KAREN JOHANNA</t>
  </si>
  <si>
    <t xml:space="preserve">DIAZ BERNAL BREYNER</t>
  </si>
  <si>
    <t xml:space="preserve">ALBORNOZ  LEIDY JHOANNA</t>
  </si>
  <si>
    <t xml:space="preserve">CORDOBA ORTIZ DARIO ALEXANDER</t>
  </si>
  <si>
    <t xml:space="preserve">MORENO MELO GISEL DANIELA</t>
  </si>
  <si>
    <t xml:space="preserve">RODRIGUEZ BECERRA GUSTAVO ADOLFO</t>
  </si>
  <si>
    <t xml:space="preserve">RIASCOS SATIZABAL MELISSA</t>
  </si>
  <si>
    <t xml:space="preserve">CASTILLO VALDES JULITHZA</t>
  </si>
  <si>
    <t xml:space="preserve">IDARRAGA  CEBALLOS JULIETH VERONICA</t>
  </si>
  <si>
    <t xml:space="preserve">DUQUE PARRA KEVIN EDUARDO</t>
  </si>
  <si>
    <t xml:space="preserve">ANGULO CASTILLO SORANI</t>
  </si>
  <si>
    <t xml:space="preserve">SALAZAR ESCOBAR IVONNE</t>
  </si>
  <si>
    <t xml:space="preserve">MONEDERO GAVIRIA MIYERLADY</t>
  </si>
  <si>
    <t xml:space="preserve">BELTRAN OSPINA LUZ ANGELA</t>
  </si>
  <si>
    <t xml:space="preserve">MUÑOZ PEREZ MARIA ALEJANDRA</t>
  </si>
  <si>
    <t xml:space="preserve">ARANGO POLINDARA FABIO ANDRES</t>
  </si>
  <si>
    <t xml:space="preserve">RESTREPO PATIÑO CARLOS EDUARDO</t>
  </si>
  <si>
    <t xml:space="preserve">CEBALLOS LOZADA CRISTIAN ANDRES</t>
  </si>
  <si>
    <t xml:space="preserve">CARMONA MONTOYA YERALDINE</t>
  </si>
  <si>
    <t xml:space="preserve">HIDALGO LEMOS DARLING DAYANA</t>
  </si>
  <si>
    <t xml:space="preserve">ARANGO MERCADO MARIA PAULA</t>
  </si>
  <si>
    <t xml:space="preserve">MENA MALDONADO ANYELA PATRICIA</t>
  </si>
  <si>
    <t xml:space="preserve">TORO ACOSTA ANGELA YISEL</t>
  </si>
  <si>
    <t xml:space="preserve">GOMEZ CADENA FELIPE</t>
  </si>
  <si>
    <t xml:space="preserve">CAPOTE RODRIGUEZ ALEXANDRA</t>
  </si>
  <si>
    <t xml:space="preserve">CRESPO LUNA DIANA MARCELA</t>
  </si>
  <si>
    <t xml:space="preserve">GONZALEZ TRIVIÑO KAREN YULIANA</t>
  </si>
  <si>
    <t xml:space="preserve">SAAVEDRA TRUJILLO MARIA ALEJANDRA</t>
  </si>
  <si>
    <t xml:space="preserve">SOTO ADARVE DIANA MARCELA</t>
  </si>
  <si>
    <t xml:space="preserve">VASQUEZ MONDRAGON STEPHANNY</t>
  </si>
  <si>
    <t xml:space="preserve">CANDELO PEÑA CRISTHIAN CAMILO</t>
  </si>
  <si>
    <t xml:space="preserve">ESCOBAR CORDOBA INGRID YOHANA</t>
  </si>
  <si>
    <t xml:space="preserve">MARIN POSSO MARCELA</t>
  </si>
  <si>
    <t xml:space="preserve">ÑAÑEZ BARCO LAURA GISELLA</t>
  </si>
  <si>
    <t xml:space="preserve">MONTES MILLAN ISABELLA</t>
  </si>
  <si>
    <t xml:space="preserve">TOTENA ROJAS PAOLA ANDREA</t>
  </si>
  <si>
    <t xml:space="preserve">TORIJANO BONILLA JHON DEIVIS</t>
  </si>
  <si>
    <t xml:space="preserve">ZAPATA MONTENEGRO JHOSELIM</t>
  </si>
  <si>
    <t xml:space="preserve">TORO GARCIA JOHN FABIO</t>
  </si>
  <si>
    <t xml:space="preserve">LEDESMA CEBALLOS MAYERLI</t>
  </si>
  <si>
    <t xml:space="preserve">GOMEZ MUÑOZ PAOLA ANDREA</t>
  </si>
  <si>
    <t xml:space="preserve">RAMIREZ GALLEGO JULIAN DAVID</t>
  </si>
  <si>
    <t xml:space="preserve">SANCHEZ ELAGO VALERIA ANDREA</t>
  </si>
  <si>
    <t xml:space="preserve">GUTIERREZ RIVERA JONATHAN ANDRES</t>
  </si>
  <si>
    <t xml:space="preserve">YEPES FLOR BRAYAN STEVEN</t>
  </si>
  <si>
    <t xml:space="preserve">CORREA ARCE CLAUDIA MARCELA</t>
  </si>
  <si>
    <t xml:space="preserve">GARCIA CANTUNI ESTEBAN</t>
  </si>
  <si>
    <t xml:space="preserve">ARBOLEDA PRECIADO LINA FERNANDA</t>
  </si>
  <si>
    <t xml:space="preserve">TABORDA GOMEZ LEIDY TATIANA</t>
  </si>
  <si>
    <t xml:space="preserve">GRISALES ARANGO LIZETH</t>
  </si>
  <si>
    <t xml:space="preserve">GUAITARILLA SOTO JUAN MANUEL</t>
  </si>
  <si>
    <t xml:space="preserve">CORREA LOPEZ JHARLEN VANESSA</t>
  </si>
  <si>
    <t xml:space="preserve">BEDOYA SALAZAR MIGUEL EDUARDO</t>
  </si>
  <si>
    <t xml:space="preserve">CASTRO  RUTH VANESA</t>
  </si>
  <si>
    <t xml:space="preserve">GONZALEZ PEREZ EDWIN</t>
  </si>
  <si>
    <t xml:space="preserve">RAMIREZ LOPEZ LIDA FERNANDA</t>
  </si>
  <si>
    <t xml:space="preserve">ESPINOSA ERAZO SEBASTIAN ALLEN</t>
  </si>
  <si>
    <t xml:space="preserve">ALVARADO ZAPATA JAVIER MAURICIO</t>
  </si>
  <si>
    <t xml:space="preserve">ANAYA TROYANO LUZ VIVIANA</t>
  </si>
  <si>
    <t xml:space="preserve">ZULES MEJIA LAURA ISABEL</t>
  </si>
  <si>
    <t xml:space="preserve">MEJIA COBILLA JOHNATTAN DAVID</t>
  </si>
  <si>
    <t xml:space="preserve">JIMENEZ LARRAHONDO MICHEL ALEJANDRA</t>
  </si>
  <si>
    <t xml:space="preserve">MONTENEGRO FIGUEROA YEFERSON STIVEN</t>
  </si>
  <si>
    <t xml:space="preserve">FORERO VILLAN NATHALIA</t>
  </si>
  <si>
    <t xml:space="preserve">TORRES AMAGUAYA DEREK DAVID</t>
  </si>
  <si>
    <t xml:space="preserve">MARCILLO DELGADO KATHERINE</t>
  </si>
  <si>
    <t xml:space="preserve">BENAVIDES PINO STEFANI</t>
  </si>
  <si>
    <t xml:space="preserve">MONDRAGON MARTINEZ VALENTINA</t>
  </si>
  <si>
    <t xml:space="preserve">ALVAREZ LEMOS STEPHANY</t>
  </si>
  <si>
    <t xml:space="preserve">TENORIO CASTILLO KATHERIN BARNEY</t>
  </si>
  <si>
    <t xml:space="preserve">RIVEROS MOGOLLON DIANA MARCELA</t>
  </si>
  <si>
    <t xml:space="preserve">CARABALI CORCINO MARIA CAMILA</t>
  </si>
  <si>
    <t xml:space="preserve">ARIAS OSORIO DIANA MARCELA</t>
  </si>
  <si>
    <t xml:space="preserve">RIOS AVILA YANDRY LORENA</t>
  </si>
  <si>
    <t xml:space="preserve">MUÑOZ PEÑA ESTEFANIA</t>
  </si>
  <si>
    <t xml:space="preserve">TABARES MORALES DIANA PATRICIA</t>
  </si>
  <si>
    <t xml:space="preserve">DELGADO AGUALIMPIA BRAYAN JUNIOR</t>
  </si>
  <si>
    <t xml:space="preserve">GOMEZ GONZALEZ NATALIA MARCELA</t>
  </si>
  <si>
    <t xml:space="preserve">CARDONA SOTO LEIDY MANUELA</t>
  </si>
  <si>
    <t xml:space="preserve">VIVAS RODRIGUEZ MARYI ANDREA</t>
  </si>
  <si>
    <t xml:space="preserve">ARIAS BRAN YERFERSON</t>
  </si>
  <si>
    <t xml:space="preserve">GALEANO RAMOS DAHIANA MICHELL</t>
  </si>
  <si>
    <t xml:space="preserve">VALENCIA RATIVA LADY LICETH</t>
  </si>
  <si>
    <t xml:space="preserve">CAUSADO CURREA CRISTIAN CAMILO</t>
  </si>
  <si>
    <t xml:space="preserve">MOLINA ROBINSON YOLIMA ANDREA</t>
  </si>
  <si>
    <t xml:space="preserve">CORREA ARIAS LEYDI VANESSA</t>
  </si>
  <si>
    <t xml:space="preserve">CABEZAS VALENCIA INGRID JULIETH</t>
  </si>
  <si>
    <t xml:space="preserve">ALBARAN MURIEL PAOLA ANDREA</t>
  </si>
  <si>
    <t xml:space="preserve">ALZATE ARCE JUAN ESTEBAN</t>
  </si>
  <si>
    <t xml:space="preserve">BOCANEGRA GONZALEZ DANIELA</t>
  </si>
  <si>
    <t xml:space="preserve">CERON CASTILLO DAVID DANIEL</t>
  </si>
  <si>
    <t xml:space="preserve">ANGULO CORTES LUISA FERNANDA</t>
  </si>
  <si>
    <t xml:space="preserve">GUTIERREZ IJAJI DIANA FERNANDA</t>
  </si>
  <si>
    <t xml:space="preserve">TENORIO  KARELIZ STEPHANNY</t>
  </si>
  <si>
    <t xml:space="preserve">CARABALI CARABALI LAURA MARCELA</t>
  </si>
  <si>
    <t xml:space="preserve">OCAMPO ZEMANATE LEIDY VANESSA</t>
  </si>
  <si>
    <t xml:space="preserve">PERTUZ BARRIOS ISABEL MARIA</t>
  </si>
  <si>
    <t xml:space="preserve">RAMOS CARABALI YINETH</t>
  </si>
  <si>
    <t xml:space="preserve">NAZARIT  CARMEN JANETH</t>
  </si>
  <si>
    <t xml:space="preserve">RAMIREZ GARCIA BRYAN</t>
  </si>
  <si>
    <t xml:space="preserve">CAICEDO  LUZ ADRIANA</t>
  </si>
  <si>
    <t xml:space="preserve">VALENCIA VALENCIA BETTY FRANCISCA</t>
  </si>
  <si>
    <t xml:space="preserve">FRANCO ROLDAN GERMAN CAMILO</t>
  </si>
  <si>
    <t xml:space="preserve">SAAVEDRA MAYORCA DIANA KATERINE</t>
  </si>
  <si>
    <t xml:space="preserve">CARDONA ZAPATA DIANA CAROLINA</t>
  </si>
  <si>
    <t xml:space="preserve">MARTINEZ  CUASQUEN LINA MARCELA</t>
  </si>
  <si>
    <t xml:space="preserve">SOLORZANO VERGARA VALENTINA</t>
  </si>
  <si>
    <t xml:space="preserve">DELGADO TABIMA JESSICA</t>
  </si>
  <si>
    <t xml:space="preserve">BACCA ALVAREZ LUISA FERNANDA</t>
  </si>
  <si>
    <t xml:space="preserve">ORBES  LASSO ANGELA DANIELA</t>
  </si>
  <si>
    <t xml:space="preserve">VELASQUEZ HERNANDEZ LEYDY YULIETH</t>
  </si>
  <si>
    <t xml:space="preserve">DEVIA MONEDERO KATHERINE</t>
  </si>
  <si>
    <t xml:space="preserve">ARIAS CERON ELIANA MARCELA</t>
  </si>
  <si>
    <t xml:space="preserve">GARCIA SANDOBAL ALEXANDER</t>
  </si>
  <si>
    <t xml:space="preserve">ARIAS CEBALLOS JESSICA MARIA</t>
  </si>
  <si>
    <t xml:space="preserve">BARONA ORTIZ KATHERINE</t>
  </si>
  <si>
    <t xml:space="preserve">QUINTERO QUINTERO SANDRA PATRICIA</t>
  </si>
  <si>
    <t xml:space="preserve">MORALES YALANDA CONSUELO</t>
  </si>
  <si>
    <t xml:space="preserve">MURILLO MURILLO KAREN GISELA</t>
  </si>
  <si>
    <t xml:space="preserve">RODRIGUEZ IZQUIERDO KAROL LICETH</t>
  </si>
  <si>
    <t xml:space="preserve">HENAO ACOSTA FERNEY</t>
  </si>
  <si>
    <t xml:space="preserve">JARAMILLO OSSA FARIDE</t>
  </si>
  <si>
    <t xml:space="preserve">CASTAÑEDA PEREZ LINA MARIA</t>
  </si>
  <si>
    <t xml:space="preserve">NOA  EBENSON ALEXANDER</t>
  </si>
  <si>
    <t xml:space="preserve">COSME VIAFARA MAYERLI</t>
  </si>
  <si>
    <t xml:space="preserve">MINA CAMPO DIANA LIZETH</t>
  </si>
  <si>
    <t xml:space="preserve">SANCHEZ MARTINEZ MAILY CATALINA</t>
  </si>
  <si>
    <t xml:space="preserve">LONDOÑO LOPEZ EDWIN</t>
  </si>
  <si>
    <t xml:space="preserve">PIEDRAHITA COLORADO VALENTINA</t>
  </si>
  <si>
    <t xml:space="preserve">GALVIS CIFUENTES SILVANA</t>
  </si>
  <si>
    <t xml:space="preserve">SAAVEDRA CAMACHO DANIELA</t>
  </si>
  <si>
    <t xml:space="preserve">JIMENEZ COGOLLO SIRLY YAREI</t>
  </si>
  <si>
    <t xml:space="preserve">MARTINEZ HURTADO KENNDY YESENIA</t>
  </si>
  <si>
    <t xml:space="preserve">PINO MUÑOZ MARIA CAMILA</t>
  </si>
  <si>
    <t xml:space="preserve">MONTILLA GARCIA DIANA MANYELY</t>
  </si>
  <si>
    <t xml:space="preserve">GALVIS CATAÑO LINA MARCELA</t>
  </si>
  <si>
    <t xml:space="preserve">VELEZ LOBATON YULI GISEL</t>
  </si>
  <si>
    <t xml:space="preserve">CRUZ CASTILLO VALENTINA</t>
  </si>
  <si>
    <t xml:space="preserve">LOPEZ GARCIA SANTIAGO</t>
  </si>
  <si>
    <t xml:space="preserve">RUIZ BARONA INGRID PATRICIA</t>
  </si>
  <si>
    <t xml:space="preserve">VALENCIA JARAMILLO JESUS DAVID</t>
  </si>
  <si>
    <t xml:space="preserve">MARTAN OBREGON ANLLY LILIANA</t>
  </si>
  <si>
    <t xml:space="preserve">JIMENEZ GIRALDO AURA MARIA</t>
  </si>
  <si>
    <t xml:space="preserve">MURILLO ENRIQUEZ JUAN PABLO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</si>
</sst>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_(&quot;$ &quot;* #,##0.00_);_(&quot;$ &quot;* \(#,##0.00\);_(&quot;$ &quot;* \-??_);_(@_)"/>
    <numFmt numFmtId="166" formatCode="0%"/>
    <numFmt numFmtId="167" formatCode="&quot;$ &quot;#,##0"/>
    <numFmt numFmtId="168" formatCode="0.00%"/>
    <numFmt numFmtId="169" formatCode="@"/>
    <numFmt numFmtId="170" formatCode="#,##0"/>
    <numFmt numFmtId="171" formatCode="0.00"/>
    <numFmt numFmtId="172" formatCode="_(* #,##0.00_);_(* \(#,##0.00\);_(* \-??_);_(@_)"/>
    <numFmt numFmtId="173" formatCode="#,##0.0"/>
    <numFmt numFmtId="174" formatCode="_-* #,##0_-;\-* #,##0_-;_-* \-??_-;_-@_-"/>
    <numFmt numFmtId="175" formatCode="_-* #,##0_-;\-* #,##0_-;_-* \-_-;_-@_-"/>
    <numFmt numFmtId="176" formatCode="_-* #,##0.00_-;\-* #,##0.00_-;_-* \-_-;_-@_-"/>
    <numFmt numFmtId="177" formatCode="#,##0.00"/>
    <numFmt numFmtId="178" formatCode="dd/mm/yyyy\ hh:mm"/>
    <numFmt numFmtId="179" formatCode="\$#,##0"/>
    <numFmt numFmtId="180" formatCode="#,##0_ ;\-#,##0\ "/>
    <numFmt numFmtId="181" formatCode="dd/mm/yyyy"/>
    <numFmt numFmtId="182" formatCode="_-&quot;$ &quot;* #,##0.00_-;&quot;-$ &quot;* #,##0.00_-;_-&quot;$ &quot;* \-??_-;_-@_-"/>
    <numFmt numFmtId="183" formatCode="_-&quot;$ &quot;* #,##0_-;&quot;-$ &quot;* #,##0_-;_-&quot;$ &quot;* \-??_-;_-@_-"/>
    <numFmt numFmtId="184" formatCode="0.0"/>
    <numFmt numFmtId="185" formatCode="0.0%"/>
    <numFmt numFmtId="186" formatCode="[$-F800]dddd&quot;, &quot;mmmm\ dd&quot;, &quot;yyyy"/>
    <numFmt numFmtId="187" formatCode="0"/>
    <numFmt numFmtId="188" formatCode="_-* #,##0\ _€_-;\-* #,##0\ _€_-;_-* \-??\ _€_-;_-@_-"/>
    <numFmt numFmtId="189" formatCode="#,##0_);\(#,##0\)"/>
    <numFmt numFmtId="190" formatCode="_(* #,##0_);_(* \(#,##0\);_(* \-??_);_(@_)"/>
    <numFmt numFmtId="191" formatCode="&quot;$ &quot;#,##0.00;[RED]&quot;-$ &quot;#,##0.00"/>
  </numFmts>
  <fonts count="6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0"/>
      <name val="Arial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Arial"/>
      <family val="2"/>
    </font>
    <font>
      <b val="true"/>
      <sz val="11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0"/>
      <color theme="0"/>
      <name val="Trebuchet MS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6"/>
      <color theme="1"/>
      <name val="Calibri"/>
      <family val="0"/>
    </font>
    <font>
      <sz val="12"/>
      <color theme="1"/>
      <name val="Arial"/>
      <family val="2"/>
      <charset val="1"/>
    </font>
    <font>
      <sz val="11"/>
      <color rgb="FF161616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3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9"/>
      <color theme="0"/>
      <name val="Arial"/>
      <family val="2"/>
      <charset val="1"/>
    </font>
    <font>
      <i val="true"/>
      <sz val="11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7"/>
      <color theme="1"/>
      <name val="Arial"/>
      <family val="2"/>
      <charset val="1"/>
    </font>
    <font>
      <sz val="6"/>
      <color theme="1"/>
      <name val="Arial"/>
      <family val="2"/>
      <charset val="1"/>
    </font>
    <font>
      <b val="true"/>
      <sz val="9"/>
      <color theme="0"/>
      <name val="Arial"/>
      <family val="2"/>
    </font>
    <font>
      <b val="true"/>
      <sz val="11"/>
      <color theme="0"/>
      <name val="Arial"/>
      <family val="2"/>
    </font>
    <font>
      <b val="true"/>
      <sz val="11"/>
      <color rgb="FFFFFFFF"/>
      <name val="Arial"/>
      <family val="0"/>
    </font>
    <font>
      <b val="true"/>
      <sz val="10"/>
      <color rgb="FF000080"/>
      <name val="Arial"/>
      <family val="0"/>
    </font>
    <font>
      <b val="true"/>
      <sz val="10"/>
      <color theme="0"/>
      <name val="Arial"/>
      <family val="2"/>
    </font>
    <font>
      <b val="true"/>
      <sz val="12"/>
      <color theme="0"/>
      <name val="Arial"/>
      <family val="2"/>
    </font>
    <font>
      <b val="true"/>
      <sz val="12"/>
      <color rgb="FF000000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 Black"/>
      <family val="0"/>
      <charset val="1"/>
    </font>
    <font>
      <b val="true"/>
      <sz val="20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6"/>
      <color theme="1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8"/>
      <color rgb="FFFFFFFF"/>
      <name val="Arial"/>
      <family val="0"/>
    </font>
    <font>
      <b val="true"/>
      <sz val="12"/>
      <color rgb="FFFFFFFF"/>
      <name val="Arial"/>
      <family val="0"/>
    </font>
    <font>
      <sz val="14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-0.5"/>
        <bgColor rgb="FF30501C"/>
      </patternFill>
    </fill>
    <fill>
      <patternFill patternType="solid">
        <fgColor rgb="FFFFFFFF"/>
        <bgColor rgb="FFF9FBFD"/>
      </patternFill>
    </fill>
    <fill>
      <patternFill patternType="solid">
        <fgColor rgb="FFFFCC99"/>
        <bgColor rgb="FFFBE5D6"/>
      </patternFill>
    </fill>
    <fill>
      <patternFill patternType="solid">
        <fgColor theme="0" tint="-0.35"/>
        <bgColor rgb="FFA5A5A5"/>
      </patternFill>
    </fill>
    <fill>
      <patternFill patternType="solid">
        <fgColor rgb="FF60AEB7"/>
        <bgColor rgb="FF70AD47"/>
      </patternFill>
    </fill>
    <fill>
      <patternFill patternType="solid">
        <fgColor theme="9" tint="-0.25"/>
        <bgColor rgb="FF53872E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05"/>
        <bgColor rgb="FFEFEFFF"/>
      </patternFill>
    </fill>
    <fill>
      <patternFill patternType="solid">
        <fgColor theme="5" tint="0.7999"/>
        <bgColor rgb="FFF2F2F2"/>
      </patternFill>
    </fill>
    <fill>
      <patternFill patternType="solid">
        <fgColor rgb="FFFFFF00"/>
        <bgColor rgb="FFCCCC00"/>
      </patternFill>
    </fill>
    <fill>
      <patternFill patternType="solid">
        <fgColor rgb="FF0070C0"/>
        <bgColor rgb="FF2E75B6"/>
      </patternFill>
    </fill>
    <fill>
      <patternFill patternType="solid">
        <fgColor rgb="FF3B0141"/>
        <bgColor rgb="FF161616"/>
      </patternFill>
    </fill>
    <fill>
      <patternFill patternType="solid">
        <fgColor rgb="FF3F6228"/>
        <bgColor rgb="FF385724"/>
      </patternFill>
    </fill>
    <fill>
      <patternFill patternType="solid">
        <fgColor rgb="FFB25E25"/>
        <bgColor rgb="FF993366"/>
      </patternFill>
    </fill>
    <fill>
      <patternFill patternType="solid">
        <fgColor rgb="FF2F75B5"/>
        <bgColor rgb="FF2E75B6"/>
      </patternFill>
    </fill>
    <fill>
      <patternFill patternType="solid">
        <fgColor rgb="FFF9FBFD"/>
        <bgColor rgb="FFFFFFFF"/>
      </patternFill>
    </fill>
    <fill>
      <patternFill patternType="solid">
        <fgColor rgb="FFEFEFFF"/>
        <bgColor rgb="FFF2F2F2"/>
      </patternFill>
    </fill>
    <fill>
      <patternFill patternType="solid">
        <fgColor theme="7"/>
        <bgColor rgb="FFCCCC00"/>
      </patternFill>
    </fill>
    <fill>
      <patternFill patternType="solid">
        <fgColor theme="4" tint="0.5999"/>
        <bgColor rgb="FFD9D9FF"/>
      </patternFill>
    </fill>
    <fill>
      <patternFill patternType="solid">
        <fgColor rgb="FFCCCC00"/>
        <bgColor rgb="FFFFC000"/>
      </patternFill>
    </fill>
    <fill>
      <patternFill patternType="solid">
        <fgColor rgb="FFD9D9FF"/>
        <bgColor rgb="FFD9D9D9"/>
      </patternFill>
    </fill>
    <fill>
      <patternFill patternType="solid">
        <fgColor theme="9"/>
        <bgColor rgb="FF53872E"/>
      </patternFill>
    </fill>
    <fill>
      <patternFill patternType="solid">
        <fgColor theme="9" tint="0.7999"/>
        <bgColor rgb="FFEAF4E4"/>
      </patternFill>
    </fill>
    <fill>
      <patternFill patternType="solid">
        <fgColor theme="6"/>
        <bgColor rgb="FFA6A6A6"/>
      </patternFill>
    </fill>
    <fill>
      <patternFill patternType="solid">
        <fgColor rgb="FFB07BD7"/>
        <bgColor rgb="FF8B8B8B"/>
      </patternFill>
    </fill>
    <fill>
      <patternFill patternType="solid">
        <fgColor rgb="FFFF0000"/>
        <bgColor rgb="FF800000"/>
      </patternFill>
    </fill>
    <fill>
      <patternFill patternType="solid">
        <fgColor theme="4" tint="0.3999"/>
        <bgColor rgb="FF99CCFF"/>
      </patternFill>
    </fill>
    <fill>
      <patternFill patternType="solid">
        <fgColor rgb="FFEAF4E4"/>
        <bgColor rgb="FFE2F0D9"/>
      </patternFill>
    </fill>
    <fill>
      <patternFill patternType="solid">
        <fgColor theme="9" tint="0.5999"/>
        <bgColor rgb="FFD9D9D9"/>
      </patternFill>
    </fill>
    <fill>
      <patternFill patternType="solid">
        <fgColor theme="4" tint="-0.25"/>
        <bgColor rgb="FF2F75B5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3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7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9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9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2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7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11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" fillId="0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2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2" fillId="1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0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1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5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1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81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11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4" fillId="2" borderId="3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3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8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28" fillId="0" borderId="1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2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11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8" fillId="11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11" borderId="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28" fillId="11" borderId="1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1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1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3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2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0" fillId="0" borderId="2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22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5" fillId="18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5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0" borderId="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6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36" fillId="2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36" fillId="0" borderId="17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85" fontId="5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85" fontId="36" fillId="0" borderId="19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2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11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1" fillId="11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3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2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22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3" borderId="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36" fillId="2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22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3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5" fillId="2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" fillId="17" borderId="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89" fontId="5" fillId="17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7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17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17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" fillId="28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" fillId="17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5" fillId="28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28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5" fillId="17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8" fillId="17" borderId="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7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70" fontId="39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8" borderId="17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" fillId="28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8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87" fontId="5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0" fillId="17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5" fillId="0" borderId="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8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7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7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5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7" borderId="35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5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0" fillId="17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1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17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3" fillId="17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17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6" fillId="17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54" fillId="17" borderId="2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5" fillId="17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17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4" fillId="17" borderId="35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5" fillId="17" borderId="35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4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55" fillId="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5" fillId="3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6" fillId="17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4" fillId="17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31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4" fillId="11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4" fillId="11" borderId="3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4" fillId="0" borderId="3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6" fillId="0" borderId="3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57" fillId="0" borderId="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6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81" fontId="57" fillId="0" borderId="1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55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  <cellStyle name="Normal 7" xfId="22"/>
    <cellStyle name="Porcentaje 2" xfId="23"/>
    <cellStyle name="Excel Built-in Comma [0]" xfId="24"/>
  </cellStyles>
  <dxfs count="20">
    <dxf>
      <fill>
        <patternFill patternType="solid">
          <fgColor rgb="FF3B014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ont>
        <color rgb="FFFFFFFF"/>
      </font>
      <fill>
        <patternFill>
          <bgColor rgb="FFFF0000"/>
        </patternFill>
      </fill>
    </dxf>
    <dxf>
      <font>
        <b val="1"/>
        <i val="0"/>
        <color rgb="FFFF0000"/>
      </font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9FBFD"/>
      <rgbColor rgb="FF800000"/>
      <rgbColor rgb="FF3F6228"/>
      <rgbColor rgb="FF000080"/>
      <rgbColor rgb="FF548235"/>
      <rgbColor rgb="FF800080"/>
      <rgbColor rgb="FF2F75B5"/>
      <rgbColor rgb="FF9DC3E6"/>
      <rgbColor rgb="FF8B8B8B"/>
      <rgbColor rgb="FFB07BD7"/>
      <rgbColor rgb="FF993366"/>
      <rgbColor rgb="FFEAF4E4"/>
      <rgbColor rgb="FFEFEFFF"/>
      <rgbColor rgb="FF3B0141"/>
      <rgbColor rgb="FFA9D18E"/>
      <rgbColor rgb="FF0070C0"/>
      <rgbColor rgb="FFD9D9FF"/>
      <rgbColor rgb="FF000080"/>
      <rgbColor rgb="FFFF00FF"/>
      <rgbColor rgb="FFC5E0B4"/>
      <rgbColor rgb="FF00FFFF"/>
      <rgbColor rgb="FF800080"/>
      <rgbColor rgb="FF800000"/>
      <rgbColor rgb="FF00B050"/>
      <rgbColor rgb="FF0000FF"/>
      <rgbColor rgb="FFBDD7EE"/>
      <rgbColor rgb="FFF2F2F2"/>
      <rgbColor rgb="FFE2F0D9"/>
      <rgbColor rgb="FFFBE5D6"/>
      <rgbColor rgb="FF99CCFF"/>
      <rgbColor rgb="FFD9D9D9"/>
      <rgbColor rgb="FFA6A6A6"/>
      <rgbColor rgb="FFFFCC99"/>
      <rgbColor rgb="FF2E75B6"/>
      <rgbColor rgb="FF60AEB7"/>
      <rgbColor rgb="FFCCCC00"/>
      <rgbColor rgb="FFFFC000"/>
      <rgbColor rgb="FF70AD47"/>
      <rgbColor rgb="FFFF6600"/>
      <rgbColor rgb="FF595959"/>
      <rgbColor rgb="FFA5A5A5"/>
      <rgbColor rgb="FF003366"/>
      <rgbColor rgb="FF53872E"/>
      <rgbColor rgb="FF161616"/>
      <rgbColor rgb="FF385724"/>
      <rgbColor rgb="FFB25E25"/>
      <rgbColor rgb="FF993366"/>
      <rgbColor rgb="FF333399"/>
      <rgbColor rgb="FF3050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Capacidad_Endeudamiento!$B$124</c:f>
              <c:strCache>
                <c:ptCount val="1"/>
                <c:pt idx="0">
                  <c:v>Historico Nivel de Endeudamiento - Varon Barrios Yina Marcela</c:v>
                </c:pt>
              </c:strCache>
            </c:strRef>
          </c:tx>
          <c:spPr>
            <a:gradFill>
              <a:gsLst>
                <a:gs pos="0">
                  <a:srgbClr val="30501c"/>
                </a:gs>
                <a:gs pos="50000">
                  <a:srgbClr val="457227"/>
                </a:gs>
                <a:gs pos="100000">
                  <a:srgbClr val="53872e"/>
                </a:gs>
              </a:gsLst>
              <a:lin ang="2700000"/>
            </a:gradFill>
            <a:ln w="12600">
              <a:noFill/>
            </a:ln>
          </c:spPr>
          <c:invertIfNegative val="0"/>
          <c:dPt>
            <c:idx val="0"/>
            <c:invertIfNegative val="0"/>
            <c:spPr>
              <a:gradFill>
                <a:gsLst>
                  <a:gs pos="0">
                    <a:srgbClr val="30501c"/>
                  </a:gs>
                  <a:gs pos="50000">
                    <a:srgbClr val="457227"/>
                  </a:gs>
                  <a:gs pos="100000">
                    <a:srgbClr val="53872e"/>
                  </a:gs>
                </a:gsLst>
                <a:lin ang="2700000"/>
              </a:gradFill>
              <a:ln w="12600">
                <a:noFill/>
              </a:ln>
            </c:spPr>
          </c:dPt>
          <c:dPt>
            <c:idx val="1"/>
            <c:invertIfNegative val="0"/>
            <c:spPr>
              <a:gradFill>
                <a:gsLst>
                  <a:gs pos="0">
                    <a:srgbClr val="30501c"/>
                  </a:gs>
                  <a:gs pos="50000">
                    <a:srgbClr val="457227"/>
                  </a:gs>
                  <a:gs pos="100000">
                    <a:srgbClr val="53872e"/>
                  </a:gs>
                </a:gsLst>
                <a:lin ang="2700000"/>
              </a:gradFill>
              <a:ln w="12600">
                <a:noFill/>
              </a:ln>
            </c:spPr>
          </c:dPt>
          <c:dPt>
            <c:idx val="3"/>
            <c:invertIfNegative val="0"/>
            <c:spPr>
              <a:gradFill>
                <a:gsLst>
                  <a:gs pos="0">
                    <a:srgbClr val="30501c"/>
                  </a:gs>
                  <a:gs pos="50000">
                    <a:srgbClr val="457227"/>
                  </a:gs>
                  <a:gs pos="100000">
                    <a:srgbClr val="53872e"/>
                  </a:gs>
                </a:gsLst>
                <a:lin ang="2700000"/>
              </a:gradFill>
              <a:ln w="12600">
                <a:noFill/>
              </a:ln>
            </c:spPr>
          </c:dPt>
          <c:dLbls>
            <c:dLbl>
              <c:idx val="0"/>
              <c:layout>
                <c:manualLayout>
                  <c:x val="0.0361111111111111"/>
                  <c:y val="-0.0738177623990773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0.025"/>
                  <c:y val="-0.069204152249135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0.0305555555555556"/>
                  <c:y val="-0.083044982698962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0" sourceLinked="1"/>
            <c:txPr>
              <a:bodyPr wrap="square"/>
              <a:lstStyle/>
              <a:p>
                <a:pPr>
                  <a:defRPr sz="1200" b="1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Capacidad_Endeudamiento!$E$130:$H$130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Capacidad_Endeudamiento!$E$131:$H$131</c:f>
              <c:numCache>
                <c:formatCode>0.00</c:formatCode>
                <c:ptCount val="4"/>
              </c:numCache>
            </c:numRef>
          </c:val>
        </c:ser>
        <c:gapWidth val="82"/>
        <c:shape val="cylinder"/>
        <c:axId val="54829288"/>
        <c:axId val="99966494"/>
        <c:axId val="0"/>
      </c:bar3DChart>
      <c:catAx>
        <c:axId val="54829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</a:defRPr>
            </a:pPr>
          </a:p>
        </c:txPr>
        <c:crossAx val="99966494"/>
        <c:crosses val="autoZero"/>
        <c:auto val="1"/>
        <c:lblAlgn val="ctr"/>
        <c:lblOffset val="100"/>
        <c:noMultiLvlLbl val="0"/>
      </c:catAx>
      <c:valAx>
        <c:axId val="9996649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829288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trlProps/ctrlProps5.xml><?xml version="1.0" encoding="utf-8"?>
<formControlPr xmlns="http://schemas.microsoft.com/office/spreadsheetml/2009/9/main" objectType="Button" lockText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#Datos_Iniciales!A1"/><Relationship Id="rId2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152280</xdr:colOff>
      <xdr:row>0</xdr:row>
      <xdr:rowOff>200160</xdr:rowOff>
    </xdr:from>
    <xdr:to>
      <xdr:col>3</xdr:col>
      <xdr:colOff>2247480</xdr:colOff>
      <xdr:row>1</xdr:row>
      <xdr:rowOff>237960</xdr:rowOff>
    </xdr:to>
    <xdr:pic>
      <xdr:nvPicPr>
        <xdr:cNvPr id="1" name="Imagen 2" descr="CoopValili"/>
        <xdr:cNvPicPr/>
      </xdr:nvPicPr>
      <xdr:blipFill>
        <a:blip r:embed="rId1"/>
        <a:stretch/>
      </xdr:blipFill>
      <xdr:spPr>
        <a:xfrm>
          <a:off x="3738600" y="200160"/>
          <a:ext cx="2095200" cy="54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317520</xdr:colOff>
      <xdr:row>32</xdr:row>
      <xdr:rowOff>149400</xdr:rowOff>
    </xdr:from>
    <xdr:to>
      <xdr:col>1</xdr:col>
      <xdr:colOff>634680</xdr:colOff>
      <xdr:row>33</xdr:row>
      <xdr:rowOff>150120</xdr:rowOff>
    </xdr:to>
    <xdr:sp>
      <xdr:nvSpPr>
        <xdr:cNvPr id="2" name="CuadroTexto 1"/>
        <xdr:cNvSpPr/>
      </xdr:nvSpPr>
      <xdr:spPr>
        <a:xfrm>
          <a:off x="497880" y="5757840"/>
          <a:ext cx="317160" cy="176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318960</xdr:colOff>
      <xdr:row>33</xdr:row>
      <xdr:rowOff>154800</xdr:rowOff>
    </xdr:from>
    <xdr:to>
      <xdr:col>1</xdr:col>
      <xdr:colOff>636120</xdr:colOff>
      <xdr:row>34</xdr:row>
      <xdr:rowOff>155880</xdr:rowOff>
    </xdr:to>
    <xdr:sp>
      <xdr:nvSpPr>
        <xdr:cNvPr id="3" name="CuadroTexto 2"/>
        <xdr:cNvSpPr/>
      </xdr:nvSpPr>
      <xdr:spPr>
        <a:xfrm>
          <a:off x="499320" y="5938560"/>
          <a:ext cx="317160" cy="176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320760</xdr:colOff>
      <xdr:row>34</xdr:row>
      <xdr:rowOff>158040</xdr:rowOff>
    </xdr:from>
    <xdr:to>
      <xdr:col>1</xdr:col>
      <xdr:colOff>637920</xdr:colOff>
      <xdr:row>35</xdr:row>
      <xdr:rowOff>171360</xdr:rowOff>
    </xdr:to>
    <xdr:sp>
      <xdr:nvSpPr>
        <xdr:cNvPr id="4" name="CuadroTexto 3"/>
        <xdr:cNvSpPr/>
      </xdr:nvSpPr>
      <xdr:spPr>
        <a:xfrm>
          <a:off x="501120" y="6116760"/>
          <a:ext cx="317160" cy="1886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27</xdr:row>
      <xdr:rowOff>3240</xdr:rowOff>
    </xdr:from>
    <xdr:to>
      <xdr:col>1</xdr:col>
      <xdr:colOff>717120</xdr:colOff>
      <xdr:row>28</xdr:row>
      <xdr:rowOff>15120</xdr:rowOff>
    </xdr:to>
    <xdr:sp>
      <xdr:nvSpPr>
        <xdr:cNvPr id="5" name="CuadroTexto 4"/>
        <xdr:cNvSpPr/>
      </xdr:nvSpPr>
      <xdr:spPr>
        <a:xfrm>
          <a:off x="391320" y="4735440"/>
          <a:ext cx="5061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27</xdr:row>
      <xdr:rowOff>5400</xdr:rowOff>
    </xdr:from>
    <xdr:to>
      <xdr:col>3</xdr:col>
      <xdr:colOff>41400</xdr:colOff>
      <xdr:row>28</xdr:row>
      <xdr:rowOff>17280</xdr:rowOff>
    </xdr:to>
    <xdr:sp>
      <xdr:nvSpPr>
        <xdr:cNvPr id="6" name="CuadroTexto 5"/>
        <xdr:cNvSpPr/>
      </xdr:nvSpPr>
      <xdr:spPr>
        <a:xfrm rot="10800000">
          <a:off x="3179880" y="4737600"/>
          <a:ext cx="5889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29</xdr:row>
      <xdr:rowOff>148320</xdr:rowOff>
    </xdr:from>
    <xdr:to>
      <xdr:col>1</xdr:col>
      <xdr:colOff>717120</xdr:colOff>
      <xdr:row>30</xdr:row>
      <xdr:rowOff>160200</xdr:rowOff>
    </xdr:to>
    <xdr:sp>
      <xdr:nvSpPr>
        <xdr:cNvPr id="7" name="CuadroTexto 6"/>
        <xdr:cNvSpPr/>
      </xdr:nvSpPr>
      <xdr:spPr>
        <a:xfrm>
          <a:off x="391320" y="5230800"/>
          <a:ext cx="506160" cy="1872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30</xdr:row>
      <xdr:rowOff>146160</xdr:rowOff>
    </xdr:from>
    <xdr:to>
      <xdr:col>1</xdr:col>
      <xdr:colOff>717120</xdr:colOff>
      <xdr:row>31</xdr:row>
      <xdr:rowOff>157680</xdr:rowOff>
    </xdr:to>
    <xdr:sp>
      <xdr:nvSpPr>
        <xdr:cNvPr id="8" name="CuadroTexto 7"/>
        <xdr:cNvSpPr/>
      </xdr:nvSpPr>
      <xdr:spPr>
        <a:xfrm>
          <a:off x="391320" y="5403960"/>
          <a:ext cx="5061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28</xdr:row>
      <xdr:rowOff>171360</xdr:rowOff>
    </xdr:from>
    <xdr:to>
      <xdr:col>1</xdr:col>
      <xdr:colOff>717120</xdr:colOff>
      <xdr:row>29</xdr:row>
      <xdr:rowOff>172080</xdr:rowOff>
    </xdr:to>
    <xdr:sp>
      <xdr:nvSpPr>
        <xdr:cNvPr id="9" name="CuadroTexto 8"/>
        <xdr:cNvSpPr/>
      </xdr:nvSpPr>
      <xdr:spPr>
        <a:xfrm>
          <a:off x="391320" y="5078520"/>
          <a:ext cx="506160" cy="176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28</xdr:row>
      <xdr:rowOff>26640</xdr:rowOff>
    </xdr:from>
    <xdr:to>
      <xdr:col>1</xdr:col>
      <xdr:colOff>717120</xdr:colOff>
      <xdr:row>29</xdr:row>
      <xdr:rowOff>38160</xdr:rowOff>
    </xdr:to>
    <xdr:sp>
      <xdr:nvSpPr>
        <xdr:cNvPr id="10" name="CuadroTexto 9"/>
        <xdr:cNvSpPr/>
      </xdr:nvSpPr>
      <xdr:spPr>
        <a:xfrm>
          <a:off x="391320" y="4933800"/>
          <a:ext cx="5061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210960</xdr:colOff>
      <xdr:row>31</xdr:row>
      <xdr:rowOff>161280</xdr:rowOff>
    </xdr:from>
    <xdr:to>
      <xdr:col>1</xdr:col>
      <xdr:colOff>717120</xdr:colOff>
      <xdr:row>32</xdr:row>
      <xdr:rowOff>161640</xdr:rowOff>
    </xdr:to>
    <xdr:sp>
      <xdr:nvSpPr>
        <xdr:cNvPr id="11" name="CuadroTexto 10"/>
        <xdr:cNvSpPr/>
      </xdr:nvSpPr>
      <xdr:spPr>
        <a:xfrm>
          <a:off x="391320" y="5594400"/>
          <a:ext cx="506160" cy="1756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28</xdr:row>
      <xdr:rowOff>6480</xdr:rowOff>
    </xdr:from>
    <xdr:to>
      <xdr:col>3</xdr:col>
      <xdr:colOff>41400</xdr:colOff>
      <xdr:row>29</xdr:row>
      <xdr:rowOff>6840</xdr:rowOff>
    </xdr:to>
    <xdr:sp>
      <xdr:nvSpPr>
        <xdr:cNvPr id="12" name="CuadroTexto 11"/>
        <xdr:cNvSpPr/>
      </xdr:nvSpPr>
      <xdr:spPr>
        <a:xfrm rot="10800000">
          <a:off x="3179880" y="4913640"/>
          <a:ext cx="588960" cy="1756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29</xdr:row>
      <xdr:rowOff>1080</xdr:rowOff>
    </xdr:from>
    <xdr:to>
      <xdr:col>3</xdr:col>
      <xdr:colOff>41400</xdr:colOff>
      <xdr:row>30</xdr:row>
      <xdr:rowOff>12960</xdr:rowOff>
    </xdr:to>
    <xdr:sp>
      <xdr:nvSpPr>
        <xdr:cNvPr id="13" name="CuadroTexto 12"/>
        <xdr:cNvSpPr/>
      </xdr:nvSpPr>
      <xdr:spPr>
        <a:xfrm rot="10800000">
          <a:off x="3179880" y="5083560"/>
          <a:ext cx="588960" cy="1872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29</xdr:row>
      <xdr:rowOff>169200</xdr:rowOff>
    </xdr:from>
    <xdr:to>
      <xdr:col>3</xdr:col>
      <xdr:colOff>41400</xdr:colOff>
      <xdr:row>30</xdr:row>
      <xdr:rowOff>169920</xdr:rowOff>
    </xdr:to>
    <xdr:sp>
      <xdr:nvSpPr>
        <xdr:cNvPr id="14" name="CuadroTexto 13"/>
        <xdr:cNvSpPr/>
      </xdr:nvSpPr>
      <xdr:spPr>
        <a:xfrm rot="10800000">
          <a:off x="3179880" y="5251680"/>
          <a:ext cx="588960" cy="1760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30</xdr:row>
      <xdr:rowOff>164160</xdr:rowOff>
    </xdr:from>
    <xdr:to>
      <xdr:col>3</xdr:col>
      <xdr:colOff>41400</xdr:colOff>
      <xdr:row>32</xdr:row>
      <xdr:rowOff>360</xdr:rowOff>
    </xdr:to>
    <xdr:sp>
      <xdr:nvSpPr>
        <xdr:cNvPr id="15" name="CuadroTexto 14"/>
        <xdr:cNvSpPr/>
      </xdr:nvSpPr>
      <xdr:spPr>
        <a:xfrm rot="10800000">
          <a:off x="3179880" y="5421960"/>
          <a:ext cx="5889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924480</xdr:colOff>
      <xdr:row>31</xdr:row>
      <xdr:rowOff>169560</xdr:rowOff>
    </xdr:from>
    <xdr:to>
      <xdr:col>3</xdr:col>
      <xdr:colOff>41400</xdr:colOff>
      <xdr:row>33</xdr:row>
      <xdr:rowOff>5760</xdr:rowOff>
    </xdr:to>
    <xdr:sp>
      <xdr:nvSpPr>
        <xdr:cNvPr id="16" name="CuadroTexto 15"/>
        <xdr:cNvSpPr/>
      </xdr:nvSpPr>
      <xdr:spPr>
        <a:xfrm rot="10800000">
          <a:off x="3179880" y="5602680"/>
          <a:ext cx="588960" cy="1868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lang="en-US" sz="1600" b="1" u="none" strike="noStrike">
              <a:solidFill>
                <a:schemeClr val="dk1"/>
              </a:solidFill>
              <a:effectLst/>
              <a:uFillTx/>
              <a:latin typeface="Calibri"/>
            </a:rPr>
            <a:t>&gt; =</a:t>
          </a:r>
          <a:endParaRPr lang="es-CO" sz="1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118080</xdr:colOff>
      <xdr:row>3</xdr:row>
      <xdr:rowOff>6840</xdr:rowOff>
    </xdr:from>
    <xdr:to>
      <xdr:col>6</xdr:col>
      <xdr:colOff>329760</xdr:colOff>
      <xdr:row>7</xdr:row>
      <xdr:rowOff>4320</xdr:rowOff>
    </xdr:to>
    <xdr:sp macro="[0]!Ajustar_Monto">
      <xdr:nvSpPr>
        <xdr:cNvPr id="17" name="Bisel 1"/>
        <xdr:cNvSpPr/>
      </xdr:nvSpPr>
      <xdr:spPr>
        <a:xfrm>
          <a:off x="9720000" y="592920"/>
          <a:ext cx="1848600" cy="664200"/>
        </a:xfrm>
        <a:prstGeom prst="bevel">
          <a:avLst>
            <a:gd name="adj" fmla="val 12500"/>
          </a:avLst>
        </a:prstGeom>
        <a:solidFill>
          <a:srgbClr val="385623"/>
        </a:solidFill>
        <a:ln w="12700">
          <a:solidFill>
            <a:srgbClr val="70ad47">
              <a:lumMod val="75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lang="es-CO" sz="900" b="1" u="none" strike="noStrike">
              <a:solidFill>
                <a:schemeClr val="lt1"/>
              </a:solidFill>
              <a:effectLst/>
              <a:uFillTx/>
              <a:latin typeface="Arial"/>
            </a:rPr>
            <a:t>Ajustar MONTO al 50% en CMD</a:t>
          </a:r>
          <a:endParaRPr lang="es-CO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127440</xdr:colOff>
      <xdr:row>7</xdr:row>
      <xdr:rowOff>176760</xdr:rowOff>
    </xdr:from>
    <xdr:to>
      <xdr:col>6</xdr:col>
      <xdr:colOff>339120</xdr:colOff>
      <xdr:row>11</xdr:row>
      <xdr:rowOff>146520</xdr:rowOff>
    </xdr:to>
    <xdr:sp macro="[0]!Ajustar_Monto">
      <xdr:nvSpPr>
        <xdr:cNvPr id="18" name="Bisel 9">
          <a:hlinkClick r:id="rId1"/>
        </xdr:cNvPr>
        <xdr:cNvSpPr/>
      </xdr:nvSpPr>
      <xdr:spPr>
        <a:xfrm>
          <a:off x="9729360" y="1429560"/>
          <a:ext cx="1848600" cy="789120"/>
        </a:xfrm>
        <a:prstGeom prst="bevel">
          <a:avLst>
            <a:gd name="adj" fmla="val 12500"/>
          </a:avLst>
        </a:prstGeom>
        <a:solidFill>
          <a:srgbClr val="548235"/>
        </a:solidFill>
        <a:ln w="12700">
          <a:solidFill>
            <a:srgbClr val="70ad47">
              <a:lumMod val="5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lang="es-CO" sz="1100" b="1" u="none" strike="noStrike">
              <a:solidFill>
                <a:schemeClr val="lt1"/>
              </a:solidFill>
              <a:effectLst/>
              <a:uFillTx/>
              <a:latin typeface="Arial"/>
            </a:rPr>
            <a:t>Datos iniciales</a:t>
          </a:r>
          <a:endParaRPr lang="es-CO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15120</xdr:colOff>
      <xdr:row>78</xdr:row>
      <xdr:rowOff>10080</xdr:rowOff>
    </xdr:from>
    <xdr:to>
      <xdr:col>3</xdr:col>
      <xdr:colOff>25560</xdr:colOff>
      <xdr:row>81</xdr:row>
      <xdr:rowOff>21240</xdr:rowOff>
    </xdr:to>
    <xdr:sp>
      <xdr:nvSpPr>
        <xdr:cNvPr id="19" name="Rectangle 36"/>
        <xdr:cNvSpPr/>
      </xdr:nvSpPr>
      <xdr:spPr>
        <a:xfrm>
          <a:off x="2239560" y="13763520"/>
          <a:ext cx="6424560" cy="239760"/>
        </a:xfrm>
        <a:prstGeom prst="rect">
          <a:avLst/>
        </a:prstGeom>
        <a:gradFill rotWithShape="0">
          <a:gsLst>
            <a:gs pos="5000">
              <a:srgbClr val="e2f0d9"/>
            </a:gs>
            <a:gs pos="23000">
              <a:srgbClr val="a9d18e"/>
            </a:gs>
            <a:gs pos="55000">
              <a:srgbClr val="385623"/>
            </a:gs>
          </a:gsLst>
          <a:path path="circle">
            <a:fillToRect l="100000" t="100000" r="0" b="0"/>
          </a:path>
        </a:gra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ffffff"/>
              </a:solidFill>
              <a:effectLst/>
              <a:uFillTx/>
              <a:latin typeface="Arial"/>
            </a:rPr>
            <a:t>Viabilidad Financiera</a:t>
          </a:r>
          <a:endParaRPr lang="es-CO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0</xdr:colOff>
      <xdr:row>47</xdr:row>
      <xdr:rowOff>10440</xdr:rowOff>
    </xdr:from>
    <xdr:to>
      <xdr:col>3</xdr:col>
      <xdr:colOff>10440</xdr:colOff>
      <xdr:row>48</xdr:row>
      <xdr:rowOff>51840</xdr:rowOff>
    </xdr:to>
    <xdr:sp>
      <xdr:nvSpPr>
        <xdr:cNvPr id="20" name="Rectangle 36"/>
        <xdr:cNvSpPr/>
      </xdr:nvSpPr>
      <xdr:spPr>
        <a:xfrm>
          <a:off x="2224440" y="7848720"/>
          <a:ext cx="6424560" cy="216720"/>
        </a:xfrm>
        <a:prstGeom prst="rect">
          <a:avLst/>
        </a:prstGeom>
        <a:gradFill rotWithShape="0">
          <a:gsLst>
            <a:gs pos="5000">
              <a:srgbClr val="e2f0d9"/>
            </a:gs>
            <a:gs pos="23000">
              <a:srgbClr val="a9d18e"/>
            </a:gs>
            <a:gs pos="55000">
              <a:srgbClr val="385623"/>
            </a:gs>
          </a:gsLst>
          <a:path path="circle">
            <a:fillToRect l="100000" t="100000" r="0" b="0"/>
          </a:path>
        </a:gra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ffffff"/>
              </a:solidFill>
              <a:effectLst/>
              <a:uFillTx/>
              <a:latin typeface="Arial"/>
            </a:rPr>
            <a:t>Garantias</a:t>
          </a:r>
          <a:endParaRPr lang="es-CO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9360</xdr:colOff>
      <xdr:row>56</xdr:row>
      <xdr:rowOff>105480</xdr:rowOff>
    </xdr:from>
    <xdr:to>
      <xdr:col>3</xdr:col>
      <xdr:colOff>19800</xdr:colOff>
      <xdr:row>58</xdr:row>
      <xdr:rowOff>65160</xdr:rowOff>
    </xdr:to>
    <xdr:sp>
      <xdr:nvSpPr>
        <xdr:cNvPr id="21" name="Rectangle 36"/>
        <xdr:cNvSpPr/>
      </xdr:nvSpPr>
      <xdr:spPr>
        <a:xfrm>
          <a:off x="2233800" y="9763200"/>
          <a:ext cx="6424560" cy="273960"/>
        </a:xfrm>
        <a:prstGeom prst="rect">
          <a:avLst/>
        </a:prstGeom>
        <a:gradFill rotWithShape="0">
          <a:gsLst>
            <a:gs pos="5000">
              <a:srgbClr val="e2f0d9"/>
            </a:gs>
            <a:gs pos="23000">
              <a:srgbClr val="a9d18e"/>
            </a:gs>
            <a:gs pos="55000">
              <a:srgbClr val="385623"/>
            </a:gs>
          </a:gsLst>
          <a:path path="circle">
            <a:fillToRect l="100000" t="100000" r="0" b="0"/>
          </a:path>
        </a:gra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100" b="1" u="none" strike="noStrike">
              <a:solidFill>
                <a:schemeClr val="lt1"/>
              </a:solidFill>
              <a:effectLst/>
              <a:uFillTx/>
              <a:latin typeface="Arial"/>
            </a:rPr>
            <a:t>Monto Solicitado del Crédito en Coopvalili</a:t>
          </a:r>
          <a:endParaRPr lang="es-CO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704880</xdr:colOff>
      <xdr:row>23</xdr:row>
      <xdr:rowOff>6480</xdr:rowOff>
    </xdr:from>
    <xdr:to>
      <xdr:col>3</xdr:col>
      <xdr:colOff>1080</xdr:colOff>
      <xdr:row>24</xdr:row>
      <xdr:rowOff>38520</xdr:rowOff>
    </xdr:to>
    <xdr:sp>
      <xdr:nvSpPr>
        <xdr:cNvPr id="22" name="Rectangle 36"/>
        <xdr:cNvSpPr/>
      </xdr:nvSpPr>
      <xdr:spPr>
        <a:xfrm>
          <a:off x="704880" y="4010040"/>
          <a:ext cx="7934760" cy="207360"/>
        </a:xfrm>
        <a:prstGeom prst="rect">
          <a:avLst/>
        </a:prstGeom>
        <a:gradFill rotWithShape="0">
          <a:gsLst>
            <a:gs pos="5000">
              <a:srgbClr val="e2f0d9"/>
            </a:gs>
            <a:gs pos="23000">
              <a:srgbClr val="a9d18e"/>
            </a:gs>
            <a:gs pos="55000">
              <a:srgbClr val="385623"/>
            </a:gs>
          </a:gsLst>
          <a:path path="circle">
            <a:fillToRect l="100000" t="100000" r="0" b="0"/>
          </a:path>
        </a:gra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200" b="1" u="none" strike="noStrike">
              <a:solidFill>
                <a:schemeClr val="lt1"/>
              </a:solidFill>
              <a:effectLst/>
              <a:uFillTx/>
              <a:latin typeface="Arial"/>
            </a:rPr>
            <a:t>Información Financiera del Asociado</a:t>
          </a:r>
          <a:endParaRPr lang="es-CO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704880</xdr:colOff>
      <xdr:row>8</xdr:row>
      <xdr:rowOff>52200</xdr:rowOff>
    </xdr:from>
    <xdr:to>
      <xdr:col>3</xdr:col>
      <xdr:colOff>1080</xdr:colOff>
      <xdr:row>9</xdr:row>
      <xdr:rowOff>61200</xdr:rowOff>
    </xdr:to>
    <xdr:sp>
      <xdr:nvSpPr>
        <xdr:cNvPr id="23" name="Rectangle 36"/>
        <xdr:cNvSpPr/>
      </xdr:nvSpPr>
      <xdr:spPr>
        <a:xfrm>
          <a:off x="704880" y="1495440"/>
          <a:ext cx="7934760" cy="256680"/>
        </a:xfrm>
        <a:prstGeom prst="rect">
          <a:avLst/>
        </a:prstGeom>
        <a:gradFill rotWithShape="0">
          <a:gsLst>
            <a:gs pos="5000">
              <a:srgbClr val="e2f0d9"/>
            </a:gs>
            <a:gs pos="23000">
              <a:srgbClr val="a9d18e"/>
            </a:gs>
            <a:gs pos="55000">
              <a:srgbClr val="385623"/>
            </a:gs>
          </a:gsLst>
          <a:path path="circle">
            <a:fillToRect l="100000" t="100000" r="0" b="0"/>
          </a:path>
        </a:gra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200" b="1" u="none" strike="noStrike">
              <a:solidFill>
                <a:schemeClr val="lt1"/>
              </a:solidFill>
              <a:effectLst/>
              <a:uFillTx/>
              <a:latin typeface="Arial"/>
            </a:rPr>
            <a:t> Datos Básicos del Asociado</a:t>
          </a:r>
          <a:endParaRPr lang="es-CO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609480</xdr:colOff>
      <xdr:row>123</xdr:row>
      <xdr:rowOff>154080</xdr:rowOff>
    </xdr:from>
    <xdr:to>
      <xdr:col>2</xdr:col>
      <xdr:colOff>1104480</xdr:colOff>
      <xdr:row>139</xdr:row>
      <xdr:rowOff>10440</xdr:rowOff>
    </xdr:to>
    <xdr:graphicFrame>
      <xdr:nvGraphicFramePr>
        <xdr:cNvPr id="24" name="Gráfico 2"/>
        <xdr:cNvGraphicFramePr/>
      </xdr:nvGraphicFramePr>
      <xdr:xfrm>
        <a:off x="609480" y="21426480"/>
        <a:ext cx="6274800" cy="25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615240</xdr:colOff>
          <xdr:row>4</xdr:row>
          <xdr:rowOff>90000</xdr:rowOff>
        </xdr:from>
        <xdr:to>
          <xdr:col>9</xdr:col>
          <xdr:colOff>-317520</xdr:colOff>
          <xdr:row>7</xdr:row>
          <xdr:rowOff>137880</xdr:rowOff>
        </xdr:to>
        <xdr:sp>
          <xdr:nvSpPr>
            <xdr:cNvPr id="1001" name="Button 3" descr="Grabar &#10;Dato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Grabar 
Datos</a:t>
              </a:r>
            </a:p>
          </xdr:txBody>
        </xdr:sp>
        <xdr:clientData/>
      </xdr:twoCellAnchor>
    </mc:Choice>
  </mc:AlternateContent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47520</xdr:colOff>
      <xdr:row>2</xdr:row>
      <xdr:rowOff>138240</xdr:rowOff>
    </xdr:from>
    <xdr:to>
      <xdr:col>5</xdr:col>
      <xdr:colOff>723600</xdr:colOff>
      <xdr:row>6</xdr:row>
      <xdr:rowOff>50040</xdr:rowOff>
    </xdr:to>
    <xdr:sp macro="[0]!Datos_Iniciales">
      <xdr:nvSpPr>
        <xdr:cNvPr id="25" name="Bisel 2"/>
        <xdr:cNvSpPr/>
      </xdr:nvSpPr>
      <xdr:spPr>
        <a:xfrm>
          <a:off x="6273720" y="871560"/>
          <a:ext cx="1482480" cy="644760"/>
        </a:xfrm>
        <a:prstGeom prst="bevel">
          <a:avLst>
            <a:gd name="adj" fmla="val 12500"/>
          </a:avLst>
        </a:prstGeom>
        <a:solidFill>
          <a:srgbClr val="385623"/>
        </a:solidFill>
        <a:ln w="12700">
          <a:solidFill>
            <a:srgbClr val="70ad47">
              <a:lumMod val="5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lang="es-CO" sz="1100" b="1" u="none" strike="noStrike">
              <a:solidFill>
                <a:schemeClr val="lt1"/>
              </a:solidFill>
              <a:effectLst/>
              <a:uFillTx/>
              <a:latin typeface="Arial"/>
            </a:rPr>
            <a:t>Ingresar Datos Asociado</a:t>
          </a:r>
          <a:endParaRPr lang="es-CO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81000</xdr:colOff>
      <xdr:row>7</xdr:row>
      <xdr:rowOff>202680</xdr:rowOff>
    </xdr:from>
    <xdr:to>
      <xdr:col>5</xdr:col>
      <xdr:colOff>743040</xdr:colOff>
      <xdr:row>10</xdr:row>
      <xdr:rowOff>237960</xdr:rowOff>
    </xdr:to>
    <xdr:sp macro="[0]!Limpiar_Datos">
      <xdr:nvSpPr>
        <xdr:cNvPr id="26" name="Bisel 4"/>
        <xdr:cNvSpPr/>
      </xdr:nvSpPr>
      <xdr:spPr>
        <a:xfrm>
          <a:off x="6307200" y="1726200"/>
          <a:ext cx="1468440" cy="630720"/>
        </a:xfrm>
        <a:prstGeom prst="bevel">
          <a:avLst>
            <a:gd name="adj" fmla="val 12500"/>
          </a:avLst>
        </a:prstGeom>
        <a:solidFill>
          <a:srgbClr val="385623"/>
        </a:solidFill>
        <a:ln w="12700">
          <a:solidFill>
            <a:srgbClr val="70ad47">
              <a:lumMod val="50000"/>
            </a:srgbClr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lang="es-CO" sz="1100" b="1" u="none" strike="noStrike">
              <a:solidFill>
                <a:schemeClr val="lt1"/>
              </a:solidFill>
              <a:effectLst/>
              <a:uFillTx/>
              <a:latin typeface="Arial"/>
            </a:rPr>
            <a:t>Borrar Datos</a:t>
          </a:r>
          <a:endParaRPr lang="es-CO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47520</xdr:colOff>
      <xdr:row>1</xdr:row>
      <xdr:rowOff>237960</xdr:rowOff>
    </xdr:from>
    <xdr:to>
      <xdr:col>2</xdr:col>
      <xdr:colOff>1487880</xdr:colOff>
      <xdr:row>2</xdr:row>
      <xdr:rowOff>117360</xdr:rowOff>
    </xdr:to>
    <xdr:sp>
      <xdr:nvSpPr>
        <xdr:cNvPr id="27" name="Rectangle 36"/>
        <xdr:cNvSpPr/>
      </xdr:nvSpPr>
      <xdr:spPr>
        <a:xfrm>
          <a:off x="407520" y="533160"/>
          <a:ext cx="4847040" cy="317520"/>
        </a:xfrm>
        <a:prstGeom prst="rect">
          <a:avLst/>
        </a:prstGeom>
        <a:gradFill rotWithShape="0">
          <a:gsLst>
            <a:gs pos="0">
              <a:srgbClr val="30501c"/>
            </a:gs>
            <a:gs pos="50000">
              <a:srgbClr val="457227"/>
            </a:gs>
            <a:gs pos="100000">
              <a:srgbClr val="53872e"/>
            </a:gs>
          </a:gsLst>
          <a:lin ang="0"/>
        </a:gradFill>
        <a:ln w="9525">
          <a:solidFill>
            <a:srgbClr val="70ad47">
              <a:lumMod val="50000"/>
            </a:srgbClr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 upright="1">
          <a:noAutofit/>
        </a:bodyPr>
        <a:p>
          <a:pPr>
            <a:lnSpc>
              <a:spcPct val="100000"/>
            </a:lnSpc>
          </a:pPr>
          <a:r>
            <a:rPr lang="es-ES" sz="1800" b="1" u="none" strike="noStrike">
              <a:solidFill>
                <a:srgbClr val="ffffff"/>
              </a:solidFill>
              <a:effectLst/>
              <a:uFillTx/>
              <a:latin typeface="Arial"/>
            </a:rPr>
            <a:t> Datos Iniciales del Asociado</a:t>
          </a:r>
          <a:endParaRPr lang="es-CO" sz="1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s-CO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71280</xdr:colOff>
      <xdr:row>7</xdr:row>
      <xdr:rowOff>100440</xdr:rowOff>
    </xdr:from>
    <xdr:to>
      <xdr:col>7</xdr:col>
      <xdr:colOff>3750120</xdr:colOff>
      <xdr:row>9</xdr:row>
      <xdr:rowOff>19440</xdr:rowOff>
    </xdr:to>
    <xdr:grpSp>
      <xdr:nvGrpSpPr>
        <xdr:cNvPr id="28" name="Grupo 5"/>
        <xdr:cNvGrpSpPr/>
      </xdr:nvGrpSpPr>
      <xdr:grpSpPr>
        <a:xfrm>
          <a:off x="8286120" y="1623960"/>
          <a:ext cx="3678840" cy="264240"/>
          <a:chOff x="8286120" y="1623960"/>
          <a:chExt cx="3678840" cy="264240"/>
        </a:xfrm>
      </xdr:grpSpPr>
      <xdr:sp>
        <xdr:nvSpPr>
          <xdr:cNvPr id="29" name="Rectángulo 1"/>
          <xdr:cNvSpPr/>
        </xdr:nvSpPr>
        <xdr:spPr>
          <a:xfrm>
            <a:off x="11465280" y="1643400"/>
            <a:ext cx="499680" cy="205200"/>
          </a:xfrm>
          <a:prstGeom prst="rect">
            <a:avLst/>
          </a:prstGeom>
          <a:solidFill>
            <a:srgbClr val="c5e0b4"/>
          </a:solidFill>
          <a:ln w="12700">
            <a:solidFill>
              <a:srgbClr val="70ad47">
                <a:lumMod val="50000"/>
              </a:srgbClr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>
        <xdr:nvSpPr>
          <xdr:cNvPr id="30" name="CuadroTexto 3"/>
          <xdr:cNvSpPr/>
        </xdr:nvSpPr>
        <xdr:spPr>
          <a:xfrm>
            <a:off x="8286120" y="1623960"/>
            <a:ext cx="3107160" cy="264240"/>
          </a:xfrm>
          <a:prstGeom prst="rect">
            <a:avLst/>
          </a:prstGeom>
          <a:noFill/>
          <a:ln w="9525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lang="en-US" sz="1400" b="0" u="none" strike="noStrike">
                <a:solidFill>
                  <a:schemeClr val="dk1"/>
                </a:solidFill>
                <a:effectLst/>
                <a:uFillTx/>
                <a:latin typeface="Arial"/>
              </a:rPr>
              <a:t>Digitar solo las celda con color verde</a:t>
            </a:r>
            <a:endParaRPr lang="es-CO" sz="14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2121480</xdr:colOff>
          <xdr:row>8</xdr:row>
          <xdr:rowOff>162000</xdr:rowOff>
        </xdr:from>
        <xdr:to>
          <xdr:col>4</xdr:col>
          <xdr:colOff>190800</xdr:colOff>
          <xdr:row>10</xdr:row>
          <xdr:rowOff>123840</xdr:rowOff>
        </xdr:to>
        <xdr:sp>
          <xdr:nvSpPr>
            <xdr:cNvPr id="0" name="Drop Down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38160</xdr:colOff>
          <xdr:row>5</xdr:row>
          <xdr:rowOff>12600</xdr:rowOff>
        </xdr:from>
        <xdr:to>
          <xdr:col>3</xdr:col>
          <xdr:colOff>9720</xdr:colOff>
          <xdr:row>7</xdr:row>
          <xdr:rowOff>38520</xdr:rowOff>
        </xdr:to>
        <xdr:sp>
          <xdr:nvSpPr>
            <xdr:cNvPr id="0" name="Drop Down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159120</xdr:colOff>
          <xdr:row>15</xdr:row>
          <xdr:rowOff>116280</xdr:rowOff>
        </xdr:from>
        <xdr:to>
          <xdr:col>6</xdr:col>
          <xdr:colOff>28440</xdr:colOff>
          <xdr:row>16</xdr:row>
          <xdr:rowOff>190080</xdr:rowOff>
        </xdr:to>
        <xdr:sp>
          <xdr:nvSpPr>
            <xdr:cNvPr id="0" name="Drop Down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162000</xdr:rowOff>
        </xdr:from>
        <xdr:to>
          <xdr:col>6</xdr:col>
          <xdr:colOff>28440</xdr:colOff>
          <xdr:row>13</xdr:row>
          <xdr:rowOff>226080</xdr:rowOff>
        </xdr:to>
        <xdr:sp>
          <xdr:nvSpPr>
            <xdr:cNvPr id="0" name="Drop Down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38160</xdr:colOff>
          <xdr:row>3</xdr:row>
          <xdr:rowOff>24840</xdr:rowOff>
        </xdr:from>
        <xdr:to>
          <xdr:col>3</xdr:col>
          <xdr:colOff>9720</xdr:colOff>
          <xdr:row>4</xdr:row>
          <xdr:rowOff>51120</xdr:rowOff>
        </xdr:to>
        <xdr:sp>
          <xdr:nvSpPr>
            <xdr:cNvPr id="0" name="Drop Down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E:/Simulador_Analisis_Creditos%20V6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/D:/Documentos/Evaluacion%20de%20Cartera/2021/4%20Coopvalili%20-%20Evaluaci&#243;n%20Cartera%20202111%20V2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/D:/Documentos/Evaluacion%20de%20Cartera/2022/4%20Coopvalili%20-%20Evaluaci&#243;n%20Cartera%20202211%20V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rametros"/>
      <sheetName val="Base"/>
      <sheetName val="Lineas de Credito"/>
      <sheetName val="Garantias"/>
      <sheetName val="Ponderación"/>
      <sheetName val="Base Perfil"/>
      <sheetName val="Datos_Iniciales"/>
      <sheetName val="Capacidad_Endeudamiento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TERNA"/>
      <sheetName val="T. Ingresos Sicses"/>
      <sheetName val="Mpios"/>
      <sheetName val="1 Central Información"/>
      <sheetName val="2 Tabla"/>
      <sheetName val="3 Entidad"/>
      <sheetName val="4 Lista"/>
      <sheetName val="5 Asociados, Empleados y Deudo"/>
      <sheetName val="6 Aportes"/>
      <sheetName val="7 Captaciones"/>
      <sheetName val="7 Cierre Cartera"/>
      <sheetName val="8 Salario"/>
      <sheetName val="9 Act Ecom"/>
      <sheetName val="8 DATA"/>
      <sheetName val="9 RECAL"/>
      <sheetName val="score"/>
      <sheetName val="10 DATAII"/>
      <sheetName val="11 Descriptiva"/>
      <sheetName val="12 Resumen"/>
      <sheetName val="PUC"/>
      <sheetName val="13 Limites"/>
      <sheetName val="14 Análisis Limites"/>
      <sheetName val="15 Hábito pago"/>
      <sheetName val="16 Perfil 30 Deu"/>
      <sheetName val="16 Perfil 30 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E4">
            <v>4661060</v>
          </cell>
          <cell r="F4">
            <v>70327000</v>
          </cell>
          <cell r="G4">
            <v>1362789</v>
          </cell>
          <cell r="H4">
            <v>51.6052008051136</v>
          </cell>
        </row>
        <row r="5">
          <cell r="E5">
            <v>6135820</v>
          </cell>
          <cell r="F5">
            <v>64722000</v>
          </cell>
          <cell r="G5">
            <v>6359682</v>
          </cell>
          <cell r="H5">
            <v>10.1769239405367</v>
          </cell>
        </row>
        <row r="6">
          <cell r="E6">
            <v>6421806</v>
          </cell>
          <cell r="F6">
            <v>80534000</v>
          </cell>
          <cell r="G6">
            <v>1362789</v>
          </cell>
          <cell r="H6">
            <v>59.0949882923916</v>
          </cell>
        </row>
        <row r="7">
          <cell r="E7">
            <v>8834375</v>
          </cell>
          <cell r="F7">
            <v>173369000</v>
          </cell>
          <cell r="G7">
            <v>4542630</v>
          </cell>
          <cell r="H7">
            <v>38.164895666167</v>
          </cell>
        </row>
        <row r="8">
          <cell r="E8">
            <v>9104444</v>
          </cell>
          <cell r="F8">
            <v>151950000</v>
          </cell>
          <cell r="G8">
            <v>32706936</v>
          </cell>
          <cell r="H8">
            <v>4.64580356900445</v>
          </cell>
        </row>
        <row r="9">
          <cell r="E9">
            <v>10280915</v>
          </cell>
          <cell r="F9">
            <v>43406000</v>
          </cell>
          <cell r="G9">
            <v>12265101</v>
          </cell>
          <cell r="H9">
            <v>3.53898431003544</v>
          </cell>
        </row>
        <row r="10">
          <cell r="E10">
            <v>11830463</v>
          </cell>
          <cell r="F10">
            <v>15330000</v>
          </cell>
          <cell r="G10">
            <v>1362789</v>
          </cell>
          <cell r="H10">
            <v>11.2489901224621</v>
          </cell>
        </row>
        <row r="11">
          <cell r="E11">
            <v>14590506</v>
          </cell>
          <cell r="F11">
            <v>78506000</v>
          </cell>
          <cell r="G11">
            <v>3179841</v>
          </cell>
          <cell r="H11">
            <v>24.6886558164386</v>
          </cell>
        </row>
        <row r="12">
          <cell r="E12">
            <v>14590768</v>
          </cell>
          <cell r="F12">
            <v>40505000</v>
          </cell>
          <cell r="G12">
            <v>4542630</v>
          </cell>
          <cell r="H12">
            <v>8.91664080059349</v>
          </cell>
        </row>
        <row r="13">
          <cell r="E13">
            <v>14621610</v>
          </cell>
          <cell r="F13">
            <v>40555000</v>
          </cell>
          <cell r="G13">
            <v>2271315</v>
          </cell>
          <cell r="H13">
            <v>17.8552952804873</v>
          </cell>
        </row>
        <row r="14">
          <cell r="E14">
            <v>14797927</v>
          </cell>
          <cell r="F14">
            <v>27622000</v>
          </cell>
          <cell r="G14">
            <v>1362789</v>
          </cell>
          <cell r="H14">
            <v>20.2687283211121</v>
          </cell>
        </row>
        <row r="15">
          <cell r="E15">
            <v>14837882</v>
          </cell>
          <cell r="F15">
            <v>7633000</v>
          </cell>
          <cell r="G15">
            <v>2271315</v>
          </cell>
          <cell r="H15">
            <v>3.36060828198643</v>
          </cell>
        </row>
        <row r="16">
          <cell r="E16">
            <v>16379970</v>
          </cell>
          <cell r="F16">
            <v>32510000</v>
          </cell>
          <cell r="G16">
            <v>2271315</v>
          </cell>
          <cell r="H16">
            <v>14.3132942810663</v>
          </cell>
        </row>
        <row r="17">
          <cell r="E17">
            <v>16702551</v>
          </cell>
          <cell r="F17">
            <v>16155000</v>
          </cell>
          <cell r="G17">
            <v>1362789</v>
          </cell>
          <cell r="H17">
            <v>11.8543663032208</v>
          </cell>
        </row>
        <row r="18">
          <cell r="E18">
            <v>16729830</v>
          </cell>
          <cell r="F18">
            <v>86135000</v>
          </cell>
          <cell r="G18">
            <v>12265101</v>
          </cell>
          <cell r="H18">
            <v>7.02277135752898</v>
          </cell>
        </row>
        <row r="19">
          <cell r="E19">
            <v>16737817</v>
          </cell>
          <cell r="F19">
            <v>4079000</v>
          </cell>
          <cell r="G19">
            <v>6359682</v>
          </cell>
          <cell r="H19">
            <v>0.641384270471385</v>
          </cell>
        </row>
        <row r="20">
          <cell r="E20">
            <v>16749432</v>
          </cell>
          <cell r="F20">
            <v>64655000</v>
          </cell>
          <cell r="G20">
            <v>2271315</v>
          </cell>
          <cell r="H20">
            <v>28.4658887032402</v>
          </cell>
        </row>
        <row r="21">
          <cell r="E21">
            <v>16767193</v>
          </cell>
          <cell r="F21">
            <v>94208000</v>
          </cell>
          <cell r="G21">
            <v>6359682</v>
          </cell>
          <cell r="H21">
            <v>14.8133192823163</v>
          </cell>
        </row>
        <row r="22">
          <cell r="E22">
            <v>16769506</v>
          </cell>
          <cell r="F22">
            <v>16764000</v>
          </cell>
          <cell r="G22">
            <v>1362789</v>
          </cell>
          <cell r="H22">
            <v>12.3012439930173</v>
          </cell>
        </row>
        <row r="23">
          <cell r="E23">
            <v>16774204</v>
          </cell>
          <cell r="F23">
            <v>127556000</v>
          </cell>
          <cell r="G23">
            <v>6359682</v>
          </cell>
          <cell r="H23">
            <v>20.0569776916519</v>
          </cell>
        </row>
        <row r="24">
          <cell r="E24">
            <v>16786534</v>
          </cell>
          <cell r="F24">
            <v>46253000</v>
          </cell>
          <cell r="G24">
            <v>2271315</v>
          </cell>
          <cell r="H24">
            <v>20.3639741735514</v>
          </cell>
        </row>
        <row r="25">
          <cell r="E25">
            <v>16846278</v>
          </cell>
          <cell r="F25">
            <v>28850000</v>
          </cell>
          <cell r="G25">
            <v>1362789</v>
          </cell>
          <cell r="H25">
            <v>21.1698215938051</v>
          </cell>
        </row>
        <row r="26">
          <cell r="E26">
            <v>16847593</v>
          </cell>
          <cell r="F26">
            <v>13539000</v>
          </cell>
          <cell r="G26">
            <v>1362789</v>
          </cell>
          <cell r="H26">
            <v>9.93477346823316</v>
          </cell>
        </row>
        <row r="27">
          <cell r="E27">
            <v>16915378</v>
          </cell>
          <cell r="F27">
            <v>46870000</v>
          </cell>
          <cell r="G27">
            <v>4542630</v>
          </cell>
          <cell r="H27">
            <v>10.3178114880587</v>
          </cell>
        </row>
        <row r="28">
          <cell r="E28">
            <v>16918838</v>
          </cell>
          <cell r="F28">
            <v>19422000</v>
          </cell>
          <cell r="G28">
            <v>1362789</v>
          </cell>
          <cell r="H28">
            <v>14.2516559790254</v>
          </cell>
        </row>
        <row r="29">
          <cell r="E29">
            <v>16926618</v>
          </cell>
          <cell r="F29">
            <v>10745000</v>
          </cell>
          <cell r="G29">
            <v>1362789</v>
          </cell>
          <cell r="H29">
            <v>7.88456613606362</v>
          </cell>
        </row>
        <row r="30">
          <cell r="E30">
            <v>16930766</v>
          </cell>
          <cell r="F30">
            <v>24723000</v>
          </cell>
          <cell r="G30">
            <v>2271315</v>
          </cell>
          <cell r="H30">
            <v>10.8848838668349</v>
          </cell>
        </row>
        <row r="31">
          <cell r="E31">
            <v>16939856</v>
          </cell>
          <cell r="F31">
            <v>26181000</v>
          </cell>
          <cell r="G31">
            <v>1362789</v>
          </cell>
          <cell r="H31">
            <v>19.2113379253868</v>
          </cell>
        </row>
        <row r="32">
          <cell r="E32">
            <v>16940638</v>
          </cell>
          <cell r="F32">
            <v>23626000</v>
          </cell>
          <cell r="G32">
            <v>1362789</v>
          </cell>
          <cell r="H32">
            <v>17.3365062383098</v>
          </cell>
        </row>
        <row r="33">
          <cell r="E33">
            <v>24348754</v>
          </cell>
          <cell r="F33">
            <v>34160000</v>
          </cell>
          <cell r="G33">
            <v>4542630</v>
          </cell>
          <cell r="H33">
            <v>7.51987284898836</v>
          </cell>
        </row>
        <row r="34">
          <cell r="E34">
            <v>25364521</v>
          </cell>
          <cell r="F34">
            <v>179632000</v>
          </cell>
          <cell r="G34">
            <v>4542630</v>
          </cell>
          <cell r="H34">
            <v>39.5436124007458</v>
          </cell>
        </row>
        <row r="35">
          <cell r="E35">
            <v>26366473</v>
          </cell>
          <cell r="F35">
            <v>23342000</v>
          </cell>
          <cell r="G35">
            <v>2271315</v>
          </cell>
          <cell r="H35">
            <v>10.2768660445601</v>
          </cell>
        </row>
        <row r="36">
          <cell r="E36">
            <v>29111123</v>
          </cell>
          <cell r="F36">
            <v>58919000</v>
          </cell>
          <cell r="G36">
            <v>4542630</v>
          </cell>
          <cell r="H36">
            <v>12.9702397069539</v>
          </cell>
        </row>
        <row r="37">
          <cell r="E37">
            <v>29117076</v>
          </cell>
          <cell r="F37">
            <v>388555000</v>
          </cell>
          <cell r="G37">
            <v>12265101</v>
          </cell>
          <cell r="H37">
            <v>31.6797228167954</v>
          </cell>
        </row>
        <row r="38">
          <cell r="E38">
            <v>29119003</v>
          </cell>
          <cell r="F38">
            <v>24643000</v>
          </cell>
          <cell r="G38">
            <v>2271315</v>
          </cell>
          <cell r="H38">
            <v>10.8496619799543</v>
          </cell>
        </row>
        <row r="39">
          <cell r="E39">
            <v>29121696</v>
          </cell>
          <cell r="F39">
            <v>19018000</v>
          </cell>
          <cell r="G39">
            <v>4542630</v>
          </cell>
          <cell r="H39">
            <v>4.18656152933433</v>
          </cell>
        </row>
        <row r="40">
          <cell r="E40">
            <v>29125116</v>
          </cell>
          <cell r="F40">
            <v>29196000</v>
          </cell>
          <cell r="G40">
            <v>1362789</v>
          </cell>
          <cell r="H40">
            <v>21.4237126950687</v>
          </cell>
        </row>
        <row r="41">
          <cell r="E41">
            <v>29125244</v>
          </cell>
          <cell r="F41">
            <v>10731000</v>
          </cell>
          <cell r="G41">
            <v>2271315</v>
          </cell>
          <cell r="H41">
            <v>4.72457585143408</v>
          </cell>
        </row>
        <row r="42">
          <cell r="E42">
            <v>29179489</v>
          </cell>
          <cell r="F42">
            <v>87274000</v>
          </cell>
          <cell r="G42">
            <v>4542630</v>
          </cell>
          <cell r="H42">
            <v>19.2122184725589</v>
          </cell>
        </row>
        <row r="43">
          <cell r="E43">
            <v>29363464</v>
          </cell>
          <cell r="F43">
            <v>46337000</v>
          </cell>
          <cell r="G43">
            <v>2271315</v>
          </cell>
          <cell r="H43">
            <v>20.400957154776</v>
          </cell>
        </row>
        <row r="44">
          <cell r="E44">
            <v>29508587</v>
          </cell>
          <cell r="F44">
            <v>28261000</v>
          </cell>
          <cell r="G44">
            <v>1362789</v>
          </cell>
          <cell r="H44">
            <v>20.7376196902088</v>
          </cell>
        </row>
        <row r="45">
          <cell r="E45">
            <v>29545130</v>
          </cell>
          <cell r="F45">
            <v>2194000</v>
          </cell>
          <cell r="G45">
            <v>2271315</v>
          </cell>
          <cell r="H45">
            <v>0.965960247697919</v>
          </cell>
        </row>
        <row r="46">
          <cell r="E46">
            <v>29567600</v>
          </cell>
          <cell r="F46">
            <v>10433000</v>
          </cell>
          <cell r="G46">
            <v>3179841</v>
          </cell>
          <cell r="H46">
            <v>3.28098165914585</v>
          </cell>
        </row>
        <row r="47">
          <cell r="E47">
            <v>29681380</v>
          </cell>
          <cell r="F47">
            <v>23926000</v>
          </cell>
          <cell r="G47">
            <v>2271315</v>
          </cell>
          <cell r="H47">
            <v>10.5339858187878</v>
          </cell>
        </row>
        <row r="48">
          <cell r="E48">
            <v>29684827</v>
          </cell>
          <cell r="F48">
            <v>38503000</v>
          </cell>
          <cell r="G48">
            <v>1362789</v>
          </cell>
          <cell r="H48">
            <v>28.2530898033371</v>
          </cell>
        </row>
        <row r="49">
          <cell r="E49">
            <v>29706405</v>
          </cell>
          <cell r="F49">
            <v>10698000</v>
          </cell>
          <cell r="G49">
            <v>2271315</v>
          </cell>
          <cell r="H49">
            <v>4.71004682309587</v>
          </cell>
        </row>
        <row r="50">
          <cell r="E50">
            <v>29975325</v>
          </cell>
          <cell r="F50">
            <v>4931000</v>
          </cell>
          <cell r="G50">
            <v>1362789</v>
          </cell>
          <cell r="H50">
            <v>3.61831508766214</v>
          </cell>
        </row>
        <row r="51">
          <cell r="E51">
            <v>30299942</v>
          </cell>
          <cell r="F51">
            <v>69156000</v>
          </cell>
          <cell r="G51">
            <v>4542630</v>
          </cell>
          <cell r="H51">
            <v>15.2237800569274</v>
          </cell>
        </row>
        <row r="52">
          <cell r="E52">
            <v>30323543</v>
          </cell>
          <cell r="F52">
            <v>3241000</v>
          </cell>
          <cell r="G52">
            <v>4542630</v>
          </cell>
          <cell r="H52">
            <v>0.713463346123281</v>
          </cell>
        </row>
        <row r="53">
          <cell r="E53">
            <v>30332791</v>
          </cell>
          <cell r="F53">
            <v>57277000</v>
          </cell>
          <cell r="G53">
            <v>4542630</v>
          </cell>
          <cell r="H53">
            <v>12.6087750928427</v>
          </cell>
        </row>
        <row r="54">
          <cell r="E54">
            <v>30333175</v>
          </cell>
          <cell r="F54">
            <v>66461000</v>
          </cell>
          <cell r="G54">
            <v>3179841</v>
          </cell>
          <cell r="H54">
            <v>20.9007305711198</v>
          </cell>
        </row>
        <row r="55">
          <cell r="E55">
            <v>30395903</v>
          </cell>
          <cell r="F55">
            <v>33808000</v>
          </cell>
          <cell r="G55">
            <v>3179841</v>
          </cell>
          <cell r="H55">
            <v>10.6319781397875</v>
          </cell>
        </row>
        <row r="56">
          <cell r="E56">
            <v>30744172</v>
          </cell>
          <cell r="F56">
            <v>59714000</v>
          </cell>
          <cell r="G56">
            <v>4542630</v>
          </cell>
          <cell r="H56">
            <v>13.1452484573914</v>
          </cell>
        </row>
        <row r="57">
          <cell r="E57">
            <v>31308698</v>
          </cell>
          <cell r="F57">
            <v>113382000</v>
          </cell>
          <cell r="G57">
            <v>4542630</v>
          </cell>
          <cell r="H57">
            <v>24.9595498642857</v>
          </cell>
        </row>
        <row r="58">
          <cell r="E58">
            <v>31309273</v>
          </cell>
          <cell r="F58">
            <v>24962000</v>
          </cell>
          <cell r="G58">
            <v>2271315</v>
          </cell>
          <cell r="H58">
            <v>10.9901092538904</v>
          </cell>
        </row>
        <row r="59">
          <cell r="E59">
            <v>31323960</v>
          </cell>
          <cell r="F59">
            <v>11209000</v>
          </cell>
          <cell r="G59">
            <v>4542630</v>
          </cell>
          <cell r="H59">
            <v>2.46751331277256</v>
          </cell>
        </row>
        <row r="60">
          <cell r="E60">
            <v>31324094</v>
          </cell>
          <cell r="F60">
            <v>75138000</v>
          </cell>
          <cell r="G60">
            <v>2271315</v>
          </cell>
          <cell r="H60">
            <v>33.0812767053447</v>
          </cell>
        </row>
        <row r="61">
          <cell r="E61">
            <v>31324751</v>
          </cell>
          <cell r="F61">
            <v>25116000</v>
          </cell>
          <cell r="G61">
            <v>2271315</v>
          </cell>
          <cell r="H61">
            <v>11.0579113861353</v>
          </cell>
        </row>
        <row r="62">
          <cell r="E62">
            <v>31526082</v>
          </cell>
          <cell r="F62">
            <v>17042000</v>
          </cell>
          <cell r="G62">
            <v>2271315</v>
          </cell>
          <cell r="H62">
            <v>7.50314245272012</v>
          </cell>
        </row>
        <row r="63">
          <cell r="E63">
            <v>31530816</v>
          </cell>
          <cell r="F63">
            <v>8196000</v>
          </cell>
          <cell r="G63">
            <v>1362789</v>
          </cell>
          <cell r="H63">
            <v>6.01413718484666</v>
          </cell>
        </row>
        <row r="64">
          <cell r="E64">
            <v>31532714</v>
          </cell>
          <cell r="F64">
            <v>25540000</v>
          </cell>
          <cell r="G64">
            <v>2271315</v>
          </cell>
          <cell r="H64">
            <v>11.244587386602</v>
          </cell>
        </row>
        <row r="65">
          <cell r="E65">
            <v>31571567</v>
          </cell>
          <cell r="F65">
            <v>43044000</v>
          </cell>
          <cell r="G65">
            <v>2271315</v>
          </cell>
          <cell r="H65">
            <v>18.9511362360571</v>
          </cell>
        </row>
        <row r="66">
          <cell r="E66">
            <v>31573111</v>
          </cell>
          <cell r="F66">
            <v>30997000</v>
          </cell>
          <cell r="G66">
            <v>1362789</v>
          </cell>
          <cell r="H66">
            <v>22.7452672423978</v>
          </cell>
        </row>
        <row r="67">
          <cell r="E67">
            <v>31574118</v>
          </cell>
          <cell r="F67">
            <v>59358000</v>
          </cell>
          <cell r="G67">
            <v>3179841</v>
          </cell>
          <cell r="H67">
            <v>18.6669710844033</v>
          </cell>
        </row>
        <row r="68">
          <cell r="E68">
            <v>31574514</v>
          </cell>
          <cell r="F68">
            <v>3611000</v>
          </cell>
          <cell r="G68">
            <v>2271315</v>
          </cell>
          <cell r="H68">
            <v>1.58982791906891</v>
          </cell>
        </row>
        <row r="69">
          <cell r="E69">
            <v>31574768</v>
          </cell>
          <cell r="F69">
            <v>78796000</v>
          </cell>
          <cell r="G69">
            <v>3179841</v>
          </cell>
          <cell r="H69">
            <v>24.7798553449685</v>
          </cell>
        </row>
        <row r="70">
          <cell r="E70">
            <v>31582244</v>
          </cell>
          <cell r="F70">
            <v>9734000</v>
          </cell>
          <cell r="G70">
            <v>1362789</v>
          </cell>
          <cell r="H70">
            <v>7.14270514364293</v>
          </cell>
        </row>
        <row r="71">
          <cell r="E71">
            <v>31583226</v>
          </cell>
          <cell r="F71">
            <v>16500000</v>
          </cell>
          <cell r="G71">
            <v>3179841</v>
          </cell>
          <cell r="H71">
            <v>5.18893869221763</v>
          </cell>
        </row>
        <row r="72">
          <cell r="E72">
            <v>31658624</v>
          </cell>
          <cell r="F72">
            <v>16164000</v>
          </cell>
          <cell r="G72">
            <v>4542630</v>
          </cell>
          <cell r="H72">
            <v>3.55829112210328</v>
          </cell>
        </row>
        <row r="73">
          <cell r="E73">
            <v>31710612</v>
          </cell>
          <cell r="F73">
            <v>42674000</v>
          </cell>
          <cell r="G73">
            <v>2271315</v>
          </cell>
          <cell r="H73">
            <v>18.7882350092347</v>
          </cell>
        </row>
        <row r="74">
          <cell r="E74">
            <v>31711710</v>
          </cell>
          <cell r="F74">
            <v>56611000</v>
          </cell>
          <cell r="G74">
            <v>4542630</v>
          </cell>
          <cell r="H74">
            <v>12.4621639887026</v>
          </cell>
        </row>
        <row r="75">
          <cell r="E75">
            <v>31711815</v>
          </cell>
          <cell r="F75">
            <v>26387000</v>
          </cell>
          <cell r="G75">
            <v>1362789</v>
          </cell>
          <cell r="H75">
            <v>19.362498523249</v>
          </cell>
        </row>
        <row r="76">
          <cell r="E76">
            <v>31713043</v>
          </cell>
          <cell r="F76">
            <v>40733000</v>
          </cell>
          <cell r="G76">
            <v>3179841</v>
          </cell>
          <cell r="H76">
            <v>12.8097599848546</v>
          </cell>
        </row>
        <row r="77">
          <cell r="E77">
            <v>31843374</v>
          </cell>
          <cell r="F77">
            <v>4829000</v>
          </cell>
          <cell r="G77">
            <v>2271315</v>
          </cell>
          <cell r="H77">
            <v>2.12608114682464</v>
          </cell>
        </row>
        <row r="78">
          <cell r="E78">
            <v>31884529</v>
          </cell>
          <cell r="F78">
            <v>105680000</v>
          </cell>
          <cell r="G78">
            <v>3179841</v>
          </cell>
          <cell r="H78">
            <v>33.2343661208218</v>
          </cell>
        </row>
        <row r="79">
          <cell r="E79">
            <v>31895435</v>
          </cell>
          <cell r="F79">
            <v>34190000</v>
          </cell>
          <cell r="G79">
            <v>4542630</v>
          </cell>
          <cell r="H79">
            <v>7.52647695277846</v>
          </cell>
        </row>
        <row r="80">
          <cell r="E80">
            <v>31902853</v>
          </cell>
          <cell r="F80">
            <v>809000</v>
          </cell>
          <cell r="G80">
            <v>4542630</v>
          </cell>
          <cell r="H80">
            <v>0.178090665539566</v>
          </cell>
        </row>
        <row r="81">
          <cell r="E81">
            <v>31930811</v>
          </cell>
          <cell r="F81">
            <v>15952000</v>
          </cell>
          <cell r="G81">
            <v>2271315</v>
          </cell>
          <cell r="H81">
            <v>7.02324424397321</v>
          </cell>
        </row>
        <row r="82">
          <cell r="E82">
            <v>31937197</v>
          </cell>
          <cell r="F82">
            <v>66768000</v>
          </cell>
          <cell r="G82">
            <v>3179841</v>
          </cell>
          <cell r="H82">
            <v>20.9972762789083</v>
          </cell>
        </row>
        <row r="83">
          <cell r="E83">
            <v>31958544</v>
          </cell>
          <cell r="F83">
            <v>13940000</v>
          </cell>
          <cell r="G83">
            <v>1362789</v>
          </cell>
          <cell r="H83">
            <v>10.2290229815474</v>
          </cell>
        </row>
        <row r="84">
          <cell r="E84">
            <v>31974020</v>
          </cell>
          <cell r="F84">
            <v>36625000</v>
          </cell>
          <cell r="G84">
            <v>1362789</v>
          </cell>
          <cell r="H84">
            <v>26.8750334791373</v>
          </cell>
        </row>
        <row r="85">
          <cell r="E85">
            <v>31980650</v>
          </cell>
          <cell r="F85">
            <v>12644000</v>
          </cell>
          <cell r="G85">
            <v>1362789</v>
          </cell>
          <cell r="H85">
            <v>9.2780320357737</v>
          </cell>
        </row>
        <row r="86">
          <cell r="E86">
            <v>31988600</v>
          </cell>
          <cell r="F86">
            <v>43360000</v>
          </cell>
          <cell r="G86">
            <v>1362789</v>
          </cell>
          <cell r="H86">
            <v>31.8171044820585</v>
          </cell>
        </row>
        <row r="87">
          <cell r="E87">
            <v>31992155</v>
          </cell>
          <cell r="F87">
            <v>22943000</v>
          </cell>
          <cell r="G87">
            <v>1362789</v>
          </cell>
          <cell r="H87">
            <v>16.8353281395726</v>
          </cell>
        </row>
        <row r="88">
          <cell r="E88">
            <v>31998677</v>
          </cell>
          <cell r="F88">
            <v>36373000</v>
          </cell>
          <cell r="G88">
            <v>1362789</v>
          </cell>
          <cell r="H88">
            <v>26.6901185730146</v>
          </cell>
        </row>
        <row r="89">
          <cell r="E89">
            <v>33333466</v>
          </cell>
          <cell r="F89">
            <v>88534000</v>
          </cell>
          <cell r="G89">
            <v>2271315</v>
          </cell>
          <cell r="H89">
            <v>38.9791816634857</v>
          </cell>
        </row>
        <row r="90">
          <cell r="E90">
            <v>34374143</v>
          </cell>
          <cell r="F90">
            <v>93434000</v>
          </cell>
          <cell r="G90">
            <v>4542630</v>
          </cell>
          <cell r="H90">
            <v>20.5682611174584</v>
          </cell>
        </row>
        <row r="91">
          <cell r="E91">
            <v>34516353</v>
          </cell>
          <cell r="F91">
            <v>14548000</v>
          </cell>
          <cell r="G91">
            <v>1362789</v>
          </cell>
          <cell r="H91">
            <v>10.6751668820338</v>
          </cell>
        </row>
        <row r="92">
          <cell r="E92">
            <v>34533175</v>
          </cell>
          <cell r="F92">
            <v>89460000</v>
          </cell>
          <cell r="G92">
            <v>3179841</v>
          </cell>
          <cell r="H92">
            <v>28.1334821458054</v>
          </cell>
        </row>
        <row r="93">
          <cell r="E93">
            <v>34552159</v>
          </cell>
          <cell r="F93">
            <v>13721000</v>
          </cell>
          <cell r="G93">
            <v>2271315</v>
          </cell>
          <cell r="H93">
            <v>6.04099387359305</v>
          </cell>
        </row>
        <row r="94">
          <cell r="E94">
            <v>34564166</v>
          </cell>
          <cell r="F94">
            <v>46492000</v>
          </cell>
          <cell r="G94">
            <v>2271315</v>
          </cell>
          <cell r="H94">
            <v>20.469199560607</v>
          </cell>
        </row>
        <row r="95">
          <cell r="E95">
            <v>38210639</v>
          </cell>
          <cell r="F95">
            <v>22246000</v>
          </cell>
          <cell r="G95">
            <v>1362789</v>
          </cell>
          <cell r="H95">
            <v>16.3238769904952</v>
          </cell>
        </row>
        <row r="96">
          <cell r="E96">
            <v>38552196</v>
          </cell>
          <cell r="F96">
            <v>18846000</v>
          </cell>
          <cell r="G96">
            <v>1362789</v>
          </cell>
          <cell r="H96">
            <v>13.8289933364593</v>
          </cell>
        </row>
        <row r="97">
          <cell r="E97">
            <v>38558372</v>
          </cell>
          <cell r="F97">
            <v>57219000</v>
          </cell>
          <cell r="G97">
            <v>2271315</v>
          </cell>
          <cell r="H97">
            <v>25.192014317697</v>
          </cell>
        </row>
        <row r="98">
          <cell r="E98">
            <v>38559984</v>
          </cell>
          <cell r="F98">
            <v>18280000</v>
          </cell>
          <cell r="G98">
            <v>2271315</v>
          </cell>
          <cell r="H98">
            <v>8.04820115219597</v>
          </cell>
        </row>
        <row r="99">
          <cell r="E99">
            <v>38561807</v>
          </cell>
          <cell r="F99">
            <v>38333000</v>
          </cell>
          <cell r="G99">
            <v>2271315</v>
          </cell>
          <cell r="H99">
            <v>16.8770073723812</v>
          </cell>
        </row>
        <row r="100">
          <cell r="E100">
            <v>38563522</v>
          </cell>
          <cell r="F100">
            <v>43690000</v>
          </cell>
          <cell r="G100">
            <v>1362789</v>
          </cell>
          <cell r="H100">
            <v>32.059254954362</v>
          </cell>
        </row>
        <row r="101">
          <cell r="E101">
            <v>38640524</v>
          </cell>
          <cell r="F101">
            <v>3224000</v>
          </cell>
          <cell r="G101">
            <v>908526</v>
          </cell>
          <cell r="H101">
            <v>3.54860510321114</v>
          </cell>
        </row>
        <row r="102">
          <cell r="E102">
            <v>38641418</v>
          </cell>
          <cell r="F102">
            <v>14758000</v>
          </cell>
          <cell r="G102">
            <v>1362789</v>
          </cell>
          <cell r="H102">
            <v>10.8292626371361</v>
          </cell>
        </row>
        <row r="103">
          <cell r="E103">
            <v>38644539</v>
          </cell>
          <cell r="F103">
            <v>10078000</v>
          </cell>
          <cell r="G103">
            <v>1362789</v>
          </cell>
          <cell r="H103">
            <v>7.39512866628656</v>
          </cell>
        </row>
        <row r="104">
          <cell r="E104">
            <v>38644679</v>
          </cell>
          <cell r="F104">
            <v>10437000</v>
          </cell>
          <cell r="G104">
            <v>4542630</v>
          </cell>
          <cell r="H104">
            <v>2.29756770857411</v>
          </cell>
        </row>
        <row r="105">
          <cell r="E105">
            <v>38667623</v>
          </cell>
          <cell r="F105">
            <v>26538000</v>
          </cell>
          <cell r="G105">
            <v>2271315</v>
          </cell>
          <cell r="H105">
            <v>11.6839804254364</v>
          </cell>
        </row>
        <row r="106">
          <cell r="E106">
            <v>38684944</v>
          </cell>
          <cell r="F106">
            <v>10844000</v>
          </cell>
          <cell r="G106">
            <v>1362789</v>
          </cell>
          <cell r="H106">
            <v>7.95721127775466</v>
          </cell>
        </row>
        <row r="107">
          <cell r="E107">
            <v>38790788</v>
          </cell>
          <cell r="F107">
            <v>16790000</v>
          </cell>
          <cell r="G107">
            <v>4542630</v>
          </cell>
          <cell r="H107">
            <v>3.69609675452326</v>
          </cell>
        </row>
        <row r="108">
          <cell r="E108">
            <v>38872813</v>
          </cell>
          <cell r="F108">
            <v>11730000</v>
          </cell>
          <cell r="G108">
            <v>1362789</v>
          </cell>
          <cell r="H108">
            <v>8.60734860642403</v>
          </cell>
        </row>
        <row r="109">
          <cell r="E109">
            <v>38873740</v>
          </cell>
          <cell r="F109">
            <v>26509000</v>
          </cell>
          <cell r="G109">
            <v>2271315</v>
          </cell>
          <cell r="H109">
            <v>11.6712124914422</v>
          </cell>
        </row>
        <row r="110">
          <cell r="E110">
            <v>38888798</v>
          </cell>
          <cell r="F110">
            <v>9182000</v>
          </cell>
          <cell r="G110">
            <v>1362789</v>
          </cell>
          <cell r="H110">
            <v>6.73765344451709</v>
          </cell>
        </row>
        <row r="111">
          <cell r="E111">
            <v>40446874</v>
          </cell>
          <cell r="F111">
            <v>30772000</v>
          </cell>
          <cell r="G111">
            <v>2271315</v>
          </cell>
          <cell r="H111">
            <v>13.5480987885872</v>
          </cell>
        </row>
        <row r="112">
          <cell r="E112">
            <v>41960197</v>
          </cell>
          <cell r="F112">
            <v>40370000</v>
          </cell>
          <cell r="G112">
            <v>4542630</v>
          </cell>
          <cell r="H112">
            <v>8.88692233353806</v>
          </cell>
        </row>
        <row r="113">
          <cell r="E113">
            <v>51696063</v>
          </cell>
          <cell r="F113">
            <v>93225000</v>
          </cell>
          <cell r="G113">
            <v>3179841</v>
          </cell>
          <cell r="H113">
            <v>29.3175036110296</v>
          </cell>
        </row>
        <row r="114">
          <cell r="E114">
            <v>51825981</v>
          </cell>
          <cell r="F114">
            <v>47372000</v>
          </cell>
          <cell r="G114">
            <v>6359682</v>
          </cell>
          <cell r="H114">
            <v>7.44880011296162</v>
          </cell>
        </row>
        <row r="115">
          <cell r="E115">
            <v>51968425</v>
          </cell>
          <cell r="F115">
            <v>40472000</v>
          </cell>
          <cell r="G115">
            <v>3179841</v>
          </cell>
          <cell r="H115">
            <v>12.7276804091777</v>
          </cell>
        </row>
        <row r="116">
          <cell r="E116">
            <v>51997260</v>
          </cell>
          <cell r="F116">
            <v>26663000</v>
          </cell>
          <cell r="G116">
            <v>2271315</v>
          </cell>
          <cell r="H116">
            <v>11.7390146236872</v>
          </cell>
        </row>
        <row r="117">
          <cell r="E117">
            <v>52217227</v>
          </cell>
          <cell r="F117">
            <v>8371000</v>
          </cell>
          <cell r="G117">
            <v>4542630</v>
          </cell>
          <cell r="H117">
            <v>1.84276509422955</v>
          </cell>
        </row>
        <row r="118">
          <cell r="E118">
            <v>52899917</v>
          </cell>
          <cell r="F118">
            <v>60461000</v>
          </cell>
          <cell r="G118">
            <v>1362789</v>
          </cell>
          <cell r="H118">
            <v>44.3656354725493</v>
          </cell>
        </row>
        <row r="119">
          <cell r="E119">
            <v>53003019</v>
          </cell>
          <cell r="F119">
            <v>107824000</v>
          </cell>
          <cell r="G119">
            <v>4542630</v>
          </cell>
          <cell r="H119">
            <v>23.736029568774</v>
          </cell>
        </row>
        <row r="120">
          <cell r="E120">
            <v>55151378</v>
          </cell>
          <cell r="F120">
            <v>17231000</v>
          </cell>
          <cell r="G120">
            <v>3179841</v>
          </cell>
          <cell r="H120">
            <v>5.41882440033951</v>
          </cell>
        </row>
        <row r="121">
          <cell r="E121">
            <v>59664473</v>
          </cell>
          <cell r="F121">
            <v>24346000</v>
          </cell>
          <cell r="G121">
            <v>4542630</v>
          </cell>
          <cell r="H121">
            <v>5.35945036245523</v>
          </cell>
        </row>
        <row r="122">
          <cell r="E122">
            <v>60406095</v>
          </cell>
          <cell r="F122">
            <v>87684000</v>
          </cell>
          <cell r="G122">
            <v>3179841</v>
          </cell>
          <cell r="H122">
            <v>27.5749636538431</v>
          </cell>
        </row>
        <row r="123">
          <cell r="E123">
            <v>65706563</v>
          </cell>
          <cell r="F123">
            <v>16014000</v>
          </cell>
          <cell r="G123">
            <v>2271315</v>
          </cell>
          <cell r="H123">
            <v>7.0505412063056</v>
          </cell>
        </row>
        <row r="124">
          <cell r="E124">
            <v>66702591</v>
          </cell>
          <cell r="F124">
            <v>1781000</v>
          </cell>
          <cell r="G124">
            <v>3179841</v>
          </cell>
          <cell r="H124">
            <v>0.560090897626642</v>
          </cell>
        </row>
        <row r="125">
          <cell r="E125">
            <v>66717580</v>
          </cell>
          <cell r="F125">
            <v>23529000</v>
          </cell>
          <cell r="G125">
            <v>2271315</v>
          </cell>
          <cell r="H125">
            <v>10.3591972051433</v>
          </cell>
        </row>
        <row r="126">
          <cell r="E126">
            <v>66764802</v>
          </cell>
          <cell r="F126">
            <v>19766000</v>
          </cell>
          <cell r="G126">
            <v>1362789</v>
          </cell>
          <cell r="H126">
            <v>14.504079501669</v>
          </cell>
        </row>
        <row r="127">
          <cell r="E127">
            <v>66769609</v>
          </cell>
          <cell r="F127">
            <v>4129000</v>
          </cell>
          <cell r="G127">
            <v>2271315</v>
          </cell>
          <cell r="H127">
            <v>1.8178896366202</v>
          </cell>
        </row>
        <row r="128">
          <cell r="E128">
            <v>66780320</v>
          </cell>
          <cell r="F128">
            <v>37023000</v>
          </cell>
          <cell r="G128">
            <v>1362789</v>
          </cell>
          <cell r="H128">
            <v>27.1670816245215</v>
          </cell>
        </row>
        <row r="129">
          <cell r="E129">
            <v>66815650</v>
          </cell>
          <cell r="F129">
            <v>29841000</v>
          </cell>
          <cell r="G129">
            <v>1362789</v>
          </cell>
          <cell r="H129">
            <v>21.8970068000255</v>
          </cell>
        </row>
        <row r="130">
          <cell r="E130">
            <v>66828711</v>
          </cell>
          <cell r="F130">
            <v>11900000</v>
          </cell>
          <cell r="G130">
            <v>1362789</v>
          </cell>
          <cell r="H130">
            <v>8.73209278912583</v>
          </cell>
        </row>
        <row r="131">
          <cell r="E131">
            <v>66828792</v>
          </cell>
          <cell r="F131">
            <v>21669000</v>
          </cell>
          <cell r="G131">
            <v>1362789</v>
          </cell>
          <cell r="H131">
            <v>15.9004805586191</v>
          </cell>
        </row>
        <row r="132">
          <cell r="E132">
            <v>66847778</v>
          </cell>
          <cell r="F132">
            <v>37279000</v>
          </cell>
          <cell r="G132">
            <v>3179841</v>
          </cell>
          <cell r="H132">
            <v>11.7235421519504</v>
          </cell>
        </row>
        <row r="133">
          <cell r="E133">
            <v>66848316</v>
          </cell>
          <cell r="F133">
            <v>83114000</v>
          </cell>
          <cell r="G133">
            <v>4542630</v>
          </cell>
          <cell r="H133">
            <v>18.2964494136657</v>
          </cell>
        </row>
        <row r="134">
          <cell r="E134">
            <v>66851685</v>
          </cell>
          <cell r="F134">
            <v>15167000</v>
          </cell>
          <cell r="G134">
            <v>1362789</v>
          </cell>
          <cell r="H134">
            <v>11.1293824649304</v>
          </cell>
        </row>
        <row r="135">
          <cell r="E135">
            <v>66852905</v>
          </cell>
          <cell r="F135">
            <v>41245000</v>
          </cell>
          <cell r="G135">
            <v>3179841</v>
          </cell>
          <cell r="H135">
            <v>12.9707743248798</v>
          </cell>
        </row>
        <row r="136">
          <cell r="E136">
            <v>66856977</v>
          </cell>
          <cell r="F136">
            <v>101799000</v>
          </cell>
          <cell r="G136">
            <v>6359682</v>
          </cell>
          <cell r="H136">
            <v>16.0069324220928</v>
          </cell>
        </row>
        <row r="137">
          <cell r="E137">
            <v>66857765</v>
          </cell>
          <cell r="F137">
            <v>2952000</v>
          </cell>
          <cell r="G137">
            <v>1362789</v>
          </cell>
          <cell r="H137">
            <v>2.16614604315121</v>
          </cell>
        </row>
        <row r="138">
          <cell r="E138">
            <v>66872117</v>
          </cell>
          <cell r="F138">
            <v>6481000</v>
          </cell>
          <cell r="G138">
            <v>4542630</v>
          </cell>
          <cell r="H138">
            <v>1.42670655545356</v>
          </cell>
        </row>
        <row r="139">
          <cell r="E139">
            <v>66875234</v>
          </cell>
          <cell r="F139">
            <v>13631000</v>
          </cell>
          <cell r="G139">
            <v>1362789</v>
          </cell>
          <cell r="H139">
            <v>10.0022820847541</v>
          </cell>
        </row>
        <row r="140">
          <cell r="E140">
            <v>66899264</v>
          </cell>
          <cell r="F140">
            <v>29800000</v>
          </cell>
          <cell r="G140">
            <v>1362789</v>
          </cell>
          <cell r="H140">
            <v>21.8669214383151</v>
          </cell>
        </row>
        <row r="141">
          <cell r="E141">
            <v>66907772</v>
          </cell>
          <cell r="F141">
            <v>29586000</v>
          </cell>
          <cell r="G141">
            <v>6359682</v>
          </cell>
          <cell r="H141">
            <v>4.65211939842275</v>
          </cell>
        </row>
        <row r="142">
          <cell r="E142">
            <v>66916534</v>
          </cell>
          <cell r="F142">
            <v>15061000</v>
          </cell>
          <cell r="G142">
            <v>3179841</v>
          </cell>
          <cell r="H142">
            <v>4.73640034202968</v>
          </cell>
        </row>
        <row r="143">
          <cell r="E143">
            <v>66924088</v>
          </cell>
          <cell r="F143">
            <v>44286000</v>
          </cell>
          <cell r="G143">
            <v>1362789</v>
          </cell>
          <cell r="H143">
            <v>32.4965933831283</v>
          </cell>
        </row>
        <row r="144">
          <cell r="E144">
            <v>66926287</v>
          </cell>
          <cell r="F144">
            <v>20614000</v>
          </cell>
          <cell r="G144">
            <v>1362789</v>
          </cell>
          <cell r="H144">
            <v>15.126332836558</v>
          </cell>
        </row>
        <row r="145">
          <cell r="E145">
            <v>66948369</v>
          </cell>
          <cell r="F145">
            <v>13790000</v>
          </cell>
          <cell r="G145">
            <v>2271315</v>
          </cell>
          <cell r="H145">
            <v>6.07137275102749</v>
          </cell>
        </row>
        <row r="146">
          <cell r="E146">
            <v>66949976</v>
          </cell>
          <cell r="F146">
            <v>43526000</v>
          </cell>
          <cell r="G146">
            <v>2271315</v>
          </cell>
          <cell r="H146">
            <v>19.1633481045121</v>
          </cell>
        </row>
        <row r="147">
          <cell r="E147">
            <v>66973973</v>
          </cell>
          <cell r="F147">
            <v>15039000</v>
          </cell>
          <cell r="G147">
            <v>3179841</v>
          </cell>
          <cell r="H147">
            <v>4.72948175710672</v>
          </cell>
        </row>
        <row r="148">
          <cell r="E148">
            <v>66993124</v>
          </cell>
          <cell r="F148">
            <v>10171000</v>
          </cell>
          <cell r="G148">
            <v>1362789</v>
          </cell>
          <cell r="H148">
            <v>7.46337107211755</v>
          </cell>
        </row>
        <row r="149">
          <cell r="E149">
            <v>67000591</v>
          </cell>
          <cell r="F149">
            <v>24391000</v>
          </cell>
          <cell r="G149">
            <v>2271315</v>
          </cell>
          <cell r="H149">
            <v>10.7387130362807</v>
          </cell>
        </row>
        <row r="150">
          <cell r="E150">
            <v>67002023</v>
          </cell>
          <cell r="F150">
            <v>11211000</v>
          </cell>
          <cell r="G150">
            <v>1362789</v>
          </cell>
          <cell r="H150">
            <v>8.22651195452854</v>
          </cell>
        </row>
        <row r="151">
          <cell r="E151">
            <v>67004483</v>
          </cell>
          <cell r="F151">
            <v>15961000</v>
          </cell>
          <cell r="G151">
            <v>9539523</v>
          </cell>
          <cell r="H151">
            <v>1.6731444538684</v>
          </cell>
        </row>
        <row r="152">
          <cell r="E152">
            <v>67010490</v>
          </cell>
          <cell r="F152">
            <v>50037000</v>
          </cell>
          <cell r="G152">
            <v>3179841</v>
          </cell>
          <cell r="H152">
            <v>15.7356924449996</v>
          </cell>
        </row>
        <row r="153">
          <cell r="E153">
            <v>67011839</v>
          </cell>
          <cell r="F153">
            <v>136104000</v>
          </cell>
          <cell r="G153">
            <v>9539523</v>
          </cell>
          <cell r="H153">
            <v>14.2673800356685</v>
          </cell>
        </row>
        <row r="154">
          <cell r="E154">
            <v>67013068</v>
          </cell>
          <cell r="F154">
            <v>34509000</v>
          </cell>
          <cell r="G154">
            <v>2271315</v>
          </cell>
          <cell r="H154">
            <v>15.1934011794929</v>
          </cell>
        </row>
        <row r="155">
          <cell r="E155">
            <v>67020375</v>
          </cell>
          <cell r="F155">
            <v>25885000</v>
          </cell>
          <cell r="G155">
            <v>3179841</v>
          </cell>
          <cell r="H155">
            <v>8.14034412412445</v>
          </cell>
        </row>
        <row r="156">
          <cell r="E156">
            <v>67023981</v>
          </cell>
          <cell r="F156">
            <v>74164000</v>
          </cell>
          <cell r="G156">
            <v>4542630</v>
          </cell>
          <cell r="H156">
            <v>16.3262251162873</v>
          </cell>
        </row>
        <row r="157">
          <cell r="E157">
            <v>67024552</v>
          </cell>
          <cell r="F157">
            <v>59714000</v>
          </cell>
          <cell r="G157">
            <v>3179841</v>
          </cell>
          <cell r="H157">
            <v>18.778926367702</v>
          </cell>
        </row>
        <row r="158">
          <cell r="E158">
            <v>67025436</v>
          </cell>
          <cell r="F158">
            <v>61424000</v>
          </cell>
          <cell r="G158">
            <v>2271315</v>
          </cell>
          <cell r="H158">
            <v>27.0433647468537</v>
          </cell>
        </row>
        <row r="159">
          <cell r="E159">
            <v>67026638</v>
          </cell>
          <cell r="F159">
            <v>3442000</v>
          </cell>
          <cell r="G159" t="e">
            <v>#VALUE!</v>
          </cell>
          <cell r="H159" t="e">
            <v>#VALUE!</v>
          </cell>
        </row>
        <row r="160">
          <cell r="E160">
            <v>67028594</v>
          </cell>
          <cell r="F160">
            <v>48551000</v>
          </cell>
          <cell r="G160">
            <v>2271315</v>
          </cell>
          <cell r="H160">
            <v>21.375722874194</v>
          </cell>
        </row>
        <row r="161">
          <cell r="E161">
            <v>67030956</v>
          </cell>
          <cell r="F161">
            <v>44181000</v>
          </cell>
          <cell r="G161">
            <v>4542630</v>
          </cell>
          <cell r="H161">
            <v>9.72586365167315</v>
          </cell>
        </row>
        <row r="162">
          <cell r="E162">
            <v>67032665</v>
          </cell>
          <cell r="F162">
            <v>64314000</v>
          </cell>
          <cell r="G162">
            <v>3179841</v>
          </cell>
          <cell r="H162">
            <v>20.2255395788657</v>
          </cell>
        </row>
        <row r="163">
          <cell r="E163">
            <v>67040256</v>
          </cell>
          <cell r="F163">
            <v>16665000</v>
          </cell>
          <cell r="G163">
            <v>2271315</v>
          </cell>
          <cell r="H163">
            <v>7.33715931079573</v>
          </cell>
        </row>
        <row r="164">
          <cell r="E164">
            <v>75073905</v>
          </cell>
          <cell r="F164">
            <v>124616000</v>
          </cell>
          <cell r="G164">
            <v>4542630</v>
          </cell>
          <cell r="H164">
            <v>27.4325665968833</v>
          </cell>
        </row>
        <row r="165">
          <cell r="E165">
            <v>88143419</v>
          </cell>
          <cell r="F165">
            <v>65442000</v>
          </cell>
          <cell r="G165">
            <v>4542630</v>
          </cell>
          <cell r="H165">
            <v>14.4061920077136</v>
          </cell>
        </row>
        <row r="166">
          <cell r="E166">
            <v>94074218</v>
          </cell>
          <cell r="F166">
            <v>34761000</v>
          </cell>
          <cell r="G166">
            <v>1362789</v>
          </cell>
          <cell r="H166">
            <v>25.5072502052776</v>
          </cell>
        </row>
        <row r="167">
          <cell r="E167">
            <v>94378217</v>
          </cell>
          <cell r="F167">
            <v>53643000</v>
          </cell>
          <cell r="G167">
            <v>2271315</v>
          </cell>
          <cell r="H167">
            <v>23.6175959741383</v>
          </cell>
        </row>
        <row r="168">
          <cell r="E168">
            <v>94413398</v>
          </cell>
          <cell r="F168">
            <v>9387000</v>
          </cell>
          <cell r="G168">
            <v>2271315</v>
          </cell>
          <cell r="H168">
            <v>4.13284815184155</v>
          </cell>
        </row>
        <row r="169">
          <cell r="E169">
            <v>94426762</v>
          </cell>
          <cell r="F169">
            <v>11223000</v>
          </cell>
          <cell r="G169">
            <v>2271315</v>
          </cell>
          <cell r="H169">
            <v>4.9411904557492</v>
          </cell>
        </row>
        <row r="170">
          <cell r="E170">
            <v>94459046</v>
          </cell>
          <cell r="F170">
            <v>12816000</v>
          </cell>
          <cell r="G170">
            <v>3179841</v>
          </cell>
          <cell r="H170">
            <v>4.03039019875522</v>
          </cell>
        </row>
        <row r="171">
          <cell r="E171">
            <v>94501835</v>
          </cell>
          <cell r="F171">
            <v>10739000</v>
          </cell>
          <cell r="G171">
            <v>1362789</v>
          </cell>
          <cell r="H171">
            <v>7.88016340020355</v>
          </cell>
        </row>
        <row r="172">
          <cell r="E172">
            <v>94533696</v>
          </cell>
          <cell r="F172">
            <v>37450000</v>
          </cell>
          <cell r="G172">
            <v>4542630</v>
          </cell>
          <cell r="H172">
            <v>8.2441228979688</v>
          </cell>
        </row>
        <row r="173">
          <cell r="E173">
            <v>1004342204</v>
          </cell>
          <cell r="F173">
            <v>4144000</v>
          </cell>
          <cell r="G173">
            <v>1362789</v>
          </cell>
          <cell r="H173">
            <v>3.04082290068382</v>
          </cell>
        </row>
        <row r="174">
          <cell r="E174">
            <v>1006096851</v>
          </cell>
          <cell r="F174">
            <v>12326000</v>
          </cell>
          <cell r="G174">
            <v>908526</v>
          </cell>
          <cell r="H174">
            <v>13.5670305527855</v>
          </cell>
        </row>
        <row r="175">
          <cell r="E175">
            <v>1010081973</v>
          </cell>
          <cell r="F175">
            <v>3973000</v>
          </cell>
          <cell r="G175">
            <v>1362789</v>
          </cell>
          <cell r="H175">
            <v>2.91534492867201</v>
          </cell>
        </row>
        <row r="176">
          <cell r="E176">
            <v>1010125231</v>
          </cell>
          <cell r="F176">
            <v>1901000</v>
          </cell>
          <cell r="G176">
            <v>1362789</v>
          </cell>
          <cell r="H176">
            <v>1.3949334783301</v>
          </cell>
        </row>
        <row r="177">
          <cell r="E177">
            <v>1012409708</v>
          </cell>
          <cell r="F177">
            <v>15078000</v>
          </cell>
          <cell r="G177">
            <v>1362789</v>
          </cell>
          <cell r="H177">
            <v>11.0640752163394</v>
          </cell>
        </row>
        <row r="178">
          <cell r="E178">
            <v>1030522020</v>
          </cell>
          <cell r="F178">
            <v>70605000</v>
          </cell>
          <cell r="G178">
            <v>3179841</v>
          </cell>
          <cell r="H178">
            <v>22.2039403856985</v>
          </cell>
        </row>
        <row r="179">
          <cell r="E179">
            <v>1033654195</v>
          </cell>
          <cell r="F179">
            <v>12831000</v>
          </cell>
          <cell r="G179">
            <v>3179841</v>
          </cell>
          <cell r="H179">
            <v>4.03510741574815</v>
          </cell>
        </row>
        <row r="180">
          <cell r="E180">
            <v>1061087232</v>
          </cell>
          <cell r="F180">
            <v>5007000</v>
          </cell>
          <cell r="G180">
            <v>1362789</v>
          </cell>
          <cell r="H180">
            <v>3.67408307522294</v>
          </cell>
        </row>
        <row r="181">
          <cell r="E181">
            <v>1061537744</v>
          </cell>
          <cell r="F181">
            <v>24570000</v>
          </cell>
          <cell r="G181">
            <v>2271315</v>
          </cell>
          <cell r="H181">
            <v>10.8175220081759</v>
          </cell>
        </row>
        <row r="182">
          <cell r="E182">
            <v>1062317237</v>
          </cell>
          <cell r="F182">
            <v>34603000</v>
          </cell>
          <cell r="G182">
            <v>2271315</v>
          </cell>
          <cell r="H182">
            <v>15.2347868965775</v>
          </cell>
        </row>
        <row r="183">
          <cell r="E183">
            <v>1072524175</v>
          </cell>
          <cell r="F183">
            <v>109454000</v>
          </cell>
          <cell r="G183">
            <v>3179841</v>
          </cell>
          <cell r="H183">
            <v>34.4212179162417</v>
          </cell>
        </row>
        <row r="184">
          <cell r="E184">
            <v>1075240800</v>
          </cell>
          <cell r="F184">
            <v>12101000</v>
          </cell>
          <cell r="G184">
            <v>1362789</v>
          </cell>
          <cell r="H184">
            <v>8.87958444043795</v>
          </cell>
        </row>
        <row r="185">
          <cell r="E185">
            <v>1082844316</v>
          </cell>
          <cell r="F185">
            <v>3228000</v>
          </cell>
          <cell r="G185">
            <v>4542630</v>
          </cell>
          <cell r="H185">
            <v>0.71060156781424</v>
          </cell>
        </row>
        <row r="186">
          <cell r="E186">
            <v>1085898519</v>
          </cell>
          <cell r="F186">
            <v>4195000</v>
          </cell>
          <cell r="G186">
            <v>4542630</v>
          </cell>
          <cell r="H186">
            <v>0.923473846648307</v>
          </cell>
        </row>
        <row r="187">
          <cell r="E187">
            <v>1088281354</v>
          </cell>
          <cell r="F187">
            <v>11155000</v>
          </cell>
          <cell r="G187">
            <v>4542630</v>
          </cell>
          <cell r="H187">
            <v>2.45562592595039</v>
          </cell>
        </row>
        <row r="188">
          <cell r="E188">
            <v>1107064974</v>
          </cell>
          <cell r="F188">
            <v>7134000</v>
          </cell>
          <cell r="G188">
            <v>3179841</v>
          </cell>
          <cell r="H188">
            <v>2.24350840183519</v>
          </cell>
        </row>
        <row r="189">
          <cell r="E189">
            <v>1107066883</v>
          </cell>
          <cell r="F189">
            <v>28950000</v>
          </cell>
          <cell r="G189">
            <v>2271315</v>
          </cell>
          <cell r="H189">
            <v>12.7459203148837</v>
          </cell>
        </row>
        <row r="190">
          <cell r="E190">
            <v>1107067602</v>
          </cell>
          <cell r="F190">
            <v>12003000</v>
          </cell>
          <cell r="G190">
            <v>1362789</v>
          </cell>
          <cell r="H190">
            <v>8.80767308805692</v>
          </cell>
        </row>
        <row r="191">
          <cell r="E191">
            <v>1107069840</v>
          </cell>
          <cell r="F191">
            <v>60309000</v>
          </cell>
          <cell r="G191">
            <v>2271315</v>
          </cell>
          <cell r="H191">
            <v>26.5524596984566</v>
          </cell>
        </row>
        <row r="192">
          <cell r="E192">
            <v>1107079240</v>
          </cell>
          <cell r="F192">
            <v>7447000</v>
          </cell>
          <cell r="G192">
            <v>1362789</v>
          </cell>
          <cell r="H192">
            <v>5.46452899164874</v>
          </cell>
        </row>
        <row r="193">
          <cell r="E193">
            <v>1107083078</v>
          </cell>
          <cell r="F193">
            <v>5748000</v>
          </cell>
          <cell r="G193">
            <v>1362789</v>
          </cell>
          <cell r="H193">
            <v>4.21782095394078</v>
          </cell>
        </row>
        <row r="194">
          <cell r="E194">
            <v>1107090982</v>
          </cell>
          <cell r="F194">
            <v>21087000</v>
          </cell>
          <cell r="G194">
            <v>2271315</v>
          </cell>
          <cell r="H194">
            <v>9.28404910811578</v>
          </cell>
        </row>
        <row r="195">
          <cell r="E195">
            <v>1107514466</v>
          </cell>
          <cell r="F195">
            <v>4404000</v>
          </cell>
          <cell r="G195">
            <v>2271315</v>
          </cell>
          <cell r="H195">
            <v>1.93896487277194</v>
          </cell>
        </row>
        <row r="196">
          <cell r="E196">
            <v>1110497487</v>
          </cell>
          <cell r="F196">
            <v>26682000</v>
          </cell>
          <cell r="G196">
            <v>2271315</v>
          </cell>
          <cell r="H196">
            <v>11.7473798218213</v>
          </cell>
        </row>
        <row r="197">
          <cell r="E197">
            <v>1112476123</v>
          </cell>
          <cell r="F197">
            <v>10703000</v>
          </cell>
          <cell r="G197">
            <v>2271315</v>
          </cell>
          <cell r="H197">
            <v>4.7122481910259</v>
          </cell>
        </row>
        <row r="198">
          <cell r="E198">
            <v>1112477900</v>
          </cell>
          <cell r="F198">
            <v>11200000</v>
          </cell>
          <cell r="G198">
            <v>2271315</v>
          </cell>
          <cell r="H198">
            <v>4.93106416327106</v>
          </cell>
        </row>
        <row r="199">
          <cell r="E199">
            <v>1112480962</v>
          </cell>
          <cell r="F199">
            <v>41239000</v>
          </cell>
          <cell r="G199">
            <v>2271315</v>
          </cell>
          <cell r="H199">
            <v>18.1564424133156</v>
          </cell>
        </row>
        <row r="200">
          <cell r="E200">
            <v>1112484884</v>
          </cell>
          <cell r="F200">
            <v>12545000</v>
          </cell>
          <cell r="G200">
            <v>2271315</v>
          </cell>
          <cell r="H200">
            <v>5.52323213644959</v>
          </cell>
        </row>
        <row r="201">
          <cell r="E201">
            <v>1112491402</v>
          </cell>
          <cell r="F201">
            <v>19897000</v>
          </cell>
          <cell r="G201">
            <v>2271315</v>
          </cell>
          <cell r="H201">
            <v>8.76012354076823</v>
          </cell>
        </row>
        <row r="202">
          <cell r="E202">
            <v>1112880193</v>
          </cell>
          <cell r="F202">
            <v>6314000</v>
          </cell>
          <cell r="G202">
            <v>2271315</v>
          </cell>
          <cell r="H202">
            <v>2.77988742204406</v>
          </cell>
        </row>
        <row r="203">
          <cell r="E203">
            <v>1113514036</v>
          </cell>
          <cell r="F203">
            <v>16058000</v>
          </cell>
          <cell r="G203">
            <v>2271315</v>
          </cell>
          <cell r="H203">
            <v>7.06991324408988</v>
          </cell>
        </row>
        <row r="204">
          <cell r="E204">
            <v>1113520487</v>
          </cell>
          <cell r="F204">
            <v>7419000</v>
          </cell>
          <cell r="G204">
            <v>1362789</v>
          </cell>
          <cell r="H204">
            <v>5.44398289096845</v>
          </cell>
        </row>
        <row r="205">
          <cell r="E205">
            <v>1113624281</v>
          </cell>
          <cell r="F205">
            <v>58900000</v>
          </cell>
          <cell r="G205">
            <v>3179841</v>
          </cell>
          <cell r="H205">
            <v>18.5229387255526</v>
          </cell>
        </row>
        <row r="206">
          <cell r="E206">
            <v>1113657862</v>
          </cell>
          <cell r="F206">
            <v>11704000</v>
          </cell>
          <cell r="G206" t="e">
            <v>#VALUE!</v>
          </cell>
          <cell r="H206" t="e">
            <v>#VALUE!</v>
          </cell>
        </row>
        <row r="207">
          <cell r="E207">
            <v>1113673479</v>
          </cell>
          <cell r="F207">
            <v>4280000</v>
          </cell>
          <cell r="G207">
            <v>2271315</v>
          </cell>
          <cell r="H207">
            <v>1.88437094810715</v>
          </cell>
        </row>
        <row r="208">
          <cell r="E208">
            <v>1114091935</v>
          </cell>
          <cell r="F208">
            <v>40953000</v>
          </cell>
          <cell r="G208">
            <v>2271315</v>
          </cell>
          <cell r="H208">
            <v>18.0305241677178</v>
          </cell>
        </row>
        <row r="209">
          <cell r="E209">
            <v>1114821862</v>
          </cell>
          <cell r="F209">
            <v>99608000</v>
          </cell>
          <cell r="G209">
            <v>3179841</v>
          </cell>
          <cell r="H209">
            <v>31.3248366820857</v>
          </cell>
        </row>
        <row r="210">
          <cell r="E210">
            <v>1114899235</v>
          </cell>
          <cell r="F210">
            <v>16926000</v>
          </cell>
          <cell r="G210">
            <v>1362789</v>
          </cell>
          <cell r="H210">
            <v>12.420117861239</v>
          </cell>
        </row>
        <row r="211">
          <cell r="E211">
            <v>1115949491</v>
          </cell>
          <cell r="F211">
            <v>4971000</v>
          </cell>
          <cell r="G211">
            <v>1362789</v>
          </cell>
          <cell r="H211">
            <v>3.64766666006256</v>
          </cell>
        </row>
        <row r="212">
          <cell r="E212">
            <v>1116262680</v>
          </cell>
          <cell r="F212">
            <v>11839000</v>
          </cell>
          <cell r="G212">
            <v>2271315</v>
          </cell>
          <cell r="H212">
            <v>5.21239898472911</v>
          </cell>
        </row>
        <row r="213">
          <cell r="E213">
            <v>1116268202</v>
          </cell>
          <cell r="F213">
            <v>22230000</v>
          </cell>
          <cell r="G213">
            <v>3179841</v>
          </cell>
          <cell r="H213">
            <v>6.99091558351503</v>
          </cell>
        </row>
        <row r="214">
          <cell r="E214">
            <v>1117517012</v>
          </cell>
          <cell r="F214">
            <v>24962000</v>
          </cell>
          <cell r="G214">
            <v>4542630</v>
          </cell>
          <cell r="H214">
            <v>5.49505462694518</v>
          </cell>
        </row>
        <row r="215">
          <cell r="E215">
            <v>1118299176</v>
          </cell>
          <cell r="F215">
            <v>4226000</v>
          </cell>
          <cell r="G215">
            <v>2271315</v>
          </cell>
          <cell r="H215">
            <v>1.86059617446281</v>
          </cell>
        </row>
        <row r="216">
          <cell r="E216">
            <v>1123201722</v>
          </cell>
          <cell r="F216">
            <v>20836000</v>
          </cell>
          <cell r="G216">
            <v>1362789</v>
          </cell>
          <cell r="H216">
            <v>15.2892340633803</v>
          </cell>
        </row>
        <row r="217">
          <cell r="E217">
            <v>1130589667</v>
          </cell>
          <cell r="F217">
            <v>4560000</v>
          </cell>
          <cell r="G217">
            <v>1362789</v>
          </cell>
          <cell r="H217">
            <v>3.34607925364822</v>
          </cell>
        </row>
        <row r="218">
          <cell r="E218">
            <v>1130589981</v>
          </cell>
          <cell r="F218">
            <v>21552000</v>
          </cell>
          <cell r="G218">
            <v>2271315</v>
          </cell>
          <cell r="H218">
            <v>9.48877632560873</v>
          </cell>
        </row>
        <row r="219">
          <cell r="E219">
            <v>1130602580</v>
          </cell>
          <cell r="F219">
            <v>4784000</v>
          </cell>
          <cell r="G219">
            <v>2271315</v>
          </cell>
          <cell r="H219">
            <v>2.10626883545435</v>
          </cell>
        </row>
        <row r="220">
          <cell r="E220">
            <v>1130607298</v>
          </cell>
          <cell r="F220">
            <v>8789000</v>
          </cell>
          <cell r="G220">
            <v>1362789</v>
          </cell>
          <cell r="H220">
            <v>6.44927424568293</v>
          </cell>
        </row>
        <row r="221">
          <cell r="E221">
            <v>1130608230</v>
          </cell>
          <cell r="F221">
            <v>8960000</v>
          </cell>
          <cell r="G221">
            <v>1362789</v>
          </cell>
          <cell r="H221">
            <v>6.57475221769474</v>
          </cell>
        </row>
        <row r="222">
          <cell r="E222">
            <v>1130608437</v>
          </cell>
          <cell r="F222">
            <v>27271000</v>
          </cell>
          <cell r="G222">
            <v>2271315</v>
          </cell>
          <cell r="H222">
            <v>12.006700963979</v>
          </cell>
        </row>
        <row r="223">
          <cell r="E223">
            <v>1130608725</v>
          </cell>
          <cell r="F223">
            <v>9574000</v>
          </cell>
          <cell r="G223">
            <v>3179841</v>
          </cell>
          <cell r="H223">
            <v>3.01084236601767</v>
          </cell>
        </row>
        <row r="224">
          <cell r="E224">
            <v>1130614933</v>
          </cell>
          <cell r="F224">
            <v>44003000</v>
          </cell>
          <cell r="G224">
            <v>4542630</v>
          </cell>
          <cell r="H224">
            <v>9.68667930251858</v>
          </cell>
        </row>
        <row r="225">
          <cell r="E225">
            <v>1130616226</v>
          </cell>
          <cell r="F225">
            <v>36200000</v>
          </cell>
          <cell r="G225">
            <v>1362789</v>
          </cell>
          <cell r="H225">
            <v>26.5631730223828</v>
          </cell>
        </row>
        <row r="226">
          <cell r="E226">
            <v>1130631347</v>
          </cell>
          <cell r="F226">
            <v>89914000</v>
          </cell>
          <cell r="G226">
            <v>2271315</v>
          </cell>
          <cell r="H226">
            <v>39.5867592121744</v>
          </cell>
        </row>
        <row r="227">
          <cell r="E227">
            <v>1130632963</v>
          </cell>
          <cell r="F227">
            <v>53510000</v>
          </cell>
          <cell r="G227">
            <v>2271315</v>
          </cell>
          <cell r="H227">
            <v>23.5590395871995</v>
          </cell>
        </row>
        <row r="228">
          <cell r="E228">
            <v>1130635690</v>
          </cell>
          <cell r="F228">
            <v>65190000</v>
          </cell>
          <cell r="G228">
            <v>2271315</v>
          </cell>
          <cell r="H228">
            <v>28.7014350717536</v>
          </cell>
        </row>
        <row r="229">
          <cell r="E229">
            <v>1130637409</v>
          </cell>
          <cell r="F229">
            <v>14064000</v>
          </cell>
          <cell r="G229">
            <v>2271315</v>
          </cell>
          <cell r="H229">
            <v>6.19200771359323</v>
          </cell>
        </row>
        <row r="230">
          <cell r="E230">
            <v>1130648286</v>
          </cell>
          <cell r="F230">
            <v>25383000</v>
          </cell>
          <cell r="G230">
            <v>2271315</v>
          </cell>
          <cell r="H230">
            <v>11.175464433599</v>
          </cell>
        </row>
        <row r="231">
          <cell r="E231">
            <v>1130661444</v>
          </cell>
          <cell r="F231">
            <v>87076000</v>
          </cell>
          <cell r="G231">
            <v>2271315</v>
          </cell>
          <cell r="H231">
            <v>38.3372627750884</v>
          </cell>
        </row>
        <row r="232">
          <cell r="E232">
            <v>1130664985</v>
          </cell>
          <cell r="F232">
            <v>23412000</v>
          </cell>
          <cell r="G232">
            <v>4542630</v>
          </cell>
          <cell r="H232">
            <v>5.15384259779027</v>
          </cell>
        </row>
        <row r="233">
          <cell r="E233">
            <v>1130669714</v>
          </cell>
          <cell r="F233">
            <v>64973000</v>
          </cell>
          <cell r="G233">
            <v>4542630</v>
          </cell>
          <cell r="H233">
            <v>14.3029478517951</v>
          </cell>
        </row>
        <row r="234">
          <cell r="E234">
            <v>1130670565</v>
          </cell>
          <cell r="F234">
            <v>12255000</v>
          </cell>
          <cell r="G234">
            <v>2271315</v>
          </cell>
          <cell r="H234">
            <v>5.39555279650775</v>
          </cell>
        </row>
        <row r="235">
          <cell r="E235">
            <v>1130675011</v>
          </cell>
          <cell r="F235">
            <v>4891000</v>
          </cell>
          <cell r="G235">
            <v>1362789</v>
          </cell>
          <cell r="H235">
            <v>3.58896351526172</v>
          </cell>
        </row>
        <row r="236">
          <cell r="E236">
            <v>1130679086</v>
          </cell>
          <cell r="F236">
            <v>15413000</v>
          </cell>
          <cell r="G236">
            <v>2271315</v>
          </cell>
          <cell r="H236">
            <v>6.78593678111579</v>
          </cell>
        </row>
        <row r="237">
          <cell r="E237">
            <v>1136059578</v>
          </cell>
          <cell r="F237">
            <v>5768000</v>
          </cell>
          <cell r="G237">
            <v>2271315</v>
          </cell>
          <cell r="H237">
            <v>2.53949804408459</v>
          </cell>
        </row>
        <row r="238">
          <cell r="E238">
            <v>1143826134</v>
          </cell>
          <cell r="F238">
            <v>23753000</v>
          </cell>
          <cell r="G238">
            <v>2271315</v>
          </cell>
          <cell r="H238">
            <v>10.4578184884087</v>
          </cell>
        </row>
        <row r="239">
          <cell r="E239">
            <v>1143836437</v>
          </cell>
          <cell r="F239">
            <v>55242000</v>
          </cell>
          <cell r="G239">
            <v>1362789</v>
          </cell>
          <cell r="H239">
            <v>40.5359890636041</v>
          </cell>
        </row>
        <row r="240">
          <cell r="E240">
            <v>1143836705</v>
          </cell>
          <cell r="F240">
            <v>9234000</v>
          </cell>
          <cell r="G240">
            <v>2271315</v>
          </cell>
          <cell r="H240">
            <v>4.06548629318258</v>
          </cell>
        </row>
        <row r="241">
          <cell r="E241">
            <v>1143840552</v>
          </cell>
          <cell r="F241">
            <v>44154000</v>
          </cell>
          <cell r="G241">
            <v>2271315</v>
          </cell>
          <cell r="H241">
            <v>19.4398399165241</v>
          </cell>
        </row>
        <row r="242">
          <cell r="E242">
            <v>1143844749</v>
          </cell>
          <cell r="F242">
            <v>77116000</v>
          </cell>
          <cell r="G242">
            <v>4542630</v>
          </cell>
          <cell r="H242">
            <v>16.9760689292326</v>
          </cell>
        </row>
        <row r="243">
          <cell r="E243">
            <v>1143850459</v>
          </cell>
          <cell r="F243">
            <v>1204000</v>
          </cell>
          <cell r="G243">
            <v>908526</v>
          </cell>
          <cell r="H243">
            <v>1.3252234938791</v>
          </cell>
        </row>
        <row r="244">
          <cell r="E244">
            <v>1143856655</v>
          </cell>
          <cell r="F244">
            <v>17653000</v>
          </cell>
          <cell r="G244">
            <v>2271315</v>
          </cell>
          <cell r="H244">
            <v>7.77214961377</v>
          </cell>
        </row>
        <row r="245">
          <cell r="E245">
            <v>1143860494</v>
          </cell>
          <cell r="F245">
            <v>1329000</v>
          </cell>
          <cell r="G245">
            <v>2271315</v>
          </cell>
          <cell r="H245">
            <v>0.585123595802432</v>
          </cell>
        </row>
        <row r="246">
          <cell r="E246">
            <v>1143866189</v>
          </cell>
          <cell r="F246">
            <v>15210000</v>
          </cell>
          <cell r="G246">
            <v>2271315</v>
          </cell>
          <cell r="H246">
            <v>6.6965612431565</v>
          </cell>
        </row>
        <row r="247">
          <cell r="E247">
            <v>1143866796</v>
          </cell>
          <cell r="F247">
            <v>1911000</v>
          </cell>
          <cell r="G247">
            <v>1362789</v>
          </cell>
          <cell r="H247">
            <v>1.40227137143021</v>
          </cell>
        </row>
        <row r="248">
          <cell r="E248">
            <v>1143876942</v>
          </cell>
          <cell r="F248">
            <v>45037000</v>
          </cell>
          <cell r="G248">
            <v>2271315</v>
          </cell>
          <cell r="H248">
            <v>19.8286014929677</v>
          </cell>
        </row>
        <row r="249">
          <cell r="E249">
            <v>1143925787</v>
          </cell>
          <cell r="F249">
            <v>29466000</v>
          </cell>
          <cell r="G249">
            <v>2271315</v>
          </cell>
          <cell r="H249">
            <v>12.9731014852629</v>
          </cell>
        </row>
        <row r="250">
          <cell r="E250">
            <v>1143927195</v>
          </cell>
          <cell r="F250">
            <v>15630000</v>
          </cell>
          <cell r="G250">
            <v>1362789</v>
          </cell>
          <cell r="H250">
            <v>11.4691269154653</v>
          </cell>
        </row>
        <row r="251">
          <cell r="E251">
            <v>1143931949</v>
          </cell>
          <cell r="F251">
            <v>4176000</v>
          </cell>
          <cell r="G251">
            <v>1362789</v>
          </cell>
          <cell r="H251">
            <v>3.06430415860416</v>
          </cell>
        </row>
        <row r="252">
          <cell r="E252">
            <v>1143945724</v>
          </cell>
          <cell r="F252">
            <v>29977000</v>
          </cell>
          <cell r="G252">
            <v>1362789</v>
          </cell>
          <cell r="H252">
            <v>21.996802146187</v>
          </cell>
        </row>
        <row r="253">
          <cell r="E253">
            <v>1143961010</v>
          </cell>
          <cell r="F253">
            <v>3012000</v>
          </cell>
          <cell r="G253">
            <v>1362789</v>
          </cell>
          <cell r="H253">
            <v>2.21017340175185</v>
          </cell>
        </row>
        <row r="254">
          <cell r="E254">
            <v>1143963710</v>
          </cell>
          <cell r="F254">
            <v>474000</v>
          </cell>
          <cell r="G254">
            <v>1362789</v>
          </cell>
          <cell r="H254">
            <v>0.347816132945012</v>
          </cell>
        </row>
        <row r="255">
          <cell r="E255">
            <v>1144032392</v>
          </cell>
          <cell r="F255">
            <v>3981000</v>
          </cell>
          <cell r="G255">
            <v>2271315</v>
          </cell>
          <cell r="H255">
            <v>1.75272914589126</v>
          </cell>
        </row>
        <row r="256">
          <cell r="E256">
            <v>1144035049</v>
          </cell>
          <cell r="F256">
            <v>1190000</v>
          </cell>
          <cell r="G256">
            <v>1362789</v>
          </cell>
          <cell r="H256">
            <v>0.873209278912583</v>
          </cell>
        </row>
        <row r="257">
          <cell r="E257">
            <v>1144042611</v>
          </cell>
          <cell r="F257">
            <v>5501000</v>
          </cell>
          <cell r="G257">
            <v>2271315</v>
          </cell>
          <cell r="H257">
            <v>2.4219449966209</v>
          </cell>
        </row>
        <row r="258">
          <cell r="E258">
            <v>1144044681</v>
          </cell>
          <cell r="F258">
            <v>39679000</v>
          </cell>
          <cell r="G258">
            <v>908526</v>
          </cell>
          <cell r="H258">
            <v>43.6740390478643</v>
          </cell>
        </row>
        <row r="259">
          <cell r="E259">
            <v>1144044745</v>
          </cell>
          <cell r="F259">
            <v>6441000</v>
          </cell>
          <cell r="G259">
            <v>1362789</v>
          </cell>
          <cell r="H259">
            <v>4.72633694577811</v>
          </cell>
        </row>
        <row r="260">
          <cell r="E260">
            <v>1144057157</v>
          </cell>
          <cell r="F260">
            <v>3895000</v>
          </cell>
          <cell r="G260">
            <v>2271315</v>
          </cell>
          <cell r="H260">
            <v>1.71486561749471</v>
          </cell>
        </row>
        <row r="261">
          <cell r="E261">
            <v>1144058820</v>
          </cell>
          <cell r="F261">
            <v>25162000</v>
          </cell>
          <cell r="G261">
            <v>4542630</v>
          </cell>
          <cell r="H261">
            <v>5.53908198554582</v>
          </cell>
        </row>
        <row r="262">
          <cell r="E262">
            <v>1144059077</v>
          </cell>
          <cell r="F262">
            <v>1674000</v>
          </cell>
          <cell r="G262">
            <v>2271315</v>
          </cell>
          <cell r="H262">
            <v>0.73701798297462</v>
          </cell>
        </row>
        <row r="263">
          <cell r="E263">
            <v>1144065325</v>
          </cell>
          <cell r="F263">
            <v>1815000</v>
          </cell>
          <cell r="G263">
            <v>2271315</v>
          </cell>
          <cell r="H263">
            <v>0.799096558601515</v>
          </cell>
        </row>
        <row r="264">
          <cell r="E264">
            <v>1144095055</v>
          </cell>
          <cell r="F264">
            <v>1492000</v>
          </cell>
          <cell r="G264">
            <v>1362789</v>
          </cell>
          <cell r="H264">
            <v>1.09481365053578</v>
          </cell>
        </row>
        <row r="265">
          <cell r="E265">
            <v>1144125039</v>
          </cell>
          <cell r="F265">
            <v>7701000</v>
          </cell>
          <cell r="G265">
            <v>1362789</v>
          </cell>
          <cell r="H265">
            <v>5.65091147639143</v>
          </cell>
        </row>
        <row r="266">
          <cell r="E266">
            <v>1144125541</v>
          </cell>
          <cell r="F266">
            <v>10600000</v>
          </cell>
          <cell r="G266">
            <v>3179841</v>
          </cell>
          <cell r="H266">
            <v>3.33350000833375</v>
          </cell>
        </row>
        <row r="267">
          <cell r="E267">
            <v>1144143477</v>
          </cell>
          <cell r="F267">
            <v>17430000</v>
          </cell>
          <cell r="G267">
            <v>1362789</v>
          </cell>
          <cell r="H267">
            <v>12.7899476734843</v>
          </cell>
        </row>
        <row r="268">
          <cell r="E268">
            <v>1144147800</v>
          </cell>
          <cell r="F268">
            <v>8010000</v>
          </cell>
          <cell r="G268">
            <v>1362789</v>
          </cell>
          <cell r="H268">
            <v>5.8776523731847</v>
          </cell>
        </row>
        <row r="269">
          <cell r="E269">
            <v>1144153247</v>
          </cell>
          <cell r="F269">
            <v>6977000</v>
          </cell>
          <cell r="G269">
            <v>3179841</v>
          </cell>
          <cell r="H269">
            <v>2.1941348639759</v>
          </cell>
        </row>
        <row r="270">
          <cell r="E270">
            <v>1144156511</v>
          </cell>
          <cell r="F270">
            <v>308000</v>
          </cell>
          <cell r="G270">
            <v>2271315</v>
          </cell>
          <cell r="H270">
            <v>0.135604264489954</v>
          </cell>
        </row>
        <row r="271">
          <cell r="E271">
            <v>1144165348</v>
          </cell>
          <cell r="F271">
            <v>3840000</v>
          </cell>
          <cell r="G271">
            <v>3179841</v>
          </cell>
          <cell r="H271">
            <v>1.20760755018883</v>
          </cell>
        </row>
        <row r="272">
          <cell r="E272">
            <v>1144167122</v>
          </cell>
          <cell r="F272">
            <v>4042000</v>
          </cell>
          <cell r="G272">
            <v>2271315</v>
          </cell>
          <cell r="H272">
            <v>1.77958583463764</v>
          </cell>
        </row>
        <row r="273">
          <cell r="E273">
            <v>1144173564</v>
          </cell>
          <cell r="F273">
            <v>3050000</v>
          </cell>
          <cell r="G273">
            <v>2271315</v>
          </cell>
          <cell r="H273">
            <v>1.34283443731935</v>
          </cell>
        </row>
        <row r="274">
          <cell r="E274">
            <v>1144179107</v>
          </cell>
          <cell r="F274">
            <v>4254000</v>
          </cell>
          <cell r="G274">
            <v>1362789</v>
          </cell>
          <cell r="H274">
            <v>3.12153972478498</v>
          </cell>
        </row>
        <row r="275">
          <cell r="E275">
            <v>1144180967</v>
          </cell>
          <cell r="F275">
            <v>2450000</v>
          </cell>
          <cell r="G275">
            <v>1362789</v>
          </cell>
          <cell r="H275">
            <v>1.79778380952591</v>
          </cell>
        </row>
        <row r="276">
          <cell r="E276">
            <v>1144190402</v>
          </cell>
          <cell r="F276">
            <v>3000000</v>
          </cell>
          <cell r="G276">
            <v>1362789</v>
          </cell>
          <cell r="H276">
            <v>2.20136793003172</v>
          </cell>
        </row>
        <row r="277">
          <cell r="E277">
            <v>1144194720</v>
          </cell>
          <cell r="F277">
            <v>3195000</v>
          </cell>
          <cell r="G277">
            <v>2271315</v>
          </cell>
          <cell r="H277">
            <v>1.40667410729027</v>
          </cell>
        </row>
        <row r="278">
          <cell r="E278">
            <v>1151944100</v>
          </cell>
          <cell r="F278">
            <v>2021000</v>
          </cell>
          <cell r="G278">
            <v>1362789</v>
          </cell>
          <cell r="H278">
            <v>1.48298819553137</v>
          </cell>
        </row>
        <row r="279">
          <cell r="E279">
            <v>1151946155</v>
          </cell>
          <cell r="F279">
            <v>7305000</v>
          </cell>
          <cell r="G279">
            <v>1362789</v>
          </cell>
          <cell r="H279">
            <v>5.36033090962724</v>
          </cell>
        </row>
        <row r="280">
          <cell r="E280">
            <v>1005934361</v>
          </cell>
          <cell r="F280">
            <v>48520000</v>
          </cell>
          <cell r="G280">
            <v>4542630</v>
          </cell>
          <cell r="H280">
            <v>10.6810371965139</v>
          </cell>
        </row>
        <row r="281">
          <cell r="E281">
            <v>16846198</v>
          </cell>
          <cell r="F281">
            <v>129000</v>
          </cell>
          <cell r="G281">
            <v>1362789</v>
          </cell>
          <cell r="H281">
            <v>0.094658820991364</v>
          </cell>
        </row>
        <row r="282">
          <cell r="E282">
            <v>29116368</v>
          </cell>
          <cell r="F282">
            <v>139915000</v>
          </cell>
          <cell r="G282">
            <v>2271315</v>
          </cell>
          <cell r="H282">
            <v>61.6008787860777</v>
          </cell>
        </row>
        <row r="283">
          <cell r="E283">
            <v>29677772</v>
          </cell>
          <cell r="F283">
            <v>2279000</v>
          </cell>
          <cell r="G283">
            <v>2271315</v>
          </cell>
          <cell r="H283">
            <v>1.00338350250846</v>
          </cell>
        </row>
        <row r="284">
          <cell r="E284">
            <v>29705663</v>
          </cell>
          <cell r="F284">
            <v>51710000</v>
          </cell>
          <cell r="G284">
            <v>6359682</v>
          </cell>
          <cell r="H284">
            <v>8.13090969013859</v>
          </cell>
        </row>
        <row r="285">
          <cell r="E285">
            <v>30398858</v>
          </cell>
          <cell r="F285">
            <v>77914000</v>
          </cell>
          <cell r="G285">
            <v>4542630</v>
          </cell>
          <cell r="H285">
            <v>17.1517380900492</v>
          </cell>
        </row>
        <row r="286">
          <cell r="E286">
            <v>30668215</v>
          </cell>
          <cell r="F286">
            <v>10909000</v>
          </cell>
          <cell r="G286">
            <v>2271315</v>
          </cell>
          <cell r="H286">
            <v>4.80294454974321</v>
          </cell>
        </row>
        <row r="287">
          <cell r="E287">
            <v>31305575</v>
          </cell>
          <cell r="F287">
            <v>8732000</v>
          </cell>
          <cell r="G287">
            <v>2271315</v>
          </cell>
          <cell r="H287">
            <v>3.8444689530074</v>
          </cell>
        </row>
        <row r="288">
          <cell r="E288">
            <v>31309999</v>
          </cell>
          <cell r="F288">
            <v>11409000</v>
          </cell>
          <cell r="G288">
            <v>1362789</v>
          </cell>
          <cell r="H288">
            <v>8.37180223791064</v>
          </cell>
        </row>
        <row r="289">
          <cell r="E289">
            <v>31579220</v>
          </cell>
          <cell r="F289">
            <v>39373000</v>
          </cell>
          <cell r="G289">
            <v>2271315</v>
          </cell>
          <cell r="H289">
            <v>17.3348919018278</v>
          </cell>
        </row>
        <row r="290">
          <cell r="E290">
            <v>31712761</v>
          </cell>
          <cell r="F290">
            <v>16922000</v>
          </cell>
          <cell r="G290">
            <v>3179841</v>
          </cell>
          <cell r="H290">
            <v>5.32164973028526</v>
          </cell>
        </row>
        <row r="291">
          <cell r="E291">
            <v>31987244</v>
          </cell>
          <cell r="F291">
            <v>10406000</v>
          </cell>
          <cell r="G291">
            <v>2271315</v>
          </cell>
          <cell r="H291">
            <v>4.58148693598202</v>
          </cell>
        </row>
        <row r="292">
          <cell r="E292">
            <v>34613050</v>
          </cell>
          <cell r="F292">
            <v>29905000</v>
          </cell>
          <cell r="G292">
            <v>2271315</v>
          </cell>
          <cell r="H292">
            <v>13.1663815895197</v>
          </cell>
        </row>
        <row r="293">
          <cell r="E293">
            <v>38556029</v>
          </cell>
          <cell r="F293">
            <v>85617000</v>
          </cell>
          <cell r="G293">
            <v>4542630</v>
          </cell>
          <cell r="H293">
            <v>18.8474518065526</v>
          </cell>
        </row>
        <row r="294">
          <cell r="E294">
            <v>38670692</v>
          </cell>
          <cell r="F294">
            <v>34176000</v>
          </cell>
          <cell r="G294">
            <v>1362789</v>
          </cell>
          <cell r="H294">
            <v>25.0779834589214</v>
          </cell>
        </row>
        <row r="295">
          <cell r="E295">
            <v>38681350</v>
          </cell>
          <cell r="F295">
            <v>13239000</v>
          </cell>
          <cell r="G295">
            <v>2271315</v>
          </cell>
          <cell r="H295">
            <v>5.82878200513799</v>
          </cell>
        </row>
        <row r="296">
          <cell r="E296">
            <v>41904817</v>
          </cell>
          <cell r="F296">
            <v>11210000</v>
          </cell>
          <cell r="G296">
            <v>2271315</v>
          </cell>
          <cell r="H296">
            <v>4.93546689913112</v>
          </cell>
        </row>
        <row r="297">
          <cell r="E297">
            <v>42089913</v>
          </cell>
          <cell r="F297">
            <v>62610000</v>
          </cell>
          <cell r="G297">
            <v>3179841</v>
          </cell>
          <cell r="H297">
            <v>19.6896637284694</v>
          </cell>
        </row>
        <row r="298">
          <cell r="E298">
            <v>66824445</v>
          </cell>
          <cell r="F298">
            <v>12093000</v>
          </cell>
          <cell r="G298">
            <v>908526</v>
          </cell>
          <cell r="H298">
            <v>13.3105711889368</v>
          </cell>
        </row>
        <row r="299">
          <cell r="E299">
            <v>66922338</v>
          </cell>
          <cell r="F299">
            <v>8545000</v>
          </cell>
          <cell r="G299">
            <v>1362789</v>
          </cell>
          <cell r="H299">
            <v>6.27022965404035</v>
          </cell>
        </row>
        <row r="300">
          <cell r="E300">
            <v>66997637</v>
          </cell>
          <cell r="F300">
            <v>16472000</v>
          </cell>
          <cell r="G300">
            <v>1362789</v>
          </cell>
          <cell r="H300">
            <v>12.0869775144942</v>
          </cell>
        </row>
        <row r="301">
          <cell r="E301">
            <v>67021850</v>
          </cell>
          <cell r="F301">
            <v>15466000</v>
          </cell>
          <cell r="G301">
            <v>2271315</v>
          </cell>
          <cell r="H301">
            <v>6.80927128117412</v>
          </cell>
        </row>
        <row r="302">
          <cell r="E302">
            <v>67040484</v>
          </cell>
          <cell r="F302">
            <v>15084000</v>
          </cell>
          <cell r="G302">
            <v>2271315</v>
          </cell>
          <cell r="H302">
            <v>6.6410867713197</v>
          </cell>
        </row>
        <row r="303">
          <cell r="E303">
            <v>87063919</v>
          </cell>
          <cell r="F303">
            <v>72600000</v>
          </cell>
          <cell r="G303">
            <v>4542630</v>
          </cell>
          <cell r="H303">
            <v>15.9819311720303</v>
          </cell>
        </row>
        <row r="304">
          <cell r="E304">
            <v>94064042</v>
          </cell>
          <cell r="F304">
            <v>19559000</v>
          </cell>
          <cell r="G304">
            <v>1362789</v>
          </cell>
          <cell r="H304">
            <v>14.3521851144968</v>
          </cell>
        </row>
        <row r="305">
          <cell r="E305">
            <v>94531289</v>
          </cell>
          <cell r="F305">
            <v>73821000</v>
          </cell>
          <cell r="G305">
            <v>4542630</v>
          </cell>
          <cell r="H305">
            <v>16.2507181962872</v>
          </cell>
        </row>
        <row r="306">
          <cell r="E306">
            <v>1054997916</v>
          </cell>
          <cell r="F306">
            <v>7549000</v>
          </cell>
          <cell r="G306">
            <v>3179841</v>
          </cell>
          <cell r="H306">
            <v>2.37401807197278</v>
          </cell>
        </row>
        <row r="307">
          <cell r="E307">
            <v>1061655846</v>
          </cell>
          <cell r="F307">
            <v>8110000</v>
          </cell>
          <cell r="G307">
            <v>2271315</v>
          </cell>
          <cell r="H307">
            <v>3.57061878251145</v>
          </cell>
        </row>
        <row r="308">
          <cell r="E308">
            <v>1061730666</v>
          </cell>
          <cell r="F308">
            <v>7057000</v>
          </cell>
          <cell r="G308">
            <v>1362789</v>
          </cell>
          <cell r="H308">
            <v>5.17835116074462</v>
          </cell>
        </row>
        <row r="309">
          <cell r="E309">
            <v>1062280788</v>
          </cell>
          <cell r="F309">
            <v>59316000</v>
          </cell>
          <cell r="G309">
            <v>3179841</v>
          </cell>
          <cell r="H309">
            <v>18.6537628768231</v>
          </cell>
        </row>
        <row r="310">
          <cell r="E310">
            <v>1085259520</v>
          </cell>
          <cell r="F310">
            <v>12571000</v>
          </cell>
          <cell r="G310">
            <v>2271315</v>
          </cell>
          <cell r="H310">
            <v>5.53467924968575</v>
          </cell>
        </row>
        <row r="311">
          <cell r="E311">
            <v>1107083846</v>
          </cell>
          <cell r="F311">
            <v>55668000</v>
          </cell>
          <cell r="G311">
            <v>2271315</v>
          </cell>
          <cell r="H311">
            <v>24.5091499858012</v>
          </cell>
        </row>
        <row r="312">
          <cell r="E312">
            <v>1107105454</v>
          </cell>
          <cell r="F312">
            <v>3666000</v>
          </cell>
          <cell r="G312">
            <v>1362789</v>
          </cell>
          <cell r="H312">
            <v>2.69007161049876</v>
          </cell>
        </row>
        <row r="313">
          <cell r="E313">
            <v>1114818603</v>
          </cell>
          <cell r="F313">
            <v>46337000</v>
          </cell>
          <cell r="G313">
            <v>2271315</v>
          </cell>
          <cell r="H313">
            <v>20.400957154776</v>
          </cell>
        </row>
        <row r="314">
          <cell r="E314">
            <v>1114821052</v>
          </cell>
          <cell r="F314">
            <v>10895000</v>
          </cell>
          <cell r="G314">
            <v>1362789</v>
          </cell>
          <cell r="H314">
            <v>7.9946345325652</v>
          </cell>
        </row>
        <row r="315">
          <cell r="E315">
            <v>1116234251</v>
          </cell>
          <cell r="F315">
            <v>16277000</v>
          </cell>
          <cell r="G315">
            <v>2271315</v>
          </cell>
          <cell r="H315">
            <v>7.16633315942527</v>
          </cell>
        </row>
        <row r="316">
          <cell r="E316">
            <v>1130599537</v>
          </cell>
          <cell r="F316">
            <v>13229000</v>
          </cell>
          <cell r="G316">
            <v>2271315</v>
          </cell>
          <cell r="H316">
            <v>5.82437926927793</v>
          </cell>
        </row>
        <row r="317">
          <cell r="E317">
            <v>1130623940</v>
          </cell>
          <cell r="F317">
            <v>44283000</v>
          </cell>
          <cell r="G317">
            <v>2271315</v>
          </cell>
          <cell r="H317">
            <v>19.4966352091189</v>
          </cell>
        </row>
        <row r="318">
          <cell r="E318">
            <v>1130628436</v>
          </cell>
          <cell r="F318">
            <v>46394000</v>
          </cell>
          <cell r="G318">
            <v>2271315</v>
          </cell>
          <cell r="H318">
            <v>20.4260527491783</v>
          </cell>
        </row>
        <row r="319">
          <cell r="E319">
            <v>1130635787</v>
          </cell>
          <cell r="F319">
            <v>22599000</v>
          </cell>
          <cell r="G319">
            <v>1362789</v>
          </cell>
          <cell r="H319">
            <v>16.582904616929</v>
          </cell>
        </row>
        <row r="320">
          <cell r="E320">
            <v>1130640465</v>
          </cell>
          <cell r="F320">
            <v>34648000</v>
          </cell>
          <cell r="G320">
            <v>1362789</v>
          </cell>
          <cell r="H320">
            <v>25.4243320132464</v>
          </cell>
        </row>
        <row r="321">
          <cell r="E321">
            <v>1130640687</v>
          </cell>
          <cell r="F321">
            <v>5655000</v>
          </cell>
          <cell r="G321">
            <v>2271315</v>
          </cell>
          <cell r="H321">
            <v>2.48974712886588</v>
          </cell>
        </row>
        <row r="322">
          <cell r="E322">
            <v>1130641134</v>
          </cell>
          <cell r="F322">
            <v>314000</v>
          </cell>
          <cell r="G322">
            <v>2271315</v>
          </cell>
          <cell r="H322">
            <v>0.138245906005992</v>
          </cell>
        </row>
        <row r="323">
          <cell r="E323">
            <v>1143836074</v>
          </cell>
          <cell r="F323">
            <v>50084000</v>
          </cell>
          <cell r="G323">
            <v>3179841</v>
          </cell>
          <cell r="H323">
            <v>15.7504730582441</v>
          </cell>
        </row>
        <row r="324">
          <cell r="E324">
            <v>1143840792</v>
          </cell>
          <cell r="F324">
            <v>18278000</v>
          </cell>
          <cell r="G324">
            <v>2271315</v>
          </cell>
          <cell r="H324">
            <v>8.04732060502396</v>
          </cell>
        </row>
        <row r="325">
          <cell r="E325">
            <v>1143991760</v>
          </cell>
          <cell r="F325">
            <v>3309000</v>
          </cell>
          <cell r="G325">
            <v>1362789</v>
          </cell>
          <cell r="H325">
            <v>2.42810882682499</v>
          </cell>
        </row>
        <row r="326">
          <cell r="E326">
            <v>1144050843</v>
          </cell>
          <cell r="F326">
            <v>640000</v>
          </cell>
          <cell r="G326">
            <v>2271315</v>
          </cell>
          <cell r="H326">
            <v>0.28177509504406</v>
          </cell>
        </row>
        <row r="327">
          <cell r="E327">
            <v>1144143740</v>
          </cell>
          <cell r="F327">
            <v>1636000</v>
          </cell>
          <cell r="G327">
            <v>1362789</v>
          </cell>
          <cell r="H327">
            <v>1.2004793111773</v>
          </cell>
        </row>
        <row r="328">
          <cell r="E328">
            <v>1144186978</v>
          </cell>
          <cell r="F328">
            <v>20000</v>
          </cell>
          <cell r="G328">
            <v>1362789</v>
          </cell>
          <cell r="H328">
            <v>0.0146757862002115</v>
          </cell>
        </row>
        <row r="329">
          <cell r="E329">
            <v>1151945346</v>
          </cell>
          <cell r="F329">
            <v>1881000</v>
          </cell>
          <cell r="G329">
            <v>2271315</v>
          </cell>
          <cell r="H329">
            <v>0.828154615277934</v>
          </cell>
        </row>
        <row r="330">
          <cell r="E330">
            <v>5208653</v>
          </cell>
          <cell r="F330">
            <v>17667000</v>
          </cell>
          <cell r="G330">
            <v>4542630</v>
          </cell>
          <cell r="H330">
            <v>3.88915672198704</v>
          </cell>
        </row>
        <row r="331">
          <cell r="E331">
            <v>6106214</v>
          </cell>
          <cell r="F331">
            <v>22663000</v>
          </cell>
          <cell r="G331">
            <v>4542630</v>
          </cell>
          <cell r="H331">
            <v>4.98896013983089</v>
          </cell>
        </row>
        <row r="332">
          <cell r="E332">
            <v>6134634</v>
          </cell>
          <cell r="F332">
            <v>23521000</v>
          </cell>
          <cell r="G332">
            <v>2271315</v>
          </cell>
          <cell r="H332">
            <v>10.3556750164552</v>
          </cell>
        </row>
        <row r="333">
          <cell r="E333">
            <v>6355880</v>
          </cell>
          <cell r="F333">
            <v>5874000</v>
          </cell>
          <cell r="G333">
            <v>2271315</v>
          </cell>
          <cell r="H333">
            <v>2.58616704420127</v>
          </cell>
        </row>
        <row r="334">
          <cell r="E334">
            <v>6531814</v>
          </cell>
          <cell r="F334">
            <v>4399000</v>
          </cell>
          <cell r="G334">
            <v>1362789</v>
          </cell>
          <cell r="H334">
            <v>3.22793917473651</v>
          </cell>
        </row>
        <row r="335">
          <cell r="E335">
            <v>6537914</v>
          </cell>
          <cell r="F335">
            <v>12720000</v>
          </cell>
          <cell r="G335">
            <v>6359682</v>
          </cell>
          <cell r="H335">
            <v>2.00010000500025</v>
          </cell>
        </row>
        <row r="336">
          <cell r="E336">
            <v>14608714</v>
          </cell>
          <cell r="F336">
            <v>97916000</v>
          </cell>
          <cell r="G336">
            <v>4542630</v>
          </cell>
          <cell r="H336">
            <v>21.5549142236986</v>
          </cell>
        </row>
        <row r="337">
          <cell r="E337">
            <v>14621623</v>
          </cell>
          <cell r="F337">
            <v>6055000</v>
          </cell>
          <cell r="G337" t="e">
            <v>#VALUE!</v>
          </cell>
          <cell r="H337" t="e">
            <v>#VALUE!</v>
          </cell>
        </row>
        <row r="338">
          <cell r="E338">
            <v>14623303</v>
          </cell>
          <cell r="F338">
            <v>1717000</v>
          </cell>
          <cell r="G338">
            <v>1362789</v>
          </cell>
          <cell r="H338">
            <v>1.25991624528816</v>
          </cell>
        </row>
        <row r="339">
          <cell r="E339">
            <v>14835284</v>
          </cell>
          <cell r="F339">
            <v>4228000</v>
          </cell>
          <cell r="G339">
            <v>1362789</v>
          </cell>
          <cell r="H339">
            <v>3.10246120272471</v>
          </cell>
        </row>
        <row r="340">
          <cell r="E340">
            <v>16375423</v>
          </cell>
          <cell r="F340">
            <v>15110000</v>
          </cell>
          <cell r="G340">
            <v>1362789</v>
          </cell>
          <cell r="H340">
            <v>11.0875564742598</v>
          </cell>
        </row>
        <row r="341">
          <cell r="E341">
            <v>16377725</v>
          </cell>
          <cell r="F341">
            <v>34786000</v>
          </cell>
          <cell r="G341">
            <v>6359682</v>
          </cell>
          <cell r="H341">
            <v>5.46977034386311</v>
          </cell>
        </row>
        <row r="342">
          <cell r="E342">
            <v>16463704</v>
          </cell>
          <cell r="F342">
            <v>55907000</v>
          </cell>
          <cell r="G342">
            <v>2271315</v>
          </cell>
          <cell r="H342">
            <v>24.6143753728567</v>
          </cell>
        </row>
        <row r="343">
          <cell r="E343">
            <v>16535232</v>
          </cell>
          <cell r="F343">
            <v>21555000</v>
          </cell>
          <cell r="G343">
            <v>3179841</v>
          </cell>
          <cell r="H343">
            <v>6.77864081883339</v>
          </cell>
        </row>
        <row r="344">
          <cell r="E344">
            <v>16535596</v>
          </cell>
          <cell r="F344">
            <v>6254000</v>
          </cell>
          <cell r="G344">
            <v>3179841</v>
          </cell>
          <cell r="H344">
            <v>1.96676500491691</v>
          </cell>
        </row>
        <row r="345">
          <cell r="E345">
            <v>16731658</v>
          </cell>
          <cell r="F345">
            <v>10347000</v>
          </cell>
          <cell r="G345">
            <v>2271315</v>
          </cell>
          <cell r="H345">
            <v>4.55551079440764</v>
          </cell>
        </row>
        <row r="346">
          <cell r="E346">
            <v>16768054</v>
          </cell>
          <cell r="F346">
            <v>42988000</v>
          </cell>
          <cell r="G346">
            <v>4542630</v>
          </cell>
          <cell r="H346">
            <v>9.46324045762037</v>
          </cell>
        </row>
        <row r="347">
          <cell r="E347">
            <v>16795335</v>
          </cell>
          <cell r="F347">
            <v>109079000</v>
          </cell>
          <cell r="G347">
            <v>4542630</v>
          </cell>
          <cell r="H347">
            <v>24.012301243993</v>
          </cell>
        </row>
        <row r="348">
          <cell r="E348">
            <v>16918531</v>
          </cell>
          <cell r="F348">
            <v>1432000</v>
          </cell>
          <cell r="G348">
            <v>1362789</v>
          </cell>
          <cell r="H348">
            <v>1.05078629193514</v>
          </cell>
        </row>
        <row r="349">
          <cell r="E349">
            <v>16918740</v>
          </cell>
          <cell r="F349">
            <v>19208000</v>
          </cell>
          <cell r="G349">
            <v>2271315</v>
          </cell>
          <cell r="H349">
            <v>8.45677504000986</v>
          </cell>
        </row>
        <row r="350">
          <cell r="E350">
            <v>16934223</v>
          </cell>
          <cell r="F350">
            <v>54359000</v>
          </cell>
          <cell r="G350" t="e">
            <v>#VALUE!</v>
          </cell>
          <cell r="H350" t="e">
            <v>#VALUE!</v>
          </cell>
        </row>
        <row r="351">
          <cell r="E351">
            <v>24527680</v>
          </cell>
          <cell r="F351">
            <v>66615000</v>
          </cell>
          <cell r="G351">
            <v>2271315</v>
          </cell>
          <cell r="H351">
            <v>29.3288249318126</v>
          </cell>
        </row>
        <row r="352">
          <cell r="E352">
            <v>24576907</v>
          </cell>
          <cell r="F352">
            <v>26081000</v>
          </cell>
          <cell r="G352">
            <v>3179841</v>
          </cell>
          <cell r="H352">
            <v>8.20198242616533</v>
          </cell>
        </row>
        <row r="353">
          <cell r="E353">
            <v>29111206</v>
          </cell>
          <cell r="F353">
            <v>30330000</v>
          </cell>
          <cell r="G353">
            <v>2271315</v>
          </cell>
          <cell r="H353">
            <v>13.3534978635724</v>
          </cell>
        </row>
        <row r="354">
          <cell r="E354">
            <v>29120445</v>
          </cell>
          <cell r="F354">
            <v>6699000</v>
          </cell>
          <cell r="G354">
            <v>1362789</v>
          </cell>
          <cell r="H354">
            <v>4.91565458776084</v>
          </cell>
        </row>
        <row r="355">
          <cell r="E355">
            <v>29121722</v>
          </cell>
          <cell r="F355">
            <v>76347000</v>
          </cell>
          <cell r="G355">
            <v>4542630</v>
          </cell>
          <cell r="H355">
            <v>16.8067837354132</v>
          </cell>
        </row>
        <row r="356">
          <cell r="E356">
            <v>29126558</v>
          </cell>
          <cell r="F356">
            <v>22264000</v>
          </cell>
          <cell r="G356">
            <v>1362789</v>
          </cell>
          <cell r="H356">
            <v>16.3370851980754</v>
          </cell>
        </row>
        <row r="357">
          <cell r="E357">
            <v>29177571</v>
          </cell>
          <cell r="F357">
            <v>22954000</v>
          </cell>
          <cell r="G357">
            <v>4542630</v>
          </cell>
          <cell r="H357">
            <v>5.05301994659481</v>
          </cell>
        </row>
        <row r="358">
          <cell r="E358">
            <v>29360220</v>
          </cell>
          <cell r="F358">
            <v>17296000</v>
          </cell>
          <cell r="G358">
            <v>4542630</v>
          </cell>
          <cell r="H358">
            <v>3.80748597178287</v>
          </cell>
        </row>
        <row r="359">
          <cell r="E359">
            <v>29360906</v>
          </cell>
          <cell r="F359">
            <v>37667000</v>
          </cell>
          <cell r="G359">
            <v>2271315</v>
          </cell>
          <cell r="H359">
            <v>16.583785164101</v>
          </cell>
        </row>
        <row r="360">
          <cell r="E360">
            <v>29582380</v>
          </cell>
          <cell r="F360">
            <v>2800000</v>
          </cell>
          <cell r="G360">
            <v>1362789</v>
          </cell>
          <cell r="H360">
            <v>2.05461006802961</v>
          </cell>
        </row>
        <row r="361">
          <cell r="E361">
            <v>29665479</v>
          </cell>
          <cell r="F361">
            <v>8129000</v>
          </cell>
          <cell r="G361">
            <v>6359682</v>
          </cell>
          <cell r="H361">
            <v>1.27820856451628</v>
          </cell>
        </row>
        <row r="362">
          <cell r="E362">
            <v>29786108</v>
          </cell>
          <cell r="F362">
            <v>34119000</v>
          </cell>
          <cell r="G362">
            <v>2271315</v>
          </cell>
          <cell r="H362">
            <v>15.0216944809505</v>
          </cell>
        </row>
        <row r="363">
          <cell r="E363">
            <v>29820520</v>
          </cell>
          <cell r="F363">
            <v>125675000</v>
          </cell>
          <cell r="G363">
            <v>4542630</v>
          </cell>
          <cell r="H363">
            <v>27.6656914606737</v>
          </cell>
        </row>
        <row r="364">
          <cell r="E364">
            <v>29832598</v>
          </cell>
          <cell r="F364">
            <v>7584000</v>
          </cell>
          <cell r="G364">
            <v>1362789</v>
          </cell>
          <cell r="H364">
            <v>5.56505812712019</v>
          </cell>
        </row>
        <row r="365">
          <cell r="E365">
            <v>29975492</v>
          </cell>
          <cell r="F365">
            <v>20859000</v>
          </cell>
          <cell r="G365">
            <v>1362789</v>
          </cell>
          <cell r="H365">
            <v>15.3061112175106</v>
          </cell>
        </row>
        <row r="366">
          <cell r="E366">
            <v>30338141</v>
          </cell>
          <cell r="F366">
            <v>15956000</v>
          </cell>
          <cell r="G366" t="e">
            <v>#VALUE!</v>
          </cell>
          <cell r="H366" t="e">
            <v>#VALUE!</v>
          </cell>
        </row>
        <row r="367">
          <cell r="E367">
            <v>31168598</v>
          </cell>
          <cell r="F367">
            <v>20274000</v>
          </cell>
          <cell r="G367">
            <v>4542630</v>
          </cell>
          <cell r="H367">
            <v>4.46305334134631</v>
          </cell>
        </row>
        <row r="368">
          <cell r="E368">
            <v>31306746</v>
          </cell>
          <cell r="F368">
            <v>11601000</v>
          </cell>
          <cell r="G368">
            <v>2271315</v>
          </cell>
          <cell r="H368">
            <v>5.1076138712596</v>
          </cell>
        </row>
        <row r="369">
          <cell r="E369">
            <v>31306752</v>
          </cell>
          <cell r="F369">
            <v>7397000</v>
          </cell>
          <cell r="G369">
            <v>2271315</v>
          </cell>
          <cell r="H369">
            <v>3.25670371568893</v>
          </cell>
        </row>
        <row r="370">
          <cell r="E370">
            <v>31308295</v>
          </cell>
          <cell r="F370">
            <v>40747000</v>
          </cell>
          <cell r="G370">
            <v>1362789</v>
          </cell>
          <cell r="H370">
            <v>29.8997130150009</v>
          </cell>
        </row>
        <row r="371">
          <cell r="E371">
            <v>31308604</v>
          </cell>
          <cell r="F371">
            <v>15003000</v>
          </cell>
          <cell r="G371">
            <v>2271315</v>
          </cell>
          <cell r="H371">
            <v>6.60542461085318</v>
          </cell>
        </row>
        <row r="372">
          <cell r="E372">
            <v>31323508</v>
          </cell>
          <cell r="F372">
            <v>4560000</v>
          </cell>
          <cell r="G372">
            <v>1362789</v>
          </cell>
          <cell r="H372">
            <v>3.34607925364822</v>
          </cell>
        </row>
        <row r="373">
          <cell r="E373">
            <v>31324832</v>
          </cell>
          <cell r="F373">
            <v>93054000</v>
          </cell>
          <cell r="G373" t="e">
            <v>#VALUE!</v>
          </cell>
          <cell r="H373" t="e">
            <v>#VALUE!</v>
          </cell>
        </row>
        <row r="374">
          <cell r="E374">
            <v>31411666</v>
          </cell>
          <cell r="F374">
            <v>35972000</v>
          </cell>
          <cell r="G374">
            <v>2271315</v>
          </cell>
          <cell r="H374">
            <v>15.8375214358202</v>
          </cell>
        </row>
        <row r="375">
          <cell r="E375">
            <v>31446402</v>
          </cell>
          <cell r="F375">
            <v>23158000</v>
          </cell>
          <cell r="G375">
            <v>2271315</v>
          </cell>
          <cell r="H375">
            <v>10.1958557047349</v>
          </cell>
        </row>
        <row r="376">
          <cell r="E376">
            <v>31482745</v>
          </cell>
          <cell r="F376">
            <v>17966000</v>
          </cell>
          <cell r="G376" t="e">
            <v>#VALUE!</v>
          </cell>
          <cell r="H376" t="e">
            <v>#VALUE!</v>
          </cell>
        </row>
        <row r="377">
          <cell r="E377">
            <v>31488174</v>
          </cell>
          <cell r="F377">
            <v>18958000</v>
          </cell>
          <cell r="G377">
            <v>2271315</v>
          </cell>
          <cell r="H377">
            <v>8.34670664350828</v>
          </cell>
        </row>
        <row r="378">
          <cell r="E378">
            <v>31537574</v>
          </cell>
          <cell r="F378">
            <v>46296000</v>
          </cell>
          <cell r="G378">
            <v>1362789</v>
          </cell>
          <cell r="H378">
            <v>33.9715098962495</v>
          </cell>
        </row>
        <row r="379">
          <cell r="E379">
            <v>31568464</v>
          </cell>
          <cell r="F379">
            <v>22109000</v>
          </cell>
          <cell r="G379">
            <v>1362789</v>
          </cell>
          <cell r="H379">
            <v>16.2233478550238</v>
          </cell>
        </row>
        <row r="380">
          <cell r="E380">
            <v>31572825</v>
          </cell>
          <cell r="F380">
            <v>77107000</v>
          </cell>
          <cell r="G380" t="e">
            <v>#VALUE!</v>
          </cell>
          <cell r="H380" t="e">
            <v>#VALUE!</v>
          </cell>
        </row>
        <row r="381">
          <cell r="E381">
            <v>31574407</v>
          </cell>
          <cell r="F381">
            <v>5575000</v>
          </cell>
          <cell r="G381">
            <v>3179841</v>
          </cell>
          <cell r="H381">
            <v>1.75323231570384</v>
          </cell>
        </row>
        <row r="382">
          <cell r="E382">
            <v>31574916</v>
          </cell>
          <cell r="F382">
            <v>33558000</v>
          </cell>
          <cell r="G382">
            <v>4542630</v>
          </cell>
          <cell r="H382">
            <v>7.38735049960045</v>
          </cell>
        </row>
        <row r="383">
          <cell r="E383">
            <v>31871600</v>
          </cell>
          <cell r="F383">
            <v>99881000</v>
          </cell>
          <cell r="G383">
            <v>3179841</v>
          </cell>
          <cell r="H383">
            <v>31.4106900313569</v>
          </cell>
        </row>
        <row r="384">
          <cell r="E384">
            <v>31878122</v>
          </cell>
          <cell r="F384">
            <v>32792000</v>
          </cell>
          <cell r="G384">
            <v>3179841</v>
          </cell>
          <cell r="H384">
            <v>10.3124653088</v>
          </cell>
        </row>
        <row r="385">
          <cell r="E385">
            <v>31925013</v>
          </cell>
          <cell r="F385">
            <v>12514000</v>
          </cell>
          <cell r="G385" t="e">
            <v>#VALUE!</v>
          </cell>
          <cell r="H385" t="e">
            <v>#VALUE!</v>
          </cell>
        </row>
        <row r="386">
          <cell r="E386">
            <v>31929082</v>
          </cell>
          <cell r="F386">
            <v>46287000</v>
          </cell>
          <cell r="G386">
            <v>3179841</v>
          </cell>
          <cell r="H386">
            <v>14.5563881967683</v>
          </cell>
        </row>
        <row r="387">
          <cell r="E387">
            <v>31941404</v>
          </cell>
          <cell r="F387">
            <v>35765000</v>
          </cell>
          <cell r="G387">
            <v>2271315</v>
          </cell>
          <cell r="H387">
            <v>15.7463848035169</v>
          </cell>
        </row>
        <row r="388">
          <cell r="E388">
            <v>34317987</v>
          </cell>
          <cell r="F388">
            <v>17779000</v>
          </cell>
          <cell r="G388">
            <v>2271315</v>
          </cell>
          <cell r="H388">
            <v>7.8276240856068</v>
          </cell>
        </row>
        <row r="389">
          <cell r="E389">
            <v>34515278</v>
          </cell>
          <cell r="F389">
            <v>54059000</v>
          </cell>
          <cell r="G389">
            <v>2271315</v>
          </cell>
          <cell r="H389">
            <v>23.800749785917</v>
          </cell>
        </row>
        <row r="390">
          <cell r="E390">
            <v>34516193</v>
          </cell>
          <cell r="F390">
            <v>26743000</v>
          </cell>
          <cell r="G390">
            <v>2271315</v>
          </cell>
          <cell r="H390">
            <v>11.7742365105677</v>
          </cell>
        </row>
        <row r="391">
          <cell r="E391">
            <v>34555852</v>
          </cell>
          <cell r="F391">
            <v>28705000</v>
          </cell>
          <cell r="G391">
            <v>4542630</v>
          </cell>
          <cell r="H391">
            <v>6.31902664315606</v>
          </cell>
        </row>
        <row r="392">
          <cell r="E392">
            <v>34614231</v>
          </cell>
          <cell r="F392">
            <v>36839000</v>
          </cell>
          <cell r="G392">
            <v>4542630</v>
          </cell>
          <cell r="H392">
            <v>8.10961931744386</v>
          </cell>
        </row>
        <row r="393">
          <cell r="E393">
            <v>34614313</v>
          </cell>
          <cell r="F393">
            <v>63394000</v>
          </cell>
          <cell r="G393">
            <v>3179841</v>
          </cell>
          <cell r="H393">
            <v>19.936216936633</v>
          </cell>
        </row>
        <row r="394">
          <cell r="E394">
            <v>34616482</v>
          </cell>
          <cell r="F394">
            <v>35772000</v>
          </cell>
          <cell r="G394">
            <v>9539523</v>
          </cell>
          <cell r="H394">
            <v>3.74987302824261</v>
          </cell>
        </row>
        <row r="395">
          <cell r="E395">
            <v>35424880</v>
          </cell>
          <cell r="F395">
            <v>15466000</v>
          </cell>
          <cell r="G395">
            <v>3179841</v>
          </cell>
          <cell r="H395">
            <v>4.86376520083866</v>
          </cell>
        </row>
        <row r="396">
          <cell r="E396">
            <v>36175046</v>
          </cell>
          <cell r="F396">
            <v>31274000</v>
          </cell>
          <cell r="G396">
            <v>4542630</v>
          </cell>
          <cell r="H396">
            <v>6.88455806438121</v>
          </cell>
        </row>
        <row r="397">
          <cell r="E397">
            <v>38551369</v>
          </cell>
          <cell r="F397">
            <v>60426000</v>
          </cell>
          <cell r="G397">
            <v>3179841</v>
          </cell>
          <cell r="H397">
            <v>19.0028369342995</v>
          </cell>
        </row>
        <row r="398">
          <cell r="E398">
            <v>38555443</v>
          </cell>
          <cell r="F398">
            <v>48893000</v>
          </cell>
          <cell r="G398">
            <v>2271315</v>
          </cell>
          <cell r="H398">
            <v>21.5262964406082</v>
          </cell>
        </row>
        <row r="399">
          <cell r="E399">
            <v>38557635</v>
          </cell>
          <cell r="F399">
            <v>51320000</v>
          </cell>
          <cell r="G399">
            <v>2271315</v>
          </cell>
          <cell r="H399">
            <v>22.5948404338456</v>
          </cell>
        </row>
        <row r="400">
          <cell r="E400">
            <v>38559970</v>
          </cell>
          <cell r="F400">
            <v>38575000</v>
          </cell>
          <cell r="G400">
            <v>1362789</v>
          </cell>
          <cell r="H400">
            <v>28.3059226336579</v>
          </cell>
        </row>
        <row r="401">
          <cell r="E401">
            <v>38602986</v>
          </cell>
          <cell r="F401">
            <v>11363000</v>
          </cell>
          <cell r="G401">
            <v>1362789</v>
          </cell>
          <cell r="H401">
            <v>8.33804792965015</v>
          </cell>
        </row>
        <row r="402">
          <cell r="E402">
            <v>38613128</v>
          </cell>
          <cell r="F402">
            <v>17013000</v>
          </cell>
          <cell r="G402">
            <v>1362789</v>
          </cell>
          <cell r="H402">
            <v>12.4839575312099</v>
          </cell>
        </row>
        <row r="403">
          <cell r="E403">
            <v>38614212</v>
          </cell>
          <cell r="F403">
            <v>9585000</v>
          </cell>
          <cell r="G403">
            <v>1362789</v>
          </cell>
          <cell r="H403">
            <v>7.03337053645135</v>
          </cell>
        </row>
        <row r="404">
          <cell r="E404">
            <v>38668565</v>
          </cell>
          <cell r="F404">
            <v>15562000</v>
          </cell>
          <cell r="G404">
            <v>1362789</v>
          </cell>
          <cell r="H404">
            <v>11.4192292423846</v>
          </cell>
        </row>
        <row r="405">
          <cell r="E405">
            <v>38682925</v>
          </cell>
          <cell r="F405">
            <v>18090000</v>
          </cell>
          <cell r="G405">
            <v>2271315</v>
          </cell>
          <cell r="H405">
            <v>7.96454917085477</v>
          </cell>
        </row>
        <row r="406">
          <cell r="E406">
            <v>38940022</v>
          </cell>
          <cell r="F406">
            <v>3824000</v>
          </cell>
          <cell r="G406">
            <v>1362789</v>
          </cell>
          <cell r="H406">
            <v>2.80601032148043</v>
          </cell>
        </row>
        <row r="407">
          <cell r="E407">
            <v>41924675</v>
          </cell>
          <cell r="F407">
            <v>18843000</v>
          </cell>
          <cell r="G407">
            <v>2271315</v>
          </cell>
          <cell r="H407">
            <v>8.29607518111755</v>
          </cell>
        </row>
        <row r="408">
          <cell r="E408">
            <v>52066817</v>
          </cell>
          <cell r="F408">
            <v>60398000</v>
          </cell>
          <cell r="G408">
            <v>2271315</v>
          </cell>
          <cell r="H408">
            <v>26.5916440476112</v>
          </cell>
        </row>
        <row r="409">
          <cell r="E409">
            <v>52290327</v>
          </cell>
          <cell r="F409">
            <v>16005000</v>
          </cell>
          <cell r="G409">
            <v>1362789</v>
          </cell>
          <cell r="H409">
            <v>11.7442979067192</v>
          </cell>
        </row>
        <row r="410">
          <cell r="E410">
            <v>52428386</v>
          </cell>
          <cell r="F410">
            <v>11999000</v>
          </cell>
          <cell r="G410" t="e">
            <v>#VALUE!</v>
          </cell>
          <cell r="H410" t="e">
            <v>#VALUE!</v>
          </cell>
        </row>
        <row r="411">
          <cell r="E411">
            <v>53006632</v>
          </cell>
          <cell r="F411">
            <v>89307000</v>
          </cell>
          <cell r="G411">
            <v>4542630</v>
          </cell>
          <cell r="H411">
            <v>19.6597565727343</v>
          </cell>
        </row>
        <row r="412">
          <cell r="E412">
            <v>60337190</v>
          </cell>
          <cell r="F412">
            <v>30972000</v>
          </cell>
          <cell r="G412">
            <v>4542630</v>
          </cell>
          <cell r="H412">
            <v>6.81807675289425</v>
          </cell>
        </row>
        <row r="413">
          <cell r="E413">
            <v>63515842</v>
          </cell>
          <cell r="F413">
            <v>6272000</v>
          </cell>
          <cell r="G413" t="e">
            <v>#VALUE!</v>
          </cell>
          <cell r="H413" t="e">
            <v>#VALUE!</v>
          </cell>
        </row>
        <row r="414">
          <cell r="E414">
            <v>66704767</v>
          </cell>
          <cell r="F414">
            <v>6569000</v>
          </cell>
          <cell r="G414">
            <v>1362789</v>
          </cell>
          <cell r="H414">
            <v>4.82026197745946</v>
          </cell>
        </row>
        <row r="415">
          <cell r="E415">
            <v>66717390</v>
          </cell>
          <cell r="F415">
            <v>17296000</v>
          </cell>
          <cell r="G415">
            <v>1362789</v>
          </cell>
          <cell r="H415">
            <v>12.6916199059429</v>
          </cell>
        </row>
        <row r="416">
          <cell r="E416">
            <v>66820844</v>
          </cell>
          <cell r="F416">
            <v>37576000</v>
          </cell>
          <cell r="G416">
            <v>1362789</v>
          </cell>
          <cell r="H416">
            <v>27.5728671129573</v>
          </cell>
        </row>
        <row r="417">
          <cell r="E417">
            <v>66833280</v>
          </cell>
          <cell r="F417">
            <v>17609000</v>
          </cell>
          <cell r="G417">
            <v>1362789</v>
          </cell>
          <cell r="H417">
            <v>12.9212959599762</v>
          </cell>
        </row>
        <row r="418">
          <cell r="E418">
            <v>66847766</v>
          </cell>
          <cell r="F418">
            <v>3642000</v>
          </cell>
          <cell r="G418">
            <v>2271315</v>
          </cell>
          <cell r="H418">
            <v>1.60347640023511</v>
          </cell>
        </row>
        <row r="419">
          <cell r="E419">
            <v>66858279</v>
          </cell>
          <cell r="F419">
            <v>8468000</v>
          </cell>
          <cell r="G419">
            <v>1362789</v>
          </cell>
          <cell r="H419">
            <v>6.21372787716954</v>
          </cell>
        </row>
        <row r="420">
          <cell r="E420">
            <v>66900071</v>
          </cell>
          <cell r="F420">
            <v>64505000</v>
          </cell>
          <cell r="G420">
            <v>2271315</v>
          </cell>
          <cell r="H420">
            <v>28.3998476653392</v>
          </cell>
        </row>
        <row r="421">
          <cell r="E421">
            <v>66915635</v>
          </cell>
          <cell r="F421">
            <v>38499000</v>
          </cell>
          <cell r="G421">
            <v>6359682</v>
          </cell>
          <cell r="H421">
            <v>6.0536045670208</v>
          </cell>
        </row>
        <row r="422">
          <cell r="E422">
            <v>66951614</v>
          </cell>
          <cell r="F422">
            <v>21430000</v>
          </cell>
          <cell r="G422">
            <v>2271315</v>
          </cell>
          <cell r="H422">
            <v>9.43506294811596</v>
          </cell>
        </row>
        <row r="423">
          <cell r="E423">
            <v>66973464</v>
          </cell>
          <cell r="F423">
            <v>13307000</v>
          </cell>
          <cell r="G423">
            <v>1362789</v>
          </cell>
          <cell r="H423">
            <v>9.76453434831071</v>
          </cell>
        </row>
        <row r="424">
          <cell r="E424">
            <v>66974150</v>
          </cell>
          <cell r="F424">
            <v>10408000</v>
          </cell>
          <cell r="G424">
            <v>2271315</v>
          </cell>
          <cell r="H424">
            <v>4.58236748315403</v>
          </cell>
        </row>
        <row r="425">
          <cell r="E425">
            <v>66981493</v>
          </cell>
          <cell r="F425">
            <v>32283000</v>
          </cell>
          <cell r="G425">
            <v>1362789</v>
          </cell>
          <cell r="H425">
            <v>23.6889202950714</v>
          </cell>
        </row>
        <row r="426">
          <cell r="E426">
            <v>66985975</v>
          </cell>
          <cell r="F426">
            <v>17930000</v>
          </cell>
          <cell r="G426" t="e">
            <v>#VALUE!</v>
          </cell>
          <cell r="H426" t="e">
            <v>#VALUE!</v>
          </cell>
        </row>
        <row r="427">
          <cell r="E427">
            <v>67004357</v>
          </cell>
          <cell r="F427">
            <v>75312000</v>
          </cell>
          <cell r="G427">
            <v>6359682</v>
          </cell>
          <cell r="H427">
            <v>11.8421015390392</v>
          </cell>
        </row>
        <row r="428">
          <cell r="E428">
            <v>67012661</v>
          </cell>
          <cell r="F428">
            <v>26014000</v>
          </cell>
          <cell r="G428">
            <v>1362789</v>
          </cell>
          <cell r="H428">
            <v>19.0887951106151</v>
          </cell>
        </row>
        <row r="429">
          <cell r="E429">
            <v>67022484</v>
          </cell>
          <cell r="F429">
            <v>17149000</v>
          </cell>
          <cell r="G429">
            <v>1362789</v>
          </cell>
          <cell r="H429">
            <v>12.5837528773713</v>
          </cell>
        </row>
        <row r="430">
          <cell r="E430">
            <v>67024289</v>
          </cell>
          <cell r="F430">
            <v>12255000</v>
          </cell>
          <cell r="G430">
            <v>2271315</v>
          </cell>
          <cell r="H430">
            <v>5.39555279650775</v>
          </cell>
        </row>
        <row r="431">
          <cell r="E431">
            <v>67026757</v>
          </cell>
          <cell r="F431">
            <v>18546000</v>
          </cell>
          <cell r="G431">
            <v>2271315</v>
          </cell>
          <cell r="H431">
            <v>8.16531392607366</v>
          </cell>
        </row>
        <row r="432">
          <cell r="E432">
            <v>67028162</v>
          </cell>
          <cell r="F432">
            <v>38994000</v>
          </cell>
          <cell r="G432">
            <v>3179841</v>
          </cell>
          <cell r="H432">
            <v>12.2628772948081</v>
          </cell>
        </row>
        <row r="433">
          <cell r="E433">
            <v>67030192</v>
          </cell>
          <cell r="F433">
            <v>37584000</v>
          </cell>
          <cell r="G433">
            <v>1362789</v>
          </cell>
          <cell r="H433">
            <v>27.5787374274374</v>
          </cell>
        </row>
        <row r="434">
          <cell r="E434">
            <v>67031598</v>
          </cell>
          <cell r="F434">
            <v>26698000</v>
          </cell>
          <cell r="G434">
            <v>3179841</v>
          </cell>
          <cell r="H434">
            <v>8.39601728514099</v>
          </cell>
        </row>
        <row r="435">
          <cell r="E435">
            <v>67031766</v>
          </cell>
          <cell r="F435">
            <v>109607000</v>
          </cell>
          <cell r="G435">
            <v>4542630</v>
          </cell>
          <cell r="H435">
            <v>24.1285334706987</v>
          </cell>
        </row>
        <row r="436">
          <cell r="E436">
            <v>67032841</v>
          </cell>
          <cell r="F436">
            <v>39351000</v>
          </cell>
          <cell r="G436">
            <v>2271315</v>
          </cell>
          <cell r="H436">
            <v>17.3252058829357</v>
          </cell>
        </row>
        <row r="437">
          <cell r="E437">
            <v>67036050</v>
          </cell>
          <cell r="F437">
            <v>30818000</v>
          </cell>
          <cell r="G437">
            <v>2271315</v>
          </cell>
          <cell r="H437">
            <v>13.5683513735435</v>
          </cell>
        </row>
        <row r="438">
          <cell r="E438">
            <v>67043161</v>
          </cell>
          <cell r="F438">
            <v>11595000</v>
          </cell>
          <cell r="G438">
            <v>1362789</v>
          </cell>
          <cell r="H438">
            <v>8.50828704957261</v>
          </cell>
        </row>
        <row r="439">
          <cell r="E439">
            <v>70094763</v>
          </cell>
          <cell r="F439">
            <v>52822000</v>
          </cell>
          <cell r="G439">
            <v>18624783</v>
          </cell>
          <cell r="H439">
            <v>2.83611358049111</v>
          </cell>
        </row>
        <row r="440">
          <cell r="E440">
            <v>77167995</v>
          </cell>
          <cell r="F440">
            <v>2509000</v>
          </cell>
          <cell r="G440">
            <v>3179841</v>
          </cell>
          <cell r="H440">
            <v>0.789033162349941</v>
          </cell>
        </row>
        <row r="441">
          <cell r="E441">
            <v>94041607</v>
          </cell>
          <cell r="F441">
            <v>26692000</v>
          </cell>
          <cell r="G441">
            <v>3179841</v>
          </cell>
          <cell r="H441">
            <v>8.39413039834382</v>
          </cell>
        </row>
        <row r="442">
          <cell r="E442">
            <v>94060298</v>
          </cell>
          <cell r="F442">
            <v>30726000</v>
          </cell>
          <cell r="G442">
            <v>2271315</v>
          </cell>
          <cell r="H442">
            <v>13.5278462036309</v>
          </cell>
        </row>
        <row r="443">
          <cell r="E443">
            <v>94270032</v>
          </cell>
          <cell r="F443">
            <v>20445000</v>
          </cell>
          <cell r="G443">
            <v>1362789</v>
          </cell>
          <cell r="H443">
            <v>15.0023224431662</v>
          </cell>
        </row>
        <row r="444">
          <cell r="E444">
            <v>94305733</v>
          </cell>
          <cell r="F444">
            <v>22511000</v>
          </cell>
          <cell r="G444">
            <v>2271315</v>
          </cell>
          <cell r="H444">
            <v>9.91099869458882</v>
          </cell>
        </row>
        <row r="445">
          <cell r="E445">
            <v>94405422</v>
          </cell>
          <cell r="F445">
            <v>4763000</v>
          </cell>
          <cell r="G445">
            <v>2271315</v>
          </cell>
          <cell r="H445">
            <v>2.09702309014822</v>
          </cell>
        </row>
        <row r="446">
          <cell r="E446">
            <v>94409720</v>
          </cell>
          <cell r="F446">
            <v>28305000</v>
          </cell>
          <cell r="G446">
            <v>1362789</v>
          </cell>
          <cell r="H446">
            <v>20.7699064198493</v>
          </cell>
        </row>
        <row r="447">
          <cell r="E447">
            <v>94410694</v>
          </cell>
          <cell r="F447">
            <v>88548000</v>
          </cell>
          <cell r="G447" t="e">
            <v>#VALUE!</v>
          </cell>
          <cell r="H447" t="e">
            <v>#VALUE!</v>
          </cell>
        </row>
        <row r="448">
          <cell r="E448">
            <v>94432517</v>
          </cell>
          <cell r="F448">
            <v>31206000</v>
          </cell>
          <cell r="G448">
            <v>1362789</v>
          </cell>
          <cell r="H448">
            <v>22.89862920819</v>
          </cell>
        </row>
        <row r="449">
          <cell r="E449">
            <v>94493424</v>
          </cell>
          <cell r="F449">
            <v>31866000</v>
          </cell>
          <cell r="G449">
            <v>6359682</v>
          </cell>
          <cell r="H449">
            <v>5.01062788988506</v>
          </cell>
        </row>
        <row r="450">
          <cell r="E450">
            <v>94494552</v>
          </cell>
          <cell r="F450">
            <v>20640000</v>
          </cell>
          <cell r="G450">
            <v>2271315</v>
          </cell>
          <cell r="H450">
            <v>9.08724681517095</v>
          </cell>
        </row>
        <row r="451">
          <cell r="E451">
            <v>94516656</v>
          </cell>
          <cell r="F451">
            <v>49799000</v>
          </cell>
          <cell r="G451">
            <v>4542630</v>
          </cell>
          <cell r="H451">
            <v>10.962592154765</v>
          </cell>
        </row>
        <row r="452">
          <cell r="E452">
            <v>94521503</v>
          </cell>
          <cell r="F452">
            <v>14561000</v>
          </cell>
          <cell r="G452">
            <v>1362789</v>
          </cell>
          <cell r="H452">
            <v>10.684706143064</v>
          </cell>
        </row>
        <row r="453">
          <cell r="E453">
            <v>94537451</v>
          </cell>
          <cell r="F453">
            <v>22014000</v>
          </cell>
          <cell r="G453">
            <v>6359682</v>
          </cell>
          <cell r="H453">
            <v>3.46149382940845</v>
          </cell>
        </row>
        <row r="454">
          <cell r="E454">
            <v>94537620</v>
          </cell>
          <cell r="F454">
            <v>10381000</v>
          </cell>
          <cell r="G454" t="e">
            <v>#VALUE!</v>
          </cell>
          <cell r="H454" t="e">
            <v>#VALUE!</v>
          </cell>
        </row>
        <row r="455">
          <cell r="E455">
            <v>94552142</v>
          </cell>
          <cell r="F455">
            <v>5624000</v>
          </cell>
          <cell r="G455">
            <v>3179841</v>
          </cell>
          <cell r="H455">
            <v>1.76864189121406</v>
          </cell>
        </row>
        <row r="456">
          <cell r="E456">
            <v>94556574</v>
          </cell>
          <cell r="F456">
            <v>45909000</v>
          </cell>
          <cell r="G456">
            <v>1362789</v>
          </cell>
          <cell r="H456">
            <v>33.6875334332754</v>
          </cell>
        </row>
        <row r="457">
          <cell r="E457">
            <v>94556776</v>
          </cell>
          <cell r="F457">
            <v>58932000</v>
          </cell>
          <cell r="G457">
            <v>2271315</v>
          </cell>
          <cell r="H457">
            <v>25.9462029705259</v>
          </cell>
        </row>
        <row r="458">
          <cell r="E458">
            <v>1005829577</v>
          </cell>
          <cell r="F458">
            <v>2523000</v>
          </cell>
          <cell r="G458">
            <v>1362789</v>
          </cell>
          <cell r="H458">
            <v>1.85135042915668</v>
          </cell>
        </row>
        <row r="459">
          <cell r="E459">
            <v>1005868750</v>
          </cell>
          <cell r="F459">
            <v>46926000</v>
          </cell>
          <cell r="G459">
            <v>2271315</v>
          </cell>
          <cell r="H459">
            <v>20.6602782969337</v>
          </cell>
        </row>
        <row r="460">
          <cell r="E460">
            <v>1010029461</v>
          </cell>
          <cell r="F460">
            <v>26428000</v>
          </cell>
          <cell r="G460">
            <v>1362789</v>
          </cell>
          <cell r="H460">
            <v>19.3925838849594</v>
          </cell>
        </row>
        <row r="461">
          <cell r="E461">
            <v>1014278095</v>
          </cell>
          <cell r="F461">
            <v>1975000</v>
          </cell>
          <cell r="G461">
            <v>2271315</v>
          </cell>
          <cell r="H461">
            <v>0.86954033236253</v>
          </cell>
        </row>
        <row r="462">
          <cell r="E462">
            <v>1018504659</v>
          </cell>
          <cell r="F462">
            <v>23160000</v>
          </cell>
          <cell r="G462">
            <v>3179841</v>
          </cell>
          <cell r="H462">
            <v>7.28338303707638</v>
          </cell>
        </row>
        <row r="463">
          <cell r="E463">
            <v>1020713374</v>
          </cell>
          <cell r="F463">
            <v>11433000</v>
          </cell>
          <cell r="G463">
            <v>4542630</v>
          </cell>
          <cell r="H463">
            <v>2.51682395440527</v>
          </cell>
        </row>
        <row r="464">
          <cell r="E464">
            <v>1037629856</v>
          </cell>
          <cell r="F464">
            <v>35283000</v>
          </cell>
          <cell r="G464">
            <v>3179841</v>
          </cell>
          <cell r="H464">
            <v>11.0958378107585</v>
          </cell>
        </row>
        <row r="465">
          <cell r="E465">
            <v>1062303624</v>
          </cell>
          <cell r="F465">
            <v>4326000</v>
          </cell>
          <cell r="G465">
            <v>3179841</v>
          </cell>
          <cell r="H465">
            <v>1.3604453807596</v>
          </cell>
        </row>
        <row r="466">
          <cell r="E466">
            <v>1062324690</v>
          </cell>
          <cell r="F466">
            <v>34659000</v>
          </cell>
          <cell r="G466">
            <v>1362789</v>
          </cell>
          <cell r="H466">
            <v>25.4324036956565</v>
          </cell>
        </row>
        <row r="467">
          <cell r="E467">
            <v>1064311474</v>
          </cell>
          <cell r="F467">
            <v>94111000</v>
          </cell>
          <cell r="G467">
            <v>4542630</v>
          </cell>
          <cell r="H467">
            <v>20.7172937263215</v>
          </cell>
        </row>
        <row r="468">
          <cell r="E468">
            <v>1067460167</v>
          </cell>
          <cell r="F468">
            <v>13594000</v>
          </cell>
          <cell r="G468">
            <v>1362789</v>
          </cell>
          <cell r="H468">
            <v>9.97513188028374</v>
          </cell>
        </row>
        <row r="469">
          <cell r="E469">
            <v>1077174643</v>
          </cell>
          <cell r="F469">
            <v>37053000</v>
          </cell>
          <cell r="G469">
            <v>2271315</v>
          </cell>
          <cell r="H469">
            <v>16.3134571822931</v>
          </cell>
        </row>
        <row r="470">
          <cell r="E470">
            <v>1085247620</v>
          </cell>
          <cell r="F470">
            <v>1092000</v>
          </cell>
          <cell r="G470">
            <v>1362789</v>
          </cell>
          <cell r="H470">
            <v>0.801297926531547</v>
          </cell>
        </row>
        <row r="471">
          <cell r="E471">
            <v>1085258344</v>
          </cell>
          <cell r="F471">
            <v>89305000</v>
          </cell>
          <cell r="G471">
            <v>4542630</v>
          </cell>
          <cell r="H471">
            <v>19.6593162991483</v>
          </cell>
        </row>
        <row r="472">
          <cell r="E472">
            <v>1085661751</v>
          </cell>
          <cell r="F472">
            <v>5345000</v>
          </cell>
          <cell r="G472">
            <v>1362789</v>
          </cell>
          <cell r="H472">
            <v>3.92210386200652</v>
          </cell>
        </row>
        <row r="473">
          <cell r="E473">
            <v>1088017625</v>
          </cell>
          <cell r="F473">
            <v>48794000</v>
          </cell>
          <cell r="G473">
            <v>1362789</v>
          </cell>
          <cell r="H473">
            <v>35.8045155926559</v>
          </cell>
        </row>
        <row r="474">
          <cell r="E474">
            <v>1094242780</v>
          </cell>
          <cell r="F474">
            <v>87887000</v>
          </cell>
          <cell r="G474">
            <v>4542630</v>
          </cell>
          <cell r="H474">
            <v>19.3471623266698</v>
          </cell>
        </row>
        <row r="475">
          <cell r="E475">
            <v>1107057969</v>
          </cell>
          <cell r="F475">
            <v>8761000</v>
          </cell>
          <cell r="G475">
            <v>1362789</v>
          </cell>
          <cell r="H475">
            <v>6.42872814500264</v>
          </cell>
        </row>
        <row r="476">
          <cell r="E476">
            <v>1107078913</v>
          </cell>
          <cell r="F476">
            <v>5484000</v>
          </cell>
          <cell r="G476" t="e">
            <v>#VALUE!</v>
          </cell>
          <cell r="H476" t="e">
            <v>#VALUE!</v>
          </cell>
        </row>
        <row r="477">
          <cell r="E477">
            <v>1107083838</v>
          </cell>
          <cell r="F477">
            <v>2528000</v>
          </cell>
          <cell r="G477">
            <v>1362789</v>
          </cell>
          <cell r="H477">
            <v>1.85501937570673</v>
          </cell>
        </row>
        <row r="478">
          <cell r="E478">
            <v>1107089150</v>
          </cell>
          <cell r="F478">
            <v>3232000</v>
          </cell>
          <cell r="G478">
            <v>1362789</v>
          </cell>
          <cell r="H478">
            <v>2.37160704995418</v>
          </cell>
        </row>
        <row r="479">
          <cell r="E479">
            <v>1107090337</v>
          </cell>
          <cell r="F479">
            <v>4362000</v>
          </cell>
          <cell r="G479">
            <v>1362789</v>
          </cell>
          <cell r="H479">
            <v>3.20078897026612</v>
          </cell>
        </row>
        <row r="480">
          <cell r="E480">
            <v>1107509351</v>
          </cell>
          <cell r="F480">
            <v>33839000</v>
          </cell>
          <cell r="G480">
            <v>1362789</v>
          </cell>
          <cell r="H480">
            <v>24.8306964614478</v>
          </cell>
        </row>
        <row r="481">
          <cell r="E481">
            <v>1111786165</v>
          </cell>
          <cell r="F481">
            <v>40109000</v>
          </cell>
          <cell r="G481">
            <v>2271315</v>
          </cell>
          <cell r="H481">
            <v>17.6589332611285</v>
          </cell>
        </row>
        <row r="482">
          <cell r="E482">
            <v>1112218922</v>
          </cell>
          <cell r="F482">
            <v>35998000</v>
          </cell>
          <cell r="G482">
            <v>2271315</v>
          </cell>
          <cell r="H482">
            <v>15.8489685490564</v>
          </cell>
        </row>
        <row r="483">
          <cell r="E483">
            <v>1112462025</v>
          </cell>
          <cell r="F483">
            <v>115382000</v>
          </cell>
          <cell r="G483">
            <v>2271315</v>
          </cell>
          <cell r="H483">
            <v>50.799646900584</v>
          </cell>
        </row>
        <row r="484">
          <cell r="E484">
            <v>1112467581</v>
          </cell>
          <cell r="F484">
            <v>44381000</v>
          </cell>
          <cell r="G484">
            <v>3179841</v>
          </cell>
          <cell r="H484">
            <v>13.956987157534</v>
          </cell>
        </row>
        <row r="485">
          <cell r="E485">
            <v>1112469097</v>
          </cell>
          <cell r="F485">
            <v>17473000</v>
          </cell>
          <cell r="G485">
            <v>1362789</v>
          </cell>
          <cell r="H485">
            <v>12.8215006138148</v>
          </cell>
        </row>
        <row r="486">
          <cell r="E486">
            <v>1112474583</v>
          </cell>
          <cell r="F486">
            <v>53094000</v>
          </cell>
          <cell r="G486" t="e">
            <v>#VALUE!</v>
          </cell>
          <cell r="H486" t="e">
            <v>#VALUE!</v>
          </cell>
        </row>
        <row r="487">
          <cell r="E487">
            <v>1112475607</v>
          </cell>
          <cell r="F487">
            <v>8500000</v>
          </cell>
          <cell r="G487">
            <v>1362789</v>
          </cell>
          <cell r="H487">
            <v>6.23720913508988</v>
          </cell>
        </row>
        <row r="488">
          <cell r="E488">
            <v>1112620305</v>
          </cell>
          <cell r="F488">
            <v>61519000</v>
          </cell>
          <cell r="G488">
            <v>3179841</v>
          </cell>
          <cell r="H488">
            <v>19.3465648125174</v>
          </cell>
        </row>
        <row r="489">
          <cell r="E489">
            <v>1112777064</v>
          </cell>
          <cell r="F489">
            <v>31902000</v>
          </cell>
          <cell r="G489">
            <v>2271315</v>
          </cell>
          <cell r="H489">
            <v>14.0456079407744</v>
          </cell>
        </row>
        <row r="490">
          <cell r="E490">
            <v>1113512751</v>
          </cell>
          <cell r="F490">
            <v>34333000</v>
          </cell>
          <cell r="G490">
            <v>1362789</v>
          </cell>
          <cell r="H490">
            <v>25.193188380593</v>
          </cell>
        </row>
        <row r="491">
          <cell r="E491">
            <v>1113518404</v>
          </cell>
          <cell r="F491">
            <v>5129000</v>
          </cell>
          <cell r="G491">
            <v>2271315</v>
          </cell>
          <cell r="H491">
            <v>2.25816322262654</v>
          </cell>
        </row>
        <row r="492">
          <cell r="E492">
            <v>1113536435</v>
          </cell>
          <cell r="F492">
            <v>3930000</v>
          </cell>
          <cell r="G492">
            <v>1362789</v>
          </cell>
          <cell r="H492">
            <v>2.88379198834156</v>
          </cell>
        </row>
        <row r="493">
          <cell r="E493">
            <v>1113661323</v>
          </cell>
          <cell r="F493">
            <v>41960000</v>
          </cell>
          <cell r="G493">
            <v>2271315</v>
          </cell>
          <cell r="H493">
            <v>18.4738796688262</v>
          </cell>
        </row>
        <row r="494">
          <cell r="E494">
            <v>1113678616</v>
          </cell>
          <cell r="F494">
            <v>23342000</v>
          </cell>
          <cell r="G494">
            <v>2271315</v>
          </cell>
          <cell r="H494">
            <v>10.2768660445601</v>
          </cell>
        </row>
        <row r="495">
          <cell r="E495">
            <v>1114813550</v>
          </cell>
          <cell r="F495">
            <v>2284000</v>
          </cell>
          <cell r="G495">
            <v>1362789</v>
          </cell>
          <cell r="H495">
            <v>1.67597478406415</v>
          </cell>
        </row>
        <row r="496">
          <cell r="E496">
            <v>1114819622</v>
          </cell>
          <cell r="F496">
            <v>17547000</v>
          </cell>
          <cell r="G496">
            <v>1362789</v>
          </cell>
          <cell r="H496">
            <v>12.8758010227555</v>
          </cell>
        </row>
        <row r="497">
          <cell r="E497">
            <v>1118257489</v>
          </cell>
          <cell r="F497">
            <v>18460000</v>
          </cell>
          <cell r="G497" t="e">
            <v>#VALUE!</v>
          </cell>
          <cell r="H497" t="e">
            <v>#VALUE!</v>
          </cell>
        </row>
        <row r="498">
          <cell r="E498">
            <v>1118283599</v>
          </cell>
          <cell r="F498">
            <v>60345000</v>
          </cell>
          <cell r="G498">
            <v>3179841</v>
          </cell>
          <cell r="H498">
            <v>18.9773639625378</v>
          </cell>
        </row>
        <row r="499">
          <cell r="E499">
            <v>1118292687</v>
          </cell>
          <cell r="F499">
            <v>14390000</v>
          </cell>
          <cell r="G499">
            <v>2271315</v>
          </cell>
          <cell r="H499">
            <v>6.3355369026313</v>
          </cell>
        </row>
        <row r="500">
          <cell r="E500">
            <v>1118294626</v>
          </cell>
          <cell r="F500">
            <v>19694000</v>
          </cell>
          <cell r="G500">
            <v>1362789</v>
          </cell>
          <cell r="H500">
            <v>14.4512466713482</v>
          </cell>
        </row>
        <row r="501">
          <cell r="E501">
            <v>1118298626</v>
          </cell>
          <cell r="F501">
            <v>10460000</v>
          </cell>
          <cell r="G501">
            <v>2271315</v>
          </cell>
          <cell r="H501">
            <v>4.60526170962636</v>
          </cell>
        </row>
        <row r="502">
          <cell r="E502">
            <v>1118300337</v>
          </cell>
          <cell r="F502">
            <v>36874000</v>
          </cell>
          <cell r="G502">
            <v>1362789</v>
          </cell>
          <cell r="H502">
            <v>27.0577470173299</v>
          </cell>
        </row>
        <row r="503">
          <cell r="E503">
            <v>1124848236</v>
          </cell>
          <cell r="F503">
            <v>8794000</v>
          </cell>
          <cell r="G503" t="e">
            <v>#VALUE!</v>
          </cell>
          <cell r="H503" t="e">
            <v>#VALUE!</v>
          </cell>
        </row>
        <row r="504">
          <cell r="E504">
            <v>1128416021</v>
          </cell>
          <cell r="F504">
            <v>77180000</v>
          </cell>
          <cell r="G504" t="e">
            <v>#VALUE!</v>
          </cell>
          <cell r="H504" t="e">
            <v>#VALUE!</v>
          </cell>
        </row>
        <row r="505">
          <cell r="E505">
            <v>1130587840</v>
          </cell>
          <cell r="F505">
            <v>24878000</v>
          </cell>
          <cell r="G505">
            <v>1362789</v>
          </cell>
          <cell r="H505">
            <v>18.2552104544431</v>
          </cell>
        </row>
        <row r="506">
          <cell r="E506">
            <v>1130596278</v>
          </cell>
          <cell r="F506">
            <v>10437000</v>
          </cell>
          <cell r="G506">
            <v>1362789</v>
          </cell>
          <cell r="H506">
            <v>7.65855902858036</v>
          </cell>
        </row>
        <row r="507">
          <cell r="E507">
            <v>1130597014</v>
          </cell>
          <cell r="F507">
            <v>25434000</v>
          </cell>
          <cell r="G507">
            <v>2271315</v>
          </cell>
          <cell r="H507">
            <v>11.1979183864854</v>
          </cell>
        </row>
        <row r="508">
          <cell r="E508">
            <v>1130600923</v>
          </cell>
          <cell r="F508">
            <v>15570000</v>
          </cell>
          <cell r="G508" t="e">
            <v>#VALUE!</v>
          </cell>
          <cell r="H508" t="e">
            <v>#VALUE!</v>
          </cell>
        </row>
        <row r="509">
          <cell r="E509">
            <v>1130610460</v>
          </cell>
          <cell r="F509">
            <v>60426000</v>
          </cell>
          <cell r="G509">
            <v>3179841</v>
          </cell>
          <cell r="H509">
            <v>19.0028369342995</v>
          </cell>
        </row>
        <row r="510">
          <cell r="E510">
            <v>1130611756</v>
          </cell>
          <cell r="F510">
            <v>27914000</v>
          </cell>
          <cell r="G510">
            <v>2271315</v>
          </cell>
          <cell r="H510">
            <v>12.2897968797811</v>
          </cell>
        </row>
        <row r="511">
          <cell r="E511">
            <v>1130612863</v>
          </cell>
          <cell r="F511">
            <v>12821000</v>
          </cell>
          <cell r="G511">
            <v>1362789</v>
          </cell>
          <cell r="H511">
            <v>9.40791274364557</v>
          </cell>
        </row>
        <row r="512">
          <cell r="E512">
            <v>1130614799</v>
          </cell>
          <cell r="F512">
            <v>11800000</v>
          </cell>
          <cell r="G512">
            <v>1362789</v>
          </cell>
          <cell r="H512">
            <v>8.65871385812477</v>
          </cell>
        </row>
        <row r="513">
          <cell r="E513">
            <v>1130615365</v>
          </cell>
          <cell r="F513">
            <v>7425000</v>
          </cell>
          <cell r="G513">
            <v>3179841</v>
          </cell>
          <cell r="H513">
            <v>2.33502241149793</v>
          </cell>
        </row>
        <row r="514">
          <cell r="E514">
            <v>1130618255</v>
          </cell>
          <cell r="F514">
            <v>32586000</v>
          </cell>
          <cell r="G514">
            <v>1362789</v>
          </cell>
          <cell r="H514">
            <v>23.9112584560046</v>
          </cell>
        </row>
        <row r="515">
          <cell r="E515">
            <v>1130618494</v>
          </cell>
          <cell r="F515">
            <v>7305000</v>
          </cell>
          <cell r="G515" t="e">
            <v>#VALUE!</v>
          </cell>
          <cell r="H515" t="e">
            <v>#VALUE!</v>
          </cell>
        </row>
        <row r="516">
          <cell r="E516">
            <v>1130622237</v>
          </cell>
          <cell r="F516">
            <v>16184000</v>
          </cell>
          <cell r="G516">
            <v>2271315</v>
          </cell>
          <cell r="H516">
            <v>7.12538771592668</v>
          </cell>
        </row>
        <row r="517">
          <cell r="E517">
            <v>1130624827</v>
          </cell>
          <cell r="F517">
            <v>17275000</v>
          </cell>
          <cell r="G517">
            <v>3179841</v>
          </cell>
          <cell r="H517">
            <v>5.43266157018543</v>
          </cell>
        </row>
        <row r="518">
          <cell r="E518">
            <v>1130626620</v>
          </cell>
          <cell r="F518">
            <v>66557000</v>
          </cell>
          <cell r="G518">
            <v>4542630</v>
          </cell>
          <cell r="H518">
            <v>14.6516445319121</v>
          </cell>
        </row>
        <row r="519">
          <cell r="E519">
            <v>1130633124</v>
          </cell>
          <cell r="F519">
            <v>100154000</v>
          </cell>
          <cell r="G519">
            <v>2271315</v>
          </cell>
          <cell r="H519">
            <v>44.0951607328794</v>
          </cell>
        </row>
        <row r="520">
          <cell r="E520">
            <v>1130634716</v>
          </cell>
          <cell r="F520">
            <v>54055000</v>
          </cell>
          <cell r="G520">
            <v>1362789</v>
          </cell>
          <cell r="H520">
            <v>39.6649811526216</v>
          </cell>
        </row>
        <row r="521">
          <cell r="E521">
            <v>1130635783</v>
          </cell>
          <cell r="F521">
            <v>4820000</v>
          </cell>
          <cell r="G521">
            <v>1362789</v>
          </cell>
          <cell r="H521">
            <v>3.53686447425097</v>
          </cell>
        </row>
        <row r="522">
          <cell r="E522">
            <v>1130653624</v>
          </cell>
          <cell r="F522">
            <v>24376000</v>
          </cell>
          <cell r="G522" t="e">
            <v>#VALUE!</v>
          </cell>
          <cell r="H522" t="e">
            <v>#VALUE!</v>
          </cell>
        </row>
        <row r="523">
          <cell r="E523">
            <v>1130660788</v>
          </cell>
          <cell r="F523">
            <v>53780000</v>
          </cell>
          <cell r="G523">
            <v>4542630</v>
          </cell>
          <cell r="H523">
            <v>11.8389567277106</v>
          </cell>
        </row>
        <row r="524">
          <cell r="E524">
            <v>1130668875</v>
          </cell>
          <cell r="F524">
            <v>28976000</v>
          </cell>
          <cell r="G524">
            <v>3179841</v>
          </cell>
          <cell r="H524">
            <v>9.11240530579988</v>
          </cell>
        </row>
        <row r="525">
          <cell r="E525">
            <v>1130669208</v>
          </cell>
          <cell r="F525">
            <v>21715000</v>
          </cell>
          <cell r="G525">
            <v>2271315</v>
          </cell>
          <cell r="H525">
            <v>9.56054092012777</v>
          </cell>
        </row>
        <row r="526">
          <cell r="E526">
            <v>1130670450</v>
          </cell>
          <cell r="F526">
            <v>6821000</v>
          </cell>
          <cell r="G526">
            <v>1362789</v>
          </cell>
          <cell r="H526">
            <v>5.00517688358212</v>
          </cell>
        </row>
        <row r="527">
          <cell r="E527">
            <v>1130671679</v>
          </cell>
          <cell r="F527">
            <v>31813000</v>
          </cell>
          <cell r="G527">
            <v>2271315</v>
          </cell>
          <cell r="H527">
            <v>14.0064235916198</v>
          </cell>
        </row>
        <row r="528">
          <cell r="E528">
            <v>1130672449</v>
          </cell>
          <cell r="F528">
            <v>71628000</v>
          </cell>
          <cell r="G528">
            <v>2271315</v>
          </cell>
          <cell r="H528">
            <v>31.5359164184624</v>
          </cell>
        </row>
        <row r="529">
          <cell r="E529">
            <v>1130678298</v>
          </cell>
          <cell r="F529">
            <v>9280000</v>
          </cell>
          <cell r="G529">
            <v>1362789</v>
          </cell>
          <cell r="H529">
            <v>6.80956479689813</v>
          </cell>
        </row>
        <row r="530">
          <cell r="E530">
            <v>1130683219</v>
          </cell>
          <cell r="F530">
            <v>39371000</v>
          </cell>
          <cell r="G530">
            <v>2271315</v>
          </cell>
          <cell r="H530">
            <v>17.3340113546558</v>
          </cell>
        </row>
        <row r="531">
          <cell r="E531">
            <v>1143830119</v>
          </cell>
          <cell r="F531">
            <v>40631000</v>
          </cell>
          <cell r="G531">
            <v>1362789</v>
          </cell>
          <cell r="H531">
            <v>29.8145934550396</v>
          </cell>
        </row>
        <row r="532">
          <cell r="E532">
            <v>1143835432</v>
          </cell>
          <cell r="F532">
            <v>7272000</v>
          </cell>
          <cell r="G532">
            <v>1362789</v>
          </cell>
          <cell r="H532">
            <v>5.33611586239689</v>
          </cell>
        </row>
        <row r="533">
          <cell r="E533">
            <v>1143840738</v>
          </cell>
          <cell r="F533">
            <v>13072000</v>
          </cell>
          <cell r="G533">
            <v>1362789</v>
          </cell>
          <cell r="H533">
            <v>9.59209386045822</v>
          </cell>
        </row>
        <row r="534">
          <cell r="E534">
            <v>1143841562</v>
          </cell>
          <cell r="F534">
            <v>87880000</v>
          </cell>
          <cell r="G534">
            <v>4542630</v>
          </cell>
          <cell r="H534">
            <v>19.3456213691188</v>
          </cell>
        </row>
        <row r="535">
          <cell r="E535">
            <v>1143845014</v>
          </cell>
          <cell r="F535">
            <v>2516000</v>
          </cell>
          <cell r="G535">
            <v>908526</v>
          </cell>
          <cell r="H535">
            <v>2.76932085597991</v>
          </cell>
        </row>
        <row r="536">
          <cell r="E536">
            <v>1143852093</v>
          </cell>
          <cell r="F536">
            <v>45250000</v>
          </cell>
          <cell r="G536">
            <v>1362789</v>
          </cell>
          <cell r="H536">
            <v>33.2039662779785</v>
          </cell>
        </row>
        <row r="537">
          <cell r="E537">
            <v>1143852691</v>
          </cell>
          <cell r="F537">
            <v>30566000</v>
          </cell>
          <cell r="G537" t="e">
            <v>#VALUE!</v>
          </cell>
          <cell r="H537" t="e">
            <v>#VALUE!</v>
          </cell>
        </row>
        <row r="538">
          <cell r="E538">
            <v>1143858287</v>
          </cell>
          <cell r="F538">
            <v>718000</v>
          </cell>
          <cell r="G538">
            <v>2271315</v>
          </cell>
          <cell r="H538">
            <v>0.316116434752555</v>
          </cell>
        </row>
        <row r="539">
          <cell r="E539">
            <v>1143860411</v>
          </cell>
          <cell r="F539">
            <v>25880000</v>
          </cell>
          <cell r="G539">
            <v>1362789</v>
          </cell>
          <cell r="H539">
            <v>18.9904673430737</v>
          </cell>
        </row>
        <row r="540">
          <cell r="E540">
            <v>1143860441</v>
          </cell>
          <cell r="F540">
            <v>7744000</v>
          </cell>
          <cell r="G540">
            <v>1362789</v>
          </cell>
          <cell r="H540">
            <v>5.68246441672188</v>
          </cell>
        </row>
        <row r="541">
          <cell r="E541">
            <v>1143862768</v>
          </cell>
          <cell r="F541">
            <v>7244000</v>
          </cell>
          <cell r="G541" t="e">
            <v>#VALUE!</v>
          </cell>
          <cell r="H541" t="e">
            <v>#VALUE!</v>
          </cell>
        </row>
        <row r="542">
          <cell r="E542">
            <v>1143864409</v>
          </cell>
          <cell r="F542">
            <v>8668000</v>
          </cell>
          <cell r="G542">
            <v>1362789</v>
          </cell>
          <cell r="H542">
            <v>6.36048573917165</v>
          </cell>
        </row>
        <row r="543">
          <cell r="E543">
            <v>1143871269</v>
          </cell>
          <cell r="F543">
            <v>11051000</v>
          </cell>
          <cell r="G543">
            <v>2271315</v>
          </cell>
          <cell r="H543">
            <v>4.86546339895611</v>
          </cell>
        </row>
        <row r="544">
          <cell r="E544">
            <v>1143924821</v>
          </cell>
          <cell r="F544">
            <v>15905000</v>
          </cell>
          <cell r="G544">
            <v>1362789</v>
          </cell>
          <cell r="H544">
            <v>11.6709189757182</v>
          </cell>
        </row>
        <row r="545">
          <cell r="E545">
            <v>1143932475</v>
          </cell>
          <cell r="F545">
            <v>7149000</v>
          </cell>
          <cell r="G545">
            <v>908526</v>
          </cell>
          <cell r="H545">
            <v>7.86878966589839</v>
          </cell>
        </row>
        <row r="546">
          <cell r="E546">
            <v>1143934493</v>
          </cell>
          <cell r="F546">
            <v>68333000</v>
          </cell>
          <cell r="G546">
            <v>2271315</v>
          </cell>
          <cell r="H546">
            <v>30.0852149525715</v>
          </cell>
        </row>
        <row r="547">
          <cell r="E547">
            <v>1143941877</v>
          </cell>
          <cell r="F547">
            <v>5305000</v>
          </cell>
          <cell r="G547">
            <v>908526</v>
          </cell>
          <cell r="H547">
            <v>5.83912843440914</v>
          </cell>
        </row>
        <row r="548">
          <cell r="E548">
            <v>1143944202</v>
          </cell>
          <cell r="F548">
            <v>2572000</v>
          </cell>
          <cell r="G548">
            <v>1362789</v>
          </cell>
          <cell r="H548">
            <v>1.8873061053472</v>
          </cell>
        </row>
        <row r="549">
          <cell r="E549">
            <v>1143945334</v>
          </cell>
          <cell r="F549">
            <v>38488000</v>
          </cell>
          <cell r="G549">
            <v>2271315</v>
          </cell>
          <cell r="H549">
            <v>16.9452497782122</v>
          </cell>
        </row>
        <row r="550">
          <cell r="E550">
            <v>1143947254</v>
          </cell>
          <cell r="F550">
            <v>3940000</v>
          </cell>
          <cell r="G550">
            <v>1362789</v>
          </cell>
          <cell r="H550">
            <v>2.89112988144166</v>
          </cell>
        </row>
        <row r="551">
          <cell r="E551">
            <v>1143948839</v>
          </cell>
          <cell r="F551">
            <v>3100000</v>
          </cell>
          <cell r="G551">
            <v>1362789</v>
          </cell>
          <cell r="H551">
            <v>2.27474686103278</v>
          </cell>
        </row>
        <row r="552">
          <cell r="E552">
            <v>1143955894</v>
          </cell>
          <cell r="F552">
            <v>2006000</v>
          </cell>
          <cell r="G552">
            <v>2271315</v>
          </cell>
          <cell r="H552">
            <v>0.883188813528727</v>
          </cell>
        </row>
        <row r="553">
          <cell r="E553">
            <v>1143968529</v>
          </cell>
          <cell r="F553">
            <v>3596000</v>
          </cell>
          <cell r="G553">
            <v>1362789</v>
          </cell>
          <cell r="H553">
            <v>2.63870635879802</v>
          </cell>
        </row>
        <row r="554">
          <cell r="E554">
            <v>1144031148</v>
          </cell>
          <cell r="F554">
            <v>7765000</v>
          </cell>
          <cell r="G554">
            <v>2271315</v>
          </cell>
          <cell r="H554">
            <v>3.41872439533926</v>
          </cell>
        </row>
        <row r="555">
          <cell r="E555">
            <v>1144032127</v>
          </cell>
          <cell r="F555">
            <v>9064000</v>
          </cell>
          <cell r="G555">
            <v>1362789</v>
          </cell>
          <cell r="H555">
            <v>6.65106630593584</v>
          </cell>
        </row>
        <row r="556">
          <cell r="E556">
            <v>1144032719</v>
          </cell>
          <cell r="F556">
            <v>9546000</v>
          </cell>
          <cell r="G556">
            <v>2271315</v>
          </cell>
          <cell r="H556">
            <v>4.20285165201656</v>
          </cell>
        </row>
        <row r="557">
          <cell r="E557">
            <v>1144039243</v>
          </cell>
          <cell r="F557">
            <v>6460000</v>
          </cell>
          <cell r="G557">
            <v>2271315</v>
          </cell>
          <cell r="H557">
            <v>2.84416736560098</v>
          </cell>
        </row>
        <row r="558">
          <cell r="E558">
            <v>1144045190</v>
          </cell>
          <cell r="F558">
            <v>13148000</v>
          </cell>
          <cell r="G558">
            <v>2271315</v>
          </cell>
          <cell r="H558">
            <v>5.78871710881142</v>
          </cell>
        </row>
        <row r="559">
          <cell r="E559">
            <v>1144047843</v>
          </cell>
          <cell r="F559">
            <v>1633000</v>
          </cell>
          <cell r="G559">
            <v>2271315</v>
          </cell>
          <cell r="H559">
            <v>0.71896676594836</v>
          </cell>
        </row>
        <row r="560">
          <cell r="E560">
            <v>1144051362</v>
          </cell>
          <cell r="F560">
            <v>2070000</v>
          </cell>
          <cell r="G560">
            <v>2271315</v>
          </cell>
          <cell r="H560">
            <v>0.911366323033133</v>
          </cell>
        </row>
        <row r="561">
          <cell r="E561">
            <v>1144055963</v>
          </cell>
          <cell r="F561">
            <v>3453000</v>
          </cell>
          <cell r="G561">
            <v>2271315</v>
          </cell>
          <cell r="H561">
            <v>1.52026469247991</v>
          </cell>
        </row>
        <row r="562">
          <cell r="E562">
            <v>1144057923</v>
          </cell>
          <cell r="F562">
            <v>4034000</v>
          </cell>
          <cell r="G562">
            <v>1362789</v>
          </cell>
          <cell r="H562">
            <v>2.96010607658266</v>
          </cell>
        </row>
        <row r="563">
          <cell r="E563">
            <v>1144061341</v>
          </cell>
          <cell r="F563">
            <v>6053000</v>
          </cell>
          <cell r="G563">
            <v>3179841</v>
          </cell>
          <cell r="H563">
            <v>1.90355429721172</v>
          </cell>
        </row>
        <row r="564">
          <cell r="E564">
            <v>1144062299</v>
          </cell>
          <cell r="F564">
            <v>2869000</v>
          </cell>
          <cell r="G564">
            <v>2271315</v>
          </cell>
          <cell r="H564">
            <v>1.2631449182522</v>
          </cell>
        </row>
        <row r="565">
          <cell r="E565">
            <v>1144069656</v>
          </cell>
          <cell r="F565">
            <v>0</v>
          </cell>
          <cell r="G565">
            <v>2271315</v>
          </cell>
          <cell r="H565">
            <v>0</v>
          </cell>
        </row>
        <row r="566">
          <cell r="E566">
            <v>1144072721</v>
          </cell>
          <cell r="F566">
            <v>3500000</v>
          </cell>
          <cell r="G566">
            <v>1362789</v>
          </cell>
          <cell r="H566">
            <v>2.56826258503701</v>
          </cell>
        </row>
        <row r="567">
          <cell r="E567">
            <v>1144073818</v>
          </cell>
          <cell r="F567">
            <v>1776000</v>
          </cell>
          <cell r="G567">
            <v>3179841</v>
          </cell>
          <cell r="H567">
            <v>0.558518491962334</v>
          </cell>
        </row>
        <row r="568">
          <cell r="E568">
            <v>1144078618</v>
          </cell>
          <cell r="F568">
            <v>4888000</v>
          </cell>
          <cell r="G568">
            <v>1362789</v>
          </cell>
          <cell r="H568">
            <v>3.58676214733169</v>
          </cell>
        </row>
        <row r="569">
          <cell r="E569">
            <v>1144079903</v>
          </cell>
          <cell r="F569">
            <v>2204000</v>
          </cell>
          <cell r="G569">
            <v>1362789</v>
          </cell>
          <cell r="H569">
            <v>1.6172716392633</v>
          </cell>
        </row>
        <row r="570">
          <cell r="E570">
            <v>1144082255</v>
          </cell>
          <cell r="F570">
            <v>1500000</v>
          </cell>
          <cell r="G570">
            <v>2271315</v>
          </cell>
          <cell r="H570">
            <v>0.660410379009517</v>
          </cell>
        </row>
        <row r="571">
          <cell r="E571">
            <v>1144084460</v>
          </cell>
          <cell r="F571">
            <v>8556000</v>
          </cell>
          <cell r="G571">
            <v>3179841</v>
          </cell>
          <cell r="H571">
            <v>2.69070057276449</v>
          </cell>
        </row>
        <row r="572">
          <cell r="E572">
            <v>1144085630</v>
          </cell>
          <cell r="F572">
            <v>7336000</v>
          </cell>
          <cell r="G572">
            <v>2271315</v>
          </cell>
          <cell r="H572">
            <v>3.22984702694254</v>
          </cell>
        </row>
        <row r="573">
          <cell r="E573">
            <v>1144125463</v>
          </cell>
          <cell r="F573">
            <v>4274000</v>
          </cell>
          <cell r="G573" t="e">
            <v>#VALUE!</v>
          </cell>
          <cell r="H573" t="e">
            <v>#VALUE!</v>
          </cell>
        </row>
        <row r="574">
          <cell r="E574">
            <v>1144126183</v>
          </cell>
          <cell r="F574">
            <v>122000</v>
          </cell>
          <cell r="G574">
            <v>2271315</v>
          </cell>
          <cell r="H574">
            <v>0.053713377492774</v>
          </cell>
        </row>
        <row r="575">
          <cell r="E575">
            <v>1144126672</v>
          </cell>
          <cell r="F575">
            <v>29542000</v>
          </cell>
          <cell r="G575" t="e">
            <v>#VALUE!</v>
          </cell>
          <cell r="H575" t="e">
            <v>#VALUE!</v>
          </cell>
        </row>
        <row r="576">
          <cell r="E576">
            <v>1144127504</v>
          </cell>
          <cell r="F576">
            <v>4640000</v>
          </cell>
          <cell r="G576">
            <v>1362789</v>
          </cell>
          <cell r="H576">
            <v>3.40478239844906</v>
          </cell>
        </row>
        <row r="577">
          <cell r="E577">
            <v>1144128196</v>
          </cell>
          <cell r="F577">
            <v>28510000</v>
          </cell>
          <cell r="G577">
            <v>4542630</v>
          </cell>
          <cell r="H577">
            <v>6.27609996852044</v>
          </cell>
        </row>
        <row r="578">
          <cell r="E578">
            <v>1144131039</v>
          </cell>
          <cell r="F578">
            <v>3112000</v>
          </cell>
          <cell r="G578" t="e">
            <v>#VALUE!</v>
          </cell>
          <cell r="H578" t="e">
            <v>#VALUE!</v>
          </cell>
        </row>
        <row r="579">
          <cell r="E579">
            <v>1144137672</v>
          </cell>
          <cell r="F579">
            <v>5019000</v>
          </cell>
          <cell r="G579">
            <v>2271315</v>
          </cell>
          <cell r="H579">
            <v>2.20973312816584</v>
          </cell>
        </row>
        <row r="580">
          <cell r="E580">
            <v>1144139162</v>
          </cell>
          <cell r="F580">
            <v>2043000</v>
          </cell>
          <cell r="G580">
            <v>4542630</v>
          </cell>
          <cell r="H580">
            <v>0.449739468105481</v>
          </cell>
        </row>
        <row r="581">
          <cell r="E581">
            <v>1144140452</v>
          </cell>
          <cell r="F581">
            <v>3172000</v>
          </cell>
          <cell r="G581">
            <v>1362789</v>
          </cell>
          <cell r="H581">
            <v>2.32757969135354</v>
          </cell>
        </row>
        <row r="582">
          <cell r="E582">
            <v>1144145614</v>
          </cell>
          <cell r="F582">
            <v>640000</v>
          </cell>
          <cell r="G582">
            <v>4542630</v>
          </cell>
          <cell r="H582">
            <v>0.14088754752203</v>
          </cell>
        </row>
        <row r="583">
          <cell r="E583">
            <v>1144154240</v>
          </cell>
          <cell r="F583">
            <v>3829000</v>
          </cell>
          <cell r="G583">
            <v>2271315</v>
          </cell>
          <cell r="H583">
            <v>1.68580756081829</v>
          </cell>
        </row>
        <row r="584">
          <cell r="E584">
            <v>1144156323</v>
          </cell>
          <cell r="F584">
            <v>4630000</v>
          </cell>
          <cell r="G584">
            <v>2271315</v>
          </cell>
          <cell r="H584">
            <v>2.03846670320937</v>
          </cell>
        </row>
        <row r="585">
          <cell r="E585">
            <v>1144157064</v>
          </cell>
          <cell r="F585">
            <v>5503000</v>
          </cell>
          <cell r="G585">
            <v>6359682</v>
          </cell>
          <cell r="H585">
            <v>0.865294837068897</v>
          </cell>
        </row>
        <row r="586">
          <cell r="E586">
            <v>1144163413</v>
          </cell>
          <cell r="F586">
            <v>4057000</v>
          </cell>
          <cell r="G586">
            <v>1362789</v>
          </cell>
          <cell r="H586">
            <v>2.9769832307129</v>
          </cell>
        </row>
        <row r="587">
          <cell r="E587">
            <v>1144165086</v>
          </cell>
          <cell r="F587">
            <v>4000000</v>
          </cell>
          <cell r="G587">
            <v>1362789</v>
          </cell>
          <cell r="H587">
            <v>2.9351572400423</v>
          </cell>
        </row>
        <row r="588">
          <cell r="E588">
            <v>1144167610</v>
          </cell>
          <cell r="F588">
            <v>7508000</v>
          </cell>
          <cell r="G588">
            <v>2271315</v>
          </cell>
          <cell r="H588">
            <v>3.30557408373563</v>
          </cell>
        </row>
        <row r="589">
          <cell r="E589">
            <v>1144168615</v>
          </cell>
          <cell r="F589">
            <v>1172000</v>
          </cell>
          <cell r="G589">
            <v>1362789</v>
          </cell>
          <cell r="H589">
            <v>0.860001071332393</v>
          </cell>
        </row>
        <row r="590">
          <cell r="E590">
            <v>1144172822</v>
          </cell>
          <cell r="F590">
            <v>0</v>
          </cell>
          <cell r="G590">
            <v>1362789</v>
          </cell>
          <cell r="H590">
            <v>0</v>
          </cell>
        </row>
        <row r="591">
          <cell r="E591">
            <v>1144173420</v>
          </cell>
          <cell r="F591">
            <v>10731000</v>
          </cell>
          <cell r="G591">
            <v>3179841</v>
          </cell>
          <cell r="H591">
            <v>3.37469703673863</v>
          </cell>
        </row>
        <row r="592">
          <cell r="E592">
            <v>1144175777</v>
          </cell>
          <cell r="F592">
            <v>3871000</v>
          </cell>
          <cell r="G592">
            <v>1362789</v>
          </cell>
          <cell r="H592">
            <v>2.84049841905093</v>
          </cell>
        </row>
        <row r="593">
          <cell r="E593">
            <v>1144177005</v>
          </cell>
          <cell r="F593">
            <v>4261000</v>
          </cell>
          <cell r="G593" t="e">
            <v>#VALUE!</v>
          </cell>
          <cell r="H593" t="e">
            <v>#VALUE!</v>
          </cell>
        </row>
        <row r="594">
          <cell r="E594">
            <v>1144177519</v>
          </cell>
          <cell r="F594">
            <v>1190000</v>
          </cell>
          <cell r="G594" t="e">
            <v>#VALUE!</v>
          </cell>
          <cell r="H594" t="e">
            <v>#VALUE!</v>
          </cell>
        </row>
        <row r="595">
          <cell r="E595">
            <v>1144177610</v>
          </cell>
          <cell r="F595">
            <v>1755000</v>
          </cell>
          <cell r="G595">
            <v>2271315</v>
          </cell>
          <cell r="H595">
            <v>0.772680143441134</v>
          </cell>
        </row>
        <row r="596">
          <cell r="E596">
            <v>1144181904</v>
          </cell>
          <cell r="F596">
            <v>10794000</v>
          </cell>
          <cell r="G596">
            <v>1362789</v>
          </cell>
          <cell r="H596">
            <v>7.92052181225414</v>
          </cell>
        </row>
        <row r="597">
          <cell r="E597">
            <v>1144189816</v>
          </cell>
          <cell r="F597">
            <v>721000</v>
          </cell>
          <cell r="G597" t="e">
            <v>#VALUE!</v>
          </cell>
          <cell r="H597" t="e">
            <v>#VALUE!</v>
          </cell>
        </row>
        <row r="598">
          <cell r="E598">
            <v>1144193830</v>
          </cell>
          <cell r="F598">
            <v>755000</v>
          </cell>
          <cell r="G598">
            <v>2271315</v>
          </cell>
          <cell r="H598">
            <v>0.33240655743479</v>
          </cell>
        </row>
        <row r="599">
          <cell r="E599">
            <v>1144211595</v>
          </cell>
          <cell r="F599">
            <v>1848000</v>
          </cell>
          <cell r="G599">
            <v>1362789</v>
          </cell>
          <cell r="H599">
            <v>1.35604264489954</v>
          </cell>
        </row>
        <row r="600">
          <cell r="E600">
            <v>1151941420</v>
          </cell>
          <cell r="F600">
            <v>5632000</v>
          </cell>
          <cell r="G600">
            <v>1362789</v>
          </cell>
          <cell r="H600">
            <v>4.13270139397955</v>
          </cell>
        </row>
        <row r="601">
          <cell r="E601">
            <v>1151947279</v>
          </cell>
          <cell r="F601">
            <v>332000</v>
          </cell>
          <cell r="G601">
            <v>1362789</v>
          </cell>
          <cell r="H601">
            <v>0.243618050923511</v>
          </cell>
        </row>
        <row r="602">
          <cell r="E602">
            <v>1151952243</v>
          </cell>
          <cell r="F602">
            <v>0</v>
          </cell>
          <cell r="G602">
            <v>2271315</v>
          </cell>
          <cell r="H602">
            <v>0</v>
          </cell>
        </row>
        <row r="603">
          <cell r="E603">
            <v>1151952941</v>
          </cell>
          <cell r="F603">
            <v>11080000</v>
          </cell>
          <cell r="G603" t="e">
            <v>#VALUE!</v>
          </cell>
          <cell r="H603" t="e">
            <v>#VALUE!</v>
          </cell>
        </row>
        <row r="604">
          <cell r="E604">
            <v>1151953296</v>
          </cell>
          <cell r="F604">
            <v>844000</v>
          </cell>
          <cell r="G604">
            <v>2271315</v>
          </cell>
          <cell r="H604">
            <v>0.371590906589355</v>
          </cell>
        </row>
        <row r="605">
          <cell r="E605">
            <v>1151958029</v>
          </cell>
          <cell r="F605">
            <v>1972000</v>
          </cell>
          <cell r="G605">
            <v>1362789</v>
          </cell>
          <cell r="H605">
            <v>1.44703251934085</v>
          </cell>
        </row>
        <row r="606">
          <cell r="E606">
            <v>1151958978</v>
          </cell>
          <cell r="F606">
            <v>3010000</v>
          </cell>
          <cell r="G606">
            <v>1362789</v>
          </cell>
          <cell r="H606">
            <v>2.20870582313183</v>
          </cell>
        </row>
        <row r="607">
          <cell r="E607">
            <v>1151966168</v>
          </cell>
          <cell r="F607">
            <v>2117000</v>
          </cell>
          <cell r="G607">
            <v>1362789</v>
          </cell>
          <cell r="H607">
            <v>1.55343196929239</v>
          </cell>
        </row>
        <row r="608">
          <cell r="E608">
            <v>1192794650</v>
          </cell>
          <cell r="F608">
            <v>3909000</v>
          </cell>
          <cell r="G608">
            <v>1362789</v>
          </cell>
          <cell r="H608">
            <v>2.86838241283133</v>
          </cell>
        </row>
        <row r="609">
          <cell r="E609">
            <v>31928973</v>
          </cell>
          <cell r="F609">
            <v>6628000</v>
          </cell>
          <cell r="G609">
            <v>1362789</v>
          </cell>
          <cell r="H609">
            <v>4.86355554675008</v>
          </cell>
        </row>
        <row r="610">
          <cell r="E610">
            <v>94074052</v>
          </cell>
          <cell r="F610">
            <v>6101000</v>
          </cell>
          <cell r="G610">
            <v>1362789</v>
          </cell>
          <cell r="H610">
            <v>4.47684858037451</v>
          </cell>
        </row>
        <row r="611">
          <cell r="E611">
            <v>4840449</v>
          </cell>
          <cell r="F611">
            <v>7346000</v>
          </cell>
          <cell r="G611">
            <v>2271315</v>
          </cell>
          <cell r="H611">
            <v>3.23424976280261</v>
          </cell>
        </row>
        <row r="612">
          <cell r="E612">
            <v>6391199</v>
          </cell>
          <cell r="F612">
            <v>21329000</v>
          </cell>
          <cell r="G612">
            <v>2271315</v>
          </cell>
          <cell r="H612">
            <v>9.39059531592932</v>
          </cell>
        </row>
        <row r="613">
          <cell r="E613">
            <v>14605192</v>
          </cell>
          <cell r="F613">
            <v>20774000</v>
          </cell>
          <cell r="G613">
            <v>1362789</v>
          </cell>
          <cell r="H613">
            <v>15.2437391261597</v>
          </cell>
        </row>
      </sheetData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TERNA"/>
      <sheetName val="T. Ingresos Sicses"/>
      <sheetName val="Mpios"/>
      <sheetName val="1 Central Información"/>
      <sheetName val="2 Tabla"/>
      <sheetName val="3 Entidad"/>
      <sheetName val="4 Lista"/>
      <sheetName val="5 Asociados, Empleados y Deudo"/>
      <sheetName val="6 Aportes"/>
      <sheetName val="7 Captaciones"/>
      <sheetName val="7 Cierre Cartera"/>
      <sheetName val="8 Salario"/>
      <sheetName val="9 Act Ecom"/>
      <sheetName val="8 DATA"/>
      <sheetName val="9 RECAL"/>
      <sheetName val="score"/>
      <sheetName val="10 DATAII"/>
      <sheetName val="11 Descriptiva"/>
      <sheetName val="12 Resumen"/>
      <sheetName val="PUC"/>
      <sheetName val="13 Limites"/>
      <sheetName val="14 Análisis Limites"/>
      <sheetName val="15 Hábito pago"/>
      <sheetName val="16 Perfil 30 Deu"/>
      <sheetName val="16 Perfil 30 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E4">
            <v>4661060</v>
          </cell>
          <cell r="F4">
            <v>64820000</v>
          </cell>
          <cell r="G4">
            <v>1500000</v>
          </cell>
          <cell r="H4">
            <v>43.2133333333333</v>
          </cell>
        </row>
        <row r="5">
          <cell r="E5">
            <v>6135820</v>
          </cell>
          <cell r="F5">
            <v>66722000</v>
          </cell>
          <cell r="G5">
            <v>5000000</v>
          </cell>
          <cell r="H5">
            <v>13.3444</v>
          </cell>
        </row>
        <row r="6">
          <cell r="E6">
            <v>6421806</v>
          </cell>
          <cell r="F6">
            <v>30934000</v>
          </cell>
          <cell r="G6">
            <v>1500000</v>
          </cell>
          <cell r="H6">
            <v>20.6226666666667</v>
          </cell>
        </row>
        <row r="7">
          <cell r="E7">
            <v>6429865</v>
          </cell>
          <cell r="F7">
            <v>536000</v>
          </cell>
          <cell r="G7">
            <v>2500000</v>
          </cell>
          <cell r="H7">
            <v>0.2144</v>
          </cell>
        </row>
        <row r="8">
          <cell r="E8">
            <v>8834375</v>
          </cell>
          <cell r="F8">
            <v>152229000</v>
          </cell>
          <cell r="G8">
            <v>5000000</v>
          </cell>
          <cell r="H8">
            <v>30.4458</v>
          </cell>
        </row>
        <row r="9">
          <cell r="E9">
            <v>9104444</v>
          </cell>
          <cell r="F9">
            <v>506416000</v>
          </cell>
          <cell r="G9">
            <v>36000000</v>
          </cell>
          <cell r="H9">
            <v>14.0671111111111</v>
          </cell>
        </row>
        <row r="10">
          <cell r="E10">
            <v>10280915</v>
          </cell>
          <cell r="F10">
            <v>23091000</v>
          </cell>
          <cell r="G10">
            <v>13500000</v>
          </cell>
          <cell r="H10">
            <v>1.71044444444444</v>
          </cell>
        </row>
        <row r="11">
          <cell r="E11">
            <v>10294212</v>
          </cell>
          <cell r="F11">
            <v>8113000</v>
          </cell>
          <cell r="G11">
            <v>3500000</v>
          </cell>
          <cell r="H11">
            <v>2.318</v>
          </cell>
        </row>
        <row r="12">
          <cell r="E12">
            <v>11830463</v>
          </cell>
          <cell r="F12">
            <v>11374000</v>
          </cell>
          <cell r="G12">
            <v>1500000</v>
          </cell>
          <cell r="H12">
            <v>7.58266666666667</v>
          </cell>
        </row>
        <row r="13">
          <cell r="E13">
            <v>13069223</v>
          </cell>
          <cell r="F13">
            <v>54643000</v>
          </cell>
          <cell r="G13">
            <v>13500000</v>
          </cell>
          <cell r="H13">
            <v>4.04762962962963</v>
          </cell>
        </row>
        <row r="14">
          <cell r="E14">
            <v>14465776</v>
          </cell>
          <cell r="F14">
            <v>36738000</v>
          </cell>
          <cell r="G14">
            <v>3500000</v>
          </cell>
          <cell r="H14">
            <v>10.4965714285714</v>
          </cell>
        </row>
        <row r="15">
          <cell r="E15">
            <v>14590506</v>
          </cell>
          <cell r="F15">
            <v>91074000</v>
          </cell>
          <cell r="G15">
            <v>2500000</v>
          </cell>
          <cell r="H15">
            <v>36.4296</v>
          </cell>
        </row>
        <row r="16">
          <cell r="E16">
            <v>14590768</v>
          </cell>
          <cell r="F16">
            <v>28122000</v>
          </cell>
          <cell r="G16">
            <v>5000000</v>
          </cell>
          <cell r="H16">
            <v>5.6244</v>
          </cell>
        </row>
        <row r="17">
          <cell r="E17">
            <v>14621610</v>
          </cell>
          <cell r="F17">
            <v>11594000</v>
          </cell>
          <cell r="G17">
            <v>1500000</v>
          </cell>
          <cell r="H17">
            <v>7.72933333333333</v>
          </cell>
        </row>
        <row r="18">
          <cell r="E18">
            <v>14797927</v>
          </cell>
          <cell r="F18">
            <v>65927000</v>
          </cell>
          <cell r="G18">
            <v>1500000</v>
          </cell>
          <cell r="H18">
            <v>43.9513333333333</v>
          </cell>
        </row>
        <row r="19">
          <cell r="E19">
            <v>14837882</v>
          </cell>
          <cell r="F19">
            <v>28067000</v>
          </cell>
          <cell r="G19">
            <v>2500000</v>
          </cell>
          <cell r="H19">
            <v>11.2268</v>
          </cell>
        </row>
        <row r="20">
          <cell r="E20">
            <v>14839121</v>
          </cell>
          <cell r="F20">
            <v>24826000</v>
          </cell>
          <cell r="G20">
            <v>1500000</v>
          </cell>
          <cell r="H20">
            <v>16.5506666666667</v>
          </cell>
        </row>
        <row r="21">
          <cell r="E21">
            <v>16288702</v>
          </cell>
          <cell r="F21">
            <v>33429000</v>
          </cell>
          <cell r="G21">
            <v>5000000</v>
          </cell>
          <cell r="H21">
            <v>6.6858</v>
          </cell>
        </row>
        <row r="22">
          <cell r="E22">
            <v>16379970</v>
          </cell>
          <cell r="F22">
            <v>25300000</v>
          </cell>
          <cell r="G22">
            <v>2500000</v>
          </cell>
          <cell r="H22">
            <v>10.12</v>
          </cell>
        </row>
        <row r="23">
          <cell r="E23">
            <v>16463108</v>
          </cell>
          <cell r="F23">
            <v>50687000</v>
          </cell>
          <cell r="G23">
            <v>1500000</v>
          </cell>
          <cell r="H23">
            <v>33.7913333333333</v>
          </cell>
        </row>
        <row r="24">
          <cell r="E24">
            <v>16648314</v>
          </cell>
          <cell r="F24">
            <v>104872000</v>
          </cell>
          <cell r="G24">
            <v>3500000</v>
          </cell>
          <cell r="H24">
            <v>29.9634285714286</v>
          </cell>
        </row>
        <row r="25">
          <cell r="E25">
            <v>16702551</v>
          </cell>
          <cell r="F25">
            <v>3464000</v>
          </cell>
          <cell r="G25">
            <v>1500000</v>
          </cell>
          <cell r="H25">
            <v>2.30933333333333</v>
          </cell>
        </row>
        <row r="26">
          <cell r="E26">
            <v>16729830</v>
          </cell>
          <cell r="F26">
            <v>67374000</v>
          </cell>
          <cell r="G26">
            <v>13500000</v>
          </cell>
          <cell r="H26">
            <v>4.99066666666667</v>
          </cell>
        </row>
        <row r="27">
          <cell r="E27">
            <v>16737817</v>
          </cell>
          <cell r="F27">
            <v>4503000</v>
          </cell>
          <cell r="G27">
            <v>7000000</v>
          </cell>
          <cell r="H27">
            <v>0.643285714285714</v>
          </cell>
        </row>
        <row r="28">
          <cell r="E28">
            <v>16749432</v>
          </cell>
          <cell r="F28">
            <v>70125000</v>
          </cell>
          <cell r="G28">
            <v>2500000</v>
          </cell>
          <cell r="H28">
            <v>28.05</v>
          </cell>
        </row>
        <row r="29">
          <cell r="E29">
            <v>16767193</v>
          </cell>
          <cell r="F29">
            <v>31572000</v>
          </cell>
          <cell r="G29">
            <v>5000000</v>
          </cell>
          <cell r="H29">
            <v>6.3144</v>
          </cell>
        </row>
        <row r="30">
          <cell r="E30">
            <v>16769506</v>
          </cell>
          <cell r="F30">
            <v>26966000</v>
          </cell>
          <cell r="G30">
            <v>1500000</v>
          </cell>
          <cell r="H30">
            <v>17.9773333333333</v>
          </cell>
        </row>
        <row r="31">
          <cell r="E31">
            <v>16774204</v>
          </cell>
          <cell r="F31">
            <v>58934000</v>
          </cell>
          <cell r="G31">
            <v>5000000</v>
          </cell>
          <cell r="H31">
            <v>11.7868</v>
          </cell>
        </row>
        <row r="32">
          <cell r="E32">
            <v>16786534</v>
          </cell>
          <cell r="F32">
            <v>39471000</v>
          </cell>
          <cell r="G32">
            <v>2500000</v>
          </cell>
          <cell r="H32">
            <v>15.7884</v>
          </cell>
        </row>
        <row r="33">
          <cell r="E33">
            <v>16846278</v>
          </cell>
          <cell r="F33">
            <v>26903000</v>
          </cell>
          <cell r="G33">
            <v>1500000</v>
          </cell>
          <cell r="H33">
            <v>17.9353333333333</v>
          </cell>
        </row>
        <row r="34">
          <cell r="E34">
            <v>16847593</v>
          </cell>
          <cell r="F34">
            <v>17314000</v>
          </cell>
          <cell r="G34">
            <v>1500000</v>
          </cell>
          <cell r="H34">
            <v>11.5426666666667</v>
          </cell>
        </row>
        <row r="35">
          <cell r="E35">
            <v>16849715</v>
          </cell>
          <cell r="F35">
            <v>46946000</v>
          </cell>
          <cell r="G35">
            <v>2500000</v>
          </cell>
          <cell r="H35">
            <v>18.7784</v>
          </cell>
        </row>
        <row r="36">
          <cell r="E36">
            <v>16889110</v>
          </cell>
          <cell r="F36">
            <v>8044000</v>
          </cell>
          <cell r="G36">
            <v>1500000</v>
          </cell>
          <cell r="H36">
            <v>5.36266666666667</v>
          </cell>
        </row>
        <row r="37">
          <cell r="E37">
            <v>16915378</v>
          </cell>
          <cell r="F37">
            <v>63285000</v>
          </cell>
          <cell r="G37">
            <v>5000000</v>
          </cell>
          <cell r="H37">
            <v>12.657</v>
          </cell>
        </row>
        <row r="38">
          <cell r="E38">
            <v>16918596</v>
          </cell>
          <cell r="F38">
            <v>45406000</v>
          </cell>
          <cell r="G38">
            <v>2500000</v>
          </cell>
          <cell r="H38">
            <v>18.1624</v>
          </cell>
        </row>
        <row r="39">
          <cell r="E39">
            <v>16918838</v>
          </cell>
          <cell r="F39">
            <v>7944000</v>
          </cell>
          <cell r="G39">
            <v>1500000</v>
          </cell>
          <cell r="H39">
            <v>5.296</v>
          </cell>
        </row>
        <row r="40">
          <cell r="E40">
            <v>16926618</v>
          </cell>
          <cell r="F40">
            <v>5291000</v>
          </cell>
          <cell r="G40">
            <v>1500000</v>
          </cell>
          <cell r="H40">
            <v>3.52733333333333</v>
          </cell>
        </row>
        <row r="41">
          <cell r="E41">
            <v>16930766</v>
          </cell>
          <cell r="F41">
            <v>21159000</v>
          </cell>
          <cell r="G41">
            <v>2500000</v>
          </cell>
          <cell r="H41">
            <v>8.4636</v>
          </cell>
        </row>
        <row r="42">
          <cell r="E42">
            <v>16939856</v>
          </cell>
          <cell r="F42">
            <v>52571000</v>
          </cell>
          <cell r="G42">
            <v>1500000</v>
          </cell>
          <cell r="H42">
            <v>35.0473333333333</v>
          </cell>
        </row>
        <row r="43">
          <cell r="E43">
            <v>16940638</v>
          </cell>
          <cell r="F43">
            <v>15628000</v>
          </cell>
          <cell r="G43">
            <v>1500000</v>
          </cell>
          <cell r="H43">
            <v>10.4186666666667</v>
          </cell>
        </row>
        <row r="44">
          <cell r="E44">
            <v>22665545</v>
          </cell>
          <cell r="F44">
            <v>96057000</v>
          </cell>
          <cell r="G44">
            <v>5000000</v>
          </cell>
          <cell r="H44">
            <v>19.2114</v>
          </cell>
        </row>
        <row r="45">
          <cell r="E45">
            <v>24341885</v>
          </cell>
          <cell r="F45">
            <v>2830000</v>
          </cell>
          <cell r="G45">
            <v>5000000</v>
          </cell>
          <cell r="H45">
            <v>0.566</v>
          </cell>
        </row>
        <row r="46">
          <cell r="E46">
            <v>24348754</v>
          </cell>
          <cell r="F46">
            <v>46310000</v>
          </cell>
          <cell r="G46">
            <v>5000000</v>
          </cell>
          <cell r="H46">
            <v>9.262</v>
          </cell>
        </row>
        <row r="47">
          <cell r="E47">
            <v>25364521</v>
          </cell>
          <cell r="F47">
            <v>91811000</v>
          </cell>
          <cell r="G47">
            <v>5000000</v>
          </cell>
          <cell r="H47">
            <v>18.3622</v>
          </cell>
        </row>
        <row r="48">
          <cell r="E48">
            <v>26366473</v>
          </cell>
          <cell r="F48">
            <v>10606000</v>
          </cell>
          <cell r="G48">
            <v>2500000</v>
          </cell>
          <cell r="H48">
            <v>4.2424</v>
          </cell>
        </row>
        <row r="49">
          <cell r="E49">
            <v>28822317</v>
          </cell>
          <cell r="F49">
            <v>139582000</v>
          </cell>
          <cell r="G49">
            <v>5000000</v>
          </cell>
          <cell r="H49">
            <v>27.9164</v>
          </cell>
        </row>
        <row r="50">
          <cell r="E50">
            <v>29105840</v>
          </cell>
          <cell r="F50">
            <v>11482000</v>
          </cell>
          <cell r="G50">
            <v>1500000</v>
          </cell>
          <cell r="H50">
            <v>7.65466666666667</v>
          </cell>
        </row>
        <row r="51">
          <cell r="E51">
            <v>29106695</v>
          </cell>
          <cell r="F51">
            <v>39598000</v>
          </cell>
          <cell r="G51">
            <v>1500000</v>
          </cell>
          <cell r="H51">
            <v>26.3986666666667</v>
          </cell>
        </row>
        <row r="52">
          <cell r="E52">
            <v>29111123</v>
          </cell>
          <cell r="F52">
            <v>5729000</v>
          </cell>
          <cell r="G52">
            <v>5000000</v>
          </cell>
          <cell r="H52">
            <v>1.1458</v>
          </cell>
        </row>
        <row r="53">
          <cell r="E53">
            <v>29117076</v>
          </cell>
          <cell r="F53">
            <v>593500000</v>
          </cell>
          <cell r="G53">
            <v>13500000</v>
          </cell>
          <cell r="H53">
            <v>43.962962962963</v>
          </cell>
        </row>
        <row r="54">
          <cell r="E54">
            <v>29119003</v>
          </cell>
          <cell r="F54">
            <v>59968000</v>
          </cell>
          <cell r="G54">
            <v>3500000</v>
          </cell>
          <cell r="H54">
            <v>17.1337142857143</v>
          </cell>
        </row>
        <row r="55">
          <cell r="E55">
            <v>29121696</v>
          </cell>
          <cell r="F55">
            <v>177870000</v>
          </cell>
          <cell r="G55">
            <v>5000000</v>
          </cell>
          <cell r="H55">
            <v>35.574</v>
          </cell>
        </row>
        <row r="56">
          <cell r="E56">
            <v>29125116</v>
          </cell>
          <cell r="F56">
            <v>23999000</v>
          </cell>
          <cell r="G56">
            <v>1500000</v>
          </cell>
          <cell r="H56">
            <v>15.9993333333333</v>
          </cell>
        </row>
        <row r="57">
          <cell r="E57">
            <v>29125244</v>
          </cell>
          <cell r="F57">
            <v>10721000</v>
          </cell>
          <cell r="G57">
            <v>2500000</v>
          </cell>
          <cell r="H57">
            <v>4.2884</v>
          </cell>
        </row>
        <row r="58">
          <cell r="E58">
            <v>29126389</v>
          </cell>
          <cell r="F58">
            <v>3018000</v>
          </cell>
          <cell r="G58">
            <v>1500000</v>
          </cell>
          <cell r="H58">
            <v>2.012</v>
          </cell>
        </row>
        <row r="59">
          <cell r="E59">
            <v>29177722</v>
          </cell>
          <cell r="F59">
            <v>7093000</v>
          </cell>
          <cell r="G59">
            <v>1500000</v>
          </cell>
          <cell r="H59">
            <v>4.72866666666667</v>
          </cell>
        </row>
        <row r="60">
          <cell r="E60">
            <v>29179422</v>
          </cell>
          <cell r="F60">
            <v>27922000</v>
          </cell>
          <cell r="G60">
            <v>5000000</v>
          </cell>
          <cell r="H60">
            <v>5.5844</v>
          </cell>
        </row>
        <row r="61">
          <cell r="E61">
            <v>29179489</v>
          </cell>
          <cell r="F61">
            <v>85659000</v>
          </cell>
          <cell r="G61">
            <v>5000000</v>
          </cell>
          <cell r="H61">
            <v>17.1318</v>
          </cell>
        </row>
        <row r="62">
          <cell r="E62">
            <v>29182544</v>
          </cell>
          <cell r="F62">
            <v>100080000</v>
          </cell>
          <cell r="G62">
            <v>2500000</v>
          </cell>
          <cell r="H62">
            <v>40.032</v>
          </cell>
        </row>
        <row r="63">
          <cell r="E63">
            <v>29363464</v>
          </cell>
          <cell r="F63">
            <v>45354000</v>
          </cell>
          <cell r="G63">
            <v>2500000</v>
          </cell>
          <cell r="H63">
            <v>18.1416</v>
          </cell>
        </row>
        <row r="64">
          <cell r="E64">
            <v>29508587</v>
          </cell>
          <cell r="F64">
            <v>71406000</v>
          </cell>
          <cell r="G64">
            <v>1500000</v>
          </cell>
          <cell r="H64">
            <v>47.604</v>
          </cell>
        </row>
        <row r="65">
          <cell r="E65">
            <v>29509503</v>
          </cell>
          <cell r="F65">
            <v>31082000</v>
          </cell>
          <cell r="G65">
            <v>1500000</v>
          </cell>
          <cell r="H65">
            <v>20.7213333333333</v>
          </cell>
        </row>
        <row r="66">
          <cell r="E66">
            <v>29545130</v>
          </cell>
          <cell r="F66">
            <v>2080000</v>
          </cell>
          <cell r="G66">
            <v>2500000</v>
          </cell>
          <cell r="H66">
            <v>0.832</v>
          </cell>
        </row>
        <row r="67">
          <cell r="E67">
            <v>29567600</v>
          </cell>
          <cell r="F67">
            <v>92960000</v>
          </cell>
          <cell r="G67">
            <v>2500000</v>
          </cell>
          <cell r="H67">
            <v>37.184</v>
          </cell>
        </row>
        <row r="68">
          <cell r="E68">
            <v>29672981</v>
          </cell>
          <cell r="F68">
            <v>10252000</v>
          </cell>
          <cell r="G68">
            <v>2500000</v>
          </cell>
          <cell r="H68">
            <v>4.1008</v>
          </cell>
        </row>
        <row r="69">
          <cell r="E69">
            <v>29681380</v>
          </cell>
          <cell r="F69">
            <v>34305000</v>
          </cell>
          <cell r="G69">
            <v>2500000</v>
          </cell>
          <cell r="H69">
            <v>13.722</v>
          </cell>
        </row>
        <row r="70">
          <cell r="E70">
            <v>29684827</v>
          </cell>
          <cell r="F70">
            <v>45861000</v>
          </cell>
          <cell r="G70">
            <v>1500000</v>
          </cell>
          <cell r="H70">
            <v>30.574</v>
          </cell>
        </row>
        <row r="71">
          <cell r="E71">
            <v>29706405</v>
          </cell>
          <cell r="F71">
            <v>40979000</v>
          </cell>
          <cell r="G71">
            <v>2500000</v>
          </cell>
          <cell r="H71">
            <v>16.3916</v>
          </cell>
        </row>
        <row r="72">
          <cell r="E72">
            <v>29975325</v>
          </cell>
          <cell r="F72">
            <v>9173000</v>
          </cell>
          <cell r="G72">
            <v>1500000</v>
          </cell>
          <cell r="H72">
            <v>6.11533333333333</v>
          </cell>
        </row>
        <row r="73">
          <cell r="E73">
            <v>30050160</v>
          </cell>
          <cell r="F73">
            <v>42769000</v>
          </cell>
          <cell r="G73">
            <v>2500000</v>
          </cell>
          <cell r="H73">
            <v>17.1076</v>
          </cell>
        </row>
        <row r="74">
          <cell r="E74">
            <v>30299942</v>
          </cell>
          <cell r="F74">
            <v>77027000</v>
          </cell>
          <cell r="G74">
            <v>5000000</v>
          </cell>
          <cell r="H74">
            <v>15.4054</v>
          </cell>
        </row>
        <row r="75">
          <cell r="E75">
            <v>30323543</v>
          </cell>
          <cell r="F75">
            <v>14867000</v>
          </cell>
          <cell r="G75">
            <v>5000000</v>
          </cell>
          <cell r="H75">
            <v>2.9734</v>
          </cell>
        </row>
        <row r="76">
          <cell r="E76">
            <v>30332791</v>
          </cell>
          <cell r="F76">
            <v>95466000</v>
          </cell>
          <cell r="G76">
            <v>5000000</v>
          </cell>
          <cell r="H76">
            <v>19.0932</v>
          </cell>
        </row>
        <row r="77">
          <cell r="E77">
            <v>30333175</v>
          </cell>
          <cell r="F77">
            <v>32424000</v>
          </cell>
          <cell r="G77">
            <v>3500000</v>
          </cell>
          <cell r="H77">
            <v>9.264</v>
          </cell>
        </row>
        <row r="78">
          <cell r="E78">
            <v>30360256</v>
          </cell>
          <cell r="F78">
            <v>8233000</v>
          </cell>
          <cell r="G78">
            <v>2500000</v>
          </cell>
          <cell r="H78">
            <v>3.2932</v>
          </cell>
        </row>
        <row r="79">
          <cell r="E79">
            <v>30395903</v>
          </cell>
          <cell r="F79">
            <v>14957000</v>
          </cell>
          <cell r="G79">
            <v>3500000</v>
          </cell>
          <cell r="H79">
            <v>4.27342857142857</v>
          </cell>
        </row>
        <row r="80">
          <cell r="E80">
            <v>30744172</v>
          </cell>
          <cell r="F80">
            <v>44477000</v>
          </cell>
          <cell r="G80">
            <v>5000000</v>
          </cell>
          <cell r="H80">
            <v>8.8954</v>
          </cell>
        </row>
        <row r="81">
          <cell r="E81">
            <v>31308698</v>
          </cell>
          <cell r="F81">
            <v>313077000</v>
          </cell>
          <cell r="G81">
            <v>5000000</v>
          </cell>
          <cell r="H81">
            <v>62.6154</v>
          </cell>
        </row>
        <row r="82">
          <cell r="E82">
            <v>31309273</v>
          </cell>
          <cell r="F82">
            <v>141918000</v>
          </cell>
          <cell r="G82">
            <v>2500000</v>
          </cell>
          <cell r="H82">
            <v>56.7672</v>
          </cell>
        </row>
        <row r="83">
          <cell r="E83">
            <v>31309662</v>
          </cell>
          <cell r="F83">
            <v>9432000</v>
          </cell>
          <cell r="G83">
            <v>1500000</v>
          </cell>
          <cell r="H83">
            <v>6.288</v>
          </cell>
        </row>
        <row r="84">
          <cell r="E84">
            <v>31323960</v>
          </cell>
          <cell r="F84">
            <v>5360000</v>
          </cell>
          <cell r="G84">
            <v>3500000</v>
          </cell>
          <cell r="H84">
            <v>1.53142857142857</v>
          </cell>
        </row>
        <row r="85">
          <cell r="E85">
            <v>31324094</v>
          </cell>
          <cell r="F85">
            <v>94623000</v>
          </cell>
          <cell r="G85">
            <v>2500000</v>
          </cell>
          <cell r="H85">
            <v>37.8492</v>
          </cell>
        </row>
        <row r="86">
          <cell r="E86">
            <v>31324751</v>
          </cell>
          <cell r="F86">
            <v>83912000</v>
          </cell>
          <cell r="G86">
            <v>2500000</v>
          </cell>
          <cell r="H86">
            <v>33.5648</v>
          </cell>
        </row>
        <row r="87">
          <cell r="E87">
            <v>31526082</v>
          </cell>
          <cell r="F87">
            <v>13702000</v>
          </cell>
          <cell r="G87">
            <v>2500000</v>
          </cell>
          <cell r="H87">
            <v>5.4808</v>
          </cell>
        </row>
        <row r="88">
          <cell r="E88">
            <v>31530816</v>
          </cell>
          <cell r="F88">
            <v>1479000</v>
          </cell>
          <cell r="G88">
            <v>1500000</v>
          </cell>
          <cell r="H88">
            <v>0.986</v>
          </cell>
        </row>
        <row r="89">
          <cell r="E89">
            <v>31532714</v>
          </cell>
          <cell r="F89">
            <v>45441000</v>
          </cell>
          <cell r="G89">
            <v>2500000</v>
          </cell>
          <cell r="H89">
            <v>18.1764</v>
          </cell>
        </row>
        <row r="90">
          <cell r="E90">
            <v>31538587</v>
          </cell>
          <cell r="F90">
            <v>31066000</v>
          </cell>
          <cell r="G90">
            <v>1500000</v>
          </cell>
          <cell r="H90">
            <v>20.7106666666667</v>
          </cell>
        </row>
        <row r="91">
          <cell r="E91">
            <v>31570062</v>
          </cell>
          <cell r="F91">
            <v>25666000</v>
          </cell>
          <cell r="G91">
            <v>1500000</v>
          </cell>
          <cell r="H91">
            <v>17.1106666666667</v>
          </cell>
        </row>
        <row r="92">
          <cell r="E92">
            <v>31571246</v>
          </cell>
          <cell r="F92">
            <v>4000000</v>
          </cell>
          <cell r="G92">
            <v>3500000</v>
          </cell>
          <cell r="H92">
            <v>1.14285714285714</v>
          </cell>
        </row>
        <row r="93">
          <cell r="E93">
            <v>31571567</v>
          </cell>
          <cell r="F93">
            <v>12979000</v>
          </cell>
          <cell r="G93">
            <v>2500000</v>
          </cell>
          <cell r="H93">
            <v>5.1916</v>
          </cell>
        </row>
        <row r="94">
          <cell r="E94">
            <v>31573111</v>
          </cell>
          <cell r="F94">
            <v>39419000</v>
          </cell>
          <cell r="G94">
            <v>1500000</v>
          </cell>
          <cell r="H94">
            <v>26.2793333333333</v>
          </cell>
        </row>
        <row r="95">
          <cell r="E95">
            <v>31574118</v>
          </cell>
          <cell r="F95">
            <v>63847000</v>
          </cell>
          <cell r="G95">
            <v>3500000</v>
          </cell>
          <cell r="H95">
            <v>18.242</v>
          </cell>
        </row>
        <row r="96">
          <cell r="E96">
            <v>31574514</v>
          </cell>
          <cell r="F96">
            <v>2329000</v>
          </cell>
          <cell r="G96">
            <v>1500000</v>
          </cell>
          <cell r="H96">
            <v>1.55266666666667</v>
          </cell>
        </row>
        <row r="97">
          <cell r="E97">
            <v>31574768</v>
          </cell>
          <cell r="F97">
            <v>46088000</v>
          </cell>
          <cell r="G97">
            <v>3500000</v>
          </cell>
          <cell r="H97">
            <v>13.168</v>
          </cell>
        </row>
        <row r="98">
          <cell r="E98">
            <v>31582244</v>
          </cell>
          <cell r="F98">
            <v>101874000</v>
          </cell>
          <cell r="G98">
            <v>1500000</v>
          </cell>
          <cell r="H98">
            <v>67.916</v>
          </cell>
        </row>
        <row r="99">
          <cell r="E99">
            <v>31583226</v>
          </cell>
          <cell r="F99">
            <v>33670000</v>
          </cell>
          <cell r="G99">
            <v>3500000</v>
          </cell>
          <cell r="H99">
            <v>9.62</v>
          </cell>
        </row>
        <row r="100">
          <cell r="E100">
            <v>31583824</v>
          </cell>
          <cell r="F100">
            <v>4636000</v>
          </cell>
          <cell r="G100">
            <v>1500000</v>
          </cell>
          <cell r="H100">
            <v>3.09066666666667</v>
          </cell>
        </row>
        <row r="101">
          <cell r="E101">
            <v>31629605</v>
          </cell>
          <cell r="F101">
            <v>5481000</v>
          </cell>
          <cell r="G101">
            <v>1500000</v>
          </cell>
          <cell r="H101">
            <v>3.654</v>
          </cell>
        </row>
        <row r="102">
          <cell r="E102">
            <v>31656034</v>
          </cell>
          <cell r="F102">
            <v>61826000</v>
          </cell>
          <cell r="G102">
            <v>1000000</v>
          </cell>
          <cell r="H102">
            <v>61.826</v>
          </cell>
        </row>
        <row r="103">
          <cell r="E103">
            <v>31658624</v>
          </cell>
          <cell r="F103">
            <v>26929000</v>
          </cell>
          <cell r="G103">
            <v>5000000</v>
          </cell>
          <cell r="H103">
            <v>5.3858</v>
          </cell>
        </row>
        <row r="104">
          <cell r="E104">
            <v>31710612</v>
          </cell>
          <cell r="F104">
            <v>53232000</v>
          </cell>
          <cell r="G104">
            <v>2500000</v>
          </cell>
          <cell r="H104">
            <v>21.2928</v>
          </cell>
        </row>
        <row r="105">
          <cell r="E105">
            <v>31711209</v>
          </cell>
          <cell r="F105">
            <v>4738000</v>
          </cell>
          <cell r="G105">
            <v>1500000</v>
          </cell>
          <cell r="H105">
            <v>3.15866666666667</v>
          </cell>
        </row>
        <row r="106">
          <cell r="E106">
            <v>31711710</v>
          </cell>
          <cell r="F106">
            <v>198624000</v>
          </cell>
          <cell r="G106">
            <v>3500000</v>
          </cell>
          <cell r="H106">
            <v>56.7497142857143</v>
          </cell>
        </row>
        <row r="107">
          <cell r="E107">
            <v>31711815</v>
          </cell>
          <cell r="F107">
            <v>22325000</v>
          </cell>
          <cell r="G107">
            <v>1500000</v>
          </cell>
          <cell r="H107">
            <v>14.8833333333333</v>
          </cell>
        </row>
        <row r="108">
          <cell r="E108">
            <v>31713043</v>
          </cell>
          <cell r="F108">
            <v>35381000</v>
          </cell>
          <cell r="G108">
            <v>3500000</v>
          </cell>
          <cell r="H108">
            <v>10.1088571428571</v>
          </cell>
        </row>
        <row r="109">
          <cell r="E109">
            <v>31713686</v>
          </cell>
          <cell r="F109">
            <v>34754000</v>
          </cell>
          <cell r="G109">
            <v>1000000</v>
          </cell>
          <cell r="H109">
            <v>34.754</v>
          </cell>
        </row>
        <row r="110">
          <cell r="E110">
            <v>31714718</v>
          </cell>
          <cell r="F110">
            <v>34525000</v>
          </cell>
          <cell r="G110">
            <v>1500000</v>
          </cell>
          <cell r="H110">
            <v>23.0166666666667</v>
          </cell>
        </row>
        <row r="111">
          <cell r="E111">
            <v>31843374</v>
          </cell>
          <cell r="F111">
            <v>11761000</v>
          </cell>
          <cell r="G111">
            <v>1500000</v>
          </cell>
          <cell r="H111">
            <v>7.84066666666667</v>
          </cell>
        </row>
        <row r="112">
          <cell r="E112">
            <v>31884529</v>
          </cell>
          <cell r="F112">
            <v>26389000</v>
          </cell>
          <cell r="G112">
            <v>3500000</v>
          </cell>
          <cell r="H112">
            <v>7.53971428571429</v>
          </cell>
        </row>
        <row r="113">
          <cell r="E113">
            <v>31895435</v>
          </cell>
          <cell r="F113">
            <v>70679000</v>
          </cell>
          <cell r="G113">
            <v>5000000</v>
          </cell>
          <cell r="H113">
            <v>14.1358</v>
          </cell>
        </row>
        <row r="114">
          <cell r="E114">
            <v>31900177</v>
          </cell>
          <cell r="F114">
            <v>237618000</v>
          </cell>
          <cell r="G114">
            <v>3500000</v>
          </cell>
          <cell r="H114">
            <v>67.8908571428571</v>
          </cell>
        </row>
        <row r="115">
          <cell r="E115">
            <v>31902853</v>
          </cell>
          <cell r="F115">
            <v>1568000</v>
          </cell>
          <cell r="G115">
            <v>5000000</v>
          </cell>
          <cell r="H115">
            <v>0.3136</v>
          </cell>
        </row>
        <row r="116">
          <cell r="E116">
            <v>31925606</v>
          </cell>
          <cell r="F116">
            <v>15110000</v>
          </cell>
          <cell r="G116">
            <v>1500000</v>
          </cell>
          <cell r="H116">
            <v>10.0733333333333</v>
          </cell>
        </row>
        <row r="117">
          <cell r="E117">
            <v>31930811</v>
          </cell>
          <cell r="F117">
            <v>8796000</v>
          </cell>
          <cell r="G117">
            <v>2500000</v>
          </cell>
          <cell r="H117">
            <v>3.5184</v>
          </cell>
        </row>
        <row r="118">
          <cell r="E118">
            <v>31937197</v>
          </cell>
          <cell r="F118">
            <v>86153000</v>
          </cell>
          <cell r="G118">
            <v>3500000</v>
          </cell>
          <cell r="H118">
            <v>24.6151428571429</v>
          </cell>
        </row>
        <row r="119">
          <cell r="E119">
            <v>31958544</v>
          </cell>
          <cell r="F119">
            <v>2151000</v>
          </cell>
          <cell r="G119">
            <v>1500000</v>
          </cell>
          <cell r="H119">
            <v>1.434</v>
          </cell>
        </row>
        <row r="120">
          <cell r="E120">
            <v>31969887</v>
          </cell>
          <cell r="F120">
            <v>5629000</v>
          </cell>
          <cell r="G120">
            <v>1500000</v>
          </cell>
          <cell r="H120">
            <v>3.75266666666667</v>
          </cell>
        </row>
        <row r="121">
          <cell r="E121">
            <v>31974020</v>
          </cell>
          <cell r="F121">
            <v>27125000</v>
          </cell>
          <cell r="G121">
            <v>1500000</v>
          </cell>
          <cell r="H121">
            <v>18.0833333333333</v>
          </cell>
        </row>
        <row r="122">
          <cell r="E122">
            <v>31980650</v>
          </cell>
          <cell r="F122">
            <v>8684000</v>
          </cell>
          <cell r="G122">
            <v>1500000</v>
          </cell>
          <cell r="H122">
            <v>5.78933333333333</v>
          </cell>
        </row>
        <row r="123">
          <cell r="E123">
            <v>31988600</v>
          </cell>
          <cell r="F123">
            <v>6649000</v>
          </cell>
          <cell r="G123">
            <v>1500000</v>
          </cell>
          <cell r="H123">
            <v>4.43266666666667</v>
          </cell>
        </row>
        <row r="124">
          <cell r="E124">
            <v>31991267</v>
          </cell>
          <cell r="F124">
            <v>11428000</v>
          </cell>
          <cell r="G124">
            <v>1500000</v>
          </cell>
          <cell r="H124">
            <v>7.61866666666667</v>
          </cell>
        </row>
        <row r="125">
          <cell r="E125">
            <v>31992155</v>
          </cell>
          <cell r="F125">
            <v>16582000</v>
          </cell>
          <cell r="G125">
            <v>1500000</v>
          </cell>
          <cell r="H125">
            <v>11.0546666666667</v>
          </cell>
        </row>
        <row r="126">
          <cell r="E126">
            <v>31998651</v>
          </cell>
          <cell r="F126">
            <v>11345000</v>
          </cell>
          <cell r="G126">
            <v>1500000</v>
          </cell>
          <cell r="H126">
            <v>7.56333333333333</v>
          </cell>
        </row>
        <row r="127">
          <cell r="E127">
            <v>31998677</v>
          </cell>
          <cell r="F127">
            <v>39698000</v>
          </cell>
          <cell r="G127">
            <v>1500000</v>
          </cell>
          <cell r="H127">
            <v>26.4653333333333</v>
          </cell>
        </row>
        <row r="128">
          <cell r="E128">
            <v>33333466</v>
          </cell>
          <cell r="F128">
            <v>103276000</v>
          </cell>
          <cell r="G128">
            <v>2500000</v>
          </cell>
          <cell r="H128">
            <v>41.3104</v>
          </cell>
        </row>
        <row r="129">
          <cell r="E129">
            <v>34374143</v>
          </cell>
          <cell r="F129">
            <v>143349000</v>
          </cell>
          <cell r="G129">
            <v>5000000</v>
          </cell>
          <cell r="H129">
            <v>28.6698</v>
          </cell>
        </row>
        <row r="130">
          <cell r="E130">
            <v>34516353</v>
          </cell>
          <cell r="F130">
            <v>5910000</v>
          </cell>
          <cell r="G130">
            <v>1500000</v>
          </cell>
          <cell r="H130">
            <v>3.94</v>
          </cell>
        </row>
        <row r="131">
          <cell r="E131">
            <v>34533175</v>
          </cell>
          <cell r="F131">
            <v>58910000</v>
          </cell>
          <cell r="G131">
            <v>2500000</v>
          </cell>
          <cell r="H131">
            <v>23.564</v>
          </cell>
        </row>
        <row r="132">
          <cell r="E132">
            <v>34552159</v>
          </cell>
          <cell r="F132">
            <v>28131000</v>
          </cell>
          <cell r="G132">
            <v>2500000</v>
          </cell>
          <cell r="H132">
            <v>11.2524</v>
          </cell>
        </row>
        <row r="133">
          <cell r="E133">
            <v>34564166</v>
          </cell>
          <cell r="F133">
            <v>87229000</v>
          </cell>
          <cell r="G133">
            <v>2500000</v>
          </cell>
          <cell r="H133">
            <v>34.8916</v>
          </cell>
        </row>
        <row r="134">
          <cell r="E134">
            <v>34674541</v>
          </cell>
          <cell r="F134">
            <v>150612000</v>
          </cell>
          <cell r="G134">
            <v>2500000</v>
          </cell>
          <cell r="H134">
            <v>60.2448</v>
          </cell>
        </row>
        <row r="135">
          <cell r="E135">
            <v>35462011</v>
          </cell>
          <cell r="F135">
            <v>7888000</v>
          </cell>
          <cell r="G135">
            <v>5000000</v>
          </cell>
          <cell r="H135">
            <v>1.5776</v>
          </cell>
        </row>
        <row r="136">
          <cell r="E136">
            <v>38210639</v>
          </cell>
          <cell r="F136">
            <v>82144000</v>
          </cell>
          <cell r="G136">
            <v>1500000</v>
          </cell>
          <cell r="H136">
            <v>54.7626666666667</v>
          </cell>
        </row>
        <row r="137">
          <cell r="E137">
            <v>38552196</v>
          </cell>
          <cell r="F137">
            <v>2979000</v>
          </cell>
          <cell r="G137">
            <v>1500000</v>
          </cell>
          <cell r="H137">
            <v>1.986</v>
          </cell>
        </row>
        <row r="138">
          <cell r="E138">
            <v>38557612</v>
          </cell>
          <cell r="F138">
            <v>61155000</v>
          </cell>
          <cell r="G138">
            <v>3500000</v>
          </cell>
          <cell r="H138">
            <v>17.4728571428571</v>
          </cell>
        </row>
        <row r="139">
          <cell r="E139">
            <v>38558372</v>
          </cell>
          <cell r="F139">
            <v>87338000</v>
          </cell>
          <cell r="G139">
            <v>1500000</v>
          </cell>
          <cell r="H139">
            <v>58.2253333333333</v>
          </cell>
        </row>
        <row r="140">
          <cell r="E140">
            <v>38559984</v>
          </cell>
          <cell r="F140">
            <v>26082000</v>
          </cell>
          <cell r="G140">
            <v>2500000</v>
          </cell>
          <cell r="H140">
            <v>10.4328</v>
          </cell>
        </row>
        <row r="141">
          <cell r="E141">
            <v>38561807</v>
          </cell>
          <cell r="F141">
            <v>55194000</v>
          </cell>
          <cell r="G141">
            <v>2500000</v>
          </cell>
          <cell r="H141">
            <v>22.0776</v>
          </cell>
        </row>
        <row r="142">
          <cell r="E142">
            <v>38561848</v>
          </cell>
          <cell r="F142">
            <v>152890000</v>
          </cell>
          <cell r="G142">
            <v>2500000</v>
          </cell>
          <cell r="H142">
            <v>61.156</v>
          </cell>
        </row>
        <row r="143">
          <cell r="E143">
            <v>38563522</v>
          </cell>
          <cell r="F143">
            <v>39251000</v>
          </cell>
          <cell r="G143">
            <v>1500000</v>
          </cell>
          <cell r="H143">
            <v>26.1673333333333</v>
          </cell>
        </row>
        <row r="144">
          <cell r="E144">
            <v>38568611</v>
          </cell>
          <cell r="F144">
            <v>31711000</v>
          </cell>
          <cell r="G144">
            <v>2500000</v>
          </cell>
          <cell r="H144">
            <v>12.6844</v>
          </cell>
        </row>
        <row r="145">
          <cell r="E145">
            <v>38600669</v>
          </cell>
          <cell r="F145">
            <v>3151000</v>
          </cell>
          <cell r="G145">
            <v>2500000</v>
          </cell>
          <cell r="H145">
            <v>1.2604</v>
          </cell>
        </row>
        <row r="146">
          <cell r="E146">
            <v>38601357</v>
          </cell>
          <cell r="F146">
            <v>70475000</v>
          </cell>
          <cell r="G146">
            <v>1500000</v>
          </cell>
          <cell r="H146">
            <v>46.9833333333333</v>
          </cell>
        </row>
        <row r="147">
          <cell r="E147">
            <v>38604845</v>
          </cell>
          <cell r="F147">
            <v>51655000</v>
          </cell>
          <cell r="G147">
            <v>1000000</v>
          </cell>
          <cell r="H147">
            <v>51.655</v>
          </cell>
        </row>
        <row r="148">
          <cell r="E148">
            <v>38640524</v>
          </cell>
          <cell r="F148">
            <v>6122000</v>
          </cell>
          <cell r="G148">
            <v>1000000</v>
          </cell>
          <cell r="H148">
            <v>6.122</v>
          </cell>
        </row>
        <row r="149">
          <cell r="E149">
            <v>38641418</v>
          </cell>
          <cell r="F149">
            <v>63671000</v>
          </cell>
          <cell r="G149">
            <v>1500000</v>
          </cell>
          <cell r="H149">
            <v>42.4473333333333</v>
          </cell>
        </row>
        <row r="150">
          <cell r="E150">
            <v>38642212</v>
          </cell>
          <cell r="F150">
            <v>66369000</v>
          </cell>
          <cell r="G150">
            <v>5000000</v>
          </cell>
          <cell r="H150">
            <v>13.2738</v>
          </cell>
        </row>
        <row r="151">
          <cell r="E151">
            <v>38644539</v>
          </cell>
          <cell r="F151">
            <v>2326000</v>
          </cell>
          <cell r="G151">
            <v>1500000</v>
          </cell>
          <cell r="H151">
            <v>1.55066666666667</v>
          </cell>
        </row>
        <row r="152">
          <cell r="E152">
            <v>38644679</v>
          </cell>
          <cell r="F152">
            <v>12133000</v>
          </cell>
          <cell r="G152">
            <v>5000000</v>
          </cell>
          <cell r="H152">
            <v>2.4266</v>
          </cell>
        </row>
        <row r="153">
          <cell r="E153">
            <v>38657055</v>
          </cell>
          <cell r="F153">
            <v>133701000</v>
          </cell>
          <cell r="G153">
            <v>2500000</v>
          </cell>
          <cell r="H153">
            <v>53.4804</v>
          </cell>
        </row>
        <row r="154">
          <cell r="E154">
            <v>38667623</v>
          </cell>
          <cell r="F154">
            <v>21048000</v>
          </cell>
          <cell r="G154">
            <v>2500000</v>
          </cell>
          <cell r="H154">
            <v>8.4192</v>
          </cell>
        </row>
        <row r="155">
          <cell r="E155">
            <v>38668436</v>
          </cell>
          <cell r="F155">
            <v>111865000</v>
          </cell>
          <cell r="G155">
            <v>1500000</v>
          </cell>
          <cell r="H155">
            <v>74.5766666666667</v>
          </cell>
        </row>
        <row r="156">
          <cell r="E156">
            <v>38683545</v>
          </cell>
          <cell r="F156">
            <v>61927000</v>
          </cell>
          <cell r="G156">
            <v>1500000</v>
          </cell>
          <cell r="H156">
            <v>41.2846666666667</v>
          </cell>
        </row>
        <row r="157">
          <cell r="E157">
            <v>38684944</v>
          </cell>
          <cell r="F157">
            <v>76735000</v>
          </cell>
          <cell r="G157">
            <v>1500000</v>
          </cell>
          <cell r="H157">
            <v>51.1566666666667</v>
          </cell>
        </row>
        <row r="158">
          <cell r="E158">
            <v>38790788</v>
          </cell>
          <cell r="F158">
            <v>77079000</v>
          </cell>
          <cell r="G158">
            <v>5000000</v>
          </cell>
          <cell r="H158">
            <v>15.4158</v>
          </cell>
        </row>
        <row r="159">
          <cell r="E159">
            <v>38867456</v>
          </cell>
          <cell r="F159">
            <v>0</v>
          </cell>
          <cell r="G159">
            <v>2500000</v>
          </cell>
          <cell r="H159">
            <v>0</v>
          </cell>
        </row>
        <row r="160">
          <cell r="E160">
            <v>38872813</v>
          </cell>
          <cell r="F160">
            <v>4959000</v>
          </cell>
          <cell r="G160">
            <v>1500000</v>
          </cell>
          <cell r="H160">
            <v>3.306</v>
          </cell>
        </row>
        <row r="161">
          <cell r="E161">
            <v>38873740</v>
          </cell>
          <cell r="F161">
            <v>4808000</v>
          </cell>
          <cell r="G161">
            <v>2500000</v>
          </cell>
          <cell r="H161">
            <v>1.9232</v>
          </cell>
        </row>
        <row r="162">
          <cell r="E162">
            <v>38888798</v>
          </cell>
          <cell r="F162">
            <v>58873000</v>
          </cell>
          <cell r="G162">
            <v>1500000</v>
          </cell>
          <cell r="H162">
            <v>39.2486666666667</v>
          </cell>
        </row>
        <row r="163">
          <cell r="E163">
            <v>38889981</v>
          </cell>
          <cell r="F163">
            <v>38844000</v>
          </cell>
          <cell r="G163">
            <v>2500000</v>
          </cell>
          <cell r="H163">
            <v>15.5376</v>
          </cell>
        </row>
        <row r="164">
          <cell r="E164">
            <v>40087405</v>
          </cell>
          <cell r="F164">
            <v>45380000</v>
          </cell>
          <cell r="G164">
            <v>2500000</v>
          </cell>
          <cell r="H164">
            <v>18.152</v>
          </cell>
        </row>
        <row r="165">
          <cell r="E165">
            <v>40446874</v>
          </cell>
          <cell r="F165">
            <v>4903000</v>
          </cell>
          <cell r="G165">
            <v>2500000</v>
          </cell>
          <cell r="H165">
            <v>1.9612</v>
          </cell>
        </row>
        <row r="166">
          <cell r="E166">
            <v>41960197</v>
          </cell>
          <cell r="F166">
            <v>149215000</v>
          </cell>
          <cell r="G166">
            <v>3500000</v>
          </cell>
          <cell r="H166">
            <v>42.6328571428571</v>
          </cell>
        </row>
        <row r="167">
          <cell r="E167">
            <v>51696063</v>
          </cell>
          <cell r="F167">
            <v>62960000</v>
          </cell>
          <cell r="G167">
            <v>3500000</v>
          </cell>
          <cell r="H167">
            <v>17.9885714285714</v>
          </cell>
        </row>
        <row r="168">
          <cell r="E168">
            <v>51825981</v>
          </cell>
          <cell r="F168">
            <v>36782000</v>
          </cell>
          <cell r="G168">
            <v>5000000</v>
          </cell>
          <cell r="H168">
            <v>7.3564</v>
          </cell>
        </row>
        <row r="169">
          <cell r="E169">
            <v>51968425</v>
          </cell>
          <cell r="F169">
            <v>4170000</v>
          </cell>
          <cell r="G169">
            <v>3500000</v>
          </cell>
          <cell r="H169">
            <v>1.19142857142857</v>
          </cell>
        </row>
        <row r="170">
          <cell r="E170">
            <v>51997260</v>
          </cell>
          <cell r="F170">
            <v>27512000</v>
          </cell>
          <cell r="G170">
            <v>2500000</v>
          </cell>
          <cell r="H170">
            <v>11.0048</v>
          </cell>
        </row>
        <row r="171">
          <cell r="E171">
            <v>52217227</v>
          </cell>
          <cell r="F171">
            <v>125324000</v>
          </cell>
          <cell r="G171">
            <v>5000000</v>
          </cell>
          <cell r="H171">
            <v>25.0648</v>
          </cell>
        </row>
        <row r="172">
          <cell r="E172">
            <v>52899917</v>
          </cell>
          <cell r="F172">
            <v>58781000</v>
          </cell>
          <cell r="G172">
            <v>1500000</v>
          </cell>
          <cell r="H172">
            <v>39.1873333333333</v>
          </cell>
        </row>
        <row r="173">
          <cell r="E173">
            <v>52932360</v>
          </cell>
          <cell r="F173">
            <v>117780000</v>
          </cell>
          <cell r="G173">
            <v>3500000</v>
          </cell>
          <cell r="H173">
            <v>33.6514285714286</v>
          </cell>
        </row>
        <row r="174">
          <cell r="E174">
            <v>53003019</v>
          </cell>
          <cell r="F174">
            <v>178401000</v>
          </cell>
          <cell r="G174">
            <v>5000000</v>
          </cell>
          <cell r="H174">
            <v>35.6802</v>
          </cell>
        </row>
        <row r="175">
          <cell r="E175">
            <v>53098371</v>
          </cell>
          <cell r="F175">
            <v>122024000</v>
          </cell>
          <cell r="G175">
            <v>5000000</v>
          </cell>
          <cell r="H175">
            <v>24.4048</v>
          </cell>
        </row>
        <row r="176">
          <cell r="E176">
            <v>55151378</v>
          </cell>
          <cell r="F176">
            <v>55829000</v>
          </cell>
          <cell r="G176">
            <v>3500000</v>
          </cell>
          <cell r="H176">
            <v>15.9511428571429</v>
          </cell>
        </row>
        <row r="177">
          <cell r="E177">
            <v>59664473</v>
          </cell>
          <cell r="F177">
            <v>93825000</v>
          </cell>
          <cell r="G177">
            <v>5000000</v>
          </cell>
          <cell r="H177">
            <v>18.765</v>
          </cell>
        </row>
        <row r="178">
          <cell r="E178">
            <v>60406095</v>
          </cell>
          <cell r="F178">
            <v>67995000</v>
          </cell>
          <cell r="G178">
            <v>3500000</v>
          </cell>
          <cell r="H178">
            <v>19.4271428571429</v>
          </cell>
        </row>
        <row r="179">
          <cell r="E179">
            <v>65706563</v>
          </cell>
          <cell r="F179">
            <v>47192000</v>
          </cell>
          <cell r="G179">
            <v>1500000</v>
          </cell>
          <cell r="H179">
            <v>31.4613333333333</v>
          </cell>
        </row>
        <row r="180">
          <cell r="E180">
            <v>66702591</v>
          </cell>
          <cell r="F180">
            <v>31152000</v>
          </cell>
          <cell r="G180">
            <v>3500000</v>
          </cell>
          <cell r="H180">
            <v>8.90057142857143</v>
          </cell>
        </row>
        <row r="181">
          <cell r="E181">
            <v>66717580</v>
          </cell>
          <cell r="F181">
            <v>25707000</v>
          </cell>
          <cell r="G181">
            <v>2500000</v>
          </cell>
          <cell r="H181">
            <v>10.2828</v>
          </cell>
        </row>
        <row r="182">
          <cell r="E182">
            <v>66718924</v>
          </cell>
          <cell r="F182">
            <v>40387000</v>
          </cell>
          <cell r="G182">
            <v>2500000</v>
          </cell>
          <cell r="H182">
            <v>16.1548</v>
          </cell>
        </row>
        <row r="183">
          <cell r="E183">
            <v>66764802</v>
          </cell>
          <cell r="F183">
            <v>5687000</v>
          </cell>
          <cell r="G183">
            <v>1500000</v>
          </cell>
          <cell r="H183">
            <v>3.79133333333333</v>
          </cell>
        </row>
        <row r="184">
          <cell r="E184">
            <v>66769609</v>
          </cell>
          <cell r="F184">
            <v>9628000</v>
          </cell>
          <cell r="G184">
            <v>2500000</v>
          </cell>
          <cell r="H184">
            <v>3.8512</v>
          </cell>
        </row>
        <row r="185">
          <cell r="E185">
            <v>66772628</v>
          </cell>
          <cell r="F185">
            <v>184493000</v>
          </cell>
          <cell r="G185">
            <v>5000000</v>
          </cell>
          <cell r="H185">
            <v>36.8986</v>
          </cell>
        </row>
        <row r="186">
          <cell r="E186">
            <v>66773669</v>
          </cell>
          <cell r="F186">
            <v>49806000</v>
          </cell>
          <cell r="G186">
            <v>1500000</v>
          </cell>
          <cell r="H186">
            <v>33.204</v>
          </cell>
        </row>
        <row r="187">
          <cell r="E187">
            <v>66780320</v>
          </cell>
          <cell r="F187">
            <v>40189000</v>
          </cell>
          <cell r="G187">
            <v>1500000</v>
          </cell>
          <cell r="H187">
            <v>26.7926666666667</v>
          </cell>
        </row>
        <row r="188">
          <cell r="E188">
            <v>66815650</v>
          </cell>
          <cell r="F188">
            <v>89050000</v>
          </cell>
          <cell r="G188">
            <v>1500000</v>
          </cell>
          <cell r="H188">
            <v>59.3666666666667</v>
          </cell>
        </row>
        <row r="189">
          <cell r="E189">
            <v>66817951</v>
          </cell>
          <cell r="F189">
            <v>115113000</v>
          </cell>
          <cell r="G189">
            <v>3500000</v>
          </cell>
          <cell r="H189">
            <v>32.8894285714286</v>
          </cell>
        </row>
        <row r="190">
          <cell r="E190">
            <v>66828711</v>
          </cell>
          <cell r="F190">
            <v>14573000</v>
          </cell>
          <cell r="G190">
            <v>1500000</v>
          </cell>
          <cell r="H190">
            <v>9.71533333333333</v>
          </cell>
        </row>
        <row r="191">
          <cell r="E191">
            <v>66828792</v>
          </cell>
          <cell r="F191">
            <v>56586000</v>
          </cell>
          <cell r="G191">
            <v>1500000</v>
          </cell>
          <cell r="H191">
            <v>37.724</v>
          </cell>
        </row>
        <row r="192">
          <cell r="E192">
            <v>66847778</v>
          </cell>
          <cell r="F192">
            <v>40949000</v>
          </cell>
          <cell r="G192">
            <v>3500000</v>
          </cell>
          <cell r="H192">
            <v>11.6997142857143</v>
          </cell>
        </row>
        <row r="193">
          <cell r="E193">
            <v>66848316</v>
          </cell>
          <cell r="F193">
            <v>81526000</v>
          </cell>
          <cell r="G193">
            <v>5000000</v>
          </cell>
          <cell r="H193">
            <v>16.3052</v>
          </cell>
        </row>
        <row r="194">
          <cell r="E194">
            <v>66851685</v>
          </cell>
          <cell r="F194">
            <v>1095000</v>
          </cell>
          <cell r="G194">
            <v>1500000</v>
          </cell>
          <cell r="H194">
            <v>0.73</v>
          </cell>
        </row>
        <row r="195">
          <cell r="E195">
            <v>66852905</v>
          </cell>
          <cell r="F195">
            <v>25767000</v>
          </cell>
          <cell r="G195">
            <v>3500000</v>
          </cell>
          <cell r="H195">
            <v>7.362</v>
          </cell>
        </row>
        <row r="196">
          <cell r="E196">
            <v>66856977</v>
          </cell>
          <cell r="F196">
            <v>70516000</v>
          </cell>
          <cell r="G196">
            <v>7000000</v>
          </cell>
          <cell r="H196">
            <v>10.0737142857143</v>
          </cell>
        </row>
        <row r="197">
          <cell r="E197">
            <v>66857765</v>
          </cell>
          <cell r="F197">
            <v>2231000</v>
          </cell>
          <cell r="G197">
            <v>1500000</v>
          </cell>
          <cell r="H197">
            <v>1.48733333333333</v>
          </cell>
        </row>
        <row r="198">
          <cell r="E198">
            <v>66859571</v>
          </cell>
          <cell r="F198">
            <v>26554000</v>
          </cell>
          <cell r="G198">
            <v>1500000</v>
          </cell>
          <cell r="H198">
            <v>17.7026666666667</v>
          </cell>
        </row>
        <row r="199">
          <cell r="E199">
            <v>66872117</v>
          </cell>
          <cell r="F199">
            <v>116569000</v>
          </cell>
          <cell r="G199">
            <v>3500000</v>
          </cell>
          <cell r="H199">
            <v>33.3054285714286</v>
          </cell>
        </row>
        <row r="200">
          <cell r="E200">
            <v>66875234</v>
          </cell>
          <cell r="F200">
            <v>13862000</v>
          </cell>
          <cell r="G200">
            <v>1500000</v>
          </cell>
          <cell r="H200">
            <v>9.24133333333333</v>
          </cell>
        </row>
        <row r="201">
          <cell r="E201">
            <v>66899264</v>
          </cell>
          <cell r="F201">
            <v>56672000</v>
          </cell>
          <cell r="G201">
            <v>1500000</v>
          </cell>
          <cell r="H201">
            <v>37.7813333333333</v>
          </cell>
        </row>
        <row r="202">
          <cell r="E202">
            <v>66907772</v>
          </cell>
          <cell r="F202">
            <v>128781000</v>
          </cell>
          <cell r="G202">
            <v>7000000</v>
          </cell>
          <cell r="H202">
            <v>18.3972857142857</v>
          </cell>
        </row>
        <row r="203">
          <cell r="E203">
            <v>66916534</v>
          </cell>
          <cell r="F203">
            <v>65507000</v>
          </cell>
          <cell r="G203">
            <v>2500000</v>
          </cell>
          <cell r="H203">
            <v>26.2028</v>
          </cell>
        </row>
        <row r="204">
          <cell r="E204">
            <v>66924088</v>
          </cell>
          <cell r="F204">
            <v>1844000</v>
          </cell>
          <cell r="G204">
            <v>1500000</v>
          </cell>
          <cell r="H204">
            <v>1.22933333333333</v>
          </cell>
        </row>
        <row r="205">
          <cell r="E205">
            <v>66926287</v>
          </cell>
          <cell r="F205">
            <v>19561000</v>
          </cell>
          <cell r="G205">
            <v>1500000</v>
          </cell>
          <cell r="H205">
            <v>13.0406666666667</v>
          </cell>
        </row>
        <row r="206">
          <cell r="E206">
            <v>66948369</v>
          </cell>
          <cell r="F206">
            <v>11920000</v>
          </cell>
          <cell r="G206">
            <v>2500000</v>
          </cell>
          <cell r="H206">
            <v>4.768</v>
          </cell>
        </row>
        <row r="207">
          <cell r="E207">
            <v>66949976</v>
          </cell>
          <cell r="F207">
            <v>34139000</v>
          </cell>
          <cell r="G207">
            <v>2500000</v>
          </cell>
          <cell r="H207">
            <v>13.6556</v>
          </cell>
        </row>
        <row r="208">
          <cell r="E208">
            <v>66968191</v>
          </cell>
          <cell r="F208">
            <v>35353000</v>
          </cell>
          <cell r="G208">
            <v>1500000</v>
          </cell>
          <cell r="H208">
            <v>23.5686666666667</v>
          </cell>
        </row>
        <row r="209">
          <cell r="E209">
            <v>66973973</v>
          </cell>
          <cell r="F209">
            <v>17167000</v>
          </cell>
          <cell r="G209">
            <v>2500000</v>
          </cell>
          <cell r="H209">
            <v>6.8668</v>
          </cell>
        </row>
        <row r="210">
          <cell r="E210">
            <v>66993124</v>
          </cell>
          <cell r="F210">
            <v>21011000</v>
          </cell>
          <cell r="G210">
            <v>1500000</v>
          </cell>
          <cell r="H210">
            <v>14.0073333333333</v>
          </cell>
        </row>
        <row r="211">
          <cell r="E211">
            <v>66999723</v>
          </cell>
          <cell r="F211">
            <v>54486000</v>
          </cell>
          <cell r="G211">
            <v>1500000</v>
          </cell>
          <cell r="H211">
            <v>36.324</v>
          </cell>
        </row>
        <row r="212">
          <cell r="E212">
            <v>67000591</v>
          </cell>
          <cell r="F212">
            <v>28020000</v>
          </cell>
          <cell r="G212">
            <v>2500000</v>
          </cell>
          <cell r="H212">
            <v>11.208</v>
          </cell>
        </row>
        <row r="213">
          <cell r="E213">
            <v>67002023</v>
          </cell>
          <cell r="F213">
            <v>2706000</v>
          </cell>
          <cell r="G213">
            <v>1500000</v>
          </cell>
          <cell r="H213">
            <v>1.804</v>
          </cell>
        </row>
        <row r="214">
          <cell r="E214">
            <v>67004483</v>
          </cell>
          <cell r="F214">
            <v>12659000</v>
          </cell>
          <cell r="G214">
            <v>7000000</v>
          </cell>
          <cell r="H214">
            <v>1.80842857142857</v>
          </cell>
        </row>
        <row r="215">
          <cell r="E215">
            <v>67005575</v>
          </cell>
          <cell r="F215">
            <v>96368000</v>
          </cell>
          <cell r="G215">
            <v>3500000</v>
          </cell>
          <cell r="H215">
            <v>27.5337142857143</v>
          </cell>
        </row>
        <row r="216">
          <cell r="E216">
            <v>67010490</v>
          </cell>
          <cell r="F216">
            <v>51679000</v>
          </cell>
          <cell r="G216">
            <v>2500000</v>
          </cell>
          <cell r="H216">
            <v>20.6716</v>
          </cell>
        </row>
        <row r="217">
          <cell r="E217">
            <v>67011371</v>
          </cell>
          <cell r="F217">
            <v>21523000</v>
          </cell>
          <cell r="G217">
            <v>1500000</v>
          </cell>
          <cell r="H217">
            <v>14.3486666666667</v>
          </cell>
        </row>
        <row r="218">
          <cell r="E218">
            <v>67011839</v>
          </cell>
          <cell r="F218">
            <v>16943000</v>
          </cell>
          <cell r="G218">
            <v>7000000</v>
          </cell>
          <cell r="H218">
            <v>2.42042857142857</v>
          </cell>
        </row>
        <row r="219">
          <cell r="E219">
            <v>67013068</v>
          </cell>
          <cell r="F219">
            <v>35946000</v>
          </cell>
          <cell r="G219">
            <v>2500000</v>
          </cell>
          <cell r="H219">
            <v>14.3784</v>
          </cell>
        </row>
        <row r="220">
          <cell r="E220">
            <v>67020375</v>
          </cell>
          <cell r="F220">
            <v>37087000</v>
          </cell>
          <cell r="G220">
            <v>2500000</v>
          </cell>
          <cell r="H220">
            <v>14.8348</v>
          </cell>
        </row>
        <row r="221">
          <cell r="E221">
            <v>67023981</v>
          </cell>
          <cell r="F221">
            <v>56097000</v>
          </cell>
          <cell r="G221">
            <v>5000000</v>
          </cell>
          <cell r="H221">
            <v>11.2194</v>
          </cell>
        </row>
        <row r="222">
          <cell r="E222">
            <v>67024552</v>
          </cell>
          <cell r="F222">
            <v>256799000</v>
          </cell>
          <cell r="G222">
            <v>3500000</v>
          </cell>
          <cell r="H222">
            <v>73.3711428571429</v>
          </cell>
        </row>
        <row r="223">
          <cell r="E223">
            <v>67025009</v>
          </cell>
          <cell r="F223">
            <v>66133000</v>
          </cell>
          <cell r="G223">
            <v>1500000</v>
          </cell>
          <cell r="H223">
            <v>44.0886666666667</v>
          </cell>
        </row>
        <row r="224">
          <cell r="E224">
            <v>67025218</v>
          </cell>
          <cell r="F224">
            <v>21358000</v>
          </cell>
          <cell r="G224">
            <v>1500000</v>
          </cell>
          <cell r="H224">
            <v>14.2386666666667</v>
          </cell>
        </row>
        <row r="225">
          <cell r="E225">
            <v>67025436</v>
          </cell>
          <cell r="F225">
            <v>128775000</v>
          </cell>
          <cell r="G225">
            <v>1500000</v>
          </cell>
          <cell r="H225">
            <v>85.85</v>
          </cell>
        </row>
        <row r="226">
          <cell r="E226">
            <v>67026638</v>
          </cell>
          <cell r="F226">
            <v>136320000</v>
          </cell>
          <cell r="G226">
            <v>5000000</v>
          </cell>
          <cell r="H226">
            <v>27.264</v>
          </cell>
        </row>
        <row r="227">
          <cell r="E227">
            <v>67028441</v>
          </cell>
          <cell r="F227">
            <v>10237000</v>
          </cell>
          <cell r="G227">
            <v>1500000</v>
          </cell>
          <cell r="H227">
            <v>6.82466666666667</v>
          </cell>
        </row>
        <row r="228">
          <cell r="E228">
            <v>67028594</v>
          </cell>
          <cell r="F228">
            <v>57422000</v>
          </cell>
          <cell r="G228">
            <v>2500000</v>
          </cell>
          <cell r="H228">
            <v>22.9688</v>
          </cell>
        </row>
        <row r="229">
          <cell r="E229">
            <v>67028827</v>
          </cell>
          <cell r="F229">
            <v>39372000</v>
          </cell>
          <cell r="G229">
            <v>2500000</v>
          </cell>
          <cell r="H229">
            <v>15.7488</v>
          </cell>
        </row>
        <row r="230">
          <cell r="E230">
            <v>67028912</v>
          </cell>
          <cell r="F230">
            <v>16942000</v>
          </cell>
          <cell r="G230">
            <v>1500000</v>
          </cell>
          <cell r="H230">
            <v>11.2946666666667</v>
          </cell>
        </row>
        <row r="231">
          <cell r="E231">
            <v>67030084</v>
          </cell>
          <cell r="F231">
            <v>28653000</v>
          </cell>
          <cell r="G231">
            <v>1500000</v>
          </cell>
          <cell r="H231">
            <v>19.102</v>
          </cell>
        </row>
        <row r="232">
          <cell r="E232">
            <v>67030956</v>
          </cell>
          <cell r="F232">
            <v>48237000</v>
          </cell>
          <cell r="G232">
            <v>5000000</v>
          </cell>
          <cell r="H232">
            <v>9.6474</v>
          </cell>
        </row>
        <row r="233">
          <cell r="E233">
            <v>67030981</v>
          </cell>
          <cell r="F233">
            <v>152422000</v>
          </cell>
          <cell r="G233">
            <v>3500000</v>
          </cell>
          <cell r="H233">
            <v>43.5491428571429</v>
          </cell>
        </row>
        <row r="234">
          <cell r="E234">
            <v>67032665</v>
          </cell>
          <cell r="F234">
            <v>188339000</v>
          </cell>
          <cell r="G234">
            <v>3500000</v>
          </cell>
          <cell r="H234">
            <v>53.8111428571429</v>
          </cell>
        </row>
        <row r="235">
          <cell r="E235">
            <v>67037333</v>
          </cell>
          <cell r="F235">
            <v>39117000</v>
          </cell>
          <cell r="G235">
            <v>1500000</v>
          </cell>
          <cell r="H235">
            <v>26.078</v>
          </cell>
        </row>
        <row r="236">
          <cell r="E236">
            <v>67040120</v>
          </cell>
          <cell r="F236">
            <v>27636000</v>
          </cell>
          <cell r="G236">
            <v>3500000</v>
          </cell>
          <cell r="H236">
            <v>7.896</v>
          </cell>
        </row>
        <row r="237">
          <cell r="E237">
            <v>67040256</v>
          </cell>
          <cell r="F237">
            <v>23671000</v>
          </cell>
          <cell r="G237">
            <v>2500000</v>
          </cell>
          <cell r="H237">
            <v>9.4684</v>
          </cell>
        </row>
        <row r="238">
          <cell r="E238">
            <v>71738242</v>
          </cell>
          <cell r="F238">
            <v>156904000</v>
          </cell>
          <cell r="G238">
            <v>20500000</v>
          </cell>
          <cell r="H238">
            <v>7.65385365853659</v>
          </cell>
        </row>
        <row r="239">
          <cell r="E239">
            <v>75073905</v>
          </cell>
          <cell r="F239">
            <v>123497000</v>
          </cell>
          <cell r="G239">
            <v>5000000</v>
          </cell>
          <cell r="H239">
            <v>24.6994</v>
          </cell>
        </row>
        <row r="240">
          <cell r="E240">
            <v>76140409</v>
          </cell>
          <cell r="F240">
            <v>47668000</v>
          </cell>
          <cell r="G240">
            <v>2500000</v>
          </cell>
          <cell r="H240">
            <v>19.0672</v>
          </cell>
        </row>
        <row r="241">
          <cell r="E241">
            <v>80819970</v>
          </cell>
          <cell r="F241">
            <v>39765000</v>
          </cell>
          <cell r="G241">
            <v>5000000</v>
          </cell>
          <cell r="H241">
            <v>7.953</v>
          </cell>
        </row>
        <row r="242">
          <cell r="E242">
            <v>88143419</v>
          </cell>
          <cell r="F242">
            <v>20356000</v>
          </cell>
          <cell r="G242">
            <v>5000000</v>
          </cell>
          <cell r="H242">
            <v>4.0712</v>
          </cell>
        </row>
        <row r="243">
          <cell r="E243">
            <v>91493134</v>
          </cell>
          <cell r="F243">
            <v>3138000</v>
          </cell>
          <cell r="G243">
            <v>2500000</v>
          </cell>
          <cell r="H243">
            <v>1.2552</v>
          </cell>
        </row>
        <row r="244">
          <cell r="E244">
            <v>94043124</v>
          </cell>
          <cell r="F244">
            <v>339153000</v>
          </cell>
          <cell r="G244">
            <v>3500000</v>
          </cell>
          <cell r="H244">
            <v>96.9008571428572</v>
          </cell>
        </row>
        <row r="245">
          <cell r="E245">
            <v>94074218</v>
          </cell>
          <cell r="F245">
            <v>29078000</v>
          </cell>
          <cell r="G245">
            <v>1500000</v>
          </cell>
          <cell r="H245">
            <v>19.3853333333333</v>
          </cell>
        </row>
        <row r="246">
          <cell r="E246">
            <v>94193459</v>
          </cell>
          <cell r="F246">
            <v>91910000</v>
          </cell>
          <cell r="G246">
            <v>2500000</v>
          </cell>
          <cell r="H246">
            <v>36.764</v>
          </cell>
        </row>
        <row r="247">
          <cell r="E247">
            <v>94378217</v>
          </cell>
          <cell r="F247">
            <v>50601000</v>
          </cell>
          <cell r="G247">
            <v>2500000</v>
          </cell>
          <cell r="H247">
            <v>20.2404</v>
          </cell>
        </row>
        <row r="248">
          <cell r="E248">
            <v>94413398</v>
          </cell>
          <cell r="F248">
            <v>45779000</v>
          </cell>
          <cell r="G248">
            <v>2500000</v>
          </cell>
          <cell r="H248">
            <v>18.3116</v>
          </cell>
        </row>
        <row r="249">
          <cell r="E249">
            <v>94426762</v>
          </cell>
          <cell r="F249">
            <v>18474000</v>
          </cell>
          <cell r="G249">
            <v>2500000</v>
          </cell>
          <cell r="H249">
            <v>7.3896</v>
          </cell>
        </row>
        <row r="250">
          <cell r="E250">
            <v>94459046</v>
          </cell>
          <cell r="F250">
            <v>4756000</v>
          </cell>
          <cell r="G250">
            <v>2500000</v>
          </cell>
          <cell r="H250">
            <v>1.9024</v>
          </cell>
        </row>
        <row r="251">
          <cell r="E251">
            <v>94489748</v>
          </cell>
          <cell r="F251">
            <v>93436000</v>
          </cell>
          <cell r="G251">
            <v>2500000</v>
          </cell>
          <cell r="H251">
            <v>37.3744</v>
          </cell>
        </row>
        <row r="252">
          <cell r="E252">
            <v>94491699</v>
          </cell>
          <cell r="F252">
            <v>10934000</v>
          </cell>
          <cell r="G252">
            <v>7000000</v>
          </cell>
          <cell r="H252">
            <v>1.562</v>
          </cell>
        </row>
        <row r="253">
          <cell r="E253">
            <v>94501835</v>
          </cell>
          <cell r="F253">
            <v>29271000</v>
          </cell>
          <cell r="G253">
            <v>1500000</v>
          </cell>
          <cell r="H253">
            <v>19.514</v>
          </cell>
        </row>
        <row r="254">
          <cell r="E254">
            <v>94517205</v>
          </cell>
          <cell r="F254">
            <v>26976000</v>
          </cell>
          <cell r="G254">
            <v>1500000</v>
          </cell>
          <cell r="H254">
            <v>17.984</v>
          </cell>
        </row>
        <row r="255">
          <cell r="E255">
            <v>94525897</v>
          </cell>
          <cell r="F255">
            <v>263690000</v>
          </cell>
          <cell r="G255">
            <v>5000000</v>
          </cell>
          <cell r="H255">
            <v>52.738</v>
          </cell>
        </row>
        <row r="256">
          <cell r="E256">
            <v>94527022</v>
          </cell>
          <cell r="F256">
            <v>125936000</v>
          </cell>
          <cell r="G256">
            <v>3500000</v>
          </cell>
          <cell r="H256">
            <v>35.9817142857143</v>
          </cell>
        </row>
        <row r="257">
          <cell r="E257">
            <v>94533696</v>
          </cell>
          <cell r="F257">
            <v>54382000</v>
          </cell>
          <cell r="G257">
            <v>3500000</v>
          </cell>
          <cell r="H257">
            <v>15.5377142857143</v>
          </cell>
        </row>
        <row r="258">
          <cell r="E258">
            <v>1004342204</v>
          </cell>
          <cell r="F258">
            <v>10587000</v>
          </cell>
          <cell r="G258">
            <v>1000000</v>
          </cell>
          <cell r="H258">
            <v>10.587</v>
          </cell>
        </row>
        <row r="259">
          <cell r="E259">
            <v>1006049428</v>
          </cell>
          <cell r="F259">
            <v>6969000</v>
          </cell>
          <cell r="G259">
            <v>1500000</v>
          </cell>
          <cell r="H259">
            <v>4.646</v>
          </cell>
        </row>
        <row r="260">
          <cell r="E260">
            <v>1006096851</v>
          </cell>
          <cell r="F260">
            <v>6508000</v>
          </cell>
          <cell r="G260">
            <v>1000000</v>
          </cell>
          <cell r="H260">
            <v>6.508</v>
          </cell>
        </row>
        <row r="261">
          <cell r="E261">
            <v>1006341887</v>
          </cell>
          <cell r="F261">
            <v>47188000</v>
          </cell>
          <cell r="G261">
            <v>1500000</v>
          </cell>
          <cell r="H261">
            <v>31.4586666666667</v>
          </cell>
        </row>
        <row r="262">
          <cell r="E262">
            <v>1006365683</v>
          </cell>
          <cell r="F262">
            <v>2000000</v>
          </cell>
          <cell r="G262">
            <v>1500000</v>
          </cell>
          <cell r="H262">
            <v>1.33333333333333</v>
          </cell>
        </row>
        <row r="263">
          <cell r="E263">
            <v>1007145804</v>
          </cell>
          <cell r="F263">
            <v>5602000</v>
          </cell>
          <cell r="G263">
            <v>1500000</v>
          </cell>
          <cell r="H263">
            <v>3.73466666666667</v>
          </cell>
        </row>
        <row r="264">
          <cell r="E264">
            <v>1007500847</v>
          </cell>
          <cell r="F264">
            <v>35551000</v>
          </cell>
          <cell r="G264">
            <v>2500000</v>
          </cell>
          <cell r="H264">
            <v>14.2204</v>
          </cell>
        </row>
        <row r="265">
          <cell r="E265">
            <v>1007954496</v>
          </cell>
          <cell r="F265">
            <v>7723000</v>
          </cell>
          <cell r="G265">
            <v>1500000</v>
          </cell>
          <cell r="H265">
            <v>5.14866666666667</v>
          </cell>
        </row>
        <row r="266">
          <cell r="E266">
            <v>1010081973</v>
          </cell>
          <cell r="F266">
            <v>30839000</v>
          </cell>
          <cell r="G266">
            <v>1500000</v>
          </cell>
          <cell r="H266">
            <v>20.5593333333333</v>
          </cell>
        </row>
        <row r="267">
          <cell r="E267">
            <v>1010125231</v>
          </cell>
          <cell r="F267">
            <v>570000</v>
          </cell>
          <cell r="G267">
            <v>1500000</v>
          </cell>
          <cell r="H267">
            <v>0.38</v>
          </cell>
        </row>
        <row r="268">
          <cell r="E268">
            <v>1012409708</v>
          </cell>
          <cell r="F268">
            <v>20306000</v>
          </cell>
          <cell r="G268">
            <v>1000000</v>
          </cell>
          <cell r="H268">
            <v>20.306</v>
          </cell>
        </row>
        <row r="269">
          <cell r="E269">
            <v>1030522020</v>
          </cell>
          <cell r="F269">
            <v>57669000</v>
          </cell>
          <cell r="G269">
            <v>3500000</v>
          </cell>
          <cell r="H269">
            <v>16.4768571428571</v>
          </cell>
        </row>
        <row r="270">
          <cell r="E270">
            <v>1032378479</v>
          </cell>
          <cell r="F270">
            <v>108506000</v>
          </cell>
          <cell r="G270">
            <v>5000000</v>
          </cell>
          <cell r="H270">
            <v>21.7012</v>
          </cell>
        </row>
        <row r="271">
          <cell r="E271">
            <v>1033654195</v>
          </cell>
          <cell r="F271">
            <v>22709000</v>
          </cell>
          <cell r="G271">
            <v>3500000</v>
          </cell>
          <cell r="H271">
            <v>6.48828571428571</v>
          </cell>
        </row>
        <row r="272">
          <cell r="E272">
            <v>1052981175</v>
          </cell>
          <cell r="F272">
            <v>63774000</v>
          </cell>
          <cell r="G272">
            <v>3500000</v>
          </cell>
          <cell r="H272">
            <v>18.2211428571429</v>
          </cell>
        </row>
        <row r="273">
          <cell r="E273">
            <v>1053805598</v>
          </cell>
          <cell r="F273">
            <v>103876000</v>
          </cell>
          <cell r="G273">
            <v>5000000</v>
          </cell>
          <cell r="H273">
            <v>20.7752</v>
          </cell>
        </row>
        <row r="274">
          <cell r="E274">
            <v>1061087232</v>
          </cell>
          <cell r="F274">
            <v>10844000</v>
          </cell>
          <cell r="G274">
            <v>1500000</v>
          </cell>
          <cell r="H274">
            <v>7.22933333333333</v>
          </cell>
        </row>
        <row r="275">
          <cell r="E275">
            <v>1061537744</v>
          </cell>
          <cell r="F275">
            <v>19005000</v>
          </cell>
          <cell r="G275">
            <v>2500000</v>
          </cell>
          <cell r="H275">
            <v>7.602</v>
          </cell>
        </row>
        <row r="276">
          <cell r="E276">
            <v>1061773444</v>
          </cell>
          <cell r="F276">
            <v>32553000</v>
          </cell>
          <cell r="G276">
            <v>5000000</v>
          </cell>
          <cell r="H276">
            <v>6.5106</v>
          </cell>
        </row>
        <row r="277">
          <cell r="E277">
            <v>1061798353</v>
          </cell>
          <cell r="F277">
            <v>69310000</v>
          </cell>
          <cell r="G277">
            <v>1500000</v>
          </cell>
          <cell r="H277">
            <v>46.2066666666667</v>
          </cell>
        </row>
        <row r="278">
          <cell r="E278">
            <v>1062287599</v>
          </cell>
          <cell r="F278">
            <v>4527000</v>
          </cell>
          <cell r="G278">
            <v>1000000</v>
          </cell>
          <cell r="H278">
            <v>4.527</v>
          </cell>
        </row>
        <row r="279">
          <cell r="E279">
            <v>1062289306</v>
          </cell>
          <cell r="F279">
            <v>52205000</v>
          </cell>
          <cell r="G279">
            <v>2500000</v>
          </cell>
          <cell r="H279">
            <v>20.882</v>
          </cell>
        </row>
        <row r="280">
          <cell r="E280">
            <v>1062317237</v>
          </cell>
          <cell r="F280">
            <v>43532000</v>
          </cell>
          <cell r="G280">
            <v>2500000</v>
          </cell>
          <cell r="H280">
            <v>17.4128</v>
          </cell>
        </row>
        <row r="281">
          <cell r="E281">
            <v>1063813519</v>
          </cell>
          <cell r="F281">
            <v>8051000</v>
          </cell>
          <cell r="G281">
            <v>1500000</v>
          </cell>
          <cell r="H281">
            <v>5.36733333333333</v>
          </cell>
        </row>
        <row r="282">
          <cell r="E282">
            <v>1065654814</v>
          </cell>
          <cell r="F282">
            <v>173732000</v>
          </cell>
          <cell r="G282">
            <v>2500000</v>
          </cell>
          <cell r="H282">
            <v>69.4928</v>
          </cell>
        </row>
        <row r="283">
          <cell r="E283">
            <v>1072524175</v>
          </cell>
          <cell r="F283">
            <v>100131000</v>
          </cell>
          <cell r="G283">
            <v>3500000</v>
          </cell>
          <cell r="H283">
            <v>28.6088571428571</v>
          </cell>
        </row>
        <row r="284">
          <cell r="E284">
            <v>1075240800</v>
          </cell>
          <cell r="F284">
            <v>14937000</v>
          </cell>
          <cell r="G284">
            <v>1500000</v>
          </cell>
          <cell r="H284">
            <v>9.958</v>
          </cell>
        </row>
        <row r="285">
          <cell r="E285">
            <v>1075250228</v>
          </cell>
          <cell r="F285">
            <v>78970000</v>
          </cell>
          <cell r="G285">
            <v>3500000</v>
          </cell>
          <cell r="H285">
            <v>22.5628571428571</v>
          </cell>
        </row>
        <row r="286">
          <cell r="E286">
            <v>1082844316</v>
          </cell>
          <cell r="F286">
            <v>94693000</v>
          </cell>
          <cell r="G286">
            <v>5000000</v>
          </cell>
          <cell r="H286">
            <v>18.9386</v>
          </cell>
        </row>
        <row r="287">
          <cell r="E287">
            <v>1085253482</v>
          </cell>
          <cell r="F287">
            <v>168228000</v>
          </cell>
          <cell r="G287">
            <v>5000000</v>
          </cell>
          <cell r="H287">
            <v>33.6456</v>
          </cell>
        </row>
        <row r="288">
          <cell r="E288">
            <v>1085267594</v>
          </cell>
          <cell r="F288">
            <v>135218000</v>
          </cell>
          <cell r="G288">
            <v>5000000</v>
          </cell>
          <cell r="H288">
            <v>27.0436</v>
          </cell>
        </row>
        <row r="289">
          <cell r="E289">
            <v>1085661638</v>
          </cell>
          <cell r="F289">
            <v>123084000</v>
          </cell>
          <cell r="G289">
            <v>3500000</v>
          </cell>
          <cell r="H289">
            <v>35.1668571428571</v>
          </cell>
        </row>
        <row r="290">
          <cell r="E290">
            <v>1085898519</v>
          </cell>
          <cell r="F290">
            <v>174946000</v>
          </cell>
          <cell r="G290">
            <v>5000000</v>
          </cell>
          <cell r="H290">
            <v>34.9892</v>
          </cell>
        </row>
        <row r="291">
          <cell r="E291">
            <v>1088281354</v>
          </cell>
          <cell r="F291">
            <v>23247000</v>
          </cell>
          <cell r="G291">
            <v>5000000</v>
          </cell>
          <cell r="H291">
            <v>4.6494</v>
          </cell>
        </row>
        <row r="292">
          <cell r="E292">
            <v>1094934874</v>
          </cell>
          <cell r="F292">
            <v>7430000</v>
          </cell>
          <cell r="G292">
            <v>3500000</v>
          </cell>
          <cell r="H292">
            <v>2.12285714285714</v>
          </cell>
        </row>
        <row r="293">
          <cell r="E293">
            <v>1107044461</v>
          </cell>
          <cell r="F293">
            <v>1667000</v>
          </cell>
          <cell r="G293">
            <v>1500000</v>
          </cell>
          <cell r="H293">
            <v>1.11133333333333</v>
          </cell>
        </row>
        <row r="294">
          <cell r="E294">
            <v>1107063642</v>
          </cell>
          <cell r="F294">
            <v>26943000</v>
          </cell>
          <cell r="G294">
            <v>1500000</v>
          </cell>
          <cell r="H294">
            <v>17.962</v>
          </cell>
        </row>
        <row r="295">
          <cell r="E295">
            <v>1107064974</v>
          </cell>
          <cell r="F295">
            <v>37823000</v>
          </cell>
          <cell r="G295">
            <v>3500000</v>
          </cell>
          <cell r="H295">
            <v>10.8065714285714</v>
          </cell>
        </row>
        <row r="296">
          <cell r="E296">
            <v>1107066883</v>
          </cell>
          <cell r="F296">
            <v>4923000</v>
          </cell>
          <cell r="G296">
            <v>1500000</v>
          </cell>
          <cell r="H296">
            <v>3.282</v>
          </cell>
        </row>
        <row r="297">
          <cell r="E297">
            <v>1107067602</v>
          </cell>
          <cell r="F297">
            <v>15203000</v>
          </cell>
          <cell r="G297">
            <v>1500000</v>
          </cell>
          <cell r="H297">
            <v>10.1353333333333</v>
          </cell>
        </row>
        <row r="298">
          <cell r="E298">
            <v>1107069242</v>
          </cell>
          <cell r="F298">
            <v>35070000</v>
          </cell>
          <cell r="G298">
            <v>2500000</v>
          </cell>
          <cell r="H298">
            <v>14.028</v>
          </cell>
        </row>
        <row r="299">
          <cell r="E299">
            <v>1107069840</v>
          </cell>
          <cell r="F299">
            <v>48721000</v>
          </cell>
          <cell r="G299">
            <v>2500000</v>
          </cell>
          <cell r="H299">
            <v>19.4884</v>
          </cell>
        </row>
        <row r="300">
          <cell r="E300">
            <v>1107076913</v>
          </cell>
          <cell r="F300">
            <v>70340000</v>
          </cell>
          <cell r="G300">
            <v>1000000</v>
          </cell>
          <cell r="H300">
            <v>70.34</v>
          </cell>
        </row>
        <row r="301">
          <cell r="E301">
            <v>1107079240</v>
          </cell>
          <cell r="F301">
            <v>5288000</v>
          </cell>
          <cell r="G301">
            <v>1500000</v>
          </cell>
          <cell r="H301">
            <v>3.52533333333333</v>
          </cell>
        </row>
        <row r="302">
          <cell r="E302">
            <v>1107080840</v>
          </cell>
          <cell r="F302">
            <v>11773000</v>
          </cell>
          <cell r="G302">
            <v>1500000</v>
          </cell>
          <cell r="H302">
            <v>7.84866666666667</v>
          </cell>
        </row>
        <row r="303">
          <cell r="E303">
            <v>1107083078</v>
          </cell>
          <cell r="F303">
            <v>82462000</v>
          </cell>
          <cell r="G303">
            <v>1500000</v>
          </cell>
          <cell r="H303">
            <v>54.9746666666667</v>
          </cell>
        </row>
        <row r="304">
          <cell r="E304">
            <v>1107083773</v>
          </cell>
          <cell r="F304">
            <v>3463000</v>
          </cell>
          <cell r="G304">
            <v>1500000</v>
          </cell>
          <cell r="H304">
            <v>2.30866666666667</v>
          </cell>
        </row>
        <row r="305">
          <cell r="E305">
            <v>1107090982</v>
          </cell>
          <cell r="F305">
            <v>9921000</v>
          </cell>
          <cell r="G305">
            <v>2500000</v>
          </cell>
          <cell r="H305">
            <v>3.9684</v>
          </cell>
        </row>
        <row r="306">
          <cell r="E306">
            <v>1107095074</v>
          </cell>
          <cell r="F306">
            <v>57717000</v>
          </cell>
          <cell r="G306">
            <v>2500000</v>
          </cell>
          <cell r="H306">
            <v>23.0868</v>
          </cell>
        </row>
        <row r="307">
          <cell r="E307">
            <v>1107510180</v>
          </cell>
          <cell r="F307">
            <v>2278000</v>
          </cell>
          <cell r="G307">
            <v>1000000</v>
          </cell>
          <cell r="H307">
            <v>2.278</v>
          </cell>
        </row>
        <row r="308">
          <cell r="E308">
            <v>1107514466</v>
          </cell>
          <cell r="F308">
            <v>1602000</v>
          </cell>
          <cell r="G308">
            <v>2500000</v>
          </cell>
          <cell r="H308">
            <v>0.6408</v>
          </cell>
        </row>
        <row r="309">
          <cell r="E309">
            <v>1107519689</v>
          </cell>
          <cell r="F309">
            <v>25428000</v>
          </cell>
          <cell r="G309">
            <v>2500000</v>
          </cell>
          <cell r="H309">
            <v>10.1712</v>
          </cell>
        </row>
        <row r="310">
          <cell r="E310">
            <v>1110497487</v>
          </cell>
          <cell r="F310">
            <v>4000000</v>
          </cell>
          <cell r="G310">
            <v>2500000</v>
          </cell>
          <cell r="H310">
            <v>1.6</v>
          </cell>
        </row>
        <row r="311">
          <cell r="E311">
            <v>1112223503</v>
          </cell>
          <cell r="F311">
            <v>25145000</v>
          </cell>
          <cell r="G311">
            <v>1500000</v>
          </cell>
          <cell r="H311">
            <v>16.7633333333333</v>
          </cell>
        </row>
        <row r="312">
          <cell r="E312">
            <v>1112300302</v>
          </cell>
          <cell r="F312">
            <v>16937000</v>
          </cell>
          <cell r="G312">
            <v>3500000</v>
          </cell>
          <cell r="H312">
            <v>4.83914285714286</v>
          </cell>
        </row>
        <row r="313">
          <cell r="E313">
            <v>1112476123</v>
          </cell>
          <cell r="F313">
            <v>45830000</v>
          </cell>
          <cell r="G313">
            <v>2500000</v>
          </cell>
          <cell r="H313">
            <v>18.332</v>
          </cell>
        </row>
        <row r="314">
          <cell r="E314">
            <v>1112477900</v>
          </cell>
          <cell r="F314">
            <v>7946000</v>
          </cell>
          <cell r="G314">
            <v>2500000</v>
          </cell>
          <cell r="H314">
            <v>3.1784</v>
          </cell>
        </row>
        <row r="315">
          <cell r="E315">
            <v>1112478814</v>
          </cell>
          <cell r="F315">
            <v>1248000</v>
          </cell>
          <cell r="G315">
            <v>2500000</v>
          </cell>
          <cell r="H315">
            <v>0.4992</v>
          </cell>
        </row>
        <row r="316">
          <cell r="E316">
            <v>1112480962</v>
          </cell>
          <cell r="F316">
            <v>67675000</v>
          </cell>
          <cell r="G316">
            <v>2500000</v>
          </cell>
          <cell r="H316">
            <v>27.07</v>
          </cell>
        </row>
        <row r="317">
          <cell r="E317">
            <v>1112483089</v>
          </cell>
          <cell r="F317">
            <v>5529000</v>
          </cell>
          <cell r="G317">
            <v>2500000</v>
          </cell>
          <cell r="H317">
            <v>2.2116</v>
          </cell>
        </row>
        <row r="318">
          <cell r="E318">
            <v>1112484884</v>
          </cell>
          <cell r="F318">
            <v>37757000</v>
          </cell>
          <cell r="G318">
            <v>1500000</v>
          </cell>
          <cell r="H318">
            <v>25.1713333333333</v>
          </cell>
        </row>
        <row r="319">
          <cell r="E319">
            <v>1112491402</v>
          </cell>
          <cell r="F319">
            <v>52490000</v>
          </cell>
          <cell r="G319">
            <v>2500000</v>
          </cell>
          <cell r="H319">
            <v>20.996</v>
          </cell>
        </row>
        <row r="320">
          <cell r="E320">
            <v>1112768596</v>
          </cell>
          <cell r="F320">
            <v>46388000</v>
          </cell>
          <cell r="G320">
            <v>2500000</v>
          </cell>
          <cell r="H320">
            <v>18.5552</v>
          </cell>
        </row>
        <row r="321">
          <cell r="E321">
            <v>1112880193</v>
          </cell>
          <cell r="F321">
            <v>20867000</v>
          </cell>
          <cell r="G321">
            <v>1500000</v>
          </cell>
          <cell r="H321">
            <v>13.9113333333333</v>
          </cell>
        </row>
        <row r="322">
          <cell r="E322">
            <v>1113308071</v>
          </cell>
          <cell r="F322">
            <v>56172000</v>
          </cell>
          <cell r="G322">
            <v>1500000</v>
          </cell>
          <cell r="H322">
            <v>37.448</v>
          </cell>
        </row>
        <row r="323">
          <cell r="E323">
            <v>1113514036</v>
          </cell>
          <cell r="F323">
            <v>51135000</v>
          </cell>
          <cell r="G323">
            <v>2500000</v>
          </cell>
          <cell r="H323">
            <v>20.454</v>
          </cell>
        </row>
        <row r="324">
          <cell r="E324">
            <v>1113516050</v>
          </cell>
          <cell r="F324">
            <v>168959000</v>
          </cell>
          <cell r="G324">
            <v>5000000</v>
          </cell>
          <cell r="H324">
            <v>33.7918</v>
          </cell>
        </row>
        <row r="325">
          <cell r="E325">
            <v>1113520487</v>
          </cell>
          <cell r="F325">
            <v>30614000</v>
          </cell>
          <cell r="G325">
            <v>1500000</v>
          </cell>
          <cell r="H325">
            <v>20.4093333333333</v>
          </cell>
        </row>
        <row r="326">
          <cell r="E326">
            <v>1113624281</v>
          </cell>
          <cell r="F326">
            <v>56022000</v>
          </cell>
          <cell r="G326">
            <v>3500000</v>
          </cell>
          <cell r="H326">
            <v>16.0062857142857</v>
          </cell>
        </row>
        <row r="327">
          <cell r="E327">
            <v>1113626506</v>
          </cell>
          <cell r="F327">
            <v>161259000</v>
          </cell>
          <cell r="G327">
            <v>5000000</v>
          </cell>
          <cell r="H327">
            <v>32.2518</v>
          </cell>
        </row>
        <row r="328">
          <cell r="E328">
            <v>1113657862</v>
          </cell>
          <cell r="F328">
            <v>61939000</v>
          </cell>
          <cell r="G328">
            <v>2500000</v>
          </cell>
          <cell r="H328">
            <v>24.7756</v>
          </cell>
        </row>
        <row r="329">
          <cell r="E329">
            <v>1113659646</v>
          </cell>
          <cell r="F329">
            <v>30418000</v>
          </cell>
          <cell r="G329">
            <v>1500000</v>
          </cell>
          <cell r="H329">
            <v>20.2786666666667</v>
          </cell>
        </row>
        <row r="330">
          <cell r="E330">
            <v>1113673479</v>
          </cell>
          <cell r="F330">
            <v>6742000</v>
          </cell>
          <cell r="G330">
            <v>2500000</v>
          </cell>
          <cell r="H330">
            <v>2.6968</v>
          </cell>
        </row>
        <row r="331">
          <cell r="E331">
            <v>1113675150</v>
          </cell>
          <cell r="F331">
            <v>5182000</v>
          </cell>
          <cell r="G331">
            <v>1000000</v>
          </cell>
          <cell r="H331">
            <v>5.182</v>
          </cell>
        </row>
        <row r="332">
          <cell r="E332">
            <v>1113780469</v>
          </cell>
          <cell r="F332">
            <v>6242000</v>
          </cell>
          <cell r="G332">
            <v>2500000</v>
          </cell>
          <cell r="H332">
            <v>2.4968</v>
          </cell>
        </row>
        <row r="333">
          <cell r="E333">
            <v>1113790401</v>
          </cell>
          <cell r="F333">
            <v>98475000</v>
          </cell>
          <cell r="G333">
            <v>3500000</v>
          </cell>
          <cell r="H333">
            <v>28.1357142857143</v>
          </cell>
        </row>
        <row r="334">
          <cell r="E334">
            <v>1114091935</v>
          </cell>
          <cell r="F334">
            <v>49859000</v>
          </cell>
          <cell r="G334">
            <v>2500000</v>
          </cell>
          <cell r="H334">
            <v>19.9436</v>
          </cell>
        </row>
        <row r="335">
          <cell r="E335">
            <v>1114388985</v>
          </cell>
          <cell r="F335">
            <v>63466000</v>
          </cell>
          <cell r="G335">
            <v>1500000</v>
          </cell>
          <cell r="H335">
            <v>42.3106666666667</v>
          </cell>
        </row>
        <row r="336">
          <cell r="E336">
            <v>1114452585</v>
          </cell>
          <cell r="F336">
            <v>33806000</v>
          </cell>
          <cell r="G336">
            <v>1500000</v>
          </cell>
          <cell r="H336">
            <v>22.5373333333333</v>
          </cell>
        </row>
        <row r="337">
          <cell r="E337">
            <v>1114821862</v>
          </cell>
          <cell r="F337">
            <v>113306000</v>
          </cell>
          <cell r="G337">
            <v>3500000</v>
          </cell>
          <cell r="H337">
            <v>32.3731428571429</v>
          </cell>
        </row>
        <row r="338">
          <cell r="E338">
            <v>1114877587</v>
          </cell>
          <cell r="F338">
            <v>42381000</v>
          </cell>
          <cell r="G338">
            <v>2500000</v>
          </cell>
          <cell r="H338">
            <v>16.9524</v>
          </cell>
        </row>
        <row r="339">
          <cell r="E339">
            <v>1114894351</v>
          </cell>
          <cell r="F339">
            <v>59049000</v>
          </cell>
          <cell r="G339">
            <v>1500000</v>
          </cell>
          <cell r="H339">
            <v>39.366</v>
          </cell>
        </row>
        <row r="340">
          <cell r="E340">
            <v>1114899235</v>
          </cell>
          <cell r="F340">
            <v>46466000</v>
          </cell>
          <cell r="G340">
            <v>2500000</v>
          </cell>
          <cell r="H340">
            <v>18.5864</v>
          </cell>
        </row>
        <row r="341">
          <cell r="E341">
            <v>1115091034</v>
          </cell>
          <cell r="F341">
            <v>9935000</v>
          </cell>
          <cell r="G341">
            <v>1500000</v>
          </cell>
          <cell r="H341">
            <v>6.62333333333333</v>
          </cell>
        </row>
        <row r="342">
          <cell r="E342">
            <v>1115191571</v>
          </cell>
          <cell r="F342">
            <v>13657000</v>
          </cell>
          <cell r="G342">
            <v>1500000</v>
          </cell>
          <cell r="H342">
            <v>9.10466666666667</v>
          </cell>
        </row>
        <row r="343">
          <cell r="E343">
            <v>1115949491</v>
          </cell>
          <cell r="F343">
            <v>5586000</v>
          </cell>
          <cell r="G343">
            <v>1500000</v>
          </cell>
          <cell r="H343">
            <v>3.724</v>
          </cell>
        </row>
        <row r="344">
          <cell r="E344">
            <v>1116250601</v>
          </cell>
          <cell r="F344">
            <v>68220000</v>
          </cell>
          <cell r="G344">
            <v>1500000</v>
          </cell>
          <cell r="H344">
            <v>45.48</v>
          </cell>
        </row>
        <row r="345">
          <cell r="E345">
            <v>1116261599</v>
          </cell>
          <cell r="F345">
            <v>31526000</v>
          </cell>
          <cell r="G345">
            <v>2500000</v>
          </cell>
          <cell r="H345">
            <v>12.6104</v>
          </cell>
        </row>
        <row r="346">
          <cell r="E346">
            <v>1116262680</v>
          </cell>
          <cell r="F346">
            <v>83422000</v>
          </cell>
          <cell r="G346">
            <v>2500000</v>
          </cell>
          <cell r="H346">
            <v>33.3688</v>
          </cell>
        </row>
        <row r="347">
          <cell r="E347">
            <v>1116268202</v>
          </cell>
          <cell r="F347">
            <v>22081000</v>
          </cell>
          <cell r="G347">
            <v>2500000</v>
          </cell>
          <cell r="H347">
            <v>8.8324</v>
          </cell>
        </row>
        <row r="348">
          <cell r="E348">
            <v>1117517012</v>
          </cell>
          <cell r="F348">
            <v>32696000</v>
          </cell>
          <cell r="G348">
            <v>5000000</v>
          </cell>
          <cell r="H348">
            <v>6.5392</v>
          </cell>
        </row>
        <row r="349">
          <cell r="E349">
            <v>1118282261</v>
          </cell>
          <cell r="F349">
            <v>71616000</v>
          </cell>
          <cell r="G349">
            <v>2500000</v>
          </cell>
          <cell r="H349">
            <v>28.6464</v>
          </cell>
        </row>
        <row r="350">
          <cell r="E350">
            <v>1118299176</v>
          </cell>
          <cell r="F350">
            <v>1423000</v>
          </cell>
          <cell r="G350">
            <v>2500000</v>
          </cell>
          <cell r="H350">
            <v>0.5692</v>
          </cell>
        </row>
        <row r="351">
          <cell r="E351">
            <v>1118302328</v>
          </cell>
          <cell r="F351">
            <v>20458000</v>
          </cell>
          <cell r="G351">
            <v>1500000</v>
          </cell>
          <cell r="H351">
            <v>13.6386666666667</v>
          </cell>
        </row>
        <row r="352">
          <cell r="E352">
            <v>1118312185</v>
          </cell>
          <cell r="F352">
            <v>3606000</v>
          </cell>
          <cell r="G352">
            <v>1500000</v>
          </cell>
          <cell r="H352">
            <v>2.404</v>
          </cell>
        </row>
        <row r="353">
          <cell r="E353">
            <v>1123201722</v>
          </cell>
          <cell r="F353">
            <v>19257000</v>
          </cell>
          <cell r="G353">
            <v>1500000</v>
          </cell>
          <cell r="H353">
            <v>12.838</v>
          </cell>
        </row>
        <row r="354">
          <cell r="E354">
            <v>1124868351</v>
          </cell>
          <cell r="F354">
            <v>1295000</v>
          </cell>
          <cell r="G354">
            <v>3500000</v>
          </cell>
          <cell r="H354">
            <v>0.37</v>
          </cell>
        </row>
        <row r="355">
          <cell r="E355">
            <v>1127210084</v>
          </cell>
          <cell r="F355">
            <v>63815000</v>
          </cell>
          <cell r="G355">
            <v>1500000</v>
          </cell>
          <cell r="H355">
            <v>42.5433333333333</v>
          </cell>
        </row>
        <row r="356">
          <cell r="E356">
            <v>1130587720</v>
          </cell>
          <cell r="F356">
            <v>7721000</v>
          </cell>
          <cell r="G356">
            <v>2500000</v>
          </cell>
          <cell r="H356">
            <v>3.0884</v>
          </cell>
        </row>
        <row r="357">
          <cell r="E357">
            <v>1130589667</v>
          </cell>
          <cell r="F357">
            <v>19712000</v>
          </cell>
          <cell r="G357">
            <v>1500000</v>
          </cell>
          <cell r="H357">
            <v>13.1413333333333</v>
          </cell>
        </row>
        <row r="358">
          <cell r="E358">
            <v>1130589981</v>
          </cell>
          <cell r="F358">
            <v>26229000</v>
          </cell>
          <cell r="G358">
            <v>2500000</v>
          </cell>
          <cell r="H358">
            <v>10.4916</v>
          </cell>
        </row>
        <row r="359">
          <cell r="E359">
            <v>1130590645</v>
          </cell>
          <cell r="F359">
            <v>47378000</v>
          </cell>
          <cell r="G359">
            <v>2500000</v>
          </cell>
          <cell r="H359">
            <v>18.9512</v>
          </cell>
        </row>
        <row r="360">
          <cell r="E360">
            <v>1130600614</v>
          </cell>
          <cell r="F360">
            <v>4981000</v>
          </cell>
          <cell r="G360">
            <v>1500000</v>
          </cell>
          <cell r="H360">
            <v>3.32066666666667</v>
          </cell>
        </row>
        <row r="361">
          <cell r="E361">
            <v>1130602580</v>
          </cell>
          <cell r="F361">
            <v>68707000</v>
          </cell>
          <cell r="G361">
            <v>2500000</v>
          </cell>
          <cell r="H361">
            <v>27.4828</v>
          </cell>
        </row>
        <row r="362">
          <cell r="E362">
            <v>1130607298</v>
          </cell>
          <cell r="F362">
            <v>29132000</v>
          </cell>
          <cell r="G362">
            <v>1500000</v>
          </cell>
          <cell r="H362">
            <v>19.4213333333333</v>
          </cell>
        </row>
        <row r="363">
          <cell r="E363">
            <v>1130608230</v>
          </cell>
          <cell r="F363">
            <v>7328000</v>
          </cell>
          <cell r="G363">
            <v>1500000</v>
          </cell>
          <cell r="H363">
            <v>4.88533333333333</v>
          </cell>
        </row>
        <row r="364">
          <cell r="E364">
            <v>1130608437</v>
          </cell>
          <cell r="F364">
            <v>5352000</v>
          </cell>
          <cell r="G364">
            <v>2500000</v>
          </cell>
          <cell r="H364">
            <v>2.1408</v>
          </cell>
        </row>
        <row r="365">
          <cell r="E365">
            <v>1130608725</v>
          </cell>
          <cell r="F365">
            <v>86082000</v>
          </cell>
          <cell r="G365">
            <v>3500000</v>
          </cell>
          <cell r="H365">
            <v>24.5948571428571</v>
          </cell>
        </row>
        <row r="366">
          <cell r="E366">
            <v>1130609348</v>
          </cell>
          <cell r="F366">
            <v>36884000</v>
          </cell>
          <cell r="G366">
            <v>2500000</v>
          </cell>
          <cell r="H366">
            <v>14.7536</v>
          </cell>
        </row>
        <row r="367">
          <cell r="E367">
            <v>1130612767</v>
          </cell>
          <cell r="F367">
            <v>15302000</v>
          </cell>
          <cell r="G367">
            <v>2500000</v>
          </cell>
          <cell r="H367">
            <v>6.1208</v>
          </cell>
        </row>
        <row r="368">
          <cell r="E368">
            <v>1130614933</v>
          </cell>
          <cell r="F368">
            <v>66782000</v>
          </cell>
          <cell r="G368">
            <v>5000000</v>
          </cell>
          <cell r="H368">
            <v>13.3564</v>
          </cell>
        </row>
        <row r="369">
          <cell r="E369">
            <v>1130616226</v>
          </cell>
          <cell r="F369">
            <v>58458000</v>
          </cell>
          <cell r="G369">
            <v>1500000</v>
          </cell>
          <cell r="H369">
            <v>38.972</v>
          </cell>
        </row>
        <row r="370">
          <cell r="E370">
            <v>1130617415</v>
          </cell>
          <cell r="F370">
            <v>20728000</v>
          </cell>
          <cell r="G370">
            <v>1500000</v>
          </cell>
          <cell r="H370">
            <v>13.8186666666667</v>
          </cell>
        </row>
        <row r="371">
          <cell r="E371">
            <v>1130620889</v>
          </cell>
          <cell r="F371">
            <v>68126000</v>
          </cell>
          <cell r="G371">
            <v>1500000</v>
          </cell>
          <cell r="H371">
            <v>45.4173333333333</v>
          </cell>
        </row>
        <row r="372">
          <cell r="E372">
            <v>1130631347</v>
          </cell>
          <cell r="F372">
            <v>150557000</v>
          </cell>
          <cell r="G372">
            <v>2500000</v>
          </cell>
          <cell r="H372">
            <v>60.2228</v>
          </cell>
        </row>
        <row r="373">
          <cell r="E373">
            <v>1130632864</v>
          </cell>
          <cell r="F373">
            <v>30237000</v>
          </cell>
          <cell r="G373">
            <v>3500000</v>
          </cell>
          <cell r="H373">
            <v>8.63914285714286</v>
          </cell>
        </row>
        <row r="374">
          <cell r="E374">
            <v>1130632963</v>
          </cell>
          <cell r="F374">
            <v>59006000</v>
          </cell>
          <cell r="G374">
            <v>2500000</v>
          </cell>
          <cell r="H374">
            <v>23.6024</v>
          </cell>
        </row>
        <row r="375">
          <cell r="E375">
            <v>1130635381</v>
          </cell>
          <cell r="F375">
            <v>62192000</v>
          </cell>
          <cell r="G375">
            <v>3500000</v>
          </cell>
          <cell r="H375">
            <v>17.7691428571429</v>
          </cell>
        </row>
        <row r="376">
          <cell r="E376">
            <v>1130635690</v>
          </cell>
          <cell r="F376">
            <v>107394000</v>
          </cell>
          <cell r="G376">
            <v>2500000</v>
          </cell>
          <cell r="H376">
            <v>42.9576</v>
          </cell>
        </row>
        <row r="377">
          <cell r="E377">
            <v>1130635860</v>
          </cell>
          <cell r="F377">
            <v>17688000</v>
          </cell>
          <cell r="G377">
            <v>2500000</v>
          </cell>
          <cell r="H377">
            <v>7.0752</v>
          </cell>
        </row>
        <row r="378">
          <cell r="E378">
            <v>1130637409</v>
          </cell>
          <cell r="F378">
            <v>10114000</v>
          </cell>
          <cell r="G378">
            <v>2500000</v>
          </cell>
          <cell r="H378">
            <v>4.0456</v>
          </cell>
        </row>
        <row r="379">
          <cell r="E379">
            <v>1130639336</v>
          </cell>
          <cell r="F379">
            <v>116383000</v>
          </cell>
          <cell r="G379">
            <v>5000000</v>
          </cell>
          <cell r="H379">
            <v>23.2766</v>
          </cell>
        </row>
        <row r="380">
          <cell r="E380">
            <v>1130640618</v>
          </cell>
          <cell r="F380">
            <v>1130000</v>
          </cell>
          <cell r="G380">
            <v>1000000</v>
          </cell>
          <cell r="H380">
            <v>1.13</v>
          </cell>
        </row>
        <row r="381">
          <cell r="E381">
            <v>1130647219</v>
          </cell>
          <cell r="F381">
            <v>26363000</v>
          </cell>
          <cell r="G381">
            <v>1500000</v>
          </cell>
          <cell r="H381">
            <v>17.5753333333333</v>
          </cell>
        </row>
        <row r="382">
          <cell r="E382">
            <v>1130648286</v>
          </cell>
          <cell r="F382">
            <v>23546000</v>
          </cell>
          <cell r="G382">
            <v>2500000</v>
          </cell>
          <cell r="H382">
            <v>9.4184</v>
          </cell>
        </row>
        <row r="383">
          <cell r="E383">
            <v>1130651554</v>
          </cell>
          <cell r="F383">
            <v>60866000</v>
          </cell>
          <cell r="G383">
            <v>1500000</v>
          </cell>
          <cell r="H383">
            <v>40.5773333333333</v>
          </cell>
        </row>
        <row r="384">
          <cell r="E384">
            <v>1130652023</v>
          </cell>
          <cell r="F384">
            <v>4310000</v>
          </cell>
          <cell r="G384">
            <v>1500000</v>
          </cell>
          <cell r="H384">
            <v>2.87333333333333</v>
          </cell>
        </row>
        <row r="385">
          <cell r="E385">
            <v>1130656042</v>
          </cell>
          <cell r="F385">
            <v>5540000</v>
          </cell>
          <cell r="G385">
            <v>2500000</v>
          </cell>
          <cell r="H385">
            <v>2.216</v>
          </cell>
        </row>
        <row r="386">
          <cell r="E386">
            <v>1130661444</v>
          </cell>
          <cell r="F386">
            <v>86295000</v>
          </cell>
          <cell r="G386">
            <v>2500000</v>
          </cell>
          <cell r="H386">
            <v>34.518</v>
          </cell>
        </row>
        <row r="387">
          <cell r="E387">
            <v>1130661912</v>
          </cell>
          <cell r="F387">
            <v>123525000</v>
          </cell>
          <cell r="G387">
            <v>3500000</v>
          </cell>
          <cell r="H387">
            <v>35.2928571428571</v>
          </cell>
        </row>
        <row r="388">
          <cell r="E388">
            <v>1130664985</v>
          </cell>
          <cell r="F388">
            <v>25817000</v>
          </cell>
          <cell r="G388">
            <v>5000000</v>
          </cell>
          <cell r="H388">
            <v>5.1634</v>
          </cell>
        </row>
        <row r="389">
          <cell r="E389">
            <v>1130669714</v>
          </cell>
          <cell r="F389">
            <v>284799000</v>
          </cell>
          <cell r="G389">
            <v>5000000</v>
          </cell>
          <cell r="H389">
            <v>56.9598</v>
          </cell>
        </row>
        <row r="390">
          <cell r="E390">
            <v>1130670565</v>
          </cell>
          <cell r="F390">
            <v>24099000</v>
          </cell>
          <cell r="G390">
            <v>2500000</v>
          </cell>
          <cell r="H390">
            <v>9.6396</v>
          </cell>
        </row>
        <row r="391">
          <cell r="E391">
            <v>1130675011</v>
          </cell>
          <cell r="F391">
            <v>31424000</v>
          </cell>
          <cell r="G391">
            <v>1500000</v>
          </cell>
          <cell r="H391">
            <v>20.9493333333333</v>
          </cell>
        </row>
        <row r="392">
          <cell r="E392">
            <v>1130679086</v>
          </cell>
          <cell r="F392">
            <v>89717000</v>
          </cell>
          <cell r="G392">
            <v>2500000</v>
          </cell>
          <cell r="H392">
            <v>35.8868</v>
          </cell>
        </row>
        <row r="393">
          <cell r="E393">
            <v>1130679196</v>
          </cell>
          <cell r="F393">
            <v>125724000</v>
          </cell>
          <cell r="G393">
            <v>5000000</v>
          </cell>
          <cell r="H393">
            <v>25.1448</v>
          </cell>
        </row>
        <row r="394">
          <cell r="E394">
            <v>1136059578</v>
          </cell>
          <cell r="F394">
            <v>1690000</v>
          </cell>
          <cell r="G394">
            <v>2500000</v>
          </cell>
          <cell r="H394">
            <v>0.676</v>
          </cell>
        </row>
        <row r="395">
          <cell r="E395">
            <v>1143825691</v>
          </cell>
          <cell r="F395">
            <v>209338000</v>
          </cell>
          <cell r="G395">
            <v>2500000</v>
          </cell>
          <cell r="H395">
            <v>83.7352</v>
          </cell>
        </row>
        <row r="396">
          <cell r="E396">
            <v>1143826134</v>
          </cell>
          <cell r="F396">
            <v>47389000</v>
          </cell>
          <cell r="G396">
            <v>2500000</v>
          </cell>
          <cell r="H396">
            <v>18.9556</v>
          </cell>
        </row>
        <row r="397">
          <cell r="E397">
            <v>1143828909</v>
          </cell>
          <cell r="F397">
            <v>85854000</v>
          </cell>
          <cell r="G397">
            <v>3500000</v>
          </cell>
          <cell r="H397">
            <v>24.5297142857143</v>
          </cell>
        </row>
        <row r="398">
          <cell r="E398">
            <v>1143830949</v>
          </cell>
          <cell r="F398">
            <v>53153000</v>
          </cell>
          <cell r="G398">
            <v>2500000</v>
          </cell>
          <cell r="H398">
            <v>21.2612</v>
          </cell>
        </row>
        <row r="399">
          <cell r="E399">
            <v>1143836437</v>
          </cell>
          <cell r="F399">
            <v>15002000</v>
          </cell>
          <cell r="G399">
            <v>1500000</v>
          </cell>
          <cell r="H399">
            <v>10.0013333333333</v>
          </cell>
        </row>
        <row r="400">
          <cell r="E400">
            <v>1143836705</v>
          </cell>
          <cell r="F400">
            <v>8901000</v>
          </cell>
          <cell r="G400">
            <v>1500000</v>
          </cell>
          <cell r="H400">
            <v>5.934</v>
          </cell>
        </row>
        <row r="401">
          <cell r="E401">
            <v>1143840210</v>
          </cell>
          <cell r="F401">
            <v>48219000</v>
          </cell>
          <cell r="G401">
            <v>2500000</v>
          </cell>
          <cell r="H401">
            <v>19.2876</v>
          </cell>
        </row>
        <row r="402">
          <cell r="E402">
            <v>1143840552</v>
          </cell>
          <cell r="F402">
            <v>39001000</v>
          </cell>
          <cell r="G402">
            <v>2500000</v>
          </cell>
          <cell r="H402">
            <v>15.6004</v>
          </cell>
        </row>
        <row r="403">
          <cell r="E403">
            <v>1143844749</v>
          </cell>
          <cell r="F403">
            <v>95919000</v>
          </cell>
          <cell r="G403">
            <v>5000000</v>
          </cell>
          <cell r="H403">
            <v>19.1838</v>
          </cell>
        </row>
        <row r="404">
          <cell r="E404">
            <v>1143850459</v>
          </cell>
          <cell r="F404">
            <v>6217000</v>
          </cell>
          <cell r="G404">
            <v>1000000</v>
          </cell>
          <cell r="H404">
            <v>6.217</v>
          </cell>
        </row>
        <row r="405">
          <cell r="E405">
            <v>1143854728</v>
          </cell>
          <cell r="F405">
            <v>6459000</v>
          </cell>
          <cell r="G405">
            <v>3500000</v>
          </cell>
          <cell r="H405">
            <v>1.84542857142857</v>
          </cell>
        </row>
        <row r="406">
          <cell r="E406">
            <v>1143856655</v>
          </cell>
          <cell r="F406">
            <v>18964000</v>
          </cell>
          <cell r="G406">
            <v>2500000</v>
          </cell>
          <cell r="H406">
            <v>7.5856</v>
          </cell>
        </row>
        <row r="407">
          <cell r="E407">
            <v>1143857356</v>
          </cell>
          <cell r="F407">
            <v>5843000</v>
          </cell>
          <cell r="G407">
            <v>1500000</v>
          </cell>
          <cell r="H407">
            <v>3.89533333333333</v>
          </cell>
        </row>
        <row r="408">
          <cell r="E408">
            <v>1143860494</v>
          </cell>
          <cell r="F408">
            <v>3659000</v>
          </cell>
          <cell r="G408">
            <v>2500000</v>
          </cell>
          <cell r="H408">
            <v>1.4636</v>
          </cell>
        </row>
        <row r="409">
          <cell r="E409">
            <v>1143863088</v>
          </cell>
          <cell r="F409">
            <v>12632000</v>
          </cell>
          <cell r="G409">
            <v>5000000</v>
          </cell>
          <cell r="H409">
            <v>2.5264</v>
          </cell>
        </row>
        <row r="410">
          <cell r="E410">
            <v>1143866189</v>
          </cell>
          <cell r="F410">
            <v>142785000</v>
          </cell>
          <cell r="G410">
            <v>2500000</v>
          </cell>
          <cell r="H410">
            <v>57.114</v>
          </cell>
        </row>
        <row r="411">
          <cell r="E411">
            <v>1143866796</v>
          </cell>
          <cell r="F411">
            <v>5504000</v>
          </cell>
          <cell r="G411">
            <v>1500000</v>
          </cell>
          <cell r="H411">
            <v>3.66933333333333</v>
          </cell>
        </row>
        <row r="412">
          <cell r="E412">
            <v>1143873944</v>
          </cell>
          <cell r="F412">
            <v>11005000</v>
          </cell>
          <cell r="G412">
            <v>1500000</v>
          </cell>
          <cell r="H412">
            <v>7.33666666666667</v>
          </cell>
        </row>
        <row r="413">
          <cell r="E413">
            <v>1143876942</v>
          </cell>
          <cell r="F413">
            <v>48748000</v>
          </cell>
          <cell r="G413">
            <v>1500000</v>
          </cell>
          <cell r="H413">
            <v>32.4986666666667</v>
          </cell>
        </row>
        <row r="414">
          <cell r="E414">
            <v>1143925787</v>
          </cell>
          <cell r="F414">
            <v>34039000</v>
          </cell>
          <cell r="G414">
            <v>2500000</v>
          </cell>
          <cell r="H414">
            <v>13.6156</v>
          </cell>
        </row>
        <row r="415">
          <cell r="E415">
            <v>1143927195</v>
          </cell>
          <cell r="F415">
            <v>5092000</v>
          </cell>
          <cell r="G415">
            <v>1500000</v>
          </cell>
          <cell r="H415">
            <v>3.39466666666667</v>
          </cell>
        </row>
        <row r="416">
          <cell r="E416">
            <v>1143929292</v>
          </cell>
          <cell r="F416">
            <v>82976000</v>
          </cell>
          <cell r="G416">
            <v>1500000</v>
          </cell>
          <cell r="H416">
            <v>55.3173333333333</v>
          </cell>
        </row>
        <row r="417">
          <cell r="E417">
            <v>1143930916</v>
          </cell>
          <cell r="F417">
            <v>91868000</v>
          </cell>
          <cell r="G417">
            <v>1500000</v>
          </cell>
          <cell r="H417">
            <v>61.2453333333333</v>
          </cell>
        </row>
        <row r="418">
          <cell r="E418">
            <v>1143931949</v>
          </cell>
          <cell r="F418">
            <v>5277000</v>
          </cell>
          <cell r="G418">
            <v>1500000</v>
          </cell>
          <cell r="H418">
            <v>3.518</v>
          </cell>
        </row>
        <row r="419">
          <cell r="E419">
            <v>1143933305</v>
          </cell>
          <cell r="F419">
            <v>87186000</v>
          </cell>
          <cell r="G419">
            <v>2500000</v>
          </cell>
          <cell r="H419">
            <v>34.8744</v>
          </cell>
        </row>
        <row r="420">
          <cell r="E420">
            <v>1143938768</v>
          </cell>
          <cell r="F420">
            <v>17235000</v>
          </cell>
          <cell r="G420">
            <v>2500000</v>
          </cell>
          <cell r="H420">
            <v>6.894</v>
          </cell>
        </row>
        <row r="421">
          <cell r="E421">
            <v>1143939334</v>
          </cell>
          <cell r="F421">
            <v>1199000</v>
          </cell>
          <cell r="G421">
            <v>2500000</v>
          </cell>
          <cell r="H421">
            <v>0.4796</v>
          </cell>
        </row>
        <row r="422">
          <cell r="E422">
            <v>1143939888</v>
          </cell>
          <cell r="F422">
            <v>3992000</v>
          </cell>
          <cell r="G422">
            <v>2500000</v>
          </cell>
          <cell r="H422">
            <v>1.5968</v>
          </cell>
        </row>
        <row r="423">
          <cell r="E423">
            <v>1143945724</v>
          </cell>
          <cell r="F423">
            <v>31205000</v>
          </cell>
          <cell r="G423">
            <v>1500000</v>
          </cell>
          <cell r="H423">
            <v>20.8033333333333</v>
          </cell>
        </row>
        <row r="424">
          <cell r="E424">
            <v>1143952706</v>
          </cell>
          <cell r="F424">
            <v>18649000</v>
          </cell>
          <cell r="G424">
            <v>1500000</v>
          </cell>
          <cell r="H424">
            <v>12.4326666666667</v>
          </cell>
        </row>
        <row r="425">
          <cell r="E425">
            <v>1143959417</v>
          </cell>
          <cell r="F425">
            <v>5355000</v>
          </cell>
          <cell r="G425">
            <v>2500000</v>
          </cell>
          <cell r="H425">
            <v>2.142</v>
          </cell>
        </row>
        <row r="426">
          <cell r="E426">
            <v>1143961010</v>
          </cell>
          <cell r="F426">
            <v>26490000</v>
          </cell>
          <cell r="G426">
            <v>1500000</v>
          </cell>
          <cell r="H426">
            <v>17.66</v>
          </cell>
        </row>
        <row r="427">
          <cell r="E427">
            <v>1143963710</v>
          </cell>
          <cell r="F427">
            <v>4766000</v>
          </cell>
          <cell r="G427">
            <v>1500000</v>
          </cell>
          <cell r="H427">
            <v>3.17733333333333</v>
          </cell>
        </row>
        <row r="428">
          <cell r="E428">
            <v>1143970754</v>
          </cell>
          <cell r="F428">
            <v>29766000</v>
          </cell>
          <cell r="G428">
            <v>1500000</v>
          </cell>
          <cell r="H428">
            <v>19.844</v>
          </cell>
        </row>
        <row r="429">
          <cell r="E429">
            <v>1143981851</v>
          </cell>
          <cell r="F429">
            <v>83234000</v>
          </cell>
          <cell r="G429">
            <v>2500000</v>
          </cell>
          <cell r="H429">
            <v>33.2936</v>
          </cell>
        </row>
        <row r="430">
          <cell r="E430">
            <v>1143992553</v>
          </cell>
          <cell r="F430">
            <v>5024000</v>
          </cell>
          <cell r="G430">
            <v>1500000</v>
          </cell>
          <cell r="H430">
            <v>3.34933333333333</v>
          </cell>
        </row>
        <row r="431">
          <cell r="E431">
            <v>1143992799</v>
          </cell>
          <cell r="F431">
            <v>8621000</v>
          </cell>
          <cell r="G431">
            <v>2500000</v>
          </cell>
          <cell r="H431">
            <v>3.4484</v>
          </cell>
        </row>
        <row r="432">
          <cell r="E432">
            <v>1144024028</v>
          </cell>
          <cell r="F432">
            <v>10735000</v>
          </cell>
          <cell r="G432">
            <v>1500000</v>
          </cell>
          <cell r="H432">
            <v>7.15666666666667</v>
          </cell>
        </row>
        <row r="433">
          <cell r="E433">
            <v>1144032392</v>
          </cell>
          <cell r="F433">
            <v>35476000</v>
          </cell>
          <cell r="G433">
            <v>2500000</v>
          </cell>
          <cell r="H433">
            <v>14.1904</v>
          </cell>
        </row>
        <row r="434">
          <cell r="E434">
            <v>1144035049</v>
          </cell>
          <cell r="F434">
            <v>43571000</v>
          </cell>
          <cell r="G434">
            <v>1500000</v>
          </cell>
          <cell r="H434">
            <v>29.0473333333333</v>
          </cell>
        </row>
        <row r="435">
          <cell r="E435">
            <v>1144036968</v>
          </cell>
          <cell r="F435">
            <v>37863000</v>
          </cell>
          <cell r="G435">
            <v>1500000</v>
          </cell>
          <cell r="H435">
            <v>25.242</v>
          </cell>
        </row>
        <row r="436">
          <cell r="E436">
            <v>1144042611</v>
          </cell>
          <cell r="F436">
            <v>45763000</v>
          </cell>
          <cell r="G436">
            <v>2500000</v>
          </cell>
          <cell r="H436">
            <v>18.3052</v>
          </cell>
        </row>
        <row r="437">
          <cell r="E437">
            <v>1144044681</v>
          </cell>
          <cell r="F437">
            <v>7645000</v>
          </cell>
          <cell r="G437">
            <v>1000000</v>
          </cell>
          <cell r="H437">
            <v>7.645</v>
          </cell>
        </row>
        <row r="438">
          <cell r="E438">
            <v>1144044745</v>
          </cell>
          <cell r="F438">
            <v>46756000</v>
          </cell>
          <cell r="G438">
            <v>2500000</v>
          </cell>
          <cell r="H438">
            <v>18.7024</v>
          </cell>
        </row>
        <row r="439">
          <cell r="E439">
            <v>1144055745</v>
          </cell>
          <cell r="F439">
            <v>88294000</v>
          </cell>
          <cell r="G439">
            <v>3500000</v>
          </cell>
          <cell r="H439">
            <v>25.2268571428571</v>
          </cell>
        </row>
        <row r="440">
          <cell r="E440">
            <v>1144057157</v>
          </cell>
          <cell r="F440">
            <v>141939000</v>
          </cell>
          <cell r="G440">
            <v>2500000</v>
          </cell>
          <cell r="H440">
            <v>56.7756</v>
          </cell>
        </row>
        <row r="441">
          <cell r="E441">
            <v>1144057584</v>
          </cell>
          <cell r="F441">
            <v>53507000</v>
          </cell>
          <cell r="G441">
            <v>3500000</v>
          </cell>
          <cell r="H441">
            <v>15.2877142857143</v>
          </cell>
        </row>
        <row r="442">
          <cell r="E442">
            <v>1144058820</v>
          </cell>
          <cell r="F442">
            <v>157206000</v>
          </cell>
          <cell r="G442">
            <v>5000000</v>
          </cell>
          <cell r="H442">
            <v>31.4412</v>
          </cell>
        </row>
        <row r="443">
          <cell r="E443">
            <v>1144059077</v>
          </cell>
          <cell r="F443">
            <v>55427000</v>
          </cell>
          <cell r="G443">
            <v>1500000</v>
          </cell>
          <cell r="H443">
            <v>36.9513333333333</v>
          </cell>
        </row>
        <row r="444">
          <cell r="E444">
            <v>1144063824</v>
          </cell>
          <cell r="F444">
            <v>70363000</v>
          </cell>
          <cell r="G444">
            <v>2500000</v>
          </cell>
          <cell r="H444">
            <v>28.1452</v>
          </cell>
        </row>
        <row r="445">
          <cell r="E445">
            <v>1144063991</v>
          </cell>
          <cell r="F445">
            <v>31063000</v>
          </cell>
          <cell r="G445">
            <v>1500000</v>
          </cell>
          <cell r="H445">
            <v>20.7086666666667</v>
          </cell>
        </row>
        <row r="446">
          <cell r="E446">
            <v>1144065325</v>
          </cell>
          <cell r="F446">
            <v>34884000</v>
          </cell>
          <cell r="G446">
            <v>2500000</v>
          </cell>
          <cell r="H446">
            <v>13.9536</v>
          </cell>
        </row>
        <row r="447">
          <cell r="E447">
            <v>1144066636</v>
          </cell>
          <cell r="F447">
            <v>22819000</v>
          </cell>
          <cell r="G447">
            <v>1500000</v>
          </cell>
          <cell r="H447">
            <v>15.2126666666667</v>
          </cell>
        </row>
        <row r="448">
          <cell r="E448">
            <v>1144066909</v>
          </cell>
          <cell r="F448">
            <v>115741000</v>
          </cell>
          <cell r="G448">
            <v>3500000</v>
          </cell>
          <cell r="H448">
            <v>33.0688571428571</v>
          </cell>
        </row>
        <row r="449">
          <cell r="E449">
            <v>1144071455</v>
          </cell>
          <cell r="F449">
            <v>23113000</v>
          </cell>
          <cell r="G449">
            <v>1500000</v>
          </cell>
          <cell r="H449">
            <v>15.4086666666667</v>
          </cell>
        </row>
        <row r="450">
          <cell r="E450">
            <v>1144073260</v>
          </cell>
          <cell r="F450">
            <v>5365000</v>
          </cell>
          <cell r="G450">
            <v>1500000</v>
          </cell>
          <cell r="H450">
            <v>3.57666666666667</v>
          </cell>
        </row>
        <row r="451">
          <cell r="E451">
            <v>1144074529</v>
          </cell>
          <cell r="F451">
            <v>89522000</v>
          </cell>
          <cell r="G451">
            <v>3500000</v>
          </cell>
          <cell r="H451">
            <v>25.5777142857143</v>
          </cell>
        </row>
        <row r="452">
          <cell r="E452">
            <v>1144075368</v>
          </cell>
          <cell r="F452">
            <v>116764000</v>
          </cell>
          <cell r="G452">
            <v>2500000</v>
          </cell>
          <cell r="H452">
            <v>46.7056</v>
          </cell>
        </row>
        <row r="453">
          <cell r="E453">
            <v>1144078356</v>
          </cell>
          <cell r="F453">
            <v>85930000</v>
          </cell>
          <cell r="G453">
            <v>3500000</v>
          </cell>
          <cell r="H453">
            <v>24.5514285714286</v>
          </cell>
        </row>
        <row r="454">
          <cell r="E454">
            <v>1144080528</v>
          </cell>
          <cell r="F454">
            <v>3597000</v>
          </cell>
          <cell r="G454">
            <v>2500000</v>
          </cell>
          <cell r="H454">
            <v>1.4388</v>
          </cell>
        </row>
        <row r="455">
          <cell r="E455">
            <v>1144084984</v>
          </cell>
          <cell r="F455">
            <v>123878000</v>
          </cell>
          <cell r="G455">
            <v>5000000</v>
          </cell>
          <cell r="H455">
            <v>24.7756</v>
          </cell>
        </row>
        <row r="456">
          <cell r="E456">
            <v>1144094459</v>
          </cell>
          <cell r="F456">
            <v>4845000</v>
          </cell>
          <cell r="G456">
            <v>1500000</v>
          </cell>
          <cell r="H456">
            <v>3.23</v>
          </cell>
        </row>
        <row r="457">
          <cell r="E457">
            <v>1144095055</v>
          </cell>
          <cell r="F457">
            <v>16579000</v>
          </cell>
          <cell r="G457">
            <v>1500000</v>
          </cell>
          <cell r="H457">
            <v>11.0526666666667</v>
          </cell>
        </row>
        <row r="458">
          <cell r="E458">
            <v>1144097364</v>
          </cell>
          <cell r="F458">
            <v>3866000</v>
          </cell>
          <cell r="G458">
            <v>1000000</v>
          </cell>
          <cell r="H458">
            <v>3.866</v>
          </cell>
        </row>
        <row r="459">
          <cell r="E459">
            <v>1144125039</v>
          </cell>
          <cell r="F459">
            <v>12644000</v>
          </cell>
          <cell r="G459">
            <v>1500000</v>
          </cell>
          <cell r="H459">
            <v>8.42933333333333</v>
          </cell>
        </row>
        <row r="460">
          <cell r="E460">
            <v>1144125541</v>
          </cell>
          <cell r="F460">
            <v>69112000</v>
          </cell>
          <cell r="G460">
            <v>2500000</v>
          </cell>
          <cell r="H460">
            <v>27.6448</v>
          </cell>
        </row>
        <row r="461">
          <cell r="E461">
            <v>1144132148</v>
          </cell>
          <cell r="F461">
            <v>62637000</v>
          </cell>
          <cell r="G461">
            <v>2500000</v>
          </cell>
          <cell r="H461">
            <v>25.0548</v>
          </cell>
        </row>
        <row r="462">
          <cell r="E462">
            <v>1144137869</v>
          </cell>
          <cell r="F462">
            <v>86863000</v>
          </cell>
          <cell r="G462">
            <v>1500000</v>
          </cell>
          <cell r="H462">
            <v>57.9086666666667</v>
          </cell>
        </row>
        <row r="463">
          <cell r="E463">
            <v>1144139919</v>
          </cell>
          <cell r="F463">
            <v>114678000</v>
          </cell>
          <cell r="G463">
            <v>2500000</v>
          </cell>
          <cell r="H463">
            <v>45.8712</v>
          </cell>
        </row>
        <row r="464">
          <cell r="E464">
            <v>1144141749</v>
          </cell>
          <cell r="F464">
            <v>15538000</v>
          </cell>
          <cell r="G464">
            <v>1000000</v>
          </cell>
          <cell r="H464">
            <v>15.538</v>
          </cell>
        </row>
        <row r="465">
          <cell r="E465">
            <v>1144143477</v>
          </cell>
          <cell r="F465">
            <v>46417000</v>
          </cell>
          <cell r="G465">
            <v>1500000</v>
          </cell>
          <cell r="H465">
            <v>30.9446666666667</v>
          </cell>
        </row>
        <row r="466">
          <cell r="E466">
            <v>1144147800</v>
          </cell>
          <cell r="F466">
            <v>38757000</v>
          </cell>
          <cell r="G466">
            <v>1500000</v>
          </cell>
          <cell r="H466">
            <v>25.838</v>
          </cell>
        </row>
        <row r="467">
          <cell r="E467">
            <v>1144148505</v>
          </cell>
          <cell r="F467">
            <v>15934000</v>
          </cell>
          <cell r="G467">
            <v>1500000</v>
          </cell>
          <cell r="H467">
            <v>10.6226666666667</v>
          </cell>
        </row>
        <row r="468">
          <cell r="E468">
            <v>1144149341</v>
          </cell>
          <cell r="F468">
            <v>7666000</v>
          </cell>
          <cell r="G468">
            <v>1500000</v>
          </cell>
          <cell r="H468">
            <v>5.11066666666667</v>
          </cell>
        </row>
        <row r="469">
          <cell r="E469">
            <v>1144153247</v>
          </cell>
          <cell r="F469">
            <v>6279000</v>
          </cell>
          <cell r="G469">
            <v>3500000</v>
          </cell>
          <cell r="H469">
            <v>1.794</v>
          </cell>
        </row>
        <row r="470">
          <cell r="E470">
            <v>1144154282</v>
          </cell>
          <cell r="F470">
            <v>15658000</v>
          </cell>
          <cell r="G470">
            <v>2500000</v>
          </cell>
          <cell r="H470">
            <v>6.2632</v>
          </cell>
        </row>
        <row r="471">
          <cell r="E471">
            <v>1144154389</v>
          </cell>
          <cell r="F471">
            <v>50744000</v>
          </cell>
          <cell r="G471">
            <v>2500000</v>
          </cell>
          <cell r="H471">
            <v>20.2976</v>
          </cell>
        </row>
        <row r="472">
          <cell r="E472">
            <v>1144155126</v>
          </cell>
          <cell r="F472">
            <v>8899000</v>
          </cell>
          <cell r="G472">
            <v>1500000</v>
          </cell>
          <cell r="H472">
            <v>5.93266666666667</v>
          </cell>
        </row>
        <row r="473">
          <cell r="E473">
            <v>1144156511</v>
          </cell>
          <cell r="F473">
            <v>176761000</v>
          </cell>
          <cell r="G473">
            <v>2500000</v>
          </cell>
          <cell r="H473">
            <v>70.7044</v>
          </cell>
        </row>
        <row r="474">
          <cell r="E474">
            <v>1144163849</v>
          </cell>
          <cell r="F474">
            <v>103269000</v>
          </cell>
          <cell r="G474">
            <v>3500000</v>
          </cell>
          <cell r="H474">
            <v>29.5054285714286</v>
          </cell>
        </row>
        <row r="475">
          <cell r="E475">
            <v>1144164907</v>
          </cell>
          <cell r="F475">
            <v>6468000</v>
          </cell>
          <cell r="G475">
            <v>3500000</v>
          </cell>
          <cell r="H475">
            <v>1.848</v>
          </cell>
        </row>
        <row r="476">
          <cell r="E476">
            <v>1144165348</v>
          </cell>
          <cell r="F476">
            <v>61470000</v>
          </cell>
          <cell r="G476">
            <v>3500000</v>
          </cell>
          <cell r="H476">
            <v>17.5628571428571</v>
          </cell>
        </row>
        <row r="477">
          <cell r="E477">
            <v>1144166828</v>
          </cell>
          <cell r="F477">
            <v>937000</v>
          </cell>
          <cell r="G477">
            <v>5000000</v>
          </cell>
          <cell r="H477">
            <v>0.1874</v>
          </cell>
        </row>
        <row r="478">
          <cell r="E478">
            <v>1144167005</v>
          </cell>
          <cell r="F478">
            <v>4687000</v>
          </cell>
          <cell r="G478">
            <v>1500000</v>
          </cell>
          <cell r="H478">
            <v>3.12466666666667</v>
          </cell>
        </row>
        <row r="479">
          <cell r="E479">
            <v>1144167122</v>
          </cell>
          <cell r="F479">
            <v>76163000</v>
          </cell>
          <cell r="G479">
            <v>2500000</v>
          </cell>
          <cell r="H479">
            <v>30.4652</v>
          </cell>
        </row>
        <row r="480">
          <cell r="E480">
            <v>1144168203</v>
          </cell>
          <cell r="F480">
            <v>4663000</v>
          </cell>
          <cell r="G480">
            <v>2500000</v>
          </cell>
          <cell r="H480">
            <v>1.8652</v>
          </cell>
        </row>
        <row r="481">
          <cell r="E481">
            <v>1144169439</v>
          </cell>
          <cell r="F481">
            <v>2400000</v>
          </cell>
          <cell r="G481">
            <v>1500000</v>
          </cell>
          <cell r="H481">
            <v>1.6</v>
          </cell>
        </row>
        <row r="482">
          <cell r="E482">
            <v>1144169695</v>
          </cell>
          <cell r="F482">
            <v>24494000</v>
          </cell>
          <cell r="G482">
            <v>1500000</v>
          </cell>
          <cell r="H482">
            <v>16.3293333333333</v>
          </cell>
        </row>
        <row r="483">
          <cell r="E483">
            <v>1144170609</v>
          </cell>
          <cell r="F483">
            <v>69505000</v>
          </cell>
          <cell r="G483">
            <v>2500000</v>
          </cell>
          <cell r="H483">
            <v>27.802</v>
          </cell>
        </row>
        <row r="484">
          <cell r="E484">
            <v>1144173148</v>
          </cell>
          <cell r="F484">
            <v>12336000</v>
          </cell>
          <cell r="G484">
            <v>5000000</v>
          </cell>
          <cell r="H484">
            <v>2.4672</v>
          </cell>
        </row>
        <row r="485">
          <cell r="E485">
            <v>1144173564</v>
          </cell>
          <cell r="F485">
            <v>11011000</v>
          </cell>
          <cell r="G485">
            <v>1500000</v>
          </cell>
          <cell r="H485">
            <v>7.34066666666667</v>
          </cell>
        </row>
        <row r="486">
          <cell r="E486">
            <v>1144179107</v>
          </cell>
          <cell r="F486">
            <v>22502000</v>
          </cell>
          <cell r="G486">
            <v>1500000</v>
          </cell>
          <cell r="H486">
            <v>15.0013333333333</v>
          </cell>
        </row>
        <row r="487">
          <cell r="E487">
            <v>1144180967</v>
          </cell>
          <cell r="F487">
            <v>9887000</v>
          </cell>
          <cell r="G487">
            <v>1500000</v>
          </cell>
          <cell r="H487">
            <v>6.59133333333333</v>
          </cell>
        </row>
        <row r="488">
          <cell r="E488">
            <v>1144189150</v>
          </cell>
          <cell r="F488">
            <v>219719000</v>
          </cell>
          <cell r="G488">
            <v>5000000</v>
          </cell>
          <cell r="H488">
            <v>43.9438</v>
          </cell>
        </row>
        <row r="489">
          <cell r="E489">
            <v>1144190079</v>
          </cell>
          <cell r="F489">
            <v>4289000</v>
          </cell>
          <cell r="G489">
            <v>1500000</v>
          </cell>
          <cell r="H489">
            <v>2.85933333333333</v>
          </cell>
        </row>
        <row r="490">
          <cell r="E490">
            <v>1144190402</v>
          </cell>
          <cell r="F490">
            <v>16152000</v>
          </cell>
          <cell r="G490">
            <v>1500000</v>
          </cell>
          <cell r="H490">
            <v>10.768</v>
          </cell>
        </row>
        <row r="491">
          <cell r="E491">
            <v>1144194720</v>
          </cell>
          <cell r="F491">
            <v>26804000</v>
          </cell>
          <cell r="G491">
            <v>1500000</v>
          </cell>
          <cell r="H491">
            <v>17.8693333333333</v>
          </cell>
        </row>
        <row r="492">
          <cell r="E492">
            <v>1144198209</v>
          </cell>
          <cell r="F492">
            <v>33857000</v>
          </cell>
          <cell r="G492">
            <v>1500000</v>
          </cell>
          <cell r="H492">
            <v>22.5713333333333</v>
          </cell>
        </row>
        <row r="493">
          <cell r="E493">
            <v>1144203050</v>
          </cell>
          <cell r="F493">
            <v>5204000</v>
          </cell>
          <cell r="G493">
            <v>1500000</v>
          </cell>
          <cell r="H493">
            <v>3.46933333333333</v>
          </cell>
        </row>
        <row r="494">
          <cell r="E494">
            <v>1144205254</v>
          </cell>
          <cell r="F494">
            <v>3672000</v>
          </cell>
          <cell r="G494">
            <v>1500000</v>
          </cell>
          <cell r="H494">
            <v>2.448</v>
          </cell>
        </row>
        <row r="495">
          <cell r="E495">
            <v>1151934634</v>
          </cell>
          <cell r="F495">
            <v>1735000</v>
          </cell>
          <cell r="G495">
            <v>1000000</v>
          </cell>
          <cell r="H495">
            <v>1.735</v>
          </cell>
        </row>
        <row r="496">
          <cell r="E496">
            <v>1151942706</v>
          </cell>
          <cell r="F496">
            <v>5121000</v>
          </cell>
          <cell r="G496">
            <v>1500000</v>
          </cell>
          <cell r="H496">
            <v>3.414</v>
          </cell>
        </row>
        <row r="497">
          <cell r="E497">
            <v>1151944100</v>
          </cell>
          <cell r="F497">
            <v>11825000</v>
          </cell>
          <cell r="G497">
            <v>1500000</v>
          </cell>
          <cell r="H497">
            <v>7.88333333333333</v>
          </cell>
        </row>
        <row r="498">
          <cell r="E498">
            <v>1151946155</v>
          </cell>
          <cell r="F498">
            <v>101558000</v>
          </cell>
          <cell r="G498">
            <v>1500000</v>
          </cell>
          <cell r="H498">
            <v>67.7053333333333</v>
          </cell>
        </row>
        <row r="499">
          <cell r="E499">
            <v>1151948942</v>
          </cell>
          <cell r="F499">
            <v>14364000</v>
          </cell>
          <cell r="G499">
            <v>1500000</v>
          </cell>
          <cell r="H499">
            <v>9.576</v>
          </cell>
        </row>
        <row r="500">
          <cell r="E500">
            <v>1151954667</v>
          </cell>
          <cell r="F500">
            <v>63127000</v>
          </cell>
          <cell r="G500">
            <v>2500000</v>
          </cell>
          <cell r="H500">
            <v>25.2508</v>
          </cell>
        </row>
        <row r="501">
          <cell r="E501">
            <v>1151961640</v>
          </cell>
          <cell r="F501">
            <v>49451000</v>
          </cell>
          <cell r="G501">
            <v>1500000</v>
          </cell>
          <cell r="H501">
            <v>32.9673333333333</v>
          </cell>
        </row>
        <row r="502">
          <cell r="E502">
            <v>1151971308</v>
          </cell>
          <cell r="F502">
            <v>2375000</v>
          </cell>
          <cell r="G502">
            <v>1500000</v>
          </cell>
          <cell r="H502">
            <v>1.58333333333333</v>
          </cell>
        </row>
        <row r="503">
          <cell r="E503">
            <v>1192919846</v>
          </cell>
          <cell r="F503">
            <v>9005000</v>
          </cell>
          <cell r="G503">
            <v>1500000</v>
          </cell>
          <cell r="H503">
            <v>6.00333333333333</v>
          </cell>
        </row>
        <row r="504">
          <cell r="E504">
            <v>1193153919</v>
          </cell>
          <cell r="F504">
            <v>21633000</v>
          </cell>
          <cell r="G504">
            <v>1500000</v>
          </cell>
          <cell r="H504">
            <v>14.422</v>
          </cell>
        </row>
        <row r="505">
          <cell r="E505">
            <v>1193399162</v>
          </cell>
          <cell r="F505">
            <v>8082000</v>
          </cell>
          <cell r="G505">
            <v>1500000</v>
          </cell>
          <cell r="H505">
            <v>5.388</v>
          </cell>
        </row>
        <row r="506">
          <cell r="E506">
            <v>1193439539</v>
          </cell>
          <cell r="F506">
            <v>32034000</v>
          </cell>
          <cell r="G506">
            <v>1000000</v>
          </cell>
          <cell r="H506">
            <v>32.034</v>
          </cell>
        </row>
        <row r="507">
          <cell r="E507">
            <v>1193548144</v>
          </cell>
          <cell r="F507">
            <v>1961000</v>
          </cell>
          <cell r="G507">
            <v>1500000</v>
          </cell>
          <cell r="H507">
            <v>1.30733333333333</v>
          </cell>
        </row>
        <row r="508">
          <cell r="E508">
            <v>1214713542</v>
          </cell>
          <cell r="F508">
            <v>18199000</v>
          </cell>
          <cell r="G508">
            <v>3500000</v>
          </cell>
          <cell r="H508">
            <v>5.19971428571429</v>
          </cell>
        </row>
        <row r="509">
          <cell r="E509">
            <v>1234190116</v>
          </cell>
          <cell r="F509">
            <v>14351000</v>
          </cell>
          <cell r="G509">
            <v>1500000</v>
          </cell>
          <cell r="H509">
            <v>9.56733333333333</v>
          </cell>
        </row>
        <row r="510">
          <cell r="E510">
            <v>29117851</v>
          </cell>
          <cell r="F510">
            <v>146772000</v>
          </cell>
          <cell r="G510">
            <v>1500000</v>
          </cell>
          <cell r="H510">
            <v>97.848</v>
          </cell>
        </row>
        <row r="511">
          <cell r="E511">
            <v>29360578</v>
          </cell>
          <cell r="F511">
            <v>6135000</v>
          </cell>
          <cell r="G511">
            <v>2500000</v>
          </cell>
          <cell r="H511">
            <v>2.454</v>
          </cell>
        </row>
        <row r="512">
          <cell r="E512">
            <v>67006115</v>
          </cell>
          <cell r="F512">
            <v>71978000</v>
          </cell>
          <cell r="G512">
            <v>5000000</v>
          </cell>
          <cell r="H512">
            <v>14.3956</v>
          </cell>
        </row>
        <row r="513">
          <cell r="E513">
            <v>1005934361</v>
          </cell>
          <cell r="F513">
            <v>42225000</v>
          </cell>
          <cell r="G513">
            <v>5000000</v>
          </cell>
          <cell r="H513">
            <v>8.445</v>
          </cell>
        </row>
        <row r="514">
          <cell r="E514">
            <v>1144059947</v>
          </cell>
          <cell r="F514">
            <v>908000</v>
          </cell>
          <cell r="G514">
            <v>1500000</v>
          </cell>
          <cell r="H514">
            <v>0.605333333333333</v>
          </cell>
        </row>
        <row r="515">
          <cell r="E515">
            <v>1144140877</v>
          </cell>
          <cell r="F515">
            <v>23879000</v>
          </cell>
          <cell r="G515">
            <v>3500000</v>
          </cell>
          <cell r="H515">
            <v>6.82257142857143</v>
          </cell>
        </row>
        <row r="516">
          <cell r="E516">
            <v>1144169886</v>
          </cell>
          <cell r="F516">
            <v>34460000</v>
          </cell>
          <cell r="G516">
            <v>1500000</v>
          </cell>
          <cell r="H516">
            <v>22.9733333333333</v>
          </cell>
        </row>
        <row r="517">
          <cell r="E517">
            <v>14609734</v>
          </cell>
          <cell r="F517">
            <v>1136000</v>
          </cell>
          <cell r="G517">
            <v>1500000</v>
          </cell>
          <cell r="H517">
            <v>0.757333333333333</v>
          </cell>
        </row>
        <row r="518">
          <cell r="E518">
            <v>16778716</v>
          </cell>
          <cell r="F518">
            <v>34687000</v>
          </cell>
          <cell r="G518">
            <v>2500000</v>
          </cell>
          <cell r="H518">
            <v>13.8748</v>
          </cell>
        </row>
        <row r="519">
          <cell r="E519">
            <v>16846198</v>
          </cell>
          <cell r="F519">
            <v>74818000</v>
          </cell>
          <cell r="G519">
            <v>1500000</v>
          </cell>
          <cell r="H519">
            <v>49.8786666666667</v>
          </cell>
        </row>
        <row r="520">
          <cell r="E520">
            <v>29116368</v>
          </cell>
          <cell r="F520">
            <v>171081000</v>
          </cell>
          <cell r="G520">
            <v>2500000</v>
          </cell>
          <cell r="H520">
            <v>68.4324</v>
          </cell>
        </row>
        <row r="521">
          <cell r="E521">
            <v>29677772</v>
          </cell>
          <cell r="F521">
            <v>33782000</v>
          </cell>
          <cell r="G521">
            <v>2500000</v>
          </cell>
          <cell r="H521">
            <v>13.5128</v>
          </cell>
        </row>
        <row r="522">
          <cell r="E522">
            <v>29705663</v>
          </cell>
          <cell r="F522">
            <v>35709000</v>
          </cell>
          <cell r="G522">
            <v>5000000</v>
          </cell>
          <cell r="H522">
            <v>7.1418</v>
          </cell>
        </row>
        <row r="523">
          <cell r="E523">
            <v>29877584</v>
          </cell>
          <cell r="F523">
            <v>60235000</v>
          </cell>
          <cell r="G523">
            <v>5000000</v>
          </cell>
          <cell r="H523">
            <v>12.047</v>
          </cell>
        </row>
        <row r="524">
          <cell r="E524">
            <v>30303024</v>
          </cell>
          <cell r="F524">
            <v>26894000</v>
          </cell>
          <cell r="G524">
            <v>2500000</v>
          </cell>
          <cell r="H524">
            <v>10.7576</v>
          </cell>
        </row>
        <row r="525">
          <cell r="E525">
            <v>30398858</v>
          </cell>
          <cell r="F525">
            <v>15935000</v>
          </cell>
          <cell r="G525">
            <v>5000000</v>
          </cell>
          <cell r="H525">
            <v>3.187</v>
          </cell>
        </row>
        <row r="526">
          <cell r="E526">
            <v>30668215</v>
          </cell>
          <cell r="F526">
            <v>59854000</v>
          </cell>
          <cell r="G526">
            <v>2500000</v>
          </cell>
          <cell r="H526">
            <v>23.9416</v>
          </cell>
        </row>
        <row r="527">
          <cell r="E527">
            <v>31305575</v>
          </cell>
          <cell r="F527">
            <v>8223000</v>
          </cell>
          <cell r="G527">
            <v>2500000</v>
          </cell>
          <cell r="H527">
            <v>3.2892</v>
          </cell>
        </row>
        <row r="528">
          <cell r="E528">
            <v>31309999</v>
          </cell>
          <cell r="F528">
            <v>11135000</v>
          </cell>
          <cell r="G528">
            <v>1500000</v>
          </cell>
          <cell r="H528">
            <v>7.42333333333333</v>
          </cell>
        </row>
        <row r="529">
          <cell r="E529">
            <v>31579220</v>
          </cell>
          <cell r="F529">
            <v>34427000</v>
          </cell>
          <cell r="G529">
            <v>2500000</v>
          </cell>
          <cell r="H529">
            <v>13.7708</v>
          </cell>
        </row>
        <row r="530">
          <cell r="E530">
            <v>31712761</v>
          </cell>
          <cell r="F530">
            <v>61227000</v>
          </cell>
          <cell r="G530">
            <v>3500000</v>
          </cell>
          <cell r="H530">
            <v>17.4934285714286</v>
          </cell>
        </row>
        <row r="531">
          <cell r="E531">
            <v>31947980</v>
          </cell>
          <cell r="F531">
            <v>5491000</v>
          </cell>
          <cell r="G531">
            <v>1500000</v>
          </cell>
          <cell r="H531">
            <v>3.66066666666667</v>
          </cell>
        </row>
        <row r="532">
          <cell r="E532">
            <v>34613050</v>
          </cell>
          <cell r="F532">
            <v>30053000</v>
          </cell>
          <cell r="G532">
            <v>2500000</v>
          </cell>
          <cell r="H532">
            <v>12.0212</v>
          </cell>
        </row>
        <row r="533">
          <cell r="E533">
            <v>38556029</v>
          </cell>
          <cell r="F533">
            <v>1050000</v>
          </cell>
          <cell r="G533">
            <v>2500000</v>
          </cell>
          <cell r="H533">
            <v>0.42</v>
          </cell>
        </row>
        <row r="534">
          <cell r="E534">
            <v>38670692</v>
          </cell>
          <cell r="F534">
            <v>1130000</v>
          </cell>
          <cell r="G534">
            <v>1500000</v>
          </cell>
          <cell r="H534">
            <v>0.753333333333333</v>
          </cell>
        </row>
        <row r="535">
          <cell r="E535">
            <v>38681350</v>
          </cell>
          <cell r="F535">
            <v>6447000</v>
          </cell>
          <cell r="G535">
            <v>2500000</v>
          </cell>
          <cell r="H535">
            <v>2.5788</v>
          </cell>
        </row>
        <row r="536">
          <cell r="E536">
            <v>41904817</v>
          </cell>
          <cell r="F536">
            <v>12251000</v>
          </cell>
          <cell r="G536">
            <v>2500000</v>
          </cell>
          <cell r="H536">
            <v>4.9004</v>
          </cell>
        </row>
        <row r="537">
          <cell r="E537">
            <v>42089913</v>
          </cell>
          <cell r="F537">
            <v>50470000</v>
          </cell>
          <cell r="G537">
            <v>3500000</v>
          </cell>
          <cell r="H537">
            <v>14.42</v>
          </cell>
        </row>
        <row r="538">
          <cell r="E538">
            <v>66824445</v>
          </cell>
          <cell r="F538">
            <v>11318000</v>
          </cell>
          <cell r="G538">
            <v>1000000</v>
          </cell>
          <cell r="H538">
            <v>11.318</v>
          </cell>
        </row>
        <row r="539">
          <cell r="E539">
            <v>66846381</v>
          </cell>
          <cell r="F539">
            <v>83256000</v>
          </cell>
          <cell r="G539">
            <v>2500000</v>
          </cell>
          <cell r="H539">
            <v>33.3024</v>
          </cell>
        </row>
        <row r="540">
          <cell r="E540">
            <v>66922338</v>
          </cell>
          <cell r="F540">
            <v>7318000</v>
          </cell>
          <cell r="G540">
            <v>1500000</v>
          </cell>
          <cell r="H540">
            <v>4.87866666666667</v>
          </cell>
        </row>
        <row r="541">
          <cell r="E541">
            <v>66997637</v>
          </cell>
          <cell r="F541">
            <v>60414000</v>
          </cell>
          <cell r="G541">
            <v>1500000</v>
          </cell>
          <cell r="H541">
            <v>40.276</v>
          </cell>
        </row>
        <row r="542">
          <cell r="E542">
            <v>67021850</v>
          </cell>
          <cell r="F542">
            <v>16326000</v>
          </cell>
          <cell r="G542">
            <v>2500000</v>
          </cell>
          <cell r="H542">
            <v>6.5304</v>
          </cell>
        </row>
        <row r="543">
          <cell r="E543">
            <v>67024877</v>
          </cell>
          <cell r="F543">
            <v>4847000</v>
          </cell>
          <cell r="G543">
            <v>1500000</v>
          </cell>
          <cell r="H543">
            <v>3.23133333333333</v>
          </cell>
        </row>
        <row r="544">
          <cell r="E544">
            <v>67040484</v>
          </cell>
          <cell r="F544">
            <v>69900000</v>
          </cell>
          <cell r="G544">
            <v>2500000</v>
          </cell>
          <cell r="H544">
            <v>27.96</v>
          </cell>
        </row>
        <row r="545">
          <cell r="E545">
            <v>87063919</v>
          </cell>
          <cell r="F545">
            <v>64025000</v>
          </cell>
          <cell r="G545">
            <v>5000000</v>
          </cell>
          <cell r="H545">
            <v>12.805</v>
          </cell>
        </row>
        <row r="546">
          <cell r="E546">
            <v>94064042</v>
          </cell>
          <cell r="F546">
            <v>25314000</v>
          </cell>
          <cell r="G546">
            <v>1500000</v>
          </cell>
          <cell r="H546">
            <v>16.876</v>
          </cell>
        </row>
        <row r="547">
          <cell r="E547">
            <v>94531289</v>
          </cell>
          <cell r="F547">
            <v>56858000</v>
          </cell>
          <cell r="G547">
            <v>3500000</v>
          </cell>
          <cell r="H547">
            <v>16.2451428571429</v>
          </cell>
        </row>
        <row r="548">
          <cell r="E548">
            <v>1005712567</v>
          </cell>
          <cell r="F548">
            <v>6797000</v>
          </cell>
          <cell r="G548">
            <v>1000000</v>
          </cell>
          <cell r="H548">
            <v>6.797</v>
          </cell>
        </row>
        <row r="549">
          <cell r="E549">
            <v>1006170029</v>
          </cell>
          <cell r="F549">
            <v>41622000</v>
          </cell>
          <cell r="G549">
            <v>1500000</v>
          </cell>
          <cell r="H549">
            <v>27.748</v>
          </cell>
        </row>
        <row r="550">
          <cell r="E550">
            <v>1031163412</v>
          </cell>
          <cell r="F550">
            <v>10318000</v>
          </cell>
          <cell r="G550">
            <v>1500000</v>
          </cell>
          <cell r="H550">
            <v>6.87866666666667</v>
          </cell>
        </row>
        <row r="551">
          <cell r="E551">
            <v>1054997916</v>
          </cell>
          <cell r="F551">
            <v>2110000</v>
          </cell>
          <cell r="G551">
            <v>3500000</v>
          </cell>
          <cell r="H551">
            <v>0.602857142857143</v>
          </cell>
        </row>
        <row r="552">
          <cell r="E552">
            <v>1059606598</v>
          </cell>
          <cell r="F552">
            <v>5761000</v>
          </cell>
          <cell r="G552">
            <v>1500000</v>
          </cell>
          <cell r="H552">
            <v>3.84066666666667</v>
          </cell>
        </row>
        <row r="553">
          <cell r="E553">
            <v>1061655846</v>
          </cell>
          <cell r="F553">
            <v>83440000</v>
          </cell>
          <cell r="G553">
            <v>2500000</v>
          </cell>
          <cell r="H553">
            <v>33.376</v>
          </cell>
        </row>
        <row r="554">
          <cell r="E554">
            <v>1061730666</v>
          </cell>
          <cell r="F554">
            <v>5840000</v>
          </cell>
          <cell r="G554">
            <v>2500000</v>
          </cell>
          <cell r="H554">
            <v>2.336</v>
          </cell>
        </row>
        <row r="555">
          <cell r="E555">
            <v>1062280788</v>
          </cell>
          <cell r="F555">
            <v>28499000</v>
          </cell>
          <cell r="G555">
            <v>3500000</v>
          </cell>
          <cell r="H555">
            <v>8.14257142857143</v>
          </cell>
        </row>
        <row r="556">
          <cell r="E556">
            <v>1063813810</v>
          </cell>
          <cell r="F556">
            <v>4979000</v>
          </cell>
          <cell r="G556">
            <v>1500000</v>
          </cell>
          <cell r="H556">
            <v>3.31933333333333</v>
          </cell>
        </row>
        <row r="557">
          <cell r="E557">
            <v>1085259520</v>
          </cell>
          <cell r="F557">
            <v>115055000</v>
          </cell>
          <cell r="G557">
            <v>2500000</v>
          </cell>
          <cell r="H557">
            <v>46.022</v>
          </cell>
        </row>
        <row r="558">
          <cell r="E558">
            <v>1107048198</v>
          </cell>
          <cell r="F558">
            <v>14947000</v>
          </cell>
          <cell r="G558">
            <v>1000000</v>
          </cell>
          <cell r="H558">
            <v>14.947</v>
          </cell>
        </row>
        <row r="559">
          <cell r="E559">
            <v>1107081228</v>
          </cell>
          <cell r="F559">
            <v>12415000</v>
          </cell>
          <cell r="G559">
            <v>1500000</v>
          </cell>
          <cell r="H559">
            <v>8.27666666666667</v>
          </cell>
        </row>
        <row r="560">
          <cell r="E560">
            <v>1107083846</v>
          </cell>
          <cell r="F560">
            <v>16559000</v>
          </cell>
          <cell r="G560">
            <v>1500000</v>
          </cell>
          <cell r="H560">
            <v>11.0393333333333</v>
          </cell>
        </row>
        <row r="561">
          <cell r="E561">
            <v>1107105454</v>
          </cell>
          <cell r="F561">
            <v>12123000</v>
          </cell>
          <cell r="G561">
            <v>1500000</v>
          </cell>
          <cell r="H561">
            <v>8.082</v>
          </cell>
        </row>
        <row r="562">
          <cell r="E562">
            <v>1112221381</v>
          </cell>
          <cell r="F562">
            <v>27109000</v>
          </cell>
          <cell r="G562">
            <v>1500000</v>
          </cell>
          <cell r="H562">
            <v>18.0726666666667</v>
          </cell>
        </row>
        <row r="563">
          <cell r="E563">
            <v>1112465080</v>
          </cell>
          <cell r="F563">
            <v>1683000</v>
          </cell>
          <cell r="G563">
            <v>1500000</v>
          </cell>
          <cell r="H563">
            <v>1.122</v>
          </cell>
        </row>
        <row r="564">
          <cell r="E564">
            <v>1114727465</v>
          </cell>
          <cell r="F564">
            <v>214392000</v>
          </cell>
          <cell r="G564">
            <v>1500000</v>
          </cell>
          <cell r="H564">
            <v>142.928</v>
          </cell>
        </row>
        <row r="565">
          <cell r="E565">
            <v>1114818603</v>
          </cell>
          <cell r="F565">
            <v>32002000</v>
          </cell>
          <cell r="G565">
            <v>1500000</v>
          </cell>
          <cell r="H565">
            <v>21.3346666666667</v>
          </cell>
        </row>
        <row r="566">
          <cell r="E566">
            <v>1114821052</v>
          </cell>
          <cell r="F566">
            <v>50803000</v>
          </cell>
          <cell r="G566">
            <v>1500000</v>
          </cell>
          <cell r="H566">
            <v>33.8686666666667</v>
          </cell>
        </row>
        <row r="567">
          <cell r="E567">
            <v>1116234251</v>
          </cell>
          <cell r="F567">
            <v>15588000</v>
          </cell>
          <cell r="G567">
            <v>2500000</v>
          </cell>
          <cell r="H567">
            <v>6.2352</v>
          </cell>
        </row>
        <row r="568">
          <cell r="E568">
            <v>1116275727</v>
          </cell>
          <cell r="F568">
            <v>60801000</v>
          </cell>
          <cell r="G568">
            <v>2500000</v>
          </cell>
          <cell r="H568">
            <v>24.3204</v>
          </cell>
        </row>
        <row r="569">
          <cell r="E569">
            <v>1118308415</v>
          </cell>
          <cell r="F569">
            <v>101899000</v>
          </cell>
          <cell r="G569">
            <v>1500000</v>
          </cell>
          <cell r="H569">
            <v>67.9326666666667</v>
          </cell>
        </row>
        <row r="570">
          <cell r="E570">
            <v>1130599537</v>
          </cell>
          <cell r="F570">
            <v>2619000</v>
          </cell>
          <cell r="G570">
            <v>2500000</v>
          </cell>
          <cell r="H570">
            <v>1.0476</v>
          </cell>
        </row>
        <row r="571">
          <cell r="E571">
            <v>1130623940</v>
          </cell>
          <cell r="F571">
            <v>35043000</v>
          </cell>
          <cell r="G571">
            <v>2500000</v>
          </cell>
          <cell r="H571">
            <v>14.0172</v>
          </cell>
        </row>
        <row r="572">
          <cell r="E572">
            <v>1130628345</v>
          </cell>
          <cell r="F572">
            <v>2186000</v>
          </cell>
          <cell r="G572">
            <v>1500000</v>
          </cell>
          <cell r="H572">
            <v>1.45733333333333</v>
          </cell>
        </row>
        <row r="573">
          <cell r="E573">
            <v>1130628436</v>
          </cell>
          <cell r="F573">
            <v>38447000</v>
          </cell>
          <cell r="G573">
            <v>2500000</v>
          </cell>
          <cell r="H573">
            <v>15.3788</v>
          </cell>
        </row>
        <row r="574">
          <cell r="E574">
            <v>1130629547</v>
          </cell>
          <cell r="F574">
            <v>199065000</v>
          </cell>
          <cell r="G574">
            <v>3500000</v>
          </cell>
          <cell r="H574">
            <v>56.8757142857143</v>
          </cell>
        </row>
        <row r="575">
          <cell r="E575">
            <v>1130635787</v>
          </cell>
          <cell r="F575">
            <v>11458000</v>
          </cell>
          <cell r="G575">
            <v>1500000</v>
          </cell>
          <cell r="H575">
            <v>7.63866666666667</v>
          </cell>
        </row>
        <row r="576">
          <cell r="E576">
            <v>1130640465</v>
          </cell>
          <cell r="F576">
            <v>1851000</v>
          </cell>
          <cell r="G576">
            <v>1500000</v>
          </cell>
          <cell r="H576">
            <v>1.234</v>
          </cell>
        </row>
        <row r="577">
          <cell r="E577">
            <v>1130640687</v>
          </cell>
          <cell r="F577">
            <v>54534000</v>
          </cell>
          <cell r="G577">
            <v>2500000</v>
          </cell>
          <cell r="H577">
            <v>21.8136</v>
          </cell>
        </row>
        <row r="578">
          <cell r="E578">
            <v>1130641134</v>
          </cell>
          <cell r="F578">
            <v>55033000</v>
          </cell>
          <cell r="G578">
            <v>1500000</v>
          </cell>
          <cell r="H578">
            <v>36.6886666666667</v>
          </cell>
        </row>
        <row r="579">
          <cell r="E579">
            <v>1130641716</v>
          </cell>
          <cell r="F579">
            <v>48004000</v>
          </cell>
          <cell r="G579">
            <v>1500000</v>
          </cell>
          <cell r="H579">
            <v>32.0026666666667</v>
          </cell>
        </row>
        <row r="580">
          <cell r="E580">
            <v>1130652513</v>
          </cell>
          <cell r="F580">
            <v>8386000</v>
          </cell>
          <cell r="G580">
            <v>1500000</v>
          </cell>
          <cell r="H580">
            <v>5.59066666666667</v>
          </cell>
        </row>
        <row r="581">
          <cell r="E581">
            <v>1143824022</v>
          </cell>
          <cell r="F581">
            <v>2424000</v>
          </cell>
          <cell r="G581">
            <v>1000000</v>
          </cell>
          <cell r="H581">
            <v>2.424</v>
          </cell>
        </row>
        <row r="582">
          <cell r="E582">
            <v>1143836074</v>
          </cell>
          <cell r="F582">
            <v>30542000</v>
          </cell>
          <cell r="G582">
            <v>3500000</v>
          </cell>
          <cell r="H582">
            <v>8.72628571428571</v>
          </cell>
        </row>
        <row r="583">
          <cell r="E583">
            <v>1143836746</v>
          </cell>
          <cell r="F583">
            <v>5483000</v>
          </cell>
          <cell r="G583">
            <v>2500000</v>
          </cell>
          <cell r="H583">
            <v>2.1932</v>
          </cell>
        </row>
        <row r="584">
          <cell r="E584">
            <v>1143840792</v>
          </cell>
          <cell r="F584">
            <v>24075000</v>
          </cell>
          <cell r="G584">
            <v>2500000</v>
          </cell>
          <cell r="H584">
            <v>9.63</v>
          </cell>
        </row>
        <row r="585">
          <cell r="E585">
            <v>1143944530</v>
          </cell>
          <cell r="F585">
            <v>9470000</v>
          </cell>
          <cell r="G585">
            <v>1500000</v>
          </cell>
          <cell r="H585">
            <v>6.31333333333333</v>
          </cell>
        </row>
        <row r="586">
          <cell r="E586">
            <v>1143959792</v>
          </cell>
          <cell r="F586">
            <v>25673000</v>
          </cell>
          <cell r="G586">
            <v>1500000</v>
          </cell>
          <cell r="H586">
            <v>17.1153333333333</v>
          </cell>
        </row>
        <row r="587">
          <cell r="E587">
            <v>1143962645</v>
          </cell>
          <cell r="F587">
            <v>114590000</v>
          </cell>
          <cell r="G587">
            <v>2500000</v>
          </cell>
          <cell r="H587">
            <v>45.836</v>
          </cell>
        </row>
        <row r="588">
          <cell r="E588">
            <v>1143969297</v>
          </cell>
          <cell r="F588">
            <v>3655000</v>
          </cell>
          <cell r="G588">
            <v>1500000</v>
          </cell>
          <cell r="H588">
            <v>2.43666666666667</v>
          </cell>
        </row>
        <row r="589">
          <cell r="E589">
            <v>1143977420</v>
          </cell>
          <cell r="F589">
            <v>5361000</v>
          </cell>
          <cell r="G589">
            <v>1500000</v>
          </cell>
          <cell r="H589">
            <v>3.574</v>
          </cell>
        </row>
        <row r="590">
          <cell r="E590">
            <v>1143991760</v>
          </cell>
          <cell r="F590">
            <v>7484000</v>
          </cell>
          <cell r="G590">
            <v>1500000</v>
          </cell>
          <cell r="H590">
            <v>4.98933333333333</v>
          </cell>
        </row>
        <row r="591">
          <cell r="E591">
            <v>1143996022</v>
          </cell>
          <cell r="F591">
            <v>9509000</v>
          </cell>
          <cell r="G591">
            <v>1500000</v>
          </cell>
          <cell r="H591">
            <v>6.33933333333333</v>
          </cell>
        </row>
        <row r="592">
          <cell r="E592">
            <v>1144050843</v>
          </cell>
          <cell r="F592">
            <v>45177000</v>
          </cell>
          <cell r="G592">
            <v>2500000</v>
          </cell>
          <cell r="H592">
            <v>18.0708</v>
          </cell>
        </row>
        <row r="593">
          <cell r="E593">
            <v>1144053538</v>
          </cell>
          <cell r="F593">
            <v>4476000</v>
          </cell>
          <cell r="G593">
            <v>1000000</v>
          </cell>
          <cell r="H593">
            <v>4.476</v>
          </cell>
        </row>
        <row r="594">
          <cell r="E594">
            <v>1144057759</v>
          </cell>
          <cell r="F594">
            <v>2747000</v>
          </cell>
          <cell r="G594">
            <v>1500000</v>
          </cell>
          <cell r="H594">
            <v>1.83133333333333</v>
          </cell>
        </row>
        <row r="595">
          <cell r="E595">
            <v>1144078650</v>
          </cell>
          <cell r="F595">
            <v>5049000</v>
          </cell>
          <cell r="G595">
            <v>1500000</v>
          </cell>
          <cell r="H595">
            <v>3.366</v>
          </cell>
        </row>
        <row r="596">
          <cell r="E596">
            <v>1144136795</v>
          </cell>
          <cell r="F596">
            <v>3320000</v>
          </cell>
          <cell r="G596">
            <v>2500000</v>
          </cell>
          <cell r="H596">
            <v>1.328</v>
          </cell>
        </row>
        <row r="597">
          <cell r="E597">
            <v>1144143403</v>
          </cell>
          <cell r="F597">
            <v>69422000</v>
          </cell>
          <cell r="G597">
            <v>1000000</v>
          </cell>
          <cell r="H597">
            <v>69.422</v>
          </cell>
        </row>
        <row r="598">
          <cell r="E598">
            <v>1144143740</v>
          </cell>
          <cell r="F598">
            <v>6004000</v>
          </cell>
          <cell r="G598">
            <v>1500000</v>
          </cell>
          <cell r="H598">
            <v>4.00266666666667</v>
          </cell>
        </row>
        <row r="599">
          <cell r="E599">
            <v>1144151327</v>
          </cell>
          <cell r="F599">
            <v>11065000</v>
          </cell>
          <cell r="G599">
            <v>2500000</v>
          </cell>
          <cell r="H599">
            <v>4.426</v>
          </cell>
        </row>
        <row r="600">
          <cell r="E600">
            <v>1144165689</v>
          </cell>
          <cell r="F600">
            <v>27233000</v>
          </cell>
          <cell r="G600">
            <v>1500000</v>
          </cell>
          <cell r="H600">
            <v>18.1553333333333</v>
          </cell>
        </row>
        <row r="601">
          <cell r="E601">
            <v>1144167768</v>
          </cell>
          <cell r="F601">
            <v>7739000</v>
          </cell>
          <cell r="G601">
            <v>2500000</v>
          </cell>
          <cell r="H601">
            <v>3.0956</v>
          </cell>
        </row>
        <row r="602">
          <cell r="E602">
            <v>1144179639</v>
          </cell>
          <cell r="F602">
            <v>39247000</v>
          </cell>
          <cell r="G602">
            <v>1500000</v>
          </cell>
          <cell r="H602">
            <v>26.1646666666667</v>
          </cell>
        </row>
        <row r="603">
          <cell r="E603">
            <v>1144186978</v>
          </cell>
          <cell r="F603">
            <v>34021000</v>
          </cell>
          <cell r="G603">
            <v>1500000</v>
          </cell>
          <cell r="H603">
            <v>22.6806666666667</v>
          </cell>
        </row>
        <row r="604">
          <cell r="E604">
            <v>1144189605</v>
          </cell>
          <cell r="F604">
            <v>11933000</v>
          </cell>
          <cell r="G604">
            <v>1500000</v>
          </cell>
          <cell r="H604">
            <v>7.95533333333333</v>
          </cell>
        </row>
        <row r="605">
          <cell r="E605">
            <v>1144204151</v>
          </cell>
          <cell r="F605">
            <v>15225000</v>
          </cell>
          <cell r="G605">
            <v>1000000</v>
          </cell>
          <cell r="H605">
            <v>15.225</v>
          </cell>
        </row>
        <row r="606">
          <cell r="E606">
            <v>1151945346</v>
          </cell>
          <cell r="F606">
            <v>40875000</v>
          </cell>
          <cell r="G606">
            <v>2500000</v>
          </cell>
          <cell r="H606">
            <v>16.35</v>
          </cell>
        </row>
        <row r="607">
          <cell r="E607">
            <v>1192747716</v>
          </cell>
          <cell r="F607">
            <v>12551000</v>
          </cell>
          <cell r="G607">
            <v>1500000</v>
          </cell>
          <cell r="H607">
            <v>8.36733333333333</v>
          </cell>
        </row>
        <row r="608">
          <cell r="E608">
            <v>1193575066</v>
          </cell>
          <cell r="F608">
            <v>6550000</v>
          </cell>
          <cell r="G608">
            <v>1500000</v>
          </cell>
          <cell r="H608">
            <v>4.36666666666667</v>
          </cell>
        </row>
        <row r="609">
          <cell r="E609">
            <v>1234191313</v>
          </cell>
          <cell r="F609">
            <v>17644000</v>
          </cell>
          <cell r="G609">
            <v>1500000</v>
          </cell>
          <cell r="H609">
            <v>11.7626666666667</v>
          </cell>
        </row>
        <row r="610">
          <cell r="E610">
            <v>1234196269</v>
          </cell>
          <cell r="F610">
            <v>47677000</v>
          </cell>
          <cell r="G610">
            <v>1000000</v>
          </cell>
          <cell r="H610">
            <v>47.677</v>
          </cell>
        </row>
      </sheetData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2.vml"/><Relationship Id="rId3" Type="http://schemas.openxmlformats.org/officeDocument/2006/relationships/ctrlProp" Target="../ctrlProps/ctrlProps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2:H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4453125" defaultRowHeight="13.5" customHeight="false" zeroHeight="false" outlineLevelRow="0" outlineLevelCol="0"/>
  <cols>
    <col collapsed="false" customWidth="false" hidden="false" outlineLevel="0" max="1" min="1" style="1" width="11.44"/>
    <col collapsed="false" customWidth="true" hidden="false" outlineLevel="0" max="2" min="2" style="1" width="12.44"/>
    <col collapsed="false" customWidth="true" hidden="false" outlineLevel="0" max="3" min="3" style="2" width="34.44"/>
    <col collapsed="false" customWidth="true" hidden="false" outlineLevel="0" max="4" min="4" style="1" width="15.11"/>
    <col collapsed="false" customWidth="true" hidden="false" outlineLevel="0" max="5" min="5" style="1" width="15.33"/>
    <col collapsed="false" customWidth="true" hidden="false" outlineLevel="0" max="6" min="6" style="3" width="20.11"/>
    <col collapsed="false" customWidth="false" hidden="false" outlineLevel="0" max="7" min="7" style="1" width="11.44"/>
    <col collapsed="false" customWidth="true" hidden="false" outlineLevel="0" max="8" min="8" style="1" width="19.11"/>
    <col collapsed="false" customWidth="false" hidden="false" outlineLevel="0" max="16384" min="9" style="1" width="11.44"/>
  </cols>
  <sheetData>
    <row r="2" customFormat="false" ht="17.25" hidden="false" customHeight="false" outlineLevel="0" collapsed="false">
      <c r="A2" s="4" t="s">
        <v>0</v>
      </c>
      <c r="B2" s="4"/>
      <c r="C2" s="4"/>
      <c r="D2" s="4"/>
      <c r="E2" s="4"/>
      <c r="F2" s="4"/>
    </row>
    <row r="4" customFormat="false" ht="13.5" hidden="false" customHeight="fals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H4" s="6" t="s">
        <v>7</v>
      </c>
    </row>
    <row r="5" customFormat="false" ht="13.5" hidden="false" customHeight="false" outlineLevel="0" collapsed="false">
      <c r="A5" s="7" t="n">
        <v>1</v>
      </c>
      <c r="B5" s="7" t="n">
        <v>1023</v>
      </c>
      <c r="C5" s="7" t="s">
        <v>8</v>
      </c>
      <c r="D5" s="8" t="n">
        <v>0.01</v>
      </c>
      <c r="E5" s="7" t="s">
        <v>9</v>
      </c>
      <c r="F5" s="9"/>
      <c r="H5" s="9" t="s">
        <v>10</v>
      </c>
    </row>
    <row r="6" customFormat="false" ht="13.5" hidden="false" customHeight="false" outlineLevel="0" collapsed="false">
      <c r="A6" s="7" t="n">
        <v>2</v>
      </c>
      <c r="B6" s="7" t="n">
        <v>1024</v>
      </c>
      <c r="C6" s="7" t="s">
        <v>11</v>
      </c>
      <c r="D6" s="8"/>
      <c r="E6" s="7"/>
      <c r="F6" s="9"/>
      <c r="H6" s="9" t="s">
        <v>12</v>
      </c>
    </row>
    <row r="7" customFormat="false" ht="13.5" hidden="false" customHeight="false" outlineLevel="0" collapsed="false">
      <c r="A7" s="7" t="n">
        <v>3</v>
      </c>
      <c r="B7" s="7" t="n">
        <v>1025</v>
      </c>
      <c r="C7" s="7" t="s">
        <v>13</v>
      </c>
      <c r="D7" s="8"/>
      <c r="E7" s="7"/>
      <c r="F7" s="9"/>
    </row>
    <row r="8" customFormat="false" ht="13.5" hidden="false" customHeight="false" outlineLevel="0" collapsed="false">
      <c r="A8" s="7" t="n">
        <v>4</v>
      </c>
      <c r="B8" s="7" t="n">
        <v>1026</v>
      </c>
      <c r="C8" s="7" t="s">
        <v>14</v>
      </c>
      <c r="D8" s="8"/>
      <c r="E8" s="7"/>
      <c r="F8" s="9"/>
    </row>
    <row r="9" customFormat="false" ht="13.5" hidden="false" customHeight="false" outlineLevel="0" collapsed="false">
      <c r="A9" s="7" t="n">
        <v>5</v>
      </c>
      <c r="B9" s="7" t="n">
        <v>1028</v>
      </c>
      <c r="C9" s="7" t="s">
        <v>15</v>
      </c>
      <c r="D9" s="8"/>
      <c r="E9" s="7"/>
      <c r="F9" s="9"/>
    </row>
    <row r="10" customFormat="false" ht="13.5" hidden="false" customHeight="false" outlineLevel="0" collapsed="false">
      <c r="A10" s="7" t="n">
        <v>6</v>
      </c>
      <c r="B10" s="7" t="n">
        <v>1031</v>
      </c>
      <c r="C10" s="7" t="s">
        <v>16</v>
      </c>
      <c r="D10" s="8"/>
      <c r="E10" s="7"/>
      <c r="F10" s="9"/>
    </row>
    <row r="11" customFormat="false" ht="13.5" hidden="false" customHeight="false" outlineLevel="0" collapsed="false">
      <c r="A11" s="7" t="n">
        <v>7</v>
      </c>
      <c r="B11" s="7" t="n">
        <v>1032</v>
      </c>
      <c r="C11" s="7" t="s">
        <v>17</v>
      </c>
      <c r="D11" s="8"/>
      <c r="E11" s="7"/>
      <c r="F11" s="9"/>
    </row>
    <row r="12" customFormat="false" ht="13.5" hidden="false" customHeight="false" outlineLevel="0" collapsed="false">
      <c r="A12" s="7" t="n">
        <v>8</v>
      </c>
      <c r="B12" s="7" t="n">
        <v>1034</v>
      </c>
      <c r="C12" s="7" t="s">
        <v>18</v>
      </c>
      <c r="D12" s="8"/>
      <c r="E12" s="7"/>
      <c r="F12" s="9"/>
    </row>
    <row r="13" customFormat="false" ht="13.5" hidden="false" customHeight="false" outlineLevel="0" collapsed="false">
      <c r="A13" s="7" t="n">
        <v>9</v>
      </c>
      <c r="B13" s="7" t="n">
        <v>1035</v>
      </c>
      <c r="C13" s="7" t="s">
        <v>19</v>
      </c>
      <c r="D13" s="8"/>
      <c r="E13" s="7"/>
      <c r="F13" s="9"/>
    </row>
    <row r="14" customFormat="false" ht="13.5" hidden="false" customHeight="false" outlineLevel="0" collapsed="false">
      <c r="A14" s="7" t="n">
        <v>10</v>
      </c>
      <c r="B14" s="7" t="n">
        <v>1037</v>
      </c>
      <c r="C14" s="7" t="s">
        <v>20</v>
      </c>
      <c r="D14" s="8"/>
      <c r="E14" s="7"/>
      <c r="F14" s="9"/>
    </row>
    <row r="15" customFormat="false" ht="13.5" hidden="false" customHeight="false" outlineLevel="0" collapsed="false">
      <c r="A15" s="7" t="n">
        <v>11</v>
      </c>
      <c r="B15" s="7" t="n">
        <v>1042</v>
      </c>
      <c r="C15" s="7" t="s">
        <v>21</v>
      </c>
      <c r="D15" s="8"/>
      <c r="E15" s="7"/>
      <c r="F15" s="9"/>
    </row>
    <row r="16" customFormat="false" ht="13.5" hidden="false" customHeight="false" outlineLevel="0" collapsed="false">
      <c r="A16" s="7" t="n">
        <v>12</v>
      </c>
      <c r="B16" s="7" t="n">
        <v>1043</v>
      </c>
      <c r="C16" s="7" t="s">
        <v>22</v>
      </c>
      <c r="D16" s="8"/>
      <c r="E16" s="7"/>
      <c r="F16" s="9"/>
    </row>
    <row r="17" customFormat="false" ht="13.5" hidden="false" customHeight="false" outlineLevel="0" collapsed="false">
      <c r="A17" s="7" t="n">
        <v>13</v>
      </c>
      <c r="B17" s="7" t="n">
        <v>1050</v>
      </c>
      <c r="C17" s="7" t="s">
        <v>23</v>
      </c>
      <c r="D17" s="8"/>
      <c r="E17" s="7"/>
      <c r="F17" s="9"/>
    </row>
    <row r="18" customFormat="false" ht="13.5" hidden="false" customHeight="false" outlineLevel="0" collapsed="false">
      <c r="A18" s="7" t="n">
        <v>14</v>
      </c>
      <c r="B18" s="7" t="n">
        <v>1053</v>
      </c>
      <c r="C18" s="7" t="s">
        <v>24</v>
      </c>
      <c r="D18" s="8"/>
      <c r="E18" s="7"/>
      <c r="F18" s="9"/>
    </row>
    <row r="19" customFormat="false" ht="13.5" hidden="false" customHeight="false" outlineLevel="0" collapsed="false">
      <c r="A19" s="7" t="n">
        <v>15</v>
      </c>
      <c r="B19" s="7" t="n">
        <v>1054</v>
      </c>
      <c r="C19" s="7" t="s">
        <v>25</v>
      </c>
      <c r="D19" s="8"/>
      <c r="E19" s="7"/>
      <c r="F19" s="9"/>
    </row>
    <row r="20" customFormat="false" ht="13.5" hidden="false" customHeight="false" outlineLevel="0" collapsed="false">
      <c r="A20" s="7" t="n">
        <v>16</v>
      </c>
      <c r="B20" s="7" t="n">
        <v>1058</v>
      </c>
      <c r="C20" s="7" t="s">
        <v>26</v>
      </c>
      <c r="D20" s="8"/>
      <c r="E20" s="7"/>
      <c r="F20" s="9"/>
    </row>
    <row r="21" customFormat="false" ht="13.5" hidden="false" customHeight="false" outlineLevel="0" collapsed="false">
      <c r="A21" s="7" t="n">
        <v>17</v>
      </c>
      <c r="B21" s="7" t="n">
        <v>1059</v>
      </c>
      <c r="C21" s="7" t="s">
        <v>27</v>
      </c>
      <c r="D21" s="8"/>
      <c r="E21" s="7"/>
      <c r="F21" s="9"/>
    </row>
    <row r="22" customFormat="false" ht="13.5" hidden="false" customHeight="false" outlineLevel="0" collapsed="false">
      <c r="A22" s="7" t="n">
        <v>18</v>
      </c>
      <c r="B22" s="7" t="n">
        <v>1061</v>
      </c>
      <c r="C22" s="7" t="s">
        <v>28</v>
      </c>
      <c r="D22" s="8"/>
      <c r="E22" s="7"/>
      <c r="F22" s="9"/>
    </row>
    <row r="23" customFormat="false" ht="13.5" hidden="false" customHeight="false" outlineLevel="0" collapsed="false">
      <c r="A23" s="7" t="n">
        <v>19</v>
      </c>
      <c r="B23" s="7" t="n">
        <v>1062</v>
      </c>
      <c r="C23" s="7" t="s">
        <v>29</v>
      </c>
      <c r="D23" s="8"/>
      <c r="E23" s="7"/>
      <c r="F23" s="9"/>
    </row>
    <row r="24" customFormat="false" ht="13.5" hidden="false" customHeight="false" outlineLevel="0" collapsed="false">
      <c r="A24" s="7" t="n">
        <v>20</v>
      </c>
      <c r="B24" s="7" t="n">
        <v>1065</v>
      </c>
      <c r="C24" s="7" t="s">
        <v>30</v>
      </c>
      <c r="D24" s="8"/>
      <c r="E24" s="7"/>
      <c r="F24" s="9"/>
    </row>
    <row r="25" customFormat="false" ht="13.5" hidden="false" customHeight="false" outlineLevel="0" collapsed="false">
      <c r="A25" s="7" t="n">
        <v>21</v>
      </c>
      <c r="B25" s="7" t="n">
        <v>1066</v>
      </c>
      <c r="C25" s="7" t="s">
        <v>31</v>
      </c>
      <c r="D25" s="8"/>
      <c r="E25" s="7"/>
      <c r="F25" s="9"/>
    </row>
    <row r="26" customFormat="false" ht="13.5" hidden="false" customHeight="false" outlineLevel="0" collapsed="false">
      <c r="A26" s="7" t="n">
        <v>22</v>
      </c>
      <c r="B26" s="7" t="n">
        <v>1039</v>
      </c>
      <c r="C26" s="7" t="s">
        <v>32</v>
      </c>
      <c r="D26" s="8"/>
      <c r="E26" s="7"/>
      <c r="F26" s="9"/>
    </row>
    <row r="27" customFormat="false" ht="13.5" hidden="false" customHeight="false" outlineLevel="0" collapsed="false">
      <c r="A27" s="7" t="n">
        <v>23</v>
      </c>
      <c r="B27" s="7" t="n">
        <v>1040</v>
      </c>
      <c r="C27" s="7" t="s">
        <v>33</v>
      </c>
      <c r="D27" s="8"/>
      <c r="E27" s="7"/>
      <c r="F27" s="9"/>
    </row>
    <row r="28" customFormat="false" ht="13.5" hidden="false" customHeight="false" outlineLevel="0" collapsed="false">
      <c r="A28" s="7" t="n">
        <v>24</v>
      </c>
      <c r="B28" s="7" t="n">
        <v>1041</v>
      </c>
      <c r="C28" s="7" t="s">
        <v>34</v>
      </c>
      <c r="D28" s="8"/>
      <c r="E28" s="7"/>
      <c r="F28" s="9"/>
    </row>
    <row r="29" customFormat="false" ht="13.5" hidden="false" customHeight="false" outlineLevel="0" collapsed="false">
      <c r="A29" s="7" t="n">
        <v>25</v>
      </c>
      <c r="B29" s="7" t="n">
        <v>1067</v>
      </c>
      <c r="C29" s="7" t="s">
        <v>31</v>
      </c>
      <c r="D29" s="8"/>
      <c r="E29" s="7"/>
      <c r="F29" s="9"/>
    </row>
    <row r="30" customFormat="false" ht="13.5" hidden="false" customHeight="false" outlineLevel="0" collapsed="false">
      <c r="A30" s="7" t="n">
        <v>26</v>
      </c>
      <c r="B30" s="7"/>
      <c r="C30" s="7"/>
      <c r="D30" s="8"/>
      <c r="E30" s="7"/>
      <c r="F30" s="9"/>
    </row>
    <row r="31" customFormat="false" ht="13.5" hidden="false" customHeight="false" outlineLevel="0" collapsed="false">
      <c r="A31" s="7" t="n">
        <v>27</v>
      </c>
      <c r="B31" s="7"/>
      <c r="C31" s="7"/>
      <c r="D31" s="8"/>
      <c r="E31" s="7"/>
      <c r="F31" s="9"/>
    </row>
    <row r="32" customFormat="false" ht="13.5" hidden="false" customHeight="false" outlineLevel="0" collapsed="false">
      <c r="A32" s="7" t="n">
        <v>28</v>
      </c>
      <c r="B32" s="7"/>
      <c r="C32" s="7"/>
      <c r="D32" s="8"/>
      <c r="E32" s="7"/>
      <c r="F32" s="9"/>
    </row>
    <row r="33" customFormat="false" ht="13.5" hidden="false" customHeight="false" outlineLevel="0" collapsed="false">
      <c r="A33" s="7" t="n">
        <v>29</v>
      </c>
      <c r="B33" s="7"/>
      <c r="C33" s="7"/>
      <c r="D33" s="8"/>
      <c r="E33" s="7"/>
      <c r="F33" s="9"/>
    </row>
    <row r="34" customFormat="false" ht="13.5" hidden="false" customHeight="false" outlineLevel="0" collapsed="false">
      <c r="A34" s="7" t="n">
        <v>30</v>
      </c>
      <c r="B34" s="7"/>
      <c r="C34" s="7"/>
      <c r="D34" s="8"/>
      <c r="E34" s="7"/>
      <c r="F34" s="9"/>
    </row>
    <row r="35" customFormat="false" ht="13.5" hidden="false" customHeight="false" outlineLevel="0" collapsed="false">
      <c r="A35" s="7" t="n">
        <v>31</v>
      </c>
      <c r="B35" s="7"/>
      <c r="C35" s="7"/>
      <c r="D35" s="8"/>
      <c r="E35" s="7"/>
      <c r="F35" s="9"/>
    </row>
    <row r="36" customFormat="false" ht="13.5" hidden="false" customHeight="false" outlineLevel="0" collapsed="false">
      <c r="A36" s="7" t="n">
        <v>32</v>
      </c>
      <c r="B36" s="7"/>
      <c r="C36" s="7"/>
      <c r="D36" s="8"/>
      <c r="E36" s="7"/>
      <c r="F36" s="9"/>
    </row>
    <row r="37" customFormat="false" ht="13.5" hidden="false" customHeight="false" outlineLevel="0" collapsed="false">
      <c r="A37" s="7" t="n">
        <v>33</v>
      </c>
      <c r="B37" s="7"/>
      <c r="C37" s="7"/>
      <c r="D37" s="8"/>
      <c r="E37" s="7"/>
      <c r="F37" s="9"/>
    </row>
    <row r="38" customFormat="false" ht="13.5" hidden="false" customHeight="false" outlineLevel="0" collapsed="false">
      <c r="A38" s="7" t="n">
        <v>34</v>
      </c>
      <c r="B38" s="7"/>
      <c r="C38" s="7"/>
      <c r="D38" s="8"/>
      <c r="E38" s="7"/>
      <c r="F38" s="9"/>
    </row>
    <row r="39" customFormat="false" ht="13.5" hidden="false" customHeight="false" outlineLevel="0" collapsed="false">
      <c r="A39" s="7" t="n">
        <v>35</v>
      </c>
      <c r="B39" s="7"/>
      <c r="C39" s="7"/>
      <c r="D39" s="8"/>
      <c r="E39" s="7"/>
      <c r="F39" s="9"/>
    </row>
    <row r="40" customFormat="false" ht="13.5" hidden="false" customHeight="false" outlineLevel="0" collapsed="false">
      <c r="A40" s="7" t="n">
        <v>36</v>
      </c>
      <c r="B40" s="7"/>
      <c r="C40" s="7"/>
      <c r="D40" s="8"/>
      <c r="E40" s="7"/>
      <c r="F40" s="9"/>
    </row>
    <row r="41" customFormat="false" ht="13.5" hidden="false" customHeight="false" outlineLevel="0" collapsed="false">
      <c r="A41" s="7" t="n">
        <v>37</v>
      </c>
      <c r="B41" s="7"/>
      <c r="C41" s="7"/>
      <c r="D41" s="8"/>
      <c r="E41" s="7"/>
      <c r="F41" s="9"/>
    </row>
    <row r="42" customFormat="false" ht="13.5" hidden="false" customHeight="false" outlineLevel="0" collapsed="false">
      <c r="A42" s="7" t="n">
        <v>38</v>
      </c>
      <c r="B42" s="7"/>
      <c r="C42" s="7"/>
      <c r="D42" s="8"/>
      <c r="E42" s="7"/>
      <c r="F42" s="9"/>
    </row>
    <row r="43" customFormat="false" ht="13.5" hidden="false" customHeight="false" outlineLevel="0" collapsed="false">
      <c r="A43" s="7" t="n">
        <v>39</v>
      </c>
      <c r="B43" s="10"/>
      <c r="C43" s="7"/>
      <c r="D43" s="10"/>
      <c r="E43" s="10"/>
      <c r="F43" s="9"/>
    </row>
    <row r="44" customFormat="false" ht="13.5" hidden="false" customHeight="false" outlineLevel="0" collapsed="false">
      <c r="A44" s="7" t="n">
        <v>40</v>
      </c>
      <c r="B44" s="10"/>
      <c r="C44" s="7"/>
      <c r="D44" s="10"/>
      <c r="E44" s="10"/>
      <c r="F44" s="9"/>
    </row>
    <row r="45" customFormat="false" ht="13.5" hidden="false" customHeight="false" outlineLevel="0" collapsed="false">
      <c r="A45" s="7" t="n">
        <v>41</v>
      </c>
      <c r="B45" s="10"/>
      <c r="C45" s="7"/>
      <c r="D45" s="10"/>
      <c r="E45" s="10"/>
      <c r="F45" s="9"/>
    </row>
    <row r="46" customFormat="false" ht="13.5" hidden="false" customHeight="false" outlineLevel="0" collapsed="false">
      <c r="A46" s="7" t="n">
        <v>42</v>
      </c>
      <c r="B46" s="10"/>
      <c r="C46" s="7"/>
      <c r="D46" s="10"/>
      <c r="E46" s="10"/>
      <c r="F46" s="9"/>
    </row>
    <row r="47" customFormat="false" ht="13.5" hidden="false" customHeight="false" outlineLevel="0" collapsed="false">
      <c r="A47" s="7" t="n">
        <v>43</v>
      </c>
      <c r="B47" s="10"/>
      <c r="C47" s="7"/>
      <c r="D47" s="10"/>
      <c r="E47" s="10"/>
      <c r="F47" s="9"/>
    </row>
    <row r="48" customFormat="false" ht="13.5" hidden="false" customHeight="false" outlineLevel="0" collapsed="false">
      <c r="A48" s="7" t="n">
        <v>44</v>
      </c>
      <c r="B48" s="10"/>
      <c r="C48" s="7"/>
      <c r="D48" s="10"/>
      <c r="E48" s="10"/>
      <c r="F48" s="9"/>
    </row>
    <row r="49" customFormat="false" ht="13.5" hidden="false" customHeight="false" outlineLevel="0" collapsed="false">
      <c r="A49" s="7" t="n">
        <v>45</v>
      </c>
      <c r="B49" s="10"/>
      <c r="C49" s="7"/>
      <c r="D49" s="10"/>
      <c r="E49" s="10"/>
      <c r="F49" s="9"/>
    </row>
    <row r="50" customFormat="false" ht="13.5" hidden="false" customHeight="false" outlineLevel="0" collapsed="false">
      <c r="A50" s="7" t="n">
        <v>46</v>
      </c>
      <c r="B50" s="10"/>
      <c r="C50" s="7"/>
      <c r="D50" s="10"/>
      <c r="E50" s="10"/>
      <c r="F50" s="9"/>
    </row>
    <row r="51" customFormat="false" ht="13.5" hidden="false" customHeight="false" outlineLevel="0" collapsed="false">
      <c r="A51" s="7" t="n">
        <v>47</v>
      </c>
      <c r="B51" s="10"/>
      <c r="C51" s="7"/>
      <c r="D51" s="10"/>
      <c r="E51" s="10"/>
      <c r="F51" s="9"/>
    </row>
    <row r="52" customFormat="false" ht="13.5" hidden="false" customHeight="false" outlineLevel="0" collapsed="false">
      <c r="A52" s="7" t="n">
        <v>48</v>
      </c>
      <c r="B52" s="10"/>
      <c r="C52" s="7"/>
      <c r="D52" s="10"/>
      <c r="E52" s="10"/>
      <c r="F52" s="9"/>
    </row>
    <row r="53" customFormat="false" ht="13.5" hidden="false" customHeight="false" outlineLevel="0" collapsed="false">
      <c r="A53" s="7" t="n">
        <v>49</v>
      </c>
      <c r="B53" s="10"/>
      <c r="C53" s="7"/>
      <c r="D53" s="10"/>
      <c r="E53" s="10"/>
      <c r="F53" s="9"/>
    </row>
    <row r="54" customFormat="false" ht="13.5" hidden="false" customHeight="false" outlineLevel="0" collapsed="false">
      <c r="A54" s="7" t="n">
        <v>50</v>
      </c>
      <c r="B54" s="10"/>
      <c r="C54" s="7"/>
      <c r="D54" s="10"/>
      <c r="E54" s="10"/>
      <c r="F54" s="9"/>
    </row>
    <row r="55" customFormat="false" ht="13.5" hidden="false" customHeight="false" outlineLevel="0" collapsed="false">
      <c r="A55" s="7" t="n">
        <v>51</v>
      </c>
      <c r="B55" s="10"/>
      <c r="C55" s="7"/>
      <c r="D55" s="10"/>
      <c r="E55" s="10"/>
      <c r="F55" s="9"/>
    </row>
    <row r="56" customFormat="false" ht="13.5" hidden="false" customHeight="false" outlineLevel="0" collapsed="false">
      <c r="A56" s="7" t="n">
        <v>52</v>
      </c>
      <c r="B56" s="10"/>
      <c r="C56" s="7"/>
      <c r="D56" s="10"/>
      <c r="E56" s="10"/>
      <c r="F56" s="9"/>
    </row>
    <row r="57" customFormat="false" ht="13.5" hidden="false" customHeight="false" outlineLevel="0" collapsed="false">
      <c r="A57" s="7" t="n">
        <v>53</v>
      </c>
      <c r="B57" s="10"/>
      <c r="C57" s="7"/>
      <c r="D57" s="10"/>
      <c r="E57" s="10"/>
      <c r="F57" s="9"/>
    </row>
    <row r="58" customFormat="false" ht="13.5" hidden="false" customHeight="false" outlineLevel="0" collapsed="false">
      <c r="A58" s="7" t="n">
        <v>54</v>
      </c>
      <c r="B58" s="10"/>
      <c r="C58" s="7"/>
      <c r="D58" s="10"/>
      <c r="E58" s="10"/>
      <c r="F58" s="9"/>
    </row>
    <row r="59" customFormat="false" ht="13.5" hidden="false" customHeight="false" outlineLevel="0" collapsed="false">
      <c r="A59" s="7" t="n">
        <v>55</v>
      </c>
      <c r="B59" s="10"/>
      <c r="C59" s="7"/>
      <c r="D59" s="10"/>
      <c r="E59" s="10"/>
      <c r="F59" s="9"/>
    </row>
    <row r="60" customFormat="false" ht="13.5" hidden="false" customHeight="false" outlineLevel="0" collapsed="false">
      <c r="A60" s="7" t="n">
        <v>56</v>
      </c>
      <c r="B60" s="10"/>
      <c r="C60" s="7"/>
      <c r="D60" s="10"/>
      <c r="E60" s="10"/>
      <c r="F60" s="9"/>
    </row>
    <row r="61" customFormat="false" ht="13.5" hidden="false" customHeight="false" outlineLevel="0" collapsed="false">
      <c r="A61" s="7" t="n">
        <v>57</v>
      </c>
      <c r="B61" s="10"/>
      <c r="C61" s="7"/>
      <c r="D61" s="10"/>
      <c r="E61" s="10"/>
      <c r="F61" s="9"/>
    </row>
    <row r="62" customFormat="false" ht="13.5" hidden="false" customHeight="false" outlineLevel="0" collapsed="false">
      <c r="A62" s="7" t="n">
        <v>58</v>
      </c>
      <c r="B62" s="10"/>
      <c r="C62" s="7"/>
      <c r="D62" s="10"/>
      <c r="E62" s="10"/>
      <c r="F62" s="9"/>
    </row>
    <row r="63" customFormat="false" ht="13.5" hidden="false" customHeight="false" outlineLevel="0" collapsed="false">
      <c r="A63" s="7" t="n">
        <v>59</v>
      </c>
      <c r="B63" s="10"/>
      <c r="C63" s="7"/>
      <c r="D63" s="10"/>
      <c r="E63" s="10"/>
      <c r="F63" s="9"/>
    </row>
    <row r="64" customFormat="false" ht="13.5" hidden="false" customHeight="false" outlineLevel="0" collapsed="false">
      <c r="A64" s="7" t="n">
        <v>60</v>
      </c>
      <c r="B64" s="10"/>
      <c r="C64" s="7"/>
      <c r="D64" s="10"/>
      <c r="E64" s="10"/>
      <c r="F64" s="9"/>
    </row>
    <row r="65" customFormat="false" ht="13.5" hidden="false" customHeight="false" outlineLevel="0" collapsed="false">
      <c r="A65" s="7" t="n">
        <v>61</v>
      </c>
      <c r="B65" s="10"/>
      <c r="C65" s="7"/>
      <c r="D65" s="10"/>
      <c r="E65" s="10"/>
      <c r="F65" s="9"/>
    </row>
    <row r="66" customFormat="false" ht="13.5" hidden="false" customHeight="false" outlineLevel="0" collapsed="false">
      <c r="A66" s="7" t="n">
        <v>62</v>
      </c>
      <c r="B66" s="10"/>
      <c r="C66" s="7"/>
      <c r="D66" s="10"/>
      <c r="E66" s="10"/>
      <c r="F66" s="9"/>
    </row>
    <row r="67" customFormat="false" ht="13.5" hidden="false" customHeight="false" outlineLevel="0" collapsed="false">
      <c r="A67" s="7" t="n">
        <v>63</v>
      </c>
      <c r="B67" s="10"/>
      <c r="C67" s="7"/>
      <c r="D67" s="10"/>
      <c r="E67" s="10"/>
      <c r="F67" s="9"/>
    </row>
    <row r="68" customFormat="false" ht="13.5" hidden="false" customHeight="false" outlineLevel="0" collapsed="false">
      <c r="A68" s="7" t="n">
        <v>64</v>
      </c>
      <c r="B68" s="10"/>
      <c r="C68" s="7"/>
      <c r="D68" s="10"/>
      <c r="E68" s="10"/>
      <c r="F68" s="9"/>
    </row>
    <row r="69" customFormat="false" ht="13.5" hidden="false" customHeight="false" outlineLevel="0" collapsed="false">
      <c r="A69" s="7" t="n">
        <v>65</v>
      </c>
      <c r="B69" s="10"/>
      <c r="C69" s="7"/>
      <c r="D69" s="10"/>
      <c r="E69" s="10"/>
      <c r="F69" s="9"/>
    </row>
    <row r="70" customFormat="false" ht="13.5" hidden="false" customHeight="false" outlineLevel="0" collapsed="false">
      <c r="A70" s="7" t="n">
        <v>66</v>
      </c>
      <c r="B70" s="10"/>
      <c r="C70" s="7"/>
      <c r="D70" s="10"/>
      <c r="E70" s="10"/>
      <c r="F70" s="9"/>
    </row>
    <row r="71" customFormat="false" ht="13.5" hidden="false" customHeight="false" outlineLevel="0" collapsed="false">
      <c r="A71" s="7" t="n">
        <v>67</v>
      </c>
      <c r="B71" s="10"/>
      <c r="C71" s="7"/>
      <c r="D71" s="10"/>
      <c r="E71" s="10"/>
      <c r="F71" s="9"/>
    </row>
    <row r="72" customFormat="false" ht="13.5" hidden="false" customHeight="false" outlineLevel="0" collapsed="false">
      <c r="A72" s="7" t="n">
        <v>68</v>
      </c>
      <c r="B72" s="10"/>
      <c r="C72" s="7"/>
      <c r="D72" s="10"/>
      <c r="E72" s="10"/>
      <c r="F72" s="9"/>
    </row>
    <row r="73" customFormat="false" ht="13.5" hidden="false" customHeight="false" outlineLevel="0" collapsed="false">
      <c r="A73" s="7" t="n">
        <v>69</v>
      </c>
      <c r="B73" s="10"/>
      <c r="C73" s="7"/>
      <c r="D73" s="10"/>
      <c r="E73" s="10"/>
      <c r="F73" s="9"/>
    </row>
    <row r="74" customFormat="false" ht="13.5" hidden="false" customHeight="false" outlineLevel="0" collapsed="false">
      <c r="A74" s="7" t="n">
        <v>70</v>
      </c>
      <c r="B74" s="10"/>
      <c r="C74" s="7"/>
      <c r="D74" s="10"/>
      <c r="E74" s="10"/>
      <c r="F74" s="9"/>
    </row>
    <row r="75" customFormat="false" ht="13.5" hidden="false" customHeight="false" outlineLevel="0" collapsed="false">
      <c r="A75" s="7" t="n">
        <v>71</v>
      </c>
      <c r="B75" s="10"/>
      <c r="C75" s="7"/>
      <c r="D75" s="10"/>
      <c r="E75" s="10"/>
      <c r="F75" s="9"/>
    </row>
    <row r="76" customFormat="false" ht="13.5" hidden="false" customHeight="false" outlineLevel="0" collapsed="false">
      <c r="A76" s="7" t="n">
        <v>72</v>
      </c>
      <c r="B76" s="10"/>
      <c r="C76" s="7"/>
      <c r="D76" s="10"/>
      <c r="E76" s="10"/>
      <c r="F76" s="9"/>
    </row>
    <row r="77" customFormat="false" ht="13.5" hidden="false" customHeight="false" outlineLevel="0" collapsed="false">
      <c r="A77" s="7" t="n">
        <v>73</v>
      </c>
      <c r="B77" s="10"/>
      <c r="C77" s="7"/>
      <c r="D77" s="10"/>
      <c r="E77" s="10"/>
      <c r="F77" s="9"/>
    </row>
    <row r="78" customFormat="false" ht="13.5" hidden="false" customHeight="false" outlineLevel="0" collapsed="false">
      <c r="A78" s="7" t="n">
        <v>74</v>
      </c>
      <c r="B78" s="10"/>
      <c r="C78" s="7"/>
      <c r="D78" s="10"/>
      <c r="E78" s="10"/>
      <c r="F78" s="9"/>
    </row>
    <row r="79" customFormat="false" ht="13.5" hidden="false" customHeight="false" outlineLevel="0" collapsed="false">
      <c r="A79" s="7" t="n">
        <v>75</v>
      </c>
      <c r="B79" s="10"/>
      <c r="C79" s="7"/>
      <c r="D79" s="10"/>
      <c r="E79" s="10"/>
      <c r="F79" s="9"/>
    </row>
    <row r="80" customFormat="false" ht="13.5" hidden="false" customHeight="false" outlineLevel="0" collapsed="false">
      <c r="A80" s="7" t="n">
        <v>76</v>
      </c>
      <c r="B80" s="10"/>
      <c r="C80" s="7"/>
      <c r="D80" s="10"/>
      <c r="E80" s="10"/>
      <c r="F80" s="9"/>
    </row>
    <row r="81" customFormat="false" ht="13.5" hidden="false" customHeight="false" outlineLevel="0" collapsed="false">
      <c r="A81" s="7" t="n">
        <v>77</v>
      </c>
      <c r="B81" s="10"/>
      <c r="C81" s="7"/>
      <c r="D81" s="10"/>
      <c r="E81" s="10"/>
      <c r="F81" s="9"/>
    </row>
    <row r="82" customFormat="false" ht="13.5" hidden="false" customHeight="false" outlineLevel="0" collapsed="false">
      <c r="A82" s="7" t="n">
        <v>78</v>
      </c>
      <c r="B82" s="10"/>
      <c r="C82" s="7"/>
      <c r="D82" s="10"/>
      <c r="E82" s="10"/>
      <c r="F82" s="9"/>
    </row>
    <row r="83" customFormat="false" ht="13.5" hidden="false" customHeight="false" outlineLevel="0" collapsed="false">
      <c r="A83" s="7" t="n">
        <v>79</v>
      </c>
      <c r="B83" s="10"/>
      <c r="C83" s="7"/>
      <c r="D83" s="10"/>
      <c r="E83" s="10"/>
      <c r="F83" s="9"/>
    </row>
    <row r="84" customFormat="false" ht="13.5" hidden="false" customHeight="false" outlineLevel="0" collapsed="false">
      <c r="A84" s="7" t="n">
        <v>80</v>
      </c>
      <c r="B84" s="10"/>
      <c r="C84" s="7"/>
      <c r="D84" s="10"/>
      <c r="E84" s="10"/>
      <c r="F84" s="9"/>
    </row>
    <row r="85" customFormat="false" ht="13.5" hidden="false" customHeight="false" outlineLevel="0" collapsed="false">
      <c r="A85" s="7" t="n">
        <v>81</v>
      </c>
      <c r="B85" s="10"/>
      <c r="C85" s="7"/>
      <c r="D85" s="10"/>
      <c r="E85" s="10"/>
      <c r="F85" s="9"/>
    </row>
    <row r="86" customFormat="false" ht="13.5" hidden="false" customHeight="false" outlineLevel="0" collapsed="false">
      <c r="A86" s="7" t="n">
        <v>82</v>
      </c>
      <c r="B86" s="10"/>
      <c r="C86" s="7"/>
      <c r="D86" s="10"/>
      <c r="E86" s="10"/>
      <c r="F86" s="9"/>
    </row>
    <row r="87" customFormat="false" ht="13.5" hidden="false" customHeight="false" outlineLevel="0" collapsed="false">
      <c r="A87" s="7" t="n">
        <v>83</v>
      </c>
      <c r="B87" s="10"/>
      <c r="C87" s="7"/>
      <c r="D87" s="10"/>
      <c r="E87" s="10"/>
      <c r="F87" s="9"/>
    </row>
    <row r="88" customFormat="false" ht="13.5" hidden="false" customHeight="false" outlineLevel="0" collapsed="false">
      <c r="A88" s="7" t="n">
        <v>84</v>
      </c>
      <c r="B88" s="10"/>
      <c r="C88" s="7"/>
      <c r="D88" s="10"/>
      <c r="E88" s="10"/>
      <c r="F88" s="9"/>
    </row>
    <row r="89" customFormat="false" ht="13.5" hidden="false" customHeight="false" outlineLevel="0" collapsed="false">
      <c r="A89" s="7" t="n">
        <v>85</v>
      </c>
      <c r="B89" s="10"/>
      <c r="C89" s="7"/>
      <c r="D89" s="10"/>
      <c r="E89" s="10"/>
      <c r="F89" s="9"/>
    </row>
    <row r="90" customFormat="false" ht="13.5" hidden="false" customHeight="false" outlineLevel="0" collapsed="false">
      <c r="A90" s="7" t="n">
        <v>86</v>
      </c>
      <c r="B90" s="10"/>
      <c r="C90" s="7"/>
      <c r="D90" s="10"/>
      <c r="E90" s="10"/>
      <c r="F90" s="9"/>
    </row>
    <row r="91" customFormat="false" ht="13.5" hidden="false" customHeight="false" outlineLevel="0" collapsed="false">
      <c r="A91" s="7" t="n">
        <v>87</v>
      </c>
      <c r="B91" s="10"/>
      <c r="C91" s="7"/>
      <c r="D91" s="10"/>
      <c r="E91" s="10"/>
      <c r="F91" s="9"/>
    </row>
    <row r="92" customFormat="false" ht="13.5" hidden="false" customHeight="false" outlineLevel="0" collapsed="false">
      <c r="A92" s="7" t="n">
        <v>88</v>
      </c>
      <c r="B92" s="10"/>
      <c r="C92" s="7"/>
      <c r="D92" s="10"/>
      <c r="E92" s="10"/>
      <c r="F92" s="9"/>
    </row>
    <row r="93" customFormat="false" ht="13.5" hidden="false" customHeight="false" outlineLevel="0" collapsed="false">
      <c r="A93" s="7" t="n">
        <v>89</v>
      </c>
      <c r="B93" s="10"/>
      <c r="C93" s="7"/>
      <c r="D93" s="10"/>
      <c r="E93" s="10"/>
      <c r="F93" s="9"/>
    </row>
    <row r="94" customFormat="false" ht="13.5" hidden="false" customHeight="false" outlineLevel="0" collapsed="false">
      <c r="A94" s="7" t="n">
        <v>90</v>
      </c>
      <c r="B94" s="10"/>
      <c r="C94" s="7"/>
      <c r="D94" s="10"/>
      <c r="E94" s="10"/>
      <c r="F94" s="9"/>
    </row>
    <row r="95" customFormat="false" ht="13.5" hidden="false" customHeight="false" outlineLevel="0" collapsed="false">
      <c r="A95" s="7" t="n">
        <v>91</v>
      </c>
      <c r="B95" s="10"/>
      <c r="C95" s="7"/>
      <c r="D95" s="10"/>
      <c r="E95" s="10"/>
      <c r="F95" s="9"/>
    </row>
    <row r="96" customFormat="false" ht="13.5" hidden="false" customHeight="false" outlineLevel="0" collapsed="false">
      <c r="A96" s="7" t="n">
        <v>92</v>
      </c>
      <c r="B96" s="10"/>
      <c r="C96" s="7"/>
      <c r="D96" s="10"/>
      <c r="E96" s="10"/>
      <c r="F96" s="9"/>
    </row>
    <row r="97" customFormat="false" ht="13.5" hidden="false" customHeight="false" outlineLevel="0" collapsed="false">
      <c r="A97" s="7" t="n">
        <v>93</v>
      </c>
      <c r="B97" s="10"/>
      <c r="C97" s="7"/>
      <c r="D97" s="10"/>
      <c r="E97" s="10"/>
      <c r="F97" s="9"/>
    </row>
    <row r="98" customFormat="false" ht="13.5" hidden="false" customHeight="false" outlineLevel="0" collapsed="false">
      <c r="A98" s="7" t="n">
        <v>94</v>
      </c>
      <c r="B98" s="10"/>
      <c r="C98" s="7"/>
      <c r="D98" s="10"/>
      <c r="E98" s="10"/>
      <c r="F98" s="9"/>
    </row>
    <row r="99" customFormat="false" ht="13.5" hidden="false" customHeight="false" outlineLevel="0" collapsed="false">
      <c r="A99" s="7" t="n">
        <v>95</v>
      </c>
      <c r="B99" s="10"/>
      <c r="C99" s="7"/>
      <c r="D99" s="10"/>
      <c r="E99" s="10"/>
      <c r="F99" s="9"/>
    </row>
    <row r="100" customFormat="false" ht="13.5" hidden="false" customHeight="false" outlineLevel="0" collapsed="false">
      <c r="A100" s="7" t="n">
        <v>96</v>
      </c>
      <c r="B100" s="10"/>
      <c r="C100" s="7"/>
      <c r="D100" s="10"/>
      <c r="E100" s="10"/>
      <c r="F100" s="9"/>
    </row>
    <row r="101" customFormat="false" ht="13.5" hidden="false" customHeight="false" outlineLevel="0" collapsed="false">
      <c r="A101" s="7" t="n">
        <v>97</v>
      </c>
      <c r="B101" s="10"/>
      <c r="C101" s="7"/>
      <c r="D101" s="10"/>
      <c r="E101" s="10"/>
      <c r="F101" s="9"/>
    </row>
    <row r="102" customFormat="false" ht="13.5" hidden="false" customHeight="false" outlineLevel="0" collapsed="false">
      <c r="A102" s="7" t="n">
        <v>98</v>
      </c>
      <c r="B102" s="10"/>
      <c r="C102" s="7"/>
      <c r="D102" s="10"/>
      <c r="E102" s="10"/>
      <c r="F102" s="9"/>
    </row>
    <row r="103" customFormat="false" ht="13.5" hidden="false" customHeight="false" outlineLevel="0" collapsed="false">
      <c r="A103" s="7" t="n">
        <v>99</v>
      </c>
      <c r="B103" s="10"/>
      <c r="C103" s="7"/>
      <c r="D103" s="10"/>
      <c r="E103" s="10"/>
      <c r="F103" s="9"/>
    </row>
    <row r="104" customFormat="false" ht="13.5" hidden="false" customHeight="false" outlineLevel="0" collapsed="false">
      <c r="A104" s="7" t="n">
        <v>100</v>
      </c>
      <c r="B104" s="10"/>
      <c r="C104" s="7"/>
      <c r="D104" s="10"/>
      <c r="E104" s="10"/>
      <c r="F104" s="9"/>
    </row>
    <row r="105" customFormat="false" ht="13.5" hidden="false" customHeight="false" outlineLevel="0" collapsed="false">
      <c r="A105" s="7" t="n">
        <v>101</v>
      </c>
      <c r="B105" s="10"/>
      <c r="C105" s="7"/>
      <c r="D105" s="10"/>
      <c r="E105" s="10"/>
      <c r="F105" s="9"/>
    </row>
    <row r="106" customFormat="false" ht="13.5" hidden="false" customHeight="false" outlineLevel="0" collapsed="false">
      <c r="A106" s="7" t="n">
        <v>102</v>
      </c>
      <c r="B106" s="10"/>
      <c r="C106" s="7"/>
      <c r="D106" s="10"/>
      <c r="E106" s="10"/>
      <c r="F106" s="9"/>
    </row>
    <row r="107" customFormat="false" ht="13.5" hidden="false" customHeight="false" outlineLevel="0" collapsed="false">
      <c r="A107" s="7" t="n">
        <v>103</v>
      </c>
      <c r="B107" s="10"/>
      <c r="C107" s="7"/>
      <c r="D107" s="10"/>
      <c r="E107" s="10"/>
      <c r="F107" s="9"/>
    </row>
    <row r="108" customFormat="false" ht="13.5" hidden="false" customHeight="false" outlineLevel="0" collapsed="false">
      <c r="A108" s="7" t="n">
        <v>104</v>
      </c>
      <c r="B108" s="10"/>
      <c r="C108" s="7"/>
      <c r="D108" s="10"/>
      <c r="E108" s="10"/>
      <c r="F108" s="9"/>
    </row>
    <row r="109" customFormat="false" ht="13.5" hidden="false" customHeight="false" outlineLevel="0" collapsed="false">
      <c r="A109" s="7" t="n">
        <v>105</v>
      </c>
      <c r="B109" s="10"/>
      <c r="C109" s="7"/>
      <c r="D109" s="10"/>
      <c r="E109" s="10"/>
      <c r="F109" s="9"/>
    </row>
    <row r="110" customFormat="false" ht="13.5" hidden="false" customHeight="false" outlineLevel="0" collapsed="false">
      <c r="A110" s="7" t="n">
        <v>106</v>
      </c>
      <c r="B110" s="10"/>
      <c r="C110" s="7"/>
      <c r="D110" s="10"/>
      <c r="E110" s="10"/>
      <c r="F110" s="9"/>
    </row>
    <row r="111" customFormat="false" ht="13.5" hidden="false" customHeight="false" outlineLevel="0" collapsed="false">
      <c r="A111" s="7" t="n">
        <v>107</v>
      </c>
      <c r="B111" s="10"/>
      <c r="C111" s="7"/>
      <c r="D111" s="10"/>
      <c r="E111" s="10"/>
      <c r="F111" s="9"/>
    </row>
    <row r="112" customFormat="false" ht="13.5" hidden="false" customHeight="false" outlineLevel="0" collapsed="false">
      <c r="A112" s="7" t="n">
        <v>108</v>
      </c>
      <c r="B112" s="10"/>
      <c r="C112" s="7"/>
      <c r="D112" s="10"/>
      <c r="E112" s="10"/>
      <c r="F112" s="9"/>
    </row>
    <row r="113" customFormat="false" ht="13.5" hidden="false" customHeight="false" outlineLevel="0" collapsed="false">
      <c r="A113" s="7" t="n">
        <v>109</v>
      </c>
      <c r="B113" s="10"/>
      <c r="C113" s="7"/>
      <c r="D113" s="10"/>
      <c r="E113" s="10"/>
      <c r="F113" s="9"/>
    </row>
    <row r="114" customFormat="false" ht="13.5" hidden="false" customHeight="false" outlineLevel="0" collapsed="false">
      <c r="A114" s="7" t="n">
        <v>110</v>
      </c>
      <c r="B114" s="10"/>
      <c r="C114" s="7"/>
      <c r="D114" s="10"/>
      <c r="E114" s="10"/>
      <c r="F114" s="9"/>
    </row>
    <row r="115" customFormat="false" ht="13.5" hidden="false" customHeight="false" outlineLevel="0" collapsed="false">
      <c r="A115" s="7" t="n">
        <v>111</v>
      </c>
      <c r="B115" s="10"/>
      <c r="C115" s="7"/>
      <c r="D115" s="10"/>
      <c r="E115" s="10"/>
      <c r="F115" s="9"/>
    </row>
    <row r="116" customFormat="false" ht="13.5" hidden="false" customHeight="false" outlineLevel="0" collapsed="false">
      <c r="A116" s="7" t="n">
        <v>112</v>
      </c>
      <c r="B116" s="10"/>
      <c r="C116" s="7"/>
      <c r="D116" s="10"/>
      <c r="E116" s="10"/>
      <c r="F116" s="9"/>
    </row>
    <row r="117" customFormat="false" ht="13.5" hidden="false" customHeight="false" outlineLevel="0" collapsed="false">
      <c r="A117" s="7" t="n">
        <v>113</v>
      </c>
      <c r="B117" s="10"/>
      <c r="C117" s="7"/>
      <c r="D117" s="10"/>
      <c r="E117" s="10"/>
      <c r="F117" s="9"/>
    </row>
    <row r="118" customFormat="false" ht="13.5" hidden="false" customHeight="false" outlineLevel="0" collapsed="false">
      <c r="A118" s="7" t="n">
        <v>114</v>
      </c>
      <c r="B118" s="10"/>
      <c r="C118" s="7"/>
      <c r="D118" s="10"/>
      <c r="E118" s="10"/>
      <c r="F118" s="9"/>
    </row>
    <row r="119" customFormat="false" ht="13.5" hidden="false" customHeight="false" outlineLevel="0" collapsed="false">
      <c r="A119" s="7" t="n">
        <v>115</v>
      </c>
      <c r="B119" s="10"/>
      <c r="C119" s="7"/>
      <c r="D119" s="10"/>
      <c r="E119" s="10"/>
      <c r="F119" s="9"/>
    </row>
    <row r="120" customFormat="false" ht="13.5" hidden="false" customHeight="false" outlineLevel="0" collapsed="false">
      <c r="A120" s="7" t="n">
        <v>116</v>
      </c>
      <c r="B120" s="10"/>
      <c r="C120" s="7"/>
      <c r="D120" s="10"/>
      <c r="E120" s="10"/>
      <c r="F120" s="9"/>
    </row>
    <row r="121" customFormat="false" ht="13.5" hidden="false" customHeight="false" outlineLevel="0" collapsed="false">
      <c r="A121" s="7" t="n">
        <v>117</v>
      </c>
      <c r="B121" s="10"/>
      <c r="C121" s="7"/>
      <c r="D121" s="10"/>
      <c r="E121" s="10"/>
      <c r="F121" s="9"/>
    </row>
    <row r="122" customFormat="false" ht="13.5" hidden="false" customHeight="false" outlineLevel="0" collapsed="false">
      <c r="A122" s="7" t="n">
        <v>118</v>
      </c>
      <c r="B122" s="10"/>
      <c r="C122" s="7"/>
      <c r="D122" s="10"/>
      <c r="E122" s="10"/>
      <c r="F122" s="9"/>
    </row>
    <row r="123" customFormat="false" ht="13.5" hidden="false" customHeight="false" outlineLevel="0" collapsed="false">
      <c r="A123" s="7" t="n">
        <v>119</v>
      </c>
      <c r="B123" s="10"/>
      <c r="C123" s="7"/>
      <c r="D123" s="10"/>
      <c r="E123" s="10"/>
      <c r="F123" s="9"/>
    </row>
    <row r="124" customFormat="false" ht="13.5" hidden="false" customHeight="false" outlineLevel="0" collapsed="false">
      <c r="A124" s="7" t="n">
        <v>120</v>
      </c>
      <c r="B124" s="10"/>
      <c r="C124" s="7"/>
      <c r="D124" s="10"/>
      <c r="E124" s="10"/>
      <c r="F124" s="9"/>
    </row>
    <row r="125" customFormat="false" ht="13.5" hidden="false" customHeight="false" outlineLevel="0" collapsed="false">
      <c r="A125" s="7" t="n">
        <v>121</v>
      </c>
      <c r="B125" s="10"/>
      <c r="C125" s="7"/>
      <c r="D125" s="10"/>
      <c r="E125" s="10"/>
      <c r="F125" s="9"/>
    </row>
    <row r="126" customFormat="false" ht="13.5" hidden="false" customHeight="false" outlineLevel="0" collapsed="false">
      <c r="A126" s="7" t="n">
        <v>122</v>
      </c>
      <c r="B126" s="10"/>
      <c r="C126" s="7"/>
      <c r="D126" s="10"/>
      <c r="E126" s="10"/>
      <c r="F126" s="9"/>
    </row>
    <row r="127" customFormat="false" ht="13.5" hidden="false" customHeight="false" outlineLevel="0" collapsed="false">
      <c r="A127" s="7" t="n">
        <v>123</v>
      </c>
      <c r="B127" s="10"/>
      <c r="C127" s="7"/>
      <c r="D127" s="10"/>
      <c r="E127" s="10"/>
      <c r="F127" s="9"/>
    </row>
    <row r="128" customFormat="false" ht="13.5" hidden="false" customHeight="false" outlineLevel="0" collapsed="false">
      <c r="A128" s="7" t="n">
        <v>124</v>
      </c>
      <c r="B128" s="10"/>
      <c r="C128" s="7"/>
      <c r="D128" s="10"/>
      <c r="E128" s="10"/>
      <c r="F128" s="9"/>
    </row>
    <row r="129" customFormat="false" ht="13.5" hidden="false" customHeight="false" outlineLevel="0" collapsed="false">
      <c r="A129" s="7" t="n">
        <v>125</v>
      </c>
      <c r="B129" s="10"/>
      <c r="C129" s="7"/>
      <c r="D129" s="10"/>
      <c r="E129" s="10"/>
      <c r="F129" s="9"/>
    </row>
    <row r="130" customFormat="false" ht="13.5" hidden="false" customHeight="false" outlineLevel="0" collapsed="false">
      <c r="A130" s="7" t="n">
        <v>126</v>
      </c>
      <c r="B130" s="10"/>
      <c r="C130" s="7"/>
      <c r="D130" s="10"/>
      <c r="E130" s="10"/>
      <c r="F130" s="9"/>
    </row>
    <row r="131" customFormat="false" ht="13.5" hidden="false" customHeight="false" outlineLevel="0" collapsed="false">
      <c r="A131" s="7" t="n">
        <v>127</v>
      </c>
      <c r="B131" s="10"/>
      <c r="C131" s="7"/>
      <c r="D131" s="10"/>
      <c r="E131" s="10"/>
      <c r="F131" s="9"/>
    </row>
    <row r="132" customFormat="false" ht="13.5" hidden="false" customHeight="false" outlineLevel="0" collapsed="false">
      <c r="A132" s="7" t="n">
        <v>128</v>
      </c>
      <c r="B132" s="10"/>
      <c r="C132" s="7"/>
      <c r="D132" s="10"/>
      <c r="E132" s="10"/>
      <c r="F132" s="9"/>
    </row>
    <row r="133" customFormat="false" ht="13.5" hidden="false" customHeight="false" outlineLevel="0" collapsed="false">
      <c r="A133" s="7" t="n">
        <v>129</v>
      </c>
      <c r="B133" s="10"/>
      <c r="C133" s="7"/>
      <c r="D133" s="10"/>
      <c r="E133" s="10"/>
      <c r="F133" s="9"/>
    </row>
    <row r="134" customFormat="false" ht="13.5" hidden="false" customHeight="false" outlineLevel="0" collapsed="false">
      <c r="A134" s="7" t="n">
        <v>130</v>
      </c>
      <c r="B134" s="10"/>
      <c r="C134" s="7"/>
      <c r="D134" s="10"/>
      <c r="E134" s="10"/>
      <c r="F134" s="9"/>
    </row>
    <row r="135" customFormat="false" ht="13.5" hidden="false" customHeight="false" outlineLevel="0" collapsed="false">
      <c r="A135" s="7" t="n">
        <v>131</v>
      </c>
      <c r="B135" s="10"/>
      <c r="C135" s="7"/>
      <c r="D135" s="10"/>
      <c r="E135" s="10"/>
      <c r="F135" s="9"/>
    </row>
    <row r="136" customFormat="false" ht="13.5" hidden="false" customHeight="false" outlineLevel="0" collapsed="false">
      <c r="A136" s="7" t="n">
        <v>132</v>
      </c>
      <c r="B136" s="10"/>
      <c r="C136" s="7"/>
      <c r="D136" s="10"/>
      <c r="E136" s="10"/>
      <c r="F136" s="9"/>
    </row>
    <row r="137" customFormat="false" ht="13.5" hidden="false" customHeight="false" outlineLevel="0" collapsed="false">
      <c r="A137" s="7" t="n">
        <v>133</v>
      </c>
      <c r="B137" s="10"/>
      <c r="C137" s="7"/>
      <c r="D137" s="10"/>
      <c r="E137" s="10"/>
      <c r="F137" s="9"/>
    </row>
    <row r="138" customFormat="false" ht="13.5" hidden="false" customHeight="false" outlineLevel="0" collapsed="false">
      <c r="A138" s="7" t="n">
        <v>134</v>
      </c>
      <c r="B138" s="10"/>
      <c r="C138" s="7"/>
      <c r="D138" s="10"/>
      <c r="E138" s="10"/>
      <c r="F138" s="9"/>
    </row>
    <row r="139" customFormat="false" ht="13.5" hidden="false" customHeight="false" outlineLevel="0" collapsed="false">
      <c r="A139" s="7" t="n">
        <v>135</v>
      </c>
      <c r="B139" s="10"/>
      <c r="C139" s="7"/>
      <c r="D139" s="10"/>
      <c r="E139" s="10"/>
      <c r="F139" s="9"/>
    </row>
    <row r="140" customFormat="false" ht="13.5" hidden="false" customHeight="false" outlineLevel="0" collapsed="false">
      <c r="A140" s="7" t="n">
        <v>136</v>
      </c>
      <c r="B140" s="10"/>
      <c r="C140" s="7"/>
      <c r="D140" s="10"/>
      <c r="E140" s="10"/>
      <c r="F140" s="9"/>
    </row>
    <row r="141" customFormat="false" ht="13.5" hidden="false" customHeight="false" outlineLevel="0" collapsed="false">
      <c r="A141" s="7" t="n">
        <v>137</v>
      </c>
      <c r="B141" s="10"/>
      <c r="C141" s="7"/>
      <c r="D141" s="10"/>
      <c r="E141" s="10"/>
      <c r="F141" s="9"/>
    </row>
    <row r="142" customFormat="false" ht="13.5" hidden="false" customHeight="false" outlineLevel="0" collapsed="false">
      <c r="A142" s="7" t="n">
        <v>138</v>
      </c>
      <c r="B142" s="10"/>
      <c r="C142" s="7"/>
      <c r="D142" s="10"/>
      <c r="E142" s="10"/>
      <c r="F142" s="9"/>
    </row>
    <row r="143" customFormat="false" ht="13.5" hidden="false" customHeight="false" outlineLevel="0" collapsed="false">
      <c r="A143" s="7" t="n">
        <v>139</v>
      </c>
      <c r="B143" s="10"/>
      <c r="C143" s="7"/>
      <c r="D143" s="10"/>
      <c r="E143" s="10"/>
      <c r="F143" s="9"/>
    </row>
    <row r="144" customFormat="false" ht="13.5" hidden="false" customHeight="false" outlineLevel="0" collapsed="false">
      <c r="A144" s="7" t="n">
        <v>140</v>
      </c>
      <c r="B144" s="10"/>
      <c r="C144" s="7"/>
      <c r="D144" s="10"/>
      <c r="E144" s="10"/>
      <c r="F144" s="9"/>
    </row>
    <row r="145" customFormat="false" ht="13.5" hidden="false" customHeight="false" outlineLevel="0" collapsed="false">
      <c r="A145" s="7" t="n">
        <v>141</v>
      </c>
      <c r="B145" s="10"/>
      <c r="C145" s="7"/>
      <c r="D145" s="10"/>
      <c r="E145" s="10"/>
      <c r="F145" s="9"/>
    </row>
    <row r="146" customFormat="false" ht="13.5" hidden="false" customHeight="false" outlineLevel="0" collapsed="false">
      <c r="A146" s="7" t="n">
        <v>142</v>
      </c>
      <c r="B146" s="10"/>
      <c r="C146" s="7"/>
      <c r="D146" s="10"/>
      <c r="E146" s="10"/>
      <c r="F146" s="9"/>
    </row>
    <row r="147" customFormat="false" ht="13.5" hidden="false" customHeight="false" outlineLevel="0" collapsed="false">
      <c r="A147" s="7" t="n">
        <v>143</v>
      </c>
      <c r="B147" s="10"/>
      <c r="C147" s="7"/>
      <c r="D147" s="10"/>
      <c r="E147" s="10"/>
      <c r="F147" s="9"/>
    </row>
    <row r="148" customFormat="false" ht="13.5" hidden="false" customHeight="false" outlineLevel="0" collapsed="false">
      <c r="A148" s="7" t="n">
        <v>144</v>
      </c>
      <c r="B148" s="10"/>
      <c r="C148" s="7"/>
      <c r="D148" s="10"/>
      <c r="E148" s="10"/>
      <c r="F148" s="9"/>
    </row>
    <row r="149" customFormat="false" ht="13.5" hidden="false" customHeight="false" outlineLevel="0" collapsed="false">
      <c r="A149" s="7" t="n">
        <v>145</v>
      </c>
      <c r="B149" s="10"/>
      <c r="C149" s="7"/>
      <c r="D149" s="10"/>
      <c r="E149" s="10"/>
      <c r="F149" s="9"/>
    </row>
    <row r="150" customFormat="false" ht="13.5" hidden="false" customHeight="false" outlineLevel="0" collapsed="false">
      <c r="A150" s="7" t="n">
        <v>146</v>
      </c>
      <c r="B150" s="10"/>
      <c r="C150" s="7"/>
      <c r="D150" s="10"/>
      <c r="E150" s="10"/>
      <c r="F150" s="9"/>
    </row>
    <row r="151" customFormat="false" ht="13.5" hidden="false" customHeight="false" outlineLevel="0" collapsed="false">
      <c r="A151" s="7" t="n">
        <v>147</v>
      </c>
      <c r="B151" s="10"/>
      <c r="C151" s="7"/>
      <c r="D151" s="10"/>
      <c r="E151" s="10"/>
      <c r="F151" s="9"/>
    </row>
    <row r="152" customFormat="false" ht="13.5" hidden="false" customHeight="false" outlineLevel="0" collapsed="false">
      <c r="A152" s="7" t="n">
        <v>148</v>
      </c>
      <c r="B152" s="10"/>
      <c r="C152" s="7"/>
      <c r="D152" s="10"/>
      <c r="E152" s="10"/>
      <c r="F152" s="9"/>
    </row>
    <row r="153" customFormat="false" ht="13.5" hidden="false" customHeight="false" outlineLevel="0" collapsed="false">
      <c r="A153" s="7" t="n">
        <v>149</v>
      </c>
      <c r="B153" s="10"/>
      <c r="C153" s="7"/>
      <c r="D153" s="10"/>
      <c r="E153" s="10"/>
      <c r="F153" s="9"/>
    </row>
    <row r="154" customFormat="false" ht="13.5" hidden="false" customHeight="false" outlineLevel="0" collapsed="false">
      <c r="A154" s="7" t="n">
        <v>150</v>
      </c>
      <c r="B154" s="10"/>
      <c r="C154" s="7"/>
      <c r="D154" s="10"/>
      <c r="E154" s="10"/>
      <c r="F154" s="9"/>
    </row>
    <row r="155" customFormat="false" ht="13.5" hidden="false" customHeight="false" outlineLevel="0" collapsed="false">
      <c r="A155" s="7" t="n">
        <v>151</v>
      </c>
      <c r="B155" s="10"/>
      <c r="C155" s="7"/>
      <c r="D155" s="10"/>
      <c r="E155" s="10"/>
      <c r="F155" s="9"/>
    </row>
    <row r="156" customFormat="false" ht="13.5" hidden="false" customHeight="false" outlineLevel="0" collapsed="false">
      <c r="A156" s="7" t="n">
        <v>152</v>
      </c>
      <c r="B156" s="10"/>
      <c r="C156" s="7"/>
      <c r="D156" s="10"/>
      <c r="E156" s="10"/>
      <c r="F156" s="9"/>
    </row>
    <row r="157" customFormat="false" ht="13.5" hidden="false" customHeight="false" outlineLevel="0" collapsed="false">
      <c r="A157" s="7" t="n">
        <v>153</v>
      </c>
      <c r="B157" s="10"/>
      <c r="C157" s="7"/>
      <c r="D157" s="10"/>
      <c r="E157" s="10"/>
      <c r="F157" s="9"/>
    </row>
    <row r="158" customFormat="false" ht="13.5" hidden="false" customHeight="false" outlineLevel="0" collapsed="false">
      <c r="A158" s="7" t="n">
        <v>154</v>
      </c>
      <c r="B158" s="10"/>
      <c r="C158" s="7"/>
      <c r="D158" s="10"/>
      <c r="E158" s="10"/>
      <c r="F158" s="9"/>
    </row>
    <row r="159" customFormat="false" ht="13.5" hidden="false" customHeight="false" outlineLevel="0" collapsed="false">
      <c r="A159" s="7" t="n">
        <v>155</v>
      </c>
      <c r="B159" s="10"/>
      <c r="C159" s="7"/>
      <c r="D159" s="10"/>
      <c r="E159" s="10"/>
      <c r="F159" s="9"/>
    </row>
    <row r="160" customFormat="false" ht="13.5" hidden="false" customHeight="false" outlineLevel="0" collapsed="false">
      <c r="A160" s="7" t="n">
        <v>156</v>
      </c>
      <c r="B160" s="10"/>
      <c r="C160" s="7"/>
      <c r="D160" s="10"/>
      <c r="E160" s="10"/>
      <c r="F160" s="9"/>
    </row>
    <row r="161" customFormat="false" ht="13.5" hidden="false" customHeight="false" outlineLevel="0" collapsed="false">
      <c r="A161" s="7" t="n">
        <v>157</v>
      </c>
      <c r="B161" s="10"/>
      <c r="C161" s="7"/>
      <c r="D161" s="10"/>
      <c r="E161" s="10"/>
      <c r="F161" s="9"/>
    </row>
    <row r="162" customFormat="false" ht="13.5" hidden="false" customHeight="false" outlineLevel="0" collapsed="false">
      <c r="A162" s="7" t="n">
        <v>158</v>
      </c>
      <c r="B162" s="10"/>
      <c r="C162" s="7"/>
      <c r="D162" s="10"/>
      <c r="E162" s="10"/>
      <c r="F162" s="9"/>
    </row>
    <row r="163" customFormat="false" ht="13.5" hidden="false" customHeight="false" outlineLevel="0" collapsed="false">
      <c r="A163" s="7" t="n">
        <v>159</v>
      </c>
      <c r="B163" s="10"/>
      <c r="C163" s="7"/>
      <c r="D163" s="10"/>
      <c r="E163" s="10"/>
      <c r="F163" s="9"/>
    </row>
    <row r="164" customFormat="false" ht="13.5" hidden="false" customHeight="false" outlineLevel="0" collapsed="false">
      <c r="A164" s="7" t="n">
        <v>160</v>
      </c>
      <c r="B164" s="10"/>
      <c r="C164" s="7"/>
      <c r="D164" s="10"/>
      <c r="E164" s="10"/>
      <c r="F164" s="9"/>
    </row>
    <row r="165" customFormat="false" ht="13.5" hidden="false" customHeight="false" outlineLevel="0" collapsed="false">
      <c r="A165" s="7" t="n">
        <v>161</v>
      </c>
      <c r="B165" s="10"/>
      <c r="C165" s="7"/>
      <c r="D165" s="10"/>
      <c r="E165" s="10"/>
      <c r="F165" s="9"/>
    </row>
    <row r="166" customFormat="false" ht="13.5" hidden="false" customHeight="false" outlineLevel="0" collapsed="false">
      <c r="A166" s="7" t="n">
        <v>162</v>
      </c>
      <c r="B166" s="10"/>
      <c r="C166" s="7"/>
      <c r="D166" s="10"/>
      <c r="E166" s="10"/>
      <c r="F166" s="9"/>
    </row>
    <row r="167" customFormat="false" ht="13.5" hidden="false" customHeight="false" outlineLevel="0" collapsed="false">
      <c r="A167" s="7" t="n">
        <v>163</v>
      </c>
      <c r="B167" s="10"/>
      <c r="C167" s="7"/>
      <c r="D167" s="10"/>
      <c r="E167" s="10"/>
      <c r="F167" s="9"/>
    </row>
    <row r="168" customFormat="false" ht="13.5" hidden="false" customHeight="false" outlineLevel="0" collapsed="false">
      <c r="A168" s="7" t="n">
        <v>164</v>
      </c>
      <c r="B168" s="10"/>
      <c r="C168" s="7"/>
      <c r="D168" s="10"/>
      <c r="E168" s="10"/>
      <c r="F168" s="9"/>
    </row>
    <row r="169" customFormat="false" ht="13.5" hidden="false" customHeight="false" outlineLevel="0" collapsed="false">
      <c r="A169" s="7" t="n">
        <v>165</v>
      </c>
      <c r="B169" s="10"/>
      <c r="C169" s="7"/>
      <c r="D169" s="10"/>
      <c r="E169" s="10"/>
      <c r="F169" s="9"/>
    </row>
    <row r="170" customFormat="false" ht="13.5" hidden="false" customHeight="false" outlineLevel="0" collapsed="false">
      <c r="A170" s="7" t="n">
        <v>166</v>
      </c>
      <c r="B170" s="10"/>
      <c r="C170" s="7"/>
      <c r="D170" s="10"/>
      <c r="E170" s="10"/>
      <c r="F170" s="9"/>
    </row>
    <row r="171" customFormat="false" ht="13.5" hidden="false" customHeight="false" outlineLevel="0" collapsed="false">
      <c r="A171" s="7" t="n">
        <v>167</v>
      </c>
      <c r="B171" s="10"/>
      <c r="C171" s="7"/>
      <c r="D171" s="10"/>
      <c r="E171" s="10"/>
      <c r="F171" s="9"/>
    </row>
    <row r="172" customFormat="false" ht="13.5" hidden="false" customHeight="false" outlineLevel="0" collapsed="false">
      <c r="A172" s="7" t="n">
        <v>168</v>
      </c>
      <c r="B172" s="10"/>
      <c r="C172" s="7"/>
      <c r="D172" s="10"/>
      <c r="E172" s="10"/>
      <c r="F172" s="9"/>
    </row>
    <row r="173" customFormat="false" ht="13.5" hidden="false" customHeight="false" outlineLevel="0" collapsed="false">
      <c r="A173" s="7" t="n">
        <v>169</v>
      </c>
      <c r="B173" s="10"/>
      <c r="C173" s="7"/>
      <c r="D173" s="10"/>
      <c r="E173" s="10"/>
      <c r="F173" s="9"/>
    </row>
    <row r="174" customFormat="false" ht="13.5" hidden="false" customHeight="false" outlineLevel="0" collapsed="false">
      <c r="A174" s="7" t="n">
        <v>170</v>
      </c>
      <c r="B174" s="10"/>
      <c r="C174" s="7"/>
      <c r="D174" s="10"/>
      <c r="E174" s="10"/>
      <c r="F174" s="9"/>
    </row>
    <row r="175" customFormat="false" ht="13.5" hidden="false" customHeight="false" outlineLevel="0" collapsed="false">
      <c r="A175" s="7" t="n">
        <v>171</v>
      </c>
      <c r="B175" s="10"/>
      <c r="C175" s="7"/>
      <c r="D175" s="10"/>
      <c r="E175" s="10"/>
      <c r="F175" s="9"/>
    </row>
    <row r="176" customFormat="false" ht="13.5" hidden="false" customHeight="false" outlineLevel="0" collapsed="false">
      <c r="A176" s="7" t="n">
        <v>172</v>
      </c>
      <c r="B176" s="10"/>
      <c r="C176" s="7"/>
      <c r="D176" s="10"/>
      <c r="E176" s="10"/>
      <c r="F176" s="9"/>
    </row>
    <row r="177" customFormat="false" ht="13.5" hidden="false" customHeight="false" outlineLevel="0" collapsed="false">
      <c r="A177" s="7" t="n">
        <v>173</v>
      </c>
      <c r="B177" s="10"/>
      <c r="C177" s="7"/>
      <c r="D177" s="10"/>
      <c r="E177" s="10"/>
      <c r="F177" s="9"/>
    </row>
    <row r="178" customFormat="false" ht="13.5" hidden="false" customHeight="false" outlineLevel="0" collapsed="false">
      <c r="A178" s="7" t="n">
        <v>174</v>
      </c>
      <c r="B178" s="10"/>
      <c r="C178" s="7"/>
      <c r="D178" s="10"/>
      <c r="E178" s="10"/>
      <c r="F178" s="9"/>
    </row>
    <row r="179" customFormat="false" ht="13.5" hidden="false" customHeight="false" outlineLevel="0" collapsed="false">
      <c r="A179" s="7" t="n">
        <v>175</v>
      </c>
      <c r="B179" s="10"/>
      <c r="C179" s="7"/>
      <c r="D179" s="10"/>
      <c r="E179" s="10"/>
      <c r="F179" s="9"/>
    </row>
    <row r="180" customFormat="false" ht="13.5" hidden="false" customHeight="false" outlineLevel="0" collapsed="false">
      <c r="A180" s="7" t="n">
        <v>176</v>
      </c>
      <c r="B180" s="10"/>
      <c r="C180" s="7"/>
      <c r="D180" s="10"/>
      <c r="E180" s="10"/>
      <c r="F180" s="9"/>
    </row>
    <row r="181" customFormat="false" ht="13.5" hidden="false" customHeight="false" outlineLevel="0" collapsed="false">
      <c r="A181" s="7" t="n">
        <v>177</v>
      </c>
      <c r="B181" s="10"/>
      <c r="C181" s="7"/>
      <c r="D181" s="10"/>
      <c r="E181" s="10"/>
      <c r="F181" s="9"/>
    </row>
    <row r="182" customFormat="false" ht="13.5" hidden="false" customHeight="false" outlineLevel="0" collapsed="false">
      <c r="A182" s="7" t="n">
        <v>178</v>
      </c>
      <c r="B182" s="10"/>
      <c r="C182" s="7"/>
      <c r="D182" s="10"/>
      <c r="E182" s="10"/>
      <c r="F182" s="9"/>
    </row>
    <row r="183" customFormat="false" ht="13.5" hidden="false" customHeight="false" outlineLevel="0" collapsed="false">
      <c r="A183" s="7" t="n">
        <v>179</v>
      </c>
      <c r="B183" s="10"/>
      <c r="C183" s="7"/>
      <c r="D183" s="10"/>
      <c r="E183" s="10"/>
      <c r="F183" s="9"/>
    </row>
    <row r="184" customFormat="false" ht="13.5" hidden="false" customHeight="false" outlineLevel="0" collapsed="false">
      <c r="A184" s="7" t="n">
        <v>180</v>
      </c>
      <c r="B184" s="10"/>
      <c r="C184" s="7"/>
      <c r="D184" s="10"/>
      <c r="E184" s="10"/>
      <c r="F184" s="9"/>
    </row>
    <row r="185" customFormat="false" ht="13.5" hidden="false" customHeight="false" outlineLevel="0" collapsed="false">
      <c r="A185" s="7" t="n">
        <v>181</v>
      </c>
      <c r="B185" s="10"/>
      <c r="C185" s="7"/>
      <c r="D185" s="10"/>
      <c r="E185" s="10"/>
      <c r="F185" s="9"/>
    </row>
    <row r="186" customFormat="false" ht="13.5" hidden="false" customHeight="false" outlineLevel="0" collapsed="false">
      <c r="A186" s="7" t="n">
        <v>182</v>
      </c>
      <c r="B186" s="10"/>
      <c r="C186" s="7"/>
      <c r="D186" s="10"/>
      <c r="E186" s="10"/>
      <c r="F186" s="9"/>
    </row>
    <row r="187" customFormat="false" ht="13.5" hidden="false" customHeight="false" outlineLevel="0" collapsed="false">
      <c r="A187" s="7" t="n">
        <v>183</v>
      </c>
      <c r="B187" s="10"/>
      <c r="C187" s="7"/>
      <c r="D187" s="10"/>
      <c r="E187" s="10"/>
      <c r="F187" s="9"/>
    </row>
    <row r="188" customFormat="false" ht="13.5" hidden="false" customHeight="false" outlineLevel="0" collapsed="false">
      <c r="A188" s="7" t="n">
        <v>184</v>
      </c>
      <c r="B188" s="10"/>
      <c r="C188" s="7"/>
      <c r="D188" s="10"/>
      <c r="E188" s="10"/>
      <c r="F188" s="9"/>
    </row>
    <row r="189" customFormat="false" ht="13.5" hidden="false" customHeight="false" outlineLevel="0" collapsed="false">
      <c r="A189" s="7" t="n">
        <v>185</v>
      </c>
      <c r="B189" s="10"/>
      <c r="C189" s="7"/>
      <c r="D189" s="10"/>
      <c r="E189" s="10"/>
      <c r="F189" s="9"/>
    </row>
    <row r="190" customFormat="false" ht="13.5" hidden="false" customHeight="false" outlineLevel="0" collapsed="false">
      <c r="A190" s="7" t="n">
        <v>186</v>
      </c>
      <c r="B190" s="10"/>
      <c r="C190" s="7"/>
      <c r="D190" s="10"/>
      <c r="E190" s="10"/>
      <c r="F190" s="9"/>
    </row>
    <row r="191" customFormat="false" ht="13.5" hidden="false" customHeight="false" outlineLevel="0" collapsed="false">
      <c r="A191" s="7" t="n">
        <v>187</v>
      </c>
      <c r="B191" s="10"/>
      <c r="C191" s="7"/>
      <c r="D191" s="10"/>
      <c r="E191" s="10"/>
      <c r="F191" s="9"/>
    </row>
    <row r="192" customFormat="false" ht="13.5" hidden="false" customHeight="false" outlineLevel="0" collapsed="false">
      <c r="A192" s="7" t="n">
        <v>188</v>
      </c>
      <c r="B192" s="10"/>
      <c r="C192" s="7"/>
      <c r="D192" s="10"/>
      <c r="E192" s="10"/>
      <c r="F192" s="9"/>
    </row>
    <row r="193" customFormat="false" ht="13.5" hidden="false" customHeight="false" outlineLevel="0" collapsed="false">
      <c r="A193" s="7" t="n">
        <v>189</v>
      </c>
      <c r="B193" s="10"/>
      <c r="C193" s="7"/>
      <c r="D193" s="10"/>
      <c r="E193" s="10"/>
      <c r="F193" s="9"/>
    </row>
    <row r="194" customFormat="false" ht="13.5" hidden="false" customHeight="false" outlineLevel="0" collapsed="false">
      <c r="A194" s="7" t="n">
        <v>190</v>
      </c>
      <c r="B194" s="10"/>
      <c r="C194" s="7"/>
      <c r="D194" s="10"/>
      <c r="E194" s="10"/>
      <c r="F194" s="9"/>
    </row>
    <row r="195" customFormat="false" ht="13.5" hidden="false" customHeight="false" outlineLevel="0" collapsed="false">
      <c r="A195" s="7" t="n">
        <v>191</v>
      </c>
      <c r="B195" s="10"/>
      <c r="C195" s="7"/>
      <c r="D195" s="10"/>
      <c r="E195" s="10"/>
      <c r="F195" s="9"/>
    </row>
    <row r="196" customFormat="false" ht="13.5" hidden="false" customHeight="false" outlineLevel="0" collapsed="false">
      <c r="A196" s="7" t="n">
        <v>192</v>
      </c>
      <c r="B196" s="10"/>
      <c r="C196" s="7"/>
      <c r="D196" s="10"/>
      <c r="E196" s="10"/>
      <c r="F196" s="9"/>
    </row>
    <row r="197" customFormat="false" ht="13.5" hidden="false" customHeight="false" outlineLevel="0" collapsed="false">
      <c r="A197" s="7" t="n">
        <v>193</v>
      </c>
      <c r="B197" s="10"/>
      <c r="C197" s="7"/>
      <c r="D197" s="10"/>
      <c r="E197" s="10"/>
      <c r="F197" s="9"/>
    </row>
    <row r="198" customFormat="false" ht="13.5" hidden="false" customHeight="false" outlineLevel="0" collapsed="false">
      <c r="A198" s="7" t="n">
        <v>194</v>
      </c>
      <c r="B198" s="10"/>
      <c r="C198" s="7"/>
      <c r="D198" s="10"/>
      <c r="E198" s="10"/>
      <c r="F198" s="9"/>
    </row>
    <row r="199" customFormat="false" ht="13.5" hidden="false" customHeight="false" outlineLevel="0" collapsed="false">
      <c r="A199" s="7" t="n">
        <v>195</v>
      </c>
      <c r="B199" s="10"/>
      <c r="C199" s="7"/>
      <c r="D199" s="10"/>
      <c r="E199" s="10"/>
      <c r="F199" s="9"/>
    </row>
    <row r="200" customFormat="false" ht="13.5" hidden="false" customHeight="false" outlineLevel="0" collapsed="false">
      <c r="A200" s="7" t="n">
        <v>196</v>
      </c>
      <c r="B200" s="10"/>
      <c r="C200" s="7"/>
      <c r="D200" s="10"/>
      <c r="E200" s="10"/>
      <c r="F200" s="9"/>
    </row>
    <row r="201" customFormat="false" ht="13.5" hidden="false" customHeight="false" outlineLevel="0" collapsed="false">
      <c r="A201" s="7" t="n">
        <v>197</v>
      </c>
      <c r="B201" s="10"/>
      <c r="C201" s="7"/>
      <c r="D201" s="10"/>
      <c r="E201" s="10"/>
      <c r="F201" s="9"/>
    </row>
    <row r="202" customFormat="false" ht="13.5" hidden="false" customHeight="false" outlineLevel="0" collapsed="false">
      <c r="A202" s="7" t="n">
        <v>198</v>
      </c>
      <c r="B202" s="10"/>
      <c r="C202" s="7"/>
      <c r="D202" s="10"/>
      <c r="E202" s="10"/>
      <c r="F202" s="9"/>
    </row>
    <row r="203" customFormat="false" ht="13.5" hidden="false" customHeight="false" outlineLevel="0" collapsed="false">
      <c r="A203" s="7" t="n">
        <v>199</v>
      </c>
      <c r="B203" s="10"/>
      <c r="C203" s="7"/>
      <c r="D203" s="10"/>
      <c r="E203" s="10"/>
      <c r="F203" s="9"/>
    </row>
  </sheetData>
  <mergeCells count="1"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46" activeCellId="0" sqref="B46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11.44"/>
    <col collapsed="false" customWidth="true" hidden="false" outlineLevel="0" max="3" min="3" style="11" width="14.33"/>
    <col collapsed="false" customWidth="true" hidden="false" outlineLevel="0" max="4" min="4" style="0" width="7.44"/>
    <col collapsed="false" customWidth="true" hidden="false" outlineLevel="0" max="5" min="5" style="0" width="5.66"/>
    <col collapsed="false" customWidth="true" hidden="false" outlineLevel="0" max="6" min="6" style="0" width="8.34"/>
    <col collapsed="false" customWidth="true" hidden="false" outlineLevel="0" max="7" min="7" style="0" width="5.33"/>
    <col collapsed="false" customWidth="true" hidden="false" outlineLevel="0" max="8" min="8" style="0" width="30.56"/>
    <col collapsed="false" customWidth="true" hidden="false" outlineLevel="0" max="9" min="9" style="0" width="6"/>
    <col collapsed="false" customWidth="true" hidden="false" outlineLevel="0" max="10" min="10" style="0" width="8.34"/>
    <col collapsed="false" customWidth="true" hidden="false" outlineLevel="0" max="11" min="11" style="0" width="8.67"/>
    <col collapsed="false" customWidth="true" hidden="false" outlineLevel="0" max="12" min="12" style="0" width="6.88"/>
  </cols>
  <sheetData>
    <row r="1" customFormat="false" ht="14.25" hidden="false" customHeight="false" outlineLevel="0" collapsed="false">
      <c r="A1" s="12" t="s">
        <v>35</v>
      </c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4.25" hidden="true" customHeight="false" outlineLevel="0" collapsed="false">
      <c r="A2" s="14" t="s">
        <v>36</v>
      </c>
      <c r="B2" s="14"/>
      <c r="C2" s="14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4.25" hidden="true" customHeight="false" outlineLevel="0" collapsed="false">
      <c r="A3" s="15" t="s">
        <v>37</v>
      </c>
      <c r="B3" s="15"/>
      <c r="C3" s="16" t="s">
        <v>38</v>
      </c>
      <c r="D3" s="13"/>
      <c r="E3" s="13"/>
      <c r="F3" s="13"/>
      <c r="G3" s="13"/>
      <c r="H3" s="13"/>
      <c r="I3" s="13"/>
      <c r="J3" s="13"/>
      <c r="K3" s="13"/>
      <c r="L3" s="13"/>
    </row>
    <row r="4" customFormat="false" ht="14.25" hidden="true" customHeight="false" outlineLevel="0" collapsed="false">
      <c r="A4" s="17" t="s">
        <v>39</v>
      </c>
      <c r="B4" s="17"/>
      <c r="C4" s="16" t="n">
        <v>2</v>
      </c>
      <c r="D4" s="13"/>
      <c r="E4" s="13"/>
      <c r="F4" s="13"/>
      <c r="G4" s="13"/>
      <c r="H4" s="13"/>
      <c r="I4" s="13"/>
      <c r="J4" s="13"/>
      <c r="K4" s="13"/>
      <c r="L4" s="13"/>
    </row>
    <row r="5" customFormat="false" ht="14.25" hidden="true" customHeight="false" outlineLevel="0" collapsed="false">
      <c r="A5" s="17" t="s">
        <v>40</v>
      </c>
      <c r="B5" s="17"/>
      <c r="C5" s="16" t="n">
        <v>4</v>
      </c>
      <c r="D5" s="13"/>
      <c r="E5" s="13"/>
      <c r="F5" s="13"/>
      <c r="G5" s="13"/>
      <c r="H5" s="13"/>
      <c r="I5" s="13"/>
      <c r="J5" s="13"/>
      <c r="K5" s="13"/>
      <c r="L5" s="13"/>
    </row>
    <row r="6" customFormat="false" ht="14.25" hidden="true" customHeight="false" outlineLevel="0" collapsed="false">
      <c r="A6" s="17" t="s">
        <v>41</v>
      </c>
      <c r="B6" s="17"/>
      <c r="C6" s="16" t="n">
        <v>3</v>
      </c>
      <c r="D6" s="13"/>
      <c r="E6" s="13"/>
      <c r="F6" s="13"/>
      <c r="G6" s="13"/>
      <c r="H6" s="13"/>
      <c r="I6" s="13"/>
      <c r="J6" s="13"/>
      <c r="K6" s="13"/>
      <c r="L6" s="13"/>
    </row>
    <row r="7" customFormat="false" ht="14.25" hidden="true" customHeight="false" outlineLevel="0" collapsed="false">
      <c r="A7" s="17" t="s">
        <v>42</v>
      </c>
      <c r="B7" s="17"/>
      <c r="C7" s="16" t="n">
        <v>1</v>
      </c>
      <c r="D7" s="13"/>
      <c r="E7" s="13"/>
      <c r="F7" s="13"/>
      <c r="G7" s="13"/>
      <c r="H7" s="13"/>
      <c r="I7" s="13"/>
      <c r="J7" s="13"/>
      <c r="K7" s="13"/>
      <c r="L7" s="13"/>
    </row>
    <row r="8" customFormat="false" ht="14.25" hidden="true" customHeight="false" outlineLevel="0" collapsed="false">
      <c r="A8" s="17"/>
      <c r="B8" s="17"/>
      <c r="C8" s="18" t="n">
        <f aca="false">SUM(C4:C7)</f>
        <v>10</v>
      </c>
      <c r="D8" s="13"/>
      <c r="E8" s="13"/>
      <c r="F8" s="13"/>
      <c r="G8" s="13"/>
      <c r="H8" s="13"/>
      <c r="I8" s="13"/>
      <c r="J8" s="13"/>
      <c r="K8" s="13"/>
      <c r="L8" s="13"/>
    </row>
    <row r="9" customFormat="false" ht="14.25" hidden="false" customHeight="false" outlineLevel="0" collapsed="false">
      <c r="A9" s="19" t="s">
        <v>43</v>
      </c>
      <c r="B9" s="19"/>
      <c r="C9" s="19"/>
      <c r="D9" s="13"/>
      <c r="E9" s="13"/>
      <c r="F9" s="13"/>
      <c r="G9" s="13"/>
      <c r="H9" s="20" t="s">
        <v>44</v>
      </c>
      <c r="I9" s="21" t="s">
        <v>45</v>
      </c>
      <c r="J9" s="22"/>
      <c r="K9" s="22"/>
    </row>
    <row r="10" customFormat="false" ht="14.25" hidden="false" customHeight="false" outlineLevel="0" collapsed="false">
      <c r="A10" s="23" t="n">
        <v>0</v>
      </c>
      <c r="B10" s="23" t="n">
        <v>0</v>
      </c>
      <c r="C10" s="24" t="n">
        <v>0</v>
      </c>
      <c r="D10" s="13"/>
      <c r="E10" s="13"/>
      <c r="F10" s="13"/>
      <c r="G10" s="13"/>
      <c r="H10" s="25" t="s">
        <v>46</v>
      </c>
      <c r="I10" s="26" t="n">
        <v>0.3</v>
      </c>
      <c r="J10" s="27"/>
      <c r="K10" s="27"/>
      <c r="L10" s="28"/>
    </row>
    <row r="11" customFormat="false" ht="14.25" hidden="false" customHeight="false" outlineLevel="0" collapsed="false">
      <c r="A11" s="23" t="n">
        <v>0</v>
      </c>
      <c r="B11" s="23" t="n">
        <v>0</v>
      </c>
      <c r="C11" s="24" t="n">
        <v>0</v>
      </c>
      <c r="D11" s="13"/>
      <c r="E11" s="13"/>
      <c r="F11" s="13"/>
      <c r="G11" s="13"/>
      <c r="H11" s="29" t="s">
        <v>43</v>
      </c>
      <c r="I11" s="30" t="n">
        <v>0</v>
      </c>
      <c r="J11" s="27"/>
      <c r="K11" s="27"/>
      <c r="L11" s="28"/>
    </row>
    <row r="12" customFormat="false" ht="14.25" hidden="false" customHeight="false" outlineLevel="0" collapsed="false">
      <c r="A12" s="23" t="n">
        <v>0</v>
      </c>
      <c r="B12" s="23" t="n">
        <v>0</v>
      </c>
      <c r="C12" s="24" t="n">
        <v>0</v>
      </c>
      <c r="D12" s="13"/>
      <c r="E12" s="13"/>
      <c r="F12" s="13"/>
      <c r="G12" s="13"/>
      <c r="H12" s="29" t="s">
        <v>47</v>
      </c>
      <c r="I12" s="30" t="n">
        <v>0.2</v>
      </c>
      <c r="J12" s="27"/>
      <c r="K12" s="27"/>
    </row>
    <row r="13" customFormat="false" ht="14.25" hidden="false" customHeight="false" outlineLevel="0" collapsed="false">
      <c r="A13" s="23" t="n">
        <v>0</v>
      </c>
      <c r="B13" s="23" t="n">
        <v>0</v>
      </c>
      <c r="C13" s="24" t="n">
        <v>0</v>
      </c>
      <c r="D13" s="13"/>
      <c r="E13" s="13"/>
      <c r="F13" s="13"/>
      <c r="G13" s="13"/>
      <c r="H13" s="29" t="s">
        <v>48</v>
      </c>
      <c r="I13" s="30" t="n">
        <v>0.05</v>
      </c>
      <c r="J13" s="27"/>
      <c r="K13" s="27"/>
    </row>
    <row r="14" customFormat="false" ht="14.25" hidden="false" customHeight="false" outlineLevel="0" collapsed="false">
      <c r="A14" s="17"/>
      <c r="B14" s="17"/>
      <c r="C14" s="31" t="n">
        <f aca="false">SUM(C10:C13)</f>
        <v>0</v>
      </c>
      <c r="D14" s="13"/>
      <c r="E14" s="13"/>
      <c r="F14" s="13"/>
      <c r="G14" s="13"/>
      <c r="H14" s="29" t="s">
        <v>49</v>
      </c>
      <c r="I14" s="30" t="n">
        <v>0.05</v>
      </c>
      <c r="J14" s="27"/>
      <c r="K14" s="27"/>
    </row>
    <row r="15" customFormat="false" ht="14.25" hidden="false" customHeight="false" outlineLevel="0" collapsed="false">
      <c r="A15" s="32" t="s">
        <v>50</v>
      </c>
      <c r="B15" s="32"/>
      <c r="C15" s="32"/>
      <c r="D15" s="13"/>
      <c r="E15" s="13"/>
      <c r="F15" s="13"/>
      <c r="G15" s="13"/>
      <c r="H15" s="33" t="s">
        <v>51</v>
      </c>
      <c r="I15" s="30" t="n">
        <v>0.1</v>
      </c>
      <c r="J15" s="27"/>
      <c r="K15" s="27"/>
    </row>
    <row r="16" customFormat="false" ht="14.25" hidden="false" customHeight="false" outlineLevel="0" collapsed="false">
      <c r="A16" s="23" t="n">
        <v>0</v>
      </c>
      <c r="B16" s="23" t="n">
        <v>1000000</v>
      </c>
      <c r="C16" s="24" t="n">
        <v>0</v>
      </c>
      <c r="D16" s="13"/>
      <c r="E16" s="13"/>
      <c r="F16" s="13"/>
      <c r="G16" s="13"/>
      <c r="H16" s="29" t="s">
        <v>52</v>
      </c>
      <c r="I16" s="30" t="n">
        <v>0.15</v>
      </c>
      <c r="J16" s="27"/>
      <c r="K16" s="27"/>
    </row>
    <row r="17" customFormat="false" ht="14.25" hidden="false" customHeight="false" outlineLevel="0" collapsed="false">
      <c r="A17" s="23" t="n">
        <v>1000000</v>
      </c>
      <c r="B17" s="23" t="n">
        <v>5000000</v>
      </c>
      <c r="C17" s="24" t="n">
        <v>1</v>
      </c>
      <c r="D17" s="13"/>
      <c r="E17" s="13"/>
      <c r="F17" s="13"/>
      <c r="G17" s="13"/>
      <c r="H17" s="34" t="s">
        <v>53</v>
      </c>
      <c r="I17" s="30" t="n">
        <v>0.1</v>
      </c>
      <c r="J17" s="27"/>
      <c r="K17" s="27"/>
      <c r="L17" s="13"/>
    </row>
    <row r="18" customFormat="false" ht="14.25" hidden="false" customHeight="false" outlineLevel="0" collapsed="false">
      <c r="A18" s="23" t="n">
        <v>5000000</v>
      </c>
      <c r="B18" s="23" t="n">
        <v>10000000</v>
      </c>
      <c r="C18" s="24" t="n">
        <v>3</v>
      </c>
      <c r="D18" s="13"/>
      <c r="E18" s="13"/>
      <c r="F18" s="13"/>
      <c r="G18" s="13"/>
      <c r="H18" s="35" t="s">
        <v>54</v>
      </c>
      <c r="I18" s="36" t="n">
        <v>0.05</v>
      </c>
      <c r="J18" s="37"/>
      <c r="K18" s="27"/>
      <c r="L18" s="13"/>
    </row>
    <row r="19" customFormat="false" ht="14.25" hidden="false" customHeight="false" outlineLevel="0" collapsed="false">
      <c r="A19" s="23" t="n">
        <v>10000000</v>
      </c>
      <c r="B19" s="24"/>
      <c r="C19" s="24" t="n">
        <v>6</v>
      </c>
      <c r="D19" s="13"/>
      <c r="E19" s="13"/>
      <c r="F19" s="13"/>
      <c r="G19" s="13"/>
      <c r="H19" s="38"/>
      <c r="I19" s="39"/>
      <c r="J19" s="37"/>
      <c r="K19" s="27"/>
      <c r="L19" s="13"/>
    </row>
    <row r="20" customFormat="false" ht="14.25" hidden="false" customHeight="false" outlineLevel="0" collapsed="false">
      <c r="A20" s="40"/>
      <c r="B20" s="40"/>
      <c r="C20" s="41" t="n">
        <f aca="false">SUM(C16:C19)</f>
        <v>10</v>
      </c>
      <c r="D20" s="13"/>
      <c r="E20" s="13"/>
      <c r="F20" s="13"/>
      <c r="G20" s="13"/>
      <c r="H20" s="42"/>
      <c r="I20" s="43" t="n">
        <f aca="false">SUM(I10:I19)</f>
        <v>1</v>
      </c>
      <c r="K20" s="44"/>
      <c r="L20" s="44"/>
      <c r="M20" s="45"/>
    </row>
    <row r="21" customFormat="false" ht="14.25" hidden="false" customHeight="false" outlineLevel="0" collapsed="false">
      <c r="A21" s="32" t="s">
        <v>46</v>
      </c>
      <c r="B21" s="32"/>
      <c r="C21" s="32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4.25" hidden="false" customHeight="false" outlineLevel="0" collapsed="false">
      <c r="A22" s="46" t="n">
        <v>0</v>
      </c>
      <c r="B22" s="46" t="n">
        <v>200</v>
      </c>
      <c r="C22" s="46" t="n">
        <v>0</v>
      </c>
      <c r="D22" s="13"/>
      <c r="E22" s="13"/>
      <c r="F22" s="13"/>
      <c r="G22" s="13"/>
      <c r="H22" s="47"/>
      <c r="I22" s="47"/>
      <c r="J22" s="47"/>
      <c r="K22" s="47"/>
      <c r="L22" s="47"/>
      <c r="M22" s="13"/>
    </row>
    <row r="23" customFormat="false" ht="14.25" hidden="false" customHeight="false" outlineLevel="0" collapsed="false">
      <c r="A23" s="46" t="n">
        <v>201</v>
      </c>
      <c r="B23" s="46" t="n">
        <v>500</v>
      </c>
      <c r="C23" s="46" t="n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customFormat="false" ht="14.25" hidden="false" customHeight="false" outlineLevel="0" collapsed="false">
      <c r="A24" s="46" t="n">
        <v>501</v>
      </c>
      <c r="B24" s="46" t="n">
        <v>795</v>
      </c>
      <c r="C24" s="46" t="n">
        <v>2</v>
      </c>
      <c r="D24" s="13"/>
      <c r="E24" s="13"/>
      <c r="F24" s="13"/>
      <c r="G24" s="13"/>
      <c r="H24" s="48" t="s">
        <v>55</v>
      </c>
      <c r="I24" s="49" t="s">
        <v>56</v>
      </c>
      <c r="J24" s="49"/>
      <c r="K24" s="49"/>
      <c r="L24" s="13"/>
    </row>
    <row r="25" customFormat="false" ht="14.25" hidden="false" customHeight="false" outlineLevel="0" collapsed="false">
      <c r="A25" s="46" t="n">
        <v>796</v>
      </c>
      <c r="B25" s="46" t="n">
        <v>1000</v>
      </c>
      <c r="C25" s="46" t="n">
        <v>7</v>
      </c>
      <c r="D25" s="13"/>
      <c r="E25" s="13"/>
      <c r="F25" s="13"/>
      <c r="G25" s="13"/>
      <c r="H25" s="50" t="s">
        <v>57</v>
      </c>
      <c r="I25" s="51" t="s">
        <v>58</v>
      </c>
      <c r="J25" s="51"/>
      <c r="K25" s="51"/>
      <c r="L25" s="13"/>
    </row>
    <row r="26" customFormat="false" ht="14.25" hidden="false" customHeight="false" outlineLevel="0" collapsed="false">
      <c r="A26" s="52"/>
      <c r="B26" s="52"/>
      <c r="C26" s="41" t="n">
        <f aca="false">SUM(C22:C25)</f>
        <v>10</v>
      </c>
      <c r="D26" s="13"/>
      <c r="E26" s="13"/>
      <c r="F26" s="13"/>
      <c r="G26" s="13"/>
      <c r="H26" s="53" t="s">
        <v>59</v>
      </c>
      <c r="I26" s="54" t="s">
        <v>60</v>
      </c>
      <c r="J26" s="54"/>
      <c r="K26" s="54"/>
      <c r="L26" s="13"/>
    </row>
    <row r="27" customFormat="false" ht="14.25" hidden="false" customHeight="false" outlineLevel="0" collapsed="false">
      <c r="A27" s="13"/>
      <c r="B27" s="13"/>
      <c r="C27" s="55"/>
      <c r="D27" s="13"/>
    </row>
    <row r="28" customFormat="false" ht="14.25" hidden="false" customHeight="false" outlineLevel="0" collapsed="false">
      <c r="A28" s="13"/>
      <c r="B28" s="13"/>
      <c r="C28" s="55"/>
      <c r="D28" s="13"/>
      <c r="I28" s="56" t="s">
        <v>61</v>
      </c>
      <c r="J28" s="57" t="n">
        <v>4.01</v>
      </c>
      <c r="K28" s="58" t="n">
        <v>5.83</v>
      </c>
    </row>
    <row r="29" customFormat="false" ht="14.25" hidden="false" customHeight="false" outlineLevel="0" collapsed="false">
      <c r="E29" s="13"/>
      <c r="F29" s="13"/>
      <c r="G29" s="13"/>
      <c r="H29" s="13"/>
      <c r="I29" s="59" t="s">
        <v>62</v>
      </c>
      <c r="J29" s="60" t="n">
        <v>2.7</v>
      </c>
      <c r="K29" s="61" t="s">
        <v>63</v>
      </c>
      <c r="M29" s="13"/>
    </row>
    <row r="30" customFormat="false" ht="14.25" hidden="false" customHeight="false" outlineLevel="0" collapsed="false">
      <c r="E30" s="13"/>
      <c r="F30" s="13"/>
      <c r="G30" s="13"/>
      <c r="H30" s="13"/>
      <c r="I30" s="62" t="s">
        <v>64</v>
      </c>
      <c r="J30" s="63" t="n">
        <v>0</v>
      </c>
      <c r="K30" s="64" t="n">
        <v>2.69</v>
      </c>
      <c r="M30" s="13"/>
    </row>
    <row r="31" customFormat="false" ht="14.25" hidden="false" customHeight="false" outlineLevel="0" collapsed="false">
      <c r="A31" s="1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Format="false" ht="14.25" hidden="false" customHeight="false" outlineLevel="0" collapsed="false">
      <c r="A32" s="65" t="s">
        <v>36</v>
      </c>
      <c r="B32" s="65"/>
      <c r="C32" s="65"/>
      <c r="D32" s="13"/>
      <c r="E32" s="13"/>
      <c r="F32" s="13"/>
      <c r="G32" s="13"/>
      <c r="H32" s="22"/>
      <c r="I32" s="22"/>
      <c r="J32" s="66"/>
      <c r="K32" s="22"/>
      <c r="L32" s="22"/>
      <c r="M32" s="13"/>
    </row>
    <row r="33" customFormat="false" ht="14.25" hidden="false" customHeight="false" outlineLevel="0" collapsed="false">
      <c r="A33" s="24" t="s">
        <v>37</v>
      </c>
      <c r="B33" s="24"/>
      <c r="C33" s="24" t="s">
        <v>38</v>
      </c>
      <c r="D33" s="13"/>
      <c r="E33" s="13"/>
      <c r="F33" s="13"/>
      <c r="G33" s="13"/>
      <c r="H33" s="67"/>
      <c r="I33" s="67"/>
      <c r="J33" s="68"/>
      <c r="K33" s="42"/>
      <c r="L33" s="27"/>
      <c r="M33" s="13"/>
    </row>
    <row r="34" customFormat="false" ht="14.25" hidden="false" customHeight="false" outlineLevel="0" collapsed="false">
      <c r="A34" s="24" t="n">
        <v>18</v>
      </c>
      <c r="B34" s="24" t="n">
        <v>25</v>
      </c>
      <c r="C34" s="24" t="n">
        <v>2</v>
      </c>
      <c r="D34" s="13"/>
      <c r="E34" s="13"/>
      <c r="F34" s="13"/>
      <c r="G34" s="13"/>
      <c r="H34" s="69"/>
      <c r="I34" s="69"/>
      <c r="J34" s="68"/>
      <c r="K34" s="42"/>
      <c r="L34" s="27"/>
      <c r="M34" s="13"/>
    </row>
    <row r="35" customFormat="false" ht="14.25" hidden="false" customHeight="false" outlineLevel="0" collapsed="false">
      <c r="A35" s="24" t="n">
        <v>26</v>
      </c>
      <c r="B35" s="24" t="n">
        <v>45</v>
      </c>
      <c r="C35" s="24" t="n">
        <v>4</v>
      </c>
      <c r="D35" s="13"/>
      <c r="E35" s="13"/>
      <c r="F35" s="13"/>
      <c r="G35" s="13"/>
      <c r="H35" s="69"/>
      <c r="I35" s="69"/>
      <c r="J35" s="68"/>
      <c r="K35" s="42"/>
      <c r="L35" s="27"/>
      <c r="M35" s="13"/>
    </row>
    <row r="36" customFormat="false" ht="14.25" hidden="false" customHeight="false" outlineLevel="0" collapsed="false">
      <c r="A36" s="24" t="n">
        <v>46</v>
      </c>
      <c r="B36" s="24" t="n">
        <v>60</v>
      </c>
      <c r="C36" s="24" t="n">
        <v>3</v>
      </c>
      <c r="D36" s="13"/>
      <c r="E36" s="13"/>
      <c r="F36" s="13"/>
      <c r="G36" s="13"/>
      <c r="H36" s="69"/>
      <c r="I36" s="69"/>
      <c r="J36" s="68"/>
      <c r="K36" s="42"/>
      <c r="L36" s="27"/>
      <c r="M36" s="13"/>
    </row>
    <row r="37" customFormat="false" ht="14.25" hidden="false" customHeight="false" outlineLevel="0" collapsed="false">
      <c r="A37" s="24" t="n">
        <v>60</v>
      </c>
      <c r="B37" s="70"/>
      <c r="C37" s="24" t="n">
        <v>1</v>
      </c>
      <c r="D37" s="13"/>
      <c r="E37" s="13"/>
      <c r="F37" s="13"/>
      <c r="G37" s="13"/>
      <c r="H37" s="71"/>
      <c r="I37" s="71"/>
      <c r="J37" s="72"/>
      <c r="K37" s="73"/>
      <c r="L37" s="74"/>
      <c r="M37" s="13"/>
    </row>
    <row r="38" customFormat="false" ht="14.25" hidden="false" customHeight="false" outlineLevel="0" collapsed="false">
      <c r="A38" s="70"/>
      <c r="B38" s="70"/>
      <c r="C38" s="75" t="n">
        <f aca="false">SUM(C34:C37)</f>
        <v>10</v>
      </c>
      <c r="D38" s="13"/>
      <c r="E38" s="13"/>
      <c r="F38" s="13"/>
      <c r="G38" s="13"/>
      <c r="H38" s="71"/>
      <c r="I38" s="71"/>
      <c r="J38" s="76"/>
      <c r="K38" s="73"/>
      <c r="L38" s="74"/>
      <c r="M38" s="13"/>
    </row>
    <row r="39" customFormat="false" ht="14.25" hidden="false" customHeight="false" outlineLevel="0" collapsed="false">
      <c r="A39" s="65" t="s">
        <v>49</v>
      </c>
      <c r="B39" s="65"/>
      <c r="C39" s="65"/>
      <c r="D39" s="13"/>
      <c r="E39" s="13"/>
      <c r="F39" s="13"/>
      <c r="G39" s="13"/>
      <c r="H39" s="71"/>
      <c r="I39" s="71"/>
      <c r="J39" s="72"/>
      <c r="K39" s="73"/>
      <c r="L39" s="74"/>
      <c r="M39" s="13"/>
    </row>
    <row r="40" customFormat="false" ht="14.25" hidden="false" customHeight="false" outlineLevel="0" collapsed="false">
      <c r="A40" s="24" t="n">
        <v>0</v>
      </c>
      <c r="B40" s="24" t="n">
        <v>1</v>
      </c>
      <c r="C40" s="24" t="n">
        <v>5</v>
      </c>
      <c r="D40" s="13"/>
      <c r="E40" s="13"/>
      <c r="F40" s="13"/>
      <c r="G40" s="13"/>
      <c r="H40" s="77"/>
      <c r="I40" s="77"/>
      <c r="J40" s="72"/>
      <c r="K40" s="73"/>
      <c r="L40" s="74"/>
      <c r="M40" s="13"/>
    </row>
    <row r="41" customFormat="false" ht="14.25" hidden="false" customHeight="false" outlineLevel="0" collapsed="false">
      <c r="A41" s="24" t="n">
        <v>2</v>
      </c>
      <c r="B41" s="24" t="n">
        <v>3</v>
      </c>
      <c r="C41" s="24" t="n">
        <v>3</v>
      </c>
      <c r="D41" s="13"/>
      <c r="E41" s="13"/>
      <c r="F41" s="13"/>
      <c r="G41" s="13"/>
      <c r="H41" s="78"/>
      <c r="I41" s="78"/>
      <c r="J41" s="79"/>
      <c r="K41" s="13"/>
      <c r="L41" s="74"/>
      <c r="M41" s="13"/>
    </row>
    <row r="42" customFormat="false" ht="14.25" hidden="false" customHeight="false" outlineLevel="0" collapsed="false">
      <c r="A42" s="24" t="n">
        <v>3</v>
      </c>
      <c r="B42" s="24" t="n">
        <v>4</v>
      </c>
      <c r="C42" s="24" t="n">
        <v>2</v>
      </c>
      <c r="D42" s="13"/>
      <c r="E42" s="13"/>
      <c r="F42" s="13"/>
      <c r="G42" s="13"/>
      <c r="H42" s="80"/>
      <c r="I42" s="78"/>
      <c r="J42" s="81"/>
      <c r="K42" s="13"/>
      <c r="L42" s="74"/>
      <c r="M42" s="13"/>
    </row>
    <row r="43" customFormat="false" ht="14.25" hidden="false" customHeight="false" outlineLevel="0" collapsed="false">
      <c r="A43" s="24" t="n">
        <v>4</v>
      </c>
      <c r="B43" s="70"/>
      <c r="C43" s="24" t="n">
        <v>0</v>
      </c>
      <c r="D43" s="13"/>
      <c r="E43" s="13"/>
      <c r="F43" s="13"/>
      <c r="G43" s="13"/>
      <c r="H43" s="42"/>
      <c r="I43" s="42"/>
      <c r="J43" s="82"/>
      <c r="K43" s="83"/>
      <c r="L43" s="44"/>
      <c r="M43" s="13"/>
    </row>
    <row r="44" customFormat="false" ht="14.25" hidden="false" customHeight="false" outlineLevel="0" collapsed="false">
      <c r="A44" s="84"/>
      <c r="B44" s="84"/>
      <c r="C44" s="75" t="n">
        <f aca="false">SUM(C40:C43)</f>
        <v>10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customFormat="false" ht="14.25" hidden="false" customHeight="false" outlineLevel="0" collapsed="false">
      <c r="A45" s="65" t="s">
        <v>65</v>
      </c>
      <c r="B45" s="65"/>
      <c r="C45" s="65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customFormat="false" ht="14.25" hidden="false" customHeight="false" outlineLevel="0" collapsed="false">
      <c r="A46" s="70" t="s">
        <v>66</v>
      </c>
      <c r="B46" s="24" t="n">
        <v>4</v>
      </c>
      <c r="C46" s="24" t="n"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customFormat="false" ht="14.25" hidden="false" customHeight="false" outlineLevel="0" collapsed="false">
      <c r="A47" s="70" t="s">
        <v>67</v>
      </c>
      <c r="B47" s="24" t="n">
        <v>2</v>
      </c>
      <c r="C47" s="24" t="n"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customFormat="false" ht="14.25" hidden="false" customHeight="false" outlineLevel="0" collapsed="false">
      <c r="A48" s="70" t="s">
        <v>68</v>
      </c>
      <c r="B48" s="24" t="n">
        <v>1</v>
      </c>
      <c r="C48" s="24" t="n">
        <v>6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customFormat="false" ht="14.25" hidden="false" customHeight="false" outlineLevel="0" collapsed="false">
      <c r="A49" s="70" t="s">
        <v>69</v>
      </c>
      <c r="B49" s="24" t="n">
        <v>3</v>
      </c>
      <c r="C49" s="24" t="n">
        <v>4</v>
      </c>
      <c r="D49" s="13"/>
    </row>
    <row r="50" customFormat="false" ht="14.25" hidden="false" customHeight="false" outlineLevel="0" collapsed="false">
      <c r="A50" s="70" t="s">
        <v>70</v>
      </c>
      <c r="B50" s="24" t="n">
        <v>5</v>
      </c>
      <c r="C50" s="24" t="n">
        <v>0</v>
      </c>
      <c r="D50" s="13"/>
    </row>
    <row r="51" customFormat="false" ht="14.25" hidden="false" customHeight="false" outlineLevel="0" collapsed="false">
      <c r="A51" s="85"/>
      <c r="B51" s="85"/>
      <c r="C51" s="75" t="n">
        <f aca="false">SUM(C46:C50)</f>
        <v>10</v>
      </c>
    </row>
    <row r="52" customFormat="false" ht="14.25" hidden="false" customHeight="false" outlineLevel="0" collapsed="false">
      <c r="A52" s="86" t="s">
        <v>71</v>
      </c>
      <c r="B52" s="86"/>
      <c r="C52" s="86"/>
    </row>
    <row r="53" customFormat="false" ht="14.25" hidden="false" customHeight="false" outlineLevel="0" collapsed="false">
      <c r="A53" s="24" t="n">
        <v>0</v>
      </c>
      <c r="B53" s="24" t="n">
        <v>1</v>
      </c>
      <c r="C53" s="24" t="n">
        <v>1</v>
      </c>
    </row>
    <row r="54" customFormat="false" ht="14.25" hidden="false" customHeight="false" outlineLevel="0" collapsed="false">
      <c r="A54" s="24" t="n">
        <v>1</v>
      </c>
      <c r="B54" s="24" t="n">
        <v>5</v>
      </c>
      <c r="C54" s="24" t="n">
        <v>2</v>
      </c>
    </row>
    <row r="55" customFormat="false" ht="14.25" hidden="false" customHeight="false" outlineLevel="0" collapsed="false">
      <c r="A55" s="24" t="n">
        <v>5</v>
      </c>
      <c r="B55" s="24" t="n">
        <v>10</v>
      </c>
      <c r="C55" s="24" t="n">
        <v>3</v>
      </c>
    </row>
    <row r="56" customFormat="false" ht="14.25" hidden="false" customHeight="false" outlineLevel="0" collapsed="false">
      <c r="A56" s="24" t="n">
        <v>10</v>
      </c>
      <c r="B56" s="70"/>
      <c r="C56" s="24" t="n">
        <v>4</v>
      </c>
    </row>
    <row r="57" customFormat="false" ht="14.25" hidden="false" customHeight="false" outlineLevel="0" collapsed="false">
      <c r="A57" s="84"/>
      <c r="B57" s="84"/>
      <c r="C57" s="75" t="n">
        <f aca="false">SUM(C53:C56)</f>
        <v>10</v>
      </c>
    </row>
    <row r="58" customFormat="false" ht="14.25" hidden="false" customHeight="false" outlineLevel="0" collapsed="false">
      <c r="A58" s="65" t="s">
        <v>72</v>
      </c>
      <c r="B58" s="65"/>
      <c r="C58" s="65"/>
      <c r="E58" s="87"/>
    </row>
    <row r="59" customFormat="false" ht="14.25" hidden="false" customHeight="false" outlineLevel="0" collapsed="false">
      <c r="A59" s="24" t="n">
        <v>0</v>
      </c>
      <c r="B59" s="24" t="n">
        <v>1</v>
      </c>
      <c r="C59" s="24" t="n">
        <v>1</v>
      </c>
      <c r="E59" s="87"/>
    </row>
    <row r="60" customFormat="false" ht="14.25" hidden="false" customHeight="false" outlineLevel="0" collapsed="false">
      <c r="A60" s="24" t="n">
        <v>1</v>
      </c>
      <c r="B60" s="24" t="n">
        <v>5</v>
      </c>
      <c r="C60" s="24" t="n">
        <v>2</v>
      </c>
      <c r="D60" s="88"/>
      <c r="E60" s="87"/>
    </row>
    <row r="61" customFormat="false" ht="14.25" hidden="false" customHeight="false" outlineLevel="0" collapsed="false">
      <c r="A61" s="24" t="n">
        <v>5</v>
      </c>
      <c r="B61" s="24" t="n">
        <v>10</v>
      </c>
      <c r="C61" s="24" t="n">
        <v>3</v>
      </c>
      <c r="D61" s="88"/>
      <c r="E61" s="87"/>
    </row>
    <row r="62" customFormat="false" ht="14.25" hidden="false" customHeight="false" outlineLevel="0" collapsed="false">
      <c r="A62" s="70" t="n">
        <v>10</v>
      </c>
      <c r="B62" s="70"/>
      <c r="C62" s="24" t="n">
        <v>4</v>
      </c>
      <c r="D62" s="88"/>
      <c r="E62" s="87"/>
    </row>
    <row r="63" customFormat="false" ht="14.25" hidden="false" customHeight="false" outlineLevel="0" collapsed="false">
      <c r="A63" s="70"/>
      <c r="B63" s="70"/>
      <c r="C63" s="75" t="n">
        <f aca="false">SUM(C58:C62)</f>
        <v>10</v>
      </c>
      <c r="D63" s="88"/>
    </row>
    <row r="64" customFormat="false" ht="14.25" hidden="false" customHeight="false" outlineLevel="0" collapsed="false">
      <c r="A64" s="65" t="s">
        <v>54</v>
      </c>
      <c r="B64" s="65"/>
      <c r="C64" s="65"/>
      <c r="D64" s="88"/>
    </row>
    <row r="65" customFormat="false" ht="14.25" hidden="false" customHeight="false" outlineLevel="0" collapsed="false">
      <c r="A65" s="23" t="n">
        <v>0</v>
      </c>
      <c r="B65" s="23" t="n">
        <f aca="false">+Parametros!$C$2*2</f>
        <v>3501810</v>
      </c>
      <c r="C65" s="24" t="n">
        <v>1</v>
      </c>
    </row>
    <row r="66" customFormat="false" ht="14.25" hidden="false" customHeight="false" outlineLevel="0" collapsed="false">
      <c r="A66" s="23" t="n">
        <f aca="false">+Parametros!$C$2*2</f>
        <v>3501810</v>
      </c>
      <c r="B66" s="23" t="n">
        <f aca="false">+Parametros!$C$2*5</f>
        <v>8754525</v>
      </c>
      <c r="C66" s="24" t="n">
        <v>2</v>
      </c>
    </row>
    <row r="67" customFormat="false" ht="14.25" hidden="false" customHeight="false" outlineLevel="0" collapsed="false">
      <c r="A67" s="23" t="n">
        <f aca="false">+Parametros!$C$2*5</f>
        <v>8754525</v>
      </c>
      <c r="B67" s="23" t="n">
        <f aca="false">+Parametros!$C$2*10</f>
        <v>17509050</v>
      </c>
      <c r="C67" s="24" t="n">
        <v>3</v>
      </c>
    </row>
    <row r="68" customFormat="false" ht="14.25" hidden="false" customHeight="false" outlineLevel="0" collapsed="false">
      <c r="A68" s="23" t="n">
        <f aca="false">+Parametros!$C$2*10</f>
        <v>17509050</v>
      </c>
      <c r="B68" s="23"/>
      <c r="C68" s="24" t="n">
        <v>4</v>
      </c>
    </row>
    <row r="69" customFormat="false" ht="14.25" hidden="false" customHeight="false" outlineLevel="0" collapsed="false">
      <c r="A69" s="70"/>
      <c r="B69" s="23"/>
      <c r="C69" s="75" t="n">
        <f aca="false">SUM(C64:C68)</f>
        <v>10</v>
      </c>
    </row>
  </sheetData>
  <mergeCells count="26">
    <mergeCell ref="A1:C1"/>
    <mergeCell ref="A2:C2"/>
    <mergeCell ref="A9:C9"/>
    <mergeCell ref="J9:K9"/>
    <mergeCell ref="A15:C15"/>
    <mergeCell ref="A21:C21"/>
    <mergeCell ref="I24:K24"/>
    <mergeCell ref="I25:K25"/>
    <mergeCell ref="I26:K26"/>
    <mergeCell ref="A31:C31"/>
    <mergeCell ref="A32:C32"/>
    <mergeCell ref="H32:I32"/>
    <mergeCell ref="K32:L32"/>
    <mergeCell ref="H33:I33"/>
    <mergeCell ref="H34:I34"/>
    <mergeCell ref="H35:I35"/>
    <mergeCell ref="H36:I36"/>
    <mergeCell ref="H37:I37"/>
    <mergeCell ref="H38:I38"/>
    <mergeCell ref="A39:C39"/>
    <mergeCell ref="H39:I39"/>
    <mergeCell ref="H40:I40"/>
    <mergeCell ref="A45:C45"/>
    <mergeCell ref="A52:C52"/>
    <mergeCell ref="A58:C58"/>
    <mergeCell ref="A64:C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9" activeCellId="0" sqref="F9"/>
    </sheetView>
  </sheetViews>
  <sheetFormatPr defaultColWidth="11.4453125" defaultRowHeight="13.5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4.33"/>
    <col collapsed="false" customWidth="true" hidden="false" outlineLevel="0" max="3" min="3" style="1" width="17.33"/>
    <col collapsed="false" customWidth="true" hidden="false" outlineLevel="0" max="4" min="4" style="1" width="17"/>
    <col collapsed="false" customWidth="true" hidden="false" outlineLevel="0" max="5" min="5" style="1" width="14.44"/>
    <col collapsed="false" customWidth="true" hidden="false" outlineLevel="0" max="6" min="6" style="1" width="13.34"/>
    <col collapsed="false" customWidth="true" hidden="false" outlineLevel="0" max="7" min="7" style="1" width="11.33"/>
    <col collapsed="false" customWidth="true" hidden="false" outlineLevel="0" max="8" min="8" style="1" width="12.44"/>
    <col collapsed="false" customWidth="true" hidden="false" outlineLevel="0" max="9" min="9" style="1" width="12.33"/>
    <col collapsed="false" customWidth="true" hidden="false" outlineLevel="0" max="10" min="10" style="1" width="16"/>
    <col collapsed="false" customWidth="true" hidden="false" outlineLevel="0" max="11" min="11" style="1" width="19.33"/>
    <col collapsed="false" customWidth="true" hidden="false" outlineLevel="0" max="12" min="12" style="1" width="23.33"/>
    <col collapsed="false" customWidth="true" hidden="false" outlineLevel="0" max="13" min="13" style="1" width="21"/>
    <col collapsed="false" customWidth="true" hidden="false" outlineLevel="0" max="14" min="14" style="1" width="12"/>
    <col collapsed="false" customWidth="true" hidden="false" outlineLevel="0" max="15" min="15" style="1" width="15.33"/>
    <col collapsed="false" customWidth="true" hidden="false" outlineLevel="0" max="16" min="16" style="1" width="16.56"/>
    <col collapsed="false" customWidth="true" hidden="false" outlineLevel="0" max="17" min="17" style="1" width="17.56"/>
    <col collapsed="false" customWidth="true" hidden="false" outlineLevel="0" max="18" min="18" style="1" width="21.44"/>
    <col collapsed="false" customWidth="true" hidden="false" outlineLevel="0" max="19" min="19" style="1" width="16.67"/>
    <col collapsed="false" customWidth="true" hidden="false" outlineLevel="0" max="20" min="20" style="1" width="20.88"/>
    <col collapsed="false" customWidth="true" hidden="false" outlineLevel="0" max="21" min="21" style="1" width="16.44"/>
    <col collapsed="false" customWidth="true" hidden="false" outlineLevel="0" max="22" min="22" style="1" width="10"/>
    <col collapsed="false" customWidth="false" hidden="false" outlineLevel="0" max="16384" min="23" style="1" width="11.44"/>
  </cols>
  <sheetData>
    <row r="1" customFormat="false" ht="13.8" hidden="false" customHeight="false" outlineLevel="0" collapsed="false">
      <c r="K1" s="89" t="n">
        <v>0</v>
      </c>
      <c r="L1" s="89" t="n">
        <v>0.2</v>
      </c>
      <c r="M1" s="89" t="n">
        <v>0.3</v>
      </c>
      <c r="N1" s="89" t="n">
        <v>0.05</v>
      </c>
      <c r="O1" s="89" t="n">
        <v>0.05</v>
      </c>
      <c r="P1" s="89" t="n">
        <v>0.1</v>
      </c>
      <c r="Q1" s="89" t="n">
        <v>0.15</v>
      </c>
      <c r="R1" s="89" t="n">
        <v>0.1</v>
      </c>
      <c r="S1" s="90" t="n">
        <v>0.05</v>
      </c>
      <c r="T1" s="90"/>
    </row>
    <row r="2" customFormat="false" ht="13.8" hidden="false" customHeight="false" outlineLevel="0" collapsed="false">
      <c r="A2" s="91" t="s">
        <v>73</v>
      </c>
      <c r="B2" s="91"/>
      <c r="C2" s="91"/>
      <c r="D2" s="91"/>
      <c r="E2" s="91"/>
      <c r="F2" s="91"/>
      <c r="G2" s="91"/>
      <c r="H2" s="91"/>
      <c r="I2" s="91"/>
      <c r="J2" s="91"/>
      <c r="K2" s="91" t="s">
        <v>74</v>
      </c>
      <c r="L2" s="91"/>
      <c r="M2" s="91"/>
      <c r="N2" s="91"/>
      <c r="O2" s="91"/>
      <c r="P2" s="91"/>
      <c r="Q2" s="91"/>
      <c r="R2" s="91"/>
      <c r="S2" s="91"/>
      <c r="T2" s="91"/>
      <c r="U2" s="92" t="s">
        <v>75</v>
      </c>
      <c r="V2" s="92"/>
    </row>
    <row r="3" s="102" customFormat="true" ht="22.35" hidden="false" customHeight="false" outlineLevel="0" collapsed="false">
      <c r="A3" s="93" t="s">
        <v>76</v>
      </c>
      <c r="B3" s="94" t="s">
        <v>77</v>
      </c>
      <c r="C3" s="95" t="s">
        <v>78</v>
      </c>
      <c r="D3" s="95" t="s">
        <v>79</v>
      </c>
      <c r="E3" s="95" t="s">
        <v>80</v>
      </c>
      <c r="F3" s="95" t="s">
        <v>81</v>
      </c>
      <c r="G3" s="95" t="s">
        <v>82</v>
      </c>
      <c r="H3" s="95" t="s">
        <v>83</v>
      </c>
      <c r="I3" s="95" t="s">
        <v>84</v>
      </c>
      <c r="J3" s="96"/>
      <c r="K3" s="97" t="s">
        <v>85</v>
      </c>
      <c r="L3" s="98" t="s">
        <v>79</v>
      </c>
      <c r="M3" s="98" t="s">
        <v>86</v>
      </c>
      <c r="N3" s="98" t="s">
        <v>87</v>
      </c>
      <c r="O3" s="98" t="s">
        <v>88</v>
      </c>
      <c r="P3" s="98" t="s">
        <v>89</v>
      </c>
      <c r="Q3" s="98" t="s">
        <v>90</v>
      </c>
      <c r="R3" s="98" t="s">
        <v>91</v>
      </c>
      <c r="S3" s="98" t="s">
        <v>92</v>
      </c>
      <c r="T3" s="99"/>
      <c r="U3" s="100" t="s">
        <v>93</v>
      </c>
      <c r="V3" s="101" t="s">
        <v>94</v>
      </c>
    </row>
    <row r="4" customFormat="false" ht="13.8" hidden="false" customHeight="false" outlineLevel="0" collapsed="false">
      <c r="A4" s="103" t="n">
        <f aca="false">+Capacidad_Endeudamiento!$C$31</f>
        <v>657</v>
      </c>
      <c r="B4" s="104" t="n">
        <f aca="false">+Capacidad_Endeudamiento!$C$25</f>
        <v>2500000</v>
      </c>
      <c r="C4" s="105"/>
      <c r="D4" s="106" t="n">
        <v>0</v>
      </c>
      <c r="E4" s="107" t="n">
        <v>38</v>
      </c>
      <c r="F4" s="107" t="n">
        <v>1</v>
      </c>
      <c r="G4" s="107" t="n">
        <v>4</v>
      </c>
      <c r="H4" s="108" t="n">
        <v>2.81944444444444</v>
      </c>
      <c r="I4" s="108" t="n">
        <v>3.06944444444444</v>
      </c>
      <c r="J4" s="104"/>
      <c r="K4" s="109" t="n">
        <v>0</v>
      </c>
      <c r="L4" s="110" t="n">
        <f aca="false">+IF(D4="","",IF(AND(D4&gt;=Ponderación!$A$16,D4&lt;=Ponderación!$B$16),Ponderación!$C$16,IF(AND(D4&gt;Ponderación!$B$16,D4&lt;=Ponderación!$B$17),Ponderación!$C$17,IF(AND(D4&gt;Ponderación!$B$17,D4&lt;=Ponderación!$B$18),Ponderación!$C$18,IF(D4&gt;Ponderación!$A$19,Ponderación!$C$19,"Revisar")))))</f>
        <v>0</v>
      </c>
      <c r="M4" s="111" t="n">
        <f aca="false">+IF(A4="","",IF(AND(A4&gt;Ponderación!$A$22,A4&lt;=Ponderación!$B$22),Ponderación!$C$22,IF(AND(A4&gt;Ponderación!$B$22,A4&lt;=Ponderación!$B$23),Ponderación!$C$23,IF(AND(A4&gt;Ponderación!$B$23,A4&lt;=Ponderación!$B$24),Ponderación!$C$24,IF(AND(A4&gt;Ponderación!$B$24,A4&lt;=Ponderación!$B$25),Ponderación!$C$25,0)))))</f>
        <v>2</v>
      </c>
      <c r="N4" s="111" t="n">
        <f aca="false">+IF(E4="","",IF(AND(E4&gt;Ponderación!$A$34,E4&lt;=Ponderación!$B$34),Ponderación!$C$34,IF(AND(E4&gt;Ponderación!$B$34,E4&lt;=Ponderación!$B$35),Ponderación!$C$35,IF(AND(E4&gt;Ponderación!$B$35,E4&lt;=Ponderación!$B$36),Ponderación!$C$36,IF(E4&gt;Ponderación!$B$36,Ponderación!$C$37)))))</f>
        <v>4</v>
      </c>
      <c r="O4" s="111" t="n">
        <f aca="false">+IF(F4="","",IF(AND(F4&gt;=Ponderación!$A$40,F4&lt;=Ponderación!$B$40),Ponderación!$C$40,IF(AND(F4&gt;=Ponderación!$A$41,F4&lt;=Ponderación!$B$41),Ponderación!$C$41,IF(AND(F4&gt;=Ponderación!$A$42,F4&lt;=Ponderación!$B$42),Ponderación!$C$42,IF(F4&gt;Ponderación!$A$43,Ponderación!$C$43)))))</f>
        <v>5</v>
      </c>
      <c r="P4" s="111" t="n">
        <f aca="false">+IF(G4="","",IF(G4=Ponderación!$B$46,Ponderación!$C$46,IF(G4=Ponderación!$B$47,Ponderación!$C$47,IF(G4=Ponderación!$B$48,Ponderación!$C$48,IF(G4=Ponderación!$B$49,Ponderación!$C$49,IF(G4=Ponderación!$B$50,0))))))</f>
        <v>0</v>
      </c>
      <c r="Q4" s="111" t="n">
        <f aca="false">+IF(H4="","",IF(AND(H4&gt;=Ponderación!$A$53,H4&lt;=Ponderación!$B$53),Ponderación!$C$53,IF(AND(H4&gt;Ponderación!$B$53,H4&lt;=Ponderación!$B$54),Ponderación!$C$54,IF(AND(H4&gt;Ponderación!$B$54,H4&lt;=Ponderación!$B$55),Ponderación!$C$55,IF(H4&gt;Ponderación!$B$55,Ponderación!$C$56)))))</f>
        <v>2</v>
      </c>
      <c r="R4" s="111" t="n">
        <f aca="false">+IF(I4="","",IF(AND(I4&gt;=Ponderación!$A$59,I4&lt;=Ponderación!$B$59),Ponderación!$C$59,IF(AND(I4&gt;=Ponderación!$B$59,I4&lt;=Ponderación!$B$60),Ponderación!$C$60,IF(AND(I4&gt;Ponderación!$B$60,I4&lt;=Ponderación!$B$61),Ponderación!$C$61,IF(I4&gt;Ponderación!$B$61,Ponderación!$C$62)))))</f>
        <v>2</v>
      </c>
      <c r="S4" s="111" t="n">
        <f aca="false">+IF(B4="","",IF(AND(B4&gt;=Ponderación!$A$65,B4&lt;=Ponderación!$B$65),Ponderación!$C$65,IF(AND(B4&gt;Ponderación!$B$65,B4&lt;=Ponderación!$B$66),Ponderación!$C$66,IF(AND(B4&gt;Ponderación!$B$66,B4&lt;=Ponderación!$B$67),Ponderación!$C$67,IF(B4&gt;Ponderación!$A$68,Ponderación!$C$68)))))</f>
        <v>1</v>
      </c>
      <c r="T4" s="112"/>
      <c r="U4" s="113" t="n">
        <f aca="false">+IF(R4="","",(K4*$K$1)+(L4*$L$1)+(M4*$M$1)+(N4*$N$1)+(O4*$O$1)+(P4*$P$1)+(Q4*$Q$1)+(R4*$R$1)+(S4*$S$1))</f>
        <v>1.6</v>
      </c>
      <c r="V4" s="114" t="str">
        <f aca="false">+IF(U4="","",IFERROR(IF(AND(U4&gt;=Ponderación!$J$28,U4&lt;=Ponderación!$K$28),Ponderación!$I$28,IF(AND(U4&gt;=Ponderación!$J$29,U4&lt;=Ponderación!$K$29),Ponderación!$I$29,IF(AND(U4&gt;=Ponderación!$J$30,U4&lt;=Ponderación!$K$30),Ponderación!$I$30))),"Retirado"))</f>
        <v>C</v>
      </c>
    </row>
    <row r="5" customFormat="false" ht="13.8" hidden="false" customHeight="false" outlineLevel="0" collapsed="false">
      <c r="A5" s="1" t="s">
        <v>95</v>
      </c>
      <c r="B5" s="1" t="s">
        <v>96</v>
      </c>
      <c r="D5" s="1" t="s">
        <v>97</v>
      </c>
      <c r="E5" s="1" t="s">
        <v>96</v>
      </c>
      <c r="F5" s="1" t="s">
        <v>98</v>
      </c>
      <c r="G5" s="1" t="s">
        <v>96</v>
      </c>
      <c r="H5" s="1" t="s">
        <v>96</v>
      </c>
      <c r="I5" s="1" t="s">
        <v>96</v>
      </c>
    </row>
    <row r="6" customFormat="false" ht="13.8" hidden="false" customHeight="false" outlineLevel="0" collapsed="false">
      <c r="K6" s="1" t="str">
        <f aca="false">+IF(C4="","",IF(AND(C4&gt;=Ponderación!$A$10,C4&lt;=Ponderación!$B$10),Ponderación!$C$10,IF(AND(C4&gt;Ponderación!$B$10,C4&lt;=Ponderación!$B$11),Ponderación!$C$11,IF(AND(C4&gt;Ponderación!$B$11,C4&lt;=Ponderación!$B$12),Ponderación!$C$12,IF(C4&gt;Ponderación!$A$13,Ponderación!$C$13,"Revisar")))))</f>
        <v/>
      </c>
    </row>
    <row r="7" customFormat="false" ht="13.8" hidden="false" customHeight="false" outlineLevel="0" collapsed="false">
      <c r="U7" s="115" t="str">
        <f aca="false">+IF(S7="","",(K7*$K$1)+(L7*$L$1)+(M7*$M$1)+(N7*$N$1)+(O7*$O$1)+(P7*$P$1)+(Q7*$Q$1)+(R7*$R$1)+(S7*$S$1))</f>
        <v/>
      </c>
    </row>
    <row r="8" customFormat="false" ht="22.35" hidden="false" customHeight="false" outlineLevel="0" collapsed="false">
      <c r="A8" s="116"/>
      <c r="B8" s="117" t="s">
        <v>99</v>
      </c>
      <c r="C8" s="117" t="s">
        <v>100</v>
      </c>
      <c r="D8" s="117" t="s">
        <v>101</v>
      </c>
      <c r="E8" s="117"/>
      <c r="F8" s="117" t="s">
        <v>102</v>
      </c>
      <c r="G8" s="117"/>
      <c r="H8" s="118" t="s">
        <v>103</v>
      </c>
    </row>
    <row r="9" customFormat="false" ht="27" hidden="false" customHeight="true" outlineLevel="0" collapsed="false">
      <c r="A9" s="119" t="s">
        <v>104</v>
      </c>
      <c r="B9" s="120" t="n">
        <f aca="false">+Capacidad_Endeudamiento!$C$27</f>
        <v>200000</v>
      </c>
      <c r="C9" s="121" t="n">
        <f aca="false">+Capacidad_Endeudamiento!$C$38</f>
        <v>1250000</v>
      </c>
      <c r="D9" s="121" t="n">
        <f aca="false">+Datos_Iniciales!$C$14</f>
        <v>0</v>
      </c>
      <c r="E9" s="121"/>
      <c r="F9" s="121" t="n">
        <f aca="false">+Datos_Iniciales!$C$13</f>
        <v>476010</v>
      </c>
      <c r="G9" s="121"/>
      <c r="H9" s="122" t="n">
        <f aca="false">+SUM(B9:G9)</f>
        <v>1926010</v>
      </c>
      <c r="I9" s="123"/>
      <c r="J9" s="123"/>
    </row>
  </sheetData>
  <mergeCells count="3">
    <mergeCell ref="A2:J2"/>
    <mergeCell ref="K2:T2"/>
    <mergeCell ref="U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2" min="2" style="0" width="14.11"/>
  </cols>
  <sheetData>
    <row r="1" customFormat="false" ht="14.25" hidden="false" customHeight="false" outlineLevel="0" collapsed="false">
      <c r="C1" s="124" t="n">
        <f aca="false">+IFERROR(VLOOKUP(B1,'[2]14 Análisis Limites'!$E$4:$H$613,4,FALSE()),0)</f>
        <v>0</v>
      </c>
      <c r="D1" s="124" t="n">
        <f aca="false">+IFERROR(VLOOKUP(B1,'[3]14 Análisis Limites'!$E$4:$H$610,4,FALSE()),0)</f>
        <v>0</v>
      </c>
    </row>
    <row r="2" customFormat="false" ht="14.25" hidden="false" customHeight="false" outlineLevel="0" collapsed="false">
      <c r="B2" s="125" t="s">
        <v>105</v>
      </c>
      <c r="C2" s="125" t="n">
        <v>2021</v>
      </c>
      <c r="D2" s="125" t="n">
        <v>2022</v>
      </c>
      <c r="E2" s="125" t="n">
        <v>2023</v>
      </c>
    </row>
    <row r="3" customFormat="false" ht="14.25" hidden="false" customHeight="false" outlineLevel="0" collapsed="false">
      <c r="B3" s="126" t="n">
        <v>4661060</v>
      </c>
      <c r="C3" s="127" t="n">
        <v>51.6052008051136</v>
      </c>
      <c r="D3" s="127" t="n">
        <v>43.2133333333333</v>
      </c>
      <c r="E3" s="127" t="n">
        <v>12.5210344827586</v>
      </c>
    </row>
    <row r="4" customFormat="false" ht="14.25" hidden="false" customHeight="false" outlineLevel="0" collapsed="false">
      <c r="B4" s="126" t="n">
        <v>6135820</v>
      </c>
      <c r="C4" s="127" t="n">
        <v>10.1769239405367</v>
      </c>
      <c r="D4" s="127" t="n">
        <v>13.3444</v>
      </c>
      <c r="E4" s="127" t="n">
        <v>8.18928571428572</v>
      </c>
    </row>
    <row r="5" customFormat="false" ht="14.25" hidden="false" customHeight="false" outlineLevel="0" collapsed="false">
      <c r="B5" s="126" t="n">
        <v>6421806</v>
      </c>
      <c r="C5" s="127" t="n">
        <v>59.0949882923916</v>
      </c>
      <c r="D5" s="127" t="n">
        <v>20.6226666666667</v>
      </c>
      <c r="E5" s="127" t="n">
        <v>7.89206896551724</v>
      </c>
    </row>
    <row r="6" customFormat="false" ht="14.25" hidden="false" customHeight="false" outlineLevel="0" collapsed="false">
      <c r="B6" s="126" t="n">
        <v>8834375</v>
      </c>
      <c r="C6" s="127" t="n">
        <v>38.164895666167</v>
      </c>
      <c r="D6" s="127" t="n">
        <v>30.4458</v>
      </c>
      <c r="E6" s="127" t="n">
        <v>26.6739655172414</v>
      </c>
    </row>
    <row r="7" customFormat="false" ht="14.25" hidden="false" customHeight="false" outlineLevel="0" collapsed="false">
      <c r="B7" s="126" t="n">
        <v>9104444</v>
      </c>
      <c r="C7" s="127" t="n">
        <v>4.64580356900445</v>
      </c>
      <c r="D7" s="127" t="n">
        <v>14.0671111111111</v>
      </c>
      <c r="E7" s="127" t="n">
        <v>16.1246408045977</v>
      </c>
    </row>
    <row r="8" customFormat="false" ht="14.25" hidden="false" customHeight="false" outlineLevel="0" collapsed="false">
      <c r="B8" s="126" t="n">
        <v>10280915</v>
      </c>
      <c r="C8" s="127" t="n">
        <v>3.53898431003544</v>
      </c>
      <c r="D8" s="127" t="n">
        <v>1.71044444444444</v>
      </c>
      <c r="E8" s="127" t="n">
        <v>0</v>
      </c>
    </row>
    <row r="9" customFormat="false" ht="14.25" hidden="false" customHeight="false" outlineLevel="0" collapsed="false">
      <c r="B9" s="126" t="n">
        <v>11830463</v>
      </c>
      <c r="C9" s="127" t="n">
        <v>11.2489901224621</v>
      </c>
      <c r="D9" s="127" t="n">
        <v>7.58266666666667</v>
      </c>
      <c r="E9" s="127" t="n">
        <v>8.13965517241379</v>
      </c>
    </row>
    <row r="10" customFormat="false" ht="14.25" hidden="false" customHeight="false" outlineLevel="0" collapsed="false">
      <c r="B10" s="126" t="n">
        <v>14590506</v>
      </c>
      <c r="C10" s="127" t="n">
        <v>24.6886558164386</v>
      </c>
      <c r="D10" s="127" t="n">
        <v>36.4296</v>
      </c>
      <c r="E10" s="127" t="n">
        <v>25.1724137931035</v>
      </c>
    </row>
    <row r="11" customFormat="false" ht="14.25" hidden="false" customHeight="false" outlineLevel="0" collapsed="false">
      <c r="B11" s="126" t="n">
        <v>14590768</v>
      </c>
      <c r="C11" s="127" t="n">
        <v>8.91664080059349</v>
      </c>
      <c r="D11" s="127" t="n">
        <v>5.6244</v>
      </c>
      <c r="E11" s="127" t="n">
        <v>5.23396551724138</v>
      </c>
    </row>
    <row r="12" customFormat="false" ht="14.25" hidden="false" customHeight="false" outlineLevel="0" collapsed="false">
      <c r="B12" s="126" t="n">
        <v>14621610</v>
      </c>
      <c r="C12" s="127" t="n">
        <v>17.8552952804873</v>
      </c>
      <c r="D12" s="127" t="n">
        <v>7.72933333333333</v>
      </c>
      <c r="E12" s="127" t="n">
        <v>0</v>
      </c>
    </row>
    <row r="13" customFormat="false" ht="14.25" hidden="false" customHeight="false" outlineLevel="0" collapsed="false">
      <c r="B13" s="126" t="n">
        <v>14797927</v>
      </c>
      <c r="C13" s="127" t="n">
        <v>20.2687283211121</v>
      </c>
      <c r="D13" s="127" t="n">
        <v>43.9513333333333</v>
      </c>
      <c r="E13" s="127" t="n">
        <v>6.56448275862069</v>
      </c>
    </row>
    <row r="14" customFormat="false" ht="14.25" hidden="false" customHeight="false" outlineLevel="0" collapsed="false">
      <c r="B14" s="126" t="n">
        <v>14837882</v>
      </c>
      <c r="C14" s="127" t="n">
        <v>3.36060828198643</v>
      </c>
      <c r="D14" s="127" t="n">
        <v>11.2268</v>
      </c>
      <c r="E14" s="127" t="n">
        <v>0</v>
      </c>
    </row>
    <row r="15" customFormat="false" ht="14.25" hidden="false" customHeight="false" outlineLevel="0" collapsed="false">
      <c r="B15" s="126" t="n">
        <v>16379970</v>
      </c>
      <c r="C15" s="127" t="n">
        <v>14.3132942810663</v>
      </c>
      <c r="D15" s="127" t="n">
        <v>10.12</v>
      </c>
      <c r="E15" s="127" t="n">
        <v>7.90206896551724</v>
      </c>
    </row>
    <row r="16" customFormat="false" ht="14.25" hidden="false" customHeight="false" outlineLevel="0" collapsed="false">
      <c r="B16" s="126" t="n">
        <v>16702551</v>
      </c>
      <c r="C16" s="127" t="n">
        <v>11.8543663032208</v>
      </c>
      <c r="D16" s="127" t="n">
        <v>2.30933333333333</v>
      </c>
      <c r="E16" s="127" t="n">
        <v>0</v>
      </c>
    </row>
    <row r="17" customFormat="false" ht="14.25" hidden="false" customHeight="false" outlineLevel="0" collapsed="false">
      <c r="B17" s="126" t="n">
        <v>16729830</v>
      </c>
      <c r="C17" s="127" t="n">
        <v>7.02277135752898</v>
      </c>
      <c r="D17" s="127" t="n">
        <v>4.99066666666667</v>
      </c>
      <c r="E17" s="127" t="n">
        <v>0</v>
      </c>
    </row>
    <row r="18" customFormat="false" ht="14.25" hidden="false" customHeight="false" outlineLevel="0" collapsed="false">
      <c r="B18" s="126" t="n">
        <v>16737817</v>
      </c>
      <c r="C18" s="127" t="n">
        <v>0.641384270471385</v>
      </c>
      <c r="D18" s="127" t="n">
        <v>0.643285714285714</v>
      </c>
      <c r="E18" s="127" t="n">
        <v>4.22426108374384</v>
      </c>
    </row>
    <row r="19" customFormat="false" ht="14.25" hidden="false" customHeight="false" outlineLevel="0" collapsed="false">
      <c r="B19" s="126" t="n">
        <v>16749432</v>
      </c>
      <c r="C19" s="127" t="n">
        <v>28.4658887032402</v>
      </c>
      <c r="D19" s="127" t="n">
        <v>28.05</v>
      </c>
      <c r="E19" s="127" t="n">
        <v>24.9831034482759</v>
      </c>
    </row>
    <row r="20" customFormat="false" ht="14.25" hidden="false" customHeight="false" outlineLevel="0" collapsed="false">
      <c r="B20" s="126" t="n">
        <v>16767193</v>
      </c>
      <c r="C20" s="127" t="n">
        <v>14.8133192823163</v>
      </c>
      <c r="D20" s="127" t="n">
        <v>6.3144</v>
      </c>
      <c r="E20" s="127" t="n">
        <v>6.60655172413793</v>
      </c>
    </row>
    <row r="21" customFormat="false" ht="14.25" hidden="false" customHeight="false" outlineLevel="0" collapsed="false">
      <c r="B21" s="126" t="n">
        <v>16769506</v>
      </c>
      <c r="C21" s="127" t="n">
        <v>12.3012439930173</v>
      </c>
      <c r="D21" s="127" t="n">
        <v>17.9773333333333</v>
      </c>
      <c r="E21" s="127" t="n">
        <v>9.9548275862069</v>
      </c>
    </row>
    <row r="22" customFormat="false" ht="14.25" hidden="false" customHeight="false" outlineLevel="0" collapsed="false">
      <c r="B22" s="126" t="n">
        <v>16774204</v>
      </c>
      <c r="C22" s="127" t="n">
        <v>20.0569776916519</v>
      </c>
      <c r="D22" s="127" t="n">
        <v>11.7868</v>
      </c>
      <c r="E22" s="127" t="n">
        <v>7.06933497536946</v>
      </c>
    </row>
    <row r="23" customFormat="false" ht="14.25" hidden="false" customHeight="false" outlineLevel="0" collapsed="false">
      <c r="B23" s="126" t="n">
        <v>16786534</v>
      </c>
      <c r="C23" s="127" t="n">
        <v>20.3639741735514</v>
      </c>
      <c r="D23" s="127" t="n">
        <v>15.7884</v>
      </c>
      <c r="E23" s="127" t="n">
        <v>15.3172413793103</v>
      </c>
    </row>
    <row r="24" customFormat="false" ht="14.25" hidden="false" customHeight="false" outlineLevel="0" collapsed="false">
      <c r="B24" s="126" t="n">
        <v>16846278</v>
      </c>
      <c r="C24" s="127" t="n">
        <v>21.1698215938051</v>
      </c>
      <c r="D24" s="127" t="n">
        <v>17.9353333333333</v>
      </c>
      <c r="E24" s="127" t="n">
        <v>11.1010344827586</v>
      </c>
    </row>
    <row r="25" customFormat="false" ht="14.25" hidden="false" customHeight="false" outlineLevel="0" collapsed="false">
      <c r="B25" s="126" t="n">
        <v>16847593</v>
      </c>
      <c r="C25" s="127" t="n">
        <v>9.93477346823316</v>
      </c>
      <c r="D25" s="127" t="n">
        <v>11.5426666666667</v>
      </c>
      <c r="E25" s="127" t="n">
        <v>0</v>
      </c>
    </row>
    <row r="26" customFormat="false" ht="14.25" hidden="false" customHeight="false" outlineLevel="0" collapsed="false">
      <c r="B26" s="126" t="n">
        <v>16915378</v>
      </c>
      <c r="C26" s="127" t="n">
        <v>10.3178114880587</v>
      </c>
      <c r="D26" s="127" t="n">
        <v>12.657</v>
      </c>
      <c r="E26" s="127" t="n">
        <v>9.9101724137931</v>
      </c>
    </row>
    <row r="27" customFormat="false" ht="14.25" hidden="false" customHeight="false" outlineLevel="0" collapsed="false">
      <c r="B27" s="126" t="n">
        <v>16918838</v>
      </c>
      <c r="C27" s="127" t="n">
        <v>14.2516559790254</v>
      </c>
      <c r="D27" s="127" t="n">
        <v>5.296</v>
      </c>
      <c r="E27" s="127" t="n">
        <v>0</v>
      </c>
    </row>
    <row r="28" customFormat="false" ht="14.25" hidden="false" customHeight="false" outlineLevel="0" collapsed="false">
      <c r="B28" s="126" t="n">
        <v>16926618</v>
      </c>
      <c r="C28" s="127" t="n">
        <v>7.88456613606362</v>
      </c>
      <c r="D28" s="127" t="n">
        <v>3.52733333333333</v>
      </c>
      <c r="E28" s="127" t="n">
        <v>8.33563218390805</v>
      </c>
    </row>
    <row r="29" customFormat="false" ht="14.25" hidden="false" customHeight="false" outlineLevel="0" collapsed="false">
      <c r="B29" s="126" t="n">
        <v>16930766</v>
      </c>
      <c r="C29" s="127" t="n">
        <v>10.8848838668349</v>
      </c>
      <c r="D29" s="127" t="n">
        <v>8.4636</v>
      </c>
      <c r="E29" s="127" t="n">
        <v>5.98862068965517</v>
      </c>
    </row>
    <row r="30" customFormat="false" ht="14.25" hidden="false" customHeight="false" outlineLevel="0" collapsed="false">
      <c r="B30" s="126" t="n">
        <v>16939856</v>
      </c>
      <c r="C30" s="127" t="n">
        <v>19.2113379253868</v>
      </c>
      <c r="D30" s="127" t="n">
        <v>35.0473333333333</v>
      </c>
      <c r="E30" s="127" t="n">
        <v>0</v>
      </c>
    </row>
    <row r="31" customFormat="false" ht="14.25" hidden="false" customHeight="false" outlineLevel="0" collapsed="false">
      <c r="B31" s="126" t="n">
        <v>16940638</v>
      </c>
      <c r="C31" s="127" t="n">
        <v>17.3365062383098</v>
      </c>
      <c r="D31" s="127" t="n">
        <v>10.4186666666667</v>
      </c>
      <c r="E31" s="127" t="n">
        <v>6.69862068965517</v>
      </c>
    </row>
    <row r="32" customFormat="false" ht="14.25" hidden="false" customHeight="false" outlineLevel="0" collapsed="false">
      <c r="B32" s="126" t="n">
        <v>24348754</v>
      </c>
      <c r="C32" s="127" t="n">
        <v>7.51987284898836</v>
      </c>
      <c r="D32" s="127" t="n">
        <v>9.262</v>
      </c>
      <c r="E32" s="127" t="n">
        <v>1.47448275862069</v>
      </c>
    </row>
    <row r="33" customFormat="false" ht="14.25" hidden="false" customHeight="false" outlineLevel="0" collapsed="false">
      <c r="B33" s="126" t="n">
        <v>25364521</v>
      </c>
      <c r="C33" s="127" t="n">
        <v>39.5436124007458</v>
      </c>
      <c r="D33" s="127" t="n">
        <v>18.3622</v>
      </c>
      <c r="E33" s="127" t="n">
        <v>16.2465517241379</v>
      </c>
    </row>
    <row r="34" customFormat="false" ht="14.25" hidden="false" customHeight="false" outlineLevel="0" collapsed="false">
      <c r="B34" s="126" t="n">
        <v>26366473</v>
      </c>
      <c r="C34" s="127" t="n">
        <v>10.2768660445601</v>
      </c>
      <c r="D34" s="127" t="n">
        <v>4.2424</v>
      </c>
      <c r="E34" s="127" t="n">
        <v>11.7579310344828</v>
      </c>
    </row>
    <row r="35" customFormat="false" ht="14.25" hidden="false" customHeight="false" outlineLevel="0" collapsed="false">
      <c r="B35" s="126" t="n">
        <v>29111123</v>
      </c>
      <c r="C35" s="127" t="n">
        <v>12.9702397069539</v>
      </c>
      <c r="D35" s="127" t="n">
        <v>1.1458</v>
      </c>
      <c r="E35" s="127" t="n">
        <v>4.57965517241379</v>
      </c>
    </row>
    <row r="36" customFormat="false" ht="14.25" hidden="false" customHeight="false" outlineLevel="0" collapsed="false">
      <c r="B36" s="126" t="n">
        <v>29117076</v>
      </c>
      <c r="C36" s="127" t="n">
        <v>31.6797228167954</v>
      </c>
      <c r="D36" s="127" t="n">
        <v>43.962962962963</v>
      </c>
      <c r="E36" s="127" t="n">
        <v>39.1367816091954</v>
      </c>
    </row>
    <row r="37" customFormat="false" ht="14.25" hidden="false" customHeight="false" outlineLevel="0" collapsed="false">
      <c r="B37" s="126" t="n">
        <v>29119003</v>
      </c>
      <c r="C37" s="127" t="n">
        <v>10.8496619799543</v>
      </c>
      <c r="D37" s="127" t="n">
        <v>17.1337142857143</v>
      </c>
      <c r="E37" s="127" t="n">
        <v>14.7192118226601</v>
      </c>
    </row>
    <row r="38" customFormat="false" ht="14.25" hidden="false" customHeight="false" outlineLevel="0" collapsed="false">
      <c r="B38" s="126" t="n">
        <v>29121696</v>
      </c>
      <c r="C38" s="127" t="n">
        <v>4.18656152933433</v>
      </c>
      <c r="D38" s="127" t="n">
        <v>35.574</v>
      </c>
      <c r="E38" s="127" t="n">
        <v>8.96120689655172</v>
      </c>
    </row>
    <row r="39" customFormat="false" ht="14.25" hidden="false" customHeight="false" outlineLevel="0" collapsed="false">
      <c r="B39" s="126" t="n">
        <v>29125116</v>
      </c>
      <c r="C39" s="127" t="n">
        <v>21.4237126950687</v>
      </c>
      <c r="D39" s="127" t="n">
        <v>15.9993333333333</v>
      </c>
      <c r="E39" s="127" t="n">
        <v>14.2557471264368</v>
      </c>
    </row>
    <row r="40" customFormat="false" ht="14.25" hidden="false" customHeight="false" outlineLevel="0" collapsed="false">
      <c r="B40" s="126" t="n">
        <v>29125244</v>
      </c>
      <c r="C40" s="127" t="n">
        <v>4.72457585143408</v>
      </c>
      <c r="D40" s="127" t="n">
        <v>4.2884</v>
      </c>
      <c r="E40" s="127" t="n">
        <v>2.58448275862069</v>
      </c>
    </row>
    <row r="41" customFormat="false" ht="14.25" hidden="false" customHeight="false" outlineLevel="0" collapsed="false">
      <c r="B41" s="126" t="n">
        <v>29179489</v>
      </c>
      <c r="C41" s="127" t="n">
        <v>19.2122184725589</v>
      </c>
      <c r="D41" s="127" t="n">
        <v>17.1318</v>
      </c>
      <c r="E41" s="127" t="n">
        <v>25.493275862069</v>
      </c>
    </row>
    <row r="42" customFormat="false" ht="14.25" hidden="false" customHeight="false" outlineLevel="0" collapsed="false">
      <c r="B42" s="126" t="n">
        <v>29363464</v>
      </c>
      <c r="C42" s="127" t="n">
        <v>20.400957154776</v>
      </c>
      <c r="D42" s="127" t="n">
        <v>18.1416</v>
      </c>
      <c r="E42" s="127" t="n">
        <v>14.1479310344828</v>
      </c>
    </row>
    <row r="43" customFormat="false" ht="14.25" hidden="false" customHeight="false" outlineLevel="0" collapsed="false">
      <c r="B43" s="126" t="n">
        <v>29508587</v>
      </c>
      <c r="C43" s="127" t="n">
        <v>20.7376196902088</v>
      </c>
      <c r="D43" s="127" t="n">
        <v>47.604</v>
      </c>
      <c r="E43" s="127" t="n">
        <v>15.5134482758621</v>
      </c>
    </row>
    <row r="44" customFormat="false" ht="14.25" hidden="false" customHeight="false" outlineLevel="0" collapsed="false">
      <c r="B44" s="126" t="n">
        <v>29545130</v>
      </c>
      <c r="C44" s="127" t="n">
        <v>0.965960247697919</v>
      </c>
      <c r="D44" s="127" t="n">
        <v>0.832</v>
      </c>
      <c r="E44" s="127" t="n">
        <v>0</v>
      </c>
    </row>
    <row r="45" customFormat="false" ht="14.25" hidden="false" customHeight="false" outlineLevel="0" collapsed="false">
      <c r="B45" s="126" t="n">
        <v>29567600</v>
      </c>
      <c r="C45" s="127" t="n">
        <v>3.28098165914585</v>
      </c>
      <c r="D45" s="127" t="n">
        <v>37.184</v>
      </c>
      <c r="E45" s="127" t="n">
        <v>0.648275862068966</v>
      </c>
    </row>
    <row r="46" customFormat="false" ht="14.25" hidden="false" customHeight="false" outlineLevel="0" collapsed="false">
      <c r="B46" s="126" t="n">
        <v>29681380</v>
      </c>
      <c r="C46" s="127" t="n">
        <v>10.5339858187878</v>
      </c>
      <c r="D46" s="127" t="n">
        <v>13.722</v>
      </c>
      <c r="E46" s="127" t="n">
        <v>0</v>
      </c>
    </row>
    <row r="47" customFormat="false" ht="14.25" hidden="false" customHeight="false" outlineLevel="0" collapsed="false">
      <c r="B47" s="126" t="n">
        <v>29684827</v>
      </c>
      <c r="C47" s="127" t="n">
        <v>28.2530898033371</v>
      </c>
      <c r="D47" s="127" t="n">
        <v>30.574</v>
      </c>
      <c r="E47" s="127" t="n">
        <v>15.8086206896552</v>
      </c>
    </row>
    <row r="48" customFormat="false" ht="14.25" hidden="false" customHeight="false" outlineLevel="0" collapsed="false">
      <c r="B48" s="126" t="n">
        <v>29706405</v>
      </c>
      <c r="C48" s="127" t="n">
        <v>4.71004682309587</v>
      </c>
      <c r="D48" s="127" t="n">
        <v>16.3916</v>
      </c>
      <c r="E48" s="127" t="n">
        <v>0</v>
      </c>
    </row>
    <row r="49" customFormat="false" ht="14.25" hidden="false" customHeight="false" outlineLevel="0" collapsed="false">
      <c r="B49" s="126" t="n">
        <v>29975325</v>
      </c>
      <c r="C49" s="127" t="n">
        <v>3.61831508766214</v>
      </c>
      <c r="D49" s="127" t="n">
        <v>6.11533333333333</v>
      </c>
      <c r="E49" s="127" t="n">
        <v>0</v>
      </c>
    </row>
    <row r="50" customFormat="false" ht="14.25" hidden="false" customHeight="false" outlineLevel="0" collapsed="false">
      <c r="B50" s="126" t="n">
        <v>30299942</v>
      </c>
      <c r="C50" s="127" t="n">
        <v>15.2237800569274</v>
      </c>
      <c r="D50" s="127" t="n">
        <v>15.4054</v>
      </c>
      <c r="E50" s="127" t="n">
        <v>17.1136206896552</v>
      </c>
    </row>
    <row r="51" customFormat="false" ht="14.25" hidden="false" customHeight="false" outlineLevel="0" collapsed="false">
      <c r="B51" s="126" t="n">
        <v>30323543</v>
      </c>
      <c r="C51" s="127" t="n">
        <v>0.713463346123281</v>
      </c>
      <c r="D51" s="127" t="n">
        <v>2.9734</v>
      </c>
      <c r="E51" s="127" t="n">
        <v>1.77862068965517</v>
      </c>
    </row>
    <row r="52" customFormat="false" ht="14.25" hidden="false" customHeight="false" outlineLevel="0" collapsed="false">
      <c r="B52" s="126" t="n">
        <v>30332791</v>
      </c>
      <c r="C52" s="127" t="n">
        <v>12.6087750928427</v>
      </c>
      <c r="D52" s="127" t="n">
        <v>19.0932</v>
      </c>
      <c r="E52" s="127" t="n">
        <v>15.5922413793103</v>
      </c>
    </row>
    <row r="53" customFormat="false" ht="14.25" hidden="false" customHeight="false" outlineLevel="0" collapsed="false">
      <c r="B53" s="126" t="n">
        <v>30333175</v>
      </c>
      <c r="C53" s="127" t="n">
        <v>20.9007305711198</v>
      </c>
      <c r="D53" s="127" t="n">
        <v>9.264</v>
      </c>
      <c r="E53" s="127" t="n">
        <v>4.69901477832512</v>
      </c>
    </row>
    <row r="54" customFormat="false" ht="14.25" hidden="false" customHeight="false" outlineLevel="0" collapsed="false">
      <c r="B54" s="126" t="n">
        <v>30395903</v>
      </c>
      <c r="C54" s="127" t="n">
        <v>10.6319781397875</v>
      </c>
      <c r="D54" s="127" t="n">
        <v>4.27342857142857</v>
      </c>
      <c r="E54" s="127" t="n">
        <v>6.62290640394089</v>
      </c>
    </row>
    <row r="55" customFormat="false" ht="14.25" hidden="false" customHeight="false" outlineLevel="0" collapsed="false">
      <c r="B55" s="126" t="n">
        <v>30744172</v>
      </c>
      <c r="C55" s="127" t="n">
        <v>13.1452484573914</v>
      </c>
      <c r="D55" s="127" t="n">
        <v>8.8954</v>
      </c>
      <c r="E55" s="127" t="n">
        <v>7.34396551724138</v>
      </c>
    </row>
    <row r="56" customFormat="false" ht="14.25" hidden="false" customHeight="false" outlineLevel="0" collapsed="false">
      <c r="B56" s="126" t="n">
        <v>31308698</v>
      </c>
      <c r="C56" s="127" t="n">
        <v>24.9595498642857</v>
      </c>
      <c r="D56" s="127" t="n">
        <v>62.6154</v>
      </c>
      <c r="E56" s="127" t="n">
        <v>31.2562068965517</v>
      </c>
    </row>
    <row r="57" customFormat="false" ht="14.25" hidden="false" customHeight="false" outlineLevel="0" collapsed="false">
      <c r="B57" s="126" t="n">
        <v>31309273</v>
      </c>
      <c r="C57" s="127" t="n">
        <v>10.9901092538904</v>
      </c>
      <c r="D57" s="127" t="n">
        <v>56.7672</v>
      </c>
      <c r="E57" s="127" t="n">
        <v>8.09844827586207</v>
      </c>
    </row>
    <row r="58" customFormat="false" ht="14.25" hidden="false" customHeight="false" outlineLevel="0" collapsed="false">
      <c r="B58" s="126" t="n">
        <v>31323960</v>
      </c>
      <c r="C58" s="127" t="n">
        <v>2.46751331277256</v>
      </c>
      <c r="D58" s="127" t="n">
        <v>1.53142857142857</v>
      </c>
      <c r="E58" s="127" t="n">
        <v>5.7748275862069</v>
      </c>
    </row>
    <row r="59" customFormat="false" ht="14.25" hidden="false" customHeight="false" outlineLevel="0" collapsed="false">
      <c r="B59" s="126" t="n">
        <v>31324094</v>
      </c>
      <c r="C59" s="127" t="n">
        <v>33.0812767053447</v>
      </c>
      <c r="D59" s="127" t="n">
        <v>37.8492</v>
      </c>
      <c r="E59" s="127" t="n">
        <v>28.3144827586207</v>
      </c>
    </row>
    <row r="60" customFormat="false" ht="14.25" hidden="false" customHeight="false" outlineLevel="0" collapsed="false">
      <c r="B60" s="126" t="n">
        <v>31324751</v>
      </c>
      <c r="C60" s="127" t="n">
        <v>11.0579113861353</v>
      </c>
      <c r="D60" s="127" t="n">
        <v>33.5648</v>
      </c>
      <c r="E60" s="127" t="n">
        <v>9.54413793103448</v>
      </c>
    </row>
    <row r="61" customFormat="false" ht="14.25" hidden="false" customHeight="false" outlineLevel="0" collapsed="false">
      <c r="B61" s="126" t="n">
        <v>31526082</v>
      </c>
      <c r="C61" s="127" t="n">
        <v>7.50314245272012</v>
      </c>
      <c r="D61" s="127" t="n">
        <v>5.4808</v>
      </c>
      <c r="E61" s="127" t="n">
        <v>0</v>
      </c>
    </row>
    <row r="62" customFormat="false" ht="14.25" hidden="false" customHeight="false" outlineLevel="0" collapsed="false">
      <c r="B62" s="126" t="n">
        <v>31530816</v>
      </c>
      <c r="C62" s="127" t="n">
        <v>6.01413718484666</v>
      </c>
      <c r="D62" s="127" t="n">
        <v>0.986</v>
      </c>
      <c r="E62" s="127" t="n">
        <v>0</v>
      </c>
    </row>
    <row r="63" customFormat="false" ht="14.25" hidden="false" customHeight="false" outlineLevel="0" collapsed="false">
      <c r="B63" s="126" t="n">
        <v>31532714</v>
      </c>
      <c r="C63" s="127" t="n">
        <v>11.244587386602</v>
      </c>
      <c r="D63" s="127" t="n">
        <v>18.1764</v>
      </c>
      <c r="E63" s="127" t="n">
        <v>15.6031034482759</v>
      </c>
    </row>
    <row r="64" customFormat="false" ht="14.25" hidden="false" customHeight="false" outlineLevel="0" collapsed="false">
      <c r="B64" s="126" t="n">
        <v>31571567</v>
      </c>
      <c r="C64" s="127" t="n">
        <v>18.9511362360571</v>
      </c>
      <c r="D64" s="127" t="n">
        <v>5.1916</v>
      </c>
      <c r="E64" s="127" t="n">
        <v>0</v>
      </c>
    </row>
    <row r="65" customFormat="false" ht="14.25" hidden="false" customHeight="false" outlineLevel="0" collapsed="false">
      <c r="B65" s="126" t="n">
        <v>31573111</v>
      </c>
      <c r="C65" s="127" t="n">
        <v>22.7452672423978</v>
      </c>
      <c r="D65" s="127" t="n">
        <v>26.2793333333333</v>
      </c>
      <c r="E65" s="127" t="n">
        <v>10.9568965517241</v>
      </c>
    </row>
    <row r="66" customFormat="false" ht="14.25" hidden="false" customHeight="false" outlineLevel="0" collapsed="false">
      <c r="B66" s="126" t="n">
        <v>31574118</v>
      </c>
      <c r="C66" s="127" t="n">
        <v>18.6669710844033</v>
      </c>
      <c r="D66" s="127" t="n">
        <v>18.242</v>
      </c>
      <c r="E66" s="127" t="n">
        <v>14.6022167487685</v>
      </c>
    </row>
    <row r="67" customFormat="false" ht="14.25" hidden="false" customHeight="false" outlineLevel="0" collapsed="false">
      <c r="B67" s="126" t="n">
        <v>31574514</v>
      </c>
      <c r="C67" s="127" t="n">
        <v>1.58982791906891</v>
      </c>
      <c r="D67" s="127" t="n">
        <v>1.55266666666667</v>
      </c>
      <c r="E67" s="127" t="n">
        <v>0</v>
      </c>
    </row>
    <row r="68" customFormat="false" ht="14.25" hidden="false" customHeight="false" outlineLevel="0" collapsed="false">
      <c r="B68" s="126" t="n">
        <v>31574768</v>
      </c>
      <c r="C68" s="127" t="n">
        <v>24.7798553449685</v>
      </c>
      <c r="D68" s="127" t="n">
        <v>13.168</v>
      </c>
      <c r="E68" s="127" t="n">
        <v>10.1251231527094</v>
      </c>
    </row>
    <row r="69" customFormat="false" ht="14.25" hidden="false" customHeight="false" outlineLevel="0" collapsed="false">
      <c r="B69" s="126" t="n">
        <v>31582244</v>
      </c>
      <c r="C69" s="127" t="n">
        <v>7.14270514364293</v>
      </c>
      <c r="D69" s="127" t="n">
        <v>67.916</v>
      </c>
      <c r="E69" s="127" t="n">
        <v>3.40655172413793</v>
      </c>
    </row>
    <row r="70" customFormat="false" ht="14.25" hidden="false" customHeight="false" outlineLevel="0" collapsed="false">
      <c r="B70" s="126" t="n">
        <v>31583226</v>
      </c>
      <c r="C70" s="127" t="n">
        <v>5.18893869221763</v>
      </c>
      <c r="D70" s="127" t="n">
        <v>9.62</v>
      </c>
      <c r="E70" s="127" t="n">
        <v>0</v>
      </c>
    </row>
    <row r="71" customFormat="false" ht="14.25" hidden="false" customHeight="false" outlineLevel="0" collapsed="false">
      <c r="B71" s="126" t="n">
        <v>31658624</v>
      </c>
      <c r="C71" s="127" t="n">
        <v>3.55829112210328</v>
      </c>
      <c r="D71" s="127" t="n">
        <v>5.3858</v>
      </c>
      <c r="E71" s="127" t="n">
        <v>5.16155172413793</v>
      </c>
    </row>
    <row r="72" customFormat="false" ht="14.25" hidden="false" customHeight="false" outlineLevel="0" collapsed="false">
      <c r="B72" s="126" t="n">
        <v>31710612</v>
      </c>
      <c r="C72" s="127" t="n">
        <v>18.7882350092347</v>
      </c>
      <c r="D72" s="127" t="n">
        <v>21.2928</v>
      </c>
      <c r="E72" s="127" t="n">
        <v>16.1686206896552</v>
      </c>
    </row>
    <row r="73" customFormat="false" ht="14.25" hidden="false" customHeight="false" outlineLevel="0" collapsed="false">
      <c r="B73" s="126" t="n">
        <v>31711710</v>
      </c>
      <c r="C73" s="127" t="n">
        <v>12.4621639887026</v>
      </c>
      <c r="D73" s="127" t="n">
        <v>56.7497142857143</v>
      </c>
      <c r="E73" s="127" t="n">
        <v>7.15534482758621</v>
      </c>
    </row>
    <row r="74" customFormat="false" ht="14.25" hidden="false" customHeight="false" outlineLevel="0" collapsed="false">
      <c r="B74" s="126" t="n">
        <v>31711815</v>
      </c>
      <c r="C74" s="127" t="n">
        <v>19.362498523249</v>
      </c>
      <c r="D74" s="127" t="n">
        <v>14.8833333333333</v>
      </c>
      <c r="E74" s="127" t="n">
        <v>24.2475862068966</v>
      </c>
    </row>
    <row r="75" customFormat="false" ht="14.25" hidden="false" customHeight="false" outlineLevel="0" collapsed="false">
      <c r="B75" s="126" t="n">
        <v>31713043</v>
      </c>
      <c r="C75" s="127" t="n">
        <v>12.8097599848546</v>
      </c>
      <c r="D75" s="127" t="n">
        <v>10.1088571428571</v>
      </c>
      <c r="E75" s="127" t="n">
        <v>8.43596059113301</v>
      </c>
    </row>
    <row r="76" customFormat="false" ht="14.25" hidden="false" customHeight="false" outlineLevel="0" collapsed="false">
      <c r="B76" s="126" t="n">
        <v>31843374</v>
      </c>
      <c r="C76" s="127" t="n">
        <v>2.12608114682464</v>
      </c>
      <c r="D76" s="127" t="n">
        <v>7.84066666666667</v>
      </c>
      <c r="E76" s="127" t="n">
        <v>5.2183908045977</v>
      </c>
    </row>
    <row r="77" customFormat="false" ht="14.25" hidden="false" customHeight="false" outlineLevel="0" collapsed="false">
      <c r="B77" s="126" t="n">
        <v>31884529</v>
      </c>
      <c r="C77" s="127" t="n">
        <v>33.2343661208218</v>
      </c>
      <c r="D77" s="127" t="n">
        <v>7.53971428571429</v>
      </c>
      <c r="E77" s="127" t="n">
        <v>0</v>
      </c>
    </row>
    <row r="78" customFormat="false" ht="14.25" hidden="false" customHeight="false" outlineLevel="0" collapsed="false">
      <c r="B78" s="126" t="n">
        <v>31895435</v>
      </c>
      <c r="C78" s="127" t="n">
        <v>7.52647695277846</v>
      </c>
      <c r="D78" s="127" t="n">
        <v>14.1358</v>
      </c>
      <c r="E78" s="127" t="n">
        <v>0</v>
      </c>
    </row>
    <row r="79" customFormat="false" ht="14.25" hidden="false" customHeight="false" outlineLevel="0" collapsed="false">
      <c r="B79" s="126" t="n">
        <v>31902853</v>
      </c>
      <c r="C79" s="127" t="n">
        <v>0.178090665539566</v>
      </c>
      <c r="D79" s="127" t="n">
        <v>0.3136</v>
      </c>
      <c r="E79" s="127" t="n">
        <v>0.283965517241379</v>
      </c>
    </row>
    <row r="80" customFormat="false" ht="14.25" hidden="false" customHeight="false" outlineLevel="0" collapsed="false">
      <c r="B80" s="126" t="n">
        <v>31930811</v>
      </c>
      <c r="C80" s="127" t="n">
        <v>7.02324424397321</v>
      </c>
      <c r="D80" s="127" t="n">
        <v>3.5184</v>
      </c>
      <c r="E80" s="127" t="n">
        <v>4.67701149425287</v>
      </c>
    </row>
    <row r="81" customFormat="false" ht="14.25" hidden="false" customHeight="false" outlineLevel="0" collapsed="false">
      <c r="B81" s="126" t="n">
        <v>31937197</v>
      </c>
      <c r="C81" s="127" t="n">
        <v>20.9972762789083</v>
      </c>
      <c r="D81" s="127" t="n">
        <v>24.6151428571429</v>
      </c>
      <c r="E81" s="127" t="n">
        <v>0</v>
      </c>
    </row>
    <row r="82" customFormat="false" ht="14.25" hidden="false" customHeight="false" outlineLevel="0" collapsed="false">
      <c r="B82" s="126" t="n">
        <v>31958544</v>
      </c>
      <c r="C82" s="127" t="n">
        <v>10.2290229815474</v>
      </c>
      <c r="D82" s="127" t="n">
        <v>1.434</v>
      </c>
      <c r="E82" s="127" t="n">
        <v>3.99793103448276</v>
      </c>
    </row>
    <row r="83" customFormat="false" ht="14.25" hidden="false" customHeight="false" outlineLevel="0" collapsed="false">
      <c r="B83" s="126" t="n">
        <v>31974020</v>
      </c>
      <c r="C83" s="127" t="n">
        <v>26.8750334791373</v>
      </c>
      <c r="D83" s="127" t="n">
        <v>18.0833333333333</v>
      </c>
      <c r="E83" s="127" t="n">
        <v>0</v>
      </c>
    </row>
    <row r="84" customFormat="false" ht="14.25" hidden="false" customHeight="false" outlineLevel="0" collapsed="false">
      <c r="B84" s="126" t="n">
        <v>31980650</v>
      </c>
      <c r="C84" s="127" t="n">
        <v>9.2780320357737</v>
      </c>
      <c r="D84" s="127" t="n">
        <v>5.78933333333333</v>
      </c>
      <c r="E84" s="127" t="n">
        <v>4.85114942528736</v>
      </c>
    </row>
    <row r="85" customFormat="false" ht="14.25" hidden="false" customHeight="false" outlineLevel="0" collapsed="false">
      <c r="B85" s="126" t="n">
        <v>31988600</v>
      </c>
      <c r="C85" s="127" t="n">
        <v>31.8171044820585</v>
      </c>
      <c r="D85" s="127" t="n">
        <v>4.43266666666667</v>
      </c>
      <c r="E85" s="127" t="n">
        <v>4.97298850574713</v>
      </c>
    </row>
    <row r="86" customFormat="false" ht="14.25" hidden="false" customHeight="false" outlineLevel="0" collapsed="false">
      <c r="B86" s="126" t="n">
        <v>31992155</v>
      </c>
      <c r="C86" s="127" t="n">
        <v>16.8353281395726</v>
      </c>
      <c r="D86" s="127" t="n">
        <v>11.0546666666667</v>
      </c>
      <c r="E86" s="127" t="n">
        <v>9.82816091954023</v>
      </c>
    </row>
    <row r="87" customFormat="false" ht="14.25" hidden="false" customHeight="false" outlineLevel="0" collapsed="false">
      <c r="B87" s="126" t="n">
        <v>31998677</v>
      </c>
      <c r="C87" s="127" t="n">
        <v>26.6901185730146</v>
      </c>
      <c r="D87" s="127" t="n">
        <v>26.4653333333333</v>
      </c>
      <c r="E87" s="127" t="n">
        <v>29.6074712643678</v>
      </c>
    </row>
    <row r="88" customFormat="false" ht="14.25" hidden="false" customHeight="false" outlineLevel="0" collapsed="false">
      <c r="B88" s="126" t="n">
        <v>33333466</v>
      </c>
      <c r="C88" s="127" t="n">
        <v>38.9791816634857</v>
      </c>
      <c r="D88" s="127" t="n">
        <v>41.3104</v>
      </c>
      <c r="E88" s="127" t="n">
        <v>0</v>
      </c>
    </row>
    <row r="89" customFormat="false" ht="14.25" hidden="false" customHeight="false" outlineLevel="0" collapsed="false">
      <c r="B89" s="126" t="n">
        <v>34374143</v>
      </c>
      <c r="C89" s="127" t="n">
        <v>20.5682611174584</v>
      </c>
      <c r="D89" s="127" t="n">
        <v>28.6698</v>
      </c>
      <c r="E89" s="127" t="n">
        <v>26.3865517241379</v>
      </c>
    </row>
    <row r="90" customFormat="false" ht="14.25" hidden="false" customHeight="false" outlineLevel="0" collapsed="false">
      <c r="B90" s="126" t="n">
        <v>34516353</v>
      </c>
      <c r="C90" s="127" t="n">
        <v>10.6751668820338</v>
      </c>
      <c r="D90" s="127" t="n">
        <v>3.94</v>
      </c>
      <c r="E90" s="127" t="n">
        <v>0</v>
      </c>
    </row>
    <row r="91" customFormat="false" ht="14.25" hidden="false" customHeight="false" outlineLevel="0" collapsed="false">
      <c r="B91" s="126" t="n">
        <v>34533175</v>
      </c>
      <c r="C91" s="127" t="n">
        <v>28.1334821458054</v>
      </c>
      <c r="D91" s="127" t="n">
        <v>23.564</v>
      </c>
      <c r="E91" s="127" t="n">
        <v>18.0375862068966</v>
      </c>
    </row>
    <row r="92" customFormat="false" ht="14.25" hidden="false" customHeight="false" outlineLevel="0" collapsed="false">
      <c r="B92" s="126" t="n">
        <v>34552159</v>
      </c>
      <c r="C92" s="127" t="n">
        <v>6.04099387359305</v>
      </c>
      <c r="D92" s="127" t="n">
        <v>11.2524</v>
      </c>
      <c r="E92" s="127" t="n">
        <v>6.91551724137931</v>
      </c>
    </row>
    <row r="93" customFormat="false" ht="14.25" hidden="false" customHeight="false" outlineLevel="0" collapsed="false">
      <c r="B93" s="126" t="n">
        <v>34564166</v>
      </c>
      <c r="C93" s="127" t="n">
        <v>20.469199560607</v>
      </c>
      <c r="D93" s="127" t="n">
        <v>34.8916</v>
      </c>
      <c r="E93" s="127" t="n">
        <v>24.4320689655172</v>
      </c>
    </row>
    <row r="94" customFormat="false" ht="14.25" hidden="false" customHeight="false" outlineLevel="0" collapsed="false">
      <c r="B94" s="126" t="n">
        <v>38210639</v>
      </c>
      <c r="C94" s="127" t="n">
        <v>16.3238769904952</v>
      </c>
      <c r="D94" s="127" t="n">
        <v>54.7626666666667</v>
      </c>
      <c r="E94" s="127" t="n">
        <v>10.8166666666667</v>
      </c>
    </row>
    <row r="95" customFormat="false" ht="14.25" hidden="false" customHeight="false" outlineLevel="0" collapsed="false">
      <c r="B95" s="126" t="n">
        <v>38552196</v>
      </c>
      <c r="C95" s="127" t="n">
        <v>13.8289933364593</v>
      </c>
      <c r="D95" s="127" t="n">
        <v>1.986</v>
      </c>
      <c r="E95" s="127" t="n">
        <v>3.60275862068966</v>
      </c>
    </row>
    <row r="96" customFormat="false" ht="14.25" hidden="false" customHeight="false" outlineLevel="0" collapsed="false">
      <c r="B96" s="126" t="n">
        <v>38558372</v>
      </c>
      <c r="C96" s="127" t="n">
        <v>25.192014317697</v>
      </c>
      <c r="D96" s="127" t="n">
        <v>58.2253333333333</v>
      </c>
      <c r="E96" s="127" t="n">
        <v>28.7706896551724</v>
      </c>
    </row>
    <row r="97" customFormat="false" ht="14.25" hidden="false" customHeight="false" outlineLevel="0" collapsed="false">
      <c r="B97" s="126" t="n">
        <v>38559984</v>
      </c>
      <c r="C97" s="127" t="n">
        <v>8.04820115219597</v>
      </c>
      <c r="D97" s="127" t="n">
        <v>10.4328</v>
      </c>
      <c r="E97" s="127" t="n">
        <v>3.86965517241379</v>
      </c>
    </row>
    <row r="98" customFormat="false" ht="14.25" hidden="false" customHeight="false" outlineLevel="0" collapsed="false">
      <c r="B98" s="126" t="n">
        <v>38561807</v>
      </c>
      <c r="C98" s="127" t="n">
        <v>16.8770073723812</v>
      </c>
      <c r="D98" s="127" t="n">
        <v>22.0776</v>
      </c>
      <c r="E98" s="127" t="n">
        <v>22.2837931034483</v>
      </c>
    </row>
    <row r="99" customFormat="false" ht="14.25" hidden="false" customHeight="false" outlineLevel="0" collapsed="false">
      <c r="B99" s="126" t="n">
        <v>38563522</v>
      </c>
      <c r="C99" s="127" t="n">
        <v>32.059254954362</v>
      </c>
      <c r="D99" s="127" t="n">
        <v>26.1673333333333</v>
      </c>
      <c r="E99" s="127" t="n">
        <v>19.0762068965517</v>
      </c>
    </row>
    <row r="100" customFormat="false" ht="14.25" hidden="false" customHeight="false" outlineLevel="0" collapsed="false">
      <c r="B100" s="126" t="n">
        <v>38640524</v>
      </c>
      <c r="C100" s="127" t="n">
        <v>3.54860510321114</v>
      </c>
      <c r="D100" s="127" t="n">
        <v>6.122</v>
      </c>
      <c r="E100" s="127" t="n">
        <v>5.41954022988506</v>
      </c>
    </row>
    <row r="101" customFormat="false" ht="14.25" hidden="false" customHeight="false" outlineLevel="0" collapsed="false">
      <c r="B101" s="126" t="n">
        <v>38641418</v>
      </c>
      <c r="C101" s="127" t="n">
        <v>10.8292626371361</v>
      </c>
      <c r="D101" s="127" t="n">
        <v>42.4473333333333</v>
      </c>
      <c r="E101" s="127" t="n">
        <v>9.32551724137931</v>
      </c>
    </row>
    <row r="102" customFormat="false" ht="14.25" hidden="false" customHeight="false" outlineLevel="0" collapsed="false">
      <c r="B102" s="126" t="n">
        <v>38644539</v>
      </c>
      <c r="C102" s="127" t="n">
        <v>7.39512866628656</v>
      </c>
      <c r="D102" s="127" t="n">
        <v>1.55066666666667</v>
      </c>
      <c r="E102" s="127" t="n">
        <v>0.439310344827586</v>
      </c>
    </row>
    <row r="103" customFormat="false" ht="14.25" hidden="false" customHeight="false" outlineLevel="0" collapsed="false">
      <c r="B103" s="126" t="n">
        <v>38644679</v>
      </c>
      <c r="C103" s="127" t="n">
        <v>2.29756770857411</v>
      </c>
      <c r="D103" s="127" t="n">
        <v>2.4266</v>
      </c>
      <c r="E103" s="127" t="n">
        <v>4.12290640394089</v>
      </c>
    </row>
    <row r="104" customFormat="false" ht="14.25" hidden="false" customHeight="false" outlineLevel="0" collapsed="false">
      <c r="B104" s="126" t="n">
        <v>38667623</v>
      </c>
      <c r="C104" s="127" t="n">
        <v>11.6839804254364</v>
      </c>
      <c r="D104" s="127" t="n">
        <v>8.4192</v>
      </c>
      <c r="E104" s="127" t="n">
        <v>7.88655172413793</v>
      </c>
    </row>
    <row r="105" customFormat="false" ht="14.25" hidden="false" customHeight="false" outlineLevel="0" collapsed="false">
      <c r="B105" s="126" t="n">
        <v>38684944</v>
      </c>
      <c r="C105" s="127" t="n">
        <v>7.95721127775466</v>
      </c>
      <c r="D105" s="127" t="n">
        <v>51.1566666666667</v>
      </c>
      <c r="E105" s="127" t="n">
        <v>14.6741379310345</v>
      </c>
    </row>
    <row r="106" customFormat="false" ht="14.25" hidden="false" customHeight="false" outlineLevel="0" collapsed="false">
      <c r="B106" s="126" t="n">
        <v>38790788</v>
      </c>
      <c r="C106" s="127" t="n">
        <v>3.69609675452326</v>
      </c>
      <c r="D106" s="127" t="n">
        <v>15.4158</v>
      </c>
      <c r="E106" s="127" t="n">
        <v>4.23413793103448</v>
      </c>
    </row>
    <row r="107" customFormat="false" ht="14.25" hidden="false" customHeight="false" outlineLevel="0" collapsed="false">
      <c r="B107" s="126" t="n">
        <v>38872813</v>
      </c>
      <c r="C107" s="127" t="n">
        <v>8.60734860642403</v>
      </c>
      <c r="D107" s="127" t="n">
        <v>3.306</v>
      </c>
      <c r="E107" s="127" t="n">
        <v>10.1367816091954</v>
      </c>
    </row>
    <row r="108" customFormat="false" ht="14.25" hidden="false" customHeight="false" outlineLevel="0" collapsed="false">
      <c r="B108" s="126" t="n">
        <v>38873740</v>
      </c>
      <c r="C108" s="127" t="n">
        <v>11.6712124914422</v>
      </c>
      <c r="D108" s="127" t="n">
        <v>1.9232</v>
      </c>
      <c r="E108" s="127" t="n">
        <v>2.04310344827586</v>
      </c>
    </row>
    <row r="109" customFormat="false" ht="14.25" hidden="false" customHeight="false" outlineLevel="0" collapsed="false">
      <c r="B109" s="126" t="n">
        <v>38888798</v>
      </c>
      <c r="C109" s="127" t="n">
        <v>6.73765344451709</v>
      </c>
      <c r="D109" s="127" t="n">
        <v>39.2486666666667</v>
      </c>
      <c r="E109" s="127" t="n">
        <v>3.78448275862069</v>
      </c>
    </row>
    <row r="110" customFormat="false" ht="14.25" hidden="false" customHeight="false" outlineLevel="0" collapsed="false">
      <c r="B110" s="126" t="n">
        <v>40446874</v>
      </c>
      <c r="C110" s="127" t="n">
        <v>13.5480987885872</v>
      </c>
      <c r="D110" s="127" t="n">
        <v>1.9612</v>
      </c>
      <c r="E110" s="127" t="n">
        <v>7.58413793103448</v>
      </c>
    </row>
    <row r="111" customFormat="false" ht="14.25" hidden="false" customHeight="false" outlineLevel="0" collapsed="false">
      <c r="B111" s="126" t="n">
        <v>41960197</v>
      </c>
      <c r="C111" s="127" t="n">
        <v>8.88692233353806</v>
      </c>
      <c r="D111" s="127" t="n">
        <v>42.6328571428571</v>
      </c>
      <c r="E111" s="127" t="n">
        <v>0</v>
      </c>
    </row>
    <row r="112" customFormat="false" ht="14.25" hidden="false" customHeight="false" outlineLevel="0" collapsed="false">
      <c r="B112" s="126" t="n">
        <v>51696063</v>
      </c>
      <c r="C112" s="127" t="n">
        <v>29.3175036110296</v>
      </c>
      <c r="D112" s="127" t="n">
        <v>17.9885714285714</v>
      </c>
      <c r="E112" s="127" t="n">
        <v>20.9503448275862</v>
      </c>
    </row>
    <row r="113" customFormat="false" ht="14.25" hidden="false" customHeight="false" outlineLevel="0" collapsed="false">
      <c r="B113" s="126" t="n">
        <v>51825981</v>
      </c>
      <c r="C113" s="127" t="n">
        <v>7.44880011296162</v>
      </c>
      <c r="D113" s="127" t="n">
        <v>7.3564</v>
      </c>
      <c r="E113" s="127" t="n">
        <v>5.12551724137931</v>
      </c>
    </row>
    <row r="114" customFormat="false" ht="14.25" hidden="false" customHeight="false" outlineLevel="0" collapsed="false">
      <c r="B114" s="126" t="n">
        <v>51968425</v>
      </c>
      <c r="C114" s="127" t="n">
        <v>12.7276804091777</v>
      </c>
      <c r="D114" s="127" t="n">
        <v>1.19142857142857</v>
      </c>
      <c r="E114" s="127" t="n">
        <v>0</v>
      </c>
    </row>
    <row r="115" customFormat="false" ht="14.25" hidden="false" customHeight="false" outlineLevel="0" collapsed="false">
      <c r="B115" s="126" t="n">
        <v>51997260</v>
      </c>
      <c r="C115" s="127" t="n">
        <v>11.7390146236872</v>
      </c>
      <c r="D115" s="127" t="n">
        <v>11.0048</v>
      </c>
      <c r="E115" s="127" t="n">
        <v>9.92965517241379</v>
      </c>
    </row>
    <row r="116" customFormat="false" ht="14.25" hidden="false" customHeight="false" outlineLevel="0" collapsed="false">
      <c r="B116" s="126" t="n">
        <v>52217227</v>
      </c>
      <c r="C116" s="127" t="n">
        <v>1.84276509422955</v>
      </c>
      <c r="D116" s="127" t="n">
        <v>25.0648</v>
      </c>
      <c r="E116" s="127" t="n">
        <v>21.1303448275862</v>
      </c>
    </row>
    <row r="117" customFormat="false" ht="14.25" hidden="false" customHeight="false" outlineLevel="0" collapsed="false">
      <c r="B117" s="126" t="n">
        <v>52899917</v>
      </c>
      <c r="C117" s="127" t="n">
        <v>44.3656354725493</v>
      </c>
      <c r="D117" s="127" t="n">
        <v>39.1873333333333</v>
      </c>
      <c r="E117" s="127" t="n">
        <v>19.2510344827586</v>
      </c>
    </row>
    <row r="118" customFormat="false" ht="14.25" hidden="false" customHeight="false" outlineLevel="0" collapsed="false">
      <c r="B118" s="126" t="n">
        <v>53003019</v>
      </c>
      <c r="C118" s="127" t="n">
        <v>23.736029568774</v>
      </c>
      <c r="D118" s="127" t="n">
        <v>35.6802</v>
      </c>
      <c r="E118" s="127" t="n">
        <v>0</v>
      </c>
    </row>
    <row r="119" customFormat="false" ht="14.25" hidden="false" customHeight="false" outlineLevel="0" collapsed="false">
      <c r="B119" s="126" t="n">
        <v>55151378</v>
      </c>
      <c r="C119" s="127" t="n">
        <v>5.41882440033951</v>
      </c>
      <c r="D119" s="127" t="n">
        <v>15.9511428571429</v>
      </c>
      <c r="E119" s="127" t="n">
        <v>25.1357142857143</v>
      </c>
    </row>
    <row r="120" customFormat="false" ht="14.25" hidden="false" customHeight="false" outlineLevel="0" collapsed="false">
      <c r="B120" s="126" t="n">
        <v>59664473</v>
      </c>
      <c r="C120" s="127" t="n">
        <v>5.35945036245523</v>
      </c>
      <c r="D120" s="127" t="n">
        <v>18.765</v>
      </c>
      <c r="E120" s="127" t="n">
        <v>19.2113300492611</v>
      </c>
    </row>
    <row r="121" customFormat="false" ht="14.25" hidden="false" customHeight="false" outlineLevel="0" collapsed="false">
      <c r="B121" s="126" t="n">
        <v>60406095</v>
      </c>
      <c r="C121" s="127" t="n">
        <v>27.5749636538431</v>
      </c>
      <c r="D121" s="127" t="n">
        <v>19.4271428571429</v>
      </c>
      <c r="E121" s="127" t="n">
        <v>0</v>
      </c>
    </row>
    <row r="122" customFormat="false" ht="14.25" hidden="false" customHeight="false" outlineLevel="0" collapsed="false">
      <c r="B122" s="126" t="n">
        <v>65706563</v>
      </c>
      <c r="C122" s="127" t="n">
        <v>7.0505412063056</v>
      </c>
      <c r="D122" s="127" t="n">
        <v>31.4613333333333</v>
      </c>
      <c r="E122" s="127" t="n">
        <v>17.0103448275862</v>
      </c>
    </row>
    <row r="123" customFormat="false" ht="14.25" hidden="false" customHeight="false" outlineLevel="0" collapsed="false">
      <c r="B123" s="126" t="n">
        <v>66702591</v>
      </c>
      <c r="C123" s="127" t="n">
        <v>0.560090897626642</v>
      </c>
      <c r="D123" s="127" t="n">
        <v>8.90057142857143</v>
      </c>
      <c r="E123" s="127" t="n">
        <v>7.4884236453202</v>
      </c>
    </row>
    <row r="124" customFormat="false" ht="14.25" hidden="false" customHeight="false" outlineLevel="0" collapsed="false">
      <c r="B124" s="126" t="n">
        <v>66717580</v>
      </c>
      <c r="C124" s="127" t="n">
        <v>10.3591972051433</v>
      </c>
      <c r="D124" s="127" t="n">
        <v>10.2828</v>
      </c>
      <c r="E124" s="127" t="n">
        <v>11.2113793103448</v>
      </c>
    </row>
    <row r="125" customFormat="false" ht="14.25" hidden="false" customHeight="false" outlineLevel="0" collapsed="false">
      <c r="B125" s="126" t="n">
        <v>66764802</v>
      </c>
      <c r="C125" s="127" t="n">
        <v>14.504079501669</v>
      </c>
      <c r="D125" s="127" t="n">
        <v>3.79133333333333</v>
      </c>
      <c r="E125" s="127" t="n">
        <v>3.81206896551724</v>
      </c>
    </row>
    <row r="126" customFormat="false" ht="14.25" hidden="false" customHeight="false" outlineLevel="0" collapsed="false">
      <c r="B126" s="126" t="n">
        <v>66769609</v>
      </c>
      <c r="C126" s="127" t="n">
        <v>1.8178896366202</v>
      </c>
      <c r="D126" s="127" t="n">
        <v>3.8512</v>
      </c>
      <c r="E126" s="127" t="n">
        <v>2.90034482758621</v>
      </c>
    </row>
    <row r="127" customFormat="false" ht="14.25" hidden="false" customHeight="false" outlineLevel="0" collapsed="false">
      <c r="B127" s="126" t="n">
        <v>66780320</v>
      </c>
      <c r="C127" s="127" t="n">
        <v>27.1670816245215</v>
      </c>
      <c r="D127" s="127" t="n">
        <v>26.7926666666667</v>
      </c>
      <c r="E127" s="127" t="n">
        <v>14.9948275862069</v>
      </c>
    </row>
    <row r="128" customFormat="false" ht="14.25" hidden="false" customHeight="false" outlineLevel="0" collapsed="false">
      <c r="B128" s="126" t="n">
        <v>66815650</v>
      </c>
      <c r="C128" s="127" t="n">
        <v>21.8970068000255</v>
      </c>
      <c r="D128" s="127" t="n">
        <v>59.3666666666667</v>
      </c>
      <c r="E128" s="127" t="n">
        <v>7.38310344827586</v>
      </c>
    </row>
    <row r="129" customFormat="false" ht="14.25" hidden="false" customHeight="false" outlineLevel="0" collapsed="false">
      <c r="B129" s="126" t="n">
        <v>66828711</v>
      </c>
      <c r="C129" s="127" t="n">
        <v>8.73209278912583</v>
      </c>
      <c r="D129" s="127" t="n">
        <v>9.71533333333333</v>
      </c>
      <c r="E129" s="127" t="n">
        <v>4.79275862068966</v>
      </c>
    </row>
    <row r="130" customFormat="false" ht="14.25" hidden="false" customHeight="false" outlineLevel="0" collapsed="false">
      <c r="B130" s="126" t="n">
        <v>66828792</v>
      </c>
      <c r="C130" s="127" t="n">
        <v>15.9004805586191</v>
      </c>
      <c r="D130" s="127" t="n">
        <v>37.724</v>
      </c>
      <c r="E130" s="127" t="n">
        <v>8.22034482758621</v>
      </c>
    </row>
    <row r="131" customFormat="false" ht="14.25" hidden="false" customHeight="false" outlineLevel="0" collapsed="false">
      <c r="B131" s="126" t="n">
        <v>66847778</v>
      </c>
      <c r="C131" s="127" t="n">
        <v>11.7235421519504</v>
      </c>
      <c r="D131" s="127" t="n">
        <v>11.6997142857143</v>
      </c>
      <c r="E131" s="127" t="n">
        <v>14.6637931034483</v>
      </c>
    </row>
    <row r="132" customFormat="false" ht="14.25" hidden="false" customHeight="false" outlineLevel="0" collapsed="false">
      <c r="B132" s="126" t="n">
        <v>66848316</v>
      </c>
      <c r="C132" s="127" t="n">
        <v>18.2964494136657</v>
      </c>
      <c r="D132" s="127" t="n">
        <v>16.3052</v>
      </c>
      <c r="E132" s="127" t="n">
        <v>13.9303448275862</v>
      </c>
    </row>
    <row r="133" customFormat="false" ht="14.25" hidden="false" customHeight="false" outlineLevel="0" collapsed="false">
      <c r="B133" s="126" t="n">
        <v>66851685</v>
      </c>
      <c r="C133" s="127" t="n">
        <v>11.1293824649304</v>
      </c>
      <c r="D133" s="127" t="n">
        <v>0.73</v>
      </c>
      <c r="E133" s="127" t="n">
        <v>4.83505747126437</v>
      </c>
    </row>
    <row r="134" customFormat="false" ht="14.25" hidden="false" customHeight="false" outlineLevel="0" collapsed="false">
      <c r="B134" s="126" t="n">
        <v>66852905</v>
      </c>
      <c r="C134" s="127" t="n">
        <v>12.9707743248798</v>
      </c>
      <c r="D134" s="127" t="n">
        <v>7.362</v>
      </c>
      <c r="E134" s="127" t="n">
        <v>7.10568965517241</v>
      </c>
    </row>
    <row r="135" customFormat="false" ht="14.25" hidden="false" customHeight="false" outlineLevel="0" collapsed="false">
      <c r="B135" s="126" t="n">
        <v>66856977</v>
      </c>
      <c r="C135" s="127" t="n">
        <v>16.0069324220928</v>
      </c>
      <c r="D135" s="127" t="n">
        <v>10.0737142857143</v>
      </c>
      <c r="E135" s="127" t="n">
        <v>10.2660098522167</v>
      </c>
    </row>
    <row r="136" customFormat="false" ht="14.25" hidden="false" customHeight="false" outlineLevel="0" collapsed="false">
      <c r="B136" s="126" t="n">
        <v>66857765</v>
      </c>
      <c r="C136" s="127" t="n">
        <v>2.16614604315121</v>
      </c>
      <c r="D136" s="127" t="n">
        <v>1.48733333333333</v>
      </c>
      <c r="E136" s="127" t="n">
        <v>2.29827586206897</v>
      </c>
    </row>
    <row r="137" customFormat="false" ht="14.25" hidden="false" customHeight="false" outlineLevel="0" collapsed="false">
      <c r="B137" s="126" t="n">
        <v>66872117</v>
      </c>
      <c r="C137" s="127" t="n">
        <v>1.42670655545356</v>
      </c>
      <c r="D137" s="127" t="n">
        <v>33.3054285714286</v>
      </c>
      <c r="E137" s="127" t="n">
        <v>0.739310344827586</v>
      </c>
    </row>
    <row r="138" customFormat="false" ht="14.25" hidden="false" customHeight="false" outlineLevel="0" collapsed="false">
      <c r="B138" s="126" t="n">
        <v>66875234</v>
      </c>
      <c r="C138" s="127" t="n">
        <v>10.0022820847541</v>
      </c>
      <c r="D138" s="127" t="n">
        <v>9.24133333333333</v>
      </c>
      <c r="E138" s="127" t="n">
        <v>4.1448275862069</v>
      </c>
    </row>
    <row r="139" customFormat="false" ht="14.25" hidden="false" customHeight="false" outlineLevel="0" collapsed="false">
      <c r="B139" s="126" t="n">
        <v>66899264</v>
      </c>
      <c r="C139" s="127" t="n">
        <v>21.8669214383151</v>
      </c>
      <c r="D139" s="127" t="n">
        <v>37.7813333333333</v>
      </c>
      <c r="E139" s="127" t="n">
        <v>22.4968965517241</v>
      </c>
    </row>
    <row r="140" customFormat="false" ht="14.25" hidden="false" customHeight="false" outlineLevel="0" collapsed="false">
      <c r="B140" s="126" t="n">
        <v>66907772</v>
      </c>
      <c r="C140" s="127" t="n">
        <v>4.65211939842275</v>
      </c>
      <c r="D140" s="127" t="n">
        <v>18.3972857142857</v>
      </c>
      <c r="E140" s="127" t="n">
        <v>1.17155172413793</v>
      </c>
    </row>
    <row r="141" customFormat="false" ht="14.25" hidden="false" customHeight="false" outlineLevel="0" collapsed="false">
      <c r="B141" s="126" t="n">
        <v>66916534</v>
      </c>
      <c r="C141" s="127" t="n">
        <v>4.73640034202968</v>
      </c>
      <c r="D141" s="127" t="n">
        <v>26.2028</v>
      </c>
      <c r="E141" s="127" t="n">
        <v>0</v>
      </c>
    </row>
    <row r="142" customFormat="false" ht="14.25" hidden="false" customHeight="false" outlineLevel="0" collapsed="false">
      <c r="B142" s="126" t="n">
        <v>66924088</v>
      </c>
      <c r="C142" s="127" t="n">
        <v>32.4965933831283</v>
      </c>
      <c r="D142" s="127" t="n">
        <v>1.22933333333333</v>
      </c>
      <c r="E142" s="127" t="n">
        <v>0</v>
      </c>
    </row>
    <row r="143" customFormat="false" ht="14.25" hidden="false" customHeight="false" outlineLevel="0" collapsed="false">
      <c r="B143" s="126" t="n">
        <v>66926287</v>
      </c>
      <c r="C143" s="127" t="n">
        <v>15.126332836558</v>
      </c>
      <c r="D143" s="127" t="n">
        <v>13.0406666666667</v>
      </c>
      <c r="E143" s="127" t="n">
        <v>19.298275862069</v>
      </c>
    </row>
    <row r="144" customFormat="false" ht="14.25" hidden="false" customHeight="false" outlineLevel="0" collapsed="false">
      <c r="B144" s="126" t="n">
        <v>66948369</v>
      </c>
      <c r="C144" s="127" t="n">
        <v>6.07137275102749</v>
      </c>
      <c r="D144" s="127" t="n">
        <v>4.768</v>
      </c>
      <c r="E144" s="127" t="n">
        <v>4.78896551724138</v>
      </c>
    </row>
    <row r="145" customFormat="false" ht="14.25" hidden="false" customHeight="false" outlineLevel="0" collapsed="false">
      <c r="B145" s="126" t="n">
        <v>66949976</v>
      </c>
      <c r="C145" s="127" t="n">
        <v>19.1633481045121</v>
      </c>
      <c r="D145" s="127" t="n">
        <v>13.6556</v>
      </c>
      <c r="E145" s="127" t="n">
        <v>10.9458620689655</v>
      </c>
    </row>
    <row r="146" customFormat="false" ht="14.25" hidden="false" customHeight="false" outlineLevel="0" collapsed="false">
      <c r="B146" s="126" t="n">
        <v>66973973</v>
      </c>
      <c r="C146" s="127" t="n">
        <v>4.72948175710672</v>
      </c>
      <c r="D146" s="127" t="n">
        <v>6.8668</v>
      </c>
      <c r="E146" s="127" t="n">
        <v>3.61576354679803</v>
      </c>
    </row>
    <row r="147" customFormat="false" ht="14.25" hidden="false" customHeight="false" outlineLevel="0" collapsed="false">
      <c r="B147" s="126" t="n">
        <v>66993124</v>
      </c>
      <c r="C147" s="127" t="n">
        <v>7.46337107211755</v>
      </c>
      <c r="D147" s="127" t="n">
        <v>14.0073333333333</v>
      </c>
      <c r="E147" s="127" t="n">
        <v>5.49655172413793</v>
      </c>
    </row>
    <row r="148" customFormat="false" ht="14.25" hidden="false" customHeight="false" outlineLevel="0" collapsed="false">
      <c r="B148" s="126" t="n">
        <v>67000591</v>
      </c>
      <c r="C148" s="127" t="n">
        <v>10.7387130362807</v>
      </c>
      <c r="D148" s="127" t="n">
        <v>11.208</v>
      </c>
      <c r="E148" s="127" t="n">
        <v>9.77310344827586</v>
      </c>
    </row>
    <row r="149" customFormat="false" ht="14.25" hidden="false" customHeight="false" outlineLevel="0" collapsed="false">
      <c r="B149" s="126" t="n">
        <v>67002023</v>
      </c>
      <c r="C149" s="127" t="n">
        <v>8.22651195452854</v>
      </c>
      <c r="D149" s="127" t="n">
        <v>1.804</v>
      </c>
      <c r="E149" s="127" t="n">
        <v>3.87724137931034</v>
      </c>
    </row>
    <row r="150" customFormat="false" ht="14.25" hidden="false" customHeight="false" outlineLevel="0" collapsed="false">
      <c r="B150" s="126" t="n">
        <v>67004483</v>
      </c>
      <c r="C150" s="127" t="n">
        <v>1.6731444538684</v>
      </c>
      <c r="D150" s="127" t="n">
        <v>1.80842857142857</v>
      </c>
      <c r="E150" s="127" t="n">
        <v>0.587807881773399</v>
      </c>
    </row>
    <row r="151" customFormat="false" ht="14.25" hidden="false" customHeight="false" outlineLevel="0" collapsed="false">
      <c r="B151" s="126" t="n">
        <v>67010490</v>
      </c>
      <c r="C151" s="127" t="n">
        <v>15.7356924449996</v>
      </c>
      <c r="D151" s="127" t="n">
        <v>20.6716</v>
      </c>
      <c r="E151" s="127" t="n">
        <v>0</v>
      </c>
    </row>
    <row r="152" customFormat="false" ht="14.25" hidden="false" customHeight="false" outlineLevel="0" collapsed="false">
      <c r="B152" s="126" t="n">
        <v>67011839</v>
      </c>
      <c r="C152" s="127" t="n">
        <v>14.2673800356685</v>
      </c>
      <c r="D152" s="127" t="n">
        <v>2.42042857142857</v>
      </c>
      <c r="E152" s="127" t="n">
        <v>0</v>
      </c>
    </row>
    <row r="153" customFormat="false" ht="14.25" hidden="false" customHeight="false" outlineLevel="0" collapsed="false">
      <c r="B153" s="126" t="n">
        <v>67013068</v>
      </c>
      <c r="C153" s="127" t="n">
        <v>15.1934011794929</v>
      </c>
      <c r="D153" s="127" t="n">
        <v>14.3784</v>
      </c>
      <c r="E153" s="127" t="n">
        <v>0</v>
      </c>
    </row>
    <row r="154" customFormat="false" ht="14.25" hidden="false" customHeight="false" outlineLevel="0" collapsed="false">
      <c r="B154" s="126" t="n">
        <v>67020375</v>
      </c>
      <c r="C154" s="127" t="n">
        <v>8.14034412412445</v>
      </c>
      <c r="D154" s="127" t="n">
        <v>14.8348</v>
      </c>
      <c r="E154" s="127" t="n">
        <v>0</v>
      </c>
    </row>
    <row r="155" customFormat="false" ht="14.25" hidden="false" customHeight="false" outlineLevel="0" collapsed="false">
      <c r="B155" s="126" t="n">
        <v>67023981</v>
      </c>
      <c r="C155" s="127" t="n">
        <v>16.3262251162873</v>
      </c>
      <c r="D155" s="127" t="n">
        <v>11.2194</v>
      </c>
      <c r="E155" s="127" t="n">
        <v>14.6781034482759</v>
      </c>
    </row>
    <row r="156" customFormat="false" ht="14.25" hidden="false" customHeight="false" outlineLevel="0" collapsed="false">
      <c r="B156" s="126" t="n">
        <v>67024552</v>
      </c>
      <c r="C156" s="127" t="n">
        <v>18.778926367702</v>
      </c>
      <c r="D156" s="127" t="n">
        <v>73.3711428571429</v>
      </c>
      <c r="E156" s="127" t="n">
        <v>18.1210344827586</v>
      </c>
    </row>
    <row r="157" customFormat="false" ht="14.25" hidden="false" customHeight="false" outlineLevel="0" collapsed="false">
      <c r="B157" s="126" t="n">
        <v>67025436</v>
      </c>
      <c r="C157" s="127" t="n">
        <v>27.0433647468537</v>
      </c>
      <c r="D157" s="127" t="n">
        <v>85.85</v>
      </c>
      <c r="E157" s="127" t="n">
        <v>21.4706896551724</v>
      </c>
    </row>
    <row r="158" customFormat="false" ht="14.25" hidden="false" customHeight="false" outlineLevel="0" collapsed="false">
      <c r="B158" s="126" t="n">
        <v>67026638</v>
      </c>
      <c r="C158" s="127" t="n">
        <v>0</v>
      </c>
      <c r="D158" s="127" t="n">
        <v>27.264</v>
      </c>
      <c r="E158" s="127" t="n">
        <v>9.76034482758621</v>
      </c>
    </row>
    <row r="159" customFormat="false" ht="14.25" hidden="false" customHeight="false" outlineLevel="0" collapsed="false">
      <c r="B159" s="126" t="n">
        <v>67028594</v>
      </c>
      <c r="C159" s="127" t="n">
        <v>21.375722874194</v>
      </c>
      <c r="D159" s="127" t="n">
        <v>22.9688</v>
      </c>
      <c r="E159" s="127" t="n">
        <v>0</v>
      </c>
    </row>
    <row r="160" customFormat="false" ht="14.25" hidden="false" customHeight="false" outlineLevel="0" collapsed="false">
      <c r="B160" s="126" t="n">
        <v>67030956</v>
      </c>
      <c r="C160" s="127" t="n">
        <v>9.72586365167315</v>
      </c>
      <c r="D160" s="127" t="n">
        <v>9.6474</v>
      </c>
      <c r="E160" s="127" t="n">
        <v>7.07120689655172</v>
      </c>
    </row>
    <row r="161" customFormat="false" ht="14.25" hidden="false" customHeight="false" outlineLevel="0" collapsed="false">
      <c r="B161" s="126" t="n">
        <v>67032665</v>
      </c>
      <c r="C161" s="127" t="n">
        <v>20.2255395788657</v>
      </c>
      <c r="D161" s="127" t="n">
        <v>53.8111428571429</v>
      </c>
      <c r="E161" s="127" t="n">
        <v>26.4546798029557</v>
      </c>
    </row>
    <row r="162" customFormat="false" ht="14.25" hidden="false" customHeight="false" outlineLevel="0" collapsed="false">
      <c r="B162" s="126" t="n">
        <v>67040256</v>
      </c>
      <c r="C162" s="127" t="n">
        <v>7.33715931079573</v>
      </c>
      <c r="D162" s="127" t="n">
        <v>9.4684</v>
      </c>
      <c r="E162" s="127" t="n">
        <v>7.27137931034483</v>
      </c>
    </row>
    <row r="163" customFormat="false" ht="14.25" hidden="false" customHeight="false" outlineLevel="0" collapsed="false">
      <c r="B163" s="126" t="n">
        <v>75073905</v>
      </c>
      <c r="C163" s="127" t="n">
        <v>27.4325665968833</v>
      </c>
      <c r="D163" s="127" t="n">
        <v>24.6994</v>
      </c>
      <c r="E163" s="127" t="n">
        <v>0.700738916256158</v>
      </c>
    </row>
    <row r="164" customFormat="false" ht="14.25" hidden="false" customHeight="false" outlineLevel="0" collapsed="false">
      <c r="B164" s="126" t="n">
        <v>88143419</v>
      </c>
      <c r="C164" s="127" t="n">
        <v>14.4061920077136</v>
      </c>
      <c r="D164" s="127" t="n">
        <v>4.0712</v>
      </c>
      <c r="E164" s="127" t="n">
        <v>2.87086206896552</v>
      </c>
    </row>
    <row r="165" customFormat="false" ht="14.25" hidden="false" customHeight="false" outlineLevel="0" collapsed="false">
      <c r="B165" s="126" t="n">
        <v>94074218</v>
      </c>
      <c r="C165" s="127" t="n">
        <v>25.5072502052776</v>
      </c>
      <c r="D165" s="127" t="n">
        <v>19.3853333333333</v>
      </c>
      <c r="E165" s="127" t="n">
        <v>1.17011494252874</v>
      </c>
    </row>
    <row r="166" customFormat="false" ht="14.25" hidden="false" customHeight="false" outlineLevel="0" collapsed="false">
      <c r="B166" s="126" t="n">
        <v>94378217</v>
      </c>
      <c r="C166" s="127" t="n">
        <v>23.6175959741383</v>
      </c>
      <c r="D166" s="127" t="n">
        <v>20.2404</v>
      </c>
      <c r="E166" s="127" t="n">
        <v>0.372068965517241</v>
      </c>
    </row>
    <row r="167" customFormat="false" ht="14.25" hidden="false" customHeight="false" outlineLevel="0" collapsed="false">
      <c r="B167" s="126" t="n">
        <v>94413398</v>
      </c>
      <c r="C167" s="127" t="n">
        <v>4.13284815184155</v>
      </c>
      <c r="D167" s="127" t="n">
        <v>18.3116</v>
      </c>
      <c r="E167" s="127" t="n">
        <v>0.926896551724138</v>
      </c>
    </row>
    <row r="168" customFormat="false" ht="14.25" hidden="false" customHeight="false" outlineLevel="0" collapsed="false">
      <c r="B168" s="126" t="n">
        <v>94426762</v>
      </c>
      <c r="C168" s="127" t="n">
        <v>4.9411904557492</v>
      </c>
      <c r="D168" s="127" t="n">
        <v>7.3896</v>
      </c>
      <c r="E168" s="127" t="n">
        <v>6.27551724137931</v>
      </c>
    </row>
    <row r="169" customFormat="false" ht="14.25" hidden="false" customHeight="false" outlineLevel="0" collapsed="false">
      <c r="B169" s="126" t="n">
        <v>94459046</v>
      </c>
      <c r="C169" s="127" t="n">
        <v>4.03039019875522</v>
      </c>
      <c r="D169" s="127" t="n">
        <v>1.9024</v>
      </c>
      <c r="E169" s="127" t="n">
        <v>0.811083743842365</v>
      </c>
    </row>
    <row r="170" customFormat="false" ht="14.25" hidden="false" customHeight="false" outlineLevel="0" collapsed="false">
      <c r="B170" s="126" t="n">
        <v>94501835</v>
      </c>
      <c r="C170" s="127" t="n">
        <v>7.88016340020355</v>
      </c>
      <c r="D170" s="127" t="n">
        <v>19.514</v>
      </c>
      <c r="E170" s="127" t="n">
        <v>0.560344827586207</v>
      </c>
    </row>
    <row r="171" customFormat="false" ht="14.25" hidden="false" customHeight="false" outlineLevel="0" collapsed="false">
      <c r="B171" s="126" t="n">
        <v>94533696</v>
      </c>
      <c r="C171" s="127" t="n">
        <v>8.2441228979688</v>
      </c>
      <c r="D171" s="127" t="n">
        <v>15.5377142857143</v>
      </c>
      <c r="E171" s="127" t="n">
        <v>3.49689655172414</v>
      </c>
    </row>
    <row r="172" customFormat="false" ht="14.25" hidden="false" customHeight="false" outlineLevel="0" collapsed="false">
      <c r="B172" s="126" t="n">
        <v>1004342204</v>
      </c>
      <c r="C172" s="127" t="n">
        <v>3.04082290068382</v>
      </c>
      <c r="D172" s="127" t="n">
        <v>10.587</v>
      </c>
      <c r="E172" s="127" t="n">
        <v>0.0206896551724138</v>
      </c>
    </row>
    <row r="173" customFormat="false" ht="14.25" hidden="false" customHeight="false" outlineLevel="0" collapsed="false">
      <c r="B173" s="126" t="n">
        <v>1006096851</v>
      </c>
      <c r="C173" s="127" t="n">
        <v>13.5670305527855</v>
      </c>
      <c r="D173" s="127" t="n">
        <v>6.508</v>
      </c>
      <c r="E173" s="127" t="n">
        <v>0</v>
      </c>
    </row>
    <row r="174" customFormat="false" ht="14.25" hidden="false" customHeight="false" outlineLevel="0" collapsed="false">
      <c r="B174" s="126" t="n">
        <v>1010081973</v>
      </c>
      <c r="C174" s="127" t="n">
        <v>2.91534492867201</v>
      </c>
      <c r="D174" s="127" t="n">
        <v>20.5593333333333</v>
      </c>
      <c r="E174" s="127" t="n">
        <v>1.0648275862069</v>
      </c>
    </row>
    <row r="175" customFormat="false" ht="14.25" hidden="false" customHeight="false" outlineLevel="0" collapsed="false">
      <c r="B175" s="126" t="n">
        <v>1010125231</v>
      </c>
      <c r="C175" s="127" t="n">
        <v>1.3949334783301</v>
      </c>
      <c r="D175" s="127" t="n">
        <v>0.38</v>
      </c>
      <c r="E175" s="127" t="n">
        <v>0.327586206896552</v>
      </c>
    </row>
    <row r="176" customFormat="false" ht="14.25" hidden="false" customHeight="false" outlineLevel="0" collapsed="false">
      <c r="B176" s="126" t="n">
        <v>1012409708</v>
      </c>
      <c r="C176" s="127" t="n">
        <v>11.0640752163394</v>
      </c>
      <c r="D176" s="127" t="n">
        <v>20.306</v>
      </c>
      <c r="E176" s="127" t="n">
        <v>1.35344827586207</v>
      </c>
    </row>
    <row r="177" customFormat="false" ht="14.25" hidden="false" customHeight="false" outlineLevel="0" collapsed="false">
      <c r="B177" s="126" t="n">
        <v>1030522020</v>
      </c>
      <c r="C177" s="127" t="n">
        <v>22.2039403856985</v>
      </c>
      <c r="D177" s="127" t="n">
        <v>16.4768571428571</v>
      </c>
      <c r="E177" s="127" t="n">
        <v>0</v>
      </c>
    </row>
    <row r="178" customFormat="false" ht="14.25" hidden="false" customHeight="false" outlineLevel="0" collapsed="false">
      <c r="B178" s="126" t="n">
        <v>1033654195</v>
      </c>
      <c r="C178" s="127" t="n">
        <v>4.03510741574815</v>
      </c>
      <c r="D178" s="127" t="n">
        <v>6.48828571428571</v>
      </c>
      <c r="E178" s="127" t="n">
        <v>5.29236453201971</v>
      </c>
    </row>
    <row r="179" customFormat="false" ht="14.25" hidden="false" customHeight="false" outlineLevel="0" collapsed="false">
      <c r="B179" s="126" t="n">
        <v>1061087232</v>
      </c>
      <c r="C179" s="127" t="n">
        <v>3.67408307522294</v>
      </c>
      <c r="D179" s="127" t="n">
        <v>7.22933333333333</v>
      </c>
      <c r="E179" s="127" t="n">
        <v>0.194252873563218</v>
      </c>
    </row>
    <row r="180" customFormat="false" ht="14.25" hidden="false" customHeight="false" outlineLevel="0" collapsed="false">
      <c r="B180" s="126" t="n">
        <v>1061537744</v>
      </c>
      <c r="C180" s="127" t="n">
        <v>10.8175220081759</v>
      </c>
      <c r="D180" s="127" t="n">
        <v>7.602</v>
      </c>
      <c r="E180" s="127" t="n">
        <v>0</v>
      </c>
    </row>
    <row r="181" customFormat="false" ht="14.25" hidden="false" customHeight="false" outlineLevel="0" collapsed="false">
      <c r="B181" s="126" t="n">
        <v>1062317237</v>
      </c>
      <c r="C181" s="127" t="n">
        <v>15.2347868965775</v>
      </c>
      <c r="D181" s="127" t="n">
        <v>17.4128</v>
      </c>
      <c r="E181" s="127" t="n">
        <v>2.92034482758621</v>
      </c>
    </row>
    <row r="182" customFormat="false" ht="14.25" hidden="false" customHeight="false" outlineLevel="0" collapsed="false">
      <c r="B182" s="126" t="n">
        <v>1072524175</v>
      </c>
      <c r="C182" s="127" t="n">
        <v>34.4212179162417</v>
      </c>
      <c r="D182" s="127" t="n">
        <v>28.6088571428571</v>
      </c>
      <c r="E182" s="127" t="n">
        <v>4.76773399014778</v>
      </c>
    </row>
    <row r="183" customFormat="false" ht="14.25" hidden="false" customHeight="false" outlineLevel="0" collapsed="false">
      <c r="B183" s="126" t="n">
        <v>1075240800</v>
      </c>
      <c r="C183" s="127" t="n">
        <v>8.87958444043795</v>
      </c>
      <c r="D183" s="127" t="n">
        <v>9.958</v>
      </c>
      <c r="E183" s="127" t="n">
        <v>0</v>
      </c>
    </row>
    <row r="184" customFormat="false" ht="14.25" hidden="false" customHeight="false" outlineLevel="0" collapsed="false">
      <c r="B184" s="126" t="n">
        <v>1082844316</v>
      </c>
      <c r="C184" s="127" t="n">
        <v>0.71060156781424</v>
      </c>
      <c r="D184" s="127" t="n">
        <v>18.9386</v>
      </c>
      <c r="E184" s="127" t="n">
        <v>0</v>
      </c>
    </row>
    <row r="185" customFormat="false" ht="14.25" hidden="false" customHeight="false" outlineLevel="0" collapsed="false">
      <c r="B185" s="126" t="n">
        <v>1085898519</v>
      </c>
      <c r="C185" s="127" t="n">
        <v>0.923473846648307</v>
      </c>
      <c r="D185" s="127" t="n">
        <v>34.9892</v>
      </c>
      <c r="E185" s="127" t="n">
        <v>0</v>
      </c>
    </row>
    <row r="186" customFormat="false" ht="14.25" hidden="false" customHeight="false" outlineLevel="0" collapsed="false">
      <c r="B186" s="126" t="n">
        <v>1088281354</v>
      </c>
      <c r="C186" s="127" t="n">
        <v>2.45562592595039</v>
      </c>
      <c r="D186" s="127" t="n">
        <v>4.6494</v>
      </c>
      <c r="E186" s="127" t="n">
        <v>0.00879310344827586</v>
      </c>
    </row>
    <row r="187" customFormat="false" ht="14.25" hidden="false" customHeight="false" outlineLevel="0" collapsed="false">
      <c r="B187" s="126" t="n">
        <v>1107064974</v>
      </c>
      <c r="C187" s="127" t="n">
        <v>2.24350840183519</v>
      </c>
      <c r="D187" s="127" t="n">
        <v>10.8065714285714</v>
      </c>
      <c r="E187" s="127" t="n">
        <v>0</v>
      </c>
    </row>
    <row r="188" customFormat="false" ht="14.25" hidden="false" customHeight="false" outlineLevel="0" collapsed="false">
      <c r="B188" s="126" t="n">
        <v>1107066883</v>
      </c>
      <c r="C188" s="127" t="n">
        <v>12.7459203148837</v>
      </c>
      <c r="D188" s="127" t="n">
        <v>3.282</v>
      </c>
      <c r="E188" s="127" t="n">
        <v>0</v>
      </c>
    </row>
    <row r="189" customFormat="false" ht="14.25" hidden="false" customHeight="false" outlineLevel="0" collapsed="false">
      <c r="B189" s="126" t="n">
        <v>1107067602</v>
      </c>
      <c r="C189" s="127" t="n">
        <v>8.80767308805692</v>
      </c>
      <c r="D189" s="127" t="n">
        <v>10.1353333333333</v>
      </c>
      <c r="E189" s="127" t="n">
        <v>1.49655172413793</v>
      </c>
    </row>
    <row r="190" customFormat="false" ht="14.25" hidden="false" customHeight="false" outlineLevel="0" collapsed="false">
      <c r="B190" s="126" t="n">
        <v>1107069840</v>
      </c>
      <c r="C190" s="127" t="n">
        <v>26.5524596984566</v>
      </c>
      <c r="D190" s="127" t="n">
        <v>19.4884</v>
      </c>
      <c r="E190" s="127" t="n">
        <v>1.48940886699507</v>
      </c>
    </row>
    <row r="191" customFormat="false" ht="14.25" hidden="false" customHeight="false" outlineLevel="0" collapsed="false">
      <c r="B191" s="126" t="n">
        <v>1107079240</v>
      </c>
      <c r="C191" s="127" t="n">
        <v>5.46452899164874</v>
      </c>
      <c r="D191" s="127" t="n">
        <v>3.52533333333333</v>
      </c>
      <c r="E191" s="127" t="n">
        <v>1.07241379310345</v>
      </c>
    </row>
    <row r="192" customFormat="false" ht="14.25" hidden="false" customHeight="false" outlineLevel="0" collapsed="false">
      <c r="B192" s="126" t="n">
        <v>1107083078</v>
      </c>
      <c r="C192" s="127" t="n">
        <v>4.21782095394078</v>
      </c>
      <c r="D192" s="127" t="n">
        <v>54.9746666666667</v>
      </c>
      <c r="E192" s="127" t="n">
        <v>0</v>
      </c>
    </row>
    <row r="193" customFormat="false" ht="14.25" hidden="false" customHeight="false" outlineLevel="0" collapsed="false">
      <c r="B193" s="126" t="n">
        <v>1107090982</v>
      </c>
      <c r="C193" s="127" t="n">
        <v>9.28404910811578</v>
      </c>
      <c r="D193" s="127" t="n">
        <v>3.9684</v>
      </c>
      <c r="E193" s="127" t="n">
        <v>0</v>
      </c>
    </row>
    <row r="194" customFormat="false" ht="14.25" hidden="false" customHeight="false" outlineLevel="0" collapsed="false">
      <c r="B194" s="126" t="n">
        <v>1107514466</v>
      </c>
      <c r="C194" s="127" t="n">
        <v>1.93896487277194</v>
      </c>
      <c r="D194" s="127" t="n">
        <v>0.6408</v>
      </c>
      <c r="E194" s="127" t="n">
        <v>0.27448275862069</v>
      </c>
    </row>
    <row r="195" customFormat="false" ht="14.25" hidden="false" customHeight="false" outlineLevel="0" collapsed="false">
      <c r="B195" s="126" t="n">
        <v>1110497487</v>
      </c>
      <c r="C195" s="127" t="n">
        <v>11.7473798218213</v>
      </c>
      <c r="D195" s="127" t="n">
        <v>1.6</v>
      </c>
      <c r="E195" s="127" t="n">
        <v>0</v>
      </c>
    </row>
    <row r="196" customFormat="false" ht="14.25" hidden="false" customHeight="false" outlineLevel="0" collapsed="false">
      <c r="B196" s="126" t="n">
        <v>1112476123</v>
      </c>
      <c r="C196" s="127" t="n">
        <v>4.7122481910259</v>
      </c>
      <c r="D196" s="127" t="n">
        <v>18.332</v>
      </c>
      <c r="E196" s="127" t="n">
        <v>0</v>
      </c>
    </row>
    <row r="197" customFormat="false" ht="14.25" hidden="false" customHeight="false" outlineLevel="0" collapsed="false">
      <c r="B197" s="126" t="n">
        <v>1112477900</v>
      </c>
      <c r="C197" s="127" t="n">
        <v>4.93106416327106</v>
      </c>
      <c r="D197" s="127" t="n">
        <v>3.1784</v>
      </c>
      <c r="E197" s="127" t="n">
        <v>0</v>
      </c>
    </row>
    <row r="198" customFormat="false" ht="14.25" hidden="false" customHeight="false" outlineLevel="0" collapsed="false">
      <c r="B198" s="126" t="n">
        <v>1112480962</v>
      </c>
      <c r="C198" s="127" t="n">
        <v>18.1564424133156</v>
      </c>
      <c r="D198" s="127" t="n">
        <v>27.07</v>
      </c>
      <c r="E198" s="127" t="n">
        <v>3.3151724137931</v>
      </c>
    </row>
    <row r="199" customFormat="false" ht="14.25" hidden="false" customHeight="false" outlineLevel="0" collapsed="false">
      <c r="B199" s="126" t="n">
        <v>1112484884</v>
      </c>
      <c r="C199" s="127" t="n">
        <v>5.52323213644959</v>
      </c>
      <c r="D199" s="127" t="n">
        <v>25.1713333333333</v>
      </c>
      <c r="E199" s="127" t="n">
        <v>1.90965517241379</v>
      </c>
    </row>
    <row r="200" customFormat="false" ht="14.25" hidden="false" customHeight="false" outlineLevel="0" collapsed="false">
      <c r="B200" s="126" t="n">
        <v>1112491402</v>
      </c>
      <c r="C200" s="127" t="n">
        <v>8.76012354076823</v>
      </c>
      <c r="D200" s="127" t="n">
        <v>20.996</v>
      </c>
      <c r="E200" s="127" t="n">
        <v>2.16206896551724</v>
      </c>
    </row>
    <row r="201" customFormat="false" ht="14.25" hidden="false" customHeight="false" outlineLevel="0" collapsed="false">
      <c r="B201" s="126" t="n">
        <v>1112880193</v>
      </c>
      <c r="C201" s="127" t="n">
        <v>2.77988742204406</v>
      </c>
      <c r="D201" s="127" t="n">
        <v>13.9113333333333</v>
      </c>
      <c r="E201" s="127" t="n">
        <v>0.828965517241379</v>
      </c>
    </row>
    <row r="202" customFormat="false" ht="14.25" hidden="false" customHeight="false" outlineLevel="0" collapsed="false">
      <c r="B202" s="126" t="n">
        <v>1113514036</v>
      </c>
      <c r="C202" s="127" t="n">
        <v>7.06991324408988</v>
      </c>
      <c r="D202" s="127" t="n">
        <v>20.454</v>
      </c>
      <c r="E202" s="127" t="n">
        <v>2.70724137931034</v>
      </c>
    </row>
    <row r="203" customFormat="false" ht="14.25" hidden="false" customHeight="false" outlineLevel="0" collapsed="false">
      <c r="B203" s="126" t="n">
        <v>1113520487</v>
      </c>
      <c r="C203" s="127" t="n">
        <v>5.44398289096845</v>
      </c>
      <c r="D203" s="127" t="n">
        <v>20.4093333333333</v>
      </c>
      <c r="E203" s="127" t="n">
        <v>0</v>
      </c>
    </row>
    <row r="204" customFormat="false" ht="14.25" hidden="false" customHeight="false" outlineLevel="0" collapsed="false">
      <c r="B204" s="126" t="n">
        <v>1113624281</v>
      </c>
      <c r="C204" s="127" t="n">
        <v>18.5229387255526</v>
      </c>
      <c r="D204" s="127" t="n">
        <v>16.0062857142857</v>
      </c>
      <c r="E204" s="127" t="n">
        <v>4.20293103448276</v>
      </c>
    </row>
    <row r="205" customFormat="false" ht="14.25" hidden="false" customHeight="false" outlineLevel="0" collapsed="false">
      <c r="B205" s="126" t="n">
        <v>1113657862</v>
      </c>
      <c r="C205" s="127" t="n">
        <v>0</v>
      </c>
      <c r="D205" s="127" t="n">
        <v>24.7756</v>
      </c>
      <c r="E205" s="127" t="n">
        <v>2.90620689655172</v>
      </c>
    </row>
    <row r="206" customFormat="false" ht="14.25" hidden="false" customHeight="false" outlineLevel="0" collapsed="false">
      <c r="B206" s="126" t="n">
        <v>1113673479</v>
      </c>
      <c r="C206" s="127" t="n">
        <v>1.88437094810715</v>
      </c>
      <c r="D206" s="127" t="n">
        <v>2.6968</v>
      </c>
      <c r="E206" s="127" t="n">
        <v>0</v>
      </c>
    </row>
    <row r="207" customFormat="false" ht="14.25" hidden="false" customHeight="false" outlineLevel="0" collapsed="false">
      <c r="B207" s="126" t="n">
        <v>1114091935</v>
      </c>
      <c r="C207" s="127" t="n">
        <v>18.0305241677178</v>
      </c>
      <c r="D207" s="127" t="n">
        <v>19.9436</v>
      </c>
      <c r="E207" s="127" t="n">
        <v>0</v>
      </c>
    </row>
    <row r="208" customFormat="false" ht="14.25" hidden="false" customHeight="false" outlineLevel="0" collapsed="false">
      <c r="B208" s="126" t="n">
        <v>1114821862</v>
      </c>
      <c r="C208" s="127" t="n">
        <v>31.3248366820857</v>
      </c>
      <c r="D208" s="127" t="n">
        <v>32.3731428571429</v>
      </c>
      <c r="E208" s="127" t="n">
        <v>0</v>
      </c>
    </row>
    <row r="209" customFormat="false" ht="14.25" hidden="false" customHeight="false" outlineLevel="0" collapsed="false">
      <c r="B209" s="126" t="n">
        <v>1114899235</v>
      </c>
      <c r="C209" s="127" t="n">
        <v>12.420117861239</v>
      </c>
      <c r="D209" s="127" t="n">
        <v>18.5864</v>
      </c>
      <c r="E209" s="127" t="n">
        <v>1.04137931034483</v>
      </c>
    </row>
    <row r="210" customFormat="false" ht="14.25" hidden="false" customHeight="false" outlineLevel="0" collapsed="false">
      <c r="B210" s="126" t="n">
        <v>1115949491</v>
      </c>
      <c r="C210" s="127" t="n">
        <v>3.64766666006256</v>
      </c>
      <c r="D210" s="127" t="n">
        <v>3.724</v>
      </c>
      <c r="E210" s="127" t="n">
        <v>0</v>
      </c>
    </row>
    <row r="211" customFormat="false" ht="14.25" hidden="false" customHeight="false" outlineLevel="0" collapsed="false">
      <c r="B211" s="126" t="n">
        <v>1116262680</v>
      </c>
      <c r="C211" s="127" t="n">
        <v>5.21239898472911</v>
      </c>
      <c r="D211" s="127" t="n">
        <v>33.3688</v>
      </c>
      <c r="E211" s="127" t="n">
        <v>3.92827586206897</v>
      </c>
    </row>
    <row r="212" customFormat="false" ht="14.25" hidden="false" customHeight="false" outlineLevel="0" collapsed="false">
      <c r="B212" s="126" t="n">
        <v>1116268202</v>
      </c>
      <c r="C212" s="127" t="n">
        <v>6.99091558351503</v>
      </c>
      <c r="D212" s="127" t="n">
        <v>8.8324</v>
      </c>
      <c r="E212" s="127" t="n">
        <v>0</v>
      </c>
    </row>
    <row r="213" customFormat="false" ht="14.25" hidden="false" customHeight="false" outlineLevel="0" collapsed="false">
      <c r="B213" s="126" t="n">
        <v>1117517012</v>
      </c>
      <c r="C213" s="127" t="n">
        <v>5.49505462694518</v>
      </c>
      <c r="D213" s="127" t="n">
        <v>6.5392</v>
      </c>
      <c r="E213" s="127" t="n">
        <v>0.150738916256158</v>
      </c>
    </row>
    <row r="214" customFormat="false" ht="14.25" hidden="false" customHeight="false" outlineLevel="0" collapsed="false">
      <c r="B214" s="126" t="n">
        <v>1118299176</v>
      </c>
      <c r="C214" s="127" t="n">
        <v>1.86059617446281</v>
      </c>
      <c r="D214" s="127" t="n">
        <v>0.5692</v>
      </c>
      <c r="E214" s="127" t="n">
        <v>0</v>
      </c>
    </row>
    <row r="215" customFormat="false" ht="14.25" hidden="false" customHeight="false" outlineLevel="0" collapsed="false">
      <c r="B215" s="126" t="n">
        <v>1123201722</v>
      </c>
      <c r="C215" s="127" t="n">
        <v>15.2892340633803</v>
      </c>
      <c r="D215" s="127" t="n">
        <v>12.838</v>
      </c>
      <c r="E215" s="127" t="n">
        <v>0.17551724137931</v>
      </c>
    </row>
    <row r="216" customFormat="false" ht="14.25" hidden="false" customHeight="false" outlineLevel="0" collapsed="false">
      <c r="B216" s="126" t="n">
        <v>1130589667</v>
      </c>
      <c r="C216" s="127" t="n">
        <v>3.34607925364822</v>
      </c>
      <c r="D216" s="127" t="n">
        <v>13.1413333333333</v>
      </c>
      <c r="E216" s="127" t="n">
        <v>0.014367816091954</v>
      </c>
    </row>
    <row r="217" customFormat="false" ht="14.25" hidden="false" customHeight="false" outlineLevel="0" collapsed="false">
      <c r="B217" s="126" t="n">
        <v>1130589981</v>
      </c>
      <c r="C217" s="127" t="n">
        <v>9.48877632560873</v>
      </c>
      <c r="D217" s="127" t="n">
        <v>10.4916</v>
      </c>
      <c r="E217" s="127" t="n">
        <v>0.228275862068966</v>
      </c>
    </row>
    <row r="218" customFormat="false" ht="14.25" hidden="false" customHeight="false" outlineLevel="0" collapsed="false">
      <c r="B218" s="126" t="n">
        <v>1130602580</v>
      </c>
      <c r="C218" s="127" t="n">
        <v>2.10626883545435</v>
      </c>
      <c r="D218" s="127" t="n">
        <v>27.4828</v>
      </c>
      <c r="E218" s="127" t="n">
        <v>1.01965517241379</v>
      </c>
    </row>
    <row r="219" customFormat="false" ht="14.25" hidden="false" customHeight="false" outlineLevel="0" collapsed="false">
      <c r="B219" s="126" t="n">
        <v>1130607298</v>
      </c>
      <c r="C219" s="127" t="n">
        <v>6.44927424568293</v>
      </c>
      <c r="D219" s="127" t="n">
        <v>19.4213333333333</v>
      </c>
      <c r="E219" s="127" t="n">
        <v>2.45</v>
      </c>
    </row>
    <row r="220" customFormat="false" ht="14.25" hidden="false" customHeight="false" outlineLevel="0" collapsed="false">
      <c r="B220" s="126" t="n">
        <v>1130608230</v>
      </c>
      <c r="C220" s="127" t="n">
        <v>6.57475221769474</v>
      </c>
      <c r="D220" s="127" t="n">
        <v>4.88533333333333</v>
      </c>
      <c r="E220" s="127" t="n">
        <v>0</v>
      </c>
    </row>
    <row r="221" customFormat="false" ht="14.25" hidden="false" customHeight="false" outlineLevel="0" collapsed="false">
      <c r="B221" s="126" t="n">
        <v>1130608437</v>
      </c>
      <c r="C221" s="127" t="n">
        <v>12.006700963979</v>
      </c>
      <c r="D221" s="127" t="n">
        <v>2.1408</v>
      </c>
      <c r="E221" s="127" t="n">
        <v>2.03448275862069</v>
      </c>
    </row>
    <row r="222" customFormat="false" ht="14.25" hidden="false" customHeight="false" outlineLevel="0" collapsed="false">
      <c r="B222" s="126" t="n">
        <v>1130608725</v>
      </c>
      <c r="C222" s="127" t="n">
        <v>3.01084236601767</v>
      </c>
      <c r="D222" s="127" t="n">
        <v>24.5948571428571</v>
      </c>
      <c r="E222" s="127" t="n">
        <v>1.26133004926108</v>
      </c>
    </row>
    <row r="223" customFormat="false" ht="14.25" hidden="false" customHeight="false" outlineLevel="0" collapsed="false">
      <c r="B223" s="126" t="n">
        <v>1130614933</v>
      </c>
      <c r="C223" s="127" t="n">
        <v>9.68667930251858</v>
      </c>
      <c r="D223" s="127" t="n">
        <v>13.3564</v>
      </c>
      <c r="E223" s="127" t="n">
        <v>3.45</v>
      </c>
    </row>
    <row r="224" customFormat="false" ht="14.25" hidden="false" customHeight="false" outlineLevel="0" collapsed="false">
      <c r="B224" s="126" t="n">
        <v>1130616226</v>
      </c>
      <c r="C224" s="127" t="n">
        <v>26.5631730223828</v>
      </c>
      <c r="D224" s="127" t="n">
        <v>38.972</v>
      </c>
      <c r="E224" s="127" t="n">
        <v>4.47379310344828</v>
      </c>
    </row>
    <row r="225" customFormat="false" ht="14.25" hidden="false" customHeight="false" outlineLevel="0" collapsed="false">
      <c r="B225" s="126" t="n">
        <v>1130631347</v>
      </c>
      <c r="C225" s="127" t="n">
        <v>39.5867592121744</v>
      </c>
      <c r="D225" s="127" t="n">
        <v>60.2228</v>
      </c>
      <c r="E225" s="127" t="n">
        <v>0.55551724137931</v>
      </c>
    </row>
    <row r="226" customFormat="false" ht="14.25" hidden="false" customHeight="false" outlineLevel="0" collapsed="false">
      <c r="B226" s="126" t="n">
        <v>1130632963</v>
      </c>
      <c r="C226" s="127" t="n">
        <v>23.5590395871995</v>
      </c>
      <c r="D226" s="127" t="n">
        <v>23.6024</v>
      </c>
      <c r="E226" s="127" t="n">
        <v>0</v>
      </c>
    </row>
    <row r="227" customFormat="false" ht="14.25" hidden="false" customHeight="false" outlineLevel="0" collapsed="false">
      <c r="B227" s="126" t="n">
        <v>1130635690</v>
      </c>
      <c r="C227" s="127" t="n">
        <v>28.7014350717536</v>
      </c>
      <c r="D227" s="127" t="n">
        <v>42.9576</v>
      </c>
      <c r="E227" s="127" t="n">
        <v>2.02068965517241</v>
      </c>
    </row>
    <row r="228" customFormat="false" ht="14.25" hidden="false" customHeight="false" outlineLevel="0" collapsed="false">
      <c r="B228" s="126" t="n">
        <v>1130637409</v>
      </c>
      <c r="C228" s="127" t="n">
        <v>6.19200771359323</v>
      </c>
      <c r="D228" s="127" t="n">
        <v>4.0456</v>
      </c>
      <c r="E228" s="127" t="n">
        <v>0</v>
      </c>
    </row>
    <row r="229" customFormat="false" ht="14.25" hidden="false" customHeight="false" outlineLevel="0" collapsed="false">
      <c r="B229" s="126" t="n">
        <v>1130648286</v>
      </c>
      <c r="C229" s="127" t="n">
        <v>11.175464433599</v>
      </c>
      <c r="D229" s="127" t="n">
        <v>9.4184</v>
      </c>
      <c r="E229" s="127" t="n">
        <v>2.51896551724138</v>
      </c>
    </row>
    <row r="230" customFormat="false" ht="14.25" hidden="false" customHeight="false" outlineLevel="0" collapsed="false">
      <c r="B230" s="126" t="n">
        <v>1130661444</v>
      </c>
      <c r="C230" s="127" t="n">
        <v>38.3372627750884</v>
      </c>
      <c r="D230" s="127" t="n">
        <v>34.518</v>
      </c>
      <c r="E230" s="127" t="n">
        <v>0.0125615763546798</v>
      </c>
    </row>
    <row r="231" customFormat="false" ht="14.25" hidden="false" customHeight="false" outlineLevel="0" collapsed="false">
      <c r="B231" s="126" t="n">
        <v>1130664985</v>
      </c>
      <c r="C231" s="127" t="n">
        <v>5.15384259779027</v>
      </c>
      <c r="D231" s="127" t="n">
        <v>5.1634</v>
      </c>
      <c r="E231" s="127" t="n">
        <v>1.58758620689655</v>
      </c>
    </row>
    <row r="232" customFormat="false" ht="14.25" hidden="false" customHeight="false" outlineLevel="0" collapsed="false">
      <c r="B232" s="126" t="n">
        <v>1130669714</v>
      </c>
      <c r="C232" s="127" t="n">
        <v>14.3029478517951</v>
      </c>
      <c r="D232" s="127" t="n">
        <v>56.9598</v>
      </c>
      <c r="E232" s="127" t="n">
        <v>0</v>
      </c>
    </row>
    <row r="233" customFormat="false" ht="14.25" hidden="false" customHeight="false" outlineLevel="0" collapsed="false">
      <c r="B233" s="126" t="n">
        <v>1130670565</v>
      </c>
      <c r="C233" s="127" t="n">
        <v>5.39555279650775</v>
      </c>
      <c r="D233" s="127" t="n">
        <v>9.6396</v>
      </c>
      <c r="E233" s="127" t="n">
        <v>0</v>
      </c>
    </row>
    <row r="234" customFormat="false" ht="14.25" hidden="false" customHeight="false" outlineLevel="0" collapsed="false">
      <c r="B234" s="126" t="n">
        <v>1130675011</v>
      </c>
      <c r="C234" s="127" t="n">
        <v>3.58896351526172</v>
      </c>
      <c r="D234" s="127" t="n">
        <v>20.9493333333333</v>
      </c>
      <c r="E234" s="127" t="n">
        <v>2.35551724137931</v>
      </c>
    </row>
    <row r="235" customFormat="false" ht="14.25" hidden="false" customHeight="false" outlineLevel="0" collapsed="false">
      <c r="B235" s="126" t="n">
        <v>1130679086</v>
      </c>
      <c r="C235" s="127" t="n">
        <v>6.78593678111579</v>
      </c>
      <c r="D235" s="127" t="n">
        <v>35.8868</v>
      </c>
      <c r="E235" s="127" t="n">
        <v>1.87965517241379</v>
      </c>
    </row>
    <row r="236" customFormat="false" ht="14.25" hidden="false" customHeight="false" outlineLevel="0" collapsed="false">
      <c r="B236" s="126" t="n">
        <v>1136059578</v>
      </c>
      <c r="C236" s="127" t="n">
        <v>2.53949804408459</v>
      </c>
      <c r="D236" s="127" t="n">
        <v>0.676</v>
      </c>
      <c r="E236" s="127" t="n">
        <v>0.372413793103448</v>
      </c>
    </row>
    <row r="237" customFormat="false" ht="14.25" hidden="false" customHeight="false" outlineLevel="0" collapsed="false">
      <c r="B237" s="126" t="n">
        <v>1143826134</v>
      </c>
      <c r="C237" s="127" t="n">
        <v>10.4578184884087</v>
      </c>
      <c r="D237" s="127" t="n">
        <v>18.9556</v>
      </c>
      <c r="E237" s="127" t="n">
        <v>0</v>
      </c>
    </row>
    <row r="238" customFormat="false" ht="14.25" hidden="false" customHeight="false" outlineLevel="0" collapsed="false">
      <c r="B238" s="126" t="n">
        <v>1143836437</v>
      </c>
      <c r="C238" s="127" t="n">
        <v>40.5359890636041</v>
      </c>
      <c r="D238" s="127" t="n">
        <v>10.0013333333333</v>
      </c>
      <c r="E238" s="127" t="n">
        <v>4.76172413793104</v>
      </c>
    </row>
    <row r="239" customFormat="false" ht="14.25" hidden="false" customHeight="false" outlineLevel="0" collapsed="false">
      <c r="B239" s="126" t="n">
        <v>1143836705</v>
      </c>
      <c r="C239" s="127" t="n">
        <v>4.06548629318258</v>
      </c>
      <c r="D239" s="127" t="n">
        <v>5.934</v>
      </c>
      <c r="E239" s="127" t="n">
        <v>0.369655172413793</v>
      </c>
    </row>
    <row r="240" customFormat="false" ht="14.25" hidden="false" customHeight="false" outlineLevel="0" collapsed="false">
      <c r="B240" s="126" t="n">
        <v>1143840552</v>
      </c>
      <c r="C240" s="127" t="n">
        <v>19.4398399165241</v>
      </c>
      <c r="D240" s="127" t="n">
        <v>15.6004</v>
      </c>
      <c r="E240" s="127" t="n">
        <v>0.530689655172414</v>
      </c>
    </row>
    <row r="241" customFormat="false" ht="14.25" hidden="false" customHeight="false" outlineLevel="0" collapsed="false">
      <c r="B241" s="126" t="n">
        <v>1143844749</v>
      </c>
      <c r="C241" s="127" t="n">
        <v>16.9760689292326</v>
      </c>
      <c r="D241" s="127" t="n">
        <v>19.1838</v>
      </c>
      <c r="E241" s="127" t="n">
        <v>2.10827586206897</v>
      </c>
    </row>
    <row r="242" customFormat="false" ht="14.25" hidden="false" customHeight="false" outlineLevel="0" collapsed="false">
      <c r="B242" s="126" t="n">
        <v>1143850459</v>
      </c>
      <c r="C242" s="127" t="n">
        <v>1.3252234938791</v>
      </c>
      <c r="D242" s="127" t="n">
        <v>6.217</v>
      </c>
      <c r="E242" s="127" t="n">
        <v>0</v>
      </c>
    </row>
    <row r="243" customFormat="false" ht="14.25" hidden="false" customHeight="false" outlineLevel="0" collapsed="false">
      <c r="B243" s="126" t="n">
        <v>1143856655</v>
      </c>
      <c r="C243" s="127" t="n">
        <v>7.77214961377</v>
      </c>
      <c r="D243" s="127" t="n">
        <v>7.5856</v>
      </c>
      <c r="E243" s="127" t="n">
        <v>2.5051724137931</v>
      </c>
    </row>
    <row r="244" customFormat="false" ht="14.25" hidden="false" customHeight="false" outlineLevel="0" collapsed="false">
      <c r="B244" s="126" t="n">
        <v>1143860494</v>
      </c>
      <c r="C244" s="127" t="n">
        <v>0.585123595802432</v>
      </c>
      <c r="D244" s="127" t="n">
        <v>1.4636</v>
      </c>
      <c r="E244" s="127" t="n">
        <v>0</v>
      </c>
    </row>
    <row r="245" customFormat="false" ht="14.25" hidden="false" customHeight="false" outlineLevel="0" collapsed="false">
      <c r="B245" s="126" t="n">
        <v>1143866189</v>
      </c>
      <c r="C245" s="127" t="n">
        <v>6.6965612431565</v>
      </c>
      <c r="D245" s="127" t="n">
        <v>57.114</v>
      </c>
      <c r="E245" s="127" t="n">
        <v>1.2148275862069</v>
      </c>
    </row>
    <row r="246" customFormat="false" ht="14.25" hidden="false" customHeight="false" outlineLevel="0" collapsed="false">
      <c r="B246" s="126" t="n">
        <v>1143866796</v>
      </c>
      <c r="C246" s="127" t="n">
        <v>1.40227137143021</v>
      </c>
      <c r="D246" s="127" t="n">
        <v>3.66933333333333</v>
      </c>
      <c r="E246" s="127" t="n">
        <v>0</v>
      </c>
    </row>
    <row r="247" customFormat="false" ht="14.25" hidden="false" customHeight="false" outlineLevel="0" collapsed="false">
      <c r="B247" s="126" t="n">
        <v>1143876942</v>
      </c>
      <c r="C247" s="127" t="n">
        <v>19.8286014929677</v>
      </c>
      <c r="D247" s="127" t="n">
        <v>32.4986666666667</v>
      </c>
      <c r="E247" s="127" t="n">
        <v>1.72172413793103</v>
      </c>
    </row>
    <row r="248" customFormat="false" ht="14.25" hidden="false" customHeight="false" outlineLevel="0" collapsed="false">
      <c r="B248" s="126" t="n">
        <v>1143925787</v>
      </c>
      <c r="C248" s="127" t="n">
        <v>12.9731014852629</v>
      </c>
      <c r="D248" s="127" t="n">
        <v>13.6156</v>
      </c>
      <c r="E248" s="127" t="n">
        <v>0</v>
      </c>
    </row>
    <row r="249" customFormat="false" ht="14.25" hidden="false" customHeight="false" outlineLevel="0" collapsed="false">
      <c r="B249" s="126" t="n">
        <v>1143927195</v>
      </c>
      <c r="C249" s="127" t="n">
        <v>11.4691269154653</v>
      </c>
      <c r="D249" s="127" t="n">
        <v>3.39466666666667</v>
      </c>
      <c r="E249" s="127" t="n">
        <v>0</v>
      </c>
    </row>
    <row r="250" customFormat="false" ht="14.25" hidden="false" customHeight="false" outlineLevel="0" collapsed="false">
      <c r="B250" s="126" t="n">
        <v>1143931949</v>
      </c>
      <c r="C250" s="127" t="n">
        <v>3.06430415860416</v>
      </c>
      <c r="D250" s="127" t="n">
        <v>3.518</v>
      </c>
      <c r="E250" s="127" t="n">
        <v>0</v>
      </c>
    </row>
    <row r="251" customFormat="false" ht="14.25" hidden="false" customHeight="false" outlineLevel="0" collapsed="false">
      <c r="B251" s="126" t="n">
        <v>1143945724</v>
      </c>
      <c r="C251" s="127" t="n">
        <v>21.996802146187</v>
      </c>
      <c r="D251" s="127" t="n">
        <v>20.8033333333333</v>
      </c>
      <c r="E251" s="127" t="n">
        <v>2.16689655172414</v>
      </c>
    </row>
    <row r="252" customFormat="false" ht="14.25" hidden="false" customHeight="false" outlineLevel="0" collapsed="false">
      <c r="B252" s="126" t="n">
        <v>1143961010</v>
      </c>
      <c r="C252" s="127" t="n">
        <v>2.21017340175185</v>
      </c>
      <c r="D252" s="127" t="n">
        <v>17.66</v>
      </c>
      <c r="E252" s="127" t="n">
        <v>0</v>
      </c>
    </row>
    <row r="253" customFormat="false" ht="14.25" hidden="false" customHeight="false" outlineLevel="0" collapsed="false">
      <c r="B253" s="126" t="n">
        <v>1143963710</v>
      </c>
      <c r="C253" s="127" t="n">
        <v>0.347816132945012</v>
      </c>
      <c r="D253" s="127" t="n">
        <v>3.17733333333333</v>
      </c>
      <c r="E253" s="127" t="n">
        <v>0.694252873563218</v>
      </c>
    </row>
    <row r="254" customFormat="false" ht="14.25" hidden="false" customHeight="false" outlineLevel="0" collapsed="false">
      <c r="B254" s="126" t="n">
        <v>1144032392</v>
      </c>
      <c r="C254" s="127" t="n">
        <v>1.75272914589126</v>
      </c>
      <c r="D254" s="127" t="n">
        <v>14.1904</v>
      </c>
      <c r="E254" s="127" t="n">
        <v>1.37275862068966</v>
      </c>
    </row>
    <row r="255" customFormat="false" ht="14.25" hidden="false" customHeight="false" outlineLevel="0" collapsed="false">
      <c r="B255" s="126" t="n">
        <v>1144035049</v>
      </c>
      <c r="C255" s="127" t="n">
        <v>0.873209278912583</v>
      </c>
      <c r="D255" s="127" t="n">
        <v>29.0473333333333</v>
      </c>
      <c r="E255" s="127" t="n">
        <v>0.123448275862069</v>
      </c>
    </row>
    <row r="256" customFormat="false" ht="14.25" hidden="false" customHeight="false" outlineLevel="0" collapsed="false">
      <c r="B256" s="126" t="n">
        <v>1144042611</v>
      </c>
      <c r="C256" s="127" t="n">
        <v>2.4219449966209</v>
      </c>
      <c r="D256" s="127" t="n">
        <v>18.3052</v>
      </c>
      <c r="E256" s="127" t="n">
        <v>0</v>
      </c>
    </row>
    <row r="257" customFormat="false" ht="14.25" hidden="false" customHeight="false" outlineLevel="0" collapsed="false">
      <c r="B257" s="126" t="n">
        <v>1144044681</v>
      </c>
      <c r="C257" s="127" t="n">
        <v>43.6740390478643</v>
      </c>
      <c r="D257" s="127" t="n">
        <v>7.645</v>
      </c>
      <c r="E257" s="127" t="n">
        <v>0</v>
      </c>
    </row>
    <row r="258" customFormat="false" ht="14.25" hidden="false" customHeight="false" outlineLevel="0" collapsed="false">
      <c r="B258" s="126" t="n">
        <v>1144044745</v>
      </c>
      <c r="C258" s="127" t="n">
        <v>4.72633694577811</v>
      </c>
      <c r="D258" s="127" t="n">
        <v>18.7024</v>
      </c>
      <c r="E258" s="127" t="n">
        <v>1.37758620689655</v>
      </c>
    </row>
    <row r="259" customFormat="false" ht="14.25" hidden="false" customHeight="false" outlineLevel="0" collapsed="false">
      <c r="B259" s="126" t="n">
        <v>1144057157</v>
      </c>
      <c r="C259" s="127" t="n">
        <v>1.71486561749471</v>
      </c>
      <c r="D259" s="127" t="n">
        <v>56.7756</v>
      </c>
      <c r="E259" s="127" t="n">
        <v>1.11477832512315</v>
      </c>
    </row>
    <row r="260" customFormat="false" ht="14.25" hidden="false" customHeight="false" outlineLevel="0" collapsed="false">
      <c r="B260" s="126" t="n">
        <v>1144058820</v>
      </c>
      <c r="C260" s="127" t="n">
        <v>5.53908198554582</v>
      </c>
      <c r="D260" s="127" t="n">
        <v>31.4412</v>
      </c>
      <c r="E260" s="127" t="n">
        <v>0.701724137931035</v>
      </c>
    </row>
    <row r="261" customFormat="false" ht="14.25" hidden="false" customHeight="false" outlineLevel="0" collapsed="false">
      <c r="B261" s="126" t="n">
        <v>1144059077</v>
      </c>
      <c r="C261" s="127" t="n">
        <v>0.73701798297462</v>
      </c>
      <c r="D261" s="127" t="n">
        <v>36.9513333333333</v>
      </c>
      <c r="E261" s="127" t="n">
        <v>1.37758620689655</v>
      </c>
    </row>
    <row r="262" customFormat="false" ht="14.25" hidden="false" customHeight="false" outlineLevel="0" collapsed="false">
      <c r="B262" s="126" t="n">
        <v>1144065325</v>
      </c>
      <c r="C262" s="127" t="n">
        <v>0.799096558601515</v>
      </c>
      <c r="D262" s="127" t="n">
        <v>13.9536</v>
      </c>
      <c r="E262" s="127" t="n">
        <v>1.33226600985222</v>
      </c>
    </row>
    <row r="263" customFormat="false" ht="14.25" hidden="false" customHeight="false" outlineLevel="0" collapsed="false">
      <c r="B263" s="126" t="n">
        <v>1144095055</v>
      </c>
      <c r="C263" s="127" t="n">
        <v>1.09481365053578</v>
      </c>
      <c r="D263" s="127" t="n">
        <v>11.0526666666667</v>
      </c>
      <c r="E263" s="127" t="n">
        <v>1.90804597701149</v>
      </c>
    </row>
    <row r="264" customFormat="false" ht="14.25" hidden="false" customHeight="false" outlineLevel="0" collapsed="false">
      <c r="B264" s="126" t="n">
        <v>1144125039</v>
      </c>
      <c r="C264" s="127" t="n">
        <v>5.65091147639143</v>
      </c>
      <c r="D264" s="127" t="n">
        <v>8.42933333333333</v>
      </c>
      <c r="E264" s="127" t="n">
        <v>3.20379310344828</v>
      </c>
    </row>
    <row r="265" customFormat="false" ht="14.25" hidden="false" customHeight="false" outlineLevel="0" collapsed="false">
      <c r="B265" s="126" t="n">
        <v>1144125541</v>
      </c>
      <c r="C265" s="127" t="n">
        <v>3.33350000833375</v>
      </c>
      <c r="D265" s="127" t="n">
        <v>27.6448</v>
      </c>
      <c r="E265" s="127" t="n">
        <v>0</v>
      </c>
    </row>
    <row r="266" customFormat="false" ht="14.25" hidden="false" customHeight="false" outlineLevel="0" collapsed="false">
      <c r="B266" s="126" t="n">
        <v>1144143477</v>
      </c>
      <c r="C266" s="127" t="n">
        <v>12.7899476734843</v>
      </c>
      <c r="D266" s="127" t="n">
        <v>30.9446666666667</v>
      </c>
      <c r="E266" s="127" t="n">
        <v>0</v>
      </c>
    </row>
    <row r="267" customFormat="false" ht="14.25" hidden="false" customHeight="false" outlineLevel="0" collapsed="false">
      <c r="B267" s="126" t="n">
        <v>1144147800</v>
      </c>
      <c r="C267" s="127" t="n">
        <v>5.8776523731847</v>
      </c>
      <c r="D267" s="127" t="n">
        <v>25.838</v>
      </c>
      <c r="E267" s="127" t="n">
        <v>4.67126436781609</v>
      </c>
    </row>
    <row r="268" customFormat="false" ht="14.25" hidden="false" customHeight="false" outlineLevel="0" collapsed="false">
      <c r="B268" s="126" t="n">
        <v>1144153247</v>
      </c>
      <c r="C268" s="127" t="n">
        <v>2.1941348639759</v>
      </c>
      <c r="D268" s="127" t="n">
        <v>1.794</v>
      </c>
      <c r="E268" s="127" t="n">
        <v>0</v>
      </c>
    </row>
    <row r="269" customFormat="false" ht="14.25" hidden="false" customHeight="false" outlineLevel="0" collapsed="false">
      <c r="B269" s="126" t="n">
        <v>1144156511</v>
      </c>
      <c r="C269" s="127" t="n">
        <v>0.135604264489954</v>
      </c>
      <c r="D269" s="127" t="n">
        <v>70.7044</v>
      </c>
      <c r="E269" s="127" t="n">
        <v>1.75443349753695</v>
      </c>
    </row>
    <row r="270" customFormat="false" ht="14.25" hidden="false" customHeight="false" outlineLevel="0" collapsed="false">
      <c r="B270" s="126" t="n">
        <v>1144165348</v>
      </c>
      <c r="C270" s="127" t="n">
        <v>1.20760755018883</v>
      </c>
      <c r="D270" s="127" t="n">
        <v>17.5628571428571</v>
      </c>
      <c r="E270" s="127" t="n">
        <v>1.15147783251232</v>
      </c>
    </row>
    <row r="271" customFormat="false" ht="14.25" hidden="false" customHeight="false" outlineLevel="0" collapsed="false">
      <c r="B271" s="126" t="n">
        <v>1144167122</v>
      </c>
      <c r="C271" s="127" t="n">
        <v>1.77958583463764</v>
      </c>
      <c r="D271" s="127" t="n">
        <v>30.4652</v>
      </c>
      <c r="E271" s="127" t="n">
        <v>3.84275862068966</v>
      </c>
    </row>
    <row r="272" customFormat="false" ht="14.25" hidden="false" customHeight="false" outlineLevel="0" collapsed="false">
      <c r="B272" s="126" t="n">
        <v>1144173564</v>
      </c>
      <c r="C272" s="127" t="n">
        <v>1.34283443731935</v>
      </c>
      <c r="D272" s="127" t="n">
        <v>7.34066666666667</v>
      </c>
      <c r="E272" s="127" t="n">
        <v>2.48586206896552</v>
      </c>
    </row>
    <row r="273" customFormat="false" ht="14.25" hidden="false" customHeight="false" outlineLevel="0" collapsed="false">
      <c r="B273" s="126" t="n">
        <v>1144179107</v>
      </c>
      <c r="C273" s="127" t="n">
        <v>3.12153972478498</v>
      </c>
      <c r="D273" s="127" t="n">
        <v>15.0013333333333</v>
      </c>
      <c r="E273" s="127" t="n">
        <v>1.92758620689655</v>
      </c>
    </row>
    <row r="274" customFormat="false" ht="14.25" hidden="false" customHeight="false" outlineLevel="0" collapsed="false">
      <c r="B274" s="126" t="n">
        <v>1144180967</v>
      </c>
      <c r="C274" s="127" t="n">
        <v>1.79778380952591</v>
      </c>
      <c r="D274" s="127" t="n">
        <v>6.59133333333333</v>
      </c>
      <c r="E274" s="127" t="n">
        <v>0</v>
      </c>
    </row>
    <row r="275" customFormat="false" ht="14.25" hidden="false" customHeight="false" outlineLevel="0" collapsed="false">
      <c r="B275" s="126" t="n">
        <v>1144190402</v>
      </c>
      <c r="C275" s="127" t="n">
        <v>2.20136793003172</v>
      </c>
      <c r="D275" s="127" t="n">
        <v>10.768</v>
      </c>
      <c r="E275" s="127" t="n">
        <v>1.23206896551724</v>
      </c>
    </row>
    <row r="276" customFormat="false" ht="14.25" hidden="false" customHeight="false" outlineLevel="0" collapsed="false">
      <c r="B276" s="126" t="n">
        <v>1144194720</v>
      </c>
      <c r="C276" s="127" t="n">
        <v>1.40667410729027</v>
      </c>
      <c r="D276" s="127" t="n">
        <v>17.8693333333333</v>
      </c>
      <c r="E276" s="127" t="n">
        <v>0</v>
      </c>
    </row>
    <row r="277" customFormat="false" ht="14.25" hidden="false" customHeight="false" outlineLevel="0" collapsed="false">
      <c r="B277" s="126" t="n">
        <v>1151944100</v>
      </c>
      <c r="C277" s="127" t="n">
        <v>1.48298819553137</v>
      </c>
      <c r="D277" s="127" t="n">
        <v>7.88333333333333</v>
      </c>
      <c r="E277" s="127" t="n">
        <v>1.64965517241379</v>
      </c>
    </row>
    <row r="278" customFormat="false" ht="14.25" hidden="false" customHeight="false" outlineLevel="0" collapsed="false">
      <c r="B278" s="126" t="n">
        <v>1151946155</v>
      </c>
      <c r="C278" s="127" t="n">
        <v>5.36033090962724</v>
      </c>
      <c r="D278" s="127" t="n">
        <v>67.7053333333333</v>
      </c>
      <c r="E278" s="127" t="n">
        <v>2.03251231527094</v>
      </c>
    </row>
    <row r="279" customFormat="false" ht="14.25" hidden="false" customHeight="false" outlineLevel="0" collapsed="false">
      <c r="B279" s="126" t="n">
        <v>1005934361</v>
      </c>
      <c r="C279" s="127" t="n">
        <v>10.6810371965139</v>
      </c>
      <c r="D279" s="127" t="n">
        <v>8.445</v>
      </c>
      <c r="E279" s="127" t="n">
        <v>0</v>
      </c>
    </row>
    <row r="280" customFormat="false" ht="14.25" hidden="false" customHeight="false" outlineLevel="0" collapsed="false">
      <c r="B280" s="126" t="n">
        <v>16846198</v>
      </c>
      <c r="C280" s="127" t="n">
        <v>0.094658820991364</v>
      </c>
      <c r="D280" s="127" t="n">
        <v>49.8786666666667</v>
      </c>
      <c r="E280" s="127" t="n">
        <v>0</v>
      </c>
    </row>
    <row r="281" customFormat="false" ht="14.25" hidden="false" customHeight="false" outlineLevel="0" collapsed="false">
      <c r="B281" s="126" t="n">
        <v>29116368</v>
      </c>
      <c r="C281" s="127" t="n">
        <v>61.6008787860777</v>
      </c>
      <c r="D281" s="127" t="n">
        <v>68.4324</v>
      </c>
      <c r="E281" s="127" t="n">
        <v>0</v>
      </c>
    </row>
    <row r="282" customFormat="false" ht="14.25" hidden="false" customHeight="false" outlineLevel="0" collapsed="false">
      <c r="B282" s="126" t="n">
        <v>29677772</v>
      </c>
      <c r="C282" s="127" t="n">
        <v>1.00338350250846</v>
      </c>
      <c r="D282" s="127" t="n">
        <v>13.5128</v>
      </c>
      <c r="E282" s="127" t="n">
        <v>1.9451724137931</v>
      </c>
    </row>
    <row r="283" customFormat="false" ht="14.25" hidden="false" customHeight="false" outlineLevel="0" collapsed="false">
      <c r="B283" s="126" t="n">
        <v>29705663</v>
      </c>
      <c r="C283" s="127" t="n">
        <v>8.13090969013859</v>
      </c>
      <c r="D283" s="127" t="n">
        <v>7.1418</v>
      </c>
      <c r="E283" s="127" t="n">
        <v>5.79413793103448</v>
      </c>
    </row>
    <row r="284" customFormat="false" ht="14.25" hidden="false" customHeight="false" outlineLevel="0" collapsed="false">
      <c r="B284" s="126" t="n">
        <v>30398858</v>
      </c>
      <c r="C284" s="127" t="n">
        <v>17.1517380900492</v>
      </c>
      <c r="D284" s="127" t="n">
        <v>3.187</v>
      </c>
      <c r="E284" s="127" t="n">
        <v>3.08741379310345</v>
      </c>
    </row>
    <row r="285" customFormat="false" ht="14.25" hidden="false" customHeight="false" outlineLevel="0" collapsed="false">
      <c r="B285" s="126" t="n">
        <v>30668215</v>
      </c>
      <c r="C285" s="127" t="n">
        <v>4.80294454974321</v>
      </c>
      <c r="D285" s="127" t="n">
        <v>23.9416</v>
      </c>
      <c r="E285" s="127" t="n">
        <v>0</v>
      </c>
    </row>
    <row r="286" customFormat="false" ht="14.25" hidden="false" customHeight="false" outlineLevel="0" collapsed="false">
      <c r="B286" s="126" t="n">
        <v>31305575</v>
      </c>
      <c r="C286" s="127" t="n">
        <v>3.8444689530074</v>
      </c>
      <c r="D286" s="127" t="n">
        <v>3.2892</v>
      </c>
      <c r="E286" s="127" t="n">
        <v>4.41344827586207</v>
      </c>
    </row>
    <row r="287" customFormat="false" ht="14.25" hidden="false" customHeight="false" outlineLevel="0" collapsed="false">
      <c r="B287" s="126" t="n">
        <v>31309999</v>
      </c>
      <c r="C287" s="127" t="n">
        <v>8.37180223791064</v>
      </c>
      <c r="D287" s="127" t="n">
        <v>7.42333333333333</v>
      </c>
      <c r="E287" s="127" t="n">
        <v>7.36436781609195</v>
      </c>
    </row>
    <row r="288" customFormat="false" ht="14.25" hidden="false" customHeight="false" outlineLevel="0" collapsed="false">
      <c r="B288" s="126" t="n">
        <v>31579220</v>
      </c>
      <c r="C288" s="127" t="n">
        <v>17.3348919018278</v>
      </c>
      <c r="D288" s="127" t="n">
        <v>13.7708</v>
      </c>
      <c r="E288" s="127" t="n">
        <v>12.938275862069</v>
      </c>
    </row>
    <row r="289" customFormat="false" ht="14.25" hidden="false" customHeight="false" outlineLevel="0" collapsed="false">
      <c r="B289" s="126" t="n">
        <v>31712761</v>
      </c>
      <c r="C289" s="127" t="n">
        <v>5.32164973028526</v>
      </c>
      <c r="D289" s="127" t="n">
        <v>17.4934285714286</v>
      </c>
      <c r="E289" s="127" t="n">
        <v>4.56330049261084</v>
      </c>
    </row>
    <row r="290" customFormat="false" ht="14.25" hidden="false" customHeight="false" outlineLevel="0" collapsed="false">
      <c r="B290" s="126" t="n">
        <v>31987244</v>
      </c>
      <c r="C290" s="127" t="n">
        <v>4.58148693598202</v>
      </c>
      <c r="D290" s="127" t="n">
        <v>0</v>
      </c>
      <c r="E290" s="127" t="n">
        <v>0</v>
      </c>
    </row>
    <row r="291" customFormat="false" ht="14.25" hidden="false" customHeight="false" outlineLevel="0" collapsed="false">
      <c r="B291" s="126" t="n">
        <v>34613050</v>
      </c>
      <c r="C291" s="127" t="n">
        <v>13.1663815895197</v>
      </c>
      <c r="D291" s="127" t="n">
        <v>12.0212</v>
      </c>
      <c r="E291" s="127" t="n">
        <v>9.60689655172414</v>
      </c>
    </row>
    <row r="292" customFormat="false" ht="14.25" hidden="false" customHeight="false" outlineLevel="0" collapsed="false">
      <c r="B292" s="126" t="n">
        <v>38556029</v>
      </c>
      <c r="C292" s="127" t="n">
        <v>18.8474518065526</v>
      </c>
      <c r="D292" s="127" t="n">
        <v>0.42</v>
      </c>
      <c r="E292" s="127" t="n">
        <v>0</v>
      </c>
    </row>
    <row r="293" customFormat="false" ht="14.25" hidden="false" customHeight="false" outlineLevel="0" collapsed="false">
      <c r="B293" s="126" t="n">
        <v>38670692</v>
      </c>
      <c r="C293" s="127" t="n">
        <v>25.0779834589214</v>
      </c>
      <c r="D293" s="127" t="n">
        <v>0.753333333333333</v>
      </c>
      <c r="E293" s="127" t="n">
        <v>18.4</v>
      </c>
    </row>
    <row r="294" customFormat="false" ht="14.25" hidden="false" customHeight="false" outlineLevel="0" collapsed="false">
      <c r="B294" s="126" t="n">
        <v>38681350</v>
      </c>
      <c r="C294" s="127" t="n">
        <v>5.82878200513799</v>
      </c>
      <c r="D294" s="127" t="n">
        <v>2.5788</v>
      </c>
      <c r="E294" s="127" t="n">
        <v>9.60310344827586</v>
      </c>
    </row>
    <row r="295" customFormat="false" ht="14.25" hidden="false" customHeight="false" outlineLevel="0" collapsed="false">
      <c r="B295" s="126" t="n">
        <v>41904817</v>
      </c>
      <c r="C295" s="127" t="n">
        <v>4.93546689913112</v>
      </c>
      <c r="D295" s="127" t="n">
        <v>4.9004</v>
      </c>
      <c r="E295" s="127" t="n">
        <v>3.21091954022989</v>
      </c>
    </row>
    <row r="296" customFormat="false" ht="14.25" hidden="false" customHeight="false" outlineLevel="0" collapsed="false">
      <c r="B296" s="126" t="n">
        <v>42089913</v>
      </c>
      <c r="C296" s="127" t="n">
        <v>19.6896637284694</v>
      </c>
      <c r="D296" s="127" t="n">
        <v>14.42</v>
      </c>
      <c r="E296" s="127" t="n">
        <v>14.2093596059113</v>
      </c>
    </row>
    <row r="297" customFormat="false" ht="14.25" hidden="false" customHeight="false" outlineLevel="0" collapsed="false">
      <c r="B297" s="126" t="n">
        <v>66824445</v>
      </c>
      <c r="C297" s="127" t="n">
        <v>13.3105711889368</v>
      </c>
      <c r="D297" s="127" t="n">
        <v>11.318</v>
      </c>
      <c r="E297" s="127" t="n">
        <v>9.69827586206897</v>
      </c>
    </row>
    <row r="298" customFormat="false" ht="14.25" hidden="false" customHeight="false" outlineLevel="0" collapsed="false">
      <c r="B298" s="126" t="n">
        <v>66922338</v>
      </c>
      <c r="C298" s="127" t="n">
        <v>6.27022965404035</v>
      </c>
      <c r="D298" s="127" t="n">
        <v>4.87866666666667</v>
      </c>
      <c r="E298" s="127" t="n">
        <v>4.57413793103448</v>
      </c>
    </row>
    <row r="299" customFormat="false" ht="14.25" hidden="false" customHeight="false" outlineLevel="0" collapsed="false">
      <c r="B299" s="126" t="n">
        <v>66997637</v>
      </c>
      <c r="C299" s="127" t="n">
        <v>12.0869775144942</v>
      </c>
      <c r="D299" s="127" t="n">
        <v>40.276</v>
      </c>
      <c r="E299" s="127" t="n">
        <v>4.01172413793104</v>
      </c>
    </row>
    <row r="300" customFormat="false" ht="14.25" hidden="false" customHeight="false" outlineLevel="0" collapsed="false">
      <c r="B300" s="126" t="n">
        <v>67021850</v>
      </c>
      <c r="C300" s="127" t="n">
        <v>6.80927128117412</v>
      </c>
      <c r="D300" s="127" t="n">
        <v>6.5304</v>
      </c>
      <c r="E300" s="127" t="n">
        <v>5.36</v>
      </c>
    </row>
    <row r="301" customFormat="false" ht="14.25" hidden="false" customHeight="false" outlineLevel="0" collapsed="false">
      <c r="B301" s="126" t="n">
        <v>67040484</v>
      </c>
      <c r="C301" s="127" t="n">
        <v>6.6410867713197</v>
      </c>
      <c r="D301" s="127" t="n">
        <v>27.96</v>
      </c>
      <c r="E301" s="127" t="n">
        <v>2.85586206896552</v>
      </c>
    </row>
    <row r="302" customFormat="false" ht="14.25" hidden="false" customHeight="false" outlineLevel="0" collapsed="false">
      <c r="B302" s="126" t="n">
        <v>87063919</v>
      </c>
      <c r="C302" s="127" t="n">
        <v>15.9819311720303</v>
      </c>
      <c r="D302" s="127" t="n">
        <v>12.805</v>
      </c>
      <c r="E302" s="127" t="n">
        <v>0.239827586206897</v>
      </c>
    </row>
    <row r="303" customFormat="false" ht="14.25" hidden="false" customHeight="false" outlineLevel="0" collapsed="false">
      <c r="B303" s="126" t="n">
        <v>94064042</v>
      </c>
      <c r="C303" s="127" t="n">
        <v>14.3521851144968</v>
      </c>
      <c r="D303" s="127" t="n">
        <v>16.876</v>
      </c>
      <c r="E303" s="127" t="n">
        <v>0</v>
      </c>
    </row>
    <row r="304" customFormat="false" ht="14.25" hidden="false" customHeight="false" outlineLevel="0" collapsed="false">
      <c r="B304" s="126" t="n">
        <v>94531289</v>
      </c>
      <c r="C304" s="127" t="n">
        <v>16.2507181962872</v>
      </c>
      <c r="D304" s="127" t="n">
        <v>16.2451428571429</v>
      </c>
      <c r="E304" s="127" t="n">
        <v>0</v>
      </c>
    </row>
    <row r="305" customFormat="false" ht="14.25" hidden="false" customHeight="false" outlineLevel="0" collapsed="false">
      <c r="B305" s="126" t="n">
        <v>1054997916</v>
      </c>
      <c r="C305" s="127" t="n">
        <v>2.37401807197278</v>
      </c>
      <c r="D305" s="127" t="n">
        <v>0.602857142857143</v>
      </c>
      <c r="E305" s="127" t="n">
        <v>2.01310344827586</v>
      </c>
    </row>
    <row r="306" customFormat="false" ht="14.25" hidden="false" customHeight="false" outlineLevel="0" collapsed="false">
      <c r="B306" s="126" t="n">
        <v>1061655846</v>
      </c>
      <c r="C306" s="127" t="n">
        <v>3.57061878251145</v>
      </c>
      <c r="D306" s="127" t="n">
        <v>33.376</v>
      </c>
      <c r="E306" s="127" t="n">
        <v>2.27586206896552</v>
      </c>
    </row>
    <row r="307" customFormat="false" ht="14.25" hidden="false" customHeight="false" outlineLevel="0" collapsed="false">
      <c r="B307" s="126" t="n">
        <v>1061730666</v>
      </c>
      <c r="C307" s="127" t="n">
        <v>5.17835116074462</v>
      </c>
      <c r="D307" s="127" t="n">
        <v>2.336</v>
      </c>
      <c r="E307" s="127" t="n">
        <v>0</v>
      </c>
    </row>
    <row r="308" customFormat="false" ht="14.25" hidden="false" customHeight="false" outlineLevel="0" collapsed="false">
      <c r="B308" s="126" t="n">
        <v>1062280788</v>
      </c>
      <c r="C308" s="127" t="n">
        <v>18.6537628768231</v>
      </c>
      <c r="D308" s="127" t="n">
        <v>8.14257142857143</v>
      </c>
      <c r="E308" s="127" t="n">
        <v>0</v>
      </c>
    </row>
    <row r="309" customFormat="false" ht="14.25" hidden="false" customHeight="false" outlineLevel="0" collapsed="false">
      <c r="B309" s="126" t="n">
        <v>1085259520</v>
      </c>
      <c r="C309" s="127" t="n">
        <v>5.53467924968575</v>
      </c>
      <c r="D309" s="127" t="n">
        <v>46.022</v>
      </c>
      <c r="E309" s="127" t="n">
        <v>0</v>
      </c>
    </row>
    <row r="310" customFormat="false" ht="14.25" hidden="false" customHeight="false" outlineLevel="0" collapsed="false">
      <c r="B310" s="126" t="n">
        <v>1107083846</v>
      </c>
      <c r="C310" s="127" t="n">
        <v>24.5091499858012</v>
      </c>
      <c r="D310" s="127" t="n">
        <v>11.0393333333333</v>
      </c>
      <c r="E310" s="127" t="n">
        <v>0</v>
      </c>
    </row>
    <row r="311" customFormat="false" ht="14.25" hidden="false" customHeight="false" outlineLevel="0" collapsed="false">
      <c r="B311" s="126" t="n">
        <v>1107105454</v>
      </c>
      <c r="C311" s="127" t="n">
        <v>2.69007161049876</v>
      </c>
      <c r="D311" s="127" t="n">
        <v>8.082</v>
      </c>
      <c r="E311" s="127" t="n">
        <v>0</v>
      </c>
    </row>
    <row r="312" customFormat="false" ht="14.25" hidden="false" customHeight="false" outlineLevel="0" collapsed="false">
      <c r="B312" s="126" t="n">
        <v>1114818603</v>
      </c>
      <c r="C312" s="127" t="n">
        <v>20.400957154776</v>
      </c>
      <c r="D312" s="127" t="n">
        <v>21.3346666666667</v>
      </c>
      <c r="E312" s="127" t="n">
        <v>0</v>
      </c>
    </row>
    <row r="313" customFormat="false" ht="14.25" hidden="false" customHeight="false" outlineLevel="0" collapsed="false">
      <c r="B313" s="126" t="n">
        <v>1114821052</v>
      </c>
      <c r="C313" s="127" t="n">
        <v>7.9946345325652</v>
      </c>
      <c r="D313" s="127" t="n">
        <v>33.8686666666667</v>
      </c>
      <c r="E313" s="127" t="n">
        <v>0</v>
      </c>
    </row>
    <row r="314" customFormat="false" ht="14.25" hidden="false" customHeight="false" outlineLevel="0" collapsed="false">
      <c r="B314" s="126" t="n">
        <v>1116234251</v>
      </c>
      <c r="C314" s="127" t="n">
        <v>7.16633315942527</v>
      </c>
      <c r="D314" s="127" t="n">
        <v>6.2352</v>
      </c>
      <c r="E314" s="127" t="n">
        <v>0</v>
      </c>
    </row>
    <row r="315" customFormat="false" ht="14.25" hidden="false" customHeight="false" outlineLevel="0" collapsed="false">
      <c r="B315" s="126" t="n">
        <v>1130599537</v>
      </c>
      <c r="C315" s="127" t="n">
        <v>5.82437926927793</v>
      </c>
      <c r="D315" s="127" t="n">
        <v>1.0476</v>
      </c>
      <c r="E315" s="127" t="n">
        <v>0</v>
      </c>
    </row>
    <row r="316" customFormat="false" ht="14.25" hidden="false" customHeight="false" outlineLevel="0" collapsed="false">
      <c r="B316" s="126" t="n">
        <v>1130623940</v>
      </c>
      <c r="C316" s="127" t="n">
        <v>19.4966352091189</v>
      </c>
      <c r="D316" s="127" t="n">
        <v>14.0172</v>
      </c>
      <c r="E316" s="127" t="n">
        <v>0</v>
      </c>
    </row>
    <row r="317" customFormat="false" ht="14.25" hidden="false" customHeight="false" outlineLevel="0" collapsed="false">
      <c r="B317" s="126" t="n">
        <v>1130628436</v>
      </c>
      <c r="C317" s="127" t="n">
        <v>20.4260527491783</v>
      </c>
      <c r="D317" s="127" t="n">
        <v>15.3788</v>
      </c>
      <c r="E317" s="127" t="n">
        <v>0</v>
      </c>
    </row>
    <row r="318" customFormat="false" ht="14.25" hidden="false" customHeight="false" outlineLevel="0" collapsed="false">
      <c r="B318" s="126" t="n">
        <v>1130635787</v>
      </c>
      <c r="C318" s="127" t="n">
        <v>16.582904616929</v>
      </c>
      <c r="D318" s="127" t="n">
        <v>7.63866666666667</v>
      </c>
      <c r="E318" s="127" t="n">
        <v>0</v>
      </c>
    </row>
    <row r="319" customFormat="false" ht="14.25" hidden="false" customHeight="false" outlineLevel="0" collapsed="false">
      <c r="B319" s="126" t="n">
        <v>1130640465</v>
      </c>
      <c r="C319" s="127" t="n">
        <v>25.4243320132464</v>
      </c>
      <c r="D319" s="127" t="n">
        <v>1.234</v>
      </c>
      <c r="E319" s="127" t="n">
        <v>0</v>
      </c>
    </row>
    <row r="320" customFormat="false" ht="14.25" hidden="false" customHeight="false" outlineLevel="0" collapsed="false">
      <c r="B320" s="126" t="n">
        <v>1130640687</v>
      </c>
      <c r="C320" s="127" t="n">
        <v>2.48974712886588</v>
      </c>
      <c r="D320" s="127" t="n">
        <v>21.8136</v>
      </c>
      <c r="E320" s="127" t="n">
        <v>0</v>
      </c>
    </row>
    <row r="321" customFormat="false" ht="14.25" hidden="false" customHeight="false" outlineLevel="0" collapsed="false">
      <c r="B321" s="126" t="n">
        <v>1130641134</v>
      </c>
      <c r="C321" s="127" t="n">
        <v>0.138245906005992</v>
      </c>
      <c r="D321" s="127" t="n">
        <v>36.6886666666667</v>
      </c>
      <c r="E321" s="127" t="n">
        <v>0</v>
      </c>
    </row>
    <row r="322" customFormat="false" ht="14.25" hidden="false" customHeight="false" outlineLevel="0" collapsed="false">
      <c r="B322" s="126" t="n">
        <v>1143836074</v>
      </c>
      <c r="C322" s="127" t="n">
        <v>15.7504730582441</v>
      </c>
      <c r="D322" s="127" t="n">
        <v>8.72628571428571</v>
      </c>
      <c r="E322" s="127" t="n">
        <v>0.481773399014778</v>
      </c>
    </row>
    <row r="323" customFormat="false" ht="14.25" hidden="false" customHeight="false" outlineLevel="0" collapsed="false">
      <c r="B323" s="126" t="n">
        <v>1143840792</v>
      </c>
      <c r="C323" s="127" t="n">
        <v>8.04732060502396</v>
      </c>
      <c r="D323" s="127" t="n">
        <v>9.63</v>
      </c>
      <c r="E323" s="127" t="n">
        <v>0</v>
      </c>
    </row>
    <row r="324" customFormat="false" ht="14.25" hidden="false" customHeight="false" outlineLevel="0" collapsed="false">
      <c r="B324" s="126" t="n">
        <v>1143991760</v>
      </c>
      <c r="C324" s="127" t="n">
        <v>2.42810882682499</v>
      </c>
      <c r="D324" s="127" t="n">
        <v>4.98933333333333</v>
      </c>
      <c r="E324" s="127" t="n">
        <v>0</v>
      </c>
    </row>
    <row r="325" customFormat="false" ht="14.25" hidden="false" customHeight="false" outlineLevel="0" collapsed="false">
      <c r="B325" s="126" t="n">
        <v>1144050843</v>
      </c>
      <c r="C325" s="127" t="n">
        <v>0.28177509504406</v>
      </c>
      <c r="D325" s="127" t="n">
        <v>18.0708</v>
      </c>
      <c r="E325" s="127" t="n">
        <v>0</v>
      </c>
    </row>
    <row r="326" customFormat="false" ht="14.25" hidden="false" customHeight="false" outlineLevel="0" collapsed="false">
      <c r="B326" s="126" t="n">
        <v>1144143740</v>
      </c>
      <c r="C326" s="127" t="n">
        <v>1.2004793111773</v>
      </c>
      <c r="D326" s="127" t="n">
        <v>4.00266666666667</v>
      </c>
      <c r="E326" s="127" t="n">
        <v>0</v>
      </c>
    </row>
    <row r="327" customFormat="false" ht="14.25" hidden="false" customHeight="false" outlineLevel="0" collapsed="false">
      <c r="B327" s="126" t="n">
        <v>1144186978</v>
      </c>
      <c r="C327" s="127" t="n">
        <v>0.0146757862002115</v>
      </c>
      <c r="D327" s="127" t="n">
        <v>22.6806666666667</v>
      </c>
      <c r="E327" s="127" t="n">
        <v>0</v>
      </c>
    </row>
    <row r="328" customFormat="false" ht="14.25" hidden="false" customHeight="false" outlineLevel="0" collapsed="false">
      <c r="B328" s="126" t="n">
        <v>1151945346</v>
      </c>
      <c r="C328" s="127" t="n">
        <v>0.828154615277934</v>
      </c>
      <c r="D328" s="127" t="n">
        <v>16.35</v>
      </c>
      <c r="E328" s="127" t="n">
        <v>0</v>
      </c>
    </row>
    <row r="329" customFormat="false" ht="14.25" hidden="false" customHeight="false" outlineLevel="0" collapsed="false">
      <c r="B329" s="126" t="n">
        <v>5208653</v>
      </c>
      <c r="C329" s="127" t="n">
        <v>3.88915672198704</v>
      </c>
      <c r="D329" s="127" t="n">
        <v>0</v>
      </c>
      <c r="E329" s="127" t="n">
        <v>0</v>
      </c>
    </row>
    <row r="330" customFormat="false" ht="14.25" hidden="false" customHeight="false" outlineLevel="0" collapsed="false">
      <c r="B330" s="126" t="n">
        <v>6106214</v>
      </c>
      <c r="C330" s="127" t="n">
        <v>4.98896013983089</v>
      </c>
      <c r="D330" s="127" t="n">
        <v>0</v>
      </c>
      <c r="E330" s="127" t="n">
        <v>0</v>
      </c>
    </row>
    <row r="331" customFormat="false" ht="14.25" hidden="false" customHeight="false" outlineLevel="0" collapsed="false">
      <c r="B331" s="126" t="n">
        <v>6134634</v>
      </c>
      <c r="C331" s="127" t="n">
        <v>10.3556750164552</v>
      </c>
      <c r="D331" s="127" t="n">
        <v>0</v>
      </c>
      <c r="E331" s="127" t="n">
        <v>0</v>
      </c>
    </row>
    <row r="332" customFormat="false" ht="14.25" hidden="false" customHeight="false" outlineLevel="0" collapsed="false">
      <c r="B332" s="126" t="n">
        <v>6355880</v>
      </c>
      <c r="C332" s="127" t="n">
        <v>2.58616704420127</v>
      </c>
      <c r="D332" s="127" t="n">
        <v>0</v>
      </c>
      <c r="E332" s="127" t="n">
        <v>0</v>
      </c>
    </row>
    <row r="333" customFormat="false" ht="14.25" hidden="false" customHeight="false" outlineLevel="0" collapsed="false">
      <c r="B333" s="126" t="n">
        <v>6531814</v>
      </c>
      <c r="C333" s="127" t="n">
        <v>3.22793917473651</v>
      </c>
      <c r="D333" s="127" t="n">
        <v>0</v>
      </c>
      <c r="E333" s="127" t="n">
        <v>0</v>
      </c>
    </row>
    <row r="334" customFormat="false" ht="14.25" hidden="false" customHeight="false" outlineLevel="0" collapsed="false">
      <c r="B334" s="126" t="n">
        <v>6537914</v>
      </c>
      <c r="C334" s="127" t="n">
        <v>2.00010000500025</v>
      </c>
      <c r="D334" s="127" t="n">
        <v>0</v>
      </c>
      <c r="E334" s="127" t="n">
        <v>2.10665024630542</v>
      </c>
    </row>
    <row r="335" customFormat="false" ht="14.25" hidden="false" customHeight="false" outlineLevel="0" collapsed="false">
      <c r="B335" s="126" t="n">
        <v>14608714</v>
      </c>
      <c r="C335" s="127" t="n">
        <v>21.5549142236986</v>
      </c>
      <c r="D335" s="127" t="n">
        <v>0</v>
      </c>
      <c r="E335" s="127" t="n">
        <v>18.2831034482759</v>
      </c>
    </row>
    <row r="336" customFormat="false" ht="14.25" hidden="false" customHeight="false" outlineLevel="0" collapsed="false">
      <c r="B336" s="126" t="n">
        <v>14621623</v>
      </c>
      <c r="C336" s="127" t="n">
        <v>0</v>
      </c>
      <c r="D336" s="127" t="n">
        <v>0</v>
      </c>
      <c r="E336" s="127" t="n">
        <v>0</v>
      </c>
    </row>
    <row r="337" customFormat="false" ht="14.25" hidden="false" customHeight="false" outlineLevel="0" collapsed="false">
      <c r="B337" s="126" t="n">
        <v>14623303</v>
      </c>
      <c r="C337" s="127" t="n">
        <v>1.25991624528816</v>
      </c>
      <c r="D337" s="127" t="n">
        <v>0</v>
      </c>
      <c r="E337" s="127" t="n">
        <v>0</v>
      </c>
    </row>
    <row r="338" customFormat="false" ht="14.25" hidden="false" customHeight="false" outlineLevel="0" collapsed="false">
      <c r="B338" s="126" t="n">
        <v>14835284</v>
      </c>
      <c r="C338" s="127" t="n">
        <v>3.10246120272471</v>
      </c>
      <c r="D338" s="127" t="n">
        <v>0</v>
      </c>
      <c r="E338" s="127" t="n">
        <v>0</v>
      </c>
    </row>
    <row r="339" customFormat="false" ht="14.25" hidden="false" customHeight="false" outlineLevel="0" collapsed="false">
      <c r="B339" s="126" t="n">
        <v>16375423</v>
      </c>
      <c r="C339" s="127" t="n">
        <v>11.0875564742598</v>
      </c>
      <c r="D339" s="127" t="n">
        <v>0</v>
      </c>
      <c r="E339" s="127" t="n">
        <v>10.5252873563218</v>
      </c>
    </row>
    <row r="340" customFormat="false" ht="14.25" hidden="false" customHeight="false" outlineLevel="0" collapsed="false">
      <c r="B340" s="126" t="n">
        <v>16377725</v>
      </c>
      <c r="C340" s="127" t="n">
        <v>5.46977034386311</v>
      </c>
      <c r="D340" s="127" t="n">
        <v>0</v>
      </c>
      <c r="E340" s="127" t="n">
        <v>6.18349753694581</v>
      </c>
    </row>
    <row r="341" customFormat="false" ht="14.25" hidden="false" customHeight="false" outlineLevel="0" collapsed="false">
      <c r="B341" s="126" t="n">
        <v>16463704</v>
      </c>
      <c r="C341" s="127" t="n">
        <v>24.6143753728567</v>
      </c>
      <c r="D341" s="127" t="n">
        <v>0</v>
      </c>
      <c r="E341" s="127" t="n">
        <v>0</v>
      </c>
    </row>
    <row r="342" customFormat="false" ht="14.25" hidden="false" customHeight="false" outlineLevel="0" collapsed="false">
      <c r="B342" s="126" t="n">
        <v>16535232</v>
      </c>
      <c r="C342" s="127" t="n">
        <v>6.77864081883339</v>
      </c>
      <c r="D342" s="127" t="n">
        <v>0</v>
      </c>
      <c r="E342" s="127" t="n">
        <v>0</v>
      </c>
    </row>
    <row r="343" customFormat="false" ht="14.25" hidden="false" customHeight="false" outlineLevel="0" collapsed="false">
      <c r="B343" s="126" t="n">
        <v>16535596</v>
      </c>
      <c r="C343" s="127" t="n">
        <v>1.96676500491691</v>
      </c>
      <c r="D343" s="127" t="n">
        <v>0</v>
      </c>
      <c r="E343" s="127" t="n">
        <v>0</v>
      </c>
    </row>
    <row r="344" customFormat="false" ht="14.25" hidden="false" customHeight="false" outlineLevel="0" collapsed="false">
      <c r="B344" s="126" t="n">
        <v>16731658</v>
      </c>
      <c r="C344" s="127" t="n">
        <v>4.55551079440764</v>
      </c>
      <c r="D344" s="127" t="n">
        <v>0</v>
      </c>
      <c r="E344" s="127" t="n">
        <v>0</v>
      </c>
    </row>
    <row r="345" customFormat="false" ht="14.25" hidden="false" customHeight="false" outlineLevel="0" collapsed="false">
      <c r="B345" s="126" t="n">
        <v>16768054</v>
      </c>
      <c r="C345" s="127" t="n">
        <v>9.46324045762037</v>
      </c>
      <c r="D345" s="127" t="n">
        <v>0</v>
      </c>
      <c r="E345" s="127" t="n">
        <v>0</v>
      </c>
    </row>
    <row r="346" customFormat="false" ht="14.25" hidden="false" customHeight="false" outlineLevel="0" collapsed="false">
      <c r="B346" s="126" t="n">
        <v>16795335</v>
      </c>
      <c r="C346" s="127" t="n">
        <v>24.012301243993</v>
      </c>
      <c r="D346" s="127" t="n">
        <v>0</v>
      </c>
      <c r="E346" s="127" t="n">
        <v>20.7910344827586</v>
      </c>
    </row>
    <row r="347" customFormat="false" ht="14.25" hidden="false" customHeight="false" outlineLevel="0" collapsed="false">
      <c r="B347" s="126" t="n">
        <v>16918531</v>
      </c>
      <c r="C347" s="127" t="n">
        <v>1.05078629193514</v>
      </c>
      <c r="D347" s="127" t="n">
        <v>0</v>
      </c>
      <c r="E347" s="127" t="n">
        <v>13.7693103448276</v>
      </c>
    </row>
    <row r="348" customFormat="false" ht="14.25" hidden="false" customHeight="false" outlineLevel="0" collapsed="false">
      <c r="B348" s="126" t="n">
        <v>16918740</v>
      </c>
      <c r="C348" s="127" t="n">
        <v>8.45677504000986</v>
      </c>
      <c r="D348" s="127" t="n">
        <v>0</v>
      </c>
      <c r="E348" s="127" t="n">
        <v>0</v>
      </c>
    </row>
    <row r="349" customFormat="false" ht="14.25" hidden="false" customHeight="false" outlineLevel="0" collapsed="false">
      <c r="B349" s="126" t="n">
        <v>16934223</v>
      </c>
      <c r="C349" s="127" t="n">
        <v>0</v>
      </c>
      <c r="D349" s="127" t="n">
        <v>0</v>
      </c>
      <c r="E349" s="127" t="n">
        <v>0</v>
      </c>
    </row>
    <row r="350" customFormat="false" ht="14.25" hidden="false" customHeight="false" outlineLevel="0" collapsed="false">
      <c r="B350" s="126" t="n">
        <v>24527680</v>
      </c>
      <c r="C350" s="127" t="n">
        <v>29.3288249318126</v>
      </c>
      <c r="D350" s="127" t="n">
        <v>0</v>
      </c>
      <c r="E350" s="127" t="n">
        <v>8.37965517241379</v>
      </c>
    </row>
    <row r="351" customFormat="false" ht="14.25" hidden="false" customHeight="false" outlineLevel="0" collapsed="false">
      <c r="B351" s="126" t="n">
        <v>24576907</v>
      </c>
      <c r="C351" s="127" t="n">
        <v>8.20198242616533</v>
      </c>
      <c r="D351" s="127" t="n">
        <v>0</v>
      </c>
      <c r="E351" s="127" t="n">
        <v>0</v>
      </c>
    </row>
    <row r="352" customFormat="false" ht="14.25" hidden="false" customHeight="false" outlineLevel="0" collapsed="false">
      <c r="B352" s="126" t="n">
        <v>29111206</v>
      </c>
      <c r="C352" s="127" t="n">
        <v>13.3534978635724</v>
      </c>
      <c r="D352" s="127" t="n">
        <v>0</v>
      </c>
      <c r="E352" s="127" t="n">
        <v>16.3655172413793</v>
      </c>
    </row>
    <row r="353" customFormat="false" ht="14.25" hidden="false" customHeight="false" outlineLevel="0" collapsed="false">
      <c r="B353" s="126" t="n">
        <v>29120445</v>
      </c>
      <c r="C353" s="127" t="n">
        <v>4.91565458776084</v>
      </c>
      <c r="D353" s="127" t="n">
        <v>0</v>
      </c>
      <c r="E353" s="127" t="n">
        <v>0</v>
      </c>
    </row>
    <row r="354" customFormat="false" ht="14.25" hidden="false" customHeight="false" outlineLevel="0" collapsed="false">
      <c r="B354" s="126" t="n">
        <v>29121722</v>
      </c>
      <c r="C354" s="127" t="n">
        <v>16.8067837354132</v>
      </c>
      <c r="D354" s="127" t="n">
        <v>0</v>
      </c>
      <c r="E354" s="127" t="n">
        <v>0</v>
      </c>
    </row>
    <row r="355" customFormat="false" ht="14.25" hidden="false" customHeight="false" outlineLevel="0" collapsed="false">
      <c r="B355" s="126" t="n">
        <v>29126558</v>
      </c>
      <c r="C355" s="127" t="n">
        <v>16.3370851980754</v>
      </c>
      <c r="D355" s="127" t="n">
        <v>0</v>
      </c>
      <c r="E355" s="127" t="n">
        <v>0</v>
      </c>
    </row>
    <row r="356" customFormat="false" ht="14.25" hidden="false" customHeight="false" outlineLevel="0" collapsed="false">
      <c r="B356" s="126" t="n">
        <v>29177571</v>
      </c>
      <c r="C356" s="127" t="n">
        <v>5.05301994659481</v>
      </c>
      <c r="D356" s="127" t="n">
        <v>0</v>
      </c>
      <c r="E356" s="127" t="n">
        <v>14.2777586206897</v>
      </c>
    </row>
    <row r="357" customFormat="false" ht="14.25" hidden="false" customHeight="false" outlineLevel="0" collapsed="false">
      <c r="B357" s="126" t="n">
        <v>29360220</v>
      </c>
      <c r="C357" s="127" t="n">
        <v>3.80748597178287</v>
      </c>
      <c r="D357" s="127" t="n">
        <v>0</v>
      </c>
      <c r="E357" s="127" t="n">
        <v>0</v>
      </c>
    </row>
    <row r="358" customFormat="false" ht="14.25" hidden="false" customHeight="false" outlineLevel="0" collapsed="false">
      <c r="B358" s="126" t="n">
        <v>29360906</v>
      </c>
      <c r="C358" s="127" t="n">
        <v>16.583785164101</v>
      </c>
      <c r="D358" s="127" t="n">
        <v>0</v>
      </c>
      <c r="E358" s="127" t="n">
        <v>9.40172413793104</v>
      </c>
    </row>
    <row r="359" customFormat="false" ht="14.25" hidden="false" customHeight="false" outlineLevel="0" collapsed="false">
      <c r="B359" s="126" t="n">
        <v>29582380</v>
      </c>
      <c r="C359" s="127" t="n">
        <v>2.05461006802961</v>
      </c>
      <c r="D359" s="127" t="n">
        <v>0</v>
      </c>
      <c r="E359" s="127" t="n">
        <v>1.05758620689655</v>
      </c>
    </row>
    <row r="360" customFormat="false" ht="14.25" hidden="false" customHeight="false" outlineLevel="0" collapsed="false">
      <c r="B360" s="126" t="n">
        <v>29665479</v>
      </c>
      <c r="C360" s="127" t="n">
        <v>1.27820856451628</v>
      </c>
      <c r="D360" s="127" t="n">
        <v>0</v>
      </c>
      <c r="E360" s="127" t="n">
        <v>0</v>
      </c>
    </row>
    <row r="361" customFormat="false" ht="14.25" hidden="false" customHeight="false" outlineLevel="0" collapsed="false">
      <c r="B361" s="126" t="n">
        <v>29786108</v>
      </c>
      <c r="C361" s="127" t="n">
        <v>15.0216944809505</v>
      </c>
      <c r="D361" s="127" t="n">
        <v>0</v>
      </c>
      <c r="E361" s="127" t="n">
        <v>6.90024630541872</v>
      </c>
    </row>
    <row r="362" customFormat="false" ht="14.25" hidden="false" customHeight="false" outlineLevel="0" collapsed="false">
      <c r="B362" s="126" t="n">
        <v>29820520</v>
      </c>
      <c r="C362" s="127" t="n">
        <v>27.6656914606737</v>
      </c>
      <c r="D362" s="127" t="n">
        <v>0</v>
      </c>
      <c r="E362" s="127" t="n">
        <v>18.1722413793103</v>
      </c>
    </row>
    <row r="363" customFormat="false" ht="14.25" hidden="false" customHeight="false" outlineLevel="0" collapsed="false">
      <c r="B363" s="126" t="n">
        <v>29832598</v>
      </c>
      <c r="C363" s="127" t="n">
        <v>5.56505812712019</v>
      </c>
      <c r="D363" s="127" t="n">
        <v>0</v>
      </c>
      <c r="E363" s="127" t="n">
        <v>0</v>
      </c>
    </row>
    <row r="364" customFormat="false" ht="14.25" hidden="false" customHeight="false" outlineLevel="0" collapsed="false">
      <c r="B364" s="126" t="n">
        <v>29975492</v>
      </c>
      <c r="C364" s="127" t="n">
        <v>15.3061112175106</v>
      </c>
      <c r="D364" s="127" t="n">
        <v>0</v>
      </c>
      <c r="E364" s="127" t="n">
        <v>0</v>
      </c>
    </row>
    <row r="365" customFormat="false" ht="14.25" hidden="false" customHeight="false" outlineLevel="0" collapsed="false">
      <c r="B365" s="126" t="n">
        <v>30338141</v>
      </c>
      <c r="C365" s="127" t="n">
        <v>0</v>
      </c>
      <c r="D365" s="127" t="n">
        <v>0</v>
      </c>
      <c r="E365" s="127" t="n">
        <v>0</v>
      </c>
    </row>
    <row r="366" customFormat="false" ht="14.25" hidden="false" customHeight="false" outlineLevel="0" collapsed="false">
      <c r="B366" s="126" t="n">
        <v>31168598</v>
      </c>
      <c r="C366" s="127" t="n">
        <v>4.46305334134631</v>
      </c>
      <c r="D366" s="127" t="n">
        <v>0</v>
      </c>
      <c r="E366" s="127" t="n">
        <v>0</v>
      </c>
    </row>
    <row r="367" customFormat="false" ht="14.25" hidden="false" customHeight="false" outlineLevel="0" collapsed="false">
      <c r="B367" s="126" t="n">
        <v>31306746</v>
      </c>
      <c r="C367" s="127" t="n">
        <v>5.1076138712596</v>
      </c>
      <c r="D367" s="127" t="n">
        <v>0</v>
      </c>
      <c r="E367" s="127" t="n">
        <v>0</v>
      </c>
    </row>
    <row r="368" customFormat="false" ht="14.25" hidden="false" customHeight="false" outlineLevel="0" collapsed="false">
      <c r="B368" s="126" t="n">
        <v>31306752</v>
      </c>
      <c r="C368" s="127" t="n">
        <v>3.25670371568893</v>
      </c>
      <c r="D368" s="127" t="n">
        <v>0</v>
      </c>
      <c r="E368" s="127" t="n">
        <v>0.583793103448276</v>
      </c>
    </row>
    <row r="369" customFormat="false" ht="14.25" hidden="false" customHeight="false" outlineLevel="0" collapsed="false">
      <c r="B369" s="126" t="n">
        <v>31308295</v>
      </c>
      <c r="C369" s="127" t="n">
        <v>29.8997130150009</v>
      </c>
      <c r="D369" s="127" t="n">
        <v>0</v>
      </c>
      <c r="E369" s="127" t="n">
        <v>0</v>
      </c>
    </row>
    <row r="370" customFormat="false" ht="14.25" hidden="false" customHeight="false" outlineLevel="0" collapsed="false">
      <c r="B370" s="126" t="n">
        <v>31308604</v>
      </c>
      <c r="C370" s="127" t="n">
        <v>6.60542461085318</v>
      </c>
      <c r="D370" s="127" t="n">
        <v>0</v>
      </c>
      <c r="E370" s="127" t="n">
        <v>0.210344827586207</v>
      </c>
    </row>
    <row r="371" customFormat="false" ht="14.25" hidden="false" customHeight="false" outlineLevel="0" collapsed="false">
      <c r="B371" s="126" t="n">
        <v>31323508</v>
      </c>
      <c r="C371" s="127" t="n">
        <v>3.34607925364822</v>
      </c>
      <c r="D371" s="127" t="n">
        <v>0</v>
      </c>
      <c r="E371" s="127" t="n">
        <v>0</v>
      </c>
    </row>
    <row r="372" customFormat="false" ht="14.25" hidden="false" customHeight="false" outlineLevel="0" collapsed="false">
      <c r="B372" s="126" t="n">
        <v>31324832</v>
      </c>
      <c r="C372" s="127" t="n">
        <v>0</v>
      </c>
      <c r="D372" s="127" t="n">
        <v>0</v>
      </c>
      <c r="E372" s="127" t="n">
        <v>17.2044334975369</v>
      </c>
    </row>
    <row r="373" customFormat="false" ht="14.25" hidden="false" customHeight="false" outlineLevel="0" collapsed="false">
      <c r="B373" s="126" t="n">
        <v>31411666</v>
      </c>
      <c r="C373" s="127" t="n">
        <v>15.8375214358202</v>
      </c>
      <c r="D373" s="127" t="n">
        <v>0</v>
      </c>
      <c r="E373" s="127" t="n">
        <v>14.3848275862069</v>
      </c>
    </row>
    <row r="374" customFormat="false" ht="14.25" hidden="false" customHeight="false" outlineLevel="0" collapsed="false">
      <c r="B374" s="126" t="n">
        <v>31446402</v>
      </c>
      <c r="C374" s="127" t="n">
        <v>10.1958557047349</v>
      </c>
      <c r="D374" s="127" t="n">
        <v>0</v>
      </c>
      <c r="E374" s="127" t="n">
        <v>13.1289655172414</v>
      </c>
    </row>
    <row r="375" customFormat="false" ht="14.25" hidden="false" customHeight="false" outlineLevel="0" collapsed="false">
      <c r="B375" s="126" t="n">
        <v>31482745</v>
      </c>
      <c r="C375" s="127" t="n">
        <v>0</v>
      </c>
      <c r="D375" s="127" t="n">
        <v>0</v>
      </c>
      <c r="E375" s="127" t="n">
        <v>3.05586206896552</v>
      </c>
    </row>
    <row r="376" customFormat="false" ht="14.25" hidden="false" customHeight="false" outlineLevel="0" collapsed="false">
      <c r="B376" s="126" t="n">
        <v>31488174</v>
      </c>
      <c r="C376" s="127" t="n">
        <v>8.34670664350828</v>
      </c>
      <c r="D376" s="127" t="n">
        <v>0</v>
      </c>
      <c r="E376" s="127" t="n">
        <v>8.27241379310345</v>
      </c>
    </row>
    <row r="377" customFormat="false" ht="14.25" hidden="false" customHeight="false" outlineLevel="0" collapsed="false">
      <c r="B377" s="126" t="n">
        <v>31537574</v>
      </c>
      <c r="C377" s="127" t="n">
        <v>33.9715098962495</v>
      </c>
      <c r="D377" s="127" t="n">
        <v>0</v>
      </c>
      <c r="E377" s="127" t="n">
        <v>23.6989655172414</v>
      </c>
    </row>
    <row r="378" customFormat="false" ht="14.25" hidden="false" customHeight="false" outlineLevel="0" collapsed="false">
      <c r="B378" s="126" t="n">
        <v>31568464</v>
      </c>
      <c r="C378" s="127" t="n">
        <v>16.2233478550238</v>
      </c>
      <c r="D378" s="127" t="n">
        <v>0</v>
      </c>
      <c r="E378" s="127" t="n">
        <v>9.83218390804598</v>
      </c>
    </row>
    <row r="379" customFormat="false" ht="14.25" hidden="false" customHeight="false" outlineLevel="0" collapsed="false">
      <c r="B379" s="126" t="n">
        <v>31572825</v>
      </c>
      <c r="C379" s="127" t="n">
        <v>0</v>
      </c>
      <c r="D379" s="127" t="n">
        <v>0</v>
      </c>
      <c r="E379" s="127" t="n">
        <v>0</v>
      </c>
    </row>
    <row r="380" customFormat="false" ht="14.25" hidden="false" customHeight="false" outlineLevel="0" collapsed="false">
      <c r="B380" s="126" t="n">
        <v>31574407</v>
      </c>
      <c r="C380" s="127" t="n">
        <v>1.75323231570384</v>
      </c>
      <c r="D380" s="127" t="n">
        <v>0</v>
      </c>
      <c r="E380" s="127" t="n">
        <v>0.725615763546798</v>
      </c>
    </row>
    <row r="381" customFormat="false" ht="14.25" hidden="false" customHeight="false" outlineLevel="0" collapsed="false">
      <c r="B381" s="126" t="n">
        <v>31574916</v>
      </c>
      <c r="C381" s="127" t="n">
        <v>7.38735049960045</v>
      </c>
      <c r="D381" s="127" t="n">
        <v>0</v>
      </c>
      <c r="E381" s="127" t="n">
        <v>0</v>
      </c>
    </row>
    <row r="382" customFormat="false" ht="14.25" hidden="false" customHeight="false" outlineLevel="0" collapsed="false">
      <c r="B382" s="126" t="n">
        <v>31871600</v>
      </c>
      <c r="C382" s="127" t="n">
        <v>31.4106900313569</v>
      </c>
      <c r="D382" s="127" t="n">
        <v>0</v>
      </c>
      <c r="E382" s="127" t="n">
        <v>0</v>
      </c>
    </row>
    <row r="383" customFormat="false" ht="14.25" hidden="false" customHeight="false" outlineLevel="0" collapsed="false">
      <c r="B383" s="126" t="n">
        <v>31878122</v>
      </c>
      <c r="C383" s="127" t="n">
        <v>10.3124653088</v>
      </c>
      <c r="D383" s="127" t="n">
        <v>0</v>
      </c>
      <c r="E383" s="127" t="n">
        <v>4.38423645320197</v>
      </c>
    </row>
    <row r="384" customFormat="false" ht="14.25" hidden="false" customHeight="false" outlineLevel="0" collapsed="false">
      <c r="B384" s="126" t="n">
        <v>31925013</v>
      </c>
      <c r="C384" s="127" t="n">
        <v>0</v>
      </c>
      <c r="D384" s="127" t="n">
        <v>0</v>
      </c>
      <c r="E384" s="127" t="n">
        <v>0</v>
      </c>
    </row>
    <row r="385" customFormat="false" ht="14.25" hidden="false" customHeight="false" outlineLevel="0" collapsed="false">
      <c r="B385" s="126" t="n">
        <v>31929082</v>
      </c>
      <c r="C385" s="127" t="n">
        <v>14.5563881967683</v>
      </c>
      <c r="D385" s="127" t="n">
        <v>0</v>
      </c>
      <c r="E385" s="127" t="n">
        <v>0</v>
      </c>
    </row>
    <row r="386" customFormat="false" ht="14.25" hidden="false" customHeight="false" outlineLevel="0" collapsed="false">
      <c r="B386" s="126" t="n">
        <v>31941404</v>
      </c>
      <c r="C386" s="127" t="n">
        <v>15.7463848035169</v>
      </c>
      <c r="D386" s="127" t="n">
        <v>0</v>
      </c>
      <c r="E386" s="127" t="n">
        <v>0</v>
      </c>
    </row>
    <row r="387" customFormat="false" ht="14.25" hidden="false" customHeight="false" outlineLevel="0" collapsed="false">
      <c r="B387" s="126" t="n">
        <v>34317987</v>
      </c>
      <c r="C387" s="127" t="n">
        <v>7.8276240856068</v>
      </c>
      <c r="D387" s="127" t="n">
        <v>0</v>
      </c>
      <c r="E387" s="127" t="n">
        <v>10.2179310344828</v>
      </c>
    </row>
    <row r="388" customFormat="false" ht="14.25" hidden="false" customHeight="false" outlineLevel="0" collapsed="false">
      <c r="B388" s="126" t="n">
        <v>34515278</v>
      </c>
      <c r="C388" s="127" t="n">
        <v>23.800749785917</v>
      </c>
      <c r="D388" s="127" t="n">
        <v>0</v>
      </c>
      <c r="E388" s="127" t="n">
        <v>0</v>
      </c>
    </row>
    <row r="389" customFormat="false" ht="14.25" hidden="false" customHeight="false" outlineLevel="0" collapsed="false">
      <c r="B389" s="126" t="n">
        <v>34516193</v>
      </c>
      <c r="C389" s="127" t="n">
        <v>11.7742365105677</v>
      </c>
      <c r="D389" s="127" t="n">
        <v>0</v>
      </c>
      <c r="E389" s="127" t="n">
        <v>0</v>
      </c>
    </row>
    <row r="390" customFormat="false" ht="14.25" hidden="false" customHeight="false" outlineLevel="0" collapsed="false">
      <c r="B390" s="126" t="n">
        <v>34555852</v>
      </c>
      <c r="C390" s="127" t="n">
        <v>6.31902664315606</v>
      </c>
      <c r="D390" s="127" t="n">
        <v>0</v>
      </c>
      <c r="E390" s="127" t="n">
        <v>0</v>
      </c>
    </row>
    <row r="391" customFormat="false" ht="14.25" hidden="false" customHeight="false" outlineLevel="0" collapsed="false">
      <c r="B391" s="126" t="n">
        <v>34614231</v>
      </c>
      <c r="C391" s="127" t="n">
        <v>8.10961931744386</v>
      </c>
      <c r="D391" s="127" t="n">
        <v>0</v>
      </c>
      <c r="E391" s="127" t="n">
        <v>22.5532019704434</v>
      </c>
    </row>
    <row r="392" customFormat="false" ht="14.25" hidden="false" customHeight="false" outlineLevel="0" collapsed="false">
      <c r="B392" s="126" t="n">
        <v>34614313</v>
      </c>
      <c r="C392" s="127" t="n">
        <v>19.936216936633</v>
      </c>
      <c r="D392" s="127" t="n">
        <v>0</v>
      </c>
      <c r="E392" s="127" t="n">
        <v>0</v>
      </c>
    </row>
    <row r="393" customFormat="false" ht="14.25" hidden="false" customHeight="false" outlineLevel="0" collapsed="false">
      <c r="B393" s="126" t="n">
        <v>34616482</v>
      </c>
      <c r="C393" s="127" t="n">
        <v>3.74987302824261</v>
      </c>
      <c r="D393" s="127" t="n">
        <v>0</v>
      </c>
      <c r="E393" s="127" t="n">
        <v>0</v>
      </c>
    </row>
    <row r="394" customFormat="false" ht="14.25" hidden="false" customHeight="false" outlineLevel="0" collapsed="false">
      <c r="B394" s="126" t="n">
        <v>35424880</v>
      </c>
      <c r="C394" s="127" t="n">
        <v>4.86376520083866</v>
      </c>
      <c r="D394" s="127" t="n">
        <v>0</v>
      </c>
      <c r="E394" s="127" t="n">
        <v>1.22955665024631</v>
      </c>
    </row>
    <row r="395" customFormat="false" ht="14.25" hidden="false" customHeight="false" outlineLevel="0" collapsed="false">
      <c r="B395" s="126" t="n">
        <v>36175046</v>
      </c>
      <c r="C395" s="127" t="n">
        <v>6.88455806438121</v>
      </c>
      <c r="D395" s="127" t="n">
        <v>0</v>
      </c>
      <c r="E395" s="127" t="n">
        <v>6.61879310344828</v>
      </c>
    </row>
    <row r="396" customFormat="false" ht="14.25" hidden="false" customHeight="false" outlineLevel="0" collapsed="false">
      <c r="B396" s="126" t="n">
        <v>38551369</v>
      </c>
      <c r="C396" s="127" t="n">
        <v>19.0028369342995</v>
      </c>
      <c r="D396" s="127" t="n">
        <v>0</v>
      </c>
      <c r="E396" s="127" t="n">
        <v>0</v>
      </c>
    </row>
    <row r="397" customFormat="false" ht="14.25" hidden="false" customHeight="false" outlineLevel="0" collapsed="false">
      <c r="B397" s="126" t="n">
        <v>38555443</v>
      </c>
      <c r="C397" s="127" t="n">
        <v>21.5262964406082</v>
      </c>
      <c r="D397" s="127" t="n">
        <v>0</v>
      </c>
      <c r="E397" s="127" t="n">
        <v>4.94241379310345</v>
      </c>
    </row>
    <row r="398" customFormat="false" ht="14.25" hidden="false" customHeight="false" outlineLevel="0" collapsed="false">
      <c r="B398" s="126" t="n">
        <v>38557635</v>
      </c>
      <c r="C398" s="127" t="n">
        <v>22.5948404338456</v>
      </c>
      <c r="D398" s="127" t="n">
        <v>0</v>
      </c>
      <c r="E398" s="127" t="n">
        <v>17.948275862069</v>
      </c>
    </row>
    <row r="399" customFormat="false" ht="14.25" hidden="false" customHeight="false" outlineLevel="0" collapsed="false">
      <c r="B399" s="126" t="n">
        <v>38559970</v>
      </c>
      <c r="C399" s="127" t="n">
        <v>28.3059226336579</v>
      </c>
      <c r="D399" s="127" t="n">
        <v>0</v>
      </c>
      <c r="E399" s="127" t="n">
        <v>0</v>
      </c>
    </row>
    <row r="400" customFormat="false" ht="14.25" hidden="false" customHeight="false" outlineLevel="0" collapsed="false">
      <c r="B400" s="126" t="n">
        <v>38602986</v>
      </c>
      <c r="C400" s="127" t="n">
        <v>8.33804792965015</v>
      </c>
      <c r="D400" s="127" t="n">
        <v>0</v>
      </c>
      <c r="E400" s="127" t="n">
        <v>0</v>
      </c>
    </row>
    <row r="401" customFormat="false" ht="14.25" hidden="false" customHeight="false" outlineLevel="0" collapsed="false">
      <c r="B401" s="126" t="n">
        <v>38613128</v>
      </c>
      <c r="C401" s="127" t="n">
        <v>12.4839575312099</v>
      </c>
      <c r="D401" s="127" t="n">
        <v>0</v>
      </c>
      <c r="E401" s="127" t="n">
        <v>0</v>
      </c>
    </row>
    <row r="402" customFormat="false" ht="14.25" hidden="false" customHeight="false" outlineLevel="0" collapsed="false">
      <c r="B402" s="126" t="n">
        <v>38614212</v>
      </c>
      <c r="C402" s="127" t="n">
        <v>7.03337053645135</v>
      </c>
      <c r="D402" s="127" t="n">
        <v>0</v>
      </c>
      <c r="E402" s="127" t="n">
        <v>0</v>
      </c>
    </row>
    <row r="403" customFormat="false" ht="14.25" hidden="false" customHeight="false" outlineLevel="0" collapsed="false">
      <c r="B403" s="126" t="n">
        <v>38668565</v>
      </c>
      <c r="C403" s="127" t="n">
        <v>11.4192292423846</v>
      </c>
      <c r="D403" s="127" t="n">
        <v>0</v>
      </c>
      <c r="E403" s="127" t="n">
        <v>5.8248275862069</v>
      </c>
    </row>
    <row r="404" customFormat="false" ht="14.25" hidden="false" customHeight="false" outlineLevel="0" collapsed="false">
      <c r="B404" s="126" t="n">
        <v>38682925</v>
      </c>
      <c r="C404" s="127" t="n">
        <v>7.96454917085477</v>
      </c>
      <c r="D404" s="127" t="n">
        <v>0</v>
      </c>
      <c r="E404" s="127" t="n">
        <v>3.91689655172414</v>
      </c>
    </row>
    <row r="405" customFormat="false" ht="14.25" hidden="false" customHeight="false" outlineLevel="0" collapsed="false">
      <c r="B405" s="126" t="n">
        <v>38940022</v>
      </c>
      <c r="C405" s="127" t="n">
        <v>2.80601032148043</v>
      </c>
      <c r="D405" s="127" t="n">
        <v>0</v>
      </c>
      <c r="E405" s="127" t="n">
        <v>9.62413793103448</v>
      </c>
    </row>
    <row r="406" customFormat="false" ht="14.25" hidden="false" customHeight="false" outlineLevel="0" collapsed="false">
      <c r="B406" s="126" t="n">
        <v>41924675</v>
      </c>
      <c r="C406" s="127" t="n">
        <v>8.29607518111755</v>
      </c>
      <c r="D406" s="127" t="n">
        <v>0</v>
      </c>
      <c r="E406" s="127" t="n">
        <v>2.02551724137931</v>
      </c>
    </row>
    <row r="407" customFormat="false" ht="14.25" hidden="false" customHeight="false" outlineLevel="0" collapsed="false">
      <c r="B407" s="126" t="n">
        <v>52066817</v>
      </c>
      <c r="C407" s="127" t="n">
        <v>26.5916440476112</v>
      </c>
      <c r="D407" s="127" t="n">
        <v>0</v>
      </c>
      <c r="E407" s="127" t="n">
        <v>28.3934482758621</v>
      </c>
    </row>
    <row r="408" customFormat="false" ht="14.25" hidden="false" customHeight="false" outlineLevel="0" collapsed="false">
      <c r="B408" s="126" t="n">
        <v>52290327</v>
      </c>
      <c r="C408" s="127" t="n">
        <v>11.7442979067192</v>
      </c>
      <c r="D408" s="127" t="n">
        <v>0</v>
      </c>
      <c r="E408" s="127" t="n">
        <v>6.3948275862069</v>
      </c>
    </row>
    <row r="409" customFormat="false" ht="14.25" hidden="false" customHeight="false" outlineLevel="0" collapsed="false">
      <c r="B409" s="126" t="n">
        <v>52428386</v>
      </c>
      <c r="C409" s="127" t="n">
        <v>0</v>
      </c>
      <c r="D409" s="127" t="n">
        <v>0</v>
      </c>
      <c r="E409" s="127" t="n">
        <v>0</v>
      </c>
    </row>
    <row r="410" customFormat="false" ht="14.25" hidden="false" customHeight="false" outlineLevel="0" collapsed="false">
      <c r="B410" s="126" t="n">
        <v>53006632</v>
      </c>
      <c r="C410" s="127" t="n">
        <v>19.6597565727343</v>
      </c>
      <c r="D410" s="127" t="n">
        <v>0</v>
      </c>
      <c r="E410" s="127" t="n">
        <v>0</v>
      </c>
    </row>
    <row r="411" customFormat="false" ht="14.25" hidden="false" customHeight="false" outlineLevel="0" collapsed="false">
      <c r="B411" s="126" t="n">
        <v>60337190</v>
      </c>
      <c r="C411" s="127" t="n">
        <v>6.81807675289425</v>
      </c>
      <c r="D411" s="127" t="n">
        <v>0</v>
      </c>
      <c r="E411" s="127" t="n">
        <v>2.55689655172414</v>
      </c>
    </row>
    <row r="412" customFormat="false" ht="14.25" hidden="false" customHeight="false" outlineLevel="0" collapsed="false">
      <c r="B412" s="126" t="n">
        <v>63515842</v>
      </c>
      <c r="C412" s="127" t="n">
        <v>0</v>
      </c>
      <c r="D412" s="127" t="n">
        <v>0</v>
      </c>
      <c r="E412" s="127" t="n">
        <v>0</v>
      </c>
    </row>
    <row r="413" customFormat="false" ht="14.25" hidden="false" customHeight="false" outlineLevel="0" collapsed="false">
      <c r="B413" s="126" t="n">
        <v>66704767</v>
      </c>
      <c r="C413" s="127" t="n">
        <v>4.82026197745946</v>
      </c>
      <c r="D413" s="127" t="n">
        <v>0</v>
      </c>
      <c r="E413" s="127" t="n">
        <v>0</v>
      </c>
    </row>
    <row r="414" customFormat="false" ht="14.25" hidden="false" customHeight="false" outlineLevel="0" collapsed="false">
      <c r="B414" s="126" t="n">
        <v>66717390</v>
      </c>
      <c r="C414" s="127" t="n">
        <v>12.6916199059429</v>
      </c>
      <c r="D414" s="127" t="n">
        <v>0</v>
      </c>
      <c r="E414" s="127" t="n">
        <v>7.60896551724138</v>
      </c>
    </row>
    <row r="415" customFormat="false" ht="14.25" hidden="false" customHeight="false" outlineLevel="0" collapsed="false">
      <c r="B415" s="126" t="n">
        <v>66820844</v>
      </c>
      <c r="C415" s="127" t="n">
        <v>27.5728671129573</v>
      </c>
      <c r="D415" s="127" t="n">
        <v>0</v>
      </c>
      <c r="E415" s="127" t="n">
        <v>20.9413793103448</v>
      </c>
    </row>
    <row r="416" customFormat="false" ht="14.25" hidden="false" customHeight="false" outlineLevel="0" collapsed="false">
      <c r="B416" s="126" t="n">
        <v>66833280</v>
      </c>
      <c r="C416" s="127" t="n">
        <v>12.9212959599762</v>
      </c>
      <c r="D416" s="127" t="n">
        <v>0</v>
      </c>
      <c r="E416" s="127" t="n">
        <v>8.55275862068966</v>
      </c>
    </row>
    <row r="417" customFormat="false" ht="14.25" hidden="false" customHeight="false" outlineLevel="0" collapsed="false">
      <c r="B417" s="126" t="n">
        <v>66847766</v>
      </c>
      <c r="C417" s="127" t="n">
        <v>1.60347640023511</v>
      </c>
      <c r="D417" s="127" t="n">
        <v>0</v>
      </c>
      <c r="E417" s="127" t="n">
        <v>0</v>
      </c>
    </row>
    <row r="418" customFormat="false" ht="14.25" hidden="false" customHeight="false" outlineLevel="0" collapsed="false">
      <c r="B418" s="126" t="n">
        <v>66858279</v>
      </c>
      <c r="C418" s="127" t="n">
        <v>6.21372787716954</v>
      </c>
      <c r="D418" s="127" t="n">
        <v>0</v>
      </c>
      <c r="E418" s="127" t="n">
        <v>0</v>
      </c>
    </row>
    <row r="419" customFormat="false" ht="14.25" hidden="false" customHeight="false" outlineLevel="0" collapsed="false">
      <c r="B419" s="126" t="n">
        <v>66900071</v>
      </c>
      <c r="C419" s="127" t="n">
        <v>28.3998476653392</v>
      </c>
      <c r="D419" s="127" t="n">
        <v>0</v>
      </c>
      <c r="E419" s="127" t="n">
        <v>14.8825123152709</v>
      </c>
    </row>
    <row r="420" customFormat="false" ht="14.25" hidden="false" customHeight="false" outlineLevel="0" collapsed="false">
      <c r="B420" s="126" t="n">
        <v>66915635</v>
      </c>
      <c r="C420" s="127" t="n">
        <v>6.0536045670208</v>
      </c>
      <c r="D420" s="127" t="n">
        <v>0</v>
      </c>
      <c r="E420" s="127" t="n">
        <v>0</v>
      </c>
    </row>
    <row r="421" customFormat="false" ht="14.25" hidden="false" customHeight="false" outlineLevel="0" collapsed="false">
      <c r="B421" s="126" t="n">
        <v>66951614</v>
      </c>
      <c r="C421" s="127" t="n">
        <v>9.43506294811596</v>
      </c>
      <c r="D421" s="127" t="n">
        <v>0</v>
      </c>
      <c r="E421" s="127" t="n">
        <v>12.3858620689655</v>
      </c>
    </row>
    <row r="422" customFormat="false" ht="14.25" hidden="false" customHeight="false" outlineLevel="0" collapsed="false">
      <c r="B422" s="126" t="n">
        <v>66973464</v>
      </c>
      <c r="C422" s="127" t="n">
        <v>9.76453434831071</v>
      </c>
      <c r="D422" s="127" t="n">
        <v>0</v>
      </c>
      <c r="E422" s="127" t="n">
        <v>0</v>
      </c>
    </row>
    <row r="423" customFormat="false" ht="14.25" hidden="false" customHeight="false" outlineLevel="0" collapsed="false">
      <c r="B423" s="126" t="n">
        <v>66974150</v>
      </c>
      <c r="C423" s="127" t="n">
        <v>4.58236748315403</v>
      </c>
      <c r="D423" s="127" t="n">
        <v>0</v>
      </c>
      <c r="E423" s="127" t="n">
        <v>0</v>
      </c>
    </row>
    <row r="424" customFormat="false" ht="14.25" hidden="false" customHeight="false" outlineLevel="0" collapsed="false">
      <c r="B424" s="126" t="n">
        <v>66981493</v>
      </c>
      <c r="C424" s="127" t="n">
        <v>23.6889202950714</v>
      </c>
      <c r="D424" s="127" t="n">
        <v>0</v>
      </c>
      <c r="E424" s="127" t="n">
        <v>0</v>
      </c>
    </row>
    <row r="425" customFormat="false" ht="14.25" hidden="false" customHeight="false" outlineLevel="0" collapsed="false">
      <c r="B425" s="126" t="n">
        <v>66985975</v>
      </c>
      <c r="C425" s="127" t="n">
        <v>0</v>
      </c>
      <c r="D425" s="127" t="n">
        <v>0</v>
      </c>
      <c r="E425" s="127" t="n">
        <v>0</v>
      </c>
    </row>
    <row r="426" customFormat="false" ht="14.25" hidden="false" customHeight="false" outlineLevel="0" collapsed="false">
      <c r="B426" s="126" t="n">
        <v>67004357</v>
      </c>
      <c r="C426" s="127" t="n">
        <v>11.8421015390392</v>
      </c>
      <c r="D426" s="127" t="n">
        <v>0</v>
      </c>
      <c r="E426" s="127" t="n">
        <v>0</v>
      </c>
    </row>
    <row r="427" customFormat="false" ht="14.25" hidden="false" customHeight="false" outlineLevel="0" collapsed="false">
      <c r="B427" s="126" t="n">
        <v>67012661</v>
      </c>
      <c r="C427" s="127" t="n">
        <v>19.0887951106151</v>
      </c>
      <c r="D427" s="127" t="n">
        <v>0</v>
      </c>
      <c r="E427" s="127" t="n">
        <v>0</v>
      </c>
    </row>
    <row r="428" customFormat="false" ht="14.25" hidden="false" customHeight="false" outlineLevel="0" collapsed="false">
      <c r="B428" s="126" t="n">
        <v>67022484</v>
      </c>
      <c r="C428" s="127" t="n">
        <v>12.5837528773713</v>
      </c>
      <c r="D428" s="127" t="n">
        <v>0</v>
      </c>
      <c r="E428" s="127" t="n">
        <v>0</v>
      </c>
    </row>
    <row r="429" customFormat="false" ht="14.25" hidden="false" customHeight="false" outlineLevel="0" collapsed="false">
      <c r="B429" s="126" t="n">
        <v>67024289</v>
      </c>
      <c r="C429" s="127" t="n">
        <v>5.39555279650775</v>
      </c>
      <c r="D429" s="127" t="n">
        <v>0</v>
      </c>
      <c r="E429" s="127" t="n">
        <v>12.2134482758621</v>
      </c>
    </row>
    <row r="430" customFormat="false" ht="14.25" hidden="false" customHeight="false" outlineLevel="0" collapsed="false">
      <c r="B430" s="126" t="n">
        <v>67026757</v>
      </c>
      <c r="C430" s="127" t="n">
        <v>8.16531392607366</v>
      </c>
      <c r="D430" s="127" t="n">
        <v>0</v>
      </c>
      <c r="E430" s="127" t="n">
        <v>0</v>
      </c>
    </row>
    <row r="431" customFormat="false" ht="14.25" hidden="false" customHeight="false" outlineLevel="0" collapsed="false">
      <c r="B431" s="126" t="n">
        <v>67028162</v>
      </c>
      <c r="C431" s="127" t="n">
        <v>12.2628772948081</v>
      </c>
      <c r="D431" s="127" t="n">
        <v>0</v>
      </c>
      <c r="E431" s="127" t="n">
        <v>0</v>
      </c>
    </row>
    <row r="432" customFormat="false" ht="14.25" hidden="false" customHeight="false" outlineLevel="0" collapsed="false">
      <c r="B432" s="126" t="n">
        <v>67030192</v>
      </c>
      <c r="C432" s="127" t="n">
        <v>27.5787374274374</v>
      </c>
      <c r="D432" s="127" t="n">
        <v>0</v>
      </c>
      <c r="E432" s="127" t="n">
        <v>15.1941379310345</v>
      </c>
    </row>
    <row r="433" customFormat="false" ht="14.25" hidden="false" customHeight="false" outlineLevel="0" collapsed="false">
      <c r="B433" s="126" t="n">
        <v>67031598</v>
      </c>
      <c r="C433" s="127" t="n">
        <v>8.39601728514099</v>
      </c>
      <c r="D433" s="127" t="n">
        <v>0</v>
      </c>
      <c r="E433" s="127" t="n">
        <v>0</v>
      </c>
    </row>
    <row r="434" customFormat="false" ht="14.25" hidden="false" customHeight="false" outlineLevel="0" collapsed="false">
      <c r="B434" s="126" t="n">
        <v>67031766</v>
      </c>
      <c r="C434" s="127" t="n">
        <v>24.1285334706987</v>
      </c>
      <c r="D434" s="127" t="n">
        <v>0</v>
      </c>
      <c r="E434" s="127" t="n">
        <v>0</v>
      </c>
    </row>
    <row r="435" customFormat="false" ht="14.25" hidden="false" customHeight="false" outlineLevel="0" collapsed="false">
      <c r="B435" s="126" t="n">
        <v>67032841</v>
      </c>
      <c r="C435" s="127" t="n">
        <v>17.3252058829357</v>
      </c>
      <c r="D435" s="127" t="n">
        <v>0</v>
      </c>
      <c r="E435" s="127" t="n">
        <v>15.0806896551724</v>
      </c>
    </row>
    <row r="436" customFormat="false" ht="14.25" hidden="false" customHeight="false" outlineLevel="0" collapsed="false">
      <c r="B436" s="126" t="n">
        <v>67036050</v>
      </c>
      <c r="C436" s="127" t="n">
        <v>13.5683513735435</v>
      </c>
      <c r="D436" s="127" t="n">
        <v>0</v>
      </c>
      <c r="E436" s="127" t="n">
        <v>21.7810344827586</v>
      </c>
    </row>
    <row r="437" customFormat="false" ht="14.25" hidden="false" customHeight="false" outlineLevel="0" collapsed="false">
      <c r="B437" s="126" t="n">
        <v>67043161</v>
      </c>
      <c r="C437" s="127" t="n">
        <v>8.50828704957261</v>
      </c>
      <c r="D437" s="127" t="n">
        <v>0</v>
      </c>
      <c r="E437" s="127" t="n">
        <v>0</v>
      </c>
    </row>
    <row r="438" customFormat="false" ht="14.25" hidden="false" customHeight="false" outlineLevel="0" collapsed="false">
      <c r="B438" s="126" t="n">
        <v>70094763</v>
      </c>
      <c r="C438" s="127" t="n">
        <v>2.83611358049111</v>
      </c>
      <c r="D438" s="127" t="n">
        <v>0</v>
      </c>
      <c r="E438" s="127" t="n">
        <v>0</v>
      </c>
    </row>
    <row r="439" customFormat="false" ht="14.25" hidden="false" customHeight="false" outlineLevel="0" collapsed="false">
      <c r="B439" s="126" t="n">
        <v>77167995</v>
      </c>
      <c r="C439" s="127" t="n">
        <v>0.789033162349941</v>
      </c>
      <c r="D439" s="127" t="n">
        <v>0</v>
      </c>
      <c r="E439" s="127" t="n">
        <v>0</v>
      </c>
    </row>
    <row r="440" customFormat="false" ht="14.25" hidden="false" customHeight="false" outlineLevel="0" collapsed="false">
      <c r="B440" s="126" t="n">
        <v>94041607</v>
      </c>
      <c r="C440" s="127" t="n">
        <v>8.39413039834382</v>
      </c>
      <c r="D440" s="127" t="n">
        <v>0</v>
      </c>
      <c r="E440" s="127" t="n">
        <v>0.472167487684729</v>
      </c>
    </row>
    <row r="441" customFormat="false" ht="14.25" hidden="false" customHeight="false" outlineLevel="0" collapsed="false">
      <c r="B441" s="126" t="n">
        <v>94060298</v>
      </c>
      <c r="C441" s="127" t="n">
        <v>13.5278462036309</v>
      </c>
      <c r="D441" s="127" t="n">
        <v>0</v>
      </c>
      <c r="E441" s="127" t="n">
        <v>0</v>
      </c>
    </row>
    <row r="442" customFormat="false" ht="14.25" hidden="false" customHeight="false" outlineLevel="0" collapsed="false">
      <c r="B442" s="126" t="n">
        <v>94270032</v>
      </c>
      <c r="C442" s="127" t="n">
        <v>15.0023224431662</v>
      </c>
      <c r="D442" s="127" t="n">
        <v>0</v>
      </c>
      <c r="E442" s="127" t="n">
        <v>1.89620689655172</v>
      </c>
    </row>
    <row r="443" customFormat="false" ht="14.25" hidden="false" customHeight="false" outlineLevel="0" collapsed="false">
      <c r="B443" s="126" t="n">
        <v>94305733</v>
      </c>
      <c r="C443" s="127" t="n">
        <v>9.91099869458882</v>
      </c>
      <c r="D443" s="127" t="n">
        <v>0</v>
      </c>
      <c r="E443" s="127" t="n">
        <v>5.35586206896552</v>
      </c>
    </row>
    <row r="444" customFormat="false" ht="14.25" hidden="false" customHeight="false" outlineLevel="0" collapsed="false">
      <c r="B444" s="126" t="n">
        <v>94405422</v>
      </c>
      <c r="C444" s="127" t="n">
        <v>2.09702309014822</v>
      </c>
      <c r="D444" s="127" t="n">
        <v>0</v>
      </c>
      <c r="E444" s="127" t="n">
        <v>0.370344827586207</v>
      </c>
    </row>
    <row r="445" customFormat="false" ht="14.25" hidden="false" customHeight="false" outlineLevel="0" collapsed="false">
      <c r="B445" s="126" t="n">
        <v>94409720</v>
      </c>
      <c r="C445" s="127" t="n">
        <v>20.7699064198493</v>
      </c>
      <c r="D445" s="127" t="n">
        <v>0</v>
      </c>
      <c r="E445" s="127" t="n">
        <v>0</v>
      </c>
    </row>
    <row r="446" customFormat="false" ht="14.25" hidden="false" customHeight="false" outlineLevel="0" collapsed="false">
      <c r="B446" s="126" t="n">
        <v>94410694</v>
      </c>
      <c r="C446" s="127" t="n">
        <v>0</v>
      </c>
      <c r="D446" s="127" t="n">
        <v>0</v>
      </c>
      <c r="E446" s="127" t="n">
        <v>0</v>
      </c>
    </row>
    <row r="447" customFormat="false" ht="14.25" hidden="false" customHeight="false" outlineLevel="0" collapsed="false">
      <c r="B447" s="126" t="n">
        <v>94432517</v>
      </c>
      <c r="C447" s="127" t="n">
        <v>22.89862920819</v>
      </c>
      <c r="D447" s="127" t="n">
        <v>0</v>
      </c>
      <c r="E447" s="127" t="n">
        <v>0</v>
      </c>
    </row>
    <row r="448" customFormat="false" ht="14.25" hidden="false" customHeight="false" outlineLevel="0" collapsed="false">
      <c r="B448" s="126" t="n">
        <v>94493424</v>
      </c>
      <c r="C448" s="127" t="n">
        <v>5.01062788988506</v>
      </c>
      <c r="D448" s="127" t="n">
        <v>0</v>
      </c>
      <c r="E448" s="127" t="n">
        <v>1.78165024630542</v>
      </c>
    </row>
    <row r="449" customFormat="false" ht="14.25" hidden="false" customHeight="false" outlineLevel="0" collapsed="false">
      <c r="B449" s="126" t="n">
        <v>94494552</v>
      </c>
      <c r="C449" s="127" t="n">
        <v>9.08724681517095</v>
      </c>
      <c r="D449" s="127" t="n">
        <v>0</v>
      </c>
      <c r="E449" s="127" t="n">
        <v>0</v>
      </c>
    </row>
    <row r="450" customFormat="false" ht="14.25" hidden="false" customHeight="false" outlineLevel="0" collapsed="false">
      <c r="B450" s="126" t="n">
        <v>94516656</v>
      </c>
      <c r="C450" s="127" t="n">
        <v>10.962592154765</v>
      </c>
      <c r="D450" s="127" t="n">
        <v>0</v>
      </c>
      <c r="E450" s="127" t="n">
        <v>4.76051724137931</v>
      </c>
    </row>
    <row r="451" customFormat="false" ht="14.25" hidden="false" customHeight="false" outlineLevel="0" collapsed="false">
      <c r="B451" s="126" t="n">
        <v>94521503</v>
      </c>
      <c r="C451" s="127" t="n">
        <v>10.684706143064</v>
      </c>
      <c r="D451" s="127" t="n">
        <v>0</v>
      </c>
      <c r="E451" s="127" t="n">
        <v>0</v>
      </c>
    </row>
    <row r="452" customFormat="false" ht="14.25" hidden="false" customHeight="false" outlineLevel="0" collapsed="false">
      <c r="B452" s="126" t="n">
        <v>94537451</v>
      </c>
      <c r="C452" s="127" t="n">
        <v>3.46149382940845</v>
      </c>
      <c r="D452" s="127" t="n">
        <v>0</v>
      </c>
      <c r="E452" s="127" t="n">
        <v>0.190147783251232</v>
      </c>
    </row>
    <row r="453" customFormat="false" ht="14.25" hidden="false" customHeight="false" outlineLevel="0" collapsed="false">
      <c r="B453" s="126" t="n">
        <v>94537620</v>
      </c>
      <c r="C453" s="127" t="n">
        <v>0</v>
      </c>
      <c r="D453" s="127" t="n">
        <v>0</v>
      </c>
      <c r="E453" s="127" t="n">
        <v>0</v>
      </c>
    </row>
    <row r="454" customFormat="false" ht="14.25" hidden="false" customHeight="false" outlineLevel="0" collapsed="false">
      <c r="B454" s="126" t="n">
        <v>94552142</v>
      </c>
      <c r="C454" s="127" t="n">
        <v>1.76864189121406</v>
      </c>
      <c r="D454" s="127" t="n">
        <v>0</v>
      </c>
      <c r="E454" s="127" t="n">
        <v>0</v>
      </c>
    </row>
    <row r="455" customFormat="false" ht="14.25" hidden="false" customHeight="false" outlineLevel="0" collapsed="false">
      <c r="B455" s="126" t="n">
        <v>94556574</v>
      </c>
      <c r="C455" s="127" t="n">
        <v>33.6875334332754</v>
      </c>
      <c r="D455" s="127" t="n">
        <v>0</v>
      </c>
      <c r="E455" s="127" t="n">
        <v>2.87528735632184</v>
      </c>
    </row>
    <row r="456" customFormat="false" ht="14.25" hidden="false" customHeight="false" outlineLevel="0" collapsed="false">
      <c r="B456" s="126" t="n">
        <v>94556776</v>
      </c>
      <c r="C456" s="127" t="n">
        <v>25.9462029705259</v>
      </c>
      <c r="D456" s="127" t="n">
        <v>0</v>
      </c>
      <c r="E456" s="127" t="n">
        <v>0</v>
      </c>
    </row>
    <row r="457" customFormat="false" ht="14.25" hidden="false" customHeight="false" outlineLevel="0" collapsed="false">
      <c r="B457" s="126" t="n">
        <v>1005829577</v>
      </c>
      <c r="C457" s="127" t="n">
        <v>1.85135042915668</v>
      </c>
      <c r="D457" s="127" t="n">
        <v>0</v>
      </c>
      <c r="E457" s="127" t="n">
        <v>0</v>
      </c>
    </row>
    <row r="458" customFormat="false" ht="14.25" hidden="false" customHeight="false" outlineLevel="0" collapsed="false">
      <c r="B458" s="126" t="n">
        <v>1005868750</v>
      </c>
      <c r="C458" s="127" t="n">
        <v>20.6602782969337</v>
      </c>
      <c r="D458" s="127" t="n">
        <v>0</v>
      </c>
      <c r="E458" s="127" t="n">
        <v>0</v>
      </c>
    </row>
    <row r="459" customFormat="false" ht="14.25" hidden="false" customHeight="false" outlineLevel="0" collapsed="false">
      <c r="B459" s="126" t="n">
        <v>1010029461</v>
      </c>
      <c r="C459" s="127" t="n">
        <v>19.3925838849594</v>
      </c>
      <c r="D459" s="127" t="n">
        <v>0</v>
      </c>
      <c r="E459" s="127" t="n">
        <v>2.47172413793103</v>
      </c>
    </row>
    <row r="460" customFormat="false" ht="14.25" hidden="false" customHeight="false" outlineLevel="0" collapsed="false">
      <c r="B460" s="126" t="n">
        <v>1014278095</v>
      </c>
      <c r="C460" s="127" t="n">
        <v>0.86954033236253</v>
      </c>
      <c r="D460" s="127" t="n">
        <v>0</v>
      </c>
      <c r="E460" s="127" t="n">
        <v>0</v>
      </c>
    </row>
    <row r="461" customFormat="false" ht="14.25" hidden="false" customHeight="false" outlineLevel="0" collapsed="false">
      <c r="B461" s="126" t="n">
        <v>1018504659</v>
      </c>
      <c r="C461" s="127" t="n">
        <v>7.28338303707638</v>
      </c>
      <c r="D461" s="127" t="n">
        <v>0</v>
      </c>
      <c r="E461" s="127" t="n">
        <v>0</v>
      </c>
    </row>
    <row r="462" customFormat="false" ht="14.25" hidden="false" customHeight="false" outlineLevel="0" collapsed="false">
      <c r="B462" s="126" t="n">
        <v>1020713374</v>
      </c>
      <c r="C462" s="127" t="n">
        <v>2.51682395440527</v>
      </c>
      <c r="D462" s="127" t="n">
        <v>0</v>
      </c>
      <c r="E462" s="127" t="n">
        <v>0</v>
      </c>
    </row>
    <row r="463" customFormat="false" ht="14.25" hidden="false" customHeight="false" outlineLevel="0" collapsed="false">
      <c r="B463" s="126" t="n">
        <v>1037629856</v>
      </c>
      <c r="C463" s="127" t="n">
        <v>11.0958378107585</v>
      </c>
      <c r="D463" s="127" t="n">
        <v>0</v>
      </c>
      <c r="E463" s="127" t="n">
        <v>0</v>
      </c>
    </row>
    <row r="464" customFormat="false" ht="14.25" hidden="false" customHeight="false" outlineLevel="0" collapsed="false">
      <c r="B464" s="126" t="n">
        <v>1062303624</v>
      </c>
      <c r="C464" s="127" t="n">
        <v>1.3604453807596</v>
      </c>
      <c r="D464" s="127" t="n">
        <v>0</v>
      </c>
      <c r="E464" s="127" t="n">
        <v>0</v>
      </c>
    </row>
    <row r="465" customFormat="false" ht="14.25" hidden="false" customHeight="false" outlineLevel="0" collapsed="false">
      <c r="B465" s="126" t="n">
        <v>1062324690</v>
      </c>
      <c r="C465" s="127" t="n">
        <v>25.4324036956565</v>
      </c>
      <c r="D465" s="127" t="n">
        <v>0</v>
      </c>
      <c r="E465" s="127" t="n">
        <v>0</v>
      </c>
    </row>
    <row r="466" customFormat="false" ht="14.25" hidden="false" customHeight="false" outlineLevel="0" collapsed="false">
      <c r="B466" s="126" t="n">
        <v>1064311474</v>
      </c>
      <c r="C466" s="127" t="n">
        <v>20.7172937263215</v>
      </c>
      <c r="D466" s="127" t="n">
        <v>0</v>
      </c>
      <c r="E466" s="127" t="n">
        <v>0</v>
      </c>
    </row>
    <row r="467" customFormat="false" ht="14.25" hidden="false" customHeight="false" outlineLevel="0" collapsed="false">
      <c r="B467" s="126" t="n">
        <v>1067460167</v>
      </c>
      <c r="C467" s="127" t="n">
        <v>9.97513188028374</v>
      </c>
      <c r="D467" s="127" t="n">
        <v>0</v>
      </c>
      <c r="E467" s="127" t="n">
        <v>0</v>
      </c>
    </row>
    <row r="468" customFormat="false" ht="14.25" hidden="false" customHeight="false" outlineLevel="0" collapsed="false">
      <c r="B468" s="126" t="n">
        <v>1077174643</v>
      </c>
      <c r="C468" s="127" t="n">
        <v>16.3134571822931</v>
      </c>
      <c r="D468" s="127" t="n">
        <v>0</v>
      </c>
      <c r="E468" s="127" t="n">
        <v>0</v>
      </c>
    </row>
    <row r="469" customFormat="false" ht="14.25" hidden="false" customHeight="false" outlineLevel="0" collapsed="false">
      <c r="B469" s="126" t="n">
        <v>1085247620</v>
      </c>
      <c r="C469" s="127" t="n">
        <v>0.801297926531547</v>
      </c>
      <c r="D469" s="127" t="n">
        <v>0</v>
      </c>
      <c r="E469" s="127" t="n">
        <v>0</v>
      </c>
    </row>
    <row r="470" customFormat="false" ht="14.25" hidden="false" customHeight="false" outlineLevel="0" collapsed="false">
      <c r="B470" s="126" t="n">
        <v>1085258344</v>
      </c>
      <c r="C470" s="127" t="n">
        <v>19.6593162991483</v>
      </c>
      <c r="D470" s="127" t="n">
        <v>0</v>
      </c>
      <c r="E470" s="127" t="n">
        <v>0</v>
      </c>
    </row>
    <row r="471" customFormat="false" ht="14.25" hidden="false" customHeight="false" outlineLevel="0" collapsed="false">
      <c r="B471" s="126" t="n">
        <v>1085661751</v>
      </c>
      <c r="C471" s="127" t="n">
        <v>3.92210386200652</v>
      </c>
      <c r="D471" s="127" t="n">
        <v>0</v>
      </c>
      <c r="E471" s="127" t="n">
        <v>0</v>
      </c>
    </row>
    <row r="472" customFormat="false" ht="14.25" hidden="false" customHeight="false" outlineLevel="0" collapsed="false">
      <c r="B472" s="126" t="n">
        <v>1088017625</v>
      </c>
      <c r="C472" s="127" t="n">
        <v>35.8045155926559</v>
      </c>
      <c r="D472" s="127" t="n">
        <v>0</v>
      </c>
      <c r="E472" s="127" t="n">
        <v>0</v>
      </c>
    </row>
    <row r="473" customFormat="false" ht="14.25" hidden="false" customHeight="false" outlineLevel="0" collapsed="false">
      <c r="B473" s="126" t="n">
        <v>1094242780</v>
      </c>
      <c r="C473" s="127" t="n">
        <v>19.3471623266698</v>
      </c>
      <c r="D473" s="127" t="n">
        <v>0</v>
      </c>
      <c r="E473" s="127" t="n">
        <v>0</v>
      </c>
    </row>
    <row r="474" customFormat="false" ht="14.25" hidden="false" customHeight="false" outlineLevel="0" collapsed="false">
      <c r="B474" s="126" t="n">
        <v>1107057969</v>
      </c>
      <c r="C474" s="127" t="n">
        <v>6.42872814500264</v>
      </c>
      <c r="D474" s="127" t="n">
        <v>0</v>
      </c>
      <c r="E474" s="127" t="n">
        <v>0</v>
      </c>
    </row>
    <row r="475" customFormat="false" ht="14.25" hidden="false" customHeight="false" outlineLevel="0" collapsed="false">
      <c r="B475" s="126" t="n">
        <v>1107078913</v>
      </c>
      <c r="C475" s="127" t="n">
        <v>0</v>
      </c>
      <c r="D475" s="127" t="n">
        <v>0</v>
      </c>
      <c r="E475" s="127" t="n">
        <v>0</v>
      </c>
    </row>
    <row r="476" customFormat="false" ht="14.25" hidden="false" customHeight="false" outlineLevel="0" collapsed="false">
      <c r="B476" s="126" t="n">
        <v>1107083838</v>
      </c>
      <c r="C476" s="127" t="n">
        <v>1.85501937570673</v>
      </c>
      <c r="D476" s="127" t="n">
        <v>0</v>
      </c>
      <c r="E476" s="127" t="n">
        <v>0</v>
      </c>
    </row>
    <row r="477" customFormat="false" ht="14.25" hidden="false" customHeight="false" outlineLevel="0" collapsed="false">
      <c r="B477" s="126" t="n">
        <v>1107089150</v>
      </c>
      <c r="C477" s="127" t="n">
        <v>2.37160704995418</v>
      </c>
      <c r="D477" s="127" t="n">
        <v>0</v>
      </c>
      <c r="E477" s="127" t="n">
        <v>0</v>
      </c>
    </row>
    <row r="478" customFormat="false" ht="14.25" hidden="false" customHeight="false" outlineLevel="0" collapsed="false">
      <c r="B478" s="126" t="n">
        <v>1107090337</v>
      </c>
      <c r="C478" s="127" t="n">
        <v>3.20078897026612</v>
      </c>
      <c r="D478" s="127" t="n">
        <v>0</v>
      </c>
      <c r="E478" s="127" t="n">
        <v>0</v>
      </c>
    </row>
    <row r="479" customFormat="false" ht="14.25" hidden="false" customHeight="false" outlineLevel="0" collapsed="false">
      <c r="B479" s="126" t="n">
        <v>1107509351</v>
      </c>
      <c r="C479" s="127" t="n">
        <v>24.8306964614478</v>
      </c>
      <c r="D479" s="127" t="n">
        <v>0</v>
      </c>
      <c r="E479" s="127" t="n">
        <v>0</v>
      </c>
    </row>
    <row r="480" customFormat="false" ht="14.25" hidden="false" customHeight="false" outlineLevel="0" collapsed="false">
      <c r="B480" s="126" t="n">
        <v>1111786165</v>
      </c>
      <c r="C480" s="127" t="n">
        <v>17.6589332611285</v>
      </c>
      <c r="D480" s="127" t="n">
        <v>0</v>
      </c>
      <c r="E480" s="127" t="n">
        <v>0</v>
      </c>
    </row>
    <row r="481" customFormat="false" ht="14.25" hidden="false" customHeight="false" outlineLevel="0" collapsed="false">
      <c r="B481" s="126" t="n">
        <v>1112218922</v>
      </c>
      <c r="C481" s="127" t="n">
        <v>15.8489685490564</v>
      </c>
      <c r="D481" s="127" t="n">
        <v>0</v>
      </c>
      <c r="E481" s="127" t="n">
        <v>0</v>
      </c>
    </row>
    <row r="482" customFormat="false" ht="14.25" hidden="false" customHeight="false" outlineLevel="0" collapsed="false">
      <c r="B482" s="126" t="n">
        <v>1112462025</v>
      </c>
      <c r="C482" s="127" t="n">
        <v>50.799646900584</v>
      </c>
      <c r="D482" s="127" t="n">
        <v>0</v>
      </c>
      <c r="E482" s="127" t="n">
        <v>0</v>
      </c>
    </row>
    <row r="483" customFormat="false" ht="14.25" hidden="false" customHeight="false" outlineLevel="0" collapsed="false">
      <c r="B483" s="126" t="n">
        <v>1112467581</v>
      </c>
      <c r="C483" s="127" t="n">
        <v>13.956987157534</v>
      </c>
      <c r="D483" s="127" t="n">
        <v>0</v>
      </c>
      <c r="E483" s="127" t="n">
        <v>0</v>
      </c>
    </row>
    <row r="484" customFormat="false" ht="14.25" hidden="false" customHeight="false" outlineLevel="0" collapsed="false">
      <c r="B484" s="126" t="n">
        <v>1112469097</v>
      </c>
      <c r="C484" s="127" t="n">
        <v>12.8215006138148</v>
      </c>
      <c r="D484" s="127" t="n">
        <v>0</v>
      </c>
      <c r="E484" s="127" t="n">
        <v>0</v>
      </c>
    </row>
    <row r="485" customFormat="false" ht="14.25" hidden="false" customHeight="false" outlineLevel="0" collapsed="false">
      <c r="B485" s="126" t="n">
        <v>1112474583</v>
      </c>
      <c r="C485" s="127" t="n">
        <v>0</v>
      </c>
      <c r="D485" s="127" t="n">
        <v>0</v>
      </c>
      <c r="E485" s="127" t="n">
        <v>0</v>
      </c>
    </row>
    <row r="486" customFormat="false" ht="14.25" hidden="false" customHeight="false" outlineLevel="0" collapsed="false">
      <c r="B486" s="126" t="n">
        <v>1112475607</v>
      </c>
      <c r="C486" s="127" t="n">
        <v>6.23720913508988</v>
      </c>
      <c r="D486" s="127" t="n">
        <v>0</v>
      </c>
      <c r="E486" s="127" t="n">
        <v>0</v>
      </c>
    </row>
    <row r="487" customFormat="false" ht="14.25" hidden="false" customHeight="false" outlineLevel="0" collapsed="false">
      <c r="B487" s="126" t="n">
        <v>1112620305</v>
      </c>
      <c r="C487" s="127" t="n">
        <v>19.3465648125174</v>
      </c>
      <c r="D487" s="127" t="n">
        <v>0</v>
      </c>
      <c r="E487" s="127" t="n">
        <v>0</v>
      </c>
    </row>
    <row r="488" customFormat="false" ht="14.25" hidden="false" customHeight="false" outlineLevel="0" collapsed="false">
      <c r="B488" s="126" t="n">
        <v>1112777064</v>
      </c>
      <c r="C488" s="127" t="n">
        <v>14.0456079407744</v>
      </c>
      <c r="D488" s="127" t="n">
        <v>0</v>
      </c>
      <c r="E488" s="127" t="n">
        <v>0</v>
      </c>
    </row>
    <row r="489" customFormat="false" ht="14.25" hidden="false" customHeight="false" outlineLevel="0" collapsed="false">
      <c r="B489" s="126" t="n">
        <v>1113512751</v>
      </c>
      <c r="C489" s="127" t="n">
        <v>25.193188380593</v>
      </c>
      <c r="D489" s="127" t="n">
        <v>0</v>
      </c>
      <c r="E489" s="127" t="n">
        <v>0</v>
      </c>
    </row>
    <row r="490" customFormat="false" ht="14.25" hidden="false" customHeight="false" outlineLevel="0" collapsed="false">
      <c r="B490" s="126" t="n">
        <v>1113518404</v>
      </c>
      <c r="C490" s="127" t="n">
        <v>2.25816322262654</v>
      </c>
      <c r="D490" s="127" t="n">
        <v>0</v>
      </c>
      <c r="E490" s="127" t="n">
        <v>0</v>
      </c>
    </row>
    <row r="491" customFormat="false" ht="14.25" hidden="false" customHeight="false" outlineLevel="0" collapsed="false">
      <c r="B491" s="126" t="n">
        <v>1113536435</v>
      </c>
      <c r="C491" s="127" t="n">
        <v>2.88379198834156</v>
      </c>
      <c r="D491" s="127" t="n">
        <v>0</v>
      </c>
      <c r="E491" s="127" t="n">
        <v>0</v>
      </c>
    </row>
    <row r="492" customFormat="false" ht="14.25" hidden="false" customHeight="false" outlineLevel="0" collapsed="false">
      <c r="B492" s="126" t="n">
        <v>1113661323</v>
      </c>
      <c r="C492" s="127" t="n">
        <v>18.4738796688262</v>
      </c>
      <c r="D492" s="127" t="n">
        <v>0</v>
      </c>
      <c r="E492" s="127" t="n">
        <v>0</v>
      </c>
    </row>
    <row r="493" customFormat="false" ht="14.25" hidden="false" customHeight="false" outlineLevel="0" collapsed="false">
      <c r="B493" s="126" t="n">
        <v>1113678616</v>
      </c>
      <c r="C493" s="127" t="n">
        <v>10.2768660445601</v>
      </c>
      <c r="D493" s="127" t="n">
        <v>0</v>
      </c>
      <c r="E493" s="127" t="n">
        <v>0</v>
      </c>
    </row>
    <row r="494" customFormat="false" ht="14.25" hidden="false" customHeight="false" outlineLevel="0" collapsed="false">
      <c r="B494" s="126" t="n">
        <v>1114813550</v>
      </c>
      <c r="C494" s="127" t="n">
        <v>1.67597478406415</v>
      </c>
      <c r="D494" s="127" t="n">
        <v>0</v>
      </c>
      <c r="E494" s="127" t="n">
        <v>0</v>
      </c>
    </row>
    <row r="495" customFormat="false" ht="14.25" hidden="false" customHeight="false" outlineLevel="0" collapsed="false">
      <c r="B495" s="126" t="n">
        <v>1114819622</v>
      </c>
      <c r="C495" s="127" t="n">
        <v>12.8758010227555</v>
      </c>
      <c r="D495" s="127" t="n">
        <v>0</v>
      </c>
      <c r="E495" s="127" t="n">
        <v>0</v>
      </c>
    </row>
    <row r="496" customFormat="false" ht="14.25" hidden="false" customHeight="false" outlineLevel="0" collapsed="false">
      <c r="B496" s="126" t="n">
        <v>1118257489</v>
      </c>
      <c r="C496" s="127" t="n">
        <v>0</v>
      </c>
      <c r="D496" s="127" t="n">
        <v>0</v>
      </c>
      <c r="E496" s="127" t="n">
        <v>0</v>
      </c>
    </row>
    <row r="497" customFormat="false" ht="14.25" hidden="false" customHeight="false" outlineLevel="0" collapsed="false">
      <c r="B497" s="126" t="n">
        <v>1118283599</v>
      </c>
      <c r="C497" s="127" t="n">
        <v>18.9773639625378</v>
      </c>
      <c r="D497" s="127" t="n">
        <v>0</v>
      </c>
      <c r="E497" s="127" t="n">
        <v>0</v>
      </c>
    </row>
    <row r="498" customFormat="false" ht="14.25" hidden="false" customHeight="false" outlineLevel="0" collapsed="false">
      <c r="B498" s="126" t="n">
        <v>1118292687</v>
      </c>
      <c r="C498" s="127" t="n">
        <v>6.3355369026313</v>
      </c>
      <c r="D498" s="127" t="n">
        <v>0</v>
      </c>
      <c r="E498" s="127" t="n">
        <v>0</v>
      </c>
    </row>
    <row r="499" customFormat="false" ht="14.25" hidden="false" customHeight="false" outlineLevel="0" collapsed="false">
      <c r="B499" s="126" t="n">
        <v>1118294626</v>
      </c>
      <c r="C499" s="127" t="n">
        <v>14.4512466713482</v>
      </c>
      <c r="D499" s="127" t="n">
        <v>0</v>
      </c>
      <c r="E499" s="127" t="n">
        <v>0</v>
      </c>
    </row>
    <row r="500" customFormat="false" ht="14.25" hidden="false" customHeight="false" outlineLevel="0" collapsed="false">
      <c r="B500" s="126" t="n">
        <v>1118298626</v>
      </c>
      <c r="C500" s="127" t="n">
        <v>4.60526170962636</v>
      </c>
      <c r="D500" s="127" t="n">
        <v>0</v>
      </c>
      <c r="E500" s="127" t="n">
        <v>0</v>
      </c>
    </row>
    <row r="501" customFormat="false" ht="14.25" hidden="false" customHeight="false" outlineLevel="0" collapsed="false">
      <c r="B501" s="126" t="n">
        <v>1118300337</v>
      </c>
      <c r="C501" s="127" t="n">
        <v>27.0577470173299</v>
      </c>
      <c r="D501" s="127" t="n">
        <v>0</v>
      </c>
      <c r="E501" s="127" t="n">
        <v>0</v>
      </c>
    </row>
    <row r="502" customFormat="false" ht="14.25" hidden="false" customHeight="false" outlineLevel="0" collapsed="false">
      <c r="B502" s="126" t="n">
        <v>1124848236</v>
      </c>
      <c r="C502" s="127" t="n">
        <v>0</v>
      </c>
      <c r="D502" s="127" t="n">
        <v>0</v>
      </c>
      <c r="E502" s="127" t="n">
        <v>0</v>
      </c>
    </row>
    <row r="503" customFormat="false" ht="14.25" hidden="false" customHeight="false" outlineLevel="0" collapsed="false">
      <c r="B503" s="126" t="n">
        <v>1128416021</v>
      </c>
      <c r="C503" s="127" t="n">
        <v>0</v>
      </c>
      <c r="D503" s="127" t="n">
        <v>0</v>
      </c>
      <c r="E503" s="127" t="n">
        <v>0</v>
      </c>
    </row>
    <row r="504" customFormat="false" ht="14.25" hidden="false" customHeight="false" outlineLevel="0" collapsed="false">
      <c r="B504" s="126" t="n">
        <v>1130587840</v>
      </c>
      <c r="C504" s="127" t="n">
        <v>18.2552104544431</v>
      </c>
      <c r="D504" s="127" t="n">
        <v>0</v>
      </c>
      <c r="E504" s="127" t="n">
        <v>0</v>
      </c>
    </row>
    <row r="505" customFormat="false" ht="14.25" hidden="false" customHeight="false" outlineLevel="0" collapsed="false">
      <c r="B505" s="126" t="n">
        <v>1130596278</v>
      </c>
      <c r="C505" s="127" t="n">
        <v>7.65855902858036</v>
      </c>
      <c r="D505" s="127" t="n">
        <v>0</v>
      </c>
      <c r="E505" s="127" t="n">
        <v>0</v>
      </c>
    </row>
    <row r="506" customFormat="false" ht="14.25" hidden="false" customHeight="false" outlineLevel="0" collapsed="false">
      <c r="B506" s="126" t="n">
        <v>1130597014</v>
      </c>
      <c r="C506" s="127" t="n">
        <v>11.1979183864854</v>
      </c>
      <c r="D506" s="127" t="n">
        <v>0</v>
      </c>
      <c r="E506" s="127" t="n">
        <v>0</v>
      </c>
    </row>
    <row r="507" customFormat="false" ht="14.25" hidden="false" customHeight="false" outlineLevel="0" collapsed="false">
      <c r="B507" s="126" t="n">
        <v>1130600923</v>
      </c>
      <c r="C507" s="127" t="n">
        <v>0</v>
      </c>
      <c r="D507" s="127" t="n">
        <v>0</v>
      </c>
      <c r="E507" s="127" t="n">
        <v>0</v>
      </c>
    </row>
    <row r="508" customFormat="false" ht="14.25" hidden="false" customHeight="false" outlineLevel="0" collapsed="false">
      <c r="B508" s="126" t="n">
        <v>1130610460</v>
      </c>
      <c r="C508" s="127" t="n">
        <v>19.0028369342995</v>
      </c>
      <c r="D508" s="127" t="n">
        <v>0</v>
      </c>
      <c r="E508" s="127" t="n">
        <v>0</v>
      </c>
    </row>
    <row r="509" customFormat="false" ht="14.25" hidden="false" customHeight="false" outlineLevel="0" collapsed="false">
      <c r="B509" s="126" t="n">
        <v>1130611756</v>
      </c>
      <c r="C509" s="127" t="n">
        <v>12.2897968797811</v>
      </c>
      <c r="D509" s="127" t="n">
        <v>0</v>
      </c>
      <c r="E509" s="127" t="n">
        <v>0</v>
      </c>
    </row>
    <row r="510" customFormat="false" ht="14.25" hidden="false" customHeight="false" outlineLevel="0" collapsed="false">
      <c r="B510" s="126" t="n">
        <v>1130612863</v>
      </c>
      <c r="C510" s="127" t="n">
        <v>9.40791274364557</v>
      </c>
      <c r="D510" s="127" t="n">
        <v>0</v>
      </c>
      <c r="E510" s="127" t="n">
        <v>0</v>
      </c>
    </row>
    <row r="511" customFormat="false" ht="14.25" hidden="false" customHeight="false" outlineLevel="0" collapsed="false">
      <c r="B511" s="126" t="n">
        <v>1130614799</v>
      </c>
      <c r="C511" s="127" t="n">
        <v>8.65871385812477</v>
      </c>
      <c r="D511" s="127" t="n">
        <v>0</v>
      </c>
      <c r="E511" s="127" t="n">
        <v>0</v>
      </c>
    </row>
    <row r="512" customFormat="false" ht="14.25" hidden="false" customHeight="false" outlineLevel="0" collapsed="false">
      <c r="B512" s="126" t="n">
        <v>1130615365</v>
      </c>
      <c r="C512" s="127" t="n">
        <v>2.33502241149793</v>
      </c>
      <c r="D512" s="127" t="n">
        <v>0</v>
      </c>
      <c r="E512" s="127" t="n">
        <v>0</v>
      </c>
    </row>
    <row r="513" customFormat="false" ht="14.25" hidden="false" customHeight="false" outlineLevel="0" collapsed="false">
      <c r="B513" s="126" t="n">
        <v>1130618255</v>
      </c>
      <c r="C513" s="127" t="n">
        <v>23.9112584560046</v>
      </c>
      <c r="D513" s="127" t="n">
        <v>0</v>
      </c>
      <c r="E513" s="127" t="n">
        <v>0</v>
      </c>
    </row>
    <row r="514" customFormat="false" ht="14.25" hidden="false" customHeight="false" outlineLevel="0" collapsed="false">
      <c r="B514" s="126" t="n">
        <v>1130618494</v>
      </c>
      <c r="C514" s="127" t="n">
        <v>0</v>
      </c>
      <c r="D514" s="127" t="n">
        <v>0</v>
      </c>
      <c r="E514" s="127" t="n">
        <v>0</v>
      </c>
    </row>
    <row r="515" customFormat="false" ht="14.25" hidden="false" customHeight="false" outlineLevel="0" collapsed="false">
      <c r="B515" s="126" t="n">
        <v>1130622237</v>
      </c>
      <c r="C515" s="127" t="n">
        <v>7.12538771592668</v>
      </c>
      <c r="D515" s="127" t="n">
        <v>0</v>
      </c>
      <c r="E515" s="127" t="n">
        <v>0</v>
      </c>
    </row>
    <row r="516" customFormat="false" ht="14.25" hidden="false" customHeight="false" outlineLevel="0" collapsed="false">
      <c r="B516" s="126" t="n">
        <v>1130624827</v>
      </c>
      <c r="C516" s="127" t="n">
        <v>5.43266157018543</v>
      </c>
      <c r="D516" s="127" t="n">
        <v>0</v>
      </c>
      <c r="E516" s="127" t="n">
        <v>0</v>
      </c>
    </row>
    <row r="517" customFormat="false" ht="14.25" hidden="false" customHeight="false" outlineLevel="0" collapsed="false">
      <c r="B517" s="126" t="n">
        <v>1130626620</v>
      </c>
      <c r="C517" s="127" t="n">
        <v>14.6516445319121</v>
      </c>
      <c r="D517" s="127" t="n">
        <v>0</v>
      </c>
      <c r="E517" s="127" t="n">
        <v>0</v>
      </c>
    </row>
    <row r="518" customFormat="false" ht="14.25" hidden="false" customHeight="false" outlineLevel="0" collapsed="false">
      <c r="B518" s="126" t="n">
        <v>1130633124</v>
      </c>
      <c r="C518" s="127" t="n">
        <v>44.0951607328794</v>
      </c>
      <c r="D518" s="127" t="n">
        <v>0</v>
      </c>
      <c r="E518" s="127" t="n">
        <v>0</v>
      </c>
    </row>
    <row r="519" customFormat="false" ht="14.25" hidden="false" customHeight="false" outlineLevel="0" collapsed="false">
      <c r="B519" s="126" t="n">
        <v>1130634716</v>
      </c>
      <c r="C519" s="127" t="n">
        <v>39.6649811526216</v>
      </c>
      <c r="D519" s="127" t="n">
        <v>0</v>
      </c>
      <c r="E519" s="127" t="n">
        <v>0</v>
      </c>
    </row>
    <row r="520" customFormat="false" ht="14.25" hidden="false" customHeight="false" outlineLevel="0" collapsed="false">
      <c r="B520" s="126" t="n">
        <v>1130635783</v>
      </c>
      <c r="C520" s="127" t="n">
        <v>3.53686447425097</v>
      </c>
      <c r="D520" s="127" t="n">
        <v>0</v>
      </c>
      <c r="E520" s="127" t="n">
        <v>0</v>
      </c>
    </row>
    <row r="521" customFormat="false" ht="14.25" hidden="false" customHeight="false" outlineLevel="0" collapsed="false">
      <c r="B521" s="126" t="n">
        <v>1130653624</v>
      </c>
      <c r="C521" s="127" t="n">
        <v>0</v>
      </c>
      <c r="D521" s="127" t="n">
        <v>0</v>
      </c>
      <c r="E521" s="127" t="n">
        <v>0</v>
      </c>
    </row>
    <row r="522" customFormat="false" ht="14.25" hidden="false" customHeight="false" outlineLevel="0" collapsed="false">
      <c r="B522" s="126" t="n">
        <v>1130660788</v>
      </c>
      <c r="C522" s="127" t="n">
        <v>11.8389567277106</v>
      </c>
      <c r="D522" s="127" t="n">
        <v>0</v>
      </c>
      <c r="E522" s="127" t="n">
        <v>0</v>
      </c>
    </row>
    <row r="523" customFormat="false" ht="14.25" hidden="false" customHeight="false" outlineLevel="0" collapsed="false">
      <c r="B523" s="126" t="n">
        <v>1130668875</v>
      </c>
      <c r="C523" s="127" t="n">
        <v>9.11240530579988</v>
      </c>
      <c r="D523" s="127" t="n">
        <v>0</v>
      </c>
      <c r="E523" s="127" t="n">
        <v>0</v>
      </c>
    </row>
    <row r="524" customFormat="false" ht="14.25" hidden="false" customHeight="false" outlineLevel="0" collapsed="false">
      <c r="B524" s="126" t="n">
        <v>1130669208</v>
      </c>
      <c r="C524" s="127" t="n">
        <v>9.56054092012777</v>
      </c>
      <c r="D524" s="127" t="n">
        <v>0</v>
      </c>
      <c r="E524" s="127" t="n">
        <v>0</v>
      </c>
    </row>
    <row r="525" customFormat="false" ht="14.25" hidden="false" customHeight="false" outlineLevel="0" collapsed="false">
      <c r="B525" s="126" t="n">
        <v>1130670450</v>
      </c>
      <c r="C525" s="127" t="n">
        <v>5.00517688358212</v>
      </c>
      <c r="D525" s="127" t="n">
        <v>0</v>
      </c>
      <c r="E525" s="127" t="n">
        <v>0</v>
      </c>
    </row>
    <row r="526" customFormat="false" ht="14.25" hidden="false" customHeight="false" outlineLevel="0" collapsed="false">
      <c r="B526" s="126" t="n">
        <v>1130671679</v>
      </c>
      <c r="C526" s="127" t="n">
        <v>14.0064235916198</v>
      </c>
      <c r="D526" s="127" t="n">
        <v>0</v>
      </c>
      <c r="E526" s="127" t="n">
        <v>0</v>
      </c>
    </row>
    <row r="527" customFormat="false" ht="14.25" hidden="false" customHeight="false" outlineLevel="0" collapsed="false">
      <c r="B527" s="126" t="n">
        <v>1130672449</v>
      </c>
      <c r="C527" s="127" t="n">
        <v>31.5359164184624</v>
      </c>
      <c r="D527" s="127" t="n">
        <v>0</v>
      </c>
      <c r="E527" s="127" t="n">
        <v>0</v>
      </c>
    </row>
    <row r="528" customFormat="false" ht="14.25" hidden="false" customHeight="false" outlineLevel="0" collapsed="false">
      <c r="B528" s="126" t="n">
        <v>1130678298</v>
      </c>
      <c r="C528" s="127" t="n">
        <v>6.80956479689813</v>
      </c>
      <c r="D528" s="127" t="n">
        <v>0</v>
      </c>
      <c r="E528" s="127" t="n">
        <v>0</v>
      </c>
    </row>
    <row r="529" customFormat="false" ht="14.25" hidden="false" customHeight="false" outlineLevel="0" collapsed="false">
      <c r="B529" s="126" t="n">
        <v>1130683219</v>
      </c>
      <c r="C529" s="127" t="n">
        <v>17.3340113546558</v>
      </c>
      <c r="D529" s="127" t="n">
        <v>0</v>
      </c>
      <c r="E529" s="127" t="n">
        <v>0</v>
      </c>
    </row>
    <row r="530" customFormat="false" ht="14.25" hidden="false" customHeight="false" outlineLevel="0" collapsed="false">
      <c r="B530" s="126" t="n">
        <v>1143830119</v>
      </c>
      <c r="C530" s="127" t="n">
        <v>29.8145934550396</v>
      </c>
      <c r="D530" s="127" t="n">
        <v>0</v>
      </c>
      <c r="E530" s="127" t="n">
        <v>0</v>
      </c>
    </row>
    <row r="531" customFormat="false" ht="14.25" hidden="false" customHeight="false" outlineLevel="0" collapsed="false">
      <c r="B531" s="126" t="n">
        <v>1143835432</v>
      </c>
      <c r="C531" s="127" t="n">
        <v>5.33611586239689</v>
      </c>
      <c r="D531" s="127" t="n">
        <v>0</v>
      </c>
      <c r="E531" s="127" t="n">
        <v>0</v>
      </c>
    </row>
    <row r="532" customFormat="false" ht="14.25" hidden="false" customHeight="false" outlineLevel="0" collapsed="false">
      <c r="B532" s="126" t="n">
        <v>1143840738</v>
      </c>
      <c r="C532" s="127" t="n">
        <v>9.59209386045822</v>
      </c>
      <c r="D532" s="127" t="n">
        <v>0</v>
      </c>
      <c r="E532" s="127" t="n">
        <v>0</v>
      </c>
    </row>
    <row r="533" customFormat="false" ht="14.25" hidden="false" customHeight="false" outlineLevel="0" collapsed="false">
      <c r="B533" s="126" t="n">
        <v>1143841562</v>
      </c>
      <c r="C533" s="127" t="n">
        <v>19.3456213691188</v>
      </c>
      <c r="D533" s="127" t="n">
        <v>0</v>
      </c>
      <c r="E533" s="127" t="n">
        <v>0</v>
      </c>
    </row>
    <row r="534" customFormat="false" ht="14.25" hidden="false" customHeight="false" outlineLevel="0" collapsed="false">
      <c r="B534" s="126" t="n">
        <v>1143845014</v>
      </c>
      <c r="C534" s="127" t="n">
        <v>2.76932085597991</v>
      </c>
      <c r="D534" s="127" t="n">
        <v>0</v>
      </c>
      <c r="E534" s="127" t="n">
        <v>0</v>
      </c>
    </row>
    <row r="535" customFormat="false" ht="14.25" hidden="false" customHeight="false" outlineLevel="0" collapsed="false">
      <c r="B535" s="126" t="n">
        <v>1143852093</v>
      </c>
      <c r="C535" s="127" t="n">
        <v>33.2039662779785</v>
      </c>
      <c r="D535" s="127" t="n">
        <v>0</v>
      </c>
      <c r="E535" s="127" t="n">
        <v>0</v>
      </c>
    </row>
    <row r="536" customFormat="false" ht="14.25" hidden="false" customHeight="false" outlineLevel="0" collapsed="false">
      <c r="B536" s="126" t="n">
        <v>1143852691</v>
      </c>
      <c r="C536" s="127" t="n">
        <v>0</v>
      </c>
      <c r="D536" s="127" t="n">
        <v>0</v>
      </c>
      <c r="E536" s="127" t="n">
        <v>0</v>
      </c>
    </row>
    <row r="537" customFormat="false" ht="14.25" hidden="false" customHeight="false" outlineLevel="0" collapsed="false">
      <c r="B537" s="126" t="n">
        <v>1143858287</v>
      </c>
      <c r="C537" s="127" t="n">
        <v>0.316116434752555</v>
      </c>
      <c r="D537" s="127" t="n">
        <v>0</v>
      </c>
      <c r="E537" s="127" t="n">
        <v>0</v>
      </c>
    </row>
    <row r="538" customFormat="false" ht="14.25" hidden="false" customHeight="false" outlineLevel="0" collapsed="false">
      <c r="B538" s="126" t="n">
        <v>1143860411</v>
      </c>
      <c r="C538" s="127" t="n">
        <v>18.9904673430737</v>
      </c>
      <c r="D538" s="127" t="n">
        <v>0</v>
      </c>
      <c r="E538" s="127" t="n">
        <v>0</v>
      </c>
    </row>
    <row r="539" customFormat="false" ht="14.25" hidden="false" customHeight="false" outlineLevel="0" collapsed="false">
      <c r="B539" s="126" t="n">
        <v>1143860441</v>
      </c>
      <c r="C539" s="127" t="n">
        <v>5.68246441672188</v>
      </c>
      <c r="D539" s="127" t="n">
        <v>0</v>
      </c>
      <c r="E539" s="127" t="n">
        <v>0</v>
      </c>
    </row>
    <row r="540" customFormat="false" ht="14.25" hidden="false" customHeight="false" outlineLevel="0" collapsed="false">
      <c r="B540" s="126" t="n">
        <v>1143862768</v>
      </c>
      <c r="C540" s="127" t="n">
        <v>0</v>
      </c>
      <c r="D540" s="127" t="n">
        <v>0</v>
      </c>
      <c r="E540" s="127" t="n">
        <v>0</v>
      </c>
    </row>
    <row r="541" customFormat="false" ht="14.25" hidden="false" customHeight="false" outlineLevel="0" collapsed="false">
      <c r="B541" s="126" t="n">
        <v>1143864409</v>
      </c>
      <c r="C541" s="127" t="n">
        <v>6.36048573917165</v>
      </c>
      <c r="D541" s="127" t="n">
        <v>0</v>
      </c>
      <c r="E541" s="127" t="n">
        <v>0</v>
      </c>
    </row>
    <row r="542" customFormat="false" ht="14.25" hidden="false" customHeight="false" outlineLevel="0" collapsed="false">
      <c r="B542" s="126" t="n">
        <v>1143871269</v>
      </c>
      <c r="C542" s="127" t="n">
        <v>4.86546339895611</v>
      </c>
      <c r="D542" s="127" t="n">
        <v>0</v>
      </c>
      <c r="E542" s="127" t="n">
        <v>0</v>
      </c>
    </row>
    <row r="543" customFormat="false" ht="14.25" hidden="false" customHeight="false" outlineLevel="0" collapsed="false">
      <c r="B543" s="126" t="n">
        <v>1143924821</v>
      </c>
      <c r="C543" s="127" t="n">
        <v>11.6709189757182</v>
      </c>
      <c r="D543" s="127" t="n">
        <v>0</v>
      </c>
      <c r="E543" s="127" t="n">
        <v>0</v>
      </c>
    </row>
    <row r="544" customFormat="false" ht="14.25" hidden="false" customHeight="false" outlineLevel="0" collapsed="false">
      <c r="B544" s="126" t="n">
        <v>1143932475</v>
      </c>
      <c r="C544" s="127" t="n">
        <v>7.86878966589839</v>
      </c>
      <c r="D544" s="127" t="n">
        <v>0</v>
      </c>
      <c r="E544" s="127" t="n">
        <v>0</v>
      </c>
    </row>
    <row r="545" customFormat="false" ht="14.25" hidden="false" customHeight="false" outlineLevel="0" collapsed="false">
      <c r="B545" s="126" t="n">
        <v>1143934493</v>
      </c>
      <c r="C545" s="127" t="n">
        <v>30.0852149525715</v>
      </c>
      <c r="D545" s="127" t="n">
        <v>0</v>
      </c>
      <c r="E545" s="127" t="n">
        <v>0</v>
      </c>
    </row>
    <row r="546" customFormat="false" ht="14.25" hidden="false" customHeight="false" outlineLevel="0" collapsed="false">
      <c r="B546" s="126" t="n">
        <v>1143941877</v>
      </c>
      <c r="C546" s="127" t="n">
        <v>5.83912843440914</v>
      </c>
      <c r="D546" s="127" t="n">
        <v>0</v>
      </c>
      <c r="E546" s="127" t="n">
        <v>0</v>
      </c>
    </row>
    <row r="547" customFormat="false" ht="14.25" hidden="false" customHeight="false" outlineLevel="0" collapsed="false">
      <c r="B547" s="126" t="n">
        <v>1143944202</v>
      </c>
      <c r="C547" s="127" t="n">
        <v>1.8873061053472</v>
      </c>
      <c r="D547" s="127" t="n">
        <v>0</v>
      </c>
      <c r="E547" s="127" t="n">
        <v>0</v>
      </c>
    </row>
    <row r="548" customFormat="false" ht="14.25" hidden="false" customHeight="false" outlineLevel="0" collapsed="false">
      <c r="B548" s="126" t="n">
        <v>1143945334</v>
      </c>
      <c r="C548" s="127" t="n">
        <v>16.9452497782122</v>
      </c>
      <c r="D548" s="127" t="n">
        <v>0</v>
      </c>
      <c r="E548" s="127" t="n">
        <v>0</v>
      </c>
    </row>
    <row r="549" customFormat="false" ht="14.25" hidden="false" customHeight="false" outlineLevel="0" collapsed="false">
      <c r="B549" s="126" t="n">
        <v>1143947254</v>
      </c>
      <c r="C549" s="127" t="n">
        <v>2.89112988144166</v>
      </c>
      <c r="D549" s="127" t="n">
        <v>0</v>
      </c>
      <c r="E549" s="127" t="n">
        <v>0</v>
      </c>
    </row>
    <row r="550" customFormat="false" ht="14.25" hidden="false" customHeight="false" outlineLevel="0" collapsed="false">
      <c r="B550" s="126" t="n">
        <v>1143948839</v>
      </c>
      <c r="C550" s="127" t="n">
        <v>2.27474686103278</v>
      </c>
      <c r="D550" s="127" t="n">
        <v>0</v>
      </c>
      <c r="E550" s="127" t="n">
        <v>0</v>
      </c>
    </row>
    <row r="551" customFormat="false" ht="14.25" hidden="false" customHeight="false" outlineLevel="0" collapsed="false">
      <c r="B551" s="126" t="n">
        <v>1143955894</v>
      </c>
      <c r="C551" s="127" t="n">
        <v>0.883188813528727</v>
      </c>
      <c r="D551" s="127" t="n">
        <v>0</v>
      </c>
      <c r="E551" s="127" t="n">
        <v>0</v>
      </c>
    </row>
    <row r="552" customFormat="false" ht="14.25" hidden="false" customHeight="false" outlineLevel="0" collapsed="false">
      <c r="B552" s="126" t="n">
        <v>1143968529</v>
      </c>
      <c r="C552" s="127" t="n">
        <v>2.63870635879802</v>
      </c>
      <c r="D552" s="127" t="n">
        <v>0</v>
      </c>
      <c r="E552" s="127" t="n">
        <v>0</v>
      </c>
    </row>
    <row r="553" customFormat="false" ht="14.25" hidden="false" customHeight="false" outlineLevel="0" collapsed="false">
      <c r="B553" s="126" t="n">
        <v>1144031148</v>
      </c>
      <c r="C553" s="127" t="n">
        <v>3.41872439533926</v>
      </c>
      <c r="D553" s="127" t="n">
        <v>0</v>
      </c>
      <c r="E553" s="127" t="n">
        <v>0</v>
      </c>
    </row>
    <row r="554" customFormat="false" ht="14.25" hidden="false" customHeight="false" outlineLevel="0" collapsed="false">
      <c r="B554" s="126" t="n">
        <v>1144032127</v>
      </c>
      <c r="C554" s="127" t="n">
        <v>6.65106630593584</v>
      </c>
      <c r="D554" s="127" t="n">
        <v>0</v>
      </c>
      <c r="E554" s="127" t="n">
        <v>0</v>
      </c>
    </row>
    <row r="555" customFormat="false" ht="14.25" hidden="false" customHeight="false" outlineLevel="0" collapsed="false">
      <c r="B555" s="126" t="n">
        <v>1144032719</v>
      </c>
      <c r="C555" s="127" t="n">
        <v>4.20285165201656</v>
      </c>
      <c r="D555" s="127" t="n">
        <v>0</v>
      </c>
      <c r="E555" s="127" t="n">
        <v>0</v>
      </c>
    </row>
    <row r="556" customFormat="false" ht="14.25" hidden="false" customHeight="false" outlineLevel="0" collapsed="false">
      <c r="B556" s="126" t="n">
        <v>1144039243</v>
      </c>
      <c r="C556" s="127" t="n">
        <v>2.84416736560098</v>
      </c>
      <c r="D556" s="127" t="n">
        <v>0</v>
      </c>
      <c r="E556" s="127" t="n">
        <v>0</v>
      </c>
    </row>
    <row r="557" customFormat="false" ht="14.25" hidden="false" customHeight="false" outlineLevel="0" collapsed="false">
      <c r="B557" s="126" t="n">
        <v>1144045190</v>
      </c>
      <c r="C557" s="127" t="n">
        <v>5.78871710881142</v>
      </c>
      <c r="D557" s="127" t="n">
        <v>0</v>
      </c>
      <c r="E557" s="127" t="n">
        <v>0</v>
      </c>
    </row>
    <row r="558" customFormat="false" ht="14.25" hidden="false" customHeight="false" outlineLevel="0" collapsed="false">
      <c r="B558" s="126" t="n">
        <v>1144047843</v>
      </c>
      <c r="C558" s="127" t="n">
        <v>0.71896676594836</v>
      </c>
      <c r="D558" s="127" t="n">
        <v>0</v>
      </c>
      <c r="E558" s="127" t="n">
        <v>0</v>
      </c>
    </row>
    <row r="559" customFormat="false" ht="14.25" hidden="false" customHeight="false" outlineLevel="0" collapsed="false">
      <c r="B559" s="126" t="n">
        <v>1144051362</v>
      </c>
      <c r="C559" s="127" t="n">
        <v>0.911366323033133</v>
      </c>
      <c r="D559" s="127" t="n">
        <v>0</v>
      </c>
      <c r="E559" s="127" t="n">
        <v>0</v>
      </c>
    </row>
    <row r="560" customFormat="false" ht="14.25" hidden="false" customHeight="false" outlineLevel="0" collapsed="false">
      <c r="B560" s="126" t="n">
        <v>1144055963</v>
      </c>
      <c r="C560" s="127" t="n">
        <v>1.52026469247991</v>
      </c>
      <c r="D560" s="127" t="n">
        <v>0</v>
      </c>
      <c r="E560" s="127" t="n">
        <v>0</v>
      </c>
    </row>
    <row r="561" customFormat="false" ht="14.25" hidden="false" customHeight="false" outlineLevel="0" collapsed="false">
      <c r="B561" s="126" t="n">
        <v>1144057923</v>
      </c>
      <c r="C561" s="127" t="n">
        <v>2.96010607658266</v>
      </c>
      <c r="D561" s="127" t="n">
        <v>0</v>
      </c>
      <c r="E561" s="127" t="n">
        <v>0</v>
      </c>
    </row>
    <row r="562" customFormat="false" ht="14.25" hidden="false" customHeight="false" outlineLevel="0" collapsed="false">
      <c r="B562" s="126" t="n">
        <v>1144061341</v>
      </c>
      <c r="C562" s="127" t="n">
        <v>1.90355429721172</v>
      </c>
      <c r="D562" s="127" t="n">
        <v>0</v>
      </c>
      <c r="E562" s="127" t="n">
        <v>0</v>
      </c>
    </row>
    <row r="563" customFormat="false" ht="14.25" hidden="false" customHeight="false" outlineLevel="0" collapsed="false">
      <c r="B563" s="126" t="n">
        <v>1144062299</v>
      </c>
      <c r="C563" s="127" t="n">
        <v>1.2631449182522</v>
      </c>
      <c r="D563" s="127" t="n">
        <v>0</v>
      </c>
      <c r="E563" s="127" t="n">
        <v>0</v>
      </c>
    </row>
    <row r="564" customFormat="false" ht="14.25" hidden="false" customHeight="false" outlineLevel="0" collapsed="false">
      <c r="B564" s="126" t="n">
        <v>1144069656</v>
      </c>
      <c r="C564" s="127" t="n">
        <v>0</v>
      </c>
      <c r="D564" s="127" t="n">
        <v>0</v>
      </c>
      <c r="E564" s="127" t="n">
        <v>0</v>
      </c>
    </row>
    <row r="565" customFormat="false" ht="14.25" hidden="false" customHeight="false" outlineLevel="0" collapsed="false">
      <c r="B565" s="126" t="n">
        <v>1144072721</v>
      </c>
      <c r="C565" s="127" t="n">
        <v>2.56826258503701</v>
      </c>
      <c r="D565" s="127" t="n">
        <v>0</v>
      </c>
      <c r="E565" s="127" t="n">
        <v>0</v>
      </c>
    </row>
    <row r="566" customFormat="false" ht="14.25" hidden="false" customHeight="false" outlineLevel="0" collapsed="false">
      <c r="B566" s="126" t="n">
        <v>1144073818</v>
      </c>
      <c r="C566" s="127" t="n">
        <v>0.558518491962334</v>
      </c>
      <c r="D566" s="127" t="n">
        <v>0</v>
      </c>
      <c r="E566" s="127" t="n">
        <v>0</v>
      </c>
    </row>
    <row r="567" customFormat="false" ht="14.25" hidden="false" customHeight="false" outlineLevel="0" collapsed="false">
      <c r="B567" s="126" t="n">
        <v>1144078618</v>
      </c>
      <c r="C567" s="127" t="n">
        <v>3.58676214733169</v>
      </c>
      <c r="D567" s="127" t="n">
        <v>0</v>
      </c>
      <c r="E567" s="127" t="n">
        <v>0</v>
      </c>
    </row>
    <row r="568" customFormat="false" ht="14.25" hidden="false" customHeight="false" outlineLevel="0" collapsed="false">
      <c r="B568" s="126" t="n">
        <v>1144079903</v>
      </c>
      <c r="C568" s="127" t="n">
        <v>1.6172716392633</v>
      </c>
      <c r="D568" s="127" t="n">
        <v>0</v>
      </c>
      <c r="E568" s="127" t="n">
        <v>0</v>
      </c>
    </row>
    <row r="569" customFormat="false" ht="14.25" hidden="false" customHeight="false" outlineLevel="0" collapsed="false">
      <c r="B569" s="126" t="n">
        <v>1144082255</v>
      </c>
      <c r="C569" s="127" t="n">
        <v>0.660410379009517</v>
      </c>
      <c r="D569" s="127" t="n">
        <v>0</v>
      </c>
      <c r="E569" s="127" t="n">
        <v>0</v>
      </c>
    </row>
    <row r="570" customFormat="false" ht="14.25" hidden="false" customHeight="false" outlineLevel="0" collapsed="false">
      <c r="B570" s="126" t="n">
        <v>1144084460</v>
      </c>
      <c r="C570" s="127" t="n">
        <v>2.69070057276449</v>
      </c>
      <c r="D570" s="127" t="n">
        <v>0</v>
      </c>
      <c r="E570" s="127" t="n">
        <v>0</v>
      </c>
    </row>
    <row r="571" customFormat="false" ht="14.25" hidden="false" customHeight="false" outlineLevel="0" collapsed="false">
      <c r="B571" s="126" t="n">
        <v>1144085630</v>
      </c>
      <c r="C571" s="127" t="n">
        <v>3.22984702694254</v>
      </c>
      <c r="D571" s="127" t="n">
        <v>0</v>
      </c>
      <c r="E571" s="127" t="n">
        <v>0</v>
      </c>
    </row>
    <row r="572" customFormat="false" ht="14.25" hidden="false" customHeight="false" outlineLevel="0" collapsed="false">
      <c r="B572" s="126" t="n">
        <v>1144125463</v>
      </c>
      <c r="C572" s="127" t="n">
        <v>0</v>
      </c>
      <c r="D572" s="127" t="n">
        <v>0</v>
      </c>
      <c r="E572" s="127" t="n">
        <v>0</v>
      </c>
    </row>
    <row r="573" customFormat="false" ht="14.25" hidden="false" customHeight="false" outlineLevel="0" collapsed="false">
      <c r="B573" s="126" t="n">
        <v>1144126183</v>
      </c>
      <c r="C573" s="127" t="n">
        <v>0.053713377492774</v>
      </c>
      <c r="D573" s="127" t="n">
        <v>0</v>
      </c>
      <c r="E573" s="127" t="n">
        <v>0</v>
      </c>
    </row>
    <row r="574" customFormat="false" ht="14.25" hidden="false" customHeight="false" outlineLevel="0" collapsed="false">
      <c r="B574" s="126" t="n">
        <v>1144126672</v>
      </c>
      <c r="C574" s="127" t="n">
        <v>0</v>
      </c>
      <c r="D574" s="127" t="n">
        <v>0</v>
      </c>
      <c r="E574" s="127" t="n">
        <v>0</v>
      </c>
    </row>
    <row r="575" customFormat="false" ht="14.25" hidden="false" customHeight="false" outlineLevel="0" collapsed="false">
      <c r="B575" s="126" t="n">
        <v>1144127504</v>
      </c>
      <c r="C575" s="127" t="n">
        <v>3.40478239844906</v>
      </c>
      <c r="D575" s="127" t="n">
        <v>0</v>
      </c>
      <c r="E575" s="127" t="n">
        <v>0</v>
      </c>
    </row>
    <row r="576" customFormat="false" ht="14.25" hidden="false" customHeight="false" outlineLevel="0" collapsed="false">
      <c r="B576" s="126" t="n">
        <v>1144128196</v>
      </c>
      <c r="C576" s="127" t="n">
        <v>6.27609996852044</v>
      </c>
      <c r="D576" s="127" t="n">
        <v>0</v>
      </c>
      <c r="E576" s="127" t="n">
        <v>0</v>
      </c>
    </row>
    <row r="577" customFormat="false" ht="14.25" hidden="false" customHeight="false" outlineLevel="0" collapsed="false">
      <c r="B577" s="126" t="n">
        <v>1144131039</v>
      </c>
      <c r="C577" s="127" t="n">
        <v>0</v>
      </c>
      <c r="D577" s="127" t="n">
        <v>0</v>
      </c>
      <c r="E577" s="127" t="n">
        <v>0</v>
      </c>
    </row>
    <row r="578" customFormat="false" ht="14.25" hidden="false" customHeight="false" outlineLevel="0" collapsed="false">
      <c r="B578" s="126" t="n">
        <v>1144137672</v>
      </c>
      <c r="C578" s="127" t="n">
        <v>2.20973312816584</v>
      </c>
      <c r="D578" s="127" t="n">
        <v>0</v>
      </c>
      <c r="E578" s="127" t="n">
        <v>0</v>
      </c>
    </row>
    <row r="579" customFormat="false" ht="14.25" hidden="false" customHeight="false" outlineLevel="0" collapsed="false">
      <c r="B579" s="126" t="n">
        <v>1144139162</v>
      </c>
      <c r="C579" s="127" t="n">
        <v>0.449739468105481</v>
      </c>
      <c r="D579" s="127" t="n">
        <v>0</v>
      </c>
      <c r="E579" s="127" t="n">
        <v>0</v>
      </c>
    </row>
    <row r="580" customFormat="false" ht="14.25" hidden="false" customHeight="false" outlineLevel="0" collapsed="false">
      <c r="B580" s="126" t="n">
        <v>1144140452</v>
      </c>
      <c r="C580" s="127" t="n">
        <v>2.32757969135354</v>
      </c>
      <c r="D580" s="127" t="n">
        <v>0</v>
      </c>
      <c r="E580" s="127" t="n">
        <v>0</v>
      </c>
    </row>
    <row r="581" customFormat="false" ht="14.25" hidden="false" customHeight="false" outlineLevel="0" collapsed="false">
      <c r="B581" s="126" t="n">
        <v>1144145614</v>
      </c>
      <c r="C581" s="127" t="n">
        <v>0.14088754752203</v>
      </c>
      <c r="D581" s="127" t="n">
        <v>0</v>
      </c>
      <c r="E581" s="127" t="n">
        <v>0</v>
      </c>
    </row>
    <row r="582" customFormat="false" ht="14.25" hidden="false" customHeight="false" outlineLevel="0" collapsed="false">
      <c r="B582" s="126" t="n">
        <v>1144154240</v>
      </c>
      <c r="C582" s="127" t="n">
        <v>1.68580756081829</v>
      </c>
      <c r="D582" s="127" t="n">
        <v>0</v>
      </c>
      <c r="E582" s="127" t="n">
        <v>0</v>
      </c>
    </row>
    <row r="583" customFormat="false" ht="14.25" hidden="false" customHeight="false" outlineLevel="0" collapsed="false">
      <c r="B583" s="126" t="n">
        <v>1144156323</v>
      </c>
      <c r="C583" s="127" t="n">
        <v>2.03846670320937</v>
      </c>
      <c r="D583" s="127" t="n">
        <v>0</v>
      </c>
      <c r="E583" s="127" t="n">
        <v>0</v>
      </c>
    </row>
    <row r="584" customFormat="false" ht="14.25" hidden="false" customHeight="false" outlineLevel="0" collapsed="false">
      <c r="B584" s="126" t="n">
        <v>1144157064</v>
      </c>
      <c r="C584" s="127" t="n">
        <v>0.865294837068897</v>
      </c>
      <c r="D584" s="127" t="n">
        <v>0</v>
      </c>
      <c r="E584" s="127" t="n">
        <v>0</v>
      </c>
    </row>
    <row r="585" customFormat="false" ht="14.25" hidden="false" customHeight="false" outlineLevel="0" collapsed="false">
      <c r="B585" s="126" t="n">
        <v>1144163413</v>
      </c>
      <c r="C585" s="127" t="n">
        <v>2.9769832307129</v>
      </c>
      <c r="D585" s="127" t="n">
        <v>0</v>
      </c>
      <c r="E585" s="127" t="n">
        <v>0</v>
      </c>
    </row>
    <row r="586" customFormat="false" ht="14.25" hidden="false" customHeight="false" outlineLevel="0" collapsed="false">
      <c r="B586" s="126" t="n">
        <v>1144165086</v>
      </c>
      <c r="C586" s="127" t="n">
        <v>2.9351572400423</v>
      </c>
      <c r="D586" s="127" t="n">
        <v>0</v>
      </c>
      <c r="E586" s="127" t="n">
        <v>0</v>
      </c>
    </row>
    <row r="587" customFormat="false" ht="14.25" hidden="false" customHeight="false" outlineLevel="0" collapsed="false">
      <c r="B587" s="126" t="n">
        <v>1144167610</v>
      </c>
      <c r="C587" s="127" t="n">
        <v>3.30557408373563</v>
      </c>
      <c r="D587" s="127" t="n">
        <v>0</v>
      </c>
      <c r="E587" s="127" t="n">
        <v>0</v>
      </c>
    </row>
    <row r="588" customFormat="false" ht="14.25" hidden="false" customHeight="false" outlineLevel="0" collapsed="false">
      <c r="B588" s="126" t="n">
        <v>1144168615</v>
      </c>
      <c r="C588" s="127" t="n">
        <v>0.860001071332393</v>
      </c>
      <c r="D588" s="127" t="n">
        <v>0</v>
      </c>
      <c r="E588" s="127" t="n">
        <v>0</v>
      </c>
    </row>
    <row r="589" customFormat="false" ht="14.25" hidden="false" customHeight="false" outlineLevel="0" collapsed="false">
      <c r="B589" s="126" t="n">
        <v>1144172822</v>
      </c>
      <c r="C589" s="127" t="n">
        <v>0</v>
      </c>
      <c r="D589" s="127" t="n">
        <v>0</v>
      </c>
      <c r="E589" s="127" t="n">
        <v>0</v>
      </c>
    </row>
    <row r="590" customFormat="false" ht="14.25" hidden="false" customHeight="false" outlineLevel="0" collapsed="false">
      <c r="B590" s="126" t="n">
        <v>1144173420</v>
      </c>
      <c r="C590" s="127" t="n">
        <v>3.37469703673863</v>
      </c>
      <c r="D590" s="127" t="n">
        <v>0</v>
      </c>
      <c r="E590" s="127" t="n">
        <v>0</v>
      </c>
    </row>
    <row r="591" customFormat="false" ht="14.25" hidden="false" customHeight="false" outlineLevel="0" collapsed="false">
      <c r="B591" s="126" t="n">
        <v>1144175777</v>
      </c>
      <c r="C591" s="127" t="n">
        <v>2.84049841905093</v>
      </c>
      <c r="D591" s="127" t="n">
        <v>0</v>
      </c>
      <c r="E591" s="127" t="n">
        <v>0</v>
      </c>
    </row>
    <row r="592" customFormat="false" ht="14.25" hidden="false" customHeight="false" outlineLevel="0" collapsed="false">
      <c r="B592" s="126" t="n">
        <v>1144177005</v>
      </c>
      <c r="C592" s="127" t="n">
        <v>0</v>
      </c>
      <c r="D592" s="127" t="n">
        <v>0</v>
      </c>
      <c r="E592" s="127" t="n">
        <v>0</v>
      </c>
    </row>
    <row r="593" customFormat="false" ht="14.25" hidden="false" customHeight="false" outlineLevel="0" collapsed="false">
      <c r="B593" s="126" t="n">
        <v>1144177519</v>
      </c>
      <c r="C593" s="127" t="n">
        <v>0</v>
      </c>
      <c r="D593" s="127" t="n">
        <v>0</v>
      </c>
      <c r="E593" s="127" t="n">
        <v>0</v>
      </c>
    </row>
    <row r="594" customFormat="false" ht="14.25" hidden="false" customHeight="false" outlineLevel="0" collapsed="false">
      <c r="B594" s="126" t="n">
        <v>1144177610</v>
      </c>
      <c r="C594" s="127" t="n">
        <v>0.772680143441134</v>
      </c>
      <c r="D594" s="127" t="n">
        <v>0</v>
      </c>
      <c r="E594" s="127" t="n">
        <v>0</v>
      </c>
    </row>
    <row r="595" customFormat="false" ht="14.25" hidden="false" customHeight="false" outlineLevel="0" collapsed="false">
      <c r="B595" s="126" t="n">
        <v>1144181904</v>
      </c>
      <c r="C595" s="127" t="n">
        <v>7.92052181225414</v>
      </c>
      <c r="D595" s="127" t="n">
        <v>0</v>
      </c>
      <c r="E595" s="127" t="n">
        <v>0</v>
      </c>
    </row>
    <row r="596" customFormat="false" ht="14.25" hidden="false" customHeight="false" outlineLevel="0" collapsed="false">
      <c r="B596" s="126" t="n">
        <v>1144189816</v>
      </c>
      <c r="C596" s="127" t="n">
        <v>0</v>
      </c>
      <c r="D596" s="127" t="n">
        <v>0</v>
      </c>
      <c r="E596" s="127" t="n">
        <v>0</v>
      </c>
    </row>
    <row r="597" customFormat="false" ht="14.25" hidden="false" customHeight="false" outlineLevel="0" collapsed="false">
      <c r="B597" s="126" t="n">
        <v>1144193830</v>
      </c>
      <c r="C597" s="127" t="n">
        <v>0.33240655743479</v>
      </c>
      <c r="D597" s="127" t="n">
        <v>0</v>
      </c>
      <c r="E597" s="127" t="n">
        <v>0</v>
      </c>
    </row>
    <row r="598" customFormat="false" ht="14.25" hidden="false" customHeight="false" outlineLevel="0" collapsed="false">
      <c r="B598" s="126" t="n">
        <v>1144211595</v>
      </c>
      <c r="C598" s="127" t="n">
        <v>1.35604264489954</v>
      </c>
      <c r="D598" s="127" t="n">
        <v>0</v>
      </c>
      <c r="E598" s="127" t="n">
        <v>0</v>
      </c>
    </row>
    <row r="599" customFormat="false" ht="14.25" hidden="false" customHeight="false" outlineLevel="0" collapsed="false">
      <c r="B599" s="126" t="n">
        <v>1151941420</v>
      </c>
      <c r="C599" s="127" t="n">
        <v>4.13270139397955</v>
      </c>
      <c r="D599" s="127" t="n">
        <v>0</v>
      </c>
      <c r="E599" s="127" t="n">
        <v>0</v>
      </c>
    </row>
    <row r="600" customFormat="false" ht="14.25" hidden="false" customHeight="false" outlineLevel="0" collapsed="false">
      <c r="B600" s="126" t="n">
        <v>1151947279</v>
      </c>
      <c r="C600" s="127" t="n">
        <v>0.243618050923511</v>
      </c>
      <c r="D600" s="127" t="n">
        <v>0</v>
      </c>
      <c r="E600" s="127" t="n">
        <v>0</v>
      </c>
    </row>
    <row r="601" customFormat="false" ht="14.25" hidden="false" customHeight="false" outlineLevel="0" collapsed="false">
      <c r="B601" s="126" t="n">
        <v>1151952243</v>
      </c>
      <c r="C601" s="127" t="n">
        <v>0</v>
      </c>
      <c r="D601" s="127" t="n">
        <v>0</v>
      </c>
      <c r="E601" s="127" t="n">
        <v>0</v>
      </c>
    </row>
    <row r="602" customFormat="false" ht="14.25" hidden="false" customHeight="false" outlineLevel="0" collapsed="false">
      <c r="B602" s="126" t="n">
        <v>1151952941</v>
      </c>
      <c r="C602" s="127" t="n">
        <v>0</v>
      </c>
      <c r="D602" s="127" t="n">
        <v>0</v>
      </c>
      <c r="E602" s="127" t="n">
        <v>0</v>
      </c>
    </row>
    <row r="603" customFormat="false" ht="14.25" hidden="false" customHeight="false" outlineLevel="0" collapsed="false">
      <c r="B603" s="126" t="n">
        <v>1151953296</v>
      </c>
      <c r="C603" s="127" t="n">
        <v>0.371590906589355</v>
      </c>
      <c r="D603" s="127" t="n">
        <v>0</v>
      </c>
      <c r="E603" s="127" t="n">
        <v>0</v>
      </c>
    </row>
    <row r="604" customFormat="false" ht="14.25" hidden="false" customHeight="false" outlineLevel="0" collapsed="false">
      <c r="B604" s="126" t="n">
        <v>1151958029</v>
      </c>
      <c r="C604" s="127" t="n">
        <v>1.44703251934085</v>
      </c>
      <c r="D604" s="127" t="n">
        <v>0</v>
      </c>
      <c r="E604" s="127" t="n">
        <v>0</v>
      </c>
    </row>
    <row r="605" customFormat="false" ht="14.25" hidden="false" customHeight="false" outlineLevel="0" collapsed="false">
      <c r="B605" s="126" t="n">
        <v>1151958978</v>
      </c>
      <c r="C605" s="127" t="n">
        <v>2.20870582313183</v>
      </c>
      <c r="D605" s="127" t="n">
        <v>0</v>
      </c>
      <c r="E605" s="127" t="n">
        <v>0</v>
      </c>
    </row>
    <row r="606" customFormat="false" ht="14.25" hidden="false" customHeight="false" outlineLevel="0" collapsed="false">
      <c r="B606" s="126" t="n">
        <v>1151966168</v>
      </c>
      <c r="C606" s="127" t="n">
        <v>1.55343196929239</v>
      </c>
      <c r="D606" s="127" t="n">
        <v>0</v>
      </c>
      <c r="E606" s="127" t="n">
        <v>0</v>
      </c>
    </row>
    <row r="607" customFormat="false" ht="14.25" hidden="false" customHeight="false" outlineLevel="0" collapsed="false">
      <c r="B607" s="126" t="n">
        <v>1192794650</v>
      </c>
      <c r="C607" s="127" t="n">
        <v>2.86838241283133</v>
      </c>
      <c r="D607" s="127" t="n">
        <v>0</v>
      </c>
      <c r="E607" s="127" t="n">
        <v>0</v>
      </c>
    </row>
    <row r="608" customFormat="false" ht="14.25" hidden="false" customHeight="false" outlineLevel="0" collapsed="false">
      <c r="B608" s="126" t="n">
        <v>31928973</v>
      </c>
      <c r="C608" s="127" t="n">
        <v>4.86355554675008</v>
      </c>
      <c r="D608" s="127" t="n">
        <v>0</v>
      </c>
      <c r="E608" s="127" t="n">
        <v>0</v>
      </c>
    </row>
    <row r="609" customFormat="false" ht="14.25" hidden="false" customHeight="false" outlineLevel="0" collapsed="false">
      <c r="B609" s="126" t="n">
        <v>94074052</v>
      </c>
      <c r="C609" s="127" t="n">
        <v>4.47684858037451</v>
      </c>
      <c r="D609" s="127" t="n">
        <v>0</v>
      </c>
      <c r="E609" s="127" t="n">
        <v>0</v>
      </c>
    </row>
    <row r="610" customFormat="false" ht="14.25" hidden="false" customHeight="false" outlineLevel="0" collapsed="false">
      <c r="B610" s="126" t="n">
        <v>4840449</v>
      </c>
      <c r="C610" s="127" t="n">
        <v>3.23424976280261</v>
      </c>
      <c r="D610" s="127" t="n">
        <v>0</v>
      </c>
      <c r="E610" s="127" t="n">
        <v>1.96655172413793</v>
      </c>
    </row>
    <row r="611" customFormat="false" ht="14.25" hidden="false" customHeight="false" outlineLevel="0" collapsed="false">
      <c r="B611" s="126" t="n">
        <v>6391199</v>
      </c>
      <c r="C611" s="127" t="n">
        <v>9.39059531592932</v>
      </c>
      <c r="D611" s="127" t="n">
        <v>0</v>
      </c>
      <c r="E611" s="127" t="n">
        <v>14.6851724137931</v>
      </c>
    </row>
    <row r="612" customFormat="false" ht="14.25" hidden="false" customHeight="false" outlineLevel="0" collapsed="false">
      <c r="B612" s="126" t="n">
        <v>14605192</v>
      </c>
      <c r="C612" s="127" t="n">
        <v>15.2437391261597</v>
      </c>
      <c r="D612" s="127" t="n">
        <v>0</v>
      </c>
      <c r="E612" s="127" t="n">
        <v>0</v>
      </c>
    </row>
    <row r="613" customFormat="false" ht="14.25" hidden="false" customHeight="false" outlineLevel="0" collapsed="false">
      <c r="B613" s="126" t="n">
        <v>6429865</v>
      </c>
      <c r="C613" s="127" t="n">
        <v>0</v>
      </c>
      <c r="D613" s="127" t="n">
        <v>0.2144</v>
      </c>
      <c r="E613" s="127" t="n">
        <v>0</v>
      </c>
    </row>
    <row r="614" customFormat="false" ht="14.25" hidden="false" customHeight="false" outlineLevel="0" collapsed="false">
      <c r="B614" s="126" t="n">
        <v>10294212</v>
      </c>
      <c r="C614" s="127" t="n">
        <v>0</v>
      </c>
      <c r="D614" s="127" t="n">
        <v>2.318</v>
      </c>
      <c r="E614" s="127" t="n">
        <v>1.48669950738916</v>
      </c>
    </row>
    <row r="615" customFormat="false" ht="14.25" hidden="false" customHeight="false" outlineLevel="0" collapsed="false">
      <c r="B615" s="126" t="n">
        <v>13069223</v>
      </c>
      <c r="C615" s="127" t="n">
        <v>0</v>
      </c>
      <c r="D615" s="127" t="n">
        <v>4.04762962962963</v>
      </c>
      <c r="E615" s="127" t="n">
        <v>4.12528735632184</v>
      </c>
    </row>
    <row r="616" customFormat="false" ht="14.25" hidden="false" customHeight="false" outlineLevel="0" collapsed="false">
      <c r="B616" s="126" t="n">
        <v>14465776</v>
      </c>
      <c r="C616" s="127" t="n">
        <v>0</v>
      </c>
      <c r="D616" s="127" t="n">
        <v>10.4965714285714</v>
      </c>
      <c r="E616" s="127" t="n">
        <v>9.17906403940887</v>
      </c>
    </row>
    <row r="617" customFormat="false" ht="14.25" hidden="false" customHeight="false" outlineLevel="0" collapsed="false">
      <c r="B617" s="126" t="n">
        <v>14839121</v>
      </c>
      <c r="C617" s="127" t="n">
        <v>0</v>
      </c>
      <c r="D617" s="127" t="n">
        <v>16.5506666666667</v>
      </c>
      <c r="E617" s="127" t="n">
        <v>18.8729885057471</v>
      </c>
    </row>
    <row r="618" customFormat="false" ht="14.25" hidden="false" customHeight="false" outlineLevel="0" collapsed="false">
      <c r="B618" s="126" t="n">
        <v>16288702</v>
      </c>
      <c r="C618" s="127" t="n">
        <v>0</v>
      </c>
      <c r="D618" s="127" t="n">
        <v>6.6858</v>
      </c>
      <c r="E618" s="127" t="n">
        <v>6.09827586206897</v>
      </c>
    </row>
    <row r="619" customFormat="false" ht="14.25" hidden="false" customHeight="false" outlineLevel="0" collapsed="false">
      <c r="B619" s="126" t="n">
        <v>16463108</v>
      </c>
      <c r="C619" s="127" t="n">
        <v>0</v>
      </c>
      <c r="D619" s="127" t="n">
        <v>33.7913333333333</v>
      </c>
      <c r="E619" s="127" t="n">
        <v>0</v>
      </c>
    </row>
    <row r="620" customFormat="false" ht="14.25" hidden="false" customHeight="false" outlineLevel="0" collapsed="false">
      <c r="B620" s="126" t="n">
        <v>16648314</v>
      </c>
      <c r="C620" s="127" t="n">
        <v>0</v>
      </c>
      <c r="D620" s="127" t="n">
        <v>29.9634285714286</v>
      </c>
      <c r="E620" s="127" t="n">
        <v>32.820197044335</v>
      </c>
    </row>
    <row r="621" customFormat="false" ht="14.25" hidden="false" customHeight="false" outlineLevel="0" collapsed="false">
      <c r="B621" s="126" t="n">
        <v>16849715</v>
      </c>
      <c r="C621" s="127" t="n">
        <v>0</v>
      </c>
      <c r="D621" s="127" t="n">
        <v>18.7784</v>
      </c>
      <c r="E621" s="127" t="n">
        <v>9.4251724137931</v>
      </c>
    </row>
    <row r="622" customFormat="false" ht="14.25" hidden="false" customHeight="false" outlineLevel="0" collapsed="false">
      <c r="B622" s="126" t="n">
        <v>16889110</v>
      </c>
      <c r="C622" s="127" t="n">
        <v>0</v>
      </c>
      <c r="D622" s="127" t="n">
        <v>5.36266666666667</v>
      </c>
      <c r="E622" s="127" t="n">
        <v>5.83563218390805</v>
      </c>
    </row>
    <row r="623" customFormat="false" ht="14.25" hidden="false" customHeight="false" outlineLevel="0" collapsed="false">
      <c r="B623" s="126" t="n">
        <v>16918596</v>
      </c>
      <c r="C623" s="127" t="n">
        <v>0</v>
      </c>
      <c r="D623" s="127" t="n">
        <v>18.1624</v>
      </c>
      <c r="E623" s="127" t="n">
        <v>0</v>
      </c>
    </row>
    <row r="624" customFormat="false" ht="14.25" hidden="false" customHeight="false" outlineLevel="0" collapsed="false">
      <c r="B624" s="126" t="n">
        <v>22665545</v>
      </c>
      <c r="C624" s="127" t="n">
        <v>0</v>
      </c>
      <c r="D624" s="127" t="n">
        <v>19.2114</v>
      </c>
      <c r="E624" s="127" t="n">
        <v>3.61931034482759</v>
      </c>
    </row>
    <row r="625" customFormat="false" ht="14.25" hidden="false" customHeight="false" outlineLevel="0" collapsed="false">
      <c r="B625" s="126" t="n">
        <v>24341885</v>
      </c>
      <c r="C625" s="127" t="n">
        <v>0</v>
      </c>
      <c r="D625" s="127" t="n">
        <v>0.566</v>
      </c>
      <c r="E625" s="127" t="n">
        <v>0.332931034482759</v>
      </c>
    </row>
    <row r="626" customFormat="false" ht="14.25" hidden="false" customHeight="false" outlineLevel="0" collapsed="false">
      <c r="B626" s="126" t="n">
        <v>28822317</v>
      </c>
      <c r="C626" s="127" t="n">
        <v>0</v>
      </c>
      <c r="D626" s="127" t="n">
        <v>27.9164</v>
      </c>
      <c r="E626" s="127" t="n">
        <v>0</v>
      </c>
    </row>
    <row r="627" customFormat="false" ht="14.25" hidden="false" customHeight="false" outlineLevel="0" collapsed="false">
      <c r="B627" s="126" t="n">
        <v>29105840</v>
      </c>
      <c r="C627" s="127" t="n">
        <v>0</v>
      </c>
      <c r="D627" s="127" t="n">
        <v>7.65466666666667</v>
      </c>
      <c r="E627" s="127" t="n">
        <v>5.66689655172414</v>
      </c>
    </row>
    <row r="628" customFormat="false" ht="14.25" hidden="false" customHeight="false" outlineLevel="0" collapsed="false">
      <c r="B628" s="126" t="n">
        <v>29106695</v>
      </c>
      <c r="C628" s="127" t="n">
        <v>0</v>
      </c>
      <c r="D628" s="127" t="n">
        <v>26.3986666666667</v>
      </c>
      <c r="E628" s="127" t="n">
        <v>14.2562068965517</v>
      </c>
    </row>
    <row r="629" customFormat="false" ht="14.25" hidden="false" customHeight="false" outlineLevel="0" collapsed="false">
      <c r="B629" s="126" t="n">
        <v>29126389</v>
      </c>
      <c r="C629" s="127" t="n">
        <v>0</v>
      </c>
      <c r="D629" s="127" t="n">
        <v>2.012</v>
      </c>
      <c r="E629" s="127" t="n">
        <v>0.683448275862069</v>
      </c>
    </row>
    <row r="630" customFormat="false" ht="14.25" hidden="false" customHeight="false" outlineLevel="0" collapsed="false">
      <c r="B630" s="126" t="n">
        <v>29177722</v>
      </c>
      <c r="C630" s="127" t="n">
        <v>0</v>
      </c>
      <c r="D630" s="127" t="n">
        <v>4.72866666666667</v>
      </c>
      <c r="E630" s="127" t="n">
        <v>0</v>
      </c>
    </row>
    <row r="631" customFormat="false" ht="14.25" hidden="false" customHeight="false" outlineLevel="0" collapsed="false">
      <c r="B631" s="126" t="n">
        <v>29179422</v>
      </c>
      <c r="C631" s="127" t="n">
        <v>0</v>
      </c>
      <c r="D631" s="127" t="n">
        <v>5.5844</v>
      </c>
      <c r="E631" s="127" t="n">
        <v>3.64155172413793</v>
      </c>
    </row>
    <row r="632" customFormat="false" ht="14.25" hidden="false" customHeight="false" outlineLevel="0" collapsed="false">
      <c r="B632" s="126" t="n">
        <v>29182544</v>
      </c>
      <c r="C632" s="127" t="n">
        <v>0</v>
      </c>
      <c r="D632" s="127" t="n">
        <v>40.032</v>
      </c>
      <c r="E632" s="127" t="n">
        <v>7.52068965517241</v>
      </c>
    </row>
    <row r="633" customFormat="false" ht="14.25" hidden="false" customHeight="false" outlineLevel="0" collapsed="false">
      <c r="B633" s="126" t="n">
        <v>29509503</v>
      </c>
      <c r="C633" s="127" t="n">
        <v>0</v>
      </c>
      <c r="D633" s="127" t="n">
        <v>20.7213333333333</v>
      </c>
      <c r="E633" s="127" t="n">
        <v>11.1489655172414</v>
      </c>
    </row>
    <row r="634" customFormat="false" ht="14.25" hidden="false" customHeight="false" outlineLevel="0" collapsed="false">
      <c r="B634" s="126" t="n">
        <v>29672981</v>
      </c>
      <c r="C634" s="127" t="n">
        <v>0</v>
      </c>
      <c r="D634" s="127" t="n">
        <v>4.1008</v>
      </c>
      <c r="E634" s="127" t="n">
        <v>4.50206896551724</v>
      </c>
    </row>
    <row r="635" customFormat="false" ht="14.25" hidden="false" customHeight="false" outlineLevel="0" collapsed="false">
      <c r="B635" s="126" t="n">
        <v>30050160</v>
      </c>
      <c r="C635" s="127" t="n">
        <v>0</v>
      </c>
      <c r="D635" s="127" t="n">
        <v>17.1076</v>
      </c>
      <c r="E635" s="127" t="n">
        <v>12.9358620689655</v>
      </c>
    </row>
    <row r="636" customFormat="false" ht="14.25" hidden="false" customHeight="false" outlineLevel="0" collapsed="false">
      <c r="B636" s="126" t="n">
        <v>30360256</v>
      </c>
      <c r="C636" s="127" t="n">
        <v>0</v>
      </c>
      <c r="D636" s="127" t="n">
        <v>3.2932</v>
      </c>
      <c r="E636" s="127" t="n">
        <v>1.52758620689655</v>
      </c>
    </row>
    <row r="637" customFormat="false" ht="14.25" hidden="false" customHeight="false" outlineLevel="0" collapsed="false">
      <c r="B637" s="126" t="n">
        <v>31309662</v>
      </c>
      <c r="C637" s="127" t="n">
        <v>0</v>
      </c>
      <c r="D637" s="127" t="n">
        <v>6.288</v>
      </c>
      <c r="E637" s="127" t="n">
        <v>7.85977011494253</v>
      </c>
    </row>
    <row r="638" customFormat="false" ht="14.25" hidden="false" customHeight="false" outlineLevel="0" collapsed="false">
      <c r="B638" s="126" t="n">
        <v>31538587</v>
      </c>
      <c r="C638" s="127" t="n">
        <v>0</v>
      </c>
      <c r="D638" s="127" t="n">
        <v>20.7106666666667</v>
      </c>
      <c r="E638" s="127" t="n">
        <v>13.9413793103448</v>
      </c>
    </row>
    <row r="639" customFormat="false" ht="14.25" hidden="false" customHeight="false" outlineLevel="0" collapsed="false">
      <c r="B639" s="126" t="n">
        <v>31570062</v>
      </c>
      <c r="C639" s="127" t="n">
        <v>0</v>
      </c>
      <c r="D639" s="127" t="n">
        <v>17.1106666666667</v>
      </c>
      <c r="E639" s="127" t="n">
        <v>11.4287356321839</v>
      </c>
    </row>
    <row r="640" customFormat="false" ht="14.25" hidden="false" customHeight="false" outlineLevel="0" collapsed="false">
      <c r="B640" s="126" t="n">
        <v>31571246</v>
      </c>
      <c r="C640" s="127" t="n">
        <v>0</v>
      </c>
      <c r="D640" s="127" t="n">
        <v>1.14285714285714</v>
      </c>
      <c r="E640" s="127" t="n">
        <v>2.68571428571429</v>
      </c>
    </row>
    <row r="641" customFormat="false" ht="14.25" hidden="false" customHeight="false" outlineLevel="0" collapsed="false">
      <c r="B641" s="126" t="n">
        <v>31583824</v>
      </c>
      <c r="C641" s="127" t="n">
        <v>0</v>
      </c>
      <c r="D641" s="127" t="n">
        <v>3.09066666666667</v>
      </c>
      <c r="E641" s="127" t="n">
        <v>2.30241379310345</v>
      </c>
    </row>
    <row r="642" customFormat="false" ht="14.25" hidden="false" customHeight="false" outlineLevel="0" collapsed="false">
      <c r="B642" s="126" t="n">
        <v>31629605</v>
      </c>
      <c r="C642" s="127" t="n">
        <v>0</v>
      </c>
      <c r="D642" s="127" t="n">
        <v>3.654</v>
      </c>
      <c r="E642" s="127" t="n">
        <v>2.58655172413793</v>
      </c>
    </row>
    <row r="643" customFormat="false" ht="14.25" hidden="false" customHeight="false" outlineLevel="0" collapsed="false">
      <c r="B643" s="126" t="n">
        <v>31656034</v>
      </c>
      <c r="C643" s="127" t="n">
        <v>0</v>
      </c>
      <c r="D643" s="127" t="n">
        <v>61.826</v>
      </c>
      <c r="E643" s="127" t="n">
        <v>9.49189655172414</v>
      </c>
    </row>
    <row r="644" customFormat="false" ht="14.25" hidden="false" customHeight="false" outlineLevel="0" collapsed="false">
      <c r="B644" s="126" t="n">
        <v>31711209</v>
      </c>
      <c r="C644" s="127" t="n">
        <v>0</v>
      </c>
      <c r="D644" s="127" t="n">
        <v>3.15866666666667</v>
      </c>
      <c r="E644" s="127" t="n">
        <v>0</v>
      </c>
    </row>
    <row r="645" customFormat="false" ht="14.25" hidden="false" customHeight="false" outlineLevel="0" collapsed="false">
      <c r="B645" s="126" t="n">
        <v>31713686</v>
      </c>
      <c r="C645" s="127" t="n">
        <v>0</v>
      </c>
      <c r="D645" s="127" t="n">
        <v>34.754</v>
      </c>
      <c r="E645" s="127" t="n">
        <v>5.32816091954023</v>
      </c>
    </row>
    <row r="646" customFormat="false" ht="14.25" hidden="false" customHeight="false" outlineLevel="0" collapsed="false">
      <c r="B646" s="126" t="n">
        <v>31714718</v>
      </c>
      <c r="C646" s="127" t="n">
        <v>0</v>
      </c>
      <c r="D646" s="127" t="n">
        <v>23.0166666666667</v>
      </c>
      <c r="E646" s="127" t="n">
        <v>0</v>
      </c>
    </row>
    <row r="647" customFormat="false" ht="14.25" hidden="false" customHeight="false" outlineLevel="0" collapsed="false">
      <c r="B647" s="126" t="n">
        <v>31900177</v>
      </c>
      <c r="C647" s="127" t="n">
        <v>0</v>
      </c>
      <c r="D647" s="127" t="n">
        <v>67.8908571428571</v>
      </c>
      <c r="E647" s="127" t="n">
        <v>38.1182266009852</v>
      </c>
    </row>
    <row r="648" customFormat="false" ht="14.25" hidden="false" customHeight="false" outlineLevel="0" collapsed="false">
      <c r="B648" s="126" t="n">
        <v>31925606</v>
      </c>
      <c r="C648" s="127" t="n">
        <v>0</v>
      </c>
      <c r="D648" s="127" t="n">
        <v>10.0733333333333</v>
      </c>
      <c r="E648" s="127" t="n">
        <v>0</v>
      </c>
    </row>
    <row r="649" customFormat="false" ht="14.25" hidden="false" customHeight="false" outlineLevel="0" collapsed="false">
      <c r="B649" s="126" t="n">
        <v>31969887</v>
      </c>
      <c r="C649" s="127" t="n">
        <v>0</v>
      </c>
      <c r="D649" s="127" t="n">
        <v>3.75266666666667</v>
      </c>
      <c r="E649" s="127" t="n">
        <v>4.87</v>
      </c>
    </row>
    <row r="650" customFormat="false" ht="14.25" hidden="false" customHeight="false" outlineLevel="0" collapsed="false">
      <c r="B650" s="126" t="n">
        <v>31991267</v>
      </c>
      <c r="C650" s="127" t="n">
        <v>0</v>
      </c>
      <c r="D650" s="127" t="n">
        <v>7.61866666666667</v>
      </c>
      <c r="E650" s="127" t="n">
        <v>5.63908045977012</v>
      </c>
    </row>
    <row r="651" customFormat="false" ht="14.25" hidden="false" customHeight="false" outlineLevel="0" collapsed="false">
      <c r="B651" s="126" t="n">
        <v>31998651</v>
      </c>
      <c r="C651" s="127" t="n">
        <v>0</v>
      </c>
      <c r="D651" s="127" t="n">
        <v>7.56333333333333</v>
      </c>
      <c r="E651" s="127" t="n">
        <v>4.02827586206897</v>
      </c>
    </row>
    <row r="652" customFormat="false" ht="14.25" hidden="false" customHeight="false" outlineLevel="0" collapsed="false">
      <c r="B652" s="126" t="n">
        <v>34674541</v>
      </c>
      <c r="C652" s="127" t="n">
        <v>0</v>
      </c>
      <c r="D652" s="127" t="n">
        <v>60.2448</v>
      </c>
      <c r="E652" s="127" t="n">
        <v>21.4213793103448</v>
      </c>
    </row>
    <row r="653" customFormat="false" ht="14.25" hidden="false" customHeight="false" outlineLevel="0" collapsed="false">
      <c r="B653" s="126" t="n">
        <v>35462011</v>
      </c>
      <c r="C653" s="127" t="n">
        <v>0</v>
      </c>
      <c r="D653" s="127" t="n">
        <v>1.5776</v>
      </c>
      <c r="E653" s="127" t="n">
        <v>1.51655172413793</v>
      </c>
    </row>
    <row r="654" customFormat="false" ht="14.25" hidden="false" customHeight="false" outlineLevel="0" collapsed="false">
      <c r="B654" s="126" t="n">
        <v>38557612</v>
      </c>
      <c r="C654" s="127" t="n">
        <v>0</v>
      </c>
      <c r="D654" s="127" t="n">
        <v>17.4728571428571</v>
      </c>
      <c r="E654" s="127" t="n">
        <v>10.4022413793103</v>
      </c>
    </row>
    <row r="655" customFormat="false" ht="14.25" hidden="false" customHeight="false" outlineLevel="0" collapsed="false">
      <c r="B655" s="126" t="n">
        <v>38561848</v>
      </c>
      <c r="C655" s="127" t="n">
        <v>0</v>
      </c>
      <c r="D655" s="127" t="n">
        <v>61.156</v>
      </c>
      <c r="E655" s="127" t="n">
        <v>22.1072413793103</v>
      </c>
    </row>
    <row r="656" customFormat="false" ht="14.25" hidden="false" customHeight="false" outlineLevel="0" collapsed="false">
      <c r="B656" s="126" t="n">
        <v>38568611</v>
      </c>
      <c r="C656" s="127" t="n">
        <v>0</v>
      </c>
      <c r="D656" s="127" t="n">
        <v>12.6844</v>
      </c>
      <c r="E656" s="127" t="n">
        <v>9.38862068965517</v>
      </c>
    </row>
    <row r="657" customFormat="false" ht="14.25" hidden="false" customHeight="false" outlineLevel="0" collapsed="false">
      <c r="B657" s="126" t="n">
        <v>38600669</v>
      </c>
      <c r="C657" s="127" t="n">
        <v>0</v>
      </c>
      <c r="D657" s="127" t="n">
        <v>1.2604</v>
      </c>
      <c r="E657" s="127" t="n">
        <v>16.6475862068966</v>
      </c>
    </row>
    <row r="658" customFormat="false" ht="14.25" hidden="false" customHeight="false" outlineLevel="0" collapsed="false">
      <c r="B658" s="126" t="n">
        <v>38601357</v>
      </c>
      <c r="C658" s="127" t="n">
        <v>0</v>
      </c>
      <c r="D658" s="127" t="n">
        <v>46.9833333333333</v>
      </c>
      <c r="E658" s="127" t="n">
        <v>5.96551724137931</v>
      </c>
    </row>
    <row r="659" customFormat="false" ht="14.25" hidden="false" customHeight="false" outlineLevel="0" collapsed="false">
      <c r="B659" s="126" t="n">
        <v>38604845</v>
      </c>
      <c r="C659" s="127" t="n">
        <v>0</v>
      </c>
      <c r="D659" s="127" t="n">
        <v>51.655</v>
      </c>
      <c r="E659" s="127" t="n">
        <v>7.67298850574713</v>
      </c>
    </row>
    <row r="660" customFormat="false" ht="14.25" hidden="false" customHeight="false" outlineLevel="0" collapsed="false">
      <c r="B660" s="126" t="n">
        <v>38642212</v>
      </c>
      <c r="C660" s="127" t="n">
        <v>0</v>
      </c>
      <c r="D660" s="127" t="n">
        <v>13.2738</v>
      </c>
      <c r="E660" s="127" t="n">
        <v>3.50948275862069</v>
      </c>
    </row>
    <row r="661" customFormat="false" ht="14.25" hidden="false" customHeight="false" outlineLevel="0" collapsed="false">
      <c r="B661" s="126" t="n">
        <v>38657055</v>
      </c>
      <c r="C661" s="127" t="n">
        <v>0</v>
      </c>
      <c r="D661" s="127" t="n">
        <v>53.4804</v>
      </c>
      <c r="E661" s="127" t="n">
        <v>23.1064039408867</v>
      </c>
    </row>
    <row r="662" customFormat="false" ht="14.25" hidden="false" customHeight="false" outlineLevel="0" collapsed="false">
      <c r="B662" s="126" t="n">
        <v>38668436</v>
      </c>
      <c r="C662" s="127" t="n">
        <v>0</v>
      </c>
      <c r="D662" s="127" t="n">
        <v>74.5766666666667</v>
      </c>
      <c r="E662" s="127" t="n">
        <v>0</v>
      </c>
    </row>
    <row r="663" customFormat="false" ht="14.25" hidden="false" customHeight="false" outlineLevel="0" collapsed="false">
      <c r="B663" s="126" t="n">
        <v>38683545</v>
      </c>
      <c r="C663" s="127" t="n">
        <v>0</v>
      </c>
      <c r="D663" s="127" t="n">
        <v>41.2846666666667</v>
      </c>
      <c r="E663" s="127" t="n">
        <v>7.25747126436782</v>
      </c>
    </row>
    <row r="664" customFormat="false" ht="14.25" hidden="false" customHeight="false" outlineLevel="0" collapsed="false">
      <c r="B664" s="126" t="n">
        <v>38867456</v>
      </c>
      <c r="C664" s="127" t="n">
        <v>0</v>
      </c>
      <c r="D664" s="127" t="n">
        <v>0</v>
      </c>
      <c r="E664" s="127" t="n">
        <v>2.43413793103448</v>
      </c>
    </row>
    <row r="665" customFormat="false" ht="14.25" hidden="false" customHeight="false" outlineLevel="0" collapsed="false">
      <c r="B665" s="126" t="n">
        <v>38889981</v>
      </c>
      <c r="C665" s="127" t="n">
        <v>0</v>
      </c>
      <c r="D665" s="127" t="n">
        <v>15.5376</v>
      </c>
      <c r="E665" s="127" t="n">
        <v>0</v>
      </c>
    </row>
    <row r="666" customFormat="false" ht="14.25" hidden="false" customHeight="false" outlineLevel="0" collapsed="false">
      <c r="B666" s="126" t="n">
        <v>40087405</v>
      </c>
      <c r="C666" s="127" t="n">
        <v>0</v>
      </c>
      <c r="D666" s="127" t="n">
        <v>18.152</v>
      </c>
      <c r="E666" s="127" t="n">
        <v>15.6475862068966</v>
      </c>
    </row>
    <row r="667" customFormat="false" ht="14.25" hidden="false" customHeight="false" outlineLevel="0" collapsed="false">
      <c r="B667" s="126" t="n">
        <v>52932360</v>
      </c>
      <c r="C667" s="127" t="n">
        <v>0</v>
      </c>
      <c r="D667" s="127" t="n">
        <v>33.6514285714286</v>
      </c>
      <c r="E667" s="127" t="n">
        <v>5.52635467980296</v>
      </c>
    </row>
    <row r="668" customFormat="false" ht="14.25" hidden="false" customHeight="false" outlineLevel="0" collapsed="false">
      <c r="B668" s="126" t="n">
        <v>53098371</v>
      </c>
      <c r="C668" s="127" t="n">
        <v>0</v>
      </c>
      <c r="D668" s="127" t="n">
        <v>24.4048</v>
      </c>
      <c r="E668" s="127" t="n">
        <v>20.8208620689655</v>
      </c>
    </row>
    <row r="669" customFormat="false" ht="14.25" hidden="false" customHeight="false" outlineLevel="0" collapsed="false">
      <c r="B669" s="126" t="n">
        <v>66718924</v>
      </c>
      <c r="C669" s="127" t="n">
        <v>0</v>
      </c>
      <c r="D669" s="127" t="n">
        <v>16.1548</v>
      </c>
      <c r="E669" s="127" t="n">
        <v>10.2220689655172</v>
      </c>
    </row>
    <row r="670" customFormat="false" ht="14.25" hidden="false" customHeight="false" outlineLevel="0" collapsed="false">
      <c r="B670" s="126" t="n">
        <v>66772628</v>
      </c>
      <c r="C670" s="127" t="n">
        <v>0</v>
      </c>
      <c r="D670" s="127" t="n">
        <v>36.8986</v>
      </c>
      <c r="E670" s="127" t="n">
        <v>9.13258620689655</v>
      </c>
    </row>
    <row r="671" customFormat="false" ht="14.25" hidden="false" customHeight="false" outlineLevel="0" collapsed="false">
      <c r="B671" s="126" t="n">
        <v>66773669</v>
      </c>
      <c r="C671" s="127" t="n">
        <v>0</v>
      </c>
      <c r="D671" s="127" t="n">
        <v>33.204</v>
      </c>
      <c r="E671" s="127" t="n">
        <v>0</v>
      </c>
    </row>
    <row r="672" customFormat="false" ht="14.25" hidden="false" customHeight="false" outlineLevel="0" collapsed="false">
      <c r="B672" s="126" t="n">
        <v>66817951</v>
      </c>
      <c r="C672" s="127" t="n">
        <v>0</v>
      </c>
      <c r="D672" s="127" t="n">
        <v>32.8894285714286</v>
      </c>
      <c r="E672" s="127" t="n">
        <v>28.8091133004926</v>
      </c>
    </row>
    <row r="673" customFormat="false" ht="14.25" hidden="false" customHeight="false" outlineLevel="0" collapsed="false">
      <c r="B673" s="126" t="n">
        <v>66859571</v>
      </c>
      <c r="C673" s="127" t="n">
        <v>0</v>
      </c>
      <c r="D673" s="127" t="n">
        <v>17.7026666666667</v>
      </c>
      <c r="E673" s="127" t="n">
        <v>7.56965517241379</v>
      </c>
    </row>
    <row r="674" customFormat="false" ht="14.25" hidden="false" customHeight="false" outlineLevel="0" collapsed="false">
      <c r="B674" s="126" t="n">
        <v>66968191</v>
      </c>
      <c r="C674" s="127" t="n">
        <v>0</v>
      </c>
      <c r="D674" s="127" t="n">
        <v>23.5686666666667</v>
      </c>
      <c r="E674" s="127" t="n">
        <v>0</v>
      </c>
    </row>
    <row r="675" customFormat="false" ht="14.25" hidden="false" customHeight="false" outlineLevel="0" collapsed="false">
      <c r="B675" s="126" t="n">
        <v>66999723</v>
      </c>
      <c r="C675" s="127" t="n">
        <v>0</v>
      </c>
      <c r="D675" s="127" t="n">
        <v>36.324</v>
      </c>
      <c r="E675" s="127" t="n">
        <v>17.0320689655172</v>
      </c>
    </row>
    <row r="676" customFormat="false" ht="14.25" hidden="false" customHeight="false" outlineLevel="0" collapsed="false">
      <c r="B676" s="126" t="n">
        <v>67005575</v>
      </c>
      <c r="C676" s="127" t="n">
        <v>0</v>
      </c>
      <c r="D676" s="127" t="n">
        <v>27.5337142857143</v>
      </c>
      <c r="E676" s="127" t="n">
        <v>0</v>
      </c>
    </row>
    <row r="677" customFormat="false" ht="14.25" hidden="false" customHeight="false" outlineLevel="0" collapsed="false">
      <c r="B677" s="126" t="n">
        <v>67011371</v>
      </c>
      <c r="C677" s="127" t="n">
        <v>0</v>
      </c>
      <c r="D677" s="127" t="n">
        <v>14.3486666666667</v>
      </c>
      <c r="E677" s="127" t="n">
        <v>6.65620689655172</v>
      </c>
    </row>
    <row r="678" customFormat="false" ht="14.25" hidden="false" customHeight="false" outlineLevel="0" collapsed="false">
      <c r="B678" s="126" t="n">
        <v>67025009</v>
      </c>
      <c r="C678" s="127" t="n">
        <v>0</v>
      </c>
      <c r="D678" s="127" t="n">
        <v>44.0886666666667</v>
      </c>
      <c r="E678" s="127" t="n">
        <v>2.23827586206897</v>
      </c>
    </row>
    <row r="679" customFormat="false" ht="14.25" hidden="false" customHeight="false" outlineLevel="0" collapsed="false">
      <c r="B679" s="126" t="n">
        <v>67025218</v>
      </c>
      <c r="C679" s="127" t="n">
        <v>0</v>
      </c>
      <c r="D679" s="127" t="n">
        <v>14.2386666666667</v>
      </c>
      <c r="E679" s="127" t="n">
        <v>0.00804597701149425</v>
      </c>
    </row>
    <row r="680" customFormat="false" ht="14.25" hidden="false" customHeight="false" outlineLevel="0" collapsed="false">
      <c r="B680" s="126" t="n">
        <v>67028441</v>
      </c>
      <c r="C680" s="127" t="n">
        <v>0</v>
      </c>
      <c r="D680" s="127" t="n">
        <v>6.82466666666667</v>
      </c>
      <c r="E680" s="127" t="n">
        <v>3.44275862068966</v>
      </c>
    </row>
    <row r="681" customFormat="false" ht="14.25" hidden="false" customHeight="false" outlineLevel="0" collapsed="false">
      <c r="B681" s="126" t="n">
        <v>67028827</v>
      </c>
      <c r="C681" s="127" t="n">
        <v>0</v>
      </c>
      <c r="D681" s="127" t="n">
        <v>15.7488</v>
      </c>
      <c r="E681" s="127" t="n">
        <v>8.02783251231527</v>
      </c>
    </row>
    <row r="682" customFormat="false" ht="14.25" hidden="false" customHeight="false" outlineLevel="0" collapsed="false">
      <c r="B682" s="126" t="n">
        <v>67028912</v>
      </c>
      <c r="C682" s="127" t="n">
        <v>0</v>
      </c>
      <c r="D682" s="127" t="n">
        <v>11.2946666666667</v>
      </c>
      <c r="E682" s="127" t="n">
        <v>6.91724137931035</v>
      </c>
    </row>
    <row r="683" customFormat="false" ht="14.25" hidden="false" customHeight="false" outlineLevel="0" collapsed="false">
      <c r="B683" s="126" t="n">
        <v>67030084</v>
      </c>
      <c r="C683" s="127" t="n">
        <v>0</v>
      </c>
      <c r="D683" s="127" t="n">
        <v>19.102</v>
      </c>
      <c r="E683" s="127" t="n">
        <v>14.6373563218391</v>
      </c>
    </row>
    <row r="684" customFormat="false" ht="14.25" hidden="false" customHeight="false" outlineLevel="0" collapsed="false">
      <c r="B684" s="126" t="n">
        <v>67030981</v>
      </c>
      <c r="C684" s="127" t="n">
        <v>0</v>
      </c>
      <c r="D684" s="127" t="n">
        <v>43.5491428571429</v>
      </c>
      <c r="E684" s="127" t="n">
        <v>0</v>
      </c>
    </row>
    <row r="685" customFormat="false" ht="14.25" hidden="false" customHeight="false" outlineLevel="0" collapsed="false">
      <c r="B685" s="126" t="n">
        <v>67037333</v>
      </c>
      <c r="C685" s="127" t="n">
        <v>0</v>
      </c>
      <c r="D685" s="127" t="n">
        <v>26.078</v>
      </c>
      <c r="E685" s="127" t="n">
        <v>12.2031034482759</v>
      </c>
    </row>
    <row r="686" customFormat="false" ht="14.25" hidden="false" customHeight="false" outlineLevel="0" collapsed="false">
      <c r="B686" s="126" t="n">
        <v>67040120</v>
      </c>
      <c r="C686" s="127" t="n">
        <v>0</v>
      </c>
      <c r="D686" s="127" t="n">
        <v>7.896</v>
      </c>
      <c r="E686" s="127" t="n">
        <v>0</v>
      </c>
    </row>
    <row r="687" customFormat="false" ht="14.25" hidden="false" customHeight="false" outlineLevel="0" collapsed="false">
      <c r="B687" s="126" t="n">
        <v>71738242</v>
      </c>
      <c r="C687" s="127" t="n">
        <v>0</v>
      </c>
      <c r="D687" s="127" t="n">
        <v>7.65385365853659</v>
      </c>
      <c r="E687" s="127" t="n">
        <v>0.275287356321839</v>
      </c>
    </row>
    <row r="688" customFormat="false" ht="14.25" hidden="false" customHeight="false" outlineLevel="0" collapsed="false">
      <c r="B688" s="126" t="n">
        <v>76140409</v>
      </c>
      <c r="C688" s="127" t="n">
        <v>0</v>
      </c>
      <c r="D688" s="127" t="n">
        <v>19.0672</v>
      </c>
      <c r="E688" s="127" t="n">
        <v>0</v>
      </c>
    </row>
    <row r="689" customFormat="false" ht="14.25" hidden="false" customHeight="false" outlineLevel="0" collapsed="false">
      <c r="B689" s="126" t="n">
        <v>80819970</v>
      </c>
      <c r="C689" s="127" t="n">
        <v>0</v>
      </c>
      <c r="D689" s="127" t="n">
        <v>7.953</v>
      </c>
      <c r="E689" s="127" t="n">
        <v>0.477931034482759</v>
      </c>
    </row>
    <row r="690" customFormat="false" ht="14.25" hidden="false" customHeight="false" outlineLevel="0" collapsed="false">
      <c r="B690" s="126" t="n">
        <v>91493134</v>
      </c>
      <c r="C690" s="127" t="n">
        <v>0</v>
      </c>
      <c r="D690" s="127" t="n">
        <v>1.2552</v>
      </c>
      <c r="E690" s="127" t="n">
        <v>0.716256157635468</v>
      </c>
    </row>
    <row r="691" customFormat="false" ht="14.25" hidden="false" customHeight="false" outlineLevel="0" collapsed="false">
      <c r="B691" s="126" t="n">
        <v>94043124</v>
      </c>
      <c r="C691" s="127" t="n">
        <v>0</v>
      </c>
      <c r="D691" s="127" t="n">
        <v>96.9008571428572</v>
      </c>
      <c r="E691" s="127" t="n">
        <v>1.50448275862069</v>
      </c>
    </row>
    <row r="692" customFormat="false" ht="14.25" hidden="false" customHeight="false" outlineLevel="0" collapsed="false">
      <c r="B692" s="126" t="n">
        <v>94193459</v>
      </c>
      <c r="C692" s="127" t="n">
        <v>0</v>
      </c>
      <c r="D692" s="127" t="n">
        <v>36.764</v>
      </c>
      <c r="E692" s="127" t="n">
        <v>0</v>
      </c>
    </row>
    <row r="693" customFormat="false" ht="14.25" hidden="false" customHeight="false" outlineLevel="0" collapsed="false">
      <c r="B693" s="126" t="n">
        <v>94489748</v>
      </c>
      <c r="C693" s="127" t="n">
        <v>0</v>
      </c>
      <c r="D693" s="127" t="n">
        <v>37.3744</v>
      </c>
      <c r="E693" s="127" t="n">
        <v>0</v>
      </c>
    </row>
    <row r="694" customFormat="false" ht="14.25" hidden="false" customHeight="false" outlineLevel="0" collapsed="false">
      <c r="B694" s="126" t="n">
        <v>94491699</v>
      </c>
      <c r="C694" s="127" t="n">
        <v>0</v>
      </c>
      <c r="D694" s="127" t="n">
        <v>1.562</v>
      </c>
      <c r="E694" s="127" t="n">
        <v>0.28752052545156</v>
      </c>
    </row>
    <row r="695" customFormat="false" ht="14.25" hidden="false" customHeight="false" outlineLevel="0" collapsed="false">
      <c r="B695" s="126" t="n">
        <v>94517205</v>
      </c>
      <c r="C695" s="127" t="n">
        <v>0</v>
      </c>
      <c r="D695" s="127" t="n">
        <v>17.984</v>
      </c>
      <c r="E695" s="127" t="n">
        <v>0</v>
      </c>
    </row>
    <row r="696" customFormat="false" ht="14.25" hidden="false" customHeight="false" outlineLevel="0" collapsed="false">
      <c r="B696" s="126" t="n">
        <v>94525897</v>
      </c>
      <c r="C696" s="127" t="n">
        <v>0</v>
      </c>
      <c r="D696" s="127" t="n">
        <v>52.738</v>
      </c>
      <c r="E696" s="127" t="n">
        <v>5.69724137931035</v>
      </c>
    </row>
    <row r="697" customFormat="false" ht="14.25" hidden="false" customHeight="false" outlineLevel="0" collapsed="false">
      <c r="B697" s="126" t="n">
        <v>94527022</v>
      </c>
      <c r="C697" s="127" t="n">
        <v>0</v>
      </c>
      <c r="D697" s="127" t="n">
        <v>35.9817142857143</v>
      </c>
      <c r="E697" s="127" t="n">
        <v>5.93</v>
      </c>
    </row>
    <row r="698" customFormat="false" ht="14.25" hidden="false" customHeight="false" outlineLevel="0" collapsed="false">
      <c r="B698" s="126" t="n">
        <v>1006049428</v>
      </c>
      <c r="C698" s="127" t="n">
        <v>0</v>
      </c>
      <c r="D698" s="127" t="n">
        <v>4.646</v>
      </c>
      <c r="E698" s="127" t="n">
        <v>0</v>
      </c>
    </row>
    <row r="699" customFormat="false" ht="14.25" hidden="false" customHeight="false" outlineLevel="0" collapsed="false">
      <c r="B699" s="126" t="n">
        <v>1006341887</v>
      </c>
      <c r="C699" s="127" t="n">
        <v>0</v>
      </c>
      <c r="D699" s="127" t="n">
        <v>31.4586666666667</v>
      </c>
      <c r="E699" s="127" t="n">
        <v>0.877931034482759</v>
      </c>
    </row>
    <row r="700" customFormat="false" ht="14.25" hidden="false" customHeight="false" outlineLevel="0" collapsed="false">
      <c r="B700" s="126" t="n">
        <v>1006365683</v>
      </c>
      <c r="C700" s="127" t="n">
        <v>0</v>
      </c>
      <c r="D700" s="127" t="n">
        <v>1.33333333333333</v>
      </c>
      <c r="E700" s="127" t="n">
        <v>1.17183908045977</v>
      </c>
    </row>
    <row r="701" customFormat="false" ht="14.25" hidden="false" customHeight="false" outlineLevel="0" collapsed="false">
      <c r="B701" s="126" t="n">
        <v>1007145804</v>
      </c>
      <c r="C701" s="127" t="n">
        <v>0</v>
      </c>
      <c r="D701" s="127" t="n">
        <v>3.73466666666667</v>
      </c>
      <c r="E701" s="127" t="n">
        <v>1.43758620689655</v>
      </c>
    </row>
    <row r="702" customFormat="false" ht="14.25" hidden="false" customHeight="false" outlineLevel="0" collapsed="false">
      <c r="B702" s="126" t="n">
        <v>1007500847</v>
      </c>
      <c r="C702" s="127" t="n">
        <v>0</v>
      </c>
      <c r="D702" s="127" t="n">
        <v>14.2204</v>
      </c>
      <c r="E702" s="127" t="n">
        <v>0</v>
      </c>
    </row>
    <row r="703" customFormat="false" ht="14.25" hidden="false" customHeight="false" outlineLevel="0" collapsed="false">
      <c r="B703" s="126" t="n">
        <v>1007954496</v>
      </c>
      <c r="C703" s="127" t="n">
        <v>0</v>
      </c>
      <c r="D703" s="127" t="n">
        <v>5.14866666666667</v>
      </c>
      <c r="E703" s="127" t="n">
        <v>0</v>
      </c>
    </row>
    <row r="704" customFormat="false" ht="14.25" hidden="false" customHeight="false" outlineLevel="0" collapsed="false">
      <c r="B704" s="126" t="n">
        <v>1032378479</v>
      </c>
      <c r="C704" s="127" t="n">
        <v>0</v>
      </c>
      <c r="D704" s="127" t="n">
        <v>21.7012</v>
      </c>
      <c r="E704" s="127" t="n">
        <v>3.65862068965517</v>
      </c>
    </row>
    <row r="705" customFormat="false" ht="14.25" hidden="false" customHeight="false" outlineLevel="0" collapsed="false">
      <c r="B705" s="126" t="n">
        <v>1052981175</v>
      </c>
      <c r="C705" s="127" t="n">
        <v>0</v>
      </c>
      <c r="D705" s="127" t="n">
        <v>18.2211428571429</v>
      </c>
      <c r="E705" s="127" t="n">
        <v>10.1965517241379</v>
      </c>
    </row>
    <row r="706" customFormat="false" ht="14.25" hidden="false" customHeight="false" outlineLevel="0" collapsed="false">
      <c r="B706" s="126" t="n">
        <v>1053805598</v>
      </c>
      <c r="C706" s="127" t="n">
        <v>0</v>
      </c>
      <c r="D706" s="127" t="n">
        <v>20.7752</v>
      </c>
      <c r="E706" s="127" t="n">
        <v>0.0553448275862069</v>
      </c>
    </row>
    <row r="707" customFormat="false" ht="14.25" hidden="false" customHeight="false" outlineLevel="0" collapsed="false">
      <c r="B707" s="126" t="n">
        <v>1061773444</v>
      </c>
      <c r="C707" s="127" t="n">
        <v>0</v>
      </c>
      <c r="D707" s="127" t="n">
        <v>6.5106</v>
      </c>
      <c r="E707" s="127" t="n">
        <v>5.66258620689655</v>
      </c>
    </row>
    <row r="708" customFormat="false" ht="14.25" hidden="false" customHeight="false" outlineLevel="0" collapsed="false">
      <c r="B708" s="126" t="n">
        <v>1061798353</v>
      </c>
      <c r="C708" s="127" t="n">
        <v>0</v>
      </c>
      <c r="D708" s="127" t="n">
        <v>46.2066666666667</v>
      </c>
      <c r="E708" s="127" t="n">
        <v>1.68068965517241</v>
      </c>
    </row>
    <row r="709" customFormat="false" ht="14.25" hidden="false" customHeight="false" outlineLevel="0" collapsed="false">
      <c r="B709" s="126" t="n">
        <v>1062287599</v>
      </c>
      <c r="C709" s="127" t="n">
        <v>0</v>
      </c>
      <c r="D709" s="127" t="n">
        <v>4.527</v>
      </c>
      <c r="E709" s="127" t="n">
        <v>0.757471264367816</v>
      </c>
    </row>
    <row r="710" customFormat="false" ht="14.25" hidden="false" customHeight="false" outlineLevel="0" collapsed="false">
      <c r="B710" s="126" t="n">
        <v>1062289306</v>
      </c>
      <c r="C710" s="127" t="n">
        <v>0</v>
      </c>
      <c r="D710" s="127" t="n">
        <v>20.882</v>
      </c>
      <c r="E710" s="127" t="n">
        <v>0.0813793103448276</v>
      </c>
    </row>
    <row r="711" customFormat="false" ht="14.25" hidden="false" customHeight="false" outlineLevel="0" collapsed="false">
      <c r="B711" s="126" t="n">
        <v>1063813519</v>
      </c>
      <c r="C711" s="127" t="n">
        <v>0</v>
      </c>
      <c r="D711" s="127" t="n">
        <v>5.36733333333333</v>
      </c>
      <c r="E711" s="127" t="n">
        <v>1.98620689655172</v>
      </c>
    </row>
    <row r="712" customFormat="false" ht="14.25" hidden="false" customHeight="false" outlineLevel="0" collapsed="false">
      <c r="B712" s="126" t="n">
        <v>1065654814</v>
      </c>
      <c r="C712" s="127" t="n">
        <v>0</v>
      </c>
      <c r="D712" s="127" t="n">
        <v>69.4928</v>
      </c>
      <c r="E712" s="127" t="n">
        <v>0.664039408866995</v>
      </c>
    </row>
    <row r="713" customFormat="false" ht="14.25" hidden="false" customHeight="false" outlineLevel="0" collapsed="false">
      <c r="B713" s="126" t="n">
        <v>1075250228</v>
      </c>
      <c r="C713" s="127" t="n">
        <v>0</v>
      </c>
      <c r="D713" s="127" t="n">
        <v>22.5628571428571</v>
      </c>
      <c r="E713" s="127" t="n">
        <v>0.324137931034483</v>
      </c>
    </row>
    <row r="714" customFormat="false" ht="14.25" hidden="false" customHeight="false" outlineLevel="0" collapsed="false">
      <c r="B714" s="126" t="n">
        <v>1085253482</v>
      </c>
      <c r="C714" s="127" t="n">
        <v>0</v>
      </c>
      <c r="D714" s="127" t="n">
        <v>33.6456</v>
      </c>
      <c r="E714" s="127" t="n">
        <v>2.55068965517241</v>
      </c>
    </row>
    <row r="715" customFormat="false" ht="14.25" hidden="false" customHeight="false" outlineLevel="0" collapsed="false">
      <c r="B715" s="126" t="n">
        <v>1085267594</v>
      </c>
      <c r="C715" s="127" t="n">
        <v>0</v>
      </c>
      <c r="D715" s="127" t="n">
        <v>27.0436</v>
      </c>
      <c r="E715" s="127" t="n">
        <v>0.849310344827586</v>
      </c>
    </row>
    <row r="716" customFormat="false" ht="14.25" hidden="false" customHeight="false" outlineLevel="0" collapsed="false">
      <c r="B716" s="126" t="n">
        <v>1085661638</v>
      </c>
      <c r="C716" s="127" t="n">
        <v>0</v>
      </c>
      <c r="D716" s="127" t="n">
        <v>35.1668571428571</v>
      </c>
      <c r="E716" s="127" t="n">
        <v>2.33793103448276</v>
      </c>
    </row>
    <row r="717" customFormat="false" ht="14.25" hidden="false" customHeight="false" outlineLevel="0" collapsed="false">
      <c r="B717" s="126" t="n">
        <v>1094934874</v>
      </c>
      <c r="C717" s="127" t="n">
        <v>0</v>
      </c>
      <c r="D717" s="127" t="n">
        <v>2.12285714285714</v>
      </c>
      <c r="E717" s="127" t="n">
        <v>0</v>
      </c>
    </row>
    <row r="718" customFormat="false" ht="14.25" hidden="false" customHeight="false" outlineLevel="0" collapsed="false">
      <c r="B718" s="126" t="n">
        <v>1107044461</v>
      </c>
      <c r="C718" s="127" t="n">
        <v>0</v>
      </c>
      <c r="D718" s="127" t="n">
        <v>1.11133333333333</v>
      </c>
      <c r="E718" s="127" t="n">
        <v>0</v>
      </c>
    </row>
    <row r="719" customFormat="false" ht="14.25" hidden="false" customHeight="false" outlineLevel="0" collapsed="false">
      <c r="B719" s="126" t="n">
        <v>1107063642</v>
      </c>
      <c r="C719" s="127" t="n">
        <v>0</v>
      </c>
      <c r="D719" s="127" t="n">
        <v>17.962</v>
      </c>
      <c r="E719" s="127" t="n">
        <v>0.859195402298851</v>
      </c>
    </row>
    <row r="720" customFormat="false" ht="14.25" hidden="false" customHeight="false" outlineLevel="0" collapsed="false">
      <c r="B720" s="126" t="n">
        <v>1107069242</v>
      </c>
      <c r="C720" s="127" t="n">
        <v>0</v>
      </c>
      <c r="D720" s="127" t="n">
        <v>14.028</v>
      </c>
      <c r="E720" s="127" t="n">
        <v>0</v>
      </c>
    </row>
    <row r="721" customFormat="false" ht="14.25" hidden="false" customHeight="false" outlineLevel="0" collapsed="false">
      <c r="B721" s="126" t="n">
        <v>1107076913</v>
      </c>
      <c r="C721" s="127" t="n">
        <v>0</v>
      </c>
      <c r="D721" s="127" t="n">
        <v>70.34</v>
      </c>
      <c r="E721" s="127" t="n">
        <v>5.79942528735632</v>
      </c>
    </row>
    <row r="722" customFormat="false" ht="14.25" hidden="false" customHeight="false" outlineLevel="0" collapsed="false">
      <c r="B722" s="126" t="n">
        <v>1107080840</v>
      </c>
      <c r="C722" s="127" t="n">
        <v>0</v>
      </c>
      <c r="D722" s="127" t="n">
        <v>7.84866666666667</v>
      </c>
      <c r="E722" s="127" t="n">
        <v>0</v>
      </c>
    </row>
    <row r="723" customFormat="false" ht="14.25" hidden="false" customHeight="false" outlineLevel="0" collapsed="false">
      <c r="B723" s="126" t="n">
        <v>1107083773</v>
      </c>
      <c r="C723" s="127" t="n">
        <v>0</v>
      </c>
      <c r="D723" s="127" t="n">
        <v>2.30866666666667</v>
      </c>
      <c r="E723" s="127" t="n">
        <v>0</v>
      </c>
    </row>
    <row r="724" customFormat="false" ht="14.25" hidden="false" customHeight="false" outlineLevel="0" collapsed="false">
      <c r="B724" s="126" t="n">
        <v>1107095074</v>
      </c>
      <c r="C724" s="127" t="n">
        <v>0</v>
      </c>
      <c r="D724" s="127" t="n">
        <v>23.0868</v>
      </c>
      <c r="E724" s="127" t="n">
        <v>2.39448275862069</v>
      </c>
    </row>
    <row r="725" customFormat="false" ht="14.25" hidden="false" customHeight="false" outlineLevel="0" collapsed="false">
      <c r="B725" s="126" t="n">
        <v>1107510180</v>
      </c>
      <c r="C725" s="127" t="n">
        <v>0</v>
      </c>
      <c r="D725" s="127" t="n">
        <v>2.278</v>
      </c>
      <c r="E725" s="127" t="n">
        <v>0</v>
      </c>
    </row>
    <row r="726" customFormat="false" ht="14.25" hidden="false" customHeight="false" outlineLevel="0" collapsed="false">
      <c r="B726" s="126" t="n">
        <v>1107519689</v>
      </c>
      <c r="C726" s="127" t="n">
        <v>0</v>
      </c>
      <c r="D726" s="127" t="n">
        <v>10.1712</v>
      </c>
      <c r="E726" s="127" t="n">
        <v>0</v>
      </c>
    </row>
    <row r="727" customFormat="false" ht="14.25" hidden="false" customHeight="false" outlineLevel="0" collapsed="false">
      <c r="B727" s="126" t="n">
        <v>1112223503</v>
      </c>
      <c r="C727" s="127" t="n">
        <v>0</v>
      </c>
      <c r="D727" s="127" t="n">
        <v>16.7633333333333</v>
      </c>
      <c r="E727" s="127" t="n">
        <v>1.56862068965517</v>
      </c>
    </row>
    <row r="728" customFormat="false" ht="14.25" hidden="false" customHeight="false" outlineLevel="0" collapsed="false">
      <c r="B728" s="126" t="n">
        <v>1112300302</v>
      </c>
      <c r="C728" s="127" t="n">
        <v>0</v>
      </c>
      <c r="D728" s="127" t="n">
        <v>4.83914285714286</v>
      </c>
      <c r="E728" s="127" t="n">
        <v>1.80344827586207</v>
      </c>
    </row>
    <row r="729" customFormat="false" ht="14.25" hidden="false" customHeight="false" outlineLevel="0" collapsed="false">
      <c r="B729" s="126" t="n">
        <v>1112478814</v>
      </c>
      <c r="C729" s="127" t="n">
        <v>0</v>
      </c>
      <c r="D729" s="127" t="n">
        <v>0.4992</v>
      </c>
      <c r="E729" s="127" t="n">
        <v>0</v>
      </c>
    </row>
    <row r="730" customFormat="false" ht="14.25" hidden="false" customHeight="false" outlineLevel="0" collapsed="false">
      <c r="B730" s="126" t="n">
        <v>1112483089</v>
      </c>
      <c r="C730" s="127" t="n">
        <v>0</v>
      </c>
      <c r="D730" s="127" t="n">
        <v>2.2116</v>
      </c>
      <c r="E730" s="127" t="n">
        <v>0</v>
      </c>
    </row>
    <row r="731" customFormat="false" ht="14.25" hidden="false" customHeight="false" outlineLevel="0" collapsed="false">
      <c r="B731" s="126" t="n">
        <v>1112768596</v>
      </c>
      <c r="C731" s="127" t="n">
        <v>0</v>
      </c>
      <c r="D731" s="127" t="n">
        <v>18.5552</v>
      </c>
      <c r="E731" s="127" t="n">
        <v>1.03275862068966</v>
      </c>
    </row>
    <row r="732" customFormat="false" ht="14.25" hidden="false" customHeight="false" outlineLevel="0" collapsed="false">
      <c r="B732" s="126" t="n">
        <v>1113308071</v>
      </c>
      <c r="C732" s="127" t="n">
        <v>0</v>
      </c>
      <c r="D732" s="127" t="n">
        <v>37.448</v>
      </c>
      <c r="E732" s="127" t="n">
        <v>1.94275862068966</v>
      </c>
    </row>
    <row r="733" customFormat="false" ht="14.25" hidden="false" customHeight="false" outlineLevel="0" collapsed="false">
      <c r="B733" s="126" t="n">
        <v>1113516050</v>
      </c>
      <c r="C733" s="127" t="n">
        <v>0</v>
      </c>
      <c r="D733" s="127" t="n">
        <v>33.7918</v>
      </c>
      <c r="E733" s="127" t="n">
        <v>0</v>
      </c>
    </row>
    <row r="734" customFormat="false" ht="14.25" hidden="false" customHeight="false" outlineLevel="0" collapsed="false">
      <c r="B734" s="126" t="n">
        <v>1113626506</v>
      </c>
      <c r="C734" s="127" t="n">
        <v>0</v>
      </c>
      <c r="D734" s="127" t="n">
        <v>32.2518</v>
      </c>
      <c r="E734" s="127" t="n">
        <v>4.37706896551724</v>
      </c>
    </row>
    <row r="735" customFormat="false" ht="14.25" hidden="false" customHeight="false" outlineLevel="0" collapsed="false">
      <c r="B735" s="126" t="n">
        <v>1113659646</v>
      </c>
      <c r="C735" s="127" t="n">
        <v>0</v>
      </c>
      <c r="D735" s="127" t="n">
        <v>20.2786666666667</v>
      </c>
      <c r="E735" s="127" t="n">
        <v>0</v>
      </c>
    </row>
    <row r="736" customFormat="false" ht="14.25" hidden="false" customHeight="false" outlineLevel="0" collapsed="false">
      <c r="B736" s="126" t="n">
        <v>1113675150</v>
      </c>
      <c r="C736" s="127" t="n">
        <v>0</v>
      </c>
      <c r="D736" s="127" t="n">
        <v>5.182</v>
      </c>
      <c r="E736" s="127" t="n">
        <v>0</v>
      </c>
    </row>
    <row r="737" customFormat="false" ht="14.25" hidden="false" customHeight="false" outlineLevel="0" collapsed="false">
      <c r="B737" s="126" t="n">
        <v>1113780469</v>
      </c>
      <c r="C737" s="127" t="n">
        <v>0</v>
      </c>
      <c r="D737" s="127" t="n">
        <v>2.4968</v>
      </c>
      <c r="E737" s="127" t="n">
        <v>0</v>
      </c>
    </row>
    <row r="738" customFormat="false" ht="14.25" hidden="false" customHeight="false" outlineLevel="0" collapsed="false">
      <c r="B738" s="126" t="n">
        <v>1113790401</v>
      </c>
      <c r="C738" s="127" t="n">
        <v>0</v>
      </c>
      <c r="D738" s="127" t="n">
        <v>28.1357142857143</v>
      </c>
      <c r="E738" s="127" t="n">
        <v>1.01182266009852</v>
      </c>
    </row>
    <row r="739" customFormat="false" ht="14.25" hidden="false" customHeight="false" outlineLevel="0" collapsed="false">
      <c r="B739" s="126" t="n">
        <v>1114388985</v>
      </c>
      <c r="C739" s="127" t="n">
        <v>0</v>
      </c>
      <c r="D739" s="127" t="n">
        <v>42.3106666666667</v>
      </c>
      <c r="E739" s="127" t="n">
        <v>2.44885057471264</v>
      </c>
    </row>
    <row r="740" customFormat="false" ht="14.25" hidden="false" customHeight="false" outlineLevel="0" collapsed="false">
      <c r="B740" s="126" t="n">
        <v>1114452585</v>
      </c>
      <c r="C740" s="127" t="n">
        <v>0</v>
      </c>
      <c r="D740" s="127" t="n">
        <v>22.5373333333333</v>
      </c>
      <c r="E740" s="127" t="n">
        <v>0</v>
      </c>
    </row>
    <row r="741" customFormat="false" ht="14.25" hidden="false" customHeight="false" outlineLevel="0" collapsed="false">
      <c r="B741" s="126" t="n">
        <v>1114877587</v>
      </c>
      <c r="C741" s="127" t="n">
        <v>0</v>
      </c>
      <c r="D741" s="127" t="n">
        <v>16.9524</v>
      </c>
      <c r="E741" s="127" t="n">
        <v>1.60896551724138</v>
      </c>
    </row>
    <row r="742" customFormat="false" ht="14.25" hidden="false" customHeight="false" outlineLevel="0" collapsed="false">
      <c r="B742" s="126" t="n">
        <v>1114894351</v>
      </c>
      <c r="C742" s="127" t="n">
        <v>0</v>
      </c>
      <c r="D742" s="127" t="n">
        <v>39.366</v>
      </c>
      <c r="E742" s="127" t="n">
        <v>3.12206896551724</v>
      </c>
    </row>
    <row r="743" customFormat="false" ht="14.25" hidden="false" customHeight="false" outlineLevel="0" collapsed="false">
      <c r="B743" s="126" t="n">
        <v>1115091034</v>
      </c>
      <c r="C743" s="127" t="n">
        <v>0</v>
      </c>
      <c r="D743" s="127" t="n">
        <v>6.62333333333333</v>
      </c>
      <c r="E743" s="127" t="n">
        <v>0.784827586206897</v>
      </c>
    </row>
    <row r="744" customFormat="false" ht="14.25" hidden="false" customHeight="false" outlineLevel="0" collapsed="false">
      <c r="B744" s="126" t="n">
        <v>1115191571</v>
      </c>
      <c r="C744" s="127" t="n">
        <v>0</v>
      </c>
      <c r="D744" s="127" t="n">
        <v>9.10466666666667</v>
      </c>
      <c r="E744" s="127" t="n">
        <v>0</v>
      </c>
    </row>
    <row r="745" customFormat="false" ht="14.25" hidden="false" customHeight="false" outlineLevel="0" collapsed="false">
      <c r="B745" s="126" t="n">
        <v>1116250601</v>
      </c>
      <c r="C745" s="127" t="n">
        <v>0</v>
      </c>
      <c r="D745" s="127" t="n">
        <v>45.48</v>
      </c>
      <c r="E745" s="127" t="n">
        <v>0</v>
      </c>
    </row>
    <row r="746" customFormat="false" ht="14.25" hidden="false" customHeight="false" outlineLevel="0" collapsed="false">
      <c r="B746" s="126" t="n">
        <v>1116261599</v>
      </c>
      <c r="C746" s="127" t="n">
        <v>0</v>
      </c>
      <c r="D746" s="127" t="n">
        <v>12.6104</v>
      </c>
      <c r="E746" s="127" t="n">
        <v>0.725862068965517</v>
      </c>
    </row>
    <row r="747" customFormat="false" ht="14.25" hidden="false" customHeight="false" outlineLevel="0" collapsed="false">
      <c r="B747" s="126" t="n">
        <v>1118282261</v>
      </c>
      <c r="C747" s="127" t="n">
        <v>0</v>
      </c>
      <c r="D747" s="127" t="n">
        <v>28.6464</v>
      </c>
      <c r="E747" s="127" t="n">
        <v>1.40206896551724</v>
      </c>
    </row>
    <row r="748" customFormat="false" ht="14.25" hidden="false" customHeight="false" outlineLevel="0" collapsed="false">
      <c r="B748" s="126" t="n">
        <v>1118302328</v>
      </c>
      <c r="C748" s="127" t="n">
        <v>0</v>
      </c>
      <c r="D748" s="127" t="n">
        <v>13.6386666666667</v>
      </c>
      <c r="E748" s="127" t="n">
        <v>0</v>
      </c>
    </row>
    <row r="749" customFormat="false" ht="14.25" hidden="false" customHeight="false" outlineLevel="0" collapsed="false">
      <c r="B749" s="126" t="n">
        <v>1118312185</v>
      </c>
      <c r="C749" s="127" t="n">
        <v>0</v>
      </c>
      <c r="D749" s="127" t="n">
        <v>2.404</v>
      </c>
      <c r="E749" s="127" t="n">
        <v>1.11793103448276</v>
      </c>
    </row>
    <row r="750" customFormat="false" ht="14.25" hidden="false" customHeight="false" outlineLevel="0" collapsed="false">
      <c r="B750" s="126" t="n">
        <v>1124868351</v>
      </c>
      <c r="C750" s="127" t="n">
        <v>0</v>
      </c>
      <c r="D750" s="127" t="n">
        <v>0.37</v>
      </c>
      <c r="E750" s="127" t="n">
        <v>0.303694581280788</v>
      </c>
    </row>
    <row r="751" customFormat="false" ht="14.25" hidden="false" customHeight="false" outlineLevel="0" collapsed="false">
      <c r="B751" s="126" t="n">
        <v>1127210084</v>
      </c>
      <c r="C751" s="127" t="n">
        <v>0</v>
      </c>
      <c r="D751" s="127" t="n">
        <v>42.5433333333333</v>
      </c>
      <c r="E751" s="127" t="n">
        <v>2.82</v>
      </c>
    </row>
    <row r="752" customFormat="false" ht="14.25" hidden="false" customHeight="false" outlineLevel="0" collapsed="false">
      <c r="B752" s="126" t="n">
        <v>1130587720</v>
      </c>
      <c r="C752" s="127" t="n">
        <v>0</v>
      </c>
      <c r="D752" s="127" t="n">
        <v>3.0884</v>
      </c>
      <c r="E752" s="127" t="n">
        <v>1.37931034482759</v>
      </c>
    </row>
    <row r="753" customFormat="false" ht="14.25" hidden="false" customHeight="false" outlineLevel="0" collapsed="false">
      <c r="B753" s="126" t="n">
        <v>1130590645</v>
      </c>
      <c r="C753" s="127" t="n">
        <v>0</v>
      </c>
      <c r="D753" s="127" t="n">
        <v>18.9512</v>
      </c>
      <c r="E753" s="127" t="n">
        <v>0</v>
      </c>
    </row>
    <row r="754" customFormat="false" ht="14.25" hidden="false" customHeight="false" outlineLevel="0" collapsed="false">
      <c r="B754" s="126" t="n">
        <v>1130600614</v>
      </c>
      <c r="C754" s="127" t="n">
        <v>0</v>
      </c>
      <c r="D754" s="127" t="n">
        <v>3.32066666666667</v>
      </c>
      <c r="E754" s="127" t="n">
        <v>0.469540229885057</v>
      </c>
    </row>
    <row r="755" customFormat="false" ht="14.25" hidden="false" customHeight="false" outlineLevel="0" collapsed="false">
      <c r="B755" s="126" t="n">
        <v>1130609348</v>
      </c>
      <c r="C755" s="127" t="n">
        <v>0</v>
      </c>
      <c r="D755" s="127" t="n">
        <v>14.7536</v>
      </c>
      <c r="E755" s="127" t="n">
        <v>4.26241379310345</v>
      </c>
    </row>
    <row r="756" customFormat="false" ht="14.25" hidden="false" customHeight="false" outlineLevel="0" collapsed="false">
      <c r="B756" s="126" t="n">
        <v>1130612767</v>
      </c>
      <c r="C756" s="127" t="n">
        <v>0</v>
      </c>
      <c r="D756" s="127" t="n">
        <v>6.1208</v>
      </c>
      <c r="E756" s="127" t="n">
        <v>0.501970443349754</v>
      </c>
    </row>
    <row r="757" customFormat="false" ht="14.25" hidden="false" customHeight="false" outlineLevel="0" collapsed="false">
      <c r="B757" s="126" t="n">
        <v>1130617415</v>
      </c>
      <c r="C757" s="127" t="n">
        <v>0</v>
      </c>
      <c r="D757" s="127" t="n">
        <v>13.8186666666667</v>
      </c>
      <c r="E757" s="127" t="n">
        <v>6.96954022988506</v>
      </c>
    </row>
    <row r="758" customFormat="false" ht="14.25" hidden="false" customHeight="false" outlineLevel="0" collapsed="false">
      <c r="B758" s="126" t="n">
        <v>1130620889</v>
      </c>
      <c r="C758" s="127" t="n">
        <v>0</v>
      </c>
      <c r="D758" s="127" t="n">
        <v>45.4173333333333</v>
      </c>
      <c r="E758" s="127" t="n">
        <v>0</v>
      </c>
    </row>
    <row r="759" customFormat="false" ht="14.25" hidden="false" customHeight="false" outlineLevel="0" collapsed="false">
      <c r="B759" s="126" t="n">
        <v>1130632864</v>
      </c>
      <c r="C759" s="127" t="n">
        <v>0</v>
      </c>
      <c r="D759" s="127" t="n">
        <v>8.63914285714286</v>
      </c>
      <c r="E759" s="127" t="n">
        <v>1.22167487684729</v>
      </c>
    </row>
    <row r="760" customFormat="false" ht="14.25" hidden="false" customHeight="false" outlineLevel="0" collapsed="false">
      <c r="B760" s="126" t="n">
        <v>1130635381</v>
      </c>
      <c r="C760" s="127" t="n">
        <v>0</v>
      </c>
      <c r="D760" s="127" t="n">
        <v>17.7691428571429</v>
      </c>
      <c r="E760" s="127" t="n">
        <v>0</v>
      </c>
    </row>
    <row r="761" customFormat="false" ht="14.25" hidden="false" customHeight="false" outlineLevel="0" collapsed="false">
      <c r="B761" s="126" t="n">
        <v>1130635860</v>
      </c>
      <c r="C761" s="127" t="n">
        <v>0</v>
      </c>
      <c r="D761" s="127" t="n">
        <v>7.0752</v>
      </c>
      <c r="E761" s="127" t="n">
        <v>1.81586206896552</v>
      </c>
    </row>
    <row r="762" customFormat="false" ht="14.25" hidden="false" customHeight="false" outlineLevel="0" collapsed="false">
      <c r="B762" s="126" t="n">
        <v>1130639336</v>
      </c>
      <c r="C762" s="127" t="n">
        <v>0</v>
      </c>
      <c r="D762" s="127" t="n">
        <v>23.2766</v>
      </c>
      <c r="E762" s="127" t="n">
        <v>0.0617241379310345</v>
      </c>
    </row>
    <row r="763" customFormat="false" ht="14.25" hidden="false" customHeight="false" outlineLevel="0" collapsed="false">
      <c r="B763" s="126" t="n">
        <v>1130640618</v>
      </c>
      <c r="C763" s="127" t="n">
        <v>0</v>
      </c>
      <c r="D763" s="127" t="n">
        <v>1.13</v>
      </c>
      <c r="E763" s="127" t="n">
        <v>0</v>
      </c>
    </row>
    <row r="764" customFormat="false" ht="14.25" hidden="false" customHeight="false" outlineLevel="0" collapsed="false">
      <c r="B764" s="126" t="n">
        <v>1130647219</v>
      </c>
      <c r="C764" s="127" t="n">
        <v>0</v>
      </c>
      <c r="D764" s="127" t="n">
        <v>17.5753333333333</v>
      </c>
      <c r="E764" s="127" t="n">
        <v>1.42172413793103</v>
      </c>
    </row>
    <row r="765" customFormat="false" ht="14.25" hidden="false" customHeight="false" outlineLevel="0" collapsed="false">
      <c r="B765" s="126" t="n">
        <v>1130651554</v>
      </c>
      <c r="C765" s="127" t="n">
        <v>0</v>
      </c>
      <c r="D765" s="127" t="n">
        <v>40.5773333333333</v>
      </c>
      <c r="E765" s="127" t="n">
        <v>1.52827586206897</v>
      </c>
    </row>
    <row r="766" customFormat="false" ht="14.25" hidden="false" customHeight="false" outlineLevel="0" collapsed="false">
      <c r="B766" s="126" t="n">
        <v>1130652023</v>
      </c>
      <c r="C766" s="127" t="n">
        <v>0</v>
      </c>
      <c r="D766" s="127" t="n">
        <v>2.87333333333333</v>
      </c>
      <c r="E766" s="127" t="n">
        <v>0</v>
      </c>
    </row>
    <row r="767" customFormat="false" ht="14.25" hidden="false" customHeight="false" outlineLevel="0" collapsed="false">
      <c r="B767" s="126" t="n">
        <v>1130656042</v>
      </c>
      <c r="C767" s="127" t="n">
        <v>0</v>
      </c>
      <c r="D767" s="127" t="n">
        <v>2.216</v>
      </c>
      <c r="E767" s="127" t="n">
        <v>0</v>
      </c>
    </row>
    <row r="768" customFormat="false" ht="14.25" hidden="false" customHeight="false" outlineLevel="0" collapsed="false">
      <c r="B768" s="126" t="n">
        <v>1130661912</v>
      </c>
      <c r="C768" s="127" t="n">
        <v>0</v>
      </c>
      <c r="D768" s="127" t="n">
        <v>35.2928571428571</v>
      </c>
      <c r="E768" s="127" t="n">
        <v>2.03029556650246</v>
      </c>
    </row>
    <row r="769" customFormat="false" ht="14.25" hidden="false" customHeight="false" outlineLevel="0" collapsed="false">
      <c r="B769" s="126" t="n">
        <v>1130679196</v>
      </c>
      <c r="C769" s="127" t="n">
        <v>0</v>
      </c>
      <c r="D769" s="127" t="n">
        <v>25.1448</v>
      </c>
      <c r="E769" s="127" t="n">
        <v>2.07724137931035</v>
      </c>
    </row>
    <row r="770" customFormat="false" ht="14.25" hidden="false" customHeight="false" outlineLevel="0" collapsed="false">
      <c r="B770" s="126" t="n">
        <v>1143825691</v>
      </c>
      <c r="C770" s="127" t="n">
        <v>0</v>
      </c>
      <c r="D770" s="127" t="n">
        <v>83.7352</v>
      </c>
      <c r="E770" s="127" t="n">
        <v>0</v>
      </c>
    </row>
    <row r="771" customFormat="false" ht="14.25" hidden="false" customHeight="false" outlineLevel="0" collapsed="false">
      <c r="B771" s="126" t="n">
        <v>1143828909</v>
      </c>
      <c r="C771" s="127" t="n">
        <v>0</v>
      </c>
      <c r="D771" s="127" t="n">
        <v>24.5297142857143</v>
      </c>
      <c r="E771" s="127" t="n">
        <v>2.93568965517241</v>
      </c>
    </row>
    <row r="772" customFormat="false" ht="14.25" hidden="false" customHeight="false" outlineLevel="0" collapsed="false">
      <c r="B772" s="126" t="n">
        <v>1143830949</v>
      </c>
      <c r="C772" s="127" t="n">
        <v>0</v>
      </c>
      <c r="D772" s="127" t="n">
        <v>21.2612</v>
      </c>
      <c r="E772" s="127" t="n">
        <v>0</v>
      </c>
    </row>
    <row r="773" customFormat="false" ht="14.25" hidden="false" customHeight="false" outlineLevel="0" collapsed="false">
      <c r="B773" s="126" t="n">
        <v>1143840210</v>
      </c>
      <c r="C773" s="127" t="n">
        <v>0</v>
      </c>
      <c r="D773" s="127" t="n">
        <v>19.2876</v>
      </c>
      <c r="E773" s="127" t="n">
        <v>0.637586206896552</v>
      </c>
    </row>
    <row r="774" customFormat="false" ht="14.25" hidden="false" customHeight="false" outlineLevel="0" collapsed="false">
      <c r="B774" s="126" t="n">
        <v>1143854728</v>
      </c>
      <c r="C774" s="127" t="n">
        <v>0</v>
      </c>
      <c r="D774" s="127" t="n">
        <v>1.84542857142857</v>
      </c>
      <c r="E774" s="127" t="n">
        <v>1.24551724137931</v>
      </c>
    </row>
    <row r="775" customFormat="false" ht="14.25" hidden="false" customHeight="false" outlineLevel="0" collapsed="false">
      <c r="B775" s="126" t="n">
        <v>1143857356</v>
      </c>
      <c r="C775" s="127" t="n">
        <v>0</v>
      </c>
      <c r="D775" s="127" t="n">
        <v>3.89533333333333</v>
      </c>
      <c r="E775" s="127" t="n">
        <v>1.36724137931034</v>
      </c>
    </row>
    <row r="776" customFormat="false" ht="14.25" hidden="false" customHeight="false" outlineLevel="0" collapsed="false">
      <c r="B776" s="126" t="n">
        <v>1143863088</v>
      </c>
      <c r="C776" s="127" t="n">
        <v>0</v>
      </c>
      <c r="D776" s="127" t="n">
        <v>2.5264</v>
      </c>
      <c r="E776" s="127" t="n">
        <v>0</v>
      </c>
    </row>
    <row r="777" customFormat="false" ht="14.25" hidden="false" customHeight="false" outlineLevel="0" collapsed="false">
      <c r="B777" s="126" t="n">
        <v>1143873944</v>
      </c>
      <c r="C777" s="127" t="n">
        <v>0</v>
      </c>
      <c r="D777" s="127" t="n">
        <v>7.33666666666667</v>
      </c>
      <c r="E777" s="127" t="n">
        <v>0</v>
      </c>
    </row>
    <row r="778" customFormat="false" ht="14.25" hidden="false" customHeight="false" outlineLevel="0" collapsed="false">
      <c r="B778" s="126" t="n">
        <v>1143929292</v>
      </c>
      <c r="C778" s="127" t="n">
        <v>0</v>
      </c>
      <c r="D778" s="127" t="n">
        <v>55.3173333333333</v>
      </c>
      <c r="E778" s="127" t="n">
        <v>0</v>
      </c>
    </row>
    <row r="779" customFormat="false" ht="14.25" hidden="false" customHeight="false" outlineLevel="0" collapsed="false">
      <c r="B779" s="126" t="n">
        <v>1143930916</v>
      </c>
      <c r="C779" s="127" t="n">
        <v>0</v>
      </c>
      <c r="D779" s="127" t="n">
        <v>61.2453333333333</v>
      </c>
      <c r="E779" s="127" t="n">
        <v>3.18034482758621</v>
      </c>
    </row>
    <row r="780" customFormat="false" ht="14.25" hidden="false" customHeight="false" outlineLevel="0" collapsed="false">
      <c r="B780" s="126" t="n">
        <v>1143933305</v>
      </c>
      <c r="C780" s="127" t="n">
        <v>0</v>
      </c>
      <c r="D780" s="127" t="n">
        <v>34.8744</v>
      </c>
      <c r="E780" s="127" t="n">
        <v>4.0451724137931</v>
      </c>
    </row>
    <row r="781" customFormat="false" ht="14.25" hidden="false" customHeight="false" outlineLevel="0" collapsed="false">
      <c r="B781" s="126" t="n">
        <v>1143938768</v>
      </c>
      <c r="C781" s="127" t="n">
        <v>0</v>
      </c>
      <c r="D781" s="127" t="n">
        <v>6.894</v>
      </c>
      <c r="E781" s="127" t="n">
        <v>0</v>
      </c>
    </row>
    <row r="782" customFormat="false" ht="14.25" hidden="false" customHeight="false" outlineLevel="0" collapsed="false">
      <c r="B782" s="126" t="n">
        <v>1143939334</v>
      </c>
      <c r="C782" s="127" t="n">
        <v>0</v>
      </c>
      <c r="D782" s="127" t="n">
        <v>0.4796</v>
      </c>
      <c r="E782" s="127" t="n">
        <v>0</v>
      </c>
    </row>
    <row r="783" customFormat="false" ht="14.25" hidden="false" customHeight="false" outlineLevel="0" collapsed="false">
      <c r="B783" s="126" t="n">
        <v>1143939888</v>
      </c>
      <c r="C783" s="127" t="n">
        <v>0</v>
      </c>
      <c r="D783" s="127" t="n">
        <v>1.5968</v>
      </c>
      <c r="E783" s="127" t="n">
        <v>0</v>
      </c>
    </row>
    <row r="784" customFormat="false" ht="14.25" hidden="false" customHeight="false" outlineLevel="0" collapsed="false">
      <c r="B784" s="126" t="n">
        <v>1143952706</v>
      </c>
      <c r="C784" s="127" t="n">
        <v>0</v>
      </c>
      <c r="D784" s="127" t="n">
        <v>12.4326666666667</v>
      </c>
      <c r="E784" s="127" t="n">
        <v>2.00459770114943</v>
      </c>
    </row>
    <row r="785" customFormat="false" ht="14.25" hidden="false" customHeight="false" outlineLevel="0" collapsed="false">
      <c r="B785" s="126" t="n">
        <v>1143959417</v>
      </c>
      <c r="C785" s="127" t="n">
        <v>0</v>
      </c>
      <c r="D785" s="127" t="n">
        <v>2.142</v>
      </c>
      <c r="E785" s="127" t="n">
        <v>2.09620689655172</v>
      </c>
    </row>
    <row r="786" customFormat="false" ht="14.25" hidden="false" customHeight="false" outlineLevel="0" collapsed="false">
      <c r="B786" s="126" t="n">
        <v>1143970754</v>
      </c>
      <c r="C786" s="127" t="n">
        <v>0</v>
      </c>
      <c r="D786" s="127" t="n">
        <v>19.844</v>
      </c>
      <c r="E786" s="127" t="n">
        <v>0.438965517241379</v>
      </c>
    </row>
    <row r="787" customFormat="false" ht="14.25" hidden="false" customHeight="false" outlineLevel="0" collapsed="false">
      <c r="B787" s="126" t="n">
        <v>1143981851</v>
      </c>
      <c r="C787" s="127" t="n">
        <v>0</v>
      </c>
      <c r="D787" s="127" t="n">
        <v>33.2936</v>
      </c>
      <c r="E787" s="127" t="n">
        <v>0</v>
      </c>
    </row>
    <row r="788" customFormat="false" ht="14.25" hidden="false" customHeight="false" outlineLevel="0" collapsed="false">
      <c r="B788" s="126" t="n">
        <v>1143992553</v>
      </c>
      <c r="C788" s="127" t="n">
        <v>0</v>
      </c>
      <c r="D788" s="127" t="n">
        <v>3.34933333333333</v>
      </c>
      <c r="E788" s="127" t="n">
        <v>1.24034482758621</v>
      </c>
    </row>
    <row r="789" customFormat="false" ht="14.25" hidden="false" customHeight="false" outlineLevel="0" collapsed="false">
      <c r="B789" s="126" t="n">
        <v>1143992799</v>
      </c>
      <c r="C789" s="127" t="n">
        <v>0</v>
      </c>
      <c r="D789" s="127" t="n">
        <v>3.4484</v>
      </c>
      <c r="E789" s="127" t="n">
        <v>0</v>
      </c>
    </row>
    <row r="790" customFormat="false" ht="14.25" hidden="false" customHeight="false" outlineLevel="0" collapsed="false">
      <c r="B790" s="126" t="n">
        <v>1144024028</v>
      </c>
      <c r="C790" s="127" t="n">
        <v>0</v>
      </c>
      <c r="D790" s="127" t="n">
        <v>7.15666666666667</v>
      </c>
      <c r="E790" s="127" t="n">
        <v>6.26666666666667</v>
      </c>
    </row>
    <row r="791" customFormat="false" ht="14.25" hidden="false" customHeight="false" outlineLevel="0" collapsed="false">
      <c r="B791" s="126" t="n">
        <v>1144036968</v>
      </c>
      <c r="C791" s="127" t="n">
        <v>0</v>
      </c>
      <c r="D791" s="127" t="n">
        <v>25.242</v>
      </c>
      <c r="E791" s="127" t="n">
        <v>0.63</v>
      </c>
    </row>
    <row r="792" customFormat="false" ht="14.25" hidden="false" customHeight="false" outlineLevel="0" collapsed="false">
      <c r="B792" s="126" t="n">
        <v>1144055745</v>
      </c>
      <c r="C792" s="127" t="n">
        <v>0</v>
      </c>
      <c r="D792" s="127" t="n">
        <v>25.2268571428571</v>
      </c>
      <c r="E792" s="127" t="n">
        <v>0</v>
      </c>
    </row>
    <row r="793" customFormat="false" ht="14.25" hidden="false" customHeight="false" outlineLevel="0" collapsed="false">
      <c r="B793" s="126" t="n">
        <v>1144057584</v>
      </c>
      <c r="C793" s="127" t="n">
        <v>0</v>
      </c>
      <c r="D793" s="127" t="n">
        <v>15.2877142857143</v>
      </c>
      <c r="E793" s="127" t="n">
        <v>0.550985221674877</v>
      </c>
    </row>
    <row r="794" customFormat="false" ht="14.25" hidden="false" customHeight="false" outlineLevel="0" collapsed="false">
      <c r="B794" s="126" t="n">
        <v>1144063824</v>
      </c>
      <c r="C794" s="127" t="n">
        <v>0</v>
      </c>
      <c r="D794" s="127" t="n">
        <v>28.1452</v>
      </c>
      <c r="E794" s="127" t="n">
        <v>7.24758620689655</v>
      </c>
    </row>
    <row r="795" customFormat="false" ht="14.25" hidden="false" customHeight="false" outlineLevel="0" collapsed="false">
      <c r="B795" s="126" t="n">
        <v>1144063991</v>
      </c>
      <c r="C795" s="127" t="n">
        <v>0</v>
      </c>
      <c r="D795" s="127" t="n">
        <v>20.7086666666667</v>
      </c>
      <c r="E795" s="127" t="n">
        <v>2.52241379310345</v>
      </c>
    </row>
    <row r="796" customFormat="false" ht="14.25" hidden="false" customHeight="false" outlineLevel="0" collapsed="false">
      <c r="B796" s="126" t="n">
        <v>1144066636</v>
      </c>
      <c r="C796" s="127" t="n">
        <v>0</v>
      </c>
      <c r="D796" s="127" t="n">
        <v>15.2126666666667</v>
      </c>
      <c r="E796" s="127" t="n">
        <v>3.03</v>
      </c>
    </row>
    <row r="797" customFormat="false" ht="14.25" hidden="false" customHeight="false" outlineLevel="0" collapsed="false">
      <c r="B797" s="126" t="n">
        <v>1144066909</v>
      </c>
      <c r="C797" s="127" t="n">
        <v>0</v>
      </c>
      <c r="D797" s="127" t="n">
        <v>33.0688571428571</v>
      </c>
      <c r="E797" s="127" t="n">
        <v>1.8064039408867</v>
      </c>
    </row>
    <row r="798" customFormat="false" ht="14.25" hidden="false" customHeight="false" outlineLevel="0" collapsed="false">
      <c r="B798" s="126" t="n">
        <v>1144071455</v>
      </c>
      <c r="C798" s="127" t="n">
        <v>0</v>
      </c>
      <c r="D798" s="127" t="n">
        <v>15.4086666666667</v>
      </c>
      <c r="E798" s="127" t="n">
        <v>4.62</v>
      </c>
    </row>
    <row r="799" customFormat="false" ht="14.25" hidden="false" customHeight="false" outlineLevel="0" collapsed="false">
      <c r="B799" s="126" t="n">
        <v>1144073260</v>
      </c>
      <c r="C799" s="127" t="n">
        <v>0</v>
      </c>
      <c r="D799" s="127" t="n">
        <v>3.57666666666667</v>
      </c>
      <c r="E799" s="127" t="n">
        <v>0.267586206896552</v>
      </c>
    </row>
    <row r="800" customFormat="false" ht="14.25" hidden="false" customHeight="false" outlineLevel="0" collapsed="false">
      <c r="B800" s="126" t="n">
        <v>1144074529</v>
      </c>
      <c r="C800" s="127" t="n">
        <v>0</v>
      </c>
      <c r="D800" s="127" t="n">
        <v>25.5777142857143</v>
      </c>
      <c r="E800" s="127" t="n">
        <v>0</v>
      </c>
    </row>
    <row r="801" customFormat="false" ht="14.25" hidden="false" customHeight="false" outlineLevel="0" collapsed="false">
      <c r="B801" s="126" t="n">
        <v>1144075368</v>
      </c>
      <c r="C801" s="127" t="n">
        <v>0</v>
      </c>
      <c r="D801" s="127" t="n">
        <v>46.7056</v>
      </c>
      <c r="E801" s="127" t="n">
        <v>3.72206896551724</v>
      </c>
    </row>
    <row r="802" customFormat="false" ht="14.25" hidden="false" customHeight="false" outlineLevel="0" collapsed="false">
      <c r="B802" s="126" t="n">
        <v>1144078356</v>
      </c>
      <c r="C802" s="127" t="n">
        <v>0</v>
      </c>
      <c r="D802" s="127" t="n">
        <v>24.5514285714286</v>
      </c>
      <c r="E802" s="127" t="n">
        <v>3.69758620689655</v>
      </c>
    </row>
    <row r="803" customFormat="false" ht="14.25" hidden="false" customHeight="false" outlineLevel="0" collapsed="false">
      <c r="B803" s="126" t="n">
        <v>1144080528</v>
      </c>
      <c r="C803" s="127" t="n">
        <v>0</v>
      </c>
      <c r="D803" s="127" t="n">
        <v>1.4388</v>
      </c>
      <c r="E803" s="127" t="n">
        <v>2.63793103448276</v>
      </c>
    </row>
    <row r="804" customFormat="false" ht="14.25" hidden="false" customHeight="false" outlineLevel="0" collapsed="false">
      <c r="B804" s="126" t="n">
        <v>1144084984</v>
      </c>
      <c r="C804" s="127" t="n">
        <v>0</v>
      </c>
      <c r="D804" s="127" t="n">
        <v>24.7756</v>
      </c>
      <c r="E804" s="127" t="n">
        <v>0.351896551724138</v>
      </c>
    </row>
    <row r="805" customFormat="false" ht="14.25" hidden="false" customHeight="false" outlineLevel="0" collapsed="false">
      <c r="B805" s="126" t="n">
        <v>1144094459</v>
      </c>
      <c r="C805" s="127" t="n">
        <v>0</v>
      </c>
      <c r="D805" s="127" t="n">
        <v>3.23</v>
      </c>
      <c r="E805" s="127" t="n">
        <v>1.49252873563218</v>
      </c>
    </row>
    <row r="806" customFormat="false" ht="14.25" hidden="false" customHeight="false" outlineLevel="0" collapsed="false">
      <c r="B806" s="126" t="n">
        <v>1144097364</v>
      </c>
      <c r="C806" s="127" t="n">
        <v>0</v>
      </c>
      <c r="D806" s="127" t="n">
        <v>3.866</v>
      </c>
      <c r="E806" s="127" t="n">
        <v>0.195977011494253</v>
      </c>
    </row>
    <row r="807" customFormat="false" ht="14.25" hidden="false" customHeight="false" outlineLevel="0" collapsed="false">
      <c r="B807" s="126" t="n">
        <v>1144132148</v>
      </c>
      <c r="C807" s="127" t="n">
        <v>0</v>
      </c>
      <c r="D807" s="127" t="n">
        <v>25.0548</v>
      </c>
      <c r="E807" s="127" t="n">
        <v>0</v>
      </c>
    </row>
    <row r="808" customFormat="false" ht="14.25" hidden="false" customHeight="false" outlineLevel="0" collapsed="false">
      <c r="B808" s="126" t="n">
        <v>1144137869</v>
      </c>
      <c r="C808" s="127" t="n">
        <v>0</v>
      </c>
      <c r="D808" s="127" t="n">
        <v>57.9086666666667</v>
      </c>
      <c r="E808" s="127" t="n">
        <v>1.76206896551724</v>
      </c>
    </row>
    <row r="809" customFormat="false" ht="14.25" hidden="false" customHeight="false" outlineLevel="0" collapsed="false">
      <c r="B809" s="126" t="n">
        <v>1144139919</v>
      </c>
      <c r="C809" s="127" t="n">
        <v>0</v>
      </c>
      <c r="D809" s="127" t="n">
        <v>45.8712</v>
      </c>
      <c r="E809" s="127" t="n">
        <v>0</v>
      </c>
    </row>
    <row r="810" customFormat="false" ht="14.25" hidden="false" customHeight="false" outlineLevel="0" collapsed="false">
      <c r="B810" s="126" t="n">
        <v>1144141749</v>
      </c>
      <c r="C810" s="127" t="n">
        <v>0</v>
      </c>
      <c r="D810" s="127" t="n">
        <v>15.538</v>
      </c>
      <c r="E810" s="127" t="n">
        <v>1.0692118226601</v>
      </c>
    </row>
    <row r="811" customFormat="false" ht="14.25" hidden="false" customHeight="false" outlineLevel="0" collapsed="false">
      <c r="B811" s="126" t="n">
        <v>1144148505</v>
      </c>
      <c r="C811" s="127" t="n">
        <v>0</v>
      </c>
      <c r="D811" s="127" t="n">
        <v>10.6226666666667</v>
      </c>
      <c r="E811" s="127" t="n">
        <v>1.17965517241379</v>
      </c>
    </row>
    <row r="812" customFormat="false" ht="14.25" hidden="false" customHeight="false" outlineLevel="0" collapsed="false">
      <c r="B812" s="126" t="n">
        <v>1144149341</v>
      </c>
      <c r="C812" s="127" t="n">
        <v>0</v>
      </c>
      <c r="D812" s="127" t="n">
        <v>5.11066666666667</v>
      </c>
      <c r="E812" s="127" t="n">
        <v>2.01494252873563</v>
      </c>
    </row>
    <row r="813" customFormat="false" ht="14.25" hidden="false" customHeight="false" outlineLevel="0" collapsed="false">
      <c r="B813" s="126" t="n">
        <v>1144154282</v>
      </c>
      <c r="C813" s="127" t="n">
        <v>0</v>
      </c>
      <c r="D813" s="127" t="n">
        <v>6.2632</v>
      </c>
      <c r="E813" s="127" t="n">
        <v>0</v>
      </c>
    </row>
    <row r="814" customFormat="false" ht="14.25" hidden="false" customHeight="false" outlineLevel="0" collapsed="false">
      <c r="B814" s="126" t="n">
        <v>1144154389</v>
      </c>
      <c r="C814" s="127" t="n">
        <v>0</v>
      </c>
      <c r="D814" s="127" t="n">
        <v>20.2976</v>
      </c>
      <c r="E814" s="127" t="n">
        <v>2.24344827586207</v>
      </c>
    </row>
    <row r="815" customFormat="false" ht="14.25" hidden="false" customHeight="false" outlineLevel="0" collapsed="false">
      <c r="B815" s="126" t="n">
        <v>1144155126</v>
      </c>
      <c r="C815" s="127" t="n">
        <v>0</v>
      </c>
      <c r="D815" s="127" t="n">
        <v>5.93266666666667</v>
      </c>
      <c r="E815" s="127" t="n">
        <v>0</v>
      </c>
    </row>
    <row r="816" customFormat="false" ht="14.25" hidden="false" customHeight="false" outlineLevel="0" collapsed="false">
      <c r="B816" s="126" t="n">
        <v>1144163849</v>
      </c>
      <c r="C816" s="127" t="n">
        <v>0</v>
      </c>
      <c r="D816" s="127" t="n">
        <v>29.5054285714286</v>
      </c>
      <c r="E816" s="127" t="n">
        <v>6.08571428571429</v>
      </c>
    </row>
    <row r="817" customFormat="false" ht="14.25" hidden="false" customHeight="false" outlineLevel="0" collapsed="false">
      <c r="B817" s="126" t="n">
        <v>1144164907</v>
      </c>
      <c r="C817" s="127" t="n">
        <v>0</v>
      </c>
      <c r="D817" s="127" t="n">
        <v>1.848</v>
      </c>
      <c r="E817" s="127" t="n">
        <v>0.506206896551724</v>
      </c>
    </row>
    <row r="818" customFormat="false" ht="14.25" hidden="false" customHeight="false" outlineLevel="0" collapsed="false">
      <c r="B818" s="126" t="n">
        <v>1144166828</v>
      </c>
      <c r="C818" s="127" t="n">
        <v>0</v>
      </c>
      <c r="D818" s="127" t="n">
        <v>0.1874</v>
      </c>
      <c r="E818" s="127" t="n">
        <v>0.000517241379310345</v>
      </c>
    </row>
    <row r="819" customFormat="false" ht="14.25" hidden="false" customHeight="false" outlineLevel="0" collapsed="false">
      <c r="B819" s="126" t="n">
        <v>1144167005</v>
      </c>
      <c r="C819" s="127" t="n">
        <v>0</v>
      </c>
      <c r="D819" s="127" t="n">
        <v>3.12466666666667</v>
      </c>
      <c r="E819" s="127" t="n">
        <v>1.58045977011494</v>
      </c>
    </row>
    <row r="820" customFormat="false" ht="14.25" hidden="false" customHeight="false" outlineLevel="0" collapsed="false">
      <c r="B820" s="126" t="n">
        <v>1144168203</v>
      </c>
      <c r="C820" s="127" t="n">
        <v>0</v>
      </c>
      <c r="D820" s="127" t="n">
        <v>1.8652</v>
      </c>
      <c r="E820" s="127" t="n">
        <v>0.363103448275862</v>
      </c>
    </row>
    <row r="821" customFormat="false" ht="14.25" hidden="false" customHeight="false" outlineLevel="0" collapsed="false">
      <c r="B821" s="126" t="n">
        <v>1144169439</v>
      </c>
      <c r="C821" s="127" t="n">
        <v>0</v>
      </c>
      <c r="D821" s="127" t="n">
        <v>1.6</v>
      </c>
      <c r="E821" s="127" t="n">
        <v>0</v>
      </c>
    </row>
    <row r="822" customFormat="false" ht="14.25" hidden="false" customHeight="false" outlineLevel="0" collapsed="false">
      <c r="B822" s="126" t="n">
        <v>1144169695</v>
      </c>
      <c r="C822" s="127" t="n">
        <v>0</v>
      </c>
      <c r="D822" s="127" t="n">
        <v>16.3293333333333</v>
      </c>
      <c r="E822" s="127" t="n">
        <v>1.86689655172414</v>
      </c>
    </row>
    <row r="823" customFormat="false" ht="14.25" hidden="false" customHeight="false" outlineLevel="0" collapsed="false">
      <c r="B823" s="126" t="n">
        <v>1144170609</v>
      </c>
      <c r="C823" s="127" t="n">
        <v>0</v>
      </c>
      <c r="D823" s="127" t="n">
        <v>27.802</v>
      </c>
      <c r="E823" s="127" t="n">
        <v>0.0903448275862069</v>
      </c>
    </row>
    <row r="824" customFormat="false" ht="14.25" hidden="false" customHeight="false" outlineLevel="0" collapsed="false">
      <c r="B824" s="126" t="n">
        <v>1144173148</v>
      </c>
      <c r="C824" s="127" t="n">
        <v>0</v>
      </c>
      <c r="D824" s="127" t="n">
        <v>2.4672</v>
      </c>
      <c r="E824" s="127" t="n">
        <v>0</v>
      </c>
    </row>
    <row r="825" customFormat="false" ht="14.25" hidden="false" customHeight="false" outlineLevel="0" collapsed="false">
      <c r="B825" s="126" t="n">
        <v>1144189150</v>
      </c>
      <c r="C825" s="127" t="n">
        <v>0</v>
      </c>
      <c r="D825" s="127" t="n">
        <v>43.9438</v>
      </c>
      <c r="E825" s="127" t="n">
        <v>0</v>
      </c>
    </row>
    <row r="826" customFormat="false" ht="14.25" hidden="false" customHeight="false" outlineLevel="0" collapsed="false">
      <c r="B826" s="126" t="n">
        <v>1144190079</v>
      </c>
      <c r="C826" s="127" t="n">
        <v>0</v>
      </c>
      <c r="D826" s="127" t="n">
        <v>2.85933333333333</v>
      </c>
      <c r="E826" s="127" t="n">
        <v>0</v>
      </c>
    </row>
    <row r="827" customFormat="false" ht="14.25" hidden="false" customHeight="false" outlineLevel="0" collapsed="false">
      <c r="B827" s="126" t="n">
        <v>1144198209</v>
      </c>
      <c r="C827" s="127" t="n">
        <v>0</v>
      </c>
      <c r="D827" s="127" t="n">
        <v>22.5713333333333</v>
      </c>
      <c r="E827" s="127" t="n">
        <v>0.517241379310345</v>
      </c>
    </row>
    <row r="828" customFormat="false" ht="14.25" hidden="false" customHeight="false" outlineLevel="0" collapsed="false">
      <c r="B828" s="126" t="n">
        <v>1144203050</v>
      </c>
      <c r="C828" s="127" t="n">
        <v>0</v>
      </c>
      <c r="D828" s="127" t="n">
        <v>3.46933333333333</v>
      </c>
      <c r="E828" s="127" t="n">
        <v>2.24022988505747</v>
      </c>
    </row>
    <row r="829" customFormat="false" ht="14.25" hidden="false" customHeight="false" outlineLevel="0" collapsed="false">
      <c r="B829" s="126" t="n">
        <v>1144205254</v>
      </c>
      <c r="C829" s="127" t="n">
        <v>0</v>
      </c>
      <c r="D829" s="127" t="n">
        <v>2.448</v>
      </c>
      <c r="E829" s="127" t="n">
        <v>0.632758620689655</v>
      </c>
    </row>
    <row r="830" customFormat="false" ht="14.25" hidden="false" customHeight="false" outlineLevel="0" collapsed="false">
      <c r="B830" s="126" t="n">
        <v>1151934634</v>
      </c>
      <c r="C830" s="127" t="n">
        <v>0</v>
      </c>
      <c r="D830" s="127" t="n">
        <v>1.735</v>
      </c>
      <c r="E830" s="127" t="n">
        <v>0</v>
      </c>
    </row>
    <row r="831" customFormat="false" ht="14.25" hidden="false" customHeight="false" outlineLevel="0" collapsed="false">
      <c r="B831" s="126" t="n">
        <v>1151942706</v>
      </c>
      <c r="C831" s="127" t="n">
        <v>0</v>
      </c>
      <c r="D831" s="127" t="n">
        <v>3.414</v>
      </c>
      <c r="E831" s="127" t="n">
        <v>0.0551724137931035</v>
      </c>
    </row>
    <row r="832" customFormat="false" ht="14.25" hidden="false" customHeight="false" outlineLevel="0" collapsed="false">
      <c r="B832" s="126" t="n">
        <v>1151948942</v>
      </c>
      <c r="C832" s="127" t="n">
        <v>0</v>
      </c>
      <c r="D832" s="127" t="n">
        <v>9.576</v>
      </c>
      <c r="E832" s="127" t="n">
        <v>7.24367816091954</v>
      </c>
    </row>
    <row r="833" customFormat="false" ht="14.25" hidden="false" customHeight="false" outlineLevel="0" collapsed="false">
      <c r="B833" s="126" t="n">
        <v>1151954667</v>
      </c>
      <c r="C833" s="127" t="n">
        <v>0</v>
      </c>
      <c r="D833" s="127" t="n">
        <v>25.2508</v>
      </c>
      <c r="E833" s="127" t="n">
        <v>2.33251231527094</v>
      </c>
    </row>
    <row r="834" customFormat="false" ht="14.25" hidden="false" customHeight="false" outlineLevel="0" collapsed="false">
      <c r="B834" s="126" t="n">
        <v>1151961640</v>
      </c>
      <c r="C834" s="127" t="n">
        <v>0</v>
      </c>
      <c r="D834" s="127" t="n">
        <v>32.9673333333333</v>
      </c>
      <c r="E834" s="127" t="n">
        <v>10.2126436781609</v>
      </c>
    </row>
    <row r="835" customFormat="false" ht="14.25" hidden="false" customHeight="false" outlineLevel="0" collapsed="false">
      <c r="B835" s="126" t="n">
        <v>1151971308</v>
      </c>
      <c r="C835" s="127" t="n">
        <v>0</v>
      </c>
      <c r="D835" s="127" t="n">
        <v>1.58333333333333</v>
      </c>
      <c r="E835" s="127" t="n">
        <v>0</v>
      </c>
    </row>
    <row r="836" customFormat="false" ht="14.25" hidden="false" customHeight="false" outlineLevel="0" collapsed="false">
      <c r="B836" s="126" t="n">
        <v>1192919846</v>
      </c>
      <c r="C836" s="127" t="n">
        <v>0</v>
      </c>
      <c r="D836" s="127" t="n">
        <v>6.00333333333333</v>
      </c>
      <c r="E836" s="127" t="n">
        <v>0</v>
      </c>
    </row>
    <row r="837" customFormat="false" ht="14.25" hidden="false" customHeight="false" outlineLevel="0" collapsed="false">
      <c r="B837" s="126" t="n">
        <v>1193153919</v>
      </c>
      <c r="C837" s="127" t="n">
        <v>0</v>
      </c>
      <c r="D837" s="127" t="n">
        <v>14.422</v>
      </c>
      <c r="E837" s="127" t="n">
        <v>1.14942528735632</v>
      </c>
    </row>
    <row r="838" customFormat="false" ht="14.25" hidden="false" customHeight="false" outlineLevel="0" collapsed="false">
      <c r="B838" s="126" t="n">
        <v>1193399162</v>
      </c>
      <c r="C838" s="127" t="n">
        <v>0</v>
      </c>
      <c r="D838" s="127" t="n">
        <v>5.388</v>
      </c>
      <c r="E838" s="127" t="n">
        <v>0</v>
      </c>
    </row>
    <row r="839" customFormat="false" ht="14.25" hidden="false" customHeight="false" outlineLevel="0" collapsed="false">
      <c r="B839" s="126" t="n">
        <v>1193439539</v>
      </c>
      <c r="C839" s="127" t="n">
        <v>0</v>
      </c>
      <c r="D839" s="127" t="n">
        <v>32.034</v>
      </c>
      <c r="E839" s="127" t="n">
        <v>0</v>
      </c>
    </row>
    <row r="840" customFormat="false" ht="14.25" hidden="false" customHeight="false" outlineLevel="0" collapsed="false">
      <c r="B840" s="126" t="n">
        <v>1193548144</v>
      </c>
      <c r="C840" s="127" t="n">
        <v>0</v>
      </c>
      <c r="D840" s="127" t="n">
        <v>1.30733333333333</v>
      </c>
      <c r="E840" s="127" t="n">
        <v>0.299310344827586</v>
      </c>
    </row>
    <row r="841" customFormat="false" ht="14.25" hidden="false" customHeight="false" outlineLevel="0" collapsed="false">
      <c r="B841" s="126" t="n">
        <v>1214713542</v>
      </c>
      <c r="C841" s="127" t="n">
        <v>0</v>
      </c>
      <c r="D841" s="127" t="n">
        <v>5.19971428571429</v>
      </c>
      <c r="E841" s="127" t="n">
        <v>0</v>
      </c>
    </row>
    <row r="842" customFormat="false" ht="14.25" hidden="false" customHeight="false" outlineLevel="0" collapsed="false">
      <c r="B842" s="126" t="n">
        <v>1234190116</v>
      </c>
      <c r="C842" s="127" t="n">
        <v>0</v>
      </c>
      <c r="D842" s="127" t="n">
        <v>9.56733333333333</v>
      </c>
      <c r="E842" s="127" t="n">
        <v>1.64758620689655</v>
      </c>
    </row>
    <row r="843" customFormat="false" ht="14.25" hidden="false" customHeight="false" outlineLevel="0" collapsed="false">
      <c r="B843" s="126" t="n">
        <v>29117851</v>
      </c>
      <c r="C843" s="127" t="n">
        <v>0</v>
      </c>
      <c r="D843" s="127" t="n">
        <v>97.848</v>
      </c>
      <c r="E843" s="127" t="n">
        <v>80.2298850574713</v>
      </c>
    </row>
    <row r="844" customFormat="false" ht="14.25" hidden="false" customHeight="false" outlineLevel="0" collapsed="false">
      <c r="B844" s="126" t="n">
        <v>29360578</v>
      </c>
      <c r="C844" s="127" t="n">
        <v>0</v>
      </c>
      <c r="D844" s="127" t="n">
        <v>2.454</v>
      </c>
      <c r="E844" s="127" t="n">
        <v>3.20206896551724</v>
      </c>
    </row>
    <row r="845" customFormat="false" ht="14.25" hidden="false" customHeight="false" outlineLevel="0" collapsed="false">
      <c r="B845" s="126" t="n">
        <v>67006115</v>
      </c>
      <c r="C845" s="127" t="n">
        <v>0</v>
      </c>
      <c r="D845" s="127" t="n">
        <v>14.3956</v>
      </c>
      <c r="E845" s="127" t="n">
        <v>12.3256896551724</v>
      </c>
    </row>
    <row r="846" customFormat="false" ht="14.25" hidden="false" customHeight="false" outlineLevel="0" collapsed="false">
      <c r="B846" s="126" t="n">
        <v>1144059947</v>
      </c>
      <c r="C846" s="127" t="n">
        <v>0</v>
      </c>
      <c r="D846" s="127" t="n">
        <v>0.605333333333333</v>
      </c>
      <c r="E846" s="127" t="n">
        <v>0.52183908045977</v>
      </c>
    </row>
    <row r="847" customFormat="false" ht="14.25" hidden="false" customHeight="false" outlineLevel="0" collapsed="false">
      <c r="B847" s="126" t="n">
        <v>1144140877</v>
      </c>
      <c r="C847" s="127" t="n">
        <v>0</v>
      </c>
      <c r="D847" s="127" t="n">
        <v>6.82257142857143</v>
      </c>
      <c r="E847" s="127" t="n">
        <v>0.0194827586206897</v>
      </c>
    </row>
    <row r="848" customFormat="false" ht="14.25" hidden="false" customHeight="false" outlineLevel="0" collapsed="false">
      <c r="B848" s="126" t="n">
        <v>1144169886</v>
      </c>
      <c r="C848" s="127" t="n">
        <v>0</v>
      </c>
      <c r="D848" s="127" t="n">
        <v>22.9733333333333</v>
      </c>
      <c r="E848" s="127" t="n">
        <v>0</v>
      </c>
    </row>
    <row r="849" customFormat="false" ht="14.25" hidden="false" customHeight="false" outlineLevel="0" collapsed="false">
      <c r="B849" s="126" t="n">
        <v>14609734</v>
      </c>
      <c r="C849" s="127" t="n">
        <v>0</v>
      </c>
      <c r="D849" s="127" t="n">
        <v>0.757333333333333</v>
      </c>
      <c r="E849" s="127" t="n">
        <v>2.40804597701149</v>
      </c>
    </row>
    <row r="850" customFormat="false" ht="14.25" hidden="false" customHeight="false" outlineLevel="0" collapsed="false">
      <c r="B850" s="126" t="n">
        <v>16778716</v>
      </c>
      <c r="C850" s="127" t="n">
        <v>0</v>
      </c>
      <c r="D850" s="127" t="n">
        <v>13.8748</v>
      </c>
      <c r="E850" s="127" t="n">
        <v>0</v>
      </c>
    </row>
    <row r="851" customFormat="false" ht="14.25" hidden="false" customHeight="false" outlineLevel="0" collapsed="false">
      <c r="B851" s="126" t="n">
        <v>29877584</v>
      </c>
      <c r="C851" s="127" t="n">
        <v>0</v>
      </c>
      <c r="D851" s="127" t="n">
        <v>12.047</v>
      </c>
      <c r="E851" s="127" t="n">
        <v>0</v>
      </c>
    </row>
    <row r="852" customFormat="false" ht="14.25" hidden="false" customHeight="false" outlineLevel="0" collapsed="false">
      <c r="B852" s="126" t="n">
        <v>30303024</v>
      </c>
      <c r="C852" s="127" t="n">
        <v>0</v>
      </c>
      <c r="D852" s="127" t="n">
        <v>10.7576</v>
      </c>
      <c r="E852" s="127" t="n">
        <v>0</v>
      </c>
    </row>
    <row r="853" customFormat="false" ht="14.25" hidden="false" customHeight="false" outlineLevel="0" collapsed="false">
      <c r="B853" s="126" t="n">
        <v>31947980</v>
      </c>
      <c r="C853" s="127" t="n">
        <v>0</v>
      </c>
      <c r="D853" s="127" t="n">
        <v>3.66066666666667</v>
      </c>
      <c r="E853" s="127" t="n">
        <v>2.54827586206897</v>
      </c>
    </row>
    <row r="854" customFormat="false" ht="14.25" hidden="false" customHeight="false" outlineLevel="0" collapsed="false">
      <c r="B854" s="126" t="n">
        <v>66846381</v>
      </c>
      <c r="C854" s="127" t="n">
        <v>0</v>
      </c>
      <c r="D854" s="127" t="n">
        <v>33.3024</v>
      </c>
      <c r="E854" s="127" t="n">
        <v>0.0858620689655172</v>
      </c>
    </row>
    <row r="855" customFormat="false" ht="14.25" hidden="false" customHeight="false" outlineLevel="0" collapsed="false">
      <c r="B855" s="126" t="n">
        <v>67024877</v>
      </c>
      <c r="C855" s="127" t="n">
        <v>0</v>
      </c>
      <c r="D855" s="127" t="n">
        <v>3.23133333333333</v>
      </c>
      <c r="E855" s="127" t="n">
        <v>0</v>
      </c>
    </row>
    <row r="856" customFormat="false" ht="14.25" hidden="false" customHeight="false" outlineLevel="0" collapsed="false">
      <c r="B856" s="126" t="n">
        <v>1005712567</v>
      </c>
      <c r="C856" s="127" t="n">
        <v>0</v>
      </c>
      <c r="D856" s="127" t="n">
        <v>6.797</v>
      </c>
      <c r="E856" s="127" t="n">
        <v>0</v>
      </c>
    </row>
    <row r="857" customFormat="false" ht="14.25" hidden="false" customHeight="false" outlineLevel="0" collapsed="false">
      <c r="B857" s="126" t="n">
        <v>1006170029</v>
      </c>
      <c r="C857" s="127" t="n">
        <v>0</v>
      </c>
      <c r="D857" s="127" t="n">
        <v>27.748</v>
      </c>
      <c r="E857" s="127" t="n">
        <v>0</v>
      </c>
    </row>
    <row r="858" customFormat="false" ht="14.25" hidden="false" customHeight="false" outlineLevel="0" collapsed="false">
      <c r="B858" s="126" t="n">
        <v>1031163412</v>
      </c>
      <c r="C858" s="127" t="n">
        <v>0</v>
      </c>
      <c r="D858" s="127" t="n">
        <v>6.87866666666667</v>
      </c>
      <c r="E858" s="127" t="n">
        <v>0</v>
      </c>
    </row>
    <row r="859" customFormat="false" ht="14.25" hidden="false" customHeight="false" outlineLevel="0" collapsed="false">
      <c r="B859" s="126" t="n">
        <v>1059606598</v>
      </c>
      <c r="C859" s="127" t="n">
        <v>0</v>
      </c>
      <c r="D859" s="127" t="n">
        <v>3.84066666666667</v>
      </c>
      <c r="E859" s="127" t="n">
        <v>0</v>
      </c>
    </row>
    <row r="860" customFormat="false" ht="14.25" hidden="false" customHeight="false" outlineLevel="0" collapsed="false">
      <c r="B860" s="126" t="n">
        <v>1063813810</v>
      </c>
      <c r="C860" s="127" t="n">
        <v>0</v>
      </c>
      <c r="D860" s="127" t="n">
        <v>3.31933333333333</v>
      </c>
      <c r="E860" s="127" t="n">
        <v>0</v>
      </c>
    </row>
    <row r="861" customFormat="false" ht="14.25" hidden="false" customHeight="false" outlineLevel="0" collapsed="false">
      <c r="B861" s="126" t="n">
        <v>1107048198</v>
      </c>
      <c r="C861" s="127" t="n">
        <v>0</v>
      </c>
      <c r="D861" s="127" t="n">
        <v>14.947</v>
      </c>
      <c r="E861" s="127" t="n">
        <v>0</v>
      </c>
    </row>
    <row r="862" customFormat="false" ht="14.25" hidden="false" customHeight="false" outlineLevel="0" collapsed="false">
      <c r="B862" s="126" t="n">
        <v>1107081228</v>
      </c>
      <c r="C862" s="127" t="n">
        <v>0</v>
      </c>
      <c r="D862" s="127" t="n">
        <v>8.27666666666667</v>
      </c>
      <c r="E862" s="127" t="n">
        <v>0</v>
      </c>
    </row>
    <row r="863" customFormat="false" ht="14.25" hidden="false" customHeight="false" outlineLevel="0" collapsed="false">
      <c r="B863" s="126" t="n">
        <v>1112221381</v>
      </c>
      <c r="C863" s="127" t="n">
        <v>0</v>
      </c>
      <c r="D863" s="127" t="n">
        <v>18.0726666666667</v>
      </c>
      <c r="E863" s="127" t="n">
        <v>0</v>
      </c>
    </row>
    <row r="864" customFormat="false" ht="14.25" hidden="false" customHeight="false" outlineLevel="0" collapsed="false">
      <c r="B864" s="126" t="n">
        <v>1112465080</v>
      </c>
      <c r="C864" s="127" t="n">
        <v>0</v>
      </c>
      <c r="D864" s="127" t="n">
        <v>1.122</v>
      </c>
      <c r="E864" s="127" t="n">
        <v>0</v>
      </c>
    </row>
    <row r="865" customFormat="false" ht="14.25" hidden="false" customHeight="false" outlineLevel="0" collapsed="false">
      <c r="B865" s="126" t="n">
        <v>1114727465</v>
      </c>
      <c r="C865" s="127" t="n">
        <v>0</v>
      </c>
      <c r="D865" s="127" t="n">
        <v>142.928</v>
      </c>
      <c r="E865" s="127" t="n">
        <v>0</v>
      </c>
    </row>
    <row r="866" customFormat="false" ht="14.25" hidden="false" customHeight="false" outlineLevel="0" collapsed="false">
      <c r="B866" s="126" t="n">
        <v>1116275727</v>
      </c>
      <c r="C866" s="127" t="n">
        <v>0</v>
      </c>
      <c r="D866" s="127" t="n">
        <v>24.3204</v>
      </c>
      <c r="E866" s="127" t="n">
        <v>0.122413793103448</v>
      </c>
    </row>
    <row r="867" customFormat="false" ht="14.25" hidden="false" customHeight="false" outlineLevel="0" collapsed="false">
      <c r="B867" s="126" t="n">
        <v>1118308415</v>
      </c>
      <c r="C867" s="127" t="n">
        <v>0</v>
      </c>
      <c r="D867" s="127" t="n">
        <v>67.9326666666667</v>
      </c>
      <c r="E867" s="127" t="n">
        <v>0</v>
      </c>
    </row>
    <row r="868" customFormat="false" ht="14.25" hidden="false" customHeight="false" outlineLevel="0" collapsed="false">
      <c r="B868" s="126" t="n">
        <v>1130628345</v>
      </c>
      <c r="C868" s="127" t="n">
        <v>0</v>
      </c>
      <c r="D868" s="127" t="n">
        <v>1.45733333333333</v>
      </c>
      <c r="E868" s="127" t="n">
        <v>0</v>
      </c>
    </row>
    <row r="869" customFormat="false" ht="14.25" hidden="false" customHeight="false" outlineLevel="0" collapsed="false">
      <c r="B869" s="126" t="n">
        <v>1130629547</v>
      </c>
      <c r="C869" s="127" t="n">
        <v>0</v>
      </c>
      <c r="D869" s="127" t="n">
        <v>56.8757142857143</v>
      </c>
      <c r="E869" s="127" t="n">
        <v>0.199137931034483</v>
      </c>
    </row>
    <row r="870" customFormat="false" ht="14.25" hidden="false" customHeight="false" outlineLevel="0" collapsed="false">
      <c r="B870" s="126" t="n">
        <v>1130641716</v>
      </c>
      <c r="C870" s="127" t="n">
        <v>0</v>
      </c>
      <c r="D870" s="127" t="n">
        <v>32.0026666666667</v>
      </c>
      <c r="E870" s="127" t="n">
        <v>0</v>
      </c>
    </row>
    <row r="871" customFormat="false" ht="14.25" hidden="false" customHeight="false" outlineLevel="0" collapsed="false">
      <c r="B871" s="126" t="n">
        <v>1130652513</v>
      </c>
      <c r="C871" s="127" t="n">
        <v>0</v>
      </c>
      <c r="D871" s="127" t="n">
        <v>5.59066666666667</v>
      </c>
      <c r="E871" s="127" t="n">
        <v>0.013448275862069</v>
      </c>
    </row>
    <row r="872" customFormat="false" ht="14.25" hidden="false" customHeight="false" outlineLevel="0" collapsed="false">
      <c r="B872" s="126" t="n">
        <v>1143824022</v>
      </c>
      <c r="C872" s="127" t="n">
        <v>0</v>
      </c>
      <c r="D872" s="127" t="n">
        <v>2.424</v>
      </c>
      <c r="E872" s="127" t="n">
        <v>0</v>
      </c>
    </row>
    <row r="873" customFormat="false" ht="14.25" hidden="false" customHeight="false" outlineLevel="0" collapsed="false">
      <c r="B873" s="126" t="n">
        <v>1143836746</v>
      </c>
      <c r="C873" s="127" t="n">
        <v>0</v>
      </c>
      <c r="D873" s="127" t="n">
        <v>2.1932</v>
      </c>
      <c r="E873" s="127" t="n">
        <v>0</v>
      </c>
    </row>
    <row r="874" customFormat="false" ht="14.25" hidden="false" customHeight="false" outlineLevel="0" collapsed="false">
      <c r="B874" s="126" t="n">
        <v>1143944530</v>
      </c>
      <c r="C874" s="127" t="n">
        <v>0</v>
      </c>
      <c r="D874" s="127" t="n">
        <v>6.31333333333333</v>
      </c>
      <c r="E874" s="127" t="n">
        <v>0.195172413793103</v>
      </c>
    </row>
    <row r="875" customFormat="false" ht="14.25" hidden="false" customHeight="false" outlineLevel="0" collapsed="false">
      <c r="B875" s="126" t="n">
        <v>1143959792</v>
      </c>
      <c r="C875" s="127" t="n">
        <v>0</v>
      </c>
      <c r="D875" s="127" t="n">
        <v>17.1153333333333</v>
      </c>
      <c r="E875" s="127" t="n">
        <v>0</v>
      </c>
    </row>
    <row r="876" customFormat="false" ht="14.25" hidden="false" customHeight="false" outlineLevel="0" collapsed="false">
      <c r="B876" s="126" t="n">
        <v>1143962645</v>
      </c>
      <c r="C876" s="127" t="n">
        <v>0</v>
      </c>
      <c r="D876" s="127" t="n">
        <v>45.836</v>
      </c>
      <c r="E876" s="127" t="n">
        <v>0</v>
      </c>
    </row>
    <row r="877" customFormat="false" ht="14.25" hidden="false" customHeight="false" outlineLevel="0" collapsed="false">
      <c r="B877" s="126" t="n">
        <v>1143969297</v>
      </c>
      <c r="C877" s="127" t="n">
        <v>0</v>
      </c>
      <c r="D877" s="127" t="n">
        <v>2.43666666666667</v>
      </c>
      <c r="E877" s="127" t="n">
        <v>0</v>
      </c>
    </row>
    <row r="878" customFormat="false" ht="14.25" hidden="false" customHeight="false" outlineLevel="0" collapsed="false">
      <c r="B878" s="126" t="n">
        <v>1143977420</v>
      </c>
      <c r="C878" s="127" t="n">
        <v>0</v>
      </c>
      <c r="D878" s="127" t="n">
        <v>3.574</v>
      </c>
      <c r="E878" s="127" t="n">
        <v>0.229885057471264</v>
      </c>
    </row>
    <row r="879" customFormat="false" ht="14.25" hidden="false" customHeight="false" outlineLevel="0" collapsed="false">
      <c r="B879" s="126" t="n">
        <v>1143996022</v>
      </c>
      <c r="C879" s="127" t="n">
        <v>0</v>
      </c>
      <c r="D879" s="127" t="n">
        <v>6.33933333333333</v>
      </c>
      <c r="E879" s="127" t="n">
        <v>0</v>
      </c>
    </row>
    <row r="880" customFormat="false" ht="14.25" hidden="false" customHeight="false" outlineLevel="0" collapsed="false">
      <c r="B880" s="126" t="n">
        <v>1144053538</v>
      </c>
      <c r="C880" s="127" t="n">
        <v>0</v>
      </c>
      <c r="D880" s="127" t="n">
        <v>4.476</v>
      </c>
      <c r="E880" s="127" t="n">
        <v>0</v>
      </c>
    </row>
    <row r="881" customFormat="false" ht="14.25" hidden="false" customHeight="false" outlineLevel="0" collapsed="false">
      <c r="B881" s="126" t="n">
        <v>1144057759</v>
      </c>
      <c r="C881" s="127" t="n">
        <v>0</v>
      </c>
      <c r="D881" s="127" t="n">
        <v>1.83133333333333</v>
      </c>
      <c r="E881" s="127" t="n">
        <v>0</v>
      </c>
    </row>
    <row r="882" customFormat="false" ht="14.25" hidden="false" customHeight="false" outlineLevel="0" collapsed="false">
      <c r="B882" s="126" t="n">
        <v>1144078650</v>
      </c>
      <c r="C882" s="127" t="n">
        <v>0</v>
      </c>
      <c r="D882" s="127" t="n">
        <v>3.366</v>
      </c>
      <c r="E882" s="127" t="n">
        <v>0</v>
      </c>
    </row>
    <row r="883" customFormat="false" ht="14.25" hidden="false" customHeight="false" outlineLevel="0" collapsed="false">
      <c r="B883" s="126" t="n">
        <v>1144136795</v>
      </c>
      <c r="C883" s="127" t="n">
        <v>0</v>
      </c>
      <c r="D883" s="127" t="n">
        <v>1.328</v>
      </c>
      <c r="E883" s="127" t="n">
        <v>0.168448275862069</v>
      </c>
    </row>
    <row r="884" customFormat="false" ht="14.25" hidden="false" customHeight="false" outlineLevel="0" collapsed="false">
      <c r="B884" s="126" t="n">
        <v>1144143403</v>
      </c>
      <c r="C884" s="127" t="n">
        <v>0</v>
      </c>
      <c r="D884" s="127" t="n">
        <v>69.422</v>
      </c>
      <c r="E884" s="127" t="n">
        <v>0</v>
      </c>
    </row>
    <row r="885" customFormat="false" ht="14.25" hidden="false" customHeight="false" outlineLevel="0" collapsed="false">
      <c r="B885" s="126" t="n">
        <v>1144151327</v>
      </c>
      <c r="C885" s="127" t="n">
        <v>0</v>
      </c>
      <c r="D885" s="127" t="n">
        <v>4.426</v>
      </c>
      <c r="E885" s="127" t="n">
        <v>0</v>
      </c>
    </row>
    <row r="886" customFormat="false" ht="14.25" hidden="false" customHeight="false" outlineLevel="0" collapsed="false">
      <c r="B886" s="126" t="n">
        <v>1144165689</v>
      </c>
      <c r="C886" s="127" t="n">
        <v>0</v>
      </c>
      <c r="D886" s="127" t="n">
        <v>18.1553333333333</v>
      </c>
      <c r="E886" s="127" t="n">
        <v>0</v>
      </c>
    </row>
    <row r="887" customFormat="false" ht="14.25" hidden="false" customHeight="false" outlineLevel="0" collapsed="false">
      <c r="B887" s="126" t="n">
        <v>1144167768</v>
      </c>
      <c r="C887" s="127" t="n">
        <v>0</v>
      </c>
      <c r="D887" s="127" t="n">
        <v>3.0956</v>
      </c>
      <c r="E887" s="127" t="n">
        <v>0</v>
      </c>
    </row>
    <row r="888" customFormat="false" ht="14.25" hidden="false" customHeight="false" outlineLevel="0" collapsed="false">
      <c r="B888" s="126" t="n">
        <v>1144179639</v>
      </c>
      <c r="C888" s="127" t="n">
        <v>0</v>
      </c>
      <c r="D888" s="127" t="n">
        <v>26.1646666666667</v>
      </c>
      <c r="E888" s="127" t="n">
        <v>0</v>
      </c>
    </row>
    <row r="889" customFormat="false" ht="14.25" hidden="false" customHeight="false" outlineLevel="0" collapsed="false">
      <c r="B889" s="126" t="n">
        <v>1144189605</v>
      </c>
      <c r="C889" s="127" t="n">
        <v>0</v>
      </c>
      <c r="D889" s="127" t="n">
        <v>7.95533333333333</v>
      </c>
      <c r="E889" s="127" t="n">
        <v>0</v>
      </c>
    </row>
    <row r="890" customFormat="false" ht="14.25" hidden="false" customHeight="false" outlineLevel="0" collapsed="false">
      <c r="B890" s="126" t="n">
        <v>1144204151</v>
      </c>
      <c r="C890" s="127" t="n">
        <v>0</v>
      </c>
      <c r="D890" s="127" t="n">
        <v>15.225</v>
      </c>
      <c r="E890" s="127" t="n">
        <v>0</v>
      </c>
    </row>
    <row r="891" customFormat="false" ht="14.25" hidden="false" customHeight="false" outlineLevel="0" collapsed="false">
      <c r="B891" s="126" t="n">
        <v>1192747716</v>
      </c>
      <c r="C891" s="127" t="n">
        <v>0</v>
      </c>
      <c r="D891" s="127" t="n">
        <v>8.36733333333333</v>
      </c>
      <c r="E891" s="127" t="n">
        <v>0</v>
      </c>
    </row>
    <row r="892" customFormat="false" ht="14.25" hidden="false" customHeight="false" outlineLevel="0" collapsed="false">
      <c r="B892" s="126" t="n">
        <v>1193575066</v>
      </c>
      <c r="C892" s="127" t="n">
        <v>0</v>
      </c>
      <c r="D892" s="127" t="n">
        <v>4.36666666666667</v>
      </c>
      <c r="E892" s="127" t="n">
        <v>0.867816091954023</v>
      </c>
    </row>
    <row r="893" customFormat="false" ht="14.25" hidden="false" customHeight="false" outlineLevel="0" collapsed="false">
      <c r="B893" s="126" t="n">
        <v>1234191313</v>
      </c>
      <c r="C893" s="127" t="n">
        <v>0</v>
      </c>
      <c r="D893" s="127" t="n">
        <v>11.7626666666667</v>
      </c>
      <c r="E893" s="127" t="n">
        <v>0</v>
      </c>
    </row>
    <row r="894" customFormat="false" ht="14.25" hidden="false" customHeight="false" outlineLevel="0" collapsed="false">
      <c r="B894" s="126" t="n">
        <v>1234196269</v>
      </c>
      <c r="C894" s="127" t="n">
        <v>0</v>
      </c>
      <c r="D894" s="127" t="n">
        <v>47.677</v>
      </c>
      <c r="E894" s="127" t="n">
        <v>0.0782758620689655</v>
      </c>
    </row>
    <row r="895" customFormat="false" ht="14.25" hidden="false" customHeight="false" outlineLevel="0" collapsed="false">
      <c r="D895" s="128"/>
    </row>
    <row r="896" customFormat="false" ht="14.25" hidden="false" customHeight="false" outlineLevel="0" collapsed="false">
      <c r="D896" s="128"/>
    </row>
    <row r="897" customFormat="false" ht="14.25" hidden="false" customHeight="false" outlineLevel="0" collapsed="false">
      <c r="D897" s="128"/>
    </row>
    <row r="898" customFormat="false" ht="14.25" hidden="false" customHeight="false" outlineLevel="0" collapsed="false">
      <c r="D898" s="128"/>
    </row>
    <row r="899" customFormat="false" ht="14.25" hidden="false" customHeight="false" outlineLevel="0" collapsed="false">
      <c r="D899" s="128"/>
    </row>
    <row r="900" customFormat="false" ht="14.25" hidden="false" customHeight="false" outlineLevel="0" collapsed="false">
      <c r="D900" s="128"/>
    </row>
    <row r="901" customFormat="false" ht="14.25" hidden="false" customHeight="false" outlineLevel="0" collapsed="false">
      <c r="D901" s="128"/>
    </row>
    <row r="902" customFormat="false" ht="14.25" hidden="false" customHeight="false" outlineLevel="0" collapsed="false">
      <c r="D902" s="128"/>
    </row>
    <row r="903" customFormat="false" ht="14.25" hidden="false" customHeight="false" outlineLevel="0" collapsed="false">
      <c r="D903" s="128"/>
    </row>
    <row r="904" customFormat="false" ht="14.25" hidden="false" customHeight="false" outlineLevel="0" collapsed="false">
      <c r="D904" s="128"/>
    </row>
    <row r="905" customFormat="false" ht="14.25" hidden="false" customHeight="false" outlineLevel="0" collapsed="false">
      <c r="D905" s="128"/>
    </row>
    <row r="906" customFormat="false" ht="14.25" hidden="false" customHeight="false" outlineLevel="0" collapsed="false">
      <c r="D906" s="128"/>
    </row>
    <row r="907" customFormat="false" ht="14.25" hidden="false" customHeight="false" outlineLevel="0" collapsed="false">
      <c r="D907" s="128"/>
    </row>
    <row r="908" customFormat="false" ht="14.25" hidden="false" customHeight="false" outlineLevel="0" collapsed="false">
      <c r="D908" s="128"/>
    </row>
    <row r="909" customFormat="false" ht="14.25" hidden="false" customHeight="false" outlineLevel="0" collapsed="false">
      <c r="D909" s="128"/>
    </row>
    <row r="910" customFormat="false" ht="14.25" hidden="false" customHeight="false" outlineLevel="0" collapsed="false">
      <c r="D910" s="128"/>
    </row>
    <row r="911" customFormat="false" ht="14.25" hidden="false" customHeight="false" outlineLevel="0" collapsed="false">
      <c r="D911" s="128"/>
    </row>
    <row r="912" customFormat="false" ht="14.25" hidden="false" customHeight="false" outlineLevel="0" collapsed="false">
      <c r="D912" s="128"/>
    </row>
    <row r="913" customFormat="false" ht="14.25" hidden="false" customHeight="false" outlineLevel="0" collapsed="false">
      <c r="D913" s="128"/>
    </row>
    <row r="914" customFormat="false" ht="14.25" hidden="false" customHeight="false" outlineLevel="0" collapsed="false">
      <c r="D914" s="128"/>
    </row>
    <row r="915" customFormat="false" ht="14.25" hidden="false" customHeight="false" outlineLevel="0" collapsed="false">
      <c r="D915" s="128"/>
    </row>
    <row r="916" customFormat="false" ht="14.25" hidden="false" customHeight="false" outlineLevel="0" collapsed="false">
      <c r="D916" s="128"/>
    </row>
    <row r="917" customFormat="false" ht="14.25" hidden="false" customHeight="false" outlineLevel="0" collapsed="false">
      <c r="D917" s="128"/>
    </row>
    <row r="918" customFormat="false" ht="14.25" hidden="false" customHeight="false" outlineLevel="0" collapsed="false">
      <c r="D918" s="128"/>
    </row>
    <row r="919" customFormat="false" ht="14.25" hidden="false" customHeight="false" outlineLevel="0" collapsed="false">
      <c r="D919" s="128"/>
    </row>
    <row r="920" customFormat="false" ht="14.25" hidden="false" customHeight="false" outlineLevel="0" collapsed="false">
      <c r="D920" s="128"/>
    </row>
    <row r="921" customFormat="false" ht="14.25" hidden="false" customHeight="false" outlineLevel="0" collapsed="false">
      <c r="D921" s="128"/>
    </row>
    <row r="922" customFormat="false" ht="14.25" hidden="false" customHeight="false" outlineLevel="0" collapsed="false">
      <c r="D922" s="128"/>
    </row>
    <row r="923" customFormat="false" ht="14.25" hidden="false" customHeight="false" outlineLevel="0" collapsed="false">
      <c r="D923" s="128"/>
    </row>
    <row r="924" customFormat="false" ht="14.25" hidden="false" customHeight="false" outlineLevel="0" collapsed="false">
      <c r="D924" s="128"/>
    </row>
    <row r="925" customFormat="false" ht="14.25" hidden="false" customHeight="false" outlineLevel="0" collapsed="false">
      <c r="D925" s="128"/>
    </row>
    <row r="926" customFormat="false" ht="14.25" hidden="false" customHeight="false" outlineLevel="0" collapsed="false">
      <c r="D926" s="128"/>
    </row>
    <row r="927" customFormat="false" ht="14.25" hidden="false" customHeight="false" outlineLevel="0" collapsed="false">
      <c r="D927" s="128"/>
    </row>
    <row r="928" customFormat="false" ht="14.25" hidden="false" customHeight="false" outlineLevel="0" collapsed="false">
      <c r="D928" s="128"/>
    </row>
    <row r="929" customFormat="false" ht="14.25" hidden="false" customHeight="false" outlineLevel="0" collapsed="false">
      <c r="D929" s="128"/>
    </row>
    <row r="930" customFormat="false" ht="14.25" hidden="false" customHeight="false" outlineLevel="0" collapsed="false">
      <c r="D930" s="128"/>
    </row>
    <row r="931" customFormat="false" ht="14.25" hidden="false" customHeight="false" outlineLevel="0" collapsed="false">
      <c r="D931" s="128"/>
    </row>
    <row r="932" customFormat="false" ht="14.25" hidden="false" customHeight="false" outlineLevel="0" collapsed="false">
      <c r="D932" s="128"/>
    </row>
    <row r="933" customFormat="false" ht="14.25" hidden="false" customHeight="false" outlineLevel="0" collapsed="false">
      <c r="D933" s="128"/>
    </row>
    <row r="934" customFormat="false" ht="14.25" hidden="false" customHeight="false" outlineLevel="0" collapsed="false">
      <c r="D934" s="128"/>
    </row>
    <row r="935" customFormat="false" ht="14.25" hidden="false" customHeight="false" outlineLevel="0" collapsed="false">
      <c r="D935" s="128"/>
    </row>
    <row r="936" customFormat="false" ht="14.25" hidden="false" customHeight="false" outlineLevel="0" collapsed="false">
      <c r="D936" s="128"/>
    </row>
    <row r="937" customFormat="false" ht="14.25" hidden="false" customHeight="false" outlineLevel="0" collapsed="false">
      <c r="D937" s="128"/>
    </row>
    <row r="938" customFormat="false" ht="14.25" hidden="false" customHeight="false" outlineLevel="0" collapsed="false">
      <c r="D938" s="128"/>
    </row>
    <row r="939" customFormat="false" ht="14.25" hidden="false" customHeight="false" outlineLevel="0" collapsed="false">
      <c r="D939" s="128"/>
    </row>
    <row r="940" customFormat="false" ht="14.25" hidden="false" customHeight="false" outlineLevel="0" collapsed="false">
      <c r="D940" s="128"/>
    </row>
    <row r="941" customFormat="false" ht="14.25" hidden="false" customHeight="false" outlineLevel="0" collapsed="false">
      <c r="D941" s="128"/>
    </row>
    <row r="942" customFormat="false" ht="14.25" hidden="false" customHeight="false" outlineLevel="0" collapsed="false">
      <c r="D942" s="128"/>
    </row>
    <row r="943" customFormat="false" ht="14.25" hidden="false" customHeight="false" outlineLevel="0" collapsed="false">
      <c r="D943" s="128"/>
    </row>
    <row r="944" customFormat="false" ht="14.25" hidden="false" customHeight="false" outlineLevel="0" collapsed="false">
      <c r="D944" s="128"/>
    </row>
    <row r="945" customFormat="false" ht="14.25" hidden="false" customHeight="false" outlineLevel="0" collapsed="false">
      <c r="D945" s="128"/>
    </row>
    <row r="946" customFormat="false" ht="14.25" hidden="false" customHeight="false" outlineLevel="0" collapsed="false">
      <c r="D946" s="128"/>
    </row>
    <row r="947" customFormat="false" ht="14.25" hidden="false" customHeight="false" outlineLevel="0" collapsed="false">
      <c r="D947" s="128"/>
    </row>
    <row r="948" customFormat="false" ht="14.25" hidden="false" customHeight="false" outlineLevel="0" collapsed="false">
      <c r="D948" s="128"/>
    </row>
    <row r="949" customFormat="false" ht="14.25" hidden="false" customHeight="false" outlineLevel="0" collapsed="false">
      <c r="D949" s="128"/>
    </row>
    <row r="950" customFormat="false" ht="14.25" hidden="false" customHeight="false" outlineLevel="0" collapsed="false">
      <c r="D950" s="128"/>
    </row>
    <row r="951" customFormat="false" ht="14.25" hidden="false" customHeight="false" outlineLevel="0" collapsed="false">
      <c r="D951" s="128"/>
    </row>
    <row r="952" customFormat="false" ht="14.25" hidden="false" customHeight="false" outlineLevel="0" collapsed="false">
      <c r="D952" s="128"/>
    </row>
    <row r="953" customFormat="false" ht="14.25" hidden="false" customHeight="false" outlineLevel="0" collapsed="false">
      <c r="D953" s="128"/>
    </row>
    <row r="954" customFormat="false" ht="14.25" hidden="false" customHeight="false" outlineLevel="0" collapsed="false">
      <c r="D954" s="128"/>
    </row>
    <row r="955" customFormat="false" ht="14.25" hidden="false" customHeight="false" outlineLevel="0" collapsed="false">
      <c r="D955" s="128"/>
    </row>
    <row r="956" customFormat="false" ht="14.25" hidden="false" customHeight="false" outlineLevel="0" collapsed="false">
      <c r="D956" s="128"/>
    </row>
    <row r="957" customFormat="false" ht="14.25" hidden="false" customHeight="false" outlineLevel="0" collapsed="false">
      <c r="D957" s="128"/>
    </row>
    <row r="958" customFormat="false" ht="14.25" hidden="false" customHeight="false" outlineLevel="0" collapsed="false">
      <c r="D958" s="128"/>
    </row>
    <row r="959" customFormat="false" ht="14.25" hidden="false" customHeight="false" outlineLevel="0" collapsed="false">
      <c r="D959" s="128"/>
    </row>
    <row r="960" customFormat="false" ht="14.25" hidden="false" customHeight="false" outlineLevel="0" collapsed="false">
      <c r="D960" s="128"/>
    </row>
    <row r="961" customFormat="false" ht="14.25" hidden="false" customHeight="false" outlineLevel="0" collapsed="false">
      <c r="D961" s="128"/>
    </row>
    <row r="962" customFormat="false" ht="14.25" hidden="false" customHeight="false" outlineLevel="0" collapsed="false">
      <c r="D962" s="128"/>
    </row>
    <row r="963" customFormat="false" ht="14.25" hidden="false" customHeight="false" outlineLevel="0" collapsed="false">
      <c r="D963" s="128"/>
    </row>
    <row r="964" customFormat="false" ht="14.25" hidden="false" customHeight="false" outlineLevel="0" collapsed="false">
      <c r="D964" s="128"/>
    </row>
    <row r="965" customFormat="false" ht="14.25" hidden="false" customHeight="false" outlineLevel="0" collapsed="false">
      <c r="D965" s="128"/>
    </row>
    <row r="966" customFormat="false" ht="14.25" hidden="false" customHeight="false" outlineLevel="0" collapsed="false">
      <c r="D966" s="128"/>
    </row>
    <row r="967" customFormat="false" ht="14.25" hidden="false" customHeight="false" outlineLevel="0" collapsed="false">
      <c r="D967" s="128"/>
    </row>
    <row r="968" customFormat="false" ht="14.25" hidden="false" customHeight="false" outlineLevel="0" collapsed="false">
      <c r="D968" s="128"/>
    </row>
    <row r="969" customFormat="false" ht="14.25" hidden="false" customHeight="false" outlineLevel="0" collapsed="false">
      <c r="D969" s="128"/>
    </row>
    <row r="970" customFormat="false" ht="14.25" hidden="false" customHeight="false" outlineLevel="0" collapsed="false">
      <c r="D970" s="128"/>
    </row>
    <row r="971" customFormat="false" ht="14.25" hidden="false" customHeight="false" outlineLevel="0" collapsed="false">
      <c r="D971" s="128"/>
    </row>
    <row r="972" customFormat="false" ht="14.25" hidden="false" customHeight="false" outlineLevel="0" collapsed="false">
      <c r="D972" s="128"/>
    </row>
    <row r="973" customFormat="false" ht="14.25" hidden="false" customHeight="false" outlineLevel="0" collapsed="false">
      <c r="D973" s="128"/>
    </row>
    <row r="974" customFormat="false" ht="14.25" hidden="false" customHeight="false" outlineLevel="0" collapsed="false">
      <c r="D974" s="128"/>
    </row>
    <row r="975" customFormat="false" ht="14.25" hidden="false" customHeight="false" outlineLevel="0" collapsed="false">
      <c r="D975" s="128"/>
    </row>
    <row r="976" customFormat="false" ht="14.25" hidden="false" customHeight="false" outlineLevel="0" collapsed="false">
      <c r="D976" s="128"/>
    </row>
    <row r="977" customFormat="false" ht="14.25" hidden="false" customHeight="false" outlineLevel="0" collapsed="false">
      <c r="D977" s="128"/>
    </row>
    <row r="978" customFormat="false" ht="14.25" hidden="false" customHeight="false" outlineLevel="0" collapsed="false">
      <c r="D978" s="128"/>
    </row>
    <row r="979" customFormat="false" ht="14.25" hidden="false" customHeight="false" outlineLevel="0" collapsed="false">
      <c r="D979" s="128"/>
    </row>
    <row r="980" customFormat="false" ht="14.25" hidden="false" customHeight="false" outlineLevel="0" collapsed="false">
      <c r="D980" s="128"/>
    </row>
    <row r="981" customFormat="false" ht="14.25" hidden="false" customHeight="false" outlineLevel="0" collapsed="false">
      <c r="D981" s="128"/>
    </row>
    <row r="982" customFormat="false" ht="14.25" hidden="false" customHeight="false" outlineLevel="0" collapsed="false">
      <c r="D982" s="128"/>
    </row>
    <row r="983" customFormat="false" ht="14.25" hidden="false" customHeight="false" outlineLevel="0" collapsed="false">
      <c r="D983" s="128"/>
    </row>
    <row r="984" customFormat="false" ht="14.25" hidden="false" customHeight="false" outlineLevel="0" collapsed="false">
      <c r="D984" s="128"/>
    </row>
    <row r="985" customFormat="false" ht="14.25" hidden="false" customHeight="false" outlineLevel="0" collapsed="false">
      <c r="D985" s="128"/>
    </row>
    <row r="986" customFormat="false" ht="14.25" hidden="false" customHeight="false" outlineLevel="0" collapsed="false">
      <c r="D986" s="128"/>
    </row>
    <row r="987" customFormat="false" ht="14.25" hidden="false" customHeight="false" outlineLevel="0" collapsed="false">
      <c r="D987" s="128"/>
    </row>
    <row r="988" customFormat="false" ht="14.25" hidden="false" customHeight="false" outlineLevel="0" collapsed="false">
      <c r="D988" s="128"/>
    </row>
    <row r="989" customFormat="false" ht="14.25" hidden="false" customHeight="false" outlineLevel="0" collapsed="false">
      <c r="D989" s="128"/>
    </row>
    <row r="990" customFormat="false" ht="14.25" hidden="false" customHeight="false" outlineLevel="0" collapsed="false">
      <c r="D990" s="128"/>
    </row>
    <row r="991" customFormat="false" ht="14.25" hidden="false" customHeight="false" outlineLevel="0" collapsed="false">
      <c r="D991" s="128"/>
    </row>
    <row r="992" customFormat="false" ht="14.25" hidden="false" customHeight="false" outlineLevel="0" collapsed="false">
      <c r="D992" s="128"/>
    </row>
    <row r="993" customFormat="false" ht="14.25" hidden="false" customHeight="false" outlineLevel="0" collapsed="false">
      <c r="D993" s="128"/>
    </row>
    <row r="994" customFormat="false" ht="14.25" hidden="false" customHeight="false" outlineLevel="0" collapsed="false">
      <c r="D994" s="128"/>
    </row>
    <row r="995" customFormat="false" ht="14.25" hidden="false" customHeight="false" outlineLevel="0" collapsed="false">
      <c r="D995" s="128"/>
    </row>
    <row r="996" customFormat="false" ht="14.25" hidden="false" customHeight="false" outlineLevel="0" collapsed="false">
      <c r="D996" s="128"/>
    </row>
    <row r="997" customFormat="false" ht="14.25" hidden="false" customHeight="false" outlineLevel="0" collapsed="false">
      <c r="D997" s="128"/>
    </row>
    <row r="998" customFormat="false" ht="14.25" hidden="false" customHeight="false" outlineLevel="0" collapsed="false">
      <c r="D998" s="128"/>
    </row>
    <row r="999" customFormat="false" ht="14.25" hidden="false" customHeight="false" outlineLevel="0" collapsed="false">
      <c r="D999" s="128"/>
    </row>
    <row r="1000" customFormat="false" ht="14.25" hidden="false" customHeight="false" outlineLevel="0" collapsed="false">
      <c r="D1000" s="128"/>
    </row>
    <row r="1001" customFormat="false" ht="14.25" hidden="false" customHeight="false" outlineLevel="0" collapsed="false">
      <c r="D1001" s="128"/>
    </row>
    <row r="1002" customFormat="false" ht="14.25" hidden="false" customHeight="false" outlineLevel="0" collapsed="false">
      <c r="D1002" s="128"/>
    </row>
    <row r="1003" customFormat="false" ht="14.25" hidden="false" customHeight="false" outlineLevel="0" collapsed="false">
      <c r="D1003" s="128"/>
    </row>
    <row r="1004" customFormat="false" ht="14.25" hidden="false" customHeight="false" outlineLevel="0" collapsed="false">
      <c r="D1004" s="128"/>
    </row>
    <row r="1005" customFormat="false" ht="14.25" hidden="false" customHeight="false" outlineLevel="0" collapsed="false">
      <c r="D1005" s="128"/>
    </row>
    <row r="1006" customFormat="false" ht="14.25" hidden="false" customHeight="false" outlineLevel="0" collapsed="false">
      <c r="D1006" s="128"/>
    </row>
    <row r="1007" customFormat="false" ht="14.25" hidden="false" customHeight="false" outlineLevel="0" collapsed="false">
      <c r="D1007" s="128"/>
    </row>
    <row r="1008" customFormat="false" ht="14.25" hidden="false" customHeight="false" outlineLevel="0" collapsed="false">
      <c r="D1008" s="128"/>
    </row>
    <row r="1009" customFormat="false" ht="14.25" hidden="false" customHeight="false" outlineLevel="0" collapsed="false">
      <c r="D1009" s="128"/>
    </row>
    <row r="1010" customFormat="false" ht="14.25" hidden="false" customHeight="false" outlineLevel="0" collapsed="false">
      <c r="D1010" s="128"/>
    </row>
    <row r="1011" customFormat="false" ht="14.25" hidden="false" customHeight="false" outlineLevel="0" collapsed="false">
      <c r="D1011" s="128"/>
    </row>
    <row r="1012" customFormat="false" ht="14.25" hidden="false" customHeight="false" outlineLevel="0" collapsed="false">
      <c r="D1012" s="128"/>
    </row>
    <row r="1013" customFormat="false" ht="14.25" hidden="false" customHeight="false" outlineLevel="0" collapsed="false">
      <c r="D1013" s="128"/>
    </row>
    <row r="1014" customFormat="false" ht="14.25" hidden="false" customHeight="false" outlineLevel="0" collapsed="false">
      <c r="D1014" s="128"/>
    </row>
    <row r="1015" customFormat="false" ht="14.25" hidden="false" customHeight="false" outlineLevel="0" collapsed="false">
      <c r="D1015" s="128"/>
    </row>
    <row r="1016" customFormat="false" ht="14.25" hidden="false" customHeight="false" outlineLevel="0" collapsed="false">
      <c r="D1016" s="128"/>
    </row>
    <row r="1017" customFormat="false" ht="14.25" hidden="false" customHeight="false" outlineLevel="0" collapsed="false">
      <c r="D1017" s="128"/>
    </row>
    <row r="1018" customFormat="false" ht="14.25" hidden="false" customHeight="false" outlineLevel="0" collapsed="false">
      <c r="D1018" s="128"/>
    </row>
    <row r="1019" customFormat="false" ht="14.25" hidden="false" customHeight="false" outlineLevel="0" collapsed="false">
      <c r="D1019" s="128"/>
    </row>
    <row r="1020" customFormat="false" ht="14.25" hidden="false" customHeight="false" outlineLevel="0" collapsed="false">
      <c r="D1020" s="128"/>
    </row>
    <row r="1021" customFormat="false" ht="14.25" hidden="false" customHeight="false" outlineLevel="0" collapsed="false">
      <c r="D1021" s="128"/>
    </row>
    <row r="1022" customFormat="false" ht="14.25" hidden="false" customHeight="false" outlineLevel="0" collapsed="false">
      <c r="D1022" s="128"/>
    </row>
    <row r="1023" customFormat="false" ht="14.25" hidden="false" customHeight="false" outlineLevel="0" collapsed="false">
      <c r="D1023" s="128"/>
    </row>
    <row r="1024" customFormat="false" ht="14.25" hidden="false" customHeight="false" outlineLevel="0" collapsed="false">
      <c r="D1024" s="128"/>
    </row>
    <row r="1025" customFormat="false" ht="14.25" hidden="false" customHeight="false" outlineLevel="0" collapsed="false">
      <c r="D1025" s="128"/>
    </row>
    <row r="1026" customFormat="false" ht="14.25" hidden="false" customHeight="false" outlineLevel="0" collapsed="false">
      <c r="D1026" s="128"/>
    </row>
    <row r="1027" customFormat="false" ht="14.25" hidden="false" customHeight="false" outlineLevel="0" collapsed="false">
      <c r="D1027" s="128"/>
    </row>
    <row r="1028" customFormat="false" ht="14.25" hidden="false" customHeight="false" outlineLevel="0" collapsed="false">
      <c r="D1028" s="128"/>
    </row>
    <row r="1029" customFormat="false" ht="14.25" hidden="false" customHeight="false" outlineLevel="0" collapsed="false">
      <c r="D1029" s="128"/>
    </row>
    <row r="1030" customFormat="false" ht="14.25" hidden="false" customHeight="false" outlineLevel="0" collapsed="false">
      <c r="D1030" s="128"/>
    </row>
    <row r="1031" customFormat="false" ht="14.25" hidden="false" customHeight="false" outlineLevel="0" collapsed="false">
      <c r="D1031" s="128"/>
    </row>
    <row r="1032" customFormat="false" ht="14.25" hidden="false" customHeight="false" outlineLevel="0" collapsed="false">
      <c r="D1032" s="128"/>
    </row>
    <row r="1033" customFormat="false" ht="14.25" hidden="false" customHeight="false" outlineLevel="0" collapsed="false">
      <c r="D1033" s="128"/>
    </row>
    <row r="1034" customFormat="false" ht="14.25" hidden="false" customHeight="false" outlineLevel="0" collapsed="false">
      <c r="D1034" s="128"/>
    </row>
    <row r="1035" customFormat="false" ht="14.25" hidden="false" customHeight="false" outlineLevel="0" collapsed="false">
      <c r="D1035" s="128"/>
    </row>
    <row r="1036" customFormat="false" ht="14.25" hidden="false" customHeight="false" outlineLevel="0" collapsed="false">
      <c r="D1036" s="128"/>
    </row>
    <row r="1037" customFormat="false" ht="14.25" hidden="false" customHeight="false" outlineLevel="0" collapsed="false">
      <c r="D1037" s="128"/>
    </row>
    <row r="1038" customFormat="false" ht="14.25" hidden="false" customHeight="false" outlineLevel="0" collapsed="false">
      <c r="D1038" s="128"/>
    </row>
    <row r="1039" customFormat="false" ht="14.25" hidden="false" customHeight="false" outlineLevel="0" collapsed="false">
      <c r="D1039" s="128"/>
    </row>
    <row r="1040" customFormat="false" ht="14.25" hidden="false" customHeight="false" outlineLevel="0" collapsed="false">
      <c r="D1040" s="128"/>
    </row>
    <row r="1041" customFormat="false" ht="14.25" hidden="false" customHeight="false" outlineLevel="0" collapsed="false">
      <c r="D1041" s="128"/>
    </row>
    <row r="1042" customFormat="false" ht="14.25" hidden="false" customHeight="false" outlineLevel="0" collapsed="false">
      <c r="D1042" s="128"/>
    </row>
    <row r="1043" customFormat="false" ht="14.25" hidden="false" customHeight="false" outlineLevel="0" collapsed="false">
      <c r="D1043" s="128"/>
    </row>
    <row r="1044" customFormat="false" ht="14.25" hidden="false" customHeight="false" outlineLevel="0" collapsed="false">
      <c r="D1044" s="128"/>
    </row>
    <row r="1045" customFormat="false" ht="14.25" hidden="false" customHeight="false" outlineLevel="0" collapsed="false">
      <c r="D1045" s="128"/>
    </row>
    <row r="1046" customFormat="false" ht="14.25" hidden="false" customHeight="false" outlineLevel="0" collapsed="false">
      <c r="D1046" s="128"/>
    </row>
    <row r="1047" customFormat="false" ht="14.25" hidden="false" customHeight="false" outlineLevel="0" collapsed="false">
      <c r="D1047" s="128"/>
    </row>
    <row r="1048" customFormat="false" ht="14.25" hidden="false" customHeight="false" outlineLevel="0" collapsed="false">
      <c r="D1048" s="128"/>
    </row>
    <row r="1049" customFormat="false" ht="14.25" hidden="false" customHeight="false" outlineLevel="0" collapsed="false">
      <c r="D1049" s="128"/>
    </row>
    <row r="1050" customFormat="false" ht="14.25" hidden="false" customHeight="false" outlineLevel="0" collapsed="false">
      <c r="D1050" s="128"/>
    </row>
    <row r="1051" customFormat="false" ht="14.25" hidden="false" customHeight="false" outlineLevel="0" collapsed="false">
      <c r="D1051" s="128"/>
    </row>
    <row r="1052" customFormat="false" ht="14.25" hidden="false" customHeight="false" outlineLevel="0" collapsed="false">
      <c r="D1052" s="128"/>
    </row>
    <row r="1053" customFormat="false" ht="14.25" hidden="false" customHeight="false" outlineLevel="0" collapsed="false">
      <c r="D1053" s="128"/>
    </row>
    <row r="1054" customFormat="false" ht="14.25" hidden="false" customHeight="false" outlineLevel="0" collapsed="false">
      <c r="D1054" s="128"/>
    </row>
    <row r="1055" customFormat="false" ht="14.25" hidden="false" customHeight="false" outlineLevel="0" collapsed="false">
      <c r="D1055" s="128"/>
    </row>
    <row r="1056" customFormat="false" ht="14.25" hidden="false" customHeight="false" outlineLevel="0" collapsed="false">
      <c r="D1056" s="128"/>
    </row>
    <row r="1057" customFormat="false" ht="14.25" hidden="false" customHeight="false" outlineLevel="0" collapsed="false">
      <c r="D1057" s="128"/>
    </row>
    <row r="1058" customFormat="false" ht="14.25" hidden="false" customHeight="false" outlineLevel="0" collapsed="false">
      <c r="D1058" s="128"/>
    </row>
    <row r="1059" customFormat="false" ht="14.25" hidden="false" customHeight="false" outlineLevel="0" collapsed="false">
      <c r="D1059" s="128"/>
    </row>
    <row r="1060" customFormat="false" ht="14.25" hidden="false" customHeight="false" outlineLevel="0" collapsed="false">
      <c r="D1060" s="128"/>
    </row>
    <row r="1061" customFormat="false" ht="14.25" hidden="false" customHeight="false" outlineLevel="0" collapsed="false">
      <c r="D1061" s="128"/>
    </row>
    <row r="1062" customFormat="false" ht="14.25" hidden="false" customHeight="false" outlineLevel="0" collapsed="false">
      <c r="D1062" s="128"/>
    </row>
    <row r="1063" customFormat="false" ht="14.25" hidden="false" customHeight="false" outlineLevel="0" collapsed="false">
      <c r="D1063" s="128"/>
    </row>
    <row r="1064" customFormat="false" ht="14.25" hidden="false" customHeight="false" outlineLevel="0" collapsed="false">
      <c r="D1064" s="128"/>
    </row>
    <row r="1065" customFormat="false" ht="14.25" hidden="false" customHeight="false" outlineLevel="0" collapsed="false">
      <c r="D1065" s="128"/>
    </row>
    <row r="1066" customFormat="false" ht="14.25" hidden="false" customHeight="false" outlineLevel="0" collapsed="false">
      <c r="D1066" s="128"/>
    </row>
    <row r="1067" customFormat="false" ht="14.25" hidden="false" customHeight="false" outlineLevel="0" collapsed="false">
      <c r="D1067" s="128"/>
    </row>
    <row r="1068" customFormat="false" ht="14.25" hidden="false" customHeight="false" outlineLevel="0" collapsed="false">
      <c r="D1068" s="128"/>
    </row>
    <row r="1069" customFormat="false" ht="14.25" hidden="false" customHeight="false" outlineLevel="0" collapsed="false">
      <c r="D1069" s="128"/>
    </row>
    <row r="1070" customFormat="false" ht="14.25" hidden="false" customHeight="false" outlineLevel="0" collapsed="false">
      <c r="D1070" s="128"/>
    </row>
    <row r="1071" customFormat="false" ht="14.25" hidden="false" customHeight="false" outlineLevel="0" collapsed="false">
      <c r="D1071" s="128"/>
    </row>
    <row r="1072" customFormat="false" ht="14.25" hidden="false" customHeight="false" outlineLevel="0" collapsed="false">
      <c r="D1072" s="128"/>
    </row>
    <row r="1073" customFormat="false" ht="14.25" hidden="false" customHeight="false" outlineLevel="0" collapsed="false">
      <c r="D1073" s="128"/>
    </row>
    <row r="1074" customFormat="false" ht="14.25" hidden="false" customHeight="false" outlineLevel="0" collapsed="false">
      <c r="D1074" s="128"/>
    </row>
    <row r="1075" customFormat="false" ht="14.25" hidden="false" customHeight="false" outlineLevel="0" collapsed="false">
      <c r="D1075" s="128"/>
    </row>
    <row r="1076" customFormat="false" ht="14.25" hidden="false" customHeight="false" outlineLevel="0" collapsed="false">
      <c r="D1076" s="128"/>
    </row>
    <row r="1077" customFormat="false" ht="14.25" hidden="false" customHeight="false" outlineLevel="0" collapsed="false">
      <c r="D1077" s="128"/>
    </row>
    <row r="1078" customFormat="false" ht="14.25" hidden="false" customHeight="false" outlineLevel="0" collapsed="false">
      <c r="D1078" s="128"/>
    </row>
    <row r="1079" customFormat="false" ht="14.25" hidden="false" customHeight="false" outlineLevel="0" collapsed="false">
      <c r="D1079" s="128"/>
    </row>
    <row r="1080" customFormat="false" ht="14.25" hidden="false" customHeight="false" outlineLevel="0" collapsed="false">
      <c r="D1080" s="128"/>
    </row>
    <row r="1081" customFormat="false" ht="14.25" hidden="false" customHeight="false" outlineLevel="0" collapsed="false">
      <c r="D1081" s="128"/>
    </row>
    <row r="1082" customFormat="false" ht="14.25" hidden="false" customHeight="false" outlineLevel="0" collapsed="false">
      <c r="D1082" s="128"/>
    </row>
    <row r="1083" customFormat="false" ht="14.25" hidden="false" customHeight="false" outlineLevel="0" collapsed="false">
      <c r="D1083" s="128"/>
    </row>
    <row r="1084" customFormat="false" ht="14.25" hidden="false" customHeight="false" outlineLevel="0" collapsed="false">
      <c r="D1084" s="128"/>
    </row>
    <row r="1085" customFormat="false" ht="14.25" hidden="false" customHeight="false" outlineLevel="0" collapsed="false">
      <c r="D1085" s="128"/>
    </row>
    <row r="1086" customFormat="false" ht="14.25" hidden="false" customHeight="false" outlineLevel="0" collapsed="false">
      <c r="D1086" s="128"/>
    </row>
    <row r="1087" customFormat="false" ht="14.25" hidden="false" customHeight="false" outlineLevel="0" collapsed="false">
      <c r="D1087" s="128"/>
    </row>
    <row r="1088" customFormat="false" ht="14.25" hidden="false" customHeight="false" outlineLevel="0" collapsed="false">
      <c r="D1088" s="128"/>
    </row>
    <row r="1089" customFormat="false" ht="14.25" hidden="false" customHeight="false" outlineLevel="0" collapsed="false">
      <c r="D1089" s="128"/>
    </row>
    <row r="1090" customFormat="false" ht="14.25" hidden="false" customHeight="false" outlineLevel="0" collapsed="false">
      <c r="D1090" s="128"/>
    </row>
    <row r="1091" customFormat="false" ht="14.25" hidden="false" customHeight="false" outlineLevel="0" collapsed="false">
      <c r="D1091" s="128"/>
    </row>
    <row r="1092" customFormat="false" ht="14.25" hidden="false" customHeight="false" outlineLevel="0" collapsed="false">
      <c r="D1092" s="128"/>
    </row>
    <row r="1093" customFormat="false" ht="14.25" hidden="false" customHeight="false" outlineLevel="0" collapsed="false">
      <c r="D1093" s="128"/>
    </row>
    <row r="1094" customFormat="false" ht="14.25" hidden="false" customHeight="false" outlineLevel="0" collapsed="false">
      <c r="D1094" s="128"/>
    </row>
    <row r="1095" customFormat="false" ht="14.25" hidden="false" customHeight="false" outlineLevel="0" collapsed="false">
      <c r="D1095" s="128"/>
    </row>
    <row r="1096" customFormat="false" ht="14.25" hidden="false" customHeight="false" outlineLevel="0" collapsed="false">
      <c r="D1096" s="128"/>
    </row>
    <row r="1097" customFormat="false" ht="14.25" hidden="false" customHeight="false" outlineLevel="0" collapsed="false">
      <c r="D1097" s="128"/>
    </row>
    <row r="1098" customFormat="false" ht="14.25" hidden="false" customHeight="false" outlineLevel="0" collapsed="false">
      <c r="D1098" s="128"/>
    </row>
    <row r="1099" customFormat="false" ht="14.25" hidden="false" customHeight="false" outlineLevel="0" collapsed="false">
      <c r="D1099" s="128"/>
    </row>
    <row r="1100" customFormat="false" ht="14.25" hidden="false" customHeight="false" outlineLevel="0" collapsed="false">
      <c r="D1100" s="128"/>
    </row>
    <row r="1101" customFormat="false" ht="14.25" hidden="false" customHeight="false" outlineLevel="0" collapsed="false">
      <c r="D1101" s="128"/>
    </row>
    <row r="1102" customFormat="false" ht="14.25" hidden="false" customHeight="false" outlineLevel="0" collapsed="false">
      <c r="D1102" s="128"/>
    </row>
    <row r="1103" customFormat="false" ht="14.25" hidden="false" customHeight="false" outlineLevel="0" collapsed="false">
      <c r="D1103" s="128"/>
    </row>
    <row r="1104" customFormat="false" ht="14.25" hidden="false" customHeight="false" outlineLevel="0" collapsed="false">
      <c r="D1104" s="128"/>
    </row>
    <row r="1105" customFormat="false" ht="14.25" hidden="false" customHeight="false" outlineLevel="0" collapsed="false">
      <c r="D1105" s="128"/>
    </row>
    <row r="1106" customFormat="false" ht="14.25" hidden="false" customHeight="false" outlineLevel="0" collapsed="false">
      <c r="D1106" s="128"/>
    </row>
    <row r="1107" customFormat="false" ht="14.25" hidden="false" customHeight="false" outlineLevel="0" collapsed="false">
      <c r="D1107" s="128"/>
    </row>
    <row r="1108" customFormat="false" ht="14.25" hidden="false" customHeight="false" outlineLevel="0" collapsed="false">
      <c r="D1108" s="128"/>
    </row>
    <row r="1109" customFormat="false" ht="14.25" hidden="false" customHeight="false" outlineLevel="0" collapsed="false">
      <c r="D1109" s="128"/>
    </row>
    <row r="1110" customFormat="false" ht="14.25" hidden="false" customHeight="false" outlineLevel="0" collapsed="false">
      <c r="D1110" s="128"/>
    </row>
    <row r="1111" customFormat="false" ht="14.25" hidden="false" customHeight="false" outlineLevel="0" collapsed="false">
      <c r="D1111" s="128"/>
    </row>
    <row r="1112" customFormat="false" ht="14.25" hidden="false" customHeight="false" outlineLevel="0" collapsed="false">
      <c r="D1112" s="128"/>
    </row>
    <row r="1113" customFormat="false" ht="14.25" hidden="false" customHeight="false" outlineLevel="0" collapsed="false">
      <c r="D1113" s="128"/>
    </row>
    <row r="1114" customFormat="false" ht="14.25" hidden="false" customHeight="false" outlineLevel="0" collapsed="false">
      <c r="D1114" s="128"/>
    </row>
    <row r="1115" customFormat="false" ht="14.25" hidden="false" customHeight="false" outlineLevel="0" collapsed="false">
      <c r="D1115" s="128"/>
    </row>
    <row r="1116" customFormat="false" ht="14.25" hidden="false" customHeight="false" outlineLevel="0" collapsed="false">
      <c r="D1116" s="128"/>
    </row>
    <row r="1117" customFormat="false" ht="14.25" hidden="false" customHeight="false" outlineLevel="0" collapsed="false">
      <c r="D1117" s="128"/>
    </row>
    <row r="1118" customFormat="false" ht="14.25" hidden="false" customHeight="false" outlineLevel="0" collapsed="false">
      <c r="D1118" s="128"/>
    </row>
    <row r="1119" customFormat="false" ht="14.25" hidden="false" customHeight="false" outlineLevel="0" collapsed="false">
      <c r="D1119" s="128"/>
    </row>
    <row r="1120" customFormat="false" ht="14.25" hidden="false" customHeight="false" outlineLevel="0" collapsed="false">
      <c r="D1120" s="128"/>
    </row>
    <row r="1121" customFormat="false" ht="14.25" hidden="false" customHeight="false" outlineLevel="0" collapsed="false">
      <c r="D1121" s="128"/>
    </row>
    <row r="1122" customFormat="false" ht="14.25" hidden="false" customHeight="false" outlineLevel="0" collapsed="false">
      <c r="D1122" s="128"/>
    </row>
    <row r="1123" customFormat="false" ht="14.25" hidden="false" customHeight="false" outlineLevel="0" collapsed="false">
      <c r="D1123" s="128"/>
    </row>
    <row r="1124" customFormat="false" ht="14.25" hidden="false" customHeight="false" outlineLevel="0" collapsed="false">
      <c r="D1124" s="128"/>
    </row>
    <row r="1125" customFormat="false" ht="14.25" hidden="false" customHeight="false" outlineLevel="0" collapsed="false">
      <c r="D1125" s="128"/>
    </row>
    <row r="1126" customFormat="false" ht="14.25" hidden="false" customHeight="false" outlineLevel="0" collapsed="false">
      <c r="D1126" s="128"/>
    </row>
    <row r="1127" customFormat="false" ht="14.25" hidden="false" customHeight="false" outlineLevel="0" collapsed="false">
      <c r="D1127" s="128"/>
    </row>
    <row r="1128" customFormat="false" ht="14.25" hidden="false" customHeight="false" outlineLevel="0" collapsed="false">
      <c r="D1128" s="128"/>
    </row>
    <row r="1129" customFormat="false" ht="14.25" hidden="false" customHeight="false" outlineLevel="0" collapsed="false">
      <c r="D1129" s="128"/>
    </row>
    <row r="1130" customFormat="false" ht="14.25" hidden="false" customHeight="false" outlineLevel="0" collapsed="false">
      <c r="D1130" s="128"/>
    </row>
    <row r="1131" customFormat="false" ht="14.25" hidden="false" customHeight="false" outlineLevel="0" collapsed="false">
      <c r="D1131" s="128"/>
    </row>
    <row r="1132" customFormat="false" ht="14.25" hidden="false" customHeight="false" outlineLevel="0" collapsed="false">
      <c r="D1132" s="128"/>
    </row>
    <row r="1133" customFormat="false" ht="14.25" hidden="false" customHeight="false" outlineLevel="0" collapsed="false">
      <c r="D1133" s="128"/>
    </row>
    <row r="1134" customFormat="false" ht="14.25" hidden="false" customHeight="false" outlineLevel="0" collapsed="false">
      <c r="D1134" s="128"/>
    </row>
    <row r="1135" customFormat="false" ht="14.25" hidden="false" customHeight="false" outlineLevel="0" collapsed="false">
      <c r="D1135" s="128"/>
    </row>
    <row r="1136" customFormat="false" ht="14.25" hidden="false" customHeight="false" outlineLevel="0" collapsed="false">
      <c r="D1136" s="128"/>
    </row>
    <row r="1137" customFormat="false" ht="14.25" hidden="false" customHeight="false" outlineLevel="0" collapsed="false">
      <c r="D1137" s="128"/>
    </row>
    <row r="1138" customFormat="false" ht="14.25" hidden="false" customHeight="false" outlineLevel="0" collapsed="false">
      <c r="D1138" s="128"/>
    </row>
    <row r="1139" customFormat="false" ht="14.25" hidden="false" customHeight="false" outlineLevel="0" collapsed="false">
      <c r="D1139" s="128"/>
    </row>
    <row r="1140" customFormat="false" ht="14.25" hidden="false" customHeight="false" outlineLevel="0" collapsed="false">
      <c r="D1140" s="128"/>
    </row>
    <row r="1141" customFormat="false" ht="14.25" hidden="false" customHeight="false" outlineLevel="0" collapsed="false">
      <c r="D1141" s="128"/>
    </row>
    <row r="1142" customFormat="false" ht="14.25" hidden="false" customHeight="false" outlineLevel="0" collapsed="false">
      <c r="D1142" s="128"/>
    </row>
    <row r="1143" customFormat="false" ht="14.25" hidden="false" customHeight="false" outlineLevel="0" collapsed="false">
      <c r="D1143" s="128"/>
    </row>
    <row r="1144" customFormat="false" ht="14.25" hidden="false" customHeight="false" outlineLevel="0" collapsed="false">
      <c r="D1144" s="128"/>
    </row>
    <row r="1145" customFormat="false" ht="14.25" hidden="false" customHeight="false" outlineLevel="0" collapsed="false">
      <c r="D1145" s="128"/>
    </row>
    <row r="1146" customFormat="false" ht="14.25" hidden="false" customHeight="false" outlineLevel="0" collapsed="false">
      <c r="D1146" s="128"/>
    </row>
    <row r="1147" customFormat="false" ht="14.25" hidden="false" customHeight="false" outlineLevel="0" collapsed="false">
      <c r="D1147" s="128"/>
    </row>
    <row r="1148" customFormat="false" ht="14.25" hidden="false" customHeight="false" outlineLevel="0" collapsed="false">
      <c r="D1148" s="128"/>
    </row>
    <row r="1149" customFormat="false" ht="14.25" hidden="false" customHeight="false" outlineLevel="0" collapsed="false">
      <c r="D1149" s="128"/>
    </row>
    <row r="1150" customFormat="false" ht="14.25" hidden="false" customHeight="false" outlineLevel="0" collapsed="false">
      <c r="D1150" s="128"/>
    </row>
    <row r="1151" customFormat="false" ht="14.25" hidden="false" customHeight="false" outlineLevel="0" collapsed="false">
      <c r="D1151" s="128"/>
    </row>
    <row r="1152" customFormat="false" ht="14.25" hidden="false" customHeight="false" outlineLevel="0" collapsed="false">
      <c r="D1152" s="128"/>
    </row>
    <row r="1153" customFormat="false" ht="14.25" hidden="false" customHeight="false" outlineLevel="0" collapsed="false">
      <c r="D1153" s="128"/>
    </row>
    <row r="1154" customFormat="false" ht="14.25" hidden="false" customHeight="false" outlineLevel="0" collapsed="false">
      <c r="D1154" s="128"/>
    </row>
    <row r="1155" customFormat="false" ht="14.25" hidden="false" customHeight="false" outlineLevel="0" collapsed="false">
      <c r="D1155" s="128"/>
    </row>
    <row r="1156" customFormat="false" ht="14.25" hidden="false" customHeight="false" outlineLevel="0" collapsed="false">
      <c r="D1156" s="128"/>
    </row>
    <row r="1157" customFormat="false" ht="14.25" hidden="false" customHeight="false" outlineLevel="0" collapsed="false">
      <c r="D1157" s="128"/>
    </row>
    <row r="1158" customFormat="false" ht="14.25" hidden="false" customHeight="false" outlineLevel="0" collapsed="false">
      <c r="D1158" s="128"/>
    </row>
    <row r="1159" customFormat="false" ht="14.25" hidden="false" customHeight="false" outlineLevel="0" collapsed="false">
      <c r="D1159" s="128"/>
    </row>
    <row r="1160" customFormat="false" ht="14.25" hidden="false" customHeight="false" outlineLevel="0" collapsed="false">
      <c r="D1160" s="128"/>
    </row>
    <row r="1161" customFormat="false" ht="14.25" hidden="false" customHeight="false" outlineLevel="0" collapsed="false">
      <c r="D1161" s="128"/>
    </row>
    <row r="1162" customFormat="false" ht="14.25" hidden="false" customHeight="false" outlineLevel="0" collapsed="false">
      <c r="D1162" s="128"/>
    </row>
    <row r="1163" customFormat="false" ht="14.25" hidden="false" customHeight="false" outlineLevel="0" collapsed="false">
      <c r="D1163" s="128"/>
    </row>
    <row r="1164" customFormat="false" ht="14.25" hidden="false" customHeight="false" outlineLevel="0" collapsed="false">
      <c r="D1164" s="128"/>
    </row>
    <row r="1165" customFormat="false" ht="14.25" hidden="false" customHeight="false" outlineLevel="0" collapsed="false">
      <c r="D1165" s="128"/>
    </row>
    <row r="1166" customFormat="false" ht="14.25" hidden="false" customHeight="false" outlineLevel="0" collapsed="false">
      <c r="D1166" s="128"/>
    </row>
    <row r="1167" customFormat="false" ht="14.25" hidden="false" customHeight="false" outlineLevel="0" collapsed="false">
      <c r="D1167" s="128"/>
    </row>
    <row r="1168" customFormat="false" ht="14.25" hidden="false" customHeight="false" outlineLevel="0" collapsed="false">
      <c r="D1168" s="128"/>
    </row>
    <row r="1169" customFormat="false" ht="14.25" hidden="false" customHeight="false" outlineLevel="0" collapsed="false">
      <c r="D1169" s="128"/>
    </row>
    <row r="1170" customFormat="false" ht="14.25" hidden="false" customHeight="false" outlineLevel="0" collapsed="false">
      <c r="D1170" s="128"/>
    </row>
    <row r="1171" customFormat="false" ht="14.25" hidden="false" customHeight="false" outlineLevel="0" collapsed="false">
      <c r="D1171" s="128"/>
    </row>
    <row r="1172" customFormat="false" ht="14.25" hidden="false" customHeight="false" outlineLevel="0" collapsed="false">
      <c r="D1172" s="128"/>
    </row>
    <row r="1173" customFormat="false" ht="14.25" hidden="false" customHeight="false" outlineLevel="0" collapsed="false">
      <c r="D1173" s="128"/>
    </row>
    <row r="1174" customFormat="false" ht="14.25" hidden="false" customHeight="false" outlineLevel="0" collapsed="false">
      <c r="D1174" s="128"/>
    </row>
    <row r="1175" customFormat="false" ht="14.25" hidden="false" customHeight="false" outlineLevel="0" collapsed="false">
      <c r="D1175" s="128"/>
    </row>
    <row r="1176" customFormat="false" ht="14.25" hidden="false" customHeight="false" outlineLevel="0" collapsed="false">
      <c r="D1176" s="128"/>
    </row>
    <row r="1177" customFormat="false" ht="14.25" hidden="false" customHeight="false" outlineLevel="0" collapsed="false">
      <c r="D1177" s="128"/>
    </row>
    <row r="1178" customFormat="false" ht="14.25" hidden="false" customHeight="false" outlineLevel="0" collapsed="false">
      <c r="D1178" s="128"/>
    </row>
    <row r="1179" customFormat="false" ht="14.25" hidden="false" customHeight="false" outlineLevel="0" collapsed="false">
      <c r="D1179" s="128"/>
    </row>
    <row r="1180" customFormat="false" ht="14.25" hidden="false" customHeight="false" outlineLevel="0" collapsed="false">
      <c r="D1180" s="128"/>
    </row>
    <row r="1181" customFormat="false" ht="14.25" hidden="false" customHeight="false" outlineLevel="0" collapsed="false">
      <c r="D1181" s="128"/>
    </row>
    <row r="1182" customFormat="false" ht="14.25" hidden="false" customHeight="false" outlineLevel="0" collapsed="false">
      <c r="D1182" s="128"/>
    </row>
    <row r="1183" customFormat="false" ht="14.25" hidden="false" customHeight="false" outlineLevel="0" collapsed="false">
      <c r="D1183" s="128"/>
    </row>
    <row r="1184" customFormat="false" ht="14.25" hidden="false" customHeight="false" outlineLevel="0" collapsed="false">
      <c r="D1184" s="128"/>
    </row>
    <row r="1185" customFormat="false" ht="14.25" hidden="false" customHeight="false" outlineLevel="0" collapsed="false">
      <c r="D1185" s="128"/>
    </row>
    <row r="1186" customFormat="false" ht="14.25" hidden="false" customHeight="false" outlineLevel="0" collapsed="false">
      <c r="D1186" s="128"/>
    </row>
    <row r="1187" customFormat="false" ht="14.25" hidden="false" customHeight="false" outlineLevel="0" collapsed="false">
      <c r="D1187" s="128"/>
    </row>
    <row r="1188" customFormat="false" ht="14.25" hidden="false" customHeight="false" outlineLevel="0" collapsed="false">
      <c r="D1188" s="128"/>
    </row>
    <row r="1189" customFormat="false" ht="14.25" hidden="false" customHeight="false" outlineLevel="0" collapsed="false">
      <c r="D1189" s="128"/>
    </row>
    <row r="1190" customFormat="false" ht="14.25" hidden="false" customHeight="false" outlineLevel="0" collapsed="false">
      <c r="D1190" s="128"/>
    </row>
    <row r="1191" customFormat="false" ht="14.25" hidden="false" customHeight="false" outlineLevel="0" collapsed="false">
      <c r="D1191" s="128"/>
    </row>
    <row r="1192" customFormat="false" ht="14.25" hidden="false" customHeight="false" outlineLevel="0" collapsed="false">
      <c r="D1192" s="128"/>
    </row>
    <row r="1193" customFormat="false" ht="14.25" hidden="false" customHeight="false" outlineLevel="0" collapsed="false">
      <c r="D1193" s="128"/>
    </row>
    <row r="1194" customFormat="false" ht="14.25" hidden="false" customHeight="false" outlineLevel="0" collapsed="false">
      <c r="D1194" s="128"/>
    </row>
    <row r="1195" customFormat="false" ht="14.25" hidden="false" customHeight="false" outlineLevel="0" collapsed="false">
      <c r="D1195" s="128"/>
    </row>
    <row r="1196" customFormat="false" ht="14.25" hidden="false" customHeight="false" outlineLevel="0" collapsed="false">
      <c r="D1196" s="128"/>
    </row>
    <row r="1197" customFormat="false" ht="14.25" hidden="false" customHeight="false" outlineLevel="0" collapsed="false">
      <c r="D1197" s="128"/>
    </row>
    <row r="1198" customFormat="false" ht="14.25" hidden="false" customHeight="false" outlineLevel="0" collapsed="false">
      <c r="D1198" s="128"/>
    </row>
    <row r="1199" customFormat="false" ht="14.25" hidden="false" customHeight="false" outlineLevel="0" collapsed="false">
      <c r="D1199" s="128"/>
    </row>
    <row r="1200" customFormat="false" ht="14.25" hidden="false" customHeight="false" outlineLevel="0" collapsed="false">
      <c r="D1200" s="128"/>
    </row>
    <row r="1201" customFormat="false" ht="14.25" hidden="false" customHeight="false" outlineLevel="0" collapsed="false">
      <c r="D1201" s="128"/>
    </row>
    <row r="1202" customFormat="false" ht="14.25" hidden="false" customHeight="false" outlineLevel="0" collapsed="false">
      <c r="D1202" s="128"/>
    </row>
    <row r="1203" customFormat="false" ht="14.25" hidden="false" customHeight="false" outlineLevel="0" collapsed="false">
      <c r="D1203" s="128"/>
    </row>
    <row r="1204" customFormat="false" ht="14.25" hidden="false" customHeight="false" outlineLevel="0" collapsed="false">
      <c r="D1204" s="128"/>
    </row>
    <row r="1205" customFormat="false" ht="14.25" hidden="false" customHeight="false" outlineLevel="0" collapsed="false">
      <c r="D1205" s="128"/>
    </row>
    <row r="1206" customFormat="false" ht="14.25" hidden="false" customHeight="false" outlineLevel="0" collapsed="false">
      <c r="D1206" s="128"/>
    </row>
    <row r="1207" customFormat="false" ht="14.25" hidden="false" customHeight="false" outlineLevel="0" collapsed="false">
      <c r="D1207" s="128"/>
    </row>
    <row r="1208" customFormat="false" ht="14.25" hidden="false" customHeight="false" outlineLevel="0" collapsed="false">
      <c r="D1208" s="128"/>
    </row>
    <row r="1209" customFormat="false" ht="14.25" hidden="false" customHeight="false" outlineLevel="0" collapsed="false">
      <c r="D1209" s="128"/>
    </row>
    <row r="1210" customFormat="false" ht="14.25" hidden="false" customHeight="false" outlineLevel="0" collapsed="false">
      <c r="D1210" s="128"/>
    </row>
    <row r="1211" customFormat="false" ht="14.25" hidden="false" customHeight="false" outlineLevel="0" collapsed="false">
      <c r="D1211" s="128"/>
    </row>
    <row r="1212" customFormat="false" ht="14.25" hidden="false" customHeight="false" outlineLevel="0" collapsed="false">
      <c r="D1212" s="128"/>
    </row>
    <row r="1213" customFormat="false" ht="14.25" hidden="false" customHeight="false" outlineLevel="0" collapsed="false">
      <c r="D1213" s="128"/>
    </row>
    <row r="1214" customFormat="false" ht="14.25" hidden="false" customHeight="false" outlineLevel="0" collapsed="false">
      <c r="D1214" s="128"/>
    </row>
    <row r="1215" customFormat="false" ht="14.25" hidden="false" customHeight="false" outlineLevel="0" collapsed="false">
      <c r="D1215" s="128"/>
    </row>
    <row r="1216" customFormat="false" ht="14.25" hidden="false" customHeight="false" outlineLevel="0" collapsed="false">
      <c r="D1216" s="128"/>
    </row>
    <row r="1217" customFormat="false" ht="14.25" hidden="false" customHeight="false" outlineLevel="0" collapsed="false">
      <c r="D1217" s="128"/>
    </row>
    <row r="1218" customFormat="false" ht="14.25" hidden="false" customHeight="false" outlineLevel="0" collapsed="false">
      <c r="D1218" s="128"/>
    </row>
    <row r="1219" customFormat="false" ht="14.25" hidden="false" customHeight="false" outlineLevel="0" collapsed="false">
      <c r="D1219" s="128"/>
    </row>
    <row r="1220" customFormat="false" ht="14.25" hidden="false" customHeight="false" outlineLevel="0" collapsed="false">
      <c r="D1220" s="1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9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453125" defaultRowHeight="39.75" customHeight="true" zeroHeight="false" outlineLevelRow="0" outlineLevelCol="0"/>
  <cols>
    <col collapsed="false" customWidth="true" hidden="false" outlineLevel="0" max="1" min="1" style="129" width="5.11"/>
    <col collapsed="false" customWidth="true" hidden="false" outlineLevel="0" max="2" min="2" style="130" width="14.44"/>
    <col collapsed="false" customWidth="true" hidden="false" outlineLevel="0" max="3" min="3" style="131" width="31.33"/>
    <col collapsed="false" customWidth="true" hidden="false" outlineLevel="0" max="4" min="4" style="131" width="39.56"/>
    <col collapsed="false" customWidth="true" hidden="false" outlineLevel="0" max="5" min="5" style="130" width="11.33"/>
    <col collapsed="false" customWidth="true" hidden="false" outlineLevel="0" max="6" min="6" style="131" width="29.44"/>
    <col collapsed="false" customWidth="true" hidden="false" outlineLevel="0" max="7" min="7" style="130" width="23.44"/>
    <col collapsed="false" customWidth="true" hidden="false" outlineLevel="0" max="8" min="8" style="131" width="13.56"/>
    <col collapsed="false" customWidth="true" hidden="false" outlineLevel="0" max="9" min="9" style="132" width="29.56"/>
    <col collapsed="false" customWidth="true" hidden="false" outlineLevel="0" max="10" min="10" style="132" width="36.44"/>
    <col collapsed="false" customWidth="true" hidden="false" outlineLevel="0" max="11" min="11" style="130" width="12.11"/>
    <col collapsed="false" customWidth="true" hidden="false" outlineLevel="0" max="12" min="12" style="132" width="8"/>
    <col collapsed="false" customWidth="true" hidden="false" outlineLevel="0" max="13" min="13" style="131" width="8.56"/>
    <col collapsed="false" customWidth="true" hidden="false" outlineLevel="0" max="14" min="14" style="133" width="15.88"/>
    <col collapsed="false" customWidth="true" hidden="false" outlineLevel="0" max="15" min="15" style="133" width="26"/>
    <col collapsed="false" customWidth="true" hidden="false" outlineLevel="0" max="16" min="16" style="132" width="8.56"/>
    <col collapsed="false" customWidth="true" hidden="false" outlineLevel="0" max="17" min="17" style="131" width="11.67"/>
    <col collapsed="false" customWidth="true" hidden="false" outlineLevel="0" max="18" min="18" style="130" width="18.34"/>
    <col collapsed="false" customWidth="true" hidden="false" outlineLevel="0" max="19" min="19" style="131" width="69"/>
    <col collapsed="false" customWidth="true" hidden="false" outlineLevel="0" max="20" min="20" style="134" width="17.11"/>
    <col collapsed="false" customWidth="false" hidden="false" outlineLevel="0" max="16384" min="21" style="129" width="11.44"/>
  </cols>
  <sheetData>
    <row r="1" s="135" customFormat="true" ht="39.75" hidden="false" customHeight="false" outlineLevel="0" collapsed="false">
      <c r="B1" s="136" t="s">
        <v>106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/>
      <c r="O1" s="137"/>
      <c r="P1" s="1"/>
      <c r="Q1" s="1"/>
      <c r="R1" s="1"/>
      <c r="S1" s="1"/>
      <c r="T1" s="1"/>
    </row>
    <row r="2" s="135" customFormat="true" ht="39.75" hidden="false" customHeight="false" outlineLevel="0" collapsed="false">
      <c r="B2" s="138" t="s">
        <v>107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/>
      <c r="O2" s="137"/>
      <c r="P2" s="1"/>
      <c r="Q2" s="1"/>
      <c r="R2" s="1"/>
      <c r="S2" s="1"/>
      <c r="T2" s="1"/>
    </row>
    <row r="3" s="135" customFormat="true" ht="39.7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37"/>
      <c r="O3" s="137"/>
      <c r="P3" s="1"/>
      <c r="Q3" s="1"/>
      <c r="R3" s="1"/>
      <c r="S3" s="1"/>
      <c r="T3" s="1"/>
    </row>
    <row r="4" s="135" customFormat="true" ht="39.75" hidden="false" customHeight="false" outlineLevel="0" collapsed="false">
      <c r="B4" s="1" t="s">
        <v>108</v>
      </c>
      <c r="C4" s="139" t="n">
        <f aca="false">+COUNTA($B$5:$B$1048576)+5</f>
        <v>904</v>
      </c>
      <c r="D4" s="1"/>
      <c r="E4" s="1"/>
      <c r="F4" s="1"/>
      <c r="G4" s="1"/>
      <c r="H4" s="1"/>
      <c r="I4" s="1"/>
      <c r="J4" s="1"/>
      <c r="K4" s="1"/>
      <c r="L4" s="1"/>
      <c r="M4" s="1"/>
      <c r="N4" s="137"/>
      <c r="O4" s="137"/>
      <c r="P4" s="1"/>
      <c r="Q4" s="1"/>
      <c r="R4" s="1"/>
      <c r="S4" s="1"/>
      <c r="T4" s="1"/>
    </row>
    <row r="5" s="135" customFormat="true" ht="39.75" hidden="false" customHeight="false" outlineLevel="0" collapsed="false">
      <c r="B5" s="140" t="s">
        <v>109</v>
      </c>
      <c r="C5" s="141" t="s">
        <v>110</v>
      </c>
      <c r="D5" s="141" t="s">
        <v>111</v>
      </c>
      <c r="E5" s="141" t="s">
        <v>112</v>
      </c>
      <c r="F5" s="141" t="s">
        <v>113</v>
      </c>
      <c r="G5" s="141" t="s">
        <v>114</v>
      </c>
      <c r="H5" s="141" t="s">
        <v>115</v>
      </c>
      <c r="I5" s="141" t="s">
        <v>116</v>
      </c>
      <c r="J5" s="141" t="s">
        <v>117</v>
      </c>
      <c r="K5" s="141" t="s">
        <v>118</v>
      </c>
      <c r="L5" s="141" t="s">
        <v>119</v>
      </c>
      <c r="M5" s="141" t="s">
        <v>120</v>
      </c>
      <c r="N5" s="142" t="s">
        <v>121</v>
      </c>
      <c r="O5" s="142" t="s">
        <v>122</v>
      </c>
      <c r="P5" s="141" t="s">
        <v>123</v>
      </c>
      <c r="Q5" s="141" t="s">
        <v>124</v>
      </c>
      <c r="R5" s="141" t="s">
        <v>125</v>
      </c>
      <c r="S5" s="141" t="s">
        <v>126</v>
      </c>
      <c r="T5" s="141" t="s">
        <v>127</v>
      </c>
    </row>
    <row r="6" customFormat="false" ht="39.75" hidden="false" customHeight="true" outlineLevel="0" collapsed="false">
      <c r="B6" s="130" t="n">
        <v>5208653</v>
      </c>
      <c r="C6" s="131" t="s">
        <v>128</v>
      </c>
      <c r="D6" s="131" t="s">
        <v>129</v>
      </c>
      <c r="E6" s="130" t="n">
        <v>4480000</v>
      </c>
      <c r="F6" s="131" t="s">
        <v>8</v>
      </c>
      <c r="G6" s="130" t="n">
        <v>0</v>
      </c>
      <c r="H6" s="131" t="n">
        <v>0</v>
      </c>
      <c r="I6" s="132" t="n">
        <v>0</v>
      </c>
      <c r="K6" s="130" t="n">
        <v>22.3525098214286</v>
      </c>
      <c r="M6" s="131" t="s">
        <v>64</v>
      </c>
      <c r="N6" s="133" t="n">
        <v>0.58</v>
      </c>
      <c r="O6" s="133" t="n">
        <v>22.3525098214286</v>
      </c>
      <c r="P6" s="132" t="n">
        <v>0.0099</v>
      </c>
      <c r="Q6" s="131" t="s">
        <v>130</v>
      </c>
      <c r="R6" s="130" t="n">
        <v>100000000</v>
      </c>
      <c r="S6" s="143" t="n">
        <v>0</v>
      </c>
      <c r="T6" s="134" t="n">
        <v>45264.6606065972</v>
      </c>
    </row>
    <row r="7" customFormat="false" ht="39.75" hidden="false" customHeight="true" outlineLevel="0" collapsed="false">
      <c r="B7" s="130" t="n">
        <v>1234190116</v>
      </c>
      <c r="C7" s="131" t="s">
        <v>131</v>
      </c>
      <c r="D7" s="131" t="s">
        <v>129</v>
      </c>
      <c r="E7" s="130" t="n">
        <v>2320800</v>
      </c>
      <c r="F7" s="131" t="s">
        <v>19</v>
      </c>
      <c r="G7" s="130" t="n">
        <v>6548095</v>
      </c>
      <c r="H7" s="131" t="n">
        <v>810</v>
      </c>
      <c r="I7" s="132" t="n">
        <v>0.41</v>
      </c>
      <c r="J7" s="132" t="n">
        <v>0.47</v>
      </c>
      <c r="K7" s="130" t="n">
        <v>6.42498319544985</v>
      </c>
      <c r="L7" s="132" t="n">
        <v>0.47</v>
      </c>
      <c r="M7" s="131" t="s">
        <v>62</v>
      </c>
      <c r="N7" s="133" t="n">
        <v>1.57686745949673</v>
      </c>
      <c r="O7" s="133" t="n">
        <v>6.42498319544985</v>
      </c>
      <c r="P7" s="132" t="n">
        <v>0.0099</v>
      </c>
      <c r="Q7" s="131" t="s">
        <v>130</v>
      </c>
      <c r="R7" s="130" t="n">
        <v>11563000</v>
      </c>
      <c r="S7" s="143" t="n">
        <v>0</v>
      </c>
      <c r="T7" s="134" t="n">
        <v>45303.5879238426</v>
      </c>
    </row>
    <row r="8" customFormat="false" ht="39.75" hidden="false" customHeight="true" outlineLevel="0" collapsed="false">
      <c r="B8" s="130" t="n">
        <v>1010091223</v>
      </c>
      <c r="C8" s="131" t="s">
        <v>132</v>
      </c>
      <c r="D8" s="131" t="s">
        <v>129</v>
      </c>
      <c r="E8" s="130" t="n">
        <v>2383300</v>
      </c>
      <c r="F8" s="131" t="s">
        <v>14</v>
      </c>
      <c r="G8" s="130" t="n">
        <v>4600000</v>
      </c>
      <c r="H8" s="131" t="n">
        <v>657</v>
      </c>
      <c r="I8" s="132" t="n">
        <v>0.35</v>
      </c>
      <c r="J8" s="132" t="n">
        <v>0.39</v>
      </c>
      <c r="K8" s="130" t="n">
        <v>3.21022321990517</v>
      </c>
      <c r="L8" s="132" t="n">
        <v>0.39</v>
      </c>
      <c r="M8" s="131" t="s">
        <v>64</v>
      </c>
      <c r="N8" s="133" t="n">
        <v>0.969113414173625</v>
      </c>
      <c r="O8" s="133" t="n">
        <v>3.21022321990517</v>
      </c>
      <c r="P8" s="132" t="n">
        <v>0.0099</v>
      </c>
      <c r="Q8" s="131" t="s">
        <v>130</v>
      </c>
      <c r="R8" s="130" t="n">
        <v>163000</v>
      </c>
      <c r="S8" s="143" t="n">
        <v>0</v>
      </c>
      <c r="T8" s="134" t="n">
        <v>45303.6140818287</v>
      </c>
    </row>
    <row r="9" customFormat="false" ht="39.75" hidden="false" customHeight="true" outlineLevel="0" collapsed="false">
      <c r="B9" s="130" t="n">
        <v>1010091223</v>
      </c>
      <c r="C9" s="131" t="s">
        <v>132</v>
      </c>
      <c r="D9" s="131" t="s">
        <v>129</v>
      </c>
      <c r="E9" s="130" t="n">
        <v>2383300</v>
      </c>
      <c r="F9" s="131" t="s">
        <v>14</v>
      </c>
      <c r="G9" s="130" t="n">
        <v>3000000</v>
      </c>
      <c r="H9" s="131" t="n">
        <v>657</v>
      </c>
      <c r="I9" s="132" t="n">
        <v>0.35</v>
      </c>
      <c r="J9" s="132" t="n">
        <v>0.38</v>
      </c>
      <c r="K9" s="130" t="n">
        <v>3.21022321990517</v>
      </c>
      <c r="L9" s="132" t="n">
        <v>0.38</v>
      </c>
      <c r="M9" s="131" t="s">
        <v>64</v>
      </c>
      <c r="N9" s="133" t="n">
        <v>0.969113414173625</v>
      </c>
      <c r="O9" s="133" t="n">
        <v>3.21022321990517</v>
      </c>
      <c r="P9" s="132" t="n">
        <v>0.0099</v>
      </c>
      <c r="Q9" s="131" t="s">
        <v>130</v>
      </c>
      <c r="R9" s="130" t="n">
        <v>163000</v>
      </c>
      <c r="S9" s="143" t="s">
        <v>133</v>
      </c>
      <c r="T9" s="134" t="n">
        <v>45303.6244049769</v>
      </c>
    </row>
    <row r="10" customFormat="false" ht="39.75" hidden="false" customHeight="true" outlineLevel="0" collapsed="false">
      <c r="B10" s="130" t="n">
        <v>30398858</v>
      </c>
      <c r="C10" s="131" t="s">
        <v>134</v>
      </c>
      <c r="D10" s="131" t="s">
        <v>135</v>
      </c>
      <c r="E10" s="130" t="n">
        <v>5890200</v>
      </c>
      <c r="F10" s="131" t="s">
        <v>14</v>
      </c>
      <c r="G10" s="130" t="n">
        <v>1600000</v>
      </c>
      <c r="H10" s="131" t="n">
        <v>747</v>
      </c>
      <c r="I10" s="132" t="n">
        <v>0.36</v>
      </c>
      <c r="J10" s="132" t="n">
        <v>0.37</v>
      </c>
      <c r="K10" s="130" t="n">
        <v>4.64352229126345</v>
      </c>
      <c r="L10" s="132" t="n">
        <v>0.37</v>
      </c>
      <c r="M10" s="131" t="s">
        <v>64</v>
      </c>
      <c r="N10" s="133" t="n">
        <v>1.51337866286374</v>
      </c>
      <c r="O10" s="133" t="n">
        <v>4.64352229126345</v>
      </c>
      <c r="P10" s="132" t="n">
        <v>0.0227</v>
      </c>
      <c r="Q10" s="131" t="s">
        <v>130</v>
      </c>
      <c r="R10" s="130" t="n">
        <v>18050000</v>
      </c>
      <c r="S10" s="143" t="s">
        <v>133</v>
      </c>
      <c r="T10" s="134" t="n">
        <v>45306.3538231482</v>
      </c>
    </row>
    <row r="11" customFormat="false" ht="39.75" hidden="false" customHeight="true" outlineLevel="0" collapsed="false">
      <c r="B11" s="130" t="n">
        <v>30398858</v>
      </c>
      <c r="C11" s="131" t="s">
        <v>134</v>
      </c>
      <c r="D11" s="131" t="s">
        <v>135</v>
      </c>
      <c r="E11" s="130" t="n">
        <v>5890200</v>
      </c>
      <c r="F11" s="131" t="s">
        <v>14</v>
      </c>
      <c r="G11" s="130" t="n">
        <v>1600000</v>
      </c>
      <c r="H11" s="131" t="n">
        <v>747</v>
      </c>
      <c r="I11" s="132" t="n">
        <v>0.36</v>
      </c>
      <c r="J11" s="132" t="n">
        <v>0.37</v>
      </c>
      <c r="K11" s="130" t="n">
        <v>4.64352229126345</v>
      </c>
      <c r="L11" s="132" t="n">
        <v>0.37</v>
      </c>
      <c r="M11" s="131" t="s">
        <v>64</v>
      </c>
      <c r="N11" s="133" t="n">
        <v>1.51337866286374</v>
      </c>
      <c r="O11" s="133" t="n">
        <v>4.64352229126345</v>
      </c>
      <c r="P11" s="132" t="n">
        <v>0.0227</v>
      </c>
      <c r="Q11" s="131" t="s">
        <v>130</v>
      </c>
      <c r="R11" s="130" t="n">
        <v>18050000</v>
      </c>
      <c r="S11" s="143" t="s">
        <v>133</v>
      </c>
      <c r="T11" s="134" t="n">
        <v>45306.355799537</v>
      </c>
    </row>
    <row r="12" customFormat="false" ht="39.75" hidden="false" customHeight="true" outlineLevel="0" collapsed="false">
      <c r="B12" s="130" t="n">
        <v>1130605624</v>
      </c>
      <c r="C12" s="131" t="s">
        <v>136</v>
      </c>
      <c r="D12" s="131" t="s">
        <v>135</v>
      </c>
      <c r="E12" s="130" t="n">
        <v>2648100</v>
      </c>
      <c r="F12" s="131" t="s">
        <v>19</v>
      </c>
      <c r="G12" s="130" t="n">
        <v>6228000</v>
      </c>
      <c r="H12" s="131" t="n">
        <v>775</v>
      </c>
      <c r="I12" s="132" t="n">
        <v>0.41</v>
      </c>
      <c r="J12" s="132" t="n">
        <v>0.46</v>
      </c>
      <c r="K12" s="130" t="n">
        <v>70.736146293569</v>
      </c>
      <c r="L12" s="132" t="n">
        <v>0.46</v>
      </c>
      <c r="M12" s="131" t="s">
        <v>62</v>
      </c>
      <c r="N12" s="133" t="n">
        <v>1.58952494241154</v>
      </c>
      <c r="O12" s="133" t="n">
        <v>70.736146293569</v>
      </c>
      <c r="P12" s="132" t="n">
        <v>0.006</v>
      </c>
      <c r="Q12" s="131" t="s">
        <v>130</v>
      </c>
      <c r="R12" s="130" t="n">
        <v>184653000</v>
      </c>
      <c r="S12" s="143" t="s">
        <v>133</v>
      </c>
      <c r="T12" s="134" t="n">
        <v>45306.4044836806</v>
      </c>
    </row>
    <row r="13" customFormat="false" ht="39.75" hidden="false" customHeight="true" outlineLevel="0" collapsed="false">
      <c r="B13" s="130" t="n">
        <v>1130609546</v>
      </c>
      <c r="C13" s="131" t="s">
        <v>137</v>
      </c>
      <c r="D13" s="131" t="s">
        <v>135</v>
      </c>
      <c r="E13" s="130" t="n">
        <v>2648100</v>
      </c>
      <c r="F13" s="131" t="s">
        <v>14</v>
      </c>
      <c r="G13" s="130" t="n">
        <v>15000000</v>
      </c>
      <c r="H13" s="131" t="n">
        <v>806</v>
      </c>
      <c r="I13" s="132" t="n">
        <v>0.3</v>
      </c>
      <c r="J13" s="132" t="n">
        <v>0.49</v>
      </c>
      <c r="K13" s="130" t="n">
        <v>2.99535516030361</v>
      </c>
      <c r="L13" s="132" t="n">
        <v>0.49</v>
      </c>
      <c r="M13" s="131" t="s">
        <v>62</v>
      </c>
      <c r="N13" s="133" t="n">
        <v>1.35152033533477</v>
      </c>
      <c r="O13" s="133" t="n">
        <v>2.99535516030361</v>
      </c>
      <c r="P13" s="132" t="n">
        <v>0.0227</v>
      </c>
      <c r="Q13" s="131" t="s">
        <v>130</v>
      </c>
      <c r="R13" s="130" t="n">
        <v>7932000</v>
      </c>
      <c r="S13" s="143" t="n">
        <v>0</v>
      </c>
      <c r="T13" s="134" t="n">
        <v>45306.4264302083</v>
      </c>
    </row>
    <row r="14" customFormat="false" ht="39.75" hidden="false" customHeight="true" outlineLevel="0" collapsed="false">
      <c r="B14" s="130" t="n">
        <v>94492338</v>
      </c>
      <c r="C14" s="131" t="s">
        <v>138</v>
      </c>
      <c r="D14" s="131" t="s">
        <v>135</v>
      </c>
      <c r="E14" s="130" t="n">
        <v>9417000</v>
      </c>
      <c r="F14" s="131" t="s">
        <v>14</v>
      </c>
      <c r="G14" s="130" t="n">
        <v>3000000</v>
      </c>
      <c r="H14" s="131" t="n">
        <v>805</v>
      </c>
      <c r="I14" s="132" t="n">
        <v>0.21</v>
      </c>
      <c r="J14" s="132" t="n">
        <v>0.22</v>
      </c>
      <c r="K14" s="130" t="n">
        <v>1.16709334182861</v>
      </c>
      <c r="L14" s="132" t="n">
        <v>0.22</v>
      </c>
      <c r="M14" s="131" t="s">
        <v>62</v>
      </c>
      <c r="N14" s="133" t="n">
        <v>0.678786874800892</v>
      </c>
      <c r="O14" s="133" t="n">
        <v>1.16709334182861</v>
      </c>
      <c r="P14" s="132" t="n">
        <v>0.0227</v>
      </c>
      <c r="Q14" s="131" t="s">
        <v>130</v>
      </c>
      <c r="R14" s="130" t="n">
        <v>0</v>
      </c>
      <c r="S14" s="143" t="s">
        <v>139</v>
      </c>
      <c r="T14" s="134" t="n">
        <v>45306.4909766204</v>
      </c>
    </row>
    <row r="15" customFormat="false" ht="39.75" hidden="false" customHeight="true" outlineLevel="0" collapsed="false">
      <c r="B15" s="130" t="n">
        <v>1010081973</v>
      </c>
      <c r="C15" s="131" t="s">
        <v>140</v>
      </c>
      <c r="D15" s="131" t="s">
        <v>135</v>
      </c>
      <c r="E15" s="130" t="n">
        <v>2648100</v>
      </c>
      <c r="F15" s="131" t="s">
        <v>14</v>
      </c>
      <c r="G15" s="130" t="n">
        <v>2000000</v>
      </c>
      <c r="H15" s="131" t="n">
        <v>665</v>
      </c>
      <c r="I15" s="132" t="n">
        <v>0.49</v>
      </c>
      <c r="J15" s="132" t="n">
        <v>0.46</v>
      </c>
      <c r="K15" s="130" t="n">
        <v>10.8130795664816</v>
      </c>
      <c r="L15" s="132" t="n">
        <v>0.46</v>
      </c>
      <c r="M15" s="131" t="s">
        <v>64</v>
      </c>
      <c r="N15" s="133" t="n">
        <v>1.25352592424757</v>
      </c>
      <c r="O15" s="133" t="n">
        <v>10.8130795664816</v>
      </c>
      <c r="P15" s="132" t="n">
        <v>0.0227</v>
      </c>
      <c r="Q15" s="131" t="s">
        <v>130</v>
      </c>
      <c r="R15" s="130" t="n">
        <v>20451000</v>
      </c>
      <c r="S15" s="143" t="s">
        <v>139</v>
      </c>
      <c r="T15" s="134" t="n">
        <v>45306.5909953704</v>
      </c>
    </row>
    <row r="16" customFormat="false" ht="39.75" hidden="false" customHeight="true" outlineLevel="0" collapsed="false">
      <c r="B16" s="130" t="n">
        <v>1144076114</v>
      </c>
      <c r="C16" s="131" t="s">
        <v>141</v>
      </c>
      <c r="D16" s="131" t="s">
        <v>135</v>
      </c>
      <c r="E16" s="130" t="n">
        <v>1856600</v>
      </c>
      <c r="F16" s="131" t="s">
        <v>14</v>
      </c>
      <c r="G16" s="130" t="n">
        <v>2300000</v>
      </c>
      <c r="H16" s="131" t="n">
        <v>657</v>
      </c>
      <c r="I16" s="132" t="n">
        <v>0.07</v>
      </c>
      <c r="J16" s="132" t="n">
        <v>0.11</v>
      </c>
      <c r="K16" s="130" t="n">
        <v>0.48852741570613</v>
      </c>
      <c r="L16" s="132" t="n">
        <v>0.11</v>
      </c>
      <c r="M16" s="131" t="s">
        <v>64</v>
      </c>
      <c r="N16" s="133" t="n">
        <v>1.29857158246257</v>
      </c>
      <c r="O16" s="133" t="n">
        <v>0.48852741570613</v>
      </c>
      <c r="P16" s="132" t="n">
        <v>0.0227</v>
      </c>
      <c r="Q16" s="131" t="s">
        <v>130</v>
      </c>
      <c r="R16" s="130" t="n">
        <v>907000</v>
      </c>
      <c r="S16" s="143" t="n">
        <v>0</v>
      </c>
      <c r="T16" s="134" t="n">
        <v>45307.3598915509</v>
      </c>
    </row>
    <row r="17" customFormat="false" ht="39.75" hidden="false" customHeight="true" outlineLevel="0" collapsed="false">
      <c r="B17" s="130" t="n">
        <v>38886733</v>
      </c>
      <c r="C17" s="131" t="s">
        <v>142</v>
      </c>
      <c r="D17" s="131" t="s">
        <v>135</v>
      </c>
      <c r="E17" s="130" t="n">
        <v>4867100</v>
      </c>
      <c r="F17" s="131" t="s">
        <v>26</v>
      </c>
      <c r="G17" s="130" t="n">
        <v>10000000</v>
      </c>
      <c r="H17" s="131" t="n">
        <v>705</v>
      </c>
      <c r="I17" s="132" t="n">
        <v>0.35</v>
      </c>
      <c r="J17" s="132" t="n">
        <v>0.42</v>
      </c>
      <c r="K17" s="130" t="n">
        <v>17.8942569497237</v>
      </c>
      <c r="L17" s="132" t="n">
        <v>0.42</v>
      </c>
      <c r="M17" s="131" t="s">
        <v>62</v>
      </c>
      <c r="N17" s="133" t="n">
        <v>1.41830679460048</v>
      </c>
      <c r="O17" s="133" t="n">
        <v>17.8942569497237</v>
      </c>
      <c r="P17" s="132" t="n">
        <v>0.0222</v>
      </c>
      <c r="Q17" s="131" t="s">
        <v>130</v>
      </c>
      <c r="R17" s="130" t="n">
        <v>77509000</v>
      </c>
      <c r="S17" s="143" t="n">
        <v>0</v>
      </c>
      <c r="T17" s="134" t="n">
        <v>45307.4111329861</v>
      </c>
    </row>
    <row r="18" customFormat="false" ht="39.75" hidden="false" customHeight="true" outlineLevel="0" collapsed="false">
      <c r="B18" s="130" t="n">
        <v>1085662084</v>
      </c>
      <c r="C18" s="131" t="s">
        <v>143</v>
      </c>
      <c r="D18" s="131" t="s">
        <v>135</v>
      </c>
      <c r="E18" s="130" t="n">
        <v>2383300</v>
      </c>
      <c r="F18" s="131" t="s">
        <v>29</v>
      </c>
      <c r="G18" s="130" t="n">
        <v>1700000</v>
      </c>
      <c r="H18" s="131" t="n">
        <v>555</v>
      </c>
      <c r="I18" s="132" t="n">
        <v>0.17</v>
      </c>
      <c r="J18" s="132" t="n">
        <v>0.21</v>
      </c>
      <c r="K18" s="130" t="n">
        <v>28.8265493223681</v>
      </c>
      <c r="L18" s="132" t="n">
        <v>0.21</v>
      </c>
      <c r="M18" s="131" t="s">
        <v>64</v>
      </c>
      <c r="N18" s="133" t="n">
        <v>1.69693953761591</v>
      </c>
      <c r="O18" s="133" t="n">
        <v>28.8265493223681</v>
      </c>
      <c r="P18" s="132" t="n">
        <v>0.0227</v>
      </c>
      <c r="Q18" s="131" t="s">
        <v>130</v>
      </c>
      <c r="R18" s="130" t="n">
        <v>67153000</v>
      </c>
      <c r="S18" s="143" t="n">
        <v>0</v>
      </c>
      <c r="T18" s="134" t="n">
        <v>45307.4461040509</v>
      </c>
    </row>
    <row r="19" customFormat="false" ht="39.75" hidden="false" customHeight="true" outlineLevel="0" collapsed="false">
      <c r="B19" s="130" t="n">
        <v>1123626223</v>
      </c>
      <c r="C19" s="131" t="s">
        <v>144</v>
      </c>
      <c r="D19" s="131" t="s">
        <v>135</v>
      </c>
      <c r="E19" s="130" t="n">
        <v>3266300</v>
      </c>
      <c r="F19" s="131" t="s">
        <v>29</v>
      </c>
      <c r="G19" s="130" t="n">
        <v>3000000</v>
      </c>
      <c r="H19" s="131" t="n">
        <v>726</v>
      </c>
      <c r="I19" s="132" t="n">
        <v>0.25</v>
      </c>
      <c r="J19" s="132" t="n">
        <v>0.34</v>
      </c>
      <c r="K19" s="130" t="n">
        <v>8.10733857882007</v>
      </c>
      <c r="L19" s="132" t="n">
        <v>0.34</v>
      </c>
      <c r="M19" s="131" t="s">
        <v>64</v>
      </c>
      <c r="N19" s="133" t="n">
        <v>1.33388543612038</v>
      </c>
      <c r="O19" s="133" t="n">
        <v>8.10733857882007</v>
      </c>
      <c r="P19" s="132" t="n">
        <v>0.0227</v>
      </c>
      <c r="Q19" s="131" t="s">
        <v>130</v>
      </c>
      <c r="R19" s="130" t="n">
        <v>26481000</v>
      </c>
      <c r="S19" s="143" t="n">
        <v>0</v>
      </c>
      <c r="T19" s="134" t="n">
        <v>45307.4515967593</v>
      </c>
    </row>
    <row r="20" customFormat="false" ht="39.75" hidden="false" customHeight="true" outlineLevel="0" collapsed="false">
      <c r="B20" s="130" t="n">
        <v>1143931949</v>
      </c>
      <c r="C20" s="131" t="s">
        <v>145</v>
      </c>
      <c r="D20" s="131" t="s">
        <v>135</v>
      </c>
      <c r="E20" s="130" t="n">
        <v>1821900</v>
      </c>
      <c r="F20" s="131" t="s">
        <v>29</v>
      </c>
      <c r="G20" s="130" t="n">
        <v>3480000</v>
      </c>
      <c r="H20" s="131" t="n">
        <v>578</v>
      </c>
      <c r="I20" s="132" t="n">
        <v>0.3</v>
      </c>
      <c r="J20" s="132" t="n">
        <v>0.4</v>
      </c>
      <c r="K20" s="130" t="n">
        <v>1.08363796037104</v>
      </c>
      <c r="L20" s="132" t="n">
        <v>0.4</v>
      </c>
      <c r="M20" s="131" t="s">
        <v>64</v>
      </c>
      <c r="N20" s="133" t="n">
        <v>1.2293825127614</v>
      </c>
      <c r="O20" s="133" t="n">
        <v>1.08363796037104</v>
      </c>
      <c r="P20" s="132" t="n">
        <v>0.0227</v>
      </c>
      <c r="Q20" s="131" t="s">
        <v>130</v>
      </c>
      <c r="R20" s="130" t="n">
        <v>820000</v>
      </c>
      <c r="S20" s="143" t="s">
        <v>146</v>
      </c>
      <c r="T20" s="134" t="n">
        <v>45307.4645679398</v>
      </c>
    </row>
    <row r="21" customFormat="false" ht="39.75" hidden="false" customHeight="true" outlineLevel="0" collapsed="false">
      <c r="B21" s="130" t="n">
        <v>1116267848</v>
      </c>
      <c r="C21" s="131" t="s">
        <v>147</v>
      </c>
      <c r="D21" s="131" t="s">
        <v>135</v>
      </c>
      <c r="E21" s="130" t="n">
        <v>2383300</v>
      </c>
      <c r="F21" s="131" t="s">
        <v>8</v>
      </c>
      <c r="G21" s="130" t="n">
        <v>5105000</v>
      </c>
      <c r="H21" s="131" t="n">
        <v>871</v>
      </c>
      <c r="I21" s="132" t="n">
        <v>0.06</v>
      </c>
      <c r="J21" s="132" t="n">
        <v>0.18</v>
      </c>
      <c r="K21" s="130" t="n">
        <v>0.484320060420425</v>
      </c>
      <c r="L21" s="132" t="n">
        <v>0.18</v>
      </c>
      <c r="M21" s="131" t="s">
        <v>62</v>
      </c>
      <c r="N21" s="133" t="n">
        <v>0.896969328242353</v>
      </c>
      <c r="O21" s="133" t="n">
        <v>0.484320060420425</v>
      </c>
      <c r="P21" s="132" t="n">
        <v>0.018</v>
      </c>
      <c r="Q21" s="131" t="s">
        <v>130</v>
      </c>
      <c r="R21" s="130" t="n">
        <v>0</v>
      </c>
      <c r="S21" s="143" t="s">
        <v>146</v>
      </c>
      <c r="T21" s="134" t="n">
        <v>45307.5779266204</v>
      </c>
    </row>
    <row r="22" customFormat="false" ht="39.75" hidden="false" customHeight="true" outlineLevel="0" collapsed="false">
      <c r="B22" s="130" t="n">
        <v>1113673170</v>
      </c>
      <c r="C22" s="131" t="s">
        <v>148</v>
      </c>
      <c r="D22" s="131" t="s">
        <v>135</v>
      </c>
      <c r="E22" s="130" t="n">
        <v>2320800</v>
      </c>
      <c r="F22" s="131" t="s">
        <v>8</v>
      </c>
      <c r="G22" s="130" t="n">
        <v>2000000</v>
      </c>
      <c r="H22" s="131" t="n">
        <v>744</v>
      </c>
      <c r="I22" s="132" t="n">
        <v>0.23</v>
      </c>
      <c r="J22" s="132" t="n">
        <v>0.28</v>
      </c>
      <c r="K22" s="130" t="n">
        <v>8.35675112030334</v>
      </c>
      <c r="L22" s="132" t="n">
        <v>0.28</v>
      </c>
      <c r="M22" s="131" t="s">
        <v>64</v>
      </c>
      <c r="N22" s="133" t="n">
        <v>1.06413995174078</v>
      </c>
      <c r="O22" s="133" t="n">
        <v>8.35675112030334</v>
      </c>
      <c r="P22" s="132" t="n">
        <v>0.018</v>
      </c>
      <c r="Q22" s="131" t="s">
        <v>130</v>
      </c>
      <c r="R22" s="130" t="n">
        <v>18142000</v>
      </c>
      <c r="S22" s="143" t="s">
        <v>146</v>
      </c>
      <c r="T22" s="134" t="n">
        <v>45310.7119773148</v>
      </c>
    </row>
    <row r="23" customFormat="false" ht="39.75" hidden="false" customHeight="true" outlineLevel="0" collapsed="false">
      <c r="B23" s="130" t="n">
        <v>66717390</v>
      </c>
      <c r="C23" s="131" t="s">
        <v>149</v>
      </c>
      <c r="D23" s="131" t="s">
        <v>135</v>
      </c>
      <c r="E23" s="130" t="n">
        <v>2320800</v>
      </c>
      <c r="F23" s="131" t="s">
        <v>29</v>
      </c>
      <c r="G23" s="130" t="n">
        <v>1500000</v>
      </c>
      <c r="H23" s="131" t="n">
        <v>747</v>
      </c>
      <c r="I23" s="132" t="n">
        <v>0.33</v>
      </c>
      <c r="J23" s="132" t="n">
        <v>0.34</v>
      </c>
      <c r="K23" s="130" t="n">
        <v>10.9513116166839</v>
      </c>
      <c r="L23" s="132" t="n">
        <v>0.34</v>
      </c>
      <c r="M23" s="131" t="s">
        <v>64</v>
      </c>
      <c r="N23" s="133" t="n">
        <v>1.00827214753533</v>
      </c>
      <c r="O23" s="133" t="n">
        <v>10.9513116166839</v>
      </c>
      <c r="P23" s="132" t="n">
        <v>0.0227</v>
      </c>
      <c r="Q23" s="131" t="s">
        <v>130</v>
      </c>
      <c r="R23" s="130" t="n">
        <v>21858000</v>
      </c>
      <c r="S23" s="143" t="s">
        <v>146</v>
      </c>
      <c r="T23" s="134" t="n">
        <v>45313.5559408565</v>
      </c>
    </row>
    <row r="24" customFormat="false" ht="39.75" hidden="false" customHeight="true" outlineLevel="0" collapsed="false">
      <c r="B24" s="130" t="n">
        <v>1061543239</v>
      </c>
      <c r="C24" s="131" t="s">
        <v>150</v>
      </c>
      <c r="D24" s="131" t="s">
        <v>135</v>
      </c>
      <c r="E24" s="130" t="n">
        <v>2320800</v>
      </c>
      <c r="F24" s="131" t="s">
        <v>29</v>
      </c>
      <c r="G24" s="130" t="n">
        <v>3000000</v>
      </c>
      <c r="H24" s="131" t="n">
        <v>739</v>
      </c>
      <c r="I24" s="132" t="n">
        <v>0.13</v>
      </c>
      <c r="J24" s="132" t="n">
        <v>0.18</v>
      </c>
      <c r="K24" s="130" t="n">
        <v>3.03171320234402</v>
      </c>
      <c r="L24" s="132" t="n">
        <v>0.18</v>
      </c>
      <c r="M24" s="131" t="s">
        <v>64</v>
      </c>
      <c r="N24" s="133" t="n">
        <v>0.836098328162703</v>
      </c>
      <c r="O24" s="133" t="n">
        <v>3.03171320234402</v>
      </c>
      <c r="P24" s="132" t="n">
        <v>0.0227</v>
      </c>
      <c r="Q24" s="131" t="s">
        <v>130</v>
      </c>
      <c r="R24" s="130" t="n">
        <v>7036000</v>
      </c>
      <c r="S24" s="143" t="s">
        <v>146</v>
      </c>
      <c r="T24" s="134" t="n">
        <v>45313.6987828704</v>
      </c>
    </row>
    <row r="25" customFormat="false" ht="39.75" hidden="false" customHeight="true" outlineLevel="0" collapsed="false">
      <c r="B25" s="130" t="n">
        <v>1085661067</v>
      </c>
      <c r="C25" s="131" t="s">
        <v>151</v>
      </c>
      <c r="D25" s="131" t="s">
        <v>135</v>
      </c>
      <c r="E25" s="130" t="n">
        <v>2648100</v>
      </c>
      <c r="F25" s="131" t="s">
        <v>14</v>
      </c>
      <c r="G25" s="130" t="n">
        <v>4200000</v>
      </c>
      <c r="H25" s="131" t="n">
        <v>619</v>
      </c>
      <c r="I25" s="132" t="n">
        <v>0.23</v>
      </c>
      <c r="J25" s="132" t="n">
        <v>0.4</v>
      </c>
      <c r="K25" s="130" t="n">
        <v>6.87776141384389</v>
      </c>
      <c r="L25" s="132" t="n">
        <v>0.4</v>
      </c>
      <c r="M25" s="131" t="s">
        <v>64</v>
      </c>
      <c r="N25" s="133" t="n">
        <v>4.672038442657</v>
      </c>
      <c r="O25" s="133" t="n">
        <v>6.87776141384389</v>
      </c>
      <c r="P25" s="132" t="n">
        <v>0.0227</v>
      </c>
      <c r="Q25" s="131" t="s">
        <v>130</v>
      </c>
      <c r="R25" s="130" t="n">
        <v>18213000</v>
      </c>
      <c r="S25" s="143" t="n">
        <v>0</v>
      </c>
      <c r="T25" s="134" t="n">
        <v>45314.3176700232</v>
      </c>
    </row>
    <row r="26" customFormat="false" ht="39.75" hidden="false" customHeight="true" outlineLevel="0" collapsed="false">
      <c r="B26" s="130" t="n">
        <v>1144175903</v>
      </c>
      <c r="C26" s="131" t="s">
        <v>152</v>
      </c>
      <c r="D26" s="131" t="s">
        <v>153</v>
      </c>
      <c r="E26" s="130" t="n">
        <v>1874704</v>
      </c>
      <c r="F26" s="131" t="s">
        <v>14</v>
      </c>
      <c r="G26" s="130" t="n">
        <v>5000000</v>
      </c>
      <c r="H26" s="131" t="n">
        <v>692</v>
      </c>
      <c r="I26" s="132" t="n">
        <v>0.25</v>
      </c>
      <c r="J26" s="132" t="n">
        <v>0.34</v>
      </c>
      <c r="K26" s="130" t="n">
        <v>17.31066611049</v>
      </c>
      <c r="L26" s="132" t="n">
        <v>0.34</v>
      </c>
      <c r="M26" s="131" t="s">
        <v>62</v>
      </c>
      <c r="N26" s="133" t="n">
        <v>1.70870245116029</v>
      </c>
      <c r="O26" s="133" t="n">
        <v>17.31066611049</v>
      </c>
      <c r="P26" s="132" t="n">
        <v>0.0227</v>
      </c>
      <c r="Q26" s="131" t="s">
        <v>130</v>
      </c>
      <c r="R26" s="130" t="n">
        <v>18780000</v>
      </c>
      <c r="S26" s="143" t="n">
        <v>0</v>
      </c>
      <c r="T26" s="134" t="n">
        <v>45314.7077189815</v>
      </c>
    </row>
    <row r="27" customFormat="false" ht="39.75" hidden="false" customHeight="true" outlineLevel="0" collapsed="false">
      <c r="B27" s="130" t="n">
        <v>1144175903</v>
      </c>
      <c r="C27" s="131" t="s">
        <v>152</v>
      </c>
      <c r="D27" s="131" t="s">
        <v>153</v>
      </c>
      <c r="E27" s="130" t="n">
        <v>1874704</v>
      </c>
      <c r="F27" s="131" t="s">
        <v>26</v>
      </c>
      <c r="G27" s="130" t="n">
        <v>5000000</v>
      </c>
      <c r="H27" s="131" t="n">
        <v>692</v>
      </c>
      <c r="I27" s="132" t="n">
        <v>0.25</v>
      </c>
      <c r="J27" s="132" t="n">
        <v>0.34</v>
      </c>
      <c r="K27" s="130" t="n">
        <v>17.31066611049</v>
      </c>
      <c r="L27" s="132" t="n">
        <v>0.34</v>
      </c>
      <c r="M27" s="131" t="s">
        <v>62</v>
      </c>
      <c r="N27" s="133" t="n">
        <v>1.70870245116029</v>
      </c>
      <c r="O27" s="133" t="n">
        <v>17.31066611049</v>
      </c>
      <c r="P27" s="132" t="n">
        <v>0.0227</v>
      </c>
      <c r="Q27" s="131" t="s">
        <v>130</v>
      </c>
      <c r="R27" s="130" t="n">
        <v>18780000</v>
      </c>
      <c r="S27" s="143" t="n">
        <v>0</v>
      </c>
      <c r="T27" s="134" t="n">
        <v>45314.7136125</v>
      </c>
    </row>
    <row r="28" customFormat="false" ht="39.75" hidden="false" customHeight="true" outlineLevel="0" collapsed="false">
      <c r="B28" s="130" t="n">
        <v>1113308071</v>
      </c>
      <c r="C28" s="131" t="s">
        <v>154</v>
      </c>
      <c r="D28" s="131" t="s">
        <v>135</v>
      </c>
      <c r="E28" s="130" t="n">
        <v>2648100</v>
      </c>
      <c r="F28" s="131" t="s">
        <v>16</v>
      </c>
      <c r="G28" s="130" t="n">
        <v>8600000</v>
      </c>
      <c r="H28" s="131" t="n">
        <v>471</v>
      </c>
      <c r="I28" s="132" t="n">
        <v>0.59</v>
      </c>
      <c r="J28" s="132" t="n">
        <v>0.7</v>
      </c>
      <c r="K28" s="130" t="n">
        <v>18.602971564518</v>
      </c>
      <c r="L28" s="132" t="n">
        <v>0.7</v>
      </c>
      <c r="M28" s="131" t="s">
        <v>64</v>
      </c>
      <c r="N28" s="133" t="n">
        <v>2.53344716687113</v>
      </c>
      <c r="O28" s="133" t="n">
        <v>18.602971564518</v>
      </c>
      <c r="P28" s="132" t="n">
        <v>0.0227</v>
      </c>
      <c r="Q28" s="131" t="s">
        <v>130</v>
      </c>
      <c r="R28" s="130" t="n">
        <v>46539000</v>
      </c>
      <c r="S28" s="143" t="n">
        <v>0</v>
      </c>
      <c r="T28" s="134" t="n">
        <v>45315.3211503472</v>
      </c>
    </row>
    <row r="29" customFormat="false" ht="39.75" hidden="false" customHeight="true" outlineLevel="0" collapsed="false">
      <c r="B29" s="130" t="n">
        <v>1116267848</v>
      </c>
      <c r="C29" s="131" t="s">
        <v>147</v>
      </c>
      <c r="D29" s="131" t="s">
        <v>135</v>
      </c>
      <c r="E29" s="130" t="n">
        <v>2383300</v>
      </c>
      <c r="F29" s="131" t="s">
        <v>8</v>
      </c>
      <c r="G29" s="130" t="n">
        <v>5470000</v>
      </c>
      <c r="H29" s="131" t="n">
        <v>835</v>
      </c>
      <c r="I29" s="132" t="n">
        <v>0.05</v>
      </c>
      <c r="J29" s="132" t="n">
        <v>0.13</v>
      </c>
      <c r="K29" s="130" t="n">
        <v>34.5789451600722</v>
      </c>
      <c r="L29" s="132" t="n">
        <v>0.13</v>
      </c>
      <c r="M29" s="131" t="s">
        <v>62</v>
      </c>
      <c r="N29" s="133" t="n">
        <v>1.91558259556078</v>
      </c>
      <c r="O29" s="133" t="n">
        <v>34.5789451600722</v>
      </c>
      <c r="P29" s="132" t="n">
        <v>0.0227</v>
      </c>
      <c r="Q29" s="131" t="s">
        <v>130</v>
      </c>
      <c r="R29" s="130" t="n">
        <v>82352000</v>
      </c>
      <c r="S29" s="143" t="n">
        <v>0</v>
      </c>
      <c r="T29" s="134" t="n">
        <v>45315.325421412</v>
      </c>
    </row>
    <row r="30" customFormat="false" ht="39.75" hidden="false" customHeight="true" outlineLevel="0" collapsed="false">
      <c r="B30" s="130" t="n">
        <v>1143991760</v>
      </c>
      <c r="C30" s="131" t="s">
        <v>155</v>
      </c>
      <c r="D30" s="131" t="s">
        <v>135</v>
      </c>
      <c r="E30" s="130" t="n">
        <v>2320800</v>
      </c>
      <c r="F30" s="131" t="s">
        <v>29</v>
      </c>
      <c r="G30" s="130" t="n">
        <v>3000000</v>
      </c>
      <c r="H30" s="131" t="n">
        <v>514</v>
      </c>
      <c r="I30" s="132" t="n">
        <v>0.26</v>
      </c>
      <c r="J30" s="132" t="n">
        <v>0.34</v>
      </c>
      <c r="K30" s="130" t="n">
        <v>14.9332294898311</v>
      </c>
      <c r="L30" s="132" t="n">
        <v>0.34</v>
      </c>
      <c r="M30" s="131" t="s">
        <v>64</v>
      </c>
      <c r="N30" s="133" t="n">
        <v>1.20329498448811</v>
      </c>
      <c r="O30" s="133" t="n">
        <v>14.9332294898311</v>
      </c>
      <c r="P30" s="132" t="n">
        <v>0.0227</v>
      </c>
      <c r="Q30" s="131" t="s">
        <v>130</v>
      </c>
      <c r="R30" s="130" t="n">
        <v>29399000</v>
      </c>
      <c r="S30" s="143" t="s">
        <v>156</v>
      </c>
      <c r="T30" s="134" t="n">
        <v>45315.3313711806</v>
      </c>
    </row>
    <row r="31" customFormat="false" ht="39.75" hidden="false" customHeight="true" outlineLevel="0" collapsed="false">
      <c r="B31" s="130" t="n">
        <v>34614231</v>
      </c>
      <c r="C31" s="131" t="s">
        <v>157</v>
      </c>
      <c r="D31" s="131" t="s">
        <v>158</v>
      </c>
      <c r="E31" s="130" t="n">
        <v>4500000</v>
      </c>
      <c r="F31" s="131" t="s">
        <v>29</v>
      </c>
      <c r="G31" s="130" t="n">
        <v>4500000</v>
      </c>
      <c r="H31" s="131" t="n">
        <v>621</v>
      </c>
      <c r="I31" s="132" t="n">
        <v>0.66</v>
      </c>
      <c r="J31" s="132" t="n">
        <v>0.7</v>
      </c>
      <c r="K31" s="130" t="n">
        <v>20.9106166666667</v>
      </c>
      <c r="L31" s="132" t="n">
        <v>0.7</v>
      </c>
      <c r="M31" s="131" t="s">
        <v>64</v>
      </c>
      <c r="N31" s="133" t="n">
        <v>2.28535666666667</v>
      </c>
      <c r="O31" s="133" t="n">
        <v>20.9106166666667</v>
      </c>
      <c r="P31" s="132" t="n">
        <v>0.0227</v>
      </c>
      <c r="Q31" s="131" t="s">
        <v>130</v>
      </c>
      <c r="R31" s="130" t="n">
        <v>90984000</v>
      </c>
      <c r="S31" s="143" t="s">
        <v>156</v>
      </c>
      <c r="T31" s="134" t="n">
        <v>45315.3611914352</v>
      </c>
    </row>
    <row r="32" customFormat="false" ht="39.75" hidden="false" customHeight="true" outlineLevel="0" collapsed="false">
      <c r="B32" s="130" t="n">
        <v>1107081197</v>
      </c>
      <c r="C32" s="131" t="s">
        <v>159</v>
      </c>
      <c r="D32" s="131" t="s">
        <v>135</v>
      </c>
      <c r="E32" s="130" t="n">
        <v>4984600</v>
      </c>
      <c r="F32" s="131" t="s">
        <v>16</v>
      </c>
      <c r="G32" s="130" t="n">
        <v>5000000</v>
      </c>
      <c r="H32" s="131" t="n">
        <v>677</v>
      </c>
      <c r="I32" s="132" t="n">
        <v>0.33</v>
      </c>
      <c r="J32" s="132" t="n">
        <v>0.39</v>
      </c>
      <c r="K32" s="130" t="n">
        <v>21.378958191229</v>
      </c>
      <c r="L32" s="132" t="n">
        <v>0.39</v>
      </c>
      <c r="M32" s="131" t="s">
        <v>64</v>
      </c>
      <c r="N32" s="133" t="n">
        <v>2.0784736989929</v>
      </c>
      <c r="O32" s="133" t="n">
        <v>21.378958191229</v>
      </c>
      <c r="P32" s="132" t="n">
        <v>0.0227</v>
      </c>
      <c r="Q32" s="131" t="s">
        <v>130</v>
      </c>
      <c r="R32" s="130" t="n">
        <v>106367000</v>
      </c>
      <c r="S32" s="143" t="n">
        <v>0</v>
      </c>
      <c r="T32" s="134" t="n">
        <v>45315.3690488426</v>
      </c>
    </row>
    <row r="33" customFormat="false" ht="39.75" hidden="false" customHeight="true" outlineLevel="0" collapsed="false">
      <c r="B33" s="130" t="n">
        <v>94460501</v>
      </c>
      <c r="C33" s="131" t="s">
        <v>160</v>
      </c>
      <c r="D33" s="131" t="s">
        <v>135</v>
      </c>
      <c r="E33" s="130" t="n">
        <v>4480000</v>
      </c>
      <c r="F33" s="131" t="s">
        <v>16</v>
      </c>
      <c r="G33" s="130" t="n">
        <v>16700000</v>
      </c>
      <c r="H33" s="131" t="n">
        <v>964</v>
      </c>
      <c r="I33" s="132" t="n">
        <v>0.27</v>
      </c>
      <c r="J33" s="132" t="n">
        <v>0.38</v>
      </c>
      <c r="K33" s="130" t="n">
        <v>2.25323303571429</v>
      </c>
      <c r="L33" s="132" t="n">
        <v>0.38</v>
      </c>
      <c r="M33" s="131" t="s">
        <v>61</v>
      </c>
      <c r="N33" s="133" t="n">
        <v>0.824310491071429</v>
      </c>
      <c r="O33" s="133" t="n">
        <v>2.25323303571429</v>
      </c>
      <c r="P33" s="132" t="n">
        <v>0.0199</v>
      </c>
      <c r="Q33" s="131" t="s">
        <v>130</v>
      </c>
      <c r="R33" s="130" t="n">
        <v>0</v>
      </c>
      <c r="S33" s="143" t="s">
        <v>161</v>
      </c>
      <c r="T33" s="134" t="n">
        <v>45315.3793744213</v>
      </c>
    </row>
    <row r="34" customFormat="false" ht="39.75" hidden="false" customHeight="true" outlineLevel="0" collapsed="false">
      <c r="B34" s="130" t="n">
        <v>1130675011</v>
      </c>
      <c r="C34" s="131" t="s">
        <v>162</v>
      </c>
      <c r="D34" s="131" t="s">
        <v>135</v>
      </c>
      <c r="E34" s="130" t="n">
        <v>2320800</v>
      </c>
      <c r="F34" s="131" t="s">
        <v>16</v>
      </c>
      <c r="G34" s="130" t="n">
        <v>4000000</v>
      </c>
      <c r="H34" s="131" t="n">
        <v>784</v>
      </c>
      <c r="I34" s="132" t="n">
        <v>0.37</v>
      </c>
      <c r="J34" s="132" t="n">
        <v>0.42</v>
      </c>
      <c r="K34" s="130" t="n">
        <v>27.6629291623578</v>
      </c>
      <c r="L34" s="132" t="n">
        <v>0.42</v>
      </c>
      <c r="M34" s="131" t="s">
        <v>64</v>
      </c>
      <c r="N34" s="133" t="n">
        <v>1.68958333333333</v>
      </c>
      <c r="O34" s="133" t="n">
        <v>27.6629291623578</v>
      </c>
      <c r="P34" s="132" t="n">
        <v>0.0227</v>
      </c>
      <c r="Q34" s="131" t="s">
        <v>130</v>
      </c>
      <c r="R34" s="130" t="n">
        <v>57274000</v>
      </c>
      <c r="S34" s="143" t="s">
        <v>161</v>
      </c>
      <c r="T34" s="134" t="n">
        <v>45315.3855762732</v>
      </c>
    </row>
    <row r="35" customFormat="false" ht="39.75" hidden="false" customHeight="true" outlineLevel="0" collapsed="false">
      <c r="B35" s="130" t="n">
        <v>60406095</v>
      </c>
      <c r="C35" s="131" t="s">
        <v>163</v>
      </c>
      <c r="D35" s="131" t="s">
        <v>135</v>
      </c>
      <c r="E35" s="130" t="n">
        <v>5374700</v>
      </c>
      <c r="F35" s="131" t="s">
        <v>16</v>
      </c>
      <c r="G35" s="130" t="n">
        <v>4500000</v>
      </c>
      <c r="H35" s="131" t="n">
        <v>665</v>
      </c>
      <c r="I35" s="132" t="n">
        <v>0.34</v>
      </c>
      <c r="J35" s="132" t="n">
        <v>0.38</v>
      </c>
      <c r="K35" s="130" t="n">
        <v>15.3557117606564</v>
      </c>
      <c r="L35" s="132" t="n">
        <v>0.38</v>
      </c>
      <c r="M35" s="131" t="s">
        <v>64</v>
      </c>
      <c r="N35" s="133" t="n">
        <v>1.36960314064041</v>
      </c>
      <c r="O35" s="133" t="n">
        <v>15.3557117606564</v>
      </c>
      <c r="P35" s="132" t="n">
        <v>0.0227</v>
      </c>
      <c r="Q35" s="131" t="s">
        <v>130</v>
      </c>
      <c r="R35" s="130" t="n">
        <v>82352000</v>
      </c>
      <c r="S35" s="143" t="n">
        <v>0</v>
      </c>
      <c r="T35" s="134" t="n">
        <v>45315.3930200232</v>
      </c>
    </row>
    <row r="36" customFormat="false" ht="39.75" hidden="false" customHeight="true" outlineLevel="0" collapsed="false">
      <c r="B36" s="130" t="n">
        <v>1112465080</v>
      </c>
      <c r="C36" s="131" t="s">
        <v>164</v>
      </c>
      <c r="D36" s="131" t="s">
        <v>135</v>
      </c>
      <c r="E36" s="130" t="n">
        <v>2320800</v>
      </c>
      <c r="F36" s="131" t="s">
        <v>29</v>
      </c>
      <c r="G36" s="130" t="n">
        <v>1700000</v>
      </c>
      <c r="H36" s="131" t="n">
        <v>555</v>
      </c>
      <c r="I36" s="132" t="n">
        <v>0.1</v>
      </c>
      <c r="J36" s="132" t="n">
        <v>0.17</v>
      </c>
      <c r="K36" s="130" t="n">
        <v>2.06679205446398</v>
      </c>
      <c r="L36" s="132" t="n">
        <v>0.17</v>
      </c>
      <c r="M36" s="131" t="s">
        <v>64</v>
      </c>
      <c r="N36" s="133" t="n">
        <v>1.21572475008618</v>
      </c>
      <c r="O36" s="133" t="n">
        <v>2.06679205446398</v>
      </c>
      <c r="P36" s="132" t="n">
        <v>0.0227</v>
      </c>
      <c r="Q36" s="131" t="s">
        <v>130</v>
      </c>
      <c r="R36" s="130" t="n">
        <v>3063000</v>
      </c>
      <c r="S36" s="143" t="n">
        <v>0</v>
      </c>
      <c r="T36" s="134" t="n">
        <v>45315.6213208333</v>
      </c>
    </row>
    <row r="37" customFormat="false" ht="39.75" hidden="false" customHeight="true" outlineLevel="0" collapsed="false">
      <c r="B37" s="130" t="n">
        <v>38563522</v>
      </c>
      <c r="C37" s="131" t="s">
        <v>165</v>
      </c>
      <c r="D37" s="131" t="s">
        <v>135</v>
      </c>
      <c r="E37" s="130" t="n">
        <v>2320800</v>
      </c>
      <c r="F37" s="131" t="s">
        <v>29</v>
      </c>
      <c r="G37" s="130" t="n">
        <v>1000000</v>
      </c>
      <c r="H37" s="131" t="n">
        <v>608</v>
      </c>
      <c r="I37" s="132" t="n">
        <v>0.35</v>
      </c>
      <c r="J37" s="132" t="n">
        <v>0.37</v>
      </c>
      <c r="K37" s="130" t="n">
        <v>21.3117761116856</v>
      </c>
      <c r="L37" s="132" t="n">
        <v>0.37</v>
      </c>
      <c r="M37" s="131" t="s">
        <v>62</v>
      </c>
      <c r="N37" s="133" t="n">
        <v>5.17407273354016</v>
      </c>
      <c r="O37" s="133" t="n">
        <v>21.3117761116856</v>
      </c>
      <c r="P37" s="132" t="n">
        <v>0.0227</v>
      </c>
      <c r="Q37" s="131" t="s">
        <v>130</v>
      </c>
      <c r="R37" s="130" t="n">
        <v>36616000</v>
      </c>
      <c r="S37" s="143" t="s">
        <v>166</v>
      </c>
      <c r="T37" s="134" t="n">
        <v>45316.3990630787</v>
      </c>
    </row>
    <row r="38" customFormat="false" ht="39.75" hidden="false" customHeight="true" outlineLevel="0" collapsed="false">
      <c r="B38" s="130" t="n">
        <v>38873740</v>
      </c>
      <c r="C38" s="131" t="s">
        <v>167</v>
      </c>
      <c r="D38" s="131" t="s">
        <v>135</v>
      </c>
      <c r="E38" s="130" t="n">
        <v>2648100</v>
      </c>
      <c r="F38" s="131" t="s">
        <v>29</v>
      </c>
      <c r="G38" s="130" t="n">
        <v>2700000</v>
      </c>
      <c r="H38" s="131" t="n">
        <v>976</v>
      </c>
      <c r="I38" s="132" t="n">
        <v>0.31</v>
      </c>
      <c r="J38" s="132" t="n">
        <v>0.34</v>
      </c>
      <c r="K38" s="130" t="n">
        <v>2.05837997054492</v>
      </c>
      <c r="L38" s="132" t="n">
        <v>0.34</v>
      </c>
      <c r="M38" s="131" t="s">
        <v>62</v>
      </c>
      <c r="N38" s="133" t="n">
        <v>0.868955099882935</v>
      </c>
      <c r="O38" s="133" t="n">
        <v>2.05837997054492</v>
      </c>
      <c r="P38" s="132" t="n">
        <v>0.0227</v>
      </c>
      <c r="Q38" s="131" t="s">
        <v>130</v>
      </c>
      <c r="R38" s="130" t="n">
        <v>0</v>
      </c>
      <c r="S38" s="143" t="n">
        <v>0</v>
      </c>
      <c r="T38" s="134" t="n">
        <v>45316.5068052083</v>
      </c>
    </row>
    <row r="39" customFormat="false" ht="39.75" hidden="false" customHeight="true" outlineLevel="0" collapsed="false">
      <c r="B39" s="130" t="n">
        <v>1144078618</v>
      </c>
      <c r="C39" s="131" t="s">
        <v>168</v>
      </c>
      <c r="D39" s="131" t="s">
        <v>135</v>
      </c>
      <c r="E39" s="130" t="n">
        <v>2320800</v>
      </c>
      <c r="F39" s="131" t="s">
        <v>29</v>
      </c>
      <c r="G39" s="130" t="n">
        <v>4000000</v>
      </c>
      <c r="H39" s="131" t="n">
        <v>706</v>
      </c>
      <c r="I39" s="132" t="n">
        <v>0.47</v>
      </c>
      <c r="J39" s="132" t="n">
        <v>0.57</v>
      </c>
      <c r="K39" s="130" t="n">
        <v>23.716494743192</v>
      </c>
      <c r="L39" s="132" t="n">
        <v>0.57</v>
      </c>
      <c r="M39" s="131" t="s">
        <v>62</v>
      </c>
      <c r="N39" s="133" t="n">
        <v>1.90098629782834</v>
      </c>
      <c r="O39" s="133" t="n">
        <v>23.716494743192</v>
      </c>
      <c r="P39" s="132" t="n">
        <v>0.0227</v>
      </c>
      <c r="Q39" s="131" t="s">
        <v>130</v>
      </c>
      <c r="R39" s="130" t="n">
        <v>47644000</v>
      </c>
      <c r="S39" s="143" t="s">
        <v>166</v>
      </c>
      <c r="T39" s="134" t="n">
        <v>45316.5660739583</v>
      </c>
    </row>
    <row r="40" customFormat="false" ht="39.75" hidden="false" customHeight="true" outlineLevel="0" collapsed="false">
      <c r="B40" s="130" t="n">
        <v>1144179107</v>
      </c>
      <c r="C40" s="131" t="s">
        <v>169</v>
      </c>
      <c r="D40" s="131" t="s">
        <v>135</v>
      </c>
      <c r="E40" s="130" t="n">
        <v>2648100</v>
      </c>
      <c r="F40" s="131" t="s">
        <v>29</v>
      </c>
      <c r="G40" s="130" t="n">
        <v>1300000</v>
      </c>
      <c r="H40" s="131" t="n">
        <v>603</v>
      </c>
      <c r="I40" s="132" t="n">
        <v>0.29</v>
      </c>
      <c r="J40" s="132" t="n">
        <v>0.32</v>
      </c>
      <c r="K40" s="130" t="n">
        <v>9.00457762169102</v>
      </c>
      <c r="L40" s="132" t="n">
        <v>0.32</v>
      </c>
      <c r="M40" s="131" t="s">
        <v>64</v>
      </c>
      <c r="N40" s="133" t="n">
        <v>1.02031192175522</v>
      </c>
      <c r="O40" s="133" t="n">
        <v>9.00457762169102</v>
      </c>
      <c r="P40" s="132" t="n">
        <v>0.0227</v>
      </c>
      <c r="Q40" s="131" t="s">
        <v>130</v>
      </c>
      <c r="R40" s="130" t="n">
        <v>20498000</v>
      </c>
      <c r="S40" s="143" t="n">
        <v>0</v>
      </c>
      <c r="T40" s="134" t="n">
        <v>45316.5752296296</v>
      </c>
    </row>
    <row r="41" customFormat="false" ht="39.75" hidden="false" customHeight="true" outlineLevel="0" collapsed="false">
      <c r="B41" s="130" t="n">
        <v>16767193</v>
      </c>
      <c r="C41" s="131" t="s">
        <v>170</v>
      </c>
      <c r="D41" s="131" t="s">
        <v>135</v>
      </c>
      <c r="E41" s="130" t="n">
        <v>6946500</v>
      </c>
      <c r="F41" s="131" t="s">
        <v>29</v>
      </c>
      <c r="G41" s="130" t="n">
        <v>5000000</v>
      </c>
      <c r="H41" s="131" t="n">
        <v>576</v>
      </c>
      <c r="I41" s="132" t="n">
        <v>0.04</v>
      </c>
      <c r="J41" s="132" t="n">
        <v>0.07</v>
      </c>
      <c r="K41" s="130" t="n">
        <v>29.2067947887425</v>
      </c>
      <c r="L41" s="132" t="n">
        <v>0.07</v>
      </c>
      <c r="M41" s="131" t="s">
        <v>64</v>
      </c>
      <c r="N41" s="133" t="n">
        <v>0.913811415820917</v>
      </c>
      <c r="O41" s="133" t="n">
        <v>29.2067947887425</v>
      </c>
      <c r="P41" s="132" t="n">
        <v>0.0227</v>
      </c>
      <c r="Q41" s="131" t="s">
        <v>130</v>
      </c>
      <c r="R41" s="130" t="n">
        <v>202885000</v>
      </c>
      <c r="S41" s="143" t="n">
        <v>0</v>
      </c>
      <c r="T41" s="134" t="n">
        <v>45316.6870774306</v>
      </c>
    </row>
    <row r="42" customFormat="false" ht="39.75" hidden="false" customHeight="true" outlineLevel="0" collapsed="false">
      <c r="B42" s="130" t="n">
        <v>34613504</v>
      </c>
      <c r="C42" s="131" t="s">
        <v>171</v>
      </c>
      <c r="D42" s="131" t="s">
        <v>135</v>
      </c>
      <c r="E42" s="130" t="n">
        <v>4486200</v>
      </c>
      <c r="F42" s="131" t="s">
        <v>29</v>
      </c>
      <c r="G42" s="130" t="n">
        <v>3000000</v>
      </c>
      <c r="H42" s="131" t="n">
        <v>589</v>
      </c>
      <c r="I42" s="132" t="n">
        <v>0.5</v>
      </c>
      <c r="J42" s="132" t="n">
        <v>0.52</v>
      </c>
      <c r="K42" s="130" t="n">
        <v>28.3464847755339</v>
      </c>
      <c r="L42" s="132" t="n">
        <v>0.52</v>
      </c>
      <c r="M42" s="131" t="s">
        <v>64</v>
      </c>
      <c r="N42" s="133" t="n">
        <v>1.79458227453078</v>
      </c>
      <c r="O42" s="133" t="n">
        <v>28.3464847755339</v>
      </c>
      <c r="P42" s="132" t="n">
        <v>0.0227</v>
      </c>
      <c r="Q42" s="131" t="s">
        <v>130</v>
      </c>
      <c r="R42" s="130" t="n">
        <v>127168000</v>
      </c>
      <c r="S42" s="143" t="n">
        <v>0</v>
      </c>
      <c r="T42" s="134" t="n">
        <v>45317.3205520833</v>
      </c>
    </row>
    <row r="43" customFormat="false" ht="39.75" hidden="false" customHeight="true" outlineLevel="0" collapsed="false">
      <c r="B43" s="130" t="n">
        <v>1014205514</v>
      </c>
      <c r="C43" s="131" t="s">
        <v>172</v>
      </c>
      <c r="D43" s="131" t="s">
        <v>135</v>
      </c>
      <c r="E43" s="130" t="n">
        <v>4032000</v>
      </c>
      <c r="F43" s="131" t="s">
        <v>20</v>
      </c>
      <c r="G43" s="130" t="n">
        <v>1729000</v>
      </c>
      <c r="H43" s="131" t="n">
        <v>632</v>
      </c>
      <c r="I43" s="132" t="n">
        <v>0.5</v>
      </c>
      <c r="J43" s="132" t="n">
        <v>0.54</v>
      </c>
      <c r="K43" s="130" t="n">
        <v>22.5076884920635</v>
      </c>
      <c r="L43" s="132" t="n">
        <v>0.54</v>
      </c>
      <c r="M43" s="131" t="s">
        <v>64</v>
      </c>
      <c r="N43" s="133" t="n">
        <v>1.67750446428571</v>
      </c>
      <c r="O43" s="133" t="n">
        <v>22.5076884920635</v>
      </c>
      <c r="P43" s="132" t="n">
        <v>0.0227</v>
      </c>
      <c r="Q43" s="131" t="s">
        <v>130</v>
      </c>
      <c r="R43" s="130" t="n">
        <v>90751000</v>
      </c>
      <c r="S43" s="143" t="n">
        <v>0</v>
      </c>
      <c r="T43" s="134" t="n">
        <v>45317.3287097222</v>
      </c>
    </row>
    <row r="44" customFormat="false" ht="39.75" hidden="false" customHeight="true" outlineLevel="0" collapsed="false">
      <c r="B44" s="130" t="n">
        <v>1006179442</v>
      </c>
      <c r="C44" s="131" t="s">
        <v>173</v>
      </c>
      <c r="D44" s="131" t="s">
        <v>135</v>
      </c>
      <c r="E44" s="130" t="n">
        <v>2383300</v>
      </c>
      <c r="F44" s="131" t="s">
        <v>29</v>
      </c>
      <c r="G44" s="130" t="n">
        <v>1900000</v>
      </c>
      <c r="H44" s="131" t="n">
        <v>640</v>
      </c>
      <c r="I44" s="132" t="n">
        <v>0.14</v>
      </c>
      <c r="J44" s="132" t="n">
        <v>0.23</v>
      </c>
      <c r="K44" s="130" t="n">
        <v>2.15206058825998</v>
      </c>
      <c r="L44" s="132" t="n">
        <v>0.23</v>
      </c>
      <c r="M44" s="131" t="s">
        <v>64</v>
      </c>
      <c r="N44" s="133" t="n">
        <v>1.00067007930181</v>
      </c>
      <c r="O44" s="133" t="n">
        <v>2.15206058825998</v>
      </c>
      <c r="P44" s="132" t="n">
        <v>0.0227</v>
      </c>
      <c r="Q44" s="131" t="s">
        <v>130</v>
      </c>
      <c r="R44" s="130" t="n">
        <v>2691000</v>
      </c>
      <c r="S44" s="143" t="n">
        <v>0</v>
      </c>
      <c r="T44" s="134" t="n">
        <v>45317.3629766204</v>
      </c>
    </row>
    <row r="45" customFormat="false" ht="39.75" hidden="false" customHeight="true" outlineLevel="0" collapsed="false">
      <c r="B45" s="130" t="n">
        <v>1144052596</v>
      </c>
      <c r="C45" s="131" t="s">
        <v>174</v>
      </c>
      <c r="D45" s="131" t="s">
        <v>135</v>
      </c>
      <c r="E45" s="130" t="n">
        <v>1450000</v>
      </c>
      <c r="F45" s="131" t="s">
        <v>29</v>
      </c>
      <c r="G45" s="130" t="n">
        <v>1900000</v>
      </c>
      <c r="H45" s="131" t="n">
        <v>608</v>
      </c>
      <c r="I45" s="132" t="n">
        <v>0.18</v>
      </c>
      <c r="J45" s="132" t="n">
        <v>0.24</v>
      </c>
      <c r="K45" s="130" t="n">
        <v>1.24535862068966</v>
      </c>
      <c r="L45" s="132" t="n">
        <v>0.24</v>
      </c>
      <c r="M45" s="131" t="s">
        <v>64</v>
      </c>
      <c r="N45" s="133" t="n">
        <v>1.42052482758621</v>
      </c>
      <c r="O45" s="133" t="n">
        <v>1.24535862068966</v>
      </c>
      <c r="P45" s="132" t="n">
        <v>0.0227</v>
      </c>
      <c r="Q45" s="131" t="s">
        <v>130</v>
      </c>
      <c r="R45" s="130" t="n">
        <v>0</v>
      </c>
      <c r="S45" s="143" t="n">
        <v>0</v>
      </c>
      <c r="T45" s="134" t="n">
        <v>45317.3780422454</v>
      </c>
    </row>
    <row r="46" customFormat="false" ht="39.75" hidden="false" customHeight="true" outlineLevel="0" collapsed="false">
      <c r="B46" s="130" t="n">
        <v>1062312895</v>
      </c>
      <c r="C46" s="131" t="s">
        <v>175</v>
      </c>
      <c r="D46" s="131" t="s">
        <v>135</v>
      </c>
      <c r="E46" s="130" t="n">
        <v>2320800</v>
      </c>
      <c r="F46" s="131" t="s">
        <v>29</v>
      </c>
      <c r="G46" s="130" t="n">
        <v>2400000</v>
      </c>
      <c r="H46" s="131" t="n">
        <v>701</v>
      </c>
      <c r="I46" s="132" t="n">
        <v>0.31</v>
      </c>
      <c r="J46" s="132" t="n">
        <v>0.37</v>
      </c>
      <c r="K46" s="130" t="n">
        <v>7.37865477421579</v>
      </c>
      <c r="L46" s="132" t="n">
        <v>0.37</v>
      </c>
      <c r="M46" s="131" t="s">
        <v>64</v>
      </c>
      <c r="N46" s="133" t="n">
        <v>1.2196333160979</v>
      </c>
      <c r="O46" s="133" t="n">
        <v>7.37865477421579</v>
      </c>
      <c r="P46" s="132" t="n">
        <v>0.0227</v>
      </c>
      <c r="Q46" s="131" t="s">
        <v>130</v>
      </c>
      <c r="R46" s="130" t="n">
        <v>15057000</v>
      </c>
      <c r="S46" s="143" t="n">
        <v>0</v>
      </c>
      <c r="T46" s="134" t="n">
        <v>45317.3916571759</v>
      </c>
    </row>
    <row r="47" customFormat="false" ht="39.75" hidden="false" customHeight="true" outlineLevel="0" collapsed="false">
      <c r="B47" s="130" t="n">
        <v>16889110</v>
      </c>
      <c r="C47" s="131" t="s">
        <v>176</v>
      </c>
      <c r="D47" s="131" t="s">
        <v>135</v>
      </c>
      <c r="E47" s="130" t="n">
        <v>1755600</v>
      </c>
      <c r="F47" s="131" t="s">
        <v>29</v>
      </c>
      <c r="G47" s="130" t="n">
        <v>1300000</v>
      </c>
      <c r="H47" s="131" t="n">
        <v>687</v>
      </c>
      <c r="I47" s="132" t="n">
        <v>0.24</v>
      </c>
      <c r="J47" s="132" t="n">
        <v>0.29</v>
      </c>
      <c r="K47" s="130" t="n">
        <v>8.15511562998405</v>
      </c>
      <c r="L47" s="132" t="n">
        <v>0.29</v>
      </c>
      <c r="M47" s="131" t="s">
        <v>64</v>
      </c>
      <c r="N47" s="133" t="n">
        <v>2.31275347459558</v>
      </c>
      <c r="O47" s="133" t="n">
        <v>8.15511562998405</v>
      </c>
      <c r="P47" s="132" t="n">
        <v>0.0227</v>
      </c>
      <c r="Q47" s="131" t="s">
        <v>130</v>
      </c>
      <c r="R47" s="130" t="n">
        <v>11412000</v>
      </c>
      <c r="S47" s="143" t="n">
        <v>0</v>
      </c>
      <c r="T47" s="134" t="n">
        <v>45317.4034133102</v>
      </c>
    </row>
    <row r="48" customFormat="false" ht="39.75" hidden="false" customHeight="true" outlineLevel="0" collapsed="false">
      <c r="B48" s="130" t="n">
        <v>1054990766</v>
      </c>
      <c r="C48" s="131" t="s">
        <v>177</v>
      </c>
      <c r="D48" s="131" t="s">
        <v>135</v>
      </c>
      <c r="E48" s="130" t="n">
        <v>2088700</v>
      </c>
      <c r="F48" s="131" t="s">
        <v>29</v>
      </c>
      <c r="G48" s="130" t="n">
        <v>900000</v>
      </c>
      <c r="H48" s="131" t="n">
        <v>760</v>
      </c>
      <c r="I48" s="132" t="n">
        <v>0.19</v>
      </c>
      <c r="J48" s="132" t="n">
        <v>0.22</v>
      </c>
      <c r="K48" s="130" t="n">
        <v>14.2926849236367</v>
      </c>
      <c r="L48" s="132" t="n">
        <v>0.22</v>
      </c>
      <c r="M48" s="131" t="s">
        <v>64</v>
      </c>
      <c r="N48" s="133" t="n">
        <v>13.3617805333461</v>
      </c>
      <c r="O48" s="133" t="n">
        <v>14.2926849236367</v>
      </c>
      <c r="P48" s="132" t="n">
        <v>0.0227</v>
      </c>
      <c r="Q48" s="131" t="s">
        <v>130</v>
      </c>
      <c r="R48" s="130" t="n">
        <v>28000000</v>
      </c>
      <c r="S48" s="143" t="n">
        <v>0</v>
      </c>
      <c r="T48" s="134" t="n">
        <v>45317.4316439815</v>
      </c>
    </row>
    <row r="49" customFormat="false" ht="39.75" hidden="false" customHeight="true" outlineLevel="0" collapsed="false">
      <c r="B49" s="130" t="n">
        <v>1054990766</v>
      </c>
      <c r="C49" s="131" t="s">
        <v>177</v>
      </c>
      <c r="D49" s="131" t="s">
        <v>135</v>
      </c>
      <c r="E49" s="130" t="n">
        <v>2088700</v>
      </c>
      <c r="F49" s="131" t="s">
        <v>29</v>
      </c>
      <c r="G49" s="130" t="n">
        <v>3700000</v>
      </c>
      <c r="H49" s="131" t="n">
        <v>760</v>
      </c>
      <c r="I49" s="132" t="n">
        <v>0.36</v>
      </c>
      <c r="J49" s="132" t="n">
        <v>0.46</v>
      </c>
      <c r="K49" s="130" t="n">
        <v>13.4054675156796</v>
      </c>
      <c r="L49" s="132" t="n">
        <v>0.46</v>
      </c>
      <c r="M49" s="131" t="s">
        <v>64</v>
      </c>
      <c r="N49" s="133" t="n">
        <v>1.68532244937042</v>
      </c>
      <c r="O49" s="133" t="n">
        <v>13.4054675156796</v>
      </c>
      <c r="P49" s="132" t="n">
        <v>0.0227</v>
      </c>
      <c r="Q49" s="131" t="s">
        <v>130</v>
      </c>
      <c r="R49" s="130" t="n">
        <v>28000000</v>
      </c>
      <c r="S49" s="143" t="n">
        <v>0</v>
      </c>
      <c r="T49" s="134" t="n">
        <v>45317.441406713</v>
      </c>
    </row>
    <row r="50" customFormat="false" ht="39.75" hidden="false" customHeight="true" outlineLevel="0" collapsed="false">
      <c r="B50" s="130" t="n">
        <v>1107507036</v>
      </c>
      <c r="C50" s="131" t="s">
        <v>178</v>
      </c>
      <c r="D50" s="131" t="s">
        <v>135</v>
      </c>
      <c r="E50" s="130" t="n">
        <v>2088700</v>
      </c>
      <c r="F50" s="131" t="s">
        <v>29</v>
      </c>
      <c r="G50" s="130" t="n">
        <v>900000</v>
      </c>
      <c r="H50" s="131" t="n">
        <v>553</v>
      </c>
      <c r="I50" s="132" t="n">
        <v>0.07</v>
      </c>
      <c r="J50" s="132" t="n">
        <v>0.1</v>
      </c>
      <c r="K50" s="130" t="n">
        <v>14.3798204624886</v>
      </c>
      <c r="L50" s="132" t="n">
        <v>0.1</v>
      </c>
      <c r="M50" s="131" t="s">
        <v>64</v>
      </c>
      <c r="N50" s="133" t="n">
        <v>13.2501297457749</v>
      </c>
      <c r="O50" s="133" t="n">
        <v>14.3798204624886</v>
      </c>
      <c r="P50" s="132" t="n">
        <v>0.0227</v>
      </c>
      <c r="Q50" s="131" t="s">
        <v>130</v>
      </c>
      <c r="R50" s="130" t="n">
        <v>28182000</v>
      </c>
      <c r="S50" s="143" t="n">
        <v>0</v>
      </c>
      <c r="T50" s="134" t="n">
        <v>45317.4466350694</v>
      </c>
    </row>
    <row r="51" customFormat="false" ht="39.75" hidden="false" customHeight="true" outlineLevel="0" collapsed="false">
      <c r="B51" s="130" t="n">
        <v>1097399265</v>
      </c>
      <c r="C51" s="131" t="s">
        <v>179</v>
      </c>
      <c r="D51" s="131" t="s">
        <v>135</v>
      </c>
      <c r="E51" s="130" t="n">
        <v>2320800</v>
      </c>
      <c r="F51" s="131" t="s">
        <v>29</v>
      </c>
      <c r="G51" s="130" t="n">
        <v>2000000</v>
      </c>
      <c r="H51" s="131" t="n">
        <v>589</v>
      </c>
      <c r="I51" s="132" t="n">
        <v>0.38</v>
      </c>
      <c r="J51" s="132" t="n">
        <v>0.4</v>
      </c>
      <c r="K51" s="130" t="n">
        <v>16.6265942778352</v>
      </c>
      <c r="L51" s="132" t="n">
        <v>0.4</v>
      </c>
      <c r="M51" s="131" t="s">
        <v>64</v>
      </c>
      <c r="N51" s="133" t="n">
        <v>1.68546923474664</v>
      </c>
      <c r="O51" s="133" t="n">
        <v>16.6265942778352</v>
      </c>
      <c r="P51" s="132" t="n">
        <v>0.0227</v>
      </c>
      <c r="Q51" s="131" t="s">
        <v>130</v>
      </c>
      <c r="R51" s="130" t="n">
        <v>38587000</v>
      </c>
      <c r="S51" s="143" t="n">
        <v>0</v>
      </c>
      <c r="T51" s="134" t="n">
        <v>45317.4943133102</v>
      </c>
    </row>
    <row r="52" customFormat="false" ht="39.75" hidden="false" customHeight="true" outlineLevel="0" collapsed="false">
      <c r="B52" s="130" t="n">
        <v>1010109955</v>
      </c>
      <c r="C52" s="131" t="s">
        <v>180</v>
      </c>
      <c r="D52" s="131" t="s">
        <v>135</v>
      </c>
      <c r="E52" s="130" t="n">
        <v>2320800</v>
      </c>
      <c r="F52" s="131" t="s">
        <v>29</v>
      </c>
      <c r="G52" s="130" t="n">
        <v>2000000</v>
      </c>
      <c r="H52" s="131" t="n">
        <v>819</v>
      </c>
      <c r="I52" s="132" t="n">
        <v>0.19</v>
      </c>
      <c r="J52" s="132" t="n">
        <v>0.28</v>
      </c>
      <c r="K52" s="130" t="n">
        <v>0.432887797311272</v>
      </c>
      <c r="L52" s="132" t="n">
        <v>0.28</v>
      </c>
      <c r="M52" s="131" t="s">
        <v>62</v>
      </c>
      <c r="N52" s="133" t="n">
        <v>0.754168390210272</v>
      </c>
      <c r="O52" s="133" t="n">
        <v>0.432887797311272</v>
      </c>
      <c r="P52" s="132" t="n">
        <v>0.0227</v>
      </c>
      <c r="Q52" s="131" t="s">
        <v>130</v>
      </c>
      <c r="R52" s="130" t="n">
        <v>0</v>
      </c>
      <c r="S52" s="143" t="n">
        <v>0</v>
      </c>
      <c r="T52" s="134" t="n">
        <v>45317.5748704861</v>
      </c>
    </row>
    <row r="53" customFormat="false" ht="39.75" hidden="false" customHeight="true" outlineLevel="0" collapsed="false">
      <c r="B53" s="130" t="n">
        <v>1130608437</v>
      </c>
      <c r="C53" s="131" t="s">
        <v>181</v>
      </c>
      <c r="D53" s="131" t="s">
        <v>135</v>
      </c>
      <c r="E53" s="130" t="n">
        <v>2648100</v>
      </c>
      <c r="F53" s="131" t="s">
        <v>19</v>
      </c>
      <c r="G53" s="130" t="n">
        <v>4000000</v>
      </c>
      <c r="H53" s="131" t="n">
        <v>800</v>
      </c>
      <c r="I53" s="132" t="n">
        <v>0.35</v>
      </c>
      <c r="J53" s="132" t="n">
        <v>0.39</v>
      </c>
      <c r="K53" s="130" t="n">
        <v>13.4897035610438</v>
      </c>
      <c r="L53" s="132" t="n">
        <v>0.39</v>
      </c>
      <c r="M53" s="131" t="s">
        <v>62</v>
      </c>
      <c r="N53" s="133" t="n">
        <v>1.56496506929497</v>
      </c>
      <c r="O53" s="133" t="n">
        <v>13.4897035610438</v>
      </c>
      <c r="P53" s="132" t="n">
        <v>0.006</v>
      </c>
      <c r="Q53" s="131" t="s">
        <v>130</v>
      </c>
      <c r="R53" s="130" t="n">
        <v>35593000</v>
      </c>
      <c r="S53" s="143" t="n">
        <v>0</v>
      </c>
      <c r="T53" s="134" t="n">
        <v>45317.5961251157</v>
      </c>
    </row>
    <row r="54" customFormat="false" ht="39.75" hidden="false" customHeight="true" outlineLevel="0" collapsed="false">
      <c r="B54" s="130" t="n">
        <v>67036050</v>
      </c>
      <c r="C54" s="131" t="s">
        <v>182</v>
      </c>
      <c r="D54" s="131" t="s">
        <v>135</v>
      </c>
      <c r="E54" s="130" t="n">
        <v>2648100</v>
      </c>
      <c r="F54" s="131" t="s">
        <v>19</v>
      </c>
      <c r="G54" s="130" t="n">
        <v>2100000</v>
      </c>
      <c r="H54" s="131" t="n">
        <v>665</v>
      </c>
      <c r="I54" s="132" t="n">
        <v>0.5</v>
      </c>
      <c r="J54" s="132" t="n">
        <v>0.52</v>
      </c>
      <c r="K54" s="130" t="n">
        <v>23.1349597824856</v>
      </c>
      <c r="L54" s="132" t="n">
        <v>0.52</v>
      </c>
      <c r="M54" s="131" t="s">
        <v>64</v>
      </c>
      <c r="N54" s="133" t="n">
        <v>2.31084853291039</v>
      </c>
      <c r="O54" s="133" t="n">
        <v>23.1349597824856</v>
      </c>
      <c r="P54" s="132" t="n">
        <v>0.006</v>
      </c>
      <c r="Q54" s="131" t="s">
        <v>130</v>
      </c>
      <c r="R54" s="130" t="n">
        <v>52294000</v>
      </c>
      <c r="S54" s="143" t="n">
        <v>0</v>
      </c>
      <c r="T54" s="134" t="n">
        <v>45320.4924314815</v>
      </c>
    </row>
    <row r="55" customFormat="false" ht="39.75" hidden="false" customHeight="true" outlineLevel="0" collapsed="false">
      <c r="B55" s="130" t="n">
        <v>52057091</v>
      </c>
      <c r="C55" s="131" t="s">
        <v>183</v>
      </c>
      <c r="D55" s="131" t="s">
        <v>135</v>
      </c>
      <c r="E55" s="130" t="n">
        <v>4867100</v>
      </c>
      <c r="F55" s="131" t="s">
        <v>19</v>
      </c>
      <c r="G55" s="130" t="n">
        <v>20000000</v>
      </c>
      <c r="H55" s="131" t="n">
        <v>873</v>
      </c>
      <c r="I55" s="132" t="n">
        <v>0.36</v>
      </c>
      <c r="J55" s="132" t="n">
        <v>0.56</v>
      </c>
      <c r="K55" s="130" t="n">
        <v>0.124920383801442</v>
      </c>
      <c r="L55" s="132" t="n">
        <v>0.56</v>
      </c>
      <c r="M55" s="131" t="s">
        <v>61</v>
      </c>
      <c r="N55" s="133" t="n">
        <v>1.0412705717984</v>
      </c>
      <c r="O55" s="133" t="n">
        <v>0.124920383801442</v>
      </c>
      <c r="P55" s="132" t="n">
        <v>0.006</v>
      </c>
      <c r="Q55" s="131" t="s">
        <v>130</v>
      </c>
      <c r="R55" s="130" t="n">
        <v>608000</v>
      </c>
      <c r="S55" s="143" t="n">
        <v>0</v>
      </c>
      <c r="T55" s="134" t="n">
        <v>45320.6253194444</v>
      </c>
    </row>
    <row r="56" customFormat="false" ht="39.75" hidden="false" customHeight="true" outlineLevel="0" collapsed="false">
      <c r="B56" s="130" t="n">
        <v>66851685</v>
      </c>
      <c r="C56" s="131" t="s">
        <v>184</v>
      </c>
      <c r="D56" s="131" t="s">
        <v>185</v>
      </c>
      <c r="E56" s="130" t="n">
        <v>1420000</v>
      </c>
      <c r="F56" s="131" t="s">
        <v>29</v>
      </c>
      <c r="G56" s="130" t="n">
        <v>3500000</v>
      </c>
      <c r="H56" s="131" t="n">
        <v>747</v>
      </c>
      <c r="I56" s="132" t="n">
        <v>1.09</v>
      </c>
      <c r="J56" s="132" t="n">
        <v>1.2</v>
      </c>
      <c r="K56" s="130" t="n">
        <v>8.11320704225352</v>
      </c>
      <c r="L56" s="132" t="n">
        <v>1.2</v>
      </c>
      <c r="M56" s="131" t="s">
        <v>62</v>
      </c>
      <c r="N56" s="133" t="n">
        <v>1.74197183098592</v>
      </c>
      <c r="O56" s="133" t="n">
        <v>8.11320704225352</v>
      </c>
      <c r="P56" s="132" t="n">
        <v>0.0227</v>
      </c>
      <c r="Q56" s="131" t="s">
        <v>130</v>
      </c>
      <c r="R56" s="130" t="n">
        <v>5583000</v>
      </c>
      <c r="S56" s="143" t="n">
        <v>0</v>
      </c>
      <c r="T56" s="134" t="n">
        <v>45321.59765625</v>
      </c>
    </row>
    <row r="57" customFormat="false" ht="39.75" hidden="false" customHeight="true" outlineLevel="0" collapsed="false">
      <c r="B57" s="130" t="n">
        <v>94074218</v>
      </c>
      <c r="C57" s="131" t="s">
        <v>186</v>
      </c>
      <c r="D57" s="131" t="s">
        <v>135</v>
      </c>
      <c r="E57" s="130" t="n">
        <v>1912300</v>
      </c>
      <c r="F57" s="131" t="s">
        <v>26</v>
      </c>
      <c r="G57" s="130" t="n">
        <v>10000000</v>
      </c>
      <c r="H57" s="131" t="n">
        <v>726</v>
      </c>
      <c r="I57" s="132" t="n">
        <v>0.24</v>
      </c>
      <c r="J57" s="132" t="n">
        <v>0.32</v>
      </c>
      <c r="K57" s="130" t="n">
        <v>9.34170213878576</v>
      </c>
      <c r="L57" s="132" t="n">
        <v>0.32</v>
      </c>
      <c r="M57" s="131" t="s">
        <v>62</v>
      </c>
      <c r="N57" s="133" t="n">
        <v>1.16505569209852</v>
      </c>
      <c r="O57" s="133" t="n">
        <v>9.34170213878576</v>
      </c>
      <c r="P57" s="132" t="n">
        <v>0.0222</v>
      </c>
      <c r="Q57" s="131" t="s">
        <v>130</v>
      </c>
      <c r="R57" s="130" t="n">
        <v>4347000</v>
      </c>
      <c r="S57" s="143" t="s">
        <v>187</v>
      </c>
      <c r="T57" s="134" t="n">
        <v>45322.4232309028</v>
      </c>
    </row>
    <row r="58" customFormat="false" ht="39.75" hidden="false" customHeight="true" outlineLevel="0" collapsed="false">
      <c r="B58" s="130" t="n">
        <v>1144175903</v>
      </c>
      <c r="C58" s="131" t="s">
        <v>152</v>
      </c>
      <c r="D58" s="131" t="s">
        <v>153</v>
      </c>
      <c r="E58" s="130" t="n">
        <v>2318500</v>
      </c>
      <c r="F58" s="131" t="s">
        <v>26</v>
      </c>
      <c r="G58" s="130" t="n">
        <v>10000000</v>
      </c>
      <c r="H58" s="131" t="n">
        <v>692</v>
      </c>
      <c r="I58" s="132" t="n">
        <v>0.2</v>
      </c>
      <c r="J58" s="132" t="n">
        <v>0.26</v>
      </c>
      <c r="K58" s="130" t="n">
        <v>7.7050407591115</v>
      </c>
      <c r="L58" s="132" t="n">
        <v>0.26</v>
      </c>
      <c r="M58" s="131" t="s">
        <v>62</v>
      </c>
      <c r="N58" s="133" t="n">
        <v>1.06255423765366</v>
      </c>
      <c r="O58" s="133" t="n">
        <v>7.7050407591115</v>
      </c>
      <c r="P58" s="132" t="n">
        <v>0.0222</v>
      </c>
      <c r="Q58" s="131" t="s">
        <v>130</v>
      </c>
      <c r="R58" s="130" t="n">
        <v>4347000</v>
      </c>
      <c r="S58" s="143" t="s">
        <v>187</v>
      </c>
      <c r="T58" s="134" t="n">
        <v>45322.4242685185</v>
      </c>
    </row>
    <row r="59" customFormat="false" ht="39.75" hidden="false" customHeight="true" outlineLevel="0" collapsed="false">
      <c r="B59" s="130" t="n">
        <v>1144126183</v>
      </c>
      <c r="C59" s="131" t="s">
        <v>188</v>
      </c>
      <c r="D59" s="131" t="s">
        <v>135</v>
      </c>
      <c r="E59" s="130" t="n">
        <v>2648100</v>
      </c>
      <c r="F59" s="131" t="s">
        <v>19</v>
      </c>
      <c r="G59" s="130" t="n">
        <v>6552000</v>
      </c>
      <c r="H59" s="131" t="n">
        <v>843</v>
      </c>
      <c r="I59" s="132" t="n">
        <v>0.07</v>
      </c>
      <c r="J59" s="132" t="n">
        <v>0.19</v>
      </c>
      <c r="K59" s="130" t="n">
        <v>0.377629243608625</v>
      </c>
      <c r="L59" s="132" t="n">
        <v>0.19</v>
      </c>
      <c r="M59" s="131" t="s">
        <v>62</v>
      </c>
      <c r="N59" s="133" t="n">
        <v>0.645534534194328</v>
      </c>
      <c r="O59" s="133" t="n">
        <v>0.377629243608625</v>
      </c>
      <c r="P59" s="132" t="n">
        <v>0.006</v>
      </c>
      <c r="Q59" s="131" t="s">
        <v>130</v>
      </c>
      <c r="R59" s="130" t="n">
        <v>1000000</v>
      </c>
      <c r="S59" s="143" t="n">
        <v>0</v>
      </c>
      <c r="T59" s="134" t="n">
        <v>45322.4291425926</v>
      </c>
    </row>
    <row r="60" customFormat="false" ht="39.75" hidden="false" customHeight="true" outlineLevel="0" collapsed="false">
      <c r="B60" s="130" t="n">
        <v>52057091</v>
      </c>
      <c r="C60" s="131" t="s">
        <v>183</v>
      </c>
      <c r="D60" s="131" t="s">
        <v>135</v>
      </c>
      <c r="E60" s="130" t="n">
        <v>4867100</v>
      </c>
      <c r="F60" s="131" t="s">
        <v>26</v>
      </c>
      <c r="G60" s="130" t="n">
        <v>3800000</v>
      </c>
      <c r="H60" s="131" t="n">
        <v>873</v>
      </c>
      <c r="I60" s="132" t="n">
        <v>0.36</v>
      </c>
      <c r="J60" s="132" t="n">
        <v>0.44</v>
      </c>
      <c r="K60" s="130" t="n">
        <v>0.124920383801442</v>
      </c>
      <c r="L60" s="132" t="n">
        <v>0.44</v>
      </c>
      <c r="M60" s="131" t="s">
        <v>61</v>
      </c>
      <c r="N60" s="133" t="n">
        <v>1.04025415545191</v>
      </c>
      <c r="O60" s="133" t="n">
        <v>0.124920383801442</v>
      </c>
      <c r="P60" s="132" t="n">
        <v>0.0222</v>
      </c>
      <c r="Q60" s="131" t="s">
        <v>130</v>
      </c>
      <c r="R60" s="130" t="n">
        <v>608000</v>
      </c>
      <c r="S60" s="143" t="n">
        <v>0</v>
      </c>
      <c r="T60" s="134" t="n">
        <v>45322.4326591435</v>
      </c>
    </row>
    <row r="61" customFormat="false" ht="39.75" hidden="false" customHeight="true" outlineLevel="0" collapsed="false">
      <c r="B61" s="130" t="n">
        <v>1107528770</v>
      </c>
      <c r="C61" s="131" t="s">
        <v>189</v>
      </c>
      <c r="D61" s="131" t="s">
        <v>135</v>
      </c>
      <c r="E61" s="130" t="n">
        <v>1450000</v>
      </c>
      <c r="F61" s="131" t="s">
        <v>29</v>
      </c>
      <c r="G61" s="130" t="n">
        <v>2900000</v>
      </c>
      <c r="H61" s="131" t="n">
        <v>679</v>
      </c>
      <c r="I61" s="132" t="n">
        <v>0.18</v>
      </c>
      <c r="J61" s="132" t="n">
        <v>0.29</v>
      </c>
      <c r="K61" s="130" t="n">
        <v>10.4811655172414</v>
      </c>
      <c r="L61" s="132" t="n">
        <v>0.29</v>
      </c>
      <c r="M61" s="131" t="s">
        <v>64</v>
      </c>
      <c r="N61" s="133" t="n">
        <v>1.5864124137931</v>
      </c>
      <c r="O61" s="133" t="n">
        <v>10.4811655172414</v>
      </c>
      <c r="P61" s="132" t="n">
        <v>0.0227</v>
      </c>
      <c r="Q61" s="131" t="s">
        <v>130</v>
      </c>
      <c r="R61" s="130" t="n">
        <v>14958000</v>
      </c>
      <c r="S61" s="143" t="n">
        <v>0</v>
      </c>
      <c r="T61" s="134" t="n">
        <v>45323.4975351852</v>
      </c>
    </row>
    <row r="62" customFormat="false" ht="39.75" hidden="false" customHeight="true" outlineLevel="0" collapsed="false">
      <c r="B62" s="130" t="n">
        <v>66846381</v>
      </c>
      <c r="C62" s="131" t="s">
        <v>190</v>
      </c>
      <c r="D62" s="131" t="s">
        <v>135</v>
      </c>
      <c r="E62" s="130" t="n">
        <v>2320800</v>
      </c>
      <c r="F62" s="131" t="s">
        <v>29</v>
      </c>
      <c r="G62" s="130" t="n">
        <v>3600000</v>
      </c>
      <c r="H62" s="131" t="n">
        <v>746</v>
      </c>
      <c r="I62" s="132" t="n">
        <v>0.1</v>
      </c>
      <c r="J62" s="132" t="n">
        <v>0.13</v>
      </c>
      <c r="K62" s="130" t="n">
        <v>37.4293347121682</v>
      </c>
      <c r="L62" s="132" t="n">
        <v>0.13</v>
      </c>
      <c r="M62" s="131" t="s">
        <v>64</v>
      </c>
      <c r="N62" s="133" t="n">
        <v>0.710990175801448</v>
      </c>
      <c r="O62" s="133" t="n">
        <v>37.4293347121682</v>
      </c>
      <c r="P62" s="132" t="n">
        <v>0.0227</v>
      </c>
      <c r="Q62" s="131" t="s">
        <v>130</v>
      </c>
      <c r="R62" s="130" t="n">
        <v>86866000</v>
      </c>
      <c r="S62" s="143" t="n">
        <v>0</v>
      </c>
      <c r="T62" s="134" t="n">
        <v>45323.5655543982</v>
      </c>
    </row>
    <row r="63" customFormat="false" ht="39.75" hidden="false" customHeight="true" outlineLevel="0" collapsed="false">
      <c r="B63" s="130" t="n">
        <v>1010086359</v>
      </c>
      <c r="C63" s="131" t="s">
        <v>191</v>
      </c>
      <c r="D63" s="131" t="s">
        <v>135</v>
      </c>
      <c r="E63" s="130" t="n">
        <v>2648100</v>
      </c>
      <c r="F63" s="131" t="s">
        <v>29</v>
      </c>
      <c r="G63" s="130" t="n">
        <v>4000000</v>
      </c>
      <c r="H63" s="131" t="n">
        <v>686</v>
      </c>
      <c r="I63" s="132" t="n">
        <v>0.22</v>
      </c>
      <c r="J63" s="132" t="n">
        <v>0.28</v>
      </c>
      <c r="K63" s="130" t="n">
        <v>19.3143721913825</v>
      </c>
      <c r="L63" s="132" t="n">
        <v>0.28</v>
      </c>
      <c r="M63" s="131" t="s">
        <v>64</v>
      </c>
      <c r="N63" s="133" t="n">
        <v>1.43885427287489</v>
      </c>
      <c r="O63" s="133" t="n">
        <v>19.3143721913825</v>
      </c>
      <c r="P63" s="132" t="n">
        <v>0.0227</v>
      </c>
      <c r="Q63" s="131" t="s">
        <v>130</v>
      </c>
      <c r="R63" s="130" t="n">
        <v>49283000</v>
      </c>
      <c r="S63" s="143" t="n">
        <v>0</v>
      </c>
      <c r="T63" s="134" t="n">
        <v>45323.5677983796</v>
      </c>
    </row>
    <row r="64" customFormat="false" ht="39.75" hidden="false" customHeight="true" outlineLevel="0" collapsed="false">
      <c r="B64" s="130" t="n">
        <v>1114884602</v>
      </c>
      <c r="C64" s="131" t="s">
        <v>192</v>
      </c>
      <c r="D64" s="131" t="s">
        <v>135</v>
      </c>
      <c r="E64" s="130" t="n">
        <v>2320800</v>
      </c>
      <c r="F64" s="131" t="s">
        <v>29</v>
      </c>
      <c r="G64" s="130" t="n">
        <v>2000000</v>
      </c>
      <c r="H64" s="131" t="n">
        <v>810</v>
      </c>
      <c r="I64" s="132" t="n">
        <v>0.46</v>
      </c>
      <c r="J64" s="132" t="n">
        <v>0.51</v>
      </c>
      <c r="K64" s="130" t="n">
        <v>14.793605653223</v>
      </c>
      <c r="L64" s="132" t="n">
        <v>0.51</v>
      </c>
      <c r="M64" s="131" t="s">
        <v>62</v>
      </c>
      <c r="N64" s="133" t="n">
        <v>1.51265081006549</v>
      </c>
      <c r="O64" s="133" t="n">
        <v>14.793605653223</v>
      </c>
      <c r="P64" s="132" t="n">
        <v>0.0227</v>
      </c>
      <c r="Q64" s="131" t="s">
        <v>130</v>
      </c>
      <c r="R64" s="130" t="n">
        <v>34333000</v>
      </c>
      <c r="S64" s="143" t="n">
        <v>0</v>
      </c>
      <c r="T64" s="134" t="n">
        <v>45323.5699657407</v>
      </c>
    </row>
    <row r="65" customFormat="false" ht="39.75" hidden="false" customHeight="true" outlineLevel="0" collapsed="false">
      <c r="B65" s="130" t="n">
        <v>94043124</v>
      </c>
      <c r="C65" s="131" t="s">
        <v>193</v>
      </c>
      <c r="D65" s="131" t="s">
        <v>135</v>
      </c>
      <c r="E65" s="130" t="n">
        <v>4984600</v>
      </c>
      <c r="F65" s="131" t="s">
        <v>29</v>
      </c>
      <c r="G65" s="130" t="n">
        <v>2000000</v>
      </c>
      <c r="H65" s="131" t="n">
        <v>618</v>
      </c>
      <c r="I65" s="132" t="n">
        <v>0.52</v>
      </c>
      <c r="J65" s="132" t="n">
        <v>0.55</v>
      </c>
      <c r="K65" s="130" t="n">
        <v>19.5736518476909</v>
      </c>
      <c r="L65" s="132" t="n">
        <v>0.55</v>
      </c>
      <c r="M65" s="131" t="s">
        <v>64</v>
      </c>
      <c r="N65" s="133" t="n">
        <v>2.84720198210488</v>
      </c>
      <c r="O65" s="133" t="n">
        <v>19.5736518476909</v>
      </c>
      <c r="P65" s="132" t="n">
        <v>0.0227</v>
      </c>
      <c r="Q65" s="131" t="s">
        <v>130</v>
      </c>
      <c r="R65" s="130" t="n">
        <v>90225000</v>
      </c>
      <c r="S65" s="143" t="s">
        <v>194</v>
      </c>
      <c r="T65" s="134" t="n">
        <v>45323.5949127315</v>
      </c>
    </row>
    <row r="66" customFormat="false" ht="39.75" hidden="false" customHeight="true" outlineLevel="0" collapsed="false">
      <c r="B66" s="130" t="n">
        <v>38464115</v>
      </c>
      <c r="C66" s="131" t="s">
        <v>195</v>
      </c>
      <c r="D66" s="131" t="s">
        <v>135</v>
      </c>
      <c r="E66" s="130" t="n">
        <v>2648100</v>
      </c>
      <c r="F66" s="131" t="s">
        <v>29</v>
      </c>
      <c r="G66" s="130" t="n">
        <v>2500000</v>
      </c>
      <c r="H66" s="131" t="n">
        <v>837</v>
      </c>
      <c r="I66" s="132" t="n">
        <v>0.44</v>
      </c>
      <c r="J66" s="132" t="n">
        <v>0.54</v>
      </c>
      <c r="K66" s="130" t="n">
        <v>21.6685582115479</v>
      </c>
      <c r="L66" s="132" t="n">
        <v>0.54</v>
      </c>
      <c r="M66" s="131" t="s">
        <v>62</v>
      </c>
      <c r="N66" s="133" t="n">
        <v>1.76413466258827</v>
      </c>
      <c r="O66" s="133" t="n">
        <v>21.6685582115479</v>
      </c>
      <c r="P66" s="132" t="n">
        <v>0.0227</v>
      </c>
      <c r="Q66" s="131" t="s">
        <v>130</v>
      </c>
      <c r="R66" s="130" t="n">
        <v>57108000</v>
      </c>
      <c r="S66" s="143" t="n">
        <v>0</v>
      </c>
      <c r="T66" s="134" t="n">
        <v>45323.597949537</v>
      </c>
    </row>
    <row r="67" customFormat="false" ht="39.75" hidden="false" customHeight="true" outlineLevel="0" collapsed="false">
      <c r="B67" s="130" t="n">
        <v>38464115</v>
      </c>
      <c r="C67" s="131" t="s">
        <v>195</v>
      </c>
      <c r="D67" s="131" t="s">
        <v>135</v>
      </c>
      <c r="E67" s="130" t="n">
        <v>2648100</v>
      </c>
      <c r="F67" s="131" t="s">
        <v>29</v>
      </c>
      <c r="G67" s="130" t="n">
        <v>2500000</v>
      </c>
      <c r="H67" s="131" t="n">
        <v>837</v>
      </c>
      <c r="I67" s="132" t="n">
        <v>0.44</v>
      </c>
      <c r="J67" s="132" t="n">
        <v>0.54</v>
      </c>
      <c r="K67" s="130" t="n">
        <v>21.6685582115479</v>
      </c>
      <c r="L67" s="132" t="n">
        <v>0.54</v>
      </c>
      <c r="M67" s="131" t="s">
        <v>62</v>
      </c>
      <c r="N67" s="133" t="n">
        <v>1.76413466258827</v>
      </c>
      <c r="O67" s="133" t="n">
        <v>21.6685582115479</v>
      </c>
      <c r="P67" s="132" t="n">
        <v>0.0227</v>
      </c>
      <c r="Q67" s="131" t="s">
        <v>130</v>
      </c>
      <c r="R67" s="130" t="n">
        <v>57108000</v>
      </c>
      <c r="S67" s="143" t="n">
        <v>0</v>
      </c>
      <c r="T67" s="134" t="n">
        <v>45323.5980024306</v>
      </c>
    </row>
    <row r="68" customFormat="false" ht="39.75" hidden="false" customHeight="true" outlineLevel="0" collapsed="false">
      <c r="B68" s="130" t="n">
        <v>34613050</v>
      </c>
      <c r="C68" s="131" t="s">
        <v>196</v>
      </c>
      <c r="D68" s="131" t="s">
        <v>135</v>
      </c>
      <c r="E68" s="130" t="n">
        <v>2648100</v>
      </c>
      <c r="F68" s="131" t="s">
        <v>26</v>
      </c>
      <c r="G68" s="130" t="n">
        <v>15000000</v>
      </c>
      <c r="H68" s="131" t="n">
        <v>726</v>
      </c>
      <c r="I68" s="132" t="n">
        <v>0.53</v>
      </c>
      <c r="J68" s="132" t="n">
        <v>0.72</v>
      </c>
      <c r="K68" s="130" t="n">
        <v>9.44384162229523</v>
      </c>
      <c r="L68" s="132" t="n">
        <v>0.72</v>
      </c>
      <c r="M68" s="131" t="s">
        <v>62</v>
      </c>
      <c r="N68" s="133" t="n">
        <v>1.06431743514218</v>
      </c>
      <c r="O68" s="133" t="n">
        <v>9.44384162229523</v>
      </c>
      <c r="P68" s="132" t="n">
        <v>0.0227</v>
      </c>
      <c r="Q68" s="131" t="s">
        <v>130</v>
      </c>
      <c r="R68" s="130" t="n">
        <v>0</v>
      </c>
      <c r="S68" s="143" t="n">
        <v>0</v>
      </c>
      <c r="T68" s="134" t="n">
        <v>45323.695778125</v>
      </c>
    </row>
    <row r="69" customFormat="false" ht="39.75" hidden="false" customHeight="true" outlineLevel="0" collapsed="false">
      <c r="B69" s="130" t="n">
        <v>1112483089</v>
      </c>
      <c r="C69" s="131" t="s">
        <v>197</v>
      </c>
      <c r="D69" s="131" t="s">
        <v>135</v>
      </c>
      <c r="E69" s="130" t="n">
        <v>2648100</v>
      </c>
      <c r="F69" s="131" t="s">
        <v>29</v>
      </c>
      <c r="G69" s="130" t="n">
        <v>1500000</v>
      </c>
      <c r="H69" s="131" t="n">
        <v>666</v>
      </c>
      <c r="I69" s="132" t="n">
        <v>0.34</v>
      </c>
      <c r="J69" s="132" t="n">
        <v>0.37</v>
      </c>
      <c r="K69" s="130" t="n">
        <v>5.62076923076923</v>
      </c>
      <c r="L69" s="132" t="n">
        <v>0.37</v>
      </c>
      <c r="M69" s="131" t="s">
        <v>64</v>
      </c>
      <c r="N69" s="133" t="n">
        <v>1.01427891695933</v>
      </c>
      <c r="O69" s="133" t="n">
        <v>5.62076923076923</v>
      </c>
      <c r="P69" s="132" t="n">
        <v>0.0227</v>
      </c>
      <c r="Q69" s="131" t="s">
        <v>130</v>
      </c>
      <c r="R69" s="130" t="n">
        <v>4536000</v>
      </c>
      <c r="S69" s="143" t="s">
        <v>198</v>
      </c>
      <c r="T69" s="134" t="n">
        <v>45327.6256228009</v>
      </c>
    </row>
    <row r="70" customFormat="false" ht="39.75" hidden="false" customHeight="true" outlineLevel="0" collapsed="false">
      <c r="B70" s="130" t="n">
        <v>25341987</v>
      </c>
      <c r="C70" s="131" t="s">
        <v>199</v>
      </c>
      <c r="D70" s="131" t="s">
        <v>135</v>
      </c>
      <c r="E70" s="130" t="n">
        <v>1450000</v>
      </c>
      <c r="F70" s="131" t="s">
        <v>29</v>
      </c>
      <c r="G70" s="130" t="n">
        <v>2900000</v>
      </c>
      <c r="H70" s="131" t="n">
        <v>582</v>
      </c>
      <c r="I70" s="132" t="n">
        <v>0.1</v>
      </c>
      <c r="J70" s="132" t="n">
        <v>0.22</v>
      </c>
      <c r="K70" s="130" t="n">
        <v>11.3664979310345</v>
      </c>
      <c r="L70" s="132" t="n">
        <v>0.22</v>
      </c>
      <c r="M70" s="131" t="s">
        <v>64</v>
      </c>
      <c r="N70" s="133" t="n">
        <v>1.00343448275862</v>
      </c>
      <c r="O70" s="133" t="n">
        <v>11.3664979310345</v>
      </c>
      <c r="P70" s="132" t="n">
        <v>0.0227</v>
      </c>
      <c r="Q70" s="131" t="s">
        <v>130</v>
      </c>
      <c r="R70" s="130" t="n">
        <v>16325000</v>
      </c>
      <c r="S70" s="143" t="s">
        <v>198</v>
      </c>
      <c r="T70" s="134" t="n">
        <v>45327.6291061343</v>
      </c>
    </row>
    <row r="71" customFormat="false" ht="39.75" hidden="false" customHeight="true" outlineLevel="0" collapsed="false">
      <c r="B71" s="130" t="n">
        <v>1113692973</v>
      </c>
      <c r="C71" s="131" t="s">
        <v>200</v>
      </c>
      <c r="D71" s="131" t="s">
        <v>135</v>
      </c>
      <c r="E71" s="130" t="n">
        <v>3699900</v>
      </c>
      <c r="F71" s="131" t="s">
        <v>19</v>
      </c>
      <c r="G71" s="130" t="n">
        <v>2295000</v>
      </c>
      <c r="H71" s="131" t="n">
        <v>725</v>
      </c>
      <c r="I71" s="132" t="n">
        <v>0.05</v>
      </c>
      <c r="J71" s="132" t="n">
        <v>0.06</v>
      </c>
      <c r="K71" s="130" t="n">
        <v>2.5262109786751</v>
      </c>
      <c r="L71" s="132" t="n">
        <v>0.06</v>
      </c>
      <c r="M71" s="131" t="s">
        <v>64</v>
      </c>
      <c r="N71" s="133" t="n">
        <v>0.935325279061596</v>
      </c>
      <c r="O71" s="133" t="n">
        <v>2.5262109786751</v>
      </c>
      <c r="P71" s="132" t="n">
        <v>0.0227</v>
      </c>
      <c r="Q71" s="131" t="s">
        <v>130</v>
      </c>
      <c r="R71" s="130" t="n">
        <v>9266000</v>
      </c>
      <c r="S71" s="143" t="n">
        <v>0</v>
      </c>
      <c r="T71" s="134" t="n">
        <v>45327.6500864583</v>
      </c>
    </row>
    <row r="72" customFormat="false" ht="39.75" hidden="false" customHeight="true" outlineLevel="0" collapsed="false">
      <c r="B72" s="130" t="n">
        <v>1144090457</v>
      </c>
      <c r="C72" s="131" t="s">
        <v>201</v>
      </c>
      <c r="D72" s="131" t="s">
        <v>135</v>
      </c>
      <c r="E72" s="130" t="n">
        <v>1450000</v>
      </c>
      <c r="F72" s="131" t="s">
        <v>29</v>
      </c>
      <c r="G72" s="130" t="n">
        <v>1700000</v>
      </c>
      <c r="H72" s="131" t="n">
        <v>632</v>
      </c>
      <c r="I72" s="132" t="n">
        <v>0.18</v>
      </c>
      <c r="J72" s="132" t="n">
        <v>0.25</v>
      </c>
      <c r="K72" s="130" t="n">
        <v>1.17466068965517</v>
      </c>
      <c r="L72" s="132" t="n">
        <v>0.25</v>
      </c>
      <c r="M72" s="131" t="s">
        <v>64</v>
      </c>
      <c r="N72" s="133" t="n">
        <v>0.790471034482759</v>
      </c>
      <c r="O72" s="133" t="n">
        <v>1.17466068965517</v>
      </c>
      <c r="P72" s="132" t="n">
        <v>0.0227</v>
      </c>
      <c r="Q72" s="131" t="s">
        <v>130</v>
      </c>
      <c r="R72" s="130" t="n">
        <v>131000</v>
      </c>
      <c r="S72" s="143" t="n">
        <v>0</v>
      </c>
      <c r="T72" s="134" t="n">
        <v>45327.6611878472</v>
      </c>
    </row>
    <row r="73" customFormat="false" ht="39.75" hidden="false" customHeight="true" outlineLevel="0" collapsed="false">
      <c r="B73" s="130" t="n">
        <v>1130635783</v>
      </c>
      <c r="C73" s="131" t="s">
        <v>202</v>
      </c>
      <c r="D73" s="131" t="s">
        <v>135</v>
      </c>
      <c r="E73" s="130" t="n">
        <v>1450000</v>
      </c>
      <c r="F73" s="131" t="s">
        <v>29</v>
      </c>
      <c r="G73" s="130" t="n">
        <v>1500000</v>
      </c>
      <c r="H73" s="131" t="n">
        <v>540</v>
      </c>
      <c r="I73" s="132" t="n">
        <v>0.46</v>
      </c>
      <c r="J73" s="132" t="n">
        <v>0.51</v>
      </c>
      <c r="K73" s="130" t="n">
        <v>18.6111965517241</v>
      </c>
      <c r="L73" s="132" t="n">
        <v>0.51</v>
      </c>
      <c r="M73" s="131" t="s">
        <v>64</v>
      </c>
      <c r="N73" s="133" t="n">
        <v>3.90196137931035</v>
      </c>
      <c r="O73" s="133" t="n">
        <v>18.6111965517241</v>
      </c>
      <c r="P73" s="132" t="n">
        <v>0.0227</v>
      </c>
      <c r="Q73" s="131" t="s">
        <v>130</v>
      </c>
      <c r="R73" s="130" t="n">
        <v>25295000</v>
      </c>
      <c r="S73" s="143" t="n">
        <v>0</v>
      </c>
      <c r="T73" s="134" t="n">
        <v>45327.6677201389</v>
      </c>
    </row>
    <row r="74" customFormat="false" ht="39.75" hidden="false" customHeight="true" outlineLevel="0" collapsed="false">
      <c r="B74" s="130" t="n">
        <v>1144151327</v>
      </c>
      <c r="C74" s="131" t="s">
        <v>203</v>
      </c>
      <c r="D74" s="131" t="s">
        <v>135</v>
      </c>
      <c r="E74" s="130" t="n">
        <v>2648100</v>
      </c>
      <c r="F74" s="131" t="s">
        <v>29</v>
      </c>
      <c r="G74" s="130" t="n">
        <v>1800000</v>
      </c>
      <c r="H74" s="131" t="n">
        <v>576</v>
      </c>
      <c r="I74" s="132" t="n">
        <v>0.39</v>
      </c>
      <c r="J74" s="132" t="n">
        <v>0.42</v>
      </c>
      <c r="K74" s="130" t="n">
        <v>13.6034462444772</v>
      </c>
      <c r="L74" s="132" t="n">
        <v>0.42</v>
      </c>
      <c r="M74" s="131" t="s">
        <v>64</v>
      </c>
      <c r="N74" s="133" t="n">
        <v>2.52106113817454</v>
      </c>
      <c r="O74" s="133" t="n">
        <v>13.6034462444772</v>
      </c>
      <c r="P74" s="132" t="n">
        <v>0.0227</v>
      </c>
      <c r="Q74" s="131" t="s">
        <v>130</v>
      </c>
      <c r="R74" s="130" t="n">
        <v>33537000</v>
      </c>
      <c r="S74" s="143" t="n">
        <v>0</v>
      </c>
      <c r="T74" s="134" t="n">
        <v>45327.6826670139</v>
      </c>
    </row>
    <row r="75" customFormat="false" ht="39.75" hidden="false" customHeight="true" outlineLevel="0" collapsed="false">
      <c r="B75" s="130" t="n">
        <v>91493134</v>
      </c>
      <c r="C75" s="131" t="s">
        <v>204</v>
      </c>
      <c r="D75" s="131" t="s">
        <v>135</v>
      </c>
      <c r="E75" s="130" t="n">
        <v>3629200</v>
      </c>
      <c r="F75" s="131" t="s">
        <v>29</v>
      </c>
      <c r="G75" s="130" t="n">
        <v>1000000</v>
      </c>
      <c r="H75" s="131" t="n">
        <v>708</v>
      </c>
      <c r="I75" s="132" t="n">
        <v>0.39</v>
      </c>
      <c r="J75" s="132" t="n">
        <v>0.4</v>
      </c>
      <c r="K75" s="130" t="n">
        <v>8.69709495205555</v>
      </c>
      <c r="L75" s="132" t="n">
        <v>0.4</v>
      </c>
      <c r="M75" s="131" t="s">
        <v>64</v>
      </c>
      <c r="N75" s="133" t="n">
        <v>1.37985781990521</v>
      </c>
      <c r="O75" s="133" t="n">
        <v>8.69709495205555</v>
      </c>
      <c r="P75" s="132" t="n">
        <v>0.0227</v>
      </c>
      <c r="Q75" s="131" t="s">
        <v>130</v>
      </c>
      <c r="R75" s="130" t="n">
        <v>31136000</v>
      </c>
      <c r="S75" s="143" t="n">
        <v>0</v>
      </c>
      <c r="T75" s="134" t="n">
        <v>45327.6842112269</v>
      </c>
    </row>
    <row r="76" customFormat="false" ht="39.75" hidden="false" customHeight="true" outlineLevel="0" collapsed="false">
      <c r="B76" s="130" t="n">
        <v>1130609348</v>
      </c>
      <c r="C76" s="131" t="s">
        <v>205</v>
      </c>
      <c r="D76" s="131" t="s">
        <v>135</v>
      </c>
      <c r="E76" s="130" t="n">
        <v>2648100</v>
      </c>
      <c r="F76" s="131" t="s">
        <v>29</v>
      </c>
      <c r="G76" s="130" t="n">
        <v>2000000</v>
      </c>
      <c r="H76" s="131" t="n">
        <v>724</v>
      </c>
      <c r="I76" s="132" t="n">
        <v>0.44</v>
      </c>
      <c r="J76" s="132" t="n">
        <v>0.48</v>
      </c>
      <c r="K76" s="130" t="n">
        <v>19.6148495147464</v>
      </c>
      <c r="L76" s="132" t="n">
        <v>0.48</v>
      </c>
      <c r="M76" s="131" t="s">
        <v>64</v>
      </c>
      <c r="N76" s="133" t="n">
        <v>1.77123673577282</v>
      </c>
      <c r="O76" s="133" t="n">
        <v>19.6148495147464</v>
      </c>
      <c r="P76" s="132" t="n">
        <v>0.0227</v>
      </c>
      <c r="Q76" s="131" t="s">
        <v>130</v>
      </c>
      <c r="R76" s="130" t="n">
        <v>51733000</v>
      </c>
      <c r="S76" s="143" t="n">
        <v>0</v>
      </c>
      <c r="T76" s="134" t="n">
        <v>45327.6857506944</v>
      </c>
    </row>
    <row r="77" customFormat="false" ht="39.75" hidden="false" customHeight="true" outlineLevel="0" collapsed="false">
      <c r="B77" s="130" t="n">
        <v>1143945334</v>
      </c>
      <c r="C77" s="131" t="s">
        <v>206</v>
      </c>
      <c r="D77" s="131" t="s">
        <v>129</v>
      </c>
      <c r="E77" s="130" t="n">
        <v>2648100</v>
      </c>
      <c r="F77" s="131" t="s">
        <v>19</v>
      </c>
      <c r="G77" s="130" t="n">
        <v>6548095</v>
      </c>
      <c r="H77" s="131" t="n">
        <v>863</v>
      </c>
      <c r="I77" s="132" t="n">
        <v>0.39</v>
      </c>
      <c r="J77" s="132" t="n">
        <v>0.63</v>
      </c>
      <c r="K77" s="130" t="n">
        <v>0.0476855103659227</v>
      </c>
      <c r="L77" s="132" t="n">
        <v>0.63</v>
      </c>
      <c r="M77" s="131" t="s">
        <v>62</v>
      </c>
      <c r="N77" s="133" t="n">
        <v>2.09981496167063</v>
      </c>
      <c r="O77" s="133" t="n">
        <v>0.0476855103659227</v>
      </c>
      <c r="P77" s="132" t="n">
        <v>0.007</v>
      </c>
      <c r="Q77" s="131" t="s">
        <v>130</v>
      </c>
      <c r="R77" s="130" t="n">
        <v>126276</v>
      </c>
      <c r="S77" s="143" t="n">
        <v>0</v>
      </c>
      <c r="T77" s="134" t="n">
        <v>45265.660897338</v>
      </c>
    </row>
    <row r="78" customFormat="false" ht="39.75" hidden="false" customHeight="true" outlineLevel="0" collapsed="false">
      <c r="B78" s="130" t="n">
        <v>31574407</v>
      </c>
      <c r="C78" s="131" t="s">
        <v>207</v>
      </c>
      <c r="D78" s="131" t="s">
        <v>129</v>
      </c>
      <c r="E78" s="130" t="n">
        <v>3629200</v>
      </c>
      <c r="F78" s="131" t="s">
        <v>19</v>
      </c>
      <c r="G78" s="130" t="n">
        <v>5615000</v>
      </c>
      <c r="H78" s="131" t="n">
        <v>957</v>
      </c>
      <c r="I78" s="132" t="n">
        <v>0.16</v>
      </c>
      <c r="J78" s="132" t="n">
        <v>0.45</v>
      </c>
      <c r="K78" s="130" t="n">
        <v>1.14584040559903</v>
      </c>
      <c r="L78" s="132" t="n">
        <v>0.45</v>
      </c>
      <c r="M78" s="131" t="s">
        <v>62</v>
      </c>
      <c r="N78" s="133" t="n">
        <v>1.05226881957456</v>
      </c>
      <c r="O78" s="133" t="n">
        <v>1.14584040559903</v>
      </c>
      <c r="P78" s="132" t="n">
        <v>0.007</v>
      </c>
      <c r="Q78" s="131" t="s">
        <v>130</v>
      </c>
      <c r="R78" s="130" t="n">
        <v>3954000</v>
      </c>
      <c r="S78" s="143" t="n">
        <v>0</v>
      </c>
      <c r="T78" s="134" t="n">
        <v>45265.6661988426</v>
      </c>
    </row>
    <row r="79" customFormat="false" ht="39.75" hidden="false" customHeight="true" outlineLevel="0" collapsed="false">
      <c r="B79" s="130" t="n">
        <v>1130639453</v>
      </c>
      <c r="C79" s="131" t="s">
        <v>208</v>
      </c>
      <c r="D79" s="131" t="s">
        <v>129</v>
      </c>
      <c r="E79" s="130" t="n">
        <v>5374700</v>
      </c>
      <c r="F79" s="131" t="s">
        <v>14</v>
      </c>
      <c r="G79" s="130" t="n">
        <v>5000000</v>
      </c>
      <c r="H79" s="131" t="n">
        <v>855</v>
      </c>
      <c r="I79" s="132" t="n">
        <v>0.17</v>
      </c>
      <c r="J79" s="132" t="n">
        <v>0.21</v>
      </c>
      <c r="K79" s="130" t="n">
        <v>2.61951160064748</v>
      </c>
      <c r="L79" s="132" t="n">
        <v>0.21</v>
      </c>
      <c r="M79" s="131" t="s">
        <v>61</v>
      </c>
      <c r="N79" s="133" t="n">
        <v>0.957139375220943</v>
      </c>
      <c r="O79" s="133" t="n">
        <v>2.61951160064748</v>
      </c>
      <c r="P79" s="132" t="n">
        <v>0.0199</v>
      </c>
      <c r="Q79" s="131" t="s">
        <v>130</v>
      </c>
      <c r="R79" s="130" t="n">
        <v>10087000</v>
      </c>
      <c r="S79" s="143" t="n">
        <v>0</v>
      </c>
      <c r="T79" s="134" t="n">
        <v>45265.6887418982</v>
      </c>
    </row>
    <row r="80" customFormat="false" ht="39.75" hidden="false" customHeight="true" outlineLevel="0" collapsed="false">
      <c r="B80" s="130" t="n">
        <v>1151944100</v>
      </c>
      <c r="C80" s="131" t="s">
        <v>209</v>
      </c>
      <c r="D80" s="131" t="s">
        <v>129</v>
      </c>
      <c r="E80" s="130" t="n">
        <v>2320800</v>
      </c>
      <c r="F80" s="131" t="s">
        <v>14</v>
      </c>
      <c r="G80" s="130" t="n">
        <v>6850000</v>
      </c>
      <c r="H80" s="131" t="n">
        <v>857</v>
      </c>
      <c r="I80" s="132" t="n">
        <v>0.2</v>
      </c>
      <c r="J80" s="132" t="n">
        <v>0.21</v>
      </c>
      <c r="K80" s="130" t="n">
        <v>2.13696699413995</v>
      </c>
      <c r="L80" s="132" t="n">
        <v>0.21</v>
      </c>
      <c r="M80" s="131" t="s">
        <v>61</v>
      </c>
      <c r="N80" s="133" t="n">
        <v>1.09321440882454</v>
      </c>
      <c r="O80" s="133" t="n">
        <v>2.13696699413995</v>
      </c>
      <c r="P80" s="132" t="n">
        <v>0.0199</v>
      </c>
      <c r="Q80" s="131" t="s">
        <v>130</v>
      </c>
      <c r="R80" s="130" t="n">
        <v>0</v>
      </c>
      <c r="S80" s="143" t="n">
        <v>0</v>
      </c>
      <c r="T80" s="134" t="n">
        <v>45265.7048853009</v>
      </c>
    </row>
    <row r="81" customFormat="false" ht="39.75" hidden="false" customHeight="true" outlineLevel="0" collapsed="false">
      <c r="B81" s="130" t="n">
        <v>1130617413</v>
      </c>
      <c r="C81" s="131" t="s">
        <v>210</v>
      </c>
      <c r="D81" s="131" t="s">
        <v>129</v>
      </c>
      <c r="E81" s="130" t="n">
        <v>1450000</v>
      </c>
      <c r="F81" s="131" t="s">
        <v>14</v>
      </c>
      <c r="G81" s="130" t="n">
        <v>2486556</v>
      </c>
      <c r="H81" s="131" t="n">
        <v>619</v>
      </c>
      <c r="I81" s="132" t="n">
        <v>0.31</v>
      </c>
      <c r="J81" s="132" t="n">
        <v>0.34</v>
      </c>
      <c r="K81" s="130" t="n">
        <v>11.9055951724138</v>
      </c>
      <c r="L81" s="132" t="n">
        <v>0.34</v>
      </c>
      <c r="M81" s="131" t="s">
        <v>64</v>
      </c>
      <c r="N81" s="133" t="n">
        <v>1.23875931034483</v>
      </c>
      <c r="O81" s="133" t="n">
        <v>11.9055951724138</v>
      </c>
      <c r="P81" s="132" t="n">
        <v>0.0199</v>
      </c>
      <c r="Q81" s="131" t="s">
        <v>130</v>
      </c>
      <c r="R81" s="130" t="n">
        <v>15451000</v>
      </c>
      <c r="S81" s="143" t="n">
        <v>0</v>
      </c>
      <c r="T81" s="134" t="n">
        <v>45265.7090381944</v>
      </c>
    </row>
    <row r="82" customFormat="false" ht="39.75" hidden="false" customHeight="true" outlineLevel="0" collapsed="false">
      <c r="B82" s="130" t="n">
        <v>31532035</v>
      </c>
      <c r="C82" s="131" t="s">
        <v>211</v>
      </c>
      <c r="D82" s="131" t="s">
        <v>129</v>
      </c>
      <c r="E82" s="130" t="n">
        <v>8359700</v>
      </c>
      <c r="F82" s="131" t="s">
        <v>19</v>
      </c>
      <c r="G82" s="130" t="n">
        <v>12632050</v>
      </c>
      <c r="H82" s="131" t="n">
        <v>977</v>
      </c>
      <c r="I82" s="132" t="n">
        <v>0.15</v>
      </c>
      <c r="J82" s="132" t="n">
        <v>0.29</v>
      </c>
      <c r="K82" s="130" t="n">
        <v>0.51597138653301</v>
      </c>
      <c r="L82" s="132" t="n">
        <v>0.29</v>
      </c>
      <c r="M82" s="131" t="s">
        <v>62</v>
      </c>
      <c r="N82" s="133" t="n">
        <v>0.623673217938443</v>
      </c>
      <c r="O82" s="133" t="n">
        <v>0.51597138653301</v>
      </c>
      <c r="P82" s="132" t="n">
        <v>0.006</v>
      </c>
      <c r="Q82" s="131" t="s">
        <v>130</v>
      </c>
      <c r="R82" s="130" t="n">
        <v>84000</v>
      </c>
      <c r="S82" s="143" t="n">
        <v>0</v>
      </c>
      <c r="T82" s="134" t="n">
        <v>45265.7208084491</v>
      </c>
    </row>
    <row r="83" customFormat="false" ht="39.75" hidden="false" customHeight="true" outlineLevel="0" collapsed="false">
      <c r="B83" s="130" t="n">
        <v>52899917</v>
      </c>
      <c r="C83" s="131" t="s">
        <v>212</v>
      </c>
      <c r="D83" s="131" t="s">
        <v>129</v>
      </c>
      <c r="E83" s="130" t="n">
        <v>2320800</v>
      </c>
      <c r="F83" s="131" t="s">
        <v>14</v>
      </c>
      <c r="G83" s="130" t="n">
        <v>3000000</v>
      </c>
      <c r="H83" s="131" t="n">
        <v>536</v>
      </c>
      <c r="I83" s="132" t="n">
        <v>0.37</v>
      </c>
      <c r="J83" s="132" t="n">
        <v>0.41</v>
      </c>
      <c r="K83" s="130" t="n">
        <v>25.5760944501896</v>
      </c>
      <c r="L83" s="132" t="n">
        <v>0.41</v>
      </c>
      <c r="M83" s="131" t="s">
        <v>64</v>
      </c>
      <c r="N83" s="133" t="n">
        <v>9.60679463977939</v>
      </c>
      <c r="O83" s="133" t="n">
        <v>25.5760944501896</v>
      </c>
      <c r="P83" s="132" t="n">
        <v>0.0227</v>
      </c>
      <c r="Q83" s="131" t="s">
        <v>130</v>
      </c>
      <c r="R83" s="130" t="n">
        <v>58557000</v>
      </c>
      <c r="S83" s="143" t="n">
        <v>0</v>
      </c>
      <c r="T83" s="134" t="n">
        <v>45267.4284024306</v>
      </c>
    </row>
    <row r="84" customFormat="false" ht="39.75" hidden="false" customHeight="true" outlineLevel="0" collapsed="false">
      <c r="B84" s="130" t="n">
        <v>11830463</v>
      </c>
      <c r="C84" s="131" t="s">
        <v>213</v>
      </c>
      <c r="D84" s="131" t="s">
        <v>129</v>
      </c>
      <c r="E84" s="130" t="n">
        <v>1755600</v>
      </c>
      <c r="F84" s="131" t="s">
        <v>14</v>
      </c>
      <c r="G84" s="130" t="n">
        <v>2000000</v>
      </c>
      <c r="H84" s="131" t="n">
        <v>726</v>
      </c>
      <c r="I84" s="132" t="n">
        <v>0.27</v>
      </c>
      <c r="J84" s="132" t="n">
        <v>0.32</v>
      </c>
      <c r="K84" s="130" t="n">
        <v>3.66791809068125</v>
      </c>
      <c r="L84" s="132" t="n">
        <v>0.32</v>
      </c>
      <c r="M84" s="131" t="s">
        <v>64</v>
      </c>
      <c r="N84" s="133" t="n">
        <v>3.22628730918205</v>
      </c>
      <c r="O84" s="133" t="n">
        <v>3.66791809068125</v>
      </c>
      <c r="P84" s="132" t="n">
        <v>0.0227</v>
      </c>
      <c r="Q84" s="131" t="s">
        <v>130</v>
      </c>
      <c r="R84" s="130" t="n">
        <v>3650000</v>
      </c>
      <c r="S84" s="143" t="n">
        <v>0</v>
      </c>
      <c r="T84" s="134" t="n">
        <v>45267.4459188657</v>
      </c>
    </row>
    <row r="85" customFormat="false" ht="39.75" hidden="false" customHeight="true" outlineLevel="0" collapsed="false">
      <c r="B85" s="130" t="n">
        <v>1075289825</v>
      </c>
      <c r="C85" s="131" t="s">
        <v>214</v>
      </c>
      <c r="D85" s="131" t="s">
        <v>129</v>
      </c>
      <c r="E85" s="130" t="n">
        <v>2088700</v>
      </c>
      <c r="F85" s="131" t="s">
        <v>29</v>
      </c>
      <c r="G85" s="130" t="n">
        <v>2200000</v>
      </c>
      <c r="H85" s="131" t="n">
        <v>582</v>
      </c>
      <c r="I85" s="132" t="n">
        <v>0.07</v>
      </c>
      <c r="J85" s="132" t="n">
        <v>0.18</v>
      </c>
      <c r="K85" s="130" t="n">
        <v>0</v>
      </c>
      <c r="L85" s="132" t="n">
        <v>0.18</v>
      </c>
      <c r="M85" s="131" t="s">
        <v>64</v>
      </c>
      <c r="N85" s="133" t="n">
        <v>0.642017044094413</v>
      </c>
      <c r="O85" s="133" t="n">
        <v>0</v>
      </c>
      <c r="P85" s="132" t="n">
        <v>0.0227</v>
      </c>
      <c r="Q85" s="131" t="s">
        <v>130</v>
      </c>
      <c r="R85" s="130" t="n">
        <v>0</v>
      </c>
      <c r="S85" s="143" t="n">
        <v>0</v>
      </c>
      <c r="T85" s="134" t="n">
        <v>45267.4550337963</v>
      </c>
    </row>
    <row r="86" customFormat="false" ht="39.75" hidden="false" customHeight="true" outlineLevel="0" collapsed="false">
      <c r="B86" s="130" t="n">
        <v>1075289825</v>
      </c>
      <c r="C86" s="131" t="s">
        <v>214</v>
      </c>
      <c r="D86" s="131" t="s">
        <v>129</v>
      </c>
      <c r="E86" s="130" t="n">
        <v>2088700</v>
      </c>
      <c r="F86" s="131" t="s">
        <v>29</v>
      </c>
      <c r="G86" s="130" t="n">
        <v>2200000</v>
      </c>
      <c r="H86" s="131" t="n">
        <v>582</v>
      </c>
      <c r="I86" s="132" t="n">
        <v>0.07</v>
      </c>
      <c r="J86" s="132" t="n">
        <v>0.18</v>
      </c>
      <c r="K86" s="130" t="n">
        <v>0</v>
      </c>
      <c r="L86" s="132" t="n">
        <v>0.18</v>
      </c>
      <c r="M86" s="131" t="s">
        <v>64</v>
      </c>
      <c r="N86" s="133" t="n">
        <v>0.642017044094413</v>
      </c>
      <c r="O86" s="133" t="n">
        <v>0</v>
      </c>
      <c r="P86" s="132" t="n">
        <v>0.0227</v>
      </c>
      <c r="Q86" s="131" t="s">
        <v>130</v>
      </c>
      <c r="R86" s="130" t="n">
        <v>0</v>
      </c>
      <c r="S86" s="143" t="n">
        <v>0</v>
      </c>
      <c r="T86" s="134" t="n">
        <v>45267.4666938657</v>
      </c>
    </row>
    <row r="87" customFormat="false" ht="39.75" hidden="false" customHeight="true" outlineLevel="0" collapsed="false">
      <c r="B87" s="130" t="n">
        <v>1005934372</v>
      </c>
      <c r="C87" s="131" t="s">
        <v>215</v>
      </c>
      <c r="D87" s="131" t="s">
        <v>129</v>
      </c>
      <c r="E87" s="130" t="n">
        <v>1450000</v>
      </c>
      <c r="F87" s="131" t="s">
        <v>29</v>
      </c>
      <c r="G87" s="130" t="n">
        <v>2500000</v>
      </c>
      <c r="H87" s="131" t="n">
        <v>621</v>
      </c>
      <c r="I87" s="132" t="n">
        <v>0.07</v>
      </c>
      <c r="J87" s="132" t="n">
        <v>0.15</v>
      </c>
      <c r="K87" s="130" t="n">
        <v>1.11655172413793</v>
      </c>
      <c r="L87" s="132" t="n">
        <v>0.15</v>
      </c>
      <c r="M87" s="131" t="s">
        <v>64</v>
      </c>
      <c r="N87" s="133" t="n">
        <v>1.17674689655172</v>
      </c>
      <c r="O87" s="133" t="n">
        <v>1.11655172413793</v>
      </c>
      <c r="P87" s="132" t="n">
        <v>0.0227</v>
      </c>
      <c r="Q87" s="131" t="s">
        <v>130</v>
      </c>
      <c r="R87" s="130" t="n">
        <v>1619000</v>
      </c>
      <c r="S87" s="143" t="n">
        <v>0</v>
      </c>
      <c r="T87" s="134" t="n">
        <v>45267.4744706019</v>
      </c>
    </row>
    <row r="88" customFormat="false" ht="39.75" hidden="false" customHeight="true" outlineLevel="0" collapsed="false">
      <c r="B88" s="130" t="n">
        <v>1144032392</v>
      </c>
      <c r="C88" s="131" t="s">
        <v>216</v>
      </c>
      <c r="D88" s="131" t="s">
        <v>129</v>
      </c>
      <c r="E88" s="130" t="n">
        <v>2648100</v>
      </c>
      <c r="F88" s="131" t="s">
        <v>29</v>
      </c>
      <c r="G88" s="130" t="n">
        <v>1600000</v>
      </c>
      <c r="H88" s="131" t="n">
        <v>563</v>
      </c>
      <c r="I88" s="132" t="n">
        <v>0.45</v>
      </c>
      <c r="J88" s="132" t="n">
        <v>0.47</v>
      </c>
      <c r="K88" s="130" t="n">
        <v>20.7496004682603</v>
      </c>
      <c r="L88" s="132" t="n">
        <v>0.47</v>
      </c>
      <c r="M88" s="131" t="s">
        <v>62</v>
      </c>
      <c r="N88" s="133" t="n">
        <v>3.24763604093501</v>
      </c>
      <c r="O88" s="133" t="n">
        <v>20.7496004682603</v>
      </c>
      <c r="P88" s="132" t="n">
        <v>0.0227</v>
      </c>
      <c r="Q88" s="131" t="s">
        <v>130</v>
      </c>
      <c r="R88" s="130" t="n">
        <v>49792000</v>
      </c>
      <c r="S88" s="143" t="n">
        <v>0</v>
      </c>
      <c r="T88" s="134" t="n">
        <v>45267.4941149306</v>
      </c>
    </row>
    <row r="89" customFormat="false" ht="39.75" hidden="false" customHeight="true" outlineLevel="0" collapsed="false">
      <c r="B89" s="130" t="n">
        <v>94371222</v>
      </c>
      <c r="C89" s="131" t="s">
        <v>217</v>
      </c>
      <c r="D89" s="131" t="s">
        <v>129</v>
      </c>
      <c r="E89" s="130" t="n">
        <v>2648100</v>
      </c>
      <c r="F89" s="131" t="s">
        <v>29</v>
      </c>
      <c r="G89" s="130" t="n">
        <v>3200000</v>
      </c>
      <c r="H89" s="131" t="n">
        <v>992</v>
      </c>
      <c r="I89" s="132" t="n">
        <v>0.25</v>
      </c>
      <c r="J89" s="132" t="n">
        <v>0.31</v>
      </c>
      <c r="K89" s="130" t="n">
        <v>4.66787508024622</v>
      </c>
      <c r="L89" s="132" t="n">
        <v>0.31</v>
      </c>
      <c r="M89" s="131" t="s">
        <v>62</v>
      </c>
      <c r="N89" s="133" t="n">
        <v>1.02636871719346</v>
      </c>
      <c r="O89" s="133" t="n">
        <v>4.66787508024622</v>
      </c>
      <c r="P89" s="132" t="n">
        <v>0.0227</v>
      </c>
      <c r="Q89" s="131" t="s">
        <v>130</v>
      </c>
      <c r="R89" s="130" t="n">
        <v>12361000</v>
      </c>
      <c r="S89" s="143" t="n">
        <v>0</v>
      </c>
      <c r="T89" s="134" t="n">
        <v>45267.5992116898</v>
      </c>
    </row>
    <row r="90" customFormat="false" ht="39.75" hidden="false" customHeight="true" outlineLevel="0" collapsed="false">
      <c r="B90" s="130" t="n">
        <v>41745058</v>
      </c>
      <c r="C90" s="131" t="s">
        <v>218</v>
      </c>
      <c r="D90" s="131" t="s">
        <v>219</v>
      </c>
      <c r="E90" s="130" t="n">
        <v>781300</v>
      </c>
      <c r="F90" s="131" t="s">
        <v>22</v>
      </c>
      <c r="G90" s="130" t="n">
        <v>4000000</v>
      </c>
      <c r="H90" s="131" t="n">
        <v>845</v>
      </c>
      <c r="I90" s="132" t="n">
        <v>0</v>
      </c>
      <c r="J90" s="132" t="n">
        <v>0.19</v>
      </c>
      <c r="K90" s="130" t="n">
        <v>0</v>
      </c>
      <c r="L90" s="132" t="n">
        <v>0.19</v>
      </c>
      <c r="M90" s="131" t="s">
        <v>61</v>
      </c>
      <c r="N90" s="133" t="n">
        <v>0.08</v>
      </c>
      <c r="O90" s="133" t="n">
        <v>0</v>
      </c>
      <c r="P90" s="132" t="n">
        <v>0.0227</v>
      </c>
      <c r="Q90" s="131" t="s">
        <v>130</v>
      </c>
      <c r="R90" s="130" t="n">
        <v>0</v>
      </c>
      <c r="S90" s="143" t="n">
        <v>0</v>
      </c>
      <c r="T90" s="134" t="n">
        <v>45271.4729149306</v>
      </c>
    </row>
    <row r="91" customFormat="false" ht="39.75" hidden="false" customHeight="true" outlineLevel="0" collapsed="false">
      <c r="B91" s="130" t="n">
        <v>1143840792</v>
      </c>
      <c r="C91" s="131" t="s">
        <v>220</v>
      </c>
      <c r="D91" s="131" t="s">
        <v>129</v>
      </c>
      <c r="E91" s="130" t="n">
        <v>2648100</v>
      </c>
      <c r="F91" s="131" t="s">
        <v>16</v>
      </c>
      <c r="G91" s="130" t="n">
        <v>5800000</v>
      </c>
      <c r="H91" s="131" t="n">
        <v>720</v>
      </c>
      <c r="I91" s="132" t="n">
        <v>0.3</v>
      </c>
      <c r="J91" s="132" t="n">
        <v>0.38</v>
      </c>
      <c r="K91" s="130" t="n">
        <v>10.8664708017069</v>
      </c>
      <c r="L91" s="132" t="n">
        <v>0.38</v>
      </c>
      <c r="M91" s="131" t="s">
        <v>64</v>
      </c>
      <c r="N91" s="133" t="n">
        <v>2.98920018126204</v>
      </c>
      <c r="O91" s="133" t="n">
        <v>10.8664708017069</v>
      </c>
      <c r="P91" s="132" t="n">
        <v>0.006</v>
      </c>
      <c r="Q91" s="131" t="s">
        <v>130</v>
      </c>
      <c r="R91" s="130" t="n">
        <v>25969000</v>
      </c>
      <c r="S91" s="143" t="n">
        <v>0</v>
      </c>
      <c r="T91" s="134" t="n">
        <v>45272.7323263889</v>
      </c>
    </row>
    <row r="92" customFormat="false" ht="39.75" hidden="false" customHeight="true" outlineLevel="0" collapsed="false">
      <c r="B92" s="130" t="n">
        <v>31853280</v>
      </c>
      <c r="C92" s="131" t="s">
        <v>221</v>
      </c>
      <c r="D92" s="131" t="s">
        <v>129</v>
      </c>
      <c r="E92" s="130" t="n">
        <v>14478600</v>
      </c>
      <c r="F92" s="131" t="s">
        <v>8</v>
      </c>
      <c r="G92" s="130" t="n">
        <v>6000000</v>
      </c>
      <c r="H92" s="131" t="n">
        <v>999</v>
      </c>
      <c r="I92" s="132" t="n">
        <v>0</v>
      </c>
      <c r="J92" s="132" t="n">
        <v>0.01</v>
      </c>
      <c r="K92" s="130" t="n">
        <v>8.73308842015112</v>
      </c>
      <c r="L92" s="132" t="n">
        <v>0.01</v>
      </c>
      <c r="M92" s="131" t="s">
        <v>61</v>
      </c>
      <c r="N92" s="133" t="n">
        <v>0.481583440387883</v>
      </c>
      <c r="O92" s="133" t="n">
        <v>8.73308842015112</v>
      </c>
      <c r="P92" s="132" t="n">
        <v>0.018</v>
      </c>
      <c r="Q92" s="131" t="s">
        <v>130</v>
      </c>
      <c r="R92" s="130" t="n">
        <v>116714000</v>
      </c>
      <c r="S92" s="143" t="n">
        <v>0</v>
      </c>
      <c r="T92" s="134" t="n">
        <v>45273.3138458333</v>
      </c>
    </row>
    <row r="93" customFormat="false" ht="39.75" hidden="false" customHeight="true" outlineLevel="0" collapsed="false">
      <c r="B93" s="130" t="n">
        <v>1144078650</v>
      </c>
      <c r="C93" s="131" t="s">
        <v>222</v>
      </c>
      <c r="D93" s="131" t="s">
        <v>129</v>
      </c>
      <c r="E93" s="130" t="n">
        <v>1490100</v>
      </c>
      <c r="F93" s="131" t="s">
        <v>26</v>
      </c>
      <c r="G93" s="130" t="n">
        <v>9700000</v>
      </c>
      <c r="H93" s="131" t="n">
        <v>841</v>
      </c>
      <c r="I93" s="132" t="n">
        <v>0.22</v>
      </c>
      <c r="J93" s="132" t="n">
        <v>0.28</v>
      </c>
      <c r="K93" s="130" t="n">
        <v>1.54940138245755</v>
      </c>
      <c r="L93" s="132" t="n">
        <v>0.28</v>
      </c>
      <c r="M93" s="131" t="s">
        <v>62</v>
      </c>
      <c r="N93" s="133" t="n">
        <v>0.786631098583988</v>
      </c>
      <c r="O93" s="133" t="n">
        <v>1.54940138245755</v>
      </c>
      <c r="P93" s="132" t="n">
        <v>0.018</v>
      </c>
      <c r="Q93" s="131" t="s">
        <v>130</v>
      </c>
      <c r="R93" s="130" t="n">
        <v>0</v>
      </c>
      <c r="S93" s="143" t="n">
        <v>0</v>
      </c>
      <c r="T93" s="134" t="n">
        <v>45273.3740327546</v>
      </c>
    </row>
    <row r="94" customFormat="false" ht="39.75" hidden="false" customHeight="true" outlineLevel="0" collapsed="false">
      <c r="B94" s="130" t="n">
        <v>1144078650</v>
      </c>
      <c r="C94" s="131" t="s">
        <v>222</v>
      </c>
      <c r="D94" s="131" t="s">
        <v>129</v>
      </c>
      <c r="E94" s="130" t="n">
        <v>1490100</v>
      </c>
      <c r="F94" s="131" t="s">
        <v>26</v>
      </c>
      <c r="G94" s="130" t="n">
        <v>9700000</v>
      </c>
      <c r="H94" s="131" t="n">
        <v>841</v>
      </c>
      <c r="I94" s="132" t="n">
        <v>0.22</v>
      </c>
      <c r="J94" s="132" t="n">
        <v>0.28</v>
      </c>
      <c r="K94" s="130" t="n">
        <v>1.54940138245755</v>
      </c>
      <c r="L94" s="132" t="n">
        <v>0.28</v>
      </c>
      <c r="M94" s="131" t="s">
        <v>62</v>
      </c>
      <c r="N94" s="133" t="n">
        <v>0.786631098583988</v>
      </c>
      <c r="O94" s="133" t="n">
        <v>1.54940138245755</v>
      </c>
      <c r="P94" s="132" t="n">
        <v>0.018</v>
      </c>
      <c r="Q94" s="131" t="s">
        <v>130</v>
      </c>
      <c r="R94" s="130" t="n">
        <v>0</v>
      </c>
      <c r="S94" s="143" t="n">
        <v>0</v>
      </c>
      <c r="T94" s="134" t="n">
        <v>45273.3870255787</v>
      </c>
    </row>
    <row r="95" customFormat="false" ht="39.75" hidden="false" customHeight="true" outlineLevel="0" collapsed="false">
      <c r="B95" s="130" t="n">
        <v>16729830</v>
      </c>
      <c r="C95" s="131" t="s">
        <v>223</v>
      </c>
      <c r="D95" s="131" t="s">
        <v>129</v>
      </c>
      <c r="E95" s="130" t="n">
        <v>18113200</v>
      </c>
      <c r="F95" s="131" t="s">
        <v>22</v>
      </c>
      <c r="G95" s="130" t="n">
        <v>13000000</v>
      </c>
      <c r="H95" s="131" t="n">
        <v>970</v>
      </c>
      <c r="I95" s="132" t="n">
        <v>0.2</v>
      </c>
      <c r="J95" s="132" t="n">
        <v>0.27</v>
      </c>
      <c r="K95" s="130" t="n">
        <v>3.60863900359959</v>
      </c>
      <c r="L95" s="132" t="n">
        <v>0.27</v>
      </c>
      <c r="M95" s="131" t="s">
        <v>61</v>
      </c>
      <c r="N95" s="133" t="n">
        <v>0.625636552348564</v>
      </c>
      <c r="O95" s="133" t="n">
        <v>3.60863900359959</v>
      </c>
      <c r="P95" s="132" t="n">
        <v>0.0107</v>
      </c>
      <c r="Q95" s="131" t="s">
        <v>130</v>
      </c>
      <c r="R95" s="130" t="n">
        <v>65364000</v>
      </c>
      <c r="S95" s="143" t="n">
        <v>0</v>
      </c>
      <c r="T95" s="134" t="n">
        <v>45273.5032364583</v>
      </c>
    </row>
    <row r="96" customFormat="false" ht="39.75" hidden="false" customHeight="true" outlineLevel="0" collapsed="false">
      <c r="B96" s="130" t="n">
        <v>1107096171</v>
      </c>
      <c r="C96" s="131" t="s">
        <v>224</v>
      </c>
      <c r="D96" s="131" t="s">
        <v>129</v>
      </c>
      <c r="E96" s="130" t="n">
        <v>2320800</v>
      </c>
      <c r="F96" s="131" t="s">
        <v>29</v>
      </c>
      <c r="G96" s="130" t="n">
        <v>1000000</v>
      </c>
      <c r="H96" s="131" t="n">
        <v>701</v>
      </c>
      <c r="I96" s="132" t="n">
        <v>0.07</v>
      </c>
      <c r="J96" s="132" t="n">
        <v>0.11</v>
      </c>
      <c r="K96" s="130" t="n">
        <v>1.17718028266115</v>
      </c>
      <c r="L96" s="132" t="n">
        <v>0.11</v>
      </c>
      <c r="M96" s="131" t="s">
        <v>64</v>
      </c>
      <c r="N96" s="133" t="n">
        <v>0.752365563598759</v>
      </c>
      <c r="O96" s="133" t="n">
        <v>1.17718028266115</v>
      </c>
      <c r="P96" s="132" t="n">
        <v>0.0227</v>
      </c>
      <c r="Q96" s="131" t="s">
        <v>130</v>
      </c>
      <c r="R96" s="130" t="n">
        <v>2732000</v>
      </c>
      <c r="S96" s="143" t="n">
        <v>0</v>
      </c>
      <c r="T96" s="134" t="n">
        <v>45273.7538777778</v>
      </c>
    </row>
    <row r="97" customFormat="false" ht="39.75" hidden="false" customHeight="true" outlineLevel="0" collapsed="false">
      <c r="B97" s="130" t="n">
        <v>94426762</v>
      </c>
      <c r="C97" s="131" t="s">
        <v>225</v>
      </c>
      <c r="D97" s="131" t="s">
        <v>129</v>
      </c>
      <c r="E97" s="130" t="n">
        <v>2690700</v>
      </c>
      <c r="F97" s="131" t="s">
        <v>29</v>
      </c>
      <c r="G97" s="130" t="n">
        <v>1600000</v>
      </c>
      <c r="H97" s="131" t="n">
        <v>789</v>
      </c>
      <c r="I97" s="132" t="n">
        <v>0.3</v>
      </c>
      <c r="J97" s="132" t="n">
        <v>0.32</v>
      </c>
      <c r="K97" s="130" t="n">
        <v>21.7197041662021</v>
      </c>
      <c r="L97" s="132" t="n">
        <v>0.32</v>
      </c>
      <c r="M97" s="131" t="s">
        <v>64</v>
      </c>
      <c r="N97" s="133" t="n">
        <v>1.37041290370536</v>
      </c>
      <c r="O97" s="133" t="n">
        <v>21.7197041662021</v>
      </c>
      <c r="P97" s="132" t="n">
        <v>0.0227</v>
      </c>
      <c r="Q97" s="131" t="s">
        <v>130</v>
      </c>
      <c r="R97" s="130" t="n">
        <v>53536000</v>
      </c>
      <c r="S97" s="143" t="n">
        <v>0</v>
      </c>
      <c r="T97" s="134" t="n">
        <v>45273.7563194444</v>
      </c>
    </row>
    <row r="98" customFormat="false" ht="39.75" hidden="false" customHeight="true" outlineLevel="0" collapsed="false">
      <c r="B98" s="130" t="n">
        <v>67030084</v>
      </c>
      <c r="C98" s="131" t="s">
        <v>226</v>
      </c>
      <c r="D98" s="131" t="s">
        <v>129</v>
      </c>
      <c r="E98" s="130" t="n">
        <v>2088700</v>
      </c>
      <c r="F98" s="131" t="s">
        <v>29</v>
      </c>
      <c r="G98" s="130" t="n">
        <v>3000000</v>
      </c>
      <c r="H98" s="131" t="n">
        <v>642</v>
      </c>
      <c r="I98" s="132" t="n">
        <v>0.37</v>
      </c>
      <c r="J98" s="132" t="n">
        <v>0.41</v>
      </c>
      <c r="K98" s="130" t="n">
        <v>12.9441403743956</v>
      </c>
      <c r="L98" s="132" t="n">
        <v>0.41</v>
      </c>
      <c r="M98" s="131" t="s">
        <v>64</v>
      </c>
      <c r="N98" s="133" t="n">
        <v>1.46359122899411</v>
      </c>
      <c r="O98" s="133" t="n">
        <v>12.9441403743956</v>
      </c>
      <c r="P98" s="132" t="n">
        <v>0.0227</v>
      </c>
      <c r="Q98" s="131" t="s">
        <v>130</v>
      </c>
      <c r="R98" s="130" t="n">
        <v>26723000</v>
      </c>
      <c r="S98" s="143" t="n">
        <v>0</v>
      </c>
      <c r="T98" s="134" t="n">
        <v>45273.7585398148</v>
      </c>
    </row>
    <row r="99" customFormat="false" ht="39.75" hidden="false" customHeight="true" outlineLevel="0" collapsed="false">
      <c r="B99" s="130" t="n">
        <v>94457631</v>
      </c>
      <c r="C99" s="131" t="s">
        <v>227</v>
      </c>
      <c r="D99" s="131" t="s">
        <v>129</v>
      </c>
      <c r="E99" s="130" t="n">
        <v>2648100</v>
      </c>
      <c r="F99" s="131" t="s">
        <v>29</v>
      </c>
      <c r="G99" s="130" t="n">
        <v>3000000</v>
      </c>
      <c r="H99" s="131" t="n">
        <v>936</v>
      </c>
      <c r="I99" s="132" t="n">
        <v>0.31</v>
      </c>
      <c r="J99" s="132" t="n">
        <v>0.37</v>
      </c>
      <c r="K99" s="130" t="n">
        <v>10.1418398096749</v>
      </c>
      <c r="L99" s="132" t="n">
        <v>0.37</v>
      </c>
      <c r="M99" s="131" t="s">
        <v>62</v>
      </c>
      <c r="N99" s="133" t="n">
        <v>1.91183943204562</v>
      </c>
      <c r="O99" s="133" t="n">
        <v>10.1418398096749</v>
      </c>
      <c r="P99" s="132" t="n">
        <v>0.0227</v>
      </c>
      <c r="Q99" s="131" t="s">
        <v>130</v>
      </c>
      <c r="R99" s="130" t="n">
        <v>26430000</v>
      </c>
      <c r="S99" s="143" t="n">
        <v>0</v>
      </c>
      <c r="T99" s="134" t="n">
        <v>45273.7610533565</v>
      </c>
    </row>
    <row r="100" customFormat="false" ht="39.75" hidden="false" customHeight="true" outlineLevel="0" collapsed="false">
      <c r="B100" s="130" t="n">
        <v>1112469627</v>
      </c>
      <c r="C100" s="131" t="s">
        <v>228</v>
      </c>
      <c r="D100" s="131" t="s">
        <v>129</v>
      </c>
      <c r="E100" s="130" t="n">
        <v>1457000</v>
      </c>
      <c r="F100" s="131" t="s">
        <v>29</v>
      </c>
      <c r="G100" s="130" t="n">
        <v>2000000</v>
      </c>
      <c r="H100" s="131" t="n">
        <v>666</v>
      </c>
      <c r="I100" s="132" t="n">
        <v>0.06</v>
      </c>
      <c r="J100" s="132" t="n">
        <v>0.12</v>
      </c>
      <c r="K100" s="130" t="n">
        <v>1.61839396019218</v>
      </c>
      <c r="L100" s="132" t="n">
        <v>0.12</v>
      </c>
      <c r="M100" s="131" t="s">
        <v>64</v>
      </c>
      <c r="N100" s="133" t="n">
        <v>0.786932052161977</v>
      </c>
      <c r="O100" s="133" t="n">
        <v>1.61839396019218</v>
      </c>
      <c r="P100" s="132" t="n">
        <v>0.0227</v>
      </c>
      <c r="Q100" s="131" t="s">
        <v>130</v>
      </c>
      <c r="R100" s="130" t="n">
        <v>2358000</v>
      </c>
      <c r="S100" s="143" t="n">
        <v>0</v>
      </c>
      <c r="T100" s="134" t="n">
        <v>45273.768715625</v>
      </c>
    </row>
    <row r="101" customFormat="false" ht="39.75" hidden="false" customHeight="true" outlineLevel="0" collapsed="false">
      <c r="B101" s="130" t="n">
        <v>1112880193</v>
      </c>
      <c r="C101" s="131" t="s">
        <v>229</v>
      </c>
      <c r="D101" s="131" t="s">
        <v>129</v>
      </c>
      <c r="E101" s="130" t="n">
        <v>3122800</v>
      </c>
      <c r="F101" s="131" t="s">
        <v>19</v>
      </c>
      <c r="G101" s="130" t="n">
        <v>3334091</v>
      </c>
      <c r="H101" s="131" t="n">
        <v>857</v>
      </c>
      <c r="I101" s="132" t="n">
        <v>0.24</v>
      </c>
      <c r="J101" s="132" t="n">
        <v>0.34</v>
      </c>
      <c r="K101" s="130" t="n">
        <v>7.98964743179198</v>
      </c>
      <c r="L101" s="132" t="n">
        <v>0.34</v>
      </c>
      <c r="M101" s="131" t="s">
        <v>62</v>
      </c>
      <c r="N101" s="133" t="n">
        <v>1.8200637248623</v>
      </c>
      <c r="O101" s="133" t="n">
        <v>7.98964743179198</v>
      </c>
      <c r="P101" s="132" t="n">
        <v>0.006</v>
      </c>
      <c r="Q101" s="131" t="s">
        <v>130</v>
      </c>
      <c r="R101" s="130" t="n">
        <v>22639000</v>
      </c>
      <c r="S101" s="143" t="n">
        <v>0</v>
      </c>
      <c r="T101" s="134" t="n">
        <v>45273.7746834491</v>
      </c>
    </row>
    <row r="102" customFormat="false" ht="39.75" hidden="false" customHeight="true" outlineLevel="0" collapsed="false">
      <c r="B102" s="130" t="n">
        <v>1107069503</v>
      </c>
      <c r="C102" s="131" t="s">
        <v>230</v>
      </c>
      <c r="D102" s="131" t="s">
        <v>129</v>
      </c>
      <c r="E102" s="130" t="n">
        <v>1450000</v>
      </c>
      <c r="F102" s="131" t="s">
        <v>29</v>
      </c>
      <c r="G102" s="130" t="n">
        <v>3000000</v>
      </c>
      <c r="H102" s="131" t="n">
        <v>591</v>
      </c>
      <c r="I102" s="132" t="n">
        <v>0.5</v>
      </c>
      <c r="J102" s="132" t="n">
        <v>0.55</v>
      </c>
      <c r="K102" s="130" t="n">
        <v>29.2779310344828</v>
      </c>
      <c r="L102" s="132" t="n">
        <v>0.55</v>
      </c>
      <c r="M102" s="131" t="s">
        <v>64</v>
      </c>
      <c r="N102" s="133" t="n">
        <v>2.21831379310345</v>
      </c>
      <c r="O102" s="133" t="n">
        <v>29.2779310344828</v>
      </c>
      <c r="P102" s="132" t="n">
        <v>0.006</v>
      </c>
      <c r="Q102" s="131" t="s">
        <v>130</v>
      </c>
      <c r="R102" s="130" t="n">
        <v>41953000</v>
      </c>
      <c r="S102" s="143" t="n">
        <v>0</v>
      </c>
      <c r="T102" s="134" t="n">
        <v>45273.7770318287</v>
      </c>
    </row>
    <row r="103" customFormat="false" ht="39.75" hidden="false" customHeight="true" outlineLevel="0" collapsed="false">
      <c r="B103" s="130" t="n">
        <v>67043166</v>
      </c>
      <c r="C103" s="131" t="s">
        <v>231</v>
      </c>
      <c r="D103" s="131" t="s">
        <v>129</v>
      </c>
      <c r="E103" s="130" t="n">
        <v>1450000</v>
      </c>
      <c r="F103" s="131" t="s">
        <v>29</v>
      </c>
      <c r="G103" s="130" t="n">
        <v>400000</v>
      </c>
      <c r="H103" s="131" t="n">
        <v>406</v>
      </c>
      <c r="I103" s="132" t="n">
        <v>0.13</v>
      </c>
      <c r="J103" s="132" t="n">
        <v>0.16</v>
      </c>
      <c r="K103" s="130" t="n">
        <v>6.62607448275862</v>
      </c>
      <c r="L103" s="132" t="n">
        <v>0.16</v>
      </c>
      <c r="M103" s="131" t="s">
        <v>64</v>
      </c>
      <c r="N103" s="133" t="n">
        <v>1.08652482758621</v>
      </c>
      <c r="O103" s="133" t="n">
        <v>6.62607448275862</v>
      </c>
      <c r="P103" s="132" t="n">
        <v>0.006</v>
      </c>
      <c r="Q103" s="131" t="s">
        <v>130</v>
      </c>
      <c r="R103" s="130" t="n">
        <v>9222000</v>
      </c>
      <c r="S103" s="143" t="n">
        <v>0</v>
      </c>
      <c r="T103" s="134" t="n">
        <v>45273.7839105324</v>
      </c>
    </row>
    <row r="104" customFormat="false" ht="39.75" hidden="false" customHeight="true" outlineLevel="0" collapsed="false">
      <c r="B104" s="130" t="n">
        <v>66769609</v>
      </c>
      <c r="C104" s="131" t="s">
        <v>232</v>
      </c>
      <c r="D104" s="131" t="s">
        <v>129</v>
      </c>
      <c r="E104" s="130" t="n">
        <v>2648100</v>
      </c>
      <c r="F104" s="131" t="s">
        <v>29</v>
      </c>
      <c r="G104" s="130" t="n">
        <v>3000000</v>
      </c>
      <c r="H104" s="131" t="n">
        <v>933</v>
      </c>
      <c r="I104" s="132" t="n">
        <v>0.14</v>
      </c>
      <c r="J104" s="132" t="n">
        <v>0.2</v>
      </c>
      <c r="K104" s="130" t="n">
        <v>6.41798534798535</v>
      </c>
      <c r="L104" s="132" t="n">
        <v>0.2</v>
      </c>
      <c r="M104" s="131" t="s">
        <v>61</v>
      </c>
      <c r="N104" s="133" t="n">
        <v>1.21826252785016</v>
      </c>
      <c r="O104" s="133" t="n">
        <v>6.41798534798535</v>
      </c>
      <c r="P104" s="132" t="n">
        <v>0.006</v>
      </c>
      <c r="Q104" s="131" t="s">
        <v>130</v>
      </c>
      <c r="R104" s="130" t="n">
        <v>9680000</v>
      </c>
      <c r="S104" s="143" t="n">
        <v>0</v>
      </c>
      <c r="T104" s="134" t="n">
        <v>45273.7857625</v>
      </c>
    </row>
    <row r="105" customFormat="false" ht="39.75" hidden="false" customHeight="true" outlineLevel="0" collapsed="false">
      <c r="B105" s="130" t="n">
        <v>1144145645</v>
      </c>
      <c r="C105" s="131" t="s">
        <v>233</v>
      </c>
      <c r="D105" s="131" t="s">
        <v>129</v>
      </c>
      <c r="E105" s="130" t="n">
        <v>1450000</v>
      </c>
      <c r="F105" s="131" t="s">
        <v>29</v>
      </c>
      <c r="G105" s="130" t="n">
        <v>3000000</v>
      </c>
      <c r="H105" s="131" t="n">
        <v>655</v>
      </c>
      <c r="I105" s="132" t="n">
        <v>0.21</v>
      </c>
      <c r="J105" s="132" t="n">
        <v>0.27</v>
      </c>
      <c r="K105" s="130" t="n">
        <v>2.14157103448276</v>
      </c>
      <c r="L105" s="132" t="n">
        <v>0.27</v>
      </c>
      <c r="M105" s="131" t="s">
        <v>64</v>
      </c>
      <c r="N105" s="133" t="n">
        <v>1.26948896551724</v>
      </c>
      <c r="O105" s="133" t="n">
        <v>2.14157103448276</v>
      </c>
      <c r="P105" s="132" t="n">
        <v>0.006</v>
      </c>
      <c r="Q105" s="131" t="s">
        <v>130</v>
      </c>
      <c r="R105" s="130" t="n">
        <v>831000</v>
      </c>
      <c r="S105" s="143" t="n">
        <v>0</v>
      </c>
      <c r="T105" s="134" t="n">
        <v>45274.4969630787</v>
      </c>
    </row>
    <row r="106" customFormat="false" ht="39.75" hidden="false" customHeight="true" outlineLevel="0" collapsed="false">
      <c r="B106" s="130" t="n">
        <v>31583824</v>
      </c>
      <c r="C106" s="131" t="s">
        <v>234</v>
      </c>
      <c r="D106" s="131" t="s">
        <v>129</v>
      </c>
      <c r="E106" s="130" t="n">
        <v>2648100</v>
      </c>
      <c r="F106" s="131" t="s">
        <v>20</v>
      </c>
      <c r="G106" s="130" t="n">
        <v>2213000</v>
      </c>
      <c r="H106" s="131" t="n">
        <v>885</v>
      </c>
      <c r="I106" s="132" t="n">
        <v>0.09</v>
      </c>
      <c r="J106" s="132" t="n">
        <v>0.17</v>
      </c>
      <c r="K106" s="130" t="n">
        <v>1.39747856954043</v>
      </c>
      <c r="L106" s="132" t="n">
        <v>0.17</v>
      </c>
      <c r="M106" s="131" t="s">
        <v>61</v>
      </c>
      <c r="N106" s="133" t="n">
        <v>0.66</v>
      </c>
      <c r="O106" s="133" t="n">
        <v>1.39747856954043</v>
      </c>
      <c r="P106" s="132" t="n">
        <v>0.006</v>
      </c>
      <c r="Q106" s="131" t="s">
        <v>130</v>
      </c>
      <c r="R106" s="130" t="n">
        <v>0</v>
      </c>
      <c r="S106" s="143" t="n">
        <v>0</v>
      </c>
      <c r="T106" s="134" t="n">
        <v>45274.6684474537</v>
      </c>
    </row>
    <row r="107" customFormat="false" ht="39.75" hidden="false" customHeight="true" outlineLevel="0" collapsed="false">
      <c r="B107" s="130" t="n">
        <v>1107075855</v>
      </c>
      <c r="C107" s="131" t="s">
        <v>235</v>
      </c>
      <c r="D107" s="131" t="s">
        <v>129</v>
      </c>
      <c r="E107" s="130" t="n">
        <v>2648100</v>
      </c>
      <c r="F107" s="131" t="s">
        <v>14</v>
      </c>
      <c r="G107" s="130" t="n">
        <v>5000000</v>
      </c>
      <c r="H107" s="131" t="n">
        <v>563</v>
      </c>
      <c r="I107" s="132" t="n">
        <v>0.18</v>
      </c>
      <c r="J107" s="132" t="n">
        <v>0.22</v>
      </c>
      <c r="K107" s="130" t="n">
        <v>40.2088289717156</v>
      </c>
      <c r="L107" s="132" t="n">
        <v>0.22</v>
      </c>
      <c r="M107" s="131" t="s">
        <v>64</v>
      </c>
      <c r="N107" s="133" t="n">
        <v>1.19719912390016</v>
      </c>
      <c r="O107" s="133" t="n">
        <v>40.2088289717156</v>
      </c>
      <c r="P107" s="132" t="n">
        <v>0.006</v>
      </c>
      <c r="Q107" s="131" t="s">
        <v>130</v>
      </c>
      <c r="R107" s="130" t="n">
        <v>106477000</v>
      </c>
      <c r="S107" s="143" t="n">
        <v>0</v>
      </c>
      <c r="T107" s="134" t="n">
        <v>45279.3650585648</v>
      </c>
    </row>
    <row r="108" customFormat="false" ht="39.75" hidden="false" customHeight="true" outlineLevel="0" collapsed="false">
      <c r="B108" s="130" t="n">
        <v>1107095074</v>
      </c>
      <c r="C108" s="131" t="s">
        <v>236</v>
      </c>
      <c r="D108" s="131" t="s">
        <v>129</v>
      </c>
      <c r="E108" s="130" t="n">
        <v>2320800</v>
      </c>
      <c r="F108" s="131" t="s">
        <v>14</v>
      </c>
      <c r="G108" s="130" t="n">
        <v>3000000</v>
      </c>
      <c r="H108" s="131" t="n">
        <v>494</v>
      </c>
      <c r="I108" s="132" t="n">
        <v>0.13</v>
      </c>
      <c r="J108" s="132" t="n">
        <v>0.16</v>
      </c>
      <c r="K108" s="130" t="n">
        <v>29.280170630817</v>
      </c>
      <c r="L108" s="132" t="n">
        <v>0.16</v>
      </c>
      <c r="M108" s="131" t="s">
        <v>64</v>
      </c>
      <c r="N108" s="133" t="n">
        <v>2.42016718372975</v>
      </c>
      <c r="O108" s="133" t="n">
        <v>29.280170630817</v>
      </c>
      <c r="P108" s="132" t="n">
        <v>0.006</v>
      </c>
      <c r="Q108" s="131" t="s">
        <v>130</v>
      </c>
      <c r="R108" s="130" t="n">
        <v>64877000</v>
      </c>
      <c r="S108" s="143" t="n">
        <v>0</v>
      </c>
      <c r="T108" s="134" t="n">
        <v>45279.3777266204</v>
      </c>
    </row>
    <row r="109" customFormat="false" ht="39.75" hidden="false" customHeight="true" outlineLevel="0" collapsed="false">
      <c r="B109" s="130" t="n">
        <v>1006170029</v>
      </c>
      <c r="C109" s="131" t="s">
        <v>237</v>
      </c>
      <c r="D109" s="131" t="s">
        <v>129</v>
      </c>
      <c r="E109" s="130" t="n">
        <v>1755600</v>
      </c>
      <c r="F109" s="131" t="s">
        <v>19</v>
      </c>
      <c r="G109" s="130" t="n">
        <v>1951851</v>
      </c>
      <c r="H109" s="131" t="n">
        <v>821</v>
      </c>
      <c r="I109" s="132" t="n">
        <v>0.23</v>
      </c>
      <c r="J109" s="132" t="n">
        <v>0.33</v>
      </c>
      <c r="K109" s="130" t="n">
        <v>1.05353497379813</v>
      </c>
      <c r="L109" s="132" t="n">
        <v>0.33</v>
      </c>
      <c r="M109" s="131" t="s">
        <v>62</v>
      </c>
      <c r="N109" s="133" t="n">
        <v>0.78795967190704</v>
      </c>
      <c r="O109" s="133" t="n">
        <v>1.05353497379813</v>
      </c>
      <c r="P109" s="132" t="n">
        <v>0.006</v>
      </c>
      <c r="Q109" s="131" t="s">
        <v>130</v>
      </c>
      <c r="R109" s="130" t="n">
        <v>0</v>
      </c>
      <c r="S109" s="143" t="n">
        <v>0</v>
      </c>
      <c r="T109" s="134" t="n">
        <v>45279.5973521991</v>
      </c>
    </row>
    <row r="110" customFormat="false" ht="39.75" hidden="false" customHeight="true" outlineLevel="0" collapsed="false">
      <c r="B110" s="130" t="n">
        <v>1002806316</v>
      </c>
      <c r="C110" s="131" t="s">
        <v>238</v>
      </c>
      <c r="D110" s="131" t="s">
        <v>129</v>
      </c>
      <c r="E110" s="130" t="n">
        <v>2320800</v>
      </c>
      <c r="F110" s="131" t="s">
        <v>19</v>
      </c>
      <c r="G110" s="130" t="n">
        <v>4000000</v>
      </c>
      <c r="H110" s="131" t="n">
        <v>759</v>
      </c>
      <c r="I110" s="132" t="n">
        <v>0.05</v>
      </c>
      <c r="J110" s="132" t="n">
        <v>0.21</v>
      </c>
      <c r="K110" s="130" t="n">
        <v>0</v>
      </c>
      <c r="L110" s="132" t="n">
        <v>0.21</v>
      </c>
      <c r="M110" s="131" t="s">
        <v>64</v>
      </c>
      <c r="N110" s="133" t="n">
        <v>0.62642063081696</v>
      </c>
      <c r="O110" s="133" t="n">
        <v>0</v>
      </c>
      <c r="P110" s="132" t="n">
        <v>0.006</v>
      </c>
      <c r="Q110" s="131" t="s">
        <v>130</v>
      </c>
      <c r="R110" s="130" t="n">
        <v>0</v>
      </c>
      <c r="S110" s="143" t="n">
        <v>0</v>
      </c>
      <c r="T110" s="134" t="n">
        <v>45279.651412963</v>
      </c>
    </row>
    <row r="111" customFormat="false" ht="39.75" hidden="false" customHeight="true" outlineLevel="0" collapsed="false">
      <c r="B111" s="130" t="n">
        <v>1010058582</v>
      </c>
      <c r="C111" s="131" t="s">
        <v>239</v>
      </c>
      <c r="D111" s="131" t="s">
        <v>129</v>
      </c>
      <c r="E111" s="130" t="n">
        <v>1450000</v>
      </c>
      <c r="F111" s="131" t="s">
        <v>19</v>
      </c>
      <c r="G111" s="130" t="n">
        <v>2400000</v>
      </c>
      <c r="H111" s="131" t="n">
        <v>678</v>
      </c>
      <c r="I111" s="132" t="n">
        <v>0.09</v>
      </c>
      <c r="J111" s="132" t="n">
        <v>0.24</v>
      </c>
      <c r="K111" s="130" t="n">
        <v>1.23655172413793</v>
      </c>
      <c r="L111" s="132" t="n">
        <v>0.24</v>
      </c>
      <c r="M111" s="131" t="s">
        <v>64</v>
      </c>
      <c r="N111" s="133" t="n">
        <v>0.770823448275862</v>
      </c>
      <c r="O111" s="133" t="n">
        <v>1.23655172413793</v>
      </c>
      <c r="P111" s="132" t="n">
        <v>0.006</v>
      </c>
      <c r="Q111" s="131" t="s">
        <v>130</v>
      </c>
      <c r="R111" s="130" t="n">
        <v>1793000</v>
      </c>
      <c r="S111" s="143" t="n">
        <v>0</v>
      </c>
      <c r="T111" s="134" t="n">
        <v>45279.6795663194</v>
      </c>
    </row>
    <row r="112" customFormat="false" ht="39.75" hidden="false" customHeight="true" outlineLevel="0" collapsed="false">
      <c r="B112" s="130" t="n">
        <v>1059906715</v>
      </c>
      <c r="C112" s="131" t="s">
        <v>240</v>
      </c>
      <c r="D112" s="131" t="s">
        <v>129</v>
      </c>
      <c r="E112" s="130" t="n">
        <v>1821900</v>
      </c>
      <c r="F112" s="131" t="s">
        <v>16</v>
      </c>
      <c r="G112" s="130" t="n">
        <v>3000000</v>
      </c>
      <c r="H112" s="131" t="n">
        <v>821</v>
      </c>
      <c r="I112" s="132" t="n">
        <v>0.25</v>
      </c>
      <c r="J112" s="132" t="n">
        <v>0.32</v>
      </c>
      <c r="K112" s="130" t="n">
        <v>26.7468027882979</v>
      </c>
      <c r="L112" s="132" t="n">
        <v>0.32</v>
      </c>
      <c r="M112" s="131" t="s">
        <v>62</v>
      </c>
      <c r="N112" s="133" t="n">
        <v>0.58</v>
      </c>
      <c r="O112" s="133" t="n">
        <v>26.7468027882979</v>
      </c>
      <c r="P112" s="132" t="n">
        <v>0.0227</v>
      </c>
      <c r="Q112" s="131" t="s">
        <v>130</v>
      </c>
      <c r="R112" s="130" t="n">
        <v>48730000</v>
      </c>
      <c r="S112" s="143" t="n">
        <v>0</v>
      </c>
      <c r="T112" s="134" t="n">
        <v>45279.6851381944</v>
      </c>
    </row>
    <row r="113" customFormat="false" ht="39.75" hidden="false" customHeight="true" outlineLevel="0" collapsed="false">
      <c r="B113" s="130" t="n">
        <v>31321149</v>
      </c>
      <c r="C113" s="131" t="s">
        <v>241</v>
      </c>
      <c r="D113" s="131" t="s">
        <v>129</v>
      </c>
      <c r="E113" s="130" t="n">
        <v>3629200</v>
      </c>
      <c r="F113" s="131" t="s">
        <v>19</v>
      </c>
      <c r="G113" s="130" t="n">
        <v>7852525</v>
      </c>
      <c r="H113" s="131" t="n">
        <v>999</v>
      </c>
      <c r="I113" s="132" t="n">
        <v>0.03</v>
      </c>
      <c r="J113" s="132" t="n">
        <v>0.23</v>
      </c>
      <c r="K113" s="130" t="n">
        <v>6.05649233990962</v>
      </c>
      <c r="L113" s="132" t="n">
        <v>0.23</v>
      </c>
      <c r="M113" s="131" t="s">
        <v>62</v>
      </c>
      <c r="N113" s="133" t="n">
        <v>1.0322850766009</v>
      </c>
      <c r="O113" s="133" t="n">
        <v>6.05649233990962</v>
      </c>
      <c r="P113" s="132" t="n">
        <v>0.006</v>
      </c>
      <c r="Q113" s="131" t="s">
        <v>130</v>
      </c>
      <c r="R113" s="130" t="n">
        <v>21980222</v>
      </c>
      <c r="S113" s="143" t="n">
        <v>0</v>
      </c>
      <c r="T113" s="134" t="n">
        <v>45279.6908325232</v>
      </c>
    </row>
    <row r="114" customFormat="false" ht="39.75" hidden="false" customHeight="true" outlineLevel="0" collapsed="false">
      <c r="B114" s="130" t="n">
        <v>1144159356</v>
      </c>
      <c r="C114" s="131" t="s">
        <v>242</v>
      </c>
      <c r="D114" s="131" t="s">
        <v>129</v>
      </c>
      <c r="E114" s="130" t="n">
        <v>1639700</v>
      </c>
      <c r="F114" s="131" t="s">
        <v>17</v>
      </c>
      <c r="G114" s="130" t="n">
        <v>3000000</v>
      </c>
      <c r="H114" s="131" t="n">
        <v>598</v>
      </c>
      <c r="I114" s="132" t="n">
        <v>0.37</v>
      </c>
      <c r="J114" s="132" t="n">
        <v>0.42</v>
      </c>
      <c r="K114" s="130" t="n">
        <v>4.42215039336464</v>
      </c>
      <c r="L114" s="132" t="n">
        <v>0.42</v>
      </c>
      <c r="M114" s="131" t="s">
        <v>64</v>
      </c>
      <c r="N114" s="133" t="n">
        <v>3.42015246691468</v>
      </c>
      <c r="O114" s="133" t="n">
        <v>4.42215039336464</v>
      </c>
      <c r="P114" s="132" t="n">
        <v>0.017</v>
      </c>
      <c r="Q114" s="131" t="s">
        <v>130</v>
      </c>
      <c r="R114" s="130" t="n">
        <v>7251000</v>
      </c>
      <c r="S114" s="143" t="n">
        <v>0</v>
      </c>
      <c r="T114" s="134" t="n">
        <v>45279.6962612269</v>
      </c>
    </row>
    <row r="115" customFormat="false" ht="39.75" hidden="false" customHeight="true" outlineLevel="0" collapsed="false">
      <c r="B115" s="130" t="n">
        <v>1124848236</v>
      </c>
      <c r="C115" s="131" t="s">
        <v>243</v>
      </c>
      <c r="D115" s="131" t="s">
        <v>129</v>
      </c>
      <c r="E115" s="130" t="n">
        <v>4480000</v>
      </c>
      <c r="F115" s="131" t="s">
        <v>19</v>
      </c>
      <c r="G115" s="130" t="n">
        <v>500000</v>
      </c>
      <c r="H115" s="131" t="n">
        <v>874</v>
      </c>
      <c r="I115" s="132" t="n">
        <v>0.41</v>
      </c>
      <c r="J115" s="132" t="n">
        <v>0.41</v>
      </c>
      <c r="K115" s="130" t="n">
        <v>4.08845982142857</v>
      </c>
      <c r="L115" s="132" t="n">
        <v>0.41</v>
      </c>
      <c r="M115" s="131" t="s">
        <v>62</v>
      </c>
      <c r="N115" s="133" t="n">
        <v>2.66755892857143</v>
      </c>
      <c r="O115" s="133" t="n">
        <v>4.08845982142857</v>
      </c>
      <c r="P115" s="132" t="n">
        <v>0.017</v>
      </c>
      <c r="Q115" s="131" t="s">
        <v>130</v>
      </c>
      <c r="R115" s="130" t="n">
        <v>18316300</v>
      </c>
      <c r="S115" s="143" t="n">
        <v>0</v>
      </c>
      <c r="T115" s="134" t="n">
        <v>45279.701169213</v>
      </c>
    </row>
    <row r="116" customFormat="false" ht="39.75" hidden="false" customHeight="true" outlineLevel="0" collapsed="false">
      <c r="B116" s="130" t="n">
        <v>66820844</v>
      </c>
      <c r="C116" s="131" t="s">
        <v>244</v>
      </c>
      <c r="D116" s="131" t="s">
        <v>129</v>
      </c>
      <c r="E116" s="130" t="n">
        <v>2320800</v>
      </c>
      <c r="F116" s="131" t="s">
        <v>14</v>
      </c>
      <c r="G116" s="130" t="n">
        <v>3000000</v>
      </c>
      <c r="H116" s="131" t="n">
        <v>594</v>
      </c>
      <c r="I116" s="132" t="n">
        <v>0.48</v>
      </c>
      <c r="J116" s="132" t="n">
        <v>0.52</v>
      </c>
      <c r="K116" s="130" t="n">
        <v>26.2482764563943</v>
      </c>
      <c r="L116" s="132" t="n">
        <v>0.52</v>
      </c>
      <c r="M116" s="131" t="s">
        <v>64</v>
      </c>
      <c r="N116" s="133" t="n">
        <v>3.57218329886246</v>
      </c>
      <c r="O116" s="133" t="n">
        <v>26.2482764563943</v>
      </c>
      <c r="P116" s="132" t="n">
        <v>0.017</v>
      </c>
      <c r="Q116" s="131" t="s">
        <v>130</v>
      </c>
      <c r="R116" s="130" t="n">
        <v>60917000</v>
      </c>
      <c r="S116" s="143" t="n">
        <v>0</v>
      </c>
      <c r="T116" s="134" t="n">
        <v>45279.7100681713</v>
      </c>
    </row>
    <row r="117" customFormat="false" ht="39.75" hidden="false" customHeight="true" outlineLevel="0" collapsed="false">
      <c r="B117" s="130" t="n">
        <v>38566191</v>
      </c>
      <c r="C117" s="131" t="s">
        <v>245</v>
      </c>
      <c r="D117" s="131" t="s">
        <v>246</v>
      </c>
      <c r="E117" s="130" t="n">
        <v>8000000</v>
      </c>
      <c r="F117" s="131" t="s">
        <v>14</v>
      </c>
      <c r="G117" s="130" t="n">
        <v>6000000</v>
      </c>
      <c r="H117" s="131" t="n">
        <v>576</v>
      </c>
      <c r="I117" s="132" t="n">
        <v>0.15</v>
      </c>
      <c r="J117" s="132" t="n">
        <v>0.19</v>
      </c>
      <c r="K117" s="130" t="n">
        <v>1.8885</v>
      </c>
      <c r="L117" s="132" t="n">
        <v>0.19</v>
      </c>
      <c r="M117" s="131" t="s">
        <v>64</v>
      </c>
      <c r="N117" s="133" t="n">
        <v>1.62252325</v>
      </c>
      <c r="O117" s="133" t="n">
        <v>1.8885</v>
      </c>
      <c r="P117" s="132" t="n">
        <v>0.017</v>
      </c>
      <c r="Q117" s="131" t="s">
        <v>130</v>
      </c>
      <c r="R117" s="130" t="n">
        <v>15108000</v>
      </c>
      <c r="S117" s="143" t="n">
        <v>0</v>
      </c>
      <c r="T117" s="134" t="n">
        <v>45279.7138876157</v>
      </c>
    </row>
    <row r="118" customFormat="false" ht="39.75" hidden="false" customHeight="true" outlineLevel="0" collapsed="false">
      <c r="B118" s="130" t="n">
        <v>38886733</v>
      </c>
      <c r="C118" s="131" t="s">
        <v>142</v>
      </c>
      <c r="D118" s="131" t="s">
        <v>129</v>
      </c>
      <c r="E118" s="130" t="n">
        <v>4867100</v>
      </c>
      <c r="F118" s="131" t="s">
        <v>14</v>
      </c>
      <c r="G118" s="130" t="n">
        <v>6000000</v>
      </c>
      <c r="H118" s="131" t="n">
        <v>705</v>
      </c>
      <c r="I118" s="132" t="n">
        <v>0.35</v>
      </c>
      <c r="J118" s="132" t="n">
        <v>0.39</v>
      </c>
      <c r="K118" s="130" t="n">
        <v>17.9303897598159</v>
      </c>
      <c r="L118" s="132" t="n">
        <v>0.39</v>
      </c>
      <c r="M118" s="131" t="s">
        <v>62</v>
      </c>
      <c r="N118" s="133" t="n">
        <v>1.39508167081013</v>
      </c>
      <c r="O118" s="133" t="n">
        <v>17.9303897598159</v>
      </c>
      <c r="P118" s="132" t="n">
        <v>0.0222</v>
      </c>
      <c r="Q118" s="131" t="s">
        <v>130</v>
      </c>
      <c r="R118" s="130" t="n">
        <v>87269000</v>
      </c>
      <c r="S118" s="143" t="n">
        <v>0</v>
      </c>
      <c r="T118" s="134" t="n">
        <v>45279.7178023148</v>
      </c>
    </row>
    <row r="119" customFormat="false" ht="39.75" hidden="false" customHeight="true" outlineLevel="0" collapsed="false">
      <c r="B119" s="130" t="n">
        <v>1124848236</v>
      </c>
      <c r="C119" s="131" t="s">
        <v>243</v>
      </c>
      <c r="D119" s="131" t="s">
        <v>129</v>
      </c>
      <c r="E119" s="130" t="n">
        <v>4480000</v>
      </c>
      <c r="F119" s="131" t="s">
        <v>19</v>
      </c>
      <c r="G119" s="130" t="n">
        <v>5000000</v>
      </c>
      <c r="H119" s="131" t="n">
        <v>874</v>
      </c>
      <c r="I119" s="132" t="n">
        <v>0.41</v>
      </c>
      <c r="J119" s="132" t="n">
        <v>0.47</v>
      </c>
      <c r="K119" s="130" t="n">
        <v>40.8845982142857</v>
      </c>
      <c r="L119" s="132" t="n">
        <v>0.47</v>
      </c>
      <c r="M119" s="131" t="s">
        <v>62</v>
      </c>
      <c r="N119" s="133" t="n">
        <v>2.665503125</v>
      </c>
      <c r="O119" s="133" t="n">
        <v>40.8845982142857</v>
      </c>
      <c r="P119" s="132" t="n">
        <v>0.0222</v>
      </c>
      <c r="Q119" s="131" t="s">
        <v>130</v>
      </c>
      <c r="R119" s="130" t="n">
        <v>183163000</v>
      </c>
      <c r="S119" s="143" t="n">
        <v>0</v>
      </c>
      <c r="T119" s="134" t="n">
        <v>45281.4296355324</v>
      </c>
    </row>
    <row r="120" customFormat="false" ht="39.75" hidden="false" customHeight="true" outlineLevel="0" collapsed="false">
      <c r="B120" s="130" t="n">
        <v>1143971600</v>
      </c>
      <c r="C120" s="131" t="s">
        <v>247</v>
      </c>
      <c r="D120" s="131" t="s">
        <v>129</v>
      </c>
      <c r="E120" s="130" t="n">
        <v>1639700</v>
      </c>
      <c r="F120" s="131" t="s">
        <v>29</v>
      </c>
      <c r="G120" s="130" t="n">
        <v>1000000</v>
      </c>
      <c r="H120" s="131" t="n">
        <v>634</v>
      </c>
      <c r="I120" s="132" t="n">
        <v>0.07</v>
      </c>
      <c r="J120" s="132" t="n">
        <v>0.13</v>
      </c>
      <c r="K120" s="130" t="n">
        <v>0</v>
      </c>
      <c r="L120" s="132" t="n">
        <v>0.13</v>
      </c>
      <c r="M120" s="131" t="s">
        <v>64</v>
      </c>
      <c r="N120" s="133" t="n">
        <v>0.645702872476673</v>
      </c>
      <c r="O120" s="133" t="n">
        <v>0</v>
      </c>
      <c r="P120" s="132" t="n">
        <v>0.0222</v>
      </c>
      <c r="Q120" s="131" t="s">
        <v>130</v>
      </c>
      <c r="R120" s="130" t="n">
        <v>0</v>
      </c>
      <c r="S120" s="143" t="n">
        <v>0</v>
      </c>
      <c r="T120" s="134" t="n">
        <v>45282.386634838</v>
      </c>
    </row>
    <row r="121" customFormat="false" ht="39.75" hidden="false" customHeight="true" outlineLevel="0" collapsed="false">
      <c r="B121" s="130" t="n">
        <v>1144189605</v>
      </c>
      <c r="C121" s="131" t="s">
        <v>248</v>
      </c>
      <c r="D121" s="131" t="s">
        <v>129</v>
      </c>
      <c r="E121" s="130" t="n">
        <v>2320800</v>
      </c>
      <c r="F121" s="131" t="s">
        <v>29</v>
      </c>
      <c r="G121" s="130" t="n">
        <v>800000</v>
      </c>
      <c r="H121" s="131" t="n">
        <v>640</v>
      </c>
      <c r="I121" s="132" t="n">
        <v>0.27</v>
      </c>
      <c r="J121" s="132" t="n">
        <v>0.3</v>
      </c>
      <c r="K121" s="130" t="n">
        <v>8.81440365391245</v>
      </c>
      <c r="L121" s="132" t="n">
        <v>0.3</v>
      </c>
      <c r="M121" s="131" t="s">
        <v>64</v>
      </c>
      <c r="N121" s="133" t="n">
        <v>1.74774732850741</v>
      </c>
      <c r="O121" s="133" t="n">
        <v>8.81440365391245</v>
      </c>
      <c r="P121" s="132" t="n">
        <v>0.0222</v>
      </c>
      <c r="Q121" s="131" t="s">
        <v>130</v>
      </c>
      <c r="R121" s="130" t="n">
        <v>13018000</v>
      </c>
      <c r="S121" s="143" t="n">
        <v>0</v>
      </c>
      <c r="T121" s="134" t="n">
        <v>45282.4317952546</v>
      </c>
    </row>
    <row r="122" customFormat="false" ht="39.75" hidden="false" customHeight="true" outlineLevel="0" collapsed="false">
      <c r="B122" s="130" t="n">
        <v>1130609348</v>
      </c>
      <c r="C122" s="131" t="s">
        <v>205</v>
      </c>
      <c r="D122" s="131" t="s">
        <v>135</v>
      </c>
      <c r="E122" s="130" t="n">
        <v>2648100</v>
      </c>
      <c r="F122" s="131" t="s">
        <v>29</v>
      </c>
      <c r="G122" s="130" t="n">
        <v>2000000</v>
      </c>
      <c r="H122" s="131" t="n">
        <v>724</v>
      </c>
      <c r="I122" s="132" t="n">
        <v>0.44</v>
      </c>
      <c r="J122" s="132" t="n">
        <v>0.48</v>
      </c>
      <c r="K122" s="130" t="n">
        <v>19.6148495147464</v>
      </c>
      <c r="L122" s="132" t="n">
        <v>0.48</v>
      </c>
      <c r="M122" s="131" t="s">
        <v>64</v>
      </c>
      <c r="N122" s="133" t="n">
        <v>1.77123673577282</v>
      </c>
      <c r="O122" s="133" t="n">
        <v>19.6148495147464</v>
      </c>
      <c r="P122" s="132" t="n">
        <v>0.0227</v>
      </c>
      <c r="Q122" s="131" t="s">
        <v>130</v>
      </c>
      <c r="R122" s="130" t="n">
        <v>51733000</v>
      </c>
      <c r="S122" s="143" t="n">
        <v>0</v>
      </c>
      <c r="T122" s="134" t="n">
        <v>45328.7005287037</v>
      </c>
    </row>
    <row r="123" customFormat="false" ht="39.75" hidden="false" customHeight="true" outlineLevel="0" collapsed="false">
      <c r="B123" s="130" t="n">
        <v>1112483089</v>
      </c>
      <c r="C123" s="131" t="s">
        <v>197</v>
      </c>
      <c r="D123" s="131" t="s">
        <v>135</v>
      </c>
      <c r="E123" s="130" t="n">
        <v>2648100</v>
      </c>
      <c r="F123" s="131" t="s">
        <v>29</v>
      </c>
      <c r="G123" s="130" t="n">
        <v>1500000</v>
      </c>
      <c r="H123" s="131" t="n">
        <v>666</v>
      </c>
      <c r="I123" s="132" t="n">
        <v>0.34</v>
      </c>
      <c r="J123" s="132" t="n">
        <v>0.37</v>
      </c>
      <c r="K123" s="130" t="n">
        <v>9.69652165703712</v>
      </c>
      <c r="L123" s="132" t="n">
        <v>0.37</v>
      </c>
      <c r="M123" s="131" t="s">
        <v>64</v>
      </c>
      <c r="N123" s="133" t="n">
        <v>1.01427891695933</v>
      </c>
      <c r="O123" s="133" t="n">
        <v>9.69652165703712</v>
      </c>
      <c r="P123" s="132" t="n">
        <v>0.0227</v>
      </c>
      <c r="Q123" s="131" t="s">
        <v>130</v>
      </c>
      <c r="R123" s="130" t="n">
        <v>15329000</v>
      </c>
      <c r="S123" s="143" t="n">
        <v>0</v>
      </c>
      <c r="T123" s="134" t="n">
        <v>45328.7020863426</v>
      </c>
    </row>
    <row r="124" customFormat="false" ht="39.75" hidden="false" customHeight="true" outlineLevel="0" collapsed="false">
      <c r="B124" s="130" t="n">
        <v>1144136212</v>
      </c>
      <c r="C124" s="131" t="s">
        <v>249</v>
      </c>
      <c r="D124" s="131" t="s">
        <v>135</v>
      </c>
      <c r="E124" s="130" t="n">
        <v>2648100</v>
      </c>
      <c r="F124" s="131" t="s">
        <v>14</v>
      </c>
      <c r="G124" s="130" t="n">
        <v>7500000</v>
      </c>
      <c r="H124" s="131" t="n">
        <v>806</v>
      </c>
      <c r="I124" s="132" t="n">
        <v>0.31</v>
      </c>
      <c r="J124" s="132" t="n">
        <v>0.37</v>
      </c>
      <c r="K124" s="130" t="n">
        <v>9.38786148559344</v>
      </c>
      <c r="L124" s="132" t="n">
        <v>0.37</v>
      </c>
      <c r="M124" s="131" t="s">
        <v>61</v>
      </c>
      <c r="N124" s="133" t="n">
        <v>1.35743627506514</v>
      </c>
      <c r="O124" s="133" t="n">
        <v>9.38786148559344</v>
      </c>
      <c r="P124" s="132" t="n">
        <v>0.006</v>
      </c>
      <c r="Q124" s="131" t="s">
        <v>130</v>
      </c>
      <c r="R124" s="130" t="n">
        <v>21705000</v>
      </c>
      <c r="S124" s="143" t="n">
        <v>0</v>
      </c>
      <c r="T124" s="134" t="n">
        <v>45328.7479748843</v>
      </c>
    </row>
    <row r="125" customFormat="false" ht="39.75" hidden="false" customHeight="true" outlineLevel="0" collapsed="false">
      <c r="B125" s="130" t="n">
        <v>9104444</v>
      </c>
      <c r="C125" s="131" t="s">
        <v>250</v>
      </c>
      <c r="D125" s="131" t="s">
        <v>158</v>
      </c>
      <c r="E125" s="130" t="n">
        <v>34883879</v>
      </c>
      <c r="F125" s="131" t="s">
        <v>14</v>
      </c>
      <c r="G125" s="130" t="n">
        <v>10000000</v>
      </c>
      <c r="H125" s="131" t="n">
        <v>642</v>
      </c>
      <c r="I125" s="132" t="n">
        <v>0.47</v>
      </c>
      <c r="J125" s="132" t="n">
        <v>0.47</v>
      </c>
      <c r="K125" s="130" t="n">
        <v>2.18196052680953</v>
      </c>
      <c r="L125" s="132" t="n">
        <v>0.47</v>
      </c>
      <c r="M125" s="131" t="s">
        <v>62</v>
      </c>
      <c r="N125" s="133" t="n">
        <v>1.60963695608507</v>
      </c>
      <c r="O125" s="133" t="n">
        <v>2.18196052680953</v>
      </c>
      <c r="P125" s="132" t="n">
        <v>0.006</v>
      </c>
      <c r="Q125" s="131" t="s">
        <v>130</v>
      </c>
      <c r="R125" s="130" t="n">
        <v>66854700</v>
      </c>
      <c r="S125" s="143" t="n">
        <v>0</v>
      </c>
      <c r="T125" s="134" t="n">
        <v>45328.752478125</v>
      </c>
    </row>
    <row r="126" customFormat="false" ht="39.75" hidden="false" customHeight="true" outlineLevel="0" collapsed="false">
      <c r="B126" s="130" t="n">
        <v>1085267594</v>
      </c>
      <c r="C126" s="131" t="s">
        <v>251</v>
      </c>
      <c r="D126" s="131" t="s">
        <v>135</v>
      </c>
      <c r="E126" s="130" t="n">
        <v>5347100</v>
      </c>
      <c r="F126" s="131" t="s">
        <v>14</v>
      </c>
      <c r="G126" s="130" t="n">
        <v>5700000</v>
      </c>
      <c r="H126" s="131" t="n">
        <v>536</v>
      </c>
      <c r="I126" s="132" t="n">
        <v>0.12</v>
      </c>
      <c r="J126" s="132" t="n">
        <v>0.1</v>
      </c>
      <c r="K126" s="130" t="n">
        <v>24.5315913298798</v>
      </c>
      <c r="L126" s="132" t="n">
        <v>0.1</v>
      </c>
      <c r="M126" s="131" t="s">
        <v>64</v>
      </c>
      <c r="N126" s="133" t="n">
        <v>1.05533653756242</v>
      </c>
      <c r="O126" s="133" t="n">
        <v>24.5315913298798</v>
      </c>
      <c r="P126" s="132" t="n">
        <v>0.006</v>
      </c>
      <c r="Q126" s="131" t="s">
        <v>130</v>
      </c>
      <c r="R126" s="130" t="n">
        <v>128353000</v>
      </c>
      <c r="S126" s="143" t="s">
        <v>252</v>
      </c>
      <c r="T126" s="134" t="n">
        <v>45328.7566085648</v>
      </c>
    </row>
    <row r="127" customFormat="false" ht="39.75" hidden="false" customHeight="true" outlineLevel="0" collapsed="false">
      <c r="B127" s="130" t="n">
        <v>35424880</v>
      </c>
      <c r="C127" s="131" t="s">
        <v>253</v>
      </c>
      <c r="D127" s="131" t="s">
        <v>135</v>
      </c>
      <c r="E127" s="130" t="n">
        <v>3980900</v>
      </c>
      <c r="F127" s="131" t="s">
        <v>14</v>
      </c>
      <c r="G127" s="130" t="n">
        <v>6000000</v>
      </c>
      <c r="H127" s="131" t="n">
        <v>959</v>
      </c>
      <c r="I127" s="132" t="n">
        <v>0.11</v>
      </c>
      <c r="J127" s="132" t="n">
        <v>0.18</v>
      </c>
      <c r="K127" s="130" t="n">
        <v>1.08694641915145</v>
      </c>
      <c r="L127" s="132" t="n">
        <v>0.18</v>
      </c>
      <c r="M127" s="131" t="s">
        <v>62</v>
      </c>
      <c r="N127" s="133" t="n">
        <v>1.03879474490693</v>
      </c>
      <c r="O127" s="133" t="n">
        <v>1.08694641915145</v>
      </c>
      <c r="P127" s="132" t="n">
        <v>0.0199</v>
      </c>
      <c r="Q127" s="131" t="s">
        <v>130</v>
      </c>
      <c r="R127" s="130" t="n">
        <v>2564000</v>
      </c>
      <c r="S127" s="143" t="n">
        <v>0</v>
      </c>
      <c r="T127" s="134" t="n">
        <v>45328.7603162037</v>
      </c>
    </row>
    <row r="128" customFormat="false" ht="39.75" hidden="false" customHeight="true" outlineLevel="0" collapsed="false">
      <c r="B128" s="130" t="n">
        <v>1143970362</v>
      </c>
      <c r="C128" s="131" t="s">
        <v>254</v>
      </c>
      <c r="D128" s="131" t="s">
        <v>135</v>
      </c>
      <c r="E128" s="130" t="n">
        <v>2648100</v>
      </c>
      <c r="F128" s="131" t="s">
        <v>14</v>
      </c>
      <c r="G128" s="130" t="n">
        <v>9000000</v>
      </c>
      <c r="H128" s="131" t="n">
        <v>616</v>
      </c>
      <c r="I128" s="132" t="n">
        <v>0.45</v>
      </c>
      <c r="J128" s="132" t="n">
        <v>0.55</v>
      </c>
      <c r="K128" s="130" t="n">
        <v>22.660296061327</v>
      </c>
      <c r="L128" s="132" t="n">
        <v>0.55</v>
      </c>
      <c r="M128" s="131" t="s">
        <v>64</v>
      </c>
      <c r="N128" s="133" t="n">
        <v>1.47334881613232</v>
      </c>
      <c r="O128" s="133" t="n">
        <v>22.660296061327</v>
      </c>
      <c r="P128" s="132" t="n">
        <v>0.0199</v>
      </c>
      <c r="Q128" s="131" t="s">
        <v>130</v>
      </c>
      <c r="R128" s="130" t="n">
        <v>59615000</v>
      </c>
      <c r="S128" s="143" t="n">
        <v>0</v>
      </c>
      <c r="T128" s="134" t="n">
        <v>45328.7622946759</v>
      </c>
    </row>
    <row r="129" customFormat="false" ht="39.75" hidden="false" customHeight="true" outlineLevel="0" collapsed="false">
      <c r="B129" s="130" t="n">
        <v>34613050</v>
      </c>
      <c r="C129" s="131" t="s">
        <v>196</v>
      </c>
      <c r="D129" s="131" t="s">
        <v>135</v>
      </c>
      <c r="E129" s="130" t="n">
        <v>2648100</v>
      </c>
      <c r="F129" s="131" t="s">
        <v>26</v>
      </c>
      <c r="G129" s="130" t="n">
        <v>15000000</v>
      </c>
      <c r="H129" s="131" t="n">
        <v>726</v>
      </c>
      <c r="I129" s="132" t="n">
        <v>0.53</v>
      </c>
      <c r="J129" s="132" t="n">
        <v>0.55</v>
      </c>
      <c r="K129" s="130" t="n">
        <v>9.47140855707866</v>
      </c>
      <c r="L129" s="132" t="n">
        <v>0.55</v>
      </c>
      <c r="M129" s="131" t="s">
        <v>62</v>
      </c>
      <c r="N129" s="133" t="n">
        <v>1.09188436992561</v>
      </c>
      <c r="O129" s="133" t="n">
        <v>9.47140855707866</v>
      </c>
      <c r="P129" s="132" t="n">
        <v>0.0199</v>
      </c>
      <c r="Q129" s="131" t="s">
        <v>130</v>
      </c>
      <c r="R129" s="130" t="n">
        <v>73000</v>
      </c>
      <c r="S129" s="143" t="s">
        <v>255</v>
      </c>
      <c r="T129" s="134" t="n">
        <v>45328.7655471065</v>
      </c>
    </row>
    <row r="130" customFormat="false" ht="39.75" hidden="false" customHeight="true" outlineLevel="0" collapsed="false">
      <c r="B130" s="130" t="n">
        <v>1005934361</v>
      </c>
      <c r="C130" s="131" t="s">
        <v>256</v>
      </c>
      <c r="D130" s="131" t="s">
        <v>135</v>
      </c>
      <c r="E130" s="130" t="n">
        <v>4984600</v>
      </c>
      <c r="F130" s="131" t="s">
        <v>16</v>
      </c>
      <c r="G130" s="130" t="n">
        <v>5000000</v>
      </c>
      <c r="H130" s="131" t="n">
        <v>657</v>
      </c>
      <c r="I130" s="132" t="n">
        <v>0.24</v>
      </c>
      <c r="J130" s="132" t="n">
        <v>0.34</v>
      </c>
      <c r="K130" s="130" t="n">
        <v>9.63146491192874</v>
      </c>
      <c r="L130" s="132" t="n">
        <v>0.34</v>
      </c>
      <c r="M130" s="131" t="s">
        <v>64</v>
      </c>
      <c r="N130" s="133" t="n">
        <v>2.40421317658388</v>
      </c>
      <c r="O130" s="133" t="n">
        <v>9.63146491192874</v>
      </c>
      <c r="P130" s="132" t="n">
        <v>0.0199</v>
      </c>
      <c r="Q130" s="131" t="s">
        <v>130</v>
      </c>
      <c r="R130" s="130" t="n">
        <v>48009000</v>
      </c>
      <c r="S130" s="143" t="n">
        <v>0</v>
      </c>
      <c r="T130" s="134" t="n">
        <v>45329.5098225694</v>
      </c>
    </row>
    <row r="131" customFormat="false" ht="39.75" hidden="false" customHeight="true" outlineLevel="0" collapsed="false">
      <c r="B131" s="130" t="n">
        <v>66949976</v>
      </c>
      <c r="C131" s="131" t="s">
        <v>257</v>
      </c>
      <c r="D131" s="131" t="s">
        <v>135</v>
      </c>
      <c r="E131" s="130" t="n">
        <v>2648100</v>
      </c>
      <c r="F131" s="131" t="s">
        <v>16</v>
      </c>
      <c r="G131" s="130" t="n">
        <v>3410000</v>
      </c>
      <c r="H131" s="131" t="n">
        <v>886</v>
      </c>
      <c r="I131" s="132" t="n">
        <v>0.33</v>
      </c>
      <c r="J131" s="132" t="n">
        <v>0.34</v>
      </c>
      <c r="K131" s="130" t="n">
        <v>12.055675012273</v>
      </c>
      <c r="L131" s="132" t="n">
        <v>0.34</v>
      </c>
      <c r="M131" s="131" t="s">
        <v>62</v>
      </c>
      <c r="N131" s="133" t="n">
        <v>1.66484233979079</v>
      </c>
      <c r="O131" s="133" t="n">
        <v>12.055675012273</v>
      </c>
      <c r="P131" s="132" t="n">
        <v>0.0227</v>
      </c>
      <c r="Q131" s="131" t="s">
        <v>130</v>
      </c>
      <c r="R131" s="130" t="n">
        <v>29937000</v>
      </c>
      <c r="S131" s="143" t="n">
        <v>0</v>
      </c>
      <c r="T131" s="134" t="n">
        <v>45330.653972338</v>
      </c>
    </row>
    <row r="132" customFormat="false" ht="39.75" hidden="false" customHeight="true" outlineLevel="0" collapsed="false">
      <c r="B132" s="130" t="n">
        <v>66856977</v>
      </c>
      <c r="C132" s="131" t="s">
        <v>258</v>
      </c>
      <c r="D132" s="131" t="s">
        <v>135</v>
      </c>
      <c r="E132" s="130" t="n">
        <v>7584800</v>
      </c>
      <c r="F132" s="131" t="s">
        <v>29</v>
      </c>
      <c r="G132" s="130" t="n">
        <v>2500000</v>
      </c>
      <c r="H132" s="131" t="n">
        <v>747</v>
      </c>
      <c r="I132" s="132" t="n">
        <v>0.39</v>
      </c>
      <c r="J132" s="132" t="n">
        <v>0.41</v>
      </c>
      <c r="K132" s="130" t="n">
        <v>2.84805242063074</v>
      </c>
      <c r="L132" s="132" t="n">
        <v>0.41</v>
      </c>
      <c r="M132" s="131" t="s">
        <v>62</v>
      </c>
      <c r="N132" s="133" t="n">
        <v>0.849443096719755</v>
      </c>
      <c r="O132" s="133" t="n">
        <v>2.84805242063074</v>
      </c>
      <c r="P132" s="132" t="n">
        <v>0.0227</v>
      </c>
      <c r="Q132" s="131" t="s">
        <v>130</v>
      </c>
      <c r="R132" s="130" t="n">
        <v>0</v>
      </c>
      <c r="S132" s="143" t="n">
        <v>0</v>
      </c>
      <c r="T132" s="134" t="n">
        <v>45331.4162802083</v>
      </c>
    </row>
    <row r="133" customFormat="false" ht="39.75" hidden="false" customHeight="true" outlineLevel="0" collapsed="false">
      <c r="B133" s="130" t="n">
        <v>1143986684</v>
      </c>
      <c r="C133" s="131" t="s">
        <v>259</v>
      </c>
      <c r="D133" s="131" t="s">
        <v>135</v>
      </c>
      <c r="E133" s="130" t="n">
        <v>2088700</v>
      </c>
      <c r="F133" s="131" t="s">
        <v>29</v>
      </c>
      <c r="G133" s="130" t="n">
        <v>1000000</v>
      </c>
      <c r="H133" s="131" t="n">
        <v>592</v>
      </c>
      <c r="I133" s="132" t="n">
        <v>0.04</v>
      </c>
      <c r="J133" s="132" t="n">
        <v>0.09</v>
      </c>
      <c r="K133" s="130" t="n">
        <v>2.85153444726385</v>
      </c>
      <c r="L133" s="132" t="n">
        <v>0.09</v>
      </c>
      <c r="M133" s="131" t="s">
        <v>64</v>
      </c>
      <c r="N133" s="133" t="n">
        <v>0.84989658639345</v>
      </c>
      <c r="O133" s="133" t="n">
        <v>2.85153444726385</v>
      </c>
      <c r="P133" s="132" t="n">
        <v>0.0227</v>
      </c>
      <c r="Q133" s="131" t="s">
        <v>130</v>
      </c>
      <c r="R133" s="130" t="n">
        <v>5956000</v>
      </c>
      <c r="S133" s="143" t="n">
        <v>0</v>
      </c>
      <c r="T133" s="134" t="n">
        <v>45331.563441088</v>
      </c>
    </row>
    <row r="134" customFormat="false" ht="39.75" hidden="false" customHeight="true" outlineLevel="0" collapsed="false">
      <c r="B134" s="130" t="n">
        <v>67000591</v>
      </c>
      <c r="C134" s="131" t="s">
        <v>260</v>
      </c>
      <c r="D134" s="131" t="s">
        <v>135</v>
      </c>
      <c r="E134" s="130" t="n">
        <v>2648100</v>
      </c>
      <c r="F134" s="131" t="s">
        <v>29</v>
      </c>
      <c r="G134" s="130" t="n">
        <v>3000000</v>
      </c>
      <c r="H134" s="131" t="n">
        <v>677</v>
      </c>
      <c r="I134" s="132" t="n">
        <v>0.38</v>
      </c>
      <c r="J134" s="132" t="n">
        <v>0.42</v>
      </c>
      <c r="K134" s="130" t="n">
        <v>10.2182304293645</v>
      </c>
      <c r="L134" s="132" t="n">
        <v>0.42</v>
      </c>
      <c r="M134" s="131" t="s">
        <v>62</v>
      </c>
      <c r="N134" s="133" t="n">
        <v>4.8975510743552</v>
      </c>
      <c r="O134" s="133" t="n">
        <v>10.2182304293645</v>
      </c>
      <c r="P134" s="132" t="n">
        <v>0.0227</v>
      </c>
      <c r="Q134" s="131" t="s">
        <v>130</v>
      </c>
      <c r="R134" s="130" t="n">
        <v>10314000</v>
      </c>
      <c r="S134" s="143" t="n">
        <v>0</v>
      </c>
      <c r="T134" s="134" t="n">
        <v>45331.5828513889</v>
      </c>
    </row>
    <row r="135" customFormat="false" ht="39.75" hidden="false" customHeight="true" outlineLevel="0" collapsed="false">
      <c r="B135" s="130" t="n">
        <v>1130670450</v>
      </c>
      <c r="C135" s="131" t="s">
        <v>261</v>
      </c>
      <c r="D135" s="131" t="s">
        <v>135</v>
      </c>
      <c r="E135" s="130" t="n">
        <v>2320800</v>
      </c>
      <c r="F135" s="131" t="s">
        <v>29</v>
      </c>
      <c r="G135" s="130" t="n">
        <v>1400000</v>
      </c>
      <c r="H135" s="131" t="n">
        <v>598</v>
      </c>
      <c r="I135" s="132" t="n">
        <v>0.44</v>
      </c>
      <c r="J135" s="132" t="n">
        <v>0.47</v>
      </c>
      <c r="K135" s="130" t="n">
        <v>12.400655377456</v>
      </c>
      <c r="L135" s="132" t="n">
        <v>0.47</v>
      </c>
      <c r="M135" s="131" t="s">
        <v>64</v>
      </c>
      <c r="N135" s="133" t="n">
        <v>1.41178731471906</v>
      </c>
      <c r="O135" s="133" t="n">
        <v>12.400655377456</v>
      </c>
      <c r="P135" s="132" t="n">
        <v>0.0227</v>
      </c>
      <c r="Q135" s="131" t="s">
        <v>130</v>
      </c>
      <c r="R135" s="130" t="n">
        <v>25833000</v>
      </c>
      <c r="S135" s="143" t="n">
        <v>0</v>
      </c>
      <c r="T135" s="134" t="n">
        <v>45335.3302349537</v>
      </c>
    </row>
    <row r="136" customFormat="false" ht="39.75" hidden="false" customHeight="true" outlineLevel="0" collapsed="false">
      <c r="B136" s="130" t="n">
        <v>1116130515</v>
      </c>
      <c r="C136" s="131" t="s">
        <v>262</v>
      </c>
      <c r="D136" s="131" t="s">
        <v>135</v>
      </c>
      <c r="E136" s="130" t="n">
        <v>2648100</v>
      </c>
      <c r="F136" s="131" t="s">
        <v>17</v>
      </c>
      <c r="G136" s="130" t="n">
        <v>8671000</v>
      </c>
      <c r="H136" s="131" t="n">
        <v>665</v>
      </c>
      <c r="I136" s="132" t="n">
        <v>0.19</v>
      </c>
      <c r="J136" s="132" t="n">
        <v>0.29</v>
      </c>
      <c r="K136" s="130" t="n">
        <v>12.8522336769759</v>
      </c>
      <c r="L136" s="132" t="n">
        <v>0.29</v>
      </c>
      <c r="M136" s="131" t="s">
        <v>64</v>
      </c>
      <c r="N136" s="133" t="n">
        <v>1.09635663305766</v>
      </c>
      <c r="O136" s="133" t="n">
        <v>12.8522336769759</v>
      </c>
      <c r="P136" s="132" t="n">
        <v>0.017</v>
      </c>
      <c r="Q136" s="131" t="s">
        <v>130</v>
      </c>
      <c r="R136" s="130" t="n">
        <v>34034000</v>
      </c>
      <c r="S136" s="143" t="s">
        <v>263</v>
      </c>
      <c r="T136" s="134" t="n">
        <v>45336.4797153935</v>
      </c>
    </row>
    <row r="137" customFormat="false" ht="39.75" hidden="false" customHeight="true" outlineLevel="0" collapsed="false">
      <c r="B137" s="130" t="n">
        <v>1085279770</v>
      </c>
      <c r="C137" s="131" t="s">
        <v>264</v>
      </c>
      <c r="D137" s="131" t="s">
        <v>135</v>
      </c>
      <c r="E137" s="130" t="n">
        <v>7523500</v>
      </c>
      <c r="F137" s="131" t="s">
        <v>14</v>
      </c>
      <c r="G137" s="130" t="n">
        <v>6000000</v>
      </c>
      <c r="H137" s="131" t="n">
        <v>588</v>
      </c>
      <c r="I137" s="132" t="n">
        <v>0.11</v>
      </c>
      <c r="J137" s="132" t="n">
        <v>0.2</v>
      </c>
      <c r="K137" s="130" t="n">
        <v>0</v>
      </c>
      <c r="L137" s="132" t="n">
        <v>0.2</v>
      </c>
      <c r="M137" s="131" t="s">
        <v>64</v>
      </c>
      <c r="N137" s="133" t="n">
        <v>0.780898783810726</v>
      </c>
      <c r="O137" s="133" t="n">
        <v>0</v>
      </c>
      <c r="P137" s="132" t="n">
        <v>0.017</v>
      </c>
      <c r="Q137" s="131" t="s">
        <v>130</v>
      </c>
      <c r="R137" s="130" t="n">
        <v>0</v>
      </c>
      <c r="S137" s="143" t="n">
        <v>0</v>
      </c>
      <c r="T137" s="134" t="n">
        <v>45336.4815699074</v>
      </c>
    </row>
    <row r="138" customFormat="false" ht="39.75" hidden="false" customHeight="true" outlineLevel="0" collapsed="false">
      <c r="B138" s="130" t="n">
        <v>1144179639</v>
      </c>
      <c r="C138" s="131" t="s">
        <v>265</v>
      </c>
      <c r="D138" s="131" t="s">
        <v>135</v>
      </c>
      <c r="E138" s="130" t="n">
        <v>2383300</v>
      </c>
      <c r="F138" s="131" t="s">
        <v>14</v>
      </c>
      <c r="G138" s="130" t="n">
        <v>7000000</v>
      </c>
      <c r="H138" s="131" t="n">
        <v>642</v>
      </c>
      <c r="I138" s="132" t="n">
        <v>0.08</v>
      </c>
      <c r="J138" s="132" t="n">
        <v>0.2</v>
      </c>
      <c r="K138" s="130" t="n">
        <v>0.06994755171401</v>
      </c>
      <c r="L138" s="132" t="n">
        <v>0.2</v>
      </c>
      <c r="M138" s="131" t="s">
        <v>64</v>
      </c>
      <c r="N138" s="133" t="n">
        <v>0.656098686694919</v>
      </c>
      <c r="O138" s="133" t="n">
        <v>0.06994755171401</v>
      </c>
      <c r="P138" s="132" t="n">
        <v>0.017</v>
      </c>
      <c r="Q138" s="131" t="s">
        <v>130</v>
      </c>
      <c r="R138" s="130" t="n">
        <v>0</v>
      </c>
      <c r="S138" s="143" t="n">
        <v>0</v>
      </c>
      <c r="T138" s="134" t="n">
        <v>45336.483112963</v>
      </c>
    </row>
    <row r="139" customFormat="false" ht="39.75" hidden="false" customHeight="true" outlineLevel="0" collapsed="false">
      <c r="B139" s="130" t="n">
        <v>1144186978</v>
      </c>
      <c r="C139" s="131" t="s">
        <v>266</v>
      </c>
      <c r="D139" s="131" t="s">
        <v>135</v>
      </c>
      <c r="E139" s="130" t="n">
        <v>2320800</v>
      </c>
      <c r="F139" s="131" t="s">
        <v>14</v>
      </c>
      <c r="G139" s="130" t="n">
        <v>4100000</v>
      </c>
      <c r="H139" s="131" t="n">
        <v>628</v>
      </c>
      <c r="I139" s="132" t="n">
        <v>0.46</v>
      </c>
      <c r="J139" s="132" t="n">
        <v>0.52</v>
      </c>
      <c r="K139" s="130" t="n">
        <v>10.7063322992072</v>
      </c>
      <c r="L139" s="132" t="n">
        <v>0.52</v>
      </c>
      <c r="M139" s="131" t="s">
        <v>64</v>
      </c>
      <c r="N139" s="133" t="n">
        <v>1.00668605653223</v>
      </c>
      <c r="O139" s="133" t="n">
        <v>10.7063322992072</v>
      </c>
      <c r="P139" s="132" t="n">
        <v>0.017</v>
      </c>
      <c r="Q139" s="131" t="s">
        <v>130</v>
      </c>
      <c r="R139" s="130" t="n">
        <v>21991000</v>
      </c>
      <c r="S139" s="143" t="s">
        <v>267</v>
      </c>
      <c r="T139" s="134" t="n">
        <v>45336.4925238426</v>
      </c>
    </row>
    <row r="140" customFormat="false" ht="39.75" hidden="false" customHeight="true" outlineLevel="0" collapsed="false">
      <c r="B140" s="130" t="n">
        <v>1107081228</v>
      </c>
      <c r="C140" s="131" t="s">
        <v>268</v>
      </c>
      <c r="D140" s="131" t="s">
        <v>135</v>
      </c>
      <c r="E140" s="130" t="n">
        <v>2320800</v>
      </c>
      <c r="F140" s="131" t="s">
        <v>29</v>
      </c>
      <c r="G140" s="130" t="n">
        <v>4000000</v>
      </c>
      <c r="H140" s="131" t="n">
        <v>669</v>
      </c>
      <c r="I140" s="132" t="n">
        <v>0.33</v>
      </c>
      <c r="J140" s="132" t="n">
        <v>0.51</v>
      </c>
      <c r="K140" s="130" t="n">
        <v>3.31878317821441</v>
      </c>
      <c r="L140" s="132" t="n">
        <v>0.51</v>
      </c>
      <c r="M140" s="131" t="s">
        <v>64</v>
      </c>
      <c r="N140" s="133" t="n">
        <v>2.50153136849362</v>
      </c>
      <c r="O140" s="133" t="n">
        <v>3.31878317821441</v>
      </c>
      <c r="P140" s="132" t="n">
        <v>0.0227</v>
      </c>
      <c r="Q140" s="131" t="s">
        <v>130</v>
      </c>
      <c r="R140" s="130" t="n">
        <v>6079000</v>
      </c>
      <c r="S140" s="143" t="n">
        <v>0</v>
      </c>
      <c r="T140" s="134" t="n">
        <v>45337.7231527778</v>
      </c>
    </row>
    <row r="141" customFormat="false" ht="39.75" hidden="false" customHeight="true" outlineLevel="0" collapsed="false">
      <c r="B141" s="130" t="n">
        <v>38612964</v>
      </c>
      <c r="C141" s="131" t="s">
        <v>269</v>
      </c>
      <c r="D141" s="131" t="s">
        <v>135</v>
      </c>
      <c r="E141" s="130" t="n">
        <v>2648100</v>
      </c>
      <c r="F141" s="131" t="s">
        <v>29</v>
      </c>
      <c r="G141" s="130" t="n">
        <v>3300000</v>
      </c>
      <c r="H141" s="131" t="n">
        <v>745</v>
      </c>
      <c r="I141" s="132" t="n">
        <v>0.3</v>
      </c>
      <c r="J141" s="132" t="n">
        <v>0.38</v>
      </c>
      <c r="K141" s="130" t="n">
        <v>16.2029379555153</v>
      </c>
      <c r="L141" s="132" t="n">
        <v>0.38</v>
      </c>
      <c r="M141" s="131" t="s">
        <v>64</v>
      </c>
      <c r="N141" s="133" t="n">
        <v>1.20894754729806</v>
      </c>
      <c r="O141" s="133" t="n">
        <v>16.2029379555153</v>
      </c>
      <c r="P141" s="132" t="n">
        <v>0.0227</v>
      </c>
      <c r="Q141" s="131" t="s">
        <v>130</v>
      </c>
      <c r="R141" s="130" t="n">
        <v>42907000</v>
      </c>
      <c r="S141" s="143" t="n">
        <v>0</v>
      </c>
      <c r="T141" s="134" t="n">
        <v>45337.7280952546</v>
      </c>
    </row>
    <row r="142" customFormat="false" ht="39.75" hidden="false" customHeight="true" outlineLevel="0" collapsed="false">
      <c r="B142" s="130" t="n">
        <v>1059985209</v>
      </c>
      <c r="C142" s="131" t="s">
        <v>270</v>
      </c>
      <c r="D142" s="131" t="s">
        <v>135</v>
      </c>
      <c r="E142" s="130" t="n">
        <v>1490100</v>
      </c>
      <c r="F142" s="131" t="s">
        <v>29</v>
      </c>
      <c r="G142" s="130" t="n">
        <v>2500000</v>
      </c>
      <c r="H142" s="131" t="n">
        <v>682</v>
      </c>
      <c r="I142" s="132" t="n">
        <v>0.06</v>
      </c>
      <c r="J142" s="132" t="n">
        <v>0.12</v>
      </c>
      <c r="K142" s="130" t="n">
        <v>2.37433729279914</v>
      </c>
      <c r="L142" s="132" t="n">
        <v>0.12</v>
      </c>
      <c r="M142" s="131" t="s">
        <v>64</v>
      </c>
      <c r="N142" s="133" t="n">
        <v>1.1911891819341</v>
      </c>
      <c r="O142" s="133" t="n">
        <v>2.37433729279914</v>
      </c>
      <c r="P142" s="132" t="n">
        <v>0.0227</v>
      </c>
      <c r="Q142" s="131" t="s">
        <v>130</v>
      </c>
      <c r="R142" s="130" t="n">
        <v>3538000</v>
      </c>
      <c r="S142" s="143" t="n">
        <v>0</v>
      </c>
      <c r="T142" s="134" t="n">
        <v>45337.7331986111</v>
      </c>
    </row>
    <row r="143" customFormat="false" ht="39.75" hidden="false" customHeight="true" outlineLevel="0" collapsed="false">
      <c r="B143" s="130" t="n">
        <v>1144161155</v>
      </c>
      <c r="C143" s="131" t="s">
        <v>271</v>
      </c>
      <c r="D143" s="131" t="s">
        <v>135</v>
      </c>
      <c r="E143" s="130" t="n">
        <v>1821900</v>
      </c>
      <c r="F143" s="131" t="s">
        <v>29</v>
      </c>
      <c r="G143" s="130" t="n">
        <v>700000</v>
      </c>
      <c r="H143" s="131" t="n">
        <v>632</v>
      </c>
      <c r="I143" s="132" t="n">
        <v>0.15</v>
      </c>
      <c r="J143" s="132" t="n">
        <v>0.19</v>
      </c>
      <c r="K143" s="130" t="n">
        <v>1.06409407761128</v>
      </c>
      <c r="L143" s="132" t="n">
        <v>0.19</v>
      </c>
      <c r="M143" s="131" t="s">
        <v>64</v>
      </c>
      <c r="N143" s="133" t="n">
        <v>0.758108019100939</v>
      </c>
      <c r="O143" s="133" t="n">
        <v>1.06409407761128</v>
      </c>
      <c r="P143" s="132" t="n">
        <v>0.0227</v>
      </c>
      <c r="Q143" s="131" t="s">
        <v>130</v>
      </c>
      <c r="R143" s="130" t="n">
        <v>0</v>
      </c>
      <c r="S143" s="143" t="n">
        <v>0</v>
      </c>
      <c r="T143" s="134" t="n">
        <v>45338.4062258102</v>
      </c>
    </row>
    <row r="144" customFormat="false" ht="39.75" hidden="false" customHeight="true" outlineLevel="0" collapsed="false">
      <c r="B144" s="130" t="n">
        <v>1214738852</v>
      </c>
      <c r="C144" s="131" t="s">
        <v>272</v>
      </c>
      <c r="D144" s="131" t="s">
        <v>135</v>
      </c>
      <c r="E144" s="130" t="n">
        <v>1450000</v>
      </c>
      <c r="F144" s="131" t="s">
        <v>29</v>
      </c>
      <c r="G144" s="130" t="n">
        <v>2900000</v>
      </c>
      <c r="H144" s="131" t="n">
        <v>677</v>
      </c>
      <c r="I144" s="132" t="n">
        <v>0.13</v>
      </c>
      <c r="J144" s="132" t="n">
        <v>0.2</v>
      </c>
      <c r="K144" s="130" t="n">
        <v>3.15871448275862</v>
      </c>
      <c r="L144" s="132" t="n">
        <v>0.2</v>
      </c>
      <c r="M144" s="131" t="s">
        <v>64</v>
      </c>
      <c r="N144" s="133" t="n">
        <v>1.02723931034483</v>
      </c>
      <c r="O144" s="133" t="n">
        <v>3.15871448275862</v>
      </c>
      <c r="P144" s="132" t="n">
        <v>0.0227</v>
      </c>
      <c r="Q144" s="131" t="s">
        <v>130</v>
      </c>
      <c r="R144" s="130" t="n">
        <v>4266000</v>
      </c>
      <c r="S144" s="143" t="n">
        <v>0</v>
      </c>
      <c r="T144" s="134" t="n">
        <v>45338.4101398148</v>
      </c>
    </row>
    <row r="145" customFormat="false" ht="39.75" hidden="false" customHeight="true" outlineLevel="0" collapsed="false">
      <c r="B145" s="130" t="n">
        <v>38683726</v>
      </c>
      <c r="C145" s="131" t="s">
        <v>273</v>
      </c>
      <c r="D145" s="131" t="s">
        <v>135</v>
      </c>
      <c r="E145" s="130" t="n">
        <v>2088700</v>
      </c>
      <c r="F145" s="131" t="s">
        <v>29</v>
      </c>
      <c r="G145" s="130" t="n">
        <v>1400000</v>
      </c>
      <c r="H145" s="131" t="n">
        <v>440</v>
      </c>
      <c r="I145" s="132" t="n">
        <v>0.16</v>
      </c>
      <c r="J145" s="132" t="n">
        <v>0.2</v>
      </c>
      <c r="K145" s="130" t="n">
        <v>8.55796859290468</v>
      </c>
      <c r="L145" s="132" t="n">
        <v>0.2</v>
      </c>
      <c r="M145" s="131" t="s">
        <v>64</v>
      </c>
      <c r="N145" s="133" t="n">
        <v>3.85454493225451</v>
      </c>
      <c r="O145" s="133" t="n">
        <v>8.55796859290468</v>
      </c>
      <c r="P145" s="132" t="n">
        <v>0.0227</v>
      </c>
      <c r="Q145" s="131" t="s">
        <v>130</v>
      </c>
      <c r="R145" s="130" t="n">
        <v>16137000</v>
      </c>
      <c r="S145" s="143" t="n">
        <v>0</v>
      </c>
      <c r="T145" s="134" t="n">
        <v>45338.4490634259</v>
      </c>
    </row>
    <row r="146" customFormat="false" ht="39.75" hidden="false" customHeight="true" outlineLevel="0" collapsed="false">
      <c r="B146" s="130" t="n">
        <v>1107518527</v>
      </c>
      <c r="C146" s="131" t="s">
        <v>274</v>
      </c>
      <c r="D146" s="131" t="s">
        <v>135</v>
      </c>
      <c r="E146" s="130" t="n">
        <v>2648100</v>
      </c>
      <c r="F146" s="131" t="s">
        <v>29</v>
      </c>
      <c r="G146" s="130" t="n">
        <v>1500000</v>
      </c>
      <c r="H146" s="131" t="n">
        <v>582</v>
      </c>
      <c r="I146" s="132" t="n">
        <v>0.36</v>
      </c>
      <c r="J146" s="132" t="n">
        <v>0.4</v>
      </c>
      <c r="K146" s="130" t="n">
        <v>14.3923722669084</v>
      </c>
      <c r="L146" s="132" t="n">
        <v>0.4</v>
      </c>
      <c r="M146" s="131" t="s">
        <v>64</v>
      </c>
      <c r="N146" s="133" t="n">
        <v>2.33231373437559</v>
      </c>
      <c r="O146" s="133" t="n">
        <v>14.3923722669084</v>
      </c>
      <c r="P146" s="132" t="n">
        <v>0.0227</v>
      </c>
      <c r="Q146" s="131" t="s">
        <v>130</v>
      </c>
      <c r="R146" s="130" t="n">
        <v>36424000</v>
      </c>
      <c r="S146" s="143" t="n">
        <v>0</v>
      </c>
      <c r="T146" s="134" t="n">
        <v>45338.4523734954</v>
      </c>
    </row>
    <row r="147" customFormat="false" ht="39.75" hidden="false" customHeight="true" outlineLevel="0" collapsed="false">
      <c r="B147" s="130" t="n">
        <v>1113695768</v>
      </c>
      <c r="C147" s="131" t="s">
        <v>275</v>
      </c>
      <c r="D147" s="131" t="s">
        <v>135</v>
      </c>
      <c r="E147" s="130" t="n">
        <v>2088700</v>
      </c>
      <c r="F147" s="131" t="s">
        <v>29</v>
      </c>
      <c r="G147" s="130" t="n">
        <v>2400000</v>
      </c>
      <c r="H147" s="131" t="n">
        <v>632</v>
      </c>
      <c r="I147" s="132" t="n">
        <v>0.4</v>
      </c>
      <c r="J147" s="132" t="n">
        <v>0.44</v>
      </c>
      <c r="K147" s="130" t="n">
        <v>21.4915162541294</v>
      </c>
      <c r="L147" s="132" t="n">
        <v>0.44</v>
      </c>
      <c r="M147" s="131" t="s">
        <v>64</v>
      </c>
      <c r="N147" s="133" t="n">
        <v>1.94037200172356</v>
      </c>
      <c r="O147" s="133" t="n">
        <v>21.4915162541294</v>
      </c>
      <c r="P147" s="132" t="n">
        <v>0.0227</v>
      </c>
      <c r="Q147" s="131" t="s">
        <v>130</v>
      </c>
      <c r="R147" s="130" t="n">
        <v>43620000</v>
      </c>
      <c r="S147" s="143" t="n">
        <v>0</v>
      </c>
      <c r="T147" s="134" t="n">
        <v>45338.4578034722</v>
      </c>
    </row>
    <row r="148" customFormat="false" ht="39.75" hidden="false" customHeight="true" outlineLevel="0" collapsed="false">
      <c r="B148" s="130" t="n">
        <v>1107085530</v>
      </c>
      <c r="C148" s="131" t="s">
        <v>276</v>
      </c>
      <c r="D148" s="131" t="s">
        <v>135</v>
      </c>
      <c r="E148" s="130" t="n">
        <v>2383300</v>
      </c>
      <c r="F148" s="131" t="s">
        <v>29</v>
      </c>
      <c r="G148" s="130" t="n">
        <v>1200000</v>
      </c>
      <c r="H148" s="131" t="n">
        <v>657</v>
      </c>
      <c r="I148" s="132" t="n">
        <v>0.19</v>
      </c>
      <c r="J148" s="132" t="n">
        <v>0.24</v>
      </c>
      <c r="K148" s="130" t="n">
        <v>1.8622506608484</v>
      </c>
      <c r="L148" s="132" t="n">
        <v>0.24</v>
      </c>
      <c r="M148" s="131" t="s">
        <v>64</v>
      </c>
      <c r="N148" s="133" t="n">
        <v>0.941283934041036</v>
      </c>
      <c r="O148" s="133" t="n">
        <v>1.8622506608484</v>
      </c>
      <c r="P148" s="132" t="n">
        <v>0.0227</v>
      </c>
      <c r="Q148" s="131" t="s">
        <v>130</v>
      </c>
      <c r="R148" s="130" t="n">
        <v>1425000</v>
      </c>
      <c r="S148" s="143" t="n">
        <v>0</v>
      </c>
      <c r="T148" s="134" t="n">
        <v>45338.4669137732</v>
      </c>
    </row>
    <row r="149" customFormat="false" ht="39.75" hidden="false" customHeight="true" outlineLevel="0" collapsed="false">
      <c r="B149" s="130" t="n">
        <v>38613482</v>
      </c>
      <c r="C149" s="131" t="s">
        <v>277</v>
      </c>
      <c r="D149" s="131" t="s">
        <v>135</v>
      </c>
      <c r="E149" s="130" t="n">
        <v>1450000</v>
      </c>
      <c r="F149" s="131" t="s">
        <v>29</v>
      </c>
      <c r="G149" s="130" t="n">
        <v>1900000</v>
      </c>
      <c r="H149" s="131" t="n">
        <v>683</v>
      </c>
      <c r="I149" s="132" t="n">
        <v>0.47</v>
      </c>
      <c r="J149" s="132" t="n">
        <v>0.54</v>
      </c>
      <c r="K149" s="130" t="n">
        <v>22.9525917241379</v>
      </c>
      <c r="L149" s="132" t="n">
        <v>0.54</v>
      </c>
      <c r="M149" s="131" t="s">
        <v>64</v>
      </c>
      <c r="N149" s="133" t="n">
        <v>1.45003034482759</v>
      </c>
      <c r="O149" s="133" t="n">
        <v>22.9525917241379</v>
      </c>
      <c r="P149" s="132" t="n">
        <v>0.0227</v>
      </c>
      <c r="Q149" s="131" t="s">
        <v>130</v>
      </c>
      <c r="R149" s="130" t="n">
        <v>31854000</v>
      </c>
      <c r="S149" s="143" t="n">
        <v>0</v>
      </c>
      <c r="T149" s="134" t="n">
        <v>45338.4726460648</v>
      </c>
    </row>
    <row r="150" customFormat="false" ht="39.75" hidden="false" customHeight="true" outlineLevel="0" collapsed="false">
      <c r="B150" s="130" t="n">
        <v>1143857356</v>
      </c>
      <c r="C150" s="131" t="s">
        <v>278</v>
      </c>
      <c r="D150" s="131" t="s">
        <v>135</v>
      </c>
      <c r="E150" s="130" t="n">
        <v>1821900</v>
      </c>
      <c r="F150" s="131" t="s">
        <v>29</v>
      </c>
      <c r="G150" s="130" t="n">
        <v>600000</v>
      </c>
      <c r="H150" s="131" t="n">
        <v>640</v>
      </c>
      <c r="I150" s="132" t="n">
        <v>0.17</v>
      </c>
      <c r="J150" s="132" t="n">
        <v>0.2</v>
      </c>
      <c r="K150" s="130" t="n">
        <v>3.10940227235304</v>
      </c>
      <c r="L150" s="132" t="n">
        <v>0.2</v>
      </c>
      <c r="M150" s="131" t="s">
        <v>64</v>
      </c>
      <c r="N150" s="133" t="n">
        <v>0.873667599758494</v>
      </c>
      <c r="O150" s="133" t="n">
        <v>3.10940227235304</v>
      </c>
      <c r="P150" s="132" t="n">
        <v>0.0227</v>
      </c>
      <c r="Q150" s="131" t="s">
        <v>130</v>
      </c>
      <c r="R150" s="130" t="n">
        <v>4631000</v>
      </c>
      <c r="S150" s="143" t="n">
        <v>0</v>
      </c>
      <c r="T150" s="134" t="n">
        <v>45338.4848585648</v>
      </c>
    </row>
    <row r="151" customFormat="false" ht="39.75" hidden="false" customHeight="true" outlineLevel="0" collapsed="false">
      <c r="B151" s="130" t="n">
        <v>1143857356</v>
      </c>
      <c r="C151" s="131" t="s">
        <v>278</v>
      </c>
      <c r="D151" s="131" t="s">
        <v>135</v>
      </c>
      <c r="E151" s="130" t="n">
        <v>1821900</v>
      </c>
      <c r="F151" s="131" t="s">
        <v>29</v>
      </c>
      <c r="G151" s="130" t="n">
        <v>1600000</v>
      </c>
      <c r="H151" s="131" t="n">
        <v>640</v>
      </c>
      <c r="I151" s="132" t="n">
        <v>0.68</v>
      </c>
      <c r="J151" s="132" t="n">
        <v>0.77</v>
      </c>
      <c r="K151" s="130" t="n">
        <v>5.74813107195785</v>
      </c>
      <c r="L151" s="132" t="n">
        <v>0.77</v>
      </c>
      <c r="M151" s="131" t="s">
        <v>64</v>
      </c>
      <c r="N151" s="133" t="n">
        <v>1.48914539766178</v>
      </c>
      <c r="O151" s="133" t="n">
        <v>5.74813107195785</v>
      </c>
      <c r="P151" s="132" t="n">
        <v>0.0227</v>
      </c>
      <c r="Q151" s="131" t="s">
        <v>130</v>
      </c>
      <c r="R151" s="130" t="n">
        <v>7040000</v>
      </c>
      <c r="S151" s="143" t="n">
        <v>0</v>
      </c>
      <c r="T151" s="134" t="n">
        <v>45338.4945341435</v>
      </c>
    </row>
    <row r="152" customFormat="false" ht="39.75" hidden="false" customHeight="true" outlineLevel="0" collapsed="false">
      <c r="B152" s="130" t="n">
        <v>94064042</v>
      </c>
      <c r="C152" s="131" t="s">
        <v>279</v>
      </c>
      <c r="D152" s="131" t="s">
        <v>135</v>
      </c>
      <c r="E152" s="130" t="n">
        <v>2320800</v>
      </c>
      <c r="F152" s="131" t="s">
        <v>29</v>
      </c>
      <c r="G152" s="130" t="n">
        <v>1600000</v>
      </c>
      <c r="H152" s="131" t="n">
        <v>747</v>
      </c>
      <c r="I152" s="132" t="n">
        <v>0.54</v>
      </c>
      <c r="J152" s="132" t="n">
        <v>0.61</v>
      </c>
      <c r="K152" s="130" t="n">
        <v>4.51246122026887</v>
      </c>
      <c r="L152" s="132" t="n">
        <v>0.61</v>
      </c>
      <c r="M152" s="131" t="s">
        <v>64</v>
      </c>
      <c r="N152" s="133" t="n">
        <v>1.29370734229576</v>
      </c>
      <c r="O152" s="133" t="n">
        <v>4.51246122026887</v>
      </c>
      <c r="P152" s="132" t="n">
        <v>0.0227</v>
      </c>
      <c r="Q152" s="131" t="s">
        <v>130</v>
      </c>
      <c r="R152" s="130" t="n">
        <v>7040000</v>
      </c>
      <c r="S152" s="143" t="n">
        <v>0</v>
      </c>
      <c r="T152" s="134" t="n">
        <v>45338.4953344907</v>
      </c>
    </row>
    <row r="153" customFormat="false" ht="39.75" hidden="false" customHeight="true" outlineLevel="0" collapsed="false">
      <c r="B153" s="130" t="n">
        <v>1144168040</v>
      </c>
      <c r="C153" s="131" t="s">
        <v>280</v>
      </c>
      <c r="D153" s="131" t="s">
        <v>135</v>
      </c>
      <c r="E153" s="130" t="n">
        <v>2648100</v>
      </c>
      <c r="F153" s="131" t="s">
        <v>29</v>
      </c>
      <c r="G153" s="130" t="n">
        <v>1800000</v>
      </c>
      <c r="H153" s="131" t="n">
        <v>747</v>
      </c>
      <c r="I153" s="132" t="n">
        <v>0.46</v>
      </c>
      <c r="J153" s="132" t="n">
        <v>0.5</v>
      </c>
      <c r="K153" s="130" t="n">
        <v>16.4581133642989</v>
      </c>
      <c r="L153" s="132" t="n">
        <v>0.5</v>
      </c>
      <c r="M153" s="131" t="s">
        <v>64</v>
      </c>
      <c r="N153" s="133" t="n">
        <v>1.7880740908576</v>
      </c>
      <c r="O153" s="133" t="n">
        <v>16.4581133642989</v>
      </c>
      <c r="P153" s="132" t="n">
        <v>0.0227</v>
      </c>
      <c r="Q153" s="131" t="s">
        <v>130</v>
      </c>
      <c r="R153" s="130" t="n">
        <v>43191000</v>
      </c>
      <c r="S153" s="143" t="n">
        <v>0</v>
      </c>
      <c r="T153" s="134" t="n">
        <v>45338.5082976852</v>
      </c>
    </row>
    <row r="154" customFormat="false" ht="39.75" hidden="false" customHeight="true" outlineLevel="0" collapsed="false">
      <c r="B154" s="130" t="n">
        <v>67000591</v>
      </c>
      <c r="C154" s="131" t="s">
        <v>260</v>
      </c>
      <c r="D154" s="131" t="s">
        <v>135</v>
      </c>
      <c r="E154" s="130" t="n">
        <v>2648100</v>
      </c>
      <c r="F154" s="131" t="s">
        <v>29</v>
      </c>
      <c r="G154" s="130" t="n">
        <v>3000000</v>
      </c>
      <c r="H154" s="131" t="n">
        <v>677</v>
      </c>
      <c r="I154" s="132" t="n">
        <v>0.38</v>
      </c>
      <c r="J154" s="132" t="n">
        <v>0.43</v>
      </c>
      <c r="K154" s="130" t="n">
        <v>9.6336603602583</v>
      </c>
      <c r="L154" s="132" t="n">
        <v>0.43</v>
      </c>
      <c r="M154" s="131" t="s">
        <v>62</v>
      </c>
      <c r="N154" s="133" t="n">
        <v>4.8975510743552</v>
      </c>
      <c r="O154" s="133" t="n">
        <v>9.6336603602583</v>
      </c>
      <c r="P154" s="132" t="n">
        <v>0.0227</v>
      </c>
      <c r="Q154" s="131" t="s">
        <v>130</v>
      </c>
      <c r="R154" s="130" t="n">
        <v>8766000</v>
      </c>
      <c r="S154" s="143" t="n">
        <v>0</v>
      </c>
      <c r="T154" s="134" t="n">
        <v>45338.5822542824</v>
      </c>
    </row>
    <row r="155" customFormat="false" ht="39.75" hidden="false" customHeight="true" outlineLevel="0" collapsed="false">
      <c r="B155" s="130" t="n">
        <v>1130640687</v>
      </c>
      <c r="C155" s="131" t="s">
        <v>281</v>
      </c>
      <c r="D155" s="131" t="s">
        <v>135</v>
      </c>
      <c r="E155" s="130" t="n">
        <v>2648100</v>
      </c>
      <c r="F155" s="131" t="s">
        <v>29</v>
      </c>
      <c r="G155" s="130" t="n">
        <v>3000000</v>
      </c>
      <c r="H155" s="131" t="n">
        <v>726</v>
      </c>
      <c r="I155" s="132" t="n">
        <v>0.26</v>
      </c>
      <c r="J155" s="132" t="n">
        <v>0.31</v>
      </c>
      <c r="K155" s="130" t="n">
        <v>0.756858879951664</v>
      </c>
      <c r="L155" s="132" t="n">
        <v>0.31</v>
      </c>
      <c r="M155" s="131" t="s">
        <v>64</v>
      </c>
      <c r="N155" s="133" t="n">
        <v>1.01900683508931</v>
      </c>
      <c r="O155" s="133" t="n">
        <v>0.756858879951664</v>
      </c>
      <c r="P155" s="132" t="n">
        <v>0.0227</v>
      </c>
      <c r="Q155" s="131" t="s">
        <v>130</v>
      </c>
      <c r="R155" s="130" t="n">
        <v>0</v>
      </c>
      <c r="S155" s="143" t="n">
        <v>0</v>
      </c>
      <c r="T155" s="134" t="n">
        <v>45338.5927671296</v>
      </c>
    </row>
    <row r="156" customFormat="false" ht="39.75" hidden="false" customHeight="true" outlineLevel="0" collapsed="false">
      <c r="B156" s="130" t="n">
        <v>1144181439</v>
      </c>
      <c r="C156" s="131" t="s">
        <v>282</v>
      </c>
      <c r="D156" s="131" t="s">
        <v>135</v>
      </c>
      <c r="E156" s="130" t="n">
        <v>2648100</v>
      </c>
      <c r="F156" s="131" t="s">
        <v>29</v>
      </c>
      <c r="G156" s="130" t="n">
        <v>2358000</v>
      </c>
      <c r="H156" s="131" t="n">
        <v>315</v>
      </c>
      <c r="I156" s="132" t="n">
        <v>0.08</v>
      </c>
      <c r="J156" s="132" t="n">
        <v>0.17</v>
      </c>
      <c r="K156" s="130" t="n">
        <v>15.0532857520486</v>
      </c>
      <c r="L156" s="132" t="n">
        <v>0.17</v>
      </c>
      <c r="M156" s="131" t="s">
        <v>64</v>
      </c>
      <c r="N156" s="133" t="n">
        <v>1.49690230731468</v>
      </c>
      <c r="O156" s="133" t="n">
        <v>15.0532857520486</v>
      </c>
      <c r="P156" s="132" t="n">
        <v>0.0227</v>
      </c>
      <c r="Q156" s="131" t="s">
        <v>130</v>
      </c>
      <c r="R156" s="130" t="n">
        <v>39436000</v>
      </c>
      <c r="S156" s="143" t="n">
        <v>0</v>
      </c>
      <c r="T156" s="134" t="n">
        <v>45338.6142929398</v>
      </c>
    </row>
    <row r="157" customFormat="false" ht="39.75" hidden="false" customHeight="true" outlineLevel="0" collapsed="false">
      <c r="B157" s="130" t="n">
        <v>1113514036</v>
      </c>
      <c r="C157" s="131" t="s">
        <v>283</v>
      </c>
      <c r="D157" s="131" t="s">
        <v>135</v>
      </c>
      <c r="E157" s="130" t="n">
        <v>2648100</v>
      </c>
      <c r="F157" s="131" t="s">
        <v>29</v>
      </c>
      <c r="G157" s="130" t="n">
        <v>3400000</v>
      </c>
      <c r="H157" s="131" t="n">
        <v>632</v>
      </c>
      <c r="I157" s="132" t="n">
        <v>0.13</v>
      </c>
      <c r="J157" s="132" t="n">
        <v>0.12</v>
      </c>
      <c r="K157" s="130" t="n">
        <v>7.46210830406707</v>
      </c>
      <c r="L157" s="132" t="n">
        <v>0.12</v>
      </c>
      <c r="M157" s="131" t="s">
        <v>62</v>
      </c>
      <c r="N157" s="133" t="n">
        <v>4.40190929345569</v>
      </c>
      <c r="O157" s="133" t="n">
        <v>7.46210830406707</v>
      </c>
      <c r="P157" s="132" t="n">
        <v>0.0227</v>
      </c>
      <c r="Q157" s="131" t="s">
        <v>130</v>
      </c>
      <c r="R157" s="130" t="n">
        <v>11062000</v>
      </c>
      <c r="S157" s="143" t="n">
        <v>0</v>
      </c>
      <c r="T157" s="134" t="n">
        <v>45342.3980896991</v>
      </c>
    </row>
    <row r="158" customFormat="false" ht="39.75" hidden="false" customHeight="true" outlineLevel="0" collapsed="false">
      <c r="B158" s="130" t="n">
        <v>1143959417</v>
      </c>
      <c r="C158" s="131" t="s">
        <v>284</v>
      </c>
      <c r="D158" s="131" t="s">
        <v>135</v>
      </c>
      <c r="E158" s="130" t="n">
        <v>2916600</v>
      </c>
      <c r="F158" s="131" t="s">
        <v>29</v>
      </c>
      <c r="G158" s="130" t="n">
        <v>3200000</v>
      </c>
      <c r="H158" s="131" t="n">
        <v>701</v>
      </c>
      <c r="I158" s="132" t="n">
        <v>0.14</v>
      </c>
      <c r="J158" s="132" t="n">
        <v>0.19</v>
      </c>
      <c r="K158" s="130" t="n">
        <v>7.46918192415827</v>
      </c>
      <c r="L158" s="132" t="n">
        <v>0.19</v>
      </c>
      <c r="M158" s="131" t="s">
        <v>64</v>
      </c>
      <c r="N158" s="133" t="n">
        <v>1.01929026949187</v>
      </c>
      <c r="O158" s="133" t="n">
        <v>7.46918192415827</v>
      </c>
      <c r="P158" s="132" t="n">
        <v>0.0227</v>
      </c>
      <c r="Q158" s="131" t="s">
        <v>130</v>
      </c>
      <c r="R158" s="130" t="n">
        <v>8653000</v>
      </c>
      <c r="S158" s="143" t="s">
        <v>285</v>
      </c>
      <c r="T158" s="134" t="n">
        <v>45342.5997034722</v>
      </c>
    </row>
    <row r="159" customFormat="false" ht="39.75" hidden="false" customHeight="true" outlineLevel="0" collapsed="false">
      <c r="B159" s="130" t="n">
        <v>16940638</v>
      </c>
      <c r="C159" s="131" t="s">
        <v>286</v>
      </c>
      <c r="D159" s="131" t="s">
        <v>135</v>
      </c>
      <c r="E159" s="130" t="n">
        <v>2600900</v>
      </c>
      <c r="F159" s="131" t="s">
        <v>33</v>
      </c>
      <c r="G159" s="130" t="n">
        <v>4500000</v>
      </c>
      <c r="H159" s="131" t="n">
        <v>665</v>
      </c>
      <c r="I159" s="132" t="n">
        <v>0.17</v>
      </c>
      <c r="J159" s="132" t="n">
        <v>0.21</v>
      </c>
      <c r="K159" s="130" t="n">
        <v>0.954889461340305</v>
      </c>
      <c r="L159" s="132" t="n">
        <v>0.21</v>
      </c>
      <c r="M159" s="131" t="s">
        <v>64</v>
      </c>
      <c r="N159" s="133" t="n">
        <v>0.733484563035872</v>
      </c>
      <c r="O159" s="133" t="n">
        <v>0.954889461340305</v>
      </c>
      <c r="P159" s="132" t="n">
        <v>0.0149</v>
      </c>
      <c r="Q159" s="131" t="s">
        <v>130</v>
      </c>
      <c r="R159" s="130" t="n">
        <v>0</v>
      </c>
      <c r="S159" s="143" t="n">
        <v>0</v>
      </c>
      <c r="T159" s="134" t="n">
        <v>45342.6339773148</v>
      </c>
    </row>
    <row r="160" customFormat="false" ht="39.75" hidden="false" customHeight="true" outlineLevel="0" collapsed="false">
      <c r="B160" s="130" t="n">
        <v>1143851108</v>
      </c>
      <c r="C160" s="131" t="s">
        <v>287</v>
      </c>
      <c r="D160" s="131" t="s">
        <v>135</v>
      </c>
      <c r="E160" s="130" t="n">
        <v>2340800</v>
      </c>
      <c r="F160" s="131" t="s">
        <v>29</v>
      </c>
      <c r="G160" s="130" t="n">
        <v>3100000</v>
      </c>
      <c r="H160" s="131" t="n">
        <v>773</v>
      </c>
      <c r="I160" s="132" t="n">
        <v>0.06</v>
      </c>
      <c r="J160" s="132" t="n">
        <v>0.12</v>
      </c>
      <c r="K160" s="130" t="n">
        <v>4.52708475734792</v>
      </c>
      <c r="L160" s="132" t="n">
        <v>0.12</v>
      </c>
      <c r="M160" s="131" t="s">
        <v>64</v>
      </c>
      <c r="N160" s="133" t="n">
        <v>1.04005639097744</v>
      </c>
      <c r="O160" s="133" t="n">
        <v>4.52708475734792</v>
      </c>
      <c r="P160" s="132" t="n">
        <v>0.0149</v>
      </c>
      <c r="Q160" s="131" t="s">
        <v>130</v>
      </c>
      <c r="R160" s="130" t="n">
        <v>10597000</v>
      </c>
      <c r="S160" s="143" t="n">
        <v>0</v>
      </c>
      <c r="T160" s="134" t="n">
        <v>45342.6370484954</v>
      </c>
    </row>
    <row r="161" customFormat="false" ht="39.75" hidden="false" customHeight="true" outlineLevel="0" collapsed="false">
      <c r="B161" s="130" t="n">
        <v>55151378</v>
      </c>
      <c r="C161" s="131" t="s">
        <v>288</v>
      </c>
      <c r="D161" s="131" t="s">
        <v>135</v>
      </c>
      <c r="E161" s="130" t="n">
        <v>4870200</v>
      </c>
      <c r="F161" s="131" t="s">
        <v>26</v>
      </c>
      <c r="G161" s="130" t="n">
        <v>15000000</v>
      </c>
      <c r="H161" s="131" t="n">
        <v>971</v>
      </c>
      <c r="I161" s="132" t="n">
        <v>0.37</v>
      </c>
      <c r="J161" s="132" t="n">
        <v>0.47</v>
      </c>
      <c r="K161" s="130" t="n">
        <v>20.5284513982999</v>
      </c>
      <c r="L161" s="132" t="n">
        <v>0.47</v>
      </c>
      <c r="M161" s="131" t="s">
        <v>61</v>
      </c>
      <c r="N161" s="133" t="n">
        <v>1.92742823703339</v>
      </c>
      <c r="O161" s="133" t="n">
        <v>20.5284513982999</v>
      </c>
      <c r="P161" s="132" t="n">
        <v>0.0222</v>
      </c>
      <c r="Q161" s="131" t="s">
        <v>130</v>
      </c>
      <c r="R161" s="130" t="n">
        <v>80162000</v>
      </c>
      <c r="S161" s="143" t="s">
        <v>289</v>
      </c>
      <c r="T161" s="134" t="n">
        <v>45342.6414074074</v>
      </c>
    </row>
    <row r="162" customFormat="false" ht="39.75" hidden="false" customHeight="true" outlineLevel="0" collapsed="false">
      <c r="B162" s="130" t="n">
        <v>30732717</v>
      </c>
      <c r="C162" s="131" t="s">
        <v>290</v>
      </c>
      <c r="D162" s="131" t="s">
        <v>135</v>
      </c>
      <c r="E162" s="130" t="n">
        <v>5842800</v>
      </c>
      <c r="F162" s="131" t="s">
        <v>33</v>
      </c>
      <c r="G162" s="130" t="n">
        <v>13000000</v>
      </c>
      <c r="H162" s="131" t="n">
        <v>803</v>
      </c>
      <c r="I162" s="132" t="n">
        <v>0.33</v>
      </c>
      <c r="J162" s="132" t="n">
        <v>0.39</v>
      </c>
      <c r="K162" s="130" t="n">
        <v>16.6539214075443</v>
      </c>
      <c r="L162" s="132" t="n">
        <v>0.39</v>
      </c>
      <c r="M162" s="131" t="s">
        <v>62</v>
      </c>
      <c r="N162" s="133" t="n">
        <v>1.49875350859177</v>
      </c>
      <c r="O162" s="133" t="n">
        <v>16.6539214075443</v>
      </c>
      <c r="P162" s="132" t="n">
        <v>0.0149</v>
      </c>
      <c r="Q162" s="131" t="s">
        <v>130</v>
      </c>
      <c r="R162" s="130" t="n">
        <v>97233000</v>
      </c>
      <c r="S162" s="143" t="n">
        <v>0</v>
      </c>
      <c r="T162" s="134" t="n">
        <v>45342.6438563657</v>
      </c>
    </row>
    <row r="163" customFormat="false" ht="39.75" hidden="false" customHeight="true" outlineLevel="0" collapsed="false">
      <c r="B163" s="130" t="n">
        <v>94282910</v>
      </c>
      <c r="C163" s="131" t="s">
        <v>291</v>
      </c>
      <c r="D163" s="131" t="s">
        <v>135</v>
      </c>
      <c r="E163" s="130" t="n">
        <v>2893800</v>
      </c>
      <c r="F163" s="131" t="s">
        <v>33</v>
      </c>
      <c r="G163" s="130" t="n">
        <v>4500000</v>
      </c>
      <c r="H163" s="131" t="n">
        <v>969</v>
      </c>
      <c r="I163" s="132" t="n">
        <v>0.12</v>
      </c>
      <c r="J163" s="132" t="n">
        <v>0.2</v>
      </c>
      <c r="K163" s="130" t="n">
        <v>1.735504872486</v>
      </c>
      <c r="L163" s="132" t="n">
        <v>0.2</v>
      </c>
      <c r="M163" s="131" t="s">
        <v>62</v>
      </c>
      <c r="N163" s="133" t="n">
        <v>1.2982967032967</v>
      </c>
      <c r="O163" s="133" t="n">
        <v>1.735504872486</v>
      </c>
      <c r="P163" s="132" t="n">
        <v>0.0149</v>
      </c>
      <c r="Q163" s="131" t="s">
        <v>130</v>
      </c>
      <c r="R163" s="130" t="n">
        <v>4418000</v>
      </c>
      <c r="S163" s="143" t="n">
        <v>0</v>
      </c>
      <c r="T163" s="134" t="n">
        <v>45342.6492512732</v>
      </c>
    </row>
    <row r="164" customFormat="false" ht="39.75" hidden="false" customHeight="true" outlineLevel="0" collapsed="false">
      <c r="B164" s="130" t="n">
        <v>29119003</v>
      </c>
      <c r="C164" s="131" t="s">
        <v>292</v>
      </c>
      <c r="D164" s="131" t="s">
        <v>135</v>
      </c>
      <c r="E164" s="130" t="n">
        <v>3945300</v>
      </c>
      <c r="F164" s="131" t="s">
        <v>16</v>
      </c>
      <c r="G164" s="130" t="n">
        <v>3000000</v>
      </c>
      <c r="H164" s="131" t="n">
        <v>640</v>
      </c>
      <c r="I164" s="132" t="n">
        <v>0.34</v>
      </c>
      <c r="J164" s="132" t="n">
        <v>0.37</v>
      </c>
      <c r="K164" s="130" t="n">
        <v>14.8749433503156</v>
      </c>
      <c r="L164" s="132" t="n">
        <v>0.37</v>
      </c>
      <c r="M164" s="131" t="s">
        <v>64</v>
      </c>
      <c r="N164" s="133" t="n">
        <v>1.56733252224165</v>
      </c>
      <c r="O164" s="133" t="n">
        <v>14.8749433503156</v>
      </c>
      <c r="P164" s="132" t="n">
        <v>0.0149</v>
      </c>
      <c r="Q164" s="131" t="s">
        <v>130</v>
      </c>
      <c r="R164" s="130" t="n">
        <v>57501000</v>
      </c>
      <c r="S164" s="143" t="n">
        <v>0</v>
      </c>
      <c r="T164" s="134" t="n">
        <v>45342.6557407407</v>
      </c>
    </row>
    <row r="165" customFormat="false" ht="39.75" hidden="false" customHeight="true" outlineLevel="0" collapsed="false">
      <c r="B165" s="130" t="n">
        <v>94493424</v>
      </c>
      <c r="C165" s="131" t="s">
        <v>293</v>
      </c>
      <c r="D165" s="131" t="s">
        <v>135</v>
      </c>
      <c r="E165" s="130" t="n">
        <v>8178800</v>
      </c>
      <c r="F165" s="131" t="s">
        <v>16</v>
      </c>
      <c r="G165" s="130" t="n">
        <v>5000000</v>
      </c>
      <c r="H165" s="131" t="n">
        <v>803</v>
      </c>
      <c r="I165" s="132" t="n">
        <v>0.43</v>
      </c>
      <c r="J165" s="132" t="n">
        <v>0.45</v>
      </c>
      <c r="K165" s="130" t="n">
        <v>17.1214654961608</v>
      </c>
      <c r="L165" s="132" t="n">
        <v>0.45</v>
      </c>
      <c r="M165" s="131" t="s">
        <v>61</v>
      </c>
      <c r="N165" s="133" t="n">
        <v>1.93637795275591</v>
      </c>
      <c r="O165" s="133" t="n">
        <v>17.1214654961608</v>
      </c>
      <c r="P165" s="132" t="n">
        <v>0.0129</v>
      </c>
      <c r="Q165" s="131" t="s">
        <v>130</v>
      </c>
      <c r="R165" s="130" t="n">
        <v>129169000</v>
      </c>
      <c r="S165" s="143" t="n">
        <v>0</v>
      </c>
      <c r="T165" s="134" t="n">
        <v>45342.6707434028</v>
      </c>
    </row>
    <row r="166" customFormat="false" ht="39.75" hidden="false" customHeight="true" outlineLevel="0" collapsed="false">
      <c r="B166" s="130" t="n">
        <v>29125116</v>
      </c>
      <c r="C166" s="131" t="s">
        <v>294</v>
      </c>
      <c r="D166" s="131" t="s">
        <v>153</v>
      </c>
      <c r="E166" s="130" t="n">
        <v>2318500</v>
      </c>
      <c r="F166" s="131" t="s">
        <v>33</v>
      </c>
      <c r="G166" s="130" t="n">
        <v>14000000</v>
      </c>
      <c r="H166" s="131" t="n">
        <v>889</v>
      </c>
      <c r="I166" s="132" t="n">
        <v>0.19</v>
      </c>
      <c r="J166" s="132" t="n">
        <v>0.35</v>
      </c>
      <c r="K166" s="130" t="n">
        <v>9.62077895190856</v>
      </c>
      <c r="L166" s="132" t="n">
        <v>0.35</v>
      </c>
      <c r="M166" s="131" t="s">
        <v>62</v>
      </c>
      <c r="N166" s="133" t="n">
        <v>1.07798059089929</v>
      </c>
      <c r="O166" s="133" t="n">
        <v>9.62077895190856</v>
      </c>
      <c r="P166" s="132" t="n">
        <v>0.0149</v>
      </c>
      <c r="Q166" s="131" t="s">
        <v>130</v>
      </c>
      <c r="R166" s="130" t="n">
        <v>9535000</v>
      </c>
      <c r="S166" s="143" t="n">
        <v>0</v>
      </c>
      <c r="T166" s="134" t="n">
        <v>45342.6741806713</v>
      </c>
    </row>
    <row r="167" customFormat="false" ht="39.75" hidden="false" customHeight="true" outlineLevel="0" collapsed="false">
      <c r="B167" s="130" t="n">
        <v>1130608230</v>
      </c>
      <c r="C167" s="131" t="s">
        <v>295</v>
      </c>
      <c r="D167" s="131" t="s">
        <v>135</v>
      </c>
      <c r="E167" s="130" t="n">
        <v>2893800</v>
      </c>
      <c r="F167" s="131" t="s">
        <v>34</v>
      </c>
      <c r="G167" s="130" t="n">
        <v>6100000</v>
      </c>
      <c r="H167" s="131" t="n">
        <v>747</v>
      </c>
      <c r="I167" s="132" t="n">
        <v>0.07</v>
      </c>
      <c r="J167" s="132" t="n">
        <v>0.13</v>
      </c>
      <c r="K167" s="130" t="n">
        <v>0</v>
      </c>
      <c r="L167" s="132" t="n">
        <v>0.13</v>
      </c>
      <c r="M167" s="131" t="s">
        <v>64</v>
      </c>
      <c r="N167" s="133" t="n">
        <v>0.666982514341005</v>
      </c>
      <c r="O167" s="133" t="n">
        <v>0</v>
      </c>
      <c r="P167" s="132" t="n">
        <v>0.0179</v>
      </c>
      <c r="Q167" s="131" t="s">
        <v>130</v>
      </c>
      <c r="R167" s="130" t="n">
        <v>0</v>
      </c>
      <c r="S167" s="143" t="n">
        <v>0</v>
      </c>
      <c r="T167" s="134" t="n">
        <v>45342.6841405093</v>
      </c>
    </row>
    <row r="168" customFormat="false" ht="39.75" hidden="false" customHeight="true" outlineLevel="0" collapsed="false">
      <c r="B168" s="130" t="n">
        <v>94426762</v>
      </c>
      <c r="C168" s="131" t="s">
        <v>225</v>
      </c>
      <c r="D168" s="131" t="s">
        <v>135</v>
      </c>
      <c r="E168" s="130" t="n">
        <v>2925100</v>
      </c>
      <c r="F168" s="131" t="s">
        <v>34</v>
      </c>
      <c r="G168" s="130" t="n">
        <v>8800000</v>
      </c>
      <c r="H168" s="131" t="n">
        <v>785</v>
      </c>
      <c r="I168" s="132" t="n">
        <v>0.33</v>
      </c>
      <c r="J168" s="132" t="n">
        <v>0.42</v>
      </c>
      <c r="K168" s="130" t="n">
        <v>12.874628901576</v>
      </c>
      <c r="L168" s="132" t="n">
        <v>0.42</v>
      </c>
      <c r="M168" s="131" t="s">
        <v>64</v>
      </c>
      <c r="N168" s="133" t="n">
        <v>2.21423335954326</v>
      </c>
      <c r="O168" s="133" t="n">
        <v>12.874628901576</v>
      </c>
      <c r="P168" s="132" t="n">
        <v>0.0179</v>
      </c>
      <c r="Q168" s="131" t="s">
        <v>130</v>
      </c>
      <c r="R168" s="130" t="n">
        <v>30384000</v>
      </c>
      <c r="S168" s="143" t="n">
        <v>0</v>
      </c>
      <c r="T168" s="134" t="n">
        <v>45342.6941158565</v>
      </c>
    </row>
    <row r="169" customFormat="false" ht="39.75" hidden="false" customHeight="true" outlineLevel="0" collapsed="false">
      <c r="B169" s="130" t="n">
        <v>29125116</v>
      </c>
      <c r="C169" s="131" t="s">
        <v>294</v>
      </c>
      <c r="D169" s="131" t="s">
        <v>153</v>
      </c>
      <c r="E169" s="130" t="n">
        <v>2318500</v>
      </c>
      <c r="F169" s="131" t="s">
        <v>32</v>
      </c>
      <c r="G169" s="130" t="n">
        <v>14000000</v>
      </c>
      <c r="H169" s="131" t="n">
        <v>889</v>
      </c>
      <c r="I169" s="132" t="n">
        <v>0.19</v>
      </c>
      <c r="J169" s="132" t="n">
        <v>0.35</v>
      </c>
      <c r="K169" s="130" t="n">
        <v>9.31790813025663</v>
      </c>
      <c r="L169" s="132" t="n">
        <v>0.35</v>
      </c>
      <c r="M169" s="131" t="s">
        <v>61</v>
      </c>
      <c r="N169" s="133" t="n">
        <v>1.07798059089929</v>
      </c>
      <c r="O169" s="133" t="n">
        <v>9.31790813025663</v>
      </c>
      <c r="P169" s="132" t="n">
        <v>0.0149</v>
      </c>
      <c r="Q169" s="131" t="s">
        <v>130</v>
      </c>
      <c r="R169" s="130" t="n">
        <v>8386000</v>
      </c>
      <c r="S169" s="143" t="n">
        <v>0</v>
      </c>
      <c r="T169" s="134" t="n">
        <v>45343.3866210648</v>
      </c>
    </row>
    <row r="170" customFormat="false" ht="39.75" hidden="false" customHeight="true" outlineLevel="0" collapsed="false">
      <c r="B170" s="130" t="n">
        <v>1130679086</v>
      </c>
      <c r="C170" s="131" t="s">
        <v>296</v>
      </c>
      <c r="D170" s="131" t="s">
        <v>135</v>
      </c>
      <c r="E170" s="130" t="n">
        <v>2893800</v>
      </c>
      <c r="F170" s="131" t="s">
        <v>29</v>
      </c>
      <c r="G170" s="130" t="n">
        <v>3000000</v>
      </c>
      <c r="H170" s="131" t="n">
        <v>718</v>
      </c>
      <c r="I170" s="132" t="n">
        <v>0.36</v>
      </c>
      <c r="J170" s="132" t="n">
        <v>0.42</v>
      </c>
      <c r="K170" s="130" t="n">
        <v>11.769991015274</v>
      </c>
      <c r="L170" s="132" t="n">
        <v>0.42</v>
      </c>
      <c r="M170" s="131" t="s">
        <v>64</v>
      </c>
      <c r="N170" s="133" t="n">
        <v>1.26764565623056</v>
      </c>
      <c r="O170" s="133" t="n">
        <v>11.769991015274</v>
      </c>
      <c r="P170" s="132" t="n">
        <v>0.0149</v>
      </c>
      <c r="Q170" s="131" t="s">
        <v>130</v>
      </c>
      <c r="R170" s="130" t="n">
        <v>34060000</v>
      </c>
      <c r="S170" s="143" t="n">
        <v>0</v>
      </c>
      <c r="T170" s="134" t="n">
        <v>45343.6926017361</v>
      </c>
    </row>
    <row r="171" customFormat="false" ht="39.75" hidden="false" customHeight="true" outlineLevel="0" collapsed="false">
      <c r="B171" s="130" t="n">
        <v>1144155708</v>
      </c>
      <c r="C171" s="131" t="s">
        <v>297</v>
      </c>
      <c r="D171" s="131" t="s">
        <v>135</v>
      </c>
      <c r="E171" s="130" t="n">
        <v>2893800</v>
      </c>
      <c r="F171" s="131" t="s">
        <v>29</v>
      </c>
      <c r="G171" s="130" t="n">
        <v>2000000</v>
      </c>
      <c r="H171" s="131" t="n">
        <v>458</v>
      </c>
      <c r="I171" s="132" t="n">
        <v>0.17</v>
      </c>
      <c r="J171" s="132" t="n">
        <v>0.21</v>
      </c>
      <c r="K171" s="130" t="n">
        <v>9.64261213629138</v>
      </c>
      <c r="L171" s="132" t="n">
        <v>0.21</v>
      </c>
      <c r="M171" s="131" t="s">
        <v>64</v>
      </c>
      <c r="N171" s="133" t="n">
        <v>1.00438903863432</v>
      </c>
      <c r="O171" s="133" t="n">
        <v>9.64261213629138</v>
      </c>
      <c r="P171" s="132" t="n">
        <v>0.0149</v>
      </c>
      <c r="Q171" s="131" t="s">
        <v>130</v>
      </c>
      <c r="R171" s="130" t="n">
        <v>26944000</v>
      </c>
      <c r="S171" s="143" t="n">
        <v>0</v>
      </c>
      <c r="T171" s="134" t="n">
        <v>45343.6943626157</v>
      </c>
    </row>
    <row r="172" customFormat="false" ht="39.75" hidden="false" customHeight="true" outlineLevel="0" collapsed="false">
      <c r="B172" s="130" t="n">
        <v>1005944158</v>
      </c>
      <c r="C172" s="131" t="s">
        <v>298</v>
      </c>
      <c r="D172" s="131" t="s">
        <v>135</v>
      </c>
      <c r="E172" s="130" t="n">
        <v>1625000</v>
      </c>
      <c r="F172" s="131" t="s">
        <v>29</v>
      </c>
      <c r="G172" s="130" t="n">
        <v>2500000</v>
      </c>
      <c r="H172" s="131" t="n">
        <v>662</v>
      </c>
      <c r="I172" s="132" t="n">
        <v>0.27</v>
      </c>
      <c r="J172" s="132" t="n">
        <v>0.29</v>
      </c>
      <c r="K172" s="130" t="n">
        <v>4.06756430769231</v>
      </c>
      <c r="L172" s="132" t="n">
        <v>0.29</v>
      </c>
      <c r="M172" s="131" t="s">
        <v>64</v>
      </c>
      <c r="N172" s="133" t="n">
        <v>1.24388492307692</v>
      </c>
      <c r="O172" s="133" t="n">
        <v>4.06756430769231</v>
      </c>
      <c r="P172" s="132" t="n">
        <v>0.0149</v>
      </c>
      <c r="Q172" s="131" t="s">
        <v>130</v>
      </c>
      <c r="R172" s="130" t="n">
        <v>5756000</v>
      </c>
      <c r="S172" s="143" t="n">
        <v>0</v>
      </c>
      <c r="T172" s="134" t="n">
        <v>45343.7013166667</v>
      </c>
    </row>
    <row r="173" customFormat="false" ht="39.75" hidden="false" customHeight="true" outlineLevel="0" collapsed="false">
      <c r="B173" s="130" t="n">
        <v>1144179414</v>
      </c>
      <c r="C173" s="131" t="s">
        <v>299</v>
      </c>
      <c r="D173" s="131" t="s">
        <v>135</v>
      </c>
      <c r="E173" s="130" t="n">
        <v>1918500</v>
      </c>
      <c r="F173" s="131" t="s">
        <v>29</v>
      </c>
      <c r="G173" s="130" t="n">
        <v>2900000</v>
      </c>
      <c r="H173" s="131" t="n">
        <v>706</v>
      </c>
      <c r="I173" s="132" t="n">
        <v>0.11</v>
      </c>
      <c r="J173" s="132" t="n">
        <v>0.15</v>
      </c>
      <c r="K173" s="130" t="n">
        <v>0.655453739900964</v>
      </c>
      <c r="L173" s="132" t="n">
        <v>0.15</v>
      </c>
      <c r="M173" s="131" t="s">
        <v>64</v>
      </c>
      <c r="N173" s="133" t="n">
        <v>0.681301016419077</v>
      </c>
      <c r="O173" s="133" t="n">
        <v>0.655453739900964</v>
      </c>
      <c r="P173" s="132" t="n">
        <v>0.0149</v>
      </c>
      <c r="Q173" s="131" t="s">
        <v>130</v>
      </c>
      <c r="R173" s="130" t="n">
        <v>0</v>
      </c>
      <c r="S173" s="143" t="n">
        <v>0</v>
      </c>
      <c r="T173" s="134" t="n">
        <v>45343.7035234954</v>
      </c>
    </row>
    <row r="174" customFormat="false" ht="39.75" hidden="false" customHeight="true" outlineLevel="0" collapsed="false">
      <c r="B174" s="130" t="n">
        <v>1002969682</v>
      </c>
      <c r="C174" s="131" t="s">
        <v>300</v>
      </c>
      <c r="D174" s="131" t="s">
        <v>135</v>
      </c>
      <c r="E174" s="130" t="n">
        <v>2340800</v>
      </c>
      <c r="F174" s="131" t="s">
        <v>34</v>
      </c>
      <c r="G174" s="130" t="n">
        <v>2000000</v>
      </c>
      <c r="H174" s="131" t="n">
        <v>738</v>
      </c>
      <c r="I174" s="132" t="n">
        <v>0.05</v>
      </c>
      <c r="J174" s="132" t="n">
        <v>0.14</v>
      </c>
      <c r="K174" s="130" t="n">
        <v>6.12397470950103</v>
      </c>
      <c r="L174" s="132" t="n">
        <v>0.14</v>
      </c>
      <c r="M174" s="131" t="s">
        <v>64</v>
      </c>
      <c r="N174" s="133" t="n">
        <v>0.886618677375256</v>
      </c>
      <c r="O174" s="133" t="n">
        <v>6.12397470950103</v>
      </c>
      <c r="P174" s="132" t="n">
        <v>0.0179</v>
      </c>
      <c r="Q174" s="131" t="s">
        <v>130</v>
      </c>
      <c r="R174" s="130" t="n">
        <v>14335000</v>
      </c>
      <c r="S174" s="143" t="n">
        <v>0</v>
      </c>
      <c r="T174" s="134" t="n">
        <v>45343.7060960648</v>
      </c>
    </row>
    <row r="175" customFormat="false" ht="39.75" hidden="false" customHeight="true" outlineLevel="0" collapsed="false">
      <c r="B175" s="130" t="n">
        <v>1144193830</v>
      </c>
      <c r="C175" s="131" t="s">
        <v>301</v>
      </c>
      <c r="D175" s="131" t="s">
        <v>135</v>
      </c>
      <c r="E175" s="130" t="n">
        <v>2893800</v>
      </c>
      <c r="F175" s="131" t="s">
        <v>34</v>
      </c>
      <c r="G175" s="130" t="n">
        <v>2500000</v>
      </c>
      <c r="H175" s="131" t="n">
        <v>747</v>
      </c>
      <c r="I175" s="132" t="n">
        <v>0.19</v>
      </c>
      <c r="J175" s="132" t="n">
        <v>0.24</v>
      </c>
      <c r="K175" s="130" t="n">
        <v>1.08828910083627</v>
      </c>
      <c r="L175" s="132" t="n">
        <v>0.24</v>
      </c>
      <c r="M175" s="131" t="s">
        <v>64</v>
      </c>
      <c r="N175" s="133" t="n">
        <v>0.753103877254821</v>
      </c>
      <c r="O175" s="133" t="n">
        <v>1.08828910083627</v>
      </c>
      <c r="P175" s="132" t="n">
        <v>0.0179</v>
      </c>
      <c r="Q175" s="131" t="s">
        <v>130</v>
      </c>
      <c r="R175" s="130" t="n">
        <v>2616000</v>
      </c>
      <c r="S175" s="143" t="n">
        <v>0</v>
      </c>
      <c r="T175" s="134" t="n">
        <v>45343.7085111111</v>
      </c>
    </row>
    <row r="176" customFormat="false" ht="39.75" hidden="false" customHeight="true" outlineLevel="0" collapsed="false">
      <c r="B176" s="130" t="n">
        <v>1116261599</v>
      </c>
      <c r="C176" s="131" t="s">
        <v>302</v>
      </c>
      <c r="D176" s="131" t="s">
        <v>135</v>
      </c>
      <c r="E176" s="130" t="n">
        <v>5291000</v>
      </c>
      <c r="F176" s="131" t="s">
        <v>34</v>
      </c>
      <c r="G176" s="130" t="n">
        <v>1000000</v>
      </c>
      <c r="H176" s="131" t="n">
        <v>731</v>
      </c>
      <c r="I176" s="132" t="n">
        <v>0.34</v>
      </c>
      <c r="J176" s="132" t="n">
        <v>0.36</v>
      </c>
      <c r="K176" s="130" t="n">
        <v>4.08714193914194</v>
      </c>
      <c r="L176" s="132" t="n">
        <v>0.36</v>
      </c>
      <c r="M176" s="131" t="s">
        <v>64</v>
      </c>
      <c r="N176" s="133" t="n">
        <v>1.3595859005859</v>
      </c>
      <c r="O176" s="133" t="n">
        <v>4.08714193914194</v>
      </c>
      <c r="P176" s="132" t="n">
        <v>0.0179</v>
      </c>
      <c r="Q176" s="131" t="s">
        <v>130</v>
      </c>
      <c r="R176" s="130" t="n">
        <v>18761000</v>
      </c>
      <c r="S176" s="143" t="n">
        <v>0</v>
      </c>
      <c r="T176" s="134" t="n">
        <v>45344.3748429398</v>
      </c>
    </row>
    <row r="177" customFormat="false" ht="39.75" hidden="false" customHeight="true" outlineLevel="0" collapsed="false">
      <c r="B177" s="130" t="n">
        <v>1113626506</v>
      </c>
      <c r="C177" s="131" t="s">
        <v>303</v>
      </c>
      <c r="D177" s="131" t="s">
        <v>135</v>
      </c>
      <c r="E177" s="130" t="n">
        <v>5291000</v>
      </c>
      <c r="F177" s="131" t="s">
        <v>29</v>
      </c>
      <c r="G177" s="130" t="n">
        <v>1500000</v>
      </c>
      <c r="H177" s="131" t="n">
        <v>663</v>
      </c>
      <c r="I177" s="132" t="n">
        <v>0.27</v>
      </c>
      <c r="J177" s="132" t="n">
        <v>0.3</v>
      </c>
      <c r="K177" s="130" t="n">
        <v>10.4991494991495</v>
      </c>
      <c r="L177" s="132" t="n">
        <v>0.3</v>
      </c>
      <c r="M177" s="131" t="s">
        <v>64</v>
      </c>
      <c r="N177" s="133" t="n">
        <v>1.21266962766963</v>
      </c>
      <c r="O177" s="133" t="n">
        <v>10.4991494991495</v>
      </c>
      <c r="P177" s="132" t="n">
        <v>0.0179</v>
      </c>
      <c r="Q177" s="131" t="s">
        <v>130</v>
      </c>
      <c r="R177" s="130" t="n">
        <v>55551000</v>
      </c>
      <c r="S177" s="143" t="n">
        <v>0</v>
      </c>
      <c r="T177" s="134" t="n">
        <v>45344.3764703704</v>
      </c>
    </row>
    <row r="178" customFormat="false" ht="39.75" hidden="false" customHeight="true" outlineLevel="0" collapsed="false">
      <c r="B178" s="130" t="n">
        <v>1130590645</v>
      </c>
      <c r="C178" s="131" t="s">
        <v>304</v>
      </c>
      <c r="D178" s="131" t="s">
        <v>135</v>
      </c>
      <c r="E178" s="130" t="n">
        <v>5291000</v>
      </c>
      <c r="F178" s="131" t="s">
        <v>29</v>
      </c>
      <c r="G178" s="130" t="n">
        <v>4000000</v>
      </c>
      <c r="H178" s="131" t="n">
        <v>808</v>
      </c>
      <c r="I178" s="132" t="n">
        <v>0.32</v>
      </c>
      <c r="J178" s="132" t="n">
        <v>0.35</v>
      </c>
      <c r="K178" s="130" t="n">
        <v>9.34155584955585</v>
      </c>
      <c r="L178" s="132" t="n">
        <v>0.35</v>
      </c>
      <c r="M178" s="131" t="s">
        <v>62</v>
      </c>
      <c r="N178" s="133" t="n">
        <v>0.97523814023814</v>
      </c>
      <c r="O178" s="133" t="n">
        <v>9.34155584955585</v>
      </c>
      <c r="P178" s="132" t="n">
        <v>0.0227</v>
      </c>
      <c r="Q178" s="131" t="s">
        <v>130</v>
      </c>
      <c r="R178" s="130" t="n">
        <v>42347000</v>
      </c>
      <c r="S178" s="143" t="n">
        <v>0</v>
      </c>
      <c r="T178" s="134" t="n">
        <v>45344.5662715278</v>
      </c>
    </row>
    <row r="179" customFormat="false" ht="39.75" hidden="false" customHeight="true" outlineLevel="0" collapsed="false">
      <c r="B179" s="130" t="n">
        <v>1130590645</v>
      </c>
      <c r="C179" s="131" t="s">
        <v>304</v>
      </c>
      <c r="D179" s="131" t="s">
        <v>135</v>
      </c>
      <c r="E179" s="130" t="n">
        <v>5291000</v>
      </c>
      <c r="F179" s="131" t="s">
        <v>29</v>
      </c>
      <c r="G179" s="130" t="n">
        <v>5000000</v>
      </c>
      <c r="H179" s="131" t="n">
        <v>808</v>
      </c>
      <c r="I179" s="132" t="n">
        <v>0.32</v>
      </c>
      <c r="J179" s="132" t="n">
        <v>0.36</v>
      </c>
      <c r="K179" s="130" t="n">
        <v>9.34155584955585</v>
      </c>
      <c r="L179" s="132" t="n">
        <v>0.36</v>
      </c>
      <c r="M179" s="131" t="s">
        <v>62</v>
      </c>
      <c r="N179" s="133" t="n">
        <v>0.97523814023814</v>
      </c>
      <c r="O179" s="133" t="n">
        <v>9.34155584955585</v>
      </c>
      <c r="P179" s="132" t="n">
        <v>0.0227</v>
      </c>
      <c r="Q179" s="131" t="s">
        <v>130</v>
      </c>
      <c r="R179" s="130" t="n">
        <v>42347000</v>
      </c>
      <c r="S179" s="143" t="n">
        <v>0</v>
      </c>
      <c r="T179" s="134" t="n">
        <v>45344.5706829861</v>
      </c>
    </row>
    <row r="180" customFormat="false" ht="39.75" hidden="false" customHeight="true" outlineLevel="0" collapsed="false">
      <c r="B180" s="130" t="n">
        <v>1151953867</v>
      </c>
      <c r="C180" s="131" t="s">
        <v>305</v>
      </c>
      <c r="D180" s="131" t="s">
        <v>135</v>
      </c>
      <c r="E180" s="130" t="n">
        <v>2893800</v>
      </c>
      <c r="F180" s="131" t="s">
        <v>29</v>
      </c>
      <c r="G180" s="130" t="n">
        <v>3000000</v>
      </c>
      <c r="H180" s="131" t="n">
        <v>794</v>
      </c>
      <c r="I180" s="132" t="n">
        <v>0.41</v>
      </c>
      <c r="J180" s="132" t="n">
        <v>0.47</v>
      </c>
      <c r="K180" s="130" t="n">
        <v>12.1366369479577</v>
      </c>
      <c r="L180" s="132" t="n">
        <v>0.47</v>
      </c>
      <c r="M180" s="131" t="s">
        <v>64</v>
      </c>
      <c r="N180" s="133" t="n">
        <v>1.29188057225793</v>
      </c>
      <c r="O180" s="133" t="n">
        <v>12.1366369479577</v>
      </c>
      <c r="P180" s="132" t="n">
        <v>0.0227</v>
      </c>
      <c r="Q180" s="131" t="s">
        <v>130</v>
      </c>
      <c r="R180" s="130" t="n">
        <v>35121000</v>
      </c>
      <c r="S180" s="143" t="n">
        <v>0</v>
      </c>
      <c r="T180" s="134" t="n">
        <v>45344.5726304398</v>
      </c>
    </row>
    <row r="181" customFormat="false" ht="39.75" hidden="false" customHeight="true" outlineLevel="0" collapsed="false">
      <c r="B181" s="130" t="n">
        <v>1016024410</v>
      </c>
      <c r="C181" s="131" t="s">
        <v>306</v>
      </c>
      <c r="D181" s="131" t="s">
        <v>135</v>
      </c>
      <c r="E181" s="130" t="n">
        <v>2893800</v>
      </c>
      <c r="F181" s="131" t="s">
        <v>29</v>
      </c>
      <c r="G181" s="130" t="n">
        <v>1000000</v>
      </c>
      <c r="H181" s="131" t="n">
        <v>582</v>
      </c>
      <c r="I181" s="132" t="n">
        <v>0.36</v>
      </c>
      <c r="J181" s="132" t="n">
        <v>0.39</v>
      </c>
      <c r="K181" s="130" t="n">
        <v>14.2972130071187</v>
      </c>
      <c r="L181" s="132" t="n">
        <v>0.39</v>
      </c>
      <c r="M181" s="131" t="s">
        <v>64</v>
      </c>
      <c r="N181" s="133" t="n">
        <v>1.96428640541848</v>
      </c>
      <c r="O181" s="133" t="n">
        <v>14.2972130071187</v>
      </c>
      <c r="P181" s="132" t="n">
        <v>0.0227</v>
      </c>
      <c r="Q181" s="131" t="s">
        <v>130</v>
      </c>
      <c r="R181" s="130" t="n">
        <v>34831000</v>
      </c>
      <c r="S181" s="143" t="n">
        <v>0</v>
      </c>
      <c r="T181" s="134" t="n">
        <v>45344.5887684028</v>
      </c>
    </row>
    <row r="182" customFormat="false" ht="39.75" hidden="false" customHeight="true" outlineLevel="0" collapsed="false">
      <c r="B182" s="130" t="n">
        <v>31488174</v>
      </c>
      <c r="C182" s="131" t="s">
        <v>307</v>
      </c>
      <c r="D182" s="131" t="s">
        <v>135</v>
      </c>
      <c r="E182" s="130" t="n">
        <v>2893800</v>
      </c>
      <c r="F182" s="131" t="s">
        <v>19</v>
      </c>
      <c r="G182" s="130" t="n">
        <v>1070000</v>
      </c>
      <c r="H182" s="131" t="n">
        <v>793</v>
      </c>
      <c r="I182" s="132" t="n">
        <v>0.32</v>
      </c>
      <c r="J182" s="132" t="n">
        <v>0.35</v>
      </c>
      <c r="K182" s="130" t="n">
        <v>0.319052111410602</v>
      </c>
      <c r="L182" s="132" t="n">
        <v>0.35</v>
      </c>
      <c r="M182" s="131" t="s">
        <v>64</v>
      </c>
      <c r="N182" s="133" t="n">
        <v>1.22405314810975</v>
      </c>
      <c r="O182" s="133" t="n">
        <v>0.319052111410602</v>
      </c>
      <c r="P182" s="132" t="n">
        <v>0.006</v>
      </c>
      <c r="Q182" s="131" t="s">
        <v>130</v>
      </c>
      <c r="R182" s="130" t="n">
        <v>19819</v>
      </c>
      <c r="S182" s="143" t="n">
        <v>0</v>
      </c>
      <c r="T182" s="134" t="n">
        <v>45344.606746412</v>
      </c>
    </row>
    <row r="183" customFormat="false" ht="39.75" hidden="false" customHeight="true" outlineLevel="0" collapsed="false">
      <c r="B183" s="130" t="n">
        <v>94426762</v>
      </c>
      <c r="C183" s="131" t="s">
        <v>225</v>
      </c>
      <c r="D183" s="131" t="s">
        <v>135</v>
      </c>
      <c r="E183" s="130" t="n">
        <v>2925100</v>
      </c>
      <c r="F183" s="131" t="s">
        <v>19</v>
      </c>
      <c r="G183" s="130" t="n">
        <v>2600000</v>
      </c>
      <c r="H183" s="131" t="n">
        <v>785</v>
      </c>
      <c r="I183" s="132" t="n">
        <v>0.33</v>
      </c>
      <c r="J183" s="132" t="n">
        <v>0.36</v>
      </c>
      <c r="K183" s="130" t="n">
        <v>12.5324645311271</v>
      </c>
      <c r="L183" s="132" t="n">
        <v>0.36</v>
      </c>
      <c r="M183" s="131" t="s">
        <v>64</v>
      </c>
      <c r="N183" s="133" t="n">
        <v>2.21423335954326</v>
      </c>
      <c r="O183" s="133" t="n">
        <v>12.5324645311271</v>
      </c>
      <c r="P183" s="132" t="n">
        <v>0.006</v>
      </c>
      <c r="Q183" s="131" t="s">
        <v>130</v>
      </c>
      <c r="R183" s="130" t="n">
        <v>30384000</v>
      </c>
      <c r="S183" s="143" t="n">
        <v>0</v>
      </c>
      <c r="T183" s="134" t="n">
        <v>45344.6264020833</v>
      </c>
    </row>
    <row r="184" customFormat="false" ht="39.75" hidden="false" customHeight="true" outlineLevel="0" collapsed="false">
      <c r="B184" s="130" t="n">
        <v>1130654674</v>
      </c>
      <c r="C184" s="131" t="s">
        <v>308</v>
      </c>
      <c r="D184" s="131" t="s">
        <v>135</v>
      </c>
      <c r="E184" s="130" t="n">
        <v>1625000</v>
      </c>
      <c r="F184" s="131" t="s">
        <v>29</v>
      </c>
      <c r="G184" s="130" t="n">
        <v>350000</v>
      </c>
      <c r="H184" s="131" t="n">
        <v>536</v>
      </c>
      <c r="I184" s="132" t="n">
        <v>0.06</v>
      </c>
      <c r="J184" s="132" t="n">
        <v>0.08</v>
      </c>
      <c r="K184" s="130" t="n">
        <v>1.60676923076923</v>
      </c>
      <c r="L184" s="132" t="n">
        <v>0.08</v>
      </c>
      <c r="M184" s="131" t="s">
        <v>64</v>
      </c>
      <c r="N184" s="133" t="n">
        <v>0.639630769230769</v>
      </c>
      <c r="O184" s="133" t="n">
        <v>1.60676923076923</v>
      </c>
      <c r="P184" s="132" t="n">
        <v>0.006</v>
      </c>
      <c r="Q184" s="131" t="s">
        <v>130</v>
      </c>
      <c r="R184" s="130" t="n">
        <v>2611000</v>
      </c>
      <c r="S184" s="143" t="n">
        <v>0</v>
      </c>
      <c r="T184" s="134" t="n">
        <v>45348.5930520833</v>
      </c>
    </row>
    <row r="185" customFormat="false" ht="39.75" hidden="false" customHeight="true" outlineLevel="0" collapsed="false">
      <c r="B185" s="130" t="n">
        <v>1002839691</v>
      </c>
      <c r="C185" s="131" t="s">
        <v>309</v>
      </c>
      <c r="D185" s="131" t="s">
        <v>135</v>
      </c>
      <c r="E185" s="130" t="n">
        <v>1991000</v>
      </c>
      <c r="F185" s="131" t="s">
        <v>29</v>
      </c>
      <c r="G185" s="130" t="n">
        <v>2200000</v>
      </c>
      <c r="H185" s="131" t="n">
        <v>747</v>
      </c>
      <c r="I185" s="132" t="n">
        <v>0.32</v>
      </c>
      <c r="J185" s="132" t="n">
        <v>0.38</v>
      </c>
      <c r="K185" s="130" t="n">
        <v>5.33176946258162</v>
      </c>
      <c r="L185" s="132" t="n">
        <v>0.38</v>
      </c>
      <c r="M185" s="131" t="s">
        <v>64</v>
      </c>
      <c r="N185" s="133" t="n">
        <v>1.00913962832747</v>
      </c>
      <c r="O185" s="133" t="n">
        <v>5.33176946258162</v>
      </c>
      <c r="P185" s="132" t="n">
        <v>0.0222</v>
      </c>
      <c r="Q185" s="131" t="s">
        <v>130</v>
      </c>
      <c r="R185" s="130" t="n">
        <v>9525000</v>
      </c>
      <c r="S185" s="143" t="n">
        <v>0</v>
      </c>
      <c r="T185" s="134" t="n">
        <v>45349.4891466435</v>
      </c>
    </row>
    <row r="186" customFormat="false" ht="39.75" hidden="false" customHeight="true" outlineLevel="0" collapsed="false">
      <c r="B186" s="130" t="n">
        <v>67011839</v>
      </c>
      <c r="C186" s="131" t="s">
        <v>310</v>
      </c>
      <c r="D186" s="131" t="s">
        <v>158</v>
      </c>
      <c r="E186" s="130" t="n">
        <v>25657092</v>
      </c>
      <c r="F186" s="131" t="s">
        <v>32</v>
      </c>
      <c r="G186" s="130" t="n">
        <v>60000000</v>
      </c>
      <c r="H186" s="131" t="n">
        <v>978</v>
      </c>
      <c r="I186" s="132" t="n">
        <v>0.22</v>
      </c>
      <c r="J186" s="132" t="n">
        <v>0.29</v>
      </c>
      <c r="K186" s="130" t="n">
        <v>2.50581788458333</v>
      </c>
      <c r="L186" s="132" t="n">
        <v>0.29</v>
      </c>
      <c r="M186" s="131" t="s">
        <v>61</v>
      </c>
      <c r="N186" s="133" t="n">
        <v>0.80041069658245</v>
      </c>
      <c r="O186" s="133" t="n">
        <v>2.50581788458333</v>
      </c>
      <c r="P186" s="132" t="n">
        <v>0.0222</v>
      </c>
      <c r="Q186" s="131" t="s">
        <v>130</v>
      </c>
      <c r="R186" s="130" t="n">
        <v>64292000</v>
      </c>
      <c r="S186" s="143" t="s">
        <v>311</v>
      </c>
      <c r="T186" s="134" t="n">
        <v>45349.7393394676</v>
      </c>
    </row>
    <row r="187" customFormat="false" ht="39.75" hidden="false" customHeight="true" outlineLevel="0" collapsed="false">
      <c r="B187" s="130" t="n">
        <v>1130632963</v>
      </c>
      <c r="C187" s="131" t="s">
        <v>312</v>
      </c>
      <c r="D187" s="131" t="s">
        <v>135</v>
      </c>
      <c r="E187" s="130" t="n">
        <v>2893800</v>
      </c>
      <c r="F187" s="131" t="s">
        <v>33</v>
      </c>
      <c r="G187" s="130" t="n">
        <v>4400000</v>
      </c>
      <c r="H187" s="131" t="n">
        <v>841</v>
      </c>
      <c r="I187" s="132" t="n">
        <v>0.27</v>
      </c>
      <c r="J187" s="132" t="n">
        <v>0.32</v>
      </c>
      <c r="K187" s="130" t="n">
        <v>15.9945400511438</v>
      </c>
      <c r="L187" s="132" t="n">
        <v>0.32</v>
      </c>
      <c r="M187" s="131" t="s">
        <v>62</v>
      </c>
      <c r="N187" s="133" t="n">
        <v>0.832698182320824</v>
      </c>
      <c r="O187" s="133" t="n">
        <v>15.9945400511438</v>
      </c>
      <c r="P187" s="132" t="n">
        <v>0.0149</v>
      </c>
      <c r="Q187" s="131" t="s">
        <v>130</v>
      </c>
      <c r="R187" s="130" t="n">
        <v>46285000</v>
      </c>
      <c r="S187" s="143" t="n">
        <v>0</v>
      </c>
      <c r="T187" s="134" t="n">
        <v>45350.3293792824</v>
      </c>
    </row>
    <row r="188" customFormat="false" ht="39.75" hidden="false" customHeight="true" outlineLevel="0" collapsed="false">
      <c r="B188" s="130" t="n">
        <v>16738073</v>
      </c>
      <c r="C188" s="131" t="s">
        <v>313</v>
      </c>
      <c r="D188" s="131" t="s">
        <v>135</v>
      </c>
      <c r="E188" s="130" t="n">
        <v>2916600</v>
      </c>
      <c r="F188" s="131" t="s">
        <v>33</v>
      </c>
      <c r="G188" s="130" t="n">
        <v>6500000</v>
      </c>
      <c r="H188" s="131" t="n">
        <v>898</v>
      </c>
      <c r="I188" s="132" t="n">
        <v>0.4</v>
      </c>
      <c r="J188" s="132" t="n">
        <v>0.47</v>
      </c>
      <c r="K188" s="130" t="n">
        <v>12.2002653774943</v>
      </c>
      <c r="L188" s="132" t="n">
        <v>0.47</v>
      </c>
      <c r="M188" s="131" t="s">
        <v>62</v>
      </c>
      <c r="N188" s="133" t="n">
        <v>1.41130048686827</v>
      </c>
      <c r="O188" s="133" t="n">
        <v>12.2002653774943</v>
      </c>
      <c r="P188" s="132" t="n">
        <v>0.0149</v>
      </c>
      <c r="Q188" s="131" t="s">
        <v>130</v>
      </c>
      <c r="R188" s="130" t="n">
        <v>34187000</v>
      </c>
      <c r="S188" s="143" t="n">
        <v>0</v>
      </c>
      <c r="T188" s="134" t="n">
        <v>45350.3552658565</v>
      </c>
    </row>
    <row r="189" customFormat="false" ht="39.75" hidden="false" customHeight="true" outlineLevel="0" collapsed="false">
      <c r="B189" s="130" t="n">
        <v>41119590</v>
      </c>
      <c r="C189" s="131" t="s">
        <v>314</v>
      </c>
      <c r="D189" s="131" t="s">
        <v>135</v>
      </c>
      <c r="E189" s="130" t="n">
        <v>2893800</v>
      </c>
      <c r="F189" s="131" t="s">
        <v>33</v>
      </c>
      <c r="G189" s="130" t="n">
        <v>6900000</v>
      </c>
      <c r="H189" s="131" t="n">
        <v>928</v>
      </c>
      <c r="I189" s="132" t="n">
        <v>0.3</v>
      </c>
      <c r="J189" s="132" t="n">
        <v>0.39</v>
      </c>
      <c r="K189" s="130" t="n">
        <v>4.30795079134702</v>
      </c>
      <c r="L189" s="132" t="n">
        <v>0.39</v>
      </c>
      <c r="M189" s="131" t="s">
        <v>62</v>
      </c>
      <c r="N189" s="133" t="n">
        <v>1.01416891284816</v>
      </c>
      <c r="O189" s="133" t="n">
        <v>4.30795079134702</v>
      </c>
      <c r="P189" s="132" t="n">
        <v>0.0149</v>
      </c>
      <c r="Q189" s="131" t="s">
        <v>130</v>
      </c>
      <c r="R189" s="130" t="n">
        <v>12143000</v>
      </c>
      <c r="S189" s="143" t="n">
        <v>0</v>
      </c>
      <c r="T189" s="134" t="n">
        <v>45350.3583840278</v>
      </c>
    </row>
    <row r="190" customFormat="false" ht="39.75" hidden="false" customHeight="true" outlineLevel="0" collapsed="false">
      <c r="B190" s="130" t="n">
        <v>30039684</v>
      </c>
      <c r="C190" s="131" t="s">
        <v>315</v>
      </c>
      <c r="D190" s="131" t="s">
        <v>135</v>
      </c>
      <c r="E190" s="130" t="n">
        <v>5842800</v>
      </c>
      <c r="F190" s="131" t="s">
        <v>33</v>
      </c>
      <c r="G190" s="130" t="n">
        <v>5300000</v>
      </c>
      <c r="H190" s="131" t="n">
        <v>923</v>
      </c>
      <c r="I190" s="132" t="n">
        <v>0.07</v>
      </c>
      <c r="J190" s="132" t="n">
        <v>0.12</v>
      </c>
      <c r="K190" s="130" t="n">
        <v>0.351799137399877</v>
      </c>
      <c r="L190" s="132" t="n">
        <v>0.12</v>
      </c>
      <c r="M190" s="131" t="s">
        <v>61</v>
      </c>
      <c r="N190" s="133" t="n">
        <v>0.49</v>
      </c>
      <c r="O190" s="133" t="n">
        <v>0.351799137399877</v>
      </c>
      <c r="P190" s="132" t="n">
        <v>0.0149</v>
      </c>
      <c r="Q190" s="131" t="s">
        <v>130</v>
      </c>
      <c r="R190" s="130" t="n">
        <v>227000</v>
      </c>
      <c r="S190" s="143" t="n">
        <v>0</v>
      </c>
      <c r="T190" s="134" t="n">
        <v>45350.3631394676</v>
      </c>
    </row>
    <row r="191" customFormat="false" ht="39.75" hidden="false" customHeight="true" outlineLevel="0" collapsed="false">
      <c r="B191" s="130" t="n">
        <v>1114878389</v>
      </c>
      <c r="C191" s="131" t="s">
        <v>316</v>
      </c>
      <c r="D191" s="131" t="s">
        <v>135</v>
      </c>
      <c r="E191" s="130" t="n">
        <v>2893800</v>
      </c>
      <c r="F191" s="131" t="s">
        <v>33</v>
      </c>
      <c r="G191" s="130" t="n">
        <v>8593000</v>
      </c>
      <c r="H191" s="131" t="n">
        <v>803</v>
      </c>
      <c r="I191" s="132" t="n">
        <v>0.14</v>
      </c>
      <c r="J191" s="132" t="n">
        <v>0.22</v>
      </c>
      <c r="K191" s="130" t="n">
        <v>0.465030064275347</v>
      </c>
      <c r="L191" s="132" t="n">
        <v>0.22</v>
      </c>
      <c r="M191" s="131" t="s">
        <v>62</v>
      </c>
      <c r="N191" s="133" t="n">
        <v>0.793369963369963</v>
      </c>
      <c r="O191" s="133" t="n">
        <v>0.465030064275347</v>
      </c>
      <c r="P191" s="132" t="n">
        <v>0.0149</v>
      </c>
      <c r="Q191" s="131" t="s">
        <v>130</v>
      </c>
      <c r="R191" s="130" t="n">
        <v>200000</v>
      </c>
      <c r="S191" s="143" t="s">
        <v>311</v>
      </c>
      <c r="T191" s="134" t="n">
        <v>45350.3715829861</v>
      </c>
    </row>
    <row r="192" customFormat="false" ht="39.75" hidden="false" customHeight="true" outlineLevel="0" collapsed="false">
      <c r="B192" s="130" t="n">
        <v>1144078618</v>
      </c>
      <c r="C192" s="131" t="s">
        <v>168</v>
      </c>
      <c r="D192" s="131" t="s">
        <v>135</v>
      </c>
      <c r="E192" s="130" t="n">
        <v>2600900</v>
      </c>
      <c r="F192" s="131" t="s">
        <v>29</v>
      </c>
      <c r="G192" s="130" t="n">
        <v>4000000</v>
      </c>
      <c r="H192" s="131" t="n">
        <v>731</v>
      </c>
      <c r="I192" s="132" t="n">
        <v>0.42</v>
      </c>
      <c r="J192" s="132" t="n">
        <v>0.46</v>
      </c>
      <c r="K192" s="130" t="n">
        <v>18.3183671036949</v>
      </c>
      <c r="L192" s="132" t="n">
        <v>0.46</v>
      </c>
      <c r="M192" s="131" t="s">
        <v>62</v>
      </c>
      <c r="N192" s="133" t="n">
        <v>1.75872467222884</v>
      </c>
      <c r="O192" s="133" t="n">
        <v>18.3183671036949</v>
      </c>
      <c r="P192" s="132" t="n">
        <v>0.0149</v>
      </c>
      <c r="Q192" s="131" t="s">
        <v>130</v>
      </c>
      <c r="R192" s="130" t="n">
        <v>40247000</v>
      </c>
      <c r="S192" s="143" t="s">
        <v>317</v>
      </c>
      <c r="T192" s="134" t="n">
        <v>45350.4512591435</v>
      </c>
    </row>
    <row r="193" customFormat="false" ht="39.75" hidden="false" customHeight="true" outlineLevel="0" collapsed="false">
      <c r="B193" s="130" t="n">
        <v>1107090337</v>
      </c>
      <c r="C193" s="131" t="s">
        <v>318</v>
      </c>
      <c r="D193" s="131" t="s">
        <v>135</v>
      </c>
      <c r="E193" s="130" t="n">
        <v>2600900</v>
      </c>
      <c r="F193" s="131" t="s">
        <v>29</v>
      </c>
      <c r="G193" s="130" t="n">
        <v>2000000</v>
      </c>
      <c r="H193" s="131" t="n">
        <v>822</v>
      </c>
      <c r="I193" s="132" t="n">
        <v>0.15</v>
      </c>
      <c r="J193" s="132" t="n">
        <v>0.2</v>
      </c>
      <c r="K193" s="130" t="n">
        <v>5.30406743819447</v>
      </c>
      <c r="L193" s="132" t="n">
        <v>0.2</v>
      </c>
      <c r="M193" s="131" t="s">
        <v>62</v>
      </c>
      <c r="N193" s="133" t="n">
        <v>1.31485754930985</v>
      </c>
      <c r="O193" s="133" t="n">
        <v>5.30406743819447</v>
      </c>
      <c r="P193" s="132" t="n">
        <v>0.0149</v>
      </c>
      <c r="Q193" s="131" t="s">
        <v>130</v>
      </c>
      <c r="R193" s="130" t="n">
        <v>13458000</v>
      </c>
      <c r="S193" s="143" t="n">
        <v>0</v>
      </c>
      <c r="T193" s="134" t="n">
        <v>45350.5095144676</v>
      </c>
    </row>
    <row r="194" customFormat="false" ht="39.75" hidden="false" customHeight="true" outlineLevel="0" collapsed="false">
      <c r="B194" s="130" t="n">
        <v>1144051429</v>
      </c>
      <c r="C194" s="131" t="s">
        <v>319</v>
      </c>
      <c r="D194" s="131" t="s">
        <v>135</v>
      </c>
      <c r="E194" s="130" t="n">
        <v>1625000</v>
      </c>
      <c r="F194" s="131" t="s">
        <v>29</v>
      </c>
      <c r="G194" s="130" t="n">
        <v>1600000</v>
      </c>
      <c r="H194" s="131" t="n">
        <v>632</v>
      </c>
      <c r="I194" s="132" t="n">
        <v>0.19</v>
      </c>
      <c r="J194" s="132" t="n">
        <v>0.29</v>
      </c>
      <c r="K194" s="130" t="n">
        <v>2.32615384615385</v>
      </c>
      <c r="L194" s="132" t="n">
        <v>0.29</v>
      </c>
      <c r="M194" s="131" t="s">
        <v>64</v>
      </c>
      <c r="N194" s="133" t="n">
        <v>0.850479384615385</v>
      </c>
      <c r="O194" s="133" t="n">
        <v>2.32615384615385</v>
      </c>
      <c r="P194" s="132" t="n">
        <v>0.0227</v>
      </c>
      <c r="Q194" s="131" t="s">
        <v>130</v>
      </c>
      <c r="R194" s="130" t="n">
        <v>3780000</v>
      </c>
      <c r="S194" s="143" t="n">
        <v>0</v>
      </c>
      <c r="T194" s="134" t="n">
        <v>45350.5532332176</v>
      </c>
    </row>
    <row r="195" customFormat="false" ht="39.75" hidden="false" customHeight="true" outlineLevel="0" collapsed="false">
      <c r="B195" s="130" t="n">
        <v>67040484</v>
      </c>
      <c r="C195" s="131" t="s">
        <v>320</v>
      </c>
      <c r="D195" s="131" t="s">
        <v>135</v>
      </c>
      <c r="E195" s="130" t="n">
        <v>2893800</v>
      </c>
      <c r="F195" s="131" t="s">
        <v>29</v>
      </c>
      <c r="G195" s="130" t="n">
        <v>2500000</v>
      </c>
      <c r="H195" s="131" t="n">
        <v>726</v>
      </c>
      <c r="I195" s="132" t="n">
        <v>0.21</v>
      </c>
      <c r="J195" s="132" t="n">
        <v>0.24</v>
      </c>
      <c r="K195" s="130" t="n">
        <v>3.78610443016103</v>
      </c>
      <c r="L195" s="132" t="n">
        <v>0.24</v>
      </c>
      <c r="M195" s="131" t="s">
        <v>62</v>
      </c>
      <c r="N195" s="133" t="n">
        <v>1.27217430368374</v>
      </c>
      <c r="O195" s="133" t="n">
        <v>3.78610443016103</v>
      </c>
      <c r="P195" s="132" t="n">
        <v>0.0227</v>
      </c>
      <c r="Q195" s="131" t="s">
        <v>130</v>
      </c>
      <c r="R195" s="130" t="n">
        <v>3285000</v>
      </c>
      <c r="S195" s="143" t="n">
        <v>0</v>
      </c>
      <c r="T195" s="134" t="n">
        <v>45350.6314665509</v>
      </c>
    </row>
    <row r="196" customFormat="false" ht="39.75" hidden="false" customHeight="true" outlineLevel="0" collapsed="false">
      <c r="B196" s="130" t="n">
        <v>1130641134</v>
      </c>
      <c r="C196" s="131" t="s">
        <v>321</v>
      </c>
      <c r="D196" s="131" t="s">
        <v>135</v>
      </c>
      <c r="E196" s="130" t="n">
        <v>2600900</v>
      </c>
      <c r="F196" s="131" t="s">
        <v>29</v>
      </c>
      <c r="G196" s="130" t="n">
        <v>3000000</v>
      </c>
      <c r="H196" s="131" t="n">
        <v>687</v>
      </c>
      <c r="I196" s="132" t="n">
        <v>0.25</v>
      </c>
      <c r="J196" s="132" t="n">
        <v>0.32</v>
      </c>
      <c r="K196" s="130" t="n">
        <v>1.23057979930024</v>
      </c>
      <c r="L196" s="132" t="n">
        <v>0.32</v>
      </c>
      <c r="M196" s="131" t="s">
        <v>64</v>
      </c>
      <c r="N196" s="133" t="n">
        <v>0.852554884847553</v>
      </c>
      <c r="O196" s="133" t="n">
        <v>1.23057979930024</v>
      </c>
      <c r="P196" s="132" t="n">
        <v>0.0227</v>
      </c>
      <c r="Q196" s="131" t="s">
        <v>130</v>
      </c>
      <c r="R196" s="130" t="n">
        <v>193000</v>
      </c>
      <c r="S196" s="143" t="n">
        <v>0</v>
      </c>
      <c r="T196" s="134" t="n">
        <v>45350.6765310185</v>
      </c>
    </row>
    <row r="197" customFormat="false" ht="39.75" hidden="false" customHeight="true" outlineLevel="0" collapsed="false">
      <c r="B197" s="130" t="n">
        <v>31306752</v>
      </c>
      <c r="C197" s="131" t="s">
        <v>322</v>
      </c>
      <c r="D197" s="131" t="s">
        <v>135</v>
      </c>
      <c r="E197" s="130" t="n">
        <v>2893800</v>
      </c>
      <c r="F197" s="131" t="s">
        <v>33</v>
      </c>
      <c r="G197" s="130" t="n">
        <v>4000000</v>
      </c>
      <c r="H197" s="131" t="n">
        <v>889</v>
      </c>
      <c r="I197" s="132" t="n">
        <v>0.13</v>
      </c>
      <c r="J197" s="132" t="n">
        <v>0.26</v>
      </c>
      <c r="K197" s="130" t="n">
        <v>0.509673439767779</v>
      </c>
      <c r="L197" s="132" t="n">
        <v>0.26</v>
      </c>
      <c r="M197" s="131" t="s">
        <v>62</v>
      </c>
      <c r="N197" s="133" t="n">
        <v>0.797031515654157</v>
      </c>
      <c r="O197" s="133" t="n">
        <v>0.509673439767779</v>
      </c>
      <c r="P197" s="132" t="n">
        <v>0.0149</v>
      </c>
      <c r="Q197" s="131" t="s">
        <v>130</v>
      </c>
      <c r="R197" s="130" t="n">
        <v>308000</v>
      </c>
      <c r="S197" s="143" t="s">
        <v>33</v>
      </c>
      <c r="T197" s="134" t="n">
        <v>45350.6914350694</v>
      </c>
    </row>
    <row r="198" customFormat="false" ht="39.75" hidden="false" customHeight="true" outlineLevel="0" collapsed="false">
      <c r="B198" s="130" t="n">
        <v>1113673170</v>
      </c>
      <c r="C198" s="131" t="s">
        <v>148</v>
      </c>
      <c r="D198" s="131" t="s">
        <v>135</v>
      </c>
      <c r="E198" s="130" t="n">
        <v>2600900</v>
      </c>
      <c r="F198" s="131" t="s">
        <v>29</v>
      </c>
      <c r="G198" s="130" t="n">
        <v>1300000</v>
      </c>
      <c r="H198" s="131" t="n">
        <v>889</v>
      </c>
      <c r="I198" s="132" t="n">
        <v>0.1</v>
      </c>
      <c r="J198" s="132" t="n">
        <v>0.13</v>
      </c>
      <c r="K198" s="130" t="n">
        <v>5.31944173170826</v>
      </c>
      <c r="L198" s="132" t="n">
        <v>0.13</v>
      </c>
      <c r="M198" s="131" t="s">
        <v>62</v>
      </c>
      <c r="N198" s="133" t="n">
        <v>0.92825944865239</v>
      </c>
      <c r="O198" s="133" t="n">
        <v>5.31944173170826</v>
      </c>
      <c r="P198" s="132" t="n">
        <v>0.0149</v>
      </c>
      <c r="Q198" s="131" t="s">
        <v>130</v>
      </c>
      <c r="R198" s="130" t="n">
        <v>11108000</v>
      </c>
      <c r="S198" s="143" t="s">
        <v>33</v>
      </c>
      <c r="T198" s="134" t="n">
        <v>45351.4960681713</v>
      </c>
    </row>
    <row r="199" customFormat="false" ht="39.75" hidden="false" customHeight="true" outlineLevel="0" collapsed="false">
      <c r="B199" s="130" t="n">
        <v>1144169695</v>
      </c>
      <c r="C199" s="131" t="s">
        <v>323</v>
      </c>
      <c r="D199" s="131" t="s">
        <v>135</v>
      </c>
      <c r="E199" s="130" t="n">
        <v>2600900</v>
      </c>
      <c r="F199" s="131" t="s">
        <v>29</v>
      </c>
      <c r="G199" s="130" t="n">
        <v>1900000</v>
      </c>
      <c r="H199" s="131" t="n">
        <v>621</v>
      </c>
      <c r="I199" s="132" t="n">
        <v>0.29</v>
      </c>
      <c r="J199" s="132" t="n">
        <v>0.32</v>
      </c>
      <c r="K199" s="130" t="n">
        <v>8.54427621208043</v>
      </c>
      <c r="L199" s="132" t="n">
        <v>0.32</v>
      </c>
      <c r="M199" s="131" t="s">
        <v>64</v>
      </c>
      <c r="N199" s="133" t="n">
        <v>2.32715060171479</v>
      </c>
      <c r="O199" s="133" t="n">
        <v>8.54427621208043</v>
      </c>
      <c r="P199" s="132" t="n">
        <v>0.0149</v>
      </c>
      <c r="Q199" s="131" t="s">
        <v>130</v>
      </c>
      <c r="R199" s="130" t="n">
        <v>18930000</v>
      </c>
      <c r="S199" s="143" t="n">
        <v>0</v>
      </c>
      <c r="T199" s="134" t="n">
        <v>45356.3788065972</v>
      </c>
    </row>
    <row r="200" customFormat="false" ht="39.75" hidden="false" customHeight="true" outlineLevel="0" collapsed="false">
      <c r="B200" s="130" t="n">
        <v>1143844512</v>
      </c>
      <c r="C200" s="131" t="s">
        <v>324</v>
      </c>
      <c r="D200" s="131" t="s">
        <v>135</v>
      </c>
      <c r="E200" s="130" t="n">
        <v>2600900</v>
      </c>
      <c r="F200" s="131" t="s">
        <v>29</v>
      </c>
      <c r="G200" s="130" t="n">
        <v>9000000</v>
      </c>
      <c r="H200" s="131" t="n">
        <v>926</v>
      </c>
      <c r="I200" s="132" t="n">
        <v>0.05</v>
      </c>
      <c r="J200" s="132" t="n">
        <v>0.15</v>
      </c>
      <c r="K200" s="130" t="n">
        <v>0.355801837825368</v>
      </c>
      <c r="L200" s="132" t="n">
        <v>0.15</v>
      </c>
      <c r="M200" s="131" t="s">
        <v>62</v>
      </c>
      <c r="N200" s="133" t="n">
        <v>0.673787919566304</v>
      </c>
      <c r="O200" s="133" t="n">
        <v>0.355801837825368</v>
      </c>
      <c r="P200" s="132" t="n">
        <v>0.0149</v>
      </c>
      <c r="Q200" s="131" t="s">
        <v>130</v>
      </c>
      <c r="R200" s="130" t="n">
        <v>810000</v>
      </c>
      <c r="S200" s="143" t="n">
        <v>0</v>
      </c>
      <c r="T200" s="134" t="n">
        <v>45356.6826210648</v>
      </c>
    </row>
    <row r="201" customFormat="false" ht="39.75" hidden="false" customHeight="true" outlineLevel="0" collapsed="false">
      <c r="B201" s="130" t="n">
        <v>66717580</v>
      </c>
      <c r="C201" s="131" t="s">
        <v>325</v>
      </c>
      <c r="D201" s="131" t="s">
        <v>135</v>
      </c>
      <c r="E201" s="130" t="n">
        <v>2916600</v>
      </c>
      <c r="F201" s="131" t="s">
        <v>33</v>
      </c>
      <c r="G201" s="130" t="n">
        <v>4800000</v>
      </c>
      <c r="H201" s="131" t="n">
        <v>902</v>
      </c>
      <c r="I201" s="132" t="n">
        <v>0.36</v>
      </c>
      <c r="J201" s="132" t="n">
        <v>0.41</v>
      </c>
      <c r="K201" s="130" t="n">
        <v>10.3561475690873</v>
      </c>
      <c r="L201" s="132" t="n">
        <v>0.41</v>
      </c>
      <c r="M201" s="131" t="s">
        <v>62</v>
      </c>
      <c r="N201" s="133" t="n">
        <v>1.17370637043132</v>
      </c>
      <c r="O201" s="133" t="n">
        <v>10.3561475690873</v>
      </c>
      <c r="P201" s="132" t="n">
        <v>0.0149</v>
      </c>
      <c r="Q201" s="131" t="s">
        <v>130</v>
      </c>
      <c r="R201" s="130" t="n">
        <v>26851000</v>
      </c>
      <c r="S201" s="143" t="n">
        <v>0</v>
      </c>
      <c r="T201" s="134" t="n">
        <v>45356.6841967593</v>
      </c>
    </row>
    <row r="202" customFormat="false" ht="39.75" hidden="false" customHeight="true" outlineLevel="0" collapsed="false">
      <c r="B202" s="130" t="n">
        <v>1143836705</v>
      </c>
      <c r="C202" s="131" t="s">
        <v>326</v>
      </c>
      <c r="D202" s="131" t="s">
        <v>135</v>
      </c>
      <c r="E202" s="130" t="n">
        <v>3055300</v>
      </c>
      <c r="F202" s="131" t="s">
        <v>32</v>
      </c>
      <c r="G202" s="130" t="n">
        <v>6000000</v>
      </c>
      <c r="H202" s="131" t="n">
        <v>834</v>
      </c>
      <c r="I202" s="132" t="n">
        <v>0.24</v>
      </c>
      <c r="J202" s="132" t="n">
        <v>0.34</v>
      </c>
      <c r="K202" s="130" t="n">
        <v>1.70631754655844</v>
      </c>
      <c r="L202" s="132" t="n">
        <v>0.34</v>
      </c>
      <c r="M202" s="131" t="s">
        <v>61</v>
      </c>
      <c r="N202" s="133" t="n">
        <v>1.18389683500802</v>
      </c>
      <c r="O202" s="133" t="n">
        <v>1.70631754655844</v>
      </c>
      <c r="P202" s="132" t="n">
        <v>0.0129</v>
      </c>
      <c r="Q202" s="131" t="s">
        <v>130</v>
      </c>
      <c r="R202" s="130" t="n">
        <v>3730000</v>
      </c>
      <c r="S202" s="143" t="n">
        <v>0</v>
      </c>
      <c r="T202" s="134" t="n">
        <v>45356.7062616898</v>
      </c>
    </row>
    <row r="203" customFormat="false" ht="39.75" hidden="false" customHeight="true" outlineLevel="0" collapsed="false">
      <c r="B203" s="130" t="n">
        <v>31988600</v>
      </c>
      <c r="C203" s="131" t="s">
        <v>327</v>
      </c>
      <c r="D203" s="131" t="s">
        <v>185</v>
      </c>
      <c r="E203" s="130" t="n">
        <v>2000000</v>
      </c>
      <c r="F203" s="131" t="s">
        <v>32</v>
      </c>
      <c r="G203" s="130" t="n">
        <v>25000000</v>
      </c>
      <c r="H203" s="131" t="n">
        <v>929</v>
      </c>
      <c r="I203" s="132" t="n">
        <v>0.15</v>
      </c>
      <c r="J203" s="132" t="n">
        <v>0.47</v>
      </c>
      <c r="K203" s="130" t="n">
        <v>2.827753</v>
      </c>
      <c r="L203" s="132" t="n">
        <v>0.47</v>
      </c>
      <c r="M203" s="131" t="s">
        <v>61</v>
      </c>
      <c r="N203" s="133" t="n">
        <v>1.520569</v>
      </c>
      <c r="O203" s="133" t="n">
        <v>2.827753</v>
      </c>
      <c r="P203" s="132" t="n">
        <v>0.0129</v>
      </c>
      <c r="Q203" s="131" t="s">
        <v>130</v>
      </c>
      <c r="R203" s="130" t="n">
        <v>3770000</v>
      </c>
      <c r="S203" s="143" t="s">
        <v>328</v>
      </c>
      <c r="T203" s="134" t="n">
        <v>45356.7103925926</v>
      </c>
    </row>
    <row r="204" customFormat="false" ht="39.75" hidden="false" customHeight="true" outlineLevel="0" collapsed="false">
      <c r="B204" s="130" t="n">
        <v>1143992553</v>
      </c>
      <c r="C204" s="131" t="s">
        <v>329</v>
      </c>
      <c r="D204" s="131" t="s">
        <v>135</v>
      </c>
      <c r="E204" s="130" t="n">
        <v>2600900</v>
      </c>
      <c r="F204" s="131" t="s">
        <v>34</v>
      </c>
      <c r="G204" s="130" t="n">
        <v>20000000</v>
      </c>
      <c r="H204" s="131" t="n">
        <v>532</v>
      </c>
      <c r="I204" s="132" t="n">
        <v>0.19</v>
      </c>
      <c r="J204" s="132" t="n">
        <v>0.42</v>
      </c>
      <c r="K204" s="130" t="n">
        <v>3.42765965627283</v>
      </c>
      <c r="L204" s="132" t="n">
        <v>0.42</v>
      </c>
      <c r="M204" s="131" t="s">
        <v>64</v>
      </c>
      <c r="N204" s="133" t="n">
        <v>2.04939328693914</v>
      </c>
      <c r="O204" s="133" t="n">
        <v>3.42765965627283</v>
      </c>
      <c r="P204" s="132" t="n">
        <v>0.0179</v>
      </c>
      <c r="Q204" s="131" t="s">
        <v>130</v>
      </c>
      <c r="R204" s="130" t="n">
        <v>8915000</v>
      </c>
      <c r="S204" s="143" t="s">
        <v>328</v>
      </c>
      <c r="T204" s="134" t="n">
        <v>45356.7127609954</v>
      </c>
    </row>
    <row r="205" customFormat="false" ht="39.75" hidden="false" customHeight="true" outlineLevel="0" collapsed="false">
      <c r="B205" s="130" t="n">
        <v>1085253482</v>
      </c>
      <c r="C205" s="131" t="s">
        <v>330</v>
      </c>
      <c r="D205" s="131" t="s">
        <v>135</v>
      </c>
      <c r="E205" s="130" t="n">
        <v>5291000</v>
      </c>
      <c r="F205" s="131" t="s">
        <v>34</v>
      </c>
      <c r="G205" s="130" t="n">
        <v>6000000</v>
      </c>
      <c r="H205" s="131" t="n">
        <v>710</v>
      </c>
      <c r="I205" s="132" t="n">
        <v>0.06</v>
      </c>
      <c r="J205" s="132" t="n">
        <v>0.1</v>
      </c>
      <c r="K205" s="130" t="n">
        <v>19.5555917595918</v>
      </c>
      <c r="L205" s="132" t="n">
        <v>0.1</v>
      </c>
      <c r="M205" s="131" t="s">
        <v>64</v>
      </c>
      <c r="N205" s="133" t="n">
        <v>0.804061425061425</v>
      </c>
      <c r="O205" s="133" t="n">
        <v>19.5555917595918</v>
      </c>
      <c r="P205" s="132" t="n">
        <v>0.0179</v>
      </c>
      <c r="Q205" s="131" t="s">
        <v>130</v>
      </c>
      <c r="R205" s="130" t="n">
        <v>98117000</v>
      </c>
      <c r="S205" s="143" t="s">
        <v>331</v>
      </c>
      <c r="T205" s="134" t="n">
        <v>45356.7295574074</v>
      </c>
    </row>
    <row r="206" customFormat="false" ht="39.75" hidden="false" customHeight="true" outlineLevel="0" collapsed="false">
      <c r="B206" s="130" t="n">
        <v>16930766</v>
      </c>
      <c r="C206" s="131" t="s">
        <v>332</v>
      </c>
      <c r="D206" s="131" t="s">
        <v>135</v>
      </c>
      <c r="E206" s="130" t="n">
        <v>2893800</v>
      </c>
      <c r="F206" s="131" t="s">
        <v>32</v>
      </c>
      <c r="G206" s="130" t="n">
        <v>12000000</v>
      </c>
      <c r="H206" s="131" t="n">
        <v>904</v>
      </c>
      <c r="I206" s="132" t="n">
        <v>0.17</v>
      </c>
      <c r="J206" s="132" t="n">
        <v>0.27</v>
      </c>
      <c r="K206" s="130" t="n">
        <v>4.6260740203193</v>
      </c>
      <c r="L206" s="132" t="n">
        <v>0.27</v>
      </c>
      <c r="M206" s="131" t="s">
        <v>61</v>
      </c>
      <c r="N206" s="133" t="n">
        <v>0.9003663003663</v>
      </c>
      <c r="O206" s="133" t="n">
        <v>4.6260740203193</v>
      </c>
      <c r="P206" s="132" t="n">
        <v>0.0129</v>
      </c>
      <c r="Q206" s="131" t="s">
        <v>130</v>
      </c>
      <c r="R206" s="130" t="n">
        <v>7379000</v>
      </c>
      <c r="S206" s="143" t="s">
        <v>331</v>
      </c>
      <c r="T206" s="134" t="n">
        <v>45356.7382519676</v>
      </c>
    </row>
    <row r="207" customFormat="false" ht="39.75" hidden="false" customHeight="true" outlineLevel="0" collapsed="false">
      <c r="B207" s="130" t="n">
        <v>66933857</v>
      </c>
      <c r="C207" s="131" t="s">
        <v>333</v>
      </c>
      <c r="D207" s="131" t="s">
        <v>135</v>
      </c>
      <c r="E207" s="130" t="n">
        <v>2893800</v>
      </c>
      <c r="F207" s="131" t="s">
        <v>29</v>
      </c>
      <c r="G207" s="130" t="n">
        <v>1500000</v>
      </c>
      <c r="H207" s="131" t="n">
        <v>726</v>
      </c>
      <c r="I207" s="132" t="n">
        <v>0.37</v>
      </c>
      <c r="J207" s="132" t="n">
        <v>0.4</v>
      </c>
      <c r="K207" s="130" t="n">
        <v>16.4194087359182</v>
      </c>
      <c r="L207" s="132" t="n">
        <v>0.4</v>
      </c>
      <c r="M207" s="131" t="s">
        <v>64</v>
      </c>
      <c r="N207" s="133" t="n">
        <v>1.69995784090124</v>
      </c>
      <c r="O207" s="133" t="n">
        <v>16.4194087359182</v>
      </c>
      <c r="P207" s="132" t="n">
        <v>0.0227</v>
      </c>
      <c r="Q207" s="131" t="s">
        <v>130</v>
      </c>
      <c r="R207" s="130" t="n">
        <v>45367000</v>
      </c>
      <c r="S207" s="143" t="n">
        <v>0</v>
      </c>
      <c r="T207" s="134" t="n">
        <v>45358.4220391204</v>
      </c>
    </row>
    <row r="208" customFormat="false" ht="39.75" hidden="false" customHeight="true" outlineLevel="0" collapsed="false">
      <c r="B208" s="130" t="n">
        <v>1118302328</v>
      </c>
      <c r="C208" s="131" t="s">
        <v>334</v>
      </c>
      <c r="D208" s="131" t="s">
        <v>135</v>
      </c>
      <c r="E208" s="130" t="n">
        <v>2893800</v>
      </c>
      <c r="F208" s="131" t="s">
        <v>34</v>
      </c>
      <c r="G208" s="130" t="n">
        <v>1400000</v>
      </c>
      <c r="H208" s="131" t="n">
        <v>611</v>
      </c>
      <c r="I208" s="132" t="n">
        <v>0.17</v>
      </c>
      <c r="J208" s="132" t="n">
        <v>0.22</v>
      </c>
      <c r="K208" s="130" t="n">
        <v>7.53644965097795</v>
      </c>
      <c r="L208" s="132" t="n">
        <v>0.22</v>
      </c>
      <c r="M208" s="131" t="s">
        <v>64</v>
      </c>
      <c r="N208" s="133" t="n">
        <v>0.953212730665561</v>
      </c>
      <c r="O208" s="133" t="n">
        <v>7.53644965097795</v>
      </c>
      <c r="P208" s="132" t="n">
        <v>0.0227</v>
      </c>
      <c r="Q208" s="131" t="s">
        <v>130</v>
      </c>
      <c r="R208" s="130" t="n">
        <v>18673000</v>
      </c>
      <c r="S208" s="143" t="n">
        <v>0</v>
      </c>
      <c r="T208" s="134" t="n">
        <v>45358.4243231481</v>
      </c>
    </row>
    <row r="209" customFormat="false" ht="39.75" hidden="false" customHeight="true" outlineLevel="0" collapsed="false">
      <c r="B209" s="130" t="n">
        <v>1144059077</v>
      </c>
      <c r="C209" s="131" t="s">
        <v>335</v>
      </c>
      <c r="D209" s="131" t="s">
        <v>135</v>
      </c>
      <c r="E209" s="130" t="n">
        <v>2893800</v>
      </c>
      <c r="F209" s="131" t="s">
        <v>29</v>
      </c>
      <c r="G209" s="130" t="n">
        <v>1000000</v>
      </c>
      <c r="H209" s="131" t="n">
        <v>611</v>
      </c>
      <c r="I209" s="132" t="n">
        <v>0.28</v>
      </c>
      <c r="J209" s="132" t="n">
        <v>0.32</v>
      </c>
      <c r="K209" s="130" t="n">
        <v>23.1069375907112</v>
      </c>
      <c r="L209" s="132" t="n">
        <v>0.32</v>
      </c>
      <c r="M209" s="131" t="s">
        <v>64</v>
      </c>
      <c r="N209" s="133" t="n">
        <v>1.54681940700809</v>
      </c>
      <c r="O209" s="133" t="n">
        <v>23.1069375907112</v>
      </c>
      <c r="P209" s="132" t="n">
        <v>0.0227</v>
      </c>
      <c r="Q209" s="131" t="s">
        <v>130</v>
      </c>
      <c r="R209" s="130" t="n">
        <v>57426000</v>
      </c>
      <c r="S209" s="143" t="s">
        <v>336</v>
      </c>
      <c r="T209" s="134" t="n">
        <v>45358.4308429398</v>
      </c>
    </row>
    <row r="210" customFormat="false" ht="39.75" hidden="false" customHeight="true" outlineLevel="0" collapsed="false">
      <c r="B210" s="130" t="n">
        <v>1144024028</v>
      </c>
      <c r="C210" s="131" t="s">
        <v>337</v>
      </c>
      <c r="D210" s="131" t="s">
        <v>135</v>
      </c>
      <c r="E210" s="130" t="n">
        <v>2340800</v>
      </c>
      <c r="F210" s="131" t="s">
        <v>34</v>
      </c>
      <c r="G210" s="130" t="n">
        <v>1200000</v>
      </c>
      <c r="H210" s="131" t="n">
        <v>703</v>
      </c>
      <c r="I210" s="132" t="n">
        <v>0.18</v>
      </c>
      <c r="J210" s="132" t="n">
        <v>0.23</v>
      </c>
      <c r="K210" s="130" t="n">
        <v>0.384321599453178</v>
      </c>
      <c r="L210" s="132" t="n">
        <v>0.23</v>
      </c>
      <c r="M210" s="131" t="s">
        <v>64</v>
      </c>
      <c r="N210" s="133" t="n">
        <v>0.852852870813397</v>
      </c>
      <c r="O210" s="133" t="n">
        <v>0.384321599453178</v>
      </c>
      <c r="P210" s="132" t="n">
        <v>0.0179</v>
      </c>
      <c r="Q210" s="131" t="s">
        <v>130</v>
      </c>
      <c r="R210" s="130" t="n">
        <v>499000</v>
      </c>
      <c r="S210" s="143" t="n">
        <v>0</v>
      </c>
      <c r="T210" s="134" t="n">
        <v>45358.4347418982</v>
      </c>
    </row>
    <row r="211" customFormat="false" ht="39.75" hidden="false" customHeight="true" outlineLevel="0" collapsed="false">
      <c r="B211" s="130" t="n">
        <v>38568611</v>
      </c>
      <c r="C211" s="131" t="s">
        <v>338</v>
      </c>
      <c r="D211" s="131" t="s">
        <v>135</v>
      </c>
      <c r="E211" s="130" t="n">
        <v>2893800</v>
      </c>
      <c r="F211" s="131" t="s">
        <v>34</v>
      </c>
      <c r="G211" s="130" t="n">
        <v>3300000</v>
      </c>
      <c r="H211" s="131" t="n">
        <v>701</v>
      </c>
      <c r="I211" s="132" t="n">
        <v>0.34</v>
      </c>
      <c r="J211" s="132" t="n">
        <v>0.4</v>
      </c>
      <c r="K211" s="130" t="n">
        <v>8.85872174994817</v>
      </c>
      <c r="L211" s="132" t="n">
        <v>0.4</v>
      </c>
      <c r="M211" s="131" t="s">
        <v>64</v>
      </c>
      <c r="N211" s="133" t="n">
        <v>1.11504803372728</v>
      </c>
      <c r="O211" s="133" t="n">
        <v>8.85872174994817</v>
      </c>
      <c r="P211" s="132" t="n">
        <v>0.0179</v>
      </c>
      <c r="Q211" s="131" t="s">
        <v>130</v>
      </c>
      <c r="R211" s="130" t="n">
        <v>25405000</v>
      </c>
      <c r="S211" s="143" t="n">
        <v>0</v>
      </c>
      <c r="T211" s="134" t="n">
        <v>45358.4614407407</v>
      </c>
    </row>
    <row r="212" customFormat="false" ht="39.75" hidden="false" customHeight="true" outlineLevel="0" collapsed="false">
      <c r="B212" s="130" t="n">
        <v>14609734</v>
      </c>
      <c r="C212" s="131" t="s">
        <v>339</v>
      </c>
      <c r="D212" s="131" t="s">
        <v>135</v>
      </c>
      <c r="E212" s="130" t="n">
        <v>1625000</v>
      </c>
      <c r="F212" s="131" t="s">
        <v>34</v>
      </c>
      <c r="G212" s="130" t="n">
        <v>1300000</v>
      </c>
      <c r="H212" s="131" t="n">
        <v>642</v>
      </c>
      <c r="I212" s="132" t="n">
        <v>0.19</v>
      </c>
      <c r="J212" s="132" t="n">
        <v>0.27</v>
      </c>
      <c r="K212" s="130" t="n">
        <v>2.21192369230769</v>
      </c>
      <c r="L212" s="132" t="n">
        <v>0.27</v>
      </c>
      <c r="M212" s="131" t="s">
        <v>64</v>
      </c>
      <c r="N212" s="133" t="n">
        <v>0.815677538461539</v>
      </c>
      <c r="O212" s="133" t="n">
        <v>2.21192369230769</v>
      </c>
      <c r="P212" s="132" t="n">
        <v>0.0179</v>
      </c>
      <c r="Q212" s="131" t="s">
        <v>130</v>
      </c>
      <c r="R212" s="130" t="n">
        <v>1136000</v>
      </c>
      <c r="S212" s="143" t="n">
        <v>0</v>
      </c>
      <c r="T212" s="134" t="n">
        <v>45358.4632063657</v>
      </c>
    </row>
    <row r="213" customFormat="false" ht="39.75" hidden="false" customHeight="true" outlineLevel="0" collapsed="false">
      <c r="B213" s="130" t="n">
        <v>1107095074</v>
      </c>
      <c r="C213" s="131" t="s">
        <v>236</v>
      </c>
      <c r="D213" s="131" t="s">
        <v>135</v>
      </c>
      <c r="E213" s="130" t="n">
        <v>2600900</v>
      </c>
      <c r="F213" s="131" t="s">
        <v>34</v>
      </c>
      <c r="G213" s="130" t="n">
        <v>1100000</v>
      </c>
      <c r="H213" s="131" t="n">
        <v>230</v>
      </c>
      <c r="I213" s="132" t="n">
        <v>0.83</v>
      </c>
      <c r="J213" s="132" t="n">
        <v>0.85</v>
      </c>
      <c r="K213" s="130" t="n">
        <v>19.2418731977392</v>
      </c>
      <c r="L213" s="132" t="n">
        <v>0.85</v>
      </c>
      <c r="M213" s="131" t="s">
        <v>64</v>
      </c>
      <c r="N213" s="133" t="n">
        <v>1.49351378369026</v>
      </c>
      <c r="O213" s="133" t="n">
        <v>19.2418731977392</v>
      </c>
      <c r="P213" s="132" t="n">
        <v>0.0179</v>
      </c>
      <c r="Q213" s="131" t="s">
        <v>130</v>
      </c>
      <c r="R213" s="130" t="n">
        <v>47120000</v>
      </c>
      <c r="S213" s="143" t="n">
        <v>0</v>
      </c>
      <c r="T213" s="134" t="n">
        <v>45358.4673899306</v>
      </c>
    </row>
    <row r="214" customFormat="false" ht="39.75" hidden="false" customHeight="true" outlineLevel="0" collapsed="false">
      <c r="B214" s="130" t="n">
        <v>66997637</v>
      </c>
      <c r="C214" s="131" t="s">
        <v>340</v>
      </c>
      <c r="D214" s="131" t="s">
        <v>135</v>
      </c>
      <c r="E214" s="130" t="n">
        <v>2600900</v>
      </c>
      <c r="F214" s="131" t="s">
        <v>29</v>
      </c>
      <c r="G214" s="130" t="n">
        <v>2000000</v>
      </c>
      <c r="H214" s="131" t="n">
        <v>819</v>
      </c>
      <c r="I214" s="132" t="n">
        <v>0.34</v>
      </c>
      <c r="J214" s="132" t="n">
        <v>0.37</v>
      </c>
      <c r="K214" s="130" t="n">
        <v>5.28145411203814</v>
      </c>
      <c r="L214" s="132" t="n">
        <v>0.37</v>
      </c>
      <c r="M214" s="131" t="s">
        <v>62</v>
      </c>
      <c r="N214" s="133" t="n">
        <v>1.26507593525318</v>
      </c>
      <c r="O214" s="133" t="n">
        <v>5.28145411203814</v>
      </c>
      <c r="P214" s="132" t="n">
        <v>0.0227</v>
      </c>
      <c r="Q214" s="131" t="s">
        <v>130</v>
      </c>
      <c r="R214" s="130" t="n">
        <v>9977000</v>
      </c>
      <c r="S214" s="143" t="n">
        <v>0</v>
      </c>
      <c r="T214" s="134" t="n">
        <v>45358.4756986111</v>
      </c>
    </row>
    <row r="215" customFormat="false" ht="39.75" hidden="false" customHeight="true" outlineLevel="0" collapsed="false">
      <c r="B215" s="130" t="n">
        <v>1144075435</v>
      </c>
      <c r="C215" s="131" t="s">
        <v>341</v>
      </c>
      <c r="D215" s="131" t="s">
        <v>135</v>
      </c>
      <c r="E215" s="130" t="n">
        <v>1991000</v>
      </c>
      <c r="F215" s="131" t="s">
        <v>34</v>
      </c>
      <c r="G215" s="130" t="n">
        <v>1000000</v>
      </c>
      <c r="H215" s="131" t="n">
        <v>657</v>
      </c>
      <c r="I215" s="132" t="n">
        <v>0.26</v>
      </c>
      <c r="J215" s="132" t="n">
        <v>0.31</v>
      </c>
      <c r="K215" s="130" t="n">
        <v>5.22137368156705</v>
      </c>
      <c r="L215" s="132" t="n">
        <v>0.31</v>
      </c>
      <c r="M215" s="131" t="s">
        <v>64</v>
      </c>
      <c r="N215" s="133" t="n">
        <v>0.963802611752888</v>
      </c>
      <c r="O215" s="133" t="n">
        <v>5.22137368156705</v>
      </c>
      <c r="P215" s="132" t="n">
        <v>0.0179</v>
      </c>
      <c r="Q215" s="131" t="s">
        <v>130</v>
      </c>
      <c r="R215" s="130" t="n">
        <v>8806000</v>
      </c>
      <c r="S215" s="143" t="n">
        <v>0</v>
      </c>
      <c r="T215" s="134" t="n">
        <v>45358.4775201389</v>
      </c>
    </row>
    <row r="216" customFormat="false" ht="39.75" hidden="false" customHeight="true" outlineLevel="0" collapsed="false">
      <c r="B216" s="130" t="n">
        <v>1144173564</v>
      </c>
      <c r="C216" s="131" t="s">
        <v>342</v>
      </c>
      <c r="D216" s="131" t="s">
        <v>135</v>
      </c>
      <c r="E216" s="130" t="n">
        <v>2893800</v>
      </c>
      <c r="F216" s="131" t="s">
        <v>34</v>
      </c>
      <c r="G216" s="130" t="n">
        <v>1300000</v>
      </c>
      <c r="H216" s="131" t="n">
        <v>621</v>
      </c>
      <c r="I216" s="132" t="n">
        <v>0.38</v>
      </c>
      <c r="J216" s="132" t="n">
        <v>0.42</v>
      </c>
      <c r="K216" s="130" t="n">
        <v>1.27794318888659</v>
      </c>
      <c r="L216" s="132" t="n">
        <v>0.42</v>
      </c>
      <c r="M216" s="131" t="s">
        <v>64</v>
      </c>
      <c r="N216" s="133" t="n">
        <v>1.19921694657544</v>
      </c>
      <c r="O216" s="133" t="n">
        <v>1.27794318888659</v>
      </c>
      <c r="P216" s="132" t="n">
        <v>0.0179</v>
      </c>
      <c r="Q216" s="131" t="s">
        <v>130</v>
      </c>
      <c r="R216" s="130" t="n">
        <v>1725000</v>
      </c>
      <c r="S216" s="143" t="n">
        <v>0</v>
      </c>
      <c r="T216" s="134" t="n">
        <v>45358.4794054398</v>
      </c>
    </row>
    <row r="217" customFormat="false" ht="39.75" hidden="false" customHeight="true" outlineLevel="0" collapsed="false">
      <c r="B217" s="130" t="n">
        <v>67031395</v>
      </c>
      <c r="C217" s="131" t="s">
        <v>343</v>
      </c>
      <c r="D217" s="131" t="s">
        <v>135</v>
      </c>
      <c r="E217" s="130" t="n">
        <v>2340800</v>
      </c>
      <c r="F217" s="131" t="s">
        <v>29</v>
      </c>
      <c r="G217" s="130" t="n">
        <v>2730000</v>
      </c>
      <c r="H217" s="131" t="n">
        <v>686</v>
      </c>
      <c r="I217" s="132" t="n">
        <v>0.61</v>
      </c>
      <c r="J217" s="132" t="n">
        <v>0.59</v>
      </c>
      <c r="K217" s="130" t="n">
        <v>0.452125768967874</v>
      </c>
      <c r="L217" s="132" t="n">
        <v>0.59</v>
      </c>
      <c r="M217" s="131" t="s">
        <v>64</v>
      </c>
      <c r="N217" s="133" t="n">
        <v>1.22753246753247</v>
      </c>
      <c r="O217" s="133" t="n">
        <v>0.452125768967874</v>
      </c>
      <c r="P217" s="132" t="n">
        <v>0.0227</v>
      </c>
      <c r="Q217" s="131" t="s">
        <v>130</v>
      </c>
      <c r="R217" s="130" t="n">
        <v>331000</v>
      </c>
      <c r="S217" s="143" t="n">
        <v>0</v>
      </c>
      <c r="T217" s="134" t="n">
        <v>45358.4827574074</v>
      </c>
    </row>
    <row r="218" customFormat="false" ht="39.75" hidden="false" customHeight="true" outlineLevel="0" collapsed="false">
      <c r="B218" s="130" t="n">
        <v>1143840552</v>
      </c>
      <c r="C218" s="131" t="s">
        <v>344</v>
      </c>
      <c r="D218" s="131" t="s">
        <v>135</v>
      </c>
      <c r="E218" s="130" t="n">
        <v>2893800</v>
      </c>
      <c r="F218" s="131" t="s">
        <v>33</v>
      </c>
      <c r="G218" s="130" t="n">
        <v>1100000</v>
      </c>
      <c r="H218" s="131" t="n">
        <v>824</v>
      </c>
      <c r="I218" s="132" t="n">
        <v>0.17</v>
      </c>
      <c r="J218" s="132" t="n">
        <v>0.21</v>
      </c>
      <c r="K218" s="130" t="n">
        <v>7.79976501485935</v>
      </c>
      <c r="L218" s="132" t="n">
        <v>0.21</v>
      </c>
      <c r="M218" s="131" t="s">
        <v>62</v>
      </c>
      <c r="N218" s="133" t="n">
        <v>0.900644135738475</v>
      </c>
      <c r="O218" s="133" t="n">
        <v>7.79976501485935</v>
      </c>
      <c r="P218" s="132" t="n">
        <v>0.0149</v>
      </c>
      <c r="Q218" s="131" t="s">
        <v>130</v>
      </c>
      <c r="R218" s="130" t="n">
        <v>18506000</v>
      </c>
      <c r="S218" s="143" t="n">
        <v>0</v>
      </c>
      <c r="T218" s="134" t="n">
        <v>45358.4882288194</v>
      </c>
    </row>
    <row r="219" customFormat="false" ht="39.75" hidden="false" customHeight="true" outlineLevel="0" collapsed="false">
      <c r="B219" s="130" t="n">
        <v>66866459</v>
      </c>
      <c r="C219" s="131" t="s">
        <v>345</v>
      </c>
      <c r="D219" s="131" t="s">
        <v>135</v>
      </c>
      <c r="E219" s="130" t="n">
        <v>2600900</v>
      </c>
      <c r="F219" s="131" t="s">
        <v>34</v>
      </c>
      <c r="G219" s="130" t="n">
        <v>2400000</v>
      </c>
      <c r="H219" s="131" t="n">
        <v>751</v>
      </c>
      <c r="I219" s="132" t="n">
        <v>0.21</v>
      </c>
      <c r="J219" s="132" t="n">
        <v>0.26</v>
      </c>
      <c r="K219" s="130" t="n">
        <v>0.131316851858972</v>
      </c>
      <c r="L219" s="132" t="n">
        <v>0.26</v>
      </c>
      <c r="M219" s="131" t="s">
        <v>64</v>
      </c>
      <c r="N219" s="133" t="n">
        <v>0.771725172055827</v>
      </c>
      <c r="O219" s="133" t="n">
        <v>0.131316851858972</v>
      </c>
      <c r="P219" s="132" t="n">
        <v>0.0179</v>
      </c>
      <c r="Q219" s="131" t="s">
        <v>130</v>
      </c>
      <c r="R219" s="130" t="n">
        <v>0</v>
      </c>
      <c r="S219" s="143" t="n">
        <v>0</v>
      </c>
      <c r="T219" s="134" t="n">
        <v>45358.4907403935</v>
      </c>
    </row>
    <row r="220" customFormat="false" ht="39.75" hidden="false" customHeight="true" outlineLevel="0" collapsed="false">
      <c r="B220" s="130" t="n">
        <v>1113673479</v>
      </c>
      <c r="C220" s="131" t="s">
        <v>346</v>
      </c>
      <c r="D220" s="131" t="s">
        <v>135</v>
      </c>
      <c r="E220" s="130" t="n">
        <v>2893800</v>
      </c>
      <c r="F220" s="131" t="s">
        <v>34</v>
      </c>
      <c r="G220" s="130" t="n">
        <v>1100000</v>
      </c>
      <c r="H220" s="131" t="n">
        <v>726</v>
      </c>
      <c r="I220" s="132" t="n">
        <v>0.28</v>
      </c>
      <c r="J220" s="132" t="n">
        <v>0.32</v>
      </c>
      <c r="K220" s="130" t="n">
        <v>2.20223339553528</v>
      </c>
      <c r="L220" s="132" t="n">
        <v>0.32</v>
      </c>
      <c r="M220" s="131" t="s">
        <v>64</v>
      </c>
      <c r="N220" s="133" t="n">
        <v>0.89066452415509</v>
      </c>
      <c r="O220" s="133" t="n">
        <v>2.20223339553528</v>
      </c>
      <c r="P220" s="132" t="n">
        <v>0.0179</v>
      </c>
      <c r="Q220" s="131" t="s">
        <v>130</v>
      </c>
      <c r="R220" s="130" t="n">
        <v>1003000</v>
      </c>
      <c r="S220" s="143" t="n">
        <v>0</v>
      </c>
      <c r="T220" s="134" t="n">
        <v>45358.4959947917</v>
      </c>
    </row>
    <row r="221" customFormat="false" ht="39.75" hidden="false" customHeight="true" outlineLevel="0" collapsed="false">
      <c r="B221" s="130" t="n">
        <v>43400374</v>
      </c>
      <c r="C221" s="131" t="s">
        <v>347</v>
      </c>
      <c r="D221" s="131" t="s">
        <v>135</v>
      </c>
      <c r="E221" s="130" t="n">
        <v>5418800</v>
      </c>
      <c r="F221" s="131" t="s">
        <v>34</v>
      </c>
      <c r="G221" s="130" t="n">
        <v>3600000</v>
      </c>
      <c r="H221" s="131" t="n">
        <v>782</v>
      </c>
      <c r="I221" s="132" t="n">
        <v>0.13</v>
      </c>
      <c r="J221" s="132" t="n">
        <v>0.19</v>
      </c>
      <c r="K221" s="130" t="n">
        <v>8.37327895475013</v>
      </c>
      <c r="L221" s="132" t="n">
        <v>0.19</v>
      </c>
      <c r="M221" s="131" t="s">
        <v>64</v>
      </c>
      <c r="N221" s="133" t="n">
        <v>0.805833948475677</v>
      </c>
      <c r="O221" s="133" t="n">
        <v>8.37327895475013</v>
      </c>
      <c r="P221" s="132" t="n">
        <v>0.0179</v>
      </c>
      <c r="Q221" s="131" t="s">
        <v>130</v>
      </c>
      <c r="R221" s="130" t="n">
        <v>45284000</v>
      </c>
      <c r="S221" s="143" t="n">
        <v>0</v>
      </c>
      <c r="T221" s="134" t="n">
        <v>45358.5052251157</v>
      </c>
    </row>
    <row r="222" customFormat="false" ht="39.75" hidden="false" customHeight="true" outlineLevel="0" collapsed="false">
      <c r="B222" s="130" t="n">
        <v>66820844</v>
      </c>
      <c r="C222" s="131" t="s">
        <v>244</v>
      </c>
      <c r="D222" s="131" t="s">
        <v>135</v>
      </c>
      <c r="E222" s="130" t="n">
        <v>2600900</v>
      </c>
      <c r="F222" s="131" t="s">
        <v>29</v>
      </c>
      <c r="G222" s="130" t="n">
        <v>3000000</v>
      </c>
      <c r="H222" s="131" t="n">
        <v>608</v>
      </c>
      <c r="I222" s="132" t="n">
        <v>0.43</v>
      </c>
      <c r="J222" s="132" t="n">
        <v>0.47</v>
      </c>
      <c r="K222" s="130" t="n">
        <v>17.1216067515091</v>
      </c>
      <c r="L222" s="132" t="n">
        <v>0.47</v>
      </c>
      <c r="M222" s="131" t="s">
        <v>64</v>
      </c>
      <c r="N222" s="133" t="n">
        <v>2.88802145411204</v>
      </c>
      <c r="O222" s="133" t="n">
        <v>17.1216067515091</v>
      </c>
      <c r="P222" s="132" t="n">
        <v>0.0179</v>
      </c>
      <c r="Q222" s="131" t="s">
        <v>130</v>
      </c>
      <c r="R222" s="130" t="n">
        <v>39065000</v>
      </c>
      <c r="S222" s="143" t="s">
        <v>166</v>
      </c>
      <c r="T222" s="134" t="n">
        <v>45358.6765506944</v>
      </c>
    </row>
    <row r="223" customFormat="false" ht="39.75" hidden="false" customHeight="true" outlineLevel="0" collapsed="false">
      <c r="B223" s="130" t="n">
        <v>1143836746</v>
      </c>
      <c r="C223" s="131" t="s">
        <v>348</v>
      </c>
      <c r="D223" s="131" t="s">
        <v>135</v>
      </c>
      <c r="E223" s="130" t="n">
        <v>2600900</v>
      </c>
      <c r="F223" s="131" t="s">
        <v>34</v>
      </c>
      <c r="G223" s="130" t="n">
        <v>770000</v>
      </c>
      <c r="H223" s="131" t="n">
        <v>747</v>
      </c>
      <c r="I223" s="132" t="n">
        <v>0.16</v>
      </c>
      <c r="J223" s="132" t="n">
        <v>0.19</v>
      </c>
      <c r="K223" s="130" t="n">
        <v>2.14423814833327</v>
      </c>
      <c r="L223" s="132" t="n">
        <v>0.19</v>
      </c>
      <c r="M223" s="131" t="s">
        <v>64</v>
      </c>
      <c r="N223" s="133" t="n">
        <v>1.07015456188243</v>
      </c>
      <c r="O223" s="133" t="n">
        <v>2.14423814833327</v>
      </c>
      <c r="P223" s="132" t="n">
        <v>0.0179</v>
      </c>
      <c r="Q223" s="131" t="s">
        <v>130</v>
      </c>
      <c r="R223" s="130" t="n">
        <v>2700000</v>
      </c>
      <c r="S223" s="143" t="s">
        <v>166</v>
      </c>
      <c r="T223" s="134" t="n">
        <v>45362.5768460648</v>
      </c>
    </row>
    <row r="224" customFormat="false" ht="39.75" hidden="false" customHeight="true" outlineLevel="0" collapsed="false">
      <c r="B224" s="130" t="n">
        <v>1144137869</v>
      </c>
      <c r="C224" s="131" t="s">
        <v>349</v>
      </c>
      <c r="D224" s="131" t="s">
        <v>135</v>
      </c>
      <c r="E224" s="130" t="n">
        <v>2893800</v>
      </c>
      <c r="F224" s="131" t="s">
        <v>29</v>
      </c>
      <c r="G224" s="130" t="n">
        <v>4000000</v>
      </c>
      <c r="H224" s="131" t="n">
        <v>514</v>
      </c>
      <c r="I224" s="132" t="n">
        <v>0.29</v>
      </c>
      <c r="J224" s="132" t="n">
        <v>0.33</v>
      </c>
      <c r="K224" s="130" t="n">
        <v>26.5983637431751</v>
      </c>
      <c r="L224" s="132" t="n">
        <v>0.33</v>
      </c>
      <c r="M224" s="131" t="s">
        <v>64</v>
      </c>
      <c r="N224" s="133" t="n">
        <v>1.79467447646693</v>
      </c>
      <c r="O224" s="133" t="n">
        <v>26.5983637431751</v>
      </c>
      <c r="P224" s="132" t="n">
        <v>0.0179</v>
      </c>
      <c r="Q224" s="131" t="s">
        <v>130</v>
      </c>
      <c r="R224" s="130" t="n">
        <v>74721000</v>
      </c>
      <c r="S224" s="143" t="n">
        <v>0</v>
      </c>
      <c r="T224" s="134" t="n">
        <v>45362.626322338</v>
      </c>
    </row>
    <row r="225" customFormat="false" ht="39.75" hidden="false" customHeight="true" outlineLevel="0" collapsed="false">
      <c r="B225" s="130" t="n">
        <v>1234191313</v>
      </c>
      <c r="C225" s="131" t="s">
        <v>350</v>
      </c>
      <c r="D225" s="131" t="s">
        <v>135</v>
      </c>
      <c r="E225" s="130" t="n">
        <v>2600900</v>
      </c>
      <c r="F225" s="131" t="s">
        <v>34</v>
      </c>
      <c r="G225" s="130" t="n">
        <v>2668000</v>
      </c>
      <c r="H225" s="131" t="n">
        <v>494</v>
      </c>
      <c r="I225" s="132" t="n">
        <v>0.22</v>
      </c>
      <c r="J225" s="132" t="n">
        <v>0.27</v>
      </c>
      <c r="K225" s="130" t="n">
        <v>14.0711603675651</v>
      </c>
      <c r="L225" s="132" t="n">
        <v>0.27</v>
      </c>
      <c r="M225" s="131" t="s">
        <v>64</v>
      </c>
      <c r="N225" s="133" t="n">
        <v>2.71933945941789</v>
      </c>
      <c r="O225" s="133" t="n">
        <v>14.0711603675651</v>
      </c>
      <c r="P225" s="132" t="n">
        <v>0.0179</v>
      </c>
      <c r="Q225" s="131" t="s">
        <v>130</v>
      </c>
      <c r="R225" s="130" t="n">
        <v>36574000</v>
      </c>
      <c r="S225" s="143" t="n">
        <v>0</v>
      </c>
      <c r="T225" s="134" t="n">
        <v>45362.6362788194</v>
      </c>
    </row>
    <row r="226" customFormat="false" ht="39.75" hidden="false" customHeight="true" outlineLevel="0" collapsed="false">
      <c r="B226" s="130" t="n">
        <v>16786534</v>
      </c>
      <c r="C226" s="131" t="s">
        <v>351</v>
      </c>
      <c r="D226" s="131" t="s">
        <v>135</v>
      </c>
      <c r="E226" s="130" t="n">
        <v>2893800</v>
      </c>
      <c r="F226" s="131" t="s">
        <v>34</v>
      </c>
      <c r="G226" s="130" t="n">
        <v>1400000</v>
      </c>
      <c r="H226" s="131" t="n">
        <v>655</v>
      </c>
      <c r="I226" s="132" t="n">
        <v>0.44</v>
      </c>
      <c r="J226" s="132" t="n">
        <v>0.47</v>
      </c>
      <c r="K226" s="130" t="n">
        <v>13.6098721404382</v>
      </c>
      <c r="L226" s="132" t="n">
        <v>0.47</v>
      </c>
      <c r="M226" s="131" t="s">
        <v>64</v>
      </c>
      <c r="N226" s="133" t="n">
        <v>1.7235182113484</v>
      </c>
      <c r="O226" s="133" t="n">
        <v>13.6098721404382</v>
      </c>
      <c r="P226" s="132" t="n">
        <v>0.0179</v>
      </c>
      <c r="Q226" s="131" t="s">
        <v>130</v>
      </c>
      <c r="R226" s="130" t="n">
        <v>37868000</v>
      </c>
      <c r="S226" s="143" t="n">
        <v>0</v>
      </c>
      <c r="T226" s="134" t="n">
        <v>45363.3483512732</v>
      </c>
    </row>
    <row r="227" customFormat="false" ht="39.75" hidden="false" customHeight="true" outlineLevel="0" collapsed="false">
      <c r="B227" s="130" t="n">
        <v>31488174</v>
      </c>
      <c r="C227" s="131" t="s">
        <v>307</v>
      </c>
      <c r="D227" s="131" t="s">
        <v>135</v>
      </c>
      <c r="E227" s="130" t="n">
        <v>2893800</v>
      </c>
      <c r="F227" s="131" t="s">
        <v>34</v>
      </c>
      <c r="G227" s="130" t="n">
        <v>2000000</v>
      </c>
      <c r="H227" s="131" t="n">
        <v>793</v>
      </c>
      <c r="I227" s="132" t="n">
        <v>0.34</v>
      </c>
      <c r="J227" s="132" t="n">
        <v>0.38</v>
      </c>
      <c r="K227" s="130" t="n">
        <v>8.00811839104292</v>
      </c>
      <c r="L227" s="132" t="n">
        <v>0.38</v>
      </c>
      <c r="M227" s="131" t="s">
        <v>64</v>
      </c>
      <c r="N227" s="133" t="n">
        <v>1.11975810353169</v>
      </c>
      <c r="O227" s="133" t="n">
        <v>8.00811839104292</v>
      </c>
      <c r="P227" s="132" t="n">
        <v>0.0179</v>
      </c>
      <c r="Q227" s="131" t="s">
        <v>130</v>
      </c>
      <c r="R227" s="130" t="n">
        <v>21681000</v>
      </c>
      <c r="S227" s="143" t="n">
        <v>0</v>
      </c>
      <c r="T227" s="134" t="n">
        <v>45363.3517353009</v>
      </c>
    </row>
    <row r="228" customFormat="false" ht="39.75" hidden="false" customHeight="true" outlineLevel="0" collapsed="false">
      <c r="B228" s="130" t="n">
        <v>38554243</v>
      </c>
      <c r="C228" s="131" t="s">
        <v>352</v>
      </c>
      <c r="D228" s="131" t="s">
        <v>135</v>
      </c>
      <c r="E228" s="130" t="n">
        <v>2600900</v>
      </c>
      <c r="F228" s="131" t="s">
        <v>34</v>
      </c>
      <c r="G228" s="130" t="n">
        <v>1900000</v>
      </c>
      <c r="H228" s="131" t="n">
        <v>695</v>
      </c>
      <c r="I228" s="132" t="n">
        <v>0.14</v>
      </c>
      <c r="J228" s="132" t="n">
        <v>0.17</v>
      </c>
      <c r="K228" s="130" t="n">
        <v>0.753295013264639</v>
      </c>
      <c r="L228" s="132" t="n">
        <v>0.17</v>
      </c>
      <c r="M228" s="131" t="s">
        <v>64</v>
      </c>
      <c r="N228" s="133" t="n">
        <v>0.724946749202199</v>
      </c>
      <c r="O228" s="133" t="n">
        <v>0.753295013264639</v>
      </c>
      <c r="P228" s="132" t="n">
        <v>0.0179</v>
      </c>
      <c r="Q228" s="131" t="s">
        <v>130</v>
      </c>
      <c r="R228" s="130" t="n">
        <v>97000</v>
      </c>
      <c r="S228" s="143" t="n">
        <v>0</v>
      </c>
      <c r="T228" s="134" t="n">
        <v>45363.3544300926</v>
      </c>
    </row>
    <row r="229" customFormat="false" ht="39.75" hidden="false" customHeight="true" outlineLevel="0" collapsed="false">
      <c r="B229" s="130" t="n">
        <v>66915635</v>
      </c>
      <c r="C229" s="131" t="s">
        <v>353</v>
      </c>
      <c r="D229" s="131" t="s">
        <v>135</v>
      </c>
      <c r="E229" s="130" t="n">
        <v>8245400</v>
      </c>
      <c r="F229" s="131" t="s">
        <v>29</v>
      </c>
      <c r="G229" s="130" t="n">
        <v>3000000</v>
      </c>
      <c r="H229" s="131" t="n">
        <v>720</v>
      </c>
      <c r="I229" s="132" t="n">
        <v>0.31</v>
      </c>
      <c r="J229" s="132" t="n">
        <v>0.33</v>
      </c>
      <c r="K229" s="130" t="n">
        <v>8.25470019647319</v>
      </c>
      <c r="L229" s="132" t="n">
        <v>0.33</v>
      </c>
      <c r="M229" s="131" t="s">
        <v>62</v>
      </c>
      <c r="N229" s="133" t="n">
        <v>1.17176425643389</v>
      </c>
      <c r="O229" s="133" t="n">
        <v>8.25470019647319</v>
      </c>
      <c r="P229" s="132" t="n">
        <v>0.0227</v>
      </c>
      <c r="Q229" s="131" t="s">
        <v>130</v>
      </c>
      <c r="R229" s="130" t="n">
        <v>58006000</v>
      </c>
      <c r="S229" s="143" t="n">
        <v>0</v>
      </c>
      <c r="T229" s="134" t="n">
        <v>45363.3591952546</v>
      </c>
    </row>
    <row r="230" customFormat="false" ht="39.75" hidden="false" customHeight="true" outlineLevel="0" collapsed="false">
      <c r="B230" s="130" t="n">
        <v>30398858</v>
      </c>
      <c r="C230" s="131" t="s">
        <v>134</v>
      </c>
      <c r="D230" s="131" t="s">
        <v>135</v>
      </c>
      <c r="E230" s="130" t="n">
        <v>6403200</v>
      </c>
      <c r="F230" s="131" t="s">
        <v>33</v>
      </c>
      <c r="G230" s="130" t="n">
        <v>1600000</v>
      </c>
      <c r="H230" s="131" t="n">
        <v>747</v>
      </c>
      <c r="I230" s="132" t="n">
        <v>0.2</v>
      </c>
      <c r="J230" s="132" t="n">
        <v>0.21</v>
      </c>
      <c r="K230" s="130" t="n">
        <v>2.81653891804098</v>
      </c>
      <c r="L230" s="132" t="n">
        <v>0.21</v>
      </c>
      <c r="M230" s="131" t="s">
        <v>62</v>
      </c>
      <c r="N230" s="133" t="n">
        <v>1.36560844577711</v>
      </c>
      <c r="O230" s="133" t="n">
        <v>2.81653891804098</v>
      </c>
      <c r="P230" s="132" t="n">
        <v>0.0227</v>
      </c>
      <c r="Q230" s="131" t="s">
        <v>130</v>
      </c>
      <c r="R230" s="130" t="n">
        <v>8756000</v>
      </c>
      <c r="S230" s="143" t="s">
        <v>354</v>
      </c>
      <c r="T230" s="134" t="n">
        <v>45363.3697810185</v>
      </c>
    </row>
    <row r="231" customFormat="false" ht="39.75" hidden="false" customHeight="true" outlineLevel="0" collapsed="false">
      <c r="B231" s="130" t="n">
        <v>1143941511</v>
      </c>
      <c r="C231" s="131" t="s">
        <v>355</v>
      </c>
      <c r="D231" s="131" t="s">
        <v>135</v>
      </c>
      <c r="E231" s="130" t="n">
        <v>1625000</v>
      </c>
      <c r="F231" s="131" t="s">
        <v>34</v>
      </c>
      <c r="G231" s="130" t="n">
        <v>2800000</v>
      </c>
      <c r="H231" s="131" t="n">
        <v>498</v>
      </c>
      <c r="I231" s="132" t="n">
        <v>0.05</v>
      </c>
      <c r="J231" s="132" t="n">
        <v>0.12</v>
      </c>
      <c r="K231" s="130" t="n">
        <v>0.0393846153846154</v>
      </c>
      <c r="L231" s="132" t="n">
        <v>0.12</v>
      </c>
      <c r="M231" s="131" t="s">
        <v>64</v>
      </c>
      <c r="N231" s="133" t="n">
        <v>0.698707692307692</v>
      </c>
      <c r="O231" s="133" t="n">
        <v>0.0393846153846154</v>
      </c>
      <c r="P231" s="132" t="n">
        <v>0.0179</v>
      </c>
      <c r="Q231" s="131" t="s">
        <v>130</v>
      </c>
      <c r="R231" s="130" t="n">
        <v>64000</v>
      </c>
      <c r="S231" s="143" t="n">
        <v>0</v>
      </c>
      <c r="T231" s="134" t="n">
        <v>45363.3889930556</v>
      </c>
    </row>
    <row r="232" customFormat="false" ht="39.75" hidden="false" customHeight="true" outlineLevel="0" collapsed="false">
      <c r="B232" s="130" t="n">
        <v>1107063642</v>
      </c>
      <c r="C232" s="131" t="s">
        <v>356</v>
      </c>
      <c r="D232" s="131" t="s">
        <v>135</v>
      </c>
      <c r="E232" s="130" t="n">
        <v>1918500</v>
      </c>
      <c r="F232" s="131" t="s">
        <v>29</v>
      </c>
      <c r="G232" s="130" t="n">
        <v>3500000</v>
      </c>
      <c r="H232" s="131" t="n">
        <v>686</v>
      </c>
      <c r="I232" s="132" t="n">
        <v>0.35</v>
      </c>
      <c r="J232" s="132" t="n">
        <v>0.41</v>
      </c>
      <c r="K232" s="130" t="n">
        <v>15.6173854573886</v>
      </c>
      <c r="L232" s="132" t="n">
        <v>0.41</v>
      </c>
      <c r="M232" s="131" t="s">
        <v>64</v>
      </c>
      <c r="N232" s="133" t="n">
        <v>2.94230805316654</v>
      </c>
      <c r="O232" s="133" t="n">
        <v>15.6173854573886</v>
      </c>
      <c r="P232" s="132" t="n">
        <v>0.0227</v>
      </c>
      <c r="Q232" s="131" t="s">
        <v>130</v>
      </c>
      <c r="R232" s="130" t="n">
        <v>29735000</v>
      </c>
      <c r="S232" s="143" t="n">
        <v>0</v>
      </c>
      <c r="T232" s="134" t="n">
        <v>45363.3992946759</v>
      </c>
    </row>
    <row r="233" customFormat="false" ht="39.75" hidden="false" customHeight="true" outlineLevel="0" collapsed="false">
      <c r="B233" s="130" t="n">
        <v>38557635</v>
      </c>
      <c r="C233" s="131" t="s">
        <v>357</v>
      </c>
      <c r="D233" s="131" t="s">
        <v>135</v>
      </c>
      <c r="E233" s="130" t="n">
        <v>2893800</v>
      </c>
      <c r="F233" s="131" t="s">
        <v>34</v>
      </c>
      <c r="G233" s="130" t="n">
        <v>1300000</v>
      </c>
      <c r="H233" s="131" t="n">
        <v>634</v>
      </c>
      <c r="I233" s="132" t="n">
        <v>0.39</v>
      </c>
      <c r="J233" s="132" t="n">
        <v>0.4</v>
      </c>
      <c r="K233" s="130" t="n">
        <v>16.7737514686571</v>
      </c>
      <c r="L233" s="132" t="n">
        <v>0.4</v>
      </c>
      <c r="M233" s="131" t="s">
        <v>64</v>
      </c>
      <c r="N233" s="133" t="n">
        <v>1.40216462782501</v>
      </c>
      <c r="O233" s="133" t="n">
        <v>16.7737514686571</v>
      </c>
      <c r="P233" s="132" t="n">
        <v>0.0179</v>
      </c>
      <c r="Q233" s="131" t="s">
        <v>130</v>
      </c>
      <c r="R233" s="130" t="n">
        <v>46756000</v>
      </c>
      <c r="S233" s="143" t="n">
        <v>0</v>
      </c>
      <c r="T233" s="134" t="n">
        <v>45363.4061296296</v>
      </c>
    </row>
    <row r="234" customFormat="false" ht="39.75" hidden="false" customHeight="true" outlineLevel="0" collapsed="false">
      <c r="B234" s="130" t="n">
        <v>1127218494</v>
      </c>
      <c r="C234" s="131" t="s">
        <v>358</v>
      </c>
      <c r="D234" s="131" t="s">
        <v>135</v>
      </c>
      <c r="E234" s="130" t="n">
        <v>2340800</v>
      </c>
      <c r="F234" s="131" t="s">
        <v>34</v>
      </c>
      <c r="G234" s="130" t="n">
        <v>3100000</v>
      </c>
      <c r="H234" s="131" t="n">
        <v>371</v>
      </c>
      <c r="I234" s="132" t="n">
        <v>0.2</v>
      </c>
      <c r="J234" s="132" t="n">
        <v>0.27</v>
      </c>
      <c r="K234" s="130" t="n">
        <v>3.24412593984962</v>
      </c>
      <c r="L234" s="132" t="n">
        <v>0.27</v>
      </c>
      <c r="M234" s="131" t="s">
        <v>64</v>
      </c>
      <c r="N234" s="133" t="n">
        <v>2.12003545796309</v>
      </c>
      <c r="O234" s="133" t="n">
        <v>3.24412593984962</v>
      </c>
      <c r="P234" s="132" t="n">
        <v>0.0179</v>
      </c>
      <c r="Q234" s="131" t="s">
        <v>130</v>
      </c>
      <c r="R234" s="130" t="n">
        <v>6706000</v>
      </c>
      <c r="S234" s="143" t="n">
        <v>0</v>
      </c>
      <c r="T234" s="134" t="n">
        <v>45363.408040625</v>
      </c>
    </row>
    <row r="235" customFormat="false" ht="39.75" hidden="false" customHeight="true" outlineLevel="0" collapsed="false">
      <c r="B235" s="130" t="n">
        <v>1130643308</v>
      </c>
      <c r="C235" s="131" t="s">
        <v>359</v>
      </c>
      <c r="D235" s="131" t="s">
        <v>135</v>
      </c>
      <c r="E235" s="130" t="n">
        <v>1625000</v>
      </c>
      <c r="F235" s="131" t="s">
        <v>34</v>
      </c>
      <c r="G235" s="130" t="n">
        <v>1400000</v>
      </c>
      <c r="H235" s="131" t="n">
        <v>576</v>
      </c>
      <c r="I235" s="132" t="n">
        <v>0.23</v>
      </c>
      <c r="J235" s="132" t="n">
        <v>0.24</v>
      </c>
      <c r="K235" s="130" t="n">
        <v>14.9133064615385</v>
      </c>
      <c r="L235" s="132" t="n">
        <v>0.24</v>
      </c>
      <c r="M235" s="131" t="s">
        <v>64</v>
      </c>
      <c r="N235" s="133" t="n">
        <v>1.46435507692308</v>
      </c>
      <c r="O235" s="133" t="n">
        <v>14.9133064615385</v>
      </c>
      <c r="P235" s="132" t="n">
        <v>0.0179</v>
      </c>
      <c r="Q235" s="131" t="s">
        <v>130</v>
      </c>
      <c r="R235" s="130" t="n">
        <v>21232000</v>
      </c>
      <c r="S235" s="143" t="n">
        <v>0</v>
      </c>
      <c r="T235" s="134" t="n">
        <v>45363.4312560185</v>
      </c>
    </row>
    <row r="236" customFormat="false" ht="39.75" hidden="false" customHeight="true" outlineLevel="0" collapsed="false">
      <c r="B236" s="130" t="n">
        <v>1143827788</v>
      </c>
      <c r="C236" s="131" t="s">
        <v>360</v>
      </c>
      <c r="D236" s="131" t="s">
        <v>153</v>
      </c>
      <c r="E236" s="130" t="n">
        <v>2318500</v>
      </c>
      <c r="F236" s="131" t="s">
        <v>13</v>
      </c>
      <c r="G236" s="130" t="n">
        <v>10448999</v>
      </c>
      <c r="H236" s="131" t="n">
        <v>777</v>
      </c>
      <c r="I236" s="132" t="n">
        <v>0.04</v>
      </c>
      <c r="J236" s="132" t="n">
        <v>0.17</v>
      </c>
      <c r="K236" s="130" t="n">
        <v>7.25945740780677</v>
      </c>
      <c r="L236" s="132" t="n">
        <v>0.17</v>
      </c>
      <c r="M236" s="131" t="s">
        <v>62</v>
      </c>
      <c r="N236" s="133" t="n">
        <v>0.780017252533966</v>
      </c>
      <c r="O236" s="133" t="n">
        <v>7.25945740780677</v>
      </c>
      <c r="P236" s="132" t="n">
        <v>0.0167</v>
      </c>
      <c r="Q236" s="131" t="s">
        <v>130</v>
      </c>
      <c r="R236" s="130" t="n">
        <v>9496000</v>
      </c>
      <c r="S236" s="143" t="s">
        <v>311</v>
      </c>
      <c r="T236" s="134" t="n">
        <v>45364.3198079861</v>
      </c>
    </row>
    <row r="237" customFormat="false" ht="39.75" hidden="false" customHeight="true" outlineLevel="0" collapsed="false">
      <c r="B237" s="130" t="n">
        <v>1130597766</v>
      </c>
      <c r="C237" s="131" t="s">
        <v>361</v>
      </c>
      <c r="D237" s="131" t="s">
        <v>135</v>
      </c>
      <c r="E237" s="130" t="n">
        <v>2893800</v>
      </c>
      <c r="F237" s="131" t="s">
        <v>14</v>
      </c>
      <c r="G237" s="130" t="n">
        <v>8500000</v>
      </c>
      <c r="H237" s="131" t="n">
        <v>993</v>
      </c>
      <c r="I237" s="132" t="n">
        <v>0.11</v>
      </c>
      <c r="J237" s="132" t="n">
        <v>0.17</v>
      </c>
      <c r="K237" s="130" t="n">
        <v>0.145671435482756</v>
      </c>
      <c r="L237" s="132" t="n">
        <v>0.17</v>
      </c>
      <c r="M237" s="131" t="s">
        <v>62</v>
      </c>
      <c r="N237" s="133" t="n">
        <v>0.722022254475085</v>
      </c>
      <c r="O237" s="133" t="n">
        <v>0.145671435482756</v>
      </c>
      <c r="P237" s="132" t="n">
        <v>0.0199</v>
      </c>
      <c r="Q237" s="131" t="s">
        <v>130</v>
      </c>
      <c r="R237" s="130" t="n">
        <v>69000</v>
      </c>
      <c r="S237" s="143" t="n">
        <v>0</v>
      </c>
      <c r="T237" s="134" t="n">
        <v>45364.3263635417</v>
      </c>
    </row>
    <row r="238" customFormat="false" ht="39.75" hidden="false" customHeight="true" outlineLevel="0" collapsed="false">
      <c r="B238" s="130" t="n">
        <v>66847778</v>
      </c>
      <c r="C238" s="131" t="s">
        <v>362</v>
      </c>
      <c r="D238" s="131" t="s">
        <v>135</v>
      </c>
      <c r="E238" s="130" t="n">
        <v>5291000</v>
      </c>
      <c r="F238" s="131" t="s">
        <v>34</v>
      </c>
      <c r="G238" s="130" t="n">
        <v>5400000</v>
      </c>
      <c r="H238" s="131" t="n">
        <v>708</v>
      </c>
      <c r="I238" s="132" t="n">
        <v>0.16</v>
      </c>
      <c r="J238" s="132" t="n">
        <v>0.19</v>
      </c>
      <c r="K238" s="130" t="n">
        <v>12.3753745983746</v>
      </c>
      <c r="L238" s="132" t="n">
        <v>0.19</v>
      </c>
      <c r="M238" s="131" t="s">
        <v>64</v>
      </c>
      <c r="N238" s="133" t="n">
        <v>0.988378189378189</v>
      </c>
      <c r="O238" s="133" t="n">
        <v>12.3753745983746</v>
      </c>
      <c r="P238" s="132" t="n">
        <v>0.0179</v>
      </c>
      <c r="Q238" s="131" t="s">
        <v>130</v>
      </c>
      <c r="R238" s="130" t="n">
        <v>64419000</v>
      </c>
      <c r="S238" s="143" t="n">
        <v>0</v>
      </c>
      <c r="T238" s="134" t="n">
        <v>45364.3373481482</v>
      </c>
    </row>
    <row r="239" customFormat="false" ht="39.75" hidden="false" customHeight="true" outlineLevel="0" collapsed="false">
      <c r="B239" s="130" t="n">
        <v>29106695</v>
      </c>
      <c r="C239" s="131" t="s">
        <v>363</v>
      </c>
      <c r="D239" s="131" t="s">
        <v>135</v>
      </c>
      <c r="E239" s="130" t="n">
        <v>2600900</v>
      </c>
      <c r="F239" s="131" t="s">
        <v>34</v>
      </c>
      <c r="G239" s="130" t="n">
        <v>7000000</v>
      </c>
      <c r="H239" s="131" t="n">
        <v>754</v>
      </c>
      <c r="I239" s="132" t="n">
        <v>0.29</v>
      </c>
      <c r="J239" s="132" t="n">
        <v>0.37</v>
      </c>
      <c r="K239" s="130" t="n">
        <v>10.7551908954593</v>
      </c>
      <c r="L239" s="132" t="n">
        <v>0.37</v>
      </c>
      <c r="M239" s="131" t="s">
        <v>64</v>
      </c>
      <c r="N239" s="133" t="n">
        <v>1.00515898342881</v>
      </c>
      <c r="O239" s="133" t="n">
        <v>10.7551908954593</v>
      </c>
      <c r="P239" s="132" t="n">
        <v>0.0179</v>
      </c>
      <c r="Q239" s="131" t="s">
        <v>130</v>
      </c>
      <c r="R239" s="130" t="n">
        <v>25343000</v>
      </c>
      <c r="S239" s="143" t="n">
        <v>0</v>
      </c>
      <c r="T239" s="134" t="n">
        <v>45364.3445263889</v>
      </c>
    </row>
    <row r="240" customFormat="false" ht="39.75" hidden="false" customHeight="true" outlineLevel="0" collapsed="false">
      <c r="B240" s="130" t="n">
        <v>1063813519</v>
      </c>
      <c r="C240" s="131" t="s">
        <v>364</v>
      </c>
      <c r="D240" s="131" t="s">
        <v>135</v>
      </c>
      <c r="E240" s="130" t="n">
        <v>2255900</v>
      </c>
      <c r="F240" s="131" t="s">
        <v>34</v>
      </c>
      <c r="G240" s="130" t="n">
        <v>4300000</v>
      </c>
      <c r="H240" s="131" t="n">
        <v>621</v>
      </c>
      <c r="I240" s="132" t="n">
        <v>0.28</v>
      </c>
      <c r="J240" s="132" t="n">
        <v>0.36</v>
      </c>
      <c r="K240" s="130" t="n">
        <v>7.24560663149962</v>
      </c>
      <c r="L240" s="132" t="n">
        <v>0.36</v>
      </c>
      <c r="M240" s="131" t="s">
        <v>64</v>
      </c>
      <c r="N240" s="133" t="n">
        <v>1.19544926636819</v>
      </c>
      <c r="O240" s="133" t="n">
        <v>7.24560663149962</v>
      </c>
      <c r="P240" s="132" t="n">
        <v>0.0179</v>
      </c>
      <c r="Q240" s="131" t="s">
        <v>130</v>
      </c>
      <c r="R240" s="130" t="n">
        <v>12031000</v>
      </c>
      <c r="S240" s="143" t="n">
        <v>0</v>
      </c>
      <c r="T240" s="134" t="n">
        <v>45364.3498094907</v>
      </c>
    </row>
    <row r="241" customFormat="false" ht="39.75" hidden="false" customHeight="true" outlineLevel="0" collapsed="false">
      <c r="B241" s="130" t="n">
        <v>1144026358</v>
      </c>
      <c r="C241" s="131" t="s">
        <v>365</v>
      </c>
      <c r="D241" s="131" t="s">
        <v>135</v>
      </c>
      <c r="E241" s="130" t="n">
        <v>1625000</v>
      </c>
      <c r="F241" s="131" t="s">
        <v>34</v>
      </c>
      <c r="G241" s="130" t="n">
        <v>4100000</v>
      </c>
      <c r="H241" s="131" t="n">
        <v>582</v>
      </c>
      <c r="I241" s="132" t="n">
        <v>0.21</v>
      </c>
      <c r="J241" s="132" t="n">
        <v>0.28</v>
      </c>
      <c r="K241" s="130" t="n">
        <v>1.01734953846154</v>
      </c>
      <c r="L241" s="132" t="n">
        <v>0.28</v>
      </c>
      <c r="M241" s="131" t="s">
        <v>64</v>
      </c>
      <c r="N241" s="133" t="n">
        <v>0.857416615384615</v>
      </c>
      <c r="O241" s="133" t="n">
        <v>1.01734953846154</v>
      </c>
      <c r="P241" s="132" t="n">
        <v>0.0179</v>
      </c>
      <c r="Q241" s="131" t="s">
        <v>130</v>
      </c>
      <c r="R241" s="130" t="n">
        <v>754000</v>
      </c>
      <c r="S241" s="143" t="n">
        <v>0</v>
      </c>
      <c r="T241" s="134" t="n">
        <v>45364.3764650463</v>
      </c>
    </row>
    <row r="242" customFormat="false" ht="39.75" hidden="false" customHeight="true" outlineLevel="0" collapsed="false">
      <c r="B242" s="130" t="n">
        <v>29363921</v>
      </c>
      <c r="C242" s="131" t="s">
        <v>366</v>
      </c>
      <c r="D242" s="131" t="s">
        <v>135</v>
      </c>
      <c r="E242" s="130" t="n">
        <v>2600900</v>
      </c>
      <c r="F242" s="131" t="s">
        <v>16</v>
      </c>
      <c r="G242" s="130" t="n">
        <v>5000000</v>
      </c>
      <c r="H242" s="131" t="n">
        <v>858</v>
      </c>
      <c r="I242" s="132" t="n">
        <v>0.39</v>
      </c>
      <c r="J242" s="132" t="n">
        <v>0.45</v>
      </c>
      <c r="K242" s="130" t="n">
        <v>15.1816678841939</v>
      </c>
      <c r="L242" s="132" t="n">
        <v>0.45</v>
      </c>
      <c r="M242" s="131" t="s">
        <v>62</v>
      </c>
      <c r="N242" s="133" t="n">
        <v>1.26817716944135</v>
      </c>
      <c r="O242" s="133" t="n">
        <v>15.1816678841939</v>
      </c>
      <c r="P242" s="132" t="n">
        <v>0.0199</v>
      </c>
      <c r="Q242" s="131" t="s">
        <v>130</v>
      </c>
      <c r="R242" s="130" t="n">
        <v>39486000</v>
      </c>
      <c r="S242" s="143" t="n">
        <v>0</v>
      </c>
      <c r="T242" s="134" t="n">
        <v>45364.388943287</v>
      </c>
    </row>
    <row r="243" customFormat="false" ht="39.75" hidden="false" customHeight="true" outlineLevel="0" collapsed="false">
      <c r="B243" s="130" t="n">
        <v>1087994517</v>
      </c>
      <c r="C243" s="131" t="s">
        <v>367</v>
      </c>
      <c r="D243" s="131" t="s">
        <v>135</v>
      </c>
      <c r="E243" s="130" t="n">
        <v>1991000</v>
      </c>
      <c r="F243" s="131" t="s">
        <v>16</v>
      </c>
      <c r="G243" s="130" t="n">
        <v>2200000</v>
      </c>
      <c r="H243" s="131" t="n">
        <v>640</v>
      </c>
      <c r="I243" s="132" t="n">
        <v>0.33</v>
      </c>
      <c r="J243" s="132" t="n">
        <v>0.37</v>
      </c>
      <c r="K243" s="130" t="n">
        <v>5.19624208940231</v>
      </c>
      <c r="L243" s="132" t="n">
        <v>0.37</v>
      </c>
      <c r="M243" s="131" t="s">
        <v>62</v>
      </c>
      <c r="N243" s="133" t="n">
        <v>0.882938724259166</v>
      </c>
      <c r="O243" s="133" t="n">
        <v>5.19624208940231</v>
      </c>
      <c r="P243" s="132" t="n">
        <v>0.0227</v>
      </c>
      <c r="Q243" s="131" t="s">
        <v>130</v>
      </c>
      <c r="R243" s="130" t="n">
        <v>0</v>
      </c>
      <c r="S243" s="143" t="n">
        <v>0</v>
      </c>
      <c r="T243" s="134" t="n">
        <v>45365.4478758102</v>
      </c>
    </row>
    <row r="244" customFormat="false" ht="39.75" hidden="false" customHeight="true" outlineLevel="0" collapsed="false">
      <c r="B244" s="130" t="n">
        <v>66999723</v>
      </c>
      <c r="C244" s="131" t="s">
        <v>368</v>
      </c>
      <c r="D244" s="131" t="s">
        <v>135</v>
      </c>
      <c r="E244" s="130" t="n">
        <v>2893800</v>
      </c>
      <c r="F244" s="131" t="s">
        <v>34</v>
      </c>
      <c r="G244" s="130" t="n">
        <v>4000000</v>
      </c>
      <c r="H244" s="131" t="n">
        <v>555</v>
      </c>
      <c r="I244" s="132" t="n">
        <v>0.37</v>
      </c>
      <c r="J244" s="132" t="n">
        <v>0.41</v>
      </c>
      <c r="K244" s="130" t="n">
        <v>17.1666538807105</v>
      </c>
      <c r="L244" s="132" t="n">
        <v>0.41</v>
      </c>
      <c r="M244" s="131" t="s">
        <v>64</v>
      </c>
      <c r="N244" s="133" t="n">
        <v>1.97776729559748</v>
      </c>
      <c r="O244" s="133" t="n">
        <v>17.1666538807105</v>
      </c>
      <c r="P244" s="132" t="n">
        <v>0.0179</v>
      </c>
      <c r="Q244" s="131" t="s">
        <v>130</v>
      </c>
      <c r="R244" s="130" t="n">
        <v>47211000</v>
      </c>
      <c r="S244" s="143" t="n">
        <v>0</v>
      </c>
      <c r="T244" s="134" t="n">
        <v>45365.4541743056</v>
      </c>
    </row>
    <row r="245" customFormat="false" ht="39.75" hidden="false" customHeight="true" outlineLevel="0" collapsed="false">
      <c r="B245" s="130" t="n">
        <v>31177120</v>
      </c>
      <c r="C245" s="131" t="s">
        <v>369</v>
      </c>
      <c r="D245" s="131" t="s">
        <v>135</v>
      </c>
      <c r="E245" s="130" t="n">
        <v>2600900</v>
      </c>
      <c r="F245" s="131" t="s">
        <v>33</v>
      </c>
      <c r="G245" s="130" t="n">
        <v>10800000</v>
      </c>
      <c r="H245" s="131" t="n">
        <v>882</v>
      </c>
      <c r="I245" s="132" t="n">
        <v>0.13</v>
      </c>
      <c r="J245" s="132" t="n">
        <v>0.25</v>
      </c>
      <c r="K245" s="130" t="n">
        <v>9.87296051366835</v>
      </c>
      <c r="L245" s="132" t="n">
        <v>0.25</v>
      </c>
      <c r="M245" s="131" t="s">
        <v>62</v>
      </c>
      <c r="N245" s="133" t="n">
        <v>0.58</v>
      </c>
      <c r="O245" s="133" t="n">
        <v>9.87296051366835</v>
      </c>
      <c r="P245" s="132" t="n">
        <v>0.0149</v>
      </c>
      <c r="Q245" s="131" t="s">
        <v>130</v>
      </c>
      <c r="R245" s="130" t="n">
        <v>25403000</v>
      </c>
      <c r="S245" s="143" t="n">
        <v>0</v>
      </c>
      <c r="T245" s="134" t="n">
        <v>45365.6768804398</v>
      </c>
    </row>
    <row r="246" customFormat="false" ht="39.75" hidden="false" customHeight="true" outlineLevel="0" collapsed="false">
      <c r="B246" s="130" t="n">
        <v>1005894749</v>
      </c>
      <c r="C246" s="131" t="s">
        <v>370</v>
      </c>
      <c r="D246" s="131" t="s">
        <v>135</v>
      </c>
      <c r="E246" s="130" t="n">
        <v>2893800</v>
      </c>
      <c r="F246" s="131" t="s">
        <v>34</v>
      </c>
      <c r="G246" s="130" t="n">
        <v>1100000</v>
      </c>
      <c r="H246" s="131" t="n">
        <v>515</v>
      </c>
      <c r="I246" s="132" t="n">
        <v>0.41</v>
      </c>
      <c r="J246" s="132" t="n">
        <v>0.43</v>
      </c>
      <c r="K246" s="130" t="n">
        <v>12.3234667219573</v>
      </c>
      <c r="L246" s="132" t="n">
        <v>0.43</v>
      </c>
      <c r="M246" s="131" t="s">
        <v>64</v>
      </c>
      <c r="N246" s="133" t="n">
        <v>1.33549761559196</v>
      </c>
      <c r="O246" s="133" t="n">
        <v>12.3234667219573</v>
      </c>
      <c r="P246" s="132" t="n">
        <v>0.0179</v>
      </c>
      <c r="Q246" s="131" t="s">
        <v>130</v>
      </c>
      <c r="R246" s="130" t="n">
        <v>33978000</v>
      </c>
      <c r="S246" s="143" t="n">
        <v>0</v>
      </c>
      <c r="T246" s="134" t="n">
        <v>45365.6797587963</v>
      </c>
    </row>
    <row r="247" customFormat="false" ht="39.75" hidden="false" customHeight="true" outlineLevel="0" collapsed="false">
      <c r="B247" s="130" t="n">
        <v>1144155514</v>
      </c>
      <c r="C247" s="131" t="s">
        <v>371</v>
      </c>
      <c r="D247" s="131" t="s">
        <v>135</v>
      </c>
      <c r="E247" s="130" t="n">
        <v>2600900</v>
      </c>
      <c r="F247" s="131" t="s">
        <v>29</v>
      </c>
      <c r="G247" s="130" t="n">
        <v>2700000</v>
      </c>
      <c r="H247" s="131" t="n">
        <v>743</v>
      </c>
      <c r="I247" s="132" t="n">
        <v>0.44</v>
      </c>
      <c r="J247" s="132" t="n">
        <v>0.49</v>
      </c>
      <c r="K247" s="130" t="n">
        <v>16.3070775500788</v>
      </c>
      <c r="L247" s="132" t="n">
        <v>0.49</v>
      </c>
      <c r="M247" s="131" t="s">
        <v>64</v>
      </c>
      <c r="N247" s="133" t="n">
        <v>1.28373985927948</v>
      </c>
      <c r="O247" s="133" t="n">
        <v>16.3070775500788</v>
      </c>
      <c r="P247" s="132" t="n">
        <v>0.0227</v>
      </c>
      <c r="Q247" s="131" t="s">
        <v>130</v>
      </c>
      <c r="R247" s="130" t="n">
        <v>38159000</v>
      </c>
      <c r="S247" s="143" t="n">
        <v>0</v>
      </c>
      <c r="T247" s="134" t="n">
        <v>45366.3791762732</v>
      </c>
    </row>
    <row r="248" customFormat="false" ht="39.75" hidden="false" customHeight="true" outlineLevel="0" collapsed="false">
      <c r="B248" s="130" t="n">
        <v>1006179442</v>
      </c>
      <c r="C248" s="131" t="s">
        <v>173</v>
      </c>
      <c r="D248" s="131" t="s">
        <v>135</v>
      </c>
      <c r="E248" s="130" t="n">
        <v>2604400</v>
      </c>
      <c r="F248" s="131" t="s">
        <v>29</v>
      </c>
      <c r="G248" s="130" t="n">
        <v>1900000</v>
      </c>
      <c r="H248" s="131" t="n">
        <v>640</v>
      </c>
      <c r="I248" s="132" t="n">
        <v>0.22</v>
      </c>
      <c r="J248" s="132" t="n">
        <v>0.24</v>
      </c>
      <c r="K248" s="130" t="n">
        <v>1.58158193825833</v>
      </c>
      <c r="L248" s="132" t="n">
        <v>0.24</v>
      </c>
      <c r="M248" s="131" t="s">
        <v>64</v>
      </c>
      <c r="N248" s="133" t="n">
        <v>1.0298498694517</v>
      </c>
      <c r="O248" s="133" t="n">
        <v>1.58158193825833</v>
      </c>
      <c r="P248" s="132" t="n">
        <v>0.0227</v>
      </c>
      <c r="Q248" s="131" t="s">
        <v>130</v>
      </c>
      <c r="R248" s="130" t="n">
        <v>601000</v>
      </c>
      <c r="S248" s="143" t="n">
        <v>0</v>
      </c>
      <c r="T248" s="134" t="n">
        <v>45366.4016704861</v>
      </c>
    </row>
    <row r="249" customFormat="false" ht="39.75" hidden="false" customHeight="true" outlineLevel="0" collapsed="false">
      <c r="B249" s="130" t="n">
        <v>67040256</v>
      </c>
      <c r="C249" s="131" t="s">
        <v>372</v>
      </c>
      <c r="D249" s="131" t="s">
        <v>135</v>
      </c>
      <c r="E249" s="130" t="n">
        <v>2893800</v>
      </c>
      <c r="F249" s="131" t="s">
        <v>33</v>
      </c>
      <c r="G249" s="130" t="n">
        <v>1400000</v>
      </c>
      <c r="H249" s="131" t="n">
        <v>686</v>
      </c>
      <c r="I249" s="132" t="n">
        <v>0.13</v>
      </c>
      <c r="J249" s="132" t="n">
        <v>0.15</v>
      </c>
      <c r="K249" s="130" t="n">
        <v>3.48432234432234</v>
      </c>
      <c r="L249" s="132" t="n">
        <v>0.15</v>
      </c>
      <c r="M249" s="131" t="s">
        <v>62</v>
      </c>
      <c r="N249" s="133" t="n">
        <v>1.48204851752022</v>
      </c>
      <c r="O249" s="133" t="n">
        <v>3.48432234432234</v>
      </c>
      <c r="P249" s="132" t="n">
        <v>0.0149</v>
      </c>
      <c r="Q249" s="131" t="s">
        <v>130</v>
      </c>
      <c r="R249" s="130" t="n">
        <v>0</v>
      </c>
      <c r="S249" s="143" t="n">
        <v>0</v>
      </c>
      <c r="T249" s="134" t="n">
        <v>45366.4086236111</v>
      </c>
    </row>
    <row r="250" customFormat="false" ht="39.75" hidden="false" customHeight="true" outlineLevel="0" collapsed="false">
      <c r="B250" s="130" t="n">
        <v>31573111</v>
      </c>
      <c r="C250" s="131" t="s">
        <v>373</v>
      </c>
      <c r="D250" s="131" t="s">
        <v>135</v>
      </c>
      <c r="E250" s="130" t="n">
        <v>2600900</v>
      </c>
      <c r="F250" s="131" t="s">
        <v>34</v>
      </c>
      <c r="G250" s="130" t="n">
        <v>3000000</v>
      </c>
      <c r="H250" s="131" t="n">
        <v>642</v>
      </c>
      <c r="I250" s="132" t="n">
        <v>0.34</v>
      </c>
      <c r="J250" s="132" t="n">
        <v>0.37</v>
      </c>
      <c r="K250" s="130" t="n">
        <v>8.98446691529855</v>
      </c>
      <c r="L250" s="132" t="n">
        <v>0.37</v>
      </c>
      <c r="M250" s="131" t="s">
        <v>64</v>
      </c>
      <c r="N250" s="133" t="n">
        <v>1.13116459687031</v>
      </c>
      <c r="O250" s="133" t="n">
        <v>8.98446691529855</v>
      </c>
      <c r="P250" s="132" t="n">
        <v>0.0179</v>
      </c>
      <c r="Q250" s="131" t="s">
        <v>130</v>
      </c>
      <c r="R250" s="130" t="n">
        <v>21841000</v>
      </c>
      <c r="S250" s="143" t="n">
        <v>0</v>
      </c>
      <c r="T250" s="134" t="n">
        <v>45366.4212204861</v>
      </c>
    </row>
    <row r="251" customFormat="false" ht="39.75" hidden="false" customHeight="true" outlineLevel="0" collapsed="false">
      <c r="B251" s="130" t="n">
        <v>1144044745</v>
      </c>
      <c r="C251" s="131" t="s">
        <v>374</v>
      </c>
      <c r="D251" s="131" t="s">
        <v>135</v>
      </c>
      <c r="E251" s="130" t="n">
        <v>2600900</v>
      </c>
      <c r="F251" s="131" t="s">
        <v>29</v>
      </c>
      <c r="G251" s="130" t="n">
        <v>1000000</v>
      </c>
      <c r="H251" s="131" t="n">
        <v>553</v>
      </c>
      <c r="I251" s="132" t="n">
        <v>0.36</v>
      </c>
      <c r="J251" s="132" t="n">
        <v>0.38</v>
      </c>
      <c r="K251" s="130" t="n">
        <v>15.7904756045984</v>
      </c>
      <c r="L251" s="132" t="n">
        <v>0.38</v>
      </c>
      <c r="M251" s="131" t="s">
        <v>64</v>
      </c>
      <c r="N251" s="133" t="n">
        <v>1.45238148333269</v>
      </c>
      <c r="O251" s="133" t="n">
        <v>15.7904756045984</v>
      </c>
      <c r="P251" s="132" t="n">
        <v>0.0227</v>
      </c>
      <c r="Q251" s="131" t="s">
        <v>130</v>
      </c>
      <c r="R251" s="130" t="n">
        <v>33643000</v>
      </c>
      <c r="S251" s="143" t="n">
        <v>0</v>
      </c>
      <c r="T251" s="134" t="n">
        <v>45366.4350141204</v>
      </c>
    </row>
    <row r="252" customFormat="false" ht="39.75" hidden="false" customHeight="true" outlineLevel="0" collapsed="false">
      <c r="B252" s="130" t="n">
        <v>29107314</v>
      </c>
      <c r="C252" s="131" t="s">
        <v>375</v>
      </c>
      <c r="D252" s="131" t="s">
        <v>135</v>
      </c>
      <c r="E252" s="130" t="n">
        <v>2600900</v>
      </c>
      <c r="F252" s="131" t="s">
        <v>34</v>
      </c>
      <c r="G252" s="130" t="n">
        <v>3400000</v>
      </c>
      <c r="H252" s="131" t="n">
        <v>760</v>
      </c>
      <c r="I252" s="132" t="n">
        <v>0.47</v>
      </c>
      <c r="J252" s="132" t="n">
        <v>0.5</v>
      </c>
      <c r="K252" s="130" t="n">
        <v>0.477439732400323</v>
      </c>
      <c r="L252" s="132" t="n">
        <v>0.5</v>
      </c>
      <c r="M252" s="131" t="s">
        <v>64</v>
      </c>
      <c r="N252" s="133" t="n">
        <v>1.05386135568457</v>
      </c>
      <c r="O252" s="133" t="n">
        <v>0.477439732400323</v>
      </c>
      <c r="P252" s="132" t="n">
        <v>0.0149</v>
      </c>
      <c r="Q252" s="131" t="s">
        <v>130</v>
      </c>
      <c r="R252" s="130" t="n">
        <v>0</v>
      </c>
      <c r="S252" s="143" t="n">
        <v>0</v>
      </c>
      <c r="T252" s="134" t="n">
        <v>45366.447534838</v>
      </c>
    </row>
    <row r="253" customFormat="false" ht="39.75" hidden="false" customHeight="true" outlineLevel="0" collapsed="false">
      <c r="B253" s="130" t="n">
        <v>67030192</v>
      </c>
      <c r="C253" s="131" t="s">
        <v>376</v>
      </c>
      <c r="D253" s="131" t="s">
        <v>135</v>
      </c>
      <c r="E253" s="130" t="n">
        <v>2600900</v>
      </c>
      <c r="F253" s="131" t="s">
        <v>34</v>
      </c>
      <c r="G253" s="130" t="n">
        <v>500000</v>
      </c>
      <c r="H253" s="131" t="n">
        <v>692</v>
      </c>
      <c r="I253" s="132" t="n">
        <v>0.39</v>
      </c>
      <c r="J253" s="132" t="n">
        <v>0.41</v>
      </c>
      <c r="K253" s="130" t="n">
        <v>14.7789261409512</v>
      </c>
      <c r="L253" s="132" t="n">
        <v>0.41</v>
      </c>
      <c r="M253" s="131" t="s">
        <v>64</v>
      </c>
      <c r="N253" s="133" t="n">
        <v>1.33082509900419</v>
      </c>
      <c r="O253" s="133" t="n">
        <v>14.7789261409512</v>
      </c>
      <c r="P253" s="132" t="n">
        <v>0.0149</v>
      </c>
      <c r="Q253" s="131" t="s">
        <v>130</v>
      </c>
      <c r="R253" s="130" t="n">
        <v>38166000</v>
      </c>
      <c r="S253" s="143" t="n">
        <v>0</v>
      </c>
      <c r="T253" s="134" t="n">
        <v>45370.5074280093</v>
      </c>
    </row>
    <row r="254" customFormat="false" ht="39.75" hidden="false" customHeight="true" outlineLevel="0" collapsed="false">
      <c r="B254" s="130" t="n">
        <v>1144175696</v>
      </c>
      <c r="C254" s="131" t="s">
        <v>377</v>
      </c>
      <c r="D254" s="131" t="s">
        <v>135</v>
      </c>
      <c r="E254" s="130" t="n">
        <v>2600900</v>
      </c>
      <c r="F254" s="131" t="s">
        <v>29</v>
      </c>
      <c r="G254" s="130" t="n">
        <v>1445430</v>
      </c>
      <c r="H254" s="131" t="n">
        <v>713</v>
      </c>
      <c r="I254" s="132" t="n">
        <v>0.17</v>
      </c>
      <c r="J254" s="132" t="n">
        <v>0.23</v>
      </c>
      <c r="K254" s="130" t="n">
        <v>0</v>
      </c>
      <c r="L254" s="132" t="n">
        <v>0.23</v>
      </c>
      <c r="M254" s="131" t="s">
        <v>64</v>
      </c>
      <c r="N254" s="133" t="n">
        <v>0.969537083317313</v>
      </c>
      <c r="O254" s="133" t="n">
        <v>0</v>
      </c>
      <c r="P254" s="132" t="n">
        <v>0.0227</v>
      </c>
      <c r="Q254" s="131" t="s">
        <v>130</v>
      </c>
      <c r="R254" s="130" t="n">
        <v>0</v>
      </c>
      <c r="S254" s="143" t="n">
        <v>0</v>
      </c>
      <c r="T254" s="134" t="n">
        <v>45370.511569213</v>
      </c>
    </row>
    <row r="255" customFormat="false" ht="39.75" hidden="false" customHeight="true" outlineLevel="0" collapsed="false">
      <c r="B255" s="130" t="n">
        <v>1144132355</v>
      </c>
      <c r="C255" s="131" t="s">
        <v>378</v>
      </c>
      <c r="D255" s="131" t="s">
        <v>135</v>
      </c>
      <c r="E255" s="130" t="n">
        <v>1991000</v>
      </c>
      <c r="F255" s="131" t="s">
        <v>20</v>
      </c>
      <c r="G255" s="130" t="n">
        <v>1079000</v>
      </c>
      <c r="H255" s="131" t="n">
        <v>665</v>
      </c>
      <c r="I255" s="132" t="n">
        <v>0.18</v>
      </c>
      <c r="J255" s="132" t="n">
        <v>0.24</v>
      </c>
      <c r="K255" s="130" t="n">
        <v>1.22565494726268</v>
      </c>
      <c r="L255" s="132" t="n">
        <v>0.24</v>
      </c>
      <c r="M255" s="131" t="s">
        <v>64</v>
      </c>
      <c r="N255" s="133" t="n">
        <v>0.816901054746359</v>
      </c>
      <c r="O255" s="133" t="n">
        <v>1.22565494726268</v>
      </c>
      <c r="P255" s="132" t="n">
        <v>0.026</v>
      </c>
      <c r="Q255" s="131" t="s">
        <v>130</v>
      </c>
      <c r="R255" s="130" t="n">
        <v>138000</v>
      </c>
      <c r="S255" s="143" t="n">
        <v>0</v>
      </c>
      <c r="T255" s="134" t="n">
        <v>45370.5779607639</v>
      </c>
    </row>
    <row r="256" customFormat="false" ht="39.75" hidden="false" customHeight="true" outlineLevel="0" collapsed="false">
      <c r="B256" s="130" t="n">
        <v>1144146146</v>
      </c>
      <c r="C256" s="131" t="s">
        <v>379</v>
      </c>
      <c r="D256" s="131" t="s">
        <v>135</v>
      </c>
      <c r="E256" s="130" t="n">
        <v>2340800</v>
      </c>
      <c r="F256" s="131" t="s">
        <v>34</v>
      </c>
      <c r="G256" s="130" t="n">
        <v>3000000</v>
      </c>
      <c r="H256" s="131" t="n">
        <v>598</v>
      </c>
      <c r="I256" s="132" t="n">
        <v>0.31</v>
      </c>
      <c r="J256" s="132" t="n">
        <v>0.38</v>
      </c>
      <c r="K256" s="130" t="n">
        <v>9.38098086124402</v>
      </c>
      <c r="L256" s="132" t="n">
        <v>0.38</v>
      </c>
      <c r="M256" s="131" t="s">
        <v>64</v>
      </c>
      <c r="N256" s="133" t="n">
        <v>1.23398496240602</v>
      </c>
      <c r="O256" s="133" t="n">
        <v>9.38098086124402</v>
      </c>
      <c r="P256" s="132" t="n">
        <v>0.0179</v>
      </c>
      <c r="Q256" s="131" t="s">
        <v>130</v>
      </c>
      <c r="R256" s="130" t="n">
        <v>21959000</v>
      </c>
      <c r="S256" s="143" t="n">
        <v>0</v>
      </c>
      <c r="T256" s="134" t="n">
        <v>45370.5836023148</v>
      </c>
    </row>
    <row r="257" customFormat="false" ht="39.75" hidden="false" customHeight="true" outlineLevel="0" collapsed="false">
      <c r="B257" s="130" t="n">
        <v>94516656</v>
      </c>
      <c r="C257" s="131" t="s">
        <v>380</v>
      </c>
      <c r="D257" s="131" t="s">
        <v>135</v>
      </c>
      <c r="E257" s="130" t="n">
        <v>5679200</v>
      </c>
      <c r="F257" s="131" t="s">
        <v>34</v>
      </c>
      <c r="G257" s="130" t="n">
        <v>3000000</v>
      </c>
      <c r="H257" s="131" t="n">
        <v>724</v>
      </c>
      <c r="I257" s="132" t="n">
        <v>0.33</v>
      </c>
      <c r="J257" s="132" t="n">
        <v>0.35</v>
      </c>
      <c r="K257" s="130" t="n">
        <v>10.1960948725173</v>
      </c>
      <c r="L257" s="132" t="n">
        <v>0.35</v>
      </c>
      <c r="M257" s="131" t="s">
        <v>64</v>
      </c>
      <c r="N257" s="133" t="n">
        <v>0.994086491055078</v>
      </c>
      <c r="O257" s="133" t="n">
        <v>10.1960948725173</v>
      </c>
      <c r="P257" s="132" t="n">
        <v>0.0179</v>
      </c>
      <c r="Q257" s="131" t="s">
        <v>130</v>
      </c>
      <c r="R257" s="130" t="n">
        <v>50469000</v>
      </c>
      <c r="S257" s="143" t="n">
        <v>0</v>
      </c>
      <c r="T257" s="134" t="n">
        <v>45370.5901115741</v>
      </c>
    </row>
    <row r="258" customFormat="false" ht="39.75" hidden="false" customHeight="true" outlineLevel="0" collapsed="false">
      <c r="B258" s="130" t="n">
        <v>1002858305</v>
      </c>
      <c r="C258" s="131" t="s">
        <v>381</v>
      </c>
      <c r="D258" s="131" t="s">
        <v>135</v>
      </c>
      <c r="E258" s="130" t="n">
        <v>2893800</v>
      </c>
      <c r="F258" s="131" t="s">
        <v>34</v>
      </c>
      <c r="G258" s="130" t="n">
        <v>2000000</v>
      </c>
      <c r="H258" s="131" t="n">
        <v>762</v>
      </c>
      <c r="I258" s="132" t="n">
        <v>0.26</v>
      </c>
      <c r="J258" s="132" t="n">
        <v>0.3</v>
      </c>
      <c r="K258" s="130" t="n">
        <v>6.22710622710623</v>
      </c>
      <c r="L258" s="132" t="n">
        <v>0.3</v>
      </c>
      <c r="M258" s="131" t="s">
        <v>64</v>
      </c>
      <c r="N258" s="133" t="n">
        <v>1.06395742622158</v>
      </c>
      <c r="O258" s="133" t="n">
        <v>6.22710622710623</v>
      </c>
      <c r="P258" s="132" t="n">
        <v>0.0179</v>
      </c>
      <c r="Q258" s="131" t="s">
        <v>130</v>
      </c>
      <c r="R258" s="130" t="n">
        <v>18020000</v>
      </c>
      <c r="S258" s="143" t="n">
        <v>0</v>
      </c>
      <c r="T258" s="134" t="n">
        <v>45370.5968984954</v>
      </c>
    </row>
    <row r="259" customFormat="false" ht="39.75" hidden="false" customHeight="true" outlineLevel="0" collapsed="false">
      <c r="B259" s="130" t="n">
        <v>1002858305</v>
      </c>
      <c r="C259" s="131" t="s">
        <v>381</v>
      </c>
      <c r="D259" s="131" t="s">
        <v>135</v>
      </c>
      <c r="E259" s="130" t="n">
        <v>2893800</v>
      </c>
      <c r="F259" s="131" t="s">
        <v>34</v>
      </c>
      <c r="G259" s="130" t="n">
        <v>2000000</v>
      </c>
      <c r="H259" s="131" t="n">
        <v>762</v>
      </c>
      <c r="I259" s="132" t="n">
        <v>0.19</v>
      </c>
      <c r="J259" s="132" t="n">
        <v>0.23</v>
      </c>
      <c r="K259" s="130" t="n">
        <v>4.74980993848918</v>
      </c>
      <c r="L259" s="132" t="n">
        <v>0.23</v>
      </c>
      <c r="M259" s="131" t="s">
        <v>64</v>
      </c>
      <c r="N259" s="133" t="n">
        <v>0.932676757205059</v>
      </c>
      <c r="O259" s="133" t="n">
        <v>4.74980993848918</v>
      </c>
      <c r="P259" s="132" t="n">
        <v>0.0179</v>
      </c>
      <c r="Q259" s="131" t="s">
        <v>130</v>
      </c>
      <c r="R259" s="130" t="n">
        <v>13745000</v>
      </c>
      <c r="S259" s="143" t="n">
        <v>0</v>
      </c>
      <c r="T259" s="134" t="n">
        <v>45370.6000185185</v>
      </c>
    </row>
    <row r="260" customFormat="false" ht="39.75" hidden="false" customHeight="true" outlineLevel="0" collapsed="false">
      <c r="B260" s="130" t="n">
        <v>1143949791</v>
      </c>
      <c r="C260" s="131" t="s">
        <v>382</v>
      </c>
      <c r="D260" s="131" t="s">
        <v>135</v>
      </c>
      <c r="E260" s="130" t="n">
        <v>2600900</v>
      </c>
      <c r="F260" s="131" t="s">
        <v>29</v>
      </c>
      <c r="G260" s="130" t="n">
        <v>1000000</v>
      </c>
      <c r="H260" s="131" t="n">
        <v>741</v>
      </c>
      <c r="I260" s="132" t="n">
        <v>0.24</v>
      </c>
      <c r="J260" s="132" t="n">
        <v>0.28</v>
      </c>
      <c r="K260" s="130" t="n">
        <v>10.7047560459841</v>
      </c>
      <c r="L260" s="132" t="n">
        <v>0.28</v>
      </c>
      <c r="M260" s="131" t="s">
        <v>64</v>
      </c>
      <c r="N260" s="133" t="n">
        <v>1.19567918797339</v>
      </c>
      <c r="O260" s="133" t="n">
        <v>10.7047560459841</v>
      </c>
      <c r="P260" s="132" t="n">
        <v>0.0227</v>
      </c>
      <c r="Q260" s="131" t="s">
        <v>130</v>
      </c>
      <c r="R260" s="130" t="n">
        <v>27842000</v>
      </c>
      <c r="S260" s="143" t="n">
        <v>0</v>
      </c>
      <c r="T260" s="134" t="n">
        <v>45370.6045758102</v>
      </c>
    </row>
    <row r="261" customFormat="false" ht="39.75" hidden="false" customHeight="true" outlineLevel="0" collapsed="false">
      <c r="B261" s="130" t="n">
        <v>1005870761</v>
      </c>
      <c r="C261" s="131" t="s">
        <v>383</v>
      </c>
      <c r="D261" s="131" t="s">
        <v>135</v>
      </c>
      <c r="E261" s="130" t="n">
        <v>1328119</v>
      </c>
      <c r="F261" s="131" t="s">
        <v>29</v>
      </c>
      <c r="G261" s="130" t="n">
        <v>3500000</v>
      </c>
      <c r="H261" s="131" t="n">
        <v>743</v>
      </c>
      <c r="I261" s="132" t="n">
        <v>0.17</v>
      </c>
      <c r="J261" s="132" t="n">
        <v>0.44</v>
      </c>
      <c r="K261" s="130" t="n">
        <v>2.31239068185908</v>
      </c>
      <c r="L261" s="132" t="n">
        <v>0.44</v>
      </c>
      <c r="M261" s="131" t="s">
        <v>64</v>
      </c>
      <c r="N261" s="133" t="n">
        <v>0.958455545022698</v>
      </c>
      <c r="O261" s="133" t="n">
        <v>2.31239068185908</v>
      </c>
      <c r="P261" s="132" t="n">
        <v>0.0227</v>
      </c>
      <c r="Q261" s="131" t="s">
        <v>130</v>
      </c>
      <c r="R261" s="130" t="n">
        <v>3008000</v>
      </c>
      <c r="S261" s="143" t="n">
        <v>0</v>
      </c>
      <c r="T261" s="134" t="n">
        <v>45370.6133405093</v>
      </c>
    </row>
    <row r="262" customFormat="false" ht="39.75" hidden="false" customHeight="true" outlineLevel="0" collapsed="false">
      <c r="B262" s="130" t="n">
        <v>1107531297</v>
      </c>
      <c r="C262" s="131" t="s">
        <v>384</v>
      </c>
      <c r="D262" s="131" t="s">
        <v>135</v>
      </c>
      <c r="E262" s="130" t="n">
        <v>2893800</v>
      </c>
      <c r="F262" s="131" t="s">
        <v>34</v>
      </c>
      <c r="G262" s="130" t="n">
        <v>3000000</v>
      </c>
      <c r="H262" s="131" t="n">
        <v>698</v>
      </c>
      <c r="I262" s="132" t="n">
        <v>0.29</v>
      </c>
      <c r="J262" s="132" t="n">
        <v>0.35</v>
      </c>
      <c r="K262" s="130" t="n">
        <v>0.352823277351579</v>
      </c>
      <c r="L262" s="132" t="n">
        <v>0.35</v>
      </c>
      <c r="M262" s="131" t="s">
        <v>64</v>
      </c>
      <c r="N262" s="133" t="n">
        <v>1.20307899647522</v>
      </c>
      <c r="O262" s="133" t="n">
        <v>0.352823277351579</v>
      </c>
      <c r="P262" s="132" t="n">
        <v>0.0179</v>
      </c>
      <c r="Q262" s="131" t="s">
        <v>130</v>
      </c>
      <c r="R262" s="130" t="n">
        <v>1021000</v>
      </c>
      <c r="S262" s="143" t="n">
        <v>0</v>
      </c>
      <c r="T262" s="134" t="n">
        <v>45370.617987963</v>
      </c>
    </row>
    <row r="263" customFormat="false" ht="39.75" hidden="false" customHeight="true" outlineLevel="0" collapsed="false">
      <c r="B263" s="130" t="n">
        <v>1107094549</v>
      </c>
      <c r="C263" s="131" t="s">
        <v>385</v>
      </c>
      <c r="D263" s="131" t="s">
        <v>135</v>
      </c>
      <c r="E263" s="130" t="n">
        <v>2030300</v>
      </c>
      <c r="F263" s="131" t="s">
        <v>16</v>
      </c>
      <c r="G263" s="130" t="n">
        <v>4300000</v>
      </c>
      <c r="H263" s="131" t="n">
        <v>573</v>
      </c>
      <c r="I263" s="132" t="n">
        <v>0.51</v>
      </c>
      <c r="J263" s="132" t="n">
        <v>0.58</v>
      </c>
      <c r="K263" s="130" t="n">
        <v>9.81973107422548</v>
      </c>
      <c r="L263" s="132" t="n">
        <v>0.58</v>
      </c>
      <c r="M263" s="131" t="s">
        <v>64</v>
      </c>
      <c r="N263" s="133" t="n">
        <v>1.30715707038369</v>
      </c>
      <c r="O263" s="133" t="n">
        <v>9.81973107422548</v>
      </c>
      <c r="P263" s="132" t="n">
        <v>0.0199</v>
      </c>
      <c r="Q263" s="131" t="s">
        <v>130</v>
      </c>
      <c r="R263" s="130" t="n">
        <v>19937000</v>
      </c>
      <c r="S263" s="143" t="n">
        <v>0</v>
      </c>
      <c r="T263" s="134" t="n">
        <v>45371.3869568287</v>
      </c>
    </row>
    <row r="264" customFormat="false" ht="39.75" hidden="false" customHeight="true" outlineLevel="0" collapsed="false">
      <c r="B264" s="130" t="n">
        <v>16749432</v>
      </c>
      <c r="C264" s="131" t="s">
        <v>386</v>
      </c>
      <c r="D264" s="131" t="s">
        <v>135</v>
      </c>
      <c r="E264" s="130" t="n">
        <v>2893800</v>
      </c>
      <c r="F264" s="131" t="s">
        <v>11</v>
      </c>
      <c r="G264" s="130" t="n">
        <v>5600000</v>
      </c>
      <c r="H264" s="131" t="n">
        <v>842</v>
      </c>
      <c r="I264" s="132" t="n">
        <v>0.5</v>
      </c>
      <c r="J264" s="132" t="n">
        <v>0.48</v>
      </c>
      <c r="K264" s="130" t="n">
        <v>21.3048520975879</v>
      </c>
      <c r="L264" s="132" t="n">
        <v>0.48</v>
      </c>
      <c r="M264" s="131" t="s">
        <v>62</v>
      </c>
      <c r="N264" s="133" t="n">
        <v>1.5516141405764</v>
      </c>
      <c r="O264" s="133" t="n">
        <v>21.3048520975879</v>
      </c>
      <c r="P264" s="132" t="n">
        <v>0.0137</v>
      </c>
      <c r="Q264" s="131" t="s">
        <v>130</v>
      </c>
      <c r="R264" s="130" t="n">
        <v>61065000</v>
      </c>
      <c r="S264" s="143" t="n">
        <v>0</v>
      </c>
      <c r="T264" s="134" t="n">
        <v>45371.3981534722</v>
      </c>
    </row>
    <row r="265" customFormat="false" ht="39.75" hidden="false" customHeight="true" outlineLevel="0" collapsed="false">
      <c r="B265" s="130" t="n">
        <v>16799691</v>
      </c>
      <c r="C265" s="131" t="s">
        <v>387</v>
      </c>
      <c r="D265" s="131" t="s">
        <v>135</v>
      </c>
      <c r="E265" s="130" t="n">
        <v>2893800</v>
      </c>
      <c r="F265" s="131" t="s">
        <v>33</v>
      </c>
      <c r="G265" s="130" t="n">
        <v>11200000</v>
      </c>
      <c r="H265" s="131" t="n">
        <v>990</v>
      </c>
      <c r="I265" s="132" t="n">
        <v>0.04</v>
      </c>
      <c r="J265" s="132" t="n">
        <v>0.2</v>
      </c>
      <c r="K265" s="130" t="n">
        <v>0.276798673025088</v>
      </c>
      <c r="L265" s="132" t="n">
        <v>0.2</v>
      </c>
      <c r="M265" s="131" t="s">
        <v>62</v>
      </c>
      <c r="N265" s="133" t="n">
        <v>0.621178726933444</v>
      </c>
      <c r="O265" s="133" t="n">
        <v>0.276798673025088</v>
      </c>
      <c r="P265" s="132" t="n">
        <v>0.0149</v>
      </c>
      <c r="Q265" s="131" t="s">
        <v>130</v>
      </c>
      <c r="R265" s="130" t="n">
        <v>801000</v>
      </c>
      <c r="S265" s="143" t="n">
        <v>0</v>
      </c>
      <c r="T265" s="134" t="n">
        <v>45371.4067324074</v>
      </c>
    </row>
    <row r="266" customFormat="false" ht="39.75" hidden="false" customHeight="true" outlineLevel="0" collapsed="false">
      <c r="B266" s="130" t="n">
        <v>29117076</v>
      </c>
      <c r="C266" s="131" t="s">
        <v>388</v>
      </c>
      <c r="D266" s="131" t="s">
        <v>135</v>
      </c>
      <c r="E266" s="130" t="n">
        <v>13588800</v>
      </c>
      <c r="F266" s="131" t="s">
        <v>18</v>
      </c>
      <c r="G266" s="130" t="n">
        <v>3454000</v>
      </c>
      <c r="H266" s="131" t="n">
        <v>411</v>
      </c>
      <c r="I266" s="132" t="n">
        <v>0.23</v>
      </c>
      <c r="J266" s="132" t="n">
        <v>0.26</v>
      </c>
      <c r="K266" s="130" t="n">
        <v>26.7454240256682</v>
      </c>
      <c r="L266" s="132" t="n">
        <v>0.26</v>
      </c>
      <c r="M266" s="131" t="s">
        <v>64</v>
      </c>
      <c r="N266" s="133" t="n">
        <v>1.15149255269045</v>
      </c>
      <c r="O266" s="133" t="n">
        <v>26.7454240256682</v>
      </c>
      <c r="P266" s="132" t="n">
        <v>0.0149</v>
      </c>
      <c r="Q266" s="131" t="s">
        <v>130</v>
      </c>
      <c r="R266" s="130" t="n">
        <v>359267000</v>
      </c>
      <c r="S266" s="143" t="n">
        <v>0</v>
      </c>
      <c r="T266" s="134" t="n">
        <v>45371.4151640046</v>
      </c>
    </row>
    <row r="267" customFormat="false" ht="39.75" hidden="false" customHeight="true" outlineLevel="0" collapsed="false">
      <c r="B267" s="130" t="n">
        <v>25273899</v>
      </c>
      <c r="C267" s="131" t="s">
        <v>389</v>
      </c>
      <c r="D267" s="131" t="s">
        <v>135</v>
      </c>
      <c r="E267" s="130" t="n">
        <v>4876900</v>
      </c>
      <c r="F267" s="131" t="s">
        <v>33</v>
      </c>
      <c r="G267" s="130" t="n">
        <v>7000000</v>
      </c>
      <c r="H267" s="131" t="n">
        <v>926</v>
      </c>
      <c r="I267" s="132" t="n">
        <v>0.08</v>
      </c>
      <c r="J267" s="132" t="n">
        <v>0.16</v>
      </c>
      <c r="K267" s="130" t="n">
        <v>0</v>
      </c>
      <c r="L267" s="132" t="n">
        <v>0.16</v>
      </c>
      <c r="M267" s="131" t="s">
        <v>62</v>
      </c>
      <c r="N267" s="133" t="n">
        <v>0.653591830876171</v>
      </c>
      <c r="O267" s="133" t="n">
        <v>0</v>
      </c>
      <c r="P267" s="132" t="n">
        <v>0.0149</v>
      </c>
      <c r="Q267" s="131" t="s">
        <v>130</v>
      </c>
      <c r="R267" s="130" t="n">
        <v>0</v>
      </c>
      <c r="S267" s="143" t="n">
        <v>0</v>
      </c>
      <c r="T267" s="134" t="n">
        <v>45371.41761875</v>
      </c>
    </row>
    <row r="268" customFormat="false" ht="39.75" hidden="false" customHeight="true" outlineLevel="0" collapsed="false">
      <c r="B268" s="130" t="n">
        <v>38681087</v>
      </c>
      <c r="C268" s="131" t="s">
        <v>390</v>
      </c>
      <c r="D268" s="131" t="s">
        <v>135</v>
      </c>
      <c r="E268" s="130" t="n">
        <v>4383200</v>
      </c>
      <c r="F268" s="131" t="s">
        <v>33</v>
      </c>
      <c r="G268" s="130" t="n">
        <v>6000000</v>
      </c>
      <c r="H268" s="131" t="n">
        <v>829</v>
      </c>
      <c r="I268" s="132" t="n">
        <v>0.02</v>
      </c>
      <c r="J268" s="132" t="n">
        <v>0.1</v>
      </c>
      <c r="K268" s="130" t="n">
        <v>3.70049279065523</v>
      </c>
      <c r="L268" s="132" t="n">
        <v>0.1</v>
      </c>
      <c r="M268" s="131" t="s">
        <v>62</v>
      </c>
      <c r="N268" s="133" t="n">
        <v>0.896146422704873</v>
      </c>
      <c r="O268" s="133" t="n">
        <v>3.70049279065523</v>
      </c>
      <c r="P268" s="132" t="n">
        <v>0.0149</v>
      </c>
      <c r="Q268" s="131" t="s">
        <v>130</v>
      </c>
      <c r="R268" s="130" t="n">
        <v>16220000</v>
      </c>
      <c r="S268" s="143" t="n">
        <v>0</v>
      </c>
      <c r="T268" s="134" t="n">
        <v>45371.4225298611</v>
      </c>
    </row>
    <row r="269" customFormat="false" ht="39.75" hidden="false" customHeight="true" outlineLevel="0" collapsed="false">
      <c r="B269" s="130" t="n">
        <v>1130650454</v>
      </c>
      <c r="C269" s="131" t="s">
        <v>391</v>
      </c>
      <c r="D269" s="131" t="s">
        <v>135</v>
      </c>
      <c r="E269" s="130" t="n">
        <v>2600900</v>
      </c>
      <c r="F269" s="131" t="s">
        <v>33</v>
      </c>
      <c r="G269" s="130" t="n">
        <v>8000000</v>
      </c>
      <c r="H269" s="131" t="n">
        <v>805</v>
      </c>
      <c r="I269" s="132" t="n">
        <v>0.29</v>
      </c>
      <c r="J269" s="132" t="n">
        <v>0.38</v>
      </c>
      <c r="K269" s="130" t="n">
        <v>1.28469914260448</v>
      </c>
      <c r="L269" s="132" t="n">
        <v>0.38</v>
      </c>
      <c r="M269" s="131" t="s">
        <v>62</v>
      </c>
      <c r="N269" s="133" t="n">
        <v>1.19391941251105</v>
      </c>
      <c r="O269" s="133" t="n">
        <v>1.28469914260448</v>
      </c>
      <c r="P269" s="132" t="n">
        <v>0.0149</v>
      </c>
      <c r="Q269" s="131" t="s">
        <v>130</v>
      </c>
      <c r="R269" s="130" t="n">
        <v>2405700</v>
      </c>
      <c r="S269" s="143" t="n">
        <v>0</v>
      </c>
      <c r="T269" s="134" t="n">
        <v>45371.4532967593</v>
      </c>
    </row>
    <row r="270" customFormat="false" ht="39.75" hidden="false" customHeight="true" outlineLevel="0" collapsed="false">
      <c r="B270" s="130" t="n">
        <v>94282910</v>
      </c>
      <c r="C270" s="131" t="s">
        <v>291</v>
      </c>
      <c r="D270" s="131" t="s">
        <v>135</v>
      </c>
      <c r="E270" s="130" t="n">
        <v>2893800</v>
      </c>
      <c r="F270" s="131" t="s">
        <v>33</v>
      </c>
      <c r="G270" s="130" t="n">
        <v>2100000</v>
      </c>
      <c r="H270" s="131" t="n">
        <v>969</v>
      </c>
      <c r="I270" s="132" t="n">
        <v>0.12</v>
      </c>
      <c r="J270" s="132" t="n">
        <v>0.15</v>
      </c>
      <c r="K270" s="130" t="n">
        <v>1.72956113069321</v>
      </c>
      <c r="L270" s="132" t="n">
        <v>0.15</v>
      </c>
      <c r="M270" s="131" t="s">
        <v>62</v>
      </c>
      <c r="N270" s="133" t="n">
        <v>0.690445435068077</v>
      </c>
      <c r="O270" s="133" t="n">
        <v>1.72956113069321</v>
      </c>
      <c r="P270" s="132" t="n">
        <v>0.0149</v>
      </c>
      <c r="Q270" s="131" t="s">
        <v>130</v>
      </c>
      <c r="R270" s="130" t="n">
        <v>0</v>
      </c>
      <c r="S270" s="143" t="n">
        <v>0</v>
      </c>
      <c r="T270" s="134" t="n">
        <v>45371.4723314815</v>
      </c>
    </row>
    <row r="271" customFormat="false" ht="39.75" hidden="false" customHeight="true" outlineLevel="0" collapsed="false">
      <c r="B271" s="130" t="n">
        <v>1107090337</v>
      </c>
      <c r="C271" s="131" t="s">
        <v>318</v>
      </c>
      <c r="D271" s="131" t="s">
        <v>135</v>
      </c>
      <c r="E271" s="130" t="n">
        <v>2600900</v>
      </c>
      <c r="F271" s="131" t="s">
        <v>33</v>
      </c>
      <c r="G271" s="130" t="n">
        <v>6000000</v>
      </c>
      <c r="H271" s="131" t="n">
        <v>882</v>
      </c>
      <c r="I271" s="132" t="n">
        <v>0.15</v>
      </c>
      <c r="J271" s="132" t="n">
        <v>0.22</v>
      </c>
      <c r="K271" s="130" t="n">
        <v>3.46149409819678</v>
      </c>
      <c r="L271" s="132" t="n">
        <v>0.22</v>
      </c>
      <c r="M271" s="131" t="s">
        <v>62</v>
      </c>
      <c r="N271" s="133" t="n">
        <v>0.783503018186013</v>
      </c>
      <c r="O271" s="133" t="n">
        <v>3.46149409819678</v>
      </c>
      <c r="P271" s="132" t="n">
        <v>0.0149</v>
      </c>
      <c r="Q271" s="131" t="s">
        <v>130</v>
      </c>
      <c r="R271" s="130" t="n">
        <v>7003000</v>
      </c>
      <c r="S271" s="143" t="n">
        <v>0</v>
      </c>
      <c r="T271" s="134" t="n">
        <v>45371.4765855324</v>
      </c>
    </row>
    <row r="272" customFormat="false" ht="39.75" hidden="false" customHeight="true" outlineLevel="0" collapsed="false">
      <c r="B272" s="130" t="n">
        <v>1151935482</v>
      </c>
      <c r="C272" s="131" t="s">
        <v>392</v>
      </c>
      <c r="D272" s="131" t="s">
        <v>158</v>
      </c>
      <c r="E272" s="130" t="n">
        <v>14054251</v>
      </c>
      <c r="F272" s="131" t="s">
        <v>34</v>
      </c>
      <c r="G272" s="130" t="n">
        <v>6800000</v>
      </c>
      <c r="H272" s="131" t="n">
        <v>611</v>
      </c>
      <c r="I272" s="132" t="n">
        <v>0.09</v>
      </c>
      <c r="J272" s="132" t="n">
        <v>0.12</v>
      </c>
      <c r="K272" s="130" t="n">
        <v>3.26691191156327</v>
      </c>
      <c r="L272" s="132" t="n">
        <v>0.12</v>
      </c>
      <c r="M272" s="131" t="s">
        <v>64</v>
      </c>
      <c r="N272" s="133" t="n">
        <v>0.610590908757784</v>
      </c>
      <c r="O272" s="133" t="n">
        <v>3.26691191156327</v>
      </c>
      <c r="P272" s="132" t="n">
        <v>0.0149</v>
      </c>
      <c r="Q272" s="131" t="s">
        <v>130</v>
      </c>
      <c r="R272" s="130" t="n">
        <v>45914000</v>
      </c>
      <c r="S272" s="143" t="n">
        <v>0</v>
      </c>
      <c r="T272" s="134" t="n">
        <v>45371.4833950232</v>
      </c>
    </row>
    <row r="273" customFormat="false" ht="39.75" hidden="false" customHeight="true" outlineLevel="0" collapsed="false">
      <c r="B273" s="130" t="n">
        <v>1151969735</v>
      </c>
      <c r="C273" s="131" t="s">
        <v>393</v>
      </c>
      <c r="D273" s="131" t="s">
        <v>135</v>
      </c>
      <c r="E273" s="130" t="n">
        <v>1918500</v>
      </c>
      <c r="F273" s="131" t="s">
        <v>34</v>
      </c>
      <c r="G273" s="130" t="n">
        <v>3500000</v>
      </c>
      <c r="H273" s="131" t="n">
        <v>611</v>
      </c>
      <c r="I273" s="132" t="n">
        <v>0.19</v>
      </c>
      <c r="J273" s="132" t="n">
        <v>0.38</v>
      </c>
      <c r="K273" s="130" t="n">
        <v>0.204847537138389</v>
      </c>
      <c r="L273" s="132" t="n">
        <v>0.38</v>
      </c>
      <c r="M273" s="131" t="s">
        <v>64</v>
      </c>
      <c r="N273" s="133" t="n">
        <v>1.27775762314308</v>
      </c>
      <c r="O273" s="133" t="n">
        <v>0.204847537138389</v>
      </c>
      <c r="P273" s="132" t="n">
        <v>0.0179</v>
      </c>
      <c r="Q273" s="131" t="s">
        <v>130</v>
      </c>
      <c r="R273" s="130" t="n">
        <v>393000</v>
      </c>
      <c r="S273" s="143" t="n">
        <v>0</v>
      </c>
      <c r="T273" s="134" t="n">
        <v>45372.4744471065</v>
      </c>
    </row>
    <row r="274" customFormat="false" ht="39.75" hidden="false" customHeight="true" outlineLevel="0" collapsed="false">
      <c r="B274" s="130" t="n">
        <v>1054997916</v>
      </c>
      <c r="C274" s="131" t="s">
        <v>394</v>
      </c>
      <c r="D274" s="131" t="s">
        <v>135</v>
      </c>
      <c r="E274" s="130" t="n">
        <v>5418800</v>
      </c>
      <c r="F274" s="131" t="s">
        <v>29</v>
      </c>
      <c r="G274" s="130" t="n">
        <v>2500000</v>
      </c>
      <c r="H274" s="131" t="n">
        <v>680</v>
      </c>
      <c r="I274" s="132" t="n">
        <v>0.5</v>
      </c>
      <c r="J274" s="132" t="n">
        <v>0.49</v>
      </c>
      <c r="K274" s="130" t="n">
        <v>16.4924909574075</v>
      </c>
      <c r="L274" s="132" t="n">
        <v>0.49</v>
      </c>
      <c r="M274" s="131" t="s">
        <v>64</v>
      </c>
      <c r="N274" s="133" t="n">
        <v>1.82936369675943</v>
      </c>
      <c r="O274" s="133" t="n">
        <v>16.4924909574075</v>
      </c>
      <c r="P274" s="132" t="n">
        <v>0.0227</v>
      </c>
      <c r="Q274" s="131" t="s">
        <v>130</v>
      </c>
      <c r="R274" s="130" t="n">
        <v>82254000</v>
      </c>
      <c r="S274" s="143" t="s">
        <v>336</v>
      </c>
      <c r="T274" s="134" t="n">
        <v>45372.4779052083</v>
      </c>
    </row>
    <row r="275" customFormat="false" ht="39.75" hidden="false" customHeight="true" outlineLevel="0" collapsed="false">
      <c r="B275" s="130" t="n">
        <v>1054997916</v>
      </c>
      <c r="C275" s="131" t="s">
        <v>394</v>
      </c>
      <c r="D275" s="131" t="s">
        <v>135</v>
      </c>
      <c r="E275" s="130" t="n">
        <v>5418800</v>
      </c>
      <c r="F275" s="131" t="s">
        <v>29</v>
      </c>
      <c r="G275" s="130" t="n">
        <v>1800000</v>
      </c>
      <c r="H275" s="131" t="n">
        <v>680</v>
      </c>
      <c r="I275" s="132" t="n">
        <v>0.05</v>
      </c>
      <c r="J275" s="132" t="n">
        <v>0.07</v>
      </c>
      <c r="K275" s="130" t="n">
        <v>4.9353305159814</v>
      </c>
      <c r="L275" s="132" t="n">
        <v>0.07</v>
      </c>
      <c r="M275" s="131" t="s">
        <v>64</v>
      </c>
      <c r="N275" s="133" t="n">
        <v>0.720545139145198</v>
      </c>
      <c r="O275" s="133" t="n">
        <v>4.9353305159814</v>
      </c>
      <c r="P275" s="132" t="n">
        <v>0.0227</v>
      </c>
      <c r="Q275" s="131" t="s">
        <v>130</v>
      </c>
      <c r="R275" s="130" t="n">
        <v>25013000</v>
      </c>
      <c r="S275" s="143" t="s">
        <v>336</v>
      </c>
      <c r="T275" s="134" t="n">
        <v>45372.4843046296</v>
      </c>
    </row>
    <row r="276" customFormat="false" ht="39.75" hidden="false" customHeight="true" outlineLevel="0" collapsed="false">
      <c r="B276" s="130" t="n">
        <v>1144161715</v>
      </c>
      <c r="C276" s="131" t="s">
        <v>395</v>
      </c>
      <c r="D276" s="131" t="s">
        <v>135</v>
      </c>
      <c r="E276" s="130" t="n">
        <v>2600900</v>
      </c>
      <c r="F276" s="131" t="s">
        <v>29</v>
      </c>
      <c r="G276" s="130" t="n">
        <v>1600000</v>
      </c>
      <c r="H276" s="131" t="n">
        <v>726</v>
      </c>
      <c r="I276" s="132" t="n">
        <v>0.41</v>
      </c>
      <c r="J276" s="132" t="n">
        <v>0.44</v>
      </c>
      <c r="K276" s="130" t="n">
        <v>7.40972394171248</v>
      </c>
      <c r="L276" s="132" t="n">
        <v>0.44</v>
      </c>
      <c r="M276" s="131" t="s">
        <v>64</v>
      </c>
      <c r="N276" s="133" t="n">
        <v>1.85389134530355</v>
      </c>
      <c r="O276" s="133" t="n">
        <v>7.40972394171248</v>
      </c>
      <c r="P276" s="132" t="n">
        <v>0.0227</v>
      </c>
      <c r="Q276" s="131" t="s">
        <v>130</v>
      </c>
      <c r="R276" s="130" t="n">
        <v>16586000</v>
      </c>
      <c r="S276" s="143" t="s">
        <v>336</v>
      </c>
      <c r="T276" s="134" t="n">
        <v>45372.4885947917</v>
      </c>
    </row>
    <row r="277" customFormat="false" ht="39.75" hidden="false" customHeight="true" outlineLevel="0" collapsed="false">
      <c r="B277" s="130" t="n">
        <v>6550905</v>
      </c>
      <c r="C277" s="131" t="s">
        <v>396</v>
      </c>
      <c r="D277" s="131" t="s">
        <v>135</v>
      </c>
      <c r="E277" s="130" t="n">
        <v>4870200</v>
      </c>
      <c r="F277" s="131" t="s">
        <v>34</v>
      </c>
      <c r="G277" s="130" t="n">
        <v>1300000</v>
      </c>
      <c r="H277" s="131" t="n">
        <v>705</v>
      </c>
      <c r="I277" s="132" t="n">
        <v>0.39</v>
      </c>
      <c r="J277" s="132" t="n">
        <v>0.41</v>
      </c>
      <c r="K277" s="130" t="n">
        <v>9.57636729497762</v>
      </c>
      <c r="L277" s="132" t="n">
        <v>0.41</v>
      </c>
      <c r="M277" s="131" t="s">
        <v>64</v>
      </c>
      <c r="N277" s="133" t="n">
        <v>1.19465750893187</v>
      </c>
      <c r="O277" s="133" t="n">
        <v>9.57636729497762</v>
      </c>
      <c r="P277" s="132" t="n">
        <v>0.0179</v>
      </c>
      <c r="Q277" s="131" t="s">
        <v>130</v>
      </c>
      <c r="R277" s="130" t="n">
        <v>44834000</v>
      </c>
      <c r="S277" s="143" t="s">
        <v>336</v>
      </c>
      <c r="T277" s="134" t="n">
        <v>45372.4917289352</v>
      </c>
    </row>
    <row r="278" customFormat="false" ht="39.75" hidden="false" customHeight="true" outlineLevel="0" collapsed="false">
      <c r="B278" s="130" t="n">
        <v>94531289</v>
      </c>
      <c r="C278" s="131" t="s">
        <v>397</v>
      </c>
      <c r="D278" s="131" t="s">
        <v>135</v>
      </c>
      <c r="E278" s="130" t="n">
        <v>5291000</v>
      </c>
      <c r="F278" s="131" t="s">
        <v>33</v>
      </c>
      <c r="G278" s="130" t="n">
        <v>1000000</v>
      </c>
      <c r="H278" s="131" t="n">
        <v>823</v>
      </c>
      <c r="I278" s="132" t="n">
        <v>0.21</v>
      </c>
      <c r="J278" s="132" t="n">
        <v>0.23</v>
      </c>
      <c r="K278" s="130" t="n">
        <v>1.84903761103761</v>
      </c>
      <c r="L278" s="132" t="n">
        <v>0.23</v>
      </c>
      <c r="M278" s="131" t="s">
        <v>62</v>
      </c>
      <c r="N278" s="133" t="n">
        <v>0.680249102249102</v>
      </c>
      <c r="O278" s="133" t="n">
        <v>1.84903761103761</v>
      </c>
      <c r="P278" s="132" t="n">
        <v>0.0149</v>
      </c>
      <c r="Q278" s="131" t="s">
        <v>130</v>
      </c>
      <c r="R278" s="130" t="n">
        <v>0</v>
      </c>
      <c r="S278" s="143" t="s">
        <v>336</v>
      </c>
      <c r="T278" s="134" t="n">
        <v>45372.4962747685</v>
      </c>
    </row>
    <row r="279" customFormat="false" ht="39.75" hidden="false" customHeight="true" outlineLevel="0" collapsed="false">
      <c r="B279" s="130" t="n">
        <v>31306157</v>
      </c>
      <c r="C279" s="131" t="s">
        <v>398</v>
      </c>
      <c r="D279" s="131" t="s">
        <v>135</v>
      </c>
      <c r="E279" s="130" t="n">
        <v>2600900</v>
      </c>
      <c r="F279" s="131" t="s">
        <v>34</v>
      </c>
      <c r="G279" s="130" t="n">
        <v>3300000</v>
      </c>
      <c r="H279" s="131" t="n">
        <v>603</v>
      </c>
      <c r="I279" s="132" t="n">
        <v>0.07</v>
      </c>
      <c r="J279" s="132" t="n">
        <v>0.12</v>
      </c>
      <c r="K279" s="130" t="n">
        <v>4.31658272136568</v>
      </c>
      <c r="L279" s="132" t="n">
        <v>0.12</v>
      </c>
      <c r="M279" s="131" t="s">
        <v>64</v>
      </c>
      <c r="N279" s="133" t="n">
        <v>0.65564035526164</v>
      </c>
      <c r="O279" s="133" t="n">
        <v>4.31658272136568</v>
      </c>
      <c r="P279" s="132" t="n">
        <v>0.0149</v>
      </c>
      <c r="Q279" s="131" t="s">
        <v>130</v>
      </c>
      <c r="R279" s="130" t="n">
        <v>11227000</v>
      </c>
      <c r="S279" s="143" t="n">
        <v>0</v>
      </c>
      <c r="T279" s="134" t="n">
        <v>45372.49999375</v>
      </c>
    </row>
    <row r="280" customFormat="false" ht="39.75" hidden="false" customHeight="true" outlineLevel="0" collapsed="false">
      <c r="B280" s="130" t="n">
        <v>1107076913</v>
      </c>
      <c r="C280" s="131" t="s">
        <v>399</v>
      </c>
      <c r="D280" s="131" t="s">
        <v>135</v>
      </c>
      <c r="E280" s="130" t="n">
        <v>1828100</v>
      </c>
      <c r="F280" s="131" t="s">
        <v>29</v>
      </c>
      <c r="G280" s="130" t="n">
        <v>1800000</v>
      </c>
      <c r="H280" s="131" t="n">
        <v>440</v>
      </c>
      <c r="I280" s="132" t="n">
        <v>0.15</v>
      </c>
      <c r="J280" s="132" t="n">
        <v>0.21</v>
      </c>
      <c r="K280" s="130" t="n">
        <v>35.1358618237514</v>
      </c>
      <c r="L280" s="132" t="n">
        <v>0.21</v>
      </c>
      <c r="M280" s="131" t="s">
        <v>64</v>
      </c>
      <c r="N280" s="133" t="n">
        <v>1.2633750888901</v>
      </c>
      <c r="O280" s="133" t="n">
        <v>35.1358618237514</v>
      </c>
      <c r="P280" s="132" t="n">
        <v>0.0227</v>
      </c>
      <c r="Q280" s="131" t="s">
        <v>130</v>
      </c>
      <c r="R280" s="130" t="n">
        <v>62501300</v>
      </c>
      <c r="S280" s="143" t="n">
        <v>0</v>
      </c>
      <c r="T280" s="134" t="n">
        <v>45372.5048070602</v>
      </c>
    </row>
    <row r="281" customFormat="false" ht="39.75" hidden="false" customHeight="true" outlineLevel="0" collapsed="false">
      <c r="B281" s="130" t="n">
        <v>1114727465</v>
      </c>
      <c r="C281" s="131" t="s">
        <v>400</v>
      </c>
      <c r="D281" s="131" t="s">
        <v>135</v>
      </c>
      <c r="E281" s="130" t="n">
        <v>2893800</v>
      </c>
      <c r="F281" s="131" t="s">
        <v>29</v>
      </c>
      <c r="G281" s="130" t="n">
        <v>1300000</v>
      </c>
      <c r="H281" s="131" t="n">
        <v>787</v>
      </c>
      <c r="I281" s="132" t="n">
        <v>0.44</v>
      </c>
      <c r="J281" s="132" t="n">
        <v>0.47</v>
      </c>
      <c r="K281" s="130" t="n">
        <v>27.9202978782224</v>
      </c>
      <c r="L281" s="132" t="n">
        <v>0.47</v>
      </c>
      <c r="M281" s="131" t="s">
        <v>64</v>
      </c>
      <c r="N281" s="133" t="n">
        <v>1.5621895086046</v>
      </c>
      <c r="O281" s="133" t="n">
        <v>27.9202978782224</v>
      </c>
      <c r="P281" s="132" t="n">
        <v>0.0227</v>
      </c>
      <c r="Q281" s="131" t="s">
        <v>130</v>
      </c>
      <c r="R281" s="130" t="n">
        <v>78223000</v>
      </c>
      <c r="S281" s="143" t="n">
        <v>0</v>
      </c>
      <c r="T281" s="134" t="n">
        <v>45372.5083719907</v>
      </c>
    </row>
    <row r="282" customFormat="false" ht="39.75" hidden="false" customHeight="true" outlineLevel="0" collapsed="false">
      <c r="B282" s="130" t="n">
        <v>31324751</v>
      </c>
      <c r="C282" s="131" t="s">
        <v>401</v>
      </c>
      <c r="D282" s="131" t="s">
        <v>135</v>
      </c>
      <c r="E282" s="130" t="n">
        <v>2893800</v>
      </c>
      <c r="F282" s="131" t="s">
        <v>29</v>
      </c>
      <c r="G282" s="130" t="n">
        <v>3300000</v>
      </c>
      <c r="H282" s="131" t="n">
        <v>810</v>
      </c>
      <c r="I282" s="132" t="n">
        <v>0.24</v>
      </c>
      <c r="J282" s="132" t="n">
        <v>0.29</v>
      </c>
      <c r="K282" s="130" t="n">
        <v>6.62899993088672</v>
      </c>
      <c r="L282" s="132" t="n">
        <v>0.29</v>
      </c>
      <c r="M282" s="131" t="s">
        <v>62</v>
      </c>
      <c r="N282" s="133" t="n">
        <v>1.04965927154606</v>
      </c>
      <c r="O282" s="133" t="n">
        <v>6.62899993088672</v>
      </c>
      <c r="P282" s="132" t="n">
        <v>0.0227</v>
      </c>
      <c r="Q282" s="131" t="s">
        <v>130</v>
      </c>
      <c r="R282" s="130" t="n">
        <v>19183000</v>
      </c>
      <c r="S282" s="143" t="n">
        <v>0</v>
      </c>
      <c r="T282" s="134" t="n">
        <v>45372.5140059028</v>
      </c>
    </row>
    <row r="283" customFormat="false" ht="39.75" hidden="false" customHeight="true" outlineLevel="0" collapsed="false">
      <c r="B283" s="130" t="n">
        <v>29182965</v>
      </c>
      <c r="C283" s="131" t="s">
        <v>402</v>
      </c>
      <c r="D283" s="131" t="s">
        <v>135</v>
      </c>
      <c r="E283" s="130" t="n">
        <v>4383200</v>
      </c>
      <c r="F283" s="131" t="s">
        <v>20</v>
      </c>
      <c r="G283" s="130" t="n">
        <v>2459000</v>
      </c>
      <c r="H283" s="131" t="n">
        <v>697</v>
      </c>
      <c r="I283" s="132" t="n">
        <v>0.13</v>
      </c>
      <c r="J283" s="132" t="n">
        <v>0.16</v>
      </c>
      <c r="K283" s="130" t="n">
        <v>0.499661434568352</v>
      </c>
      <c r="L283" s="132" t="n">
        <v>0.16</v>
      </c>
      <c r="M283" s="131" t="s">
        <v>64</v>
      </c>
      <c r="N283" s="133" t="n">
        <v>1.34225246395328</v>
      </c>
      <c r="O283" s="133" t="n">
        <v>0.499661434568352</v>
      </c>
      <c r="P283" s="132" t="n">
        <v>0.026</v>
      </c>
      <c r="Q283" s="131" t="s">
        <v>130</v>
      </c>
      <c r="R283" s="130" t="n">
        <v>2114000</v>
      </c>
      <c r="S283" s="143" t="n">
        <v>0</v>
      </c>
      <c r="T283" s="134" t="n">
        <v>45372.52258125</v>
      </c>
    </row>
    <row r="284" customFormat="false" ht="39.75" hidden="false" customHeight="true" outlineLevel="0" collapsed="false">
      <c r="B284" s="130" t="n">
        <v>1112466938</v>
      </c>
      <c r="C284" s="131" t="s">
        <v>403</v>
      </c>
      <c r="D284" s="131" t="s">
        <v>135</v>
      </c>
      <c r="E284" s="130" t="n">
        <v>2893800</v>
      </c>
      <c r="F284" s="131" t="s">
        <v>29</v>
      </c>
      <c r="G284" s="130" t="n">
        <v>2000000</v>
      </c>
      <c r="H284" s="131" t="n">
        <v>749</v>
      </c>
      <c r="I284" s="132" t="n">
        <v>0.38</v>
      </c>
      <c r="J284" s="132" t="n">
        <v>0.46</v>
      </c>
      <c r="K284" s="130" t="n">
        <v>11.1915128896261</v>
      </c>
      <c r="L284" s="132" t="n">
        <v>0.46</v>
      </c>
      <c r="M284" s="131" t="s">
        <v>64</v>
      </c>
      <c r="N284" s="133" t="n">
        <v>1.30097449720091</v>
      </c>
      <c r="O284" s="133" t="n">
        <v>11.1915128896261</v>
      </c>
      <c r="P284" s="132" t="n">
        <v>0.0227</v>
      </c>
      <c r="Q284" s="131" t="s">
        <v>130</v>
      </c>
      <c r="R284" s="130" t="n">
        <v>32386000</v>
      </c>
      <c r="S284" s="143" t="n">
        <v>0</v>
      </c>
      <c r="T284" s="134" t="n">
        <v>45372.5295844907</v>
      </c>
    </row>
    <row r="285" customFormat="false" ht="39.75" hidden="false" customHeight="true" outlineLevel="0" collapsed="false">
      <c r="B285" s="130" t="n">
        <v>1143933305</v>
      </c>
      <c r="C285" s="131" t="s">
        <v>404</v>
      </c>
      <c r="D285" s="131" t="s">
        <v>135</v>
      </c>
      <c r="E285" s="130" t="n">
        <v>2893800</v>
      </c>
      <c r="F285" s="131" t="s">
        <v>29</v>
      </c>
      <c r="G285" s="130" t="n">
        <v>2100000</v>
      </c>
      <c r="H285" s="131" t="n">
        <v>632</v>
      </c>
      <c r="I285" s="132" t="n">
        <v>0.3</v>
      </c>
      <c r="J285" s="132" t="n">
        <v>0.34</v>
      </c>
      <c r="K285" s="130" t="n">
        <v>2.1899606054323</v>
      </c>
      <c r="L285" s="132" t="n">
        <v>0.34</v>
      </c>
      <c r="M285" s="131" t="s">
        <v>64</v>
      </c>
      <c r="N285" s="133" t="n">
        <v>0.988389660653812</v>
      </c>
      <c r="O285" s="133" t="n">
        <v>2.1899606054323</v>
      </c>
      <c r="P285" s="132" t="n">
        <v>0.0227</v>
      </c>
      <c r="Q285" s="131" t="s">
        <v>130</v>
      </c>
      <c r="R285" s="130" t="n">
        <v>3508000</v>
      </c>
      <c r="S285" s="143" t="n">
        <v>0</v>
      </c>
      <c r="T285" s="134" t="n">
        <v>45372.5351405093</v>
      </c>
    </row>
    <row r="286" customFormat="false" ht="39.75" hidden="false" customHeight="true" outlineLevel="0" collapsed="false">
      <c r="B286" s="130" t="n">
        <v>91493134</v>
      </c>
      <c r="C286" s="131" t="s">
        <v>204</v>
      </c>
      <c r="D286" s="131" t="s">
        <v>135</v>
      </c>
      <c r="E286" s="130" t="n">
        <v>3945300</v>
      </c>
      <c r="F286" s="131" t="s">
        <v>29</v>
      </c>
      <c r="G286" s="130" t="n">
        <v>2000000</v>
      </c>
      <c r="H286" s="131" t="n">
        <v>708</v>
      </c>
      <c r="I286" s="132" t="n">
        <v>0.38</v>
      </c>
      <c r="J286" s="132" t="n">
        <v>0.4</v>
      </c>
      <c r="K286" s="130" t="n">
        <v>7.28339999493068</v>
      </c>
      <c r="L286" s="132" t="n">
        <v>0.4</v>
      </c>
      <c r="M286" s="131" t="s">
        <v>64</v>
      </c>
      <c r="N286" s="133" t="n">
        <v>1.2376179251261</v>
      </c>
      <c r="O286" s="133" t="n">
        <v>7.28339999493068</v>
      </c>
      <c r="P286" s="132" t="n">
        <v>0.0227</v>
      </c>
      <c r="Q286" s="131" t="s">
        <v>130</v>
      </c>
      <c r="R286" s="130" t="n">
        <v>27767000</v>
      </c>
      <c r="S286" s="143" t="n">
        <v>0</v>
      </c>
      <c r="T286" s="134" t="n">
        <v>45372.5376284722</v>
      </c>
    </row>
    <row r="287" customFormat="false" ht="39.75" hidden="false" customHeight="true" outlineLevel="0" collapsed="false">
      <c r="B287" s="130" t="n">
        <v>1112880193</v>
      </c>
      <c r="C287" s="131" t="s">
        <v>229</v>
      </c>
      <c r="D287" s="131" t="s">
        <v>135</v>
      </c>
      <c r="E287" s="130" t="n">
        <v>3394800</v>
      </c>
      <c r="F287" s="131" t="s">
        <v>32</v>
      </c>
      <c r="G287" s="130" t="n">
        <v>2600000</v>
      </c>
      <c r="H287" s="131" t="n">
        <v>857</v>
      </c>
      <c r="I287" s="132" t="n">
        <v>0.14</v>
      </c>
      <c r="J287" s="132" t="n">
        <v>0.18</v>
      </c>
      <c r="K287" s="130" t="n">
        <v>1.07425916106987</v>
      </c>
      <c r="L287" s="132" t="n">
        <v>0.18</v>
      </c>
      <c r="M287" s="131" t="s">
        <v>61</v>
      </c>
      <c r="N287" s="133" t="n">
        <v>1.13412955107812</v>
      </c>
      <c r="O287" s="133" t="n">
        <v>1.07425916106987</v>
      </c>
      <c r="P287" s="132" t="n">
        <v>0.0149</v>
      </c>
      <c r="Q287" s="131" t="s">
        <v>130</v>
      </c>
      <c r="R287" s="130" t="n">
        <v>36000</v>
      </c>
      <c r="S287" s="143" t="n">
        <v>0</v>
      </c>
      <c r="T287" s="134" t="n">
        <v>45372.5523521991</v>
      </c>
    </row>
    <row r="288" customFormat="false" ht="39.75" hidden="false" customHeight="true" outlineLevel="0" collapsed="false">
      <c r="B288" s="130" t="n">
        <v>1144189435</v>
      </c>
      <c r="C288" s="131" t="s">
        <v>405</v>
      </c>
      <c r="D288" s="131" t="s">
        <v>135</v>
      </c>
      <c r="E288" s="130" t="n">
        <v>2893800</v>
      </c>
      <c r="F288" s="131" t="s">
        <v>27</v>
      </c>
      <c r="G288" s="130" t="n">
        <v>868700</v>
      </c>
      <c r="H288" s="131" t="n">
        <v>865</v>
      </c>
      <c r="I288" s="132" t="n">
        <v>0.22</v>
      </c>
      <c r="J288" s="132" t="n">
        <v>0.25</v>
      </c>
      <c r="K288" s="130" t="n">
        <v>4.26083350611653</v>
      </c>
      <c r="L288" s="132" t="n">
        <v>0.25</v>
      </c>
      <c r="M288" s="131" t="s">
        <v>62</v>
      </c>
      <c r="N288" s="133" t="n">
        <v>0.967156334231806</v>
      </c>
      <c r="O288" s="133" t="n">
        <v>4.26083350611653</v>
      </c>
      <c r="P288" s="132" t="n">
        <v>0.01</v>
      </c>
      <c r="Q288" s="131" t="s">
        <v>130</v>
      </c>
      <c r="R288" s="130" t="n">
        <v>12330000</v>
      </c>
      <c r="S288" s="143" t="n">
        <v>0</v>
      </c>
      <c r="T288" s="134" t="n">
        <v>45372.6220586806</v>
      </c>
    </row>
    <row r="289" customFormat="false" ht="39.75" hidden="false" customHeight="true" outlineLevel="0" collapsed="false">
      <c r="B289" s="130" t="n">
        <v>1107523319</v>
      </c>
      <c r="C289" s="131" t="s">
        <v>406</v>
      </c>
      <c r="D289" s="131" t="s">
        <v>135</v>
      </c>
      <c r="E289" s="130" t="n">
        <v>2600900</v>
      </c>
      <c r="F289" s="131" t="s">
        <v>29</v>
      </c>
      <c r="G289" s="130" t="n">
        <v>2600000</v>
      </c>
      <c r="H289" s="131" t="n">
        <v>621</v>
      </c>
      <c r="I289" s="132" t="n">
        <v>0.23</v>
      </c>
      <c r="J289" s="132" t="n">
        <v>0.27</v>
      </c>
      <c r="K289" s="130" t="n">
        <v>16.9482379176439</v>
      </c>
      <c r="L289" s="132" t="n">
        <v>0.27</v>
      </c>
      <c r="M289" s="131" t="s">
        <v>64</v>
      </c>
      <c r="N289" s="133" t="n">
        <v>1.67161828597793</v>
      </c>
      <c r="O289" s="133" t="n">
        <v>16.9482379176439</v>
      </c>
      <c r="P289" s="132" t="n">
        <v>0.0227</v>
      </c>
      <c r="Q289" s="131" t="s">
        <v>130</v>
      </c>
      <c r="R289" s="130" t="n">
        <v>41147000</v>
      </c>
      <c r="S289" s="143" t="n">
        <v>0</v>
      </c>
      <c r="T289" s="134" t="n">
        <v>45372.6277855324</v>
      </c>
    </row>
    <row r="290" customFormat="false" ht="39.75" hidden="false" customHeight="true" outlineLevel="0" collapsed="false">
      <c r="B290" s="130" t="n">
        <v>1113520752</v>
      </c>
      <c r="C290" s="131" t="s">
        <v>407</v>
      </c>
      <c r="D290" s="131" t="s">
        <v>135</v>
      </c>
      <c r="E290" s="130" t="n">
        <v>1828100</v>
      </c>
      <c r="F290" s="131" t="s">
        <v>29</v>
      </c>
      <c r="G290" s="130" t="n">
        <v>2300000</v>
      </c>
      <c r="H290" s="131" t="n">
        <v>611</v>
      </c>
      <c r="I290" s="132" t="n">
        <v>0.16</v>
      </c>
      <c r="K290" s="130" t="n">
        <v>1.41650675564794</v>
      </c>
      <c r="M290" s="131" t="s">
        <v>64</v>
      </c>
      <c r="N290" s="133" t="n">
        <v>1.66104534762869</v>
      </c>
      <c r="O290" s="133" t="n">
        <v>1.41650675564794</v>
      </c>
      <c r="P290" s="132" t="n">
        <v>0.0227</v>
      </c>
      <c r="Q290" s="131" t="s">
        <v>130</v>
      </c>
      <c r="R290" s="130" t="n">
        <v>0</v>
      </c>
      <c r="S290" s="143" t="n">
        <v>0</v>
      </c>
      <c r="T290" s="134" t="n">
        <v>45372.6317666667</v>
      </c>
    </row>
    <row r="291" customFormat="false" ht="39.75" hidden="false" customHeight="true" outlineLevel="0" collapsed="false">
      <c r="B291" s="130" t="n">
        <v>67032841</v>
      </c>
      <c r="C291" s="131" t="s">
        <v>408</v>
      </c>
      <c r="D291" s="131" t="s">
        <v>135</v>
      </c>
      <c r="E291" s="130" t="n">
        <v>2893800</v>
      </c>
      <c r="F291" s="131" t="s">
        <v>29</v>
      </c>
      <c r="G291" s="130" t="n">
        <v>2500000</v>
      </c>
      <c r="H291" s="131" t="n">
        <v>666</v>
      </c>
      <c r="I291" s="132" t="n">
        <v>0.31</v>
      </c>
      <c r="J291" s="132" t="n">
        <v>0.34</v>
      </c>
      <c r="K291" s="130" t="n">
        <v>17.9211673232428</v>
      </c>
      <c r="L291" s="132" t="n">
        <v>0.34</v>
      </c>
      <c r="M291" s="131" t="s">
        <v>64</v>
      </c>
      <c r="N291" s="133" t="n">
        <v>3.23258034418412</v>
      </c>
      <c r="O291" s="133" t="n">
        <v>17.9211673232428</v>
      </c>
      <c r="P291" s="132" t="n">
        <v>0.0227</v>
      </c>
      <c r="Q291" s="131" t="s">
        <v>130</v>
      </c>
      <c r="R291" s="130" t="n">
        <v>50954000</v>
      </c>
      <c r="S291" s="143" t="n">
        <v>0</v>
      </c>
      <c r="T291" s="134" t="n">
        <v>45372.6364275463</v>
      </c>
    </row>
    <row r="292" customFormat="false" ht="39.75" hidden="false" customHeight="true" outlineLevel="0" collapsed="false">
      <c r="B292" s="130" t="n">
        <v>1151947582</v>
      </c>
      <c r="C292" s="131" t="s">
        <v>409</v>
      </c>
      <c r="D292" s="131" t="s">
        <v>135</v>
      </c>
      <c r="E292" s="130" t="n">
        <v>2893800</v>
      </c>
      <c r="F292" s="131" t="s">
        <v>29</v>
      </c>
      <c r="G292" s="130" t="n">
        <v>2600000</v>
      </c>
      <c r="H292" s="131" t="n">
        <v>611</v>
      </c>
      <c r="I292" s="132" t="n">
        <v>0.36</v>
      </c>
      <c r="J292" s="132" t="n">
        <v>0.39</v>
      </c>
      <c r="K292" s="130" t="n">
        <v>4.05245697698528</v>
      </c>
      <c r="L292" s="132" t="n">
        <v>0.39</v>
      </c>
      <c r="M292" s="131" t="s">
        <v>64</v>
      </c>
      <c r="N292" s="133" t="n">
        <v>1.04364537977746</v>
      </c>
      <c r="O292" s="133" t="n">
        <v>4.05245697698528</v>
      </c>
      <c r="P292" s="132" t="n">
        <v>0.0227</v>
      </c>
      <c r="Q292" s="131" t="s">
        <v>130</v>
      </c>
      <c r="R292" s="130" t="n">
        <v>11727000</v>
      </c>
      <c r="S292" s="143" t="n">
        <v>0</v>
      </c>
      <c r="T292" s="134" t="n">
        <v>45372.6470115741</v>
      </c>
    </row>
    <row r="293" customFormat="false" ht="39.75" hidden="false" customHeight="true" outlineLevel="0" collapsed="false">
      <c r="B293" s="130" t="n">
        <v>1113514976</v>
      </c>
      <c r="C293" s="131" t="s">
        <v>410</v>
      </c>
      <c r="D293" s="131" t="s">
        <v>135</v>
      </c>
      <c r="E293" s="130" t="n">
        <v>1625000</v>
      </c>
      <c r="F293" s="131" t="s">
        <v>29</v>
      </c>
      <c r="G293" s="130" t="n">
        <v>3000000</v>
      </c>
      <c r="H293" s="131" t="n">
        <v>629</v>
      </c>
      <c r="I293" s="132" t="n">
        <v>0.07</v>
      </c>
      <c r="J293" s="132" t="n">
        <v>0.18</v>
      </c>
      <c r="K293" s="130" t="n">
        <v>0</v>
      </c>
      <c r="L293" s="132" t="n">
        <v>0.18</v>
      </c>
      <c r="M293" s="131" t="s">
        <v>64</v>
      </c>
      <c r="N293" s="133" t="n">
        <v>0.647015384615385</v>
      </c>
      <c r="O293" s="133" t="n">
        <v>0</v>
      </c>
      <c r="P293" s="132" t="n">
        <v>0.0227</v>
      </c>
      <c r="Q293" s="131" t="s">
        <v>130</v>
      </c>
      <c r="R293" s="130" t="n">
        <v>0</v>
      </c>
      <c r="S293" s="143" t="n">
        <v>0</v>
      </c>
      <c r="T293" s="134" t="n">
        <v>45372.6504547454</v>
      </c>
    </row>
    <row r="294" customFormat="false" ht="39.75" hidden="false" customHeight="true" outlineLevel="0" collapsed="false">
      <c r="B294" s="130" t="n">
        <v>1144168040</v>
      </c>
      <c r="C294" s="131" t="s">
        <v>280</v>
      </c>
      <c r="D294" s="131" t="s">
        <v>135</v>
      </c>
      <c r="E294" s="130" t="n">
        <v>2893800</v>
      </c>
      <c r="F294" s="131" t="s">
        <v>30</v>
      </c>
      <c r="G294" s="130" t="n">
        <v>1100000</v>
      </c>
      <c r="H294" s="131" t="n">
        <v>747</v>
      </c>
      <c r="I294" s="132" t="n">
        <v>0.46</v>
      </c>
      <c r="J294" s="132" t="n">
        <v>0.5</v>
      </c>
      <c r="K294" s="130" t="n">
        <v>15.3627603842698</v>
      </c>
      <c r="L294" s="132" t="n">
        <v>0.5</v>
      </c>
      <c r="M294" s="131" t="s">
        <v>64</v>
      </c>
      <c r="N294" s="133" t="n">
        <v>1.34522669154745</v>
      </c>
      <c r="O294" s="133" t="n">
        <v>15.3627603842698</v>
      </c>
      <c r="P294" s="132" t="n">
        <v>0.0227</v>
      </c>
      <c r="Q294" s="131" t="s">
        <v>130</v>
      </c>
      <c r="R294" s="130" t="n">
        <v>42714000</v>
      </c>
      <c r="S294" s="143" t="n">
        <v>0</v>
      </c>
      <c r="T294" s="134" t="n">
        <v>45373.3468553241</v>
      </c>
    </row>
    <row r="295" customFormat="false" ht="39.75" hidden="false" customHeight="true" outlineLevel="0" collapsed="false">
      <c r="B295" s="130" t="n">
        <v>1130588719</v>
      </c>
      <c r="C295" s="131" t="s">
        <v>411</v>
      </c>
      <c r="D295" s="131" t="s">
        <v>135</v>
      </c>
      <c r="E295" s="130" t="n">
        <v>2893800</v>
      </c>
      <c r="F295" s="131" t="s">
        <v>30</v>
      </c>
      <c r="G295" s="130" t="n">
        <v>1100000</v>
      </c>
      <c r="H295" s="131" t="n">
        <v>686</v>
      </c>
      <c r="I295" s="132" t="n">
        <v>0.45</v>
      </c>
      <c r="J295" s="132" t="n">
        <v>0.49</v>
      </c>
      <c r="K295" s="130" t="n">
        <v>15.8146533969175</v>
      </c>
      <c r="L295" s="132" t="n">
        <v>0.49</v>
      </c>
      <c r="M295" s="131" t="s">
        <v>64</v>
      </c>
      <c r="N295" s="133" t="n">
        <v>1.27905729490635</v>
      </c>
      <c r="O295" s="133" t="n">
        <v>15.8146533969175</v>
      </c>
      <c r="P295" s="132" t="n">
        <v>0.0227</v>
      </c>
      <c r="Q295" s="131" t="s">
        <v>130</v>
      </c>
      <c r="R295" s="130" t="n">
        <v>42026000</v>
      </c>
      <c r="S295" s="143" t="n">
        <v>0</v>
      </c>
      <c r="T295" s="134" t="n">
        <v>45373.363375463</v>
      </c>
    </row>
    <row r="296" customFormat="false" ht="39.75" hidden="false" customHeight="true" outlineLevel="0" collapsed="false">
      <c r="B296" s="130" t="n">
        <v>38873740</v>
      </c>
      <c r="C296" s="131" t="s">
        <v>167</v>
      </c>
      <c r="D296" s="131" t="s">
        <v>135</v>
      </c>
      <c r="E296" s="130" t="n">
        <v>2893800</v>
      </c>
      <c r="F296" s="131" t="s">
        <v>30</v>
      </c>
      <c r="G296" s="130" t="n">
        <v>800000</v>
      </c>
      <c r="H296" s="131" t="n">
        <v>976</v>
      </c>
      <c r="I296" s="132" t="n">
        <v>0.3</v>
      </c>
      <c r="J296" s="132" t="n">
        <v>0.33</v>
      </c>
      <c r="K296" s="130" t="n">
        <v>2.35635980371829</v>
      </c>
      <c r="L296" s="132" t="n">
        <v>0.33</v>
      </c>
      <c r="M296" s="131" t="s">
        <v>61</v>
      </c>
      <c r="N296" s="133" t="n">
        <v>0.859341696039809</v>
      </c>
      <c r="O296" s="133" t="n">
        <v>2.35635980371829</v>
      </c>
      <c r="P296" s="132" t="n">
        <v>0.028</v>
      </c>
      <c r="Q296" s="131" t="s">
        <v>130</v>
      </c>
      <c r="R296" s="130" t="n">
        <v>0</v>
      </c>
      <c r="S296" s="143" t="n">
        <v>0</v>
      </c>
      <c r="T296" s="134" t="n">
        <v>45373.3712059028</v>
      </c>
    </row>
    <row r="297" customFormat="false" ht="39.75" hidden="false" customHeight="true" outlineLevel="0" collapsed="false">
      <c r="B297" s="130" t="n">
        <v>1144063824</v>
      </c>
      <c r="C297" s="131" t="s">
        <v>412</v>
      </c>
      <c r="D297" s="131" t="s">
        <v>135</v>
      </c>
      <c r="E297" s="130" t="n">
        <v>2893800</v>
      </c>
      <c r="F297" s="131" t="s">
        <v>30</v>
      </c>
      <c r="G297" s="130" t="n">
        <v>1000000</v>
      </c>
      <c r="H297" s="131" t="n">
        <v>621</v>
      </c>
      <c r="I297" s="132" t="n">
        <v>0.43</v>
      </c>
      <c r="J297" s="132" t="n">
        <v>0.46</v>
      </c>
      <c r="K297" s="130" t="n">
        <v>28.0385206303131</v>
      </c>
      <c r="L297" s="132" t="n">
        <v>0.46</v>
      </c>
      <c r="M297" s="131" t="s">
        <v>64</v>
      </c>
      <c r="N297" s="133" t="n">
        <v>6.73298500241897</v>
      </c>
      <c r="O297" s="133" t="n">
        <v>28.0385206303131</v>
      </c>
      <c r="P297" s="132" t="n">
        <v>0.028</v>
      </c>
      <c r="Q297" s="131" t="s">
        <v>130</v>
      </c>
      <c r="R297" s="130" t="n">
        <v>76760000</v>
      </c>
      <c r="S297" s="143" t="n">
        <v>0</v>
      </c>
      <c r="T297" s="134" t="n">
        <v>45373.3740957176</v>
      </c>
    </row>
    <row r="298" customFormat="false" ht="39.75" hidden="false" customHeight="true" outlineLevel="0" collapsed="false">
      <c r="B298" s="130" t="n">
        <v>29347426</v>
      </c>
      <c r="C298" s="131" t="s">
        <v>413</v>
      </c>
      <c r="D298" s="131" t="s">
        <v>135</v>
      </c>
      <c r="E298" s="130" t="n">
        <v>5291000</v>
      </c>
      <c r="F298" s="131" t="s">
        <v>18</v>
      </c>
      <c r="G298" s="130" t="n">
        <v>2100000</v>
      </c>
      <c r="H298" s="131" t="n">
        <v>817</v>
      </c>
      <c r="I298" s="132" t="n">
        <v>0.31</v>
      </c>
      <c r="J298" s="132" t="n">
        <v>0.36</v>
      </c>
      <c r="K298" s="130" t="n">
        <v>12.6649434889435</v>
      </c>
      <c r="L298" s="132" t="n">
        <v>0.36</v>
      </c>
      <c r="M298" s="131" t="s">
        <v>62</v>
      </c>
      <c r="N298" s="133" t="n">
        <v>1.13493063693064</v>
      </c>
      <c r="O298" s="133" t="n">
        <v>12.6649434889435</v>
      </c>
      <c r="P298" s="132" t="n">
        <v>0.028</v>
      </c>
      <c r="Q298" s="131" t="s">
        <v>130</v>
      </c>
      <c r="R298" s="130" t="n">
        <v>61657000</v>
      </c>
      <c r="S298" s="143" t="n">
        <v>0</v>
      </c>
      <c r="T298" s="134" t="n">
        <v>45373.3775099537</v>
      </c>
    </row>
    <row r="299" customFormat="false" ht="39.75" hidden="false" customHeight="true" outlineLevel="0" collapsed="false">
      <c r="B299" s="130" t="n">
        <v>42089913</v>
      </c>
      <c r="C299" s="131" t="s">
        <v>414</v>
      </c>
      <c r="D299" s="131" t="s">
        <v>135</v>
      </c>
      <c r="E299" s="130" t="n">
        <v>4705400</v>
      </c>
      <c r="F299" s="131" t="s">
        <v>18</v>
      </c>
      <c r="G299" s="130" t="n">
        <v>1800000</v>
      </c>
      <c r="H299" s="131" t="n">
        <v>726</v>
      </c>
      <c r="I299" s="132" t="n">
        <v>0.41</v>
      </c>
      <c r="J299" s="132" t="n">
        <v>0.45</v>
      </c>
      <c r="K299" s="130" t="n">
        <v>12.0532426573724</v>
      </c>
      <c r="L299" s="132" t="n">
        <v>0.45</v>
      </c>
      <c r="M299" s="131" t="s">
        <v>64</v>
      </c>
      <c r="N299" s="133" t="n">
        <v>1.19418009095932</v>
      </c>
      <c r="O299" s="133" t="n">
        <v>12.0532426573724</v>
      </c>
      <c r="P299" s="132" t="n">
        <v>0.028</v>
      </c>
      <c r="Q299" s="131" t="s">
        <v>130</v>
      </c>
      <c r="R299" s="130" t="n">
        <v>48914000</v>
      </c>
      <c r="S299" s="143" t="n">
        <v>0</v>
      </c>
      <c r="T299" s="134" t="n">
        <v>45373.3810148148</v>
      </c>
    </row>
    <row r="300" customFormat="false" ht="39.75" hidden="false" customHeight="true" outlineLevel="0" collapsed="false">
      <c r="B300" s="130" t="n">
        <v>66718924</v>
      </c>
      <c r="C300" s="131" t="s">
        <v>415</v>
      </c>
      <c r="D300" s="131" t="s">
        <v>135</v>
      </c>
      <c r="E300" s="130" t="n">
        <v>3394800</v>
      </c>
      <c r="F300" s="131" t="s">
        <v>18</v>
      </c>
      <c r="G300" s="130" t="n">
        <v>700000</v>
      </c>
      <c r="H300" s="131" t="n">
        <v>849</v>
      </c>
      <c r="I300" s="132" t="n">
        <v>0.34</v>
      </c>
      <c r="J300" s="132" t="n">
        <v>0.36</v>
      </c>
      <c r="K300" s="130" t="n">
        <v>12.0086738541298</v>
      </c>
      <c r="L300" s="132" t="n">
        <v>0.36</v>
      </c>
      <c r="M300" s="131" t="s">
        <v>61</v>
      </c>
      <c r="N300" s="133" t="n">
        <v>1.51087044892188</v>
      </c>
      <c r="O300" s="133" t="n">
        <v>12.0086738541298</v>
      </c>
      <c r="P300" s="132" t="n">
        <v>0.028</v>
      </c>
      <c r="Q300" s="131" t="s">
        <v>130</v>
      </c>
      <c r="R300" s="130" t="n">
        <v>32281000</v>
      </c>
      <c r="S300" s="143" t="s">
        <v>416</v>
      </c>
      <c r="T300" s="134" t="n">
        <v>45373.3859693287</v>
      </c>
    </row>
    <row r="301" customFormat="false" ht="39.75" hidden="false" customHeight="true" outlineLevel="0" collapsed="false">
      <c r="B301" s="130" t="n">
        <v>29688760</v>
      </c>
      <c r="C301" s="131" t="s">
        <v>417</v>
      </c>
      <c r="D301" s="131" t="s">
        <v>135</v>
      </c>
      <c r="E301" s="130" t="n">
        <v>5842800</v>
      </c>
      <c r="F301" s="131" t="s">
        <v>33</v>
      </c>
      <c r="G301" s="130" t="n">
        <v>10400000</v>
      </c>
      <c r="H301" s="131" t="n">
        <v>813</v>
      </c>
      <c r="I301" s="132" t="n">
        <v>0.18</v>
      </c>
      <c r="J301" s="132" t="n">
        <v>0.27</v>
      </c>
      <c r="K301" s="130" t="n">
        <v>2.95765728760183</v>
      </c>
      <c r="L301" s="132" t="n">
        <v>0.27</v>
      </c>
      <c r="M301" s="131" t="s">
        <v>62</v>
      </c>
      <c r="N301" s="133" t="n">
        <v>0.735919422194838</v>
      </c>
      <c r="O301" s="133" t="n">
        <v>2.95765728760183</v>
      </c>
      <c r="P301" s="132" t="n">
        <v>0.0149</v>
      </c>
      <c r="Q301" s="131" t="s">
        <v>130</v>
      </c>
      <c r="R301" s="130" t="n">
        <v>17281000</v>
      </c>
      <c r="S301" s="143" t="n">
        <v>0</v>
      </c>
      <c r="T301" s="134" t="n">
        <v>45378.3543950232</v>
      </c>
    </row>
    <row r="302" customFormat="false" ht="39.75" hidden="false" customHeight="true" outlineLevel="0" collapsed="false">
      <c r="B302" s="130" t="n">
        <v>29688760</v>
      </c>
      <c r="C302" s="131" t="s">
        <v>417</v>
      </c>
      <c r="D302" s="131" t="s">
        <v>135</v>
      </c>
      <c r="E302" s="130" t="n">
        <v>5842800</v>
      </c>
      <c r="F302" s="131" t="s">
        <v>33</v>
      </c>
      <c r="G302" s="130" t="n">
        <v>5100000</v>
      </c>
      <c r="H302" s="131" t="n">
        <v>813</v>
      </c>
      <c r="I302" s="132" t="n">
        <v>0.05</v>
      </c>
      <c r="J302" s="132" t="n">
        <v>0.08</v>
      </c>
      <c r="K302" s="130" t="n">
        <v>2.21266053946738</v>
      </c>
      <c r="L302" s="132" t="n">
        <v>0.08</v>
      </c>
      <c r="M302" s="131" t="s">
        <v>62</v>
      </c>
      <c r="N302" s="133" t="n">
        <v>0.638154994180872</v>
      </c>
      <c r="O302" s="133" t="n">
        <v>2.21266053946738</v>
      </c>
      <c r="P302" s="132" t="n">
        <v>0.0149</v>
      </c>
      <c r="Q302" s="131" t="s">
        <v>130</v>
      </c>
      <c r="R302" s="130" t="n">
        <v>10567000</v>
      </c>
      <c r="S302" s="143" t="n">
        <v>0</v>
      </c>
      <c r="T302" s="134" t="n">
        <v>45378.3904527778</v>
      </c>
    </row>
    <row r="303" customFormat="false" ht="39.75" hidden="false" customHeight="true" outlineLevel="0" collapsed="false">
      <c r="B303" s="130" t="n">
        <v>31574768</v>
      </c>
      <c r="C303" s="131" t="s">
        <v>418</v>
      </c>
      <c r="D303" s="131" t="s">
        <v>135</v>
      </c>
      <c r="E303" s="130" t="n">
        <v>4327600</v>
      </c>
      <c r="F303" s="131" t="s">
        <v>32</v>
      </c>
      <c r="G303" s="130" t="n">
        <v>9700000</v>
      </c>
      <c r="H303" s="131" t="n">
        <v>924</v>
      </c>
      <c r="I303" s="132" t="n">
        <v>0.15</v>
      </c>
      <c r="J303" s="132" t="n">
        <v>0.21</v>
      </c>
      <c r="K303" s="130" t="n">
        <v>3.6110899805897</v>
      </c>
      <c r="L303" s="132" t="n">
        <v>0.21</v>
      </c>
      <c r="M303" s="131" t="s">
        <v>61</v>
      </c>
      <c r="N303" s="133" t="n">
        <v>0.717766660504668</v>
      </c>
      <c r="O303" s="133" t="n">
        <v>3.6110899805897</v>
      </c>
      <c r="P303" s="132" t="n">
        <v>0.0129</v>
      </c>
      <c r="Q303" s="131" t="s">
        <v>130</v>
      </c>
      <c r="R303" s="130" t="n">
        <v>5930000</v>
      </c>
      <c r="S303" s="143" t="n">
        <v>0</v>
      </c>
      <c r="T303" s="134" t="n">
        <v>45378.4372459491</v>
      </c>
    </row>
    <row r="304" customFormat="false" ht="39.75" hidden="false" customHeight="true" outlineLevel="0" collapsed="false">
      <c r="B304" s="130" t="n">
        <v>1112478456</v>
      </c>
      <c r="C304" s="131" t="s">
        <v>419</v>
      </c>
      <c r="D304" s="131" t="s">
        <v>135</v>
      </c>
      <c r="E304" s="130" t="n">
        <v>2893800</v>
      </c>
      <c r="F304" s="131" t="s">
        <v>8</v>
      </c>
      <c r="G304" s="130" t="n">
        <v>8000000</v>
      </c>
      <c r="H304" s="131" t="n">
        <v>678</v>
      </c>
      <c r="I304" s="132" t="n">
        <v>0.61</v>
      </c>
      <c r="J304" s="132" t="n">
        <v>0.69</v>
      </c>
      <c r="K304" s="130" t="n">
        <v>20.8491239892183</v>
      </c>
      <c r="L304" s="132" t="n">
        <v>0.69</v>
      </c>
      <c r="M304" s="131" t="s">
        <v>64</v>
      </c>
      <c r="N304" s="133" t="n">
        <v>1.98307139401479</v>
      </c>
      <c r="O304" s="133" t="n">
        <v>20.8491239892183</v>
      </c>
      <c r="P304" s="132" t="n">
        <v>0.018</v>
      </c>
      <c r="Q304" s="131" t="s">
        <v>130</v>
      </c>
      <c r="R304" s="130" t="n">
        <v>60249000</v>
      </c>
      <c r="S304" s="143" t="n">
        <v>0</v>
      </c>
      <c r="T304" s="134" t="n">
        <v>45385.4197909722</v>
      </c>
    </row>
    <row r="305" customFormat="false" ht="39.75" hidden="false" customHeight="true" outlineLevel="0" collapsed="false">
      <c r="B305" s="130" t="n">
        <v>1144071455</v>
      </c>
      <c r="C305" s="131" t="s">
        <v>420</v>
      </c>
      <c r="D305" s="131" t="s">
        <v>135</v>
      </c>
      <c r="E305" s="130" t="n">
        <v>2893800</v>
      </c>
      <c r="F305" s="131" t="s">
        <v>34</v>
      </c>
      <c r="G305" s="130" t="n">
        <v>4500000</v>
      </c>
      <c r="H305" s="131" t="n">
        <v>791</v>
      </c>
      <c r="I305" s="132" t="n">
        <v>0.28</v>
      </c>
      <c r="J305" s="132" t="n">
        <v>0.36</v>
      </c>
      <c r="K305" s="130" t="n">
        <v>6.02011196350819</v>
      </c>
      <c r="L305" s="132" t="n">
        <v>0.36</v>
      </c>
      <c r="M305" s="131" t="s">
        <v>64</v>
      </c>
      <c r="N305" s="133" t="n">
        <v>1.02037321169397</v>
      </c>
      <c r="O305" s="133" t="n">
        <v>6.02011196350819</v>
      </c>
      <c r="P305" s="132" t="n">
        <v>0.0179</v>
      </c>
      <c r="Q305" s="131" t="s">
        <v>130</v>
      </c>
      <c r="R305" s="130" t="n">
        <v>17421000</v>
      </c>
      <c r="S305" s="143" t="n">
        <v>0</v>
      </c>
      <c r="T305" s="134" t="n">
        <v>45385.4220771991</v>
      </c>
    </row>
    <row r="306" customFormat="false" ht="39.75" hidden="false" customHeight="true" outlineLevel="0" collapsed="false">
      <c r="B306" s="130" t="n">
        <v>1007145804</v>
      </c>
      <c r="C306" s="131" t="s">
        <v>421</v>
      </c>
      <c r="D306" s="131" t="s">
        <v>135</v>
      </c>
      <c r="E306" s="130" t="n">
        <v>2893800</v>
      </c>
      <c r="F306" s="131" t="s">
        <v>32</v>
      </c>
      <c r="G306" s="130" t="n">
        <v>7000000</v>
      </c>
      <c r="H306" s="131" t="n">
        <v>949</v>
      </c>
      <c r="I306" s="132" t="n">
        <v>0.28</v>
      </c>
      <c r="J306" s="132" t="n">
        <v>0.41</v>
      </c>
      <c r="K306" s="130" t="n">
        <v>0.968552076853964</v>
      </c>
      <c r="L306" s="132" t="n">
        <v>0.41</v>
      </c>
      <c r="M306" s="131" t="s">
        <v>61</v>
      </c>
      <c r="N306" s="133" t="n">
        <v>0.975514202778354</v>
      </c>
      <c r="O306" s="133" t="n">
        <v>0.968552076853964</v>
      </c>
      <c r="P306" s="132" t="n">
        <v>0.0129</v>
      </c>
      <c r="Q306" s="131" t="s">
        <v>130</v>
      </c>
      <c r="R306" s="130" t="n">
        <v>1415000</v>
      </c>
      <c r="S306" s="143" t="n">
        <v>0</v>
      </c>
      <c r="T306" s="134" t="n">
        <v>45385.4278736111</v>
      </c>
    </row>
    <row r="307" customFormat="false" ht="39.75" hidden="false" customHeight="true" outlineLevel="0" collapsed="false">
      <c r="B307" s="130" t="n">
        <v>1130624827</v>
      </c>
      <c r="C307" s="131" t="s">
        <v>422</v>
      </c>
      <c r="D307" s="131" t="s">
        <v>135</v>
      </c>
      <c r="E307" s="130" t="n">
        <v>5812800</v>
      </c>
      <c r="F307" s="131" t="s">
        <v>32</v>
      </c>
      <c r="G307" s="130" t="n">
        <v>6000000</v>
      </c>
      <c r="H307" s="131" t="n">
        <v>903</v>
      </c>
      <c r="I307" s="132" t="n">
        <v>0.15</v>
      </c>
      <c r="J307" s="132" t="n">
        <v>0.18</v>
      </c>
      <c r="K307" s="130" t="n">
        <v>10.0074740228461</v>
      </c>
      <c r="L307" s="132" t="n">
        <v>0.18</v>
      </c>
      <c r="M307" s="131" t="s">
        <v>61</v>
      </c>
      <c r="N307" s="133" t="n">
        <v>0.872650701899257</v>
      </c>
      <c r="O307" s="133" t="n">
        <v>10.0074740228461</v>
      </c>
      <c r="P307" s="132" t="n">
        <v>0.0129</v>
      </c>
      <c r="Q307" s="131" t="s">
        <v>130</v>
      </c>
      <c r="R307" s="130" t="n">
        <v>43962000</v>
      </c>
      <c r="S307" s="143" t="n">
        <v>0</v>
      </c>
      <c r="T307" s="134" t="n">
        <v>45385.4366600694</v>
      </c>
    </row>
    <row r="308" customFormat="false" ht="39.75" hidden="false" customHeight="true" outlineLevel="0" collapsed="false">
      <c r="B308" s="130" t="n">
        <v>1144159356</v>
      </c>
      <c r="C308" s="131" t="s">
        <v>423</v>
      </c>
      <c r="D308" s="131" t="s">
        <v>135</v>
      </c>
      <c r="E308" s="130" t="n">
        <v>1991000</v>
      </c>
      <c r="F308" s="131" t="s">
        <v>34</v>
      </c>
      <c r="G308" s="130" t="n">
        <v>500000</v>
      </c>
      <c r="H308" s="131" t="n">
        <v>598</v>
      </c>
      <c r="I308" s="132" t="n">
        <v>0.11</v>
      </c>
      <c r="J308" s="132" t="n">
        <v>0.14</v>
      </c>
      <c r="K308" s="130" t="n">
        <v>3.09418935208438</v>
      </c>
      <c r="L308" s="132" t="n">
        <v>0.14</v>
      </c>
      <c r="M308" s="131" t="s">
        <v>64</v>
      </c>
      <c r="N308" s="133" t="n">
        <v>2.50112506278252</v>
      </c>
      <c r="O308" s="133" t="n">
        <v>3.09418935208438</v>
      </c>
      <c r="P308" s="132" t="n">
        <v>0.0179</v>
      </c>
      <c r="Q308" s="131" t="s">
        <v>130</v>
      </c>
      <c r="R308" s="130" t="n">
        <v>5795000</v>
      </c>
      <c r="S308" s="143" t="n">
        <v>0</v>
      </c>
      <c r="T308" s="134" t="n">
        <v>45386.637021412</v>
      </c>
    </row>
    <row r="309" customFormat="false" ht="39.75" hidden="false" customHeight="true" outlineLevel="0" collapsed="false">
      <c r="B309" s="130" t="n">
        <v>1062287599</v>
      </c>
      <c r="C309" s="131" t="s">
        <v>424</v>
      </c>
      <c r="D309" s="131" t="s">
        <v>135</v>
      </c>
      <c r="E309" s="130" t="n">
        <v>1625000</v>
      </c>
      <c r="F309" s="131" t="s">
        <v>34</v>
      </c>
      <c r="G309" s="130" t="n">
        <v>3500000</v>
      </c>
      <c r="H309" s="131" t="n">
        <v>665</v>
      </c>
      <c r="I309" s="132" t="n">
        <v>0.15</v>
      </c>
      <c r="J309" s="132" t="n">
        <v>0.27</v>
      </c>
      <c r="K309" s="130" t="n">
        <v>0.563369846153846</v>
      </c>
      <c r="L309" s="132" t="n">
        <v>0.27</v>
      </c>
      <c r="M309" s="131" t="s">
        <v>64</v>
      </c>
      <c r="N309" s="133" t="n">
        <v>0.778435692307692</v>
      </c>
      <c r="O309" s="133" t="n">
        <v>0.563369846153846</v>
      </c>
      <c r="P309" s="132" t="n">
        <v>0.0179</v>
      </c>
      <c r="Q309" s="131" t="s">
        <v>130</v>
      </c>
      <c r="R309" s="130" t="n">
        <v>279000</v>
      </c>
      <c r="S309" s="143" t="n">
        <v>0</v>
      </c>
      <c r="T309" s="134" t="n">
        <v>45386.6390368056</v>
      </c>
    </row>
    <row r="310" customFormat="false" ht="39.75" hidden="false" customHeight="true" outlineLevel="0" collapsed="false">
      <c r="B310" s="130" t="n">
        <v>1143840210</v>
      </c>
      <c r="C310" s="131" t="s">
        <v>425</v>
      </c>
      <c r="D310" s="131" t="s">
        <v>135</v>
      </c>
      <c r="E310" s="130" t="n">
        <v>2893800</v>
      </c>
      <c r="F310" s="131" t="s">
        <v>33</v>
      </c>
      <c r="G310" s="130" t="n">
        <v>3000000</v>
      </c>
      <c r="H310" s="131" t="n">
        <v>875</v>
      </c>
      <c r="I310" s="132" t="n">
        <v>0.26</v>
      </c>
      <c r="J310" s="132" t="n">
        <v>0.36</v>
      </c>
      <c r="K310" s="130" t="n">
        <v>14.2244999654434</v>
      </c>
      <c r="L310" s="132" t="n">
        <v>0.36</v>
      </c>
      <c r="M310" s="131" t="s">
        <v>62</v>
      </c>
      <c r="N310" s="133" t="n">
        <v>1.15451724376253</v>
      </c>
      <c r="O310" s="133" t="n">
        <v>14.2244999654434</v>
      </c>
      <c r="P310" s="132" t="n">
        <v>0.0149</v>
      </c>
      <c r="Q310" s="131" t="s">
        <v>130</v>
      </c>
      <c r="R310" s="130" t="n">
        <v>39429000</v>
      </c>
      <c r="S310" s="143" t="n">
        <v>0</v>
      </c>
      <c r="T310" s="134" t="n">
        <v>45386.6579048611</v>
      </c>
    </row>
    <row r="311" customFormat="false" ht="39.75" hidden="false" customHeight="true" outlineLevel="0" collapsed="false">
      <c r="B311" s="130" t="n">
        <v>1144157341</v>
      </c>
      <c r="C311" s="131" t="s">
        <v>426</v>
      </c>
      <c r="D311" s="131" t="s">
        <v>135</v>
      </c>
      <c r="E311" s="130" t="n">
        <v>2604400</v>
      </c>
      <c r="F311" s="131" t="s">
        <v>20</v>
      </c>
      <c r="G311" s="130" t="n">
        <v>2739000</v>
      </c>
      <c r="H311" s="131" t="n">
        <v>621</v>
      </c>
      <c r="I311" s="132" t="n">
        <v>0.06</v>
      </c>
      <c r="J311" s="132" t="n">
        <v>0.12</v>
      </c>
      <c r="K311" s="130" t="n">
        <v>2.44739671325449</v>
      </c>
      <c r="L311" s="132" t="n">
        <v>0.12</v>
      </c>
      <c r="M311" s="131" t="s">
        <v>64</v>
      </c>
      <c r="N311" s="133" t="n">
        <v>0.929800721855322</v>
      </c>
      <c r="O311" s="133" t="n">
        <v>2.44739671325449</v>
      </c>
      <c r="P311" s="132" t="n">
        <v>0.026</v>
      </c>
      <c r="Q311" s="131" t="s">
        <v>130</v>
      </c>
      <c r="R311" s="130" t="n">
        <v>6374000</v>
      </c>
      <c r="S311" s="143" t="n">
        <v>0</v>
      </c>
      <c r="T311" s="134" t="n">
        <v>45386.6761228009</v>
      </c>
    </row>
    <row r="312" customFormat="false" ht="39.75" hidden="false" customHeight="true" outlineLevel="0" collapsed="false">
      <c r="B312" s="130" t="n">
        <v>1143924821</v>
      </c>
      <c r="C312" s="131" t="s">
        <v>427</v>
      </c>
      <c r="D312" s="131" t="s">
        <v>135</v>
      </c>
      <c r="E312" s="130" t="n">
        <v>2600900</v>
      </c>
      <c r="F312" s="131" t="s">
        <v>34</v>
      </c>
      <c r="G312" s="130" t="n">
        <v>2000000</v>
      </c>
      <c r="H312" s="131" t="n">
        <v>754</v>
      </c>
      <c r="I312" s="132" t="n">
        <v>0.28</v>
      </c>
      <c r="J312" s="132" t="n">
        <v>0.32</v>
      </c>
      <c r="K312" s="130" t="n">
        <v>5.32529086085586</v>
      </c>
      <c r="L312" s="132" t="n">
        <v>0.32</v>
      </c>
      <c r="M312" s="131" t="s">
        <v>64</v>
      </c>
      <c r="N312" s="133" t="n">
        <v>0.966976815717636</v>
      </c>
      <c r="O312" s="133" t="n">
        <v>5.32529086085586</v>
      </c>
      <c r="P312" s="132" t="n">
        <v>0.0179</v>
      </c>
      <c r="Q312" s="131" t="s">
        <v>130</v>
      </c>
      <c r="R312" s="130" t="n">
        <v>12619000</v>
      </c>
      <c r="S312" s="143" t="n">
        <v>0</v>
      </c>
      <c r="T312" s="134" t="n">
        <v>45386.6832603009</v>
      </c>
    </row>
    <row r="313" customFormat="false" ht="39.75" hidden="false" customHeight="true" outlineLevel="0" collapsed="false">
      <c r="B313" s="130" t="n">
        <v>1143924821</v>
      </c>
      <c r="C313" s="131" t="s">
        <v>427</v>
      </c>
      <c r="D313" s="131" t="s">
        <v>135</v>
      </c>
      <c r="E313" s="130" t="n">
        <v>2600900</v>
      </c>
      <c r="F313" s="131" t="s">
        <v>29</v>
      </c>
      <c r="G313" s="130" t="n">
        <v>2300000</v>
      </c>
      <c r="H313" s="131" t="n">
        <v>754</v>
      </c>
      <c r="I313" s="132" t="n">
        <v>0.48</v>
      </c>
      <c r="J313" s="132" t="n">
        <v>0.53</v>
      </c>
      <c r="K313" s="130" t="n">
        <v>16.5759421738629</v>
      </c>
      <c r="L313" s="132" t="n">
        <v>0.53</v>
      </c>
      <c r="M313" s="131" t="s">
        <v>64</v>
      </c>
      <c r="N313" s="133" t="n">
        <v>1.66711369141451</v>
      </c>
      <c r="O313" s="133" t="n">
        <v>16.5759421738629</v>
      </c>
      <c r="P313" s="132" t="n">
        <v>0.0227</v>
      </c>
      <c r="Q313" s="131" t="s">
        <v>130</v>
      </c>
      <c r="R313" s="130" t="n">
        <v>39167000</v>
      </c>
      <c r="S313" s="143" t="n">
        <v>0</v>
      </c>
      <c r="T313" s="134" t="n">
        <v>45386.6877831019</v>
      </c>
    </row>
    <row r="314" customFormat="false" ht="39.75" hidden="false" customHeight="true" outlineLevel="0" collapsed="false">
      <c r="B314" s="130" t="n">
        <v>1144207702</v>
      </c>
      <c r="C314" s="131" t="s">
        <v>428</v>
      </c>
      <c r="D314" s="131" t="s">
        <v>135</v>
      </c>
      <c r="E314" s="130" t="n">
        <v>2340800</v>
      </c>
      <c r="F314" s="131" t="s">
        <v>29</v>
      </c>
      <c r="G314" s="130" t="n">
        <v>3000000</v>
      </c>
      <c r="H314" s="131" t="n">
        <v>657</v>
      </c>
      <c r="I314" s="132" t="n">
        <v>0.12</v>
      </c>
      <c r="J314" s="132" t="n">
        <v>0.17</v>
      </c>
      <c r="K314" s="130" t="n">
        <v>13.1463444121668</v>
      </c>
      <c r="L314" s="132" t="n">
        <v>0.17</v>
      </c>
      <c r="M314" s="131" t="s">
        <v>64</v>
      </c>
      <c r="N314" s="133" t="n">
        <v>0.737027511961722</v>
      </c>
      <c r="O314" s="133" t="n">
        <v>13.1463444121668</v>
      </c>
      <c r="P314" s="132" t="n">
        <v>0.0227</v>
      </c>
      <c r="Q314" s="131" t="s">
        <v>130</v>
      </c>
      <c r="R314" s="130" t="n">
        <v>30523000</v>
      </c>
      <c r="S314" s="143" t="n">
        <v>0</v>
      </c>
      <c r="T314" s="134" t="n">
        <v>45386.6903157407</v>
      </c>
    </row>
    <row r="315" customFormat="false" ht="39.75" hidden="false" customHeight="true" outlineLevel="0" collapsed="false">
      <c r="B315" s="130" t="n">
        <v>1130612863</v>
      </c>
      <c r="C315" s="131" t="s">
        <v>429</v>
      </c>
      <c r="D315" s="131" t="s">
        <v>135</v>
      </c>
      <c r="E315" s="130" t="n">
        <v>2089800</v>
      </c>
      <c r="F315" s="131" t="s">
        <v>29</v>
      </c>
      <c r="G315" s="130" t="n">
        <v>3000000</v>
      </c>
      <c r="H315" s="131" t="n">
        <v>747</v>
      </c>
      <c r="I315" s="132" t="n">
        <v>0.33</v>
      </c>
      <c r="J315" s="132" t="n">
        <v>0.34</v>
      </c>
      <c r="K315" s="130" t="n">
        <v>7.13764427217916</v>
      </c>
      <c r="L315" s="132" t="n">
        <v>0.34</v>
      </c>
      <c r="M315" s="131" t="s">
        <v>62</v>
      </c>
      <c r="N315" s="133" t="n">
        <v>2.52159871758063</v>
      </c>
      <c r="O315" s="133" t="n">
        <v>7.13764427217916</v>
      </c>
      <c r="P315" s="132" t="n">
        <v>0.0227</v>
      </c>
      <c r="Q315" s="131" t="s">
        <v>130</v>
      </c>
      <c r="R315" s="130" t="n">
        <v>4885000</v>
      </c>
      <c r="S315" s="143" t="n">
        <v>0</v>
      </c>
      <c r="T315" s="134" t="n">
        <v>45387.3496666667</v>
      </c>
    </row>
    <row r="316" customFormat="false" ht="39.75" hidden="false" customHeight="true" outlineLevel="0" collapsed="false">
      <c r="B316" s="130" t="n">
        <v>1144155126</v>
      </c>
      <c r="C316" s="131" t="s">
        <v>430</v>
      </c>
      <c r="D316" s="131" t="s">
        <v>135</v>
      </c>
      <c r="E316" s="130" t="n">
        <v>1918500</v>
      </c>
      <c r="F316" s="131" t="s">
        <v>34</v>
      </c>
      <c r="G316" s="130" t="n">
        <v>2000000</v>
      </c>
      <c r="H316" s="131" t="n">
        <v>621</v>
      </c>
      <c r="I316" s="132" t="n">
        <v>0.36</v>
      </c>
      <c r="J316" s="132" t="n">
        <v>0.4</v>
      </c>
      <c r="K316" s="130" t="n">
        <v>0.728023455824863</v>
      </c>
      <c r="L316" s="132" t="n">
        <v>0.4</v>
      </c>
      <c r="M316" s="131" t="s">
        <v>64</v>
      </c>
      <c r="N316" s="133" t="n">
        <v>0.909145165493876</v>
      </c>
      <c r="O316" s="133" t="n">
        <v>0.728023455824863</v>
      </c>
      <c r="P316" s="132" t="n">
        <v>0.0179</v>
      </c>
      <c r="Q316" s="131" t="s">
        <v>130</v>
      </c>
      <c r="R316" s="130" t="n">
        <v>229000</v>
      </c>
      <c r="S316" s="143" t="n">
        <v>0</v>
      </c>
      <c r="T316" s="134" t="n">
        <v>45387.3533763889</v>
      </c>
    </row>
    <row r="317" customFormat="false" ht="39.75" hidden="false" customHeight="true" outlineLevel="0" collapsed="false">
      <c r="B317" s="130" t="n">
        <v>52066817</v>
      </c>
      <c r="C317" s="131" t="s">
        <v>431</v>
      </c>
      <c r="D317" s="131" t="s">
        <v>135</v>
      </c>
      <c r="E317" s="130" t="n">
        <v>2893800</v>
      </c>
      <c r="F317" s="131" t="s">
        <v>29</v>
      </c>
      <c r="G317" s="130" t="n">
        <v>2000000</v>
      </c>
      <c r="H317" s="131" t="n">
        <v>665</v>
      </c>
      <c r="I317" s="132" t="n">
        <v>0.17</v>
      </c>
      <c r="J317" s="132" t="n">
        <v>0.2</v>
      </c>
      <c r="K317" s="130" t="n">
        <v>26.6224942981547</v>
      </c>
      <c r="L317" s="132" t="n">
        <v>0.2</v>
      </c>
      <c r="M317" s="131" t="s">
        <v>64</v>
      </c>
      <c r="N317" s="133" t="n">
        <v>1.44114555256065</v>
      </c>
      <c r="O317" s="133" t="n">
        <v>26.6224942981547</v>
      </c>
      <c r="P317" s="132" t="n">
        <v>0.0227</v>
      </c>
      <c r="Q317" s="131" t="s">
        <v>130</v>
      </c>
      <c r="R317" s="130" t="n">
        <v>75828000</v>
      </c>
      <c r="S317" s="143" t="n">
        <v>0</v>
      </c>
      <c r="T317" s="134" t="n">
        <v>45387.358309375</v>
      </c>
    </row>
    <row r="318" customFormat="false" ht="39.75" hidden="false" customHeight="true" outlineLevel="0" collapsed="false">
      <c r="B318" s="130" t="n">
        <v>1143828982</v>
      </c>
      <c r="C318" s="131" t="s">
        <v>432</v>
      </c>
      <c r="D318" s="131" t="s">
        <v>135</v>
      </c>
      <c r="E318" s="130" t="n">
        <v>6225200</v>
      </c>
      <c r="F318" s="131" t="s">
        <v>32</v>
      </c>
      <c r="G318" s="130" t="n">
        <v>4000000</v>
      </c>
      <c r="H318" s="131" t="n">
        <v>808</v>
      </c>
      <c r="I318" s="132" t="n">
        <v>0.37</v>
      </c>
      <c r="J318" s="132" t="n">
        <v>0.39</v>
      </c>
      <c r="K318" s="130" t="n">
        <v>16.8229411103258</v>
      </c>
      <c r="L318" s="132" t="n">
        <v>0.39</v>
      </c>
      <c r="M318" s="131" t="s">
        <v>61</v>
      </c>
      <c r="N318" s="133" t="n">
        <v>1.27986940178629</v>
      </c>
      <c r="O318" s="133" t="n">
        <v>16.8229411103258</v>
      </c>
      <c r="P318" s="132" t="n">
        <v>0.0129</v>
      </c>
      <c r="Q318" s="131" t="s">
        <v>130</v>
      </c>
      <c r="R318" s="130" t="n">
        <v>101736000</v>
      </c>
      <c r="S318" s="143" t="n">
        <v>0</v>
      </c>
      <c r="T318" s="134" t="n">
        <v>45387.3616207176</v>
      </c>
    </row>
    <row r="319" customFormat="false" ht="39.75" hidden="false" customHeight="true" outlineLevel="0" collapsed="false">
      <c r="B319" s="130" t="n">
        <v>1127208446</v>
      </c>
      <c r="C319" s="131" t="s">
        <v>433</v>
      </c>
      <c r="D319" s="131" t="s">
        <v>135</v>
      </c>
      <c r="E319" s="130" t="n">
        <v>5679200</v>
      </c>
      <c r="F319" s="131" t="s">
        <v>29</v>
      </c>
      <c r="G319" s="130" t="n">
        <v>3000000</v>
      </c>
      <c r="H319" s="131" t="n">
        <v>854</v>
      </c>
      <c r="I319" s="132" t="n">
        <v>0.19</v>
      </c>
      <c r="J319" s="132" t="n">
        <v>0.25</v>
      </c>
      <c r="K319" s="130" t="n">
        <v>0</v>
      </c>
      <c r="L319" s="132" t="n">
        <v>0.25</v>
      </c>
      <c r="M319" s="131" t="s">
        <v>62</v>
      </c>
      <c r="N319" s="133" t="n">
        <v>0.66448091280462</v>
      </c>
      <c r="O319" s="133" t="n">
        <v>0</v>
      </c>
      <c r="P319" s="132" t="n">
        <v>0.0227</v>
      </c>
      <c r="Q319" s="131" t="s">
        <v>130</v>
      </c>
      <c r="R319" s="130" t="n">
        <v>0</v>
      </c>
      <c r="S319" s="143" t="n">
        <v>0</v>
      </c>
      <c r="T319" s="134" t="n">
        <v>45387.3665155093</v>
      </c>
    </row>
    <row r="320" customFormat="false" ht="39.75" hidden="false" customHeight="true" outlineLevel="0" collapsed="false">
      <c r="B320" s="130" t="n">
        <v>1130677212</v>
      </c>
      <c r="C320" s="131" t="s">
        <v>434</v>
      </c>
      <c r="D320" s="131" t="s">
        <v>135</v>
      </c>
      <c r="E320" s="130" t="n">
        <v>2604400</v>
      </c>
      <c r="F320" s="131" t="s">
        <v>29</v>
      </c>
      <c r="G320" s="130" t="n">
        <v>4000000</v>
      </c>
      <c r="H320" s="131" t="n">
        <v>611</v>
      </c>
      <c r="I320" s="132" t="n">
        <v>0.33</v>
      </c>
      <c r="J320" s="132" t="n">
        <v>0.37</v>
      </c>
      <c r="K320" s="130" t="n">
        <v>6.9748149285824</v>
      </c>
      <c r="L320" s="132" t="n">
        <v>0.37</v>
      </c>
      <c r="M320" s="131" t="s">
        <v>64</v>
      </c>
      <c r="N320" s="133" t="n">
        <v>1.10524650591307</v>
      </c>
      <c r="O320" s="133" t="n">
        <v>6.9748149285824</v>
      </c>
      <c r="P320" s="132" t="n">
        <v>0.0227</v>
      </c>
      <c r="Q320" s="131" t="s">
        <v>130</v>
      </c>
      <c r="R320" s="130" t="n">
        <v>17556000</v>
      </c>
      <c r="S320" s="143" t="s">
        <v>435</v>
      </c>
      <c r="T320" s="134" t="n">
        <v>45387.3699662037</v>
      </c>
    </row>
    <row r="321" customFormat="false" ht="39.75" hidden="false" customHeight="true" outlineLevel="0" collapsed="false">
      <c r="B321" s="130" t="n">
        <v>1113695768</v>
      </c>
      <c r="C321" s="131" t="s">
        <v>275</v>
      </c>
      <c r="D321" s="131" t="s">
        <v>135</v>
      </c>
      <c r="E321" s="130" t="n">
        <v>2340800</v>
      </c>
      <c r="F321" s="131" t="s">
        <v>34</v>
      </c>
      <c r="G321" s="130" t="n">
        <v>3000000</v>
      </c>
      <c r="H321" s="131" t="n">
        <v>632</v>
      </c>
      <c r="I321" s="132" t="n">
        <v>0.38</v>
      </c>
      <c r="J321" s="132" t="n">
        <v>0.42</v>
      </c>
      <c r="K321" s="130" t="n">
        <v>9.32011705399863</v>
      </c>
      <c r="L321" s="132" t="n">
        <v>0.42</v>
      </c>
      <c r="M321" s="131" t="s">
        <v>64</v>
      </c>
      <c r="N321" s="133" t="n">
        <v>1.28971975393028</v>
      </c>
      <c r="O321" s="133" t="n">
        <v>9.32011705399863</v>
      </c>
      <c r="P321" s="132" t="n">
        <v>0.0179</v>
      </c>
      <c r="Q321" s="131" t="s">
        <v>130</v>
      </c>
      <c r="R321" s="130" t="n">
        <v>18605000</v>
      </c>
      <c r="S321" s="143" t="n">
        <v>0</v>
      </c>
      <c r="T321" s="134" t="n">
        <v>45387.3721407407</v>
      </c>
    </row>
    <row r="322" customFormat="false" ht="39.75" hidden="false" customHeight="true" outlineLevel="0" collapsed="false">
      <c r="B322" s="130" t="n">
        <v>16849166</v>
      </c>
      <c r="C322" s="131" t="s">
        <v>436</v>
      </c>
      <c r="D322" s="131" t="s">
        <v>135</v>
      </c>
      <c r="E322" s="130" t="n">
        <v>1670000</v>
      </c>
      <c r="F322" s="131" t="s">
        <v>34</v>
      </c>
      <c r="G322" s="130" t="n">
        <v>2000000</v>
      </c>
      <c r="H322" s="131" t="n">
        <v>618</v>
      </c>
      <c r="I322" s="132" t="n">
        <v>0.25</v>
      </c>
      <c r="J322" s="132" t="n">
        <v>0.31</v>
      </c>
      <c r="K322" s="130" t="n">
        <v>0.255688622754491</v>
      </c>
      <c r="L322" s="132" t="n">
        <v>0.31</v>
      </c>
      <c r="M322" s="131" t="s">
        <v>64</v>
      </c>
      <c r="N322" s="133" t="n">
        <v>0.836201796407186</v>
      </c>
      <c r="O322" s="133" t="n">
        <v>0.255688622754491</v>
      </c>
      <c r="P322" s="132" t="n">
        <v>0.0179</v>
      </c>
      <c r="Q322" s="131" t="s">
        <v>130</v>
      </c>
      <c r="R322" s="130" t="n">
        <v>427000</v>
      </c>
      <c r="S322" s="143" t="n">
        <v>0</v>
      </c>
      <c r="T322" s="134" t="n">
        <v>45387.4104163194</v>
      </c>
    </row>
    <row r="323" customFormat="false" ht="39.75" hidden="false" customHeight="true" outlineLevel="0" collapsed="false">
      <c r="B323" s="130" t="n">
        <v>1143843519</v>
      </c>
      <c r="C323" s="131" t="s">
        <v>437</v>
      </c>
      <c r="D323" s="131" t="s">
        <v>135</v>
      </c>
      <c r="E323" s="130" t="n">
        <v>2916600</v>
      </c>
      <c r="F323" s="131" t="s">
        <v>29</v>
      </c>
      <c r="G323" s="130" t="n">
        <v>2300000</v>
      </c>
      <c r="H323" s="131" t="n">
        <v>776</v>
      </c>
      <c r="I323" s="132" t="n">
        <v>0.39</v>
      </c>
      <c r="J323" s="132" t="n">
        <v>0.42</v>
      </c>
      <c r="K323" s="130" t="n">
        <v>14.7817211821985</v>
      </c>
      <c r="L323" s="132" t="n">
        <v>0.42</v>
      </c>
      <c r="M323" s="131" t="s">
        <v>64</v>
      </c>
      <c r="N323" s="133" t="n">
        <v>1.16594082150449</v>
      </c>
      <c r="O323" s="133" t="n">
        <v>14.7817211821985</v>
      </c>
      <c r="P323" s="132" t="n">
        <v>0.0179</v>
      </c>
      <c r="Q323" s="131" t="s">
        <v>130</v>
      </c>
      <c r="R323" s="130" t="n">
        <v>39167000</v>
      </c>
      <c r="S323" s="143" t="n">
        <v>0</v>
      </c>
      <c r="T323" s="134" t="n">
        <v>45387.4640402778</v>
      </c>
    </row>
    <row r="324" customFormat="false" ht="39.75" hidden="false" customHeight="true" outlineLevel="0" collapsed="false">
      <c r="B324" s="130" t="n">
        <v>1062312895</v>
      </c>
      <c r="C324" s="131" t="s">
        <v>175</v>
      </c>
      <c r="D324" s="131" t="s">
        <v>135</v>
      </c>
      <c r="E324" s="130" t="n">
        <v>2600900</v>
      </c>
      <c r="F324" s="131" t="s">
        <v>29</v>
      </c>
      <c r="G324" s="130" t="n">
        <v>2900000</v>
      </c>
      <c r="H324" s="131" t="n">
        <v>701</v>
      </c>
      <c r="I324" s="132" t="n">
        <v>0.3</v>
      </c>
      <c r="J324" s="132" t="n">
        <v>0.37</v>
      </c>
      <c r="K324" s="130" t="n">
        <v>6.19299357914568</v>
      </c>
      <c r="L324" s="132" t="n">
        <v>0.37</v>
      </c>
      <c r="M324" s="131" t="s">
        <v>64</v>
      </c>
      <c r="N324" s="133" t="n">
        <v>1.26565112076589</v>
      </c>
      <c r="O324" s="133" t="n">
        <v>6.19299357914568</v>
      </c>
      <c r="P324" s="132" t="n">
        <v>0.0227</v>
      </c>
      <c r="Q324" s="131" t="s">
        <v>130</v>
      </c>
      <c r="R324" s="130" t="n">
        <v>13155000</v>
      </c>
      <c r="S324" s="143" t="n">
        <v>0</v>
      </c>
      <c r="T324" s="134" t="n">
        <v>45391.6179511574</v>
      </c>
    </row>
    <row r="325" customFormat="false" ht="39.75" hidden="false" customHeight="true" outlineLevel="0" collapsed="false">
      <c r="B325" s="130" t="n">
        <v>34613504</v>
      </c>
      <c r="C325" s="131" t="s">
        <v>171</v>
      </c>
      <c r="D325" s="131" t="s">
        <v>135</v>
      </c>
      <c r="E325" s="130" t="n">
        <v>4876900</v>
      </c>
      <c r="F325" s="131" t="s">
        <v>16</v>
      </c>
      <c r="G325" s="130" t="n">
        <v>5900000</v>
      </c>
      <c r="H325" s="131" t="n">
        <v>589</v>
      </c>
      <c r="I325" s="132" t="n">
        <v>0.49</v>
      </c>
      <c r="J325" s="132" t="n">
        <v>0.53</v>
      </c>
      <c r="K325" s="130" t="n">
        <v>24.2673794828682</v>
      </c>
      <c r="L325" s="132" t="n">
        <v>0.53</v>
      </c>
      <c r="M325" s="131" t="s">
        <v>64</v>
      </c>
      <c r="N325" s="133" t="n">
        <v>1.52670774467387</v>
      </c>
      <c r="O325" s="133" t="n">
        <v>24.2673794828682</v>
      </c>
      <c r="P325" s="132" t="n">
        <v>0.0227</v>
      </c>
      <c r="Q325" s="131" t="s">
        <v>130</v>
      </c>
      <c r="R325" s="130" t="n">
        <v>115758000</v>
      </c>
      <c r="S325" s="143" t="n">
        <v>0</v>
      </c>
      <c r="T325" s="134" t="n">
        <v>45392.4157791667</v>
      </c>
    </row>
    <row r="326" customFormat="false" ht="39.75" hidden="false" customHeight="true" outlineLevel="0" collapsed="false">
      <c r="B326" s="130" t="n">
        <v>67041989</v>
      </c>
      <c r="C326" s="131" t="s">
        <v>438</v>
      </c>
      <c r="D326" s="131" t="s">
        <v>135</v>
      </c>
      <c r="E326" s="130" t="n">
        <v>2600900</v>
      </c>
      <c r="F326" s="131" t="s">
        <v>32</v>
      </c>
      <c r="G326" s="130" t="n">
        <v>10000000</v>
      </c>
      <c r="H326" s="131" t="n">
        <v>844</v>
      </c>
      <c r="I326" s="132" t="n">
        <v>0.32</v>
      </c>
      <c r="J326" s="132" t="n">
        <v>0.43</v>
      </c>
      <c r="K326" s="130" t="n">
        <v>11.7624668384021</v>
      </c>
      <c r="L326" s="132" t="n">
        <v>0.43</v>
      </c>
      <c r="M326" s="131" t="s">
        <v>61</v>
      </c>
      <c r="N326" s="133" t="n">
        <v>1.12398515898343</v>
      </c>
      <c r="O326" s="133" t="n">
        <v>11.7624668384021</v>
      </c>
      <c r="P326" s="132" t="n">
        <v>0.0129</v>
      </c>
      <c r="Q326" s="131" t="s">
        <v>130</v>
      </c>
      <c r="R326" s="130" t="n">
        <v>30593000</v>
      </c>
      <c r="S326" s="143" t="n">
        <v>0</v>
      </c>
      <c r="T326" s="134" t="n">
        <v>45392.4352976852</v>
      </c>
    </row>
    <row r="327" customFormat="false" ht="39.75" hidden="false" customHeight="true" outlineLevel="0" collapsed="false">
      <c r="B327" s="130" t="n">
        <v>94533696</v>
      </c>
      <c r="C327" s="131" t="s">
        <v>439</v>
      </c>
      <c r="D327" s="131" t="s">
        <v>135</v>
      </c>
      <c r="E327" s="130" t="n">
        <v>5291000</v>
      </c>
      <c r="F327" s="131" t="s">
        <v>32</v>
      </c>
      <c r="G327" s="130" t="n">
        <v>20800000</v>
      </c>
      <c r="H327" s="131" t="n">
        <v>833</v>
      </c>
      <c r="I327" s="132" t="n">
        <v>0.36</v>
      </c>
      <c r="J327" s="132" t="n">
        <v>0.46</v>
      </c>
      <c r="K327" s="130" t="n">
        <v>6.83869854469855</v>
      </c>
      <c r="L327" s="132" t="n">
        <v>0.46</v>
      </c>
      <c r="M327" s="131" t="s">
        <v>61</v>
      </c>
      <c r="N327" s="133" t="n">
        <v>1.0113041013041</v>
      </c>
      <c r="O327" s="133" t="n">
        <v>6.83869854469855</v>
      </c>
      <c r="P327" s="132" t="n">
        <v>0.0129</v>
      </c>
      <c r="Q327" s="131" t="s">
        <v>130</v>
      </c>
      <c r="R327" s="130" t="n">
        <v>35130000</v>
      </c>
      <c r="S327" s="143" t="n">
        <v>0</v>
      </c>
      <c r="T327" s="134" t="n">
        <v>45392.4394649306</v>
      </c>
    </row>
    <row r="328" customFormat="false" ht="39.75" hidden="false" customHeight="true" outlineLevel="0" collapsed="false">
      <c r="B328" s="130" t="n">
        <v>10280915</v>
      </c>
      <c r="C328" s="131" t="s">
        <v>440</v>
      </c>
      <c r="D328" s="131" t="s">
        <v>135</v>
      </c>
      <c r="E328" s="130" t="n">
        <v>19690900</v>
      </c>
      <c r="F328" s="131" t="s">
        <v>32</v>
      </c>
      <c r="G328" s="130" t="n">
        <v>6000000</v>
      </c>
      <c r="H328" s="131" t="n">
        <v>951</v>
      </c>
      <c r="I328" s="132" t="n">
        <v>0.36</v>
      </c>
      <c r="J328" s="132" t="n">
        <v>0.38</v>
      </c>
      <c r="K328" s="130" t="n">
        <v>0.489820170738768</v>
      </c>
      <c r="L328" s="132" t="n">
        <v>0.38</v>
      </c>
      <c r="M328" s="131" t="s">
        <v>61</v>
      </c>
      <c r="N328" s="133" t="n">
        <v>0.74187421600841</v>
      </c>
      <c r="O328" s="133" t="n">
        <v>0.489820170738768</v>
      </c>
      <c r="P328" s="132" t="n">
        <v>0.0129</v>
      </c>
      <c r="Q328" s="131" t="s">
        <v>130</v>
      </c>
      <c r="R328" s="130" t="n">
        <v>9645000</v>
      </c>
      <c r="S328" s="143" t="n">
        <v>0</v>
      </c>
      <c r="T328" s="134" t="n">
        <v>45392.4451791667</v>
      </c>
    </row>
    <row r="329" customFormat="false" ht="39.75" hidden="false" customHeight="true" outlineLevel="0" collapsed="false">
      <c r="B329" s="130" t="n">
        <v>38557612</v>
      </c>
      <c r="C329" s="131" t="s">
        <v>441</v>
      </c>
      <c r="D329" s="131" t="s">
        <v>135</v>
      </c>
      <c r="E329" s="130" t="n">
        <v>5679200</v>
      </c>
      <c r="F329" s="131" t="s">
        <v>33</v>
      </c>
      <c r="G329" s="130" t="n">
        <v>5000000</v>
      </c>
      <c r="H329" s="131" t="n">
        <v>687</v>
      </c>
      <c r="I329" s="132" t="n">
        <v>0.36</v>
      </c>
      <c r="J329" s="132" t="n">
        <v>0.39</v>
      </c>
      <c r="K329" s="130" t="n">
        <v>9.99579694323144</v>
      </c>
      <c r="L329" s="132" t="n">
        <v>0.39</v>
      </c>
      <c r="M329" s="131" t="s">
        <v>62</v>
      </c>
      <c r="N329" s="133" t="n">
        <v>1.49923158191295</v>
      </c>
      <c r="O329" s="133" t="n">
        <v>9.99579694323144</v>
      </c>
      <c r="P329" s="132" t="n">
        <v>0.0149</v>
      </c>
      <c r="Q329" s="131" t="s">
        <v>130</v>
      </c>
      <c r="R329" s="130" t="n">
        <v>47326000</v>
      </c>
      <c r="S329" s="143" t="n">
        <v>0</v>
      </c>
      <c r="T329" s="134" t="n">
        <v>45392.4500554398</v>
      </c>
    </row>
    <row r="330" customFormat="false" ht="39.75" hidden="false" customHeight="true" outlineLevel="0" collapsed="false">
      <c r="B330" s="130" t="n">
        <v>67006115</v>
      </c>
      <c r="C330" s="131" t="s">
        <v>442</v>
      </c>
      <c r="D330" s="131" t="s">
        <v>135</v>
      </c>
      <c r="E330" s="130" t="n">
        <v>7551500</v>
      </c>
      <c r="F330" s="131" t="s">
        <v>18</v>
      </c>
      <c r="G330" s="130" t="n">
        <v>1000000</v>
      </c>
      <c r="H330" s="131" t="n">
        <v>747</v>
      </c>
      <c r="I330" s="132" t="n">
        <v>0.2</v>
      </c>
      <c r="J330" s="132" t="n">
        <v>0.21</v>
      </c>
      <c r="K330" s="130" t="n">
        <v>9.26094153479441</v>
      </c>
      <c r="L330" s="132" t="n">
        <v>0.21</v>
      </c>
      <c r="M330" s="131" t="s">
        <v>64</v>
      </c>
      <c r="N330" s="133" t="n">
        <v>4.90090578030855</v>
      </c>
      <c r="O330" s="133" t="n">
        <v>9.26094153479441</v>
      </c>
      <c r="P330" s="132" t="n">
        <v>0.028</v>
      </c>
      <c r="Q330" s="131" t="s">
        <v>130</v>
      </c>
      <c r="R330" s="130" t="n">
        <v>60856000</v>
      </c>
      <c r="S330" s="143" t="n">
        <v>0</v>
      </c>
      <c r="T330" s="134" t="n">
        <v>45392.496284838</v>
      </c>
    </row>
    <row r="331" customFormat="false" ht="39.75" hidden="false" customHeight="true" outlineLevel="0" collapsed="false">
      <c r="B331" s="130" t="n">
        <v>66848316</v>
      </c>
      <c r="C331" s="131" t="s">
        <v>443</v>
      </c>
      <c r="D331" s="131" t="s">
        <v>135</v>
      </c>
      <c r="E331" s="130" t="n">
        <v>6775800</v>
      </c>
      <c r="F331" s="131" t="s">
        <v>27</v>
      </c>
      <c r="G331" s="130" t="n">
        <v>2153500</v>
      </c>
      <c r="H331" s="131" t="n">
        <v>901</v>
      </c>
      <c r="I331" s="132" t="n">
        <v>0.23</v>
      </c>
      <c r="J331" s="132" t="n">
        <v>0.26</v>
      </c>
      <c r="K331" s="130" t="n">
        <v>11.7231885533812</v>
      </c>
      <c r="L331" s="132" t="n">
        <v>0.26</v>
      </c>
      <c r="M331" s="131" t="s">
        <v>61</v>
      </c>
      <c r="N331" s="133" t="n">
        <v>1.29987130670917</v>
      </c>
      <c r="O331" s="133" t="n">
        <v>11.7231885533812</v>
      </c>
      <c r="P331" s="132" t="n">
        <v>0.01</v>
      </c>
      <c r="Q331" s="131" t="s">
        <v>130</v>
      </c>
      <c r="R331" s="130" t="n">
        <v>73633000</v>
      </c>
      <c r="S331" s="143" t="n">
        <v>0</v>
      </c>
      <c r="T331" s="134" t="n">
        <v>45392.5045927083</v>
      </c>
    </row>
    <row r="332" customFormat="false" ht="39.75" hidden="false" customHeight="true" outlineLevel="0" collapsed="false">
      <c r="B332" s="130" t="n">
        <v>31902853</v>
      </c>
      <c r="C332" s="131" t="s">
        <v>444</v>
      </c>
      <c r="D332" s="131" t="s">
        <v>445</v>
      </c>
      <c r="E332" s="130" t="n">
        <v>3849000</v>
      </c>
      <c r="F332" s="131" t="s">
        <v>33</v>
      </c>
      <c r="G332" s="130" t="n">
        <v>3000000</v>
      </c>
      <c r="H332" s="131" t="n">
        <v>869</v>
      </c>
      <c r="I332" s="132" t="n">
        <v>0</v>
      </c>
      <c r="J332" s="132" t="n">
        <v>0.03</v>
      </c>
      <c r="K332" s="130" t="n">
        <v>0.290421667965705</v>
      </c>
      <c r="L332" s="132" t="n">
        <v>0.03</v>
      </c>
      <c r="M332" s="131" t="s">
        <v>62</v>
      </c>
      <c r="N332" s="133" t="n">
        <v>0.614814237464276</v>
      </c>
      <c r="O332" s="133" t="n">
        <v>0.290421667965705</v>
      </c>
      <c r="P332" s="132" t="n">
        <v>0.0149</v>
      </c>
      <c r="Q332" s="131" t="s">
        <v>130</v>
      </c>
      <c r="R332" s="130" t="n">
        <v>134000</v>
      </c>
      <c r="S332" s="143" t="n">
        <v>0</v>
      </c>
      <c r="T332" s="134" t="n">
        <v>45394.4667569444</v>
      </c>
    </row>
    <row r="333" customFormat="false" ht="39.75" hidden="false" customHeight="true" outlineLevel="0" collapsed="false">
      <c r="B333" s="130" t="n">
        <v>66974280</v>
      </c>
      <c r="C333" s="131" t="s">
        <v>446</v>
      </c>
      <c r="D333" s="131" t="s">
        <v>135</v>
      </c>
      <c r="E333" s="130" t="n">
        <v>1991000</v>
      </c>
      <c r="F333" s="131" t="s">
        <v>29</v>
      </c>
      <c r="G333" s="130" t="n">
        <v>3500000</v>
      </c>
      <c r="H333" s="131" t="n">
        <v>726</v>
      </c>
      <c r="I333" s="132" t="n">
        <v>0.46</v>
      </c>
      <c r="J333" s="132" t="n">
        <v>0.49</v>
      </c>
      <c r="K333" s="130" t="n">
        <v>3.16835710698142</v>
      </c>
      <c r="L333" s="132" t="n">
        <v>0.49</v>
      </c>
      <c r="M333" s="131" t="s">
        <v>64</v>
      </c>
      <c r="N333" s="133" t="n">
        <v>1.76220994475138</v>
      </c>
      <c r="O333" s="133" t="n">
        <v>3.16835710698142</v>
      </c>
      <c r="P333" s="132" t="n">
        <v>0.0227</v>
      </c>
      <c r="Q333" s="131" t="s">
        <v>130</v>
      </c>
      <c r="R333" s="130" t="n">
        <v>1517000</v>
      </c>
      <c r="S333" s="143" t="n">
        <v>0</v>
      </c>
      <c r="T333" s="134" t="n">
        <v>45394.6023265046</v>
      </c>
    </row>
    <row r="334" customFormat="false" ht="39.75" hidden="false" customHeight="true" outlineLevel="0" collapsed="false">
      <c r="B334" s="130" t="n">
        <v>1144192371</v>
      </c>
      <c r="C334" s="131" t="s">
        <v>447</v>
      </c>
      <c r="D334" s="131" t="s">
        <v>135</v>
      </c>
      <c r="E334" s="130" t="n">
        <v>4469100</v>
      </c>
      <c r="F334" s="131" t="s">
        <v>29</v>
      </c>
      <c r="G334" s="130" t="n">
        <v>2000000</v>
      </c>
      <c r="H334" s="131" t="n">
        <v>732</v>
      </c>
      <c r="I334" s="132" t="n">
        <v>0.12</v>
      </c>
      <c r="J334" s="132" t="n">
        <v>0.13</v>
      </c>
      <c r="K334" s="130" t="n">
        <v>42.3306706048198</v>
      </c>
      <c r="L334" s="132" t="n">
        <v>0.13</v>
      </c>
      <c r="M334" s="131" t="s">
        <v>64</v>
      </c>
      <c r="N334" s="133" t="n">
        <v>1.82822715983084</v>
      </c>
      <c r="O334" s="133" t="n">
        <v>42.3306706048198</v>
      </c>
      <c r="P334" s="132" t="n">
        <v>0.0227</v>
      </c>
      <c r="Q334" s="131" t="s">
        <v>130</v>
      </c>
      <c r="R334" s="130" t="n">
        <v>189180000</v>
      </c>
      <c r="S334" s="143" t="n">
        <v>0</v>
      </c>
      <c r="T334" s="134" t="n">
        <v>45397.6673918982</v>
      </c>
    </row>
    <row r="335" customFormat="false" ht="39.75" hidden="false" customHeight="true" outlineLevel="0" collapsed="false">
      <c r="B335" s="130" t="n">
        <v>31411666</v>
      </c>
      <c r="C335" s="131" t="s">
        <v>448</v>
      </c>
      <c r="D335" s="131" t="s">
        <v>135</v>
      </c>
      <c r="E335" s="130" t="n">
        <v>2893800</v>
      </c>
      <c r="F335" s="131" t="s">
        <v>18</v>
      </c>
      <c r="G335" s="130" t="n">
        <v>1100000</v>
      </c>
      <c r="H335" s="131" t="n">
        <v>665</v>
      </c>
      <c r="I335" s="132" t="n">
        <v>0.36</v>
      </c>
      <c r="J335" s="132" t="n">
        <v>0.38</v>
      </c>
      <c r="K335" s="130" t="n">
        <v>14.1031588223098</v>
      </c>
      <c r="L335" s="132" t="n">
        <v>0.38</v>
      </c>
      <c r="M335" s="131" t="s">
        <v>64</v>
      </c>
      <c r="N335" s="133" t="n">
        <v>1.76129483723823</v>
      </c>
      <c r="O335" s="133" t="n">
        <v>14.1031588223098</v>
      </c>
      <c r="P335" s="132" t="n">
        <v>0.028</v>
      </c>
      <c r="Q335" s="131" t="s">
        <v>130</v>
      </c>
      <c r="R335" s="130" t="n">
        <v>38137000</v>
      </c>
      <c r="S335" s="143" t="n">
        <v>0</v>
      </c>
      <c r="T335" s="134" t="n">
        <v>45398.6148820602</v>
      </c>
    </row>
    <row r="336" customFormat="false" ht="39.75" hidden="false" customHeight="true" outlineLevel="0" collapsed="false">
      <c r="B336" s="130" t="n">
        <v>1113687930</v>
      </c>
      <c r="C336" s="131" t="s">
        <v>449</v>
      </c>
      <c r="D336" s="131" t="s">
        <v>135</v>
      </c>
      <c r="E336" s="130" t="n">
        <v>1991000</v>
      </c>
      <c r="F336" s="131" t="s">
        <v>18</v>
      </c>
      <c r="G336" s="130" t="n">
        <v>500000</v>
      </c>
      <c r="H336" s="131" t="n">
        <v>582</v>
      </c>
      <c r="I336" s="132" t="n">
        <v>0.13</v>
      </c>
      <c r="J336" s="132" t="n">
        <v>0.16</v>
      </c>
      <c r="K336" s="130" t="n">
        <v>2.06896283274736</v>
      </c>
      <c r="L336" s="132" t="n">
        <v>0.16</v>
      </c>
      <c r="M336" s="131" t="s">
        <v>64</v>
      </c>
      <c r="N336" s="133" t="n">
        <v>1.43821798091411</v>
      </c>
      <c r="O336" s="133" t="n">
        <v>2.06896283274736</v>
      </c>
      <c r="P336" s="132" t="n">
        <v>0.028</v>
      </c>
      <c r="Q336" s="131" t="s">
        <v>130</v>
      </c>
      <c r="R336" s="130" t="n">
        <v>1985000</v>
      </c>
      <c r="S336" s="143" t="n">
        <v>0</v>
      </c>
      <c r="T336" s="134" t="n">
        <v>45398.6157828704</v>
      </c>
    </row>
    <row r="337" customFormat="false" ht="39.75" hidden="false" customHeight="true" outlineLevel="0" collapsed="false">
      <c r="B337" s="130" t="n">
        <v>30332791</v>
      </c>
      <c r="C337" s="131" t="s">
        <v>450</v>
      </c>
      <c r="D337" s="131" t="s">
        <v>135</v>
      </c>
      <c r="E337" s="130" t="n">
        <v>5418800</v>
      </c>
      <c r="F337" s="131" t="s">
        <v>18</v>
      </c>
      <c r="G337" s="130" t="n">
        <v>2000000</v>
      </c>
      <c r="H337" s="131" t="n">
        <v>856</v>
      </c>
      <c r="I337" s="132" t="n">
        <v>0.55</v>
      </c>
      <c r="J337" s="132" t="n">
        <v>0.59</v>
      </c>
      <c r="K337" s="130" t="n">
        <v>22.5629556359342</v>
      </c>
      <c r="L337" s="132" t="n">
        <v>0.59</v>
      </c>
      <c r="M337" s="131" t="s">
        <v>61</v>
      </c>
      <c r="N337" s="133" t="n">
        <v>1.62351830663616</v>
      </c>
      <c r="O337" s="133" t="n">
        <v>22.5629556359342</v>
      </c>
      <c r="P337" s="132" t="n">
        <v>0.028</v>
      </c>
      <c r="Q337" s="131" t="s">
        <v>130</v>
      </c>
      <c r="R337" s="130" t="n">
        <v>112826000</v>
      </c>
      <c r="S337" s="143" t="n">
        <v>0</v>
      </c>
      <c r="T337" s="134" t="n">
        <v>45398.6169990741</v>
      </c>
    </row>
    <row r="338" customFormat="false" ht="39.75" hidden="false" customHeight="true" outlineLevel="0" collapsed="false">
      <c r="B338" s="130" t="n">
        <v>1144052596</v>
      </c>
      <c r="C338" s="131" t="s">
        <v>174</v>
      </c>
      <c r="D338" s="131" t="s">
        <v>135</v>
      </c>
      <c r="E338" s="130" t="n">
        <v>1625000</v>
      </c>
      <c r="F338" s="131" t="s">
        <v>18</v>
      </c>
      <c r="G338" s="130" t="n">
        <v>500000</v>
      </c>
      <c r="H338" s="131" t="n">
        <v>608</v>
      </c>
      <c r="I338" s="132" t="n">
        <v>0.21</v>
      </c>
      <c r="J338" s="132" t="n">
        <v>0.25</v>
      </c>
      <c r="K338" s="130" t="n">
        <v>2.44580738461538</v>
      </c>
      <c r="L338" s="132" t="n">
        <v>0.25</v>
      </c>
      <c r="M338" s="131" t="s">
        <v>64</v>
      </c>
      <c r="N338" s="133" t="n">
        <v>1.13891261538462</v>
      </c>
      <c r="O338" s="133" t="n">
        <v>2.44580738461538</v>
      </c>
      <c r="P338" s="132" t="n">
        <v>0.028</v>
      </c>
      <c r="Q338" s="131" t="s">
        <v>130</v>
      </c>
      <c r="R338" s="130" t="n">
        <v>551000</v>
      </c>
      <c r="S338" s="143" t="n">
        <v>0</v>
      </c>
      <c r="T338" s="134" t="n">
        <v>45398.6348741898</v>
      </c>
    </row>
    <row r="339" customFormat="false" ht="39.75" hidden="false" customHeight="true" outlineLevel="0" collapsed="false">
      <c r="B339" s="130" t="n">
        <v>66877948</v>
      </c>
      <c r="C339" s="131" t="s">
        <v>451</v>
      </c>
      <c r="D339" s="131" t="s">
        <v>135</v>
      </c>
      <c r="E339" s="130" t="n">
        <v>1477685</v>
      </c>
      <c r="F339" s="131" t="s">
        <v>18</v>
      </c>
      <c r="G339" s="130" t="n">
        <v>590000</v>
      </c>
      <c r="H339" s="131" t="n">
        <v>525</v>
      </c>
      <c r="I339" s="132" t="n">
        <v>0.36</v>
      </c>
      <c r="J339" s="132" t="n">
        <v>0.41</v>
      </c>
      <c r="K339" s="130" t="n">
        <v>8.024382057069</v>
      </c>
      <c r="L339" s="132" t="n">
        <v>0.41</v>
      </c>
      <c r="M339" s="131" t="s">
        <v>64</v>
      </c>
      <c r="N339" s="133" t="n">
        <v>1.22161847755103</v>
      </c>
      <c r="O339" s="133" t="n">
        <v>8.024382057069</v>
      </c>
      <c r="P339" s="132" t="n">
        <v>0.028</v>
      </c>
      <c r="Q339" s="131" t="s">
        <v>130</v>
      </c>
      <c r="R339" s="130" t="n">
        <v>11585000</v>
      </c>
      <c r="S339" s="143" t="n">
        <v>0</v>
      </c>
      <c r="T339" s="134" t="n">
        <v>45398.6358818287</v>
      </c>
    </row>
    <row r="340" customFormat="false" ht="39.75" hidden="false" customHeight="true" outlineLevel="0" collapsed="false">
      <c r="B340" s="130" t="n">
        <v>38611423</v>
      </c>
      <c r="C340" s="131" t="s">
        <v>452</v>
      </c>
      <c r="D340" s="131" t="s">
        <v>135</v>
      </c>
      <c r="E340" s="130" t="n">
        <v>2893800</v>
      </c>
      <c r="F340" s="131" t="s">
        <v>18</v>
      </c>
      <c r="G340" s="130" t="n">
        <v>500000</v>
      </c>
      <c r="H340" s="131" t="n">
        <v>726</v>
      </c>
      <c r="I340" s="132" t="n">
        <v>0.2</v>
      </c>
      <c r="J340" s="132" t="n">
        <v>0.22</v>
      </c>
      <c r="K340" s="130" t="n">
        <v>14.8032590365609</v>
      </c>
      <c r="L340" s="132" t="n">
        <v>0.22</v>
      </c>
      <c r="M340" s="131" t="s">
        <v>64</v>
      </c>
      <c r="N340" s="133" t="n">
        <v>2.04212004976156</v>
      </c>
      <c r="O340" s="133" t="n">
        <v>14.8032590365609</v>
      </c>
      <c r="P340" s="132" t="n">
        <v>0.028</v>
      </c>
      <c r="Q340" s="131" t="s">
        <v>130</v>
      </c>
      <c r="R340" s="130" t="n">
        <v>39009000</v>
      </c>
      <c r="S340" s="143" t="n">
        <v>0</v>
      </c>
      <c r="T340" s="134" t="n">
        <v>45398.6384804398</v>
      </c>
    </row>
    <row r="341" customFormat="false" ht="39.75" hidden="false" customHeight="true" outlineLevel="0" collapsed="false">
      <c r="B341" s="130" t="n">
        <v>66847766</v>
      </c>
      <c r="C341" s="131" t="s">
        <v>453</v>
      </c>
      <c r="D341" s="131" t="s">
        <v>135</v>
      </c>
      <c r="E341" s="130" t="n">
        <v>2600900</v>
      </c>
      <c r="F341" s="131" t="s">
        <v>17</v>
      </c>
      <c r="G341" s="130" t="n">
        <v>11000000</v>
      </c>
      <c r="H341" s="131" t="n">
        <v>684</v>
      </c>
      <c r="I341" s="132" t="n">
        <v>0.21</v>
      </c>
      <c r="J341" s="132" t="n">
        <v>0.34</v>
      </c>
      <c r="K341" s="130" t="n">
        <v>2.70266446230151</v>
      </c>
      <c r="L341" s="132" t="n">
        <v>0.34</v>
      </c>
      <c r="M341" s="131" t="s">
        <v>62</v>
      </c>
      <c r="N341" s="133" t="n">
        <v>1.04594524972125</v>
      </c>
      <c r="O341" s="133" t="n">
        <v>2.70266446230151</v>
      </c>
      <c r="P341" s="132" t="n">
        <v>0.017</v>
      </c>
      <c r="Q341" s="131" t="s">
        <v>130</v>
      </c>
      <c r="R341" s="130" t="n">
        <v>614000</v>
      </c>
      <c r="S341" s="143" t="s">
        <v>166</v>
      </c>
      <c r="T341" s="134" t="n">
        <v>45399.4214216435</v>
      </c>
    </row>
    <row r="342" customFormat="false" ht="39.75" hidden="false" customHeight="true" outlineLevel="0" collapsed="false">
      <c r="B342" s="130" t="n">
        <v>30736513</v>
      </c>
      <c r="C342" s="131" t="s">
        <v>454</v>
      </c>
      <c r="D342" s="131" t="s">
        <v>135</v>
      </c>
      <c r="E342" s="130" t="n">
        <v>7114600</v>
      </c>
      <c r="F342" s="131" t="s">
        <v>34</v>
      </c>
      <c r="G342" s="130" t="n">
        <v>12700000</v>
      </c>
      <c r="H342" s="131" t="n">
        <v>619</v>
      </c>
      <c r="I342" s="132" t="n">
        <v>0.32</v>
      </c>
      <c r="J342" s="132" t="n">
        <v>0.37</v>
      </c>
      <c r="K342" s="130" t="n">
        <v>1.55881511258539</v>
      </c>
      <c r="L342" s="132" t="n">
        <v>0.37</v>
      </c>
      <c r="M342" s="131" t="s">
        <v>64</v>
      </c>
      <c r="N342" s="133" t="n">
        <v>0.862039749248025</v>
      </c>
      <c r="O342" s="133" t="n">
        <v>1.55881511258539</v>
      </c>
      <c r="P342" s="132" t="n">
        <v>0.0179</v>
      </c>
      <c r="Q342" s="131" t="s">
        <v>130</v>
      </c>
      <c r="R342" s="130" t="n">
        <v>7737000</v>
      </c>
      <c r="S342" s="143" t="n">
        <v>0</v>
      </c>
      <c r="T342" s="134" t="n">
        <v>45399.4261609954</v>
      </c>
    </row>
    <row r="343" customFormat="false" ht="39.75" hidden="false" customHeight="true" outlineLevel="0" collapsed="false">
      <c r="B343" s="130" t="n">
        <v>1116234251</v>
      </c>
      <c r="C343" s="131" t="s">
        <v>455</v>
      </c>
      <c r="D343" s="131" t="s">
        <v>135</v>
      </c>
      <c r="E343" s="130" t="n">
        <v>2893800</v>
      </c>
      <c r="F343" s="131" t="s">
        <v>14</v>
      </c>
      <c r="G343" s="130" t="n">
        <v>9400000</v>
      </c>
      <c r="H343" s="131" t="n">
        <v>871</v>
      </c>
      <c r="I343" s="132" t="n">
        <v>0.47</v>
      </c>
      <c r="J343" s="132" t="n">
        <v>0.57</v>
      </c>
      <c r="K343" s="130" t="n">
        <v>3.47668187158753</v>
      </c>
      <c r="L343" s="132" t="n">
        <v>0.57</v>
      </c>
      <c r="M343" s="131" t="s">
        <v>61</v>
      </c>
      <c r="N343" s="133" t="n">
        <v>1.1595777178796</v>
      </c>
      <c r="O343" s="133" t="n">
        <v>3.47668187158753</v>
      </c>
      <c r="P343" s="132" t="n">
        <v>0.0179</v>
      </c>
      <c r="Q343" s="131" t="s">
        <v>130</v>
      </c>
      <c r="R343" s="130" t="n">
        <v>4608000</v>
      </c>
      <c r="S343" s="143" t="n">
        <v>0</v>
      </c>
      <c r="T343" s="134" t="n">
        <v>45399.4282417824</v>
      </c>
    </row>
    <row r="344" customFormat="false" ht="39.75" hidden="false" customHeight="true" outlineLevel="0" collapsed="false">
      <c r="B344" s="130" t="n">
        <v>1143866189</v>
      </c>
      <c r="C344" s="131" t="s">
        <v>456</v>
      </c>
      <c r="D344" s="131" t="s">
        <v>135</v>
      </c>
      <c r="E344" s="130" t="n">
        <v>2893800</v>
      </c>
      <c r="F344" s="131" t="s">
        <v>14</v>
      </c>
      <c r="G344" s="130" t="n">
        <v>5200000</v>
      </c>
      <c r="H344" s="131" t="n">
        <v>775</v>
      </c>
      <c r="I344" s="132" t="n">
        <v>0.42</v>
      </c>
      <c r="J344" s="132" t="n">
        <v>0.53</v>
      </c>
      <c r="K344" s="130" t="n">
        <v>9.78540327596931</v>
      </c>
      <c r="L344" s="132" t="n">
        <v>0.53</v>
      </c>
      <c r="M344" s="131" t="s">
        <v>64</v>
      </c>
      <c r="N344" s="133" t="n">
        <v>1.1972745179349</v>
      </c>
      <c r="O344" s="133" t="n">
        <v>9.78540327596931</v>
      </c>
      <c r="P344" s="132" t="n">
        <v>0.0227</v>
      </c>
      <c r="Q344" s="131" t="s">
        <v>130</v>
      </c>
      <c r="R344" s="130" t="n">
        <v>28317000</v>
      </c>
      <c r="S344" s="143" t="n">
        <v>0</v>
      </c>
      <c r="T344" s="134" t="n">
        <v>45399.4308799769</v>
      </c>
    </row>
    <row r="345" customFormat="false" ht="39.75" hidden="false" customHeight="true" outlineLevel="0" collapsed="false">
      <c r="B345" s="130" t="n">
        <v>1061755509</v>
      </c>
      <c r="C345" s="131" t="s">
        <v>457</v>
      </c>
      <c r="D345" s="131" t="s">
        <v>135</v>
      </c>
      <c r="E345" s="130" t="n">
        <v>4022200</v>
      </c>
      <c r="F345" s="131" t="s">
        <v>34</v>
      </c>
      <c r="G345" s="130" t="n">
        <v>6000000</v>
      </c>
      <c r="H345" s="131" t="n">
        <v>657</v>
      </c>
      <c r="I345" s="132" t="n">
        <v>0.06</v>
      </c>
      <c r="J345" s="132" t="n">
        <v>0.12</v>
      </c>
      <c r="K345" s="130" t="n">
        <v>1.81343543334494</v>
      </c>
      <c r="L345" s="132" t="n">
        <v>0.12</v>
      </c>
      <c r="M345" s="131" t="s">
        <v>64</v>
      </c>
      <c r="N345" s="133" t="n">
        <v>0.740086519815027</v>
      </c>
      <c r="O345" s="133" t="n">
        <v>1.81343543334494</v>
      </c>
      <c r="P345" s="132" t="n">
        <v>0.0227</v>
      </c>
      <c r="Q345" s="131" t="s">
        <v>130</v>
      </c>
      <c r="R345" s="130" t="n">
        <v>7294000</v>
      </c>
      <c r="S345" s="143" t="n">
        <v>0</v>
      </c>
      <c r="T345" s="134" t="n">
        <v>45399.4779108796</v>
      </c>
    </row>
    <row r="346" customFormat="false" ht="39.75" hidden="false" customHeight="true" outlineLevel="0" collapsed="false">
      <c r="B346" s="130" t="n">
        <v>1144028170</v>
      </c>
      <c r="C346" s="131" t="s">
        <v>458</v>
      </c>
      <c r="D346" s="131" t="s">
        <v>135</v>
      </c>
      <c r="E346" s="130" t="n">
        <v>2340800</v>
      </c>
      <c r="F346" s="131" t="s">
        <v>34</v>
      </c>
      <c r="G346" s="130" t="n">
        <v>4300000</v>
      </c>
      <c r="H346" s="131" t="n">
        <v>555</v>
      </c>
      <c r="I346" s="132" t="n">
        <v>0.05</v>
      </c>
      <c r="J346" s="132" t="n">
        <v>0.15</v>
      </c>
      <c r="K346" s="130" t="n">
        <v>0</v>
      </c>
      <c r="L346" s="132" t="n">
        <v>0.15</v>
      </c>
      <c r="M346" s="131" t="s">
        <v>64</v>
      </c>
      <c r="N346" s="133" t="n">
        <v>0.622606373889269</v>
      </c>
      <c r="O346" s="133" t="n">
        <v>0</v>
      </c>
      <c r="P346" s="132" t="n">
        <v>0.0179</v>
      </c>
      <c r="Q346" s="131" t="s">
        <v>130</v>
      </c>
      <c r="R346" s="130" t="n">
        <v>0</v>
      </c>
      <c r="S346" s="143" t="n">
        <v>0</v>
      </c>
      <c r="T346" s="134" t="n">
        <v>45399.4810211806</v>
      </c>
    </row>
    <row r="347" customFormat="false" ht="39.75" hidden="false" customHeight="true" outlineLevel="0" collapsed="false">
      <c r="B347" s="130" t="n">
        <v>51997260</v>
      </c>
      <c r="C347" s="131" t="s">
        <v>459</v>
      </c>
      <c r="D347" s="131" t="s">
        <v>135</v>
      </c>
      <c r="E347" s="130" t="n">
        <v>2893800</v>
      </c>
      <c r="F347" s="131" t="s">
        <v>33</v>
      </c>
      <c r="G347" s="130" t="n">
        <v>7200000</v>
      </c>
      <c r="H347" s="131" t="n">
        <v>692</v>
      </c>
      <c r="I347" s="132" t="n">
        <v>0.52</v>
      </c>
      <c r="J347" s="132" t="n">
        <v>0.59</v>
      </c>
      <c r="K347" s="130" t="n">
        <v>3.30643029926049</v>
      </c>
      <c r="L347" s="132" t="n">
        <v>0.59</v>
      </c>
      <c r="M347" s="131" t="s">
        <v>62</v>
      </c>
      <c r="N347" s="133" t="n">
        <v>1.36046686018384</v>
      </c>
      <c r="O347" s="133" t="n">
        <v>3.30643029926049</v>
      </c>
      <c r="P347" s="132" t="n">
        <v>0.0149</v>
      </c>
      <c r="Q347" s="131" t="s">
        <v>130</v>
      </c>
      <c r="R347" s="130" t="n">
        <v>947000</v>
      </c>
      <c r="S347" s="143" t="n">
        <v>0</v>
      </c>
      <c r="T347" s="134" t="n">
        <v>45399.488653125</v>
      </c>
    </row>
    <row r="348" customFormat="false" ht="39.75" hidden="false" customHeight="true" outlineLevel="0" collapsed="false">
      <c r="B348" s="130" t="n">
        <v>1143852093</v>
      </c>
      <c r="C348" s="131" t="s">
        <v>460</v>
      </c>
      <c r="D348" s="131" t="s">
        <v>135</v>
      </c>
      <c r="E348" s="130" t="n">
        <v>2600900</v>
      </c>
      <c r="F348" s="131" t="s">
        <v>18</v>
      </c>
      <c r="G348" s="130" t="n">
        <v>1040000</v>
      </c>
      <c r="H348" s="131" t="n">
        <v>793</v>
      </c>
      <c r="I348" s="132" t="n">
        <v>0.3</v>
      </c>
      <c r="J348" s="132" t="n">
        <v>0.32</v>
      </c>
      <c r="K348" s="130" t="n">
        <v>11.8904994425007</v>
      </c>
      <c r="L348" s="132" t="n">
        <v>0.32</v>
      </c>
      <c r="M348" s="131" t="s">
        <v>64</v>
      </c>
      <c r="N348" s="133" t="n">
        <v>2.4056292052751</v>
      </c>
      <c r="O348" s="133" t="n">
        <v>11.8904994425007</v>
      </c>
      <c r="P348" s="132" t="n">
        <v>0.028</v>
      </c>
      <c r="Q348" s="131" t="s">
        <v>130</v>
      </c>
      <c r="R348" s="130" t="n">
        <v>30926000</v>
      </c>
      <c r="S348" s="143" t="n">
        <v>0</v>
      </c>
      <c r="T348" s="134" t="n">
        <v>45401.4534134259</v>
      </c>
    </row>
    <row r="349" customFormat="false" ht="39.75" hidden="false" customHeight="true" outlineLevel="0" collapsed="false">
      <c r="B349" s="130" t="n">
        <v>1143852093</v>
      </c>
      <c r="C349" s="131" t="s">
        <v>460</v>
      </c>
      <c r="D349" s="131" t="s">
        <v>135</v>
      </c>
      <c r="E349" s="130" t="n">
        <v>2600900</v>
      </c>
      <c r="F349" s="131" t="s">
        <v>18</v>
      </c>
      <c r="G349" s="130" t="n">
        <v>1040000</v>
      </c>
      <c r="H349" s="131" t="n">
        <v>793</v>
      </c>
      <c r="I349" s="132" t="n">
        <v>0.3</v>
      </c>
      <c r="J349" s="132" t="n">
        <v>0.32</v>
      </c>
      <c r="K349" s="130" t="n">
        <v>11.8904994425007</v>
      </c>
      <c r="L349" s="132" t="n">
        <v>0.32</v>
      </c>
      <c r="M349" s="131" t="s">
        <v>64</v>
      </c>
      <c r="N349" s="133" t="n">
        <v>2.4056292052751</v>
      </c>
      <c r="O349" s="133" t="n">
        <v>11.8904994425007</v>
      </c>
      <c r="P349" s="132" t="n">
        <v>0.028</v>
      </c>
      <c r="Q349" s="131" t="s">
        <v>130</v>
      </c>
      <c r="R349" s="130" t="n">
        <v>30926000</v>
      </c>
      <c r="S349" s="143" t="n">
        <v>0</v>
      </c>
      <c r="T349" s="134" t="n">
        <v>45401.4536815972</v>
      </c>
    </row>
    <row r="350" customFormat="false" ht="39.75" hidden="false" customHeight="true" outlineLevel="0" collapsed="false">
      <c r="B350" s="130" t="n">
        <v>31309273</v>
      </c>
      <c r="C350" s="131" t="s">
        <v>461</v>
      </c>
      <c r="D350" s="131" t="s">
        <v>135</v>
      </c>
      <c r="E350" s="130" t="n">
        <v>5291000</v>
      </c>
      <c r="F350" s="131" t="s">
        <v>18</v>
      </c>
      <c r="G350" s="130" t="n">
        <v>1400000</v>
      </c>
      <c r="H350" s="131" t="n">
        <v>818</v>
      </c>
      <c r="I350" s="132" t="n">
        <v>0.27</v>
      </c>
      <c r="J350" s="132" t="n">
        <v>0.28</v>
      </c>
      <c r="K350" s="130" t="n">
        <v>25.4304553014553</v>
      </c>
      <c r="L350" s="132" t="n">
        <v>0.28</v>
      </c>
      <c r="M350" s="131" t="s">
        <v>62</v>
      </c>
      <c r="N350" s="133" t="n">
        <v>1.22728973728974</v>
      </c>
      <c r="O350" s="133" t="n">
        <v>25.4304553014553</v>
      </c>
      <c r="P350" s="132" t="n">
        <v>0.028</v>
      </c>
      <c r="Q350" s="131" t="s">
        <v>130</v>
      </c>
      <c r="R350" s="130" t="n">
        <v>126811000</v>
      </c>
      <c r="S350" s="143" t="n">
        <v>0</v>
      </c>
      <c r="T350" s="134" t="n">
        <v>45401.4576407407</v>
      </c>
    </row>
    <row r="351" customFormat="false" ht="39.75" hidden="false" customHeight="true" outlineLevel="0" collapsed="false">
      <c r="B351" s="130" t="n">
        <v>1130680403</v>
      </c>
      <c r="C351" s="131" t="s">
        <v>462</v>
      </c>
      <c r="D351" s="131" t="s">
        <v>135</v>
      </c>
      <c r="E351" s="130" t="n">
        <v>2893800</v>
      </c>
      <c r="F351" s="131" t="s">
        <v>18</v>
      </c>
      <c r="G351" s="130" t="n">
        <v>500000</v>
      </c>
      <c r="H351" s="131" t="n">
        <v>719</v>
      </c>
      <c r="I351" s="132" t="n">
        <v>0.16</v>
      </c>
      <c r="J351" s="132" t="n">
        <v>0.17</v>
      </c>
      <c r="K351" s="130" t="n">
        <v>0.906530859078029</v>
      </c>
      <c r="L351" s="132" t="n">
        <v>0.17</v>
      </c>
      <c r="M351" s="131" t="s">
        <v>64</v>
      </c>
      <c r="N351" s="133" t="n">
        <v>0.730399820305481</v>
      </c>
      <c r="O351" s="133" t="n">
        <v>0.906530859078029</v>
      </c>
      <c r="P351" s="132" t="n">
        <v>0.028</v>
      </c>
      <c r="Q351" s="131" t="s">
        <v>130</v>
      </c>
      <c r="R351" s="130" t="n">
        <v>0</v>
      </c>
      <c r="S351" s="143" t="n">
        <v>0</v>
      </c>
      <c r="T351" s="134" t="n">
        <v>45401.4604988426</v>
      </c>
    </row>
    <row r="352" customFormat="false" ht="39.75" hidden="false" customHeight="true" outlineLevel="0" collapsed="false">
      <c r="B352" s="130" t="n">
        <v>31532714</v>
      </c>
      <c r="C352" s="131" t="s">
        <v>463</v>
      </c>
      <c r="D352" s="131" t="s">
        <v>135</v>
      </c>
      <c r="E352" s="130" t="n">
        <v>2893800</v>
      </c>
      <c r="F352" s="131" t="s">
        <v>18</v>
      </c>
      <c r="G352" s="130" t="n">
        <v>570000</v>
      </c>
      <c r="H352" s="131" t="n">
        <v>775</v>
      </c>
      <c r="I352" s="132" t="n">
        <v>0.36</v>
      </c>
      <c r="J352" s="132" t="n">
        <v>0.36</v>
      </c>
      <c r="K352" s="130" t="n">
        <v>15.8008082797705</v>
      </c>
      <c r="L352" s="132" t="n">
        <v>0.36</v>
      </c>
      <c r="M352" s="131" t="s">
        <v>62</v>
      </c>
      <c r="N352" s="133" t="n">
        <v>1.29094063169535</v>
      </c>
      <c r="O352" s="133" t="n">
        <v>15.8008082797705</v>
      </c>
      <c r="P352" s="132" t="n">
        <v>0.028</v>
      </c>
      <c r="Q352" s="131" t="s">
        <v>130</v>
      </c>
      <c r="R352" s="130" t="n">
        <v>42980000</v>
      </c>
      <c r="S352" s="143" t="n">
        <v>0</v>
      </c>
      <c r="T352" s="134" t="n">
        <v>45401.4660689815</v>
      </c>
    </row>
    <row r="353" customFormat="false" ht="39.75" hidden="false" customHeight="true" outlineLevel="0" collapsed="false">
      <c r="B353" s="130" t="n">
        <v>1144189435</v>
      </c>
      <c r="C353" s="131" t="s">
        <v>405</v>
      </c>
      <c r="D353" s="131" t="s">
        <v>135</v>
      </c>
      <c r="E353" s="130" t="n">
        <v>2893800</v>
      </c>
      <c r="F353" s="131" t="s">
        <v>18</v>
      </c>
      <c r="G353" s="130" t="n">
        <v>600000</v>
      </c>
      <c r="H353" s="131" t="n">
        <v>865</v>
      </c>
      <c r="I353" s="132" t="n">
        <v>0.22</v>
      </c>
      <c r="J353" s="132" t="n">
        <v>0.23</v>
      </c>
      <c r="K353" s="130" t="n">
        <v>7.17800124403898</v>
      </c>
      <c r="L353" s="132" t="n">
        <v>0.23</v>
      </c>
      <c r="M353" s="131" t="s">
        <v>62</v>
      </c>
      <c r="N353" s="133" t="n">
        <v>1.43297981892322</v>
      </c>
      <c r="O353" s="133" t="n">
        <v>7.17800124403898</v>
      </c>
      <c r="P353" s="132" t="n">
        <v>0.028</v>
      </c>
      <c r="Q353" s="131" t="s">
        <v>130</v>
      </c>
      <c r="R353" s="130" t="n">
        <v>19905000</v>
      </c>
      <c r="S353" s="143" t="n">
        <v>0</v>
      </c>
      <c r="T353" s="134" t="n">
        <v>45401.4679524306</v>
      </c>
    </row>
    <row r="354" customFormat="false" ht="39.75" hidden="false" customHeight="true" outlineLevel="0" collapsed="false">
      <c r="B354" s="130" t="n">
        <v>1113626506</v>
      </c>
      <c r="C354" s="131" t="s">
        <v>303</v>
      </c>
      <c r="D354" s="131" t="s">
        <v>135</v>
      </c>
      <c r="E354" s="130" t="n">
        <v>5291000</v>
      </c>
      <c r="F354" s="131" t="s">
        <v>18</v>
      </c>
      <c r="G354" s="130" t="n">
        <v>1500000</v>
      </c>
      <c r="H354" s="131" t="n">
        <v>663</v>
      </c>
      <c r="I354" s="132" t="n">
        <v>0.31</v>
      </c>
      <c r="J354" s="132" t="n">
        <v>0.32</v>
      </c>
      <c r="K354" s="130" t="n">
        <v>32.2356545076545</v>
      </c>
      <c r="L354" s="132" t="n">
        <v>0.32</v>
      </c>
      <c r="M354" s="131" t="s">
        <v>62</v>
      </c>
      <c r="N354" s="133" t="n">
        <v>1.32457871857872</v>
      </c>
      <c r="O354" s="133" t="n">
        <v>32.2356545076545</v>
      </c>
      <c r="P354" s="132" t="n">
        <v>0.028</v>
      </c>
      <c r="Q354" s="131" t="s">
        <v>130</v>
      </c>
      <c r="R354" s="130" t="n">
        <v>169169000</v>
      </c>
      <c r="S354" s="143" t="n">
        <v>0</v>
      </c>
      <c r="T354" s="134" t="n">
        <v>45401.4749241898</v>
      </c>
    </row>
    <row r="355" customFormat="false" ht="39.75" hidden="false" customHeight="true" outlineLevel="0" collapsed="false">
      <c r="B355" s="130" t="n">
        <v>16918596</v>
      </c>
      <c r="C355" s="131" t="s">
        <v>464</v>
      </c>
      <c r="D355" s="131" t="s">
        <v>135</v>
      </c>
      <c r="E355" s="130" t="n">
        <v>2893800</v>
      </c>
      <c r="F355" s="131" t="s">
        <v>18</v>
      </c>
      <c r="G355" s="130" t="n">
        <v>2000000</v>
      </c>
      <c r="H355" s="131" t="n">
        <v>846</v>
      </c>
      <c r="I355" s="132" t="n">
        <v>0.24</v>
      </c>
      <c r="J355" s="132" t="n">
        <v>0.28</v>
      </c>
      <c r="K355" s="130" t="n">
        <v>16.2070633768747</v>
      </c>
      <c r="L355" s="132" t="n">
        <v>0.28</v>
      </c>
      <c r="M355" s="131" t="s">
        <v>62</v>
      </c>
      <c r="N355" s="133" t="n">
        <v>1.77364296081277</v>
      </c>
      <c r="O355" s="133" t="n">
        <v>16.2070633768747</v>
      </c>
      <c r="P355" s="132" t="n">
        <v>0.028</v>
      </c>
      <c r="Q355" s="131" t="s">
        <v>130</v>
      </c>
      <c r="R355" s="130" t="n">
        <v>46900000</v>
      </c>
      <c r="S355" s="143" t="n">
        <v>0</v>
      </c>
      <c r="T355" s="134" t="n">
        <v>45401.4914858796</v>
      </c>
    </row>
    <row r="356" customFormat="false" ht="39.75" hidden="false" customHeight="true" outlineLevel="0" collapsed="false">
      <c r="B356" s="130" t="n">
        <v>67002023</v>
      </c>
      <c r="C356" s="131" t="s">
        <v>465</v>
      </c>
      <c r="D356" s="131" t="s">
        <v>135</v>
      </c>
      <c r="E356" s="130" t="n">
        <v>2893800</v>
      </c>
      <c r="F356" s="131" t="s">
        <v>33</v>
      </c>
      <c r="G356" s="130" t="n">
        <v>3000000</v>
      </c>
      <c r="H356" s="131" t="n">
        <v>819</v>
      </c>
      <c r="I356" s="132" t="n">
        <v>0.31</v>
      </c>
      <c r="J356" s="132" t="n">
        <v>0.35</v>
      </c>
      <c r="K356" s="130" t="n">
        <v>2.5262810145829</v>
      </c>
      <c r="L356" s="132" t="n">
        <v>0.35</v>
      </c>
      <c r="M356" s="131" t="s">
        <v>62</v>
      </c>
      <c r="N356" s="133" t="n">
        <v>1.06728799502384</v>
      </c>
      <c r="O356" s="133" t="n">
        <v>2.5262810145829</v>
      </c>
      <c r="P356" s="132" t="n">
        <v>0.0149</v>
      </c>
      <c r="Q356" s="131" t="s">
        <v>130</v>
      </c>
      <c r="R356" s="130" t="n">
        <v>7159000</v>
      </c>
      <c r="S356" s="143" t="n">
        <v>0</v>
      </c>
      <c r="T356" s="134" t="n">
        <v>45401.5005234954</v>
      </c>
    </row>
    <row r="357" customFormat="false" ht="39.75" hidden="false" customHeight="true" outlineLevel="0" collapsed="false">
      <c r="B357" s="130" t="n">
        <v>1192766509</v>
      </c>
      <c r="C357" s="131" t="s">
        <v>466</v>
      </c>
      <c r="D357" s="131" t="s">
        <v>135</v>
      </c>
      <c r="E357" s="130" t="n">
        <v>2340800</v>
      </c>
      <c r="F357" s="131" t="s">
        <v>34</v>
      </c>
      <c r="G357" s="130" t="n">
        <v>1500000</v>
      </c>
      <c r="H357" s="131" t="n">
        <v>536</v>
      </c>
      <c r="I357" s="132" t="n">
        <v>0.12</v>
      </c>
      <c r="J357" s="132" t="n">
        <v>0.19</v>
      </c>
      <c r="K357" s="130" t="n">
        <v>1.6270967190704</v>
      </c>
      <c r="L357" s="132" t="n">
        <v>0.19</v>
      </c>
      <c r="M357" s="131" t="s">
        <v>64</v>
      </c>
      <c r="N357" s="133" t="n">
        <v>0.742728981544771</v>
      </c>
      <c r="O357" s="133" t="n">
        <v>1.6270967190704</v>
      </c>
      <c r="P357" s="132" t="n">
        <v>0.0179</v>
      </c>
      <c r="Q357" s="131" t="s">
        <v>130</v>
      </c>
      <c r="R357" s="130" t="n">
        <v>2871000</v>
      </c>
      <c r="S357" s="143" t="n">
        <v>0</v>
      </c>
      <c r="T357" s="134" t="n">
        <v>45404.6629869213</v>
      </c>
    </row>
    <row r="358" customFormat="false" ht="39.75" hidden="false" customHeight="true" outlineLevel="0" collapsed="false">
      <c r="B358" s="130" t="n">
        <v>1144151327</v>
      </c>
      <c r="C358" s="131" t="s">
        <v>203</v>
      </c>
      <c r="D358" s="131" t="s">
        <v>135</v>
      </c>
      <c r="E358" s="130" t="n">
        <v>2893800</v>
      </c>
      <c r="F358" s="131" t="s">
        <v>29</v>
      </c>
      <c r="G358" s="130" t="n">
        <v>400000</v>
      </c>
      <c r="H358" s="131" t="n">
        <v>576</v>
      </c>
      <c r="I358" s="132" t="n">
        <v>0.41</v>
      </c>
      <c r="J358" s="132" t="n">
        <v>0.42</v>
      </c>
      <c r="K358" s="130" t="n">
        <v>11.798584560094</v>
      </c>
      <c r="L358" s="132" t="n">
        <v>0.42</v>
      </c>
      <c r="M358" s="131" t="s">
        <v>64</v>
      </c>
      <c r="N358" s="133" t="n">
        <v>1.19621984933306</v>
      </c>
      <c r="O358" s="133" t="n">
        <v>11.798584560094</v>
      </c>
      <c r="P358" s="132" t="n">
        <v>0.0227</v>
      </c>
      <c r="Q358" s="131" t="s">
        <v>130</v>
      </c>
      <c r="R358" s="130" t="n">
        <v>30143000</v>
      </c>
      <c r="S358" s="143" t="n">
        <v>0</v>
      </c>
      <c r="T358" s="134" t="n">
        <v>45404.6650686343</v>
      </c>
    </row>
    <row r="359" customFormat="false" ht="39.75" hidden="false" customHeight="true" outlineLevel="0" collapsed="false">
      <c r="B359" s="130" t="n">
        <v>38210639</v>
      </c>
      <c r="C359" s="131" t="s">
        <v>467</v>
      </c>
      <c r="D359" s="131" t="s">
        <v>135</v>
      </c>
      <c r="E359" s="130" t="n">
        <v>1670000</v>
      </c>
      <c r="F359" s="131" t="s">
        <v>29</v>
      </c>
      <c r="G359" s="130" t="n">
        <v>2600000</v>
      </c>
      <c r="H359" s="131" t="n">
        <v>598</v>
      </c>
      <c r="I359" s="132" t="n">
        <v>0.43</v>
      </c>
      <c r="J359" s="132" t="n">
        <v>0.5</v>
      </c>
      <c r="K359" s="130" t="n">
        <v>49.0611862275449</v>
      </c>
      <c r="L359" s="132" t="n">
        <v>0.5</v>
      </c>
      <c r="M359" s="131" t="s">
        <v>64</v>
      </c>
      <c r="N359" s="133" t="n">
        <v>2.24296107784431</v>
      </c>
      <c r="O359" s="133" t="n">
        <v>49.0611862275449</v>
      </c>
      <c r="P359" s="132" t="n">
        <v>0.0227</v>
      </c>
      <c r="Q359" s="131" t="s">
        <v>130</v>
      </c>
      <c r="R359" s="130" t="n">
        <v>80132000</v>
      </c>
      <c r="S359" s="143" t="n">
        <v>0</v>
      </c>
      <c r="T359" s="134" t="n">
        <v>45404.6670740741</v>
      </c>
    </row>
    <row r="360" customFormat="false" ht="39.75" hidden="false" customHeight="true" outlineLevel="0" collapsed="false">
      <c r="B360" s="130" t="n">
        <v>94074218</v>
      </c>
      <c r="C360" s="131" t="s">
        <v>186</v>
      </c>
      <c r="D360" s="131" t="s">
        <v>135</v>
      </c>
      <c r="E360" s="130" t="n">
        <v>2089800</v>
      </c>
      <c r="F360" s="131" t="s">
        <v>17</v>
      </c>
      <c r="G360" s="130" t="n">
        <v>10000000</v>
      </c>
      <c r="H360" s="131" t="n">
        <v>726</v>
      </c>
      <c r="I360" s="132" t="n">
        <v>0.46</v>
      </c>
      <c r="J360" s="132" t="n">
        <v>0.6</v>
      </c>
      <c r="K360" s="130" t="n">
        <v>12.5883749641114</v>
      </c>
      <c r="L360" s="132" t="n">
        <v>0.6</v>
      </c>
      <c r="M360" s="131" t="s">
        <v>64</v>
      </c>
      <c r="N360" s="133" t="n">
        <v>1.65305914441573</v>
      </c>
      <c r="O360" s="133" t="n">
        <v>12.5883749641114</v>
      </c>
      <c r="P360" s="132" t="n">
        <v>0.017</v>
      </c>
      <c r="Q360" s="131" t="s">
        <v>130</v>
      </c>
      <c r="R360" s="130" t="n">
        <v>22402000</v>
      </c>
      <c r="S360" s="143" t="n">
        <v>0</v>
      </c>
      <c r="T360" s="134" t="n">
        <v>45406.5153427083</v>
      </c>
    </row>
    <row r="361" customFormat="false" ht="39.75" hidden="false" customHeight="true" outlineLevel="0" collapsed="false">
      <c r="B361" s="130" t="n">
        <v>67026638</v>
      </c>
      <c r="C361" s="131" t="s">
        <v>468</v>
      </c>
      <c r="D361" s="131" t="s">
        <v>135</v>
      </c>
      <c r="E361" s="130" t="n">
        <v>5418800</v>
      </c>
      <c r="F361" s="131" t="s">
        <v>18</v>
      </c>
      <c r="G361" s="130" t="n">
        <v>1000000</v>
      </c>
      <c r="H361" s="131" t="n">
        <v>811</v>
      </c>
      <c r="I361" s="132" t="n">
        <v>0.32</v>
      </c>
      <c r="J361" s="132" t="n">
        <v>0.34</v>
      </c>
      <c r="K361" s="130" t="n">
        <v>26.1279705838931</v>
      </c>
      <c r="L361" s="132" t="n">
        <v>0.34</v>
      </c>
      <c r="M361" s="131" t="s">
        <v>62</v>
      </c>
      <c r="N361" s="133" t="n">
        <v>1.1993559459659</v>
      </c>
      <c r="O361" s="133" t="n">
        <v>26.1279705838931</v>
      </c>
      <c r="P361" s="132" t="n">
        <v>0.017</v>
      </c>
      <c r="Q361" s="131" t="s">
        <v>130</v>
      </c>
      <c r="R361" s="130" t="n">
        <v>131964000</v>
      </c>
      <c r="S361" s="143" t="s">
        <v>166</v>
      </c>
      <c r="T361" s="134" t="n">
        <v>45408.380008912</v>
      </c>
    </row>
    <row r="362" customFormat="false" ht="39.75" hidden="false" customHeight="true" outlineLevel="0" collapsed="false">
      <c r="B362" s="130" t="n">
        <v>1143945724</v>
      </c>
      <c r="C362" s="131" t="s">
        <v>469</v>
      </c>
      <c r="D362" s="131" t="s">
        <v>135</v>
      </c>
      <c r="E362" s="130" t="n">
        <v>2600900</v>
      </c>
      <c r="F362" s="131" t="s">
        <v>18</v>
      </c>
      <c r="G362" s="130" t="n">
        <v>500000</v>
      </c>
      <c r="H362" s="131" t="n">
        <v>573</v>
      </c>
      <c r="I362" s="132" t="n">
        <v>0.4</v>
      </c>
      <c r="J362" s="132" t="n">
        <v>0.42</v>
      </c>
      <c r="K362" s="130" t="n">
        <v>14.9395809142989</v>
      </c>
      <c r="L362" s="132" t="n">
        <v>0.42</v>
      </c>
      <c r="M362" s="131" t="s">
        <v>64</v>
      </c>
      <c r="N362" s="133" t="n">
        <v>1.47711984313122</v>
      </c>
      <c r="O362" s="133" t="n">
        <v>14.9395809142989</v>
      </c>
      <c r="P362" s="132" t="n">
        <v>0.017</v>
      </c>
      <c r="Q362" s="131" t="s">
        <v>130</v>
      </c>
      <c r="R362" s="130" t="n">
        <v>32202000</v>
      </c>
      <c r="S362" s="143" t="s">
        <v>166</v>
      </c>
      <c r="T362" s="134" t="n">
        <v>45408.3821853009</v>
      </c>
    </row>
    <row r="363" customFormat="false" ht="39.75" hidden="false" customHeight="true" outlineLevel="0" collapsed="false">
      <c r="B363" s="130" t="n">
        <v>1111752015</v>
      </c>
      <c r="C363" s="131" t="s">
        <v>470</v>
      </c>
      <c r="D363" s="131" t="s">
        <v>135</v>
      </c>
      <c r="E363" s="130" t="n">
        <v>5418800</v>
      </c>
      <c r="F363" s="131" t="s">
        <v>18</v>
      </c>
      <c r="G363" s="130" t="n">
        <v>2000000</v>
      </c>
      <c r="H363" s="131" t="n">
        <v>606</v>
      </c>
      <c r="I363" s="132" t="n">
        <v>0.33</v>
      </c>
      <c r="J363" s="132" t="n">
        <v>0.37</v>
      </c>
      <c r="K363" s="130" t="n">
        <v>8.32900494574445</v>
      </c>
      <c r="L363" s="132" t="n">
        <v>0.37</v>
      </c>
      <c r="M363" s="131" t="s">
        <v>64</v>
      </c>
      <c r="N363" s="133" t="n">
        <v>0.970293976526168</v>
      </c>
      <c r="O363" s="133" t="n">
        <v>8.32900494574445</v>
      </c>
      <c r="P363" s="132" t="n">
        <v>0.017</v>
      </c>
      <c r="Q363" s="131" t="s">
        <v>130</v>
      </c>
      <c r="R363" s="130" t="n">
        <v>39365000</v>
      </c>
      <c r="S363" s="143" t="s">
        <v>166</v>
      </c>
      <c r="T363" s="134" t="n">
        <v>45408.3835710648</v>
      </c>
    </row>
    <row r="364" customFormat="false" ht="39.75" hidden="false" customHeight="true" outlineLevel="0" collapsed="false">
      <c r="B364" s="130" t="n">
        <v>94433993</v>
      </c>
      <c r="C364" s="131" t="s">
        <v>471</v>
      </c>
      <c r="D364" s="131" t="s">
        <v>135</v>
      </c>
      <c r="E364" s="130" t="n">
        <v>3945300</v>
      </c>
      <c r="F364" s="131" t="s">
        <v>18</v>
      </c>
      <c r="G364" s="130" t="n">
        <v>900000</v>
      </c>
      <c r="H364" s="131" t="n">
        <v>864</v>
      </c>
      <c r="I364" s="132" t="n">
        <v>0.23</v>
      </c>
      <c r="J364" s="132" t="n">
        <v>0.25</v>
      </c>
      <c r="K364" s="130" t="n">
        <v>3.12549109066484</v>
      </c>
      <c r="L364" s="132" t="n">
        <v>0.25</v>
      </c>
      <c r="M364" s="131" t="s">
        <v>62</v>
      </c>
      <c r="N364" s="133" t="n">
        <v>1.10535295161331</v>
      </c>
      <c r="O364" s="133" t="n">
        <v>3.12549109066484</v>
      </c>
      <c r="P364" s="132" t="n">
        <v>0.017</v>
      </c>
      <c r="Q364" s="131" t="s">
        <v>130</v>
      </c>
      <c r="R364" s="130" t="n">
        <v>12331000</v>
      </c>
      <c r="S364" s="143" t="s">
        <v>472</v>
      </c>
      <c r="T364" s="134" t="n">
        <v>45408.3864416667</v>
      </c>
    </row>
    <row r="365" customFormat="false" ht="39.75" hidden="false" customHeight="true" outlineLevel="0" collapsed="false">
      <c r="B365" s="130" t="n">
        <v>16761455</v>
      </c>
      <c r="C365" s="131" t="s">
        <v>473</v>
      </c>
      <c r="D365" s="131" t="s">
        <v>135</v>
      </c>
      <c r="E365" s="130" t="n">
        <v>9087800</v>
      </c>
      <c r="F365" s="131" t="s">
        <v>18</v>
      </c>
      <c r="G365" s="130" t="n">
        <v>1200000</v>
      </c>
      <c r="H365" s="131" t="n">
        <v>747</v>
      </c>
      <c r="I365" s="132" t="n">
        <v>0.17</v>
      </c>
      <c r="J365" s="132" t="n">
        <v>0.18</v>
      </c>
      <c r="K365" s="130" t="n">
        <v>27.5002750940822</v>
      </c>
      <c r="L365" s="132" t="n">
        <v>0.18</v>
      </c>
      <c r="M365" s="131" t="s">
        <v>64</v>
      </c>
      <c r="N365" s="133" t="n">
        <v>1.40306377781201</v>
      </c>
      <c r="O365" s="133" t="n">
        <v>27.5002750940822</v>
      </c>
      <c r="P365" s="132" t="n">
        <v>0.017</v>
      </c>
      <c r="Q365" s="131" t="s">
        <v>130</v>
      </c>
      <c r="R365" s="130" t="n">
        <v>249917000</v>
      </c>
      <c r="S365" s="143" t="n">
        <v>0</v>
      </c>
      <c r="T365" s="134" t="n">
        <v>45408.3890631944</v>
      </c>
    </row>
    <row r="366" customFormat="false" ht="39.75" hidden="false" customHeight="true" outlineLevel="0" collapsed="false">
      <c r="B366" s="130" t="n">
        <v>66900071</v>
      </c>
      <c r="C366" s="131" t="s">
        <v>474</v>
      </c>
      <c r="D366" s="131" t="s">
        <v>135</v>
      </c>
      <c r="E366" s="130" t="n">
        <v>4876900</v>
      </c>
      <c r="F366" s="131" t="s">
        <v>20</v>
      </c>
      <c r="G366" s="130" t="n">
        <v>1789000</v>
      </c>
      <c r="H366" s="131" t="n">
        <v>655</v>
      </c>
      <c r="I366" s="132" t="n">
        <v>0.39</v>
      </c>
      <c r="J366" s="132" t="n">
        <v>0.41</v>
      </c>
      <c r="K366" s="130" t="n">
        <v>8.2164344153048</v>
      </c>
      <c r="L366" s="132" t="n">
        <v>0.41</v>
      </c>
      <c r="M366" s="131" t="s">
        <v>62</v>
      </c>
      <c r="N366" s="133" t="n">
        <v>1.20511451946934</v>
      </c>
      <c r="O366" s="133" t="n">
        <v>8.2164344153048</v>
      </c>
      <c r="P366" s="132" t="n">
        <v>0.026</v>
      </c>
      <c r="Q366" s="131" t="s">
        <v>130</v>
      </c>
      <c r="R366" s="130" t="n">
        <v>28800000</v>
      </c>
      <c r="S366" s="143" t="s">
        <v>475</v>
      </c>
      <c r="T366" s="134" t="n">
        <v>45411.6249061343</v>
      </c>
    </row>
    <row r="367" customFormat="false" ht="39.75" hidden="false" customHeight="true" outlineLevel="0" collapsed="false">
      <c r="B367" s="130" t="n">
        <v>65706563</v>
      </c>
      <c r="C367" s="131" t="s">
        <v>476</v>
      </c>
      <c r="D367" s="131" t="s">
        <v>135</v>
      </c>
      <c r="E367" s="130" t="n">
        <v>2893800</v>
      </c>
      <c r="F367" s="131" t="s">
        <v>27</v>
      </c>
      <c r="G367" s="130" t="n">
        <v>460650</v>
      </c>
      <c r="H367" s="131" t="n">
        <v>555</v>
      </c>
      <c r="I367" s="132" t="n">
        <v>0.31</v>
      </c>
      <c r="J367" s="132" t="n">
        <v>0.33</v>
      </c>
      <c r="K367" s="130" t="n">
        <v>15.0056638330223</v>
      </c>
      <c r="L367" s="132" t="n">
        <v>0.33</v>
      </c>
      <c r="M367" s="131" t="s">
        <v>64</v>
      </c>
      <c r="N367" s="133" t="n">
        <v>1.21285265049416</v>
      </c>
      <c r="O367" s="133" t="n">
        <v>15.0056638330223</v>
      </c>
      <c r="P367" s="132" t="n">
        <v>0.01</v>
      </c>
      <c r="Q367" s="131" t="s">
        <v>130</v>
      </c>
      <c r="R367" s="130" t="n">
        <v>38969000</v>
      </c>
      <c r="S367" s="143" t="n">
        <v>0</v>
      </c>
      <c r="T367" s="134" t="n">
        <v>45411.650506713</v>
      </c>
    </row>
    <row r="368" customFormat="false" ht="39.75" hidden="false" customHeight="true" outlineLevel="0" collapsed="false">
      <c r="B368" s="130" t="n">
        <v>1097389965</v>
      </c>
      <c r="C368" s="131" t="s">
        <v>477</v>
      </c>
      <c r="D368" s="131" t="s">
        <v>135</v>
      </c>
      <c r="E368" s="130" t="n">
        <v>2600900</v>
      </c>
      <c r="F368" s="131" t="s">
        <v>34</v>
      </c>
      <c r="G368" s="130" t="n">
        <v>1500000</v>
      </c>
      <c r="H368" s="131" t="n">
        <v>768</v>
      </c>
      <c r="I368" s="132" t="n">
        <v>0.31</v>
      </c>
      <c r="J368" s="132" t="n">
        <v>0.33</v>
      </c>
      <c r="K368" s="130" t="n">
        <v>24.0213003191203</v>
      </c>
      <c r="L368" s="132" t="n">
        <v>0.33</v>
      </c>
      <c r="M368" s="131" t="s">
        <v>64</v>
      </c>
      <c r="N368" s="133" t="n">
        <v>1.35411050021147</v>
      </c>
      <c r="O368" s="133" t="n">
        <v>24.0213003191203</v>
      </c>
      <c r="P368" s="132" t="n">
        <v>0.0179</v>
      </c>
      <c r="Q368" s="131" t="s">
        <v>130</v>
      </c>
      <c r="R368" s="130" t="n">
        <v>62477000</v>
      </c>
      <c r="S368" s="143" t="n">
        <v>0</v>
      </c>
      <c r="T368" s="134" t="n">
        <v>45411.6691466435</v>
      </c>
    </row>
    <row r="369" customFormat="false" ht="39.75" hidden="false" customHeight="true" outlineLevel="0" collapsed="false">
      <c r="B369" s="130" t="n">
        <v>52932360</v>
      </c>
      <c r="C369" s="131" t="s">
        <v>478</v>
      </c>
      <c r="D369" s="131" t="s">
        <v>135</v>
      </c>
      <c r="E369" s="130" t="n">
        <v>4870200</v>
      </c>
      <c r="F369" s="131" t="s">
        <v>18</v>
      </c>
      <c r="G369" s="130" t="n">
        <v>1600000</v>
      </c>
      <c r="H369" s="131" t="n">
        <v>736</v>
      </c>
      <c r="I369" s="132" t="n">
        <v>0.35</v>
      </c>
      <c r="J369" s="132" t="n">
        <v>0.39</v>
      </c>
      <c r="K369" s="130" t="n">
        <v>26.4743677877705</v>
      </c>
      <c r="L369" s="132" t="n">
        <v>0.39</v>
      </c>
      <c r="M369" s="131" t="s">
        <v>62</v>
      </c>
      <c r="N369" s="133" t="n">
        <v>3.28990636934828</v>
      </c>
      <c r="O369" s="133" t="n">
        <v>26.4743677877705</v>
      </c>
      <c r="P369" s="132" t="n">
        <v>0.0179</v>
      </c>
      <c r="Q369" s="131" t="s">
        <v>130</v>
      </c>
      <c r="R369" s="130" t="n">
        <v>122600000</v>
      </c>
      <c r="S369" s="143" t="n">
        <v>0</v>
      </c>
      <c r="T369" s="134" t="n">
        <v>45412.3922811343</v>
      </c>
    </row>
    <row r="370" customFormat="false" ht="39.75" hidden="false" customHeight="true" outlineLevel="0" collapsed="false">
      <c r="B370" s="130" t="n">
        <v>1144156406</v>
      </c>
      <c r="C370" s="131" t="s">
        <v>479</v>
      </c>
      <c r="D370" s="131" t="s">
        <v>135</v>
      </c>
      <c r="E370" s="130" t="n">
        <v>2600900</v>
      </c>
      <c r="F370" s="131" t="s">
        <v>34</v>
      </c>
      <c r="G370" s="130" t="n">
        <v>2000000</v>
      </c>
      <c r="H370" s="131" t="n">
        <v>603</v>
      </c>
      <c r="I370" s="132" t="n">
        <v>0.32</v>
      </c>
      <c r="J370" s="132" t="n">
        <v>0.39</v>
      </c>
      <c r="K370" s="130" t="n">
        <v>0</v>
      </c>
      <c r="L370" s="132" t="n">
        <v>0.39</v>
      </c>
      <c r="M370" s="131" t="s">
        <v>64</v>
      </c>
      <c r="N370" s="133" t="n">
        <v>0.870652850936214</v>
      </c>
      <c r="O370" s="133" t="n">
        <v>0</v>
      </c>
      <c r="P370" s="132" t="n">
        <v>0.0179</v>
      </c>
      <c r="Q370" s="131" t="s">
        <v>130</v>
      </c>
      <c r="R370" s="130" t="n">
        <v>0</v>
      </c>
      <c r="S370" s="143" t="n">
        <v>0</v>
      </c>
      <c r="T370" s="134" t="n">
        <v>45412.39450625</v>
      </c>
    </row>
    <row r="371" customFormat="false" ht="39.75" hidden="false" customHeight="true" outlineLevel="0" collapsed="false">
      <c r="B371" s="130" t="n">
        <v>25364521</v>
      </c>
      <c r="C371" s="131" t="s">
        <v>480</v>
      </c>
      <c r="D371" s="131" t="s">
        <v>135</v>
      </c>
      <c r="E371" s="130" t="n">
        <v>5842800</v>
      </c>
      <c r="F371" s="131" t="s">
        <v>34</v>
      </c>
      <c r="G371" s="130" t="n">
        <v>2500000</v>
      </c>
      <c r="H371" s="131" t="n">
        <v>726</v>
      </c>
      <c r="I371" s="132" t="n">
        <v>0.26</v>
      </c>
      <c r="J371" s="132" t="n">
        <v>0.29</v>
      </c>
      <c r="K371" s="130" t="n">
        <v>16.2644322927364</v>
      </c>
      <c r="L371" s="132" t="n">
        <v>0.29</v>
      </c>
      <c r="M371" s="131" t="s">
        <v>64</v>
      </c>
      <c r="N371" s="133" t="n">
        <v>13.7838500376532</v>
      </c>
      <c r="O371" s="133" t="n">
        <v>16.2644322927364</v>
      </c>
      <c r="P371" s="132" t="n">
        <v>0.0179</v>
      </c>
      <c r="Q371" s="131" t="s">
        <v>130</v>
      </c>
      <c r="R371" s="130" t="n">
        <v>94320000</v>
      </c>
      <c r="S371" s="143" t="n">
        <v>0</v>
      </c>
      <c r="T371" s="134" t="n">
        <v>45412.4513134259</v>
      </c>
    </row>
    <row r="372" customFormat="false" ht="39.75" hidden="false" customHeight="true" outlineLevel="0" collapsed="false">
      <c r="B372" s="130" t="n">
        <v>1005966107</v>
      </c>
      <c r="C372" s="131" t="s">
        <v>481</v>
      </c>
      <c r="D372" s="131" t="s">
        <v>135</v>
      </c>
      <c r="E372" s="130" t="n">
        <v>2604400</v>
      </c>
      <c r="F372" s="131" t="s">
        <v>34</v>
      </c>
      <c r="G372" s="130" t="n">
        <v>3000000</v>
      </c>
      <c r="H372" s="131" t="n">
        <v>594</v>
      </c>
      <c r="I372" s="132" t="n">
        <v>0.42</v>
      </c>
      <c r="J372" s="132" t="n">
        <v>0.49</v>
      </c>
      <c r="K372" s="130" t="n">
        <v>18.2621717094148</v>
      </c>
      <c r="L372" s="132" t="n">
        <v>0.49</v>
      </c>
      <c r="M372" s="131" t="s">
        <v>64</v>
      </c>
      <c r="N372" s="133" t="n">
        <v>2.16660420826294</v>
      </c>
      <c r="O372" s="133" t="n">
        <v>18.2621717094148</v>
      </c>
      <c r="P372" s="132" t="n">
        <v>0.0179</v>
      </c>
      <c r="Q372" s="131" t="s">
        <v>130</v>
      </c>
      <c r="R372" s="130" t="n">
        <v>47562000</v>
      </c>
      <c r="S372" s="143" t="n">
        <v>0</v>
      </c>
      <c r="T372" s="134" t="n">
        <v>45412.4573532407</v>
      </c>
    </row>
    <row r="373" customFormat="false" ht="39.75" hidden="false" customHeight="true" outlineLevel="0" collapsed="false">
      <c r="B373" s="130" t="n">
        <v>1193101208</v>
      </c>
      <c r="C373" s="131" t="s">
        <v>482</v>
      </c>
      <c r="D373" s="131" t="s">
        <v>135</v>
      </c>
      <c r="E373" s="130" t="n">
        <v>1625000</v>
      </c>
      <c r="F373" s="131" t="s">
        <v>29</v>
      </c>
      <c r="G373" s="130" t="n">
        <v>1025000</v>
      </c>
      <c r="H373" s="131" t="n">
        <v>522</v>
      </c>
      <c r="I373" s="132" t="n">
        <v>0.22</v>
      </c>
      <c r="J373" s="132" t="n">
        <v>0.25</v>
      </c>
      <c r="K373" s="130" t="n">
        <v>7.20388</v>
      </c>
      <c r="L373" s="132" t="n">
        <v>0.25</v>
      </c>
      <c r="M373" s="131" t="s">
        <v>64</v>
      </c>
      <c r="N373" s="133" t="n">
        <v>1.18231938461538</v>
      </c>
      <c r="O373" s="133" t="n">
        <v>7.20388</v>
      </c>
      <c r="P373" s="132" t="n">
        <v>0.0227</v>
      </c>
      <c r="Q373" s="131" t="s">
        <v>130</v>
      </c>
      <c r="R373" s="130" t="n">
        <v>9057000</v>
      </c>
      <c r="S373" s="143" t="n">
        <v>0</v>
      </c>
      <c r="T373" s="134" t="n">
        <v>45412.45998125</v>
      </c>
    </row>
    <row r="374" customFormat="false" ht="39.75" hidden="false" customHeight="true" outlineLevel="0" collapsed="false">
      <c r="B374" s="130" t="n">
        <v>31309662</v>
      </c>
      <c r="C374" s="131" t="s">
        <v>483</v>
      </c>
      <c r="D374" s="131" t="s">
        <v>135</v>
      </c>
      <c r="E374" s="130" t="n">
        <v>2600900</v>
      </c>
      <c r="F374" s="131" t="s">
        <v>33</v>
      </c>
      <c r="G374" s="130" t="n">
        <v>2000000</v>
      </c>
      <c r="H374" s="131" t="n">
        <v>611</v>
      </c>
      <c r="I374" s="132" t="n">
        <v>0.18</v>
      </c>
      <c r="J374" s="132" t="n">
        <v>0.21</v>
      </c>
      <c r="K374" s="130" t="n">
        <v>3.56463454957899</v>
      </c>
      <c r="L374" s="132" t="n">
        <v>0.21</v>
      </c>
      <c r="M374" s="131" t="s">
        <v>62</v>
      </c>
      <c r="N374" s="133" t="n">
        <v>1.18231112307278</v>
      </c>
      <c r="O374" s="133" t="n">
        <v>3.56463454957899</v>
      </c>
      <c r="P374" s="132" t="n">
        <v>0.0227</v>
      </c>
      <c r="Q374" s="131" t="s">
        <v>130</v>
      </c>
      <c r="R374" s="130" t="n">
        <v>2606000</v>
      </c>
      <c r="S374" s="143" t="n">
        <v>0</v>
      </c>
      <c r="T374" s="134" t="n">
        <v>45412.5027048611</v>
      </c>
    </row>
    <row r="375" customFormat="false" ht="39.75" hidden="false" customHeight="true" outlineLevel="0" collapsed="false">
      <c r="B375" s="130" t="n">
        <v>1107083585</v>
      </c>
      <c r="C375" s="131" t="s">
        <v>484</v>
      </c>
      <c r="D375" s="131" t="s">
        <v>135</v>
      </c>
      <c r="E375" s="130" t="n">
        <v>4327600</v>
      </c>
      <c r="F375" s="131" t="s">
        <v>34</v>
      </c>
      <c r="G375" s="130" t="n">
        <v>5800000</v>
      </c>
      <c r="H375" s="131" t="n">
        <v>686</v>
      </c>
      <c r="I375" s="132" t="n">
        <v>0.29</v>
      </c>
      <c r="J375" s="132" t="n">
        <v>0.36</v>
      </c>
      <c r="K375" s="130" t="n">
        <v>3.90577225251872</v>
      </c>
      <c r="L375" s="132" t="n">
        <v>0.36</v>
      </c>
      <c r="M375" s="131" t="s">
        <v>64</v>
      </c>
      <c r="N375" s="133" t="n">
        <v>0.995799750439043</v>
      </c>
      <c r="O375" s="133" t="n">
        <v>3.90577225251872</v>
      </c>
      <c r="P375" s="132" t="n">
        <v>0.0179</v>
      </c>
      <c r="Q375" s="131" t="s">
        <v>130</v>
      </c>
      <c r="R375" s="130" t="n">
        <v>15373000</v>
      </c>
      <c r="S375" s="143" t="n">
        <v>0</v>
      </c>
      <c r="T375" s="134" t="n">
        <v>45412.5781251157</v>
      </c>
    </row>
    <row r="376" customFormat="false" ht="39.75" hidden="false" customHeight="true" outlineLevel="0" collapsed="false">
      <c r="B376" s="130" t="n">
        <v>1144045043</v>
      </c>
      <c r="C376" s="131" t="s">
        <v>485</v>
      </c>
      <c r="D376" s="131" t="s">
        <v>135</v>
      </c>
      <c r="E376" s="130" t="n">
        <v>4383200</v>
      </c>
      <c r="F376" s="131" t="s">
        <v>33</v>
      </c>
      <c r="G376" s="130" t="n">
        <v>5000000</v>
      </c>
      <c r="H376" s="131" t="n">
        <v>866</v>
      </c>
      <c r="I376" s="132" t="n">
        <v>0.04</v>
      </c>
      <c r="J376" s="132" t="n">
        <v>0.1</v>
      </c>
      <c r="K376" s="130" t="n">
        <v>1.21965687169191</v>
      </c>
      <c r="L376" s="132" t="n">
        <v>0.1</v>
      </c>
      <c r="M376" s="131" t="s">
        <v>62</v>
      </c>
      <c r="N376" s="133" t="n">
        <v>0.710449671472897</v>
      </c>
      <c r="O376" s="133" t="n">
        <v>1.21965687169191</v>
      </c>
      <c r="P376" s="132" t="n">
        <v>0.0149</v>
      </c>
      <c r="Q376" s="131" t="s">
        <v>130</v>
      </c>
      <c r="R376" s="130" t="n">
        <v>5346000</v>
      </c>
      <c r="S376" s="143" t="n">
        <v>0</v>
      </c>
      <c r="T376" s="134" t="n">
        <v>45412.5796888889</v>
      </c>
    </row>
    <row r="377" customFormat="false" ht="39.75" hidden="false" customHeight="true" outlineLevel="0" collapsed="false">
      <c r="B377" s="130" t="n">
        <v>38601463</v>
      </c>
      <c r="C377" s="131" t="s">
        <v>486</v>
      </c>
      <c r="D377" s="131" t="s">
        <v>135</v>
      </c>
      <c r="E377" s="130" t="n">
        <v>2600900</v>
      </c>
      <c r="F377" s="131" t="s">
        <v>33</v>
      </c>
      <c r="G377" s="130" t="n">
        <v>7500000</v>
      </c>
      <c r="H377" s="131" t="n">
        <v>865</v>
      </c>
      <c r="I377" s="132" t="n">
        <v>0.35</v>
      </c>
      <c r="J377" s="132" t="n">
        <v>0.47</v>
      </c>
      <c r="K377" s="130" t="n">
        <v>18.1902418393633</v>
      </c>
      <c r="L377" s="132" t="n">
        <v>0.47</v>
      </c>
      <c r="M377" s="131" t="s">
        <v>62</v>
      </c>
      <c r="N377" s="133" t="n">
        <v>1.81716136721904</v>
      </c>
      <c r="O377" s="133" t="n">
        <v>18.1902418393633</v>
      </c>
      <c r="P377" s="132" t="n">
        <v>0.0149</v>
      </c>
      <c r="Q377" s="131" t="s">
        <v>130</v>
      </c>
      <c r="R377" s="130" t="n">
        <v>47311000</v>
      </c>
      <c r="S377" s="143" t="n">
        <v>0</v>
      </c>
      <c r="T377" s="134" t="n">
        <v>45412.5977678241</v>
      </c>
    </row>
    <row r="378" customFormat="false" ht="39.75" hidden="false" customHeight="true" outlineLevel="0" collapsed="false">
      <c r="B378" s="130" t="n">
        <v>34515352</v>
      </c>
      <c r="C378" s="131" t="s">
        <v>487</v>
      </c>
      <c r="D378" s="131" t="s">
        <v>135</v>
      </c>
      <c r="E378" s="130" t="n">
        <v>2893800</v>
      </c>
      <c r="F378" s="131" t="s">
        <v>22</v>
      </c>
      <c r="G378" s="130" t="n">
        <v>30000000</v>
      </c>
      <c r="H378" s="131" t="n">
        <v>687</v>
      </c>
      <c r="I378" s="132" t="n">
        <v>0.49</v>
      </c>
      <c r="J378" s="132" t="n">
        <v>0.74</v>
      </c>
      <c r="K378" s="130" t="n">
        <v>2.21773895915405</v>
      </c>
      <c r="L378" s="132" t="n">
        <v>0.74</v>
      </c>
      <c r="M378" s="131" t="s">
        <v>62</v>
      </c>
      <c r="N378" s="133" t="n">
        <v>1.02880503144654</v>
      </c>
      <c r="O378" s="133" t="n">
        <v>2.21773895915405</v>
      </c>
      <c r="P378" s="132" t="n">
        <v>0.0107</v>
      </c>
      <c r="Q378" s="131" t="s">
        <v>130</v>
      </c>
      <c r="R378" s="130" t="n">
        <v>0</v>
      </c>
      <c r="S378" s="143" t="n">
        <v>0</v>
      </c>
      <c r="T378" s="134" t="n">
        <v>45412.603549537</v>
      </c>
    </row>
    <row r="379" customFormat="false" ht="39.75" hidden="false" customHeight="true" outlineLevel="0" collapsed="false">
      <c r="B379" s="130" t="n">
        <v>26366473</v>
      </c>
      <c r="C379" s="131" t="s">
        <v>488</v>
      </c>
      <c r="D379" s="131" t="s">
        <v>445</v>
      </c>
      <c r="E379" s="130" t="n">
        <v>3003092</v>
      </c>
      <c r="F379" s="131" t="s">
        <v>33</v>
      </c>
      <c r="G379" s="130" t="n">
        <v>12000000</v>
      </c>
      <c r="H379" s="131" t="n">
        <v>822</v>
      </c>
      <c r="I379" s="132" t="n">
        <v>0.63</v>
      </c>
      <c r="J379" s="132" t="n">
        <v>0.73</v>
      </c>
      <c r="K379" s="130" t="n">
        <v>11.5167687170423</v>
      </c>
      <c r="L379" s="132" t="n">
        <v>0.73</v>
      </c>
      <c r="M379" s="131" t="s">
        <v>61</v>
      </c>
      <c r="N379" s="133" t="n">
        <v>1.37595297113775</v>
      </c>
      <c r="O379" s="133" t="n">
        <v>11.5167687170423</v>
      </c>
      <c r="P379" s="132" t="n">
        <v>0.0107</v>
      </c>
      <c r="Q379" s="131" t="s">
        <v>130</v>
      </c>
      <c r="R379" s="130" t="n">
        <v>27653000</v>
      </c>
      <c r="S379" s="143" t="n">
        <v>0</v>
      </c>
      <c r="T379" s="134" t="n">
        <v>45412.6134810185</v>
      </c>
    </row>
    <row r="380" customFormat="false" ht="39.75" hidden="false" customHeight="true" outlineLevel="0" collapsed="false">
      <c r="B380" s="130" t="n">
        <v>1144036968</v>
      </c>
      <c r="C380" s="131" t="s">
        <v>489</v>
      </c>
      <c r="D380" s="131" t="s">
        <v>135</v>
      </c>
      <c r="E380" s="130" t="n">
        <v>2600900</v>
      </c>
      <c r="F380" s="131" t="s">
        <v>20</v>
      </c>
      <c r="G380" s="130" t="n">
        <v>3766000</v>
      </c>
      <c r="H380" s="131" t="n">
        <v>618</v>
      </c>
      <c r="I380" s="132" t="n">
        <v>0.09</v>
      </c>
      <c r="J380" s="132" t="n">
        <v>0.18</v>
      </c>
      <c r="K380" s="130" t="n">
        <v>35.6872786343189</v>
      </c>
      <c r="L380" s="132" t="n">
        <v>0.18</v>
      </c>
      <c r="M380" s="131" t="s">
        <v>64</v>
      </c>
      <c r="N380" s="133" t="n">
        <v>1.69660156099812</v>
      </c>
      <c r="O380" s="133" t="n">
        <v>35.6872786343189</v>
      </c>
      <c r="P380" s="132" t="n">
        <v>0.026</v>
      </c>
      <c r="Q380" s="131" t="s">
        <v>130</v>
      </c>
      <c r="R380" s="130" t="n">
        <v>92270000</v>
      </c>
      <c r="S380" s="143" t="n">
        <v>0</v>
      </c>
      <c r="T380" s="134" t="n">
        <v>45414.4163266204</v>
      </c>
    </row>
    <row r="381" customFormat="false" ht="39.75" hidden="false" customHeight="true" outlineLevel="0" collapsed="false">
      <c r="B381" s="130" t="n">
        <v>1144036968</v>
      </c>
      <c r="C381" s="131" t="s">
        <v>489</v>
      </c>
      <c r="D381" s="131" t="s">
        <v>135</v>
      </c>
      <c r="E381" s="130" t="n">
        <v>2600900</v>
      </c>
      <c r="F381" s="131" t="s">
        <v>29</v>
      </c>
      <c r="G381" s="130" t="n">
        <v>1800000</v>
      </c>
      <c r="H381" s="131" t="n">
        <v>618</v>
      </c>
      <c r="I381" s="132" t="n">
        <v>0.44</v>
      </c>
      <c r="J381" s="132" t="n">
        <v>0.48</v>
      </c>
      <c r="K381" s="130" t="n">
        <v>0.980320658233688</v>
      </c>
      <c r="L381" s="132" t="n">
        <v>0.48</v>
      </c>
      <c r="M381" s="131" t="s">
        <v>64</v>
      </c>
      <c r="N381" s="133" t="n">
        <v>1.71200469068399</v>
      </c>
      <c r="O381" s="133" t="n">
        <v>0.980320658233688</v>
      </c>
      <c r="P381" s="132" t="n">
        <v>0.0227</v>
      </c>
      <c r="Q381" s="131" t="s">
        <v>130</v>
      </c>
      <c r="R381" s="130" t="n">
        <v>0</v>
      </c>
      <c r="S381" s="143" t="n">
        <v>0</v>
      </c>
      <c r="T381" s="134" t="n">
        <v>45414.4328548611</v>
      </c>
    </row>
    <row r="382" customFormat="false" ht="39.75" hidden="false" customHeight="true" outlineLevel="0" collapsed="false">
      <c r="B382" s="130" t="n">
        <v>1143967386</v>
      </c>
      <c r="C382" s="131" t="s">
        <v>490</v>
      </c>
      <c r="D382" s="131" t="s">
        <v>135</v>
      </c>
      <c r="E382" s="130" t="n">
        <v>2340800</v>
      </c>
      <c r="F382" s="131" t="s">
        <v>29</v>
      </c>
      <c r="G382" s="130" t="n">
        <v>2300000</v>
      </c>
      <c r="H382" s="131" t="n">
        <v>476</v>
      </c>
      <c r="I382" s="132" t="n">
        <v>0.16</v>
      </c>
      <c r="J382" s="132" t="n">
        <v>0.26</v>
      </c>
      <c r="K382" s="130" t="n">
        <v>10.9087461551606</v>
      </c>
      <c r="L382" s="132" t="n">
        <v>0.26</v>
      </c>
      <c r="M382" s="131" t="s">
        <v>64</v>
      </c>
      <c r="N382" s="133" t="n">
        <v>1.12610517771702</v>
      </c>
      <c r="O382" s="133" t="n">
        <v>10.9087461551606</v>
      </c>
      <c r="P382" s="132" t="n">
        <v>0.0227</v>
      </c>
      <c r="Q382" s="131" t="s">
        <v>130</v>
      </c>
      <c r="R382" s="130" t="n">
        <v>24636000</v>
      </c>
      <c r="S382" s="143" t="n">
        <v>0</v>
      </c>
      <c r="T382" s="134" t="n">
        <v>45414.434790625</v>
      </c>
    </row>
    <row r="383" customFormat="false" ht="39.75" hidden="false" customHeight="true" outlineLevel="0" collapsed="false">
      <c r="B383" s="130" t="n">
        <v>1061711132</v>
      </c>
      <c r="C383" s="131" t="s">
        <v>491</v>
      </c>
      <c r="D383" s="131" t="s">
        <v>135</v>
      </c>
      <c r="E383" s="130" t="n">
        <v>5418800</v>
      </c>
      <c r="F383" s="131" t="s">
        <v>29</v>
      </c>
      <c r="G383" s="130" t="n">
        <v>1600000</v>
      </c>
      <c r="H383" s="131" t="n">
        <v>726</v>
      </c>
      <c r="I383" s="132" t="n">
        <v>0.18</v>
      </c>
      <c r="J383" s="132" t="n">
        <v>0.21</v>
      </c>
      <c r="K383" s="130" t="n">
        <v>1.40688233557245</v>
      </c>
      <c r="L383" s="132" t="n">
        <v>0.21</v>
      </c>
      <c r="M383" s="131" t="s">
        <v>62</v>
      </c>
      <c r="N383" s="133" t="n">
        <v>0.702034767845279</v>
      </c>
      <c r="O383" s="133" t="n">
        <v>1.40688233557245</v>
      </c>
      <c r="P383" s="132" t="n">
        <v>0.0227</v>
      </c>
      <c r="Q383" s="131" t="s">
        <v>130</v>
      </c>
      <c r="R383" s="130" t="n">
        <v>0</v>
      </c>
      <c r="S383" s="143" t="n">
        <v>0</v>
      </c>
      <c r="T383" s="134" t="n">
        <v>45414.4759069445</v>
      </c>
    </row>
    <row r="384" customFormat="false" ht="39.75" hidden="false" customHeight="true" outlineLevel="0" collapsed="false">
      <c r="B384" s="130" t="n">
        <v>1113673170</v>
      </c>
      <c r="C384" s="131" t="s">
        <v>492</v>
      </c>
      <c r="D384" s="131" t="s">
        <v>135</v>
      </c>
      <c r="E384" s="130" t="n">
        <v>2600900</v>
      </c>
      <c r="F384" s="131" t="s">
        <v>29</v>
      </c>
      <c r="G384" s="130" t="n">
        <v>195000</v>
      </c>
      <c r="H384" s="131" t="n">
        <v>744</v>
      </c>
      <c r="I384" s="132" t="n">
        <v>0.16</v>
      </c>
      <c r="J384" s="132" t="n">
        <v>0.16</v>
      </c>
      <c r="K384" s="130" t="n">
        <v>4.87173017032566</v>
      </c>
      <c r="L384" s="132" t="n">
        <v>0.16</v>
      </c>
      <c r="M384" s="131" t="s">
        <v>64</v>
      </c>
      <c r="N384" s="133" t="n">
        <v>0.964554577261717</v>
      </c>
      <c r="O384" s="133" t="n">
        <v>4.87173017032566</v>
      </c>
      <c r="P384" s="132" t="n">
        <v>0.0227</v>
      </c>
      <c r="Q384" s="131" t="s">
        <v>130</v>
      </c>
      <c r="R384" s="130" t="n">
        <v>9595000</v>
      </c>
      <c r="S384" s="143" t="n">
        <v>0</v>
      </c>
      <c r="T384" s="134" t="n">
        <v>45414.4844083333</v>
      </c>
    </row>
    <row r="385" customFormat="false" ht="39.75" hidden="false" customHeight="true" outlineLevel="0" collapsed="false">
      <c r="B385" s="130" t="n">
        <v>1130655620</v>
      </c>
      <c r="C385" s="131" t="s">
        <v>493</v>
      </c>
      <c r="D385" s="131" t="s">
        <v>135</v>
      </c>
      <c r="E385" s="130" t="n">
        <v>1717900</v>
      </c>
      <c r="F385" s="131" t="s">
        <v>29</v>
      </c>
      <c r="G385" s="130" t="n">
        <v>1200000</v>
      </c>
      <c r="H385" s="131" t="n">
        <v>514</v>
      </c>
      <c r="I385" s="132" t="n">
        <v>0.24</v>
      </c>
      <c r="J385" s="132" t="n">
        <v>0.24</v>
      </c>
      <c r="K385" s="130" t="n">
        <v>32.235428721113</v>
      </c>
      <c r="L385" s="132" t="n">
        <v>0.24</v>
      </c>
      <c r="M385" s="131" t="s">
        <v>62</v>
      </c>
      <c r="N385" s="133" t="n">
        <v>9.90191454683043</v>
      </c>
      <c r="O385" s="133" t="n">
        <v>32.235428721113</v>
      </c>
      <c r="P385" s="132" t="n">
        <v>0.0227</v>
      </c>
      <c r="Q385" s="131" t="s">
        <v>130</v>
      </c>
      <c r="R385" s="130" t="n">
        <v>49108000</v>
      </c>
      <c r="S385" s="143" t="s">
        <v>285</v>
      </c>
      <c r="T385" s="134" t="n">
        <v>45414.7304106481</v>
      </c>
    </row>
    <row r="386" customFormat="false" ht="39.75" hidden="false" customHeight="true" outlineLevel="0" collapsed="false">
      <c r="B386" s="130" t="n">
        <v>66968191</v>
      </c>
      <c r="C386" s="131" t="s">
        <v>494</v>
      </c>
      <c r="D386" s="131" t="s">
        <v>135</v>
      </c>
      <c r="E386" s="130" t="n">
        <v>2600900</v>
      </c>
      <c r="F386" s="131" t="s">
        <v>18</v>
      </c>
      <c r="G386" s="130" t="n">
        <v>1000000</v>
      </c>
      <c r="H386" s="131" t="n">
        <v>715</v>
      </c>
      <c r="I386" s="132" t="n">
        <v>0.41</v>
      </c>
      <c r="J386" s="132" t="n">
        <v>0.46</v>
      </c>
      <c r="K386" s="130" t="n">
        <v>19.7132815563843</v>
      </c>
      <c r="L386" s="132" t="n">
        <v>0.46</v>
      </c>
      <c r="M386" s="131" t="s">
        <v>64</v>
      </c>
      <c r="N386" s="133" t="n">
        <v>1.43146487754239</v>
      </c>
      <c r="O386" s="133" t="n">
        <v>19.7132815563843</v>
      </c>
      <c r="P386" s="132" t="n">
        <v>0.028</v>
      </c>
      <c r="Q386" s="131" t="s">
        <v>130</v>
      </c>
      <c r="R386" s="130" t="n">
        <v>49809000</v>
      </c>
      <c r="S386" s="143" t="n">
        <v>0</v>
      </c>
      <c r="T386" s="134" t="n">
        <v>45419.4858903935</v>
      </c>
    </row>
    <row r="387" customFormat="false" ht="39.75" hidden="false" customHeight="true" outlineLevel="0" collapsed="false">
      <c r="B387" s="130" t="n">
        <v>66866459</v>
      </c>
      <c r="C387" s="131" t="s">
        <v>345</v>
      </c>
      <c r="D387" s="131" t="s">
        <v>135</v>
      </c>
      <c r="E387" s="130" t="n">
        <v>2600900</v>
      </c>
      <c r="F387" s="131" t="s">
        <v>18</v>
      </c>
      <c r="G387" s="130" t="n">
        <v>500000</v>
      </c>
      <c r="H387" s="131" t="n">
        <v>751</v>
      </c>
      <c r="I387" s="132" t="n">
        <v>0.26</v>
      </c>
      <c r="J387" s="132" t="n">
        <v>0.28</v>
      </c>
      <c r="K387" s="130" t="n">
        <v>3.89506978353647</v>
      </c>
      <c r="L387" s="132" t="n">
        <v>0.28</v>
      </c>
      <c r="M387" s="131" t="s">
        <v>62</v>
      </c>
      <c r="N387" s="133" t="n">
        <v>1.10540505209735</v>
      </c>
      <c r="O387" s="133" t="n">
        <v>3.89506978353647</v>
      </c>
      <c r="P387" s="132" t="n">
        <v>0.028</v>
      </c>
      <c r="Q387" s="131" t="s">
        <v>130</v>
      </c>
      <c r="R387" s="130" t="n">
        <v>7894000</v>
      </c>
      <c r="S387" s="143" t="n">
        <v>0</v>
      </c>
      <c r="T387" s="134" t="n">
        <v>45419.4874071759</v>
      </c>
    </row>
    <row r="388" customFormat="false" ht="39.75" hidden="false" customHeight="true" outlineLevel="0" collapsed="false">
      <c r="B388" s="130" t="n">
        <v>66783733</v>
      </c>
      <c r="C388" s="131" t="s">
        <v>495</v>
      </c>
      <c r="D388" s="131" t="s">
        <v>135</v>
      </c>
      <c r="E388" s="130" t="n">
        <v>2893800</v>
      </c>
      <c r="F388" s="131" t="s">
        <v>22</v>
      </c>
      <c r="G388" s="130" t="n">
        <v>6000000</v>
      </c>
      <c r="H388" s="131" t="n">
        <v>747</v>
      </c>
      <c r="I388" s="132" t="n">
        <v>0.41</v>
      </c>
      <c r="J388" s="132" t="n">
        <v>0.46</v>
      </c>
      <c r="K388" s="130" t="n">
        <v>3.71577545096413</v>
      </c>
      <c r="L388" s="132" t="n">
        <v>0.46</v>
      </c>
      <c r="M388" s="131" t="s">
        <v>62</v>
      </c>
      <c r="N388" s="133" t="n">
        <v>0.960158269403552</v>
      </c>
      <c r="O388" s="133" t="n">
        <v>3.71577545096413</v>
      </c>
      <c r="P388" s="132" t="n">
        <v>0.0107</v>
      </c>
      <c r="Q388" s="131" t="s">
        <v>130</v>
      </c>
      <c r="R388" s="130" t="n">
        <v>0</v>
      </c>
      <c r="S388" s="143" t="n">
        <v>0</v>
      </c>
      <c r="T388" s="134" t="n">
        <v>45419.7024320602</v>
      </c>
    </row>
    <row r="389" customFormat="false" ht="39.75" hidden="false" customHeight="true" outlineLevel="0" collapsed="false">
      <c r="B389" s="130" t="n">
        <v>1085661638</v>
      </c>
      <c r="C389" s="131" t="s">
        <v>496</v>
      </c>
      <c r="D389" s="131" t="s">
        <v>135</v>
      </c>
      <c r="E389" s="130" t="n">
        <v>5418800</v>
      </c>
      <c r="F389" s="131" t="s">
        <v>33</v>
      </c>
      <c r="G389" s="130" t="n">
        <v>6500000</v>
      </c>
      <c r="H389" s="131" t="n">
        <v>874</v>
      </c>
      <c r="I389" s="132" t="n">
        <v>0.4</v>
      </c>
      <c r="J389" s="132" t="n">
        <v>0.43</v>
      </c>
      <c r="K389" s="130" t="n">
        <v>20.8075979921754</v>
      </c>
      <c r="L389" s="132" t="n">
        <v>0.43</v>
      </c>
      <c r="M389" s="131" t="s">
        <v>62</v>
      </c>
      <c r="N389" s="133" t="n">
        <v>1.27565660293792</v>
      </c>
      <c r="O389" s="133" t="n">
        <v>20.8075979921754</v>
      </c>
      <c r="P389" s="132" t="n">
        <v>0.0149</v>
      </c>
      <c r="Q389" s="131" t="s">
        <v>130</v>
      </c>
      <c r="R389" s="130" t="n">
        <v>110139000</v>
      </c>
      <c r="S389" s="143" t="n">
        <v>0</v>
      </c>
      <c r="T389" s="134" t="n">
        <v>45419.7048952546</v>
      </c>
    </row>
    <row r="390" customFormat="false" ht="39.75" hidden="false" customHeight="true" outlineLevel="0" collapsed="false">
      <c r="B390" s="130" t="n">
        <v>1144195001</v>
      </c>
      <c r="C390" s="131" t="s">
        <v>497</v>
      </c>
      <c r="D390" s="131" t="s">
        <v>135</v>
      </c>
      <c r="E390" s="130" t="n">
        <v>2604400</v>
      </c>
      <c r="F390" s="131" t="s">
        <v>16</v>
      </c>
      <c r="G390" s="130" t="n">
        <v>5000000</v>
      </c>
      <c r="H390" s="131" t="n">
        <v>787</v>
      </c>
      <c r="I390" s="132" t="n">
        <v>0.08</v>
      </c>
      <c r="J390" s="132" t="n">
        <v>0.19</v>
      </c>
      <c r="K390" s="130" t="n">
        <v>0</v>
      </c>
      <c r="L390" s="132" t="n">
        <v>0.19</v>
      </c>
      <c r="M390" s="131" t="s">
        <v>64</v>
      </c>
      <c r="N390" s="133" t="n">
        <v>0.650748732913531</v>
      </c>
      <c r="O390" s="133" t="n">
        <v>0</v>
      </c>
      <c r="P390" s="132" t="n">
        <v>0.0199</v>
      </c>
      <c r="Q390" s="131" t="s">
        <v>130</v>
      </c>
      <c r="R390" s="130" t="n">
        <v>0</v>
      </c>
      <c r="S390" s="143" t="n">
        <v>0</v>
      </c>
      <c r="T390" s="134" t="n">
        <v>45419.7111673611</v>
      </c>
    </row>
    <row r="391" customFormat="false" ht="39.75" hidden="false" customHeight="true" outlineLevel="0" collapsed="false">
      <c r="B391" s="130" t="n">
        <v>67032665</v>
      </c>
      <c r="C391" s="131" t="s">
        <v>498</v>
      </c>
      <c r="D391" s="131" t="s">
        <v>135</v>
      </c>
      <c r="E391" s="130" t="n">
        <v>4870200</v>
      </c>
      <c r="F391" s="131" t="s">
        <v>16</v>
      </c>
      <c r="G391" s="130" t="n">
        <v>6000000</v>
      </c>
      <c r="H391" s="131" t="n">
        <v>736</v>
      </c>
      <c r="I391" s="132" t="n">
        <v>0.27</v>
      </c>
      <c r="J391" s="132" t="n">
        <v>0.31</v>
      </c>
      <c r="K391" s="130" t="n">
        <v>17.5186571393372</v>
      </c>
      <c r="L391" s="132" t="n">
        <v>0.31</v>
      </c>
      <c r="M391" s="131" t="s">
        <v>62</v>
      </c>
      <c r="N391" s="133" t="n">
        <v>1.29732885713112</v>
      </c>
      <c r="O391" s="133" t="n">
        <v>17.5186571393372</v>
      </c>
      <c r="P391" s="132" t="n">
        <v>0.0199</v>
      </c>
      <c r="Q391" s="131" t="s">
        <v>130</v>
      </c>
      <c r="R391" s="130" t="n">
        <v>80181000</v>
      </c>
      <c r="S391" s="143" t="n">
        <v>0</v>
      </c>
      <c r="T391" s="134" t="n">
        <v>45420.3286309028</v>
      </c>
    </row>
    <row r="392" customFormat="false" ht="39.75" hidden="false" customHeight="true" outlineLevel="0" collapsed="false">
      <c r="B392" s="130" t="n">
        <v>1118283599</v>
      </c>
      <c r="C392" s="131" t="s">
        <v>499</v>
      </c>
      <c r="D392" s="131" t="s">
        <v>135</v>
      </c>
      <c r="E392" s="130" t="n">
        <v>3945300</v>
      </c>
      <c r="F392" s="131" t="s">
        <v>26</v>
      </c>
      <c r="G392" s="130" t="n">
        <v>13922000</v>
      </c>
      <c r="H392" s="131" t="n">
        <v>801</v>
      </c>
      <c r="I392" s="132" t="n">
        <v>0.47</v>
      </c>
      <c r="J392" s="132" t="n">
        <v>0.59</v>
      </c>
      <c r="K392" s="130" t="n">
        <v>12.6297113020556</v>
      </c>
      <c r="L392" s="132" t="n">
        <v>0.59</v>
      </c>
      <c r="M392" s="131" t="s">
        <v>62</v>
      </c>
      <c r="N392" s="133" t="n">
        <v>1.31073758649532</v>
      </c>
      <c r="O392" s="133" t="n">
        <v>12.6297113020556</v>
      </c>
      <c r="P392" s="132" t="n">
        <v>0.0222</v>
      </c>
      <c r="Q392" s="131" t="s">
        <v>130</v>
      </c>
      <c r="R392" s="130" t="n">
        <v>49828000</v>
      </c>
      <c r="S392" s="143" t="n">
        <v>0</v>
      </c>
      <c r="T392" s="134" t="n">
        <v>45420.330703125</v>
      </c>
    </row>
    <row r="393" customFormat="false" ht="39.75" hidden="false" customHeight="true" outlineLevel="0" collapsed="false">
      <c r="B393" s="130" t="n">
        <v>34317987</v>
      </c>
      <c r="C393" s="131" t="s">
        <v>500</v>
      </c>
      <c r="D393" s="131" t="s">
        <v>135</v>
      </c>
      <c r="E393" s="130" t="n">
        <v>2893800</v>
      </c>
      <c r="F393" s="131" t="s">
        <v>14</v>
      </c>
      <c r="G393" s="130" t="n">
        <v>5000000</v>
      </c>
      <c r="H393" s="131" t="n">
        <v>721</v>
      </c>
      <c r="I393" s="132" t="n">
        <v>0.31</v>
      </c>
      <c r="J393" s="132" t="n">
        <v>0.34</v>
      </c>
      <c r="K393" s="130" t="n">
        <v>5.35973460501762</v>
      </c>
      <c r="L393" s="132" t="n">
        <v>0.34</v>
      </c>
      <c r="M393" s="131" t="s">
        <v>64</v>
      </c>
      <c r="N393" s="133" t="n">
        <v>1.0916929297118</v>
      </c>
      <c r="O393" s="133" t="n">
        <v>5.35973460501762</v>
      </c>
      <c r="P393" s="132" t="n">
        <v>0.0199</v>
      </c>
      <c r="Q393" s="131" t="s">
        <v>130</v>
      </c>
      <c r="R393" s="130" t="n">
        <v>15510000</v>
      </c>
      <c r="S393" s="143" t="n">
        <v>0</v>
      </c>
      <c r="T393" s="134" t="n">
        <v>45420.41443125</v>
      </c>
    </row>
    <row r="394" customFormat="false" ht="39.75" hidden="false" customHeight="true" outlineLevel="0" collapsed="false">
      <c r="B394" s="130" t="n">
        <v>1114728183</v>
      </c>
      <c r="C394" s="131" t="s">
        <v>501</v>
      </c>
      <c r="D394" s="131" t="s">
        <v>135</v>
      </c>
      <c r="E394" s="130" t="n">
        <v>2893800</v>
      </c>
      <c r="F394" s="131" t="s">
        <v>33</v>
      </c>
      <c r="G394" s="130" t="n">
        <v>6500000</v>
      </c>
      <c r="H394" s="131" t="n">
        <v>797</v>
      </c>
      <c r="I394" s="132" t="n">
        <v>0.16</v>
      </c>
      <c r="J394" s="132" t="n">
        <v>0.25</v>
      </c>
      <c r="K394" s="130" t="n">
        <v>18.4282472873039</v>
      </c>
      <c r="L394" s="132" t="n">
        <v>0.25</v>
      </c>
      <c r="M394" s="131" t="s">
        <v>62</v>
      </c>
      <c r="N394" s="133" t="n">
        <v>1.25935966549174</v>
      </c>
      <c r="O394" s="133" t="n">
        <v>18.4282472873039</v>
      </c>
      <c r="P394" s="132" t="n">
        <v>0.0179</v>
      </c>
      <c r="Q394" s="131" t="s">
        <v>130</v>
      </c>
      <c r="R394" s="130" t="n">
        <v>52274000</v>
      </c>
      <c r="S394" s="143" t="n">
        <v>0</v>
      </c>
      <c r="T394" s="134" t="n">
        <v>45420.4171194444</v>
      </c>
    </row>
    <row r="395" customFormat="false" ht="39.75" hidden="false" customHeight="true" outlineLevel="0" collapsed="false">
      <c r="B395" s="130" t="n">
        <v>1113635046</v>
      </c>
      <c r="C395" s="131" t="s">
        <v>502</v>
      </c>
      <c r="D395" s="131" t="s">
        <v>135</v>
      </c>
      <c r="E395" s="130" t="n">
        <v>3496700</v>
      </c>
      <c r="F395" s="131" t="s">
        <v>34</v>
      </c>
      <c r="G395" s="130" t="n">
        <v>7000000</v>
      </c>
      <c r="H395" s="131" t="n">
        <v>780</v>
      </c>
      <c r="I395" s="132" t="n">
        <v>0.3</v>
      </c>
      <c r="J395" s="132" t="n">
        <v>0.41</v>
      </c>
      <c r="K395" s="130" t="n">
        <v>0.282373952583865</v>
      </c>
      <c r="L395" s="132" t="n">
        <v>0.41</v>
      </c>
      <c r="M395" s="131" t="s">
        <v>64</v>
      </c>
      <c r="N395" s="133" t="n">
        <v>0.879641948122516</v>
      </c>
      <c r="O395" s="133" t="n">
        <v>0.282373952583865</v>
      </c>
      <c r="P395" s="132" t="n">
        <v>0.0179</v>
      </c>
      <c r="Q395" s="131" t="s">
        <v>130</v>
      </c>
      <c r="R395" s="130" t="n">
        <v>0</v>
      </c>
      <c r="S395" s="143" t="s">
        <v>503</v>
      </c>
      <c r="T395" s="134" t="n">
        <v>45420.422594213</v>
      </c>
    </row>
    <row r="396" customFormat="false" ht="39.75" hidden="false" customHeight="true" outlineLevel="0" collapsed="false">
      <c r="B396" s="130" t="n">
        <v>1144032064</v>
      </c>
      <c r="C396" s="131" t="s">
        <v>504</v>
      </c>
      <c r="D396" s="131" t="s">
        <v>135</v>
      </c>
      <c r="E396" s="130" t="n">
        <v>5418800</v>
      </c>
      <c r="F396" s="131" t="s">
        <v>16</v>
      </c>
      <c r="G396" s="130" t="n">
        <v>10000000</v>
      </c>
      <c r="H396" s="131" t="n">
        <v>724</v>
      </c>
      <c r="I396" s="132" t="n">
        <v>0.26</v>
      </c>
      <c r="J396" s="132" t="n">
        <v>0.37</v>
      </c>
      <c r="K396" s="130" t="n">
        <v>11.3940355798332</v>
      </c>
      <c r="L396" s="132" t="n">
        <v>0.37</v>
      </c>
      <c r="M396" s="131" t="s">
        <v>64</v>
      </c>
      <c r="N396" s="133" t="n">
        <v>0.925083228759135</v>
      </c>
      <c r="O396" s="133" t="n">
        <v>11.3940355798332</v>
      </c>
      <c r="P396" s="132" t="n">
        <v>0.0199</v>
      </c>
      <c r="Q396" s="131" t="s">
        <v>130</v>
      </c>
      <c r="R396" s="130" t="n">
        <v>61742000</v>
      </c>
      <c r="S396" s="143" t="n">
        <v>0</v>
      </c>
      <c r="T396" s="134" t="n">
        <v>45420.4283399306</v>
      </c>
    </row>
    <row r="397" customFormat="false" ht="39.75" hidden="false" customHeight="true" outlineLevel="0" collapsed="false">
      <c r="B397" s="130" t="n">
        <v>1007577558</v>
      </c>
      <c r="C397" s="131" t="s">
        <v>505</v>
      </c>
      <c r="D397" s="131" t="s">
        <v>135</v>
      </c>
      <c r="E397" s="130" t="n">
        <v>2604400</v>
      </c>
      <c r="F397" s="131" t="s">
        <v>16</v>
      </c>
      <c r="G397" s="130" t="n">
        <v>6000000</v>
      </c>
      <c r="H397" s="131" t="n">
        <v>779</v>
      </c>
      <c r="I397" s="132" t="n">
        <v>0.11</v>
      </c>
      <c r="J397" s="132" t="n">
        <v>0.2</v>
      </c>
      <c r="K397" s="130" t="n">
        <v>0</v>
      </c>
      <c r="L397" s="132" t="n">
        <v>0.2</v>
      </c>
      <c r="M397" s="131" t="s">
        <v>64</v>
      </c>
      <c r="N397" s="133" t="n">
        <v>0.676963984027031</v>
      </c>
      <c r="O397" s="133" t="n">
        <v>0</v>
      </c>
      <c r="P397" s="132" t="n">
        <v>0.0199</v>
      </c>
      <c r="Q397" s="131" t="s">
        <v>130</v>
      </c>
      <c r="R397" s="130" t="n">
        <v>0</v>
      </c>
      <c r="S397" s="143" t="n">
        <v>0</v>
      </c>
      <c r="T397" s="134" t="n">
        <v>45420.4297615741</v>
      </c>
    </row>
    <row r="398" customFormat="false" ht="39.75" hidden="false" customHeight="true" outlineLevel="0" collapsed="false">
      <c r="B398" s="130" t="n">
        <v>1144181904</v>
      </c>
      <c r="C398" s="131" t="s">
        <v>506</v>
      </c>
      <c r="D398" s="131" t="s">
        <v>135</v>
      </c>
      <c r="E398" s="130" t="n">
        <v>2600900</v>
      </c>
      <c r="F398" s="131" t="s">
        <v>18</v>
      </c>
      <c r="G398" s="130" t="n">
        <v>1000000</v>
      </c>
      <c r="H398" s="131" t="n">
        <v>730</v>
      </c>
      <c r="I398" s="132" t="n">
        <v>0.53</v>
      </c>
      <c r="J398" s="132" t="n">
        <v>0.57</v>
      </c>
      <c r="K398" s="130" t="n">
        <v>24.6853873659118</v>
      </c>
      <c r="L398" s="132" t="n">
        <v>0.57</v>
      </c>
      <c r="M398" s="131" t="s">
        <v>64</v>
      </c>
      <c r="N398" s="133" t="n">
        <v>1.77133030873928</v>
      </c>
      <c r="O398" s="133" t="n">
        <v>24.6853873659118</v>
      </c>
      <c r="P398" s="132" t="n">
        <v>0.028</v>
      </c>
      <c r="Q398" s="131" t="s">
        <v>130</v>
      </c>
      <c r="R398" s="130" t="n">
        <v>61158000</v>
      </c>
      <c r="S398" s="143" t="n">
        <v>0</v>
      </c>
      <c r="T398" s="134" t="n">
        <v>45421.3829528935</v>
      </c>
    </row>
    <row r="399" customFormat="false" ht="39.75" hidden="false" customHeight="true" outlineLevel="0" collapsed="false">
      <c r="B399" s="130" t="n">
        <v>1087115616</v>
      </c>
      <c r="C399" s="131" t="s">
        <v>507</v>
      </c>
      <c r="D399" s="131" t="s">
        <v>135</v>
      </c>
      <c r="E399" s="130" t="n">
        <v>1991000</v>
      </c>
      <c r="F399" s="131" t="s">
        <v>18</v>
      </c>
      <c r="G399" s="130" t="n">
        <v>790000</v>
      </c>
      <c r="H399" s="131" t="n">
        <v>804</v>
      </c>
      <c r="I399" s="132" t="n">
        <v>0.08</v>
      </c>
      <c r="J399" s="132" t="n">
        <v>0.12</v>
      </c>
      <c r="K399" s="130" t="n">
        <v>2.44827774987444</v>
      </c>
      <c r="L399" s="132" t="n">
        <v>0.12</v>
      </c>
      <c r="M399" s="131" t="s">
        <v>62</v>
      </c>
      <c r="N399" s="133" t="n">
        <v>0.788466599698644</v>
      </c>
      <c r="O399" s="133" t="n">
        <v>2.44827774987444</v>
      </c>
      <c r="P399" s="132" t="n">
        <v>0.028</v>
      </c>
      <c r="Q399" s="131" t="s">
        <v>130</v>
      </c>
      <c r="R399" s="130" t="n">
        <v>3843000</v>
      </c>
      <c r="S399" s="143" t="n">
        <v>0</v>
      </c>
      <c r="T399" s="134" t="n">
        <v>45421.3857982639</v>
      </c>
    </row>
    <row r="400" customFormat="false" ht="39.75" hidden="false" customHeight="true" outlineLevel="0" collapsed="false">
      <c r="B400" s="130" t="n">
        <v>91493134</v>
      </c>
      <c r="C400" s="131" t="s">
        <v>204</v>
      </c>
      <c r="D400" s="131" t="s">
        <v>135</v>
      </c>
      <c r="E400" s="130" t="n">
        <v>3945300</v>
      </c>
      <c r="F400" s="131" t="s">
        <v>18</v>
      </c>
      <c r="G400" s="130" t="n">
        <v>600000</v>
      </c>
      <c r="H400" s="131" t="n">
        <v>708</v>
      </c>
      <c r="I400" s="132" t="n">
        <v>0.38</v>
      </c>
      <c r="J400" s="132" t="n">
        <v>0.4</v>
      </c>
      <c r="K400" s="130" t="n">
        <v>8.95857906876537</v>
      </c>
      <c r="L400" s="132" t="n">
        <v>0.4</v>
      </c>
      <c r="M400" s="131" t="s">
        <v>64</v>
      </c>
      <c r="N400" s="133" t="n">
        <v>1.20494106912022</v>
      </c>
      <c r="O400" s="133" t="n">
        <v>8.95857906876537</v>
      </c>
      <c r="P400" s="132" t="n">
        <v>0.028</v>
      </c>
      <c r="Q400" s="131" t="s">
        <v>130</v>
      </c>
      <c r="R400" s="130" t="n">
        <v>31255000</v>
      </c>
      <c r="S400" s="143" t="n">
        <v>0</v>
      </c>
      <c r="T400" s="134" t="n">
        <v>45421.4241916667</v>
      </c>
    </row>
    <row r="401" customFormat="false" ht="39.75" hidden="false" customHeight="true" outlineLevel="0" collapsed="false">
      <c r="B401" s="130" t="n">
        <v>66656138</v>
      </c>
      <c r="C401" s="131" t="s">
        <v>508</v>
      </c>
      <c r="D401" s="131" t="s">
        <v>135</v>
      </c>
      <c r="E401" s="130" t="n">
        <v>2893800</v>
      </c>
      <c r="F401" s="131" t="s">
        <v>18</v>
      </c>
      <c r="G401" s="130" t="n">
        <v>1000000</v>
      </c>
      <c r="H401" s="131" t="n">
        <v>586</v>
      </c>
      <c r="I401" s="132" t="n">
        <v>0.73</v>
      </c>
      <c r="J401" s="132" t="n">
        <v>0.76</v>
      </c>
      <c r="K401" s="130" t="n">
        <v>12.5689515515931</v>
      </c>
      <c r="L401" s="132" t="n">
        <v>0.76</v>
      </c>
      <c r="M401" s="131" t="s">
        <v>64</v>
      </c>
      <c r="N401" s="133" t="n">
        <v>2.55477814638192</v>
      </c>
      <c r="O401" s="133" t="n">
        <v>12.5689515515931</v>
      </c>
      <c r="P401" s="132" t="n">
        <v>0.028</v>
      </c>
      <c r="Q401" s="131" t="s">
        <v>130</v>
      </c>
      <c r="R401" s="130" t="n">
        <v>34884000</v>
      </c>
      <c r="S401" s="143" t="n">
        <v>0</v>
      </c>
      <c r="T401" s="134" t="n">
        <v>45421.4254592593</v>
      </c>
    </row>
    <row r="402" customFormat="false" ht="39.75" hidden="false" customHeight="true" outlineLevel="0" collapsed="false">
      <c r="B402" s="130" t="n">
        <v>51997260</v>
      </c>
      <c r="C402" s="131" t="s">
        <v>459</v>
      </c>
      <c r="D402" s="131" t="s">
        <v>135</v>
      </c>
      <c r="E402" s="130" t="n">
        <v>2893800</v>
      </c>
      <c r="F402" s="131" t="s">
        <v>18</v>
      </c>
      <c r="G402" s="130" t="n">
        <v>900000</v>
      </c>
      <c r="H402" s="131" t="n">
        <v>692</v>
      </c>
      <c r="I402" s="132" t="n">
        <v>0.52</v>
      </c>
      <c r="J402" s="132" t="n">
        <v>0.55</v>
      </c>
      <c r="K402" s="130" t="n">
        <v>1.1933008500933</v>
      </c>
      <c r="L402" s="132" t="n">
        <v>0.55</v>
      </c>
      <c r="M402" s="131" t="s">
        <v>62</v>
      </c>
      <c r="N402" s="133" t="n">
        <v>1.2301883336789</v>
      </c>
      <c r="O402" s="133" t="n">
        <v>1.1933008500933</v>
      </c>
      <c r="P402" s="132" t="n">
        <v>0.028</v>
      </c>
      <c r="Q402" s="131" t="s">
        <v>130</v>
      </c>
      <c r="R402" s="130" t="n">
        <v>1910000</v>
      </c>
      <c r="S402" s="143" t="s">
        <v>509</v>
      </c>
      <c r="T402" s="134" t="n">
        <v>45421.4282849537</v>
      </c>
    </row>
    <row r="403" customFormat="false" ht="39.75" hidden="false" customHeight="true" outlineLevel="0" collapsed="false">
      <c r="B403" s="130" t="n">
        <v>14894421</v>
      </c>
      <c r="C403" s="131" t="s">
        <v>510</v>
      </c>
      <c r="D403" s="131" t="s">
        <v>185</v>
      </c>
      <c r="E403" s="130" t="n">
        <v>1700000</v>
      </c>
      <c r="F403" s="131" t="s">
        <v>18</v>
      </c>
      <c r="G403" s="130" t="n">
        <v>680000</v>
      </c>
      <c r="H403" s="131" t="n">
        <v>686</v>
      </c>
      <c r="I403" s="132" t="n">
        <v>0.34</v>
      </c>
      <c r="K403" s="130" t="n">
        <v>0.935576470588235</v>
      </c>
      <c r="M403" s="131" t="s">
        <v>64</v>
      </c>
      <c r="N403" s="133" t="n">
        <v>0.895005882352941</v>
      </c>
      <c r="O403" s="133" t="n">
        <v>0.935576470588235</v>
      </c>
      <c r="P403" s="132" t="n">
        <v>0.028</v>
      </c>
      <c r="Q403" s="131" t="s">
        <v>130</v>
      </c>
      <c r="R403" s="130" t="n">
        <v>0</v>
      </c>
      <c r="S403" s="143"/>
      <c r="T403" s="134" t="n">
        <v>45421.431203588</v>
      </c>
    </row>
    <row r="404" customFormat="false" ht="39.75" hidden="false" customHeight="true" outlineLevel="0" collapsed="false">
      <c r="B404" s="130" t="n">
        <v>94072107</v>
      </c>
      <c r="C404" s="131" t="s">
        <v>511</v>
      </c>
      <c r="D404" s="131" t="s">
        <v>135</v>
      </c>
      <c r="E404" s="130" t="n">
        <v>1828100</v>
      </c>
      <c r="F404" s="131" t="s">
        <v>18</v>
      </c>
      <c r="G404" s="130" t="n">
        <v>790000</v>
      </c>
      <c r="H404" s="131" t="n">
        <v>726</v>
      </c>
      <c r="I404" s="132" t="n">
        <v>0.13</v>
      </c>
      <c r="J404" s="132" t="n">
        <v>0.18</v>
      </c>
      <c r="K404" s="130" t="n">
        <v>0.7811388873694</v>
      </c>
      <c r="L404" s="132" t="n">
        <v>0.18</v>
      </c>
      <c r="M404" s="131" t="s">
        <v>64</v>
      </c>
      <c r="N404" s="133" t="n">
        <v>1.48113560527323</v>
      </c>
      <c r="O404" s="133" t="n">
        <v>0.7811388873694</v>
      </c>
      <c r="P404" s="132" t="n">
        <v>0.028</v>
      </c>
      <c r="Q404" s="131" t="s">
        <v>130</v>
      </c>
      <c r="R404" s="130" t="n">
        <v>1428000</v>
      </c>
      <c r="S404" s="143"/>
      <c r="T404" s="134" t="n">
        <v>45421.4325216435</v>
      </c>
    </row>
    <row r="405" customFormat="false" ht="39.75" hidden="false" customHeight="true" outlineLevel="0" collapsed="false">
      <c r="B405" s="130" t="n">
        <v>67021850</v>
      </c>
      <c r="C405" s="131" t="s">
        <v>512</v>
      </c>
      <c r="D405" s="131" t="s">
        <v>135</v>
      </c>
      <c r="E405" s="130" t="n">
        <v>2893800</v>
      </c>
      <c r="F405" s="131" t="s">
        <v>18</v>
      </c>
      <c r="G405" s="130" t="n">
        <v>1000000</v>
      </c>
      <c r="H405" s="131" t="n">
        <v>684</v>
      </c>
      <c r="I405" s="132" t="n">
        <v>0.39</v>
      </c>
      <c r="J405" s="132" t="n">
        <v>0.43</v>
      </c>
      <c r="K405" s="130" t="n">
        <v>5.49961331121709</v>
      </c>
      <c r="L405" s="132" t="n">
        <v>0.43</v>
      </c>
      <c r="M405" s="131" t="s">
        <v>64</v>
      </c>
      <c r="N405" s="133" t="n">
        <v>4.93123470868754</v>
      </c>
      <c r="O405" s="133" t="n">
        <v>5.49961331121709</v>
      </c>
      <c r="P405" s="132" t="n">
        <v>0.028</v>
      </c>
      <c r="Q405" s="131" t="s">
        <v>130</v>
      </c>
      <c r="R405" s="130" t="n">
        <v>10570000</v>
      </c>
      <c r="S405" s="143"/>
      <c r="T405" s="134" t="n">
        <v>45421.4379439815</v>
      </c>
    </row>
    <row r="406" customFormat="false" ht="39.75" hidden="false" customHeight="true" outlineLevel="0" collapsed="false">
      <c r="B406" s="130" t="n">
        <v>1143867692</v>
      </c>
      <c r="C406" s="131" t="s">
        <v>513</v>
      </c>
      <c r="D406" s="131" t="s">
        <v>135</v>
      </c>
      <c r="E406" s="130" t="n">
        <v>1625000</v>
      </c>
      <c r="F406" s="131" t="s">
        <v>18</v>
      </c>
      <c r="G406" s="130" t="n">
        <v>650000</v>
      </c>
      <c r="H406" s="131" t="n">
        <v>514</v>
      </c>
      <c r="I406" s="132" t="n">
        <v>0.22</v>
      </c>
      <c r="J406" s="132" t="n">
        <v>0.26</v>
      </c>
      <c r="K406" s="130" t="n">
        <v>15.388528</v>
      </c>
      <c r="L406" s="132" t="n">
        <v>0.26</v>
      </c>
      <c r="M406" s="131" t="s">
        <v>64</v>
      </c>
      <c r="N406" s="133" t="n">
        <v>17.8129913846154</v>
      </c>
      <c r="O406" s="133" t="n">
        <v>15.388528</v>
      </c>
      <c r="P406" s="132" t="n">
        <v>0.028</v>
      </c>
      <c r="Q406" s="131" t="s">
        <v>130</v>
      </c>
      <c r="R406" s="130" t="n">
        <v>24287000</v>
      </c>
      <c r="S406" s="143"/>
      <c r="T406" s="134" t="n">
        <v>45421.4388864583</v>
      </c>
    </row>
    <row r="407" customFormat="false" ht="39.75" hidden="false" customHeight="true" outlineLevel="0" collapsed="false">
      <c r="B407" s="130" t="n">
        <v>1112476291</v>
      </c>
      <c r="C407" s="131" t="s">
        <v>514</v>
      </c>
      <c r="D407" s="131" t="s">
        <v>135</v>
      </c>
      <c r="E407" s="130" t="n">
        <v>2604400</v>
      </c>
      <c r="F407" s="131" t="s">
        <v>34</v>
      </c>
      <c r="G407" s="130" t="n">
        <v>3500000</v>
      </c>
      <c r="H407" s="131" t="n">
        <v>551</v>
      </c>
      <c r="I407" s="132" t="n">
        <v>0.11</v>
      </c>
      <c r="J407" s="132" t="n">
        <v>0.18</v>
      </c>
      <c r="K407" s="130" t="n">
        <v>7.92313008754416</v>
      </c>
      <c r="L407" s="132" t="n">
        <v>0.18</v>
      </c>
      <c r="M407" s="131" t="s">
        <v>64</v>
      </c>
      <c r="N407" s="133" t="n">
        <v>1.85077906619567</v>
      </c>
      <c r="O407" s="133" t="n">
        <v>7.92313008754416</v>
      </c>
      <c r="P407" s="132" t="n">
        <v>0.0179</v>
      </c>
      <c r="Q407" s="131" t="s">
        <v>130</v>
      </c>
      <c r="R407" s="130" t="n">
        <v>20635000</v>
      </c>
      <c r="S407" s="143"/>
      <c r="T407" s="134" t="n">
        <v>45421.5854908565</v>
      </c>
    </row>
    <row r="408" customFormat="false" ht="39.75" hidden="false" customHeight="true" outlineLevel="0" collapsed="false">
      <c r="B408" s="130" t="n">
        <v>66874573</v>
      </c>
      <c r="C408" s="131" t="s">
        <v>515</v>
      </c>
      <c r="D408" s="131" t="s">
        <v>135</v>
      </c>
      <c r="E408" s="130" t="n">
        <v>2600900</v>
      </c>
      <c r="F408" s="131" t="s">
        <v>29</v>
      </c>
      <c r="G408" s="130" t="n">
        <v>2900000</v>
      </c>
      <c r="H408" s="131" t="n">
        <v>582</v>
      </c>
      <c r="I408" s="132" t="n">
        <v>0.61</v>
      </c>
      <c r="J408" s="132" t="n">
        <v>0.64</v>
      </c>
      <c r="K408" s="130" t="n">
        <v>17.3447652735592</v>
      </c>
      <c r="L408" s="132" t="n">
        <v>0.64</v>
      </c>
      <c r="M408" s="131" t="s">
        <v>64</v>
      </c>
      <c r="N408" s="133" t="n">
        <v>1.98171594448076</v>
      </c>
      <c r="O408" s="133" t="n">
        <v>17.3447652735592</v>
      </c>
      <c r="P408" s="132" t="n">
        <v>0.0179</v>
      </c>
      <c r="Q408" s="131" t="s">
        <v>130</v>
      </c>
      <c r="R408" s="130" t="n">
        <v>45112000</v>
      </c>
      <c r="S408" s="143"/>
      <c r="T408" s="134" t="n">
        <v>45421.5925885417</v>
      </c>
    </row>
    <row r="409" customFormat="false" ht="39.75" hidden="false" customHeight="true" outlineLevel="0" collapsed="false">
      <c r="B409" s="130" t="n">
        <v>1123626223</v>
      </c>
      <c r="C409" s="131" t="s">
        <v>144</v>
      </c>
      <c r="D409" s="131" t="s">
        <v>135</v>
      </c>
      <c r="E409" s="130" t="n">
        <v>3550700</v>
      </c>
      <c r="F409" s="131" t="s">
        <v>29</v>
      </c>
      <c r="G409" s="130" t="n">
        <v>3400000</v>
      </c>
      <c r="H409" s="131" t="n">
        <v>605</v>
      </c>
      <c r="I409" s="132" t="n">
        <v>0.18</v>
      </c>
      <c r="J409" s="132" t="n">
        <v>0.24</v>
      </c>
      <c r="K409" s="130" t="n">
        <v>8.15932689328865</v>
      </c>
      <c r="L409" s="132" t="n">
        <v>0.24</v>
      </c>
      <c r="M409" s="131" t="s">
        <v>64</v>
      </c>
      <c r="N409" s="133" t="n">
        <v>1.07951558847551</v>
      </c>
      <c r="O409" s="133" t="n">
        <v>8.15932689328865</v>
      </c>
      <c r="P409" s="132" t="n">
        <v>0.0179</v>
      </c>
      <c r="Q409" s="131" t="s">
        <v>130</v>
      </c>
      <c r="R409" s="130" t="n">
        <v>26303000</v>
      </c>
      <c r="S409" s="143"/>
      <c r="T409" s="134" t="n">
        <v>45421.6304706019</v>
      </c>
    </row>
    <row r="410" customFormat="false" ht="39.75" hidden="false" customHeight="true" outlineLevel="0" collapsed="false">
      <c r="B410" s="130" t="n">
        <v>1143117018</v>
      </c>
      <c r="C410" s="131" t="s">
        <v>516</v>
      </c>
      <c r="D410" s="131" t="s">
        <v>135</v>
      </c>
      <c r="E410" s="130" t="n">
        <v>4876900</v>
      </c>
      <c r="F410" s="131" t="s">
        <v>34</v>
      </c>
      <c r="G410" s="130" t="n">
        <v>4400000</v>
      </c>
      <c r="H410" s="131" t="n">
        <v>664</v>
      </c>
      <c r="I410" s="132" t="n">
        <v>0.35</v>
      </c>
      <c r="J410" s="132" t="n">
        <v>0.4</v>
      </c>
      <c r="K410" s="130" t="n">
        <v>12.8362279316779</v>
      </c>
      <c r="L410" s="132" t="n">
        <v>0.4</v>
      </c>
      <c r="M410" s="131" t="s">
        <v>64</v>
      </c>
      <c r="N410" s="133" t="n">
        <v>1.17789107834895</v>
      </c>
      <c r="O410" s="133" t="n">
        <v>12.8362279316779</v>
      </c>
      <c r="P410" s="132" t="n">
        <v>0.0179</v>
      </c>
      <c r="Q410" s="131" t="s">
        <v>130</v>
      </c>
      <c r="R410" s="130" t="n">
        <v>62601000</v>
      </c>
      <c r="S410" s="143"/>
      <c r="T410" s="134" t="n">
        <v>45427.3811630787</v>
      </c>
    </row>
    <row r="411" customFormat="false" ht="39.75" hidden="false" customHeight="true" outlineLevel="0" collapsed="false">
      <c r="B411" s="130" t="n">
        <v>29510817</v>
      </c>
      <c r="C411" s="131" t="s">
        <v>517</v>
      </c>
      <c r="D411" s="131" t="s">
        <v>135</v>
      </c>
      <c r="E411" s="130" t="n">
        <v>3394800</v>
      </c>
      <c r="F411" s="131" t="s">
        <v>33</v>
      </c>
      <c r="G411" s="130" t="n">
        <v>15000000</v>
      </c>
      <c r="H411" s="131" t="n">
        <v>850</v>
      </c>
      <c r="I411" s="132" t="n">
        <v>0.28</v>
      </c>
      <c r="J411" s="132" t="n">
        <v>0.46</v>
      </c>
      <c r="K411" s="130" t="n">
        <v>14.1045127842583</v>
      </c>
      <c r="L411" s="132" t="n">
        <v>0.46</v>
      </c>
      <c r="M411" s="131" t="s">
        <v>62</v>
      </c>
      <c r="N411" s="133" t="n">
        <v>1.30648256156475</v>
      </c>
      <c r="O411" s="133" t="n">
        <v>14.1045127842583</v>
      </c>
      <c r="P411" s="132" t="n">
        <v>0.0179</v>
      </c>
      <c r="Q411" s="131" t="s">
        <v>130</v>
      </c>
      <c r="R411" s="130" t="n">
        <v>47882000</v>
      </c>
      <c r="S411" s="143"/>
      <c r="T411" s="134" t="n">
        <v>45427.3961510417</v>
      </c>
    </row>
    <row r="412" customFormat="false" ht="39.75" hidden="false" customHeight="true" outlineLevel="0" collapsed="false">
      <c r="B412" s="130" t="n">
        <v>75073905</v>
      </c>
      <c r="C412" s="131" t="s">
        <v>518</v>
      </c>
      <c r="D412" s="131" t="s">
        <v>135</v>
      </c>
      <c r="E412" s="130" t="n">
        <v>9999400</v>
      </c>
      <c r="F412" s="131" t="s">
        <v>22</v>
      </c>
      <c r="G412" s="130" t="n">
        <v>5500000</v>
      </c>
      <c r="H412" s="131" t="n">
        <v>890</v>
      </c>
      <c r="I412" s="132" t="n">
        <v>0.33</v>
      </c>
      <c r="J412" s="132" t="n">
        <v>0.35</v>
      </c>
      <c r="K412" s="130" t="n">
        <v>9.66641358481509</v>
      </c>
      <c r="L412" s="132" t="n">
        <v>0.35</v>
      </c>
      <c r="M412" s="131" t="s">
        <v>61</v>
      </c>
      <c r="N412" s="133" t="n">
        <v>0.986399383963038</v>
      </c>
      <c r="O412" s="133" t="n">
        <v>9.66641358481509</v>
      </c>
      <c r="P412" s="132" t="n">
        <v>0.0107</v>
      </c>
      <c r="Q412" s="131" t="s">
        <v>130</v>
      </c>
      <c r="R412" s="130" t="n">
        <v>59229000</v>
      </c>
      <c r="S412" s="143" t="s">
        <v>519</v>
      </c>
      <c r="T412" s="134" t="n">
        <v>45427.4025945602</v>
      </c>
    </row>
    <row r="413" customFormat="false" ht="39.75" hidden="false" customHeight="true" outlineLevel="0" collapsed="false">
      <c r="B413" s="130" t="n">
        <v>31532035</v>
      </c>
      <c r="C413" s="131" t="s">
        <v>211</v>
      </c>
      <c r="D413" s="131" t="s">
        <v>135</v>
      </c>
      <c r="E413" s="130" t="n">
        <v>9087800</v>
      </c>
      <c r="F413" s="131" t="s">
        <v>33</v>
      </c>
      <c r="G413" s="130" t="n">
        <v>5000000</v>
      </c>
      <c r="H413" s="131" t="n">
        <v>977</v>
      </c>
      <c r="I413" s="132" t="n">
        <v>0.17</v>
      </c>
      <c r="J413" s="132" t="n">
        <v>0.19</v>
      </c>
      <c r="K413" s="130" t="n">
        <v>0.289954884570523</v>
      </c>
      <c r="L413" s="132" t="n">
        <v>0.19</v>
      </c>
      <c r="M413" s="131" t="s">
        <v>62</v>
      </c>
      <c r="N413" s="133" t="n">
        <v>0.640849930676291</v>
      </c>
      <c r="O413" s="133" t="n">
        <v>0.289954884570523</v>
      </c>
      <c r="P413" s="132" t="n">
        <v>0.0107</v>
      </c>
      <c r="Q413" s="131" t="s">
        <v>130</v>
      </c>
      <c r="R413" s="130" t="n">
        <v>0</v>
      </c>
      <c r="S413" s="143" t="n">
        <v>0</v>
      </c>
      <c r="T413" s="134" t="n">
        <v>45427.4086118056</v>
      </c>
    </row>
    <row r="414" customFormat="false" ht="39.75" hidden="false" customHeight="true" outlineLevel="0" collapsed="false">
      <c r="B414" s="130" t="n">
        <v>16769506</v>
      </c>
      <c r="C414" s="131" t="s">
        <v>520</v>
      </c>
      <c r="D414" s="131" t="s">
        <v>135</v>
      </c>
      <c r="E414" s="130" t="n">
        <v>2600900</v>
      </c>
      <c r="F414" s="131" t="s">
        <v>22</v>
      </c>
      <c r="G414" s="130" t="n">
        <v>16000000</v>
      </c>
      <c r="H414" s="131" t="n">
        <v>887</v>
      </c>
      <c r="I414" s="132" t="n">
        <v>0.39</v>
      </c>
      <c r="J414" s="132" t="n">
        <v>0.54</v>
      </c>
      <c r="K414" s="130" t="n">
        <v>10.0846091737475</v>
      </c>
      <c r="L414" s="132" t="n">
        <v>0.54</v>
      </c>
      <c r="M414" s="131" t="s">
        <v>61</v>
      </c>
      <c r="N414" s="133" t="n">
        <v>1.15080779730093</v>
      </c>
      <c r="O414" s="133" t="n">
        <v>10.0846091737475</v>
      </c>
      <c r="P414" s="132" t="n">
        <v>0.0107</v>
      </c>
      <c r="Q414" s="131" t="s">
        <v>130</v>
      </c>
      <c r="R414" s="130" t="n">
        <v>11964000</v>
      </c>
      <c r="S414" s="143" t="n">
        <v>0</v>
      </c>
      <c r="T414" s="134" t="n">
        <v>45427.4130454861</v>
      </c>
    </row>
    <row r="415" customFormat="false" ht="39.75" hidden="false" customHeight="true" outlineLevel="0" collapsed="false">
      <c r="B415" s="130" t="n">
        <v>16377725</v>
      </c>
      <c r="C415" s="131" t="s">
        <v>521</v>
      </c>
      <c r="D415" s="131" t="s">
        <v>135</v>
      </c>
      <c r="E415" s="130" t="n">
        <v>8245400</v>
      </c>
      <c r="F415" s="131" t="s">
        <v>22</v>
      </c>
      <c r="G415" s="130" t="n">
        <v>7000000</v>
      </c>
      <c r="H415" s="131" t="n">
        <v>875</v>
      </c>
      <c r="I415" s="132" t="n">
        <v>0.39</v>
      </c>
      <c r="J415" s="132" t="n">
        <v>0.42</v>
      </c>
      <c r="K415" s="130" t="n">
        <v>3.08412872632013</v>
      </c>
      <c r="L415" s="132" t="n">
        <v>0.42</v>
      </c>
      <c r="M415" s="131" t="s">
        <v>61</v>
      </c>
      <c r="N415" s="133" t="n">
        <v>0.891765226671841</v>
      </c>
      <c r="O415" s="133" t="n">
        <v>3.08412872632013</v>
      </c>
      <c r="P415" s="132" t="n">
        <v>0.0107</v>
      </c>
      <c r="Q415" s="131" t="s">
        <v>130</v>
      </c>
      <c r="R415" s="130" t="n">
        <v>379000</v>
      </c>
      <c r="S415" s="143" t="s">
        <v>522</v>
      </c>
      <c r="T415" s="134" t="n">
        <v>45427.4284734954</v>
      </c>
    </row>
    <row r="416" customFormat="false" ht="39.75" hidden="false" customHeight="true" outlineLevel="0" collapsed="false">
      <c r="B416" s="130" t="n">
        <v>29705663</v>
      </c>
      <c r="C416" s="131" t="s">
        <v>523</v>
      </c>
      <c r="D416" s="131" t="s">
        <v>135</v>
      </c>
      <c r="E416" s="130" t="n">
        <v>7551500</v>
      </c>
      <c r="F416" s="131" t="s">
        <v>33</v>
      </c>
      <c r="G416" s="130" t="n">
        <v>6400000</v>
      </c>
      <c r="H416" s="131" t="n">
        <v>657</v>
      </c>
      <c r="I416" s="132" t="n">
        <v>0.23</v>
      </c>
      <c r="J416" s="132" t="n">
        <v>0.25</v>
      </c>
      <c r="K416" s="130" t="n">
        <v>8.48122187644839</v>
      </c>
      <c r="L416" s="132" t="n">
        <v>0.25</v>
      </c>
      <c r="M416" s="131" t="s">
        <v>62</v>
      </c>
      <c r="N416" s="133" t="n">
        <v>0.832479374958618</v>
      </c>
      <c r="O416" s="133" t="n">
        <v>8.48122187644839</v>
      </c>
      <c r="P416" s="132" t="n">
        <v>0.0149</v>
      </c>
      <c r="Q416" s="131" t="s">
        <v>130</v>
      </c>
      <c r="R416" s="130" t="n">
        <v>56895000</v>
      </c>
      <c r="S416" s="143" t="n">
        <v>0</v>
      </c>
      <c r="T416" s="134" t="n">
        <v>45427.45935625</v>
      </c>
    </row>
    <row r="417" customFormat="false" ht="39.75" hidden="false" customHeight="true" outlineLevel="0" collapsed="false">
      <c r="B417" s="130" t="n">
        <v>29117851</v>
      </c>
      <c r="C417" s="131" t="s">
        <v>524</v>
      </c>
      <c r="D417" s="131" t="s">
        <v>135</v>
      </c>
      <c r="E417" s="130" t="n">
        <v>1918500</v>
      </c>
      <c r="F417" s="131" t="s">
        <v>29</v>
      </c>
      <c r="G417" s="130" t="n">
        <v>3000000</v>
      </c>
      <c r="H417" s="131" t="n">
        <v>642</v>
      </c>
      <c r="I417" s="132" t="n">
        <v>0.25</v>
      </c>
      <c r="J417" s="132" t="n">
        <v>0.29</v>
      </c>
      <c r="K417" s="130" t="n">
        <v>72.083275475632</v>
      </c>
      <c r="L417" s="132" t="n">
        <v>0.29</v>
      </c>
      <c r="M417" s="131" t="s">
        <v>64</v>
      </c>
      <c r="N417" s="133" t="n">
        <v>72.8630701068543</v>
      </c>
      <c r="O417" s="133" t="n">
        <v>72.083275475632</v>
      </c>
      <c r="P417" s="132" t="n">
        <v>0.0227</v>
      </c>
      <c r="Q417" s="131" t="s">
        <v>130</v>
      </c>
      <c r="R417" s="130" t="n">
        <v>138232000</v>
      </c>
      <c r="S417" s="143" t="n">
        <v>0</v>
      </c>
      <c r="T417" s="134" t="n">
        <v>45429.4266225694</v>
      </c>
    </row>
    <row r="418" customFormat="false" ht="39.75" hidden="false" customHeight="true" outlineLevel="0" collapsed="false">
      <c r="B418" s="130" t="n">
        <v>1144062341</v>
      </c>
      <c r="C418" s="131" t="s">
        <v>525</v>
      </c>
      <c r="D418" s="131" t="s">
        <v>135</v>
      </c>
      <c r="E418" s="130" t="n">
        <v>2893800</v>
      </c>
      <c r="F418" s="131" t="s">
        <v>34</v>
      </c>
      <c r="G418" s="130" t="n">
        <v>3600000</v>
      </c>
      <c r="H418" s="131" t="n">
        <v>621</v>
      </c>
      <c r="I418" s="132" t="n">
        <v>0.12</v>
      </c>
      <c r="J418" s="132" t="n">
        <v>0.19</v>
      </c>
      <c r="K418" s="130" t="n">
        <v>1.44861427880296</v>
      </c>
      <c r="L418" s="132" t="n">
        <v>0.19</v>
      </c>
      <c r="M418" s="131" t="s">
        <v>64</v>
      </c>
      <c r="N418" s="133" t="n">
        <v>0.919587048171954</v>
      </c>
      <c r="O418" s="133" t="n">
        <v>1.44861427880296</v>
      </c>
      <c r="P418" s="132" t="n">
        <v>0.0179</v>
      </c>
      <c r="Q418" s="131" t="s">
        <v>130</v>
      </c>
      <c r="R418" s="130" t="n">
        <v>4192000</v>
      </c>
      <c r="S418" s="143" t="n">
        <v>0</v>
      </c>
      <c r="T418" s="134" t="n">
        <v>45429.4350353009</v>
      </c>
    </row>
    <row r="419" customFormat="false" ht="39.75" hidden="false" customHeight="true" outlineLevel="0" collapsed="false">
      <c r="B419" s="130" t="n">
        <v>1144159356</v>
      </c>
      <c r="C419" s="131" t="s">
        <v>423</v>
      </c>
      <c r="D419" s="131" t="s">
        <v>135</v>
      </c>
      <c r="E419" s="130" t="n">
        <v>1991000</v>
      </c>
      <c r="F419" s="131" t="s">
        <v>34</v>
      </c>
      <c r="G419" s="130" t="n">
        <v>2600000</v>
      </c>
      <c r="H419" s="131" t="n">
        <v>598</v>
      </c>
      <c r="I419" s="132" t="n">
        <v>0.16</v>
      </c>
      <c r="J419" s="132" t="n">
        <v>0.23</v>
      </c>
      <c r="K419" s="130" t="n">
        <v>3.29071873430437</v>
      </c>
      <c r="L419" s="132" t="n">
        <v>0.23</v>
      </c>
      <c r="M419" s="131" t="s">
        <v>64</v>
      </c>
      <c r="N419" s="133" t="n">
        <v>2.54083576092416</v>
      </c>
      <c r="O419" s="133" t="n">
        <v>3.29071873430437</v>
      </c>
      <c r="P419" s="132" t="n">
        <v>0.0179</v>
      </c>
      <c r="Q419" s="131" t="s">
        <v>130</v>
      </c>
      <c r="R419" s="130" t="n">
        <v>5795000</v>
      </c>
      <c r="S419" s="143" t="n">
        <v>0</v>
      </c>
      <c r="T419" s="134" t="n">
        <v>45429.4392322917</v>
      </c>
    </row>
    <row r="420" customFormat="false" ht="39.75" hidden="false" customHeight="true" outlineLevel="0" collapsed="false">
      <c r="B420" s="130" t="n">
        <v>67032722</v>
      </c>
      <c r="C420" s="131" t="s">
        <v>526</v>
      </c>
      <c r="D420" s="131" t="s">
        <v>135</v>
      </c>
      <c r="E420" s="130" t="n">
        <v>4383200</v>
      </c>
      <c r="F420" s="131" t="s">
        <v>34</v>
      </c>
      <c r="G420" s="130" t="n">
        <v>3300000</v>
      </c>
      <c r="H420" s="131" t="n">
        <v>611</v>
      </c>
      <c r="I420" s="132" t="n">
        <v>0.07</v>
      </c>
      <c r="J420" s="132" t="n">
        <v>0.08</v>
      </c>
      <c r="K420" s="130" t="n">
        <v>9.50219018068991</v>
      </c>
      <c r="L420" s="132" t="n">
        <v>0.08</v>
      </c>
      <c r="M420" s="131" t="s">
        <v>64</v>
      </c>
      <c r="N420" s="133" t="n">
        <v>2.22060344040883</v>
      </c>
      <c r="O420" s="133" t="n">
        <v>9.50219018068991</v>
      </c>
      <c r="P420" s="132" t="n">
        <v>0.0179</v>
      </c>
      <c r="Q420" s="131" t="s">
        <v>130</v>
      </c>
      <c r="R420" s="130" t="n">
        <v>41650000</v>
      </c>
      <c r="S420" s="143" t="n">
        <v>0</v>
      </c>
      <c r="T420" s="134" t="n">
        <v>45429.4474820602</v>
      </c>
    </row>
    <row r="421" customFormat="false" ht="39.75" hidden="false" customHeight="true" outlineLevel="0" collapsed="false">
      <c r="B421" s="130" t="n">
        <v>1107066677</v>
      </c>
      <c r="C421" s="131" t="s">
        <v>527</v>
      </c>
      <c r="D421" s="131" t="s">
        <v>135</v>
      </c>
      <c r="E421" s="130" t="n">
        <v>2916600</v>
      </c>
      <c r="F421" s="131" t="s">
        <v>34</v>
      </c>
      <c r="G421" s="130" t="n">
        <v>2000000</v>
      </c>
      <c r="H421" s="131" t="n">
        <v>787</v>
      </c>
      <c r="I421" s="132" t="n">
        <v>0.33</v>
      </c>
      <c r="J421" s="132" t="n">
        <v>0.34</v>
      </c>
      <c r="K421" s="130" t="n">
        <v>37.7257447027361</v>
      </c>
      <c r="L421" s="132" t="n">
        <v>0.34</v>
      </c>
      <c r="M421" s="131" t="s">
        <v>64</v>
      </c>
      <c r="N421" s="133" t="n">
        <v>1.40874168552424</v>
      </c>
      <c r="O421" s="133" t="n">
        <v>37.7257447027361</v>
      </c>
      <c r="P421" s="132" t="n">
        <v>0.0179</v>
      </c>
      <c r="Q421" s="131" t="s">
        <v>130</v>
      </c>
      <c r="R421" s="130" t="n">
        <v>106478000</v>
      </c>
      <c r="S421" s="143" t="n">
        <v>0</v>
      </c>
      <c r="T421" s="134" t="n">
        <v>45429.4660605324</v>
      </c>
    </row>
    <row r="422" customFormat="false" ht="39.75" hidden="false" customHeight="true" outlineLevel="0" collapsed="false">
      <c r="B422" s="130" t="n">
        <v>31324832</v>
      </c>
      <c r="C422" s="131" t="s">
        <v>528</v>
      </c>
      <c r="D422" s="131" t="s">
        <v>135</v>
      </c>
      <c r="E422" s="130" t="n">
        <v>5418800</v>
      </c>
      <c r="F422" s="131" t="s">
        <v>29</v>
      </c>
      <c r="G422" s="130" t="n">
        <v>1000000</v>
      </c>
      <c r="H422" s="131" t="n">
        <v>514</v>
      </c>
      <c r="I422" s="132" t="n">
        <v>0.07</v>
      </c>
      <c r="J422" s="132" t="n">
        <v>0.08</v>
      </c>
      <c r="K422" s="130" t="n">
        <v>8.83821860928619</v>
      </c>
      <c r="L422" s="132" t="n">
        <v>0.08</v>
      </c>
      <c r="M422" s="131" t="s">
        <v>64</v>
      </c>
      <c r="N422" s="133" t="n">
        <v>1.62906307669595</v>
      </c>
      <c r="O422" s="133" t="n">
        <v>8.83821860928619</v>
      </c>
      <c r="P422" s="132" t="n">
        <v>0.0227</v>
      </c>
      <c r="Q422" s="131" t="s">
        <v>130</v>
      </c>
      <c r="R422" s="130" t="n">
        <v>43507000</v>
      </c>
      <c r="S422" s="143" t="n">
        <v>0</v>
      </c>
      <c r="T422" s="134" t="n">
        <v>45429.4946790509</v>
      </c>
    </row>
    <row r="423" customFormat="false" ht="39.75" hidden="false" customHeight="true" outlineLevel="0" collapsed="false">
      <c r="B423" s="130" t="n">
        <v>66997637</v>
      </c>
      <c r="C423" s="131" t="s">
        <v>340</v>
      </c>
      <c r="D423" s="131" t="s">
        <v>135</v>
      </c>
      <c r="E423" s="130" t="n">
        <v>2600900</v>
      </c>
      <c r="F423" s="131" t="s">
        <v>29</v>
      </c>
      <c r="G423" s="130" t="n">
        <v>3000000</v>
      </c>
      <c r="H423" s="131" t="n">
        <v>819</v>
      </c>
      <c r="I423" s="132" t="n">
        <v>0.37</v>
      </c>
      <c r="J423" s="132" t="n">
        <v>0.41</v>
      </c>
      <c r="K423" s="130" t="n">
        <v>5.61756738052213</v>
      </c>
      <c r="L423" s="132" t="n">
        <v>0.41</v>
      </c>
      <c r="M423" s="131" t="s">
        <v>61</v>
      </c>
      <c r="N423" s="133" t="n">
        <v>1.28901957014879</v>
      </c>
      <c r="O423" s="133" t="n">
        <v>5.61756738052213</v>
      </c>
      <c r="P423" s="132" t="n">
        <v>0.0227</v>
      </c>
      <c r="Q423" s="131" t="s">
        <v>130</v>
      </c>
      <c r="R423" s="130" t="n">
        <v>9119000</v>
      </c>
      <c r="S423" s="143" t="n">
        <v>0</v>
      </c>
      <c r="T423" s="134" t="n">
        <v>45429.4993672454</v>
      </c>
    </row>
    <row r="424" customFormat="false" ht="39.75" hidden="false" customHeight="true" outlineLevel="0" collapsed="false">
      <c r="B424" s="130" t="n">
        <v>1112465080</v>
      </c>
      <c r="C424" s="131" t="s">
        <v>164</v>
      </c>
      <c r="D424" s="131" t="s">
        <v>135</v>
      </c>
      <c r="E424" s="130" t="n">
        <v>2600900</v>
      </c>
      <c r="F424" s="131" t="s">
        <v>29</v>
      </c>
      <c r="G424" s="130" t="n">
        <v>1700000</v>
      </c>
      <c r="H424" s="131" t="n">
        <v>555</v>
      </c>
      <c r="I424" s="132" t="n">
        <v>0.22</v>
      </c>
      <c r="J424" s="132" t="n">
        <v>0.29</v>
      </c>
      <c r="K424" s="130" t="n">
        <v>0.853271944326964</v>
      </c>
      <c r="L424" s="132" t="n">
        <v>0.29</v>
      </c>
      <c r="M424" s="131" t="s">
        <v>64</v>
      </c>
      <c r="N424" s="133" t="n">
        <v>0.871087315929102</v>
      </c>
      <c r="O424" s="133" t="n">
        <v>0.853271944326964</v>
      </c>
      <c r="P424" s="132" t="n">
        <v>0.0227</v>
      </c>
      <c r="Q424" s="131" t="s">
        <v>130</v>
      </c>
      <c r="R424" s="130" t="n">
        <v>183000</v>
      </c>
      <c r="S424" s="143" t="n">
        <v>0</v>
      </c>
      <c r="T424" s="134" t="n">
        <v>45429.5734893519</v>
      </c>
    </row>
    <row r="425" customFormat="false" ht="39.75" hidden="false" customHeight="true" outlineLevel="0" collapsed="false">
      <c r="B425" s="130" t="n">
        <v>1005863887</v>
      </c>
      <c r="C425" s="131" t="s">
        <v>529</v>
      </c>
      <c r="D425" s="131" t="s">
        <v>135</v>
      </c>
      <c r="E425" s="130" t="n">
        <v>1670000</v>
      </c>
      <c r="F425" s="131" t="s">
        <v>29</v>
      </c>
      <c r="G425" s="130" t="n">
        <v>1000000</v>
      </c>
      <c r="H425" s="131" t="n">
        <v>561</v>
      </c>
      <c r="I425" s="132" t="n">
        <v>0.1</v>
      </c>
      <c r="J425" s="132" t="n">
        <v>0.12</v>
      </c>
      <c r="K425" s="130" t="n">
        <v>3.48383233532934</v>
      </c>
      <c r="L425" s="132" t="n">
        <v>0.12</v>
      </c>
      <c r="M425" s="131" t="s">
        <v>64</v>
      </c>
      <c r="N425" s="133" t="n">
        <v>0.921088023952096</v>
      </c>
      <c r="O425" s="133" t="n">
        <v>3.48383233532934</v>
      </c>
      <c r="P425" s="132" t="n">
        <v>0.0227</v>
      </c>
      <c r="Q425" s="131" t="s">
        <v>130</v>
      </c>
      <c r="R425" s="130" t="n">
        <v>5818000</v>
      </c>
      <c r="S425" s="143" t="n">
        <v>0</v>
      </c>
      <c r="T425" s="134" t="n">
        <v>45429.583334838</v>
      </c>
    </row>
    <row r="426" customFormat="false" ht="39.75" hidden="false" customHeight="true" outlineLevel="0" collapsed="false">
      <c r="B426" s="130" t="n">
        <v>1005863887</v>
      </c>
      <c r="C426" s="131" t="s">
        <v>529</v>
      </c>
      <c r="D426" s="131" t="s">
        <v>135</v>
      </c>
      <c r="E426" s="130" t="n">
        <v>1670000</v>
      </c>
      <c r="F426" s="131" t="s">
        <v>29</v>
      </c>
      <c r="G426" s="130" t="n">
        <v>1000000</v>
      </c>
      <c r="H426" s="131" t="n">
        <v>561</v>
      </c>
      <c r="I426" s="132" t="n">
        <v>0.1</v>
      </c>
      <c r="J426" s="132" t="n">
        <v>0.12</v>
      </c>
      <c r="K426" s="130" t="n">
        <v>3.48383233532934</v>
      </c>
      <c r="L426" s="132" t="n">
        <v>0.12</v>
      </c>
      <c r="M426" s="131" t="s">
        <v>64</v>
      </c>
      <c r="N426" s="133" t="n">
        <v>0.921088023952096</v>
      </c>
      <c r="O426" s="133" t="n">
        <v>3.48383233532934</v>
      </c>
      <c r="P426" s="132" t="n">
        <v>0.0227</v>
      </c>
      <c r="Q426" s="131" t="s">
        <v>130</v>
      </c>
      <c r="R426" s="130" t="n">
        <v>5818000</v>
      </c>
      <c r="S426" s="143" t="n">
        <v>0</v>
      </c>
      <c r="T426" s="134" t="n">
        <v>45429.5836335648</v>
      </c>
    </row>
    <row r="427" customFormat="false" ht="39.75" hidden="false" customHeight="true" outlineLevel="0" collapsed="false">
      <c r="B427" s="130" t="n">
        <v>1144085630</v>
      </c>
      <c r="C427" s="131" t="s">
        <v>530</v>
      </c>
      <c r="D427" s="131" t="s">
        <v>135</v>
      </c>
      <c r="E427" s="130" t="n">
        <v>2893800</v>
      </c>
      <c r="F427" s="131" t="s">
        <v>29</v>
      </c>
      <c r="G427" s="130" t="n">
        <v>3300000</v>
      </c>
      <c r="H427" s="131" t="n">
        <v>582</v>
      </c>
      <c r="I427" s="132" t="n">
        <v>0.45</v>
      </c>
      <c r="J427" s="132" t="n">
        <v>0.49</v>
      </c>
      <c r="K427" s="130" t="n">
        <v>16.4880088464994</v>
      </c>
      <c r="L427" s="132" t="n">
        <v>0.49</v>
      </c>
      <c r="M427" s="131" t="s">
        <v>64</v>
      </c>
      <c r="N427" s="133" t="n">
        <v>1.4437314258069</v>
      </c>
      <c r="O427" s="133" t="n">
        <v>16.4880088464994</v>
      </c>
      <c r="P427" s="132" t="n">
        <v>0.0227</v>
      </c>
      <c r="Q427" s="131" t="s">
        <v>130</v>
      </c>
      <c r="R427" s="130" t="n">
        <v>47713000</v>
      </c>
      <c r="S427" s="143" t="n">
        <v>0</v>
      </c>
      <c r="T427" s="134" t="n">
        <v>45433.3673069444</v>
      </c>
    </row>
    <row r="428" customFormat="false" ht="39.75" hidden="false" customHeight="true" outlineLevel="0" collapsed="false">
      <c r="B428" s="130" t="n">
        <v>1107509351</v>
      </c>
      <c r="C428" s="131" t="s">
        <v>531</v>
      </c>
      <c r="D428" s="131" t="s">
        <v>135</v>
      </c>
      <c r="E428" s="130" t="n">
        <v>2893800</v>
      </c>
      <c r="F428" s="131" t="s">
        <v>33</v>
      </c>
      <c r="G428" s="130" t="n">
        <v>13000000</v>
      </c>
      <c r="H428" s="131" t="n">
        <v>813</v>
      </c>
      <c r="I428" s="132" t="n">
        <v>0.27</v>
      </c>
      <c r="J428" s="132" t="n">
        <v>0.39</v>
      </c>
      <c r="K428" s="130" t="n">
        <v>6.52152878567973</v>
      </c>
      <c r="L428" s="132" t="n">
        <v>0.39</v>
      </c>
      <c r="M428" s="131" t="s">
        <v>62</v>
      </c>
      <c r="N428" s="133" t="n">
        <v>1.0268169880434</v>
      </c>
      <c r="O428" s="133" t="n">
        <v>6.52152878567973</v>
      </c>
      <c r="P428" s="132" t="n">
        <v>0.0149</v>
      </c>
      <c r="Q428" s="131" t="s">
        <v>130</v>
      </c>
      <c r="R428" s="130" t="n">
        <v>18872000</v>
      </c>
      <c r="S428" s="143" t="n">
        <v>0</v>
      </c>
      <c r="T428" s="134" t="n">
        <v>45434.3761502315</v>
      </c>
    </row>
    <row r="429" customFormat="false" ht="39.75" hidden="false" customHeight="true" outlineLevel="0" collapsed="false">
      <c r="B429" s="130" t="n">
        <v>38559970</v>
      </c>
      <c r="C429" s="131" t="s">
        <v>532</v>
      </c>
      <c r="D429" s="131" t="s">
        <v>135</v>
      </c>
      <c r="E429" s="130" t="n">
        <v>2600900</v>
      </c>
      <c r="F429" s="131" t="s">
        <v>33</v>
      </c>
      <c r="G429" s="130" t="n">
        <v>8500000</v>
      </c>
      <c r="H429" s="131" t="n">
        <v>915</v>
      </c>
      <c r="I429" s="132" t="n">
        <v>0.35</v>
      </c>
      <c r="J429" s="132" t="n">
        <v>0.44</v>
      </c>
      <c r="K429" s="130" t="n">
        <v>12.8070564035526</v>
      </c>
      <c r="L429" s="132" t="n">
        <v>0.44</v>
      </c>
      <c r="M429" s="131" t="s">
        <v>62</v>
      </c>
      <c r="N429" s="133" t="n">
        <v>1.33322465300473</v>
      </c>
      <c r="O429" s="133" t="n">
        <v>12.8070564035526</v>
      </c>
      <c r="P429" s="132" t="n">
        <v>0.0149</v>
      </c>
      <c r="Q429" s="131" t="s">
        <v>130</v>
      </c>
      <c r="R429" s="130" t="n">
        <v>32078000</v>
      </c>
      <c r="S429" s="143" t="n">
        <v>0</v>
      </c>
      <c r="T429" s="134" t="n">
        <v>45434.4051064815</v>
      </c>
    </row>
    <row r="430" customFormat="false" ht="39.75" hidden="false" customHeight="true" outlineLevel="0" collapsed="false">
      <c r="B430" s="130" t="n">
        <v>94043207</v>
      </c>
      <c r="C430" s="131" t="s">
        <v>533</v>
      </c>
      <c r="D430" s="131" t="s">
        <v>135</v>
      </c>
      <c r="E430" s="130" t="n">
        <v>2600900</v>
      </c>
      <c r="F430" s="131" t="s">
        <v>16</v>
      </c>
      <c r="G430" s="130" t="n">
        <v>6300000</v>
      </c>
      <c r="H430" s="131" t="n">
        <v>811</v>
      </c>
      <c r="I430" s="132" t="n">
        <v>0.31</v>
      </c>
      <c r="J430" s="132" t="n">
        <v>0.38</v>
      </c>
      <c r="K430" s="130" t="n">
        <v>15.3630301049637</v>
      </c>
      <c r="L430" s="132" t="n">
        <v>0.38</v>
      </c>
      <c r="M430" s="131" t="s">
        <v>62</v>
      </c>
      <c r="N430" s="133" t="n">
        <v>1.13777692337268</v>
      </c>
      <c r="O430" s="133" t="n">
        <v>15.3630301049637</v>
      </c>
      <c r="P430" s="132" t="n">
        <v>0.0149</v>
      </c>
      <c r="Q430" s="131" t="s">
        <v>130</v>
      </c>
      <c r="R430" s="130" t="n">
        <v>38706000</v>
      </c>
      <c r="S430" s="143" t="n">
        <v>0</v>
      </c>
      <c r="T430" s="134" t="n">
        <v>45434.4189063657</v>
      </c>
    </row>
    <row r="431" customFormat="false" ht="39.75" hidden="false" customHeight="true" outlineLevel="0" collapsed="false">
      <c r="B431" s="130" t="n">
        <v>52968326</v>
      </c>
      <c r="C431" s="131" t="s">
        <v>534</v>
      </c>
      <c r="D431" s="131" t="s">
        <v>135</v>
      </c>
      <c r="E431" s="130" t="n">
        <v>4870200</v>
      </c>
      <c r="F431" s="131" t="s">
        <v>19</v>
      </c>
      <c r="G431" s="130" t="n">
        <v>8400000</v>
      </c>
      <c r="H431" s="131" t="n">
        <v>702</v>
      </c>
      <c r="I431" s="132" t="n">
        <v>0.17</v>
      </c>
      <c r="J431" s="132" t="n">
        <v>0.34</v>
      </c>
      <c r="K431" s="130" t="n">
        <v>0</v>
      </c>
      <c r="L431" s="132" t="n">
        <v>0.34</v>
      </c>
      <c r="M431" s="131" t="s">
        <v>64</v>
      </c>
      <c r="N431" s="133" t="n">
        <v>0.733906410414357</v>
      </c>
      <c r="O431" s="133" t="n">
        <v>0</v>
      </c>
      <c r="P431" s="132" t="n">
        <v>0.0149</v>
      </c>
      <c r="Q431" s="131" t="s">
        <v>130</v>
      </c>
      <c r="R431" s="130" t="n">
        <v>0</v>
      </c>
      <c r="S431" s="143" t="n">
        <v>0</v>
      </c>
      <c r="T431" s="134" t="n">
        <v>45434.4585140046</v>
      </c>
    </row>
    <row r="432" customFormat="false" ht="39.75" hidden="false" customHeight="true" outlineLevel="0" collapsed="false">
      <c r="B432" s="130" t="n">
        <v>1002839691</v>
      </c>
      <c r="C432" s="131" t="s">
        <v>309</v>
      </c>
      <c r="D432" s="131" t="s">
        <v>135</v>
      </c>
      <c r="E432" s="130" t="n">
        <v>1991000</v>
      </c>
      <c r="F432" s="131" t="s">
        <v>20</v>
      </c>
      <c r="G432" s="130" t="n">
        <v>2299000</v>
      </c>
      <c r="H432" s="131" t="n">
        <v>747</v>
      </c>
      <c r="I432" s="132" t="n">
        <v>0.22</v>
      </c>
      <c r="J432" s="132" t="n">
        <v>0.29</v>
      </c>
      <c r="K432" s="130" t="n">
        <v>0.0738322451029633</v>
      </c>
      <c r="L432" s="132" t="n">
        <v>0.29</v>
      </c>
      <c r="M432" s="131" t="s">
        <v>64</v>
      </c>
      <c r="N432" s="133" t="n">
        <v>0.918743345052737</v>
      </c>
      <c r="O432" s="133" t="n">
        <v>0.0738322451029633</v>
      </c>
      <c r="P432" s="132" t="n">
        <v>0.026</v>
      </c>
      <c r="Q432" s="131" t="s">
        <v>130</v>
      </c>
      <c r="R432" s="130" t="n">
        <v>147000</v>
      </c>
      <c r="S432" s="143" t="n">
        <v>0</v>
      </c>
      <c r="T432" s="134" t="n">
        <v>45434.6235866898</v>
      </c>
    </row>
    <row r="433" customFormat="false" ht="39.75" hidden="false" customHeight="true" outlineLevel="0" collapsed="false">
      <c r="B433" s="130" t="n">
        <v>1143987647</v>
      </c>
      <c r="C433" s="131" t="s">
        <v>535</v>
      </c>
      <c r="D433" s="131" t="s">
        <v>135</v>
      </c>
      <c r="E433" s="130" t="n">
        <v>1828100</v>
      </c>
      <c r="F433" s="131" t="s">
        <v>8</v>
      </c>
      <c r="G433" s="130" t="n">
        <v>3935889</v>
      </c>
      <c r="H433" s="131" t="n">
        <v>682</v>
      </c>
      <c r="I433" s="132" t="n">
        <v>0.1</v>
      </c>
      <c r="J433" s="132" t="n">
        <v>0.22</v>
      </c>
      <c r="K433" s="130" t="n">
        <v>0.599469394453258</v>
      </c>
      <c r="L433" s="132" t="n">
        <v>0.22</v>
      </c>
      <c r="M433" s="131" t="s">
        <v>64</v>
      </c>
      <c r="N433" s="133" t="n">
        <v>0.667844756851376</v>
      </c>
      <c r="O433" s="133" t="n">
        <v>0.599469394453258</v>
      </c>
      <c r="P433" s="132" t="n">
        <v>0.018</v>
      </c>
      <c r="Q433" s="131" t="s">
        <v>130</v>
      </c>
      <c r="R433" s="130" t="n">
        <v>0</v>
      </c>
      <c r="S433" s="143" t="n">
        <v>0</v>
      </c>
      <c r="T433" s="134" t="n">
        <v>45434.7083885417</v>
      </c>
    </row>
    <row r="434" customFormat="false" ht="39.75" hidden="false" customHeight="true" outlineLevel="0" collapsed="false">
      <c r="B434" s="130" t="n">
        <v>16767193</v>
      </c>
      <c r="C434" s="131" t="s">
        <v>170</v>
      </c>
      <c r="D434" s="131" t="s">
        <v>135</v>
      </c>
      <c r="E434" s="130" t="n">
        <v>7551500</v>
      </c>
      <c r="F434" s="131" t="s">
        <v>18</v>
      </c>
      <c r="G434" s="130" t="n">
        <v>900000</v>
      </c>
      <c r="H434" s="131" t="n">
        <v>576</v>
      </c>
      <c r="I434" s="132" t="n">
        <v>0.13</v>
      </c>
      <c r="J434" s="132" t="n">
        <v>0.14</v>
      </c>
      <c r="K434" s="130" t="n">
        <v>5.22025014897702</v>
      </c>
      <c r="L434" s="132" t="n">
        <v>0.14</v>
      </c>
      <c r="M434" s="131" t="s">
        <v>62</v>
      </c>
      <c r="N434" s="133" t="n">
        <v>0.99530146328544</v>
      </c>
      <c r="O434" s="133" t="n">
        <v>5.22025014897702</v>
      </c>
      <c r="P434" s="132" t="n">
        <v>0.028</v>
      </c>
      <c r="Q434" s="131" t="s">
        <v>130</v>
      </c>
      <c r="R434" s="130" t="n">
        <v>36533000</v>
      </c>
      <c r="S434" s="143" t="n">
        <v>0</v>
      </c>
      <c r="T434" s="134" t="n">
        <v>45435.676234375</v>
      </c>
    </row>
    <row r="435" customFormat="false" ht="39.75" hidden="false" customHeight="true" outlineLevel="0" collapsed="false">
      <c r="B435" s="130" t="n">
        <v>1143856655</v>
      </c>
      <c r="C435" s="131" t="s">
        <v>536</v>
      </c>
      <c r="D435" s="131" t="s">
        <v>135</v>
      </c>
      <c r="E435" s="130" t="n">
        <v>2893800</v>
      </c>
      <c r="F435" s="131" t="s">
        <v>29</v>
      </c>
      <c r="G435" s="130" t="n">
        <v>3650000</v>
      </c>
      <c r="H435" s="131" t="n">
        <v>675</v>
      </c>
      <c r="I435" s="132" t="n">
        <v>0.51</v>
      </c>
      <c r="J435" s="132" t="n">
        <v>0.5</v>
      </c>
      <c r="K435" s="130" t="n">
        <v>5.17803614624369</v>
      </c>
      <c r="L435" s="132" t="n">
        <v>0.5</v>
      </c>
      <c r="M435" s="131" t="s">
        <v>64</v>
      </c>
      <c r="N435" s="133" t="n">
        <v>1.28080413297394</v>
      </c>
      <c r="O435" s="133" t="n">
        <v>5.17803614624369</v>
      </c>
      <c r="P435" s="132" t="n">
        <v>0.028</v>
      </c>
      <c r="Q435" s="131" t="s">
        <v>130</v>
      </c>
      <c r="R435" s="130" t="n">
        <v>12614000</v>
      </c>
      <c r="S435" s="143" t="s">
        <v>146</v>
      </c>
      <c r="T435" s="134" t="n">
        <v>45435.6801969907</v>
      </c>
    </row>
    <row r="436" customFormat="false" ht="39.75" hidden="false" customHeight="true" outlineLevel="0" collapsed="false">
      <c r="B436" s="130" t="n">
        <v>1144154389</v>
      </c>
      <c r="C436" s="131" t="s">
        <v>537</v>
      </c>
      <c r="D436" s="131" t="s">
        <v>135</v>
      </c>
      <c r="E436" s="130" t="n">
        <v>2893800</v>
      </c>
      <c r="F436" s="131" t="s">
        <v>29</v>
      </c>
      <c r="G436" s="130" t="n">
        <v>3000000</v>
      </c>
      <c r="H436" s="131" t="n">
        <v>824</v>
      </c>
      <c r="I436" s="132" t="n">
        <v>0.39</v>
      </c>
      <c r="J436" s="132" t="n">
        <v>0.42</v>
      </c>
      <c r="K436" s="130" t="n">
        <v>15.8407719953003</v>
      </c>
      <c r="L436" s="132" t="n">
        <v>0.42</v>
      </c>
      <c r="M436" s="131" t="s">
        <v>62</v>
      </c>
      <c r="N436" s="133" t="n">
        <v>0.941700877738614</v>
      </c>
      <c r="O436" s="133" t="n">
        <v>15.8407719953003</v>
      </c>
      <c r="P436" s="132" t="n">
        <v>0.0227</v>
      </c>
      <c r="Q436" s="131" t="s">
        <v>130</v>
      </c>
      <c r="R436" s="130" t="n">
        <v>45032000</v>
      </c>
      <c r="S436" s="143" t="s">
        <v>146</v>
      </c>
      <c r="T436" s="134" t="n">
        <v>45435.6823950232</v>
      </c>
    </row>
    <row r="437" customFormat="false" ht="39.75" hidden="false" customHeight="true" outlineLevel="0" collapsed="false">
      <c r="B437" s="130" t="n">
        <v>1107514466</v>
      </c>
      <c r="C437" s="131" t="s">
        <v>538</v>
      </c>
      <c r="D437" s="131" t="s">
        <v>135</v>
      </c>
      <c r="E437" s="130" t="n">
        <v>2893800</v>
      </c>
      <c r="F437" s="131" t="s">
        <v>34</v>
      </c>
      <c r="G437" s="130" t="n">
        <v>4000000</v>
      </c>
      <c r="H437" s="131" t="n">
        <v>536</v>
      </c>
      <c r="I437" s="132" t="n">
        <v>0.15</v>
      </c>
      <c r="J437" s="132" t="n">
        <v>0.21</v>
      </c>
      <c r="K437" s="130" t="n">
        <v>17.774135392909</v>
      </c>
      <c r="L437" s="132" t="n">
        <v>0.21</v>
      </c>
      <c r="M437" s="131" t="s">
        <v>62</v>
      </c>
      <c r="N437" s="133" t="n">
        <v>1.30795804824107</v>
      </c>
      <c r="O437" s="133" t="n">
        <v>17.774135392909</v>
      </c>
      <c r="P437" s="132" t="n">
        <v>0.0179</v>
      </c>
      <c r="Q437" s="131" t="s">
        <v>130</v>
      </c>
      <c r="R437" s="130" t="n">
        <v>48430000</v>
      </c>
      <c r="S437" s="143" t="n">
        <v>0</v>
      </c>
      <c r="T437" s="134" t="n">
        <v>45435.6866387732</v>
      </c>
    </row>
    <row r="438" customFormat="false" ht="39.75" hidden="false" customHeight="true" outlineLevel="0" collapsed="false">
      <c r="B438" s="130" t="n">
        <v>1130607298</v>
      </c>
      <c r="C438" s="131" t="s">
        <v>539</v>
      </c>
      <c r="D438" s="131" t="s">
        <v>135</v>
      </c>
      <c r="E438" s="130" t="n">
        <v>2318500</v>
      </c>
      <c r="F438" s="131" t="s">
        <v>19</v>
      </c>
      <c r="G438" s="130" t="n">
        <v>1000000</v>
      </c>
      <c r="H438" s="131" t="n">
        <v>843</v>
      </c>
      <c r="I438" s="132" t="n">
        <v>0.12</v>
      </c>
      <c r="J438" s="132" t="n">
        <v>0.16</v>
      </c>
      <c r="K438" s="130" t="n">
        <v>1.34871684278628</v>
      </c>
      <c r="L438" s="132" t="n">
        <v>0.16</v>
      </c>
      <c r="M438" s="131" t="s">
        <v>61</v>
      </c>
      <c r="N438" s="133" t="n">
        <v>0.69038990726763</v>
      </c>
      <c r="O438" s="133" t="n">
        <v>1.34871684278628</v>
      </c>
      <c r="P438" s="132" t="n">
        <v>0.006</v>
      </c>
      <c r="Q438" s="131" t="s">
        <v>130</v>
      </c>
      <c r="R438" s="130" t="n">
        <v>2227000</v>
      </c>
      <c r="S438" s="143" t="n">
        <v>0</v>
      </c>
      <c r="T438" s="134" t="n">
        <v>45435.6889185185</v>
      </c>
    </row>
    <row r="439" customFormat="false" ht="39.75" hidden="false" customHeight="true" outlineLevel="0" collapsed="false">
      <c r="B439" s="130" t="n">
        <v>1113308071</v>
      </c>
      <c r="C439" s="131" t="s">
        <v>154</v>
      </c>
      <c r="D439" s="131" t="s">
        <v>135</v>
      </c>
      <c r="E439" s="130" t="n">
        <v>2893800</v>
      </c>
      <c r="F439" s="131" t="s">
        <v>18</v>
      </c>
      <c r="G439" s="130" t="n">
        <v>1000000</v>
      </c>
      <c r="H439" s="131" t="n">
        <v>471</v>
      </c>
      <c r="I439" s="132" t="n">
        <v>0.32</v>
      </c>
      <c r="J439" s="132" t="n">
        <v>0.36</v>
      </c>
      <c r="K439" s="130" t="n">
        <v>16.4381125164144</v>
      </c>
      <c r="L439" s="132" t="n">
        <v>0.36</v>
      </c>
      <c r="M439" s="131" t="s">
        <v>64</v>
      </c>
      <c r="N439" s="133" t="n">
        <v>1.55708030962748</v>
      </c>
      <c r="O439" s="133" t="n">
        <v>16.4381125164144</v>
      </c>
      <c r="P439" s="132" t="n">
        <v>0.028</v>
      </c>
      <c r="Q439" s="131" t="s">
        <v>130</v>
      </c>
      <c r="R439" s="130" t="n">
        <v>40069000</v>
      </c>
      <c r="S439" s="143" t="n">
        <v>0</v>
      </c>
      <c r="T439" s="134" t="n">
        <v>45436.55715</v>
      </c>
    </row>
    <row r="440" customFormat="false" ht="39.75" hidden="false" customHeight="true" outlineLevel="0" collapsed="false">
      <c r="B440" s="130" t="n">
        <v>29347777</v>
      </c>
      <c r="C440" s="131" t="s">
        <v>540</v>
      </c>
      <c r="D440" s="131" t="s">
        <v>135</v>
      </c>
      <c r="E440" s="130" t="n">
        <v>5418800</v>
      </c>
      <c r="F440" s="131" t="s">
        <v>18</v>
      </c>
      <c r="G440" s="130" t="n">
        <v>1300000</v>
      </c>
      <c r="H440" s="131" t="n">
        <v>551</v>
      </c>
      <c r="I440" s="132" t="n">
        <v>0.21</v>
      </c>
      <c r="J440" s="132" t="n">
        <v>0.24</v>
      </c>
      <c r="K440" s="130" t="n">
        <v>13.9479098693438</v>
      </c>
      <c r="L440" s="132" t="n">
        <v>0.24</v>
      </c>
      <c r="M440" s="131" t="s">
        <v>62</v>
      </c>
      <c r="N440" s="133" t="n">
        <v>0.916814608400384</v>
      </c>
      <c r="O440" s="133" t="n">
        <v>13.9479098693438</v>
      </c>
      <c r="P440" s="132" t="n">
        <v>0.028</v>
      </c>
      <c r="Q440" s="131" t="s">
        <v>130</v>
      </c>
      <c r="R440" s="130" t="n">
        <v>74820000</v>
      </c>
      <c r="S440" s="143" t="n">
        <v>0</v>
      </c>
      <c r="T440" s="134" t="n">
        <v>45436.5588311343</v>
      </c>
    </row>
    <row r="441" customFormat="false" ht="39.75" hidden="false" customHeight="true" outlineLevel="0" collapsed="false">
      <c r="B441" s="130" t="n">
        <v>38641418</v>
      </c>
      <c r="C441" s="131" t="s">
        <v>541</v>
      </c>
      <c r="D441" s="131" t="s">
        <v>135</v>
      </c>
      <c r="E441" s="130" t="n">
        <v>2600900</v>
      </c>
      <c r="F441" s="131" t="s">
        <v>29</v>
      </c>
      <c r="G441" s="130" t="n">
        <v>1200000</v>
      </c>
      <c r="H441" s="131" t="n">
        <v>594</v>
      </c>
      <c r="I441" s="132" t="n">
        <v>0.34</v>
      </c>
      <c r="J441" s="132" t="n">
        <v>0.36</v>
      </c>
      <c r="K441" s="130" t="n">
        <v>8.85552039678573</v>
      </c>
      <c r="L441" s="132" t="n">
        <v>0.36</v>
      </c>
      <c r="M441" s="131" t="s">
        <v>64</v>
      </c>
      <c r="N441" s="133" t="n">
        <v>1.03442885155139</v>
      </c>
      <c r="O441" s="133" t="n">
        <v>8.85552039678573</v>
      </c>
      <c r="P441" s="132" t="n">
        <v>0.0227</v>
      </c>
      <c r="Q441" s="131" t="s">
        <v>130</v>
      </c>
      <c r="R441" s="130" t="n">
        <v>17151000</v>
      </c>
      <c r="S441" s="143" t="n">
        <v>0</v>
      </c>
      <c r="T441" s="134" t="n">
        <v>45436.5645574074</v>
      </c>
    </row>
    <row r="442" customFormat="false" ht="39.75" hidden="false" customHeight="true" outlineLevel="0" collapsed="false">
      <c r="B442" s="130" t="n">
        <v>31711710</v>
      </c>
      <c r="C442" s="131" t="s">
        <v>542</v>
      </c>
      <c r="D442" s="131" t="s">
        <v>135</v>
      </c>
      <c r="E442" s="130" t="n">
        <v>5418800</v>
      </c>
      <c r="F442" s="131" t="s">
        <v>19</v>
      </c>
      <c r="G442" s="130" t="n">
        <v>3464000</v>
      </c>
      <c r="H442" s="131" t="n">
        <v>910</v>
      </c>
      <c r="I442" s="132" t="n">
        <v>0.25</v>
      </c>
      <c r="J442" s="132" t="n">
        <v>0.32</v>
      </c>
      <c r="K442" s="130" t="n">
        <v>15.4779656012401</v>
      </c>
      <c r="L442" s="132" t="n">
        <v>0.32</v>
      </c>
      <c r="M442" s="131" t="s">
        <v>62</v>
      </c>
      <c r="N442" s="133" t="n">
        <v>1.23667195689082</v>
      </c>
      <c r="O442" s="133" t="n">
        <v>15.4779656012401</v>
      </c>
      <c r="P442" s="132" t="n">
        <v>0.006</v>
      </c>
      <c r="Q442" s="131" t="s">
        <v>130</v>
      </c>
      <c r="R442" s="130" t="n">
        <v>83872000</v>
      </c>
      <c r="S442" s="143" t="n">
        <v>0</v>
      </c>
      <c r="T442" s="134" t="n">
        <v>45436.5695953704</v>
      </c>
    </row>
    <row r="443" customFormat="false" ht="39.75" hidden="false" customHeight="true" outlineLevel="0" collapsed="false">
      <c r="B443" s="130" t="n">
        <v>29126389</v>
      </c>
      <c r="C443" s="131" t="s">
        <v>543</v>
      </c>
      <c r="D443" s="131" t="s">
        <v>135</v>
      </c>
      <c r="E443" s="130" t="n">
        <v>2893800</v>
      </c>
      <c r="F443" s="131" t="s">
        <v>19</v>
      </c>
      <c r="G443" s="130" t="n">
        <v>3500000</v>
      </c>
      <c r="H443" s="131" t="n">
        <v>882</v>
      </c>
      <c r="I443" s="132" t="n">
        <v>0.04</v>
      </c>
      <c r="J443" s="132" t="n">
        <v>0.05</v>
      </c>
      <c r="K443" s="130" t="n">
        <v>0</v>
      </c>
      <c r="L443" s="132" t="n">
        <v>0.05</v>
      </c>
      <c r="M443" s="131" t="s">
        <v>62</v>
      </c>
      <c r="N443" s="133" t="n">
        <v>0.614044163383786</v>
      </c>
      <c r="O443" s="133" t="n">
        <v>0</v>
      </c>
      <c r="P443" s="132" t="n">
        <v>0.006</v>
      </c>
      <c r="Q443" s="131" t="s">
        <v>130</v>
      </c>
      <c r="R443" s="130" t="n">
        <v>0</v>
      </c>
      <c r="S443" s="143" t="n">
        <v>0</v>
      </c>
      <c r="T443" s="134" t="n">
        <v>45436.5723950232</v>
      </c>
    </row>
    <row r="444" customFormat="false" ht="39.75" hidden="false" customHeight="true" outlineLevel="0" collapsed="false">
      <c r="B444" s="130" t="n">
        <v>1085662084</v>
      </c>
      <c r="C444" s="131" t="s">
        <v>143</v>
      </c>
      <c r="D444" s="131" t="s">
        <v>135</v>
      </c>
      <c r="E444" s="130" t="n">
        <v>2893800</v>
      </c>
      <c r="F444" s="131" t="s">
        <v>20</v>
      </c>
      <c r="G444" s="130" t="n">
        <v>3693000</v>
      </c>
      <c r="H444" s="131" t="n">
        <v>487</v>
      </c>
      <c r="I444" s="132" t="n">
        <v>0.2</v>
      </c>
      <c r="J444" s="132" t="n">
        <v>0.26</v>
      </c>
      <c r="K444" s="130" t="n">
        <v>13.6867008777386</v>
      </c>
      <c r="L444" s="132" t="n">
        <v>0.26</v>
      </c>
      <c r="M444" s="131" t="s">
        <v>64</v>
      </c>
      <c r="N444" s="133" t="n">
        <v>1.42743762526781</v>
      </c>
      <c r="O444" s="133" t="n">
        <v>13.6867008777386</v>
      </c>
      <c r="P444" s="132" t="n">
        <v>0.026</v>
      </c>
      <c r="Q444" s="131" t="s">
        <v>130</v>
      </c>
      <c r="R444" s="130" t="n">
        <v>37524000</v>
      </c>
      <c r="S444" s="143" t="n">
        <v>0</v>
      </c>
      <c r="T444" s="134" t="n">
        <v>45436.5758228009</v>
      </c>
    </row>
    <row r="445" customFormat="false" ht="39.75" hidden="false" customHeight="true" outlineLevel="0" collapsed="false">
      <c r="B445" s="130" t="n">
        <v>1143861430</v>
      </c>
      <c r="C445" s="131" t="s">
        <v>544</v>
      </c>
      <c r="D445" s="131" t="s">
        <v>135</v>
      </c>
      <c r="E445" s="130" t="n">
        <v>2600900</v>
      </c>
      <c r="F445" s="131" t="s">
        <v>34</v>
      </c>
      <c r="G445" s="130" t="n">
        <v>3600000</v>
      </c>
      <c r="H445" s="131" t="n">
        <v>676</v>
      </c>
      <c r="I445" s="132" t="n">
        <v>0.26</v>
      </c>
      <c r="J445" s="132" t="n">
        <v>0.31</v>
      </c>
      <c r="K445" s="130" t="n">
        <v>5.45311238417471</v>
      </c>
      <c r="L445" s="132" t="n">
        <v>0.31</v>
      </c>
      <c r="M445" s="131" t="s">
        <v>64</v>
      </c>
      <c r="N445" s="133" t="n">
        <v>1.12151101541774</v>
      </c>
      <c r="O445" s="133" t="n">
        <v>5.45311238417471</v>
      </c>
      <c r="P445" s="132" t="n">
        <v>0.0179</v>
      </c>
      <c r="Q445" s="131" t="s">
        <v>130</v>
      </c>
      <c r="R445" s="130" t="n">
        <v>14183000</v>
      </c>
      <c r="S445" s="143" t="n">
        <v>0</v>
      </c>
      <c r="T445" s="134" t="n">
        <v>45436.5779074074</v>
      </c>
    </row>
    <row r="446" customFormat="false" ht="39.75" hidden="false" customHeight="true" outlineLevel="0" collapsed="false">
      <c r="B446" s="130" t="n">
        <v>1061435339</v>
      </c>
      <c r="C446" s="131" t="s">
        <v>545</v>
      </c>
      <c r="D446" s="131" t="s">
        <v>135</v>
      </c>
      <c r="E446" s="130" t="n">
        <v>2893800</v>
      </c>
      <c r="F446" s="131" t="s">
        <v>34</v>
      </c>
      <c r="G446" s="130" t="n">
        <v>4100000</v>
      </c>
      <c r="H446" s="131" t="n">
        <v>615</v>
      </c>
      <c r="I446" s="132" t="n">
        <v>0.41</v>
      </c>
      <c r="J446" s="132" t="n">
        <v>0.49</v>
      </c>
      <c r="K446" s="130" t="n">
        <v>11.4059769161656</v>
      </c>
      <c r="L446" s="132" t="n">
        <v>0.49</v>
      </c>
      <c r="M446" s="131" t="s">
        <v>64</v>
      </c>
      <c r="N446" s="133" t="n">
        <v>1.61104430161034</v>
      </c>
      <c r="O446" s="133" t="n">
        <v>11.4059769161656</v>
      </c>
      <c r="P446" s="132" t="n">
        <v>0.0179</v>
      </c>
      <c r="Q446" s="131" t="s">
        <v>130</v>
      </c>
      <c r="R446" s="130" t="n">
        <v>32703000</v>
      </c>
      <c r="S446" s="143" t="n">
        <v>0</v>
      </c>
      <c r="T446" s="134" t="n">
        <v>45441.3808459491</v>
      </c>
    </row>
    <row r="447" customFormat="false" ht="39.75" hidden="false" customHeight="true" outlineLevel="0" collapsed="false">
      <c r="B447" s="130" t="n">
        <v>1143836437</v>
      </c>
      <c r="C447" s="131" t="s">
        <v>546</v>
      </c>
      <c r="D447" s="131" t="s">
        <v>135</v>
      </c>
      <c r="E447" s="130" t="n">
        <v>2600900</v>
      </c>
      <c r="F447" s="131" t="s">
        <v>16</v>
      </c>
      <c r="G447" s="130" t="n">
        <v>13000000</v>
      </c>
      <c r="H447" s="131" t="n">
        <v>720</v>
      </c>
      <c r="I447" s="132" t="n">
        <v>0.75</v>
      </c>
      <c r="J447" s="132" t="n">
        <v>0.91</v>
      </c>
      <c r="K447" s="130" t="n">
        <v>14.4377673113153</v>
      </c>
      <c r="L447" s="132" t="n">
        <v>0.91</v>
      </c>
      <c r="M447" s="131" t="s">
        <v>64</v>
      </c>
      <c r="N447" s="133" t="n">
        <v>1.62541312622554</v>
      </c>
      <c r="O447" s="133" t="n">
        <v>14.4377673113153</v>
      </c>
      <c r="P447" s="132" t="n">
        <v>0.0199</v>
      </c>
      <c r="Q447" s="131" t="s">
        <v>130</v>
      </c>
      <c r="R447" s="130" t="n">
        <v>8838000</v>
      </c>
      <c r="S447" s="143" t="s">
        <v>547</v>
      </c>
      <c r="T447" s="134" t="n">
        <v>45441.3932030093</v>
      </c>
    </row>
    <row r="448" customFormat="false" ht="39.75" hidden="false" customHeight="true" outlineLevel="0" collapsed="false">
      <c r="B448" s="130" t="n">
        <v>25273899</v>
      </c>
      <c r="C448" s="131" t="s">
        <v>389</v>
      </c>
      <c r="D448" s="131" t="s">
        <v>135</v>
      </c>
      <c r="E448" s="130" t="n">
        <v>4876900</v>
      </c>
      <c r="F448" s="131" t="s">
        <v>33</v>
      </c>
      <c r="G448" s="130" t="n">
        <v>7000000</v>
      </c>
      <c r="H448" s="131" t="n">
        <v>926</v>
      </c>
      <c r="I448" s="132" t="n">
        <v>0.08</v>
      </c>
      <c r="J448" s="132" t="n">
        <v>0.16</v>
      </c>
      <c r="K448" s="130" t="n">
        <v>0</v>
      </c>
      <c r="L448" s="132" t="n">
        <v>0.16</v>
      </c>
      <c r="M448" s="131" t="s">
        <v>62</v>
      </c>
      <c r="N448" s="133" t="n">
        <v>0.653591830876171</v>
      </c>
      <c r="O448" s="133" t="n">
        <v>0</v>
      </c>
      <c r="P448" s="132" t="n">
        <v>0.0149</v>
      </c>
      <c r="Q448" s="131" t="s">
        <v>130</v>
      </c>
      <c r="R448" s="130" t="n">
        <v>0</v>
      </c>
      <c r="S448" s="143" t="s">
        <v>547</v>
      </c>
      <c r="T448" s="134" t="n">
        <v>45441.3983266204</v>
      </c>
    </row>
    <row r="449" customFormat="false" ht="39.75" hidden="false" customHeight="true" outlineLevel="0" collapsed="false">
      <c r="B449" s="130" t="n">
        <v>38566191</v>
      </c>
      <c r="C449" s="131" t="s">
        <v>245</v>
      </c>
      <c r="D449" s="131" t="s">
        <v>158</v>
      </c>
      <c r="E449" s="130" t="n">
        <v>6000000</v>
      </c>
      <c r="F449" s="131" t="s">
        <v>34</v>
      </c>
      <c r="G449" s="130" t="n">
        <v>5600000</v>
      </c>
      <c r="H449" s="131" t="n">
        <v>576</v>
      </c>
      <c r="I449" s="132" t="n">
        <v>0.26</v>
      </c>
      <c r="J449" s="132" t="n">
        <v>0.31</v>
      </c>
      <c r="K449" s="130" t="n">
        <v>0.847928666666667</v>
      </c>
      <c r="L449" s="132" t="n">
        <v>0.31</v>
      </c>
      <c r="M449" s="131" t="s">
        <v>64</v>
      </c>
      <c r="N449" s="133" t="n">
        <v>0.753170833333333</v>
      </c>
      <c r="O449" s="133" t="n">
        <v>0.847928666666667</v>
      </c>
      <c r="P449" s="132" t="n">
        <v>0.0179</v>
      </c>
      <c r="Q449" s="131" t="s">
        <v>130</v>
      </c>
      <c r="R449" s="130" t="n">
        <v>122000</v>
      </c>
      <c r="S449" s="143" t="n">
        <v>0</v>
      </c>
      <c r="T449" s="134" t="n">
        <v>45441.4002873843</v>
      </c>
    </row>
    <row r="450" customFormat="false" ht="39.75" hidden="false" customHeight="true" outlineLevel="0" collapsed="false">
      <c r="B450" s="130" t="n">
        <v>1144169886</v>
      </c>
      <c r="C450" s="131" t="s">
        <v>548</v>
      </c>
      <c r="D450" s="131" t="s">
        <v>135</v>
      </c>
      <c r="E450" s="130" t="n">
        <v>2600900</v>
      </c>
      <c r="F450" s="131" t="s">
        <v>34</v>
      </c>
      <c r="G450" s="130" t="n">
        <v>4200000</v>
      </c>
      <c r="H450" s="131" t="n">
        <v>562</v>
      </c>
      <c r="I450" s="132" t="n">
        <v>0.45</v>
      </c>
      <c r="J450" s="132" t="n">
        <v>0.52</v>
      </c>
      <c r="K450" s="130" t="n">
        <v>15.7991368372486</v>
      </c>
      <c r="L450" s="132" t="n">
        <v>0.52</v>
      </c>
      <c r="M450" s="131" t="s">
        <v>64</v>
      </c>
      <c r="N450" s="133" t="n">
        <v>1.33003037410127</v>
      </c>
      <c r="O450" s="133" t="n">
        <v>15.7991368372486</v>
      </c>
      <c r="P450" s="132" t="n">
        <v>0.0179</v>
      </c>
      <c r="Q450" s="131" t="s">
        <v>130</v>
      </c>
      <c r="R450" s="130" t="n">
        <v>39691000</v>
      </c>
      <c r="S450" s="143" t="n">
        <v>0</v>
      </c>
      <c r="T450" s="134" t="n">
        <v>45441.4048894676</v>
      </c>
    </row>
    <row r="451" customFormat="false" ht="39.75" hidden="false" customHeight="true" outlineLevel="0" collapsed="false">
      <c r="B451" s="130" t="n">
        <v>66834463</v>
      </c>
      <c r="C451" s="131" t="s">
        <v>549</v>
      </c>
      <c r="D451" s="131" t="s">
        <v>158</v>
      </c>
      <c r="E451" s="130" t="n">
        <v>2255900</v>
      </c>
      <c r="F451" s="131" t="s">
        <v>16</v>
      </c>
      <c r="G451" s="130" t="n">
        <v>5000000</v>
      </c>
      <c r="H451" s="131" t="n">
        <v>890</v>
      </c>
      <c r="I451" s="132" t="n">
        <v>0.09</v>
      </c>
      <c r="J451" s="132" t="n">
        <v>0.22</v>
      </c>
      <c r="K451" s="130" t="n">
        <v>20.2863602110023</v>
      </c>
      <c r="L451" s="132" t="n">
        <v>0.22</v>
      </c>
      <c r="M451" s="131" t="s">
        <v>62</v>
      </c>
      <c r="N451" s="133" t="n">
        <v>1.36506006471918</v>
      </c>
      <c r="O451" s="133" t="n">
        <v>20.2863602110023</v>
      </c>
      <c r="P451" s="132" t="n">
        <v>0.0199</v>
      </c>
      <c r="Q451" s="131" t="s">
        <v>130</v>
      </c>
      <c r="R451" s="130" t="n">
        <v>45764000</v>
      </c>
      <c r="S451" s="143" t="n">
        <v>0</v>
      </c>
      <c r="T451" s="134" t="n">
        <v>45441.4069591435</v>
      </c>
    </row>
    <row r="452" customFormat="false" ht="39.75" hidden="false" customHeight="true" outlineLevel="0" collapsed="false">
      <c r="B452" s="130" t="n">
        <v>67028441</v>
      </c>
      <c r="C452" s="131" t="s">
        <v>550</v>
      </c>
      <c r="D452" s="131" t="s">
        <v>135</v>
      </c>
      <c r="E452" s="130" t="n">
        <v>2600900</v>
      </c>
      <c r="F452" s="131" t="s">
        <v>33</v>
      </c>
      <c r="G452" s="130" t="n">
        <v>6600000</v>
      </c>
      <c r="H452" s="131" t="n">
        <v>850</v>
      </c>
      <c r="I452" s="132" t="n">
        <v>0.15</v>
      </c>
      <c r="J452" s="132" t="n">
        <v>0.29</v>
      </c>
      <c r="K452" s="130" t="n">
        <v>0.764296205159752</v>
      </c>
      <c r="L452" s="132" t="n">
        <v>0.29</v>
      </c>
      <c r="M452" s="131" t="s">
        <v>62</v>
      </c>
      <c r="N452" s="133" t="n">
        <v>0.718844246222462</v>
      </c>
      <c r="O452" s="133" t="n">
        <v>0.764296205159752</v>
      </c>
      <c r="P452" s="132" t="n">
        <v>0.0149</v>
      </c>
      <c r="Q452" s="131" t="s">
        <v>130</v>
      </c>
      <c r="R452" s="130" t="n">
        <v>0</v>
      </c>
      <c r="S452" s="143" t="n">
        <v>0</v>
      </c>
      <c r="T452" s="134" t="n">
        <v>45441.4110708333</v>
      </c>
    </row>
    <row r="453" customFormat="false" ht="39.75" hidden="false" customHeight="true" outlineLevel="0" collapsed="false">
      <c r="B453" s="130" t="n">
        <v>31483756</v>
      </c>
      <c r="C453" s="131" t="s">
        <v>551</v>
      </c>
      <c r="D453" s="131" t="s">
        <v>135</v>
      </c>
      <c r="E453" s="130" t="n">
        <v>2893800</v>
      </c>
      <c r="F453" s="131" t="s">
        <v>33</v>
      </c>
      <c r="G453" s="130" t="n">
        <v>5000000</v>
      </c>
      <c r="H453" s="131" t="n">
        <v>919</v>
      </c>
      <c r="I453" s="132" t="n">
        <v>0.1</v>
      </c>
      <c r="J453" s="132" t="n">
        <v>0.19</v>
      </c>
      <c r="K453" s="130" t="n">
        <v>0.107137673647108</v>
      </c>
      <c r="L453" s="132" t="n">
        <v>0.19</v>
      </c>
      <c r="M453" s="131" t="s">
        <v>62</v>
      </c>
      <c r="N453" s="133" t="n">
        <v>0.668455318266639</v>
      </c>
      <c r="O453" s="133" t="n">
        <v>0.107137673647108</v>
      </c>
      <c r="P453" s="132" t="n">
        <v>0.0149</v>
      </c>
      <c r="Q453" s="131" t="s">
        <v>130</v>
      </c>
      <c r="R453" s="130" t="n">
        <v>0</v>
      </c>
      <c r="S453" s="143" t="n">
        <v>0</v>
      </c>
      <c r="T453" s="134" t="n">
        <v>45441.4390740741</v>
      </c>
    </row>
    <row r="454" customFormat="false" ht="39.75" hidden="false" customHeight="true" outlineLevel="0" collapsed="false">
      <c r="B454" s="130" t="n">
        <v>31900177</v>
      </c>
      <c r="C454" s="131" t="s">
        <v>552</v>
      </c>
      <c r="D454" s="131" t="s">
        <v>445</v>
      </c>
      <c r="E454" s="130" t="n">
        <v>2900000</v>
      </c>
      <c r="F454" s="131" t="s">
        <v>16</v>
      </c>
      <c r="G454" s="130" t="n">
        <v>5000000</v>
      </c>
      <c r="H454" s="131" t="n">
        <v>887</v>
      </c>
      <c r="I454" s="132" t="n">
        <v>0.04</v>
      </c>
      <c r="J454" s="132" t="n">
        <v>0.09</v>
      </c>
      <c r="K454" s="130" t="n">
        <v>49.9249737931035</v>
      </c>
      <c r="L454" s="132" t="n">
        <v>0.09</v>
      </c>
      <c r="M454" s="131" t="s">
        <v>61</v>
      </c>
      <c r="N454" s="133" t="n">
        <v>1.68996517241379</v>
      </c>
      <c r="O454" s="133" t="n">
        <v>49.9249737931035</v>
      </c>
      <c r="P454" s="132" t="n">
        <v>0.0199</v>
      </c>
      <c r="Q454" s="131" t="s">
        <v>130</v>
      </c>
      <c r="R454" s="130" t="n">
        <v>140765000</v>
      </c>
      <c r="S454" s="143" t="n">
        <v>0</v>
      </c>
      <c r="T454" s="134" t="n">
        <v>45441.4448993056</v>
      </c>
    </row>
    <row r="455" customFormat="false" ht="39.75" hidden="false" customHeight="true" outlineLevel="0" collapsed="false">
      <c r="B455" s="130" t="n">
        <v>1116261599</v>
      </c>
      <c r="C455" s="131" t="s">
        <v>302</v>
      </c>
      <c r="D455" s="131" t="s">
        <v>135</v>
      </c>
      <c r="E455" s="130" t="n">
        <v>5291000</v>
      </c>
      <c r="F455" s="131" t="s">
        <v>11</v>
      </c>
      <c r="G455" s="130" t="n">
        <v>2000000</v>
      </c>
      <c r="H455" s="131" t="n">
        <v>731</v>
      </c>
      <c r="I455" s="132" t="n">
        <v>0.37</v>
      </c>
      <c r="J455" s="132" t="n">
        <v>0.39</v>
      </c>
      <c r="K455" s="130" t="n">
        <v>4.80112587412587</v>
      </c>
      <c r="L455" s="132" t="n">
        <v>0.39</v>
      </c>
      <c r="M455" s="131" t="s">
        <v>64</v>
      </c>
      <c r="N455" s="133" t="n">
        <v>1.14970893970894</v>
      </c>
      <c r="O455" s="133" t="n">
        <v>4.80112587412587</v>
      </c>
      <c r="P455" s="132" t="n">
        <v>0.0167</v>
      </c>
      <c r="Q455" s="131" t="s">
        <v>130</v>
      </c>
      <c r="R455" s="130" t="n">
        <v>23542000</v>
      </c>
      <c r="S455" s="143" t="n">
        <v>0</v>
      </c>
      <c r="T455" s="134" t="n">
        <v>45443.5871913194</v>
      </c>
    </row>
    <row r="456" customFormat="false" ht="39.75" hidden="false" customHeight="true" outlineLevel="0" collapsed="false">
      <c r="B456" s="130" t="n">
        <v>1143968126</v>
      </c>
      <c r="C456" s="131" t="s">
        <v>553</v>
      </c>
      <c r="D456" s="131" t="s">
        <v>135</v>
      </c>
      <c r="E456" s="130" t="n">
        <v>1625000</v>
      </c>
      <c r="F456" s="131" t="s">
        <v>34</v>
      </c>
      <c r="G456" s="130" t="n">
        <v>4000000</v>
      </c>
      <c r="H456" s="131" t="n">
        <v>691</v>
      </c>
      <c r="I456" s="132" t="n">
        <v>0.1</v>
      </c>
      <c r="J456" s="132" t="n">
        <v>0.24</v>
      </c>
      <c r="K456" s="130" t="n">
        <v>2.62276923076923</v>
      </c>
      <c r="L456" s="132" t="n">
        <v>0.24</v>
      </c>
      <c r="M456" s="131" t="s">
        <v>64</v>
      </c>
      <c r="N456" s="133" t="n">
        <v>0.930533538461538</v>
      </c>
      <c r="O456" s="133" t="n">
        <v>2.62276923076923</v>
      </c>
      <c r="P456" s="132" t="n">
        <v>0.0179</v>
      </c>
      <c r="Q456" s="131" t="s">
        <v>130</v>
      </c>
      <c r="R456" s="130" t="n">
        <v>4262000</v>
      </c>
      <c r="S456" s="143" t="n">
        <v>0</v>
      </c>
      <c r="T456" s="134" t="n">
        <v>45443.5937255787</v>
      </c>
    </row>
    <row r="457" customFormat="false" ht="39.75" hidden="false" customHeight="true" outlineLevel="0" collapsed="false">
      <c r="B457" s="130" t="n">
        <v>16889110</v>
      </c>
      <c r="C457" s="131" t="s">
        <v>176</v>
      </c>
      <c r="D457" s="131" t="s">
        <v>135</v>
      </c>
      <c r="E457" s="130" t="n">
        <v>1918500</v>
      </c>
      <c r="F457" s="131" t="s">
        <v>29</v>
      </c>
      <c r="G457" s="130" t="n">
        <v>800000</v>
      </c>
      <c r="H457" s="131" t="n">
        <v>687</v>
      </c>
      <c r="I457" s="132" t="n">
        <v>0.19</v>
      </c>
      <c r="J457" s="132" t="n">
        <v>0.21</v>
      </c>
      <c r="K457" s="130" t="n">
        <v>3.03884857961949</v>
      </c>
      <c r="L457" s="132" t="n">
        <v>0.21</v>
      </c>
      <c r="M457" s="131" t="s">
        <v>64</v>
      </c>
      <c r="N457" s="133" t="n">
        <v>1.06237789940057</v>
      </c>
      <c r="O457" s="133" t="n">
        <v>3.03884857961949</v>
      </c>
      <c r="P457" s="132" t="n">
        <v>0.0179</v>
      </c>
      <c r="Q457" s="131" t="s">
        <v>130</v>
      </c>
      <c r="R457" s="130" t="n">
        <v>2392000</v>
      </c>
      <c r="S457" s="143" t="n">
        <v>0</v>
      </c>
      <c r="T457" s="134" t="n">
        <v>45443.5981230324</v>
      </c>
    </row>
    <row r="458" customFormat="false" ht="39.75" hidden="false" customHeight="true" outlineLevel="0" collapsed="false">
      <c r="B458" s="130" t="n">
        <v>1143835632</v>
      </c>
      <c r="C458" s="131" t="s">
        <v>554</v>
      </c>
      <c r="D458" s="131" t="s">
        <v>135</v>
      </c>
      <c r="E458" s="130" t="n">
        <v>9087800</v>
      </c>
      <c r="F458" s="131" t="s">
        <v>19</v>
      </c>
      <c r="G458" s="130" t="n">
        <v>12982050</v>
      </c>
      <c r="H458" s="131" t="n">
        <v>856</v>
      </c>
      <c r="I458" s="132" t="n">
        <v>0.22</v>
      </c>
      <c r="J458" s="132" t="n">
        <v>0.36</v>
      </c>
      <c r="K458" s="130" t="n">
        <v>3.37859547965404</v>
      </c>
      <c r="L458" s="132" t="n">
        <v>0.36</v>
      </c>
      <c r="M458" s="131" t="s">
        <v>62</v>
      </c>
      <c r="N458" s="133" t="n">
        <v>0.849952683817866</v>
      </c>
      <c r="O458" s="133" t="n">
        <v>3.37859547965404</v>
      </c>
      <c r="P458" s="132" t="n">
        <v>0.006</v>
      </c>
      <c r="Q458" s="131" t="s">
        <v>130</v>
      </c>
      <c r="R458" s="130" t="n">
        <v>30704000</v>
      </c>
      <c r="S458" s="143" t="n">
        <v>0</v>
      </c>
      <c r="T458" s="134" t="n">
        <v>45448.3628256944</v>
      </c>
    </row>
    <row r="459" customFormat="false" ht="39.75" hidden="false" customHeight="true" outlineLevel="0" collapsed="false">
      <c r="B459" s="130" t="n">
        <v>16930766</v>
      </c>
      <c r="C459" s="131" t="s">
        <v>332</v>
      </c>
      <c r="D459" s="131" t="s">
        <v>135</v>
      </c>
      <c r="E459" s="130" t="n">
        <v>2893800</v>
      </c>
      <c r="F459" s="131" t="s">
        <v>14</v>
      </c>
      <c r="G459" s="130" t="n">
        <v>8000000</v>
      </c>
      <c r="H459" s="131" t="n">
        <v>904</v>
      </c>
      <c r="I459" s="132" t="n">
        <v>0.28</v>
      </c>
      <c r="J459" s="132" t="n">
        <v>0.36</v>
      </c>
      <c r="K459" s="130" t="n">
        <v>5.90705542884788</v>
      </c>
      <c r="L459" s="132" t="n">
        <v>0.36</v>
      </c>
      <c r="M459" s="131" t="s">
        <v>61</v>
      </c>
      <c r="N459" s="133" t="n">
        <v>0.8353683737646</v>
      </c>
      <c r="O459" s="133" t="n">
        <v>5.90705542884788</v>
      </c>
      <c r="P459" s="132" t="n">
        <v>0.0199</v>
      </c>
      <c r="Q459" s="131" t="s">
        <v>130</v>
      </c>
      <c r="R459" s="130" t="n">
        <v>0</v>
      </c>
      <c r="S459" s="143" t="n">
        <v>0</v>
      </c>
      <c r="T459" s="134" t="n">
        <v>45448.373178125</v>
      </c>
    </row>
    <row r="460" customFormat="false" ht="39.75" hidden="false" customHeight="true" outlineLevel="0" collapsed="false">
      <c r="B460" s="130" t="n">
        <v>66856977</v>
      </c>
      <c r="C460" s="131" t="s">
        <v>258</v>
      </c>
      <c r="D460" s="131" t="s">
        <v>135</v>
      </c>
      <c r="E460" s="130" t="n">
        <v>8245400</v>
      </c>
      <c r="F460" s="131" t="s">
        <v>14</v>
      </c>
      <c r="G460" s="130" t="n">
        <v>7500000</v>
      </c>
      <c r="H460" s="131" t="n">
        <v>747</v>
      </c>
      <c r="I460" s="132" t="n">
        <v>0.35</v>
      </c>
      <c r="J460" s="132" t="n">
        <v>0.38</v>
      </c>
      <c r="K460" s="130" t="n">
        <v>4.6712615518956</v>
      </c>
      <c r="L460" s="132" t="n">
        <v>0.38</v>
      </c>
      <c r="M460" s="131" t="s">
        <v>62</v>
      </c>
      <c r="N460" s="133" t="n">
        <v>2.97283830984549</v>
      </c>
      <c r="O460" s="133" t="n">
        <v>4.6712615518956</v>
      </c>
      <c r="P460" s="132" t="n">
        <v>0.0199</v>
      </c>
      <c r="Q460" s="131" t="s">
        <v>130</v>
      </c>
      <c r="R460" s="130" t="n">
        <v>17696000</v>
      </c>
      <c r="S460" s="143" t="n">
        <v>0</v>
      </c>
      <c r="T460" s="134" t="n">
        <v>45448.3829627315</v>
      </c>
    </row>
    <row r="461" customFormat="false" ht="39.75" hidden="false" customHeight="true" outlineLevel="0" collapsed="false">
      <c r="B461" s="130" t="n">
        <v>94493424</v>
      </c>
      <c r="C461" s="131" t="s">
        <v>293</v>
      </c>
      <c r="D461" s="131" t="s">
        <v>135</v>
      </c>
      <c r="E461" s="130" t="n">
        <v>8178800</v>
      </c>
      <c r="F461" s="131" t="s">
        <v>14</v>
      </c>
      <c r="G461" s="130" t="n">
        <v>10000000</v>
      </c>
      <c r="H461" s="131" t="n">
        <v>803</v>
      </c>
      <c r="I461" s="132" t="n">
        <v>0.45</v>
      </c>
      <c r="J461" s="132" t="n">
        <v>0.52</v>
      </c>
      <c r="K461" s="130" t="n">
        <v>12.8581283317846</v>
      </c>
      <c r="L461" s="132" t="n">
        <v>0.52</v>
      </c>
      <c r="M461" s="131" t="s">
        <v>61</v>
      </c>
      <c r="N461" s="133" t="n">
        <v>1.23838668264293</v>
      </c>
      <c r="O461" s="133" t="n">
        <v>12.8581283317846</v>
      </c>
      <c r="P461" s="132" t="n">
        <v>0.0199</v>
      </c>
      <c r="Q461" s="131" t="s">
        <v>130</v>
      </c>
      <c r="R461" s="130" t="n">
        <v>103917000</v>
      </c>
      <c r="S461" s="143" t="n">
        <v>0</v>
      </c>
      <c r="T461" s="134" t="n">
        <v>45448.4133369213</v>
      </c>
    </row>
    <row r="462" customFormat="false" ht="39.75" hidden="false" customHeight="true" outlineLevel="0" collapsed="false">
      <c r="B462" s="130" t="n">
        <v>1143857356</v>
      </c>
      <c r="C462" s="131" t="s">
        <v>278</v>
      </c>
      <c r="D462" s="131" t="s">
        <v>135</v>
      </c>
      <c r="E462" s="130" t="n">
        <v>1991000</v>
      </c>
      <c r="F462" s="131" t="s">
        <v>14</v>
      </c>
      <c r="G462" s="130" t="n">
        <v>4200000</v>
      </c>
      <c r="H462" s="131" t="n">
        <v>640</v>
      </c>
      <c r="I462" s="132" t="n">
        <v>0.21</v>
      </c>
      <c r="J462" s="132" t="n">
        <v>0.33</v>
      </c>
      <c r="K462" s="130" t="n">
        <v>1.20589251632346</v>
      </c>
      <c r="L462" s="132" t="n">
        <v>0.33</v>
      </c>
      <c r="M462" s="131" t="s">
        <v>64</v>
      </c>
      <c r="N462" s="133" t="n">
        <v>0.901439477649422</v>
      </c>
      <c r="O462" s="133" t="n">
        <v>1.20589251632346</v>
      </c>
      <c r="P462" s="132" t="n">
        <v>0.0199</v>
      </c>
      <c r="Q462" s="131" t="s">
        <v>130</v>
      </c>
      <c r="R462" s="130" t="n">
        <v>1786000</v>
      </c>
      <c r="S462" s="143" t="n">
        <v>0</v>
      </c>
      <c r="T462" s="134" t="n">
        <v>45448.4154805556</v>
      </c>
    </row>
    <row r="463" customFormat="false" ht="39.75" hidden="false" customHeight="true" outlineLevel="0" collapsed="false">
      <c r="B463" s="130" t="n">
        <v>31446402</v>
      </c>
      <c r="C463" s="131" t="s">
        <v>555</v>
      </c>
      <c r="D463" s="131" t="s">
        <v>135</v>
      </c>
      <c r="E463" s="130" t="n">
        <v>2893800</v>
      </c>
      <c r="F463" s="131" t="s">
        <v>29</v>
      </c>
      <c r="G463" s="130" t="n">
        <v>2000000</v>
      </c>
      <c r="H463" s="131" t="n">
        <v>764</v>
      </c>
      <c r="I463" s="132" t="n">
        <v>0.39</v>
      </c>
      <c r="J463" s="132" t="n">
        <v>0.43</v>
      </c>
      <c r="K463" s="130" t="n">
        <v>9.84220229456079</v>
      </c>
      <c r="L463" s="132" t="n">
        <v>0.43</v>
      </c>
      <c r="M463" s="131" t="s">
        <v>64</v>
      </c>
      <c r="N463" s="133" t="n">
        <v>1.57582970488631</v>
      </c>
      <c r="O463" s="133" t="n">
        <v>9.84220229456079</v>
      </c>
      <c r="P463" s="132" t="n">
        <v>0.0227</v>
      </c>
      <c r="Q463" s="131" t="s">
        <v>130</v>
      </c>
      <c r="R463" s="130" t="n">
        <v>25446000</v>
      </c>
      <c r="S463" s="143" t="n">
        <v>0</v>
      </c>
      <c r="T463" s="134" t="n">
        <v>45448.6529072917</v>
      </c>
    </row>
    <row r="464" customFormat="false" ht="39.75" hidden="false" customHeight="true" outlineLevel="0" collapsed="false">
      <c r="B464" s="130" t="n">
        <v>1144173564</v>
      </c>
      <c r="C464" s="131" t="s">
        <v>342</v>
      </c>
      <c r="D464" s="131" t="s">
        <v>135</v>
      </c>
      <c r="E464" s="130" t="n">
        <v>2893800</v>
      </c>
      <c r="F464" s="131" t="s">
        <v>29</v>
      </c>
      <c r="G464" s="130" t="n">
        <v>2000000</v>
      </c>
      <c r="H464" s="131" t="n">
        <v>621</v>
      </c>
      <c r="I464" s="132" t="n">
        <v>0.36</v>
      </c>
      <c r="J464" s="132" t="n">
        <v>0.4</v>
      </c>
      <c r="K464" s="130" t="n">
        <v>1.1323550349022</v>
      </c>
      <c r="L464" s="132" t="n">
        <v>0.4</v>
      </c>
      <c r="M464" s="131" t="s">
        <v>64</v>
      </c>
      <c r="N464" s="133" t="n">
        <v>1.16557502246181</v>
      </c>
      <c r="O464" s="133" t="n">
        <v>1.1323550349022</v>
      </c>
      <c r="P464" s="132" t="n">
        <v>0.0227</v>
      </c>
      <c r="Q464" s="131" t="s">
        <v>130</v>
      </c>
      <c r="R464" s="130" t="n">
        <v>1000000</v>
      </c>
      <c r="S464" s="143" t="n">
        <v>0</v>
      </c>
      <c r="T464" s="134" t="n">
        <v>45449.3856402778</v>
      </c>
    </row>
    <row r="465" customFormat="false" ht="39.75" hidden="false" customHeight="true" outlineLevel="0" collapsed="false">
      <c r="B465" s="130" t="n">
        <v>31982746</v>
      </c>
      <c r="C465" s="131" t="s">
        <v>556</v>
      </c>
      <c r="D465" s="131" t="s">
        <v>135</v>
      </c>
      <c r="E465" s="130" t="n">
        <v>26059900</v>
      </c>
      <c r="F465" s="131" t="s">
        <v>16</v>
      </c>
      <c r="G465" s="130" t="n">
        <v>8450000</v>
      </c>
      <c r="H465" s="131" t="n">
        <v>832</v>
      </c>
      <c r="I465" s="132" t="n">
        <v>0.39</v>
      </c>
      <c r="J465" s="132" t="n">
        <v>0.4</v>
      </c>
      <c r="K465" s="130" t="n">
        <v>6.4032095288163</v>
      </c>
      <c r="L465" s="132" t="n">
        <v>0.4</v>
      </c>
      <c r="M465" s="131" t="s">
        <v>62</v>
      </c>
      <c r="N465" s="133" t="n">
        <v>0.976368635336283</v>
      </c>
      <c r="O465" s="133" t="n">
        <v>6.4032095288163</v>
      </c>
      <c r="P465" s="132" t="n">
        <v>0.0199</v>
      </c>
      <c r="Q465" s="131" t="s">
        <v>130</v>
      </c>
      <c r="R465" s="130" t="n">
        <v>166867000</v>
      </c>
      <c r="S465" s="143" t="n">
        <v>0</v>
      </c>
      <c r="T465" s="134" t="n">
        <v>45449.5653081019</v>
      </c>
    </row>
    <row r="466" customFormat="false" ht="39.75" hidden="false" customHeight="true" outlineLevel="0" collapsed="false">
      <c r="B466" s="130" t="n">
        <v>1116131228</v>
      </c>
      <c r="C466" s="131" t="s">
        <v>557</v>
      </c>
      <c r="D466" s="131" t="s">
        <v>135</v>
      </c>
      <c r="E466" s="130" t="n">
        <v>2600900</v>
      </c>
      <c r="F466" s="131" t="s">
        <v>29</v>
      </c>
      <c r="G466" s="130" t="n">
        <v>2000000</v>
      </c>
      <c r="H466" s="131" t="n">
        <v>599</v>
      </c>
      <c r="I466" s="132" t="n">
        <v>0.46</v>
      </c>
      <c r="J466" s="132" t="n">
        <v>0.46</v>
      </c>
      <c r="K466" s="130" t="n">
        <v>15.7815148602407</v>
      </c>
      <c r="L466" s="132" t="n">
        <v>0.46</v>
      </c>
      <c r="M466" s="131" t="s">
        <v>64</v>
      </c>
      <c r="N466" s="133" t="n">
        <v>3.32538121419509</v>
      </c>
      <c r="O466" s="133" t="n">
        <v>15.7815148602407</v>
      </c>
      <c r="P466" s="132" t="n">
        <v>0.0227</v>
      </c>
      <c r="Q466" s="131" t="s">
        <v>130</v>
      </c>
      <c r="R466" s="130" t="n">
        <v>40916000</v>
      </c>
      <c r="S466" s="143" t="n">
        <v>0</v>
      </c>
      <c r="T466" s="134" t="n">
        <v>45450.3945922454</v>
      </c>
    </row>
    <row r="467" customFormat="false" ht="39.75" hidden="false" customHeight="true" outlineLevel="0" collapsed="false">
      <c r="B467" s="130" t="n">
        <v>16985476</v>
      </c>
      <c r="C467" s="131" t="s">
        <v>558</v>
      </c>
      <c r="D467" s="131" t="s">
        <v>135</v>
      </c>
      <c r="E467" s="130" t="n">
        <v>2681200</v>
      </c>
      <c r="F467" s="131" t="s">
        <v>29</v>
      </c>
      <c r="G467" s="130" t="n">
        <v>2000000</v>
      </c>
      <c r="H467" s="131" t="n">
        <v>886</v>
      </c>
      <c r="I467" s="132" t="n">
        <v>0.13</v>
      </c>
      <c r="J467" s="132" t="n">
        <v>0.21</v>
      </c>
      <c r="K467" s="130" t="n">
        <v>0</v>
      </c>
      <c r="L467" s="132" t="n">
        <v>0.21</v>
      </c>
      <c r="M467" s="131" t="s">
        <v>62</v>
      </c>
      <c r="N467" s="133" t="n">
        <v>0.698003132925556</v>
      </c>
      <c r="O467" s="133" t="n">
        <v>0</v>
      </c>
      <c r="P467" s="132" t="n">
        <v>0.0227</v>
      </c>
      <c r="Q467" s="131" t="s">
        <v>130</v>
      </c>
      <c r="R467" s="130" t="n">
        <v>0</v>
      </c>
      <c r="S467" s="143" t="n">
        <v>0</v>
      </c>
      <c r="T467" s="134" t="n">
        <v>45450.3956915509</v>
      </c>
    </row>
    <row r="468" customFormat="false" ht="39.75" hidden="false" customHeight="true" outlineLevel="0" collapsed="false">
      <c r="B468" s="130" t="n">
        <v>16537560</v>
      </c>
      <c r="C468" s="131" t="s">
        <v>559</v>
      </c>
      <c r="D468" s="131" t="s">
        <v>135</v>
      </c>
      <c r="E468" s="130" t="n">
        <v>2255900</v>
      </c>
      <c r="F468" s="131" t="s">
        <v>29</v>
      </c>
      <c r="G468" s="130" t="n">
        <v>2600000</v>
      </c>
      <c r="H468" s="131" t="n">
        <v>594</v>
      </c>
      <c r="I468" s="132" t="n">
        <v>0.37</v>
      </c>
      <c r="J468" s="132" t="n">
        <v>0.44</v>
      </c>
      <c r="K468" s="130" t="n">
        <v>1.506857573474</v>
      </c>
      <c r="L468" s="132" t="n">
        <v>0.44</v>
      </c>
      <c r="M468" s="131" t="s">
        <v>64</v>
      </c>
      <c r="N468" s="133" t="n">
        <v>1.2319655126557</v>
      </c>
      <c r="O468" s="133" t="n">
        <v>1.506857573474</v>
      </c>
      <c r="P468" s="132" t="n">
        <v>0.0227</v>
      </c>
      <c r="Q468" s="131" t="s">
        <v>130</v>
      </c>
      <c r="R468" s="130" t="n">
        <v>2223800</v>
      </c>
      <c r="S468" s="143" t="n">
        <v>0</v>
      </c>
      <c r="T468" s="134" t="n">
        <v>45450.3972240741</v>
      </c>
    </row>
    <row r="469" customFormat="false" ht="39.75" hidden="false" customHeight="true" outlineLevel="0" collapsed="false">
      <c r="B469" s="130" t="n">
        <v>1143863088</v>
      </c>
      <c r="C469" s="131" t="s">
        <v>560</v>
      </c>
      <c r="D469" s="131" t="s">
        <v>135</v>
      </c>
      <c r="E469" s="130" t="n">
        <v>5418800</v>
      </c>
      <c r="F469" s="131" t="s">
        <v>29</v>
      </c>
      <c r="G469" s="130" t="n">
        <v>2100000</v>
      </c>
      <c r="H469" s="131" t="n">
        <v>666</v>
      </c>
      <c r="I469" s="132" t="n">
        <v>0.17</v>
      </c>
      <c r="J469" s="132" t="n">
        <v>0.19</v>
      </c>
      <c r="K469" s="130" t="n">
        <v>0.560277921310991</v>
      </c>
      <c r="L469" s="132" t="n">
        <v>0.19</v>
      </c>
      <c r="M469" s="131" t="s">
        <v>64</v>
      </c>
      <c r="N469" s="133" t="n">
        <v>0.648866907802466</v>
      </c>
      <c r="O469" s="133" t="n">
        <v>0.560277921310991</v>
      </c>
      <c r="P469" s="132" t="n">
        <v>0.0227</v>
      </c>
      <c r="Q469" s="131" t="s">
        <v>130</v>
      </c>
      <c r="R469" s="130" t="n">
        <v>0</v>
      </c>
      <c r="S469" s="143" t="n">
        <v>0</v>
      </c>
      <c r="T469" s="134" t="n">
        <v>45450.4150957176</v>
      </c>
    </row>
    <row r="470" customFormat="false" ht="39.75" hidden="false" customHeight="true" outlineLevel="0" collapsed="false">
      <c r="B470" s="130" t="n">
        <v>1107522576</v>
      </c>
      <c r="C470" s="131" t="s">
        <v>561</v>
      </c>
      <c r="D470" s="131" t="s">
        <v>135</v>
      </c>
      <c r="E470" s="130" t="n">
        <v>1670000</v>
      </c>
      <c r="F470" s="131" t="s">
        <v>29</v>
      </c>
      <c r="G470" s="130" t="n">
        <v>3800000</v>
      </c>
      <c r="H470" s="131" t="n">
        <v>719</v>
      </c>
      <c r="I470" s="132" t="n">
        <v>0.06</v>
      </c>
      <c r="J470" s="132" t="n">
        <v>0.19</v>
      </c>
      <c r="K470" s="130" t="n">
        <v>0.362874251497006</v>
      </c>
      <c r="L470" s="132" t="n">
        <v>0.19</v>
      </c>
      <c r="M470" s="131" t="s">
        <v>64</v>
      </c>
      <c r="N470" s="133" t="n">
        <v>0.752295209580838</v>
      </c>
      <c r="O470" s="133" t="n">
        <v>0.362874251497006</v>
      </c>
      <c r="P470" s="132" t="n">
        <v>0.0227</v>
      </c>
      <c r="Q470" s="131" t="s">
        <v>130</v>
      </c>
      <c r="R470" s="130" t="n">
        <v>606000</v>
      </c>
      <c r="S470" s="143" t="n">
        <v>0</v>
      </c>
      <c r="T470" s="134" t="n">
        <v>45450.432700463</v>
      </c>
    </row>
    <row r="471" customFormat="false" ht="39.75" hidden="false" customHeight="true" outlineLevel="0" collapsed="false">
      <c r="B471" s="130" t="n">
        <v>67028594</v>
      </c>
      <c r="C471" s="131" t="s">
        <v>562</v>
      </c>
      <c r="D471" s="131" t="s">
        <v>135</v>
      </c>
      <c r="E471" s="130" t="n">
        <v>3394800</v>
      </c>
      <c r="F471" s="131" t="s">
        <v>29</v>
      </c>
      <c r="G471" s="130" t="n">
        <v>3000000</v>
      </c>
      <c r="H471" s="131" t="n">
        <v>767</v>
      </c>
      <c r="I471" s="132" t="n">
        <v>0.29</v>
      </c>
      <c r="J471" s="132" t="n">
        <v>0.32</v>
      </c>
      <c r="K471" s="130" t="n">
        <v>19.7345940850713</v>
      </c>
      <c r="L471" s="132" t="n">
        <v>0.32</v>
      </c>
      <c r="M471" s="131" t="s">
        <v>64</v>
      </c>
      <c r="N471" s="133" t="n">
        <v>1.26717332390715</v>
      </c>
      <c r="O471" s="133" t="n">
        <v>19.7345940850713</v>
      </c>
      <c r="P471" s="132" t="n">
        <v>0.0227</v>
      </c>
      <c r="Q471" s="131" t="s">
        <v>130</v>
      </c>
      <c r="R471" s="130" t="n">
        <v>66995000</v>
      </c>
      <c r="S471" s="143" t="n">
        <v>0</v>
      </c>
      <c r="T471" s="134" t="n">
        <v>45450.4348615741</v>
      </c>
    </row>
    <row r="472" customFormat="false" ht="39.75" hidden="false" customHeight="true" outlineLevel="0" collapsed="false">
      <c r="B472" s="130" t="n">
        <v>67033351</v>
      </c>
      <c r="C472" s="131" t="s">
        <v>563</v>
      </c>
      <c r="D472" s="131" t="s">
        <v>135</v>
      </c>
      <c r="E472" s="130" t="n">
        <v>1625000</v>
      </c>
      <c r="F472" s="131" t="s">
        <v>29</v>
      </c>
      <c r="G472" s="130" t="n">
        <v>465000</v>
      </c>
      <c r="H472" s="131" t="n">
        <v>611</v>
      </c>
      <c r="I472" s="132" t="n">
        <v>0.29</v>
      </c>
      <c r="J472" s="132" t="n">
        <v>0.32</v>
      </c>
      <c r="K472" s="130" t="n">
        <v>2.07688</v>
      </c>
      <c r="L472" s="132" t="n">
        <v>0.32</v>
      </c>
      <c r="M472" s="131" t="s">
        <v>64</v>
      </c>
      <c r="N472" s="133" t="n">
        <v>1.26348123076923</v>
      </c>
      <c r="O472" s="133" t="n">
        <v>2.07688</v>
      </c>
      <c r="P472" s="132" t="n">
        <v>0.0227</v>
      </c>
      <c r="Q472" s="131" t="s">
        <v>130</v>
      </c>
      <c r="R472" s="130" t="n">
        <v>971000</v>
      </c>
      <c r="S472" s="143" t="n">
        <v>0</v>
      </c>
      <c r="T472" s="134" t="n">
        <v>45450.4365015046</v>
      </c>
    </row>
    <row r="473" customFormat="false" ht="39.75" hidden="false" customHeight="true" outlineLevel="0" collapsed="false">
      <c r="B473" s="130" t="n">
        <v>1002936067</v>
      </c>
      <c r="C473" s="131" t="s">
        <v>564</v>
      </c>
      <c r="D473" s="131" t="s">
        <v>135</v>
      </c>
      <c r="E473" s="130" t="n">
        <v>1670000</v>
      </c>
      <c r="F473" s="131" t="s">
        <v>29</v>
      </c>
      <c r="G473" s="130" t="n">
        <v>1200000</v>
      </c>
      <c r="H473" s="131" t="n">
        <v>697</v>
      </c>
      <c r="I473" s="132" t="n">
        <v>0.21</v>
      </c>
      <c r="J473" s="132" t="n">
        <v>0.29</v>
      </c>
      <c r="K473" s="130" t="n">
        <v>3.67948323353293</v>
      </c>
      <c r="L473" s="132" t="n">
        <v>0.29</v>
      </c>
      <c r="M473" s="131" t="s">
        <v>64</v>
      </c>
      <c r="N473" s="133" t="n">
        <v>0.966283832335329</v>
      </c>
      <c r="O473" s="133" t="n">
        <v>3.67948323353293</v>
      </c>
      <c r="P473" s="132" t="n">
        <v>0.0227</v>
      </c>
      <c r="Q473" s="131" t="s">
        <v>130</v>
      </c>
      <c r="R473" s="130" t="n">
        <v>5919000</v>
      </c>
      <c r="S473" s="143" t="n">
        <v>0</v>
      </c>
      <c r="T473" s="134" t="n">
        <v>45450.4408784722</v>
      </c>
    </row>
    <row r="474" customFormat="false" ht="39.75" hidden="false" customHeight="true" outlineLevel="0" collapsed="false">
      <c r="B474" s="130" t="n">
        <v>1107100321</v>
      </c>
      <c r="C474" s="131" t="s">
        <v>565</v>
      </c>
      <c r="D474" s="131" t="s">
        <v>135</v>
      </c>
      <c r="E474" s="130" t="n">
        <v>2893800</v>
      </c>
      <c r="F474" s="131" t="s">
        <v>29</v>
      </c>
      <c r="G474" s="130" t="n">
        <v>2</v>
      </c>
      <c r="H474" s="131" t="n">
        <v>536</v>
      </c>
      <c r="I474" s="132" t="n">
        <v>0.04</v>
      </c>
      <c r="J474" s="132" t="n">
        <v>0.04</v>
      </c>
      <c r="K474" s="130" t="n">
        <v>0.825212523325731</v>
      </c>
      <c r="L474" s="132" t="n">
        <v>0.04</v>
      </c>
      <c r="M474" s="131" t="s">
        <v>64</v>
      </c>
      <c r="N474" s="133" t="n">
        <v>1.4605090192826</v>
      </c>
      <c r="O474" s="133" t="n">
        <v>0.825212523325731</v>
      </c>
      <c r="P474" s="132" t="n">
        <v>0.0227</v>
      </c>
      <c r="Q474" s="131" t="s">
        <v>130</v>
      </c>
      <c r="R474" s="130" t="n">
        <v>2388000</v>
      </c>
      <c r="S474" s="143" t="n">
        <v>0</v>
      </c>
      <c r="T474" s="134" t="n">
        <v>45450.4419414352</v>
      </c>
    </row>
    <row r="475" customFormat="false" ht="39.75" hidden="false" customHeight="true" outlineLevel="0" collapsed="false">
      <c r="B475" s="130" t="n">
        <v>38600890</v>
      </c>
      <c r="C475" s="131" t="s">
        <v>566</v>
      </c>
      <c r="D475" s="131" t="s">
        <v>135</v>
      </c>
      <c r="E475" s="130" t="n">
        <v>2380600</v>
      </c>
      <c r="F475" s="131" t="s">
        <v>29</v>
      </c>
      <c r="G475" s="130" t="n">
        <v>2300000</v>
      </c>
      <c r="H475" s="131" t="n">
        <v>642</v>
      </c>
      <c r="I475" s="132" t="n">
        <v>0.36</v>
      </c>
      <c r="J475" s="132" t="n">
        <v>0.4</v>
      </c>
      <c r="K475" s="130" t="n">
        <v>10.3557178862472</v>
      </c>
      <c r="L475" s="132" t="n">
        <v>0.4</v>
      </c>
      <c r="M475" s="131" t="s">
        <v>64</v>
      </c>
      <c r="N475" s="133" t="n">
        <v>1.13376375703604</v>
      </c>
      <c r="O475" s="133" t="n">
        <v>10.3557178862472</v>
      </c>
      <c r="P475" s="132" t="n">
        <v>0.0227</v>
      </c>
      <c r="Q475" s="131" t="s">
        <v>130</v>
      </c>
      <c r="R475" s="130" t="n">
        <v>21038000</v>
      </c>
      <c r="S475" s="143" t="n">
        <v>0</v>
      </c>
      <c r="T475" s="134" t="n">
        <v>45450.4447158565</v>
      </c>
    </row>
    <row r="476" customFormat="false" ht="39.75" hidden="false" customHeight="true" outlineLevel="0" collapsed="false">
      <c r="B476" s="130" t="n">
        <v>1130632864</v>
      </c>
      <c r="C476" s="131" t="s">
        <v>567</v>
      </c>
      <c r="D476" s="131" t="s">
        <v>135</v>
      </c>
      <c r="E476" s="130" t="n">
        <v>4327600</v>
      </c>
      <c r="F476" s="131" t="s">
        <v>22</v>
      </c>
      <c r="G476" s="130" t="n">
        <v>6000000</v>
      </c>
      <c r="H476" s="131" t="n">
        <v>852</v>
      </c>
      <c r="I476" s="132" t="n">
        <v>0.18</v>
      </c>
      <c r="J476" s="132" t="n">
        <v>0.31</v>
      </c>
      <c r="K476" s="130" t="n">
        <v>0.960085266660505</v>
      </c>
      <c r="L476" s="132" t="n">
        <v>0.31</v>
      </c>
      <c r="M476" s="131" t="s">
        <v>61</v>
      </c>
      <c r="N476" s="133" t="n">
        <v>0.775346612441076</v>
      </c>
      <c r="O476" s="133" t="n">
        <v>0.960085266660505</v>
      </c>
      <c r="P476" s="132" t="n">
        <v>0.0107</v>
      </c>
      <c r="Q476" s="131" t="s">
        <v>130</v>
      </c>
      <c r="R476" s="130" t="n">
        <v>2730000</v>
      </c>
      <c r="S476" s="143" t="n">
        <v>0</v>
      </c>
      <c r="T476" s="134" t="n">
        <v>45455.4173914352</v>
      </c>
    </row>
    <row r="477" customFormat="false" ht="39.75" hidden="false" customHeight="true" outlineLevel="0" collapsed="false">
      <c r="B477" s="130" t="n">
        <v>1143859617</v>
      </c>
      <c r="C477" s="131" t="s">
        <v>568</v>
      </c>
      <c r="D477" s="131" t="s">
        <v>135</v>
      </c>
      <c r="E477" s="130" t="n">
        <v>2893800</v>
      </c>
      <c r="F477" s="131" t="s">
        <v>14</v>
      </c>
      <c r="G477" s="130" t="n">
        <v>4800000</v>
      </c>
      <c r="H477" s="131" t="n">
        <v>551</v>
      </c>
      <c r="I477" s="132" t="n">
        <v>0.09</v>
      </c>
      <c r="J477" s="132" t="n">
        <v>0.18</v>
      </c>
      <c r="K477" s="130" t="n">
        <v>1.63833022323588</v>
      </c>
      <c r="L477" s="132" t="n">
        <v>0.18</v>
      </c>
      <c r="M477" s="131" t="s">
        <v>64</v>
      </c>
      <c r="N477" s="133" t="n">
        <v>0.762499481650425</v>
      </c>
      <c r="O477" s="133" t="n">
        <v>1.63833022323588</v>
      </c>
      <c r="P477" s="132" t="n">
        <v>0.0227</v>
      </c>
      <c r="Q477" s="131" t="s">
        <v>130</v>
      </c>
      <c r="R477" s="130" t="n">
        <v>4741000</v>
      </c>
      <c r="S477" s="143" t="n">
        <v>0</v>
      </c>
      <c r="T477" s="134" t="n">
        <v>45455.4191230324</v>
      </c>
    </row>
    <row r="478" customFormat="false" ht="39.75" hidden="false" customHeight="true" outlineLevel="0" collapsed="false">
      <c r="B478" s="130" t="n">
        <v>1113516050</v>
      </c>
      <c r="C478" s="131" t="s">
        <v>569</v>
      </c>
      <c r="D478" s="131" t="s">
        <v>135</v>
      </c>
      <c r="E478" s="130" t="n">
        <v>5842800</v>
      </c>
      <c r="F478" s="131" t="s">
        <v>14</v>
      </c>
      <c r="G478" s="130" t="n">
        <v>5000000</v>
      </c>
      <c r="H478" s="131" t="n">
        <v>805</v>
      </c>
      <c r="I478" s="132" t="n">
        <v>0.18</v>
      </c>
      <c r="J478" s="132" t="n">
        <v>0.23</v>
      </c>
      <c r="K478" s="130" t="n">
        <v>2.77572396796057</v>
      </c>
      <c r="L478" s="132" t="n">
        <v>0.23</v>
      </c>
      <c r="M478" s="131" t="s">
        <v>62</v>
      </c>
      <c r="N478" s="133" t="n">
        <v>0.795187581296639</v>
      </c>
      <c r="O478" s="133" t="n">
        <v>2.77572396796057</v>
      </c>
      <c r="P478" s="132" t="n">
        <v>0.0227</v>
      </c>
      <c r="Q478" s="131" t="s">
        <v>130</v>
      </c>
      <c r="R478" s="130" t="n">
        <v>16218000</v>
      </c>
      <c r="S478" s="143" t="n">
        <v>0</v>
      </c>
      <c r="T478" s="134" t="n">
        <v>45455.4208181713</v>
      </c>
    </row>
    <row r="479" customFormat="false" ht="39.75" hidden="false" customHeight="true" outlineLevel="0" collapsed="false">
      <c r="B479" s="130" t="n">
        <v>30398858</v>
      </c>
      <c r="C479" s="131" t="s">
        <v>134</v>
      </c>
      <c r="D479" s="131" t="s">
        <v>135</v>
      </c>
      <c r="E479" s="130" t="n">
        <v>7114600</v>
      </c>
      <c r="F479" s="131" t="s">
        <v>14</v>
      </c>
      <c r="G479" s="130" t="n">
        <v>35000000</v>
      </c>
      <c r="H479" s="131" t="n">
        <v>747</v>
      </c>
      <c r="I479" s="132" t="n">
        <v>0.14</v>
      </c>
      <c r="J479" s="132" t="n">
        <v>0.21</v>
      </c>
      <c r="K479" s="130" t="n">
        <v>1.73394428358587</v>
      </c>
      <c r="L479" s="132" t="n">
        <v>0.21</v>
      </c>
      <c r="M479" s="131" t="s">
        <v>62</v>
      </c>
      <c r="N479" s="133" t="n">
        <v>1.01815843476794</v>
      </c>
      <c r="O479" s="133" t="n">
        <v>1.73394428358587</v>
      </c>
      <c r="P479" s="132" t="n">
        <v>0.0227</v>
      </c>
      <c r="Q479" s="131" t="s">
        <v>130</v>
      </c>
      <c r="R479" s="130" t="n">
        <v>2703000</v>
      </c>
      <c r="S479" s="143" t="s">
        <v>570</v>
      </c>
      <c r="T479" s="134" t="n">
        <v>45455.4233346065</v>
      </c>
    </row>
    <row r="480" customFormat="false" ht="39.75" hidden="false" customHeight="true" outlineLevel="0" collapsed="false">
      <c r="B480" s="130" t="n">
        <v>31530816</v>
      </c>
      <c r="C480" s="131" t="s">
        <v>571</v>
      </c>
      <c r="D480" s="131" t="s">
        <v>135</v>
      </c>
      <c r="E480" s="130" t="n">
        <v>1670000</v>
      </c>
      <c r="F480" s="131" t="s">
        <v>14</v>
      </c>
      <c r="G480" s="130" t="n">
        <v>6000000</v>
      </c>
      <c r="H480" s="131" t="n">
        <v>747</v>
      </c>
      <c r="I480" s="132" t="n">
        <v>0.24</v>
      </c>
      <c r="J480" s="132" t="n">
        <v>0.27</v>
      </c>
      <c r="K480" s="130" t="n">
        <v>1.53038622754491</v>
      </c>
      <c r="L480" s="132" t="n">
        <v>0.27</v>
      </c>
      <c r="M480" s="131" t="s">
        <v>64</v>
      </c>
      <c r="N480" s="133" t="n">
        <v>0.797199401197605</v>
      </c>
      <c r="O480" s="133" t="n">
        <v>1.53038622754491</v>
      </c>
      <c r="P480" s="132" t="n">
        <v>0.0227</v>
      </c>
      <c r="Q480" s="131" t="s">
        <v>130</v>
      </c>
      <c r="R480" s="130" t="n">
        <v>0</v>
      </c>
      <c r="S480" s="143" t="s">
        <v>572</v>
      </c>
      <c r="T480" s="134" t="n">
        <v>45455.428178125</v>
      </c>
    </row>
    <row r="481" customFormat="false" ht="39.75" hidden="false" customHeight="true" outlineLevel="0" collapsed="false">
      <c r="B481" s="130" t="n">
        <v>94412423</v>
      </c>
      <c r="C481" s="131" t="s">
        <v>573</v>
      </c>
      <c r="D481" s="131" t="s">
        <v>135</v>
      </c>
      <c r="E481" s="130" t="n">
        <v>2893800</v>
      </c>
      <c r="F481" s="131" t="s">
        <v>22</v>
      </c>
      <c r="G481" s="130" t="n">
        <v>5000000</v>
      </c>
      <c r="H481" s="131" t="n">
        <v>747</v>
      </c>
      <c r="I481" s="132" t="n">
        <v>0.47</v>
      </c>
      <c r="J481" s="132" t="n">
        <v>0.56</v>
      </c>
      <c r="K481" s="130" t="n">
        <v>0.388367889971664</v>
      </c>
      <c r="L481" s="132" t="n">
        <v>0.56</v>
      </c>
      <c r="M481" s="131" t="s">
        <v>64</v>
      </c>
      <c r="N481" s="133" t="n">
        <v>1.04980475499343</v>
      </c>
      <c r="O481" s="133" t="n">
        <v>0.388367889971664</v>
      </c>
      <c r="P481" s="132" t="n">
        <v>0.0107</v>
      </c>
      <c r="Q481" s="131" t="s">
        <v>130</v>
      </c>
      <c r="R481" s="130" t="n">
        <v>81000</v>
      </c>
      <c r="S481" s="143" t="n">
        <v>0</v>
      </c>
      <c r="T481" s="134" t="n">
        <v>45455.4300047454</v>
      </c>
    </row>
    <row r="482" customFormat="false" ht="39.75" hidden="false" customHeight="true" outlineLevel="0" collapsed="false">
      <c r="B482" s="130" t="n">
        <v>1143945334</v>
      </c>
      <c r="C482" s="131" t="s">
        <v>206</v>
      </c>
      <c r="D482" s="131" t="s">
        <v>135</v>
      </c>
      <c r="E482" s="130" t="n">
        <v>2893800</v>
      </c>
      <c r="F482" s="131" t="s">
        <v>19</v>
      </c>
      <c r="G482" s="130" t="n">
        <v>5000000</v>
      </c>
      <c r="H482" s="131" t="n">
        <v>873</v>
      </c>
      <c r="I482" s="132" t="n">
        <v>0.49</v>
      </c>
      <c r="J482" s="132" t="n">
        <v>0.58</v>
      </c>
      <c r="K482" s="130" t="n">
        <v>6.26615522841938</v>
      </c>
      <c r="L482" s="132" t="n">
        <v>0.58</v>
      </c>
      <c r="M482" s="131" t="s">
        <v>62</v>
      </c>
      <c r="N482" s="133" t="n">
        <v>1.34903068629484</v>
      </c>
      <c r="O482" s="133" t="n">
        <v>6.26615522841938</v>
      </c>
      <c r="P482" s="132" t="n">
        <v>0.006</v>
      </c>
      <c r="Q482" s="131" t="s">
        <v>130</v>
      </c>
      <c r="R482" s="130" t="n">
        <v>18133000</v>
      </c>
      <c r="S482" s="143" t="n">
        <v>0</v>
      </c>
      <c r="T482" s="134" t="n">
        <v>45455.4316258102</v>
      </c>
    </row>
    <row r="483" customFormat="false" ht="39.75" hidden="false" customHeight="true" outlineLevel="0" collapsed="false">
      <c r="B483" s="130" t="n">
        <v>31902853</v>
      </c>
      <c r="C483" s="131" t="s">
        <v>444</v>
      </c>
      <c r="D483" s="131" t="s">
        <v>445</v>
      </c>
      <c r="E483" s="130" t="n">
        <v>3849000</v>
      </c>
      <c r="F483" s="131" t="s">
        <v>22</v>
      </c>
      <c r="G483" s="130" t="n">
        <v>14000000</v>
      </c>
      <c r="H483" s="131" t="n">
        <v>869</v>
      </c>
      <c r="I483" s="132" t="n">
        <v>0.76</v>
      </c>
      <c r="J483" s="132" t="n">
        <v>0.85</v>
      </c>
      <c r="K483" s="130" t="n">
        <v>0.999363211223694</v>
      </c>
      <c r="L483" s="132" t="n">
        <v>0.85</v>
      </c>
      <c r="M483" s="131" t="s">
        <v>62</v>
      </c>
      <c r="N483" s="133" t="n">
        <v>1.28354871395168</v>
      </c>
      <c r="O483" s="133" t="n">
        <v>0.999363211223694</v>
      </c>
      <c r="P483" s="132" t="n">
        <v>0.0107</v>
      </c>
      <c r="Q483" s="131" t="s">
        <v>130</v>
      </c>
      <c r="R483" s="130" t="n">
        <v>0</v>
      </c>
      <c r="S483" s="143" t="n">
        <v>0</v>
      </c>
      <c r="T483" s="134" t="n">
        <v>45455.437521412</v>
      </c>
    </row>
    <row r="484" customFormat="false" ht="39.75" hidden="false" customHeight="true" outlineLevel="0" collapsed="false">
      <c r="B484" s="130" t="n">
        <v>1144046545</v>
      </c>
      <c r="C484" s="131" t="s">
        <v>574</v>
      </c>
      <c r="D484" s="131" t="s">
        <v>135</v>
      </c>
      <c r="E484" s="130" t="n">
        <v>2600900</v>
      </c>
      <c r="F484" s="131" t="s">
        <v>14</v>
      </c>
      <c r="G484" s="130" t="n">
        <v>4500000</v>
      </c>
      <c r="H484" s="131" t="n">
        <v>619</v>
      </c>
      <c r="I484" s="132" t="n">
        <v>0.11</v>
      </c>
      <c r="J484" s="132" t="n">
        <v>0.21</v>
      </c>
      <c r="K484" s="130" t="n">
        <v>4.08089507478181</v>
      </c>
      <c r="L484" s="132" t="n">
        <v>0.21</v>
      </c>
      <c r="M484" s="131" t="s">
        <v>64</v>
      </c>
      <c r="N484" s="133" t="n">
        <v>4.73587604290822</v>
      </c>
      <c r="O484" s="133" t="n">
        <v>4.08089507478181</v>
      </c>
      <c r="P484" s="132" t="n">
        <v>0.0199</v>
      </c>
      <c r="Q484" s="131" t="s">
        <v>130</v>
      </c>
      <c r="R484" s="130" t="n">
        <v>10614000</v>
      </c>
      <c r="S484" s="143" t="n">
        <v>0</v>
      </c>
      <c r="T484" s="134" t="n">
        <v>45455.4420653935</v>
      </c>
    </row>
    <row r="485" customFormat="false" ht="39.75" hidden="false" customHeight="true" outlineLevel="0" collapsed="false">
      <c r="B485" s="130" t="n">
        <v>1234188409</v>
      </c>
      <c r="C485" s="131" t="s">
        <v>575</v>
      </c>
      <c r="D485" s="131" t="s">
        <v>135</v>
      </c>
      <c r="E485" s="130" t="n">
        <v>2893800</v>
      </c>
      <c r="F485" s="131" t="s">
        <v>14</v>
      </c>
      <c r="G485" s="130" t="n">
        <v>4300000</v>
      </c>
      <c r="H485" s="131" t="n">
        <v>662</v>
      </c>
      <c r="I485" s="132" t="n">
        <v>0.46</v>
      </c>
      <c r="J485" s="132" t="n">
        <v>0.61</v>
      </c>
      <c r="K485" s="130" t="n">
        <v>15.5504872486005</v>
      </c>
      <c r="L485" s="132" t="n">
        <v>0.61</v>
      </c>
      <c r="M485" s="131" t="s">
        <v>64</v>
      </c>
      <c r="N485" s="133" t="n">
        <v>1.35876701914438</v>
      </c>
      <c r="O485" s="133" t="n">
        <v>15.5504872486005</v>
      </c>
      <c r="P485" s="132" t="n">
        <v>0.0199</v>
      </c>
      <c r="Q485" s="131" t="s">
        <v>130</v>
      </c>
      <c r="R485" s="130" t="n">
        <v>45000000</v>
      </c>
      <c r="S485" s="143" t="n">
        <v>0</v>
      </c>
      <c r="T485" s="134" t="n">
        <v>45455.4442743056</v>
      </c>
    </row>
    <row r="486" customFormat="false" ht="39.75" hidden="false" customHeight="true" outlineLevel="0" collapsed="false">
      <c r="B486" s="130" t="n">
        <v>52057091</v>
      </c>
      <c r="C486" s="131" t="s">
        <v>183</v>
      </c>
      <c r="D486" s="131" t="s">
        <v>158</v>
      </c>
      <c r="E486" s="130" t="n">
        <v>5291000</v>
      </c>
      <c r="F486" s="131" t="s">
        <v>19</v>
      </c>
      <c r="G486" s="130" t="n">
        <v>4000000</v>
      </c>
      <c r="H486" s="131" t="n">
        <v>873</v>
      </c>
      <c r="I486" s="132" t="n">
        <v>0.42</v>
      </c>
      <c r="J486" s="132" t="n">
        <v>0.46</v>
      </c>
      <c r="K486" s="130" t="n">
        <v>2.61601663201663</v>
      </c>
      <c r="L486" s="132" t="n">
        <v>0.46</v>
      </c>
      <c r="M486" s="131" t="s">
        <v>61</v>
      </c>
      <c r="N486" s="133" t="n">
        <v>0.873867510867511</v>
      </c>
      <c r="O486" s="133" t="n">
        <v>2.61601663201663</v>
      </c>
      <c r="P486" s="132" t="n">
        <v>0.0107</v>
      </c>
      <c r="Q486" s="131" t="s">
        <v>130</v>
      </c>
      <c r="R486" s="130" t="n">
        <v>0</v>
      </c>
      <c r="S486" s="143" t="n">
        <v>0</v>
      </c>
      <c r="T486" s="134" t="n">
        <v>45456.663724537</v>
      </c>
    </row>
    <row r="487" customFormat="false" ht="39.75" hidden="false" customHeight="true" outlineLevel="0" collapsed="false">
      <c r="B487" s="130" t="n">
        <v>1144168040</v>
      </c>
      <c r="C487" s="131" t="s">
        <v>280</v>
      </c>
      <c r="D487" s="131" t="s">
        <v>135</v>
      </c>
      <c r="E487" s="130" t="n">
        <v>2893800</v>
      </c>
      <c r="F487" s="131" t="s">
        <v>29</v>
      </c>
      <c r="G487" s="130" t="n">
        <v>930000</v>
      </c>
      <c r="H487" s="131" t="n">
        <v>747</v>
      </c>
      <c r="I487" s="132" t="n">
        <v>0.48</v>
      </c>
      <c r="J487" s="132" t="n">
        <v>0.49</v>
      </c>
      <c r="K487" s="130" t="n">
        <v>14.9820685603704</v>
      </c>
      <c r="L487" s="132" t="n">
        <v>0.49</v>
      </c>
      <c r="M487" s="131" t="s">
        <v>64</v>
      </c>
      <c r="N487" s="133" t="n">
        <v>1.30191893012648</v>
      </c>
      <c r="O487" s="133" t="n">
        <v>14.9820685603704</v>
      </c>
      <c r="P487" s="132" t="n">
        <v>0.0227</v>
      </c>
      <c r="Q487" s="131" t="s">
        <v>130</v>
      </c>
      <c r="R487" s="130" t="n">
        <v>40692000</v>
      </c>
      <c r="S487" s="143" t="n">
        <v>0</v>
      </c>
      <c r="T487" s="134" t="n">
        <v>45457.4115743056</v>
      </c>
    </row>
    <row r="488" customFormat="false" ht="39.75" hidden="false" customHeight="true" outlineLevel="0" collapsed="false">
      <c r="B488" s="130" t="n">
        <v>1144135850</v>
      </c>
      <c r="C488" s="131" t="s">
        <v>576</v>
      </c>
      <c r="D488" s="131" t="s">
        <v>135</v>
      </c>
      <c r="E488" s="130" t="n">
        <v>2315000</v>
      </c>
      <c r="F488" s="131" t="s">
        <v>29</v>
      </c>
      <c r="G488" s="130" t="n">
        <v>2000000</v>
      </c>
      <c r="H488" s="131" t="n">
        <v>343</v>
      </c>
      <c r="I488" s="132" t="n">
        <v>0.09</v>
      </c>
      <c r="J488" s="132" t="n">
        <v>0.18</v>
      </c>
      <c r="K488" s="130" t="n">
        <v>18.0738660907127</v>
      </c>
      <c r="L488" s="132" t="n">
        <v>0.18</v>
      </c>
      <c r="M488" s="131" t="s">
        <v>64</v>
      </c>
      <c r="N488" s="133" t="n">
        <v>1.20108423326134</v>
      </c>
      <c r="O488" s="133" t="n">
        <v>18.0738660907127</v>
      </c>
      <c r="P488" s="132" t="n">
        <v>0.0227</v>
      </c>
      <c r="Q488" s="131" t="s">
        <v>130</v>
      </c>
      <c r="R488" s="130" t="n">
        <v>41841000</v>
      </c>
      <c r="S488" s="143" t="n">
        <v>0</v>
      </c>
      <c r="T488" s="134" t="n">
        <v>45457.4124631944</v>
      </c>
    </row>
    <row r="489" customFormat="false" ht="39.75" hidden="false" customHeight="true" outlineLevel="0" collapsed="false">
      <c r="B489" s="130" t="n">
        <v>1151966662</v>
      </c>
      <c r="C489" s="131" t="s">
        <v>577</v>
      </c>
      <c r="D489" s="131" t="s">
        <v>135</v>
      </c>
      <c r="E489" s="130" t="n">
        <v>2893800</v>
      </c>
      <c r="F489" s="131" t="s">
        <v>29</v>
      </c>
      <c r="G489" s="130" t="n">
        <v>2000000</v>
      </c>
      <c r="H489" s="131" t="n">
        <v>751</v>
      </c>
      <c r="I489" s="132" t="n">
        <v>0.17</v>
      </c>
      <c r="J489" s="132" t="n">
        <v>0.21</v>
      </c>
      <c r="K489" s="130" t="n">
        <v>0.813239684843458</v>
      </c>
      <c r="L489" s="132" t="n">
        <v>0.21</v>
      </c>
      <c r="M489" s="131" t="s">
        <v>64</v>
      </c>
      <c r="N489" s="133" t="n">
        <v>0.809829635773032</v>
      </c>
      <c r="O489" s="133" t="n">
        <v>0.813239684843458</v>
      </c>
      <c r="P489" s="132" t="n">
        <v>0.0227</v>
      </c>
      <c r="Q489" s="131" t="s">
        <v>130</v>
      </c>
      <c r="R489" s="130" t="n">
        <v>1312000</v>
      </c>
      <c r="S489" s="143" t="n">
        <v>0</v>
      </c>
      <c r="T489" s="134" t="n">
        <v>45457.4295743056</v>
      </c>
    </row>
    <row r="490" customFormat="false" ht="39.75" hidden="false" customHeight="true" outlineLevel="0" collapsed="false">
      <c r="B490" s="130" t="n">
        <v>94529453</v>
      </c>
      <c r="C490" s="131" t="s">
        <v>578</v>
      </c>
      <c r="D490" s="131" t="s">
        <v>135</v>
      </c>
      <c r="E490" s="130" t="n">
        <v>2841300</v>
      </c>
      <c r="F490" s="131" t="s">
        <v>29</v>
      </c>
      <c r="G490" s="130" t="n">
        <v>3500000</v>
      </c>
      <c r="H490" s="131" t="n">
        <v>881</v>
      </c>
      <c r="I490" s="132" t="n">
        <v>0.35</v>
      </c>
      <c r="J490" s="132" t="n">
        <v>0.43</v>
      </c>
      <c r="K490" s="130" t="n">
        <v>4.27093231971281</v>
      </c>
      <c r="L490" s="132" t="n">
        <v>0.43</v>
      </c>
      <c r="M490" s="131" t="s">
        <v>62</v>
      </c>
      <c r="N490" s="133" t="n">
        <v>1.08445781860416</v>
      </c>
      <c r="O490" s="133" t="n">
        <v>4.27093231971281</v>
      </c>
      <c r="P490" s="132" t="n">
        <v>0.0227</v>
      </c>
      <c r="Q490" s="131" t="s">
        <v>130</v>
      </c>
      <c r="R490" s="130" t="n">
        <v>12135000</v>
      </c>
      <c r="S490" s="143" t="n">
        <v>0</v>
      </c>
      <c r="T490" s="134" t="n">
        <v>45457.4437799769</v>
      </c>
    </row>
    <row r="491" customFormat="false" ht="39.75" hidden="false" customHeight="true" outlineLevel="0" collapsed="false">
      <c r="B491" s="130" t="n">
        <v>1107039601</v>
      </c>
      <c r="C491" s="131" t="s">
        <v>579</v>
      </c>
      <c r="D491" s="131" t="s">
        <v>135</v>
      </c>
      <c r="E491" s="130" t="n">
        <v>1625000</v>
      </c>
      <c r="F491" s="131" t="s">
        <v>29</v>
      </c>
      <c r="G491" s="130" t="n">
        <v>2000000</v>
      </c>
      <c r="H491" s="131" t="n">
        <v>361</v>
      </c>
      <c r="I491" s="132" t="n">
        <v>0.06</v>
      </c>
      <c r="J491" s="132" t="n">
        <v>0.19</v>
      </c>
      <c r="K491" s="130" t="n">
        <v>1.43876923076923</v>
      </c>
      <c r="L491" s="132" t="n">
        <v>0.19</v>
      </c>
      <c r="M491" s="131" t="s">
        <v>64</v>
      </c>
      <c r="N491" s="133" t="n">
        <v>1.17496430769231</v>
      </c>
      <c r="O491" s="133" t="n">
        <v>1.43876923076923</v>
      </c>
      <c r="P491" s="132" t="n">
        <v>0.0227</v>
      </c>
      <c r="Q491" s="131" t="s">
        <v>130</v>
      </c>
      <c r="R491" s="130" t="n">
        <v>2338000</v>
      </c>
      <c r="S491" s="143" t="n">
        <v>0</v>
      </c>
      <c r="T491" s="134" t="n">
        <v>45457.4453591435</v>
      </c>
    </row>
    <row r="492" customFormat="false" ht="39.75" hidden="false" customHeight="true" outlineLevel="0" collapsed="false">
      <c r="B492" s="130" t="n">
        <v>1006361753</v>
      </c>
      <c r="C492" s="131" t="s">
        <v>580</v>
      </c>
      <c r="D492" s="131" t="s">
        <v>135</v>
      </c>
      <c r="E492" s="130" t="n">
        <v>1625000</v>
      </c>
      <c r="F492" s="131" t="s">
        <v>29</v>
      </c>
      <c r="G492" s="130" t="n">
        <v>1500000</v>
      </c>
      <c r="H492" s="131" t="n">
        <v>536</v>
      </c>
      <c r="I492" s="132" t="n">
        <v>0.54</v>
      </c>
      <c r="J492" s="132" t="n">
        <v>0.59</v>
      </c>
      <c r="K492" s="130" t="n">
        <v>15.6301538461538</v>
      </c>
      <c r="L492" s="132" t="n">
        <v>0.59</v>
      </c>
      <c r="M492" s="131" t="s">
        <v>64</v>
      </c>
      <c r="N492" s="133" t="n">
        <v>1.78588923076923</v>
      </c>
      <c r="O492" s="133" t="n">
        <v>15.6301538461538</v>
      </c>
      <c r="P492" s="132" t="n">
        <v>0.0227</v>
      </c>
      <c r="Q492" s="131" t="s">
        <v>130</v>
      </c>
      <c r="R492" s="130" t="n">
        <v>24799000</v>
      </c>
      <c r="S492" s="143" t="n">
        <v>0</v>
      </c>
      <c r="T492" s="134" t="n">
        <v>45457.4467304398</v>
      </c>
    </row>
    <row r="493" customFormat="false" ht="39.75" hidden="false" customHeight="true" outlineLevel="0" collapsed="false">
      <c r="B493" s="130" t="n">
        <v>1144056291</v>
      </c>
      <c r="C493" s="131" t="s">
        <v>581</v>
      </c>
      <c r="D493" s="131" t="s">
        <v>135</v>
      </c>
      <c r="E493" s="130" t="n">
        <v>5418800</v>
      </c>
      <c r="F493" s="131" t="s">
        <v>29</v>
      </c>
      <c r="G493" s="130" t="n">
        <v>2000000</v>
      </c>
      <c r="H493" s="131" t="n">
        <v>863</v>
      </c>
      <c r="I493" s="132" t="n">
        <v>0.25</v>
      </c>
      <c r="J493" s="132" t="n">
        <v>0.29</v>
      </c>
      <c r="K493" s="130" t="n">
        <v>6.64175001845427</v>
      </c>
      <c r="L493" s="132" t="n">
        <v>0.29</v>
      </c>
      <c r="M493" s="131" t="s">
        <v>62</v>
      </c>
      <c r="N493" s="133" t="n">
        <v>0.886014431239389</v>
      </c>
      <c r="O493" s="133" t="n">
        <v>6.64175001845427</v>
      </c>
      <c r="P493" s="132" t="n">
        <v>0.0227</v>
      </c>
      <c r="Q493" s="131" t="s">
        <v>130</v>
      </c>
      <c r="R493" s="130" t="n">
        <v>35726000</v>
      </c>
      <c r="S493" s="143" t="n">
        <v>0</v>
      </c>
      <c r="T493" s="134" t="n">
        <v>45457.4503340278</v>
      </c>
    </row>
    <row r="494" customFormat="false" ht="39.75" hidden="false" customHeight="true" outlineLevel="0" collapsed="false">
      <c r="B494" s="130" t="n">
        <v>1144056291</v>
      </c>
      <c r="C494" s="131" t="s">
        <v>581</v>
      </c>
      <c r="D494" s="131" t="s">
        <v>135</v>
      </c>
      <c r="E494" s="130" t="n">
        <v>5418800</v>
      </c>
      <c r="F494" s="131" t="s">
        <v>29</v>
      </c>
      <c r="G494" s="130" t="n">
        <v>3000000</v>
      </c>
      <c r="H494" s="131" t="n">
        <v>863</v>
      </c>
      <c r="I494" s="132" t="n">
        <v>0.44</v>
      </c>
      <c r="J494" s="132" t="n">
        <v>0.46</v>
      </c>
      <c r="K494" s="130" t="n">
        <v>19.6197634162545</v>
      </c>
      <c r="L494" s="132" t="n">
        <v>0.46</v>
      </c>
      <c r="M494" s="131" t="s">
        <v>62</v>
      </c>
      <c r="N494" s="133" t="n">
        <v>1.37707425998376</v>
      </c>
      <c r="O494" s="133" t="n">
        <v>19.6197634162545</v>
      </c>
      <c r="P494" s="132" t="n">
        <v>0.0227</v>
      </c>
      <c r="Q494" s="131" t="s">
        <v>130</v>
      </c>
      <c r="R494" s="130" t="n">
        <v>99827000</v>
      </c>
      <c r="S494" s="143" t="n">
        <v>0</v>
      </c>
      <c r="T494" s="134" t="n">
        <v>45457.4524097222</v>
      </c>
    </row>
    <row r="495" customFormat="false" ht="39.75" hidden="false" customHeight="true" outlineLevel="0" collapsed="false">
      <c r="B495" s="130" t="n">
        <v>1143984654</v>
      </c>
      <c r="C495" s="131" t="s">
        <v>582</v>
      </c>
      <c r="D495" s="131" t="s">
        <v>135</v>
      </c>
      <c r="E495" s="130" t="n">
        <v>2893800</v>
      </c>
      <c r="F495" s="131" t="s">
        <v>20</v>
      </c>
      <c r="G495" s="130" t="n">
        <v>3335000</v>
      </c>
      <c r="H495" s="131" t="n">
        <v>678</v>
      </c>
      <c r="I495" s="132" t="n">
        <v>0.46</v>
      </c>
      <c r="J495" s="132" t="n">
        <v>0.52</v>
      </c>
      <c r="K495" s="130" t="n">
        <v>10.4329946782777</v>
      </c>
      <c r="L495" s="132" t="n">
        <v>0.52</v>
      </c>
      <c r="M495" s="131" t="s">
        <v>64</v>
      </c>
      <c r="N495" s="133" t="n">
        <v>1.2907865090884</v>
      </c>
      <c r="O495" s="133" t="n">
        <v>10.4329946782777</v>
      </c>
      <c r="P495" s="132" t="n">
        <v>0.0227</v>
      </c>
      <c r="Q495" s="131" t="s">
        <v>130</v>
      </c>
      <c r="R495" s="130" t="n">
        <v>30191000</v>
      </c>
      <c r="S495" s="143" t="n">
        <v>0</v>
      </c>
      <c r="T495" s="134" t="n">
        <v>45457.4627324074</v>
      </c>
    </row>
    <row r="496" customFormat="false" ht="39.75" hidden="false" customHeight="true" outlineLevel="0" collapsed="false">
      <c r="B496" s="130" t="n">
        <v>1113520752</v>
      </c>
      <c r="C496" s="131" t="s">
        <v>407</v>
      </c>
      <c r="D496" s="131" t="s">
        <v>135</v>
      </c>
      <c r="E496" s="130" t="n">
        <v>1991000</v>
      </c>
      <c r="F496" s="131" t="s">
        <v>29</v>
      </c>
      <c r="G496" s="130" t="n">
        <v>1100000</v>
      </c>
      <c r="H496" s="131" t="n">
        <v>611</v>
      </c>
      <c r="I496" s="132" t="n">
        <v>0.19</v>
      </c>
      <c r="J496" s="132" t="n">
        <v>0.25</v>
      </c>
      <c r="K496" s="130" t="n">
        <v>12.7973350075339</v>
      </c>
      <c r="L496" s="132" t="n">
        <v>0.25</v>
      </c>
      <c r="M496" s="131" t="s">
        <v>64</v>
      </c>
      <c r="N496" s="133" t="n">
        <v>1.13960371672526</v>
      </c>
      <c r="O496" s="133" t="n">
        <v>12.7973350075339</v>
      </c>
      <c r="P496" s="132" t="n">
        <v>0.0227</v>
      </c>
      <c r="Q496" s="131" t="s">
        <v>130</v>
      </c>
      <c r="R496" s="130" t="n">
        <v>21977000</v>
      </c>
      <c r="S496" s="143" t="n">
        <v>0</v>
      </c>
      <c r="T496" s="134" t="n">
        <v>45457.4718217593</v>
      </c>
    </row>
    <row r="497" customFormat="false" ht="39.75" hidden="false" customHeight="true" outlineLevel="0" collapsed="false">
      <c r="B497" s="130" t="n">
        <v>1143828982</v>
      </c>
      <c r="C497" s="131" t="s">
        <v>432</v>
      </c>
      <c r="D497" s="131" t="s">
        <v>153</v>
      </c>
      <c r="E497" s="130" t="n">
        <v>6225200</v>
      </c>
      <c r="F497" s="131" t="s">
        <v>29</v>
      </c>
      <c r="G497" s="130" t="n">
        <v>3000000</v>
      </c>
      <c r="H497" s="131" t="n">
        <v>808</v>
      </c>
      <c r="I497" s="132" t="n">
        <v>0.4</v>
      </c>
      <c r="J497" s="132" t="n">
        <v>0.41</v>
      </c>
      <c r="K497" s="130" t="n">
        <v>17.078258369209</v>
      </c>
      <c r="L497" s="132" t="n">
        <v>0.41</v>
      </c>
      <c r="M497" s="131" t="s">
        <v>61</v>
      </c>
      <c r="N497" s="133" t="n">
        <v>1.27513622052304</v>
      </c>
      <c r="O497" s="133" t="n">
        <v>17.078258369209</v>
      </c>
      <c r="P497" s="132" t="n">
        <v>0.0227</v>
      </c>
      <c r="Q497" s="131" t="s">
        <v>130</v>
      </c>
      <c r="R497" s="130" t="n">
        <v>99827000</v>
      </c>
      <c r="S497" s="143" t="n">
        <v>0</v>
      </c>
      <c r="T497" s="134" t="n">
        <v>45457.4879885417</v>
      </c>
    </row>
    <row r="498" customFormat="false" ht="39.75" hidden="false" customHeight="true" outlineLevel="0" collapsed="false">
      <c r="B498" s="130" t="n">
        <v>1130614933</v>
      </c>
      <c r="C498" s="131" t="s">
        <v>583</v>
      </c>
      <c r="D498" s="131" t="s">
        <v>135</v>
      </c>
      <c r="E498" s="130" t="n">
        <v>5418800</v>
      </c>
      <c r="F498" s="131" t="s">
        <v>14</v>
      </c>
      <c r="G498" s="130" t="n">
        <v>5000000</v>
      </c>
      <c r="H498" s="131" t="n">
        <v>747</v>
      </c>
      <c r="I498" s="132" t="n">
        <v>0.29</v>
      </c>
      <c r="J498" s="132" t="n">
        <v>0.33</v>
      </c>
      <c r="K498" s="130" t="n">
        <v>9.54264154425334</v>
      </c>
      <c r="L498" s="132" t="n">
        <v>0.33</v>
      </c>
      <c r="M498" s="131" t="s">
        <v>64</v>
      </c>
      <c r="N498" s="133" t="n">
        <v>0.927609802908393</v>
      </c>
      <c r="O498" s="133" t="n">
        <v>9.54264154425334</v>
      </c>
      <c r="P498" s="132" t="n">
        <v>0.0199</v>
      </c>
      <c r="Q498" s="131" t="s">
        <v>130</v>
      </c>
      <c r="R498" s="130" t="n">
        <v>50609000</v>
      </c>
      <c r="S498" s="143" t="n">
        <v>0</v>
      </c>
      <c r="T498" s="134" t="n">
        <v>45462.3579322917</v>
      </c>
    </row>
    <row r="499" customFormat="false" ht="39.75" hidden="false" customHeight="true" outlineLevel="0" collapsed="false">
      <c r="B499" s="130" t="n">
        <v>31629605</v>
      </c>
      <c r="C499" s="131" t="s">
        <v>584</v>
      </c>
      <c r="D499" s="131" t="s">
        <v>135</v>
      </c>
      <c r="E499" s="130" t="n">
        <v>2600900</v>
      </c>
      <c r="F499" s="131" t="s">
        <v>22</v>
      </c>
      <c r="G499" s="130" t="n">
        <v>17000000</v>
      </c>
      <c r="H499" s="131" t="n">
        <v>999</v>
      </c>
      <c r="I499" s="132" t="n">
        <v>0.22</v>
      </c>
      <c r="J499" s="132" t="n">
        <v>0.46</v>
      </c>
      <c r="K499" s="130" t="n">
        <v>0.857730401015033</v>
      </c>
      <c r="L499" s="132" t="n">
        <v>0.46</v>
      </c>
      <c r="M499" s="131" t="s">
        <v>61</v>
      </c>
      <c r="N499" s="133" t="n">
        <v>0.784522280748972</v>
      </c>
      <c r="O499" s="133" t="n">
        <v>0.857730401015033</v>
      </c>
      <c r="P499" s="132" t="n">
        <v>0.0107</v>
      </c>
      <c r="Q499" s="131" t="s">
        <v>130</v>
      </c>
      <c r="R499" s="130" t="n">
        <v>0</v>
      </c>
      <c r="S499" s="143" t="n">
        <v>0</v>
      </c>
      <c r="T499" s="134" t="n">
        <v>45462.3594523148</v>
      </c>
    </row>
    <row r="500" customFormat="false" ht="39.75" hidden="false" customHeight="true" outlineLevel="0" collapsed="false">
      <c r="B500" s="130" t="n">
        <v>31321149</v>
      </c>
      <c r="C500" s="131" t="s">
        <v>241</v>
      </c>
      <c r="D500" s="131" t="s">
        <v>135</v>
      </c>
      <c r="E500" s="130" t="n">
        <v>3945300</v>
      </c>
      <c r="F500" s="131" t="s">
        <v>19</v>
      </c>
      <c r="G500" s="130" t="n">
        <v>7852525</v>
      </c>
      <c r="H500" s="131" t="n">
        <v>999</v>
      </c>
      <c r="I500" s="132" t="n">
        <v>0.29</v>
      </c>
      <c r="J500" s="132" t="n">
        <v>0.48</v>
      </c>
      <c r="K500" s="130" t="n">
        <v>0</v>
      </c>
      <c r="L500" s="132" t="n">
        <v>0.48</v>
      </c>
      <c r="M500" s="131" t="s">
        <v>61</v>
      </c>
      <c r="N500" s="133" t="n">
        <v>0.851063037031404</v>
      </c>
      <c r="O500" s="133" t="n">
        <v>0</v>
      </c>
      <c r="P500" s="132" t="n">
        <v>0.006</v>
      </c>
      <c r="Q500" s="131" t="s">
        <v>130</v>
      </c>
      <c r="R500" s="130" t="n">
        <v>0</v>
      </c>
      <c r="S500" s="143" t="n">
        <v>0</v>
      </c>
      <c r="T500" s="134" t="n">
        <v>45462.3610467593</v>
      </c>
    </row>
    <row r="501" customFormat="false" ht="39.75" hidden="false" customHeight="true" outlineLevel="0" collapsed="false">
      <c r="B501" s="130" t="n">
        <v>66953774</v>
      </c>
      <c r="C501" s="131" t="s">
        <v>585</v>
      </c>
      <c r="D501" s="131" t="s">
        <v>135</v>
      </c>
      <c r="E501" s="130" t="n">
        <v>7114600</v>
      </c>
      <c r="F501" s="131" t="s">
        <v>11</v>
      </c>
      <c r="G501" s="130" t="n">
        <v>8000000</v>
      </c>
      <c r="H501" s="131" t="n">
        <v>762</v>
      </c>
      <c r="I501" s="132" t="n">
        <v>0.34</v>
      </c>
      <c r="J501" s="132" t="n">
        <v>0.4</v>
      </c>
      <c r="K501" s="130" t="n">
        <v>3.80267970089675</v>
      </c>
      <c r="L501" s="132" t="n">
        <v>0.4</v>
      </c>
      <c r="M501" s="131" t="s">
        <v>64</v>
      </c>
      <c r="N501" s="133" t="n">
        <v>1.03091220869761</v>
      </c>
      <c r="O501" s="133" t="n">
        <v>3.80267970089675</v>
      </c>
      <c r="P501" s="132" t="n">
        <v>0.006</v>
      </c>
      <c r="Q501" s="131" t="s">
        <v>130</v>
      </c>
      <c r="R501" s="130" t="n">
        <v>26301000</v>
      </c>
      <c r="S501" s="143" t="n">
        <v>0</v>
      </c>
      <c r="T501" s="134" t="n">
        <v>45462.3929479167</v>
      </c>
    </row>
    <row r="502" customFormat="false" ht="39.75" hidden="false" customHeight="true" outlineLevel="0" collapsed="false">
      <c r="B502" s="130" t="n">
        <v>1143830119</v>
      </c>
      <c r="C502" s="131" t="s">
        <v>586</v>
      </c>
      <c r="D502" s="131" t="s">
        <v>135</v>
      </c>
      <c r="E502" s="130" t="n">
        <v>2600900</v>
      </c>
      <c r="F502" s="131" t="s">
        <v>16</v>
      </c>
      <c r="G502" s="130" t="n">
        <v>6000000</v>
      </c>
      <c r="H502" s="131" t="n">
        <v>926</v>
      </c>
      <c r="I502" s="132" t="n">
        <v>0.06</v>
      </c>
      <c r="J502" s="132" t="n">
        <v>0.19</v>
      </c>
      <c r="K502" s="130" t="n">
        <v>9.30101118843477</v>
      </c>
      <c r="L502" s="132" t="n">
        <v>0.19</v>
      </c>
      <c r="M502" s="131" t="s">
        <v>62</v>
      </c>
      <c r="N502" s="133" t="n">
        <v>1.09601445653428</v>
      </c>
      <c r="O502" s="133" t="n">
        <v>9.30101118843477</v>
      </c>
      <c r="P502" s="132" t="n">
        <v>0.0199</v>
      </c>
      <c r="Q502" s="131" t="s">
        <v>130</v>
      </c>
      <c r="R502" s="130" t="n">
        <v>24191000</v>
      </c>
      <c r="S502" s="143" t="n">
        <v>0</v>
      </c>
      <c r="T502" s="134" t="n">
        <v>45462.405834838</v>
      </c>
    </row>
    <row r="503" customFormat="false" ht="39.75" hidden="false" customHeight="true" outlineLevel="0" collapsed="false">
      <c r="B503" s="130" t="n">
        <v>66704767</v>
      </c>
      <c r="C503" s="131" t="s">
        <v>587</v>
      </c>
      <c r="D503" s="131" t="s">
        <v>135</v>
      </c>
      <c r="E503" s="130" t="n">
        <v>1699396</v>
      </c>
      <c r="F503" s="131" t="s">
        <v>22</v>
      </c>
      <c r="G503" s="130" t="n">
        <v>6000000</v>
      </c>
      <c r="H503" s="131" t="n">
        <v>951</v>
      </c>
      <c r="I503" s="132" t="n">
        <v>0.11</v>
      </c>
      <c r="J503" s="132" t="n">
        <v>0.29</v>
      </c>
      <c r="K503" s="130" t="n">
        <v>0</v>
      </c>
      <c r="L503" s="132" t="n">
        <v>0.29</v>
      </c>
      <c r="M503" s="131" t="s">
        <v>62</v>
      </c>
      <c r="N503" s="133" t="n">
        <v>0.680035542039642</v>
      </c>
      <c r="O503" s="133" t="n">
        <v>0</v>
      </c>
      <c r="P503" s="132" t="n">
        <v>0.0107</v>
      </c>
      <c r="Q503" s="131" t="s">
        <v>130</v>
      </c>
      <c r="R503" s="130" t="n">
        <v>0</v>
      </c>
      <c r="S503" s="143" t="n">
        <v>0</v>
      </c>
      <c r="T503" s="134" t="n">
        <v>45462.4093778935</v>
      </c>
    </row>
    <row r="504" customFormat="false" ht="39.75" hidden="false" customHeight="true" outlineLevel="0" collapsed="false">
      <c r="B504" s="130" t="n">
        <v>1144175903</v>
      </c>
      <c r="C504" s="131" t="s">
        <v>152</v>
      </c>
      <c r="D504" s="131" t="s">
        <v>135</v>
      </c>
      <c r="E504" s="130" t="n">
        <v>2318500</v>
      </c>
      <c r="F504" s="131" t="s">
        <v>29</v>
      </c>
      <c r="G504" s="130" t="n">
        <v>1000000</v>
      </c>
      <c r="H504" s="131" t="n">
        <v>458</v>
      </c>
      <c r="I504" s="132" t="n">
        <v>0.2</v>
      </c>
      <c r="J504" s="132" t="n">
        <v>0.25</v>
      </c>
      <c r="K504" s="130" t="n">
        <v>7.06255035583351</v>
      </c>
      <c r="L504" s="132" t="n">
        <v>0.25</v>
      </c>
      <c r="M504" s="131" t="s">
        <v>64</v>
      </c>
      <c r="N504" s="133" t="n">
        <v>1.13240155272806</v>
      </c>
      <c r="O504" s="133" t="n">
        <v>7.06255035583351</v>
      </c>
      <c r="P504" s="132" t="n">
        <v>0.0227</v>
      </c>
      <c r="Q504" s="131" t="s">
        <v>130</v>
      </c>
      <c r="R504" s="130" t="n">
        <v>1989000</v>
      </c>
      <c r="S504" s="143" t="s">
        <v>588</v>
      </c>
      <c r="T504" s="134" t="n">
        <v>45462.4375859954</v>
      </c>
    </row>
    <row r="505" customFormat="false" ht="39.75" hidden="false" customHeight="true" outlineLevel="0" collapsed="false">
      <c r="B505" s="130" t="n">
        <v>1130607298</v>
      </c>
      <c r="C505" s="131" t="s">
        <v>539</v>
      </c>
      <c r="D505" s="131" t="s">
        <v>135</v>
      </c>
      <c r="E505" s="130" t="n">
        <v>2318500</v>
      </c>
      <c r="F505" s="131" t="s">
        <v>13</v>
      </c>
      <c r="G505" s="130" t="n">
        <v>22500000</v>
      </c>
      <c r="H505" s="131" t="n">
        <v>843</v>
      </c>
      <c r="I505" s="132" t="n">
        <v>0.11</v>
      </c>
      <c r="J505" s="132" t="n">
        <v>0.44</v>
      </c>
      <c r="K505" s="130" t="n">
        <v>0.939400474444684</v>
      </c>
      <c r="L505" s="132" t="n">
        <v>0.44</v>
      </c>
      <c r="M505" s="131" t="s">
        <v>62</v>
      </c>
      <c r="N505" s="133" t="n">
        <v>0.684955359068363</v>
      </c>
      <c r="O505" s="133" t="n">
        <v>0.939400474444684</v>
      </c>
      <c r="P505" s="132" t="n">
        <v>0.0227</v>
      </c>
      <c r="Q505" s="131" t="s">
        <v>130</v>
      </c>
      <c r="R505" s="130" t="n">
        <v>2178000</v>
      </c>
      <c r="S505" s="143" t="s">
        <v>589</v>
      </c>
      <c r="T505" s="134" t="n">
        <v>45462.4831993056</v>
      </c>
    </row>
    <row r="506" customFormat="false" ht="39.75" hidden="false" customHeight="true" outlineLevel="0" collapsed="false">
      <c r="B506" s="130" t="n">
        <v>1112479726</v>
      </c>
      <c r="C506" s="131" t="s">
        <v>590</v>
      </c>
      <c r="D506" s="131" t="s">
        <v>135</v>
      </c>
      <c r="E506" s="130" t="n">
        <v>2600900</v>
      </c>
      <c r="F506" s="131" t="s">
        <v>29</v>
      </c>
      <c r="G506" s="130" t="n">
        <v>3000000</v>
      </c>
      <c r="H506" s="131" t="n">
        <v>724</v>
      </c>
      <c r="I506" s="132" t="n">
        <v>0.34</v>
      </c>
      <c r="J506" s="132" t="n">
        <v>0.41</v>
      </c>
      <c r="K506" s="130" t="n">
        <v>4.29082240762813</v>
      </c>
      <c r="L506" s="132" t="n">
        <v>0.41</v>
      </c>
      <c r="M506" s="131" t="s">
        <v>64</v>
      </c>
      <c r="N506" s="133" t="n">
        <v>1.05085662655235</v>
      </c>
      <c r="O506" s="133" t="n">
        <v>4.29082240762813</v>
      </c>
      <c r="P506" s="132" t="n">
        <v>0.0227</v>
      </c>
      <c r="Q506" s="131" t="s">
        <v>130</v>
      </c>
      <c r="R506" s="130" t="n">
        <v>11160000</v>
      </c>
      <c r="S506" s="143" t="s">
        <v>589</v>
      </c>
      <c r="T506" s="134" t="n">
        <v>45464.4253820602</v>
      </c>
    </row>
    <row r="507" customFormat="false" ht="39.75" hidden="false" customHeight="true" outlineLevel="0" collapsed="false">
      <c r="B507" s="130" t="n">
        <v>1006179442</v>
      </c>
      <c r="C507" s="131" t="s">
        <v>591</v>
      </c>
      <c r="D507" s="131" t="s">
        <v>135</v>
      </c>
      <c r="E507" s="130" t="n">
        <v>2893800</v>
      </c>
      <c r="F507" s="131" t="s">
        <v>29</v>
      </c>
      <c r="G507" s="130" t="n">
        <v>1500000</v>
      </c>
      <c r="H507" s="131" t="n">
        <v>640</v>
      </c>
      <c r="I507" s="132" t="n">
        <v>0.26</v>
      </c>
      <c r="J507" s="132" t="n">
        <v>0.29</v>
      </c>
      <c r="K507" s="130" t="n">
        <v>1.71312011887484</v>
      </c>
      <c r="L507" s="132" t="n">
        <v>0.29</v>
      </c>
      <c r="M507" s="131" t="s">
        <v>64</v>
      </c>
      <c r="N507" s="133" t="n">
        <v>1.06047411707789</v>
      </c>
      <c r="O507" s="133" t="n">
        <v>1.71312011887484</v>
      </c>
      <c r="P507" s="132" t="n">
        <v>0.0227</v>
      </c>
      <c r="Q507" s="131" t="s">
        <v>130</v>
      </c>
      <c r="R507" s="130" t="n">
        <v>639000</v>
      </c>
      <c r="S507" s="143" t="n">
        <v>0</v>
      </c>
      <c r="T507" s="134" t="n">
        <v>45464.470800463</v>
      </c>
    </row>
    <row r="508" customFormat="false" ht="39.75" hidden="false" customHeight="true" outlineLevel="0" collapsed="false">
      <c r="B508" s="130" t="n">
        <v>1113673479</v>
      </c>
      <c r="C508" s="131" t="s">
        <v>346</v>
      </c>
      <c r="D508" s="131" t="s">
        <v>135</v>
      </c>
      <c r="E508" s="130" t="n">
        <v>2893800</v>
      </c>
      <c r="F508" s="131" t="s">
        <v>29</v>
      </c>
      <c r="G508" s="130" t="n">
        <v>2100000</v>
      </c>
      <c r="H508" s="131" t="n">
        <v>726</v>
      </c>
      <c r="I508" s="132" t="n">
        <v>0.25</v>
      </c>
      <c r="J508" s="132" t="n">
        <v>0.29</v>
      </c>
      <c r="K508" s="130" t="n">
        <v>2.5965025226346</v>
      </c>
      <c r="L508" s="132" t="n">
        <v>0.29</v>
      </c>
      <c r="M508" s="131" t="s">
        <v>64</v>
      </c>
      <c r="N508" s="133" t="n">
        <v>1.18301506669431</v>
      </c>
      <c r="O508" s="133" t="n">
        <v>2.5965025226346</v>
      </c>
      <c r="P508" s="132" t="n">
        <v>0.0227</v>
      </c>
      <c r="Q508" s="131" t="s">
        <v>130</v>
      </c>
      <c r="R508" s="130" t="n">
        <v>1925000</v>
      </c>
      <c r="S508" s="143" t="n">
        <v>0</v>
      </c>
      <c r="T508" s="134" t="n">
        <v>45464.4750693287</v>
      </c>
    </row>
    <row r="509" customFormat="false" ht="39.75" hidden="false" customHeight="true" outlineLevel="0" collapsed="false">
      <c r="B509" s="130" t="n">
        <v>1151945599</v>
      </c>
      <c r="C509" s="131" t="s">
        <v>592</v>
      </c>
      <c r="D509" s="131" t="s">
        <v>135</v>
      </c>
      <c r="E509" s="130" t="n">
        <v>2893800</v>
      </c>
      <c r="F509" s="131" t="s">
        <v>29</v>
      </c>
      <c r="G509" s="130" t="n">
        <v>2000000</v>
      </c>
      <c r="H509" s="131" t="n">
        <v>766</v>
      </c>
      <c r="I509" s="132" t="n">
        <v>0.11</v>
      </c>
      <c r="J509" s="132" t="n">
        <v>0.18</v>
      </c>
      <c r="K509" s="130" t="n">
        <v>0</v>
      </c>
      <c r="L509" s="132" t="n">
        <v>0.18</v>
      </c>
      <c r="M509" s="131" t="s">
        <v>64</v>
      </c>
      <c r="N509" s="133" t="n">
        <v>0.70959292280047</v>
      </c>
      <c r="O509" s="133" t="n">
        <v>0</v>
      </c>
      <c r="P509" s="132" t="n">
        <v>0.0227</v>
      </c>
      <c r="Q509" s="131" t="s">
        <v>130</v>
      </c>
      <c r="R509" s="130" t="n">
        <v>0</v>
      </c>
      <c r="S509" s="143" t="n">
        <v>0</v>
      </c>
      <c r="T509" s="134" t="n">
        <v>45464.4774211806</v>
      </c>
    </row>
    <row r="510" customFormat="false" ht="39.75" hidden="false" customHeight="true" outlineLevel="0" collapsed="false">
      <c r="B510" s="130" t="n">
        <v>29179426</v>
      </c>
      <c r="C510" s="131" t="s">
        <v>593</v>
      </c>
      <c r="D510" s="131" t="s">
        <v>135</v>
      </c>
      <c r="E510" s="130" t="n">
        <v>2893800</v>
      </c>
      <c r="F510" s="131" t="s">
        <v>29</v>
      </c>
      <c r="G510" s="130" t="n">
        <v>3500000</v>
      </c>
      <c r="H510" s="131" t="n">
        <v>690</v>
      </c>
      <c r="I510" s="132" t="n">
        <v>0.32</v>
      </c>
      <c r="J510" s="132" t="n">
        <v>0.37</v>
      </c>
      <c r="K510" s="130" t="n">
        <v>9.56285852512268</v>
      </c>
      <c r="L510" s="132" t="n">
        <v>0.37</v>
      </c>
      <c r="M510" s="131" t="s">
        <v>64</v>
      </c>
      <c r="N510" s="133" t="n">
        <v>1.25210138917686</v>
      </c>
      <c r="O510" s="133" t="n">
        <v>9.56285852512268</v>
      </c>
      <c r="P510" s="132" t="n">
        <v>0.0227</v>
      </c>
      <c r="Q510" s="131" t="s">
        <v>130</v>
      </c>
      <c r="R510" s="130" t="n">
        <v>27673000</v>
      </c>
      <c r="S510" s="143" t="n">
        <v>0</v>
      </c>
      <c r="T510" s="134" t="n">
        <v>45464.4795384259</v>
      </c>
    </row>
    <row r="511" customFormat="false" ht="39.75" hidden="false" customHeight="true" outlineLevel="0" collapsed="false">
      <c r="B511" s="130" t="n">
        <v>1005024520</v>
      </c>
      <c r="C511" s="131" t="s">
        <v>594</v>
      </c>
      <c r="D511" s="131" t="s">
        <v>135</v>
      </c>
      <c r="E511" s="130" t="n">
        <v>2893800</v>
      </c>
      <c r="F511" s="131" t="s">
        <v>29</v>
      </c>
      <c r="G511" s="130" t="n">
        <v>1500000</v>
      </c>
      <c r="H511" s="131" t="n">
        <v>829</v>
      </c>
      <c r="I511" s="132" t="n">
        <v>0.35</v>
      </c>
      <c r="J511" s="132" t="n">
        <v>0.41</v>
      </c>
      <c r="K511" s="130" t="n">
        <v>10.3196489045546</v>
      </c>
      <c r="L511" s="132" t="n">
        <v>0.41</v>
      </c>
      <c r="M511" s="131" t="s">
        <v>62</v>
      </c>
      <c r="N511" s="133" t="n">
        <v>1.08102045752989</v>
      </c>
      <c r="O511" s="133" t="n">
        <v>10.3196489045546</v>
      </c>
      <c r="P511" s="132" t="n">
        <v>0.0227</v>
      </c>
      <c r="Q511" s="131" t="s">
        <v>130</v>
      </c>
      <c r="R511" s="130" t="n">
        <v>29863000</v>
      </c>
      <c r="S511" s="143" t="n">
        <v>0</v>
      </c>
      <c r="T511" s="134" t="n">
        <v>45464.4811608796</v>
      </c>
    </row>
    <row r="512" customFormat="false" ht="39.75" hidden="false" customHeight="true" outlineLevel="0" collapsed="false">
      <c r="B512" s="130" t="n">
        <v>1130627726</v>
      </c>
      <c r="C512" s="131" t="s">
        <v>595</v>
      </c>
      <c r="D512" s="131" t="s">
        <v>135</v>
      </c>
      <c r="E512" s="130" t="n">
        <v>2893800</v>
      </c>
      <c r="F512" s="131" t="s">
        <v>29</v>
      </c>
      <c r="G512" s="130" t="n">
        <v>3000000</v>
      </c>
      <c r="H512" s="131" t="n">
        <v>757</v>
      </c>
      <c r="I512" s="132" t="n">
        <v>0.43</v>
      </c>
      <c r="J512" s="132" t="n">
        <v>0.49</v>
      </c>
      <c r="K512" s="130" t="n">
        <v>13.362706475914</v>
      </c>
      <c r="L512" s="132" t="n">
        <v>0.49</v>
      </c>
      <c r="M512" s="131" t="s">
        <v>64</v>
      </c>
      <c r="N512" s="133" t="n">
        <v>1.35782535074988</v>
      </c>
      <c r="O512" s="133" t="n">
        <v>13.362706475914</v>
      </c>
      <c r="P512" s="132" t="n">
        <v>0.0227</v>
      </c>
      <c r="Q512" s="131" t="s">
        <v>130</v>
      </c>
      <c r="R512" s="130" t="n">
        <v>38669000</v>
      </c>
      <c r="S512" s="143" t="n">
        <v>0</v>
      </c>
      <c r="T512" s="134" t="n">
        <v>45464.4826061343</v>
      </c>
    </row>
    <row r="513" customFormat="false" ht="39.75" hidden="false" customHeight="true" outlineLevel="0" collapsed="false">
      <c r="B513" s="130" t="n">
        <v>38604845</v>
      </c>
      <c r="C513" s="131" t="s">
        <v>596</v>
      </c>
      <c r="D513" s="131" t="s">
        <v>135</v>
      </c>
      <c r="E513" s="130" t="n">
        <v>1991000</v>
      </c>
      <c r="F513" s="131" t="s">
        <v>8</v>
      </c>
      <c r="G513" s="130" t="n">
        <v>676174</v>
      </c>
      <c r="H513" s="131" t="n">
        <v>807</v>
      </c>
      <c r="I513" s="132" t="n">
        <v>0.25</v>
      </c>
      <c r="J513" s="132" t="n">
        <v>0.28</v>
      </c>
      <c r="K513" s="130" t="n">
        <v>5.62596785534907</v>
      </c>
      <c r="L513" s="132" t="n">
        <v>0.28</v>
      </c>
      <c r="M513" s="131" t="s">
        <v>62</v>
      </c>
      <c r="N513" s="133" t="n">
        <v>1.05512456052235</v>
      </c>
      <c r="O513" s="133" t="n">
        <v>5.62596785534907</v>
      </c>
      <c r="P513" s="132" t="n">
        <v>0.018</v>
      </c>
      <c r="Q513" s="131" t="s">
        <v>130</v>
      </c>
      <c r="R513" s="130" t="n">
        <v>10811000</v>
      </c>
      <c r="S513" s="143" t="n">
        <v>0</v>
      </c>
      <c r="T513" s="134" t="n">
        <v>45464.4880918982</v>
      </c>
    </row>
    <row r="514" customFormat="false" ht="39.75" hidden="false" customHeight="true" outlineLevel="0" collapsed="false">
      <c r="B514" s="130" t="n">
        <v>1113637168</v>
      </c>
      <c r="C514" s="131" t="s">
        <v>597</v>
      </c>
      <c r="D514" s="131" t="s">
        <v>135</v>
      </c>
      <c r="E514" s="130" t="n">
        <v>2893800</v>
      </c>
      <c r="F514" s="131" t="s">
        <v>29</v>
      </c>
      <c r="G514" s="130" t="n">
        <v>1500000</v>
      </c>
      <c r="H514" s="131" t="n">
        <v>665</v>
      </c>
      <c r="I514" s="132" t="n">
        <v>0.47</v>
      </c>
      <c r="J514" s="132" t="n">
        <v>0.5</v>
      </c>
      <c r="K514" s="130" t="n">
        <v>16.9348261801092</v>
      </c>
      <c r="L514" s="132" t="n">
        <v>0.5</v>
      </c>
      <c r="M514" s="131" t="s">
        <v>64</v>
      </c>
      <c r="N514" s="133" t="n">
        <v>1.45753507498791</v>
      </c>
      <c r="O514" s="133" t="n">
        <v>16.9348261801092</v>
      </c>
      <c r="P514" s="132" t="n">
        <v>0.0227</v>
      </c>
      <c r="Q514" s="131" t="s">
        <v>130</v>
      </c>
      <c r="R514" s="130" t="n">
        <v>49006000</v>
      </c>
      <c r="S514" s="143" t="n">
        <v>0</v>
      </c>
      <c r="T514" s="134" t="n">
        <v>45464.4894731482</v>
      </c>
    </row>
    <row r="515" customFormat="false" ht="39.75" hidden="false" customHeight="true" outlineLevel="0" collapsed="false">
      <c r="B515" s="130" t="n">
        <v>91493134</v>
      </c>
      <c r="C515" s="131" t="s">
        <v>204</v>
      </c>
      <c r="D515" s="131" t="s">
        <v>135</v>
      </c>
      <c r="E515" s="130" t="n">
        <v>3945300</v>
      </c>
      <c r="F515" s="131" t="s">
        <v>29</v>
      </c>
      <c r="G515" s="130" t="n">
        <v>2000000</v>
      </c>
      <c r="H515" s="131" t="n">
        <v>708</v>
      </c>
      <c r="I515" s="132" t="n">
        <v>0.71</v>
      </c>
      <c r="J515" s="132" t="n">
        <v>0.73</v>
      </c>
      <c r="K515" s="130" t="n">
        <v>6.3660530251185</v>
      </c>
      <c r="L515" s="132" t="n">
        <v>0.73</v>
      </c>
      <c r="M515" s="131" t="s">
        <v>64</v>
      </c>
      <c r="N515" s="133" t="n">
        <v>1.52753909715358</v>
      </c>
      <c r="O515" s="133" t="n">
        <v>6.3660530251185</v>
      </c>
      <c r="P515" s="132" t="n">
        <v>0.0227</v>
      </c>
      <c r="Q515" s="131" t="s">
        <v>130</v>
      </c>
      <c r="R515" s="130" t="n">
        <v>22295000</v>
      </c>
      <c r="S515" s="143" t="n">
        <v>0</v>
      </c>
      <c r="T515" s="134" t="n">
        <v>45464.494353125</v>
      </c>
    </row>
    <row r="516" customFormat="false" ht="39.75" hidden="false" customHeight="true" outlineLevel="0" collapsed="false">
      <c r="B516" s="130" t="n">
        <v>1113673170</v>
      </c>
      <c r="C516" s="131" t="s">
        <v>492</v>
      </c>
      <c r="D516" s="131" t="s">
        <v>135</v>
      </c>
      <c r="E516" s="130" t="n">
        <v>2600900</v>
      </c>
      <c r="F516" s="131" t="s">
        <v>29</v>
      </c>
      <c r="G516" s="130" t="n">
        <v>1600000</v>
      </c>
      <c r="H516" s="131" t="n">
        <v>744</v>
      </c>
      <c r="I516" s="132" t="n">
        <v>0.2</v>
      </c>
      <c r="J516" s="132" t="n">
        <v>0.27</v>
      </c>
      <c r="K516" s="130" t="n">
        <v>4.38172901687877</v>
      </c>
      <c r="L516" s="132" t="n">
        <v>0.27</v>
      </c>
      <c r="M516" s="131" t="s">
        <v>64</v>
      </c>
      <c r="N516" s="133" t="n">
        <v>1.16560498289054</v>
      </c>
      <c r="O516" s="133" t="n">
        <v>4.38172901687877</v>
      </c>
      <c r="P516" s="132" t="n">
        <v>0.0227</v>
      </c>
      <c r="Q516" s="131" t="s">
        <v>130</v>
      </c>
      <c r="R516" s="130" t="n">
        <v>11112000</v>
      </c>
      <c r="S516" s="143" t="n">
        <v>0</v>
      </c>
      <c r="T516" s="134" t="n">
        <v>45464.557202662</v>
      </c>
    </row>
    <row r="517" customFormat="false" ht="39.75" hidden="false" customHeight="true" outlineLevel="0" collapsed="false">
      <c r="B517" s="130" t="n">
        <v>1144155126</v>
      </c>
      <c r="C517" s="131" t="s">
        <v>430</v>
      </c>
      <c r="D517" s="131" t="s">
        <v>135</v>
      </c>
      <c r="E517" s="130" t="n">
        <v>1918500</v>
      </c>
      <c r="F517" s="131" t="s">
        <v>29</v>
      </c>
      <c r="G517" s="130" t="n">
        <v>1000000</v>
      </c>
      <c r="H517" s="131" t="n">
        <v>621</v>
      </c>
      <c r="I517" s="132" t="n">
        <v>0.48</v>
      </c>
      <c r="J517" s="132" t="n">
        <v>0.53</v>
      </c>
      <c r="K517" s="130" t="n">
        <v>1.49005212405525</v>
      </c>
      <c r="L517" s="132" t="n">
        <v>0.53</v>
      </c>
      <c r="M517" s="131" t="s">
        <v>64</v>
      </c>
      <c r="N517" s="133" t="n">
        <v>1.02030701068543</v>
      </c>
      <c r="O517" s="133" t="n">
        <v>1.49005212405525</v>
      </c>
      <c r="P517" s="132" t="n">
        <v>0.0227</v>
      </c>
      <c r="Q517" s="131" t="s">
        <v>130</v>
      </c>
      <c r="R517" s="130" t="n">
        <v>229000</v>
      </c>
      <c r="S517" s="143" t="n">
        <v>0</v>
      </c>
      <c r="T517" s="134" t="n">
        <v>45464.5580675926</v>
      </c>
    </row>
    <row r="518" customFormat="false" ht="39.75" hidden="false" customHeight="true" outlineLevel="0" collapsed="false">
      <c r="B518" s="130" t="n">
        <v>1112484884</v>
      </c>
      <c r="C518" s="131" t="s">
        <v>598</v>
      </c>
      <c r="D518" s="131" t="s">
        <v>135</v>
      </c>
      <c r="E518" s="130" t="n">
        <v>2893800</v>
      </c>
      <c r="F518" s="131" t="s">
        <v>29</v>
      </c>
      <c r="G518" s="130" t="n">
        <v>800000</v>
      </c>
      <c r="H518" s="131" t="n">
        <v>611</v>
      </c>
      <c r="I518" s="132" t="n">
        <v>0.43</v>
      </c>
      <c r="J518" s="132" t="n">
        <v>0.46</v>
      </c>
      <c r="K518" s="130" t="n">
        <v>9.95829497546479</v>
      </c>
      <c r="L518" s="132" t="n">
        <v>0.46</v>
      </c>
      <c r="M518" s="131" t="s">
        <v>62</v>
      </c>
      <c r="N518" s="133" t="n">
        <v>3.28885617527127</v>
      </c>
      <c r="O518" s="133" t="n">
        <v>9.95829497546479</v>
      </c>
      <c r="P518" s="132" t="n">
        <v>0.0227</v>
      </c>
      <c r="Q518" s="131" t="s">
        <v>130</v>
      </c>
      <c r="R518" s="130" t="n">
        <v>20257000</v>
      </c>
      <c r="S518" s="143" t="n">
        <v>0</v>
      </c>
      <c r="T518" s="134" t="n">
        <v>45464.5894859954</v>
      </c>
    </row>
    <row r="519" customFormat="false" ht="39.75" hidden="false" customHeight="true" outlineLevel="0" collapsed="false">
      <c r="B519" s="130" t="n">
        <v>1143851441</v>
      </c>
      <c r="C519" s="131" t="s">
        <v>599</v>
      </c>
      <c r="D519" s="131" t="s">
        <v>135</v>
      </c>
      <c r="E519" s="130" t="n">
        <v>2600900</v>
      </c>
      <c r="F519" s="131" t="s">
        <v>29</v>
      </c>
      <c r="G519" s="130" t="n">
        <v>2800000</v>
      </c>
      <c r="H519" s="131" t="n">
        <v>675</v>
      </c>
      <c r="I519" s="132" t="n">
        <v>0.31</v>
      </c>
      <c r="J519" s="132" t="n">
        <v>0.37</v>
      </c>
      <c r="K519" s="130" t="n">
        <v>1.14537275558461</v>
      </c>
      <c r="L519" s="132" t="n">
        <v>0.37</v>
      </c>
      <c r="M519" s="131" t="s">
        <v>64</v>
      </c>
      <c r="N519" s="133" t="n">
        <v>1.14859894651851</v>
      </c>
      <c r="O519" s="133" t="n">
        <v>1.14537275558461</v>
      </c>
      <c r="P519" s="132" t="n">
        <v>0.0227</v>
      </c>
      <c r="Q519" s="131" t="s">
        <v>130</v>
      </c>
      <c r="R519" s="130" t="n">
        <v>2979000</v>
      </c>
      <c r="S519" s="143" t="n">
        <v>0</v>
      </c>
      <c r="T519" s="134" t="n">
        <v>45464.5952728009</v>
      </c>
    </row>
    <row r="520" customFormat="false" ht="39.75" hidden="false" customHeight="true" outlineLevel="0" collapsed="false">
      <c r="B520" s="130" t="n">
        <v>94074257</v>
      </c>
      <c r="C520" s="131" t="s">
        <v>600</v>
      </c>
      <c r="D520" s="131" t="s">
        <v>158</v>
      </c>
      <c r="E520" s="130" t="n">
        <v>50000000</v>
      </c>
      <c r="F520" s="131" t="s">
        <v>14</v>
      </c>
      <c r="G520" s="130" t="n">
        <v>10000000</v>
      </c>
      <c r="H520" s="131" t="n">
        <v>446</v>
      </c>
      <c r="I520" s="132" t="n">
        <v>0.21</v>
      </c>
      <c r="J520" s="132" t="n">
        <v>0.21</v>
      </c>
      <c r="K520" s="130" t="n">
        <v>16.73626</v>
      </c>
      <c r="L520" s="132" t="n">
        <v>0.21</v>
      </c>
      <c r="M520" s="131" t="s">
        <v>64</v>
      </c>
      <c r="N520" s="133" t="n">
        <v>1.3970527</v>
      </c>
      <c r="O520" s="133" t="n">
        <v>16.73626</v>
      </c>
      <c r="P520" s="132" t="n">
        <v>0.0199</v>
      </c>
      <c r="Q520" s="131" t="s">
        <v>130</v>
      </c>
      <c r="R520" s="130" t="n">
        <v>836813000</v>
      </c>
      <c r="S520" s="143" t="s">
        <v>601</v>
      </c>
      <c r="T520" s="134" t="n">
        <v>45468.6333293982</v>
      </c>
    </row>
    <row r="521" customFormat="false" ht="39.75" hidden="false" customHeight="true" outlineLevel="0" collapsed="false">
      <c r="B521" s="130" t="n">
        <v>1151948942</v>
      </c>
      <c r="C521" s="131" t="s">
        <v>602</v>
      </c>
      <c r="D521" s="131" t="s">
        <v>603</v>
      </c>
      <c r="E521" s="130" t="n">
        <v>2600900</v>
      </c>
      <c r="F521" s="131" t="s">
        <v>14</v>
      </c>
      <c r="G521" s="130" t="n">
        <v>5000000</v>
      </c>
      <c r="H521" s="131" t="n">
        <v>665</v>
      </c>
      <c r="I521" s="132" t="n">
        <v>0.31</v>
      </c>
      <c r="J521" s="132" t="n">
        <v>0.51</v>
      </c>
      <c r="K521" s="130" t="n">
        <v>9.1883578761198</v>
      </c>
      <c r="L521" s="132" t="n">
        <v>0.51</v>
      </c>
      <c r="M521" s="131" t="s">
        <v>64</v>
      </c>
      <c r="N521" s="133" t="n">
        <v>1.60928486293206</v>
      </c>
      <c r="O521" s="133" t="n">
        <v>9.1883578761198</v>
      </c>
      <c r="P521" s="132" t="n">
        <v>0.0199</v>
      </c>
      <c r="Q521" s="131" t="s">
        <v>130</v>
      </c>
      <c r="R521" s="130" t="n">
        <v>23898000</v>
      </c>
      <c r="S521" s="143" t="n">
        <v>0</v>
      </c>
      <c r="T521" s="134" t="n">
        <v>45468.6468297454</v>
      </c>
    </row>
    <row r="522" customFormat="false" ht="39.75" hidden="false" customHeight="true" outlineLevel="0" collapsed="false">
      <c r="B522" s="130" t="n">
        <v>31958544</v>
      </c>
      <c r="C522" s="131" t="s">
        <v>604</v>
      </c>
      <c r="D522" s="131" t="s">
        <v>135</v>
      </c>
      <c r="E522" s="130" t="n">
        <v>2600900</v>
      </c>
      <c r="F522" s="131" t="s">
        <v>17</v>
      </c>
      <c r="G522" s="130" t="n">
        <v>16885000</v>
      </c>
      <c r="H522" s="131" t="n">
        <v>768</v>
      </c>
      <c r="I522" s="132" t="n">
        <v>0.3</v>
      </c>
      <c r="J522" s="132" t="n">
        <v>0.49</v>
      </c>
      <c r="K522" s="130" t="n">
        <v>0.690293744473067</v>
      </c>
      <c r="L522" s="132" t="n">
        <v>0.49</v>
      </c>
      <c r="M522" s="131" t="s">
        <v>64</v>
      </c>
      <c r="N522" s="133" t="n">
        <v>0.98103271944327</v>
      </c>
      <c r="O522" s="133" t="n">
        <v>0.690293744473067</v>
      </c>
      <c r="P522" s="132" t="n">
        <v>0.017</v>
      </c>
      <c r="Q522" s="131" t="s">
        <v>130</v>
      </c>
      <c r="R522" s="130" t="n">
        <v>0</v>
      </c>
      <c r="S522" s="143" t="s">
        <v>605</v>
      </c>
      <c r="T522" s="134" t="n">
        <v>45468.6527887732</v>
      </c>
    </row>
    <row r="523" customFormat="false" ht="39.75" hidden="false" customHeight="true" outlineLevel="0" collapsed="false">
      <c r="B523" s="130" t="n">
        <v>9104444</v>
      </c>
      <c r="C523" s="131" t="s">
        <v>250</v>
      </c>
      <c r="D523" s="131" t="s">
        <v>135</v>
      </c>
      <c r="E523" s="130" t="n">
        <v>50000000</v>
      </c>
      <c r="F523" s="131" t="s">
        <v>16</v>
      </c>
      <c r="G523" s="130" t="n">
        <v>15000000</v>
      </c>
      <c r="H523" s="131" t="n">
        <v>642</v>
      </c>
      <c r="I523" s="132" t="n">
        <v>0.39</v>
      </c>
      <c r="J523" s="132" t="n">
        <v>0.4</v>
      </c>
      <c r="K523" s="130" t="n">
        <v>10.97868684</v>
      </c>
      <c r="L523" s="132" t="n">
        <v>0.4</v>
      </c>
      <c r="M523" s="131" t="s">
        <v>62</v>
      </c>
      <c r="N523" s="133" t="n">
        <v>0.98424536</v>
      </c>
      <c r="O523" s="133" t="n">
        <v>10.97868684</v>
      </c>
      <c r="P523" s="132" t="n">
        <v>0.0199</v>
      </c>
      <c r="Q523" s="131" t="s">
        <v>130</v>
      </c>
      <c r="R523" s="130" t="n">
        <v>539321000</v>
      </c>
      <c r="S523" s="143" t="n">
        <v>0</v>
      </c>
      <c r="T523" s="134" t="n">
        <v>45468.6586501157</v>
      </c>
    </row>
    <row r="524" customFormat="false" ht="39.75" hidden="false" customHeight="true" outlineLevel="0" collapsed="false">
      <c r="B524" s="130" t="n">
        <v>29106642</v>
      </c>
      <c r="C524" s="131" t="s">
        <v>606</v>
      </c>
      <c r="D524" s="131" t="s">
        <v>135</v>
      </c>
      <c r="E524" s="130" t="n">
        <v>4383200</v>
      </c>
      <c r="F524" s="131" t="s">
        <v>27</v>
      </c>
      <c r="G524" s="130" t="n">
        <v>410650</v>
      </c>
      <c r="H524" s="131" t="n">
        <v>630</v>
      </c>
      <c r="I524" s="132" t="n">
        <v>0.49</v>
      </c>
      <c r="J524" s="132" t="n">
        <v>0.5</v>
      </c>
      <c r="K524" s="130" t="n">
        <v>23.4822043256069</v>
      </c>
      <c r="L524" s="132" t="n">
        <v>0.5</v>
      </c>
      <c r="M524" s="131" t="s">
        <v>64</v>
      </c>
      <c r="N524" s="133" t="n">
        <v>2.0699676035773</v>
      </c>
      <c r="O524" s="133" t="n">
        <v>23.4822043256069</v>
      </c>
      <c r="P524" s="132" t="n">
        <v>0.01</v>
      </c>
      <c r="Q524" s="131" t="s">
        <v>130</v>
      </c>
      <c r="R524" s="130" t="n">
        <v>102001000</v>
      </c>
      <c r="S524" s="143" t="n">
        <v>0</v>
      </c>
      <c r="T524" s="134" t="n">
        <v>45469.4840126157</v>
      </c>
    </row>
    <row r="525" customFormat="false" ht="39.75" hidden="false" customHeight="true" outlineLevel="0" collapsed="false">
      <c r="B525" s="130" t="n">
        <v>94064181</v>
      </c>
      <c r="C525" s="131" t="s">
        <v>607</v>
      </c>
      <c r="D525" s="131" t="s">
        <v>135</v>
      </c>
      <c r="E525" s="130" t="n">
        <v>1625000</v>
      </c>
      <c r="F525" s="131" t="s">
        <v>29</v>
      </c>
      <c r="G525" s="130" t="n">
        <v>2800000</v>
      </c>
      <c r="H525" s="131" t="n">
        <v>726</v>
      </c>
      <c r="I525" s="132" t="n">
        <v>0.22</v>
      </c>
      <c r="J525" s="132" t="n">
        <v>0.3</v>
      </c>
      <c r="K525" s="130" t="n">
        <v>26.6793212307692</v>
      </c>
      <c r="L525" s="132" t="n">
        <v>0.3</v>
      </c>
      <c r="M525" s="131" t="s">
        <v>64</v>
      </c>
      <c r="N525" s="133" t="n">
        <v>22.5286836923077</v>
      </c>
      <c r="O525" s="133" t="n">
        <v>26.6793212307692</v>
      </c>
      <c r="P525" s="132" t="n">
        <v>0.0227</v>
      </c>
      <c r="Q525" s="131" t="s">
        <v>130</v>
      </c>
      <c r="R525" s="130" t="n">
        <v>40866000</v>
      </c>
      <c r="S525" s="143" t="n">
        <v>0</v>
      </c>
      <c r="T525" s="134" t="n">
        <v>45469.5368425926</v>
      </c>
    </row>
    <row r="526" customFormat="false" ht="39.75" hidden="false" customHeight="true" outlineLevel="0" collapsed="false">
      <c r="B526" s="130" t="n">
        <v>1107104634</v>
      </c>
      <c r="C526" s="131" t="s">
        <v>608</v>
      </c>
      <c r="D526" s="131" t="s">
        <v>135</v>
      </c>
      <c r="E526" s="130" t="n">
        <v>1991000</v>
      </c>
      <c r="F526" s="131" t="s">
        <v>29</v>
      </c>
      <c r="G526" s="130" t="n">
        <v>2000000</v>
      </c>
      <c r="H526" s="131" t="n">
        <v>790</v>
      </c>
      <c r="I526" s="132" t="n">
        <v>0.14</v>
      </c>
      <c r="J526" s="132" t="n">
        <v>0.2</v>
      </c>
      <c r="K526" s="130" t="n">
        <v>2.02868910095429</v>
      </c>
      <c r="L526" s="132" t="n">
        <v>0.2</v>
      </c>
      <c r="M526" s="131" t="s">
        <v>64</v>
      </c>
      <c r="N526" s="133" t="n">
        <v>0.797952285283777</v>
      </c>
      <c r="O526" s="133" t="n">
        <v>2.02868910095429</v>
      </c>
      <c r="P526" s="132" t="n">
        <v>0.0227</v>
      </c>
      <c r="Q526" s="131" t="s">
        <v>130</v>
      </c>
      <c r="R526" s="130" t="n">
        <v>3500000</v>
      </c>
      <c r="S526" s="143" t="n">
        <v>0</v>
      </c>
      <c r="T526" s="134" t="n">
        <v>45469.6145246528</v>
      </c>
    </row>
    <row r="527" customFormat="false" ht="39.75" hidden="false" customHeight="true" outlineLevel="0" collapsed="false">
      <c r="B527" s="130" t="n">
        <v>1144077310</v>
      </c>
      <c r="C527" s="131" t="s">
        <v>609</v>
      </c>
      <c r="D527" s="131" t="s">
        <v>135</v>
      </c>
      <c r="E527" s="130" t="n">
        <v>2893800</v>
      </c>
      <c r="F527" s="131" t="s">
        <v>29</v>
      </c>
      <c r="G527" s="130" t="n">
        <v>1500000</v>
      </c>
      <c r="H527" s="131" t="n">
        <v>632</v>
      </c>
      <c r="I527" s="132" t="n">
        <v>0.47</v>
      </c>
      <c r="J527" s="132" t="n">
        <v>0.5</v>
      </c>
      <c r="K527" s="130" t="n">
        <v>12.6847035040431</v>
      </c>
      <c r="L527" s="132" t="n">
        <v>0.5</v>
      </c>
      <c r="M527" s="131" t="s">
        <v>64</v>
      </c>
      <c r="N527" s="133" t="n">
        <v>1.3753351993918</v>
      </c>
      <c r="O527" s="133" t="n">
        <v>12.6847035040431</v>
      </c>
      <c r="P527" s="132" t="n">
        <v>0.0227</v>
      </c>
      <c r="Q527" s="131" t="s">
        <v>130</v>
      </c>
      <c r="R527" s="130" t="n">
        <v>35160000</v>
      </c>
      <c r="S527" s="143" t="n">
        <v>0</v>
      </c>
      <c r="T527" s="134" t="n">
        <v>45470.4351702546</v>
      </c>
    </row>
    <row r="528" customFormat="false" ht="39.75" hidden="false" customHeight="true" outlineLevel="0" collapsed="false">
      <c r="B528" s="130" t="n">
        <v>5824652</v>
      </c>
      <c r="C528" s="131" t="s">
        <v>610</v>
      </c>
      <c r="D528" s="131" t="s">
        <v>135</v>
      </c>
      <c r="E528" s="130" t="n">
        <v>2089800</v>
      </c>
      <c r="F528" s="131" t="s">
        <v>29</v>
      </c>
      <c r="G528" s="130" t="n">
        <v>600000</v>
      </c>
      <c r="H528" s="131" t="n">
        <v>695</v>
      </c>
      <c r="I528" s="132" t="n">
        <v>0.13</v>
      </c>
      <c r="J528" s="132" t="n">
        <v>0.16</v>
      </c>
      <c r="K528" s="130" t="n">
        <v>5.77929323380228</v>
      </c>
      <c r="L528" s="132" t="n">
        <v>0.16</v>
      </c>
      <c r="M528" s="131" t="s">
        <v>62</v>
      </c>
      <c r="N528" s="133" t="n">
        <v>3.27690783807063</v>
      </c>
      <c r="O528" s="133" t="n">
        <v>5.77929323380228</v>
      </c>
      <c r="P528" s="132" t="n">
        <v>0.0227</v>
      </c>
      <c r="Q528" s="131" t="s">
        <v>130</v>
      </c>
      <c r="R528" s="130" t="n">
        <v>5380000</v>
      </c>
      <c r="S528" s="143" t="n">
        <v>0</v>
      </c>
      <c r="T528" s="134" t="n">
        <v>45470.586137963</v>
      </c>
    </row>
    <row r="529" customFormat="false" ht="39.75" hidden="false" customHeight="true" outlineLevel="0" collapsed="false">
      <c r="B529" s="130" t="n">
        <v>31576144</v>
      </c>
      <c r="C529" s="131" t="s">
        <v>611</v>
      </c>
      <c r="D529" s="131" t="s">
        <v>135</v>
      </c>
      <c r="E529" s="130" t="n">
        <v>5418800</v>
      </c>
      <c r="F529" s="131" t="s">
        <v>29</v>
      </c>
      <c r="G529" s="130" t="n">
        <v>2000000</v>
      </c>
      <c r="H529" s="131" t="n">
        <v>765</v>
      </c>
      <c r="I529" s="132" t="n">
        <v>0.35</v>
      </c>
      <c r="J529" s="132" t="n">
        <v>0.39</v>
      </c>
      <c r="K529" s="130" t="n">
        <v>20.6955414482911</v>
      </c>
      <c r="L529" s="132" t="n">
        <v>0.39</v>
      </c>
      <c r="M529" s="131" t="s">
        <v>64</v>
      </c>
      <c r="N529" s="133" t="n">
        <v>1.38110965527423</v>
      </c>
      <c r="O529" s="133" t="n">
        <v>20.6955414482911</v>
      </c>
      <c r="P529" s="132" t="n">
        <v>0.0227</v>
      </c>
      <c r="Q529" s="131" t="s">
        <v>130</v>
      </c>
      <c r="R529" s="130" t="n">
        <v>112145000</v>
      </c>
      <c r="S529" s="143" t="n">
        <v>0</v>
      </c>
      <c r="T529" s="134" t="n">
        <v>45470.590209838</v>
      </c>
    </row>
    <row r="530" customFormat="false" ht="39.75" hidden="false" customHeight="true" outlineLevel="0" collapsed="false">
      <c r="B530" s="130" t="n">
        <v>66968191</v>
      </c>
      <c r="C530" s="131" t="s">
        <v>494</v>
      </c>
      <c r="D530" s="131" t="s">
        <v>135</v>
      </c>
      <c r="E530" s="130" t="n">
        <v>2600900</v>
      </c>
      <c r="F530" s="131" t="s">
        <v>29</v>
      </c>
      <c r="G530" s="130" t="n">
        <v>1500000</v>
      </c>
      <c r="H530" s="131" t="n">
        <v>715</v>
      </c>
      <c r="I530" s="132" t="n">
        <v>0.43</v>
      </c>
      <c r="J530" s="132" t="n">
        <v>0.47</v>
      </c>
      <c r="K530" s="130" t="n">
        <v>16.3433703717944</v>
      </c>
      <c r="L530" s="132" t="n">
        <v>0.47</v>
      </c>
      <c r="M530" s="131" t="s">
        <v>64</v>
      </c>
      <c r="N530" s="133" t="n">
        <v>1.29718443615672</v>
      </c>
      <c r="O530" s="133" t="n">
        <v>16.3433703717944</v>
      </c>
      <c r="P530" s="132" t="n">
        <v>0.0227</v>
      </c>
      <c r="Q530" s="131" t="s">
        <v>130</v>
      </c>
      <c r="R530" s="130" t="n">
        <v>41057000</v>
      </c>
      <c r="S530" s="143" t="n">
        <v>0</v>
      </c>
      <c r="T530" s="134" t="n">
        <v>45470.5927087963</v>
      </c>
    </row>
    <row r="531" customFormat="false" ht="39.75" hidden="false" customHeight="true" outlineLevel="0" collapsed="false">
      <c r="B531" s="130" t="n">
        <v>76140409</v>
      </c>
      <c r="C531" s="131" t="s">
        <v>612</v>
      </c>
      <c r="D531" s="131" t="s">
        <v>135</v>
      </c>
      <c r="E531" s="130" t="n">
        <v>2893800</v>
      </c>
      <c r="F531" s="131" t="s">
        <v>29</v>
      </c>
      <c r="G531" s="130" t="n">
        <v>1500000</v>
      </c>
      <c r="H531" s="131" t="n">
        <v>686</v>
      </c>
      <c r="I531" s="132" t="n">
        <v>0.37</v>
      </c>
      <c r="J531" s="132" t="n">
        <v>0.43</v>
      </c>
      <c r="K531" s="130" t="n">
        <v>14.8666113760453</v>
      </c>
      <c r="L531" s="132" t="n">
        <v>0.43</v>
      </c>
      <c r="M531" s="131" t="s">
        <v>64</v>
      </c>
      <c r="N531" s="133" t="n">
        <v>1.50314327182252</v>
      </c>
      <c r="O531" s="133" t="n">
        <v>14.8666113760453</v>
      </c>
      <c r="P531" s="132" t="n">
        <v>0.0227</v>
      </c>
      <c r="Q531" s="131" t="s">
        <v>130</v>
      </c>
      <c r="R531" s="130" t="n">
        <v>43021000</v>
      </c>
      <c r="S531" s="143" t="n">
        <v>0</v>
      </c>
      <c r="T531" s="134" t="n">
        <v>45470.5945826389</v>
      </c>
    </row>
    <row r="532" customFormat="false" ht="39.75" hidden="false" customHeight="true" outlineLevel="0" collapsed="false">
      <c r="B532" s="130" t="n">
        <v>38889981</v>
      </c>
      <c r="C532" s="131" t="s">
        <v>613</v>
      </c>
      <c r="D532" s="131" t="s">
        <v>445</v>
      </c>
      <c r="E532" s="130" t="n">
        <v>2893800</v>
      </c>
      <c r="F532" s="131" t="s">
        <v>29</v>
      </c>
      <c r="G532" s="130" t="n">
        <v>2000000</v>
      </c>
      <c r="H532" s="131" t="n">
        <v>686</v>
      </c>
      <c r="I532" s="132" t="n">
        <v>0.08</v>
      </c>
      <c r="J532" s="132" t="n">
        <v>0.1</v>
      </c>
      <c r="K532" s="130" t="n">
        <v>0.256086806275486</v>
      </c>
      <c r="L532" s="132" t="n">
        <v>0.1</v>
      </c>
      <c r="M532" s="131" t="s">
        <v>64</v>
      </c>
      <c r="N532" s="133" t="n">
        <v>0.9781436173889</v>
      </c>
      <c r="O532" s="133" t="n">
        <v>0.256086806275486</v>
      </c>
      <c r="P532" s="132" t="n">
        <v>0.0227</v>
      </c>
      <c r="Q532" s="131" t="s">
        <v>130</v>
      </c>
      <c r="R532" s="130" t="n">
        <v>0</v>
      </c>
      <c r="S532" s="143" t="n">
        <v>0</v>
      </c>
      <c r="T532" s="134" t="n">
        <v>45470.6078060185</v>
      </c>
    </row>
    <row r="533" customFormat="false" ht="39.75" hidden="false" customHeight="true" outlineLevel="0" collapsed="false">
      <c r="B533" s="130" t="n">
        <v>38558372</v>
      </c>
      <c r="C533" s="131" t="s">
        <v>614</v>
      </c>
      <c r="D533" s="131" t="s">
        <v>135</v>
      </c>
      <c r="E533" s="130" t="n">
        <v>2893800</v>
      </c>
      <c r="F533" s="131" t="s">
        <v>19</v>
      </c>
      <c r="G533" s="130" t="n">
        <v>2900000</v>
      </c>
      <c r="H533" s="131" t="n">
        <v>632</v>
      </c>
      <c r="I533" s="132" t="n">
        <v>0.47</v>
      </c>
      <c r="J533" s="132" t="n">
        <v>0.51</v>
      </c>
      <c r="K533" s="130" t="n">
        <v>27.7051202571014</v>
      </c>
      <c r="L533" s="132" t="n">
        <v>0.51</v>
      </c>
      <c r="M533" s="131" t="s">
        <v>62</v>
      </c>
      <c r="N533" s="133" t="n">
        <v>1.5198489874905</v>
      </c>
      <c r="O533" s="133" t="n">
        <v>27.7051202571014</v>
      </c>
      <c r="P533" s="132" t="n">
        <v>0.006</v>
      </c>
      <c r="Q533" s="131" t="s">
        <v>130</v>
      </c>
      <c r="R533" s="130" t="n">
        <v>75102000</v>
      </c>
      <c r="S533" s="143" t="n">
        <v>0</v>
      </c>
      <c r="T533" s="134" t="n">
        <v>45470.6199372685</v>
      </c>
    </row>
    <row r="534" customFormat="false" ht="39.75" hidden="false" customHeight="true" outlineLevel="0" collapsed="false">
      <c r="B534" s="130" t="n">
        <v>1144154240</v>
      </c>
      <c r="C534" s="131" t="s">
        <v>615</v>
      </c>
      <c r="D534" s="131" t="s">
        <v>135</v>
      </c>
      <c r="E534" s="130" t="n">
        <v>2893800</v>
      </c>
      <c r="F534" s="131" t="s">
        <v>29</v>
      </c>
      <c r="G534" s="130" t="n">
        <v>3000000</v>
      </c>
      <c r="H534" s="131" t="n">
        <v>657</v>
      </c>
      <c r="I534" s="132" t="n">
        <v>0.47</v>
      </c>
      <c r="J534" s="132" t="n">
        <v>0.52</v>
      </c>
      <c r="K534" s="130" t="n">
        <v>22.3982307001175</v>
      </c>
      <c r="L534" s="132" t="n">
        <v>0.52</v>
      </c>
      <c r="M534" s="131" t="s">
        <v>64</v>
      </c>
      <c r="N534" s="133" t="n">
        <v>1.41378878982653</v>
      </c>
      <c r="O534" s="133" t="n">
        <v>22.3982307001175</v>
      </c>
      <c r="P534" s="132" t="n">
        <v>0.0227</v>
      </c>
      <c r="Q534" s="131" t="s">
        <v>130</v>
      </c>
      <c r="R534" s="130" t="n">
        <v>64816000</v>
      </c>
      <c r="S534" s="143" t="n">
        <v>0</v>
      </c>
      <c r="T534" s="134" t="n">
        <v>45470.622481713</v>
      </c>
    </row>
    <row r="535" customFormat="false" ht="39.75" hidden="false" customHeight="true" outlineLevel="0" collapsed="false">
      <c r="B535" s="130" t="n">
        <v>1107075855</v>
      </c>
      <c r="C535" s="131" t="s">
        <v>235</v>
      </c>
      <c r="D535" s="131" t="s">
        <v>135</v>
      </c>
      <c r="E535" s="130" t="n">
        <v>2893800</v>
      </c>
      <c r="F535" s="131" t="s">
        <v>29</v>
      </c>
      <c r="G535" s="130" t="n">
        <v>3500000</v>
      </c>
      <c r="H535" s="131" t="n">
        <v>611</v>
      </c>
      <c r="I535" s="132" t="n">
        <v>0.05</v>
      </c>
      <c r="J535" s="132" t="n">
        <v>0.1</v>
      </c>
      <c r="K535" s="130" t="n">
        <v>0</v>
      </c>
      <c r="L535" s="132" t="n">
        <v>0.1</v>
      </c>
      <c r="M535" s="131" t="s">
        <v>64</v>
      </c>
      <c r="N535" s="133" t="n">
        <v>0.626356693620845</v>
      </c>
      <c r="O535" s="133" t="n">
        <v>0</v>
      </c>
      <c r="P535" s="132" t="n">
        <v>0.0227</v>
      </c>
      <c r="Q535" s="131" t="s">
        <v>130</v>
      </c>
      <c r="R535" s="130" t="n">
        <v>0</v>
      </c>
      <c r="S535" s="143" t="n">
        <v>0</v>
      </c>
      <c r="T535" s="134" t="n">
        <v>45470.6245613426</v>
      </c>
    </row>
    <row r="536" customFormat="false" ht="39.75" hidden="false" customHeight="true" outlineLevel="0" collapsed="false">
      <c r="B536" s="130" t="n">
        <v>1085661067</v>
      </c>
      <c r="C536" s="131" t="s">
        <v>151</v>
      </c>
      <c r="D536" s="131" t="s">
        <v>135</v>
      </c>
      <c r="E536" s="130" t="n">
        <v>2893800</v>
      </c>
      <c r="F536" s="131" t="s">
        <v>29</v>
      </c>
      <c r="G536" s="130" t="n">
        <v>1600000</v>
      </c>
      <c r="H536" s="131" t="n">
        <v>619</v>
      </c>
      <c r="I536" s="132" t="n">
        <v>0.22</v>
      </c>
      <c r="J536" s="132" t="n">
        <v>0.28</v>
      </c>
      <c r="K536" s="130" t="n">
        <v>2.50042400995231</v>
      </c>
      <c r="L536" s="132" t="n">
        <v>0.28</v>
      </c>
      <c r="M536" s="131" t="s">
        <v>64</v>
      </c>
      <c r="N536" s="133" t="n">
        <v>0.845289930195591</v>
      </c>
      <c r="O536" s="133" t="n">
        <v>2.50042400995231</v>
      </c>
      <c r="P536" s="132" t="n">
        <v>0.0227</v>
      </c>
      <c r="Q536" s="131" t="s">
        <v>130</v>
      </c>
      <c r="R536" s="130" t="n">
        <v>4149000</v>
      </c>
      <c r="S536" s="143" t="n">
        <v>0</v>
      </c>
      <c r="T536" s="134" t="n">
        <v>45470.626146875</v>
      </c>
    </row>
    <row r="537" customFormat="false" ht="39.75" hidden="false" customHeight="true" outlineLevel="0" collapsed="false">
      <c r="B537" s="130" t="n">
        <v>1087115616</v>
      </c>
      <c r="C537" s="131" t="s">
        <v>507</v>
      </c>
      <c r="D537" s="131" t="s">
        <v>135</v>
      </c>
      <c r="E537" s="130" t="n">
        <v>1991000</v>
      </c>
      <c r="F537" s="131" t="s">
        <v>16</v>
      </c>
      <c r="G537" s="130" t="n">
        <v>5100000</v>
      </c>
      <c r="H537" s="131" t="n">
        <v>804</v>
      </c>
      <c r="I537" s="132" t="n">
        <v>0.06</v>
      </c>
      <c r="J537" s="132" t="n">
        <v>0.17</v>
      </c>
      <c r="K537" s="130" t="n">
        <v>2.50455549974887</v>
      </c>
      <c r="L537" s="132" t="n">
        <v>0.17</v>
      </c>
      <c r="M537" s="131" t="s">
        <v>62</v>
      </c>
      <c r="N537" s="133" t="n">
        <v>0.667524359618282</v>
      </c>
      <c r="O537" s="133" t="n">
        <v>2.50455549974887</v>
      </c>
      <c r="P537" s="132" t="n">
        <v>0.0199</v>
      </c>
      <c r="Q537" s="131" t="s">
        <v>130</v>
      </c>
      <c r="R537" s="130" t="n">
        <v>4023000</v>
      </c>
      <c r="S537" s="143" t="n">
        <v>0</v>
      </c>
      <c r="T537" s="134" t="n">
        <v>45483.4739436343</v>
      </c>
    </row>
    <row r="538" customFormat="false" ht="39.75" hidden="false" customHeight="true" outlineLevel="0" collapsed="false">
      <c r="B538" s="130" t="n">
        <v>1144126183</v>
      </c>
      <c r="C538" s="131" t="s">
        <v>188</v>
      </c>
      <c r="D538" s="131" t="s">
        <v>135</v>
      </c>
      <c r="E538" s="130" t="n">
        <v>2893800</v>
      </c>
      <c r="F538" s="131" t="s">
        <v>19</v>
      </c>
      <c r="G538" s="130" t="n">
        <v>4900000</v>
      </c>
      <c r="H538" s="131" t="n">
        <v>843</v>
      </c>
      <c r="I538" s="132" t="n">
        <v>0.22</v>
      </c>
      <c r="J538" s="132" t="n">
        <v>0.26</v>
      </c>
      <c r="K538" s="130" t="n">
        <v>3.84545338309489</v>
      </c>
      <c r="L538" s="132" t="n">
        <v>0.26</v>
      </c>
      <c r="M538" s="131" t="s">
        <v>62</v>
      </c>
      <c r="N538" s="133" t="n">
        <v>0.915019697283848</v>
      </c>
      <c r="O538" s="133" t="n">
        <v>3.84545338309489</v>
      </c>
      <c r="P538" s="132" t="n">
        <v>0.006</v>
      </c>
      <c r="Q538" s="131" t="s">
        <v>130</v>
      </c>
      <c r="R538" s="130" t="n">
        <v>5763000</v>
      </c>
      <c r="S538" s="143" t="n">
        <v>0</v>
      </c>
      <c r="T538" s="134" t="n">
        <v>45483.5130002315</v>
      </c>
    </row>
    <row r="539" customFormat="false" ht="39.75" hidden="false" customHeight="true" outlineLevel="0" collapsed="false">
      <c r="B539" s="130" t="n">
        <v>52932360</v>
      </c>
      <c r="C539" s="131" t="s">
        <v>478</v>
      </c>
      <c r="D539" s="131" t="s">
        <v>135</v>
      </c>
      <c r="E539" s="130" t="n">
        <v>4870200</v>
      </c>
      <c r="F539" s="131" t="s">
        <v>14</v>
      </c>
      <c r="G539" s="130" t="n">
        <v>7300000</v>
      </c>
      <c r="H539" s="131" t="n">
        <v>736</v>
      </c>
      <c r="I539" s="132" t="n">
        <v>0.3</v>
      </c>
      <c r="J539" s="132" t="n">
        <v>0.35</v>
      </c>
      <c r="K539" s="130" t="n">
        <v>24.5751252515297</v>
      </c>
      <c r="L539" s="132" t="n">
        <v>0.35</v>
      </c>
      <c r="M539" s="131" t="s">
        <v>64</v>
      </c>
      <c r="N539" s="133" t="n">
        <v>1.27626770974498</v>
      </c>
      <c r="O539" s="133" t="n">
        <v>24.5751252515297</v>
      </c>
      <c r="P539" s="132" t="n">
        <v>0.0199</v>
      </c>
      <c r="Q539" s="131" t="s">
        <v>130</v>
      </c>
      <c r="R539" s="130" t="n">
        <v>114670000</v>
      </c>
      <c r="S539" s="143" t="n">
        <v>0</v>
      </c>
      <c r="T539" s="134" t="n">
        <v>45483.5281615741</v>
      </c>
    </row>
    <row r="540" customFormat="false" ht="39.75" hidden="false" customHeight="true" outlineLevel="0" collapsed="false">
      <c r="B540" s="130" t="n">
        <v>1143934493</v>
      </c>
      <c r="C540" s="131" t="s">
        <v>616</v>
      </c>
      <c r="D540" s="131" t="s">
        <v>135</v>
      </c>
      <c r="E540" s="130" t="n">
        <v>2893800</v>
      </c>
      <c r="F540" s="131" t="s">
        <v>29</v>
      </c>
      <c r="G540" s="130" t="n">
        <v>4000000</v>
      </c>
      <c r="H540" s="131" t="n">
        <v>647</v>
      </c>
      <c r="I540" s="132" t="n">
        <v>0.39</v>
      </c>
      <c r="J540" s="132" t="n">
        <v>0.44</v>
      </c>
      <c r="K540" s="130" t="n">
        <v>22.0345594028613</v>
      </c>
      <c r="L540" s="132" t="n">
        <v>0.44</v>
      </c>
      <c r="M540" s="131" t="s">
        <v>64</v>
      </c>
      <c r="N540" s="133" t="n">
        <v>1.47399958532034</v>
      </c>
      <c r="O540" s="133" t="n">
        <v>22.0345594028613</v>
      </c>
      <c r="P540" s="132" t="n">
        <v>0.0227</v>
      </c>
      <c r="Q540" s="131" t="s">
        <v>130</v>
      </c>
      <c r="R540" s="130" t="n">
        <v>63413000</v>
      </c>
      <c r="S540" s="143" t="n">
        <v>0</v>
      </c>
      <c r="T540" s="134" t="n">
        <v>45483.6414400463</v>
      </c>
    </row>
    <row r="541" customFormat="false" ht="39.75" hidden="false" customHeight="true" outlineLevel="0" collapsed="false">
      <c r="B541" s="130" t="n">
        <v>1130635783</v>
      </c>
      <c r="C541" s="131" t="s">
        <v>202</v>
      </c>
      <c r="D541" s="131" t="s">
        <v>135</v>
      </c>
      <c r="E541" s="130" t="n">
        <v>2080700</v>
      </c>
      <c r="F541" s="131" t="s">
        <v>29</v>
      </c>
      <c r="G541" s="130" t="n">
        <v>800000</v>
      </c>
      <c r="H541" s="131" t="n">
        <v>621</v>
      </c>
      <c r="I541" s="132" t="n">
        <v>0.36</v>
      </c>
      <c r="J541" s="132" t="n">
        <v>0.4</v>
      </c>
      <c r="K541" s="130" t="n">
        <v>12.7051795068967</v>
      </c>
      <c r="L541" s="132" t="n">
        <v>0.4</v>
      </c>
      <c r="M541" s="131" t="s">
        <v>64</v>
      </c>
      <c r="N541" s="133" t="n">
        <v>1.30281539866391</v>
      </c>
      <c r="O541" s="133" t="n">
        <v>12.7051795068967</v>
      </c>
      <c r="P541" s="132" t="n">
        <v>0.0227</v>
      </c>
      <c r="Q541" s="131" t="s">
        <v>130</v>
      </c>
      <c r="R541" s="130" t="n">
        <v>23822000</v>
      </c>
      <c r="S541" s="143" t="n">
        <v>0</v>
      </c>
      <c r="T541" s="134" t="n">
        <v>45483.6467958333</v>
      </c>
    </row>
    <row r="542" customFormat="false" ht="39.75" hidden="false" customHeight="true" outlineLevel="0" collapsed="false">
      <c r="B542" s="130" t="n">
        <v>1111752015</v>
      </c>
      <c r="C542" s="131" t="s">
        <v>470</v>
      </c>
      <c r="D542" s="131" t="s">
        <v>135</v>
      </c>
      <c r="E542" s="130" t="n">
        <v>5418800</v>
      </c>
      <c r="F542" s="131" t="s">
        <v>29</v>
      </c>
      <c r="G542" s="130" t="n">
        <v>3300000</v>
      </c>
      <c r="H542" s="131" t="n">
        <v>606</v>
      </c>
      <c r="I542" s="132" t="n">
        <v>0.32</v>
      </c>
      <c r="J542" s="132" t="n">
        <v>0.35</v>
      </c>
      <c r="K542" s="130" t="n">
        <v>10.4129698457223</v>
      </c>
      <c r="L542" s="132" t="n">
        <v>0.35</v>
      </c>
      <c r="M542" s="131" t="s">
        <v>64</v>
      </c>
      <c r="N542" s="133" t="n">
        <v>0.821694471100613</v>
      </c>
      <c r="O542" s="133" t="n">
        <v>10.4129698457223</v>
      </c>
      <c r="P542" s="132" t="n">
        <v>0.0227</v>
      </c>
      <c r="Q542" s="131" t="s">
        <v>130</v>
      </c>
      <c r="R542" s="130" t="n">
        <v>51152000</v>
      </c>
      <c r="S542" s="143" t="n">
        <v>0</v>
      </c>
      <c r="T542" s="134" t="n">
        <v>45483.6673983796</v>
      </c>
    </row>
    <row r="543" customFormat="false" ht="39.75" hidden="false" customHeight="true" outlineLevel="0" collapsed="false">
      <c r="B543" s="130" t="n">
        <v>1006182264</v>
      </c>
      <c r="C543" s="131" t="s">
        <v>617</v>
      </c>
      <c r="D543" s="131" t="s">
        <v>135</v>
      </c>
      <c r="E543" s="130" t="n">
        <v>1625000</v>
      </c>
      <c r="F543" s="131" t="s">
        <v>29</v>
      </c>
      <c r="G543" s="130" t="n">
        <v>3000000</v>
      </c>
      <c r="H543" s="131" t="n">
        <v>746</v>
      </c>
      <c r="I543" s="132" t="n">
        <v>0.34</v>
      </c>
      <c r="J543" s="132" t="n">
        <v>0.42</v>
      </c>
      <c r="K543" s="130" t="n">
        <v>18.5100313846154</v>
      </c>
      <c r="L543" s="132" t="n">
        <v>0.42</v>
      </c>
      <c r="M543" s="131" t="s">
        <v>64</v>
      </c>
      <c r="N543" s="133" t="n">
        <v>1.23492184615385</v>
      </c>
      <c r="O543" s="133" t="n">
        <v>18.5100313846154</v>
      </c>
      <c r="P543" s="132" t="n">
        <v>0.0227</v>
      </c>
      <c r="Q543" s="131" t="s">
        <v>130</v>
      </c>
      <c r="R543" s="130" t="n">
        <v>29696000</v>
      </c>
      <c r="S543" s="143" t="n">
        <v>0</v>
      </c>
      <c r="T543" s="134" t="n">
        <v>45483.6945184028</v>
      </c>
    </row>
    <row r="544" customFormat="false" ht="39.75" hidden="false" customHeight="true" outlineLevel="0" collapsed="false">
      <c r="B544" s="130" t="n">
        <v>1151944121</v>
      </c>
      <c r="C544" s="131" t="s">
        <v>618</v>
      </c>
      <c r="D544" s="131" t="s">
        <v>135</v>
      </c>
      <c r="E544" s="130" t="n">
        <v>2600900</v>
      </c>
      <c r="F544" s="131" t="s">
        <v>29</v>
      </c>
      <c r="G544" s="130" t="n">
        <v>3600000</v>
      </c>
      <c r="H544" s="131" t="n">
        <v>643</v>
      </c>
      <c r="I544" s="132" t="n">
        <v>0.3</v>
      </c>
      <c r="J544" s="132" t="n">
        <v>0.38</v>
      </c>
      <c r="K544" s="130" t="n">
        <v>29.840439847745</v>
      </c>
      <c r="L544" s="132" t="n">
        <v>0.38</v>
      </c>
      <c r="M544" s="131" t="s">
        <v>64</v>
      </c>
      <c r="N544" s="133" t="n">
        <v>1.32060748202545</v>
      </c>
      <c r="O544" s="133" t="n">
        <v>29.840439847745</v>
      </c>
      <c r="P544" s="132" t="n">
        <v>0.0227</v>
      </c>
      <c r="Q544" s="131" t="s">
        <v>130</v>
      </c>
      <c r="R544" s="130" t="n">
        <v>77612000</v>
      </c>
      <c r="S544" s="143" t="n">
        <v>0</v>
      </c>
      <c r="T544" s="134" t="n">
        <v>45483.7051009259</v>
      </c>
    </row>
    <row r="545" customFormat="false" ht="39.75" hidden="false" customHeight="true" outlineLevel="0" collapsed="false">
      <c r="B545" s="130" t="n">
        <v>1107064750</v>
      </c>
      <c r="C545" s="131" t="s">
        <v>619</v>
      </c>
      <c r="D545" s="131" t="s">
        <v>135</v>
      </c>
      <c r="E545" s="130" t="n">
        <v>1918500</v>
      </c>
      <c r="F545" s="131" t="s">
        <v>29</v>
      </c>
      <c r="G545" s="130" t="n">
        <v>900000</v>
      </c>
      <c r="H545" s="131" t="n">
        <v>611</v>
      </c>
      <c r="I545" s="132" t="n">
        <v>0.44</v>
      </c>
      <c r="J545" s="132" t="n">
        <v>0.47</v>
      </c>
      <c r="K545" s="130" t="n">
        <v>22.2284675527756</v>
      </c>
      <c r="L545" s="132" t="n">
        <v>0.47</v>
      </c>
      <c r="M545" s="131" t="s">
        <v>64</v>
      </c>
      <c r="N545" s="133" t="n">
        <v>3.10587855095126</v>
      </c>
      <c r="O545" s="133" t="n">
        <v>22.2284675527756</v>
      </c>
      <c r="P545" s="132" t="n">
        <v>0.0227</v>
      </c>
      <c r="Q545" s="131" t="s">
        <v>130</v>
      </c>
      <c r="R545" s="130" t="n">
        <v>40384000</v>
      </c>
      <c r="S545" s="143" t="n">
        <v>0</v>
      </c>
      <c r="T545" s="134" t="n">
        <v>45483.711319213</v>
      </c>
    </row>
    <row r="546" customFormat="false" ht="39.75" hidden="false" customHeight="true" outlineLevel="0" collapsed="false">
      <c r="B546" s="130" t="n">
        <v>1130680403</v>
      </c>
      <c r="C546" s="131" t="s">
        <v>462</v>
      </c>
      <c r="D546" s="131" t="s">
        <v>135</v>
      </c>
      <c r="E546" s="130" t="n">
        <v>2893800</v>
      </c>
      <c r="F546" s="131" t="s">
        <v>29</v>
      </c>
      <c r="G546" s="130" t="n">
        <v>3000000</v>
      </c>
      <c r="H546" s="131" t="n">
        <v>719</v>
      </c>
      <c r="I546" s="132" t="n">
        <v>0.16</v>
      </c>
      <c r="J546" s="132" t="n">
        <v>0.23</v>
      </c>
      <c r="K546" s="130" t="n">
        <v>3.97559886654226</v>
      </c>
      <c r="L546" s="132" t="n">
        <v>0.23</v>
      </c>
      <c r="M546" s="131" t="s">
        <v>64</v>
      </c>
      <c r="N546" s="133" t="n">
        <v>1.00480855622365</v>
      </c>
      <c r="O546" s="133" t="n">
        <v>3.97559886654226</v>
      </c>
      <c r="P546" s="132" t="n">
        <v>0.0227</v>
      </c>
      <c r="Q546" s="131" t="s">
        <v>130</v>
      </c>
      <c r="R546" s="130" t="n">
        <v>9377000</v>
      </c>
      <c r="S546" s="143" t="n">
        <v>0</v>
      </c>
      <c r="T546" s="134" t="n">
        <v>45483.724978588</v>
      </c>
    </row>
    <row r="547" customFormat="false" ht="39.75" hidden="false" customHeight="true" outlineLevel="0" collapsed="false">
      <c r="B547" s="130" t="n">
        <v>1116723361</v>
      </c>
      <c r="C547" s="131" t="s">
        <v>620</v>
      </c>
      <c r="D547" s="131" t="s">
        <v>135</v>
      </c>
      <c r="E547" s="130" t="n">
        <v>2600900</v>
      </c>
      <c r="F547" s="131" t="s">
        <v>29</v>
      </c>
      <c r="G547" s="130" t="n">
        <v>3000000</v>
      </c>
      <c r="H547" s="131" t="n">
        <v>838</v>
      </c>
      <c r="I547" s="132" t="n">
        <v>0.12</v>
      </c>
      <c r="J547" s="132" t="n">
        <v>0.19</v>
      </c>
      <c r="K547" s="130" t="n">
        <v>14.6103271944327</v>
      </c>
      <c r="L547" s="132" t="n">
        <v>0.19</v>
      </c>
      <c r="M547" s="131" t="s">
        <v>62</v>
      </c>
      <c r="N547" s="133" t="n">
        <v>1.12298204467684</v>
      </c>
      <c r="O547" s="133" t="n">
        <v>14.6103271944327</v>
      </c>
      <c r="P547" s="132" t="n">
        <v>0.0227</v>
      </c>
      <c r="Q547" s="131" t="s">
        <v>130</v>
      </c>
      <c r="R547" s="130" t="n">
        <v>38000000</v>
      </c>
      <c r="S547" s="143" t="n">
        <v>0</v>
      </c>
      <c r="T547" s="134" t="n">
        <v>45484.3000489583</v>
      </c>
    </row>
    <row r="548" customFormat="false" ht="39.75" hidden="false" customHeight="true" outlineLevel="0" collapsed="false">
      <c r="B548" s="130" t="n">
        <v>1010058582</v>
      </c>
      <c r="C548" s="131" t="s">
        <v>239</v>
      </c>
      <c r="D548" s="131" t="s">
        <v>135</v>
      </c>
      <c r="E548" s="130" t="n">
        <v>1625000</v>
      </c>
      <c r="F548" s="131" t="s">
        <v>19</v>
      </c>
      <c r="G548" s="130" t="n">
        <v>2500000</v>
      </c>
      <c r="H548" s="131" t="n">
        <v>678</v>
      </c>
      <c r="I548" s="132" t="n">
        <v>0.22</v>
      </c>
      <c r="J548" s="132" t="n">
        <v>0.37</v>
      </c>
      <c r="K548" s="130" t="n">
        <v>4.53967323076923</v>
      </c>
      <c r="L548" s="132" t="n">
        <v>0.37</v>
      </c>
      <c r="M548" s="131" t="s">
        <v>64</v>
      </c>
      <c r="N548" s="133" t="n">
        <v>0.98124</v>
      </c>
      <c r="O548" s="133" t="n">
        <v>4.53967323076923</v>
      </c>
      <c r="P548" s="132" t="n">
        <v>0.006</v>
      </c>
      <c r="Q548" s="131" t="s">
        <v>130</v>
      </c>
      <c r="R548" s="130" t="n">
        <v>7190000</v>
      </c>
      <c r="S548" s="143" t="n">
        <v>0</v>
      </c>
      <c r="T548" s="134" t="n">
        <v>45484.686047338</v>
      </c>
    </row>
    <row r="549" customFormat="false" ht="39.75" hidden="false" customHeight="true" outlineLevel="0" collapsed="false">
      <c r="B549" s="130" t="n">
        <v>1143840832</v>
      </c>
      <c r="C549" s="131" t="s">
        <v>621</v>
      </c>
      <c r="D549" s="131" t="s">
        <v>135</v>
      </c>
      <c r="E549" s="130" t="n">
        <v>2893800</v>
      </c>
      <c r="F549" s="131" t="s">
        <v>19</v>
      </c>
      <c r="G549" s="130" t="n">
        <v>2980000</v>
      </c>
      <c r="H549" s="131" t="n">
        <v>846</v>
      </c>
      <c r="I549" s="132" t="n">
        <v>0.13</v>
      </c>
      <c r="J549" s="132" t="n">
        <v>0.23</v>
      </c>
      <c r="K549" s="130" t="n">
        <v>32.9532103117009</v>
      </c>
      <c r="L549" s="132" t="n">
        <v>0.23</v>
      </c>
      <c r="M549" s="131" t="s">
        <v>62</v>
      </c>
      <c r="N549" s="133" t="n">
        <v>1.46078547238925</v>
      </c>
      <c r="O549" s="133" t="n">
        <v>32.9532103117009</v>
      </c>
      <c r="P549" s="132" t="n">
        <v>0.006</v>
      </c>
      <c r="Q549" s="131" t="s">
        <v>130</v>
      </c>
      <c r="R549" s="130" t="n">
        <v>95360000</v>
      </c>
      <c r="S549" s="143" t="n">
        <v>0</v>
      </c>
      <c r="T549" s="134" t="n">
        <v>45484.714378125</v>
      </c>
    </row>
    <row r="550" customFormat="false" ht="39.75" hidden="false" customHeight="true" outlineLevel="0" collapsed="false">
      <c r="B550" s="130" t="n">
        <v>1062312895</v>
      </c>
      <c r="C550" s="131" t="s">
        <v>175</v>
      </c>
      <c r="D550" s="131" t="s">
        <v>135</v>
      </c>
      <c r="E550" s="130" t="n">
        <v>2600900</v>
      </c>
      <c r="F550" s="131" t="s">
        <v>29</v>
      </c>
      <c r="G550" s="130" t="n">
        <v>2500000</v>
      </c>
      <c r="H550" s="131" t="n">
        <v>701</v>
      </c>
      <c r="I550" s="132" t="n">
        <v>0.52</v>
      </c>
      <c r="J550" s="132" t="n">
        <v>0.56</v>
      </c>
      <c r="K550" s="130" t="n">
        <v>16.017165212042</v>
      </c>
      <c r="L550" s="132" t="n">
        <v>0.56</v>
      </c>
      <c r="M550" s="131" t="s">
        <v>64</v>
      </c>
      <c r="N550" s="133" t="n">
        <v>1.6053089315237</v>
      </c>
      <c r="O550" s="133" t="n">
        <v>16.017165212042</v>
      </c>
      <c r="P550" s="132" t="n">
        <v>0.006</v>
      </c>
      <c r="Q550" s="131" t="s">
        <v>130</v>
      </c>
      <c r="R550" s="130" t="n">
        <v>40026000</v>
      </c>
      <c r="S550" s="143" t="n">
        <v>0</v>
      </c>
      <c r="T550" s="134" t="n">
        <v>45484.7387534722</v>
      </c>
    </row>
    <row r="551" customFormat="false" ht="39.75" hidden="false" customHeight="true" outlineLevel="0" collapsed="false">
      <c r="B551" s="130" t="n">
        <v>1144168040</v>
      </c>
      <c r="C551" s="131" t="s">
        <v>280</v>
      </c>
      <c r="D551" s="131" t="s">
        <v>135</v>
      </c>
      <c r="E551" s="130" t="n">
        <v>2893800</v>
      </c>
      <c r="F551" s="131" t="s">
        <v>29</v>
      </c>
      <c r="G551" s="130" t="n">
        <v>500000</v>
      </c>
      <c r="H551" s="131" t="n">
        <v>747</v>
      </c>
      <c r="I551" s="132" t="n">
        <v>0.49</v>
      </c>
      <c r="J551" s="132" t="n">
        <v>0.5</v>
      </c>
      <c r="K551" s="130" t="n">
        <v>16.1566673577994</v>
      </c>
      <c r="L551" s="132" t="n">
        <v>0.5</v>
      </c>
      <c r="M551" s="131" t="s">
        <v>64</v>
      </c>
      <c r="N551" s="133" t="n">
        <v>1.81154399060059</v>
      </c>
      <c r="O551" s="133" t="n">
        <v>16.1566673577994</v>
      </c>
      <c r="P551" s="132" t="n">
        <v>0.0227</v>
      </c>
      <c r="Q551" s="131" t="s">
        <v>130</v>
      </c>
      <c r="R551" s="130" t="n">
        <v>44205000</v>
      </c>
      <c r="S551" s="143" t="n">
        <v>0</v>
      </c>
      <c r="T551" s="134" t="n">
        <v>45484.7640168981</v>
      </c>
    </row>
    <row r="552" customFormat="false" ht="39.75" hidden="false" customHeight="true" outlineLevel="0" collapsed="false">
      <c r="B552" s="130" t="n">
        <v>1113514976</v>
      </c>
      <c r="C552" s="131" t="s">
        <v>410</v>
      </c>
      <c r="D552" s="131" t="s">
        <v>135</v>
      </c>
      <c r="E552" s="130" t="n">
        <v>1625000</v>
      </c>
      <c r="F552" s="131" t="s">
        <v>29</v>
      </c>
      <c r="G552" s="130" t="n">
        <v>800000</v>
      </c>
      <c r="H552" s="131" t="n">
        <v>629</v>
      </c>
      <c r="I552" s="132" t="n">
        <v>0.2</v>
      </c>
      <c r="J552" s="132" t="n">
        <v>0.25</v>
      </c>
      <c r="K552" s="130" t="n">
        <v>1.66599076923077</v>
      </c>
      <c r="L552" s="132" t="n">
        <v>0.25</v>
      </c>
      <c r="M552" s="131" t="s">
        <v>64</v>
      </c>
      <c r="N552" s="133" t="n">
        <v>0.865860307692308</v>
      </c>
      <c r="O552" s="133" t="n">
        <v>1.66599076923077</v>
      </c>
      <c r="P552" s="132" t="n">
        <v>0.0227</v>
      </c>
      <c r="Q552" s="131" t="s">
        <v>130</v>
      </c>
      <c r="R552" s="130" t="n">
        <v>0</v>
      </c>
      <c r="S552" s="143" t="n">
        <v>0</v>
      </c>
      <c r="T552" s="134" t="n">
        <v>45485.384537963</v>
      </c>
    </row>
    <row r="553" customFormat="false" ht="39.75" hidden="false" customHeight="true" outlineLevel="0" collapsed="false">
      <c r="B553" s="130" t="n">
        <v>1144179107</v>
      </c>
      <c r="C553" s="131" t="s">
        <v>169</v>
      </c>
      <c r="D553" s="131" t="s">
        <v>135</v>
      </c>
      <c r="E553" s="130" t="n">
        <v>2893800</v>
      </c>
      <c r="F553" s="131" t="s">
        <v>29</v>
      </c>
      <c r="G553" s="130" t="n">
        <v>930000</v>
      </c>
      <c r="H553" s="131" t="n">
        <v>603</v>
      </c>
      <c r="I553" s="132" t="n">
        <v>0.28</v>
      </c>
      <c r="J553" s="132" t="n">
        <v>0.31</v>
      </c>
      <c r="K553" s="130" t="n">
        <v>8.54516932752782</v>
      </c>
      <c r="L553" s="132" t="n">
        <v>0.31</v>
      </c>
      <c r="M553" s="131" t="s">
        <v>64</v>
      </c>
      <c r="N553" s="133" t="n">
        <v>1.11346568525814</v>
      </c>
      <c r="O553" s="133" t="n">
        <v>8.54516932752782</v>
      </c>
      <c r="P553" s="132" t="n">
        <v>0.0227</v>
      </c>
      <c r="Q553" s="131" t="s">
        <v>130</v>
      </c>
      <c r="R553" s="130" t="n">
        <v>20590000</v>
      </c>
      <c r="S553" s="143" t="n">
        <v>0</v>
      </c>
      <c r="T553" s="134" t="n">
        <v>45485.4097613426</v>
      </c>
    </row>
    <row r="554" customFormat="false" ht="39.75" hidden="false" customHeight="true" outlineLevel="0" collapsed="false">
      <c r="B554" s="130" t="n">
        <v>1130628345</v>
      </c>
      <c r="C554" s="131" t="s">
        <v>622</v>
      </c>
      <c r="D554" s="131" t="s">
        <v>135</v>
      </c>
      <c r="E554" s="130" t="n">
        <v>1991000</v>
      </c>
      <c r="F554" s="131" t="s">
        <v>29</v>
      </c>
      <c r="G554" s="130" t="n">
        <v>3000000</v>
      </c>
      <c r="H554" s="131" t="n">
        <v>675</v>
      </c>
      <c r="I554" s="132" t="n">
        <v>0.2</v>
      </c>
      <c r="J554" s="132" t="n">
        <v>0.35</v>
      </c>
      <c r="K554" s="130" t="n">
        <v>1.67917930688096</v>
      </c>
      <c r="L554" s="132" t="n">
        <v>0.35</v>
      </c>
      <c r="M554" s="131" t="s">
        <v>64</v>
      </c>
      <c r="N554" s="133" t="n">
        <v>1.80188247112004</v>
      </c>
      <c r="O554" s="133" t="n">
        <v>1.67917930688096</v>
      </c>
      <c r="P554" s="132" t="n">
        <v>0.0227</v>
      </c>
      <c r="Q554" s="131" t="s">
        <v>130</v>
      </c>
      <c r="R554" s="130" t="n">
        <v>2559000</v>
      </c>
      <c r="S554" s="143" t="n">
        <v>0</v>
      </c>
      <c r="T554" s="134" t="n">
        <v>45485.4250152778</v>
      </c>
    </row>
    <row r="555" customFormat="false" ht="39.75" hidden="false" customHeight="true" outlineLevel="0" collapsed="false">
      <c r="B555" s="130" t="n">
        <v>29507012</v>
      </c>
      <c r="C555" s="131" t="s">
        <v>623</v>
      </c>
      <c r="D555" s="131" t="s">
        <v>135</v>
      </c>
      <c r="E555" s="130" t="n">
        <v>4870200</v>
      </c>
      <c r="F555" s="131" t="s">
        <v>29</v>
      </c>
      <c r="G555" s="130" t="n">
        <v>4000000</v>
      </c>
      <c r="H555" s="131" t="n">
        <v>686</v>
      </c>
      <c r="I555" s="132" t="n">
        <v>0.4</v>
      </c>
      <c r="J555" s="132" t="n">
        <v>0.43</v>
      </c>
      <c r="K555" s="130" t="n">
        <v>0.132884275799762</v>
      </c>
      <c r="L555" s="132" t="n">
        <v>0.43</v>
      </c>
      <c r="M555" s="131" t="s">
        <v>64</v>
      </c>
      <c r="N555" s="133" t="n">
        <v>3.09407847726993</v>
      </c>
      <c r="O555" s="133" t="n">
        <v>0.132884275799762</v>
      </c>
      <c r="P555" s="132" t="n">
        <v>0.0227</v>
      </c>
      <c r="Q555" s="131" t="s">
        <v>130</v>
      </c>
      <c r="R555" s="130" t="n">
        <v>183421</v>
      </c>
      <c r="S555" s="143" t="n">
        <v>0</v>
      </c>
      <c r="T555" s="134" t="n">
        <v>45485.4406983796</v>
      </c>
    </row>
    <row r="556" customFormat="false" ht="39.75" hidden="false" customHeight="true" outlineLevel="0" collapsed="false">
      <c r="B556" s="130" t="n">
        <v>1060590276</v>
      </c>
      <c r="C556" s="131" t="s">
        <v>624</v>
      </c>
      <c r="D556" s="131" t="s">
        <v>135</v>
      </c>
      <c r="E556" s="130" t="n">
        <v>4870200</v>
      </c>
      <c r="F556" s="131" t="s">
        <v>29</v>
      </c>
      <c r="G556" s="130" t="n">
        <v>2600000</v>
      </c>
      <c r="H556" s="131" t="n">
        <v>611</v>
      </c>
      <c r="I556" s="132" t="n">
        <v>0.05</v>
      </c>
      <c r="J556" s="132" t="n">
        <v>0.1</v>
      </c>
      <c r="K556" s="130" t="n">
        <v>33.5318814422406</v>
      </c>
      <c r="L556" s="132" t="n">
        <v>0.1</v>
      </c>
      <c r="M556" s="131" t="s">
        <v>64</v>
      </c>
      <c r="N556" s="133" t="n">
        <v>0.621654962835202</v>
      </c>
      <c r="O556" s="133" t="n">
        <v>33.5318814422406</v>
      </c>
      <c r="P556" s="132" t="n">
        <v>0.0227</v>
      </c>
      <c r="Q556" s="131" t="s">
        <v>130</v>
      </c>
      <c r="R556" s="130" t="n">
        <v>163120000</v>
      </c>
      <c r="S556" s="143" t="n">
        <v>0</v>
      </c>
      <c r="T556" s="134" t="n">
        <v>45485.4579232639</v>
      </c>
    </row>
    <row r="557" customFormat="false" ht="39.75" hidden="false" customHeight="true" outlineLevel="0" collapsed="false">
      <c r="B557" s="130" t="n">
        <v>1150934479</v>
      </c>
      <c r="C557" s="131" t="s">
        <v>625</v>
      </c>
      <c r="D557" s="131" t="s">
        <v>135</v>
      </c>
      <c r="E557" s="130" t="n">
        <v>1670000</v>
      </c>
      <c r="F557" s="131" t="s">
        <v>29</v>
      </c>
      <c r="G557" s="130" t="n">
        <v>1670000</v>
      </c>
      <c r="H557" s="131" t="n">
        <v>704</v>
      </c>
      <c r="I557" s="132" t="n">
        <v>0.11</v>
      </c>
      <c r="J557" s="132" t="n">
        <v>0.15</v>
      </c>
      <c r="K557" s="130" t="n">
        <v>21.9730419161677</v>
      </c>
      <c r="L557" s="132" t="n">
        <v>0.15</v>
      </c>
      <c r="M557" s="131" t="s">
        <v>64</v>
      </c>
      <c r="N557" s="133" t="n">
        <v>1.42758682634731</v>
      </c>
      <c r="O557" s="133" t="n">
        <v>21.9730419161677</v>
      </c>
      <c r="P557" s="132" t="n">
        <v>0.0227</v>
      </c>
      <c r="Q557" s="131" t="s">
        <v>130</v>
      </c>
      <c r="R557" s="130" t="n">
        <v>34900000</v>
      </c>
      <c r="S557" s="143" t="n">
        <v>0</v>
      </c>
      <c r="T557" s="134" t="n">
        <v>45485.4658609954</v>
      </c>
    </row>
    <row r="558" customFormat="false" ht="39.75" hidden="false" customHeight="true" outlineLevel="0" collapsed="false">
      <c r="B558" s="130" t="n">
        <v>94492338</v>
      </c>
      <c r="C558" s="131" t="s">
        <v>138</v>
      </c>
      <c r="D558" s="131" t="s">
        <v>135</v>
      </c>
      <c r="E558" s="130" t="n">
        <v>10237200</v>
      </c>
      <c r="F558" s="131" t="s">
        <v>29</v>
      </c>
      <c r="G558" s="130" t="n">
        <v>4000000</v>
      </c>
      <c r="H558" s="131" t="n">
        <v>815</v>
      </c>
      <c r="I558" s="132" t="n">
        <v>0.18</v>
      </c>
      <c r="J558" s="132" t="n">
        <v>0.2</v>
      </c>
      <c r="K558" s="130" t="n">
        <v>3.07576182940648</v>
      </c>
      <c r="L558" s="132" t="n">
        <v>0.2</v>
      </c>
      <c r="M558" s="131" t="s">
        <v>61</v>
      </c>
      <c r="N558" s="133" t="n">
        <v>0.720947036298988</v>
      </c>
      <c r="O558" s="133" t="n">
        <v>3.07576182940648</v>
      </c>
      <c r="P558" s="132" t="n">
        <v>0.0227</v>
      </c>
      <c r="Q558" s="131" t="s">
        <v>130</v>
      </c>
      <c r="R558" s="130" t="n">
        <v>19501000</v>
      </c>
      <c r="S558" s="143" t="n">
        <v>0</v>
      </c>
      <c r="T558" s="134" t="n">
        <v>45485.4698175926</v>
      </c>
    </row>
    <row r="559" customFormat="false" ht="39.75" hidden="false" customHeight="true" outlineLevel="0" collapsed="false">
      <c r="B559" s="130" t="n">
        <v>1151949440</v>
      </c>
      <c r="C559" s="131" t="s">
        <v>626</v>
      </c>
      <c r="D559" s="131" t="s">
        <v>135</v>
      </c>
      <c r="E559" s="130" t="n">
        <v>2600900</v>
      </c>
      <c r="F559" s="131" t="s">
        <v>29</v>
      </c>
      <c r="G559" s="130" t="n">
        <v>1500000</v>
      </c>
      <c r="H559" s="131" t="n">
        <v>806</v>
      </c>
      <c r="I559" s="132" t="n">
        <v>0.22</v>
      </c>
      <c r="J559" s="132" t="n">
        <v>0.28</v>
      </c>
      <c r="K559" s="130" t="n">
        <v>21.722084278519</v>
      </c>
      <c r="L559" s="132" t="n">
        <v>0.28</v>
      </c>
      <c r="M559" s="131" t="s">
        <v>62</v>
      </c>
      <c r="N559" s="133" t="n">
        <v>1.22674920219924</v>
      </c>
      <c r="O559" s="133" t="n">
        <v>21.722084278519</v>
      </c>
      <c r="P559" s="132" t="n">
        <v>0.0227</v>
      </c>
      <c r="Q559" s="131" t="s">
        <v>130</v>
      </c>
      <c r="R559" s="130" t="n">
        <v>56310000</v>
      </c>
      <c r="S559" s="143" t="n">
        <v>0</v>
      </c>
      <c r="T559" s="134" t="n">
        <v>45485.4715560185</v>
      </c>
    </row>
    <row r="560" customFormat="false" ht="39.75" hidden="false" customHeight="true" outlineLevel="0" collapsed="false">
      <c r="B560" s="130" t="n">
        <v>31322862</v>
      </c>
      <c r="C560" s="131" t="s">
        <v>627</v>
      </c>
      <c r="D560" s="131" t="s">
        <v>135</v>
      </c>
      <c r="E560" s="130" t="n">
        <v>1991000</v>
      </c>
      <c r="F560" s="131" t="s">
        <v>29</v>
      </c>
      <c r="G560" s="130" t="n">
        <v>4000000</v>
      </c>
      <c r="H560" s="131" t="n">
        <v>747</v>
      </c>
      <c r="I560" s="132" t="n">
        <v>0.06</v>
      </c>
      <c r="J560" s="132" t="n">
        <v>0.13</v>
      </c>
      <c r="K560" s="130" t="n">
        <v>1.06479156202913</v>
      </c>
      <c r="L560" s="132" t="n">
        <v>0.13</v>
      </c>
      <c r="M560" s="131" t="s">
        <v>64</v>
      </c>
      <c r="N560" s="133" t="n">
        <v>0.710093922651934</v>
      </c>
      <c r="O560" s="133" t="n">
        <v>1.06479156202913</v>
      </c>
      <c r="P560" s="132" t="n">
        <v>0.0227</v>
      </c>
      <c r="Q560" s="131" t="s">
        <v>130</v>
      </c>
      <c r="R560" s="130" t="n">
        <v>2120000</v>
      </c>
      <c r="S560" s="143" t="n">
        <v>0</v>
      </c>
      <c r="T560" s="134" t="n">
        <v>45485.4801696759</v>
      </c>
    </row>
    <row r="561" customFormat="false" ht="39.75" hidden="false" customHeight="true" outlineLevel="0" collapsed="false">
      <c r="B561" s="130" t="n">
        <v>94193459</v>
      </c>
      <c r="C561" s="131" t="s">
        <v>628</v>
      </c>
      <c r="D561" s="131" t="s">
        <v>135</v>
      </c>
      <c r="E561" s="130" t="n">
        <v>2893900</v>
      </c>
      <c r="F561" s="131" t="s">
        <v>28</v>
      </c>
      <c r="G561" s="130" t="n">
        <v>1344591</v>
      </c>
      <c r="H561" s="131" t="n">
        <v>846</v>
      </c>
      <c r="I561" s="132" t="n">
        <v>0.31</v>
      </c>
      <c r="J561" s="132" t="n">
        <v>0.36</v>
      </c>
      <c r="K561" s="130" t="n">
        <v>30.1164518469885</v>
      </c>
      <c r="L561" s="132" t="n">
        <v>0.36</v>
      </c>
      <c r="M561" s="131" t="s">
        <v>62</v>
      </c>
      <c r="N561" s="133" t="n">
        <v>1.42959777462939</v>
      </c>
      <c r="O561" s="133" t="n">
        <v>30.1164518469885</v>
      </c>
      <c r="P561" s="132" t="n">
        <v>0.015</v>
      </c>
      <c r="Q561" s="131" t="s">
        <v>130</v>
      </c>
      <c r="R561" s="130" t="n">
        <v>87154000</v>
      </c>
      <c r="S561" s="143" t="n">
        <v>0</v>
      </c>
      <c r="T561" s="134" t="n">
        <v>45485.4878200232</v>
      </c>
    </row>
    <row r="562" customFormat="false" ht="39.75" hidden="false" customHeight="true" outlineLevel="0" collapsed="false">
      <c r="B562" s="130" t="n">
        <v>1116261599</v>
      </c>
      <c r="C562" s="131" t="s">
        <v>302</v>
      </c>
      <c r="D562" s="131" t="s">
        <v>135</v>
      </c>
      <c r="E562" s="130" t="n">
        <v>5291000</v>
      </c>
      <c r="F562" s="131" t="s">
        <v>11</v>
      </c>
      <c r="G562" s="130" t="n">
        <v>8890000</v>
      </c>
      <c r="H562" s="131" t="n">
        <v>731</v>
      </c>
      <c r="I562" s="132" t="n">
        <v>0.3</v>
      </c>
      <c r="J562" s="132" t="n">
        <v>0.35</v>
      </c>
      <c r="K562" s="130" t="n">
        <v>3.82391816291816</v>
      </c>
      <c r="L562" s="132" t="n">
        <v>0.35</v>
      </c>
      <c r="M562" s="131" t="s">
        <v>64</v>
      </c>
      <c r="N562" s="133" t="n">
        <v>0.963840483840484</v>
      </c>
      <c r="O562" s="133" t="n">
        <v>3.82391816291816</v>
      </c>
      <c r="P562" s="132" t="n">
        <v>0.0167</v>
      </c>
      <c r="Q562" s="131" t="s">
        <v>130</v>
      </c>
      <c r="R562" s="130" t="n">
        <v>17278000</v>
      </c>
      <c r="S562" s="143" t="s">
        <v>629</v>
      </c>
      <c r="T562" s="134" t="n">
        <v>45490.335333912</v>
      </c>
    </row>
    <row r="563" customFormat="false" ht="39.75" hidden="false" customHeight="true" outlineLevel="0" collapsed="false">
      <c r="B563" s="130" t="n">
        <v>1130589547</v>
      </c>
      <c r="C563" s="131" t="s">
        <v>630</v>
      </c>
      <c r="D563" s="131" t="s">
        <v>135</v>
      </c>
      <c r="E563" s="130" t="n">
        <v>2893800</v>
      </c>
      <c r="F563" s="131" t="s">
        <v>14</v>
      </c>
      <c r="G563" s="130" t="n">
        <v>7000000</v>
      </c>
      <c r="H563" s="131" t="n">
        <v>809</v>
      </c>
      <c r="I563" s="132" t="n">
        <v>0.1</v>
      </c>
      <c r="J563" s="132" t="n">
        <v>0.2</v>
      </c>
      <c r="K563" s="130" t="n">
        <v>1.09768263183358</v>
      </c>
      <c r="L563" s="132" t="n">
        <v>0.2</v>
      </c>
      <c r="M563" s="131" t="s">
        <v>62</v>
      </c>
      <c r="N563" s="133" t="n">
        <v>1.12415439906006</v>
      </c>
      <c r="O563" s="133" t="n">
        <v>1.09768263183358</v>
      </c>
      <c r="P563" s="132" t="n">
        <v>0.0199</v>
      </c>
      <c r="Q563" s="131" t="s">
        <v>130</v>
      </c>
      <c r="R563" s="130" t="n">
        <v>3101000</v>
      </c>
      <c r="S563" s="143" t="s">
        <v>631</v>
      </c>
      <c r="T563" s="134" t="n">
        <v>45490.3721219907</v>
      </c>
    </row>
    <row r="564" customFormat="false" ht="39.75" hidden="false" customHeight="true" outlineLevel="0" collapsed="false">
      <c r="B564" s="130" t="n">
        <v>1130602580</v>
      </c>
      <c r="C564" s="131" t="s">
        <v>632</v>
      </c>
      <c r="D564" s="131" t="s">
        <v>135</v>
      </c>
      <c r="E564" s="130" t="n">
        <v>2893800</v>
      </c>
      <c r="F564" s="131" t="s">
        <v>14</v>
      </c>
      <c r="G564" s="130" t="n">
        <v>7840000</v>
      </c>
      <c r="H564" s="131" t="n">
        <v>921</v>
      </c>
      <c r="I564" s="132" t="n">
        <v>0.2</v>
      </c>
      <c r="J564" s="132" t="n">
        <v>0.28</v>
      </c>
      <c r="K564" s="130" t="n">
        <v>32.682178104914</v>
      </c>
      <c r="L564" s="132" t="n">
        <v>0.28</v>
      </c>
      <c r="M564" s="131" t="s">
        <v>62</v>
      </c>
      <c r="N564" s="133" t="n">
        <v>1.26766086115143</v>
      </c>
      <c r="O564" s="133" t="n">
        <v>32.682178104914</v>
      </c>
      <c r="P564" s="132" t="n">
        <v>0.0199</v>
      </c>
      <c r="Q564" s="131" t="s">
        <v>130</v>
      </c>
      <c r="R564" s="130" t="n">
        <v>94188000</v>
      </c>
      <c r="S564" s="143" t="n">
        <v>0</v>
      </c>
      <c r="T564" s="134" t="n">
        <v>45490.3941394676</v>
      </c>
    </row>
    <row r="565" customFormat="false" ht="39.75" hidden="false" customHeight="true" outlineLevel="0" collapsed="false">
      <c r="B565" s="130" t="n">
        <v>1143840552</v>
      </c>
      <c r="C565" s="131" t="s">
        <v>344</v>
      </c>
      <c r="D565" s="131" t="s">
        <v>135</v>
      </c>
      <c r="E565" s="130" t="n">
        <v>2893800</v>
      </c>
      <c r="F565" s="131" t="s">
        <v>14</v>
      </c>
      <c r="G565" s="130" t="n">
        <v>11000000</v>
      </c>
      <c r="H565" s="131" t="n">
        <v>824</v>
      </c>
      <c r="I565" s="132" t="n">
        <v>0.21</v>
      </c>
      <c r="J565" s="132" t="n">
        <v>0.33</v>
      </c>
      <c r="K565" s="130" t="n">
        <v>7.42338482272445</v>
      </c>
      <c r="L565" s="132" t="n">
        <v>0.33</v>
      </c>
      <c r="M565" s="131" t="s">
        <v>62</v>
      </c>
      <c r="N565" s="133" t="n">
        <v>1.11208549312323</v>
      </c>
      <c r="O565" s="133" t="n">
        <v>7.42338482272445</v>
      </c>
      <c r="P565" s="132" t="n">
        <v>0.0199</v>
      </c>
      <c r="Q565" s="131" t="s">
        <v>130</v>
      </c>
      <c r="R565" s="130" t="n">
        <v>17740000</v>
      </c>
      <c r="S565" s="143" t="s">
        <v>633</v>
      </c>
      <c r="T565" s="134" t="n">
        <v>45490.4180363426</v>
      </c>
    </row>
    <row r="566" customFormat="false" ht="39.75" hidden="false" customHeight="true" outlineLevel="0" collapsed="false">
      <c r="B566" s="130" t="n">
        <v>1114832698</v>
      </c>
      <c r="C566" s="131" t="s">
        <v>634</v>
      </c>
      <c r="D566" s="131" t="s">
        <v>135</v>
      </c>
      <c r="E566" s="130" t="n">
        <v>5418800</v>
      </c>
      <c r="F566" s="131" t="s">
        <v>19</v>
      </c>
      <c r="G566" s="130" t="n">
        <v>5000000</v>
      </c>
      <c r="H566" s="131" t="n">
        <v>787</v>
      </c>
      <c r="I566" s="132" t="n">
        <v>0.19</v>
      </c>
      <c r="J566" s="132" t="n">
        <v>0.23</v>
      </c>
      <c r="K566" s="130" t="n">
        <v>0.189525356167417</v>
      </c>
      <c r="L566" s="132" t="n">
        <v>0.23</v>
      </c>
      <c r="M566" s="131" t="s">
        <v>64</v>
      </c>
      <c r="N566" s="133" t="n">
        <v>0.669716173322507</v>
      </c>
      <c r="O566" s="133" t="n">
        <v>0.189525356167417</v>
      </c>
      <c r="P566" s="132" t="n">
        <v>0.006</v>
      </c>
      <c r="Q566" s="131" t="s">
        <v>130</v>
      </c>
      <c r="R566" s="130" t="n">
        <v>1027000</v>
      </c>
      <c r="S566" s="143" t="n">
        <v>0</v>
      </c>
      <c r="T566" s="134" t="n">
        <v>45490.4462679398</v>
      </c>
    </row>
    <row r="567" customFormat="false" ht="39.75" hidden="false" customHeight="true" outlineLevel="0" collapsed="false">
      <c r="B567" s="130" t="n">
        <v>1107045504</v>
      </c>
      <c r="C567" s="131" t="s">
        <v>635</v>
      </c>
      <c r="D567" s="131" t="s">
        <v>135</v>
      </c>
      <c r="E567" s="130" t="n">
        <v>4469100</v>
      </c>
      <c r="F567" s="131" t="s">
        <v>14</v>
      </c>
      <c r="G567" s="130" t="n">
        <v>550000</v>
      </c>
      <c r="H567" s="131" t="n">
        <v>598</v>
      </c>
      <c r="I567" s="132" t="n">
        <v>0.25</v>
      </c>
      <c r="J567" s="132" t="n">
        <v>0.26</v>
      </c>
      <c r="K567" s="130" t="n">
        <v>53.0215882392428</v>
      </c>
      <c r="L567" s="132" t="n">
        <v>0.26</v>
      </c>
      <c r="M567" s="131" t="s">
        <v>64</v>
      </c>
      <c r="N567" s="133" t="n">
        <v>3.061783356828</v>
      </c>
      <c r="O567" s="133" t="n">
        <v>53.0215882392428</v>
      </c>
      <c r="P567" s="132" t="n">
        <v>0.0199</v>
      </c>
      <c r="Q567" s="131" t="s">
        <v>130</v>
      </c>
      <c r="R567" s="130" t="n">
        <v>233318000</v>
      </c>
      <c r="S567" s="143" t="n">
        <v>0</v>
      </c>
      <c r="T567" s="134" t="n">
        <v>45491.6156364583</v>
      </c>
    </row>
    <row r="568" customFormat="false" ht="39.75" hidden="false" customHeight="true" outlineLevel="0" collapsed="false">
      <c r="B568" s="130" t="n">
        <v>1144063824</v>
      </c>
      <c r="C568" s="131" t="s">
        <v>412</v>
      </c>
      <c r="D568" s="131" t="s">
        <v>135</v>
      </c>
      <c r="E568" s="130" t="n">
        <v>2893800</v>
      </c>
      <c r="F568" s="131" t="s">
        <v>14</v>
      </c>
      <c r="G568" s="130" t="n">
        <v>1300000</v>
      </c>
      <c r="H568" s="131" t="n">
        <v>621</v>
      </c>
      <c r="I568" s="132" t="n">
        <v>0.41</v>
      </c>
      <c r="J568" s="132" t="n">
        <v>0.43</v>
      </c>
      <c r="K568" s="130" t="n">
        <v>19.9379770543922</v>
      </c>
      <c r="L568" s="132" t="n">
        <v>0.43</v>
      </c>
      <c r="M568" s="131" t="s">
        <v>64</v>
      </c>
      <c r="N568" s="133" t="n">
        <v>1.84171193586288</v>
      </c>
      <c r="O568" s="133" t="n">
        <v>19.9379770543922</v>
      </c>
      <c r="P568" s="132" t="n">
        <v>0.0227</v>
      </c>
      <c r="Q568" s="131" t="s">
        <v>130</v>
      </c>
      <c r="R568" s="130" t="n">
        <v>53406000</v>
      </c>
      <c r="S568" s="143" t="n">
        <v>0</v>
      </c>
      <c r="T568" s="134" t="n">
        <v>45491.6323927083</v>
      </c>
    </row>
    <row r="569" customFormat="false" ht="39.75" hidden="false" customHeight="true" outlineLevel="0" collapsed="false">
      <c r="B569" s="130" t="n">
        <v>66949976</v>
      </c>
      <c r="C569" s="131" t="s">
        <v>257</v>
      </c>
      <c r="D569" s="131" t="s">
        <v>135</v>
      </c>
      <c r="E569" s="130" t="n">
        <v>2893800</v>
      </c>
      <c r="F569" s="131" t="s">
        <v>14</v>
      </c>
      <c r="G569" s="130" t="n">
        <v>2500000</v>
      </c>
      <c r="H569" s="131" t="n">
        <v>886</v>
      </c>
      <c r="I569" s="132" t="n">
        <v>0.44</v>
      </c>
      <c r="J569" s="132" t="n">
        <v>0.47</v>
      </c>
      <c r="K569" s="130" t="n">
        <v>8.98632317368167</v>
      </c>
      <c r="L569" s="132" t="n">
        <v>0.47</v>
      </c>
      <c r="M569" s="131" t="s">
        <v>62</v>
      </c>
      <c r="N569" s="133" t="n">
        <v>1.27663833022324</v>
      </c>
      <c r="O569" s="133" t="n">
        <v>8.98632317368167</v>
      </c>
      <c r="P569" s="132" t="n">
        <v>0.0217</v>
      </c>
      <c r="Q569" s="131" t="s">
        <v>130</v>
      </c>
      <c r="R569" s="130" t="n">
        <v>22257000</v>
      </c>
      <c r="S569" s="143" t="s">
        <v>636</v>
      </c>
      <c r="T569" s="134" t="n">
        <v>45491.6496653935</v>
      </c>
    </row>
    <row r="570" customFormat="false" ht="39.75" hidden="false" customHeight="true" outlineLevel="0" collapsed="false">
      <c r="B570" s="130" t="n">
        <v>66974280</v>
      </c>
      <c r="C570" s="131" t="s">
        <v>446</v>
      </c>
      <c r="D570" s="131" t="s">
        <v>135</v>
      </c>
      <c r="E570" s="130" t="n">
        <v>1991000</v>
      </c>
      <c r="F570" s="131" t="s">
        <v>14</v>
      </c>
      <c r="G570" s="130" t="n">
        <v>2500000</v>
      </c>
      <c r="H570" s="131" t="n">
        <v>726</v>
      </c>
      <c r="I570" s="132" t="n">
        <v>0.33</v>
      </c>
      <c r="K570" s="130" t="n">
        <v>7.29645253641386</v>
      </c>
      <c r="M570" s="131" t="s">
        <v>64</v>
      </c>
      <c r="N570" s="133" t="n">
        <v>1.89239477649422</v>
      </c>
      <c r="O570" s="133" t="n">
        <v>7.29645253641386</v>
      </c>
      <c r="P570" s="132" t="n">
        <v>0.0227</v>
      </c>
      <c r="Q570" s="131" t="s">
        <v>130</v>
      </c>
      <c r="R570" s="130" t="n">
        <v>8920000</v>
      </c>
      <c r="S570" s="143" t="n">
        <v>0</v>
      </c>
      <c r="T570" s="134" t="n">
        <v>45491.669602662</v>
      </c>
    </row>
    <row r="571" customFormat="false" ht="39.75" hidden="false" customHeight="true" outlineLevel="0" collapsed="false">
      <c r="B571" s="130" t="n">
        <v>94516656</v>
      </c>
      <c r="C571" s="131" t="s">
        <v>380</v>
      </c>
      <c r="D571" s="131" t="s">
        <v>135</v>
      </c>
      <c r="E571" s="130" t="n">
        <v>5679200</v>
      </c>
      <c r="F571" s="131" t="s">
        <v>14</v>
      </c>
      <c r="G571" s="130" t="n">
        <v>2000000</v>
      </c>
      <c r="H571" s="131" t="n">
        <v>724</v>
      </c>
      <c r="I571" s="132" t="n">
        <v>0.35</v>
      </c>
      <c r="J571" s="132" t="n">
        <v>0.37</v>
      </c>
      <c r="K571" s="130" t="n">
        <v>10.1013160304268</v>
      </c>
      <c r="L571" s="132" t="n">
        <v>0.37</v>
      </c>
      <c r="M571" s="131" t="s">
        <v>64</v>
      </c>
      <c r="N571" s="133" t="n">
        <v>1.06453285674039</v>
      </c>
      <c r="O571" s="133" t="n">
        <v>10.1013160304268</v>
      </c>
      <c r="P571" s="132" t="n">
        <v>0.0217</v>
      </c>
      <c r="Q571" s="131" t="s">
        <v>130</v>
      </c>
      <c r="R571" s="130" t="n">
        <v>48060000</v>
      </c>
      <c r="S571" s="143" t="n">
        <v>0</v>
      </c>
      <c r="T571" s="134" t="n">
        <v>45491.6810027778</v>
      </c>
    </row>
    <row r="572" customFormat="false" ht="39.75" hidden="false" customHeight="true" outlineLevel="0" collapsed="false">
      <c r="B572" s="130" t="n">
        <v>1144193830</v>
      </c>
      <c r="C572" s="131" t="s">
        <v>301</v>
      </c>
      <c r="D572" s="131" t="s">
        <v>135</v>
      </c>
      <c r="E572" s="130" t="n">
        <v>2893800</v>
      </c>
      <c r="F572" s="131" t="s">
        <v>14</v>
      </c>
      <c r="G572" s="130" t="n">
        <v>1300000</v>
      </c>
      <c r="H572" s="131" t="n">
        <v>747</v>
      </c>
      <c r="I572" s="132" t="n">
        <v>0.17</v>
      </c>
      <c r="J572" s="132" t="n">
        <v>0.22</v>
      </c>
      <c r="K572" s="130" t="n">
        <v>3.01070599212109</v>
      </c>
      <c r="L572" s="132" t="n">
        <v>0.22</v>
      </c>
      <c r="M572" s="131" t="s">
        <v>64</v>
      </c>
      <c r="N572" s="133" t="n">
        <v>0.810649319234225</v>
      </c>
      <c r="O572" s="133" t="n">
        <v>3.01070599212109</v>
      </c>
      <c r="P572" s="132" t="n">
        <v>0.0217</v>
      </c>
      <c r="Q572" s="131" t="s">
        <v>130</v>
      </c>
      <c r="R572" s="130" t="n">
        <v>5700000</v>
      </c>
      <c r="S572" s="143" t="n">
        <v>0</v>
      </c>
      <c r="T572" s="134" t="n">
        <v>45491.6923795139</v>
      </c>
    </row>
    <row r="573" customFormat="false" ht="39.75" hidden="false" customHeight="true" outlineLevel="0" collapsed="false">
      <c r="B573" s="130" t="n">
        <v>1012413660</v>
      </c>
      <c r="C573" s="131" t="s">
        <v>637</v>
      </c>
      <c r="D573" s="131" t="s">
        <v>158</v>
      </c>
      <c r="E573" s="130" t="n">
        <v>2893800</v>
      </c>
      <c r="F573" s="131" t="s">
        <v>14</v>
      </c>
      <c r="G573" s="130" t="n">
        <v>2000000</v>
      </c>
      <c r="H573" s="131" t="n">
        <v>762</v>
      </c>
      <c r="I573" s="132" t="n">
        <v>0.06</v>
      </c>
      <c r="J573" s="132" t="n">
        <v>0.13</v>
      </c>
      <c r="K573" s="130" t="n">
        <v>2.45421245421245</v>
      </c>
      <c r="L573" s="132" t="n">
        <v>0.13</v>
      </c>
      <c r="M573" s="131" t="s">
        <v>64</v>
      </c>
      <c r="N573" s="133" t="n">
        <v>0.745393945676965</v>
      </c>
      <c r="O573" s="133" t="n">
        <v>2.45421245421245</v>
      </c>
      <c r="P573" s="132" t="n">
        <v>0.0217</v>
      </c>
      <c r="Q573" s="131" t="s">
        <v>130</v>
      </c>
      <c r="R573" s="130" t="n">
        <v>7102000</v>
      </c>
      <c r="S573" s="143" t="n">
        <v>0</v>
      </c>
      <c r="T573" s="134" t="n">
        <v>45491.7122702546</v>
      </c>
    </row>
    <row r="574" customFormat="false" ht="39.75" hidden="false" customHeight="true" outlineLevel="0" collapsed="false">
      <c r="B574" s="130" t="n">
        <v>1144139342</v>
      </c>
      <c r="C574" s="131" t="s">
        <v>638</v>
      </c>
      <c r="D574" s="131" t="s">
        <v>135</v>
      </c>
      <c r="E574" s="130" t="n">
        <v>3496700</v>
      </c>
      <c r="F574" s="131" t="s">
        <v>8</v>
      </c>
      <c r="G574" s="130" t="n">
        <v>11100000</v>
      </c>
      <c r="H574" s="131" t="n">
        <v>712</v>
      </c>
      <c r="I574" s="132" t="n">
        <v>0.05</v>
      </c>
      <c r="J574" s="132" t="n">
        <v>0.15</v>
      </c>
      <c r="K574" s="130" t="n">
        <v>3.67317756742071</v>
      </c>
      <c r="L574" s="132" t="n">
        <v>0.15</v>
      </c>
      <c r="M574" s="131" t="s">
        <v>64</v>
      </c>
      <c r="N574" s="133" t="n">
        <v>1.57821889209826</v>
      </c>
      <c r="O574" s="133" t="n">
        <v>3.67317756742071</v>
      </c>
      <c r="P574" s="132" t="n">
        <v>0.018</v>
      </c>
      <c r="Q574" s="131" t="s">
        <v>130</v>
      </c>
      <c r="R574" s="130" t="n">
        <v>12844000</v>
      </c>
      <c r="S574" s="143" t="n">
        <v>0</v>
      </c>
      <c r="T574" s="134" t="n">
        <v>45497.3176396991</v>
      </c>
    </row>
    <row r="575" customFormat="false" ht="39.75" hidden="false" customHeight="true" outlineLevel="0" collapsed="false">
      <c r="B575" s="130" t="n">
        <v>1144139342</v>
      </c>
      <c r="C575" s="131" t="s">
        <v>638</v>
      </c>
      <c r="D575" s="131" t="s">
        <v>135</v>
      </c>
      <c r="E575" s="130" t="n">
        <v>3496700</v>
      </c>
      <c r="F575" s="131" t="s">
        <v>17</v>
      </c>
      <c r="G575" s="130" t="n">
        <v>11100000</v>
      </c>
      <c r="H575" s="131" t="n">
        <v>712</v>
      </c>
      <c r="I575" s="132" t="n">
        <v>0.05</v>
      </c>
      <c r="J575" s="132" t="n">
        <v>0.15</v>
      </c>
      <c r="K575" s="130" t="n">
        <v>3.67317756742071</v>
      </c>
      <c r="L575" s="132" t="n">
        <v>0.15</v>
      </c>
      <c r="M575" s="131" t="s">
        <v>64</v>
      </c>
      <c r="N575" s="133" t="n">
        <v>1.26029656533303</v>
      </c>
      <c r="O575" s="133" t="n">
        <v>3.67317756742071</v>
      </c>
      <c r="P575" s="132" t="n">
        <v>0.018</v>
      </c>
      <c r="Q575" s="131" t="s">
        <v>130</v>
      </c>
      <c r="R575" s="130" t="n">
        <v>12844000</v>
      </c>
      <c r="S575" s="143" t="s">
        <v>311</v>
      </c>
      <c r="T575" s="134" t="n">
        <v>45497.4423931713</v>
      </c>
    </row>
    <row r="576" customFormat="false" ht="39.75" hidden="false" customHeight="true" outlineLevel="0" collapsed="false">
      <c r="B576" s="130" t="n">
        <v>38873740</v>
      </c>
      <c r="C576" s="131" t="s">
        <v>167</v>
      </c>
      <c r="D576" s="131" t="s">
        <v>135</v>
      </c>
      <c r="E576" s="130" t="n">
        <v>2893800</v>
      </c>
      <c r="F576" s="131" t="s">
        <v>22</v>
      </c>
      <c r="G576" s="130" t="n">
        <v>7000000</v>
      </c>
      <c r="H576" s="131" t="n">
        <v>976</v>
      </c>
      <c r="I576" s="132" t="n">
        <v>0.3</v>
      </c>
      <c r="J576" s="132" t="n">
        <v>0.33</v>
      </c>
      <c r="K576" s="130" t="n">
        <v>2.19028301886792</v>
      </c>
      <c r="L576" s="132" t="n">
        <v>0.33</v>
      </c>
      <c r="M576" s="131" t="s">
        <v>61</v>
      </c>
      <c r="N576" s="133" t="n">
        <v>0.891434100490704</v>
      </c>
      <c r="O576" s="133" t="n">
        <v>2.19028301886792</v>
      </c>
      <c r="P576" s="132" t="n">
        <v>0.0107</v>
      </c>
      <c r="Q576" s="131" t="s">
        <v>130</v>
      </c>
      <c r="R576" s="130" t="n">
        <v>928000</v>
      </c>
      <c r="S576" s="143" t="n">
        <v>0</v>
      </c>
      <c r="T576" s="134" t="n">
        <v>45497.4464034722</v>
      </c>
    </row>
    <row r="577" customFormat="false" ht="39.75" hidden="false" customHeight="true" outlineLevel="0" collapsed="false">
      <c r="B577" s="130" t="n">
        <v>1107510180</v>
      </c>
      <c r="C577" s="131" t="s">
        <v>639</v>
      </c>
      <c r="D577" s="131" t="s">
        <v>135</v>
      </c>
      <c r="E577" s="130" t="n">
        <v>1828100</v>
      </c>
      <c r="F577" s="131" t="s">
        <v>17</v>
      </c>
      <c r="G577" s="130" t="n">
        <v>8166000</v>
      </c>
      <c r="H577" s="131" t="n">
        <v>695</v>
      </c>
      <c r="I577" s="132" t="n">
        <v>0.16</v>
      </c>
      <c r="J577" s="132" t="n">
        <v>0.29</v>
      </c>
      <c r="K577" s="130" t="n">
        <v>2.01118428969969</v>
      </c>
      <c r="L577" s="132" t="n">
        <v>0.29</v>
      </c>
      <c r="M577" s="131" t="s">
        <v>64</v>
      </c>
      <c r="N577" s="133" t="n">
        <v>1.98352989442591</v>
      </c>
      <c r="O577" s="133" t="n">
        <v>2.01118428969969</v>
      </c>
      <c r="P577" s="132" t="n">
        <v>0.017</v>
      </c>
      <c r="Q577" s="131" t="s">
        <v>130</v>
      </c>
      <c r="R577" s="130" t="n">
        <v>1850000</v>
      </c>
      <c r="S577" s="143" t="s">
        <v>640</v>
      </c>
      <c r="T577" s="134" t="n">
        <v>45497.4478778935</v>
      </c>
    </row>
    <row r="578" customFormat="false" ht="39.75" hidden="false" customHeight="true" outlineLevel="0" collapsed="false">
      <c r="B578" s="130" t="n">
        <v>1144135850</v>
      </c>
      <c r="C578" s="131" t="s">
        <v>576</v>
      </c>
      <c r="D578" s="131" t="s">
        <v>135</v>
      </c>
      <c r="E578" s="130" t="n">
        <v>2315000</v>
      </c>
      <c r="F578" s="131" t="s">
        <v>29</v>
      </c>
      <c r="G578" s="130" t="n">
        <v>1000000</v>
      </c>
      <c r="H578" s="131" t="n">
        <v>343</v>
      </c>
      <c r="I578" s="132" t="n">
        <v>0.3</v>
      </c>
      <c r="J578" s="132" t="n">
        <v>0.34</v>
      </c>
      <c r="K578" s="130" t="n">
        <v>20.4879943844492</v>
      </c>
      <c r="L578" s="132" t="n">
        <v>0.34</v>
      </c>
      <c r="M578" s="131" t="s">
        <v>64</v>
      </c>
      <c r="N578" s="133" t="n">
        <v>1.304513174946</v>
      </c>
      <c r="O578" s="133" t="n">
        <v>20.4879943844492</v>
      </c>
      <c r="P578" s="132" t="n">
        <v>0.017</v>
      </c>
      <c r="Q578" s="131" t="s">
        <v>130</v>
      </c>
      <c r="R578" s="130" t="n">
        <v>45913000</v>
      </c>
      <c r="S578" s="143" t="n">
        <v>0</v>
      </c>
      <c r="T578" s="134" t="n">
        <v>45498.5568872685</v>
      </c>
    </row>
    <row r="579" customFormat="false" ht="39.75" hidden="false" customHeight="true" outlineLevel="0" collapsed="false">
      <c r="B579" s="130" t="n">
        <v>1006172329</v>
      </c>
      <c r="C579" s="131" t="s">
        <v>641</v>
      </c>
      <c r="D579" s="131" t="s">
        <v>135</v>
      </c>
      <c r="E579" s="130" t="n">
        <v>2080700</v>
      </c>
      <c r="F579" s="131" t="s">
        <v>29</v>
      </c>
      <c r="G579" s="130" t="n">
        <v>2500000</v>
      </c>
      <c r="H579" s="131" t="n">
        <v>639</v>
      </c>
      <c r="I579" s="132" t="n">
        <v>0.09</v>
      </c>
      <c r="J579" s="132" t="n">
        <v>0.14</v>
      </c>
      <c r="K579" s="130" t="n">
        <v>15.6312928341424</v>
      </c>
      <c r="L579" s="132" t="n">
        <v>0.14</v>
      </c>
      <c r="M579" s="131" t="s">
        <v>64</v>
      </c>
      <c r="N579" s="133" t="n">
        <v>0.979940404671505</v>
      </c>
      <c r="O579" s="133" t="n">
        <v>15.6312928341424</v>
      </c>
      <c r="P579" s="132" t="n">
        <v>0.0217</v>
      </c>
      <c r="Q579" s="131" t="s">
        <v>130</v>
      </c>
      <c r="R579" s="130" t="n">
        <v>32000000</v>
      </c>
      <c r="S579" s="143" t="n">
        <v>0</v>
      </c>
      <c r="T579" s="134" t="n">
        <v>45499.5998376157</v>
      </c>
    </row>
    <row r="580" customFormat="false" ht="39.75" hidden="false" customHeight="true" outlineLevel="0" collapsed="false">
      <c r="B580" s="130" t="n">
        <v>1006814476</v>
      </c>
      <c r="C580" s="131" t="s">
        <v>642</v>
      </c>
      <c r="D580" s="131" t="s">
        <v>135</v>
      </c>
      <c r="E580" s="130" t="n">
        <v>1625000</v>
      </c>
      <c r="F580" s="131" t="s">
        <v>29</v>
      </c>
      <c r="G580" s="130" t="n">
        <v>850000</v>
      </c>
      <c r="H580" s="131" t="n">
        <v>577</v>
      </c>
      <c r="I580" s="132" t="n">
        <v>0.07</v>
      </c>
      <c r="J580" s="132" t="n">
        <v>0.12</v>
      </c>
      <c r="K580" s="130" t="n">
        <v>0</v>
      </c>
      <c r="L580" s="132" t="n">
        <v>0.12</v>
      </c>
      <c r="M580" s="131" t="s">
        <v>64</v>
      </c>
      <c r="N580" s="133" t="n">
        <v>0.640625846153846</v>
      </c>
      <c r="O580" s="133" t="n">
        <v>0</v>
      </c>
      <c r="P580" s="132" t="n">
        <v>0.0217</v>
      </c>
      <c r="Q580" s="131" t="s">
        <v>130</v>
      </c>
      <c r="R580" s="130" t="n">
        <v>0</v>
      </c>
      <c r="S580" s="143" t="n">
        <v>0</v>
      </c>
      <c r="T580" s="134" t="n">
        <v>45499.6211648148</v>
      </c>
    </row>
    <row r="581" customFormat="false" ht="39.75" hidden="false" customHeight="true" outlineLevel="0" collapsed="false">
      <c r="B581" s="130" t="n">
        <v>67026475</v>
      </c>
      <c r="C581" s="131" t="s">
        <v>643</v>
      </c>
      <c r="D581" s="131" t="s">
        <v>135</v>
      </c>
      <c r="E581" s="130" t="n">
        <v>2893800</v>
      </c>
      <c r="F581" s="131" t="s">
        <v>8</v>
      </c>
      <c r="G581" s="130" t="n">
        <v>1913417</v>
      </c>
      <c r="H581" s="131" t="n">
        <v>637</v>
      </c>
      <c r="I581" s="132" t="n">
        <v>0.04</v>
      </c>
      <c r="J581" s="132" t="n">
        <v>0.11</v>
      </c>
      <c r="K581" s="130" t="n">
        <v>0</v>
      </c>
      <c r="L581" s="132" t="n">
        <v>0.11</v>
      </c>
      <c r="M581" s="131" t="s">
        <v>64</v>
      </c>
      <c r="N581" s="133" t="n">
        <v>0.652574815121985</v>
      </c>
      <c r="O581" s="133" t="n">
        <v>0</v>
      </c>
      <c r="P581" s="132" t="n">
        <v>0.018</v>
      </c>
      <c r="Q581" s="131" t="s">
        <v>130</v>
      </c>
      <c r="R581" s="130" t="n">
        <v>0</v>
      </c>
      <c r="S581" s="143" t="n">
        <v>0</v>
      </c>
      <c r="T581" s="134" t="n">
        <v>45499.6359083333</v>
      </c>
    </row>
    <row r="582" customFormat="false" ht="39.75" hidden="false" customHeight="true" outlineLevel="0" collapsed="false">
      <c r="B582" s="130" t="n">
        <v>1144189605</v>
      </c>
      <c r="C582" s="131" t="s">
        <v>248</v>
      </c>
      <c r="D582" s="131" t="s">
        <v>135</v>
      </c>
      <c r="E582" s="130" t="n">
        <v>2600900</v>
      </c>
      <c r="F582" s="131" t="s">
        <v>29</v>
      </c>
      <c r="G582" s="130" t="n">
        <v>2000000</v>
      </c>
      <c r="H582" s="131" t="n">
        <v>640</v>
      </c>
      <c r="I582" s="132" t="n">
        <v>0.11</v>
      </c>
      <c r="J582" s="132" t="n">
        <v>0.13</v>
      </c>
      <c r="K582" s="130" t="n">
        <v>3.38158329808912</v>
      </c>
      <c r="L582" s="132" t="n">
        <v>0.13</v>
      </c>
      <c r="M582" s="131" t="s">
        <v>64</v>
      </c>
      <c r="N582" s="133" t="n">
        <v>1.11889576684994</v>
      </c>
      <c r="O582" s="133" t="n">
        <v>3.38158329808912</v>
      </c>
      <c r="P582" s="132" t="n">
        <v>0.018</v>
      </c>
      <c r="Q582" s="131" t="s">
        <v>130</v>
      </c>
      <c r="R582" s="130" t="n">
        <v>1522000</v>
      </c>
      <c r="S582" s="143" t="n">
        <v>0</v>
      </c>
      <c r="T582" s="134" t="n">
        <v>45499.638702662</v>
      </c>
    </row>
    <row r="583" customFormat="false" ht="39.75" hidden="false" customHeight="true" outlineLevel="0" collapsed="false">
      <c r="B583" s="130" t="n">
        <v>1130622606</v>
      </c>
      <c r="C583" s="131" t="s">
        <v>644</v>
      </c>
      <c r="D583" s="131" t="s">
        <v>135</v>
      </c>
      <c r="E583" s="130" t="n">
        <v>2600900</v>
      </c>
      <c r="F583" s="131" t="s">
        <v>29</v>
      </c>
      <c r="G583" s="130" t="n">
        <v>3600000</v>
      </c>
      <c r="H583" s="131" t="n">
        <v>515</v>
      </c>
      <c r="I583" s="132" t="n">
        <v>0.05</v>
      </c>
      <c r="J583" s="132" t="n">
        <v>0.13</v>
      </c>
      <c r="K583" s="130" t="n">
        <v>3.33538390557115</v>
      </c>
      <c r="L583" s="132" t="n">
        <v>0.13</v>
      </c>
      <c r="M583" s="131" t="s">
        <v>64</v>
      </c>
      <c r="N583" s="133" t="n">
        <v>0.803621438732746</v>
      </c>
      <c r="O583" s="133" t="n">
        <v>3.33538390557115</v>
      </c>
      <c r="P583" s="132" t="n">
        <v>0.0217</v>
      </c>
      <c r="Q583" s="131" t="s">
        <v>130</v>
      </c>
      <c r="R583" s="130" t="n">
        <v>8675000</v>
      </c>
      <c r="S583" s="143" t="n">
        <v>0</v>
      </c>
      <c r="T583" s="134" t="n">
        <v>45502.6276902778</v>
      </c>
    </row>
    <row r="584" customFormat="false" ht="39.75" hidden="false" customHeight="true" outlineLevel="0" collapsed="false">
      <c r="B584" s="130" t="n">
        <v>67031395</v>
      </c>
      <c r="C584" s="131" t="s">
        <v>343</v>
      </c>
      <c r="D584" s="131" t="s">
        <v>135</v>
      </c>
      <c r="E584" s="130" t="n">
        <v>2340800</v>
      </c>
      <c r="F584" s="131" t="s">
        <v>29</v>
      </c>
      <c r="G584" s="130" t="n">
        <v>2400000</v>
      </c>
      <c r="H584" s="131" t="n">
        <v>686</v>
      </c>
      <c r="I584" s="132" t="n">
        <v>0.32</v>
      </c>
      <c r="J584" s="132" t="n">
        <v>0.38</v>
      </c>
      <c r="K584" s="130" t="n">
        <v>1.15504827409433</v>
      </c>
      <c r="L584" s="132" t="n">
        <v>0.38</v>
      </c>
      <c r="M584" s="131" t="s">
        <v>64</v>
      </c>
      <c r="N584" s="133" t="n">
        <v>0.95555023923445</v>
      </c>
      <c r="O584" s="133" t="n">
        <v>1.15504827409433</v>
      </c>
      <c r="P584" s="132" t="n">
        <v>0.0217</v>
      </c>
      <c r="Q584" s="131" t="s">
        <v>130</v>
      </c>
      <c r="R584" s="130" t="n">
        <v>344000</v>
      </c>
      <c r="S584" s="143" t="n">
        <v>0</v>
      </c>
      <c r="T584" s="134" t="n">
        <v>45503.5771648148</v>
      </c>
    </row>
    <row r="585" customFormat="false" ht="39.75" hidden="false" customHeight="true" outlineLevel="0" collapsed="false">
      <c r="B585" s="130" t="n">
        <v>1130640687</v>
      </c>
      <c r="C585" s="131" t="s">
        <v>281</v>
      </c>
      <c r="D585" s="131" t="s">
        <v>135</v>
      </c>
      <c r="E585" s="130" t="n">
        <v>2893800</v>
      </c>
      <c r="F585" s="131" t="s">
        <v>29</v>
      </c>
      <c r="G585" s="130" t="n">
        <v>1000000</v>
      </c>
      <c r="H585" s="131" t="n">
        <v>726</v>
      </c>
      <c r="I585" s="132" t="n">
        <v>0.12</v>
      </c>
      <c r="J585" s="132" t="n">
        <v>0.15</v>
      </c>
      <c r="K585" s="130" t="n">
        <v>1.30839518971594</v>
      </c>
      <c r="L585" s="132" t="n">
        <v>0.15</v>
      </c>
      <c r="M585" s="131" t="s">
        <v>62</v>
      </c>
      <c r="N585" s="133" t="n">
        <v>0.686979749809939</v>
      </c>
      <c r="O585" s="133" t="n">
        <v>1.30839518971594</v>
      </c>
      <c r="P585" s="132" t="n">
        <v>0.0217</v>
      </c>
      <c r="Q585" s="131" t="s">
        <v>130</v>
      </c>
      <c r="R585" s="130" t="n">
        <v>0</v>
      </c>
      <c r="S585" s="143" t="n">
        <v>0</v>
      </c>
      <c r="T585" s="134" t="n">
        <v>45503.5793271991</v>
      </c>
    </row>
    <row r="586" customFormat="false" ht="39.75" hidden="false" customHeight="true" outlineLevel="0" collapsed="false">
      <c r="B586" s="130" t="n">
        <v>1144057759</v>
      </c>
      <c r="C586" s="131" t="s">
        <v>645</v>
      </c>
      <c r="D586" s="131" t="s">
        <v>135</v>
      </c>
      <c r="E586" s="130" t="n">
        <v>1625000</v>
      </c>
      <c r="F586" s="131" t="s">
        <v>29</v>
      </c>
      <c r="G586" s="130" t="n">
        <v>3600000</v>
      </c>
      <c r="H586" s="131" t="n">
        <v>665</v>
      </c>
      <c r="I586" s="132" t="n">
        <v>0.19</v>
      </c>
      <c r="J586" s="132" t="n">
        <v>0.29</v>
      </c>
      <c r="K586" s="130" t="n">
        <v>1.05812184615385</v>
      </c>
      <c r="L586" s="132" t="n">
        <v>0.29</v>
      </c>
      <c r="M586" s="131" t="s">
        <v>64</v>
      </c>
      <c r="N586" s="133" t="n">
        <v>1.45554338461538</v>
      </c>
      <c r="O586" s="133" t="n">
        <v>1.05812184615385</v>
      </c>
      <c r="P586" s="132" t="n">
        <v>0.0217</v>
      </c>
      <c r="Q586" s="131" t="s">
        <v>130</v>
      </c>
      <c r="R586" s="130" t="n">
        <v>927000</v>
      </c>
      <c r="S586" s="143" t="n">
        <v>0</v>
      </c>
      <c r="T586" s="134" t="n">
        <v>45503.5868519676</v>
      </c>
    </row>
    <row r="587" customFormat="false" ht="39.75" hidden="false" customHeight="true" outlineLevel="0" collapsed="false">
      <c r="B587" s="130" t="n">
        <v>1144057759</v>
      </c>
      <c r="C587" s="131" t="s">
        <v>645</v>
      </c>
      <c r="D587" s="131" t="s">
        <v>135</v>
      </c>
      <c r="E587" s="130" t="n">
        <v>1625000</v>
      </c>
      <c r="F587" s="131" t="s">
        <v>29</v>
      </c>
      <c r="G587" s="130" t="n">
        <v>2700000</v>
      </c>
      <c r="H587" s="131" t="n">
        <v>665</v>
      </c>
      <c r="I587" s="132" t="n">
        <v>0.07</v>
      </c>
      <c r="J587" s="132" t="n">
        <v>0.16</v>
      </c>
      <c r="K587" s="130" t="n">
        <v>0.107076923076923</v>
      </c>
      <c r="L587" s="132" t="n">
        <v>0.16</v>
      </c>
      <c r="M587" s="131" t="s">
        <v>64</v>
      </c>
      <c r="N587" s="133" t="n">
        <v>0.744195076923077</v>
      </c>
      <c r="O587" s="133" t="n">
        <v>0.107076923076923</v>
      </c>
      <c r="P587" s="132" t="n">
        <v>0.0217</v>
      </c>
      <c r="Q587" s="131" t="s">
        <v>130</v>
      </c>
      <c r="R587" s="130" t="n">
        <v>174000</v>
      </c>
      <c r="S587" s="143" t="n">
        <v>0</v>
      </c>
      <c r="T587" s="134" t="n">
        <v>45503.5899252315</v>
      </c>
    </row>
    <row r="588" customFormat="false" ht="39.75" hidden="false" customHeight="true" outlineLevel="0" collapsed="false">
      <c r="B588" s="130" t="n">
        <v>29679168</v>
      </c>
      <c r="C588" s="131" t="s">
        <v>646</v>
      </c>
      <c r="D588" s="131" t="s">
        <v>135</v>
      </c>
      <c r="E588" s="130" t="n">
        <v>2893800</v>
      </c>
      <c r="F588" s="131" t="s">
        <v>29</v>
      </c>
      <c r="G588" s="130" t="n">
        <v>2500000</v>
      </c>
      <c r="H588" s="131" t="n">
        <v>710</v>
      </c>
      <c r="I588" s="132" t="n">
        <v>0.4</v>
      </c>
      <c r="J588" s="132" t="n">
        <v>0.43</v>
      </c>
      <c r="K588" s="130" t="n">
        <v>7.11002833644343</v>
      </c>
      <c r="L588" s="132" t="n">
        <v>0.43</v>
      </c>
      <c r="M588" s="131" t="s">
        <v>64</v>
      </c>
      <c r="N588" s="133" t="n">
        <v>1.20755339000622</v>
      </c>
      <c r="O588" s="133" t="n">
        <v>7.11002833644343</v>
      </c>
      <c r="P588" s="132" t="n">
        <v>0.0217</v>
      </c>
      <c r="Q588" s="131" t="s">
        <v>130</v>
      </c>
      <c r="R588" s="130" t="n">
        <v>20575000</v>
      </c>
      <c r="S588" s="143" t="n">
        <v>0</v>
      </c>
      <c r="T588" s="134" t="n">
        <v>45503.5929204861</v>
      </c>
    </row>
    <row r="589" customFormat="false" ht="39.75" hidden="false" customHeight="true" outlineLevel="0" collapsed="false">
      <c r="B589" s="130" t="n">
        <v>1143844901</v>
      </c>
      <c r="C589" s="131" t="s">
        <v>647</v>
      </c>
      <c r="D589" s="131" t="s">
        <v>135</v>
      </c>
      <c r="E589" s="130" t="n">
        <v>1992178</v>
      </c>
      <c r="F589" s="131" t="s">
        <v>29</v>
      </c>
      <c r="G589" s="130" t="n">
        <v>1500000</v>
      </c>
      <c r="H589" s="131" t="n">
        <v>818</v>
      </c>
      <c r="I589" s="132" t="n">
        <v>0.07</v>
      </c>
      <c r="J589" s="132" t="n">
        <v>0.14</v>
      </c>
      <c r="K589" s="130" t="n">
        <v>0</v>
      </c>
      <c r="L589" s="132" t="n">
        <v>0.14</v>
      </c>
      <c r="M589" s="131" t="s">
        <v>62</v>
      </c>
      <c r="N589" s="133" t="n">
        <v>0.641348433724296</v>
      </c>
      <c r="O589" s="133" t="n">
        <v>0</v>
      </c>
      <c r="P589" s="132" t="n">
        <v>0.0217</v>
      </c>
      <c r="Q589" s="131" t="s">
        <v>130</v>
      </c>
      <c r="R589" s="130" t="n">
        <v>0</v>
      </c>
      <c r="S589" s="143" t="n">
        <v>0</v>
      </c>
      <c r="T589" s="134" t="n">
        <v>45503.594041088</v>
      </c>
    </row>
    <row r="590" customFormat="false" ht="39.75" hidden="false" customHeight="true" outlineLevel="0" collapsed="false">
      <c r="B590" s="130" t="n">
        <v>1144103604</v>
      </c>
      <c r="C590" s="131" t="s">
        <v>648</v>
      </c>
      <c r="D590" s="131" t="s">
        <v>135</v>
      </c>
      <c r="E590" s="130" t="n">
        <v>2600900</v>
      </c>
      <c r="F590" s="131" t="s">
        <v>29</v>
      </c>
      <c r="G590" s="130" t="n">
        <v>1500000</v>
      </c>
      <c r="H590" s="131" t="n">
        <v>797</v>
      </c>
      <c r="I590" s="132" t="n">
        <v>0.13</v>
      </c>
      <c r="J590" s="132" t="n">
        <v>0.19</v>
      </c>
      <c r="K590" s="130" t="n">
        <v>0.571475643046638</v>
      </c>
      <c r="L590" s="132" t="n">
        <v>0.19</v>
      </c>
      <c r="M590" s="131" t="s">
        <v>62</v>
      </c>
      <c r="N590" s="133" t="n">
        <v>0.58</v>
      </c>
      <c r="O590" s="133" t="n">
        <v>0.571475643046638</v>
      </c>
      <c r="P590" s="132" t="n">
        <v>0.0217</v>
      </c>
      <c r="Q590" s="131" t="s">
        <v>130</v>
      </c>
      <c r="R590" s="130" t="n">
        <v>635000</v>
      </c>
      <c r="S590" s="143" t="n">
        <v>0</v>
      </c>
      <c r="T590" s="134" t="n">
        <v>45503.5994430556</v>
      </c>
    </row>
    <row r="591" customFormat="false" ht="39.75" hidden="false" customHeight="true" outlineLevel="0" collapsed="false">
      <c r="B591" s="130" t="n">
        <v>1059906715</v>
      </c>
      <c r="C591" s="131" t="s">
        <v>240</v>
      </c>
      <c r="D591" s="131" t="s">
        <v>135</v>
      </c>
      <c r="E591" s="130" t="n">
        <v>1991000</v>
      </c>
      <c r="F591" s="131" t="s">
        <v>29</v>
      </c>
      <c r="G591" s="130" t="n">
        <v>500000</v>
      </c>
      <c r="H591" s="131" t="n">
        <v>821</v>
      </c>
      <c r="I591" s="132" t="n">
        <v>0.18</v>
      </c>
      <c r="J591" s="132" t="n">
        <v>0.21</v>
      </c>
      <c r="K591" s="130" t="n">
        <v>2.83073832245103</v>
      </c>
      <c r="L591" s="132" t="n">
        <v>0.21</v>
      </c>
      <c r="M591" s="131" t="s">
        <v>62</v>
      </c>
      <c r="N591" s="133" t="n">
        <v>0.814927172275239</v>
      </c>
      <c r="O591" s="133" t="n">
        <v>2.83073832245103</v>
      </c>
      <c r="P591" s="132" t="n">
        <v>0.0217</v>
      </c>
      <c r="Q591" s="131" t="s">
        <v>130</v>
      </c>
      <c r="R591" s="130" t="n">
        <v>5636000</v>
      </c>
      <c r="S591" s="143" t="n">
        <v>0</v>
      </c>
      <c r="T591" s="134" t="n">
        <v>45503.6055356481</v>
      </c>
    </row>
    <row r="592" customFormat="false" ht="39.75" hidden="false" customHeight="true" outlineLevel="0" collapsed="false">
      <c r="B592" s="130" t="n">
        <v>1113790401</v>
      </c>
      <c r="C592" s="131" t="s">
        <v>649</v>
      </c>
      <c r="D592" s="131" t="s">
        <v>135</v>
      </c>
      <c r="E592" s="130" t="n">
        <v>4870200</v>
      </c>
      <c r="F592" s="131" t="s">
        <v>29</v>
      </c>
      <c r="G592" s="130" t="n">
        <v>1098000</v>
      </c>
      <c r="H592" s="131" t="n">
        <v>778</v>
      </c>
      <c r="I592" s="132" t="n">
        <v>0.35</v>
      </c>
      <c r="J592" s="132" t="n">
        <v>0.38</v>
      </c>
      <c r="K592" s="130" t="n">
        <v>1.70446819432467</v>
      </c>
      <c r="L592" s="132" t="n">
        <v>0.38</v>
      </c>
      <c r="M592" s="131" t="s">
        <v>64</v>
      </c>
      <c r="N592" s="133" t="n">
        <v>1.36573569873927</v>
      </c>
      <c r="O592" s="133" t="n">
        <v>1.70446819432467</v>
      </c>
      <c r="P592" s="132" t="n">
        <v>0.0217</v>
      </c>
      <c r="Q592" s="131" t="s">
        <v>130</v>
      </c>
      <c r="R592" s="130" t="n">
        <v>5837000</v>
      </c>
      <c r="S592" s="143" t="n">
        <v>0</v>
      </c>
      <c r="T592" s="134" t="n">
        <v>45503.6131065972</v>
      </c>
    </row>
    <row r="593" customFormat="false" ht="39.75" hidden="false" customHeight="true" outlineLevel="0" collapsed="false">
      <c r="B593" s="130" t="n">
        <v>1130636523</v>
      </c>
      <c r="C593" s="131" t="s">
        <v>650</v>
      </c>
      <c r="D593" s="131" t="s">
        <v>135</v>
      </c>
      <c r="E593" s="130" t="n">
        <v>9087800</v>
      </c>
      <c r="F593" s="131" t="s">
        <v>14</v>
      </c>
      <c r="G593" s="130" t="n">
        <v>12000000</v>
      </c>
      <c r="H593" s="131" t="n">
        <v>813</v>
      </c>
      <c r="I593" s="132" t="n">
        <v>0.33</v>
      </c>
      <c r="J593" s="132" t="n">
        <v>0.37</v>
      </c>
      <c r="K593" s="130" t="n">
        <v>10.9798046832017</v>
      </c>
      <c r="L593" s="132" t="n">
        <v>0.37</v>
      </c>
      <c r="M593" s="131" t="s">
        <v>62</v>
      </c>
      <c r="N593" s="133" t="n">
        <v>1.19141673452321</v>
      </c>
      <c r="O593" s="133" t="n">
        <v>10.9798046832017</v>
      </c>
      <c r="P593" s="132" t="n">
        <v>0.0199</v>
      </c>
      <c r="Q593" s="131" t="s">
        <v>130</v>
      </c>
      <c r="R593" s="130" t="n">
        <v>98576000</v>
      </c>
      <c r="S593" s="143" t="n">
        <v>0</v>
      </c>
      <c r="T593" s="134" t="n">
        <v>45504.3208859954</v>
      </c>
    </row>
    <row r="594" customFormat="false" ht="39.75" hidden="false" customHeight="true" outlineLevel="0" collapsed="false">
      <c r="B594" s="130" t="n">
        <v>1085267594</v>
      </c>
      <c r="C594" s="131" t="s">
        <v>251</v>
      </c>
      <c r="D594" s="131" t="s">
        <v>135</v>
      </c>
      <c r="E594" s="130" t="n">
        <v>6130300</v>
      </c>
      <c r="F594" s="131" t="s">
        <v>14</v>
      </c>
      <c r="G594" s="130" t="n">
        <v>12000000</v>
      </c>
      <c r="H594" s="131" t="n">
        <v>536</v>
      </c>
      <c r="I594" s="132" t="n">
        <v>0.12</v>
      </c>
      <c r="J594" s="132" t="n">
        <v>0.19</v>
      </c>
      <c r="K594" s="130" t="n">
        <v>11.5536746978125</v>
      </c>
      <c r="L594" s="132" t="n">
        <v>0.19</v>
      </c>
      <c r="M594" s="131" t="s">
        <v>64</v>
      </c>
      <c r="N594" s="133" t="n">
        <v>0.785578846059736</v>
      </c>
      <c r="O594" s="133" t="n">
        <v>11.5536746978125</v>
      </c>
      <c r="P594" s="132" t="n">
        <v>0.0199</v>
      </c>
      <c r="Q594" s="131" t="s">
        <v>130</v>
      </c>
      <c r="R594" s="130" t="n">
        <v>63327000</v>
      </c>
      <c r="S594" s="143" t="s">
        <v>651</v>
      </c>
      <c r="T594" s="134" t="n">
        <v>45504.3229131944</v>
      </c>
    </row>
    <row r="595" customFormat="false" ht="39.75" hidden="false" customHeight="true" outlineLevel="0" collapsed="false">
      <c r="B595" s="130" t="n">
        <v>1144066636</v>
      </c>
      <c r="C595" s="131" t="s">
        <v>652</v>
      </c>
      <c r="D595" s="131" t="s">
        <v>135</v>
      </c>
      <c r="E595" s="130" t="n">
        <v>2600900</v>
      </c>
      <c r="F595" s="131" t="s">
        <v>14</v>
      </c>
      <c r="G595" s="130" t="n">
        <v>4293000</v>
      </c>
      <c r="H595" s="131" t="n">
        <v>611</v>
      </c>
      <c r="I595" s="132" t="n">
        <v>0.18</v>
      </c>
      <c r="J595" s="132" t="n">
        <v>0.27</v>
      </c>
      <c r="K595" s="130" t="n">
        <v>0.113361913183898</v>
      </c>
      <c r="L595" s="132" t="n">
        <v>0.27</v>
      </c>
      <c r="M595" s="131" t="s">
        <v>64</v>
      </c>
      <c r="N595" s="133" t="n">
        <v>0.745723018954977</v>
      </c>
      <c r="O595" s="133" t="n">
        <v>0.113361913183898</v>
      </c>
      <c r="P595" s="132" t="n">
        <v>0.0199</v>
      </c>
      <c r="Q595" s="131" t="s">
        <v>130</v>
      </c>
      <c r="R595" s="130" t="n">
        <v>0</v>
      </c>
      <c r="S595" s="143" t="n">
        <v>0</v>
      </c>
      <c r="T595" s="134" t="n">
        <v>45504.3291611111</v>
      </c>
    </row>
    <row r="596" customFormat="false" ht="39.75" hidden="false" customHeight="true" outlineLevel="0" collapsed="false">
      <c r="B596" s="130" t="n">
        <v>1143827788</v>
      </c>
      <c r="C596" s="131" t="s">
        <v>653</v>
      </c>
      <c r="D596" s="131" t="s">
        <v>153</v>
      </c>
      <c r="E596" s="130" t="n">
        <v>2318500</v>
      </c>
      <c r="F596" s="131" t="s">
        <v>14</v>
      </c>
      <c r="G596" s="130" t="n">
        <v>5000000</v>
      </c>
      <c r="H596" s="131" t="n">
        <v>777</v>
      </c>
      <c r="I596" s="132" t="n">
        <v>0.11</v>
      </c>
      <c r="J596" s="132" t="n">
        <v>0.17</v>
      </c>
      <c r="K596" s="130" t="n">
        <v>15.7061423334052</v>
      </c>
      <c r="L596" s="132" t="n">
        <v>0.17</v>
      </c>
      <c r="M596" s="131" t="s">
        <v>62</v>
      </c>
      <c r="N596" s="133" t="n">
        <v>0.967026094457623</v>
      </c>
      <c r="O596" s="133" t="n">
        <v>15.7061423334052</v>
      </c>
      <c r="P596" s="132" t="n">
        <v>0.0199</v>
      </c>
      <c r="Q596" s="131" t="s">
        <v>130</v>
      </c>
      <c r="R596" s="130" t="n">
        <v>19732000</v>
      </c>
      <c r="S596" s="143" t="s">
        <v>654</v>
      </c>
      <c r="T596" s="134" t="n">
        <v>45504.363609375</v>
      </c>
    </row>
    <row r="597" customFormat="false" ht="39.75" hidden="false" customHeight="true" outlineLevel="0" collapsed="false">
      <c r="B597" s="130" t="n">
        <v>30736513</v>
      </c>
      <c r="C597" s="131" t="s">
        <v>454</v>
      </c>
      <c r="D597" s="131" t="s">
        <v>135</v>
      </c>
      <c r="E597" s="130" t="n">
        <v>7114600</v>
      </c>
      <c r="F597" s="131" t="s">
        <v>14</v>
      </c>
      <c r="G597" s="130" t="n">
        <v>500000</v>
      </c>
      <c r="H597" s="131" t="n">
        <v>619</v>
      </c>
      <c r="I597" s="132" t="n">
        <v>0.4</v>
      </c>
      <c r="J597" s="132" t="n">
        <v>0.41</v>
      </c>
      <c r="K597" s="130" t="n">
        <v>3.29056700306412</v>
      </c>
      <c r="L597" s="132" t="n">
        <v>0.41</v>
      </c>
      <c r="M597" s="131" t="s">
        <v>62</v>
      </c>
      <c r="N597" s="133" t="n">
        <v>1.02264891912405</v>
      </c>
      <c r="O597" s="133" t="n">
        <v>3.29056700306412</v>
      </c>
      <c r="P597" s="132" t="n">
        <v>0.0215</v>
      </c>
      <c r="Q597" s="131" t="s">
        <v>130</v>
      </c>
      <c r="R597" s="130" t="n">
        <v>9217000</v>
      </c>
      <c r="S597" s="143" t="n">
        <v>0</v>
      </c>
      <c r="T597" s="134" t="n">
        <v>45506.613419213</v>
      </c>
    </row>
    <row r="598" customFormat="false" ht="39.75" hidden="false" customHeight="true" outlineLevel="0" collapsed="false">
      <c r="B598" s="130" t="n">
        <v>1144094459</v>
      </c>
      <c r="C598" s="131" t="s">
        <v>655</v>
      </c>
      <c r="D598" s="131" t="s">
        <v>135</v>
      </c>
      <c r="E598" s="130" t="n">
        <v>1670000</v>
      </c>
      <c r="F598" s="131" t="s">
        <v>29</v>
      </c>
      <c r="G598" s="130" t="n">
        <v>940000</v>
      </c>
      <c r="H598" s="131" t="n">
        <v>611</v>
      </c>
      <c r="I598" s="132" t="n">
        <v>0.25</v>
      </c>
      <c r="J598" s="132" t="n">
        <v>0.27</v>
      </c>
      <c r="K598" s="130" t="n">
        <v>2.23917604790419</v>
      </c>
      <c r="L598" s="132" t="n">
        <v>0.27</v>
      </c>
      <c r="M598" s="131" t="s">
        <v>64</v>
      </c>
      <c r="N598" s="133" t="n">
        <v>0.809553293413174</v>
      </c>
      <c r="O598" s="133" t="n">
        <v>2.23917604790419</v>
      </c>
      <c r="P598" s="132" t="n">
        <v>0.0215</v>
      </c>
      <c r="Q598" s="131" t="s">
        <v>130</v>
      </c>
      <c r="R598" s="130" t="n">
        <v>0</v>
      </c>
      <c r="S598" s="143" t="n">
        <v>0</v>
      </c>
      <c r="T598" s="134" t="n">
        <v>45506.6156412037</v>
      </c>
    </row>
    <row r="599" customFormat="false" ht="39.75" hidden="false" customHeight="true" outlineLevel="0" collapsed="false">
      <c r="B599" s="130" t="n">
        <v>1006344358</v>
      </c>
      <c r="C599" s="131" t="s">
        <v>656</v>
      </c>
      <c r="D599" s="131" t="s">
        <v>135</v>
      </c>
      <c r="E599" s="130" t="n">
        <v>1918500</v>
      </c>
      <c r="F599" s="131" t="s">
        <v>29</v>
      </c>
      <c r="G599" s="130" t="n">
        <v>2000000</v>
      </c>
      <c r="H599" s="131" t="n">
        <v>691</v>
      </c>
      <c r="I599" s="132" t="n">
        <v>0.05</v>
      </c>
      <c r="J599" s="132" t="n">
        <v>0.16</v>
      </c>
      <c r="K599" s="130" t="n">
        <v>0</v>
      </c>
      <c r="L599" s="132" t="n">
        <v>0.16</v>
      </c>
      <c r="M599" s="131" t="s">
        <v>64</v>
      </c>
      <c r="N599" s="133" t="n">
        <v>0.624731300495179</v>
      </c>
      <c r="O599" s="133" t="n">
        <v>0</v>
      </c>
      <c r="P599" s="132" t="n">
        <v>0.0215</v>
      </c>
      <c r="Q599" s="131" t="s">
        <v>130</v>
      </c>
      <c r="R599" s="130" t="n">
        <v>0</v>
      </c>
      <c r="S599" s="143" t="n">
        <v>0</v>
      </c>
      <c r="T599" s="134" t="n">
        <v>45509.6325457176</v>
      </c>
    </row>
    <row r="600" customFormat="false" ht="39.75" hidden="false" customHeight="true" outlineLevel="0" collapsed="false">
      <c r="B600" s="130" t="n">
        <v>16945354</v>
      </c>
      <c r="C600" s="131" t="s">
        <v>657</v>
      </c>
      <c r="D600" s="131" t="s">
        <v>135</v>
      </c>
      <c r="E600" s="130" t="n">
        <v>1625000</v>
      </c>
      <c r="F600" s="131" t="s">
        <v>29</v>
      </c>
      <c r="G600" s="130" t="n">
        <v>1000000</v>
      </c>
      <c r="H600" s="131" t="n">
        <v>555</v>
      </c>
      <c r="I600" s="132" t="n">
        <v>0.08</v>
      </c>
      <c r="J600" s="132" t="n">
        <v>0.14</v>
      </c>
      <c r="K600" s="130" t="n">
        <v>2.71446153846154</v>
      </c>
      <c r="L600" s="132" t="n">
        <v>0.14</v>
      </c>
      <c r="M600" s="131" t="s">
        <v>64</v>
      </c>
      <c r="N600" s="133" t="n">
        <v>3.11699507692308</v>
      </c>
      <c r="O600" s="133" t="n">
        <v>2.71446153846154</v>
      </c>
      <c r="P600" s="132" t="n">
        <v>0.0215</v>
      </c>
      <c r="Q600" s="131" t="s">
        <v>130</v>
      </c>
      <c r="R600" s="130" t="n">
        <v>4411000</v>
      </c>
      <c r="S600" s="143" t="n">
        <v>0</v>
      </c>
      <c r="T600" s="134" t="n">
        <v>45509.6496734954</v>
      </c>
    </row>
    <row r="601" customFormat="false" ht="39.75" hidden="false" customHeight="true" outlineLevel="0" collapsed="false">
      <c r="B601" s="130" t="n">
        <v>29539887</v>
      </c>
      <c r="C601" s="131" t="s">
        <v>658</v>
      </c>
      <c r="D601" s="131" t="s">
        <v>445</v>
      </c>
      <c r="E601" s="130" t="n">
        <v>2001190</v>
      </c>
      <c r="F601" s="131" t="s">
        <v>20</v>
      </c>
      <c r="G601" s="130" t="n">
        <v>1128000</v>
      </c>
      <c r="H601" s="131" t="n">
        <v>917</v>
      </c>
      <c r="I601" s="132" t="n">
        <v>0.43</v>
      </c>
      <c r="J601" s="132" t="n">
        <v>0.46</v>
      </c>
      <c r="K601" s="130" t="n">
        <v>13.806784962947</v>
      </c>
      <c r="L601" s="132" t="n">
        <v>0.46</v>
      </c>
      <c r="M601" s="131" t="s">
        <v>62</v>
      </c>
      <c r="N601" s="133" t="n">
        <v>1.3489719616828</v>
      </c>
      <c r="O601" s="133" t="n">
        <v>13.806784962947</v>
      </c>
      <c r="P601" s="132" t="n">
        <v>0.0215</v>
      </c>
      <c r="Q601" s="131" t="s">
        <v>130</v>
      </c>
      <c r="R601" s="130" t="n">
        <v>27630000</v>
      </c>
      <c r="S601" s="143" t="n">
        <v>0</v>
      </c>
      <c r="T601" s="134" t="n">
        <v>45510.4437260417</v>
      </c>
    </row>
    <row r="602" customFormat="false" ht="39.75" hidden="false" customHeight="true" outlineLevel="0" collapsed="false">
      <c r="B602" s="130" t="n">
        <v>1144181518</v>
      </c>
      <c r="C602" s="131" t="s">
        <v>659</v>
      </c>
      <c r="D602" s="131" t="s">
        <v>135</v>
      </c>
      <c r="E602" s="130" t="n">
        <v>2893800</v>
      </c>
      <c r="F602" s="131" t="s">
        <v>29</v>
      </c>
      <c r="G602" s="130" t="n">
        <v>2000000</v>
      </c>
      <c r="H602" s="131" t="n">
        <v>789</v>
      </c>
      <c r="I602" s="132" t="n">
        <v>0.26</v>
      </c>
      <c r="J602" s="132" t="n">
        <v>0.33</v>
      </c>
      <c r="K602" s="130" t="n">
        <v>0.132892736194623</v>
      </c>
      <c r="L602" s="132" t="n">
        <v>0.33</v>
      </c>
      <c r="M602" s="131" t="s">
        <v>64</v>
      </c>
      <c r="N602" s="133" t="n">
        <v>0.84966514617458</v>
      </c>
      <c r="O602" s="133" t="n">
        <v>0.132892736194623</v>
      </c>
      <c r="P602" s="132" t="n">
        <v>0.0215</v>
      </c>
      <c r="Q602" s="131" t="s">
        <v>130</v>
      </c>
      <c r="R602" s="130" t="n">
        <v>0</v>
      </c>
      <c r="S602" s="143" t="n">
        <v>0</v>
      </c>
      <c r="T602" s="134" t="n">
        <v>45510.5571854167</v>
      </c>
    </row>
    <row r="603" customFormat="false" ht="39.75" hidden="false" customHeight="true" outlineLevel="0" collapsed="false">
      <c r="B603" s="130" t="n">
        <v>31711209</v>
      </c>
      <c r="C603" s="131" t="s">
        <v>660</v>
      </c>
      <c r="D603" s="131" t="s">
        <v>135</v>
      </c>
      <c r="E603" s="130" t="n">
        <v>2600900</v>
      </c>
      <c r="F603" s="131" t="s">
        <v>29</v>
      </c>
      <c r="G603" s="130" t="n">
        <v>1200000</v>
      </c>
      <c r="H603" s="131" t="n">
        <v>767</v>
      </c>
      <c r="I603" s="132" t="n">
        <v>0.04</v>
      </c>
      <c r="J603" s="132" t="n">
        <v>0.07</v>
      </c>
      <c r="K603" s="130" t="n">
        <v>5.5688415548464</v>
      </c>
      <c r="L603" s="132" t="n">
        <v>0.07</v>
      </c>
      <c r="M603" s="131" t="s">
        <v>64</v>
      </c>
      <c r="N603" s="133" t="n">
        <v>0.775323541850898</v>
      </c>
      <c r="O603" s="133" t="n">
        <v>5.5688415548464</v>
      </c>
      <c r="P603" s="132" t="n">
        <v>0.0215</v>
      </c>
      <c r="Q603" s="131" t="s">
        <v>130</v>
      </c>
      <c r="R603" s="130" t="n">
        <v>14484000</v>
      </c>
      <c r="S603" s="143" t="n">
        <v>0</v>
      </c>
      <c r="T603" s="134" t="n">
        <v>45512.4145488426</v>
      </c>
    </row>
    <row r="604" customFormat="false" ht="39.75" hidden="false" customHeight="true" outlineLevel="0" collapsed="false">
      <c r="B604" s="130" t="n">
        <v>31447047</v>
      </c>
      <c r="C604" s="131" t="s">
        <v>661</v>
      </c>
      <c r="D604" s="131" t="s">
        <v>185</v>
      </c>
      <c r="E604" s="130" t="n">
        <v>1380000</v>
      </c>
      <c r="F604" s="131" t="s">
        <v>29</v>
      </c>
      <c r="G604" s="130" t="n">
        <v>1500000</v>
      </c>
      <c r="H604" s="131" t="n">
        <v>568</v>
      </c>
      <c r="I604" s="132" t="n">
        <v>0.05</v>
      </c>
      <c r="J604" s="132" t="n">
        <v>0.16</v>
      </c>
      <c r="K604" s="130" t="n">
        <v>0.072463768115942</v>
      </c>
      <c r="L604" s="132" t="n">
        <v>0.16</v>
      </c>
      <c r="M604" s="131" t="s">
        <v>64</v>
      </c>
      <c r="N604" s="133" t="n">
        <v>0.69623768115942</v>
      </c>
      <c r="O604" s="133" t="n">
        <v>0.072463768115942</v>
      </c>
      <c r="P604" s="132" t="n">
        <v>0.0215</v>
      </c>
      <c r="Q604" s="131" t="s">
        <v>130</v>
      </c>
      <c r="R604" s="130" t="n">
        <v>100000</v>
      </c>
      <c r="S604" s="143" t="n">
        <v>0</v>
      </c>
      <c r="T604" s="134" t="n">
        <v>45512.4231680556</v>
      </c>
    </row>
    <row r="605" customFormat="false" ht="39.75" hidden="false" customHeight="true" outlineLevel="0" collapsed="false">
      <c r="B605" s="130" t="n">
        <v>31447047</v>
      </c>
      <c r="C605" s="131" t="s">
        <v>661</v>
      </c>
      <c r="D605" s="131" t="s">
        <v>185</v>
      </c>
      <c r="E605" s="130" t="n">
        <v>1380000</v>
      </c>
      <c r="F605" s="131" t="s">
        <v>29</v>
      </c>
      <c r="G605" s="130" t="n">
        <v>1800000</v>
      </c>
      <c r="H605" s="131" t="n">
        <v>568</v>
      </c>
      <c r="I605" s="132" t="n">
        <v>2.17</v>
      </c>
      <c r="J605" s="132" t="n">
        <v>2.22</v>
      </c>
      <c r="K605" s="130" t="n">
        <v>61.6794391304348</v>
      </c>
      <c r="L605" s="132" t="n">
        <v>2.22</v>
      </c>
      <c r="M605" s="131" t="s">
        <v>64</v>
      </c>
      <c r="N605" s="133" t="n">
        <v>37.4468956521739</v>
      </c>
      <c r="O605" s="133" t="n">
        <v>61.6794391304348</v>
      </c>
      <c r="P605" s="132" t="n">
        <v>0.0215</v>
      </c>
      <c r="Q605" s="131" t="s">
        <v>130</v>
      </c>
      <c r="R605" s="130" t="n">
        <v>59984000</v>
      </c>
      <c r="S605" s="143" t="n">
        <v>0</v>
      </c>
      <c r="T605" s="134" t="n">
        <v>45512.4266314815</v>
      </c>
    </row>
    <row r="606" customFormat="false" ht="39.75" hidden="false" customHeight="true" outlineLevel="0" collapsed="false">
      <c r="B606" s="130" t="n">
        <v>66856977</v>
      </c>
      <c r="C606" s="131" t="s">
        <v>258</v>
      </c>
      <c r="D606" s="131" t="s">
        <v>135</v>
      </c>
      <c r="E606" s="130" t="n">
        <v>8245400</v>
      </c>
      <c r="F606" s="131" t="s">
        <v>29</v>
      </c>
      <c r="G606" s="130" t="n">
        <v>1800000</v>
      </c>
      <c r="H606" s="131" t="n">
        <v>747</v>
      </c>
      <c r="I606" s="132" t="n">
        <v>0.37</v>
      </c>
      <c r="J606" s="132" t="n">
        <v>0.38</v>
      </c>
      <c r="K606" s="130" t="n">
        <v>10.3230438790113</v>
      </c>
      <c r="L606" s="132" t="n">
        <v>0.38</v>
      </c>
      <c r="M606" s="131" t="s">
        <v>64</v>
      </c>
      <c r="N606" s="133" t="n">
        <v>6.660266572877</v>
      </c>
      <c r="O606" s="133" t="n">
        <v>10.3230438790113</v>
      </c>
      <c r="P606" s="132" t="n">
        <v>0.0215</v>
      </c>
      <c r="Q606" s="131" t="s">
        <v>130</v>
      </c>
      <c r="R606" s="130" t="n">
        <v>59984000</v>
      </c>
      <c r="S606" s="143" t="n">
        <v>0</v>
      </c>
      <c r="T606" s="134" t="n">
        <v>45512.4271814815</v>
      </c>
    </row>
    <row r="607" customFormat="false" ht="39.75" hidden="false" customHeight="true" outlineLevel="0" collapsed="false">
      <c r="B607" s="130" t="n">
        <v>1107067602</v>
      </c>
      <c r="C607" s="131" t="s">
        <v>662</v>
      </c>
      <c r="D607" s="131" t="s">
        <v>135</v>
      </c>
      <c r="E607" s="130" t="n">
        <v>1991000</v>
      </c>
      <c r="F607" s="131" t="s">
        <v>14</v>
      </c>
      <c r="G607" s="130" t="n">
        <v>6250000</v>
      </c>
      <c r="H607" s="131" t="n">
        <v>855</v>
      </c>
      <c r="I607" s="132" t="n">
        <v>0.21</v>
      </c>
      <c r="J607" s="132" t="n">
        <v>0.21</v>
      </c>
      <c r="K607" s="130" t="n">
        <v>5.01664992466098</v>
      </c>
      <c r="L607" s="132" t="n">
        <v>0.21</v>
      </c>
      <c r="M607" s="131" t="s">
        <v>62</v>
      </c>
      <c r="N607" s="133" t="n">
        <v>0.804281767955801</v>
      </c>
      <c r="O607" s="133" t="n">
        <v>5.01664992466098</v>
      </c>
      <c r="P607" s="132" t="n">
        <v>0.0199</v>
      </c>
      <c r="Q607" s="131" t="s">
        <v>130</v>
      </c>
      <c r="R607" s="130" t="n">
        <v>8648000</v>
      </c>
      <c r="S607" s="143" t="n">
        <v>0</v>
      </c>
      <c r="T607" s="134" t="n">
        <v>45512.6064840278</v>
      </c>
    </row>
    <row r="608" customFormat="false" ht="39.75" hidden="false" customHeight="true" outlineLevel="0" collapsed="false">
      <c r="B608" s="130" t="n">
        <v>31579220</v>
      </c>
      <c r="C608" s="131" t="s">
        <v>663</v>
      </c>
      <c r="D608" s="131" t="s">
        <v>135</v>
      </c>
      <c r="E608" s="130" t="n">
        <v>2893800</v>
      </c>
      <c r="F608" s="131" t="s">
        <v>14</v>
      </c>
      <c r="G608" s="130" t="n">
        <v>5200000</v>
      </c>
      <c r="H608" s="131" t="n">
        <v>787</v>
      </c>
      <c r="I608" s="132" t="n">
        <v>0.52</v>
      </c>
      <c r="J608" s="132" t="n">
        <v>0.58</v>
      </c>
      <c r="K608" s="130" t="n">
        <v>20.1963255926463</v>
      </c>
      <c r="L608" s="132" t="n">
        <v>0.58</v>
      </c>
      <c r="M608" s="131" t="s">
        <v>64</v>
      </c>
      <c r="N608" s="133" t="n">
        <v>1.68252125233257</v>
      </c>
      <c r="O608" s="133" t="n">
        <v>20.1963255926463</v>
      </c>
      <c r="P608" s="132" t="n">
        <v>0.0199</v>
      </c>
      <c r="Q608" s="131" t="s">
        <v>130</v>
      </c>
      <c r="R608" s="130" t="n">
        <v>53804000</v>
      </c>
      <c r="S608" s="143" t="n">
        <v>0</v>
      </c>
      <c r="T608" s="134" t="n">
        <v>45512.6313024306</v>
      </c>
    </row>
    <row r="609" customFormat="false" ht="39.75" hidden="false" customHeight="true" outlineLevel="0" collapsed="false">
      <c r="B609" s="130" t="n">
        <v>1143860441</v>
      </c>
      <c r="C609" s="131" t="s">
        <v>664</v>
      </c>
      <c r="D609" s="131" t="s">
        <v>135</v>
      </c>
      <c r="E609" s="130" t="n">
        <v>1670000</v>
      </c>
      <c r="F609" s="131" t="s">
        <v>11</v>
      </c>
      <c r="G609" s="130" t="n">
        <v>5000000</v>
      </c>
      <c r="H609" s="131" t="n">
        <v>705</v>
      </c>
      <c r="I609" s="132" t="n">
        <v>0.28</v>
      </c>
      <c r="J609" s="132" t="n">
        <v>0.37</v>
      </c>
      <c r="K609" s="130" t="n">
        <v>5.33706586826347</v>
      </c>
      <c r="L609" s="132" t="n">
        <v>0.37</v>
      </c>
      <c r="M609" s="131" t="s">
        <v>64</v>
      </c>
      <c r="N609" s="133" t="n">
        <v>0.988691017964072</v>
      </c>
      <c r="O609" s="133" t="n">
        <v>5.33706586826347</v>
      </c>
      <c r="P609" s="132" t="n">
        <v>0.0199</v>
      </c>
      <c r="Q609" s="131" t="s">
        <v>130</v>
      </c>
      <c r="R609" s="130" t="n">
        <v>8912900</v>
      </c>
      <c r="S609" s="143" t="n">
        <v>0</v>
      </c>
      <c r="T609" s="134" t="n">
        <v>45512.6333784722</v>
      </c>
    </row>
    <row r="610" customFormat="false" ht="39.75" hidden="false" customHeight="true" outlineLevel="0" collapsed="false">
      <c r="B610" s="130" t="n">
        <v>1113660222</v>
      </c>
      <c r="C610" s="131" t="s">
        <v>665</v>
      </c>
      <c r="D610" s="131" t="s">
        <v>135</v>
      </c>
      <c r="E610" s="130" t="n">
        <v>2600900</v>
      </c>
      <c r="F610" s="131" t="s">
        <v>14</v>
      </c>
      <c r="G610" s="130" t="n">
        <v>4500000</v>
      </c>
      <c r="H610" s="131" t="n">
        <v>803</v>
      </c>
      <c r="I610" s="132" t="n">
        <v>0.45</v>
      </c>
      <c r="J610" s="132" t="n">
        <v>0.51</v>
      </c>
      <c r="K610" s="130" t="n">
        <v>18.8627013726018</v>
      </c>
      <c r="L610" s="132" t="n">
        <v>0.51</v>
      </c>
      <c r="M610" s="131" t="s">
        <v>62</v>
      </c>
      <c r="N610" s="133" t="n">
        <v>1.46581683263486</v>
      </c>
      <c r="O610" s="133" t="n">
        <v>18.8627013726018</v>
      </c>
      <c r="P610" s="132" t="n">
        <v>0.0199</v>
      </c>
      <c r="Q610" s="131" t="s">
        <v>130</v>
      </c>
      <c r="R610" s="130" t="n">
        <v>49060000</v>
      </c>
      <c r="S610" s="143" t="n">
        <v>0</v>
      </c>
      <c r="T610" s="134" t="n">
        <v>45512.6351311343</v>
      </c>
    </row>
    <row r="611" customFormat="false" ht="39.75" hidden="false" customHeight="true" outlineLevel="0" collapsed="false">
      <c r="B611" s="130" t="n">
        <v>1107081228</v>
      </c>
      <c r="C611" s="131" t="s">
        <v>268</v>
      </c>
      <c r="D611" s="131" t="s">
        <v>135</v>
      </c>
      <c r="E611" s="130" t="n">
        <v>2600900</v>
      </c>
      <c r="F611" s="131" t="s">
        <v>14</v>
      </c>
      <c r="G611" s="130" t="n">
        <v>5000000</v>
      </c>
      <c r="H611" s="131" t="n">
        <v>669</v>
      </c>
      <c r="I611" s="132" t="n">
        <v>0.36</v>
      </c>
      <c r="J611" s="132" t="n">
        <v>0.47</v>
      </c>
      <c r="K611" s="130" t="n">
        <v>2.31958629705102</v>
      </c>
      <c r="L611" s="132" t="n">
        <v>0.47</v>
      </c>
      <c r="M611" s="131" t="s">
        <v>64</v>
      </c>
      <c r="N611" s="133" t="n">
        <v>1.64272559498635</v>
      </c>
      <c r="O611" s="133" t="n">
        <v>2.31958629705102</v>
      </c>
      <c r="P611" s="132" t="n">
        <v>0.0199</v>
      </c>
      <c r="Q611" s="131" t="s">
        <v>130</v>
      </c>
      <c r="R611" s="130" t="n">
        <v>3901000</v>
      </c>
      <c r="S611" s="143" t="n">
        <v>0</v>
      </c>
      <c r="T611" s="134" t="n">
        <v>45512.6365983796</v>
      </c>
    </row>
    <row r="612" customFormat="false" ht="39.75" hidden="false" customHeight="true" outlineLevel="0" collapsed="false">
      <c r="B612" s="130" t="n">
        <v>1151945599</v>
      </c>
      <c r="C612" s="131" t="s">
        <v>592</v>
      </c>
      <c r="D612" s="131" t="s">
        <v>135</v>
      </c>
      <c r="E612" s="130" t="n">
        <v>2893800</v>
      </c>
      <c r="F612" s="131" t="s">
        <v>14</v>
      </c>
      <c r="G612" s="130" t="n">
        <v>4200000</v>
      </c>
      <c r="H612" s="131" t="n">
        <v>766</v>
      </c>
      <c r="I612" s="132" t="n">
        <v>0.11</v>
      </c>
      <c r="J612" s="132" t="n">
        <v>0.19</v>
      </c>
      <c r="K612" s="130" t="n">
        <v>0.570575368028198</v>
      </c>
      <c r="L612" s="132" t="n">
        <v>0.19</v>
      </c>
      <c r="M612" s="131" t="s">
        <v>64</v>
      </c>
      <c r="N612" s="133" t="n">
        <v>0.676764116386758</v>
      </c>
      <c r="O612" s="133" t="n">
        <v>0.570575368028198</v>
      </c>
      <c r="P612" s="132" t="n">
        <v>0.0199</v>
      </c>
      <c r="Q612" s="131" t="s">
        <v>130</v>
      </c>
      <c r="R612" s="130" t="n">
        <v>0</v>
      </c>
      <c r="S612" s="143" t="n">
        <v>0</v>
      </c>
      <c r="T612" s="134" t="n">
        <v>45512.6402013889</v>
      </c>
    </row>
    <row r="613" customFormat="false" ht="39.75" hidden="false" customHeight="true" outlineLevel="0" collapsed="false">
      <c r="B613" s="130" t="n">
        <v>1151945599</v>
      </c>
      <c r="C613" s="131" t="s">
        <v>592</v>
      </c>
      <c r="D613" s="131" t="s">
        <v>135</v>
      </c>
      <c r="E613" s="130" t="n">
        <v>2893800</v>
      </c>
      <c r="F613" s="131" t="s">
        <v>29</v>
      </c>
      <c r="G613" s="130" t="n">
        <v>1000000</v>
      </c>
      <c r="H613" s="131" t="n">
        <v>766</v>
      </c>
      <c r="I613" s="132" t="n">
        <v>0.16</v>
      </c>
      <c r="J613" s="132" t="n">
        <v>0.18</v>
      </c>
      <c r="K613" s="130" t="n">
        <v>2.36498444951275</v>
      </c>
      <c r="L613" s="132" t="n">
        <v>0.18</v>
      </c>
      <c r="M613" s="131" t="s">
        <v>64</v>
      </c>
      <c r="N613" s="133" t="n">
        <v>1.81725482065105</v>
      </c>
      <c r="O613" s="133" t="n">
        <v>2.36498444951275</v>
      </c>
      <c r="P613" s="132" t="n">
        <v>0.0215</v>
      </c>
      <c r="Q613" s="131" t="s">
        <v>130</v>
      </c>
      <c r="R613" s="130" t="n">
        <v>3530000</v>
      </c>
      <c r="S613" s="143" t="n">
        <v>0</v>
      </c>
      <c r="T613" s="134" t="n">
        <v>45512.6569900463</v>
      </c>
    </row>
    <row r="614" customFormat="false" ht="39.75" hidden="false" customHeight="true" outlineLevel="0" collapsed="false">
      <c r="B614" s="130" t="n">
        <v>1143830949</v>
      </c>
      <c r="C614" s="131" t="s">
        <v>666</v>
      </c>
      <c r="D614" s="131" t="s">
        <v>135</v>
      </c>
      <c r="E614" s="130" t="n">
        <v>2893800</v>
      </c>
      <c r="F614" s="131" t="s">
        <v>14</v>
      </c>
      <c r="G614" s="130" t="n">
        <v>6300000</v>
      </c>
      <c r="H614" s="131" t="n">
        <v>684</v>
      </c>
      <c r="I614" s="132" t="n">
        <v>0.36</v>
      </c>
      <c r="J614" s="132" t="n">
        <v>0.43</v>
      </c>
      <c r="K614" s="130" t="n">
        <v>28.2194311977331</v>
      </c>
      <c r="L614" s="132" t="n">
        <v>0.43</v>
      </c>
      <c r="M614" s="131" t="s">
        <v>62</v>
      </c>
      <c r="N614" s="133" t="n">
        <v>37.5000563273205</v>
      </c>
      <c r="O614" s="133" t="n">
        <v>28.2194311977331</v>
      </c>
      <c r="P614" s="132" t="n">
        <v>0.0215</v>
      </c>
      <c r="Q614" s="131" t="s">
        <v>130</v>
      </c>
      <c r="R614" s="130" t="n">
        <v>75643000</v>
      </c>
      <c r="S614" s="143" t="n">
        <v>0</v>
      </c>
      <c r="T614" s="134" t="n">
        <v>45512.6747096065</v>
      </c>
    </row>
    <row r="615" customFormat="false" ht="39.75" hidden="false" customHeight="true" outlineLevel="0" collapsed="false">
      <c r="B615" s="130" t="n">
        <v>16768054</v>
      </c>
      <c r="C615" s="131" t="s">
        <v>667</v>
      </c>
      <c r="D615" s="131" t="s">
        <v>135</v>
      </c>
      <c r="E615" s="130" t="n">
        <v>8245400</v>
      </c>
      <c r="F615" s="131" t="s">
        <v>17</v>
      </c>
      <c r="G615" s="130" t="n">
        <v>8258500</v>
      </c>
      <c r="H615" s="131" t="n">
        <v>969</v>
      </c>
      <c r="I615" s="132" t="n">
        <v>0.21</v>
      </c>
      <c r="J615" s="132" t="n">
        <v>0.25</v>
      </c>
      <c r="K615" s="130" t="n">
        <v>0.828340650544546</v>
      </c>
      <c r="L615" s="132" t="n">
        <v>0.25</v>
      </c>
      <c r="M615" s="131" t="s">
        <v>62</v>
      </c>
      <c r="N615" s="133" t="n">
        <v>0.771731510903049</v>
      </c>
      <c r="O615" s="133" t="n">
        <v>0.828340650544546</v>
      </c>
      <c r="P615" s="132" t="n">
        <v>0.017</v>
      </c>
      <c r="Q615" s="131" t="s">
        <v>130</v>
      </c>
      <c r="R615" s="130" t="n">
        <v>6830000</v>
      </c>
      <c r="S615" s="143" t="s">
        <v>668</v>
      </c>
      <c r="T615" s="134" t="n">
        <v>45512.6779696759</v>
      </c>
    </row>
    <row r="616" customFormat="false" ht="39.75" hidden="false" customHeight="true" outlineLevel="0" collapsed="false">
      <c r="B616" s="130" t="n">
        <v>66847351</v>
      </c>
      <c r="C616" s="131" t="s">
        <v>669</v>
      </c>
      <c r="D616" s="131" t="s">
        <v>135</v>
      </c>
      <c r="E616" s="130" t="n">
        <v>10237200</v>
      </c>
      <c r="F616" s="131" t="s">
        <v>14</v>
      </c>
      <c r="G616" s="130" t="n">
        <v>14000000</v>
      </c>
      <c r="H616" s="131" t="n">
        <v>501</v>
      </c>
      <c r="I616" s="132" t="n">
        <v>0.16</v>
      </c>
      <c r="J616" s="132" t="n">
        <v>0.2</v>
      </c>
      <c r="K616" s="130" t="n">
        <v>8.59551185871137</v>
      </c>
      <c r="L616" s="132" t="n">
        <v>0.2</v>
      </c>
      <c r="M616" s="131" t="s">
        <v>62</v>
      </c>
      <c r="N616" s="133" t="n">
        <v>4.85879537373501</v>
      </c>
      <c r="O616" s="133" t="n">
        <v>8.59551185871137</v>
      </c>
      <c r="P616" s="132" t="n">
        <v>0.017</v>
      </c>
      <c r="Q616" s="131" t="s">
        <v>130</v>
      </c>
      <c r="R616" s="130" t="n">
        <v>67991000</v>
      </c>
      <c r="S616" s="143" t="n">
        <v>0</v>
      </c>
      <c r="T616" s="134" t="n">
        <v>45512.6815833333</v>
      </c>
    </row>
    <row r="617" customFormat="false" ht="39.75" hidden="false" customHeight="true" outlineLevel="0" collapsed="false">
      <c r="B617" s="130" t="n">
        <v>73432460</v>
      </c>
      <c r="C617" s="131" t="s">
        <v>670</v>
      </c>
      <c r="D617" s="131" t="s">
        <v>135</v>
      </c>
      <c r="E617" s="130" t="n">
        <v>19690900</v>
      </c>
      <c r="F617" s="131" t="s">
        <v>17</v>
      </c>
      <c r="G617" s="130" t="n">
        <v>66000000</v>
      </c>
      <c r="H617" s="131" t="n">
        <v>582</v>
      </c>
      <c r="I617" s="132" t="n">
        <v>0.15</v>
      </c>
      <c r="J617" s="132" t="n">
        <v>0.24</v>
      </c>
      <c r="K617" s="130" t="n">
        <v>7.97383562965634</v>
      </c>
      <c r="L617" s="132" t="n">
        <v>0.24</v>
      </c>
      <c r="M617" s="131" t="s">
        <v>64</v>
      </c>
      <c r="N617" s="133" t="n">
        <v>0.763749600069067</v>
      </c>
      <c r="O617" s="133" t="n">
        <v>7.97383562965634</v>
      </c>
      <c r="P617" s="132" t="n">
        <v>0.017</v>
      </c>
      <c r="Q617" s="131" t="s">
        <v>130</v>
      </c>
      <c r="R617" s="130" t="n">
        <v>157012000</v>
      </c>
      <c r="S617" s="143" t="s">
        <v>671</v>
      </c>
      <c r="T617" s="134" t="n">
        <v>45512.6921681713</v>
      </c>
    </row>
    <row r="618" customFormat="false" ht="39.75" hidden="false" customHeight="true" outlineLevel="0" collapsed="false">
      <c r="B618" s="130" t="n">
        <v>1144168203</v>
      </c>
      <c r="C618" s="131" t="s">
        <v>672</v>
      </c>
      <c r="D618" s="131" t="s">
        <v>135</v>
      </c>
      <c r="E618" s="130" t="n">
        <v>2893800</v>
      </c>
      <c r="F618" s="131" t="s">
        <v>17</v>
      </c>
      <c r="G618" s="130" t="n">
        <v>9088500</v>
      </c>
      <c r="H618" s="131" t="n">
        <v>611</v>
      </c>
      <c r="I618" s="132" t="n">
        <v>0.07</v>
      </c>
      <c r="J618" s="132" t="n">
        <v>0.16</v>
      </c>
      <c r="K618" s="130" t="n">
        <v>1.89020353859977</v>
      </c>
      <c r="L618" s="132" t="n">
        <v>0.16</v>
      </c>
      <c r="M618" s="131" t="s">
        <v>64</v>
      </c>
      <c r="N618" s="133" t="n">
        <v>1.13668221715392</v>
      </c>
      <c r="O618" s="133" t="n">
        <v>1.89020353859977</v>
      </c>
      <c r="P618" s="132" t="n">
        <v>0.017</v>
      </c>
      <c r="Q618" s="131" t="s">
        <v>130</v>
      </c>
      <c r="R618" s="130" t="n">
        <v>2425000</v>
      </c>
      <c r="S618" s="143" t="s">
        <v>673</v>
      </c>
      <c r="T618" s="134" t="n">
        <v>45512.693872338</v>
      </c>
    </row>
    <row r="619" customFormat="false" ht="39.75" hidden="false" customHeight="true" outlineLevel="0" collapsed="false">
      <c r="B619" s="130" t="n">
        <v>4661060</v>
      </c>
      <c r="C619" s="131" t="s">
        <v>674</v>
      </c>
      <c r="D619" s="131" t="s">
        <v>135</v>
      </c>
      <c r="E619" s="130" t="n">
        <v>2600900</v>
      </c>
      <c r="F619" s="131" t="s">
        <v>29</v>
      </c>
      <c r="G619" s="130" t="n">
        <v>2700000</v>
      </c>
      <c r="H619" s="131" t="n">
        <v>720</v>
      </c>
      <c r="I619" s="132" t="n">
        <v>0.46</v>
      </c>
      <c r="J619" s="132" t="n">
        <v>0.44</v>
      </c>
      <c r="K619" s="130" t="n">
        <v>8.65403129685878</v>
      </c>
      <c r="L619" s="132" t="n">
        <v>0.44</v>
      </c>
      <c r="M619" s="131" t="s">
        <v>62</v>
      </c>
      <c r="N619" s="133" t="n">
        <v>1.22487485101311</v>
      </c>
      <c r="O619" s="133" t="n">
        <v>8.65403129685878</v>
      </c>
      <c r="P619" s="132" t="n">
        <v>0.017</v>
      </c>
      <c r="Q619" s="131" t="s">
        <v>130</v>
      </c>
      <c r="R619" s="130" t="n">
        <v>16232000</v>
      </c>
      <c r="S619" s="143" t="n">
        <v>0</v>
      </c>
      <c r="T619" s="134" t="n">
        <v>45513.6290862269</v>
      </c>
    </row>
    <row r="620" customFormat="false" ht="39.75" hidden="false" customHeight="true" outlineLevel="0" collapsed="false">
      <c r="B620" s="130" t="n">
        <v>1107098903</v>
      </c>
      <c r="C620" s="131" t="s">
        <v>675</v>
      </c>
      <c r="D620" s="131" t="s">
        <v>135</v>
      </c>
      <c r="E620" s="130" t="n">
        <v>1625000</v>
      </c>
      <c r="F620" s="131" t="s">
        <v>29</v>
      </c>
      <c r="G620" s="130" t="n">
        <v>2200000</v>
      </c>
      <c r="H620" s="131" t="n">
        <v>589</v>
      </c>
      <c r="I620" s="132" t="n">
        <v>0.1</v>
      </c>
      <c r="J620" s="132" t="n">
        <v>0.24</v>
      </c>
      <c r="K620" s="130" t="n">
        <v>0</v>
      </c>
      <c r="L620" s="132" t="n">
        <v>0.24</v>
      </c>
      <c r="M620" s="131" t="s">
        <v>64</v>
      </c>
      <c r="N620" s="133" t="n">
        <v>0.674533538461538</v>
      </c>
      <c r="O620" s="133" t="n">
        <v>0</v>
      </c>
      <c r="P620" s="132" t="n">
        <v>0.0217</v>
      </c>
      <c r="Q620" s="131" t="s">
        <v>130</v>
      </c>
      <c r="R620" s="130" t="n">
        <v>0</v>
      </c>
      <c r="S620" s="143" t="n">
        <v>0</v>
      </c>
      <c r="T620" s="134" t="n">
        <v>45513.6608334491</v>
      </c>
    </row>
    <row r="621" customFormat="false" ht="39.75" hidden="false" customHeight="true" outlineLevel="0" collapsed="false">
      <c r="B621" s="130" t="n">
        <v>1062326783</v>
      </c>
      <c r="C621" s="131" t="s">
        <v>676</v>
      </c>
      <c r="D621" s="131" t="s">
        <v>135</v>
      </c>
      <c r="E621" s="130" t="n">
        <v>1717900</v>
      </c>
      <c r="F621" s="131" t="s">
        <v>29</v>
      </c>
      <c r="G621" s="130" t="n">
        <v>2000000</v>
      </c>
      <c r="H621" s="131" t="n">
        <v>621</v>
      </c>
      <c r="I621" s="132" t="n">
        <v>0.29</v>
      </c>
      <c r="J621" s="132" t="n">
        <v>0.34</v>
      </c>
      <c r="K621" s="130" t="n">
        <v>4.26972757436405</v>
      </c>
      <c r="L621" s="132" t="n">
        <v>0.34</v>
      </c>
      <c r="M621" s="131" t="s">
        <v>64</v>
      </c>
      <c r="N621" s="133" t="n">
        <v>1.89889341638046</v>
      </c>
      <c r="O621" s="133" t="n">
        <v>4.26972757436405</v>
      </c>
      <c r="P621" s="132" t="n">
        <v>0.0217</v>
      </c>
      <c r="Q621" s="131" t="s">
        <v>130</v>
      </c>
      <c r="R621" s="130" t="n">
        <v>4925000</v>
      </c>
      <c r="S621" s="143" t="n">
        <v>0</v>
      </c>
      <c r="T621" s="134" t="n">
        <v>45513.6661398148</v>
      </c>
    </row>
    <row r="622" customFormat="false" ht="39.75" hidden="false" customHeight="true" outlineLevel="0" collapsed="false">
      <c r="B622" s="130" t="n">
        <v>1143967622</v>
      </c>
      <c r="C622" s="131" t="s">
        <v>677</v>
      </c>
      <c r="D622" s="131" t="s">
        <v>135</v>
      </c>
      <c r="E622" s="130" t="n">
        <v>2600900</v>
      </c>
      <c r="F622" s="131" t="s">
        <v>29</v>
      </c>
      <c r="G622" s="130" t="n">
        <v>600000</v>
      </c>
      <c r="H622" s="131" t="n">
        <v>686</v>
      </c>
      <c r="I622" s="132" t="n">
        <v>0.23</v>
      </c>
      <c r="J622" s="132" t="n">
        <v>0.25</v>
      </c>
      <c r="K622" s="130" t="n">
        <v>1.06987081394902</v>
      </c>
      <c r="L622" s="132" t="n">
        <v>0.25</v>
      </c>
      <c r="M622" s="131" t="s">
        <v>64</v>
      </c>
      <c r="N622" s="133" t="n">
        <v>0.790375639201815</v>
      </c>
      <c r="O622" s="133" t="n">
        <v>1.06987081394902</v>
      </c>
      <c r="P622" s="132" t="n">
        <v>0.0217</v>
      </c>
      <c r="Q622" s="131" t="s">
        <v>130</v>
      </c>
      <c r="R622" s="130" t="n">
        <v>0</v>
      </c>
      <c r="S622" s="143" t="n">
        <v>0</v>
      </c>
      <c r="T622" s="134" t="n">
        <v>45513.6691902778</v>
      </c>
    </row>
    <row r="623" customFormat="false" ht="39.75" hidden="false" customHeight="true" outlineLevel="0" collapsed="false">
      <c r="B623" s="130" t="n">
        <v>1143864409</v>
      </c>
      <c r="C623" s="131" t="s">
        <v>678</v>
      </c>
      <c r="D623" s="131" t="s">
        <v>135</v>
      </c>
      <c r="E623" s="130" t="n">
        <v>1991000</v>
      </c>
      <c r="F623" s="131" t="s">
        <v>29</v>
      </c>
      <c r="G623" s="130" t="n">
        <v>1600000</v>
      </c>
      <c r="H623" s="131" t="n">
        <v>666</v>
      </c>
      <c r="I623" s="132" t="n">
        <v>0.38</v>
      </c>
      <c r="J623" s="132" t="n">
        <v>0.43</v>
      </c>
      <c r="K623" s="130" t="n">
        <v>10.7773967855349</v>
      </c>
      <c r="L623" s="132" t="n">
        <v>0.43</v>
      </c>
      <c r="M623" s="131" t="s">
        <v>64</v>
      </c>
      <c r="N623" s="133" t="n">
        <v>1.20092214967353</v>
      </c>
      <c r="O623" s="133" t="n">
        <v>10.7773967855349</v>
      </c>
      <c r="P623" s="132" t="n">
        <v>0.0217</v>
      </c>
      <c r="Q623" s="131" t="s">
        <v>130</v>
      </c>
      <c r="R623" s="130" t="n">
        <v>20007000</v>
      </c>
      <c r="S623" s="143" t="n">
        <v>0</v>
      </c>
      <c r="T623" s="134" t="n">
        <v>45513.6706615741</v>
      </c>
    </row>
    <row r="624" customFormat="false" ht="39.75" hidden="false" customHeight="true" outlineLevel="0" collapsed="false">
      <c r="B624" s="130" t="n">
        <v>1107056488</v>
      </c>
      <c r="C624" s="131" t="s">
        <v>679</v>
      </c>
      <c r="D624" s="131" t="s">
        <v>135</v>
      </c>
      <c r="E624" s="130" t="n">
        <v>2600900</v>
      </c>
      <c r="F624" s="131" t="s">
        <v>29</v>
      </c>
      <c r="G624" s="130" t="n">
        <v>680000</v>
      </c>
      <c r="H624" s="131" t="n">
        <v>568</v>
      </c>
      <c r="I624" s="132" t="n">
        <v>0.47</v>
      </c>
      <c r="J624" s="132" t="n">
        <v>0.49</v>
      </c>
      <c r="K624" s="130" t="n">
        <v>10.1124099350225</v>
      </c>
      <c r="L624" s="132" t="n">
        <v>0.49</v>
      </c>
      <c r="M624" s="131" t="s">
        <v>64</v>
      </c>
      <c r="N624" s="133" t="n">
        <v>1.60374485754931</v>
      </c>
      <c r="O624" s="133" t="n">
        <v>10.1124099350225</v>
      </c>
      <c r="P624" s="132" t="n">
        <v>0.0217</v>
      </c>
      <c r="Q624" s="131" t="s">
        <v>130</v>
      </c>
      <c r="R624" s="130" t="n">
        <v>21955000</v>
      </c>
      <c r="S624" s="143" t="n">
        <v>0</v>
      </c>
      <c r="T624" s="134" t="n">
        <v>45513.672821412</v>
      </c>
    </row>
    <row r="625" customFormat="false" ht="39.75" hidden="false" customHeight="true" outlineLevel="0" collapsed="false">
      <c r="B625" s="130" t="n">
        <v>91493134</v>
      </c>
      <c r="C625" s="131" t="s">
        <v>204</v>
      </c>
      <c r="D625" s="131" t="s">
        <v>135</v>
      </c>
      <c r="E625" s="130" t="n">
        <v>3945300</v>
      </c>
      <c r="F625" s="131" t="s">
        <v>29</v>
      </c>
      <c r="G625" s="130" t="n">
        <v>1200000</v>
      </c>
      <c r="H625" s="131" t="n">
        <v>708</v>
      </c>
      <c r="I625" s="132" t="n">
        <v>0.41</v>
      </c>
      <c r="J625" s="132" t="n">
        <v>0.43</v>
      </c>
      <c r="K625" s="130" t="n">
        <v>7.79231338554736</v>
      </c>
      <c r="L625" s="132" t="n">
        <v>0.43</v>
      </c>
      <c r="M625" s="131" t="s">
        <v>64</v>
      </c>
      <c r="N625" s="133" t="n">
        <v>1.25365244721567</v>
      </c>
      <c r="O625" s="133" t="n">
        <v>7.79231338554736</v>
      </c>
      <c r="P625" s="132" t="n">
        <v>0.0217</v>
      </c>
      <c r="Q625" s="131" t="s">
        <v>130</v>
      </c>
      <c r="R625" s="130" t="n">
        <v>26079000</v>
      </c>
      <c r="S625" s="143" t="n">
        <v>0</v>
      </c>
      <c r="T625" s="134" t="n">
        <v>45516.4640811343</v>
      </c>
    </row>
    <row r="626" customFormat="false" ht="39.75" hidden="false" customHeight="true" outlineLevel="0" collapsed="false">
      <c r="B626" s="130" t="n">
        <v>38642212</v>
      </c>
      <c r="C626" s="131" t="s">
        <v>680</v>
      </c>
      <c r="D626" s="131" t="s">
        <v>135</v>
      </c>
      <c r="E626" s="130" t="n">
        <v>5842800</v>
      </c>
      <c r="F626" s="131" t="s">
        <v>29</v>
      </c>
      <c r="G626" s="130" t="n">
        <v>3000000</v>
      </c>
      <c r="H626" s="131" t="n">
        <v>747</v>
      </c>
      <c r="I626" s="132" t="n">
        <v>0.07</v>
      </c>
      <c r="J626" s="132" t="n">
        <v>0.1</v>
      </c>
      <c r="K626" s="130" t="n">
        <v>2.01177808584925</v>
      </c>
      <c r="L626" s="132" t="n">
        <v>0.1</v>
      </c>
      <c r="M626" s="131" t="s">
        <v>62</v>
      </c>
      <c r="N626" s="133" t="n">
        <v>0.556670945437119</v>
      </c>
      <c r="O626" s="133" t="n">
        <v>2.01177808584925</v>
      </c>
      <c r="P626" s="132" t="n">
        <v>0.0217</v>
      </c>
      <c r="Q626" s="131" t="s">
        <v>130</v>
      </c>
      <c r="R626" s="130" t="n">
        <v>0</v>
      </c>
      <c r="S626" s="143" t="s">
        <v>681</v>
      </c>
      <c r="T626" s="134" t="n">
        <v>45516.4918663195</v>
      </c>
    </row>
    <row r="627" customFormat="false" ht="39.75" hidden="false" customHeight="true" outlineLevel="0" collapsed="false">
      <c r="B627" s="130" t="n">
        <v>1112482367</v>
      </c>
      <c r="C627" s="131" t="s">
        <v>682</v>
      </c>
      <c r="D627" s="131" t="s">
        <v>135</v>
      </c>
      <c r="E627" s="130" t="n">
        <v>1991000</v>
      </c>
      <c r="F627" s="131" t="s">
        <v>29</v>
      </c>
      <c r="G627" s="130" t="n">
        <v>2500000</v>
      </c>
      <c r="H627" s="131" t="n">
        <v>642</v>
      </c>
      <c r="I627" s="132" t="n">
        <v>0.37</v>
      </c>
      <c r="J627" s="132" t="n">
        <v>0.44</v>
      </c>
      <c r="K627" s="130" t="n">
        <v>6.48488046207936</v>
      </c>
      <c r="L627" s="132" t="n">
        <v>0.44</v>
      </c>
      <c r="M627" s="131" t="s">
        <v>64</v>
      </c>
      <c r="N627" s="133" t="n">
        <v>1.1644038171773</v>
      </c>
      <c r="O627" s="133" t="n">
        <v>6.48488046207936</v>
      </c>
      <c r="P627" s="132" t="n">
        <v>0.0215</v>
      </c>
      <c r="Q627" s="131" t="s">
        <v>130</v>
      </c>
      <c r="R627" s="130" t="n">
        <v>11947000</v>
      </c>
      <c r="S627" s="143" t="n">
        <v>0</v>
      </c>
      <c r="T627" s="134" t="n">
        <v>45516.4945619213</v>
      </c>
    </row>
    <row r="628" customFormat="false" ht="39.75" hidden="false" customHeight="true" outlineLevel="0" collapsed="false">
      <c r="B628" s="130" t="n">
        <v>1143995184</v>
      </c>
      <c r="C628" s="131" t="s">
        <v>683</v>
      </c>
      <c r="D628" s="131" t="s">
        <v>135</v>
      </c>
      <c r="E628" s="130" t="n">
        <v>2893800</v>
      </c>
      <c r="F628" s="131" t="s">
        <v>29</v>
      </c>
      <c r="G628" s="130" t="n">
        <v>1000000</v>
      </c>
      <c r="H628" s="131" t="n">
        <v>555</v>
      </c>
      <c r="I628" s="132" t="n">
        <v>0.06</v>
      </c>
      <c r="J628" s="132" t="n">
        <v>0.09</v>
      </c>
      <c r="K628" s="130" t="n">
        <v>0.501330776142097</v>
      </c>
      <c r="L628" s="132" t="n">
        <v>0.09</v>
      </c>
      <c r="M628" s="131" t="s">
        <v>64</v>
      </c>
      <c r="N628" s="133" t="n">
        <v>0.633682700946852</v>
      </c>
      <c r="O628" s="133" t="n">
        <v>0.501330776142097</v>
      </c>
      <c r="P628" s="132" t="n">
        <v>0.0215</v>
      </c>
      <c r="Q628" s="131" t="s">
        <v>130</v>
      </c>
      <c r="R628" s="130" t="n">
        <v>1284000</v>
      </c>
      <c r="S628" s="143" t="n">
        <v>0</v>
      </c>
      <c r="T628" s="134" t="n">
        <v>45517.4306960648</v>
      </c>
    </row>
    <row r="629" customFormat="false" ht="39.75" hidden="false" customHeight="true" outlineLevel="0" collapsed="false">
      <c r="B629" s="130" t="n">
        <v>1143944797</v>
      </c>
      <c r="C629" s="131" t="s">
        <v>684</v>
      </c>
      <c r="D629" s="131" t="s">
        <v>135</v>
      </c>
      <c r="E629" s="130" t="n">
        <v>1918500</v>
      </c>
      <c r="F629" s="131" t="s">
        <v>29</v>
      </c>
      <c r="G629" s="130" t="n">
        <v>1</v>
      </c>
      <c r="H629" s="131" t="n">
        <v>642</v>
      </c>
      <c r="I629" s="132" t="n">
        <v>0.07</v>
      </c>
      <c r="J629" s="132" t="n">
        <v>0.07</v>
      </c>
      <c r="K629" s="130" t="n">
        <v>0</v>
      </c>
      <c r="L629" s="132" t="n">
        <v>0.07</v>
      </c>
      <c r="M629" s="131" t="s">
        <v>64</v>
      </c>
      <c r="N629" s="133" t="n">
        <v>0.642974719833203</v>
      </c>
      <c r="O629" s="133" t="n">
        <v>0</v>
      </c>
      <c r="P629" s="132" t="n">
        <v>0.0215</v>
      </c>
      <c r="Q629" s="131" t="s">
        <v>130</v>
      </c>
      <c r="R629" s="130" t="n">
        <v>0</v>
      </c>
      <c r="S629" s="143" t="n">
        <v>0</v>
      </c>
      <c r="T629" s="134" t="n">
        <v>45517.4315497685</v>
      </c>
    </row>
    <row r="630" customFormat="false" ht="39.75" hidden="false" customHeight="true" outlineLevel="0" collapsed="false">
      <c r="B630" s="130" t="n">
        <v>1143952706</v>
      </c>
      <c r="C630" s="131" t="s">
        <v>685</v>
      </c>
      <c r="D630" s="131" t="s">
        <v>135</v>
      </c>
      <c r="E630" s="130" t="n">
        <v>1670000</v>
      </c>
      <c r="F630" s="131" t="s">
        <v>29</v>
      </c>
      <c r="G630" s="130" t="n">
        <v>1500000</v>
      </c>
      <c r="H630" s="131" t="n">
        <v>619</v>
      </c>
      <c r="I630" s="132" t="n">
        <v>0.14</v>
      </c>
      <c r="J630" s="132" t="n">
        <v>0.24</v>
      </c>
      <c r="K630" s="130" t="n">
        <v>2.08862275449102</v>
      </c>
      <c r="L630" s="132" t="n">
        <v>0.24</v>
      </c>
      <c r="M630" s="131" t="s">
        <v>64</v>
      </c>
      <c r="N630" s="133" t="n">
        <v>0.727797005988024</v>
      </c>
      <c r="O630" s="133" t="n">
        <v>2.08862275449102</v>
      </c>
      <c r="P630" s="132" t="n">
        <v>0.0215</v>
      </c>
      <c r="Q630" s="131" t="s">
        <v>130</v>
      </c>
      <c r="R630" s="130" t="n">
        <v>3488000</v>
      </c>
      <c r="S630" s="143" t="n">
        <v>0</v>
      </c>
      <c r="T630" s="134" t="n">
        <v>45517.4326127315</v>
      </c>
    </row>
    <row r="631" customFormat="false" ht="39.75" hidden="false" customHeight="true" outlineLevel="0" collapsed="false">
      <c r="B631" s="130" t="n">
        <v>1144024737</v>
      </c>
      <c r="C631" s="131" t="s">
        <v>686</v>
      </c>
      <c r="D631" s="131" t="s">
        <v>135</v>
      </c>
      <c r="E631" s="130" t="n">
        <v>2600900</v>
      </c>
      <c r="F631" s="131" t="s">
        <v>29</v>
      </c>
      <c r="G631" s="130" t="n">
        <v>1500000</v>
      </c>
      <c r="H631" s="131" t="n">
        <v>780</v>
      </c>
      <c r="I631" s="132" t="n">
        <v>0.03</v>
      </c>
      <c r="J631" s="132" t="n">
        <v>0.09</v>
      </c>
      <c r="K631" s="130" t="n">
        <v>0.0449240647468184</v>
      </c>
      <c r="L631" s="132" t="n">
        <v>0.09</v>
      </c>
      <c r="M631" s="131" t="s">
        <v>64</v>
      </c>
      <c r="N631" s="133" t="n">
        <v>0.607069475950632</v>
      </c>
      <c r="O631" s="133" t="n">
        <v>0.0449240647468184</v>
      </c>
      <c r="P631" s="132" t="n">
        <v>0.0215</v>
      </c>
      <c r="Q631" s="131" t="s">
        <v>130</v>
      </c>
      <c r="R631" s="130" t="n">
        <v>0</v>
      </c>
      <c r="S631" s="143" t="n">
        <v>0</v>
      </c>
      <c r="T631" s="134" t="n">
        <v>45517.4351586806</v>
      </c>
    </row>
    <row r="632" customFormat="false" ht="39.75" hidden="false" customHeight="true" outlineLevel="0" collapsed="false">
      <c r="B632" s="130" t="n">
        <v>1107102260</v>
      </c>
      <c r="C632" s="131" t="s">
        <v>687</v>
      </c>
      <c r="D632" s="131" t="s">
        <v>135</v>
      </c>
      <c r="E632" s="130" t="n">
        <v>5679200</v>
      </c>
      <c r="F632" s="131" t="s">
        <v>29</v>
      </c>
      <c r="G632" s="130" t="n">
        <v>3000000</v>
      </c>
      <c r="H632" s="131" t="n">
        <v>713</v>
      </c>
      <c r="I632" s="132" t="n">
        <v>0.33</v>
      </c>
      <c r="J632" s="132" t="n">
        <v>0.36</v>
      </c>
      <c r="K632" s="130" t="n">
        <v>7.9218544865474</v>
      </c>
      <c r="L632" s="132" t="n">
        <v>0.36</v>
      </c>
      <c r="M632" s="131" t="s">
        <v>64</v>
      </c>
      <c r="N632" s="133" t="n">
        <v>0.985810853641358</v>
      </c>
      <c r="O632" s="133" t="n">
        <v>7.9218544865474</v>
      </c>
      <c r="P632" s="132" t="n">
        <v>0.0215</v>
      </c>
      <c r="Q632" s="131" t="s">
        <v>130</v>
      </c>
      <c r="R632" s="130" t="n">
        <v>37618000</v>
      </c>
      <c r="S632" s="143" t="s">
        <v>166</v>
      </c>
      <c r="T632" s="134" t="n">
        <v>45517.4396385417</v>
      </c>
    </row>
    <row r="633" customFormat="false" ht="39.75" hidden="false" customHeight="true" outlineLevel="0" collapsed="false">
      <c r="B633" s="130" t="n">
        <v>67039425</v>
      </c>
      <c r="C633" s="131" t="s">
        <v>688</v>
      </c>
      <c r="D633" s="131" t="s">
        <v>135</v>
      </c>
      <c r="E633" s="130" t="n">
        <v>4870200</v>
      </c>
      <c r="F633" s="131" t="s">
        <v>14</v>
      </c>
      <c r="G633" s="130" t="n">
        <v>4200000</v>
      </c>
      <c r="H633" s="131" t="n">
        <v>701</v>
      </c>
      <c r="I633" s="132" t="n">
        <v>0.13</v>
      </c>
      <c r="J633" s="132" t="n">
        <v>0.18</v>
      </c>
      <c r="K633" s="130" t="n">
        <v>9.77272206480227</v>
      </c>
      <c r="L633" s="132" t="n">
        <v>0.18</v>
      </c>
      <c r="M633" s="131" t="s">
        <v>64</v>
      </c>
      <c r="N633" s="133" t="n">
        <v>0.96395178842758</v>
      </c>
      <c r="O633" s="133" t="n">
        <v>9.77272206480227</v>
      </c>
      <c r="P633" s="132" t="n">
        <v>0.0199</v>
      </c>
      <c r="Q633" s="131" t="s">
        <v>130</v>
      </c>
      <c r="R633" s="130" t="n">
        <v>46158000</v>
      </c>
      <c r="S633" s="143" t="n">
        <v>0</v>
      </c>
      <c r="T633" s="134" t="n">
        <v>45518.4871548611</v>
      </c>
    </row>
    <row r="634" customFormat="false" ht="39.75" hidden="false" customHeight="true" outlineLevel="0" collapsed="false">
      <c r="B634" s="130" t="n">
        <v>1130591110</v>
      </c>
      <c r="C634" s="131" t="s">
        <v>689</v>
      </c>
      <c r="D634" s="131" t="s">
        <v>135</v>
      </c>
      <c r="E634" s="130" t="n">
        <v>4469100</v>
      </c>
      <c r="F634" s="131" t="s">
        <v>8</v>
      </c>
      <c r="G634" s="130" t="n">
        <v>4544334</v>
      </c>
      <c r="H634" s="131" t="n">
        <v>786</v>
      </c>
      <c r="I634" s="132" t="n">
        <v>0.24</v>
      </c>
      <c r="J634" s="132" t="n">
        <v>0.26</v>
      </c>
      <c r="K634" s="130" t="n">
        <v>0.339473048264751</v>
      </c>
      <c r="L634" s="132" t="n">
        <v>0.26</v>
      </c>
      <c r="M634" s="131" t="s">
        <v>64</v>
      </c>
      <c r="N634" s="133" t="n">
        <v>0.796631760309682</v>
      </c>
      <c r="O634" s="133" t="n">
        <v>0.339473048264751</v>
      </c>
      <c r="P634" s="132" t="n">
        <v>0.0199</v>
      </c>
      <c r="Q634" s="131" t="s">
        <v>130</v>
      </c>
      <c r="R634" s="130" t="n">
        <v>882000</v>
      </c>
      <c r="S634" s="143" t="n">
        <v>0</v>
      </c>
      <c r="T634" s="134" t="n">
        <v>45518.4888467593</v>
      </c>
    </row>
    <row r="635" customFormat="false" ht="39.75" hidden="false" customHeight="true" outlineLevel="0" collapsed="false">
      <c r="B635" s="130" t="n">
        <v>29111206</v>
      </c>
      <c r="C635" s="131" t="s">
        <v>690</v>
      </c>
      <c r="D635" s="131" t="s">
        <v>135</v>
      </c>
      <c r="E635" s="130" t="n">
        <v>2893800</v>
      </c>
      <c r="F635" s="131" t="s">
        <v>29</v>
      </c>
      <c r="G635" s="130" t="n">
        <v>1500000</v>
      </c>
      <c r="H635" s="131" t="n">
        <v>640</v>
      </c>
      <c r="I635" s="132" t="n">
        <v>0.39</v>
      </c>
      <c r="J635" s="132" t="n">
        <v>0.42</v>
      </c>
      <c r="K635" s="130" t="n">
        <v>8.68050003455664</v>
      </c>
      <c r="L635" s="132" t="n">
        <v>0.42</v>
      </c>
      <c r="M635" s="131" t="s">
        <v>62</v>
      </c>
      <c r="N635" s="133" t="n">
        <v>1.17066521528786</v>
      </c>
      <c r="O635" s="133" t="n">
        <v>8.68050003455664</v>
      </c>
      <c r="P635" s="132" t="n">
        <v>0.0215</v>
      </c>
      <c r="Q635" s="131" t="s">
        <v>130</v>
      </c>
      <c r="R635" s="130" t="n">
        <v>24597000</v>
      </c>
      <c r="S635" s="143" t="n">
        <v>0</v>
      </c>
      <c r="T635" s="134" t="n">
        <v>45519.4209989583</v>
      </c>
    </row>
    <row r="636" customFormat="false" ht="39.75" hidden="false" customHeight="true" outlineLevel="0" collapsed="false">
      <c r="B636" s="130" t="n">
        <v>1144024028</v>
      </c>
      <c r="C636" s="131" t="s">
        <v>337</v>
      </c>
      <c r="D636" s="131" t="s">
        <v>135</v>
      </c>
      <c r="E636" s="130" t="n">
        <v>2340800</v>
      </c>
      <c r="F636" s="131" t="s">
        <v>29</v>
      </c>
      <c r="G636" s="130" t="n">
        <v>1800000</v>
      </c>
      <c r="H636" s="131" t="n">
        <v>703</v>
      </c>
      <c r="I636" s="132" t="n">
        <v>0.16</v>
      </c>
      <c r="J636" s="132" t="n">
        <v>0.24</v>
      </c>
      <c r="K636" s="130" t="n">
        <v>4.94781143198906</v>
      </c>
      <c r="L636" s="132" t="n">
        <v>0.24</v>
      </c>
      <c r="M636" s="131" t="s">
        <v>64</v>
      </c>
      <c r="N636" s="133" t="n">
        <v>0.750012816131237</v>
      </c>
      <c r="O636" s="133" t="n">
        <v>4.94781143198906</v>
      </c>
      <c r="P636" s="132" t="n">
        <v>0.0215</v>
      </c>
      <c r="Q636" s="131" t="s">
        <v>130</v>
      </c>
      <c r="R636" s="130" t="n">
        <v>10851000</v>
      </c>
      <c r="S636" s="143" t="n">
        <v>0</v>
      </c>
      <c r="T636" s="134" t="n">
        <v>45519.4257012732</v>
      </c>
    </row>
    <row r="637" customFormat="false" ht="39.75" hidden="false" customHeight="true" outlineLevel="0" collapsed="false">
      <c r="B637" s="130" t="n">
        <v>67032841</v>
      </c>
      <c r="C637" s="131" t="s">
        <v>408</v>
      </c>
      <c r="D637" s="131" t="s">
        <v>135</v>
      </c>
      <c r="E637" s="130" t="n">
        <v>2893800</v>
      </c>
      <c r="F637" s="131" t="s">
        <v>29</v>
      </c>
      <c r="G637" s="130" t="n">
        <v>929000</v>
      </c>
      <c r="H637" s="131" t="n">
        <v>666</v>
      </c>
      <c r="I637" s="132" t="n">
        <v>0.33</v>
      </c>
      <c r="J637" s="132" t="n">
        <v>0.36</v>
      </c>
      <c r="K637" s="130" t="n">
        <v>12.2699433271131</v>
      </c>
      <c r="L637" s="132" t="n">
        <v>0.36</v>
      </c>
      <c r="M637" s="131" t="s">
        <v>64</v>
      </c>
      <c r="N637" s="133" t="n">
        <v>2.64607263805377</v>
      </c>
      <c r="O637" s="133" t="n">
        <v>12.2699433271131</v>
      </c>
      <c r="P637" s="132" t="n">
        <v>0.0215</v>
      </c>
      <c r="Q637" s="131" t="s">
        <v>130</v>
      </c>
      <c r="R637" s="130" t="n">
        <v>32503000</v>
      </c>
      <c r="S637" s="143" t="n">
        <v>0</v>
      </c>
      <c r="T637" s="134" t="n">
        <v>45519.4359351852</v>
      </c>
    </row>
    <row r="638" customFormat="false" ht="39.75" hidden="false" customHeight="true" outlineLevel="0" collapsed="false">
      <c r="B638" s="130" t="n">
        <v>1116131228</v>
      </c>
      <c r="C638" s="131" t="s">
        <v>557</v>
      </c>
      <c r="D638" s="131" t="s">
        <v>135</v>
      </c>
      <c r="E638" s="130" t="n">
        <v>2600900</v>
      </c>
      <c r="F638" s="131" t="s">
        <v>29</v>
      </c>
      <c r="G638" s="130" t="n">
        <v>2000000</v>
      </c>
      <c r="H638" s="131" t="n">
        <v>599</v>
      </c>
      <c r="I638" s="132" t="n">
        <v>0.46</v>
      </c>
      <c r="J638" s="132" t="n">
        <v>0.48</v>
      </c>
      <c r="K638" s="130" t="n">
        <v>15.735706101734</v>
      </c>
      <c r="L638" s="132" t="n">
        <v>0.48</v>
      </c>
      <c r="M638" s="131" t="s">
        <v>64</v>
      </c>
      <c r="N638" s="133" t="n">
        <v>2.74596639624745</v>
      </c>
      <c r="O638" s="133" t="n">
        <v>15.735706101734</v>
      </c>
      <c r="P638" s="132" t="n">
        <v>0.0215</v>
      </c>
      <c r="Q638" s="131" t="s">
        <v>130</v>
      </c>
      <c r="R638" s="130" t="n">
        <v>38804000</v>
      </c>
      <c r="S638" s="143" t="n">
        <v>0</v>
      </c>
      <c r="T638" s="134" t="n">
        <v>45519.448005787</v>
      </c>
    </row>
    <row r="639" customFormat="false" ht="39.75" hidden="false" customHeight="true" outlineLevel="0" collapsed="false">
      <c r="B639" s="130" t="n">
        <v>25733400</v>
      </c>
      <c r="C639" s="131" t="s">
        <v>691</v>
      </c>
      <c r="D639" s="131" t="s">
        <v>135</v>
      </c>
      <c r="E639" s="130" t="n">
        <v>2893800</v>
      </c>
      <c r="F639" s="131" t="s">
        <v>29</v>
      </c>
      <c r="G639" s="130" t="n">
        <v>1000000</v>
      </c>
      <c r="H639" s="131" t="n">
        <v>806</v>
      </c>
      <c r="I639" s="132" t="n">
        <v>0.43</v>
      </c>
      <c r="J639" s="132" t="n">
        <v>0.46</v>
      </c>
      <c r="K639" s="130" t="n">
        <v>7.48905902273827</v>
      </c>
      <c r="L639" s="132" t="n">
        <v>0.46</v>
      </c>
      <c r="M639" s="131" t="s">
        <v>62</v>
      </c>
      <c r="N639" s="133" t="n">
        <v>1.2692943534453</v>
      </c>
      <c r="O639" s="133" t="n">
        <v>7.48905902273827</v>
      </c>
      <c r="P639" s="132" t="n">
        <v>0.0215</v>
      </c>
      <c r="Q639" s="131" t="s">
        <v>130</v>
      </c>
      <c r="R639" s="130" t="n">
        <v>21518000</v>
      </c>
      <c r="S639" s="143" t="n">
        <v>0</v>
      </c>
      <c r="T639" s="134" t="n">
        <v>45519.4508136574</v>
      </c>
    </row>
    <row r="640" customFormat="false" ht="39.75" hidden="false" customHeight="true" outlineLevel="0" collapsed="false">
      <c r="B640" s="130" t="n">
        <v>1143941664</v>
      </c>
      <c r="C640" s="131" t="s">
        <v>692</v>
      </c>
      <c r="D640" s="131" t="s">
        <v>135</v>
      </c>
      <c r="E640" s="130" t="n">
        <v>2340800</v>
      </c>
      <c r="F640" s="131" t="s">
        <v>29</v>
      </c>
      <c r="G640" s="130" t="n">
        <v>3000000</v>
      </c>
      <c r="H640" s="131" t="n">
        <v>705</v>
      </c>
      <c r="I640" s="132" t="n">
        <v>0.45</v>
      </c>
      <c r="J640" s="132" t="n">
        <v>0.46</v>
      </c>
      <c r="K640" s="130" t="n">
        <v>18.7564473684211</v>
      </c>
      <c r="L640" s="132" t="n">
        <v>0.46</v>
      </c>
      <c r="M640" s="131" t="s">
        <v>64</v>
      </c>
      <c r="N640" s="133" t="n">
        <v>1.46435235816815</v>
      </c>
      <c r="O640" s="133" t="n">
        <v>18.7564473684211</v>
      </c>
      <c r="P640" s="132" t="n">
        <v>0.0215</v>
      </c>
      <c r="Q640" s="131" t="s">
        <v>130</v>
      </c>
      <c r="R640" s="130" t="n">
        <v>42936000</v>
      </c>
      <c r="S640" s="143" t="n">
        <v>0</v>
      </c>
      <c r="T640" s="134" t="n">
        <v>45519.4551625</v>
      </c>
    </row>
    <row r="641" customFormat="false" ht="39.75" hidden="false" customHeight="true" outlineLevel="0" collapsed="false">
      <c r="B641" s="130" t="n">
        <v>29684827</v>
      </c>
      <c r="C641" s="131" t="s">
        <v>693</v>
      </c>
      <c r="D641" s="131" t="s">
        <v>135</v>
      </c>
      <c r="E641" s="130" t="n">
        <v>2600900</v>
      </c>
      <c r="F641" s="131" t="s">
        <v>29</v>
      </c>
      <c r="G641" s="130" t="n">
        <v>1100000</v>
      </c>
      <c r="H641" s="131" t="n">
        <v>744</v>
      </c>
      <c r="I641" s="132" t="n">
        <v>0.47</v>
      </c>
      <c r="J641" s="132" t="n">
        <v>0.49</v>
      </c>
      <c r="K641" s="130" t="n">
        <v>13.8067630435618</v>
      </c>
      <c r="L641" s="132" t="n">
        <v>0.49</v>
      </c>
      <c r="M641" s="131" t="s">
        <v>64</v>
      </c>
      <c r="N641" s="133" t="n">
        <v>1.69185704948287</v>
      </c>
      <c r="O641" s="133" t="n">
        <v>13.8067630435618</v>
      </c>
      <c r="P641" s="132" t="n">
        <v>0.0215</v>
      </c>
      <c r="Q641" s="131" t="s">
        <v>130</v>
      </c>
      <c r="R641" s="130" t="n">
        <v>33937000</v>
      </c>
      <c r="S641" s="143" t="n">
        <v>0</v>
      </c>
      <c r="T641" s="134" t="n">
        <v>45519.4594591435</v>
      </c>
    </row>
    <row r="642" customFormat="false" ht="39.75" hidden="false" customHeight="true" outlineLevel="0" collapsed="false">
      <c r="B642" s="130" t="n">
        <v>38671608</v>
      </c>
      <c r="C642" s="131" t="s">
        <v>694</v>
      </c>
      <c r="D642" s="131" t="s">
        <v>135</v>
      </c>
      <c r="E642" s="130" t="n">
        <v>2893800</v>
      </c>
      <c r="F642" s="131" t="s">
        <v>29</v>
      </c>
      <c r="G642" s="130" t="n">
        <v>1500000</v>
      </c>
      <c r="H642" s="131" t="n">
        <v>843</v>
      </c>
      <c r="I642" s="132" t="n">
        <v>0.2</v>
      </c>
      <c r="J642" s="132" t="n">
        <v>0.25</v>
      </c>
      <c r="K642" s="130" t="n">
        <v>3.63121155573986</v>
      </c>
      <c r="L642" s="132" t="n">
        <v>0.25</v>
      </c>
      <c r="M642" s="131" t="s">
        <v>62</v>
      </c>
      <c r="N642" s="133" t="n">
        <v>0.891697076508397</v>
      </c>
      <c r="O642" s="133" t="n">
        <v>3.63121155573986</v>
      </c>
      <c r="P642" s="132" t="n">
        <v>0.0215</v>
      </c>
      <c r="Q642" s="131" t="s">
        <v>130</v>
      </c>
      <c r="R642" s="130" t="n">
        <v>10508000</v>
      </c>
      <c r="S642" s="143" t="n">
        <v>0</v>
      </c>
      <c r="T642" s="134" t="n">
        <v>45519.5702925926</v>
      </c>
    </row>
    <row r="643" customFormat="false" ht="39.75" hidden="false" customHeight="true" outlineLevel="0" collapsed="false">
      <c r="B643" s="130" t="n">
        <v>38614218</v>
      </c>
      <c r="C643" s="131" t="s">
        <v>695</v>
      </c>
      <c r="D643" s="131" t="s">
        <v>135</v>
      </c>
      <c r="E643" s="130" t="n">
        <v>2604400</v>
      </c>
      <c r="F643" s="131" t="s">
        <v>29</v>
      </c>
      <c r="G643" s="130" t="n">
        <v>2500000</v>
      </c>
      <c r="H643" s="131" t="n">
        <v>708</v>
      </c>
      <c r="I643" s="132" t="n">
        <v>0.05</v>
      </c>
      <c r="J643" s="132" t="n">
        <v>0.11</v>
      </c>
      <c r="K643" s="130" t="n">
        <v>25.509138381201</v>
      </c>
      <c r="L643" s="132" t="n">
        <v>0.11</v>
      </c>
      <c r="M643" s="131" t="s">
        <v>64</v>
      </c>
      <c r="N643" s="133" t="n">
        <v>1.42688104745815</v>
      </c>
      <c r="O643" s="133" t="n">
        <v>25.509138381201</v>
      </c>
      <c r="P643" s="132" t="n">
        <v>0.0215</v>
      </c>
      <c r="Q643" s="131" t="s">
        <v>130</v>
      </c>
      <c r="R643" s="130" t="n">
        <v>66436000</v>
      </c>
      <c r="S643" s="143" t="n">
        <v>0</v>
      </c>
      <c r="T643" s="134" t="n">
        <v>45519.5738770833</v>
      </c>
    </row>
    <row r="644" customFormat="false" ht="39.75" hidden="false" customHeight="true" outlineLevel="0" collapsed="false">
      <c r="B644" s="130" t="n">
        <v>67021850</v>
      </c>
      <c r="C644" s="131" t="s">
        <v>512</v>
      </c>
      <c r="D644" s="131" t="s">
        <v>135</v>
      </c>
      <c r="E644" s="130" t="n">
        <v>2893800</v>
      </c>
      <c r="F644" s="131" t="s">
        <v>29</v>
      </c>
      <c r="G644" s="130" t="n">
        <v>2700000</v>
      </c>
      <c r="H644" s="131" t="n">
        <v>684</v>
      </c>
      <c r="I644" s="132" t="n">
        <v>0.22</v>
      </c>
      <c r="J644" s="132" t="n">
        <v>0.27</v>
      </c>
      <c r="K644" s="130" t="n">
        <v>6.69380814154399</v>
      </c>
      <c r="L644" s="132" t="n">
        <v>0.27</v>
      </c>
      <c r="M644" s="131" t="s">
        <v>64</v>
      </c>
      <c r="N644" s="133" t="n">
        <v>1.62752470799641</v>
      </c>
      <c r="O644" s="133" t="n">
        <v>6.69380814154399</v>
      </c>
      <c r="P644" s="132" t="n">
        <v>0.0215</v>
      </c>
      <c r="Q644" s="131" t="s">
        <v>130</v>
      </c>
      <c r="R644" s="130" t="n">
        <v>14913000</v>
      </c>
      <c r="S644" s="143" t="n">
        <v>0</v>
      </c>
      <c r="T644" s="134" t="n">
        <v>45519.5819724537</v>
      </c>
    </row>
    <row r="645" customFormat="false" ht="39.75" hidden="false" customHeight="true" outlineLevel="0" collapsed="false">
      <c r="B645" s="130" t="n">
        <v>66859571</v>
      </c>
      <c r="C645" s="131" t="s">
        <v>696</v>
      </c>
      <c r="D645" s="131" t="s">
        <v>135</v>
      </c>
      <c r="E645" s="130" t="n">
        <v>2600900</v>
      </c>
      <c r="F645" s="131" t="s">
        <v>20</v>
      </c>
      <c r="G645" s="130" t="n">
        <v>2299000</v>
      </c>
      <c r="H645" s="131" t="n">
        <v>801</v>
      </c>
      <c r="I645" s="132" t="n">
        <v>0.25</v>
      </c>
      <c r="J645" s="132" t="n">
        <v>0.3</v>
      </c>
      <c r="K645" s="130" t="n">
        <v>9.0991402975893</v>
      </c>
      <c r="L645" s="132" t="n">
        <v>0.3</v>
      </c>
      <c r="M645" s="131" t="s">
        <v>61</v>
      </c>
      <c r="N645" s="133" t="n">
        <v>1.02927102156946</v>
      </c>
      <c r="O645" s="133" t="n">
        <v>9.0991402975893</v>
      </c>
      <c r="P645" s="132" t="n">
        <v>0.0215</v>
      </c>
      <c r="Q645" s="131" t="s">
        <v>130</v>
      </c>
      <c r="R645" s="130" t="n">
        <v>15783000</v>
      </c>
      <c r="S645" s="143" t="n">
        <v>0</v>
      </c>
      <c r="T645" s="134" t="n">
        <v>45519.6244826389</v>
      </c>
    </row>
    <row r="646" customFormat="false" ht="39.75" hidden="false" customHeight="true" outlineLevel="0" collapsed="false">
      <c r="B646" s="130" t="n">
        <v>1113695768</v>
      </c>
      <c r="C646" s="131" t="s">
        <v>275</v>
      </c>
      <c r="D646" s="131" t="s">
        <v>135</v>
      </c>
      <c r="E646" s="130" t="n">
        <v>2600900</v>
      </c>
      <c r="F646" s="131" t="s">
        <v>20</v>
      </c>
      <c r="G646" s="130" t="n">
        <v>1200000</v>
      </c>
      <c r="H646" s="131" t="n">
        <v>632</v>
      </c>
      <c r="I646" s="132" t="n">
        <v>0.45</v>
      </c>
      <c r="J646" s="132" t="n">
        <v>0.47</v>
      </c>
      <c r="K646" s="130" t="n">
        <v>17.5574589565151</v>
      </c>
      <c r="L646" s="132" t="n">
        <v>0.47</v>
      </c>
      <c r="M646" s="131" t="s">
        <v>64</v>
      </c>
      <c r="N646" s="133" t="n">
        <v>1.58046330116498</v>
      </c>
      <c r="O646" s="133" t="n">
        <v>17.5574589565151</v>
      </c>
      <c r="P646" s="132" t="n">
        <v>0.0215</v>
      </c>
      <c r="Q646" s="131" t="s">
        <v>130</v>
      </c>
      <c r="R646" s="130" t="n">
        <v>42799000</v>
      </c>
      <c r="S646" s="143" t="n">
        <v>0</v>
      </c>
      <c r="T646" s="134" t="n">
        <v>45519.6587326389</v>
      </c>
    </row>
    <row r="647" customFormat="false" ht="39.75" hidden="false" customHeight="true" outlineLevel="0" collapsed="false">
      <c r="B647" s="130" t="n">
        <v>1130675011</v>
      </c>
      <c r="C647" s="131" t="s">
        <v>162</v>
      </c>
      <c r="D647" s="131" t="s">
        <v>135</v>
      </c>
      <c r="E647" s="130" t="n">
        <v>2600900</v>
      </c>
      <c r="F647" s="131" t="s">
        <v>29</v>
      </c>
      <c r="G647" s="130" t="n">
        <v>2000000</v>
      </c>
      <c r="H647" s="131" t="n">
        <v>784</v>
      </c>
      <c r="I647" s="132" t="n">
        <v>0.42</v>
      </c>
      <c r="J647" s="132" t="n">
        <v>0.46</v>
      </c>
      <c r="K647" s="130" t="n">
        <v>22.806962974355</v>
      </c>
      <c r="L647" s="132" t="n">
        <v>0.46</v>
      </c>
      <c r="M647" s="131" t="s">
        <v>62</v>
      </c>
      <c r="N647" s="133" t="n">
        <v>1.47813449190665</v>
      </c>
      <c r="O647" s="133" t="n">
        <v>22.806962974355</v>
      </c>
      <c r="P647" s="132" t="n">
        <v>0.0215</v>
      </c>
      <c r="Q647" s="131" t="s">
        <v>130</v>
      </c>
      <c r="R647" s="130" t="n">
        <v>46546000</v>
      </c>
      <c r="S647" s="143" t="n">
        <v>0</v>
      </c>
      <c r="T647" s="134" t="n">
        <v>45520.3698277778</v>
      </c>
    </row>
    <row r="648" customFormat="false" ht="39.75" hidden="false" customHeight="true" outlineLevel="0" collapsed="false">
      <c r="B648" s="130" t="n">
        <v>1114727465</v>
      </c>
      <c r="C648" s="131" t="s">
        <v>400</v>
      </c>
      <c r="D648" s="131" t="s">
        <v>135</v>
      </c>
      <c r="E648" s="130" t="n">
        <v>2893800</v>
      </c>
      <c r="F648" s="131" t="s">
        <v>29</v>
      </c>
      <c r="G648" s="130" t="n">
        <v>2100000</v>
      </c>
      <c r="H648" s="131" t="n">
        <v>787</v>
      </c>
      <c r="I648" s="132" t="n">
        <v>0.4</v>
      </c>
      <c r="J648" s="132" t="n">
        <v>0.45</v>
      </c>
      <c r="K648" s="130" t="n">
        <v>27.2183723823346</v>
      </c>
      <c r="L648" s="132" t="n">
        <v>0.45</v>
      </c>
      <c r="M648" s="131" t="s">
        <v>64</v>
      </c>
      <c r="N648" s="133" t="n">
        <v>1.52676584421867</v>
      </c>
      <c r="O648" s="133" t="n">
        <v>27.2183723823346</v>
      </c>
      <c r="P648" s="132" t="n">
        <v>0.0215</v>
      </c>
      <c r="Q648" s="131" t="s">
        <v>130</v>
      </c>
      <c r="R648" s="130" t="n">
        <v>75981000</v>
      </c>
      <c r="S648" s="143" t="s">
        <v>435</v>
      </c>
      <c r="T648" s="134" t="n">
        <v>45520.3815201389</v>
      </c>
    </row>
    <row r="649" customFormat="false" ht="39.75" hidden="false" customHeight="true" outlineLevel="0" collapsed="false">
      <c r="B649" s="130" t="n">
        <v>67025009</v>
      </c>
      <c r="C649" s="131" t="s">
        <v>697</v>
      </c>
      <c r="D649" s="131" t="s">
        <v>135</v>
      </c>
      <c r="E649" s="130" t="n">
        <v>2600900</v>
      </c>
      <c r="F649" s="131" t="s">
        <v>29</v>
      </c>
      <c r="G649" s="130" t="n">
        <v>2000000</v>
      </c>
      <c r="H649" s="131" t="n">
        <v>845</v>
      </c>
      <c r="I649" s="132" t="n">
        <v>0.35</v>
      </c>
      <c r="J649" s="132" t="n">
        <v>0.43</v>
      </c>
      <c r="K649" s="130" t="n">
        <v>1.03001614825637</v>
      </c>
      <c r="L649" s="132" t="n">
        <v>0.43</v>
      </c>
      <c r="M649" s="131" t="s">
        <v>62</v>
      </c>
      <c r="N649" s="133" t="n">
        <v>0.960720519820062</v>
      </c>
      <c r="O649" s="133" t="n">
        <v>1.03001614825637</v>
      </c>
      <c r="P649" s="132" t="n">
        <v>0.0215</v>
      </c>
      <c r="Q649" s="131" t="s">
        <v>130</v>
      </c>
      <c r="R649" s="130" t="n">
        <v>0</v>
      </c>
      <c r="S649" s="143" t="n">
        <v>0</v>
      </c>
      <c r="T649" s="134" t="n">
        <v>45520.3834480324</v>
      </c>
    </row>
    <row r="650" customFormat="false" ht="39.75" hidden="false" customHeight="true" outlineLevel="0" collapsed="false">
      <c r="B650" s="130" t="n">
        <v>29180645</v>
      </c>
      <c r="C650" s="131" t="s">
        <v>698</v>
      </c>
      <c r="D650" s="131" t="s">
        <v>135</v>
      </c>
      <c r="E650" s="130" t="n">
        <v>1717900</v>
      </c>
      <c r="F650" s="131" t="s">
        <v>29</v>
      </c>
      <c r="G650" s="130" t="n">
        <v>2000000</v>
      </c>
      <c r="H650" s="131" t="n">
        <v>784</v>
      </c>
      <c r="I650" s="132" t="n">
        <v>0.3</v>
      </c>
      <c r="J650" s="132" t="n">
        <v>0.37</v>
      </c>
      <c r="K650" s="130" t="n">
        <v>1.52385936317597</v>
      </c>
      <c r="L650" s="132" t="n">
        <v>0.37</v>
      </c>
      <c r="M650" s="131" t="s">
        <v>64</v>
      </c>
      <c r="N650" s="133" t="n">
        <v>0.853346527737354</v>
      </c>
      <c r="O650" s="133" t="n">
        <v>1.52385936317597</v>
      </c>
      <c r="P650" s="132" t="n">
        <v>0.0215</v>
      </c>
      <c r="Q650" s="131" t="s">
        <v>130</v>
      </c>
      <c r="R650" s="130" t="n">
        <v>0</v>
      </c>
      <c r="S650" s="143" t="n">
        <v>0</v>
      </c>
      <c r="T650" s="134" t="n">
        <v>45520.3867063657</v>
      </c>
    </row>
    <row r="651" customFormat="false" ht="39.75" hidden="false" customHeight="true" outlineLevel="0" collapsed="false">
      <c r="B651" s="130" t="n">
        <v>38790788</v>
      </c>
      <c r="C651" s="131" t="s">
        <v>699</v>
      </c>
      <c r="D651" s="131" t="s">
        <v>135</v>
      </c>
      <c r="E651" s="130" t="n">
        <v>5842800</v>
      </c>
      <c r="F651" s="131" t="s">
        <v>29</v>
      </c>
      <c r="G651" s="130" t="n">
        <v>4000000</v>
      </c>
      <c r="H651" s="131" t="n">
        <v>677</v>
      </c>
      <c r="I651" s="132" t="n">
        <v>0.22</v>
      </c>
      <c r="J651" s="132" t="n">
        <v>0.25</v>
      </c>
      <c r="K651" s="130" t="n">
        <v>3.05022574792908</v>
      </c>
      <c r="L651" s="132" t="n">
        <v>0.25</v>
      </c>
      <c r="M651" s="131" t="s">
        <v>62</v>
      </c>
      <c r="N651" s="133" t="n">
        <v>0.754532758266585</v>
      </c>
      <c r="O651" s="133" t="n">
        <v>3.05022574792908</v>
      </c>
      <c r="P651" s="132" t="n">
        <v>0.0215</v>
      </c>
      <c r="Q651" s="131" t="s">
        <v>130</v>
      </c>
      <c r="R651" s="130" t="n">
        <v>7773000</v>
      </c>
      <c r="S651" s="143" t="s">
        <v>166</v>
      </c>
      <c r="T651" s="134" t="n">
        <v>45520.388743287</v>
      </c>
    </row>
    <row r="652" customFormat="false" ht="39.75" hidden="false" customHeight="true" outlineLevel="0" collapsed="false">
      <c r="B652" s="130" t="n">
        <v>1143948839</v>
      </c>
      <c r="C652" s="131" t="s">
        <v>700</v>
      </c>
      <c r="D652" s="131" t="s">
        <v>135</v>
      </c>
      <c r="E652" s="130" t="n">
        <v>2600900</v>
      </c>
      <c r="F652" s="131" t="s">
        <v>29</v>
      </c>
      <c r="G652" s="130" t="n">
        <v>2000000</v>
      </c>
      <c r="H652" s="131" t="n">
        <v>726</v>
      </c>
      <c r="I652" s="132" t="n">
        <v>0.3</v>
      </c>
      <c r="J652" s="132" t="n">
        <v>0.31</v>
      </c>
      <c r="K652" s="130" t="n">
        <v>10.5377081010419</v>
      </c>
      <c r="L652" s="132" t="n">
        <v>0.31</v>
      </c>
      <c r="M652" s="131" t="s">
        <v>62</v>
      </c>
      <c r="N652" s="133" t="n">
        <v>4.71945057480103</v>
      </c>
      <c r="O652" s="133" t="n">
        <v>10.5377081010419</v>
      </c>
      <c r="P652" s="132" t="n">
        <v>0.0215</v>
      </c>
      <c r="Q652" s="131" t="s">
        <v>130</v>
      </c>
      <c r="R652" s="130" t="n">
        <v>16667000</v>
      </c>
      <c r="S652" s="143" t="s">
        <v>166</v>
      </c>
      <c r="T652" s="134" t="n">
        <v>45520.3913494213</v>
      </c>
    </row>
    <row r="653" customFormat="false" ht="39.75" hidden="false" customHeight="true" outlineLevel="0" collapsed="false">
      <c r="B653" s="130" t="n">
        <v>1107507036</v>
      </c>
      <c r="C653" s="131" t="s">
        <v>178</v>
      </c>
      <c r="D653" s="131" t="s">
        <v>135</v>
      </c>
      <c r="E653" s="130" t="n">
        <v>2600900</v>
      </c>
      <c r="F653" s="131" t="s">
        <v>29</v>
      </c>
      <c r="G653" s="130" t="n">
        <v>664000</v>
      </c>
      <c r="H653" s="131" t="n">
        <v>553</v>
      </c>
      <c r="I653" s="132" t="n">
        <v>0.09</v>
      </c>
      <c r="J653" s="132" t="n">
        <v>0.1</v>
      </c>
      <c r="K653" s="130" t="n">
        <v>11.9911438348264</v>
      </c>
      <c r="L653" s="132" t="n">
        <v>0.1</v>
      </c>
      <c r="M653" s="131" t="s">
        <v>64</v>
      </c>
      <c r="N653" s="133" t="n">
        <v>10.8562989734323</v>
      </c>
      <c r="O653" s="133" t="n">
        <v>11.9911438348264</v>
      </c>
      <c r="P653" s="132" t="n">
        <v>0.0215</v>
      </c>
      <c r="Q653" s="131" t="s">
        <v>130</v>
      </c>
      <c r="R653" s="130" t="n">
        <v>26517000</v>
      </c>
      <c r="S653" s="143" t="s">
        <v>166</v>
      </c>
      <c r="T653" s="134" t="n">
        <v>45520.3933998843</v>
      </c>
    </row>
    <row r="654" customFormat="false" ht="39.75" hidden="false" customHeight="true" outlineLevel="0" collapsed="false">
      <c r="B654" s="130" t="n">
        <v>1107530279</v>
      </c>
      <c r="C654" s="131" t="s">
        <v>701</v>
      </c>
      <c r="D654" s="131" t="s">
        <v>135</v>
      </c>
      <c r="E654" s="130" t="n">
        <v>2315000</v>
      </c>
      <c r="F654" s="131" t="s">
        <v>29</v>
      </c>
      <c r="G654" s="130" t="n">
        <v>2900000</v>
      </c>
      <c r="H654" s="131" t="n">
        <v>611</v>
      </c>
      <c r="I654" s="132" t="n">
        <v>0.12</v>
      </c>
      <c r="J654" s="132" t="n">
        <v>0.25</v>
      </c>
      <c r="K654" s="130" t="n">
        <v>5.29157667386609</v>
      </c>
      <c r="L654" s="132" t="n">
        <v>0.25</v>
      </c>
      <c r="M654" s="131" t="s">
        <v>64</v>
      </c>
      <c r="N654" s="133" t="n">
        <v>1.57898056155508</v>
      </c>
      <c r="O654" s="133" t="n">
        <v>5.29157667386609</v>
      </c>
      <c r="P654" s="132" t="n">
        <v>0.0215</v>
      </c>
      <c r="Q654" s="131" t="s">
        <v>130</v>
      </c>
      <c r="R654" s="130" t="n">
        <v>12250000</v>
      </c>
      <c r="S654" s="143" t="n">
        <v>0</v>
      </c>
      <c r="T654" s="134" t="n">
        <v>45520.4926321759</v>
      </c>
    </row>
    <row r="655" customFormat="false" ht="39.75" hidden="false" customHeight="true" outlineLevel="0" collapsed="false">
      <c r="B655" s="130" t="n">
        <v>1144041996</v>
      </c>
      <c r="C655" s="131" t="s">
        <v>702</v>
      </c>
      <c r="D655" s="131" t="s">
        <v>135</v>
      </c>
      <c r="E655" s="130" t="n">
        <v>2893800</v>
      </c>
      <c r="F655" s="131" t="s">
        <v>14</v>
      </c>
      <c r="G655" s="130" t="n">
        <v>5000000</v>
      </c>
      <c r="H655" s="131" t="n">
        <v>779</v>
      </c>
      <c r="I655" s="132" t="n">
        <v>0.35</v>
      </c>
      <c r="J655" s="132" t="n">
        <v>0.36</v>
      </c>
      <c r="K655" s="130" t="n">
        <v>29.8952152878568</v>
      </c>
      <c r="L655" s="132" t="n">
        <v>0.36</v>
      </c>
      <c r="M655" s="131" t="s">
        <v>64</v>
      </c>
      <c r="N655" s="133" t="n">
        <v>1.58303994747391</v>
      </c>
      <c r="O655" s="133" t="n">
        <v>29.8952152878568</v>
      </c>
      <c r="P655" s="132" t="n">
        <v>0.0215</v>
      </c>
      <c r="Q655" s="131" t="s">
        <v>130</v>
      </c>
      <c r="R655" s="130" t="n">
        <v>85957000</v>
      </c>
      <c r="S655" s="143" t="s">
        <v>146</v>
      </c>
      <c r="T655" s="134" t="n">
        <v>45525.3678040509</v>
      </c>
    </row>
    <row r="656" customFormat="false" ht="39.75" hidden="false" customHeight="true" outlineLevel="0" collapsed="false">
      <c r="B656" s="130" t="n">
        <v>29105840</v>
      </c>
      <c r="C656" s="131" t="s">
        <v>703</v>
      </c>
      <c r="D656" s="131" t="s">
        <v>135</v>
      </c>
      <c r="E656" s="130" t="n">
        <v>2600900</v>
      </c>
      <c r="F656" s="131" t="s">
        <v>14</v>
      </c>
      <c r="G656" s="130" t="n">
        <v>6000000</v>
      </c>
      <c r="H656" s="131" t="n">
        <v>814</v>
      </c>
      <c r="I656" s="132" t="n">
        <v>0.16</v>
      </c>
      <c r="J656" s="132" t="n">
        <v>0.29</v>
      </c>
      <c r="K656" s="130" t="n">
        <v>3.39181860125341</v>
      </c>
      <c r="L656" s="132" t="n">
        <v>0.29</v>
      </c>
      <c r="M656" s="131" t="s">
        <v>62</v>
      </c>
      <c r="N656" s="133" t="n">
        <v>1.0115563843285</v>
      </c>
      <c r="O656" s="133" t="n">
        <v>3.39181860125341</v>
      </c>
      <c r="P656" s="132" t="n">
        <v>0.0199</v>
      </c>
      <c r="Q656" s="131" t="s">
        <v>130</v>
      </c>
      <c r="R656" s="130" t="n">
        <v>8589000</v>
      </c>
      <c r="S656" s="143" t="n">
        <v>0</v>
      </c>
      <c r="T656" s="134" t="n">
        <v>45525.368958912</v>
      </c>
    </row>
    <row r="657" customFormat="false" ht="39.75" hidden="false" customHeight="true" outlineLevel="0" collapsed="false">
      <c r="B657" s="130" t="n">
        <v>1085253482</v>
      </c>
      <c r="C657" s="131" t="s">
        <v>330</v>
      </c>
      <c r="D657" s="131" t="s">
        <v>135</v>
      </c>
      <c r="E657" s="130" t="n">
        <v>5291000</v>
      </c>
      <c r="F657" s="131" t="s">
        <v>14</v>
      </c>
      <c r="G657" s="130" t="n">
        <v>6000000</v>
      </c>
      <c r="H657" s="131" t="n">
        <v>710</v>
      </c>
      <c r="I657" s="132" t="n">
        <v>0.23</v>
      </c>
      <c r="J657" s="132" t="n">
        <v>0.28</v>
      </c>
      <c r="K657" s="130" t="n">
        <v>10.4082404082404</v>
      </c>
      <c r="L657" s="132" t="n">
        <v>0.28</v>
      </c>
      <c r="M657" s="131" t="s">
        <v>62</v>
      </c>
      <c r="N657" s="133" t="n">
        <v>0.960426195426196</v>
      </c>
      <c r="O657" s="133" t="n">
        <v>10.4082404082404</v>
      </c>
      <c r="P657" s="132" t="n">
        <v>0.0199</v>
      </c>
      <c r="Q657" s="131" t="s">
        <v>130</v>
      </c>
      <c r="R657" s="130" t="n">
        <v>55070000</v>
      </c>
      <c r="S657" s="143" t="n">
        <v>0</v>
      </c>
      <c r="T657" s="134" t="n">
        <v>45525.372565162</v>
      </c>
    </row>
    <row r="658" customFormat="false" ht="39.75" hidden="false" customHeight="true" outlineLevel="0" collapsed="false">
      <c r="B658" s="130" t="n">
        <v>1107045080</v>
      </c>
      <c r="C658" s="131" t="s">
        <v>704</v>
      </c>
      <c r="D658" s="131" t="s">
        <v>135</v>
      </c>
      <c r="E658" s="130" t="n">
        <v>5418800</v>
      </c>
      <c r="F658" s="131" t="s">
        <v>29</v>
      </c>
      <c r="G658" s="130" t="n">
        <v>2600000</v>
      </c>
      <c r="H658" s="131" t="n">
        <v>576</v>
      </c>
      <c r="I658" s="132" t="n">
        <v>0.34</v>
      </c>
      <c r="J658" s="132" t="n">
        <v>0.39</v>
      </c>
      <c r="K658" s="130" t="n">
        <v>15.2808739942423</v>
      </c>
      <c r="L658" s="132" t="n">
        <v>0.39</v>
      </c>
      <c r="M658" s="131" t="s">
        <v>64</v>
      </c>
      <c r="N658" s="133" t="n">
        <v>1.05477467335942</v>
      </c>
      <c r="O658" s="133" t="n">
        <v>15.2808739942423</v>
      </c>
      <c r="P658" s="132" t="n">
        <v>0.0215</v>
      </c>
      <c r="Q658" s="131" t="s">
        <v>130</v>
      </c>
      <c r="R658" s="130" t="n">
        <v>82672000</v>
      </c>
      <c r="S658" s="143" t="n">
        <v>0</v>
      </c>
      <c r="T658" s="134" t="n">
        <v>45525.4832489583</v>
      </c>
    </row>
    <row r="659" customFormat="false" ht="39.75" hidden="false" customHeight="true" outlineLevel="0" collapsed="false">
      <c r="B659" s="130" t="n">
        <v>1192767362</v>
      </c>
      <c r="C659" s="131" t="s">
        <v>705</v>
      </c>
      <c r="D659" s="131" t="s">
        <v>135</v>
      </c>
      <c r="E659" s="130" t="n">
        <v>1670000</v>
      </c>
      <c r="F659" s="131" t="s">
        <v>29</v>
      </c>
      <c r="G659" s="130" t="n">
        <v>1000000</v>
      </c>
      <c r="H659" s="131" t="n">
        <v>667</v>
      </c>
      <c r="I659" s="132" t="n">
        <v>0.22</v>
      </c>
      <c r="J659" s="132" t="n">
        <v>0.25</v>
      </c>
      <c r="K659" s="130" t="n">
        <v>2.78118203592814</v>
      </c>
      <c r="L659" s="132" t="n">
        <v>0.25</v>
      </c>
      <c r="M659" s="131" t="s">
        <v>64</v>
      </c>
      <c r="N659" s="133" t="n">
        <v>0.876061676646707</v>
      </c>
      <c r="O659" s="133" t="n">
        <v>2.78118203592814</v>
      </c>
      <c r="P659" s="132" t="n">
        <v>0.0215</v>
      </c>
      <c r="Q659" s="131" t="s">
        <v>130</v>
      </c>
      <c r="R659" s="130" t="n">
        <v>3402000</v>
      </c>
      <c r="S659" s="143" t="n">
        <v>0</v>
      </c>
      <c r="T659" s="134" t="n">
        <v>45525.6305533565</v>
      </c>
    </row>
    <row r="660" customFormat="false" ht="39.75" hidden="false" customHeight="true" outlineLevel="0" collapsed="false">
      <c r="B660" s="130" t="n">
        <v>1144193870</v>
      </c>
      <c r="C660" s="131" t="s">
        <v>706</v>
      </c>
      <c r="D660" s="131" t="s">
        <v>135</v>
      </c>
      <c r="E660" s="130" t="n">
        <v>2600900</v>
      </c>
      <c r="F660" s="131" t="s">
        <v>19</v>
      </c>
      <c r="G660" s="130" t="n">
        <v>2300000</v>
      </c>
      <c r="H660" s="131" t="n">
        <v>476</v>
      </c>
      <c r="I660" s="132" t="n">
        <v>0.05</v>
      </c>
      <c r="J660" s="132" t="n">
        <v>0.13</v>
      </c>
      <c r="K660" s="130" t="n">
        <v>0.277980698988812</v>
      </c>
      <c r="L660" s="132" t="n">
        <v>0.13</v>
      </c>
      <c r="M660" s="131" t="s">
        <v>64</v>
      </c>
      <c r="N660" s="133" t="n">
        <v>0.748255988311738</v>
      </c>
      <c r="O660" s="133" t="n">
        <v>0.277980698988812</v>
      </c>
      <c r="P660" s="132" t="n">
        <v>0.006</v>
      </c>
      <c r="Q660" s="131" t="s">
        <v>130</v>
      </c>
      <c r="R660" s="130" t="n">
        <v>723000</v>
      </c>
      <c r="S660" s="143" t="n">
        <v>0</v>
      </c>
      <c r="T660" s="134" t="n">
        <v>45525.6653508102</v>
      </c>
    </row>
    <row r="661" customFormat="false" ht="39.75" hidden="false" customHeight="true" outlineLevel="0" collapsed="false">
      <c r="B661" s="130" t="n">
        <v>38613482</v>
      </c>
      <c r="C661" s="131" t="s">
        <v>277</v>
      </c>
      <c r="D661" s="131" t="s">
        <v>135</v>
      </c>
      <c r="E661" s="130" t="n">
        <v>1625000</v>
      </c>
      <c r="F661" s="131" t="s">
        <v>29</v>
      </c>
      <c r="G661" s="130" t="n">
        <v>480000</v>
      </c>
      <c r="H661" s="131" t="n">
        <v>683</v>
      </c>
      <c r="I661" s="132" t="n">
        <v>0.5</v>
      </c>
      <c r="J661" s="132" t="n">
        <v>0.54</v>
      </c>
      <c r="K661" s="130" t="n">
        <v>20.0208104615385</v>
      </c>
      <c r="L661" s="132" t="n">
        <v>0.54</v>
      </c>
      <c r="M661" s="131" t="s">
        <v>64</v>
      </c>
      <c r="N661" s="133" t="n">
        <v>1.45062830769231</v>
      </c>
      <c r="O661" s="133" t="n">
        <v>20.0208104615385</v>
      </c>
      <c r="P661" s="132" t="n">
        <v>0.0215</v>
      </c>
      <c r="Q661" s="131" t="s">
        <v>130</v>
      </c>
      <c r="R661" s="130" t="n">
        <v>29552000</v>
      </c>
      <c r="S661" s="143" t="n">
        <v>0</v>
      </c>
      <c r="T661" s="134" t="n">
        <v>45525.6674982639</v>
      </c>
    </row>
    <row r="662" customFormat="false" ht="39.75" hidden="false" customHeight="true" outlineLevel="0" collapsed="false">
      <c r="B662" s="130" t="n">
        <v>1144155708</v>
      </c>
      <c r="C662" s="131" t="s">
        <v>297</v>
      </c>
      <c r="D662" s="131" t="s">
        <v>135</v>
      </c>
      <c r="E662" s="130" t="n">
        <v>2893800</v>
      </c>
      <c r="F662" s="131" t="s">
        <v>29</v>
      </c>
      <c r="G662" s="130" t="n">
        <v>1500000</v>
      </c>
      <c r="H662" s="131" t="n">
        <v>458</v>
      </c>
      <c r="I662" s="132" t="n">
        <v>0.21</v>
      </c>
      <c r="J662" s="132" t="n">
        <v>0.25</v>
      </c>
      <c r="K662" s="130" t="n">
        <v>9.88136395051489</v>
      </c>
      <c r="L662" s="132" t="n">
        <v>0.25</v>
      </c>
      <c r="M662" s="131" t="s">
        <v>64</v>
      </c>
      <c r="N662" s="133" t="n">
        <v>1.64705024535213</v>
      </c>
      <c r="O662" s="133" t="n">
        <v>9.88136395051489</v>
      </c>
      <c r="P662" s="132" t="n">
        <v>0.0215</v>
      </c>
      <c r="Q662" s="131" t="s">
        <v>130</v>
      </c>
      <c r="R662" s="130" t="n">
        <v>26689000</v>
      </c>
      <c r="S662" s="143" t="n">
        <v>0</v>
      </c>
      <c r="T662" s="134" t="n">
        <v>45525.6723708333</v>
      </c>
    </row>
    <row r="663" customFormat="false" ht="39.75" hidden="false" customHeight="true" outlineLevel="0" collapsed="false">
      <c r="B663" s="130" t="n">
        <v>67043166</v>
      </c>
      <c r="C663" s="131" t="s">
        <v>707</v>
      </c>
      <c r="D663" s="131" t="s">
        <v>135</v>
      </c>
      <c r="E663" s="130" t="n">
        <v>1670000</v>
      </c>
      <c r="F663" s="131" t="s">
        <v>29</v>
      </c>
      <c r="G663" s="130" t="n">
        <v>1700000</v>
      </c>
      <c r="H663" s="131" t="n">
        <v>406</v>
      </c>
      <c r="I663" s="132" t="n">
        <v>0.16</v>
      </c>
      <c r="J663" s="132" t="n">
        <v>0.22</v>
      </c>
      <c r="K663" s="130" t="n">
        <v>4.71832155688623</v>
      </c>
      <c r="L663" s="132" t="n">
        <v>0.22</v>
      </c>
      <c r="M663" s="131" t="s">
        <v>64</v>
      </c>
      <c r="N663" s="133" t="n">
        <v>1.10694491017964</v>
      </c>
      <c r="O663" s="133" t="n">
        <v>4.71832155688623</v>
      </c>
      <c r="P663" s="132" t="n">
        <v>0.0215</v>
      </c>
      <c r="Q663" s="131" t="s">
        <v>130</v>
      </c>
      <c r="R663" s="130" t="n">
        <v>7687000</v>
      </c>
      <c r="S663" s="143" t="n">
        <v>0</v>
      </c>
      <c r="T663" s="134" t="n">
        <v>45525.6829208333</v>
      </c>
    </row>
    <row r="664" customFormat="false" ht="39.75" hidden="false" customHeight="true" outlineLevel="0" collapsed="false">
      <c r="B664" s="130" t="n">
        <v>1107530583</v>
      </c>
      <c r="C664" s="131" t="s">
        <v>708</v>
      </c>
      <c r="D664" s="131" t="s">
        <v>135</v>
      </c>
      <c r="E664" s="130" t="n">
        <v>4761900</v>
      </c>
      <c r="F664" s="131" t="s">
        <v>29</v>
      </c>
      <c r="G664" s="130" t="n">
        <v>3400000</v>
      </c>
      <c r="H664" s="131" t="n">
        <v>627</v>
      </c>
      <c r="I664" s="132" t="n">
        <v>0.28</v>
      </c>
      <c r="J664" s="132" t="n">
        <v>0.3</v>
      </c>
      <c r="K664" s="130" t="n">
        <v>19.6045696045696</v>
      </c>
      <c r="L664" s="132" t="n">
        <v>0.3</v>
      </c>
      <c r="M664" s="131" t="s">
        <v>64</v>
      </c>
      <c r="N664" s="133" t="n">
        <v>3.06979713979714</v>
      </c>
      <c r="O664" s="133" t="n">
        <v>19.6045696045696</v>
      </c>
      <c r="P664" s="132" t="n">
        <v>0.0215</v>
      </c>
      <c r="Q664" s="131" t="s">
        <v>130</v>
      </c>
      <c r="R664" s="130" t="n">
        <v>93355000</v>
      </c>
      <c r="S664" s="143" t="n">
        <v>0</v>
      </c>
      <c r="T664" s="134" t="n">
        <v>45525.694969213</v>
      </c>
    </row>
    <row r="665" customFormat="false" ht="39.75" hidden="false" customHeight="true" outlineLevel="0" collapsed="false">
      <c r="B665" s="130" t="n">
        <v>1086133211</v>
      </c>
      <c r="C665" s="131" t="s">
        <v>709</v>
      </c>
      <c r="D665" s="131" t="s">
        <v>135</v>
      </c>
      <c r="E665" s="130" t="n">
        <v>2893800</v>
      </c>
      <c r="F665" s="131" t="s">
        <v>29</v>
      </c>
      <c r="G665" s="130" t="n">
        <v>3600000</v>
      </c>
      <c r="H665" s="131" t="n">
        <v>847</v>
      </c>
      <c r="I665" s="132" t="n">
        <v>0.42</v>
      </c>
      <c r="J665" s="132" t="n">
        <v>0.46</v>
      </c>
      <c r="K665" s="130" t="n">
        <v>13.8706185638261</v>
      </c>
      <c r="L665" s="132" t="n">
        <v>0.46</v>
      </c>
      <c r="M665" s="131" t="s">
        <v>62</v>
      </c>
      <c r="N665" s="133" t="n">
        <v>1.37102598659202</v>
      </c>
      <c r="O665" s="133" t="n">
        <v>13.8706185638261</v>
      </c>
      <c r="P665" s="132" t="n">
        <v>0.0215</v>
      </c>
      <c r="Q665" s="131" t="s">
        <v>130</v>
      </c>
      <c r="R665" s="130" t="n">
        <v>39254000</v>
      </c>
      <c r="S665" s="143" t="n">
        <v>0</v>
      </c>
      <c r="T665" s="134" t="n">
        <v>45525.6963421296</v>
      </c>
    </row>
    <row r="666" customFormat="false" ht="39.75" hidden="false" customHeight="true" outlineLevel="0" collapsed="false">
      <c r="B666" s="130" t="n">
        <v>1113658300</v>
      </c>
      <c r="C666" s="131" t="s">
        <v>710</v>
      </c>
      <c r="D666" s="131" t="s">
        <v>135</v>
      </c>
      <c r="E666" s="130" t="n">
        <v>2604400</v>
      </c>
      <c r="F666" s="131" t="s">
        <v>29</v>
      </c>
      <c r="G666" s="130" t="n">
        <v>900000</v>
      </c>
      <c r="H666" s="131" t="n">
        <v>611</v>
      </c>
      <c r="I666" s="132" t="n">
        <v>0.24</v>
      </c>
      <c r="J666" s="132" t="n">
        <v>0.28</v>
      </c>
      <c r="K666" s="130" t="n">
        <v>9.79543349715866</v>
      </c>
      <c r="L666" s="132" t="n">
        <v>0.28</v>
      </c>
      <c r="M666" s="131" t="s">
        <v>64</v>
      </c>
      <c r="N666" s="133" t="n">
        <v>9.16121179542313</v>
      </c>
      <c r="O666" s="133" t="n">
        <v>9.79543349715866</v>
      </c>
      <c r="P666" s="132" t="n">
        <v>0.0215</v>
      </c>
      <c r="Q666" s="131" t="s">
        <v>130</v>
      </c>
      <c r="R666" s="130" t="n">
        <v>22556000</v>
      </c>
      <c r="S666" s="143" t="n">
        <v>0</v>
      </c>
      <c r="T666" s="134" t="n">
        <v>45527.4604924769</v>
      </c>
    </row>
    <row r="667" customFormat="false" ht="39.75" hidden="false" customHeight="true" outlineLevel="0" collapsed="false">
      <c r="B667" s="130" t="n">
        <v>1130671304</v>
      </c>
      <c r="C667" s="131" t="s">
        <v>711</v>
      </c>
      <c r="D667" s="131" t="s">
        <v>135</v>
      </c>
      <c r="E667" s="130" t="n">
        <v>2255900</v>
      </c>
      <c r="F667" s="131" t="s">
        <v>29</v>
      </c>
      <c r="G667" s="130" t="n">
        <v>2000000</v>
      </c>
      <c r="H667" s="131" t="n">
        <v>536</v>
      </c>
      <c r="I667" s="132" t="n">
        <v>0.28</v>
      </c>
      <c r="J667" s="132" t="n">
        <v>0.37</v>
      </c>
      <c r="K667" s="130" t="n">
        <v>11.8905979874994</v>
      </c>
      <c r="L667" s="132" t="n">
        <v>0.37</v>
      </c>
      <c r="M667" s="131" t="s">
        <v>64</v>
      </c>
      <c r="N667" s="133" t="n">
        <v>2.14257147923224</v>
      </c>
      <c r="O667" s="133" t="n">
        <v>11.8905979874994</v>
      </c>
      <c r="P667" s="132" t="n">
        <v>0.0215</v>
      </c>
      <c r="Q667" s="131" t="s">
        <v>130</v>
      </c>
      <c r="R667" s="130" t="n">
        <v>26824000</v>
      </c>
      <c r="S667" s="143" t="n">
        <v>0</v>
      </c>
      <c r="T667" s="134" t="n">
        <v>45527.4631421296</v>
      </c>
    </row>
    <row r="668" customFormat="false" ht="39.75" hidden="false" customHeight="true" outlineLevel="0" collapsed="false">
      <c r="B668" s="130" t="n">
        <v>1061773444</v>
      </c>
      <c r="C668" s="131" t="s">
        <v>712</v>
      </c>
      <c r="D668" s="131" t="s">
        <v>135</v>
      </c>
      <c r="E668" s="130" t="n">
        <v>5418800</v>
      </c>
      <c r="F668" s="131" t="s">
        <v>29</v>
      </c>
      <c r="G668" s="130" t="n">
        <v>2000000</v>
      </c>
      <c r="H668" s="131" t="n">
        <v>668</v>
      </c>
      <c r="I668" s="132" t="n">
        <v>0.17</v>
      </c>
      <c r="J668" s="132" t="n">
        <v>0.19</v>
      </c>
      <c r="K668" s="130" t="n">
        <v>2.98126670111464</v>
      </c>
      <c r="L668" s="132" t="n">
        <v>0.19</v>
      </c>
      <c r="M668" s="131" t="s">
        <v>64</v>
      </c>
      <c r="N668" s="133" t="n">
        <v>1.18196279619104</v>
      </c>
      <c r="O668" s="133" t="n">
        <v>2.98126670111464</v>
      </c>
      <c r="P668" s="132" t="n">
        <v>0.0215</v>
      </c>
      <c r="Q668" s="131" t="s">
        <v>130</v>
      </c>
      <c r="R668" s="130" t="n">
        <v>11789000</v>
      </c>
      <c r="S668" s="143" t="s">
        <v>336</v>
      </c>
      <c r="T668" s="134" t="n">
        <v>45527.4685853009</v>
      </c>
    </row>
    <row r="669" customFormat="false" ht="39.75" hidden="false" customHeight="true" outlineLevel="0" collapsed="false">
      <c r="B669" s="130" t="n">
        <v>1144104785</v>
      </c>
      <c r="C669" s="131" t="s">
        <v>713</v>
      </c>
      <c r="D669" s="131" t="s">
        <v>135</v>
      </c>
      <c r="E669" s="130" t="n">
        <v>2600900</v>
      </c>
      <c r="F669" s="131" t="s">
        <v>29</v>
      </c>
      <c r="G669" s="130" t="n">
        <v>1200000</v>
      </c>
      <c r="H669" s="131" t="n">
        <v>712</v>
      </c>
      <c r="I669" s="132" t="n">
        <v>0.29</v>
      </c>
      <c r="J669" s="132" t="n">
        <v>0.3</v>
      </c>
      <c r="K669" s="130" t="n">
        <v>5.65715521550233</v>
      </c>
      <c r="L669" s="132" t="n">
        <v>0.3</v>
      </c>
      <c r="M669" s="131" t="s">
        <v>64</v>
      </c>
      <c r="N669" s="133" t="n">
        <v>0.971161136529663</v>
      </c>
      <c r="O669" s="133" t="n">
        <v>5.65715521550233</v>
      </c>
      <c r="P669" s="132" t="n">
        <v>0.0215</v>
      </c>
      <c r="Q669" s="131" t="s">
        <v>130</v>
      </c>
      <c r="R669" s="130" t="n">
        <v>12590000</v>
      </c>
      <c r="S669" s="143" t="n">
        <v>0</v>
      </c>
      <c r="T669" s="134" t="n">
        <v>45527.4925377315</v>
      </c>
    </row>
    <row r="670" customFormat="false" ht="39.75" hidden="false" customHeight="true" outlineLevel="0" collapsed="false">
      <c r="B670" s="130" t="n">
        <v>29117076</v>
      </c>
      <c r="C670" s="131" t="s">
        <v>388</v>
      </c>
      <c r="D670" s="131" t="s">
        <v>135</v>
      </c>
      <c r="E670" s="130" t="n">
        <v>13588800</v>
      </c>
      <c r="F670" s="131" t="s">
        <v>29</v>
      </c>
      <c r="G670" s="130" t="n">
        <v>2500000</v>
      </c>
      <c r="H670" s="131" t="n">
        <v>411</v>
      </c>
      <c r="I670" s="132" t="n">
        <v>0.23</v>
      </c>
      <c r="J670" s="132" t="n">
        <v>0.25</v>
      </c>
      <c r="K670" s="130" t="n">
        <v>12.6913788561168</v>
      </c>
      <c r="L670" s="132" t="n">
        <v>0.25</v>
      </c>
      <c r="M670" s="131" t="s">
        <v>64</v>
      </c>
      <c r="N670" s="133" t="n">
        <v>1.15029877546215</v>
      </c>
      <c r="O670" s="133" t="n">
        <v>12.6913788561168</v>
      </c>
      <c r="P670" s="132" t="n">
        <v>0.0215</v>
      </c>
      <c r="Q670" s="131" t="s">
        <v>130</v>
      </c>
      <c r="R670" s="130" t="n">
        <v>167408000</v>
      </c>
      <c r="S670" s="143" t="n">
        <v>0</v>
      </c>
      <c r="T670" s="134" t="n">
        <v>45527.4940895833</v>
      </c>
    </row>
    <row r="671" customFormat="false" ht="39.75" hidden="false" customHeight="true" outlineLevel="0" collapsed="false">
      <c r="B671" s="130" t="n">
        <v>29360578</v>
      </c>
      <c r="C671" s="131" t="s">
        <v>714</v>
      </c>
      <c r="D671" s="131" t="s">
        <v>135</v>
      </c>
      <c r="E671" s="130" t="n">
        <v>2893800</v>
      </c>
      <c r="F671" s="131" t="s">
        <v>29</v>
      </c>
      <c r="G671" s="130" t="n">
        <v>4000000</v>
      </c>
      <c r="H671" s="131" t="n">
        <v>665</v>
      </c>
      <c r="I671" s="132" t="n">
        <v>0.23</v>
      </c>
      <c r="J671" s="132" t="n">
        <v>0.27</v>
      </c>
      <c r="K671" s="130" t="n">
        <v>1.03954558020596</v>
      </c>
      <c r="L671" s="132" t="n">
        <v>0.27</v>
      </c>
      <c r="M671" s="131" t="s">
        <v>64</v>
      </c>
      <c r="N671" s="133" t="n">
        <v>0.788347501555049</v>
      </c>
      <c r="O671" s="133" t="n">
        <v>1.03954558020596</v>
      </c>
      <c r="P671" s="132" t="n">
        <v>0.0215</v>
      </c>
      <c r="Q671" s="131" t="s">
        <v>130</v>
      </c>
      <c r="R671" s="130" t="n">
        <v>0</v>
      </c>
      <c r="S671" s="143" t="n">
        <v>0</v>
      </c>
      <c r="T671" s="134" t="n">
        <v>45527.548990625</v>
      </c>
    </row>
    <row r="672" customFormat="false" ht="39.75" hidden="false" customHeight="true" outlineLevel="0" collapsed="false">
      <c r="B672" s="130" t="n">
        <v>30398858</v>
      </c>
      <c r="C672" s="131" t="s">
        <v>134</v>
      </c>
      <c r="D672" s="131" t="s">
        <v>135</v>
      </c>
      <c r="E672" s="130" t="n">
        <v>7114600</v>
      </c>
      <c r="F672" s="131" t="s">
        <v>29</v>
      </c>
      <c r="G672" s="130" t="n">
        <v>1000000</v>
      </c>
      <c r="H672" s="131" t="n">
        <v>747</v>
      </c>
      <c r="I672" s="132" t="n">
        <v>0.25</v>
      </c>
      <c r="J672" s="132" t="n">
        <v>0.26</v>
      </c>
      <c r="K672" s="130" t="n">
        <v>5.41686911421584</v>
      </c>
      <c r="L672" s="132" t="n">
        <v>0.26</v>
      </c>
      <c r="M672" s="131" t="s">
        <v>62</v>
      </c>
      <c r="N672" s="133" t="n">
        <v>1.02412813088578</v>
      </c>
      <c r="O672" s="133" t="n">
        <v>5.41686911421584</v>
      </c>
      <c r="P672" s="132" t="n">
        <v>0.0215</v>
      </c>
      <c r="Q672" s="131" t="s">
        <v>130</v>
      </c>
      <c r="R672" s="130" t="n">
        <v>2188000</v>
      </c>
      <c r="S672" s="143" t="s">
        <v>715</v>
      </c>
      <c r="T672" s="134" t="n">
        <v>45527.5549621528</v>
      </c>
    </row>
    <row r="673" customFormat="false" ht="39.75" hidden="false" customHeight="true" outlineLevel="0" collapsed="false">
      <c r="B673" s="130" t="n">
        <v>31538587</v>
      </c>
      <c r="C673" s="131" t="s">
        <v>716</v>
      </c>
      <c r="D673" s="131" t="s">
        <v>135</v>
      </c>
      <c r="E673" s="130" t="n">
        <v>2600900</v>
      </c>
      <c r="F673" s="131" t="s">
        <v>16</v>
      </c>
      <c r="G673" s="130" t="n">
        <v>4300000</v>
      </c>
      <c r="H673" s="131" t="n">
        <v>828</v>
      </c>
      <c r="I673" s="132" t="n">
        <v>0.17</v>
      </c>
      <c r="J673" s="132" t="n">
        <v>0.26</v>
      </c>
      <c r="K673" s="130" t="n">
        <v>11.0601149602061</v>
      </c>
      <c r="L673" s="132" t="n">
        <v>0.26</v>
      </c>
      <c r="M673" s="131" t="s">
        <v>61</v>
      </c>
      <c r="N673" s="133" t="n">
        <v>1.03705294321197</v>
      </c>
      <c r="O673" s="133" t="n">
        <v>11.0601149602061</v>
      </c>
      <c r="P673" s="132" t="n">
        <v>0.0199</v>
      </c>
      <c r="Q673" s="131" t="s">
        <v>130</v>
      </c>
      <c r="R673" s="130" t="n">
        <v>20455000</v>
      </c>
      <c r="S673" s="143" t="s">
        <v>717</v>
      </c>
      <c r="T673" s="134" t="n">
        <v>45532.3619115741</v>
      </c>
    </row>
    <row r="674" customFormat="false" ht="39.75" hidden="false" customHeight="true" outlineLevel="0" collapsed="false">
      <c r="B674" s="130" t="n">
        <v>16729830</v>
      </c>
      <c r="C674" s="131" t="s">
        <v>223</v>
      </c>
      <c r="D674" s="131" t="s">
        <v>135</v>
      </c>
      <c r="E674" s="130" t="n">
        <v>19690900</v>
      </c>
      <c r="F674" s="131" t="s">
        <v>22</v>
      </c>
      <c r="G674" s="130" t="n">
        <v>14000000</v>
      </c>
      <c r="H674" s="131" t="n">
        <v>958</v>
      </c>
      <c r="I674" s="132" t="n">
        <v>0.25</v>
      </c>
      <c r="J674" s="132" t="n">
        <v>0.32</v>
      </c>
      <c r="K674" s="130" t="n">
        <v>0.00492613339156666</v>
      </c>
      <c r="L674" s="132" t="n">
        <v>0.32</v>
      </c>
      <c r="M674" s="131" t="s">
        <v>61</v>
      </c>
      <c r="N674" s="133" t="n">
        <v>0.617229938702649</v>
      </c>
      <c r="O674" s="133" t="n">
        <v>0.00492613339156666</v>
      </c>
      <c r="P674" s="132" t="n">
        <v>0.0199</v>
      </c>
      <c r="Q674" s="131" t="s">
        <v>130</v>
      </c>
      <c r="R674" s="130" t="n">
        <v>0</v>
      </c>
      <c r="S674" s="143" t="n">
        <v>0</v>
      </c>
      <c r="T674" s="134" t="n">
        <v>45532.3670099537</v>
      </c>
    </row>
    <row r="675" customFormat="false" ht="39.75" hidden="false" customHeight="true" outlineLevel="0" collapsed="false">
      <c r="B675" s="130" t="n">
        <v>38554945</v>
      </c>
      <c r="C675" s="131" t="s">
        <v>718</v>
      </c>
      <c r="D675" s="131" t="s">
        <v>135</v>
      </c>
      <c r="E675" s="130" t="n">
        <v>4469100</v>
      </c>
      <c r="F675" s="131" t="s">
        <v>8</v>
      </c>
      <c r="G675" s="130" t="n">
        <v>4994067</v>
      </c>
      <c r="H675" s="131" t="n">
        <v>657</v>
      </c>
      <c r="I675" s="132" t="n">
        <v>0.15</v>
      </c>
      <c r="J675" s="132" t="n">
        <v>0.26</v>
      </c>
      <c r="K675" s="130" t="n">
        <v>6.67999306348034</v>
      </c>
      <c r="L675" s="132" t="n">
        <v>0.26</v>
      </c>
      <c r="M675" s="131" t="s">
        <v>64</v>
      </c>
      <c r="N675" s="133" t="n">
        <v>7.28540422008906</v>
      </c>
      <c r="O675" s="133" t="n">
        <v>6.67999306348034</v>
      </c>
      <c r="P675" s="132" t="n">
        <v>0.018</v>
      </c>
      <c r="Q675" s="131" t="s">
        <v>130</v>
      </c>
      <c r="R675" s="130" t="n">
        <v>29350000</v>
      </c>
      <c r="S675" s="143" t="n">
        <v>0</v>
      </c>
      <c r="T675" s="134" t="n">
        <v>45532.3720827546</v>
      </c>
    </row>
    <row r="676" customFormat="false" ht="39.75" hidden="false" customHeight="true" outlineLevel="0" collapsed="false">
      <c r="B676" s="130" t="n">
        <v>30395903</v>
      </c>
      <c r="C676" s="131" t="s">
        <v>719</v>
      </c>
      <c r="D676" s="131" t="s">
        <v>135</v>
      </c>
      <c r="E676" s="130" t="n">
        <v>4469100</v>
      </c>
      <c r="F676" s="131" t="s">
        <v>14</v>
      </c>
      <c r="G676" s="130" t="n">
        <v>5200000</v>
      </c>
      <c r="H676" s="131" t="n">
        <v>803</v>
      </c>
      <c r="I676" s="132" t="n">
        <v>0.26</v>
      </c>
      <c r="J676" s="132" t="n">
        <v>0.33</v>
      </c>
      <c r="K676" s="130" t="n">
        <v>3.1948792821821</v>
      </c>
      <c r="L676" s="132" t="n">
        <v>0.33</v>
      </c>
      <c r="M676" s="131" t="s">
        <v>61</v>
      </c>
      <c r="N676" s="133" t="n">
        <v>1.05314112461122</v>
      </c>
      <c r="O676" s="133" t="n">
        <v>3.1948792821821</v>
      </c>
      <c r="P676" s="132" t="n">
        <v>0.018</v>
      </c>
      <c r="Q676" s="131" t="s">
        <v>130</v>
      </c>
      <c r="R676" s="130" t="n">
        <v>3015000</v>
      </c>
      <c r="S676" s="143" t="n">
        <v>0</v>
      </c>
      <c r="T676" s="134" t="n">
        <v>45532.3789635417</v>
      </c>
    </row>
    <row r="677" customFormat="false" ht="39.75" hidden="false" customHeight="true" outlineLevel="0" collapsed="false">
      <c r="B677" s="130" t="n">
        <v>16377725</v>
      </c>
      <c r="C677" s="131" t="s">
        <v>521</v>
      </c>
      <c r="D677" s="131" t="s">
        <v>135</v>
      </c>
      <c r="E677" s="130" t="n">
        <v>8245400</v>
      </c>
      <c r="F677" s="131" t="s">
        <v>22</v>
      </c>
      <c r="G677" s="130" t="n">
        <v>35000000</v>
      </c>
      <c r="H677" s="131" t="n">
        <v>875</v>
      </c>
      <c r="I677" s="132" t="n">
        <v>0.2</v>
      </c>
      <c r="J677" s="132" t="n">
        <v>0.3</v>
      </c>
      <c r="K677" s="130" t="n">
        <v>4.56803065951925</v>
      </c>
      <c r="L677" s="132" t="n">
        <v>0.3</v>
      </c>
      <c r="M677" s="131" t="s">
        <v>61</v>
      </c>
      <c r="N677" s="133" t="n">
        <v>0.735058941955515</v>
      </c>
      <c r="O677" s="133" t="n">
        <v>4.56803065951925</v>
      </c>
      <c r="P677" s="132" t="n">
        <v>0.018</v>
      </c>
      <c r="Q677" s="131" t="s">
        <v>130</v>
      </c>
      <c r="R677" s="130" t="n">
        <v>7137000</v>
      </c>
      <c r="S677" s="143" t="s">
        <v>589</v>
      </c>
      <c r="T677" s="134" t="n">
        <v>45532.3857337963</v>
      </c>
    </row>
    <row r="678" customFormat="false" ht="39.75" hidden="false" customHeight="true" outlineLevel="0" collapsed="false">
      <c r="B678" s="130" t="n">
        <v>6393613</v>
      </c>
      <c r="C678" s="131" t="s">
        <v>720</v>
      </c>
      <c r="D678" s="131" t="s">
        <v>135</v>
      </c>
      <c r="E678" s="130" t="n">
        <v>19690900</v>
      </c>
      <c r="F678" s="131" t="s">
        <v>16</v>
      </c>
      <c r="G678" s="130" t="n">
        <v>15000000</v>
      </c>
      <c r="H678" s="131" t="n">
        <v>720</v>
      </c>
      <c r="I678" s="132" t="n">
        <v>0.28</v>
      </c>
      <c r="J678" s="132" t="n">
        <v>0.31</v>
      </c>
      <c r="K678" s="130" t="n">
        <v>5.30424008044325</v>
      </c>
      <c r="L678" s="132" t="n">
        <v>0.31</v>
      </c>
      <c r="M678" s="131" t="s">
        <v>62</v>
      </c>
      <c r="N678" s="133" t="n">
        <v>0.860425577297127</v>
      </c>
      <c r="O678" s="133" t="n">
        <v>5.30424008044325</v>
      </c>
      <c r="P678" s="132" t="n">
        <v>0.0199</v>
      </c>
      <c r="Q678" s="131" t="s">
        <v>130</v>
      </c>
      <c r="R678" s="130" t="n">
        <v>56336000</v>
      </c>
      <c r="S678" s="143" t="s">
        <v>721</v>
      </c>
      <c r="T678" s="134" t="n">
        <v>45532.4686570602</v>
      </c>
    </row>
    <row r="679" customFormat="false" ht="39.75" hidden="false" customHeight="true" outlineLevel="0" collapsed="false">
      <c r="B679" s="130" t="n">
        <v>38886733</v>
      </c>
      <c r="C679" s="131" t="s">
        <v>142</v>
      </c>
      <c r="D679" s="131" t="s">
        <v>135</v>
      </c>
      <c r="E679" s="130" t="n">
        <v>5291000</v>
      </c>
      <c r="F679" s="131" t="s">
        <v>16</v>
      </c>
      <c r="G679" s="130" t="n">
        <v>13000000</v>
      </c>
      <c r="H679" s="131" t="n">
        <v>687</v>
      </c>
      <c r="I679" s="132" t="n">
        <v>0.44</v>
      </c>
      <c r="J679" s="132" t="n">
        <v>0.49</v>
      </c>
      <c r="K679" s="130" t="n">
        <v>16.6084751464751</v>
      </c>
      <c r="L679" s="132" t="n">
        <v>0.49</v>
      </c>
      <c r="M679" s="131" t="s">
        <v>62</v>
      </c>
      <c r="N679" s="133" t="n">
        <v>1.49570591570592</v>
      </c>
      <c r="O679" s="133" t="n">
        <v>16.6084751464751</v>
      </c>
      <c r="P679" s="132" t="n">
        <v>0.0199</v>
      </c>
      <c r="Q679" s="131" t="s">
        <v>130</v>
      </c>
      <c r="R679" s="130" t="n">
        <v>87741000</v>
      </c>
      <c r="S679" s="143" t="s">
        <v>722</v>
      </c>
      <c r="T679" s="134" t="n">
        <v>45532.4762818287</v>
      </c>
    </row>
    <row r="680" customFormat="false" ht="39.75" hidden="false" customHeight="true" outlineLevel="0" collapsed="false">
      <c r="B680" s="130" t="n">
        <v>66981726</v>
      </c>
      <c r="C680" s="131" t="s">
        <v>723</v>
      </c>
      <c r="D680" s="131" t="s">
        <v>135</v>
      </c>
      <c r="E680" s="130" t="n">
        <v>2600900</v>
      </c>
      <c r="F680" s="131" t="s">
        <v>29</v>
      </c>
      <c r="G680" s="130" t="n">
        <v>700000</v>
      </c>
      <c r="H680" s="131" t="n">
        <v>650</v>
      </c>
      <c r="I680" s="132" t="n">
        <v>0.16</v>
      </c>
      <c r="J680" s="132" t="n">
        <v>0.19</v>
      </c>
      <c r="K680" s="130" t="n">
        <v>1.92164250836249</v>
      </c>
      <c r="L680" s="132" t="n">
        <v>0.19</v>
      </c>
      <c r="M680" s="131" t="s">
        <v>64</v>
      </c>
      <c r="N680" s="133" t="n">
        <v>0.831732092737129</v>
      </c>
      <c r="O680" s="133" t="n">
        <v>1.92164250836249</v>
      </c>
      <c r="P680" s="132" t="n">
        <v>0.0215</v>
      </c>
      <c r="Q680" s="131" t="s">
        <v>130</v>
      </c>
      <c r="R680" s="130" t="n">
        <v>4998000</v>
      </c>
      <c r="S680" s="143" t="n">
        <v>0</v>
      </c>
      <c r="T680" s="134" t="n">
        <v>45533.4263885417</v>
      </c>
    </row>
    <row r="681" customFormat="false" ht="39.75" hidden="false" customHeight="true" outlineLevel="0" collapsed="false">
      <c r="B681" s="130" t="n">
        <v>38556029</v>
      </c>
      <c r="C681" s="131" t="s">
        <v>724</v>
      </c>
      <c r="D681" s="131" t="s">
        <v>135</v>
      </c>
      <c r="E681" s="130" t="n">
        <v>5418800</v>
      </c>
      <c r="F681" s="131" t="s">
        <v>20</v>
      </c>
      <c r="G681" s="130" t="n">
        <v>2750000</v>
      </c>
      <c r="H681" s="131" t="n">
        <v>747</v>
      </c>
      <c r="I681" s="132" t="n">
        <v>0.47</v>
      </c>
      <c r="J681" s="132" t="n">
        <v>0.5</v>
      </c>
      <c r="K681" s="130" t="n">
        <v>4.2802031815162</v>
      </c>
      <c r="L681" s="132" t="n">
        <v>0.5</v>
      </c>
      <c r="M681" s="131" t="s">
        <v>62</v>
      </c>
      <c r="N681" s="133" t="n">
        <v>1.02832915036539</v>
      </c>
      <c r="O681" s="133" t="n">
        <v>4.2802031815162</v>
      </c>
      <c r="P681" s="132" t="n">
        <v>0.0215</v>
      </c>
      <c r="Q681" s="131" t="s">
        <v>130</v>
      </c>
      <c r="R681" s="130" t="n">
        <v>0</v>
      </c>
      <c r="S681" s="143" t="s">
        <v>725</v>
      </c>
      <c r="T681" s="134" t="n">
        <v>45533.4474496528</v>
      </c>
    </row>
    <row r="682" customFormat="false" ht="39.75" hidden="false" customHeight="true" outlineLevel="0" collapsed="false">
      <c r="B682" s="130" t="n">
        <v>1127218494</v>
      </c>
      <c r="C682" s="131" t="s">
        <v>358</v>
      </c>
      <c r="D682" s="131" t="s">
        <v>135</v>
      </c>
      <c r="E682" s="130" t="n">
        <v>2340800</v>
      </c>
      <c r="F682" s="131" t="s">
        <v>29</v>
      </c>
      <c r="G682" s="130" t="n">
        <v>580000</v>
      </c>
      <c r="H682" s="131" t="n">
        <v>371</v>
      </c>
      <c r="I682" s="132" t="n">
        <v>0.17</v>
      </c>
      <c r="J682" s="132" t="n">
        <v>0.2</v>
      </c>
      <c r="K682" s="130" t="n">
        <v>3.90575871496924</v>
      </c>
      <c r="L682" s="132" t="n">
        <v>0.2</v>
      </c>
      <c r="M682" s="131" t="s">
        <v>64</v>
      </c>
      <c r="N682" s="133" t="n">
        <v>1.76355861244019</v>
      </c>
      <c r="O682" s="133" t="n">
        <v>3.90575871496924</v>
      </c>
      <c r="P682" s="132" t="n">
        <v>0.0215</v>
      </c>
      <c r="Q682" s="131" t="s">
        <v>130</v>
      </c>
      <c r="R682" s="130" t="n">
        <v>6263000</v>
      </c>
      <c r="S682" s="143" t="n">
        <v>0</v>
      </c>
      <c r="T682" s="134" t="n">
        <v>45533.4626517361</v>
      </c>
    </row>
    <row r="683" customFormat="false" ht="39.75" hidden="false" customHeight="true" outlineLevel="0" collapsed="false">
      <c r="B683" s="130" t="n">
        <v>1130668875</v>
      </c>
      <c r="C683" s="131" t="s">
        <v>726</v>
      </c>
      <c r="D683" s="131" t="s">
        <v>135</v>
      </c>
      <c r="E683" s="130" t="n">
        <v>4870200</v>
      </c>
      <c r="F683" s="131" t="s">
        <v>29</v>
      </c>
      <c r="G683" s="130" t="n">
        <v>1000000</v>
      </c>
      <c r="H683" s="131" t="n">
        <v>440</v>
      </c>
      <c r="I683" s="132" t="n">
        <v>0.05</v>
      </c>
      <c r="J683" s="132" t="n">
        <v>0.07</v>
      </c>
      <c r="K683" s="130" t="n">
        <v>31.4789947024763</v>
      </c>
      <c r="L683" s="132" t="n">
        <v>0.07</v>
      </c>
      <c r="M683" s="131" t="s">
        <v>64</v>
      </c>
      <c r="N683" s="133" t="n">
        <v>4.25145004311938</v>
      </c>
      <c r="O683" s="133" t="n">
        <v>31.4789947024763</v>
      </c>
      <c r="P683" s="132" t="n">
        <v>0.0215</v>
      </c>
      <c r="Q683" s="131" t="s">
        <v>130</v>
      </c>
      <c r="R683" s="130" t="n">
        <v>153309000</v>
      </c>
      <c r="S683" s="143" t="n">
        <v>0</v>
      </c>
      <c r="T683" s="134" t="n">
        <v>45533.4654824074</v>
      </c>
    </row>
    <row r="684" customFormat="false" ht="39.75" hidden="false" customHeight="true" outlineLevel="0" collapsed="false">
      <c r="B684" s="130" t="n">
        <v>1144159356</v>
      </c>
      <c r="C684" s="131" t="s">
        <v>242</v>
      </c>
      <c r="D684" s="131" t="s">
        <v>135</v>
      </c>
      <c r="E684" s="130" t="n">
        <v>1991000</v>
      </c>
      <c r="F684" s="131" t="s">
        <v>29</v>
      </c>
      <c r="G684" s="130" t="n">
        <v>3040000</v>
      </c>
      <c r="H684" s="131" t="n">
        <v>598</v>
      </c>
      <c r="I684" s="132" t="n">
        <v>0.34</v>
      </c>
      <c r="J684" s="132" t="n">
        <v>0.42</v>
      </c>
      <c r="K684" s="130" t="n">
        <v>0.838272225012557</v>
      </c>
      <c r="L684" s="132" t="n">
        <v>0.42</v>
      </c>
      <c r="M684" s="131" t="s">
        <v>64</v>
      </c>
      <c r="N684" s="133" t="n">
        <v>0.928003013561025</v>
      </c>
      <c r="O684" s="133" t="n">
        <v>0.838272225012557</v>
      </c>
      <c r="P684" s="132" t="n">
        <v>0.0215</v>
      </c>
      <c r="Q684" s="131" t="s">
        <v>130</v>
      </c>
      <c r="R684" s="130" t="n">
        <v>1669000</v>
      </c>
      <c r="S684" s="143" t="n">
        <v>0</v>
      </c>
      <c r="T684" s="134" t="n">
        <v>45533.4671106482</v>
      </c>
    </row>
    <row r="685" customFormat="false" ht="39.75" hidden="false" customHeight="true" outlineLevel="0" collapsed="false">
      <c r="B685" s="130" t="n">
        <v>1113308071</v>
      </c>
      <c r="C685" s="131" t="s">
        <v>154</v>
      </c>
      <c r="D685" s="131" t="s">
        <v>135</v>
      </c>
      <c r="E685" s="130" t="n">
        <v>2893800</v>
      </c>
      <c r="F685" s="131" t="s">
        <v>29</v>
      </c>
      <c r="G685" s="130" t="n">
        <v>4000000</v>
      </c>
      <c r="H685" s="131" t="n">
        <v>657</v>
      </c>
      <c r="I685" s="132" t="n">
        <v>0.38</v>
      </c>
      <c r="J685" s="132" t="n">
        <v>0.44</v>
      </c>
      <c r="K685" s="130" t="n">
        <v>16.7724244937453</v>
      </c>
      <c r="L685" s="132" t="n">
        <v>0.44</v>
      </c>
      <c r="M685" s="131" t="s">
        <v>64</v>
      </c>
      <c r="N685" s="133" t="n">
        <v>2.3456064690027</v>
      </c>
      <c r="O685" s="133" t="n">
        <v>16.7724244937453</v>
      </c>
      <c r="P685" s="132" t="n">
        <v>0.0215</v>
      </c>
      <c r="Q685" s="131" t="s">
        <v>130</v>
      </c>
      <c r="R685" s="130" t="n">
        <v>41502000</v>
      </c>
      <c r="S685" s="143" t="n">
        <v>0</v>
      </c>
      <c r="T685" s="134" t="n">
        <v>45533.4711717593</v>
      </c>
    </row>
    <row r="686" customFormat="false" ht="39.75" hidden="false" customHeight="true" outlineLevel="0" collapsed="false">
      <c r="B686" s="130" t="n">
        <v>1130661546</v>
      </c>
      <c r="C686" s="131" t="s">
        <v>727</v>
      </c>
      <c r="D686" s="131" t="s">
        <v>135</v>
      </c>
      <c r="E686" s="130" t="n">
        <v>2604400</v>
      </c>
      <c r="F686" s="131" t="s">
        <v>8</v>
      </c>
      <c r="G686" s="130" t="n">
        <v>2698357</v>
      </c>
      <c r="H686" s="131" t="n">
        <v>619</v>
      </c>
      <c r="I686" s="132" t="n">
        <v>0.05</v>
      </c>
      <c r="J686" s="132" t="n">
        <v>0.16</v>
      </c>
      <c r="K686" s="130" t="n">
        <v>7.78912609430195</v>
      </c>
      <c r="L686" s="132" t="n">
        <v>0.16</v>
      </c>
      <c r="M686" s="131" t="s">
        <v>64</v>
      </c>
      <c r="N686" s="133" t="n">
        <v>0.998807402856704</v>
      </c>
      <c r="O686" s="133" t="n">
        <v>7.78912609430195</v>
      </c>
      <c r="P686" s="132" t="n">
        <v>0.018</v>
      </c>
      <c r="Q686" s="131" t="s">
        <v>130</v>
      </c>
      <c r="R686" s="130" t="n">
        <v>20286000</v>
      </c>
      <c r="S686" s="143" t="n">
        <v>0</v>
      </c>
      <c r="T686" s="134" t="n">
        <v>45533.4788674769</v>
      </c>
    </row>
    <row r="687" customFormat="false" ht="39.75" hidden="false" customHeight="true" outlineLevel="0" collapsed="false">
      <c r="B687" s="130" t="n">
        <v>1143932401</v>
      </c>
      <c r="C687" s="131" t="s">
        <v>728</v>
      </c>
      <c r="D687" s="131" t="s">
        <v>135</v>
      </c>
      <c r="E687" s="130" t="n">
        <v>1625000</v>
      </c>
      <c r="F687" s="131" t="s">
        <v>29</v>
      </c>
      <c r="G687" s="130" t="n">
        <v>4000000</v>
      </c>
      <c r="H687" s="131" t="n">
        <v>621</v>
      </c>
      <c r="I687" s="132" t="n">
        <v>0.16</v>
      </c>
      <c r="J687" s="132" t="n">
        <v>0.23</v>
      </c>
      <c r="K687" s="130" t="n">
        <v>0.792401846153846</v>
      </c>
      <c r="L687" s="132" t="n">
        <v>0.23</v>
      </c>
      <c r="M687" s="131" t="s">
        <v>64</v>
      </c>
      <c r="N687" s="133" t="n">
        <v>0.825766769230769</v>
      </c>
      <c r="O687" s="133" t="n">
        <v>0.792401846153846</v>
      </c>
      <c r="P687" s="132" t="n">
        <v>0.018</v>
      </c>
      <c r="Q687" s="131" t="s">
        <v>130</v>
      </c>
      <c r="R687" s="130" t="n">
        <v>155000</v>
      </c>
      <c r="S687" s="143" t="n">
        <v>0</v>
      </c>
      <c r="T687" s="134" t="n">
        <v>45533.4957667824</v>
      </c>
    </row>
    <row r="688" customFormat="false" ht="39.75" hidden="false" customHeight="true" outlineLevel="0" collapsed="false">
      <c r="B688" s="130" t="n">
        <v>1143934911</v>
      </c>
      <c r="C688" s="131" t="s">
        <v>729</v>
      </c>
      <c r="D688" s="131" t="s">
        <v>135</v>
      </c>
      <c r="E688" s="130" t="n">
        <v>1918500</v>
      </c>
      <c r="F688" s="131" t="s">
        <v>29</v>
      </c>
      <c r="G688" s="130" t="n">
        <v>2000000</v>
      </c>
      <c r="H688" s="131" t="n">
        <v>598</v>
      </c>
      <c r="I688" s="132" t="n">
        <v>0.11</v>
      </c>
      <c r="J688" s="132" t="n">
        <v>0.17</v>
      </c>
      <c r="K688" s="130" t="n">
        <v>0.113593953609591</v>
      </c>
      <c r="L688" s="132" t="n">
        <v>0.17</v>
      </c>
      <c r="M688" s="131" t="s">
        <v>64</v>
      </c>
      <c r="N688" s="133" t="n">
        <v>0.678513421944227</v>
      </c>
      <c r="O688" s="133" t="n">
        <v>0.113593953609591</v>
      </c>
      <c r="P688" s="132" t="n">
        <v>0.018</v>
      </c>
      <c r="Q688" s="131" t="s">
        <v>130</v>
      </c>
      <c r="R688" s="130" t="n">
        <v>0</v>
      </c>
      <c r="S688" s="143" t="n">
        <v>0</v>
      </c>
      <c r="T688" s="134" t="n">
        <v>45533.5019784722</v>
      </c>
    </row>
    <row r="689" customFormat="false" ht="39.75" hidden="false" customHeight="true" outlineLevel="0" collapsed="false">
      <c r="B689" s="130" t="n">
        <v>1130628345</v>
      </c>
      <c r="C689" s="131" t="s">
        <v>622</v>
      </c>
      <c r="D689" s="131" t="s">
        <v>135</v>
      </c>
      <c r="E689" s="130" t="n">
        <v>1991000</v>
      </c>
      <c r="F689" s="131" t="s">
        <v>29</v>
      </c>
      <c r="G689" s="130" t="n">
        <v>2600000</v>
      </c>
      <c r="H689" s="131" t="n">
        <v>675</v>
      </c>
      <c r="I689" s="132" t="n">
        <v>0.29</v>
      </c>
      <c r="J689" s="132" t="n">
        <v>0.36</v>
      </c>
      <c r="K689" s="130" t="n">
        <v>1.7851391260673</v>
      </c>
      <c r="L689" s="132" t="n">
        <v>0.36</v>
      </c>
      <c r="M689" s="131" t="s">
        <v>64</v>
      </c>
      <c r="N689" s="133" t="n">
        <v>1.80882019085886</v>
      </c>
      <c r="O689" s="133" t="n">
        <v>1.7851391260673</v>
      </c>
      <c r="P689" s="132" t="n">
        <v>0.018</v>
      </c>
      <c r="Q689" s="131" t="s">
        <v>130</v>
      </c>
      <c r="R689" s="130" t="n">
        <v>447000</v>
      </c>
      <c r="S689" s="143" t="n">
        <v>0</v>
      </c>
      <c r="T689" s="134" t="n">
        <v>45533.5033515046</v>
      </c>
    </row>
    <row r="690" customFormat="false" ht="39.75" hidden="false" customHeight="true" outlineLevel="0" collapsed="false">
      <c r="B690" s="130" t="n">
        <v>1087994517</v>
      </c>
      <c r="C690" s="131" t="s">
        <v>367</v>
      </c>
      <c r="D690" s="131" t="s">
        <v>135</v>
      </c>
      <c r="E690" s="130" t="n">
        <v>1991000</v>
      </c>
      <c r="F690" s="131" t="s">
        <v>29</v>
      </c>
      <c r="G690" s="130" t="n">
        <v>3400000</v>
      </c>
      <c r="H690" s="131" t="n">
        <v>640</v>
      </c>
      <c r="I690" s="132" t="n">
        <v>0.37</v>
      </c>
      <c r="J690" s="132" t="n">
        <v>0.39</v>
      </c>
      <c r="K690" s="130" t="n">
        <v>2.18884982420894</v>
      </c>
      <c r="L690" s="132" t="n">
        <v>0.39</v>
      </c>
      <c r="M690" s="131" t="s">
        <v>62</v>
      </c>
      <c r="N690" s="133" t="n">
        <v>0.919722250125565</v>
      </c>
      <c r="O690" s="133" t="n">
        <v>2.18884982420894</v>
      </c>
      <c r="P690" s="132" t="n">
        <v>0.0215</v>
      </c>
      <c r="Q690" s="131" t="s">
        <v>130</v>
      </c>
      <c r="R690" s="130" t="n">
        <v>358000</v>
      </c>
      <c r="S690" s="143" t="n">
        <v>0</v>
      </c>
      <c r="T690" s="134" t="n">
        <v>45533.5088586806</v>
      </c>
    </row>
    <row r="691" customFormat="false" ht="39.75" hidden="false" customHeight="true" outlineLevel="0" collapsed="false">
      <c r="B691" s="130" t="n">
        <v>1144136178</v>
      </c>
      <c r="C691" s="131" t="s">
        <v>730</v>
      </c>
      <c r="D691" s="131" t="s">
        <v>135</v>
      </c>
      <c r="E691" s="130" t="n">
        <v>5418800</v>
      </c>
      <c r="F691" s="131" t="s">
        <v>29</v>
      </c>
      <c r="G691" s="130" t="n">
        <v>1900000</v>
      </c>
      <c r="H691" s="131" t="n">
        <v>665</v>
      </c>
      <c r="I691" s="132" t="n">
        <v>0.09</v>
      </c>
      <c r="J691" s="132" t="n">
        <v>0.12</v>
      </c>
      <c r="K691" s="130" t="n">
        <v>3.24518343544696</v>
      </c>
      <c r="L691" s="132" t="n">
        <v>0.12</v>
      </c>
      <c r="M691" s="131" t="s">
        <v>64</v>
      </c>
      <c r="N691" s="133" t="n">
        <v>0.681921827710932</v>
      </c>
      <c r="O691" s="133" t="n">
        <v>3.24518343544696</v>
      </c>
      <c r="P691" s="132" t="n">
        <v>0.0215</v>
      </c>
      <c r="Q691" s="131" t="s">
        <v>130</v>
      </c>
      <c r="R691" s="130" t="n">
        <v>17585000</v>
      </c>
      <c r="S691" s="143" t="n">
        <v>0</v>
      </c>
      <c r="T691" s="134" t="n">
        <v>45533.5232525463</v>
      </c>
    </row>
    <row r="692" customFormat="false" ht="39.75" hidden="false" customHeight="true" outlineLevel="0" collapsed="false">
      <c r="B692" s="130" t="n">
        <v>1144124288</v>
      </c>
      <c r="C692" s="131" t="s">
        <v>731</v>
      </c>
      <c r="D692" s="131" t="s">
        <v>135</v>
      </c>
      <c r="E692" s="130" t="n">
        <v>2893800</v>
      </c>
      <c r="F692" s="131" t="s">
        <v>29</v>
      </c>
      <c r="G692" s="130" t="n">
        <v>4000000</v>
      </c>
      <c r="H692" s="131" t="n">
        <v>946</v>
      </c>
      <c r="I692" s="132" t="n">
        <v>0.15</v>
      </c>
      <c r="J692" s="132" t="n">
        <v>0.29</v>
      </c>
      <c r="K692" s="130" t="n">
        <v>0.185187642546133</v>
      </c>
      <c r="L692" s="132" t="n">
        <v>0.29</v>
      </c>
      <c r="M692" s="131" t="s">
        <v>62</v>
      </c>
      <c r="N692" s="133" t="n">
        <v>0.745718432510885</v>
      </c>
      <c r="O692" s="133" t="n">
        <v>0.185187642546133</v>
      </c>
      <c r="P692" s="132" t="n">
        <v>0.0215</v>
      </c>
      <c r="Q692" s="131" t="s">
        <v>130</v>
      </c>
      <c r="R692" s="130" t="n">
        <v>377000</v>
      </c>
      <c r="S692" s="143" t="n">
        <v>0</v>
      </c>
      <c r="T692" s="134" t="n">
        <v>45533.5343900463</v>
      </c>
    </row>
    <row r="693" customFormat="false" ht="39.75" hidden="false" customHeight="true" outlineLevel="0" collapsed="false">
      <c r="B693" s="130" t="n">
        <v>1062290251</v>
      </c>
      <c r="C693" s="131" t="s">
        <v>732</v>
      </c>
      <c r="D693" s="131" t="s">
        <v>135</v>
      </c>
      <c r="E693" s="130" t="n">
        <v>2600900</v>
      </c>
      <c r="F693" s="131" t="s">
        <v>29</v>
      </c>
      <c r="G693" s="130" t="n">
        <v>3300000</v>
      </c>
      <c r="H693" s="131" t="n">
        <v>596</v>
      </c>
      <c r="I693" s="132" t="n">
        <v>0.07</v>
      </c>
      <c r="J693" s="132" t="n">
        <v>0.15</v>
      </c>
      <c r="K693" s="130" t="n">
        <v>3.26809950401784</v>
      </c>
      <c r="L693" s="132" t="n">
        <v>0.15</v>
      </c>
      <c r="M693" s="131" t="s">
        <v>64</v>
      </c>
      <c r="N693" s="133" t="n">
        <v>0.865599984620708</v>
      </c>
      <c r="O693" s="133" t="n">
        <v>3.26809950401784</v>
      </c>
      <c r="P693" s="132" t="n">
        <v>0.0215</v>
      </c>
      <c r="Q693" s="131" t="s">
        <v>130</v>
      </c>
      <c r="R693" s="130" t="n">
        <v>8500000</v>
      </c>
      <c r="S693" s="143" t="n">
        <v>0</v>
      </c>
      <c r="T693" s="134" t="n">
        <v>45533.5405505787</v>
      </c>
    </row>
    <row r="694" customFormat="false" ht="39.75" hidden="false" customHeight="true" outlineLevel="0" collapsed="false">
      <c r="B694" s="130" t="n">
        <v>1192766509</v>
      </c>
      <c r="C694" s="131" t="s">
        <v>466</v>
      </c>
      <c r="D694" s="131" t="s">
        <v>135</v>
      </c>
      <c r="E694" s="130" t="n">
        <v>2600900</v>
      </c>
      <c r="F694" s="131" t="s">
        <v>29</v>
      </c>
      <c r="G694" s="130" t="n">
        <v>1350000</v>
      </c>
      <c r="H694" s="131" t="n">
        <v>536</v>
      </c>
      <c r="I694" s="132" t="n">
        <v>0.13</v>
      </c>
      <c r="J694" s="132" t="n">
        <v>0.18</v>
      </c>
      <c r="K694" s="130" t="n">
        <v>0.890152254988658</v>
      </c>
      <c r="L694" s="132" t="n">
        <v>0.18</v>
      </c>
      <c r="M694" s="131" t="s">
        <v>64</v>
      </c>
      <c r="N694" s="133" t="n">
        <v>0.835489253719866</v>
      </c>
      <c r="O694" s="133" t="n">
        <v>0.890152254988658</v>
      </c>
      <c r="P694" s="132" t="n">
        <v>0.0215</v>
      </c>
      <c r="Q694" s="131" t="s">
        <v>130</v>
      </c>
      <c r="R694" s="130" t="n">
        <v>407000</v>
      </c>
      <c r="S694" s="143" t="n">
        <v>0</v>
      </c>
      <c r="T694" s="134" t="n">
        <v>45533.5469888889</v>
      </c>
    </row>
    <row r="695" customFormat="false" ht="39.75" hidden="false" customHeight="true" outlineLevel="0" collapsed="false">
      <c r="B695" s="130" t="n">
        <v>1151965024</v>
      </c>
      <c r="C695" s="131" t="s">
        <v>733</v>
      </c>
      <c r="D695" s="131" t="s">
        <v>135</v>
      </c>
      <c r="E695" s="130" t="n">
        <v>2893800</v>
      </c>
      <c r="F695" s="131" t="s">
        <v>29</v>
      </c>
      <c r="G695" s="130" t="n">
        <v>1000000</v>
      </c>
      <c r="H695" s="131" t="n">
        <v>753</v>
      </c>
      <c r="I695" s="132" t="n">
        <v>0.18</v>
      </c>
      <c r="J695" s="132" t="n">
        <v>0.2</v>
      </c>
      <c r="K695" s="130" t="n">
        <v>5.51969832054738</v>
      </c>
      <c r="L695" s="132" t="n">
        <v>0.2</v>
      </c>
      <c r="M695" s="131" t="s">
        <v>64</v>
      </c>
      <c r="N695" s="133" t="n">
        <v>1.12484967862326</v>
      </c>
      <c r="O695" s="133" t="n">
        <v>5.51969832054738</v>
      </c>
      <c r="P695" s="132" t="n">
        <v>0.0215</v>
      </c>
      <c r="Q695" s="131" t="s">
        <v>130</v>
      </c>
      <c r="R695" s="130" t="n">
        <v>15921000</v>
      </c>
      <c r="S695" s="143" t="n">
        <v>0</v>
      </c>
      <c r="T695" s="134" t="n">
        <v>45533.5484677083</v>
      </c>
    </row>
    <row r="696" customFormat="false" ht="39.75" hidden="false" customHeight="true" outlineLevel="0" collapsed="false">
      <c r="B696" s="130" t="n">
        <v>1143990240</v>
      </c>
      <c r="C696" s="131" t="s">
        <v>734</v>
      </c>
      <c r="D696" s="131" t="s">
        <v>135</v>
      </c>
      <c r="E696" s="130" t="n">
        <v>1918500</v>
      </c>
      <c r="F696" s="131" t="s">
        <v>29</v>
      </c>
      <c r="G696" s="130" t="n">
        <v>2800000</v>
      </c>
      <c r="H696" s="131" t="n">
        <v>609</v>
      </c>
      <c r="I696" s="132" t="n">
        <v>0.18</v>
      </c>
      <c r="J696" s="132" t="n">
        <v>0.27</v>
      </c>
      <c r="K696" s="130" t="n">
        <v>9.61472035444358</v>
      </c>
      <c r="L696" s="132" t="n">
        <v>0.27</v>
      </c>
      <c r="M696" s="131" t="s">
        <v>64</v>
      </c>
      <c r="N696" s="133" t="n">
        <v>1.04907531925984</v>
      </c>
      <c r="O696" s="133" t="n">
        <v>9.61472035444358</v>
      </c>
      <c r="P696" s="132" t="n">
        <v>0.0215</v>
      </c>
      <c r="Q696" s="131" t="s">
        <v>130</v>
      </c>
      <c r="R696" s="130" t="n">
        <v>17542000</v>
      </c>
      <c r="S696" s="143" t="n">
        <v>0</v>
      </c>
      <c r="T696" s="134" t="n">
        <v>45533.5508900463</v>
      </c>
    </row>
    <row r="697" customFormat="false" ht="39.75" hidden="false" customHeight="true" outlineLevel="0" collapsed="false">
      <c r="B697" s="130" t="n">
        <v>1143828982</v>
      </c>
      <c r="C697" s="131" t="s">
        <v>432</v>
      </c>
      <c r="D697" s="131" t="s">
        <v>135</v>
      </c>
      <c r="E697" s="130" t="n">
        <v>6225200</v>
      </c>
      <c r="F697" s="131" t="s">
        <v>29</v>
      </c>
      <c r="G697" s="130" t="n">
        <v>3500000</v>
      </c>
      <c r="H697" s="131" t="n">
        <v>808</v>
      </c>
      <c r="I697" s="132" t="n">
        <v>0.4</v>
      </c>
      <c r="J697" s="132" t="n">
        <v>0.38</v>
      </c>
      <c r="K697" s="130" t="n">
        <v>17.0209546681231</v>
      </c>
      <c r="L697" s="132" t="n">
        <v>0.38</v>
      </c>
      <c r="M697" s="131" t="s">
        <v>61</v>
      </c>
      <c r="N697" s="133" t="n">
        <v>1.27353900276296</v>
      </c>
      <c r="O697" s="133" t="n">
        <v>17.0209546681231</v>
      </c>
      <c r="P697" s="132" t="n">
        <v>0.0215</v>
      </c>
      <c r="Q697" s="131" t="s">
        <v>130</v>
      </c>
      <c r="R697" s="130" t="n">
        <v>97038000</v>
      </c>
      <c r="S697" s="143" t="n">
        <v>0</v>
      </c>
      <c r="T697" s="134" t="n">
        <v>45533.6836306713</v>
      </c>
    </row>
    <row r="698" customFormat="false" ht="39.75" hidden="false" customHeight="true" outlineLevel="0" collapsed="false">
      <c r="B698" s="130" t="n">
        <v>1130618816</v>
      </c>
      <c r="C698" s="131" t="s">
        <v>735</v>
      </c>
      <c r="D698" s="131" t="s">
        <v>135</v>
      </c>
      <c r="E698" s="130" t="n">
        <v>3394800</v>
      </c>
      <c r="F698" s="131" t="s">
        <v>8</v>
      </c>
      <c r="G698" s="130" t="n">
        <v>11000000</v>
      </c>
      <c r="H698" s="131" t="n">
        <v>844</v>
      </c>
      <c r="I698" s="132" t="n">
        <v>0.2</v>
      </c>
      <c r="J698" s="132" t="n">
        <v>0.3</v>
      </c>
      <c r="K698" s="130" t="n">
        <v>4.30364086249558</v>
      </c>
      <c r="L698" s="132" t="n">
        <v>0.3</v>
      </c>
      <c r="M698" s="131" t="s">
        <v>62</v>
      </c>
      <c r="N698" s="133" t="n">
        <v>0.944470955579121</v>
      </c>
      <c r="O698" s="133" t="n">
        <v>4.30364086249558</v>
      </c>
      <c r="P698" s="132" t="n">
        <v>0.018</v>
      </c>
      <c r="Q698" s="131" t="s">
        <v>130</v>
      </c>
      <c r="R698" s="130" t="n">
        <v>14610000</v>
      </c>
      <c r="S698" s="143" t="n">
        <v>0</v>
      </c>
      <c r="T698" s="134" t="n">
        <v>45539.3994230324</v>
      </c>
    </row>
    <row r="699" customFormat="false" ht="39.75" hidden="false" customHeight="true" outlineLevel="0" collapsed="false">
      <c r="B699" s="130" t="n">
        <v>1143925006</v>
      </c>
      <c r="C699" s="131" t="s">
        <v>736</v>
      </c>
      <c r="D699" s="131" t="s">
        <v>135</v>
      </c>
      <c r="E699" s="130" t="n">
        <v>2893800</v>
      </c>
      <c r="F699" s="131" t="s">
        <v>14</v>
      </c>
      <c r="G699" s="130" t="n">
        <v>4500000</v>
      </c>
      <c r="H699" s="131" t="n">
        <v>415</v>
      </c>
      <c r="I699" s="132" t="n">
        <v>0.32</v>
      </c>
      <c r="J699" s="132" t="n">
        <v>0.41</v>
      </c>
      <c r="K699" s="130" t="n">
        <v>8.07657751053977</v>
      </c>
      <c r="L699" s="132" t="n">
        <v>0.41</v>
      </c>
      <c r="M699" s="131" t="s">
        <v>64</v>
      </c>
      <c r="N699" s="133" t="n">
        <v>1.11986833920796</v>
      </c>
      <c r="O699" s="133" t="n">
        <v>8.07657751053977</v>
      </c>
      <c r="P699" s="132" t="n">
        <v>0.0199</v>
      </c>
      <c r="Q699" s="131" t="s">
        <v>130</v>
      </c>
      <c r="R699" s="130" t="n">
        <v>23372000</v>
      </c>
      <c r="S699" s="143" t="n">
        <v>0</v>
      </c>
      <c r="T699" s="134" t="n">
        <v>45539.4045959491</v>
      </c>
    </row>
    <row r="700" customFormat="false" ht="39.75" hidden="false" customHeight="true" outlineLevel="0" collapsed="false">
      <c r="B700" s="130" t="n">
        <v>1144189435</v>
      </c>
      <c r="C700" s="131" t="s">
        <v>405</v>
      </c>
      <c r="D700" s="131" t="s">
        <v>135</v>
      </c>
      <c r="E700" s="130" t="n">
        <v>2893800</v>
      </c>
      <c r="F700" s="131" t="s">
        <v>14</v>
      </c>
      <c r="G700" s="130" t="n">
        <v>15000000</v>
      </c>
      <c r="H700" s="131" t="n">
        <v>865</v>
      </c>
      <c r="I700" s="132" t="n">
        <v>0.3</v>
      </c>
      <c r="J700" s="132" t="n">
        <v>0.46</v>
      </c>
      <c r="K700" s="130" t="n">
        <v>3.83206441357385</v>
      </c>
      <c r="L700" s="132" t="n">
        <v>0.46</v>
      </c>
      <c r="M700" s="131" t="s">
        <v>62</v>
      </c>
      <c r="N700" s="133" t="n">
        <v>1.04649284677587</v>
      </c>
      <c r="O700" s="133" t="n">
        <v>3.83206441357385</v>
      </c>
      <c r="P700" s="132" t="n">
        <v>0.0199</v>
      </c>
      <c r="Q700" s="131" t="s">
        <v>130</v>
      </c>
      <c r="R700" s="130" t="n">
        <v>10465000</v>
      </c>
      <c r="S700" s="143" t="n">
        <v>0</v>
      </c>
      <c r="T700" s="134" t="n">
        <v>45539.4085302083</v>
      </c>
    </row>
    <row r="701" customFormat="false" ht="39.75" hidden="false" customHeight="true" outlineLevel="0" collapsed="false">
      <c r="B701" s="130" t="n">
        <v>66847778</v>
      </c>
      <c r="C701" s="131" t="s">
        <v>362</v>
      </c>
      <c r="D701" s="131" t="s">
        <v>135</v>
      </c>
      <c r="E701" s="130" t="n">
        <v>5291000</v>
      </c>
      <c r="F701" s="131" t="s">
        <v>14</v>
      </c>
      <c r="G701" s="130" t="n">
        <v>36190878</v>
      </c>
      <c r="H701" s="131" t="n">
        <v>708</v>
      </c>
      <c r="I701" s="132" t="n">
        <v>0.27</v>
      </c>
      <c r="J701" s="132" t="n">
        <v>0.49</v>
      </c>
      <c r="K701" s="130" t="n">
        <v>16.034209034209</v>
      </c>
      <c r="L701" s="132" t="n">
        <v>0.49</v>
      </c>
      <c r="M701" s="131" t="s">
        <v>64</v>
      </c>
      <c r="N701" s="133" t="n">
        <v>1.17649782649783</v>
      </c>
      <c r="O701" s="133" t="n">
        <v>16.034209034209</v>
      </c>
      <c r="P701" s="132" t="n">
        <v>0.0199</v>
      </c>
      <c r="Q701" s="131" t="s">
        <v>130</v>
      </c>
      <c r="R701" s="130" t="n">
        <v>84837000</v>
      </c>
      <c r="S701" s="143" t="s">
        <v>519</v>
      </c>
      <c r="T701" s="134" t="n">
        <v>45539.4185086806</v>
      </c>
    </row>
    <row r="702" customFormat="false" ht="39.75" hidden="false" customHeight="true" outlineLevel="0" collapsed="false">
      <c r="B702" s="130" t="n">
        <v>66847778</v>
      </c>
      <c r="C702" s="131" t="s">
        <v>362</v>
      </c>
      <c r="D702" s="131" t="s">
        <v>135</v>
      </c>
      <c r="E702" s="130" t="n">
        <v>5291000</v>
      </c>
      <c r="F702" s="131" t="s">
        <v>14</v>
      </c>
      <c r="G702" s="130" t="n">
        <v>36190878</v>
      </c>
      <c r="H702" s="131" t="n">
        <v>708</v>
      </c>
      <c r="I702" s="132" t="n">
        <v>0.27</v>
      </c>
      <c r="J702" s="132" t="n">
        <v>0.49</v>
      </c>
      <c r="K702" s="130" t="n">
        <v>16.034209034209</v>
      </c>
      <c r="L702" s="132" t="n">
        <v>0.49</v>
      </c>
      <c r="M702" s="131" t="s">
        <v>64</v>
      </c>
      <c r="N702" s="133" t="n">
        <v>1.17649782649783</v>
      </c>
      <c r="O702" s="133" t="n">
        <v>16.034209034209</v>
      </c>
      <c r="P702" s="132" t="n">
        <v>0.0199</v>
      </c>
      <c r="Q702" s="131" t="s">
        <v>130</v>
      </c>
      <c r="R702" s="130" t="n">
        <v>84837000</v>
      </c>
      <c r="S702" s="143" t="s">
        <v>519</v>
      </c>
      <c r="T702" s="134" t="n">
        <v>45539.4185545139</v>
      </c>
    </row>
    <row r="703" customFormat="false" ht="39.75" hidden="false" customHeight="true" outlineLevel="0" collapsed="false">
      <c r="B703" s="130" t="n">
        <v>1143994538</v>
      </c>
      <c r="C703" s="131" t="s">
        <v>737</v>
      </c>
      <c r="D703" s="131" t="s">
        <v>135</v>
      </c>
      <c r="E703" s="130" t="n">
        <v>1918500</v>
      </c>
      <c r="F703" s="131" t="s">
        <v>29</v>
      </c>
      <c r="G703" s="130" t="n">
        <v>1500000</v>
      </c>
      <c r="H703" s="131" t="n">
        <v>598</v>
      </c>
      <c r="I703" s="132" t="n">
        <v>0.17</v>
      </c>
      <c r="J703" s="132" t="n">
        <v>0.25</v>
      </c>
      <c r="K703" s="130" t="n">
        <v>0.81713161323951</v>
      </c>
      <c r="L703" s="132" t="n">
        <v>0.25</v>
      </c>
      <c r="M703" s="131" t="s">
        <v>64</v>
      </c>
      <c r="N703" s="133" t="n">
        <v>0.738111545478238</v>
      </c>
      <c r="O703" s="133" t="n">
        <v>0.81713161323951</v>
      </c>
      <c r="P703" s="132" t="n">
        <v>0.021347</v>
      </c>
      <c r="Q703" s="131" t="s">
        <v>130</v>
      </c>
      <c r="R703" s="130" t="n">
        <v>0</v>
      </c>
      <c r="S703" s="143" t="n">
        <v>0</v>
      </c>
      <c r="T703" s="134" t="n">
        <v>45539.6834133102</v>
      </c>
    </row>
    <row r="704" customFormat="false" ht="39.75" hidden="false" customHeight="true" outlineLevel="0" collapsed="false">
      <c r="B704" s="130" t="n">
        <v>1143843519</v>
      </c>
      <c r="C704" s="131" t="s">
        <v>437</v>
      </c>
      <c r="D704" s="131" t="s">
        <v>135</v>
      </c>
      <c r="E704" s="130" t="n">
        <v>2916600</v>
      </c>
      <c r="F704" s="131" t="s">
        <v>29</v>
      </c>
      <c r="G704" s="130" t="n">
        <v>1200000</v>
      </c>
      <c r="H704" s="131" t="n">
        <v>776</v>
      </c>
      <c r="I704" s="132" t="n">
        <v>0.42</v>
      </c>
      <c r="J704" s="132" t="n">
        <v>0.45</v>
      </c>
      <c r="K704" s="130" t="n">
        <v>14.8567170678187</v>
      </c>
      <c r="L704" s="132" t="n">
        <v>0.45</v>
      </c>
      <c r="M704" s="131" t="s">
        <v>64</v>
      </c>
      <c r="N704" s="133" t="n">
        <v>1.1986813412878</v>
      </c>
      <c r="O704" s="133" t="n">
        <v>14.8567170678187</v>
      </c>
      <c r="P704" s="132" t="n">
        <v>0.021347</v>
      </c>
      <c r="Q704" s="131" t="s">
        <v>130</v>
      </c>
      <c r="R704" s="130" t="n">
        <v>37663000</v>
      </c>
      <c r="S704" s="143" t="n">
        <v>0</v>
      </c>
      <c r="T704" s="134" t="n">
        <v>45539.6958168982</v>
      </c>
    </row>
    <row r="705" customFormat="false" ht="39.75" hidden="false" customHeight="true" outlineLevel="0" collapsed="false">
      <c r="B705" s="130" t="n">
        <v>1130612863</v>
      </c>
      <c r="C705" s="131" t="s">
        <v>429</v>
      </c>
      <c r="D705" s="131" t="s">
        <v>135</v>
      </c>
      <c r="E705" s="130" t="n">
        <v>2089800</v>
      </c>
      <c r="F705" s="131" t="s">
        <v>29</v>
      </c>
      <c r="G705" s="130" t="n">
        <v>2000000</v>
      </c>
      <c r="H705" s="131" t="n">
        <v>747</v>
      </c>
      <c r="I705" s="132" t="n">
        <v>0.28</v>
      </c>
      <c r="J705" s="132" t="n">
        <v>0.32</v>
      </c>
      <c r="K705" s="130" t="n">
        <v>7.81604076945162</v>
      </c>
      <c r="L705" s="132" t="n">
        <v>0.32</v>
      </c>
      <c r="M705" s="131" t="s">
        <v>62</v>
      </c>
      <c r="N705" s="133" t="n">
        <v>2.47527562446167</v>
      </c>
      <c r="O705" s="133" t="n">
        <v>7.81604076945162</v>
      </c>
      <c r="P705" s="132" t="n">
        <v>0.021347</v>
      </c>
      <c r="Q705" s="131" t="s">
        <v>130</v>
      </c>
      <c r="R705" s="130" t="n">
        <v>4795000</v>
      </c>
      <c r="S705" s="143" t="n">
        <v>0</v>
      </c>
      <c r="T705" s="134" t="n">
        <v>45539.7083746528</v>
      </c>
    </row>
    <row r="706" customFormat="false" ht="39.75" hidden="false" customHeight="true" outlineLevel="0" collapsed="false">
      <c r="B706" s="130" t="n">
        <v>1007194142</v>
      </c>
      <c r="C706" s="131" t="s">
        <v>738</v>
      </c>
      <c r="D706" s="131" t="s">
        <v>135</v>
      </c>
      <c r="E706" s="130" t="n">
        <v>2315000</v>
      </c>
      <c r="F706" s="131" t="s">
        <v>29</v>
      </c>
      <c r="G706" s="130" t="n">
        <v>3000000</v>
      </c>
      <c r="H706" s="131" t="n">
        <v>631</v>
      </c>
      <c r="I706" s="132" t="n">
        <v>0.06</v>
      </c>
      <c r="J706" s="132" t="n">
        <v>0.13</v>
      </c>
      <c r="K706" s="130" t="n">
        <v>2.40086393088553</v>
      </c>
      <c r="L706" s="132" t="n">
        <v>0.13</v>
      </c>
      <c r="M706" s="131" t="s">
        <v>64</v>
      </c>
      <c r="N706" s="133" t="n">
        <v>0.631238444924406</v>
      </c>
      <c r="O706" s="133" t="n">
        <v>2.40086393088553</v>
      </c>
      <c r="P706" s="132" t="n">
        <v>0.021347</v>
      </c>
      <c r="Q706" s="131" t="s">
        <v>130</v>
      </c>
      <c r="R706" s="130" t="n">
        <v>5558000</v>
      </c>
      <c r="S706" s="143" t="n">
        <v>0</v>
      </c>
      <c r="T706" s="134" t="n">
        <v>45539.710658912</v>
      </c>
    </row>
    <row r="707" customFormat="false" ht="39.75" hidden="false" customHeight="true" outlineLevel="0" collapsed="false">
      <c r="B707" s="130" t="n">
        <v>66829967</v>
      </c>
      <c r="C707" s="131" t="s">
        <v>739</v>
      </c>
      <c r="D707" s="131" t="s">
        <v>135</v>
      </c>
      <c r="E707" s="130" t="n">
        <v>1991000</v>
      </c>
      <c r="F707" s="131" t="s">
        <v>29</v>
      </c>
      <c r="G707" s="130" t="n">
        <v>1000000</v>
      </c>
      <c r="H707" s="131" t="n">
        <v>715</v>
      </c>
      <c r="I707" s="132" t="n">
        <v>0.05</v>
      </c>
      <c r="J707" s="132" t="n">
        <v>0.1</v>
      </c>
      <c r="K707" s="130" t="n">
        <v>0</v>
      </c>
      <c r="L707" s="132" t="n">
        <v>0.1</v>
      </c>
      <c r="M707" s="131" t="s">
        <v>64</v>
      </c>
      <c r="N707" s="133" t="n">
        <v>0.623102461074837</v>
      </c>
      <c r="O707" s="133" t="n">
        <v>0</v>
      </c>
      <c r="P707" s="132" t="n">
        <v>0.021347</v>
      </c>
      <c r="Q707" s="131" t="s">
        <v>130</v>
      </c>
      <c r="R707" s="130" t="n">
        <v>0</v>
      </c>
      <c r="S707" s="143" t="n">
        <v>0</v>
      </c>
      <c r="T707" s="134" t="n">
        <v>45539.711905787</v>
      </c>
    </row>
    <row r="708" customFormat="false" ht="39.75" hidden="false" customHeight="true" outlineLevel="0" collapsed="false">
      <c r="B708" s="130" t="n">
        <v>1143944202</v>
      </c>
      <c r="C708" s="131" t="s">
        <v>740</v>
      </c>
      <c r="D708" s="131" t="s">
        <v>135</v>
      </c>
      <c r="E708" s="130" t="n">
        <v>1670000</v>
      </c>
      <c r="F708" s="131" t="s">
        <v>29</v>
      </c>
      <c r="G708" s="130" t="n">
        <v>7336000</v>
      </c>
      <c r="H708" s="131" t="n">
        <v>619</v>
      </c>
      <c r="I708" s="132" t="n">
        <v>0.17</v>
      </c>
      <c r="J708" s="132" t="n">
        <v>0.42</v>
      </c>
      <c r="K708" s="130" t="n">
        <v>1.8716371257485</v>
      </c>
      <c r="L708" s="132" t="n">
        <v>0.42</v>
      </c>
      <c r="M708" s="131" t="s">
        <v>64</v>
      </c>
      <c r="N708" s="133" t="n">
        <v>1.68823353293413</v>
      </c>
      <c r="O708" s="133" t="n">
        <v>1.8716371257485</v>
      </c>
      <c r="P708" s="132" t="n">
        <v>0.0213</v>
      </c>
      <c r="Q708" s="131" t="s">
        <v>130</v>
      </c>
      <c r="R708" s="130" t="n">
        <v>2043000</v>
      </c>
      <c r="S708" s="143" t="n">
        <v>0</v>
      </c>
      <c r="T708" s="134" t="n">
        <v>45540.3649922454</v>
      </c>
    </row>
    <row r="709" customFormat="false" ht="39.75" hidden="false" customHeight="true" outlineLevel="0" collapsed="false">
      <c r="B709" s="130" t="n">
        <v>1144189200</v>
      </c>
      <c r="C709" s="131" t="s">
        <v>741</v>
      </c>
      <c r="D709" s="131" t="s">
        <v>135</v>
      </c>
      <c r="E709" s="130" t="n">
        <v>3394800</v>
      </c>
      <c r="F709" s="131" t="s">
        <v>29</v>
      </c>
      <c r="G709" s="130" t="n">
        <v>1400000</v>
      </c>
      <c r="H709" s="131" t="n">
        <v>778</v>
      </c>
      <c r="I709" s="132" t="n">
        <v>0.39</v>
      </c>
      <c r="J709" s="132" t="n">
        <v>0.41</v>
      </c>
      <c r="K709" s="130" t="n">
        <v>10.2921049840933</v>
      </c>
      <c r="L709" s="132" t="n">
        <v>0.41</v>
      </c>
      <c r="M709" s="131" t="s">
        <v>62</v>
      </c>
      <c r="N709" s="133" t="n">
        <v>1.27885795923177</v>
      </c>
      <c r="O709" s="133" t="n">
        <v>10.2921049840933</v>
      </c>
      <c r="P709" s="132" t="n">
        <v>0.0213</v>
      </c>
      <c r="Q709" s="131" t="s">
        <v>130</v>
      </c>
      <c r="R709" s="130" t="n">
        <v>32393000</v>
      </c>
      <c r="S709" s="143" t="n">
        <v>0</v>
      </c>
      <c r="T709" s="134" t="n">
        <v>45540.3713527778</v>
      </c>
    </row>
    <row r="710" customFormat="false" ht="39.75" hidden="false" customHeight="true" outlineLevel="0" collapsed="false">
      <c r="B710" s="130" t="n">
        <v>1107035395</v>
      </c>
      <c r="C710" s="131" t="s">
        <v>742</v>
      </c>
      <c r="D710" s="131" t="s">
        <v>135</v>
      </c>
      <c r="E710" s="130" t="n">
        <v>2893800</v>
      </c>
      <c r="F710" s="131" t="s">
        <v>29</v>
      </c>
      <c r="G710" s="130" t="n">
        <v>3000000</v>
      </c>
      <c r="H710" s="131" t="n">
        <v>542</v>
      </c>
      <c r="I710" s="132" t="n">
        <v>0.42</v>
      </c>
      <c r="J710" s="132" t="n">
        <v>0.52</v>
      </c>
      <c r="K710" s="130" t="n">
        <v>10.6360049070426</v>
      </c>
      <c r="L710" s="132" t="n">
        <v>0.52</v>
      </c>
      <c r="M710" s="131" t="s">
        <v>64</v>
      </c>
      <c r="N710" s="133" t="n">
        <v>1.34251779666874</v>
      </c>
      <c r="O710" s="133" t="n">
        <v>10.6360049070426</v>
      </c>
      <c r="P710" s="132" t="n">
        <v>0.0213</v>
      </c>
      <c r="Q710" s="131" t="s">
        <v>130</v>
      </c>
      <c r="R710" s="130" t="n">
        <v>30408000</v>
      </c>
      <c r="S710" s="143" t="n">
        <v>0</v>
      </c>
      <c r="T710" s="134" t="n">
        <v>45540.3757552083</v>
      </c>
    </row>
    <row r="711" customFormat="false" ht="39.75" hidden="false" customHeight="true" outlineLevel="0" collapsed="false">
      <c r="B711" s="130" t="n">
        <v>1107035395</v>
      </c>
      <c r="C711" s="131" t="s">
        <v>742</v>
      </c>
      <c r="D711" s="131" t="s">
        <v>135</v>
      </c>
      <c r="E711" s="130" t="n">
        <v>2893800</v>
      </c>
      <c r="F711" s="131" t="s">
        <v>29</v>
      </c>
      <c r="G711" s="130" t="n">
        <v>188571.428571429</v>
      </c>
      <c r="H711" s="131" t="n">
        <v>542</v>
      </c>
      <c r="I711" s="132" t="n">
        <v>0.42</v>
      </c>
      <c r="J711" s="132" t="n">
        <v>0.42</v>
      </c>
      <c r="K711" s="130" t="n">
        <v>10.6360049070426</v>
      </c>
      <c r="L711" s="132" t="n">
        <v>0.42</v>
      </c>
      <c r="M711" s="131" t="s">
        <v>64</v>
      </c>
      <c r="N711" s="133" t="n">
        <v>1.34251779666874</v>
      </c>
      <c r="O711" s="133" t="n">
        <v>10.6360049070426</v>
      </c>
      <c r="P711" s="132" t="n">
        <v>0.0213</v>
      </c>
      <c r="Q711" s="131" t="s">
        <v>130</v>
      </c>
      <c r="R711" s="130" t="n">
        <v>30408000</v>
      </c>
      <c r="S711" s="143" t="n">
        <v>0</v>
      </c>
      <c r="T711" s="134" t="n">
        <v>45540.3774700232</v>
      </c>
    </row>
    <row r="712" customFormat="false" ht="39.75" hidden="false" customHeight="true" outlineLevel="0" collapsed="false">
      <c r="B712" s="130" t="n">
        <v>1054990766</v>
      </c>
      <c r="C712" s="131" t="s">
        <v>177</v>
      </c>
      <c r="D712" s="131" t="s">
        <v>135</v>
      </c>
      <c r="E712" s="130" t="n">
        <v>2600900</v>
      </c>
      <c r="F712" s="131" t="s">
        <v>29</v>
      </c>
      <c r="G712" s="130" t="n">
        <v>3000000</v>
      </c>
      <c r="H712" s="131" t="n">
        <v>760</v>
      </c>
      <c r="I712" s="132" t="n">
        <v>0.45</v>
      </c>
      <c r="J712" s="132" t="n">
        <v>0.51</v>
      </c>
      <c r="K712" s="130" t="n">
        <v>17.4970202622169</v>
      </c>
      <c r="L712" s="132" t="n">
        <v>0.51</v>
      </c>
      <c r="M712" s="131" t="s">
        <v>64</v>
      </c>
      <c r="N712" s="133" t="n">
        <v>1.54711407589681</v>
      </c>
      <c r="O712" s="133" t="n">
        <v>17.4970202622169</v>
      </c>
      <c r="P712" s="132" t="n">
        <v>0.0213</v>
      </c>
      <c r="Q712" s="131" t="s">
        <v>130</v>
      </c>
      <c r="R712" s="130" t="n">
        <v>45508000</v>
      </c>
      <c r="S712" s="143" t="n">
        <v>0</v>
      </c>
      <c r="T712" s="134" t="n">
        <v>45540.3793541667</v>
      </c>
    </row>
    <row r="713" customFormat="false" ht="39.75" hidden="false" customHeight="true" outlineLevel="0" collapsed="false">
      <c r="B713" s="130" t="n">
        <v>1144168203</v>
      </c>
      <c r="C713" s="131" t="s">
        <v>672</v>
      </c>
      <c r="D713" s="131" t="s">
        <v>135</v>
      </c>
      <c r="E713" s="130" t="n">
        <v>2893800</v>
      </c>
      <c r="F713" s="131" t="s">
        <v>29</v>
      </c>
      <c r="G713" s="130" t="n">
        <v>3900000</v>
      </c>
      <c r="H713" s="131" t="n">
        <v>611</v>
      </c>
      <c r="I713" s="132" t="n">
        <v>0.16</v>
      </c>
      <c r="J713" s="132" t="n">
        <v>0.22</v>
      </c>
      <c r="K713" s="130" t="n">
        <v>1.81392701637985</v>
      </c>
      <c r="L713" s="132" t="n">
        <v>0.22</v>
      </c>
      <c r="M713" s="131" t="s">
        <v>64</v>
      </c>
      <c r="N713" s="133" t="n">
        <v>1.22084490980717</v>
      </c>
      <c r="O713" s="133" t="n">
        <v>1.81392701637985</v>
      </c>
      <c r="P713" s="132" t="n">
        <v>0.0213</v>
      </c>
      <c r="Q713" s="131" t="s">
        <v>130</v>
      </c>
      <c r="R713" s="130" t="n">
        <v>2425000</v>
      </c>
      <c r="S713" s="143" t="n">
        <v>0</v>
      </c>
      <c r="T713" s="134" t="n">
        <v>45540.7518333333</v>
      </c>
    </row>
    <row r="714" customFormat="false" ht="39.75" hidden="false" customHeight="true" outlineLevel="0" collapsed="false">
      <c r="B714" s="130" t="n">
        <v>6537914</v>
      </c>
      <c r="C714" s="131" t="s">
        <v>743</v>
      </c>
      <c r="D714" s="131" t="s">
        <v>135</v>
      </c>
      <c r="E714" s="130" t="n">
        <v>8245400</v>
      </c>
      <c r="F714" s="131" t="s">
        <v>29</v>
      </c>
      <c r="G714" s="130" t="n">
        <v>3000000</v>
      </c>
      <c r="H714" s="131" t="n">
        <v>924</v>
      </c>
      <c r="I714" s="132" t="n">
        <v>0.07</v>
      </c>
      <c r="J714" s="132" t="n">
        <v>0.09</v>
      </c>
      <c r="K714" s="130" t="n">
        <v>2.07461129842094</v>
      </c>
      <c r="L714" s="132" t="n">
        <v>0.09</v>
      </c>
      <c r="M714" s="131" t="s">
        <v>62</v>
      </c>
      <c r="N714" s="133" t="n">
        <v>0.749087006088243</v>
      </c>
      <c r="O714" s="133" t="n">
        <v>2.07461129842094</v>
      </c>
      <c r="P714" s="132" t="n">
        <v>0.0213</v>
      </c>
      <c r="Q714" s="131" t="s">
        <v>130</v>
      </c>
      <c r="R714" s="130" t="n">
        <v>17106000</v>
      </c>
      <c r="S714" s="143" t="n">
        <v>0</v>
      </c>
      <c r="T714" s="134" t="n">
        <v>45540.7540626157</v>
      </c>
    </row>
    <row r="715" customFormat="false" ht="39.75" hidden="false" customHeight="true" outlineLevel="0" collapsed="false">
      <c r="B715" s="130" t="n">
        <v>31488174</v>
      </c>
      <c r="C715" s="131" t="s">
        <v>307</v>
      </c>
      <c r="D715" s="131" t="s">
        <v>135</v>
      </c>
      <c r="E715" s="130" t="n">
        <v>2893800</v>
      </c>
      <c r="F715" s="131" t="s">
        <v>29</v>
      </c>
      <c r="G715" s="130" t="n">
        <v>1820000</v>
      </c>
      <c r="H715" s="131" t="n">
        <v>793</v>
      </c>
      <c r="I715" s="132" t="n">
        <v>0.38</v>
      </c>
      <c r="J715" s="132" t="n">
        <v>0.42</v>
      </c>
      <c r="K715" s="130" t="n">
        <v>7.85089052456977</v>
      </c>
      <c r="L715" s="132" t="n">
        <v>0.42</v>
      </c>
      <c r="M715" s="131" t="s">
        <v>64</v>
      </c>
      <c r="N715" s="133" t="n">
        <v>1.1783278042712</v>
      </c>
      <c r="O715" s="133" t="n">
        <v>7.85089052456977</v>
      </c>
      <c r="P715" s="132" t="n">
        <v>0.0213</v>
      </c>
      <c r="Q715" s="131" t="s">
        <v>130</v>
      </c>
      <c r="R715" s="130" t="n">
        <v>20485000</v>
      </c>
      <c r="S715" s="143" t="n">
        <v>0</v>
      </c>
      <c r="T715" s="134" t="n">
        <v>45545.3268152778</v>
      </c>
    </row>
    <row r="716" customFormat="false" ht="39.75" hidden="false" customHeight="true" outlineLevel="0" collapsed="false">
      <c r="B716" s="130" t="n">
        <v>14839121</v>
      </c>
      <c r="C716" s="131" t="s">
        <v>744</v>
      </c>
      <c r="D716" s="131" t="s">
        <v>135</v>
      </c>
      <c r="E716" s="130" t="n">
        <v>1918500</v>
      </c>
      <c r="F716" s="131" t="s">
        <v>14</v>
      </c>
      <c r="G716" s="130" t="n">
        <v>4200000</v>
      </c>
      <c r="H716" s="131" t="n">
        <v>793</v>
      </c>
      <c r="I716" s="132" t="n">
        <v>0.38</v>
      </c>
      <c r="J716" s="132" t="n">
        <v>0.48</v>
      </c>
      <c r="K716" s="130" t="n">
        <v>12.2486317435496</v>
      </c>
      <c r="L716" s="132" t="n">
        <v>0.48</v>
      </c>
      <c r="M716" s="131" t="s">
        <v>64</v>
      </c>
      <c r="N716" s="133" t="n">
        <v>1.23420015637217</v>
      </c>
      <c r="O716" s="133" t="n">
        <v>12.2486317435496</v>
      </c>
      <c r="P716" s="132" t="n">
        <v>0.0199</v>
      </c>
      <c r="Q716" s="131" t="s">
        <v>130</v>
      </c>
      <c r="R716" s="130" t="n">
        <v>23499000</v>
      </c>
      <c r="S716" s="143" t="n">
        <v>0</v>
      </c>
      <c r="T716" s="134" t="n">
        <v>45546.3727895833</v>
      </c>
    </row>
    <row r="717" customFormat="false" ht="39.75" hidden="false" customHeight="true" outlineLevel="0" collapsed="false">
      <c r="B717" s="130" t="n">
        <v>66960048</v>
      </c>
      <c r="C717" s="131" t="s">
        <v>745</v>
      </c>
      <c r="D717" s="131" t="s">
        <v>135</v>
      </c>
      <c r="E717" s="130" t="n">
        <v>2600900</v>
      </c>
      <c r="F717" s="131" t="s">
        <v>11</v>
      </c>
      <c r="G717" s="130" t="n">
        <v>11000000</v>
      </c>
      <c r="H717" s="131" t="n">
        <v>883</v>
      </c>
      <c r="I717" s="132" t="n">
        <v>0.41</v>
      </c>
      <c r="J717" s="132" t="n">
        <v>0.5</v>
      </c>
      <c r="K717" s="130" t="n">
        <v>12.6363950940059</v>
      </c>
      <c r="L717" s="132" t="n">
        <v>0.5</v>
      </c>
      <c r="M717" s="131" t="s">
        <v>61</v>
      </c>
      <c r="N717" s="133" t="n">
        <v>1.25746587719636</v>
      </c>
      <c r="O717" s="133" t="n">
        <v>12.6363950940059</v>
      </c>
      <c r="P717" s="132" t="n">
        <v>0.0167</v>
      </c>
      <c r="Q717" s="131" t="s">
        <v>130</v>
      </c>
      <c r="R717" s="130" t="n">
        <v>32866000</v>
      </c>
      <c r="S717" s="143" t="n">
        <v>0</v>
      </c>
      <c r="T717" s="134" t="n">
        <v>45546.3766488426</v>
      </c>
    </row>
    <row r="718" customFormat="false" ht="39.75" hidden="false" customHeight="true" outlineLevel="0" collapsed="false">
      <c r="B718" s="130" t="n">
        <v>16846278</v>
      </c>
      <c r="C718" s="131" t="s">
        <v>746</v>
      </c>
      <c r="D718" s="131" t="s">
        <v>135</v>
      </c>
      <c r="E718" s="130" t="n">
        <v>2600900</v>
      </c>
      <c r="F718" s="131" t="s">
        <v>14</v>
      </c>
      <c r="G718" s="130" t="n">
        <v>4986404</v>
      </c>
      <c r="H718" s="131" t="n">
        <v>677</v>
      </c>
      <c r="I718" s="132" t="n">
        <v>0.42</v>
      </c>
      <c r="J718" s="132" t="n">
        <v>0.43</v>
      </c>
      <c r="K718" s="130" t="n">
        <v>7.27216194394248</v>
      </c>
      <c r="L718" s="132" t="n">
        <v>0.43</v>
      </c>
      <c r="M718" s="131" t="s">
        <v>62</v>
      </c>
      <c r="N718" s="133" t="n">
        <v>1.16896881848591</v>
      </c>
      <c r="O718" s="133" t="n">
        <v>7.27216194394248</v>
      </c>
      <c r="P718" s="132" t="n">
        <v>0.0199</v>
      </c>
      <c r="Q718" s="131" t="s">
        <v>130</v>
      </c>
      <c r="R718" s="130" t="n">
        <v>9270000</v>
      </c>
      <c r="S718" s="143" t="n">
        <v>0</v>
      </c>
      <c r="T718" s="134" t="n">
        <v>45546.384028125</v>
      </c>
    </row>
    <row r="719" customFormat="false" ht="39.75" hidden="false" customHeight="true" outlineLevel="0" collapsed="false">
      <c r="B719" s="130" t="n">
        <v>31482381</v>
      </c>
      <c r="C719" s="131" t="s">
        <v>747</v>
      </c>
      <c r="D719" s="131" t="s">
        <v>135</v>
      </c>
      <c r="E719" s="130" t="n">
        <v>5418800</v>
      </c>
      <c r="F719" s="131" t="s">
        <v>14</v>
      </c>
      <c r="G719" s="130" t="n">
        <v>15000000</v>
      </c>
      <c r="H719" s="131" t="n">
        <v>836</v>
      </c>
      <c r="I719" s="132" t="n">
        <v>0.32</v>
      </c>
      <c r="J719" s="132" t="n">
        <v>0.44</v>
      </c>
      <c r="K719" s="130" t="n">
        <v>8.47716210231048</v>
      </c>
      <c r="L719" s="132" t="n">
        <v>0.44</v>
      </c>
      <c r="M719" s="131" t="s">
        <v>62</v>
      </c>
      <c r="N719" s="133" t="n">
        <v>1.11961172215251</v>
      </c>
      <c r="O719" s="133" t="n">
        <v>8.47716210231048</v>
      </c>
      <c r="P719" s="132" t="n">
        <v>0.0199</v>
      </c>
      <c r="Q719" s="131" t="s">
        <v>130</v>
      </c>
      <c r="R719" s="130" t="n">
        <v>45443000</v>
      </c>
      <c r="S719" s="143" t="n">
        <v>0</v>
      </c>
      <c r="T719" s="134" t="n">
        <v>45546.3896158565</v>
      </c>
    </row>
    <row r="720" customFormat="false" ht="39.75" hidden="false" customHeight="true" outlineLevel="0" collapsed="false">
      <c r="B720" s="130" t="n">
        <v>1144097450</v>
      </c>
      <c r="C720" s="131" t="s">
        <v>748</v>
      </c>
      <c r="D720" s="131" t="s">
        <v>135</v>
      </c>
      <c r="E720" s="130" t="n">
        <v>2340800</v>
      </c>
      <c r="F720" s="131" t="s">
        <v>17</v>
      </c>
      <c r="G720" s="130" t="n">
        <v>7398000</v>
      </c>
      <c r="H720" s="131" t="n">
        <v>619</v>
      </c>
      <c r="I720" s="132" t="n">
        <v>1.58</v>
      </c>
      <c r="J720" s="132" t="n">
        <v>1.68</v>
      </c>
      <c r="K720" s="130" t="n">
        <v>32.1345646787423</v>
      </c>
      <c r="L720" s="132" t="n">
        <v>1.68</v>
      </c>
      <c r="M720" s="131" t="s">
        <v>64</v>
      </c>
      <c r="N720" s="133" t="n">
        <v>4.87373333902939</v>
      </c>
      <c r="O720" s="133" t="n">
        <v>32.1345646787423</v>
      </c>
      <c r="P720" s="132" t="n">
        <v>0.0199</v>
      </c>
      <c r="Q720" s="131" t="s">
        <v>130</v>
      </c>
      <c r="R720" s="130" t="n">
        <v>73431000</v>
      </c>
      <c r="S720" s="143" t="n">
        <v>0</v>
      </c>
      <c r="T720" s="134" t="n">
        <v>45546.3920972222</v>
      </c>
    </row>
    <row r="721" customFormat="false" ht="39.75" hidden="false" customHeight="true" outlineLevel="0" collapsed="false">
      <c r="B721" s="130" t="n">
        <v>29363464</v>
      </c>
      <c r="C721" s="131" t="s">
        <v>749</v>
      </c>
      <c r="D721" s="131" t="s">
        <v>135</v>
      </c>
      <c r="E721" s="130" t="n">
        <v>2893800</v>
      </c>
      <c r="F721" s="131" t="s">
        <v>14</v>
      </c>
      <c r="G721" s="130" t="n">
        <v>5600000</v>
      </c>
      <c r="H721" s="131" t="n">
        <v>665</v>
      </c>
      <c r="I721" s="132" t="n">
        <v>0.65</v>
      </c>
      <c r="J721" s="132" t="n">
        <v>0.64</v>
      </c>
      <c r="K721" s="130" t="n">
        <v>8.45248220333126</v>
      </c>
      <c r="L721" s="132" t="n">
        <v>0.64</v>
      </c>
      <c r="M721" s="131" t="s">
        <v>62</v>
      </c>
      <c r="N721" s="133" t="n">
        <v>2.17176100628931</v>
      </c>
      <c r="O721" s="133" t="n">
        <v>8.45248220333126</v>
      </c>
      <c r="P721" s="132" t="n">
        <v>0.0199</v>
      </c>
      <c r="Q721" s="131" t="s">
        <v>130</v>
      </c>
      <c r="R721" s="130" t="n">
        <v>21167000</v>
      </c>
      <c r="S721" s="143" t="s">
        <v>146</v>
      </c>
      <c r="T721" s="134" t="n">
        <v>45546.3998336806</v>
      </c>
    </row>
    <row r="722" customFormat="false" ht="39.75" hidden="false" customHeight="true" outlineLevel="0" collapsed="false">
      <c r="B722" s="130" t="n">
        <v>24348754</v>
      </c>
      <c r="C722" s="131" t="s">
        <v>750</v>
      </c>
      <c r="D722" s="131" t="s">
        <v>135</v>
      </c>
      <c r="E722" s="130" t="n">
        <v>5418800</v>
      </c>
      <c r="F722" s="131" t="s">
        <v>22</v>
      </c>
      <c r="G722" s="130" t="n">
        <v>30000000</v>
      </c>
      <c r="H722" s="131" t="n">
        <v>999</v>
      </c>
      <c r="I722" s="132" t="n">
        <v>0.11</v>
      </c>
      <c r="J722" s="132" t="n">
        <v>0.24</v>
      </c>
      <c r="K722" s="130" t="n">
        <v>0</v>
      </c>
      <c r="L722" s="132" t="n">
        <v>0.24</v>
      </c>
      <c r="M722" s="131" t="s">
        <v>61</v>
      </c>
      <c r="N722" s="133" t="n">
        <v>0.586865911271868</v>
      </c>
      <c r="O722" s="133" t="n">
        <v>0</v>
      </c>
      <c r="P722" s="132" t="n">
        <v>0.0107</v>
      </c>
      <c r="Q722" s="131" t="s">
        <v>130</v>
      </c>
      <c r="R722" s="130" t="n">
        <v>0</v>
      </c>
      <c r="S722" s="143" t="s">
        <v>146</v>
      </c>
      <c r="T722" s="134" t="n">
        <v>45546.4106135417</v>
      </c>
    </row>
    <row r="723" customFormat="false" ht="39.75" hidden="false" customHeight="true" outlineLevel="0" collapsed="false">
      <c r="B723" s="130" t="n">
        <v>1107069840</v>
      </c>
      <c r="C723" s="131" t="s">
        <v>751</v>
      </c>
      <c r="D723" s="131" t="s">
        <v>135</v>
      </c>
      <c r="E723" s="130" t="n">
        <v>3945300</v>
      </c>
      <c r="F723" s="131" t="s">
        <v>17</v>
      </c>
      <c r="G723" s="130" t="n">
        <v>13682500</v>
      </c>
      <c r="H723" s="131" t="n">
        <v>748</v>
      </c>
      <c r="I723" s="132" t="n">
        <v>0.27</v>
      </c>
      <c r="J723" s="132" t="n">
        <v>0.37</v>
      </c>
      <c r="K723" s="130" t="n">
        <v>14.1699743999189</v>
      </c>
      <c r="L723" s="132" t="n">
        <v>0.37</v>
      </c>
      <c r="M723" s="131" t="s">
        <v>64</v>
      </c>
      <c r="N723" s="133" t="n">
        <v>1.17795452817276</v>
      </c>
      <c r="O723" s="133" t="n">
        <v>14.1699743999189</v>
      </c>
      <c r="P723" s="132" t="n">
        <v>0.017</v>
      </c>
      <c r="Q723" s="131" t="s">
        <v>130</v>
      </c>
      <c r="R723" s="130" t="n">
        <v>55616000</v>
      </c>
      <c r="S723" s="143" t="s">
        <v>640</v>
      </c>
      <c r="T723" s="134" t="n">
        <v>45546.4145601852</v>
      </c>
    </row>
    <row r="724" customFormat="false" ht="39.75" hidden="false" customHeight="true" outlineLevel="0" collapsed="false">
      <c r="B724" s="130" t="n">
        <v>25364521</v>
      </c>
      <c r="C724" s="131" t="s">
        <v>480</v>
      </c>
      <c r="D724" s="131" t="s">
        <v>135</v>
      </c>
      <c r="E724" s="130" t="n">
        <v>5842800</v>
      </c>
      <c r="F724" s="131" t="s">
        <v>22</v>
      </c>
      <c r="G724" s="130" t="n">
        <v>10000000</v>
      </c>
      <c r="H724" s="131" t="n">
        <v>726</v>
      </c>
      <c r="I724" s="132" t="n">
        <v>0.3</v>
      </c>
      <c r="J724" s="132" t="n">
        <v>0.34</v>
      </c>
      <c r="K724" s="130" t="n">
        <v>16.7417079140138</v>
      </c>
      <c r="L724" s="132" t="n">
        <v>0.34</v>
      </c>
      <c r="M724" s="131" t="s">
        <v>62</v>
      </c>
      <c r="N724" s="133" t="n">
        <v>2.47396008762922</v>
      </c>
      <c r="O724" s="133" t="n">
        <v>16.7417079140138</v>
      </c>
      <c r="P724" s="132" t="n">
        <v>0.0107</v>
      </c>
      <c r="Q724" s="131" t="s">
        <v>130</v>
      </c>
      <c r="R724" s="130" t="n">
        <v>95118000</v>
      </c>
      <c r="S724" s="143" t="n">
        <v>0</v>
      </c>
      <c r="T724" s="134" t="n">
        <v>45546.417983912</v>
      </c>
    </row>
    <row r="725" customFormat="false" ht="39.75" hidden="false" customHeight="true" outlineLevel="0" collapsed="false">
      <c r="B725" s="130" t="n">
        <v>34318934</v>
      </c>
      <c r="C725" s="131" t="s">
        <v>752</v>
      </c>
      <c r="D725" s="131" t="s">
        <v>135</v>
      </c>
      <c r="E725" s="130" t="n">
        <v>5842800</v>
      </c>
      <c r="F725" s="131" t="s">
        <v>14</v>
      </c>
      <c r="G725" s="130" t="n">
        <v>8200000</v>
      </c>
      <c r="H725" s="131" t="n">
        <v>848</v>
      </c>
      <c r="I725" s="132" t="n">
        <v>0.19</v>
      </c>
      <c r="J725" s="132" t="n">
        <v>0.24</v>
      </c>
      <c r="K725" s="130" t="n">
        <v>6.58258386390087</v>
      </c>
      <c r="L725" s="132" t="n">
        <v>0.24</v>
      </c>
      <c r="M725" s="131" t="s">
        <v>62</v>
      </c>
      <c r="N725" s="133" t="n">
        <v>0.851484391045389</v>
      </c>
      <c r="O725" s="133" t="n">
        <v>6.58258386390087</v>
      </c>
      <c r="P725" s="132" t="n">
        <v>0.0199</v>
      </c>
      <c r="Q725" s="131" t="s">
        <v>130</v>
      </c>
      <c r="R725" s="130" t="n">
        <v>38305000</v>
      </c>
      <c r="S725" s="143" t="n">
        <v>0</v>
      </c>
      <c r="T725" s="134" t="n">
        <v>45546.420459838</v>
      </c>
    </row>
    <row r="726" customFormat="false" ht="39.75" hidden="false" customHeight="true" outlineLevel="0" collapsed="false">
      <c r="B726" s="130" t="n">
        <v>94492338</v>
      </c>
      <c r="C726" s="131" t="s">
        <v>138</v>
      </c>
      <c r="D726" s="131" t="s">
        <v>135</v>
      </c>
      <c r="E726" s="130" t="n">
        <v>10237200</v>
      </c>
      <c r="F726" s="131" t="s">
        <v>14</v>
      </c>
      <c r="G726" s="130" t="n">
        <v>12000000</v>
      </c>
      <c r="H726" s="131" t="n">
        <v>815</v>
      </c>
      <c r="I726" s="132" t="n">
        <v>0.21</v>
      </c>
      <c r="J726" s="132" t="n">
        <v>0.25</v>
      </c>
      <c r="K726" s="130" t="n">
        <v>1.47429805024811</v>
      </c>
      <c r="L726" s="132" t="n">
        <v>0.25</v>
      </c>
      <c r="M726" s="131" t="s">
        <v>61</v>
      </c>
      <c r="N726" s="133" t="n">
        <v>0.676632379947642</v>
      </c>
      <c r="O726" s="133" t="n">
        <v>1.47429805024811</v>
      </c>
      <c r="P726" s="132" t="n">
        <v>0.0199</v>
      </c>
      <c r="Q726" s="131" t="s">
        <v>130</v>
      </c>
      <c r="R726" s="130" t="n">
        <v>0</v>
      </c>
      <c r="S726" s="143" t="n">
        <v>0</v>
      </c>
      <c r="T726" s="134" t="n">
        <v>45546.429071875</v>
      </c>
    </row>
    <row r="727" customFormat="false" ht="39.75" hidden="false" customHeight="true" outlineLevel="0" collapsed="false">
      <c r="B727" s="130" t="n">
        <v>38641418</v>
      </c>
      <c r="C727" s="131" t="s">
        <v>541</v>
      </c>
      <c r="D727" s="131" t="s">
        <v>135</v>
      </c>
      <c r="E727" s="130" t="n">
        <v>2600900</v>
      </c>
      <c r="F727" s="131" t="s">
        <v>29</v>
      </c>
      <c r="G727" s="130" t="n">
        <v>2450000</v>
      </c>
      <c r="H727" s="131" t="n">
        <v>747</v>
      </c>
      <c r="I727" s="132" t="n">
        <v>0.38</v>
      </c>
      <c r="J727" s="132" t="n">
        <v>0.37</v>
      </c>
      <c r="K727" s="130" t="n">
        <v>8.31879772386482</v>
      </c>
      <c r="L727" s="132" t="n">
        <v>0.37</v>
      </c>
      <c r="M727" s="131" t="s">
        <v>62</v>
      </c>
      <c r="N727" s="133" t="n">
        <v>1.06659156445846</v>
      </c>
      <c r="O727" s="133" t="n">
        <v>8.31879772386482</v>
      </c>
      <c r="P727" s="132" t="n">
        <v>0.0213</v>
      </c>
      <c r="Q727" s="131" t="s">
        <v>130</v>
      </c>
      <c r="R727" s="130" t="n">
        <v>16404000</v>
      </c>
      <c r="S727" s="143" t="s">
        <v>753</v>
      </c>
      <c r="T727" s="134" t="n">
        <v>45546.6261903935</v>
      </c>
    </row>
    <row r="728" customFormat="false" ht="39.75" hidden="false" customHeight="true" outlineLevel="0" collapsed="false">
      <c r="B728" s="130" t="n">
        <v>1130617415</v>
      </c>
      <c r="C728" s="131" t="s">
        <v>754</v>
      </c>
      <c r="D728" s="131" t="s">
        <v>135</v>
      </c>
      <c r="E728" s="130" t="n">
        <v>1717900</v>
      </c>
      <c r="F728" s="131" t="s">
        <v>29</v>
      </c>
      <c r="G728" s="130" t="n">
        <v>3600000</v>
      </c>
      <c r="H728" s="131" t="n">
        <v>494</v>
      </c>
      <c r="I728" s="132" t="n">
        <v>0.3</v>
      </c>
      <c r="J728" s="132" t="n">
        <v>0.32</v>
      </c>
      <c r="K728" s="130" t="n">
        <v>1.56689388206531</v>
      </c>
      <c r="L728" s="132" t="n">
        <v>0.32</v>
      </c>
      <c r="M728" s="131" t="s">
        <v>64</v>
      </c>
      <c r="N728" s="133" t="n">
        <v>0.988981896501543</v>
      </c>
      <c r="O728" s="133" t="n">
        <v>1.56689388206531</v>
      </c>
      <c r="P728" s="132" t="n">
        <v>0.0213</v>
      </c>
      <c r="Q728" s="131" t="s">
        <v>130</v>
      </c>
      <c r="R728" s="130" t="n">
        <v>1866000</v>
      </c>
      <c r="S728" s="143" t="n">
        <v>0</v>
      </c>
      <c r="T728" s="134" t="n">
        <v>45547.3135990741</v>
      </c>
    </row>
    <row r="729" customFormat="false" ht="39.75" hidden="false" customHeight="true" outlineLevel="0" collapsed="false">
      <c r="B729" s="130" t="n">
        <v>1107096171</v>
      </c>
      <c r="C729" s="131" t="s">
        <v>224</v>
      </c>
      <c r="D729" s="131" t="s">
        <v>135</v>
      </c>
      <c r="E729" s="130" t="n">
        <v>2600900</v>
      </c>
      <c r="F729" s="131" t="s">
        <v>29</v>
      </c>
      <c r="G729" s="130" t="n">
        <v>1500000</v>
      </c>
      <c r="H729" s="131" t="n">
        <v>701</v>
      </c>
      <c r="I729" s="132" t="n">
        <v>0.04</v>
      </c>
      <c r="J729" s="132" t="n">
        <v>0.1</v>
      </c>
      <c r="K729" s="130" t="n">
        <v>1.47026029451344</v>
      </c>
      <c r="L729" s="132" t="n">
        <v>0.1</v>
      </c>
      <c r="M729" s="131" t="s">
        <v>64</v>
      </c>
      <c r="N729" s="133" t="n">
        <v>0.767532392633319</v>
      </c>
      <c r="O729" s="133" t="n">
        <v>1.47026029451344</v>
      </c>
      <c r="P729" s="132" t="n">
        <v>0.0213</v>
      </c>
      <c r="Q729" s="131" t="s">
        <v>130</v>
      </c>
      <c r="R729" s="130" t="n">
        <v>3824000</v>
      </c>
      <c r="S729" s="143" t="n">
        <v>0</v>
      </c>
      <c r="T729" s="134" t="n">
        <v>45551.4349313657</v>
      </c>
    </row>
    <row r="730" customFormat="false" ht="39.75" hidden="false" customHeight="true" outlineLevel="0" collapsed="false">
      <c r="B730" s="130" t="n">
        <v>1144167122</v>
      </c>
      <c r="C730" s="131" t="s">
        <v>755</v>
      </c>
      <c r="D730" s="131" t="s">
        <v>135</v>
      </c>
      <c r="E730" s="130" t="n">
        <v>3550700</v>
      </c>
      <c r="F730" s="131" t="s">
        <v>29</v>
      </c>
      <c r="G730" s="130" t="n">
        <v>3500000</v>
      </c>
      <c r="H730" s="131" t="n">
        <v>899</v>
      </c>
      <c r="I730" s="132" t="n">
        <v>0.28</v>
      </c>
      <c r="J730" s="132" t="n">
        <v>0.32</v>
      </c>
      <c r="K730" s="130" t="n">
        <v>5.0928433829949</v>
      </c>
      <c r="L730" s="132" t="n">
        <v>0.32</v>
      </c>
      <c r="M730" s="131" t="s">
        <v>62</v>
      </c>
      <c r="N730" s="133" t="n">
        <v>1.02667248711522</v>
      </c>
      <c r="O730" s="133" t="n">
        <v>5.0928433829949</v>
      </c>
      <c r="P730" s="132" t="n">
        <v>0.0213</v>
      </c>
      <c r="Q730" s="131" t="s">
        <v>130</v>
      </c>
      <c r="R730" s="130" t="n">
        <v>14671000</v>
      </c>
      <c r="S730" s="143" t="n">
        <v>0</v>
      </c>
      <c r="T730" s="134" t="n">
        <v>45551.4442096065</v>
      </c>
    </row>
    <row r="731" customFormat="false" ht="39.75" hidden="false" customHeight="true" outlineLevel="0" collapsed="false">
      <c r="B731" s="130" t="n">
        <v>94426762</v>
      </c>
      <c r="C731" s="131" t="s">
        <v>225</v>
      </c>
      <c r="D731" s="131" t="s">
        <v>135</v>
      </c>
      <c r="E731" s="130" t="n">
        <v>2925100</v>
      </c>
      <c r="F731" s="131" t="s">
        <v>29</v>
      </c>
      <c r="G731" s="130" t="n">
        <v>2000000</v>
      </c>
      <c r="H731" s="131" t="n">
        <v>785</v>
      </c>
      <c r="I731" s="132" t="n">
        <v>0.38</v>
      </c>
      <c r="J731" s="132" t="n">
        <v>0.42</v>
      </c>
      <c r="K731" s="130" t="n">
        <v>13.7687754264811</v>
      </c>
      <c r="L731" s="132" t="n">
        <v>0.42</v>
      </c>
      <c r="M731" s="131" t="s">
        <v>64</v>
      </c>
      <c r="N731" s="133" t="n">
        <v>1.6022631704899</v>
      </c>
      <c r="O731" s="133" t="n">
        <v>13.7687754264811</v>
      </c>
      <c r="P731" s="132" t="n">
        <v>0.0213</v>
      </c>
      <c r="Q731" s="131" t="s">
        <v>130</v>
      </c>
      <c r="R731" s="130" t="n">
        <v>34718000</v>
      </c>
      <c r="S731" s="143" t="n">
        <v>0</v>
      </c>
      <c r="T731" s="134" t="n">
        <v>45551.4525394676</v>
      </c>
    </row>
    <row r="732" customFormat="false" ht="39.75" hidden="false" customHeight="true" outlineLevel="0" collapsed="false">
      <c r="B732" s="130" t="n">
        <v>1130587720</v>
      </c>
      <c r="C732" s="131" t="s">
        <v>756</v>
      </c>
      <c r="D732" s="131" t="s">
        <v>135</v>
      </c>
      <c r="E732" s="130" t="n">
        <v>2893800</v>
      </c>
      <c r="F732" s="131" t="s">
        <v>29</v>
      </c>
      <c r="G732" s="130" t="n">
        <v>4000000</v>
      </c>
      <c r="H732" s="131" t="n">
        <v>707</v>
      </c>
      <c r="I732" s="132" t="n">
        <v>0.37</v>
      </c>
      <c r="J732" s="132" t="n">
        <v>0.41</v>
      </c>
      <c r="K732" s="130" t="n">
        <v>14.3797083419725</v>
      </c>
      <c r="L732" s="132" t="n">
        <v>0.41</v>
      </c>
      <c r="M732" s="131" t="s">
        <v>64</v>
      </c>
      <c r="N732" s="133" t="n">
        <v>1.19613518556915</v>
      </c>
      <c r="O732" s="133" t="n">
        <v>14.3797083419725</v>
      </c>
      <c r="P732" s="132" t="n">
        <v>0.0213</v>
      </c>
      <c r="Q732" s="131" t="s">
        <v>130</v>
      </c>
      <c r="R732" s="130" t="n">
        <v>41612000</v>
      </c>
      <c r="S732" s="143" t="n">
        <v>0</v>
      </c>
      <c r="T732" s="134" t="n">
        <v>45551.6453320602</v>
      </c>
    </row>
    <row r="733" customFormat="false" ht="39.75" hidden="false" customHeight="true" outlineLevel="0" collapsed="false">
      <c r="B733" s="130" t="n">
        <v>1006049428</v>
      </c>
      <c r="C733" s="131" t="s">
        <v>757</v>
      </c>
      <c r="D733" s="131" t="s">
        <v>135</v>
      </c>
      <c r="E733" s="130" t="n">
        <v>1918500</v>
      </c>
      <c r="F733" s="131" t="s">
        <v>29</v>
      </c>
      <c r="G733" s="130" t="n">
        <v>2400000</v>
      </c>
      <c r="H733" s="131" t="n">
        <v>762</v>
      </c>
      <c r="I733" s="132" t="n">
        <v>0.25</v>
      </c>
      <c r="J733" s="132" t="n">
        <v>0.38</v>
      </c>
      <c r="K733" s="130" t="n">
        <v>0.396260620276257</v>
      </c>
      <c r="L733" s="132" t="n">
        <v>0.38</v>
      </c>
      <c r="M733" s="131" t="s">
        <v>64</v>
      </c>
      <c r="N733" s="133" t="n">
        <v>0.809612718269481</v>
      </c>
      <c r="O733" s="133" t="n">
        <v>0.396260620276257</v>
      </c>
      <c r="P733" s="132" t="n">
        <v>0.0213</v>
      </c>
      <c r="Q733" s="131" t="s">
        <v>130</v>
      </c>
      <c r="R733" s="130" t="n">
        <v>0</v>
      </c>
      <c r="S733" s="143" t="n">
        <v>0</v>
      </c>
      <c r="T733" s="134" t="n">
        <v>45552.5844854167</v>
      </c>
    </row>
    <row r="734" customFormat="false" ht="39.75" hidden="false" customHeight="true" outlineLevel="0" collapsed="false">
      <c r="B734" s="130" t="n">
        <v>1112465080</v>
      </c>
      <c r="C734" s="131" t="s">
        <v>164</v>
      </c>
      <c r="D734" s="131" t="s">
        <v>758</v>
      </c>
      <c r="E734" s="130" t="n">
        <v>2600900</v>
      </c>
      <c r="F734" s="131" t="s">
        <v>29</v>
      </c>
      <c r="G734" s="130" t="n">
        <v>2815000</v>
      </c>
      <c r="H734" s="131" t="n">
        <v>555</v>
      </c>
      <c r="I734" s="132" t="n">
        <v>0.25</v>
      </c>
      <c r="J734" s="132" t="n">
        <v>0.18</v>
      </c>
      <c r="K734" s="130" t="n">
        <v>1.24583298089123</v>
      </c>
      <c r="L734" s="132" t="n">
        <v>0.18</v>
      </c>
      <c r="M734" s="131" t="s">
        <v>64</v>
      </c>
      <c r="N734" s="133" t="n">
        <v>1.20458764273905</v>
      </c>
      <c r="O734" s="133" t="n">
        <v>1.24583298089123</v>
      </c>
      <c r="P734" s="132" t="n">
        <v>0.0213</v>
      </c>
      <c r="Q734" s="131" t="s">
        <v>130</v>
      </c>
      <c r="R734" s="130" t="n">
        <v>1148000</v>
      </c>
      <c r="S734" s="143" t="s">
        <v>146</v>
      </c>
      <c r="T734" s="134" t="n">
        <v>45552.6779284722</v>
      </c>
    </row>
    <row r="735" customFormat="false" ht="39.75" hidden="false" customHeight="true" outlineLevel="0" collapsed="false">
      <c r="B735" s="130" t="n">
        <v>16729841</v>
      </c>
      <c r="C735" s="131" t="s">
        <v>759</v>
      </c>
      <c r="D735" s="131" t="s">
        <v>760</v>
      </c>
      <c r="E735" s="130" t="n">
        <v>13588800</v>
      </c>
      <c r="F735" s="131" t="s">
        <v>18</v>
      </c>
      <c r="G735" s="130" t="n">
        <v>5000000</v>
      </c>
      <c r="H735" s="131" t="n">
        <v>975</v>
      </c>
      <c r="I735" s="132" t="n">
        <v>0.21</v>
      </c>
      <c r="J735" s="132" t="n">
        <v>0.25</v>
      </c>
      <c r="K735" s="130" t="n">
        <v>10.5055309519604</v>
      </c>
      <c r="L735" s="132" t="n">
        <v>0.25</v>
      </c>
      <c r="M735" s="131" t="s">
        <v>62</v>
      </c>
      <c r="N735" s="133" t="n">
        <v>1.53167343694808</v>
      </c>
      <c r="O735" s="133" t="n">
        <v>10.5055309519604</v>
      </c>
      <c r="P735" s="132" t="n">
        <v>0.0213</v>
      </c>
      <c r="Q735" s="131" t="s">
        <v>130</v>
      </c>
      <c r="R735" s="130" t="n">
        <v>141851000</v>
      </c>
      <c r="S735" s="143" t="n">
        <v>0</v>
      </c>
      <c r="T735" s="134" t="n">
        <v>45553.388340625</v>
      </c>
    </row>
    <row r="736" customFormat="false" ht="39.75" hidden="false" customHeight="true" outlineLevel="0" collapsed="false">
      <c r="B736" s="130" t="n">
        <v>16761455</v>
      </c>
      <c r="C736" s="131" t="s">
        <v>473</v>
      </c>
      <c r="D736" s="131" t="s">
        <v>129</v>
      </c>
      <c r="E736" s="130" t="n">
        <v>9087800</v>
      </c>
      <c r="F736" s="131" t="s">
        <v>16</v>
      </c>
      <c r="G736" s="130" t="n">
        <v>4900000</v>
      </c>
      <c r="H736" s="131" t="n">
        <v>747</v>
      </c>
      <c r="I736" s="132" t="n">
        <v>0.17</v>
      </c>
      <c r="J736" s="132" t="n">
        <v>0.19</v>
      </c>
      <c r="K736" s="130" t="n">
        <v>7.75600255287308</v>
      </c>
      <c r="L736" s="132" t="n">
        <v>0.19</v>
      </c>
      <c r="M736" s="131" t="s">
        <v>64</v>
      </c>
      <c r="N736" s="133" t="n">
        <v>0.933717401351262</v>
      </c>
      <c r="O736" s="133" t="n">
        <v>7.75600255287308</v>
      </c>
      <c r="P736" s="132" t="n">
        <v>0.0199</v>
      </c>
      <c r="Q736" s="131" t="s">
        <v>130</v>
      </c>
      <c r="R736" s="130" t="n">
        <v>70485000</v>
      </c>
      <c r="S736" s="143" t="n">
        <v>0</v>
      </c>
      <c r="T736" s="134" t="n">
        <v>45553.3905765046</v>
      </c>
    </row>
    <row r="737" customFormat="false" ht="39.75" hidden="false" customHeight="true" outlineLevel="0" collapsed="false">
      <c r="B737" s="130" t="n">
        <v>1116130515</v>
      </c>
      <c r="C737" s="131" t="s">
        <v>262</v>
      </c>
      <c r="D737" s="131" t="s">
        <v>135</v>
      </c>
      <c r="E737" s="130" t="n">
        <v>2893800</v>
      </c>
      <c r="F737" s="131" t="s">
        <v>16</v>
      </c>
      <c r="G737" s="130" t="n">
        <v>8000000</v>
      </c>
      <c r="H737" s="131" t="n">
        <v>665</v>
      </c>
      <c r="I737" s="132" t="n">
        <v>0.21</v>
      </c>
      <c r="J737" s="132" t="n">
        <v>0.3</v>
      </c>
      <c r="K737" s="130" t="n">
        <v>13.6384725965858</v>
      </c>
      <c r="L737" s="132" t="n">
        <v>0.3</v>
      </c>
      <c r="M737" s="131" t="s">
        <v>64</v>
      </c>
      <c r="N737" s="133" t="n">
        <v>11.8172969797498</v>
      </c>
      <c r="O737" s="133" t="n">
        <v>13.6384725965858</v>
      </c>
      <c r="P737" s="132" t="n">
        <v>0.0199</v>
      </c>
      <c r="Q737" s="131" t="s">
        <v>130</v>
      </c>
      <c r="R737" s="130" t="n">
        <v>31952000</v>
      </c>
      <c r="S737" s="143" t="s">
        <v>761</v>
      </c>
      <c r="T737" s="134" t="n">
        <v>45553.3942134259</v>
      </c>
    </row>
    <row r="738" customFormat="false" ht="39.75" hidden="false" customHeight="true" outlineLevel="0" collapsed="false">
      <c r="B738" s="130" t="n">
        <v>52959038</v>
      </c>
      <c r="C738" s="131" t="s">
        <v>762</v>
      </c>
      <c r="D738" s="131" t="s">
        <v>246</v>
      </c>
      <c r="E738" s="130" t="n">
        <v>10439575</v>
      </c>
      <c r="F738" s="131" t="s">
        <v>16</v>
      </c>
      <c r="G738" s="130" t="n">
        <v>8600000</v>
      </c>
      <c r="H738" s="131" t="n">
        <v>686</v>
      </c>
      <c r="I738" s="132" t="n">
        <v>0.08</v>
      </c>
      <c r="J738" s="132" t="n">
        <v>0.13</v>
      </c>
      <c r="K738" s="130" t="n">
        <v>1.69413026871305</v>
      </c>
      <c r="L738" s="132" t="n">
        <v>0.13</v>
      </c>
      <c r="M738" s="131" t="s">
        <v>64</v>
      </c>
      <c r="N738" s="133" t="n">
        <v>0.687620592792331</v>
      </c>
      <c r="O738" s="133" t="n">
        <v>1.69413026871305</v>
      </c>
      <c r="P738" s="132" t="n">
        <v>0.0199</v>
      </c>
      <c r="Q738" s="131" t="s">
        <v>130</v>
      </c>
      <c r="R738" s="130" t="n">
        <v>17686000</v>
      </c>
      <c r="S738" s="143" t="n">
        <v>0</v>
      </c>
      <c r="T738" s="134" t="n">
        <v>45553.3965112269</v>
      </c>
    </row>
    <row r="739" customFormat="false" ht="39.75" hidden="false" customHeight="true" outlineLevel="0" collapsed="false">
      <c r="B739" s="130" t="n">
        <v>79486359</v>
      </c>
      <c r="C739" s="131" t="s">
        <v>763</v>
      </c>
      <c r="D739" s="131" t="s">
        <v>135</v>
      </c>
      <c r="E739" s="130" t="n">
        <v>2600900</v>
      </c>
      <c r="F739" s="131" t="s">
        <v>16</v>
      </c>
      <c r="G739" s="130" t="n">
        <v>6000000</v>
      </c>
      <c r="H739" s="131" t="n">
        <v>876</v>
      </c>
      <c r="I739" s="132" t="n">
        <v>0.15</v>
      </c>
      <c r="J739" s="132" t="n">
        <v>0.25</v>
      </c>
      <c r="K739" s="130" t="n">
        <v>1.91738321350302</v>
      </c>
      <c r="L739" s="132" t="n">
        <v>0.25</v>
      </c>
      <c r="M739" s="131" t="s">
        <v>62</v>
      </c>
      <c r="N739" s="133" t="n">
        <v>0.757393210042678</v>
      </c>
      <c r="O739" s="133" t="n">
        <v>1.91738321350302</v>
      </c>
      <c r="P739" s="132" t="n">
        <v>0.0199</v>
      </c>
      <c r="Q739" s="131" t="s">
        <v>130</v>
      </c>
      <c r="R739" s="130" t="n">
        <v>1858000</v>
      </c>
      <c r="S739" s="143" t="n">
        <v>0</v>
      </c>
      <c r="T739" s="134" t="n">
        <v>45553.4059222222</v>
      </c>
    </row>
    <row r="740" customFormat="false" ht="39.75" hidden="false" customHeight="true" outlineLevel="0" collapsed="false">
      <c r="B740" s="130" t="n">
        <v>60337190</v>
      </c>
      <c r="C740" s="131" t="s">
        <v>764</v>
      </c>
      <c r="D740" s="131" t="s">
        <v>135</v>
      </c>
      <c r="E740" s="130" t="n">
        <v>6225200</v>
      </c>
      <c r="F740" s="131" t="s">
        <v>16</v>
      </c>
      <c r="G740" s="130" t="n">
        <v>7800000</v>
      </c>
      <c r="H740" s="131" t="n">
        <v>939</v>
      </c>
      <c r="I740" s="132" t="n">
        <v>0.15</v>
      </c>
      <c r="J740" s="132" t="n">
        <v>0.19</v>
      </c>
      <c r="K740" s="130" t="n">
        <v>2.41036577138084</v>
      </c>
      <c r="L740" s="132" t="n">
        <v>0.19</v>
      </c>
      <c r="M740" s="131" t="s">
        <v>61</v>
      </c>
      <c r="N740" s="133" t="n">
        <v>0.803101908372422</v>
      </c>
      <c r="O740" s="133" t="n">
        <v>2.41036577138084</v>
      </c>
      <c r="P740" s="132" t="n">
        <v>0.0199</v>
      </c>
      <c r="Q740" s="131" t="s">
        <v>130</v>
      </c>
      <c r="R740" s="130" t="n">
        <v>13227000</v>
      </c>
      <c r="S740" s="143" t="n">
        <v>0</v>
      </c>
      <c r="T740" s="134" t="n">
        <v>45553.4114734954</v>
      </c>
    </row>
    <row r="741" customFormat="false" ht="39.75" hidden="false" customHeight="true" outlineLevel="0" collapsed="false">
      <c r="B741" s="130" t="n">
        <v>29705663</v>
      </c>
      <c r="C741" s="131" t="s">
        <v>523</v>
      </c>
      <c r="D741" s="131" t="s">
        <v>129</v>
      </c>
      <c r="E741" s="130" t="n">
        <v>7551500</v>
      </c>
      <c r="F741" s="131" t="s">
        <v>16</v>
      </c>
      <c r="G741" s="130" t="n">
        <v>4300000</v>
      </c>
      <c r="H741" s="131" t="n">
        <v>657</v>
      </c>
      <c r="I741" s="132" t="n">
        <v>0.23</v>
      </c>
      <c r="J741" s="132" t="n">
        <v>0.25</v>
      </c>
      <c r="K741" s="130" t="n">
        <v>9.06674859299477</v>
      </c>
      <c r="L741" s="132" t="n">
        <v>0.25</v>
      </c>
      <c r="M741" s="131" t="s">
        <v>62</v>
      </c>
      <c r="N741" s="133" t="n">
        <v>0.833102694828842</v>
      </c>
      <c r="O741" s="133" t="n">
        <v>9.06674859299477</v>
      </c>
      <c r="P741" s="132" t="n">
        <v>0.0199</v>
      </c>
      <c r="Q741" s="131" t="s">
        <v>130</v>
      </c>
      <c r="R741" s="130" t="n">
        <v>56895000</v>
      </c>
      <c r="S741" s="143" t="n">
        <v>0</v>
      </c>
      <c r="T741" s="134" t="n">
        <v>45553.4130952546</v>
      </c>
    </row>
    <row r="742" customFormat="false" ht="39.75" hidden="false" customHeight="true" outlineLevel="0" collapsed="false">
      <c r="B742" s="130" t="n">
        <v>29705663</v>
      </c>
      <c r="C742" s="131" t="s">
        <v>523</v>
      </c>
      <c r="D742" s="131" t="s">
        <v>129</v>
      </c>
      <c r="E742" s="130" t="n">
        <v>7551500</v>
      </c>
      <c r="F742" s="131" t="s">
        <v>16</v>
      </c>
      <c r="G742" s="130" t="n">
        <v>7000000</v>
      </c>
      <c r="H742" s="131" t="n">
        <v>657</v>
      </c>
      <c r="I742" s="132" t="n">
        <v>0.23</v>
      </c>
      <c r="J742" s="132" t="n">
        <v>0.26</v>
      </c>
      <c r="K742" s="130" t="n">
        <v>9.06674859299477</v>
      </c>
      <c r="L742" s="132" t="n">
        <v>0.26</v>
      </c>
      <c r="M742" s="131" t="s">
        <v>62</v>
      </c>
      <c r="N742" s="133" t="n">
        <v>0.833102694828842</v>
      </c>
      <c r="O742" s="133" t="n">
        <v>9.06674859299477</v>
      </c>
      <c r="P742" s="132" t="n">
        <v>0.0199</v>
      </c>
      <c r="Q742" s="131" t="s">
        <v>130</v>
      </c>
      <c r="R742" s="130" t="n">
        <v>56895000</v>
      </c>
      <c r="S742" s="143" t="n">
        <v>0</v>
      </c>
      <c r="T742" s="134" t="n">
        <v>45553.438953125</v>
      </c>
    </row>
    <row r="743" customFormat="false" ht="39.75" hidden="false" customHeight="true" outlineLevel="0" collapsed="false">
      <c r="B743" s="130" t="n">
        <v>1144032127</v>
      </c>
      <c r="C743" s="131" t="s">
        <v>765</v>
      </c>
      <c r="D743" s="131" t="s">
        <v>135</v>
      </c>
      <c r="E743" s="130" t="n">
        <v>5418800</v>
      </c>
      <c r="F743" s="131" t="s">
        <v>29</v>
      </c>
      <c r="G743" s="130" t="n">
        <v>1000000</v>
      </c>
      <c r="H743" s="131" t="n">
        <v>762</v>
      </c>
      <c r="I743" s="132" t="n">
        <v>0.35</v>
      </c>
      <c r="J743" s="132" t="n">
        <v>0.36</v>
      </c>
      <c r="K743" s="130" t="n">
        <v>2.3153772052853</v>
      </c>
      <c r="L743" s="132" t="n">
        <v>0.36</v>
      </c>
      <c r="M743" s="131" t="s">
        <v>62</v>
      </c>
      <c r="N743" s="133" t="n">
        <v>1.15191573780173</v>
      </c>
      <c r="O743" s="133" t="n">
        <v>2.3153772052853</v>
      </c>
      <c r="P743" s="132" t="n">
        <v>0.0199</v>
      </c>
      <c r="Q743" s="131" t="s">
        <v>130</v>
      </c>
      <c r="R743" s="130" t="n">
        <v>0</v>
      </c>
      <c r="S743" s="143" t="s">
        <v>166</v>
      </c>
      <c r="T743" s="134" t="n">
        <v>45554.4356135417</v>
      </c>
    </row>
    <row r="744" customFormat="false" ht="39.75" hidden="false" customHeight="true" outlineLevel="0" collapsed="false">
      <c r="B744" s="130" t="n">
        <v>1193226482</v>
      </c>
      <c r="C744" s="131" t="n">
        <v>0</v>
      </c>
      <c r="D744" s="131" t="s">
        <v>135</v>
      </c>
      <c r="E744" s="130" t="n">
        <v>3894900</v>
      </c>
      <c r="F744" s="131" t="s">
        <v>29</v>
      </c>
      <c r="G744" s="130" t="n">
        <v>2000000</v>
      </c>
      <c r="H744" s="131" t="n">
        <v>603</v>
      </c>
      <c r="I744" s="132" t="n">
        <v>0.04</v>
      </c>
      <c r="J744" s="132" t="n">
        <v>0.09</v>
      </c>
      <c r="K744" s="130" t="n">
        <v>0</v>
      </c>
      <c r="L744" s="132" t="n">
        <v>0.09</v>
      </c>
      <c r="M744" s="131" t="s">
        <v>64</v>
      </c>
      <c r="N744" s="133" t="n">
        <v>0.614351074482015</v>
      </c>
      <c r="O744" s="133" t="n">
        <v>0</v>
      </c>
      <c r="P744" s="132" t="n">
        <v>0.0213</v>
      </c>
      <c r="Q744" s="131" t="s">
        <v>130</v>
      </c>
      <c r="R744" s="130" t="n">
        <v>0</v>
      </c>
      <c r="S744" s="143" t="n">
        <v>0</v>
      </c>
      <c r="T744" s="134" t="n">
        <v>45555.4767825232</v>
      </c>
    </row>
    <row r="745" customFormat="false" ht="39.75" hidden="false" customHeight="true" outlineLevel="0" collapsed="false">
      <c r="B745" s="130" t="n">
        <v>1143851108</v>
      </c>
      <c r="C745" s="131" t="s">
        <v>287</v>
      </c>
      <c r="D745" s="131" t="s">
        <v>135</v>
      </c>
      <c r="E745" s="130" t="n">
        <v>2340800</v>
      </c>
      <c r="F745" s="131" t="s">
        <v>29</v>
      </c>
      <c r="G745" s="130" t="n">
        <v>2700000</v>
      </c>
      <c r="H745" s="131" t="n">
        <v>773</v>
      </c>
      <c r="I745" s="132" t="n">
        <v>0.41</v>
      </c>
      <c r="J745" s="132" t="n">
        <v>0.53</v>
      </c>
      <c r="K745" s="130" t="n">
        <v>3.26423914900889</v>
      </c>
      <c r="L745" s="132" t="n">
        <v>0.53</v>
      </c>
      <c r="M745" s="131" t="s">
        <v>64</v>
      </c>
      <c r="N745" s="133" t="n">
        <v>1.29784859876965</v>
      </c>
      <c r="O745" s="133" t="n">
        <v>3.26423914900889</v>
      </c>
      <c r="P745" s="132" t="n">
        <v>0.0213</v>
      </c>
      <c r="Q745" s="131" t="s">
        <v>130</v>
      </c>
      <c r="R745" s="130" t="n">
        <v>5932000</v>
      </c>
      <c r="S745" s="143" t="n">
        <v>0</v>
      </c>
      <c r="T745" s="134" t="n">
        <v>45555.4783881944</v>
      </c>
    </row>
    <row r="746" customFormat="false" ht="39.75" hidden="false" customHeight="true" outlineLevel="0" collapsed="false">
      <c r="B746" s="130" t="n">
        <v>1130647219</v>
      </c>
      <c r="C746" s="131" t="s">
        <v>766</v>
      </c>
      <c r="D746" s="131" t="s">
        <v>129</v>
      </c>
      <c r="E746" s="130" t="n">
        <v>2600900</v>
      </c>
      <c r="F746" s="131" t="s">
        <v>29</v>
      </c>
      <c r="G746" s="130" t="n">
        <v>3500000</v>
      </c>
      <c r="H746" s="131" t="n">
        <v>632</v>
      </c>
      <c r="I746" s="132" t="n">
        <v>0.36</v>
      </c>
      <c r="J746" s="132" t="n">
        <v>0.4</v>
      </c>
      <c r="K746" s="130" t="n">
        <v>13.2304356184398</v>
      </c>
      <c r="L746" s="132" t="n">
        <v>0.4</v>
      </c>
      <c r="M746" s="131" t="s">
        <v>64</v>
      </c>
      <c r="N746" s="133" t="n">
        <v>1.75944980583644</v>
      </c>
      <c r="O746" s="133" t="n">
        <v>13.2304356184398</v>
      </c>
      <c r="P746" s="132" t="n">
        <v>0.0213</v>
      </c>
      <c r="Q746" s="131" t="s">
        <v>130</v>
      </c>
      <c r="R746" s="130" t="n">
        <v>24801000</v>
      </c>
      <c r="S746" s="143" t="n">
        <v>0</v>
      </c>
      <c r="T746" s="134" t="n">
        <v>45555.6739982639</v>
      </c>
    </row>
    <row r="747" customFormat="false" ht="39.75" hidden="false" customHeight="true" outlineLevel="0" collapsed="false">
      <c r="B747" s="130" t="n">
        <v>1144175696</v>
      </c>
      <c r="C747" s="131" t="s">
        <v>377</v>
      </c>
      <c r="D747" s="131" t="s">
        <v>135</v>
      </c>
      <c r="E747" s="130" t="n">
        <v>2600900</v>
      </c>
      <c r="F747" s="131" t="s">
        <v>19</v>
      </c>
      <c r="G747" s="130" t="n">
        <v>1274800</v>
      </c>
      <c r="H747" s="131" t="n">
        <v>713</v>
      </c>
      <c r="I747" s="132" t="n">
        <v>0.14</v>
      </c>
      <c r="J747" s="132" t="n">
        <v>0.18</v>
      </c>
      <c r="K747" s="130" t="n">
        <v>0.332217693875197</v>
      </c>
      <c r="L747" s="132" t="n">
        <v>0.18</v>
      </c>
      <c r="M747" s="131" t="s">
        <v>64</v>
      </c>
      <c r="N747" s="133" t="n">
        <v>0.706934138182937</v>
      </c>
      <c r="O747" s="133" t="n">
        <v>0.332217693875197</v>
      </c>
      <c r="P747" s="132" t="n">
        <v>0.006</v>
      </c>
      <c r="Q747" s="131" t="s">
        <v>130</v>
      </c>
      <c r="R747" s="130" t="n">
        <v>0</v>
      </c>
      <c r="S747" s="143" t="n">
        <v>0</v>
      </c>
      <c r="T747" s="134" t="n">
        <v>45558.6231525463</v>
      </c>
    </row>
    <row r="748" customFormat="false" ht="39.75" hidden="false" customHeight="true" outlineLevel="0" collapsed="false">
      <c r="B748" s="130" t="n">
        <v>94413398</v>
      </c>
      <c r="C748" s="131" t="s">
        <v>767</v>
      </c>
      <c r="D748" s="131" t="s">
        <v>135</v>
      </c>
      <c r="E748" s="130" t="n">
        <v>2893800</v>
      </c>
      <c r="F748" s="131" t="s">
        <v>29</v>
      </c>
      <c r="G748" s="130" t="n">
        <v>2000000</v>
      </c>
      <c r="H748" s="131" t="n">
        <v>747</v>
      </c>
      <c r="I748" s="132" t="n">
        <v>0.23</v>
      </c>
      <c r="J748" s="132" t="n">
        <v>0.27</v>
      </c>
      <c r="K748" s="130" t="n">
        <v>13.3685220125786</v>
      </c>
      <c r="L748" s="132" t="n">
        <v>0.27</v>
      </c>
      <c r="M748" s="131" t="s">
        <v>62</v>
      </c>
      <c r="N748" s="133" t="n">
        <v>0.58</v>
      </c>
      <c r="O748" s="133" t="n">
        <v>13.3685220125786</v>
      </c>
      <c r="P748" s="132" t="n">
        <v>0.0213</v>
      </c>
      <c r="Q748" s="131" t="s">
        <v>130</v>
      </c>
      <c r="R748" s="130" t="n">
        <v>30412000</v>
      </c>
      <c r="S748" s="143" t="n">
        <v>0</v>
      </c>
      <c r="T748" s="134" t="n">
        <v>45558.6267488426</v>
      </c>
    </row>
    <row r="749" customFormat="false" ht="39.75" hidden="false" customHeight="true" outlineLevel="0" collapsed="false">
      <c r="B749" s="130" t="n">
        <v>1144140200</v>
      </c>
      <c r="C749" s="131" t="s">
        <v>768</v>
      </c>
      <c r="D749" s="131" t="s">
        <v>135</v>
      </c>
      <c r="E749" s="130" t="n">
        <v>3394800</v>
      </c>
      <c r="F749" s="131" t="s">
        <v>29</v>
      </c>
      <c r="G749" s="130" t="n">
        <v>2600000</v>
      </c>
      <c r="H749" s="131" t="n">
        <v>845</v>
      </c>
      <c r="I749" s="132" t="n">
        <v>0.29</v>
      </c>
      <c r="J749" s="132" t="n">
        <v>0.33</v>
      </c>
      <c r="K749" s="130" t="n">
        <v>7.95216213031696</v>
      </c>
      <c r="L749" s="132" t="n">
        <v>0.33</v>
      </c>
      <c r="M749" s="131" t="s">
        <v>62</v>
      </c>
      <c r="N749" s="133" t="n">
        <v>1.05140626841051</v>
      </c>
      <c r="O749" s="133" t="n">
        <v>7.95216213031696</v>
      </c>
      <c r="P749" s="132" t="n">
        <v>0.0213</v>
      </c>
      <c r="Q749" s="131" t="s">
        <v>130</v>
      </c>
      <c r="R749" s="130" t="n">
        <v>26996000</v>
      </c>
      <c r="S749" s="143" t="n">
        <v>0</v>
      </c>
      <c r="T749" s="134" t="n">
        <v>45558.631362037</v>
      </c>
    </row>
    <row r="750" customFormat="false" ht="39.75" hidden="false" customHeight="true" outlineLevel="0" collapsed="false">
      <c r="B750" s="130" t="n">
        <v>1075239620</v>
      </c>
      <c r="C750" s="131" t="s">
        <v>769</v>
      </c>
      <c r="D750" s="131" t="s">
        <v>770</v>
      </c>
      <c r="E750" s="130" t="n">
        <v>2600900</v>
      </c>
      <c r="F750" s="131" t="s">
        <v>29</v>
      </c>
      <c r="G750" s="130" t="n">
        <v>1200000</v>
      </c>
      <c r="H750" s="131" t="n">
        <v>598</v>
      </c>
      <c r="I750" s="132" t="n">
        <v>0.38</v>
      </c>
      <c r="J750" s="132" t="n">
        <v>0.43</v>
      </c>
      <c r="K750" s="130" t="n">
        <v>24.6518512822485</v>
      </c>
      <c r="L750" s="132" t="n">
        <v>0.43</v>
      </c>
      <c r="M750" s="131" t="s">
        <v>64</v>
      </c>
      <c r="N750" s="133" t="n">
        <v>2.02756699603983</v>
      </c>
      <c r="O750" s="133" t="n">
        <v>24.6518512822485</v>
      </c>
      <c r="P750" s="132" t="n">
        <v>0.0213</v>
      </c>
      <c r="Q750" s="131" t="s">
        <v>130</v>
      </c>
      <c r="R750" s="130" t="n">
        <v>64117000</v>
      </c>
      <c r="S750" s="143" t="n">
        <v>0</v>
      </c>
      <c r="T750" s="134" t="n">
        <v>45558.636465162</v>
      </c>
    </row>
    <row r="751" customFormat="false" ht="39.75" hidden="false" customHeight="true" outlineLevel="0" collapsed="false">
      <c r="B751" s="130" t="n">
        <v>1144175317</v>
      </c>
      <c r="C751" s="131" t="s">
        <v>771</v>
      </c>
      <c r="D751" s="131" t="s">
        <v>135</v>
      </c>
      <c r="E751" s="130" t="n">
        <v>1625000</v>
      </c>
      <c r="F751" s="131" t="s">
        <v>29</v>
      </c>
      <c r="G751" s="130" t="n">
        <v>500000</v>
      </c>
      <c r="H751" s="131" t="n">
        <v>536</v>
      </c>
      <c r="I751" s="132" t="n">
        <v>0.08</v>
      </c>
      <c r="J751" s="132" t="n">
        <v>0.11</v>
      </c>
      <c r="K751" s="130" t="n">
        <v>3.71692307692308</v>
      </c>
      <c r="L751" s="132" t="n">
        <v>0.11</v>
      </c>
      <c r="M751" s="131" t="s">
        <v>64</v>
      </c>
      <c r="N751" s="133" t="n">
        <v>4.30850276923077</v>
      </c>
      <c r="O751" s="133" t="n">
        <v>3.71692307692308</v>
      </c>
      <c r="P751" s="132" t="n">
        <v>0.0213</v>
      </c>
      <c r="Q751" s="131" t="s">
        <v>130</v>
      </c>
      <c r="R751" s="130" t="n">
        <v>6040000</v>
      </c>
      <c r="S751" s="143" t="n">
        <v>0</v>
      </c>
      <c r="T751" s="134" t="n">
        <v>45558.6379675926</v>
      </c>
    </row>
    <row r="752" customFormat="false" ht="39.75" hidden="false" customHeight="true" outlineLevel="0" collapsed="false">
      <c r="B752" s="130" t="n">
        <v>1059606598</v>
      </c>
      <c r="C752" s="131" t="s">
        <v>772</v>
      </c>
      <c r="D752" s="131" t="s">
        <v>135</v>
      </c>
      <c r="E752" s="130" t="n">
        <v>2893800</v>
      </c>
      <c r="F752" s="131" t="s">
        <v>29</v>
      </c>
      <c r="G752" s="130" t="n">
        <v>2000000</v>
      </c>
      <c r="H752" s="131" t="n">
        <v>833</v>
      </c>
      <c r="I752" s="132" t="n">
        <v>0.17</v>
      </c>
      <c r="J752" s="132" t="n">
        <v>0.24</v>
      </c>
      <c r="K752" s="130" t="n">
        <v>12.5740147902412</v>
      </c>
      <c r="L752" s="132" t="n">
        <v>0.24</v>
      </c>
      <c r="M752" s="131" t="s">
        <v>62</v>
      </c>
      <c r="N752" s="133" t="n">
        <v>1.11745628585251</v>
      </c>
      <c r="O752" s="133" t="n">
        <v>12.5740147902412</v>
      </c>
      <c r="P752" s="132" t="n">
        <v>0.0213</v>
      </c>
      <c r="Q752" s="131" t="s">
        <v>130</v>
      </c>
      <c r="R752" s="130" t="n">
        <v>35989000</v>
      </c>
      <c r="S752" s="143" t="n">
        <v>0</v>
      </c>
      <c r="T752" s="134" t="n">
        <v>45558.6456667824</v>
      </c>
    </row>
    <row r="753" customFormat="false" ht="39.75" hidden="false" customHeight="true" outlineLevel="0" collapsed="false">
      <c r="B753" s="130" t="n">
        <v>29110131</v>
      </c>
      <c r="C753" s="131" t="s">
        <v>773</v>
      </c>
      <c r="D753" s="131" t="s">
        <v>129</v>
      </c>
      <c r="E753" s="130" t="n">
        <v>5291000</v>
      </c>
      <c r="F753" s="131" t="s">
        <v>20</v>
      </c>
      <c r="G753" s="130" t="n">
        <v>1599000</v>
      </c>
      <c r="H753" s="131" t="n">
        <v>762</v>
      </c>
      <c r="I753" s="132" t="n">
        <v>0.17</v>
      </c>
      <c r="J753" s="132" t="n">
        <v>0.21</v>
      </c>
      <c r="K753" s="130" t="n">
        <v>2.08202608202608</v>
      </c>
      <c r="L753" s="132" t="n">
        <v>0.21</v>
      </c>
      <c r="M753" s="131" t="s">
        <v>64</v>
      </c>
      <c r="N753" s="133" t="n">
        <v>0.801544320544321</v>
      </c>
      <c r="O753" s="133" t="n">
        <v>2.08202608202608</v>
      </c>
      <c r="P753" s="132" t="n">
        <v>0.0213</v>
      </c>
      <c r="Q753" s="131" t="s">
        <v>130</v>
      </c>
      <c r="R753" s="130" t="n">
        <v>11016000</v>
      </c>
      <c r="S753" s="143" t="n">
        <v>0</v>
      </c>
      <c r="T753" s="134" t="n">
        <v>45558.6486733796</v>
      </c>
    </row>
    <row r="754" customFormat="false" ht="39.75" hidden="false" customHeight="true" outlineLevel="0" collapsed="false">
      <c r="B754" s="130" t="n">
        <v>1144192371</v>
      </c>
      <c r="C754" s="131" t="s">
        <v>447</v>
      </c>
      <c r="D754" s="131" t="s">
        <v>774</v>
      </c>
      <c r="E754" s="130" t="n">
        <v>4469100</v>
      </c>
      <c r="F754" s="131" t="s">
        <v>29</v>
      </c>
      <c r="G754" s="130" t="n">
        <v>3200000</v>
      </c>
      <c r="H754" s="131" t="n">
        <v>732</v>
      </c>
      <c r="I754" s="132" t="n">
        <v>0.11</v>
      </c>
      <c r="J754" s="132" t="n">
        <v>0.13</v>
      </c>
      <c r="K754" s="130" t="n">
        <v>16.169330290215</v>
      </c>
      <c r="L754" s="132" t="n">
        <v>0.13</v>
      </c>
      <c r="M754" s="131" t="s">
        <v>64</v>
      </c>
      <c r="N754" s="133" t="n">
        <v>1.09005549215726</v>
      </c>
      <c r="O754" s="133" t="n">
        <v>16.169330290215</v>
      </c>
      <c r="P754" s="132" t="n">
        <v>0.0213</v>
      </c>
      <c r="Q754" s="131" t="s">
        <v>130</v>
      </c>
      <c r="R754" s="130" t="n">
        <v>70350000</v>
      </c>
      <c r="S754" s="143" t="n">
        <v>0</v>
      </c>
      <c r="T754" s="134" t="n">
        <v>45558.6530834491</v>
      </c>
    </row>
    <row r="755" customFormat="false" ht="39.75" hidden="false" customHeight="true" outlineLevel="0" collapsed="false">
      <c r="B755" s="130" t="n">
        <v>1234191678</v>
      </c>
      <c r="C755" s="131" t="n">
        <v>0</v>
      </c>
      <c r="D755" s="131" t="s">
        <v>135</v>
      </c>
      <c r="E755" s="130" t="n">
        <v>2893800</v>
      </c>
      <c r="F755" s="131" t="s">
        <v>14</v>
      </c>
      <c r="G755" s="130" t="n">
        <v>6000000</v>
      </c>
      <c r="H755" s="131" t="n">
        <v>536</v>
      </c>
      <c r="I755" s="132" t="n">
        <v>0.09</v>
      </c>
      <c r="J755" s="132" t="n">
        <v>0.18</v>
      </c>
      <c r="K755" s="130" t="n">
        <v>1.80696661828737</v>
      </c>
      <c r="L755" s="132" t="n">
        <v>0.18</v>
      </c>
      <c r="M755" s="131" t="s">
        <v>64</v>
      </c>
      <c r="N755" s="133" t="n">
        <v>0.773273550349022</v>
      </c>
      <c r="O755" s="133" t="n">
        <v>1.80696661828737</v>
      </c>
      <c r="P755" s="132" t="n">
        <v>0.0213</v>
      </c>
      <c r="Q755" s="131" t="s">
        <v>130</v>
      </c>
      <c r="R755" s="130" t="n">
        <v>5229000</v>
      </c>
      <c r="S755" s="143" t="n">
        <v>0</v>
      </c>
      <c r="T755" s="134" t="n">
        <v>45560.6514554398</v>
      </c>
    </row>
    <row r="756" customFormat="false" ht="39.75" hidden="false" customHeight="true" outlineLevel="0" collapsed="false">
      <c r="B756" s="130" t="n">
        <v>1234191678</v>
      </c>
      <c r="C756" s="131" t="n">
        <v>0</v>
      </c>
      <c r="D756" s="131" t="s">
        <v>135</v>
      </c>
      <c r="E756" s="130" t="n">
        <v>2893800</v>
      </c>
      <c r="F756" s="131" t="s">
        <v>29</v>
      </c>
      <c r="G756" s="130" t="n">
        <v>1000000</v>
      </c>
      <c r="H756" s="131" t="n">
        <v>536</v>
      </c>
      <c r="I756" s="132" t="n">
        <v>0.45</v>
      </c>
      <c r="J756" s="132" t="n">
        <v>0.46</v>
      </c>
      <c r="K756" s="130" t="n">
        <v>16.9509883198562</v>
      </c>
      <c r="L756" s="132" t="n">
        <v>0.46</v>
      </c>
      <c r="M756" s="131" t="s">
        <v>64</v>
      </c>
      <c r="N756" s="133" t="n">
        <v>1.26445089501693</v>
      </c>
      <c r="O756" s="133" t="n">
        <v>16.9509883198562</v>
      </c>
      <c r="P756" s="132" t="n">
        <v>0.0213</v>
      </c>
      <c r="Q756" s="131" t="s">
        <v>130</v>
      </c>
      <c r="R756" s="130" t="n">
        <v>42647000</v>
      </c>
      <c r="S756" s="143" t="n">
        <v>0</v>
      </c>
      <c r="T756" s="134" t="n">
        <v>45561.3937497685</v>
      </c>
    </row>
    <row r="757" customFormat="false" ht="39.75" hidden="false" customHeight="true" outlineLevel="0" collapsed="false">
      <c r="B757" s="130" t="n">
        <v>66773669</v>
      </c>
      <c r="C757" s="131" t="s">
        <v>775</v>
      </c>
      <c r="D757" s="131" t="s">
        <v>760</v>
      </c>
      <c r="E757" s="130" t="n">
        <v>2893800</v>
      </c>
      <c r="F757" s="131" t="s">
        <v>29</v>
      </c>
      <c r="G757" s="130" t="n">
        <v>1300000</v>
      </c>
      <c r="H757" s="131" t="n">
        <v>735</v>
      </c>
      <c r="I757" s="132" t="n">
        <v>0.04</v>
      </c>
      <c r="J757" s="132" t="n">
        <v>0.09</v>
      </c>
      <c r="K757" s="130" t="n">
        <v>0.0452691962125924</v>
      </c>
      <c r="L757" s="132" t="n">
        <v>0.09</v>
      </c>
      <c r="M757" s="131" t="s">
        <v>64</v>
      </c>
      <c r="N757" s="133" t="n">
        <v>0.652194692100353</v>
      </c>
      <c r="O757" s="133" t="n">
        <v>0.0452691962125924</v>
      </c>
      <c r="P757" s="132" t="n">
        <v>0.0213</v>
      </c>
      <c r="Q757" s="131" t="s">
        <v>130</v>
      </c>
      <c r="R757" s="130" t="n">
        <v>131000</v>
      </c>
      <c r="S757" s="143" t="n">
        <v>0</v>
      </c>
      <c r="T757" s="134" t="n">
        <v>45562.3369372685</v>
      </c>
    </row>
    <row r="758" customFormat="false" ht="39.75" hidden="false" customHeight="true" outlineLevel="0" collapsed="false">
      <c r="B758" s="130" t="n">
        <v>67002023</v>
      </c>
      <c r="C758" s="131" t="s">
        <v>465</v>
      </c>
      <c r="D758" s="131" t="s">
        <v>135</v>
      </c>
      <c r="E758" s="130" t="n">
        <v>2893800</v>
      </c>
      <c r="F758" s="131" t="s">
        <v>29</v>
      </c>
      <c r="G758" s="130" t="n">
        <v>3900000</v>
      </c>
      <c r="H758" s="131" t="n">
        <v>819</v>
      </c>
      <c r="I758" s="132" t="n">
        <v>0.31</v>
      </c>
      <c r="J758" s="132" t="n">
        <v>0.37</v>
      </c>
      <c r="K758" s="130" t="n">
        <v>11.9861427880296</v>
      </c>
      <c r="L758" s="132" t="n">
        <v>0.37</v>
      </c>
      <c r="M758" s="131" t="s">
        <v>62</v>
      </c>
      <c r="N758" s="133" t="n">
        <v>1.18613242103808</v>
      </c>
      <c r="O758" s="133" t="n">
        <v>11.9861427880296</v>
      </c>
      <c r="P758" s="132" t="n">
        <v>0.0213</v>
      </c>
      <c r="Q758" s="131" t="s">
        <v>130</v>
      </c>
      <c r="R758" s="130" t="n">
        <v>32013000</v>
      </c>
      <c r="S758" s="143" t="n">
        <v>0</v>
      </c>
      <c r="T758" s="134" t="n">
        <v>45562.3816420139</v>
      </c>
    </row>
    <row r="759" customFormat="false" ht="39.75" hidden="false" customHeight="true" outlineLevel="0" collapsed="false">
      <c r="B759" s="130" t="n">
        <v>1085662084</v>
      </c>
      <c r="C759" s="131" t="s">
        <v>143</v>
      </c>
      <c r="D759" s="131" t="s">
        <v>760</v>
      </c>
      <c r="E759" s="130" t="n">
        <v>2893800</v>
      </c>
      <c r="F759" s="131" t="s">
        <v>29</v>
      </c>
      <c r="G759" s="130" t="n">
        <v>700000</v>
      </c>
      <c r="H759" s="131" t="n">
        <v>487</v>
      </c>
      <c r="I759" s="132" t="n">
        <v>0.28</v>
      </c>
      <c r="J759" s="132" t="n">
        <v>0.3</v>
      </c>
      <c r="K759" s="130" t="n">
        <v>14.5007384753611</v>
      </c>
      <c r="L759" s="132" t="n">
        <v>0.3</v>
      </c>
      <c r="M759" s="131" t="s">
        <v>64</v>
      </c>
      <c r="N759" s="133" t="n">
        <v>1.48324279494091</v>
      </c>
      <c r="O759" s="133" t="n">
        <v>14.5007384753611</v>
      </c>
      <c r="P759" s="132" t="n">
        <v>0.0213</v>
      </c>
      <c r="Q759" s="131" t="s">
        <v>130</v>
      </c>
      <c r="R759" s="130" t="n">
        <v>37305000</v>
      </c>
      <c r="S759" s="143" t="n">
        <v>0</v>
      </c>
      <c r="T759" s="134" t="n">
        <v>45562.3882835648</v>
      </c>
    </row>
    <row r="760" customFormat="false" ht="39.75" hidden="false" customHeight="true" outlineLevel="0" collapsed="false">
      <c r="B760" s="130" t="n">
        <v>1005935480</v>
      </c>
      <c r="C760" s="131" t="s">
        <v>776</v>
      </c>
      <c r="D760" s="131" t="s">
        <v>135</v>
      </c>
      <c r="E760" s="130" t="n">
        <v>2600900</v>
      </c>
      <c r="F760" s="131" t="s">
        <v>8</v>
      </c>
      <c r="G760" s="130" t="n">
        <v>3775000</v>
      </c>
      <c r="H760" s="131" t="n">
        <v>494</v>
      </c>
      <c r="I760" s="132" t="n">
        <v>0.08</v>
      </c>
      <c r="J760" s="132" t="n">
        <v>0.16</v>
      </c>
      <c r="K760" s="130" t="n">
        <v>1.76438924987504</v>
      </c>
      <c r="L760" s="132" t="n">
        <v>0.16</v>
      </c>
      <c r="M760" s="131" t="s">
        <v>64</v>
      </c>
      <c r="N760" s="133" t="n">
        <v>1.09623553385367</v>
      </c>
      <c r="O760" s="133" t="n">
        <v>1.76438924987504</v>
      </c>
      <c r="P760" s="132" t="n">
        <v>0.018</v>
      </c>
      <c r="Q760" s="131" t="s">
        <v>130</v>
      </c>
      <c r="R760" s="130" t="n">
        <v>4589000</v>
      </c>
      <c r="S760" s="143" t="n">
        <v>0</v>
      </c>
      <c r="T760" s="134" t="n">
        <v>45562.3929040509</v>
      </c>
    </row>
    <row r="761" customFormat="false" ht="39.75" hidden="false" customHeight="true" outlineLevel="0" collapsed="false">
      <c r="B761" s="130" t="n">
        <v>1062313447</v>
      </c>
      <c r="C761" s="131" t="s">
        <v>777</v>
      </c>
      <c r="D761" s="131" t="s">
        <v>778</v>
      </c>
      <c r="E761" s="130" t="n">
        <v>2893800</v>
      </c>
      <c r="F761" s="131" t="s">
        <v>29</v>
      </c>
      <c r="G761" s="130" t="n">
        <v>2700000</v>
      </c>
      <c r="H761" s="131" t="n">
        <v>674</v>
      </c>
      <c r="I761" s="132" t="n">
        <v>0.37</v>
      </c>
      <c r="J761" s="132" t="n">
        <v>0.4</v>
      </c>
      <c r="K761" s="130" t="n">
        <v>15.3379639228696</v>
      </c>
      <c r="L761" s="132" t="n">
        <v>0.4</v>
      </c>
      <c r="M761" s="131" t="s">
        <v>64</v>
      </c>
      <c r="N761" s="133" t="n">
        <v>1.29305618909393</v>
      </c>
      <c r="O761" s="133" t="n">
        <v>15.3379639228696</v>
      </c>
      <c r="P761" s="132" t="n">
        <v>0.0213</v>
      </c>
      <c r="Q761" s="131" t="s">
        <v>130</v>
      </c>
      <c r="R761" s="130" t="n">
        <v>44385000</v>
      </c>
      <c r="S761" s="143" t="n">
        <v>0</v>
      </c>
      <c r="T761" s="134" t="n">
        <v>45562.4275465278</v>
      </c>
    </row>
    <row r="762" customFormat="false" ht="39.75" hidden="false" customHeight="true" outlineLevel="0" collapsed="false">
      <c r="B762" s="130" t="n">
        <v>1143868887</v>
      </c>
      <c r="C762" s="131" t="s">
        <v>779</v>
      </c>
      <c r="D762" s="131" t="s">
        <v>135</v>
      </c>
      <c r="E762" s="130" t="n">
        <v>1670000</v>
      </c>
      <c r="F762" s="131" t="s">
        <v>29</v>
      </c>
      <c r="G762" s="130" t="n">
        <v>2400000</v>
      </c>
      <c r="H762" s="131" t="n">
        <v>544</v>
      </c>
      <c r="I762" s="132" t="n">
        <v>0.05</v>
      </c>
      <c r="J762" s="132" t="n">
        <v>0.14</v>
      </c>
      <c r="K762" s="130" t="n">
        <v>0</v>
      </c>
      <c r="L762" s="132" t="n">
        <v>0.14</v>
      </c>
      <c r="M762" s="131" t="s">
        <v>64</v>
      </c>
      <c r="N762" s="133" t="n">
        <v>0.627245508982036</v>
      </c>
      <c r="O762" s="133" t="n">
        <v>0</v>
      </c>
      <c r="P762" s="132" t="n">
        <v>0.0213</v>
      </c>
      <c r="Q762" s="131" t="s">
        <v>130</v>
      </c>
      <c r="R762" s="130" t="n">
        <v>0</v>
      </c>
      <c r="S762" s="143" t="n">
        <v>0</v>
      </c>
      <c r="T762" s="134" t="n">
        <v>45562.4411577546</v>
      </c>
    </row>
    <row r="763" customFormat="false" ht="39.75" hidden="false" customHeight="true" outlineLevel="0" collapsed="false">
      <c r="B763" s="130" t="n">
        <v>1144044681</v>
      </c>
      <c r="C763" s="131" t="s">
        <v>780</v>
      </c>
      <c r="D763" s="131" t="s">
        <v>129</v>
      </c>
      <c r="E763" s="130" t="n">
        <v>1991000</v>
      </c>
      <c r="F763" s="131" t="s">
        <v>29</v>
      </c>
      <c r="G763" s="130" t="n">
        <v>2300000</v>
      </c>
      <c r="H763" s="131" t="n">
        <v>760</v>
      </c>
      <c r="I763" s="132" t="n">
        <v>0.15</v>
      </c>
      <c r="J763" s="132" t="n">
        <v>0.2</v>
      </c>
      <c r="K763" s="130" t="n">
        <v>4.94876946258162</v>
      </c>
      <c r="L763" s="132" t="n">
        <v>0.2</v>
      </c>
      <c r="M763" s="131" t="s">
        <v>64</v>
      </c>
      <c r="N763" s="133" t="n">
        <v>0.815035660472125</v>
      </c>
      <c r="O763" s="133" t="n">
        <v>4.94876946258162</v>
      </c>
      <c r="P763" s="132" t="n">
        <v>0.0213</v>
      </c>
      <c r="Q763" s="131" t="s">
        <v>130</v>
      </c>
      <c r="R763" s="130" t="n">
        <v>9853000</v>
      </c>
      <c r="S763" s="143" t="n">
        <v>0</v>
      </c>
      <c r="T763" s="134" t="n">
        <v>45562.4444289352</v>
      </c>
    </row>
    <row r="764" customFormat="false" ht="39.75" hidden="false" customHeight="true" outlineLevel="0" collapsed="false">
      <c r="B764" s="130" t="n">
        <v>1143986684</v>
      </c>
      <c r="C764" s="131" t="s">
        <v>259</v>
      </c>
      <c r="D764" s="131" t="s">
        <v>135</v>
      </c>
      <c r="E764" s="130" t="n">
        <v>2600900</v>
      </c>
      <c r="F764" s="131" t="s">
        <v>29</v>
      </c>
      <c r="G764" s="130" t="n">
        <v>2000000</v>
      </c>
      <c r="H764" s="131" t="n">
        <v>592</v>
      </c>
      <c r="I764" s="132" t="n">
        <v>0.09</v>
      </c>
      <c r="J764" s="132" t="n">
        <v>0.14</v>
      </c>
      <c r="K764" s="130" t="n">
        <v>0.64823099696259</v>
      </c>
      <c r="L764" s="132" t="n">
        <v>0.14</v>
      </c>
      <c r="M764" s="131" t="s">
        <v>64</v>
      </c>
      <c r="N764" s="133" t="n">
        <v>0.721920873543773</v>
      </c>
      <c r="O764" s="133" t="n">
        <v>0.64823099696259</v>
      </c>
      <c r="P764" s="132" t="n">
        <v>0.0213</v>
      </c>
      <c r="Q764" s="131" t="s">
        <v>130</v>
      </c>
      <c r="R764" s="130" t="n">
        <v>930000</v>
      </c>
      <c r="S764" s="143" t="n">
        <v>0</v>
      </c>
      <c r="T764" s="134" t="n">
        <v>45562.4455709491</v>
      </c>
    </row>
    <row r="765" customFormat="false" ht="39.75" hidden="false" customHeight="true" outlineLevel="0" collapsed="false">
      <c r="B765" s="130" t="n">
        <v>1143925787</v>
      </c>
      <c r="C765" s="131" t="s">
        <v>781</v>
      </c>
      <c r="D765" s="131" t="s">
        <v>135</v>
      </c>
      <c r="E765" s="130" t="n">
        <v>3394800</v>
      </c>
      <c r="F765" s="131" t="s">
        <v>29</v>
      </c>
      <c r="G765" s="130" t="n">
        <v>4000000</v>
      </c>
      <c r="H765" s="131" t="n">
        <v>720</v>
      </c>
      <c r="I765" s="132" t="n">
        <v>0.27</v>
      </c>
      <c r="J765" s="132" t="n">
        <v>0.34</v>
      </c>
      <c r="K765" s="130" t="n">
        <v>7.23930717568045</v>
      </c>
      <c r="L765" s="132" t="n">
        <v>0.34</v>
      </c>
      <c r="M765" s="131" t="s">
        <v>64</v>
      </c>
      <c r="N765" s="133" t="n">
        <v>1.01628549546365</v>
      </c>
      <c r="O765" s="133" t="n">
        <v>7.23930717568045</v>
      </c>
      <c r="P765" s="132" t="n">
        <v>0.0213</v>
      </c>
      <c r="Q765" s="131" t="s">
        <v>130</v>
      </c>
      <c r="R765" s="130" t="n">
        <v>24576000</v>
      </c>
      <c r="S765" s="143" t="n">
        <v>0</v>
      </c>
      <c r="T765" s="134" t="n">
        <v>45562.4468306713</v>
      </c>
    </row>
    <row r="766" customFormat="false" ht="39.75" hidden="false" customHeight="true" outlineLevel="0" collapsed="false">
      <c r="B766" s="130" t="n">
        <v>1130587720</v>
      </c>
      <c r="C766" s="131" t="s">
        <v>756</v>
      </c>
      <c r="D766" s="131" t="s">
        <v>135</v>
      </c>
      <c r="E766" s="130" t="n">
        <v>2893800</v>
      </c>
      <c r="F766" s="131" t="s">
        <v>22</v>
      </c>
      <c r="G766" s="130" t="n">
        <v>3700000</v>
      </c>
      <c r="H766" s="131" t="n">
        <v>707</v>
      </c>
      <c r="I766" s="132" t="n">
        <v>0.37</v>
      </c>
      <c r="J766" s="132" t="n">
        <v>0.4</v>
      </c>
      <c r="K766" s="130" t="n">
        <v>15.7073743866197</v>
      </c>
      <c r="L766" s="132" t="n">
        <v>0.4</v>
      </c>
      <c r="M766" s="131" t="s">
        <v>62</v>
      </c>
      <c r="N766" s="133" t="n">
        <v>1.19613518556915</v>
      </c>
      <c r="O766" s="133" t="n">
        <v>15.7073743866197</v>
      </c>
      <c r="P766" s="132" t="n">
        <v>0.0107</v>
      </c>
      <c r="Q766" s="131" t="s">
        <v>130</v>
      </c>
      <c r="R766" s="130" t="n">
        <v>41454000</v>
      </c>
      <c r="S766" s="143" t="n">
        <v>0</v>
      </c>
      <c r="T766" s="134" t="n">
        <v>45562.4485243056</v>
      </c>
    </row>
    <row r="767" customFormat="false" ht="39.75" hidden="false" customHeight="true" outlineLevel="0" collapsed="false">
      <c r="B767" s="130" t="n">
        <v>1006361753</v>
      </c>
      <c r="C767" s="131" t="s">
        <v>580</v>
      </c>
      <c r="D767" s="131" t="s">
        <v>135</v>
      </c>
      <c r="E767" s="130" t="n">
        <v>1670000</v>
      </c>
      <c r="F767" s="131" t="s">
        <v>29</v>
      </c>
      <c r="G767" s="130" t="n">
        <v>1400000</v>
      </c>
      <c r="H767" s="131" t="n">
        <v>536</v>
      </c>
      <c r="I767" s="132" t="n">
        <v>0.57</v>
      </c>
      <c r="J767" s="132" t="n">
        <v>0.56</v>
      </c>
      <c r="K767" s="130" t="n">
        <v>16.4614185628743</v>
      </c>
      <c r="L767" s="132" t="n">
        <v>0.56</v>
      </c>
      <c r="M767" s="131" t="s">
        <v>64</v>
      </c>
      <c r="N767" s="133" t="n">
        <v>1.80993293413174</v>
      </c>
      <c r="O767" s="133" t="n">
        <v>16.4614185628743</v>
      </c>
      <c r="P767" s="132" t="n">
        <v>0.0107</v>
      </c>
      <c r="Q767" s="131" t="s">
        <v>130</v>
      </c>
      <c r="R767" s="130" t="n">
        <v>25480000</v>
      </c>
      <c r="S767" s="143" t="n">
        <v>0</v>
      </c>
      <c r="T767" s="134" t="n">
        <v>45562.4534311343</v>
      </c>
    </row>
    <row r="768" customFormat="false" ht="39.75" hidden="false" customHeight="true" outlineLevel="0" collapsed="false">
      <c r="B768" s="130" t="n">
        <v>1113538911</v>
      </c>
      <c r="C768" s="131" t="s">
        <v>782</v>
      </c>
      <c r="D768" s="131" t="s">
        <v>135</v>
      </c>
      <c r="E768" s="130" t="n">
        <v>1670000</v>
      </c>
      <c r="F768" s="131" t="s">
        <v>20</v>
      </c>
      <c r="G768" s="130" t="n">
        <v>1440000</v>
      </c>
      <c r="H768" s="131" t="n">
        <v>793</v>
      </c>
      <c r="I768" s="132" t="n">
        <v>0.09</v>
      </c>
      <c r="J768" s="132" t="n">
        <v>0.18</v>
      </c>
      <c r="K768" s="130" t="n">
        <v>6.76646706586826</v>
      </c>
      <c r="L768" s="132" t="n">
        <v>0.18</v>
      </c>
      <c r="M768" s="131" t="s">
        <v>64</v>
      </c>
      <c r="N768" s="133" t="n">
        <v>0.971746706586826</v>
      </c>
      <c r="O768" s="133" t="n">
        <v>6.76646706586826</v>
      </c>
      <c r="P768" s="132" t="n">
        <v>0.0107</v>
      </c>
      <c r="Q768" s="131" t="s">
        <v>130</v>
      </c>
      <c r="R768" s="130" t="n">
        <v>11300000</v>
      </c>
      <c r="S768" s="143" t="n">
        <v>0</v>
      </c>
      <c r="T768" s="134" t="n">
        <v>45562.4556118056</v>
      </c>
    </row>
    <row r="769" customFormat="false" ht="39.75" hidden="false" customHeight="true" outlineLevel="0" collapsed="false">
      <c r="B769" s="130" t="n">
        <v>1143924806</v>
      </c>
      <c r="C769" s="131" t="s">
        <v>783</v>
      </c>
      <c r="D769" s="131" t="s">
        <v>135</v>
      </c>
      <c r="E769" s="130" t="n">
        <v>2893800</v>
      </c>
      <c r="F769" s="131" t="s">
        <v>14</v>
      </c>
      <c r="G769" s="130" t="n">
        <v>5000000</v>
      </c>
      <c r="H769" s="131" t="n">
        <v>675</v>
      </c>
      <c r="I769" s="132" t="n">
        <v>0.29</v>
      </c>
      <c r="J769" s="132" t="n">
        <v>0.35</v>
      </c>
      <c r="K769" s="130" t="n">
        <v>3.28561614486143</v>
      </c>
      <c r="L769" s="132" t="n">
        <v>0.35</v>
      </c>
      <c r="M769" s="131" t="s">
        <v>64</v>
      </c>
      <c r="N769" s="133" t="n">
        <v>0.971128965374248</v>
      </c>
      <c r="O769" s="133" t="n">
        <v>3.28561614486143</v>
      </c>
      <c r="P769" s="132" t="n">
        <v>0.0107</v>
      </c>
      <c r="Q769" s="131" t="s">
        <v>130</v>
      </c>
      <c r="R769" s="130" t="n">
        <v>5690000</v>
      </c>
      <c r="S769" s="143" t="s">
        <v>784</v>
      </c>
      <c r="T769" s="134" t="n">
        <v>45567.5010885417</v>
      </c>
    </row>
    <row r="770" customFormat="false" ht="39.75" hidden="false" customHeight="true" outlineLevel="0" collapsed="false">
      <c r="B770" s="130" t="n">
        <v>45556004</v>
      </c>
      <c r="C770" s="131" t="s">
        <v>785</v>
      </c>
      <c r="D770" s="131" t="s">
        <v>129</v>
      </c>
      <c r="E770" s="130" t="n">
        <v>5842800</v>
      </c>
      <c r="F770" s="131" t="s">
        <v>14</v>
      </c>
      <c r="G770" s="130" t="n">
        <v>8000000</v>
      </c>
      <c r="H770" s="131" t="n">
        <v>985</v>
      </c>
      <c r="I770" s="132" t="n">
        <v>0.2</v>
      </c>
      <c r="J770" s="132" t="n">
        <v>0.26</v>
      </c>
      <c r="K770" s="130" t="n">
        <v>1.38135825289245</v>
      </c>
      <c r="L770" s="132" t="n">
        <v>0.26</v>
      </c>
      <c r="M770" s="131" t="s">
        <v>62</v>
      </c>
      <c r="N770" s="133" t="n">
        <v>0.762739097692887</v>
      </c>
      <c r="O770" s="133" t="n">
        <v>1.38135825289245</v>
      </c>
      <c r="P770" s="132" t="n">
        <v>0.0199</v>
      </c>
      <c r="Q770" s="131" t="s">
        <v>130</v>
      </c>
      <c r="R770" s="130" t="n">
        <v>8071000</v>
      </c>
      <c r="S770" s="143" t="n">
        <v>0</v>
      </c>
      <c r="T770" s="134" t="n">
        <v>45567.502828125</v>
      </c>
    </row>
    <row r="771" customFormat="false" ht="39.75" hidden="false" customHeight="true" outlineLevel="0" collapsed="false">
      <c r="B771" s="130" t="n">
        <v>31324094</v>
      </c>
      <c r="C771" s="131" t="s">
        <v>786</v>
      </c>
      <c r="D771" s="131" t="s">
        <v>135</v>
      </c>
      <c r="E771" s="130" t="n">
        <v>2893800</v>
      </c>
      <c r="F771" s="131" t="s">
        <v>14</v>
      </c>
      <c r="G771" s="130" t="n">
        <v>5000000</v>
      </c>
      <c r="H771" s="131" t="n">
        <v>701</v>
      </c>
      <c r="I771" s="132" t="n">
        <v>0.39</v>
      </c>
      <c r="J771" s="132" t="n">
        <v>0.45</v>
      </c>
      <c r="K771" s="130" t="n">
        <v>26.9141295182805</v>
      </c>
      <c r="L771" s="132" t="n">
        <v>0.45</v>
      </c>
      <c r="M771" s="131" t="s">
        <v>64</v>
      </c>
      <c r="N771" s="133" t="n">
        <v>1.51839657198148</v>
      </c>
      <c r="O771" s="133" t="n">
        <v>26.9141295182805</v>
      </c>
      <c r="P771" s="132" t="n">
        <v>0.0199</v>
      </c>
      <c r="Q771" s="131" t="s">
        <v>130</v>
      </c>
      <c r="R771" s="130" t="n">
        <v>75108000</v>
      </c>
      <c r="S771" s="143" t="n">
        <v>0</v>
      </c>
      <c r="T771" s="134" t="n">
        <v>45567.5702347222</v>
      </c>
    </row>
    <row r="772" customFormat="false" ht="39.75" hidden="false" customHeight="true" outlineLevel="0" collapsed="false">
      <c r="B772" s="130" t="n">
        <v>25277703</v>
      </c>
      <c r="C772" s="131" t="s">
        <v>787</v>
      </c>
      <c r="D772" s="131" t="s">
        <v>135</v>
      </c>
      <c r="E772" s="130" t="n">
        <v>5418800</v>
      </c>
      <c r="F772" s="131" t="s">
        <v>14</v>
      </c>
      <c r="G772" s="130" t="n">
        <v>4600000</v>
      </c>
      <c r="H772" s="131" t="n">
        <v>891</v>
      </c>
      <c r="I772" s="132" t="n">
        <v>0.37</v>
      </c>
      <c r="J772" s="132" t="n">
        <v>0.41</v>
      </c>
      <c r="K772" s="130" t="n">
        <v>13.1551265962944</v>
      </c>
      <c r="L772" s="132" t="n">
        <v>0.41</v>
      </c>
      <c r="M772" s="131" t="s">
        <v>62</v>
      </c>
      <c r="N772" s="133" t="n">
        <v>1.17997508673507</v>
      </c>
      <c r="O772" s="133" t="n">
        <v>13.1551265962944</v>
      </c>
      <c r="P772" s="132" t="n">
        <v>0.0199</v>
      </c>
      <c r="Q772" s="131" t="s">
        <v>130</v>
      </c>
      <c r="R772" s="130" t="n">
        <v>71285000</v>
      </c>
      <c r="S772" s="143" t="n">
        <v>0</v>
      </c>
      <c r="T772" s="134" t="n">
        <v>45567.5713903935</v>
      </c>
    </row>
    <row r="773" customFormat="false" ht="39.75" hidden="false" customHeight="true" outlineLevel="0" collapsed="false">
      <c r="B773" s="130" t="n">
        <v>14607266</v>
      </c>
      <c r="C773" s="131" t="s">
        <v>788</v>
      </c>
      <c r="D773" s="131" t="s">
        <v>135</v>
      </c>
      <c r="E773" s="130" t="n">
        <v>5418800</v>
      </c>
      <c r="F773" s="131" t="s">
        <v>14</v>
      </c>
      <c r="G773" s="130" t="n">
        <v>4500000</v>
      </c>
      <c r="H773" s="131" t="n">
        <v>699</v>
      </c>
      <c r="I773" s="132" t="n">
        <v>0.07</v>
      </c>
      <c r="J773" s="132" t="n">
        <v>0.12</v>
      </c>
      <c r="K773" s="130" t="n">
        <v>0</v>
      </c>
      <c r="L773" s="132" t="n">
        <v>0.12</v>
      </c>
      <c r="M773" s="131" t="s">
        <v>64</v>
      </c>
      <c r="N773" s="133" t="n">
        <v>0.550998745109618</v>
      </c>
      <c r="O773" s="133" t="n">
        <v>0</v>
      </c>
      <c r="P773" s="132" t="n">
        <v>0.0199</v>
      </c>
      <c r="Q773" s="131" t="s">
        <v>130</v>
      </c>
      <c r="R773" s="130" t="n">
        <v>0</v>
      </c>
      <c r="S773" s="143" t="n">
        <v>0</v>
      </c>
      <c r="T773" s="134" t="n">
        <v>45567.5738956019</v>
      </c>
    </row>
    <row r="774" customFormat="false" ht="39.75" hidden="false" customHeight="true" outlineLevel="0" collapsed="false">
      <c r="B774" s="130" t="n">
        <v>1006341887</v>
      </c>
      <c r="C774" s="131" t="s">
        <v>789</v>
      </c>
      <c r="D774" s="131" t="s">
        <v>135</v>
      </c>
      <c r="E774" s="130" t="n">
        <v>2893800</v>
      </c>
      <c r="F774" s="131" t="s">
        <v>14</v>
      </c>
      <c r="G774" s="130" t="n">
        <v>6500000</v>
      </c>
      <c r="H774" s="131" t="n">
        <v>505</v>
      </c>
      <c r="I774" s="132" t="n">
        <v>0.39</v>
      </c>
      <c r="J774" s="132" t="n">
        <v>0.41</v>
      </c>
      <c r="K774" s="130" t="n">
        <v>14.1174994816504</v>
      </c>
      <c r="L774" s="132" t="n">
        <v>0.41</v>
      </c>
      <c r="M774" s="131" t="s">
        <v>64</v>
      </c>
      <c r="N774" s="133" t="n">
        <v>8.54324555947198</v>
      </c>
      <c r="O774" s="133" t="n">
        <v>14.1174994816504</v>
      </c>
      <c r="P774" s="132" t="n">
        <v>0.0199</v>
      </c>
      <c r="Q774" s="131" t="s">
        <v>130</v>
      </c>
      <c r="R774" s="130" t="n">
        <v>38529000</v>
      </c>
      <c r="S774" s="143" t="n">
        <v>0</v>
      </c>
      <c r="T774" s="134" t="n">
        <v>45567.5993700232</v>
      </c>
    </row>
    <row r="775" customFormat="false" ht="39.75" hidden="false" customHeight="true" outlineLevel="0" collapsed="false">
      <c r="B775" s="130" t="n">
        <v>1005966057</v>
      </c>
      <c r="C775" s="131" t="s">
        <v>790</v>
      </c>
      <c r="D775" s="131" t="s">
        <v>760</v>
      </c>
      <c r="E775" s="130" t="n">
        <v>2604400</v>
      </c>
      <c r="F775" s="131" t="s">
        <v>29</v>
      </c>
      <c r="G775" s="130" t="n">
        <v>2000000</v>
      </c>
      <c r="H775" s="131" t="n">
        <v>606</v>
      </c>
      <c r="I775" s="132" t="n">
        <v>0.28</v>
      </c>
      <c r="J775" s="132" t="n">
        <v>0.36</v>
      </c>
      <c r="K775" s="130" t="n">
        <v>0.817313008754416</v>
      </c>
      <c r="L775" s="132" t="n">
        <v>0.36</v>
      </c>
      <c r="M775" s="131" t="s">
        <v>64</v>
      </c>
      <c r="N775" s="133" t="n">
        <v>0.83565504530794</v>
      </c>
      <c r="O775" s="133" t="n">
        <v>0.817313008754416</v>
      </c>
      <c r="P775" s="132" t="n">
        <v>0.0213</v>
      </c>
      <c r="Q775" s="131" t="s">
        <v>130</v>
      </c>
      <c r="R775" s="130" t="n">
        <v>0</v>
      </c>
      <c r="S775" s="143" t="n">
        <v>0</v>
      </c>
      <c r="T775" s="134" t="n">
        <v>45568.4736924769</v>
      </c>
    </row>
    <row r="776" customFormat="false" ht="39.75" hidden="false" customHeight="true" outlineLevel="0" collapsed="false">
      <c r="B776" s="130" t="n">
        <v>1002858305</v>
      </c>
      <c r="C776" s="131" t="s">
        <v>381</v>
      </c>
      <c r="D776" s="131" t="s">
        <v>135</v>
      </c>
      <c r="E776" s="130" t="n">
        <v>2893800</v>
      </c>
      <c r="F776" s="131" t="s">
        <v>29</v>
      </c>
      <c r="G776" s="130" t="n">
        <v>2000000</v>
      </c>
      <c r="H776" s="131" t="n">
        <v>762</v>
      </c>
      <c r="I776" s="132" t="n">
        <v>0.3</v>
      </c>
      <c r="J776" s="132" t="n">
        <v>0.34</v>
      </c>
      <c r="K776" s="130" t="n">
        <v>6.00416960398093</v>
      </c>
      <c r="L776" s="132" t="n">
        <v>0.34</v>
      </c>
      <c r="M776" s="131" t="s">
        <v>64</v>
      </c>
      <c r="N776" s="133" t="n">
        <v>1.07870619946092</v>
      </c>
      <c r="O776" s="133" t="n">
        <v>6.00416960398093</v>
      </c>
      <c r="P776" s="132" t="n">
        <v>0.0207</v>
      </c>
      <c r="Q776" s="131" t="s">
        <v>130</v>
      </c>
      <c r="R776" s="130" t="n">
        <v>15770000</v>
      </c>
      <c r="S776" s="143" t="n">
        <v>0</v>
      </c>
      <c r="T776" s="134" t="n">
        <v>45569.6488731482</v>
      </c>
    </row>
    <row r="777" customFormat="false" ht="39.75" hidden="false" customHeight="true" outlineLevel="0" collapsed="false">
      <c r="B777" s="130" t="n">
        <v>1144106381</v>
      </c>
      <c r="C777" s="131" t="s">
        <v>791</v>
      </c>
      <c r="D777" s="131" t="s">
        <v>135</v>
      </c>
      <c r="E777" s="130" t="n">
        <v>1670000</v>
      </c>
      <c r="F777" s="131" t="s">
        <v>29</v>
      </c>
      <c r="G777" s="130" t="n">
        <v>1600000</v>
      </c>
      <c r="H777" s="131" t="n">
        <v>829</v>
      </c>
      <c r="I777" s="132" t="n">
        <v>0.48</v>
      </c>
      <c r="J777" s="132" t="n">
        <v>0.53</v>
      </c>
      <c r="K777" s="130" t="n">
        <v>18.4029940119761</v>
      </c>
      <c r="L777" s="132" t="n">
        <v>0.53</v>
      </c>
      <c r="M777" s="131" t="s">
        <v>62</v>
      </c>
      <c r="N777" s="133" t="n">
        <v>3.08983353293413</v>
      </c>
      <c r="O777" s="133" t="n">
        <v>18.4029940119761</v>
      </c>
      <c r="P777" s="132" t="n">
        <v>0.0207</v>
      </c>
      <c r="Q777" s="131" t="s">
        <v>130</v>
      </c>
      <c r="R777" s="130" t="n">
        <v>30733000</v>
      </c>
      <c r="S777" s="143" t="n">
        <v>0</v>
      </c>
      <c r="T777" s="134" t="n">
        <v>45569.6504465278</v>
      </c>
    </row>
    <row r="778" customFormat="false" ht="39.75" hidden="false" customHeight="true" outlineLevel="0" collapsed="false">
      <c r="B778" s="130" t="n">
        <v>1010134134</v>
      </c>
      <c r="C778" s="131" t="s">
        <v>792</v>
      </c>
      <c r="D778" s="131" t="s">
        <v>135</v>
      </c>
      <c r="E778" s="130" t="n">
        <v>2600900</v>
      </c>
      <c r="F778" s="131" t="s">
        <v>29</v>
      </c>
      <c r="G778" s="130" t="n">
        <v>2400000</v>
      </c>
      <c r="H778" s="131" t="n">
        <v>632</v>
      </c>
      <c r="I778" s="132" t="n">
        <v>0.04</v>
      </c>
      <c r="J778" s="132" t="n">
        <v>0.13</v>
      </c>
      <c r="K778" s="130" t="n">
        <v>0</v>
      </c>
      <c r="L778" s="132" t="n">
        <v>0.13</v>
      </c>
      <c r="M778" s="131" t="s">
        <v>64</v>
      </c>
      <c r="N778" s="133" t="n">
        <v>0.61491752854781</v>
      </c>
      <c r="O778" s="133" t="n">
        <v>0</v>
      </c>
      <c r="P778" s="132" t="n">
        <v>0.0207</v>
      </c>
      <c r="Q778" s="131" t="s">
        <v>130</v>
      </c>
      <c r="R778" s="130" t="n">
        <v>0</v>
      </c>
      <c r="S778" s="143" t="n">
        <v>0</v>
      </c>
      <c r="T778" s="134" t="n">
        <v>45569.6521594907</v>
      </c>
    </row>
    <row r="779" customFormat="false" ht="39.75" hidden="false" customHeight="true" outlineLevel="0" collapsed="false">
      <c r="B779" s="130" t="n">
        <v>1006165643</v>
      </c>
      <c r="C779" s="131" t="s">
        <v>793</v>
      </c>
      <c r="D779" s="131" t="s">
        <v>135</v>
      </c>
      <c r="E779" s="130" t="n">
        <v>2893800</v>
      </c>
      <c r="F779" s="131" t="s">
        <v>29</v>
      </c>
      <c r="G779" s="130" t="n">
        <v>2600000</v>
      </c>
      <c r="H779" s="131" t="n">
        <v>726</v>
      </c>
      <c r="I779" s="132" t="n">
        <v>0.52</v>
      </c>
      <c r="J779" s="132" t="n">
        <v>0.55</v>
      </c>
      <c r="K779" s="130" t="n">
        <v>0.360247771096828</v>
      </c>
      <c r="L779" s="132" t="n">
        <v>0.55</v>
      </c>
      <c r="M779" s="131" t="s">
        <v>64</v>
      </c>
      <c r="N779" s="133" t="n">
        <v>1.75339104291934</v>
      </c>
      <c r="O779" s="133" t="n">
        <v>0.360247771096828</v>
      </c>
      <c r="P779" s="132" t="n">
        <v>0.0207</v>
      </c>
      <c r="Q779" s="131" t="s">
        <v>130</v>
      </c>
      <c r="R779" s="130" t="n">
        <v>0</v>
      </c>
      <c r="S779" s="143" t="n">
        <v>0</v>
      </c>
      <c r="T779" s="134" t="n">
        <v>45569.6647402778</v>
      </c>
    </row>
    <row r="780" customFormat="false" ht="39.75" hidden="false" customHeight="true" outlineLevel="0" collapsed="false">
      <c r="B780" s="130" t="n">
        <v>1112880193</v>
      </c>
      <c r="C780" s="131" t="s">
        <v>229</v>
      </c>
      <c r="D780" s="131" t="s">
        <v>760</v>
      </c>
      <c r="E780" s="130" t="n">
        <v>3394800</v>
      </c>
      <c r="F780" s="131" t="s">
        <v>29</v>
      </c>
      <c r="G780" s="130" t="n">
        <v>4000000</v>
      </c>
      <c r="H780" s="131" t="n">
        <v>857</v>
      </c>
      <c r="I780" s="132" t="n">
        <v>0.28</v>
      </c>
      <c r="J780" s="132" t="n">
        <v>0.34</v>
      </c>
      <c r="K780" s="130" t="n">
        <v>0.0250382938611995</v>
      </c>
      <c r="L780" s="132" t="n">
        <v>0.34</v>
      </c>
      <c r="M780" s="131" t="s">
        <v>61</v>
      </c>
      <c r="N780" s="133" t="n">
        <v>1.30766554730765</v>
      </c>
      <c r="O780" s="133" t="n">
        <v>0.0250382938611995</v>
      </c>
      <c r="P780" s="132" t="n">
        <v>0.0207</v>
      </c>
      <c r="Q780" s="131" t="s">
        <v>130</v>
      </c>
      <c r="R780" s="130" t="n">
        <v>36000</v>
      </c>
      <c r="S780" s="143" t="n">
        <v>0</v>
      </c>
      <c r="T780" s="134" t="n">
        <v>45569.6674700231</v>
      </c>
    </row>
    <row r="781" customFormat="false" ht="39.75" hidden="false" customHeight="true" outlineLevel="0" collapsed="false">
      <c r="B781" s="130" t="n">
        <v>1065654814</v>
      </c>
      <c r="C781" s="131" t="s">
        <v>794</v>
      </c>
      <c r="D781" s="131" t="s">
        <v>135</v>
      </c>
      <c r="E781" s="130" t="n">
        <v>4383200</v>
      </c>
      <c r="F781" s="131" t="s">
        <v>29</v>
      </c>
      <c r="G781" s="130" t="n">
        <v>1500000</v>
      </c>
      <c r="H781" s="131" t="n">
        <v>788</v>
      </c>
      <c r="I781" s="132" t="n">
        <v>0.15</v>
      </c>
      <c r="J781" s="132" t="n">
        <v>0.18</v>
      </c>
      <c r="K781" s="130" t="n">
        <v>17.0570546632597</v>
      </c>
      <c r="L781" s="132" t="n">
        <v>0.18</v>
      </c>
      <c r="M781" s="131" t="s">
        <v>64</v>
      </c>
      <c r="N781" s="133" t="n">
        <v>1.17256000182515</v>
      </c>
      <c r="O781" s="133" t="n">
        <v>17.0570546632597</v>
      </c>
      <c r="P781" s="132" t="n">
        <v>0.0207</v>
      </c>
      <c r="Q781" s="131" t="s">
        <v>130</v>
      </c>
      <c r="R781" s="130" t="n">
        <v>74504000</v>
      </c>
      <c r="S781" s="143" t="n">
        <v>0</v>
      </c>
      <c r="T781" s="134" t="n">
        <v>45569.6693675926</v>
      </c>
    </row>
    <row r="782" customFormat="false" ht="39.75" hidden="false" customHeight="true" outlineLevel="0" collapsed="false">
      <c r="B782" s="130" t="n">
        <v>1144143740</v>
      </c>
      <c r="C782" s="131" t="s">
        <v>795</v>
      </c>
      <c r="D782" s="131" t="s">
        <v>760</v>
      </c>
      <c r="E782" s="130" t="n">
        <v>1625000</v>
      </c>
      <c r="F782" s="131" t="s">
        <v>29</v>
      </c>
      <c r="G782" s="130" t="n">
        <v>1600000</v>
      </c>
      <c r="H782" s="131" t="n">
        <v>675</v>
      </c>
      <c r="I782" s="132" t="n">
        <v>0.22</v>
      </c>
      <c r="J782" s="132" t="n">
        <v>0.28</v>
      </c>
      <c r="K782" s="130" t="n">
        <v>3.49781969230769</v>
      </c>
      <c r="L782" s="132" t="n">
        <v>0.28</v>
      </c>
      <c r="M782" s="131" t="s">
        <v>64</v>
      </c>
      <c r="N782" s="133" t="n">
        <v>2.50989476923077</v>
      </c>
      <c r="O782" s="133" t="n">
        <v>3.49781969230769</v>
      </c>
      <c r="P782" s="132" t="n">
        <v>0.0207</v>
      </c>
      <c r="Q782" s="131" t="s">
        <v>130</v>
      </c>
      <c r="R782" s="130" t="n">
        <v>1636000</v>
      </c>
      <c r="S782" s="143" t="n">
        <v>0</v>
      </c>
      <c r="T782" s="134" t="n">
        <v>45569.6712795139</v>
      </c>
    </row>
    <row r="783" customFormat="false" ht="39.75" hidden="false" customHeight="true" outlineLevel="0" collapsed="false">
      <c r="B783" s="130" t="n">
        <v>1112768596</v>
      </c>
      <c r="C783" s="131" t="s">
        <v>796</v>
      </c>
      <c r="D783" s="131" t="s">
        <v>135</v>
      </c>
      <c r="E783" s="130" t="n">
        <v>2893800</v>
      </c>
      <c r="F783" s="131" t="s">
        <v>29</v>
      </c>
      <c r="G783" s="130" t="n">
        <v>1200000</v>
      </c>
      <c r="H783" s="131" t="n">
        <v>790</v>
      </c>
      <c r="I783" s="132" t="n">
        <v>0.48</v>
      </c>
      <c r="J783" s="132" t="n">
        <v>0.5</v>
      </c>
      <c r="K783" s="130" t="n">
        <v>32.8139470592301</v>
      </c>
      <c r="L783" s="132" t="n">
        <v>0.5</v>
      </c>
      <c r="M783" s="131" t="s">
        <v>64</v>
      </c>
      <c r="N783" s="133" t="n">
        <v>1.91362602805999</v>
      </c>
      <c r="O783" s="133" t="n">
        <v>32.8139470592301</v>
      </c>
      <c r="P783" s="132" t="n">
        <v>0.0207</v>
      </c>
      <c r="Q783" s="131" t="s">
        <v>130</v>
      </c>
      <c r="R783" s="130" t="n">
        <v>94957000</v>
      </c>
      <c r="S783" s="143" t="n">
        <v>0</v>
      </c>
      <c r="T783" s="134" t="n">
        <v>45572.6542409722</v>
      </c>
    </row>
    <row r="784" customFormat="false" ht="39.75" hidden="false" customHeight="true" outlineLevel="0" collapsed="false">
      <c r="B784" s="130" t="n">
        <v>34679469</v>
      </c>
      <c r="C784" s="131" t="s">
        <v>797</v>
      </c>
      <c r="D784" s="131" t="s">
        <v>760</v>
      </c>
      <c r="E784" s="130" t="n">
        <v>4469100</v>
      </c>
      <c r="F784" s="131" t="s">
        <v>11</v>
      </c>
      <c r="G784" s="130" t="n">
        <v>7000000</v>
      </c>
      <c r="H784" s="131" t="n">
        <v>706</v>
      </c>
      <c r="I784" s="132" t="n">
        <v>0.07</v>
      </c>
      <c r="J784" s="132" t="n">
        <v>0.12</v>
      </c>
      <c r="K784" s="130" t="n">
        <v>3.56492358640442</v>
      </c>
      <c r="L784" s="132" t="n">
        <v>0.12</v>
      </c>
      <c r="M784" s="131" t="s">
        <v>64</v>
      </c>
      <c r="N784" s="133" t="n">
        <v>0.862916470877805</v>
      </c>
      <c r="O784" s="133" t="n">
        <v>3.56492358640442</v>
      </c>
      <c r="P784" s="132" t="n">
        <v>0.0167</v>
      </c>
      <c r="Q784" s="131" t="s">
        <v>130</v>
      </c>
      <c r="R784" s="130" t="n">
        <v>15932000</v>
      </c>
      <c r="S784" s="143" t="n">
        <v>0</v>
      </c>
      <c r="T784" s="134" t="n">
        <v>45574.4246258102</v>
      </c>
    </row>
    <row r="785" customFormat="false" ht="39.75" hidden="false" customHeight="true" outlineLevel="0" collapsed="false">
      <c r="B785" s="130" t="n">
        <v>38640849</v>
      </c>
      <c r="C785" s="131" t="s">
        <v>798</v>
      </c>
      <c r="D785" s="131" t="s">
        <v>129</v>
      </c>
      <c r="E785" s="130" t="n">
        <v>5418800</v>
      </c>
      <c r="F785" s="131" t="s">
        <v>14</v>
      </c>
      <c r="G785" s="130" t="n">
        <v>5000000</v>
      </c>
      <c r="H785" s="131" t="n">
        <v>781</v>
      </c>
      <c r="I785" s="132" t="n">
        <v>0.09</v>
      </c>
      <c r="J785" s="132" t="n">
        <v>0.12</v>
      </c>
      <c r="K785" s="130" t="n">
        <v>13.0036947294604</v>
      </c>
      <c r="L785" s="132" t="n">
        <v>0.12</v>
      </c>
      <c r="M785" s="131" t="s">
        <v>64</v>
      </c>
      <c r="N785" s="133" t="n">
        <v>0.889549346718831</v>
      </c>
      <c r="O785" s="133" t="n">
        <v>13.0036947294604</v>
      </c>
      <c r="P785" s="132" t="n">
        <v>0.0167</v>
      </c>
      <c r="Q785" s="131" t="s">
        <v>130</v>
      </c>
      <c r="R785" s="130" t="n">
        <v>70341000</v>
      </c>
      <c r="S785" s="143" t="n">
        <v>0</v>
      </c>
      <c r="T785" s="134" t="n">
        <v>45574.4259552083</v>
      </c>
    </row>
    <row r="786" customFormat="false" ht="39.75" hidden="false" customHeight="true" outlineLevel="0" collapsed="false">
      <c r="B786" s="130" t="n">
        <v>1130679836</v>
      </c>
      <c r="C786" s="131" t="s">
        <v>799</v>
      </c>
      <c r="D786" s="131" t="s">
        <v>760</v>
      </c>
      <c r="E786" s="130" t="n">
        <v>6130300</v>
      </c>
      <c r="F786" s="131" t="s">
        <v>11</v>
      </c>
      <c r="G786" s="130" t="n">
        <v>11150000</v>
      </c>
      <c r="H786" s="131" t="n">
        <v>961</v>
      </c>
      <c r="I786" s="132" t="n">
        <v>0.13</v>
      </c>
      <c r="J786" s="132" t="n">
        <v>0.12</v>
      </c>
      <c r="K786" s="130" t="n">
        <v>0.340713994421154</v>
      </c>
      <c r="L786" s="132" t="n">
        <v>0.12</v>
      </c>
      <c r="M786" s="131" t="s">
        <v>61</v>
      </c>
      <c r="N786" s="133" t="n">
        <v>0.610805180823125</v>
      </c>
      <c r="O786" s="133" t="n">
        <v>0.340713994421154</v>
      </c>
      <c r="P786" s="132" t="n">
        <v>0.0167</v>
      </c>
      <c r="Q786" s="131" t="s">
        <v>130</v>
      </c>
      <c r="R786" s="130" t="n">
        <v>0</v>
      </c>
      <c r="S786" s="143" t="s">
        <v>800</v>
      </c>
      <c r="T786" s="134" t="n">
        <v>45574.4282799769</v>
      </c>
    </row>
    <row r="787" customFormat="false" ht="39.75" hidden="false" customHeight="true" outlineLevel="0" collapsed="false">
      <c r="B787" s="130" t="n">
        <v>1114726971</v>
      </c>
      <c r="C787" s="131" t="s">
        <v>801</v>
      </c>
      <c r="D787" s="131" t="s">
        <v>135</v>
      </c>
      <c r="E787" s="130" t="n">
        <v>5291000</v>
      </c>
      <c r="F787" s="131" t="s">
        <v>8</v>
      </c>
      <c r="G787" s="130" t="n">
        <v>10411805</v>
      </c>
      <c r="H787" s="131" t="n">
        <v>846</v>
      </c>
      <c r="I787" s="132" t="n">
        <v>0.34</v>
      </c>
      <c r="J787" s="132" t="n">
        <v>0.42</v>
      </c>
      <c r="K787" s="130" t="n">
        <v>2.77508977508978</v>
      </c>
      <c r="L787" s="132" t="n">
        <v>0.42</v>
      </c>
      <c r="M787" s="131" t="s">
        <v>62</v>
      </c>
      <c r="N787" s="133" t="n">
        <v>1.65513456813457</v>
      </c>
      <c r="O787" s="133" t="n">
        <v>2.77508977508978</v>
      </c>
      <c r="P787" s="132" t="n">
        <v>0.018</v>
      </c>
      <c r="Q787" s="131" t="s">
        <v>130</v>
      </c>
      <c r="R787" s="130" t="n">
        <v>14683000</v>
      </c>
      <c r="S787" s="143" t="n">
        <v>0</v>
      </c>
      <c r="T787" s="134" t="n">
        <v>45574.4311616898</v>
      </c>
    </row>
    <row r="788" customFormat="false" ht="39.75" hidden="false" customHeight="true" outlineLevel="0" collapsed="false">
      <c r="B788" s="130" t="n">
        <v>31309662</v>
      </c>
      <c r="C788" s="131" t="s">
        <v>483</v>
      </c>
      <c r="D788" s="131" t="s">
        <v>135</v>
      </c>
      <c r="E788" s="130" t="n">
        <v>2600900</v>
      </c>
      <c r="F788" s="131" t="s">
        <v>29</v>
      </c>
      <c r="G788" s="130" t="n">
        <v>2000000</v>
      </c>
      <c r="H788" s="131" t="n">
        <v>611</v>
      </c>
      <c r="I788" s="132" t="n">
        <v>0.22</v>
      </c>
      <c r="J788" s="132" t="n">
        <v>0.27</v>
      </c>
      <c r="K788" s="130" t="n">
        <v>2.97367988004152</v>
      </c>
      <c r="L788" s="132" t="n">
        <v>0.27</v>
      </c>
      <c r="M788" s="131" t="s">
        <v>62</v>
      </c>
      <c r="N788" s="133" t="n">
        <v>0.811712099657811</v>
      </c>
      <c r="O788" s="133" t="n">
        <v>2.97367988004152</v>
      </c>
      <c r="P788" s="132" t="n">
        <v>0.0207</v>
      </c>
      <c r="Q788" s="131" t="s">
        <v>130</v>
      </c>
      <c r="R788" s="130" t="n">
        <v>0</v>
      </c>
      <c r="S788" s="143" t="n">
        <v>0</v>
      </c>
      <c r="T788" s="134" t="n">
        <v>45575.6544890046</v>
      </c>
    </row>
    <row r="789" customFormat="false" ht="39.75" hidden="false" customHeight="true" outlineLevel="0" collapsed="false">
      <c r="B789" s="130" t="n">
        <v>1062317237</v>
      </c>
      <c r="C789" s="131" t="s">
        <v>802</v>
      </c>
      <c r="D789" s="131" t="s">
        <v>135</v>
      </c>
      <c r="E789" s="130" t="n">
        <v>2893800</v>
      </c>
      <c r="F789" s="131" t="s">
        <v>29</v>
      </c>
      <c r="G789" s="130" t="n">
        <v>2800000</v>
      </c>
      <c r="H789" s="131" t="n">
        <v>677</v>
      </c>
      <c r="I789" s="132" t="n">
        <v>0.36</v>
      </c>
      <c r="J789" s="132" t="n">
        <v>0.42</v>
      </c>
      <c r="K789" s="130" t="n">
        <v>16.0062893081761</v>
      </c>
      <c r="L789" s="132" t="n">
        <v>0.42</v>
      </c>
      <c r="M789" s="131" t="s">
        <v>64</v>
      </c>
      <c r="N789" s="133" t="n">
        <v>1.33390144446748</v>
      </c>
      <c r="O789" s="133" t="n">
        <v>16.0062893081761</v>
      </c>
      <c r="P789" s="132" t="n">
        <v>0.0207</v>
      </c>
      <c r="Q789" s="131" t="s">
        <v>130</v>
      </c>
      <c r="R789" s="130" t="n">
        <v>46319000</v>
      </c>
      <c r="S789" s="143" t="n">
        <v>0</v>
      </c>
      <c r="T789" s="134" t="n">
        <v>45575.6685530093</v>
      </c>
    </row>
    <row r="790" customFormat="false" ht="39.75" hidden="false" customHeight="true" outlineLevel="0" collapsed="false">
      <c r="B790" s="130" t="n">
        <v>1143927195</v>
      </c>
      <c r="C790" s="131" t="s">
        <v>803</v>
      </c>
      <c r="D790" s="131" t="s">
        <v>804</v>
      </c>
      <c r="E790" s="130" t="n">
        <v>2893800</v>
      </c>
      <c r="F790" s="131" t="s">
        <v>22</v>
      </c>
      <c r="G790" s="130" t="n">
        <v>12800000</v>
      </c>
      <c r="H790" s="131" t="n">
        <v>886</v>
      </c>
      <c r="I790" s="132" t="n">
        <v>0.16</v>
      </c>
      <c r="J790" s="132" t="n">
        <v>0.32</v>
      </c>
      <c r="K790" s="130" t="n">
        <v>1.70882576542954</v>
      </c>
      <c r="L790" s="132" t="n">
        <v>0.32</v>
      </c>
      <c r="M790" s="131" t="s">
        <v>62</v>
      </c>
      <c r="N790" s="133" t="n">
        <v>0.73089156126892</v>
      </c>
      <c r="O790" s="133" t="n">
        <v>1.70882576542954</v>
      </c>
      <c r="P790" s="132" t="n">
        <v>0.0207</v>
      </c>
      <c r="Q790" s="131" t="s">
        <v>130</v>
      </c>
      <c r="R790" s="130" t="n">
        <v>4945000</v>
      </c>
      <c r="S790" s="143" t="n">
        <v>0</v>
      </c>
      <c r="T790" s="134" t="n">
        <v>45581.4507177083</v>
      </c>
    </row>
    <row r="791" customFormat="false" ht="39.75" hidden="false" customHeight="true" outlineLevel="0" collapsed="false">
      <c r="B791" s="130" t="n">
        <v>31570062</v>
      </c>
      <c r="C791" s="131" t="s">
        <v>805</v>
      </c>
      <c r="D791" s="131" t="s">
        <v>135</v>
      </c>
      <c r="E791" s="130" t="n">
        <v>2255900</v>
      </c>
      <c r="F791" s="131" t="s">
        <v>14</v>
      </c>
      <c r="G791" s="130" t="n">
        <v>4500000</v>
      </c>
      <c r="H791" s="131" t="n">
        <v>489</v>
      </c>
      <c r="I791" s="132" t="n">
        <v>0.19</v>
      </c>
      <c r="J791" s="132" t="n">
        <v>0.17</v>
      </c>
      <c r="K791" s="130" t="n">
        <v>8.69401303249258</v>
      </c>
      <c r="L791" s="132" t="n">
        <v>0.17</v>
      </c>
      <c r="M791" s="131" t="s">
        <v>64</v>
      </c>
      <c r="N791" s="133" t="n">
        <v>1.00706724588856</v>
      </c>
      <c r="O791" s="133" t="n">
        <v>8.69401303249258</v>
      </c>
      <c r="P791" s="132" t="n">
        <v>0.0207</v>
      </c>
      <c r="Q791" s="131" t="s">
        <v>130</v>
      </c>
      <c r="R791" s="130" t="n">
        <v>19099000</v>
      </c>
      <c r="S791" s="143" t="n">
        <v>0</v>
      </c>
      <c r="T791" s="134" t="n">
        <v>45581.4551288194</v>
      </c>
    </row>
    <row r="792" customFormat="false" ht="39.75" hidden="false" customHeight="true" outlineLevel="0" collapsed="false">
      <c r="B792" s="130" t="n">
        <v>94072107</v>
      </c>
      <c r="C792" s="131" t="s">
        <v>511</v>
      </c>
      <c r="D792" s="131" t="s">
        <v>135</v>
      </c>
      <c r="E792" s="130" t="n">
        <v>1991000</v>
      </c>
      <c r="F792" s="131" t="s">
        <v>14</v>
      </c>
      <c r="G792" s="130" t="n">
        <v>4600000</v>
      </c>
      <c r="H792" s="131" t="n">
        <v>726</v>
      </c>
      <c r="I792" s="132" t="n">
        <v>0.1</v>
      </c>
      <c r="J792" s="132" t="n">
        <v>0.18</v>
      </c>
      <c r="K792" s="130" t="n">
        <v>0.950540934203918</v>
      </c>
      <c r="L792" s="132" t="n">
        <v>0.18</v>
      </c>
      <c r="M792" s="131" t="s">
        <v>64</v>
      </c>
      <c r="N792" s="133" t="n">
        <v>1.49965946760422</v>
      </c>
      <c r="O792" s="133" t="n">
        <v>0.950540934203918</v>
      </c>
      <c r="P792" s="132" t="n">
        <v>0.0199</v>
      </c>
      <c r="Q792" s="131" t="s">
        <v>130</v>
      </c>
      <c r="R792" s="130" t="n">
        <v>1428000</v>
      </c>
      <c r="S792" s="143" t="n">
        <v>0</v>
      </c>
      <c r="T792" s="134" t="n">
        <v>45581.4623797454</v>
      </c>
    </row>
    <row r="793" customFormat="false" ht="39.75" hidden="false" customHeight="true" outlineLevel="0" collapsed="false">
      <c r="B793" s="130" t="n">
        <v>1087118163</v>
      </c>
      <c r="C793" s="131" t="s">
        <v>806</v>
      </c>
      <c r="D793" s="131" t="s">
        <v>129</v>
      </c>
      <c r="E793" s="130" t="n">
        <v>5291000</v>
      </c>
      <c r="F793" s="131" t="s">
        <v>14</v>
      </c>
      <c r="G793" s="130" t="n">
        <v>5000000</v>
      </c>
      <c r="H793" s="131" t="n">
        <v>736</v>
      </c>
      <c r="I793" s="132" t="n">
        <v>0.07</v>
      </c>
      <c r="J793" s="132" t="n">
        <v>0.1</v>
      </c>
      <c r="K793" s="130" t="n">
        <v>43.9761224721225</v>
      </c>
      <c r="L793" s="132" t="n">
        <v>0.1</v>
      </c>
      <c r="M793" s="131" t="s">
        <v>64</v>
      </c>
      <c r="N793" s="133" t="n">
        <v>0.984655452655453</v>
      </c>
      <c r="O793" s="133" t="n">
        <v>43.9761224721225</v>
      </c>
      <c r="P793" s="132" t="n">
        <v>0.0199</v>
      </c>
      <c r="Q793" s="131" t="s">
        <v>130</v>
      </c>
      <c r="R793" s="130" t="n">
        <v>232531000</v>
      </c>
      <c r="S793" s="143" t="n">
        <v>0</v>
      </c>
      <c r="T793" s="134" t="n">
        <v>45581.4665228009</v>
      </c>
    </row>
    <row r="794" customFormat="false" ht="39.75" hidden="false" customHeight="true" outlineLevel="0" collapsed="false">
      <c r="B794" s="130" t="n">
        <v>31843374</v>
      </c>
      <c r="C794" s="131" t="s">
        <v>807</v>
      </c>
      <c r="D794" s="131" t="s">
        <v>808</v>
      </c>
      <c r="E794" s="130" t="n">
        <v>3181456</v>
      </c>
      <c r="F794" s="131" t="s">
        <v>22</v>
      </c>
      <c r="G794" s="130" t="n">
        <v>6000000</v>
      </c>
      <c r="H794" s="131" t="n">
        <v>874</v>
      </c>
      <c r="I794" s="132" t="n">
        <v>0.03</v>
      </c>
      <c r="J794" s="132" t="n">
        <v>0.08</v>
      </c>
      <c r="K794" s="130" t="n">
        <v>1.09794697773598</v>
      </c>
      <c r="L794" s="132" t="n">
        <v>0.08</v>
      </c>
      <c r="M794" s="131" t="s">
        <v>61</v>
      </c>
      <c r="N794" s="133" t="n">
        <v>0.690256121725399</v>
      </c>
      <c r="O794" s="133" t="n">
        <v>1.09794697773598</v>
      </c>
      <c r="P794" s="132" t="n">
        <v>0.0107</v>
      </c>
      <c r="Q794" s="131" t="s">
        <v>130</v>
      </c>
      <c r="R794" s="130" t="n">
        <v>0</v>
      </c>
      <c r="S794" s="143" t="n">
        <v>0</v>
      </c>
      <c r="T794" s="134" t="n">
        <v>45581.4735097222</v>
      </c>
    </row>
    <row r="795" customFormat="false" ht="39.75" hidden="false" customHeight="true" outlineLevel="0" collapsed="false">
      <c r="B795" s="130" t="n">
        <v>1003336271</v>
      </c>
      <c r="C795" s="131" t="s">
        <v>809</v>
      </c>
      <c r="D795" s="131" t="s">
        <v>135</v>
      </c>
      <c r="E795" s="130" t="n">
        <v>1991000</v>
      </c>
      <c r="F795" s="131" t="s">
        <v>29</v>
      </c>
      <c r="G795" s="130" t="n">
        <v>1500000</v>
      </c>
      <c r="H795" s="131" t="n">
        <v>686</v>
      </c>
      <c r="I795" s="132" t="n">
        <v>0.17</v>
      </c>
      <c r="J795" s="132" t="n">
        <v>0.13</v>
      </c>
      <c r="K795" s="130" t="n">
        <v>0.116737317930688</v>
      </c>
      <c r="L795" s="132" t="n">
        <v>0.13</v>
      </c>
      <c r="M795" s="131" t="s">
        <v>64</v>
      </c>
      <c r="N795" s="133" t="n">
        <v>0.732695128076344</v>
      </c>
      <c r="O795" s="133" t="n">
        <v>0.116737317930688</v>
      </c>
      <c r="P795" s="132" t="n">
        <v>0.0207</v>
      </c>
      <c r="Q795" s="131" t="s">
        <v>130</v>
      </c>
      <c r="R795" s="130" t="n">
        <v>0</v>
      </c>
      <c r="S795" s="143" t="n">
        <v>0</v>
      </c>
      <c r="T795" s="134" t="n">
        <v>45581.5720162037</v>
      </c>
    </row>
    <row r="796" customFormat="false" ht="39.75" hidden="false" customHeight="true" outlineLevel="0" collapsed="false">
      <c r="B796" s="130" t="n">
        <v>66833280</v>
      </c>
      <c r="C796" s="131" t="s">
        <v>810</v>
      </c>
      <c r="D796" s="131" t="s">
        <v>135</v>
      </c>
      <c r="E796" s="130" t="n">
        <v>2600900</v>
      </c>
      <c r="F796" s="131" t="s">
        <v>29</v>
      </c>
      <c r="G796" s="130" t="n">
        <v>4000000</v>
      </c>
      <c r="H796" s="131" t="n">
        <v>811</v>
      </c>
      <c r="I796" s="132" t="n">
        <v>0.36</v>
      </c>
      <c r="J796" s="132" t="n">
        <v>0.33</v>
      </c>
      <c r="K796" s="130" t="n">
        <v>5.56796570417932</v>
      </c>
      <c r="L796" s="132" t="n">
        <v>0.33</v>
      </c>
      <c r="M796" s="131" t="s">
        <v>62</v>
      </c>
      <c r="N796" s="133" t="n">
        <v>1.05279749317544</v>
      </c>
      <c r="O796" s="133" t="n">
        <v>5.56796570417932</v>
      </c>
      <c r="P796" s="132" t="n">
        <v>0.0207</v>
      </c>
      <c r="Q796" s="131" t="s">
        <v>130</v>
      </c>
      <c r="R796" s="130" t="n">
        <v>12748000</v>
      </c>
      <c r="S796" s="143" t="n">
        <v>0</v>
      </c>
      <c r="T796" s="134" t="n">
        <v>45581.5902949074</v>
      </c>
    </row>
    <row r="797" customFormat="false" ht="39.75" hidden="false" customHeight="true" outlineLevel="0" collapsed="false">
      <c r="B797" s="130" t="n">
        <v>1144189605</v>
      </c>
      <c r="C797" s="131" t="s">
        <v>248</v>
      </c>
      <c r="D797" s="131" t="s">
        <v>135</v>
      </c>
      <c r="E797" s="130" t="n">
        <v>2600900</v>
      </c>
      <c r="F797" s="131" t="s">
        <v>14</v>
      </c>
      <c r="G797" s="130" t="n">
        <v>1000000</v>
      </c>
      <c r="H797" s="131" t="n">
        <v>640</v>
      </c>
      <c r="I797" s="132" t="n">
        <v>0.25</v>
      </c>
      <c r="J797" s="132" t="n">
        <v>0.27</v>
      </c>
      <c r="K797" s="130" t="n">
        <v>4.7768730054981</v>
      </c>
      <c r="L797" s="132" t="n">
        <v>0.27</v>
      </c>
      <c r="M797" s="131" t="s">
        <v>64</v>
      </c>
      <c r="N797" s="133" t="n">
        <v>7.32504902149256</v>
      </c>
      <c r="O797" s="133" t="n">
        <v>4.7768730054981</v>
      </c>
      <c r="P797" s="132" t="n">
        <v>0.0207</v>
      </c>
      <c r="Q797" s="131" t="s">
        <v>130</v>
      </c>
      <c r="R797" s="130" t="n">
        <v>4355000</v>
      </c>
      <c r="S797" s="143" t="n">
        <v>0</v>
      </c>
      <c r="T797" s="134" t="n">
        <v>45587.5968037037</v>
      </c>
    </row>
    <row r="798" customFormat="false" ht="39.75" hidden="false" customHeight="true" outlineLevel="0" collapsed="false">
      <c r="B798" s="130" t="n">
        <v>1087994517</v>
      </c>
      <c r="C798" s="131" t="s">
        <v>367</v>
      </c>
      <c r="D798" s="131" t="s">
        <v>135</v>
      </c>
      <c r="E798" s="130" t="n">
        <v>1991000</v>
      </c>
      <c r="F798" s="131" t="s">
        <v>29</v>
      </c>
      <c r="G798" s="130" t="n">
        <v>3500000</v>
      </c>
      <c r="H798" s="131" t="n">
        <v>640</v>
      </c>
      <c r="I798" s="132" t="n">
        <v>0.37</v>
      </c>
      <c r="J798" s="132" t="n">
        <v>0.38</v>
      </c>
      <c r="K798" s="130" t="n">
        <v>7.09399497739829</v>
      </c>
      <c r="L798" s="132" t="n">
        <v>0.38</v>
      </c>
      <c r="M798" s="131" t="s">
        <v>62</v>
      </c>
      <c r="N798" s="133" t="n">
        <v>0.919872928176796</v>
      </c>
      <c r="O798" s="133" t="n">
        <v>7.09399497739829</v>
      </c>
      <c r="P798" s="132" t="n">
        <v>0.0207</v>
      </c>
      <c r="Q798" s="131" t="s">
        <v>130</v>
      </c>
      <c r="R798" s="130" t="n">
        <v>0</v>
      </c>
      <c r="S798" s="143" t="s">
        <v>811</v>
      </c>
      <c r="T798" s="134" t="n">
        <v>45587.614912963</v>
      </c>
    </row>
    <row r="799" customFormat="false" ht="39.75" hidden="false" customHeight="true" outlineLevel="0" collapsed="false">
      <c r="B799" s="130" t="n">
        <v>1130590776</v>
      </c>
      <c r="C799" s="131" t="s">
        <v>812</v>
      </c>
      <c r="D799" s="131" t="s">
        <v>135</v>
      </c>
      <c r="E799" s="130" t="n">
        <v>4870200</v>
      </c>
      <c r="F799" s="131" t="s">
        <v>29</v>
      </c>
      <c r="G799" s="130" t="n">
        <v>2240000</v>
      </c>
      <c r="H799" s="131" t="n">
        <v>818</v>
      </c>
      <c r="I799" s="132" t="n">
        <v>0.02</v>
      </c>
      <c r="J799" s="132" t="n">
        <v>0.07</v>
      </c>
      <c r="K799" s="130" t="n">
        <v>8.10274732043859</v>
      </c>
      <c r="L799" s="132" t="n">
        <v>0.07</v>
      </c>
      <c r="M799" s="131" t="s">
        <v>62</v>
      </c>
      <c r="N799" s="133" t="n">
        <v>0.685502238101105</v>
      </c>
      <c r="O799" s="133" t="n">
        <v>8.10274732043859</v>
      </c>
      <c r="P799" s="132" t="n">
        <v>0.0207</v>
      </c>
      <c r="Q799" s="131" t="s">
        <v>130</v>
      </c>
      <c r="R799" s="130" t="n">
        <v>39462000</v>
      </c>
      <c r="S799" s="143" t="n">
        <v>0</v>
      </c>
      <c r="T799" s="134" t="n">
        <v>45587.6168292824</v>
      </c>
    </row>
    <row r="800" customFormat="false" ht="39.75" hidden="false" customHeight="true" outlineLevel="0" collapsed="false">
      <c r="B800" s="130" t="n">
        <v>1130590776</v>
      </c>
      <c r="C800" s="131" t="s">
        <v>812</v>
      </c>
      <c r="D800" s="131" t="s">
        <v>135</v>
      </c>
      <c r="E800" s="130" t="n">
        <v>4870200</v>
      </c>
      <c r="F800" s="131" t="s">
        <v>29</v>
      </c>
      <c r="G800" s="130" t="n">
        <v>2240000</v>
      </c>
      <c r="H800" s="131" t="n">
        <v>818</v>
      </c>
      <c r="I800" s="132" t="n">
        <v>0.02</v>
      </c>
      <c r="J800" s="132" t="n">
        <v>0.07</v>
      </c>
      <c r="K800" s="130" t="n">
        <v>8.10274732043859</v>
      </c>
      <c r="L800" s="132" t="n">
        <v>0.07</v>
      </c>
      <c r="M800" s="131" t="s">
        <v>62</v>
      </c>
      <c r="N800" s="133" t="n">
        <v>0.685502238101105</v>
      </c>
      <c r="O800" s="133" t="n">
        <v>8.10274732043859</v>
      </c>
      <c r="P800" s="132" t="n">
        <v>0.0207</v>
      </c>
      <c r="Q800" s="131" t="s">
        <v>130</v>
      </c>
      <c r="R800" s="130" t="n">
        <v>39462000</v>
      </c>
      <c r="S800" s="143" t="n">
        <v>0</v>
      </c>
      <c r="T800" s="134" t="n">
        <v>45587.616909375</v>
      </c>
    </row>
    <row r="801" customFormat="false" ht="39.75" hidden="false" customHeight="true" outlineLevel="0" collapsed="false">
      <c r="B801" s="130" t="n">
        <v>67000840</v>
      </c>
      <c r="C801" s="131" t="s">
        <v>813</v>
      </c>
      <c r="D801" s="131" t="s">
        <v>804</v>
      </c>
      <c r="E801" s="130" t="n">
        <v>4327600</v>
      </c>
      <c r="F801" s="131" t="s">
        <v>29</v>
      </c>
      <c r="G801" s="130" t="n">
        <v>3600000</v>
      </c>
      <c r="H801" s="131" t="n">
        <v>767</v>
      </c>
      <c r="I801" s="132" t="n">
        <v>0.31</v>
      </c>
      <c r="J801" s="132" t="n">
        <v>0.35</v>
      </c>
      <c r="K801" s="130" t="n">
        <v>14.9876894814678</v>
      </c>
      <c r="L801" s="132" t="n">
        <v>0.35</v>
      </c>
      <c r="M801" s="131" t="s">
        <v>62</v>
      </c>
      <c r="N801" s="133" t="n">
        <v>1.35321517700342</v>
      </c>
      <c r="O801" s="133" t="n">
        <v>14.9876894814678</v>
      </c>
      <c r="P801" s="132" t="n">
        <v>0.0207</v>
      </c>
      <c r="Q801" s="131" t="s">
        <v>130</v>
      </c>
      <c r="R801" s="130" t="n">
        <v>63723000</v>
      </c>
      <c r="S801" s="143" t="n">
        <v>0</v>
      </c>
      <c r="T801" s="134" t="n">
        <v>45587.6755224537</v>
      </c>
    </row>
    <row r="802" customFormat="false" ht="39.75" hidden="false" customHeight="true" outlineLevel="0" collapsed="false">
      <c r="B802" s="130" t="n">
        <v>1130609026</v>
      </c>
      <c r="C802" s="131" t="s">
        <v>814</v>
      </c>
      <c r="D802" s="131" t="s">
        <v>760</v>
      </c>
      <c r="E802" s="130" t="n">
        <v>2893800</v>
      </c>
      <c r="F802" s="131" t="s">
        <v>29</v>
      </c>
      <c r="G802" s="130" t="n">
        <v>3300000</v>
      </c>
      <c r="H802" s="131" t="n">
        <v>718</v>
      </c>
      <c r="I802" s="132" t="n">
        <v>0.23</v>
      </c>
      <c r="J802" s="132" t="n">
        <v>0.29</v>
      </c>
      <c r="K802" s="130" t="n">
        <v>8.28322620775451</v>
      </c>
      <c r="L802" s="132" t="n">
        <v>0.29</v>
      </c>
      <c r="M802" s="131" t="s">
        <v>64</v>
      </c>
      <c r="N802" s="133" t="n">
        <v>0.963522703711383</v>
      </c>
      <c r="O802" s="133" t="n">
        <v>8.28322620775451</v>
      </c>
      <c r="P802" s="132" t="n">
        <v>0.0207</v>
      </c>
      <c r="Q802" s="131" t="s">
        <v>130</v>
      </c>
      <c r="R802" s="130" t="n">
        <v>23970000</v>
      </c>
      <c r="S802" s="143" t="n">
        <v>0</v>
      </c>
      <c r="T802" s="134" t="n">
        <v>45588.6406569444</v>
      </c>
    </row>
    <row r="803" customFormat="false" ht="39.75" hidden="false" customHeight="true" outlineLevel="0" collapsed="false">
      <c r="B803" s="130" t="n">
        <v>1113687930</v>
      </c>
      <c r="C803" s="131" t="s">
        <v>449</v>
      </c>
      <c r="D803" s="131" t="s">
        <v>135</v>
      </c>
      <c r="E803" s="130" t="n">
        <v>1991000</v>
      </c>
      <c r="F803" s="131" t="s">
        <v>17</v>
      </c>
      <c r="G803" s="130" t="n">
        <v>8391000</v>
      </c>
      <c r="H803" s="131" t="n">
        <v>582</v>
      </c>
      <c r="I803" s="132" t="n">
        <v>0.12</v>
      </c>
      <c r="J803" s="132" t="n">
        <v>0.24</v>
      </c>
      <c r="K803" s="130" t="n">
        <v>0.7039020592667</v>
      </c>
      <c r="L803" s="132" t="n">
        <v>0.24</v>
      </c>
      <c r="M803" s="131" t="s">
        <v>64</v>
      </c>
      <c r="N803" s="133" t="n">
        <v>1.36308036162732</v>
      </c>
      <c r="O803" s="133" t="n">
        <v>0.7039020592667</v>
      </c>
      <c r="P803" s="132" t="n">
        <v>0.017</v>
      </c>
      <c r="Q803" s="131" t="s">
        <v>130</v>
      </c>
      <c r="R803" s="130" t="n">
        <v>1218000</v>
      </c>
      <c r="S803" s="143" t="s">
        <v>640</v>
      </c>
      <c r="T803" s="134" t="n">
        <v>45588.6868975694</v>
      </c>
    </row>
    <row r="804" customFormat="false" ht="39.75" hidden="false" customHeight="true" outlineLevel="0" collapsed="false">
      <c r="B804" s="130" t="n">
        <v>1112470207</v>
      </c>
      <c r="C804" s="131" t="s">
        <v>815</v>
      </c>
      <c r="D804" s="131" t="s">
        <v>135</v>
      </c>
      <c r="E804" s="130" t="n">
        <v>1670000</v>
      </c>
      <c r="F804" s="131" t="s">
        <v>17</v>
      </c>
      <c r="G804" s="130" t="n">
        <v>11062500</v>
      </c>
      <c r="H804" s="131" t="n">
        <v>619</v>
      </c>
      <c r="I804" s="132" t="n">
        <v>0.14</v>
      </c>
      <c r="J804" s="132" t="n">
        <v>0.34</v>
      </c>
      <c r="K804" s="130" t="n">
        <v>0</v>
      </c>
      <c r="L804" s="132" t="n">
        <v>0.34</v>
      </c>
      <c r="M804" s="131" t="s">
        <v>64</v>
      </c>
      <c r="N804" s="133" t="n">
        <v>0.712686826347305</v>
      </c>
      <c r="O804" s="133" t="n">
        <v>0</v>
      </c>
      <c r="P804" s="132" t="n">
        <v>0.017</v>
      </c>
      <c r="Q804" s="131" t="s">
        <v>130</v>
      </c>
      <c r="R804" s="130" t="n">
        <v>0</v>
      </c>
      <c r="S804" s="143" t="s">
        <v>640</v>
      </c>
      <c r="T804" s="134" t="n">
        <v>45588.6902803241</v>
      </c>
    </row>
    <row r="805" customFormat="false" ht="39.75" hidden="false" customHeight="true" outlineLevel="0" collapsed="false">
      <c r="B805" s="130" t="n">
        <v>34516193</v>
      </c>
      <c r="C805" s="131" t="s">
        <v>816</v>
      </c>
      <c r="D805" s="131" t="s">
        <v>760</v>
      </c>
      <c r="E805" s="130" t="n">
        <v>2893800</v>
      </c>
      <c r="F805" s="131" t="s">
        <v>14</v>
      </c>
      <c r="G805" s="130" t="n">
        <v>6000000</v>
      </c>
      <c r="H805" s="131" t="n">
        <v>999</v>
      </c>
      <c r="I805" s="132" t="n">
        <v>0.41</v>
      </c>
      <c r="J805" s="132" t="n">
        <v>0.52</v>
      </c>
      <c r="K805" s="130" t="n">
        <v>0.189715944432926</v>
      </c>
      <c r="L805" s="132" t="n">
        <v>0.52</v>
      </c>
      <c r="M805" s="131" t="s">
        <v>61</v>
      </c>
      <c r="N805" s="133" t="n">
        <v>1.15786923768056</v>
      </c>
      <c r="O805" s="133" t="n">
        <v>0.189715944432926</v>
      </c>
      <c r="P805" s="132" t="n">
        <v>0.017</v>
      </c>
      <c r="Q805" s="131" t="s">
        <v>130</v>
      </c>
      <c r="R805" s="130" t="n">
        <v>549000</v>
      </c>
      <c r="S805" s="143" t="s">
        <v>640</v>
      </c>
      <c r="T805" s="134" t="n">
        <v>45588.6935086806</v>
      </c>
    </row>
    <row r="806" customFormat="false" ht="39.75" hidden="false" customHeight="true" outlineLevel="0" collapsed="false">
      <c r="B806" s="130" t="n">
        <v>1107101778</v>
      </c>
      <c r="C806" s="131" t="s">
        <v>817</v>
      </c>
      <c r="D806" s="131" t="s">
        <v>135</v>
      </c>
      <c r="E806" s="130" t="n">
        <v>2893800</v>
      </c>
      <c r="F806" s="131" t="s">
        <v>14</v>
      </c>
      <c r="G806" s="130" t="n">
        <v>6000000</v>
      </c>
      <c r="H806" s="131" t="n">
        <v>611</v>
      </c>
      <c r="I806" s="132" t="n">
        <v>0.1</v>
      </c>
      <c r="J806" s="132" t="n">
        <v>0.21</v>
      </c>
      <c r="K806" s="130" t="n">
        <v>0</v>
      </c>
      <c r="L806" s="132" t="n">
        <v>0.21</v>
      </c>
      <c r="M806" s="131" t="s">
        <v>64</v>
      </c>
      <c r="N806" s="133" t="n">
        <v>0.667641509433962</v>
      </c>
      <c r="O806" s="133" t="n">
        <v>0</v>
      </c>
      <c r="P806" s="132" t="n">
        <v>0.017</v>
      </c>
      <c r="Q806" s="131" t="s">
        <v>130</v>
      </c>
      <c r="R806" s="130" t="n">
        <v>0</v>
      </c>
      <c r="S806" s="143" t="n">
        <v>0</v>
      </c>
      <c r="T806" s="134" t="n">
        <v>45588.6990195602</v>
      </c>
    </row>
    <row r="807" customFormat="false" ht="39.75" hidden="false" customHeight="true" outlineLevel="0" collapsed="false">
      <c r="B807" s="130" t="n">
        <v>1130648286</v>
      </c>
      <c r="C807" s="131" t="s">
        <v>818</v>
      </c>
      <c r="D807" s="131" t="s">
        <v>135</v>
      </c>
      <c r="E807" s="130" t="n">
        <v>2893800</v>
      </c>
      <c r="F807" s="131" t="s">
        <v>29</v>
      </c>
      <c r="G807" s="130" t="n">
        <v>1600000</v>
      </c>
      <c r="H807" s="131" t="n">
        <v>665</v>
      </c>
      <c r="I807" s="132" t="n">
        <v>0.2</v>
      </c>
      <c r="J807" s="132" t="n">
        <v>0.22</v>
      </c>
      <c r="K807" s="130" t="n">
        <v>4.91755684567005</v>
      </c>
      <c r="L807" s="132" t="n">
        <v>0.22</v>
      </c>
      <c r="M807" s="131" t="s">
        <v>64</v>
      </c>
      <c r="N807" s="133" t="n">
        <v>1.32433029234916</v>
      </c>
      <c r="O807" s="133" t="n">
        <v>4.91755684567005</v>
      </c>
      <c r="P807" s="132" t="n">
        <v>0.0207</v>
      </c>
      <c r="Q807" s="131" t="s">
        <v>130</v>
      </c>
      <c r="R807" s="130" t="n">
        <v>5741000</v>
      </c>
      <c r="S807" s="143" t="n">
        <v>0</v>
      </c>
      <c r="T807" s="134" t="n">
        <v>45590.3631065972</v>
      </c>
    </row>
    <row r="808" customFormat="false" ht="39.75" hidden="false" customHeight="true" outlineLevel="0" collapsed="false">
      <c r="B808" s="130" t="n">
        <v>1151947941</v>
      </c>
      <c r="C808" s="131" t="s">
        <v>819</v>
      </c>
      <c r="D808" s="131" t="s">
        <v>135</v>
      </c>
      <c r="E808" s="130" t="n">
        <v>1991000</v>
      </c>
      <c r="F808" s="131" t="s">
        <v>29</v>
      </c>
      <c r="G808" s="130" t="n">
        <v>2000000</v>
      </c>
      <c r="H808" s="131" t="n">
        <v>665</v>
      </c>
      <c r="I808" s="132" t="n">
        <v>0.04</v>
      </c>
      <c r="J808" s="132" t="n">
        <v>0.14</v>
      </c>
      <c r="K808" s="130" t="n">
        <v>0</v>
      </c>
      <c r="L808" s="132" t="n">
        <v>0.14</v>
      </c>
      <c r="M808" s="131" t="s">
        <v>64</v>
      </c>
      <c r="N808" s="133" t="n">
        <v>0.647252636865897</v>
      </c>
      <c r="O808" s="133" t="n">
        <v>0</v>
      </c>
      <c r="P808" s="132" t="n">
        <v>0.0207</v>
      </c>
      <c r="Q808" s="131" t="s">
        <v>130</v>
      </c>
      <c r="R808" s="130" t="n">
        <v>0</v>
      </c>
      <c r="S808" s="143" t="n">
        <v>0</v>
      </c>
      <c r="T808" s="134" t="n">
        <v>45590.3844634259</v>
      </c>
    </row>
    <row r="809" customFormat="false" ht="39.75" hidden="false" customHeight="true" outlineLevel="0" collapsed="false">
      <c r="B809" s="130" t="n">
        <v>67041428</v>
      </c>
      <c r="C809" s="131" t="s">
        <v>820</v>
      </c>
      <c r="D809" s="131" t="s">
        <v>135</v>
      </c>
      <c r="E809" s="130" t="n">
        <v>2893800</v>
      </c>
      <c r="F809" s="131" t="s">
        <v>29</v>
      </c>
      <c r="G809" s="130" t="n">
        <v>3500000</v>
      </c>
      <c r="H809" s="131" t="n">
        <v>809</v>
      </c>
      <c r="I809" s="132" t="n">
        <v>0.33</v>
      </c>
      <c r="J809" s="132" t="n">
        <v>0.38</v>
      </c>
      <c r="K809" s="130" t="n">
        <v>8.88071048448407</v>
      </c>
      <c r="L809" s="132" t="n">
        <v>0.38</v>
      </c>
      <c r="M809" s="131" t="s">
        <v>62</v>
      </c>
      <c r="N809" s="133" t="n">
        <v>0.931378118736609</v>
      </c>
      <c r="O809" s="133" t="n">
        <v>8.88071048448407</v>
      </c>
      <c r="P809" s="132" t="n">
        <v>0.0207</v>
      </c>
      <c r="Q809" s="131" t="s">
        <v>130</v>
      </c>
      <c r="R809" s="130" t="n">
        <v>25699000</v>
      </c>
      <c r="S809" s="143" t="n">
        <v>0</v>
      </c>
      <c r="T809" s="134" t="n">
        <v>45590.3871695602</v>
      </c>
    </row>
    <row r="810" customFormat="false" ht="39.75" hidden="false" customHeight="true" outlineLevel="0" collapsed="false">
      <c r="B810" s="130" t="n">
        <v>38643849</v>
      </c>
      <c r="C810" s="131" t="s">
        <v>821</v>
      </c>
      <c r="D810" s="131" t="s">
        <v>135</v>
      </c>
      <c r="E810" s="130" t="n">
        <v>2893800</v>
      </c>
      <c r="F810" s="131" t="s">
        <v>29</v>
      </c>
      <c r="G810" s="130" t="n">
        <v>2000000</v>
      </c>
      <c r="H810" s="131" t="n">
        <v>598</v>
      </c>
      <c r="I810" s="132" t="n">
        <v>0.44</v>
      </c>
      <c r="J810" s="132" t="n">
        <v>0.47</v>
      </c>
      <c r="K810" s="130" t="n">
        <v>17.026055705301</v>
      </c>
      <c r="L810" s="132" t="n">
        <v>0.47</v>
      </c>
      <c r="M810" s="131" t="s">
        <v>64</v>
      </c>
      <c r="N810" s="133" t="n">
        <v>0.984765705992121</v>
      </c>
      <c r="O810" s="133" t="n">
        <v>17.026055705301</v>
      </c>
      <c r="P810" s="132" t="n">
        <v>0.0207</v>
      </c>
      <c r="Q810" s="131" t="s">
        <v>130</v>
      </c>
      <c r="R810" s="130" t="n">
        <v>49270000</v>
      </c>
      <c r="S810" s="143" t="n">
        <v>0</v>
      </c>
      <c r="T810" s="134" t="n">
        <v>45590.3929359954</v>
      </c>
    </row>
    <row r="811" customFormat="false" ht="39.75" hidden="false" customHeight="true" outlineLevel="0" collapsed="false">
      <c r="B811" s="130" t="n">
        <v>1143996665</v>
      </c>
      <c r="C811" s="131" t="s">
        <v>822</v>
      </c>
      <c r="D811" s="131" t="s">
        <v>135</v>
      </c>
      <c r="E811" s="130" t="n">
        <v>2340800</v>
      </c>
      <c r="F811" s="131" t="s">
        <v>29</v>
      </c>
      <c r="G811" s="130" t="n">
        <v>1500000</v>
      </c>
      <c r="H811" s="131" t="n">
        <v>686</v>
      </c>
      <c r="I811" s="132" t="n">
        <v>0.05</v>
      </c>
      <c r="J811" s="132" t="n">
        <v>0.12</v>
      </c>
      <c r="K811" s="130" t="n">
        <v>31.5311004784689</v>
      </c>
      <c r="L811" s="132" t="n">
        <v>0.12</v>
      </c>
      <c r="M811" s="131" t="s">
        <v>64</v>
      </c>
      <c r="N811" s="133" t="n">
        <v>1.1510299897471</v>
      </c>
      <c r="O811" s="133" t="n">
        <v>31.5311004784689</v>
      </c>
      <c r="P811" s="132" t="n">
        <v>0.0207</v>
      </c>
      <c r="Q811" s="131" t="s">
        <v>130</v>
      </c>
      <c r="R811" s="130" t="n">
        <v>73808000</v>
      </c>
      <c r="S811" s="143" t="n">
        <v>0</v>
      </c>
      <c r="T811" s="134" t="n">
        <v>45590.3961128472</v>
      </c>
    </row>
    <row r="812" customFormat="false" ht="39.75" hidden="false" customHeight="true" outlineLevel="0" collapsed="false">
      <c r="B812" s="130" t="n">
        <v>65706563</v>
      </c>
      <c r="C812" s="131" t="s">
        <v>476</v>
      </c>
      <c r="D812" s="131" t="s">
        <v>135</v>
      </c>
      <c r="E812" s="130" t="n">
        <v>2893800</v>
      </c>
      <c r="F812" s="131" t="s">
        <v>29</v>
      </c>
      <c r="G812" s="130" t="n">
        <v>2100000</v>
      </c>
      <c r="H812" s="131" t="n">
        <v>555</v>
      </c>
      <c r="I812" s="132" t="n">
        <v>0.21</v>
      </c>
      <c r="J812" s="132" t="n">
        <v>0.24</v>
      </c>
      <c r="K812" s="130" t="n">
        <v>14.6714745317576</v>
      </c>
      <c r="L812" s="132" t="n">
        <v>0.24</v>
      </c>
      <c r="M812" s="131" t="s">
        <v>64</v>
      </c>
      <c r="N812" s="133" t="n">
        <v>0.995711175616836</v>
      </c>
      <c r="O812" s="133" t="n">
        <v>14.6714745317576</v>
      </c>
      <c r="P812" s="132" t="n">
        <v>0.0207</v>
      </c>
      <c r="Q812" s="131" t="s">
        <v>130</v>
      </c>
      <c r="R812" s="130" t="n">
        <v>38874000</v>
      </c>
      <c r="S812" s="143" t="n">
        <v>0</v>
      </c>
      <c r="T812" s="134" t="n">
        <v>45590.4056331019</v>
      </c>
    </row>
    <row r="813" customFormat="false" ht="39.75" hidden="false" customHeight="true" outlineLevel="0" collapsed="false">
      <c r="B813" s="130" t="n">
        <v>29110131</v>
      </c>
      <c r="C813" s="131" t="s">
        <v>773</v>
      </c>
      <c r="D813" s="131" t="s">
        <v>129</v>
      </c>
      <c r="E813" s="130" t="n">
        <v>5291000</v>
      </c>
      <c r="F813" s="131" t="s">
        <v>29</v>
      </c>
      <c r="G813" s="130" t="n">
        <v>3100000</v>
      </c>
      <c r="H813" s="131" t="n">
        <v>762</v>
      </c>
      <c r="I813" s="132" t="n">
        <v>0.12</v>
      </c>
      <c r="J813" s="132" t="n">
        <v>0.18</v>
      </c>
      <c r="K813" s="130" t="n">
        <v>11.8540918540919</v>
      </c>
      <c r="L813" s="132" t="n">
        <v>0.18</v>
      </c>
      <c r="M813" s="131" t="s">
        <v>64</v>
      </c>
      <c r="N813" s="133" t="n">
        <v>1.20512946512947</v>
      </c>
      <c r="O813" s="133" t="n">
        <v>11.8540918540919</v>
      </c>
      <c r="P813" s="132" t="n">
        <v>0.0207</v>
      </c>
      <c r="Q813" s="131" t="s">
        <v>130</v>
      </c>
      <c r="R813" s="130" t="n">
        <v>61181000</v>
      </c>
      <c r="S813" s="143" t="n">
        <v>0</v>
      </c>
      <c r="T813" s="134" t="n">
        <v>45590.4085905093</v>
      </c>
    </row>
    <row r="814" customFormat="false" ht="39.75" hidden="false" customHeight="true" outlineLevel="0" collapsed="false">
      <c r="B814" s="130" t="n">
        <v>67004195</v>
      </c>
      <c r="C814" s="131" t="s">
        <v>823</v>
      </c>
      <c r="D814" s="131" t="s">
        <v>135</v>
      </c>
      <c r="E814" s="130" t="n">
        <v>2600900</v>
      </c>
      <c r="F814" s="131" t="s">
        <v>29</v>
      </c>
      <c r="G814" s="130" t="n">
        <v>1400000</v>
      </c>
      <c r="H814" s="131" t="n">
        <v>846</v>
      </c>
      <c r="I814" s="132" t="n">
        <v>0.32</v>
      </c>
      <c r="J814" s="132" t="n">
        <v>0.37</v>
      </c>
      <c r="K814" s="130" t="n">
        <v>9.7731554461917</v>
      </c>
      <c r="L814" s="132" t="n">
        <v>0.37</v>
      </c>
      <c r="M814" s="131" t="s">
        <v>62</v>
      </c>
      <c r="N814" s="133" t="n">
        <v>0.873280787419739</v>
      </c>
      <c r="O814" s="133" t="n">
        <v>9.7731554461917</v>
      </c>
      <c r="P814" s="132" t="n">
        <v>0.0207</v>
      </c>
      <c r="Q814" s="131" t="s">
        <v>130</v>
      </c>
      <c r="R814" s="130" t="n">
        <v>25419000</v>
      </c>
      <c r="S814" s="143" t="n">
        <v>0</v>
      </c>
      <c r="T814" s="134" t="n">
        <v>45590.4097930556</v>
      </c>
    </row>
    <row r="815" customFormat="false" ht="39.75" hidden="false" customHeight="true" outlineLevel="0" collapsed="false">
      <c r="B815" s="130" t="n">
        <v>1107078179</v>
      </c>
      <c r="C815" s="131" t="s">
        <v>824</v>
      </c>
      <c r="D815" s="131" t="s">
        <v>135</v>
      </c>
      <c r="E815" s="130" t="n">
        <v>4335000</v>
      </c>
      <c r="F815" s="131" t="s">
        <v>29</v>
      </c>
      <c r="G815" s="130" t="n">
        <v>1600000</v>
      </c>
      <c r="H815" s="131" t="n">
        <v>589</v>
      </c>
      <c r="I815" s="132" t="n">
        <v>0.24</v>
      </c>
      <c r="J815" s="132" t="n">
        <v>0.26</v>
      </c>
      <c r="K815" s="130" t="n">
        <v>11.6207612456747</v>
      </c>
      <c r="L815" s="132" t="n">
        <v>0.26</v>
      </c>
      <c r="M815" s="131" t="s">
        <v>64</v>
      </c>
      <c r="N815" s="133" t="n">
        <v>1.84726989619377</v>
      </c>
      <c r="O815" s="133" t="n">
        <v>11.6207612456747</v>
      </c>
      <c r="P815" s="132" t="n">
        <v>0.0207</v>
      </c>
      <c r="Q815" s="131" t="s">
        <v>130</v>
      </c>
      <c r="R815" s="130" t="n">
        <v>50376000</v>
      </c>
      <c r="S815" s="143" t="n">
        <v>0</v>
      </c>
      <c r="T815" s="134" t="n">
        <v>45590.4146983796</v>
      </c>
    </row>
    <row r="816" customFormat="false" ht="39.75" hidden="false" customHeight="true" outlineLevel="0" collapsed="false">
      <c r="B816" s="130" t="n">
        <v>1114899235</v>
      </c>
      <c r="C816" s="131" t="s">
        <v>825</v>
      </c>
      <c r="D816" s="131" t="s">
        <v>135</v>
      </c>
      <c r="E816" s="130" t="n">
        <v>2893800</v>
      </c>
      <c r="F816" s="131" t="s">
        <v>29</v>
      </c>
      <c r="G816" s="130" t="n">
        <v>17580000</v>
      </c>
      <c r="H816" s="131" t="n">
        <v>619</v>
      </c>
      <c r="I816" s="132" t="n">
        <v>0.26</v>
      </c>
      <c r="J816" s="132" t="n">
        <v>0.46</v>
      </c>
      <c r="K816" s="130" t="n">
        <v>10.5204229732532</v>
      </c>
      <c r="L816" s="132" t="n">
        <v>0.46</v>
      </c>
      <c r="M816" s="131" t="s">
        <v>64</v>
      </c>
      <c r="N816" s="133" t="n">
        <v>1.01253058262492</v>
      </c>
      <c r="O816" s="133" t="n">
        <v>10.5204229732532</v>
      </c>
      <c r="P816" s="132" t="n">
        <v>0.0207</v>
      </c>
      <c r="Q816" s="131" t="s">
        <v>130</v>
      </c>
      <c r="R816" s="130" t="n">
        <v>30444000</v>
      </c>
      <c r="S816" s="143" t="s">
        <v>826</v>
      </c>
      <c r="T816" s="134" t="n">
        <v>45595.4566490741</v>
      </c>
    </row>
    <row r="817" customFormat="false" ht="39.75" hidden="false" customHeight="true" outlineLevel="0" collapsed="false">
      <c r="B817" s="130" t="n">
        <v>1130640687</v>
      </c>
      <c r="C817" s="131" t="s">
        <v>281</v>
      </c>
      <c r="D817" s="131" t="s">
        <v>827</v>
      </c>
      <c r="E817" s="130" t="n">
        <v>2893800</v>
      </c>
      <c r="F817" s="131" t="s">
        <v>29</v>
      </c>
      <c r="G817" s="130" t="n">
        <v>2800000</v>
      </c>
      <c r="H817" s="131" t="n">
        <v>726</v>
      </c>
      <c r="I817" s="132" t="n">
        <v>0.15</v>
      </c>
      <c r="J817" s="132" t="n">
        <v>0.21</v>
      </c>
      <c r="K817" s="130" t="n">
        <v>1.5849626788306</v>
      </c>
      <c r="L817" s="132" t="n">
        <v>0.21</v>
      </c>
      <c r="M817" s="131" t="s">
        <v>62</v>
      </c>
      <c r="N817" s="133" t="n">
        <v>0.720102287649458</v>
      </c>
      <c r="O817" s="133" t="n">
        <v>1.5849626788306</v>
      </c>
      <c r="P817" s="132" t="n">
        <v>0.0207</v>
      </c>
      <c r="Q817" s="131" t="s">
        <v>130</v>
      </c>
      <c r="R817" s="130" t="n">
        <v>0</v>
      </c>
      <c r="S817" s="143" t="n">
        <v>0</v>
      </c>
      <c r="T817" s="134" t="n">
        <v>45596.5699552083</v>
      </c>
    </row>
    <row r="818" customFormat="false" ht="39.75" hidden="false" customHeight="true" outlineLevel="0" collapsed="false">
      <c r="B818" s="130" t="n">
        <v>67005575</v>
      </c>
      <c r="C818" s="131" t="s">
        <v>828</v>
      </c>
      <c r="D818" s="131" t="s">
        <v>760</v>
      </c>
      <c r="E818" s="130" t="n">
        <v>4870200</v>
      </c>
      <c r="F818" s="131" t="s">
        <v>29</v>
      </c>
      <c r="G818" s="130" t="n">
        <v>4000000</v>
      </c>
      <c r="H818" s="131" t="n">
        <v>672</v>
      </c>
      <c r="I818" s="132" t="n">
        <v>0.41</v>
      </c>
      <c r="J818" s="132" t="n">
        <v>0.45</v>
      </c>
      <c r="K818" s="130" t="n">
        <v>17.2502155968954</v>
      </c>
      <c r="L818" s="132" t="n">
        <v>0.45</v>
      </c>
      <c r="M818" s="131" t="s">
        <v>64</v>
      </c>
      <c r="N818" s="133" t="n">
        <v>1.11999794669623</v>
      </c>
      <c r="O818" s="133" t="n">
        <v>17.2502155968954</v>
      </c>
      <c r="P818" s="132" t="n">
        <v>0.0207</v>
      </c>
      <c r="Q818" s="131" t="s">
        <v>130</v>
      </c>
      <c r="R818" s="130" t="n">
        <v>84012000</v>
      </c>
      <c r="S818" s="143" t="n">
        <v>0</v>
      </c>
      <c r="T818" s="134" t="n">
        <v>45596.5722625</v>
      </c>
    </row>
    <row r="819" customFormat="false" ht="39.75" hidden="false" customHeight="true" outlineLevel="0" collapsed="false">
      <c r="B819" s="130" t="n">
        <v>1144135850</v>
      </c>
      <c r="C819" s="131" t="s">
        <v>576</v>
      </c>
      <c r="D819" s="131" t="s">
        <v>135</v>
      </c>
      <c r="E819" s="130" t="n">
        <v>2315000</v>
      </c>
      <c r="F819" s="131" t="s">
        <v>29</v>
      </c>
      <c r="G819" s="130" t="n">
        <v>3300000</v>
      </c>
      <c r="H819" s="131" t="n">
        <v>343</v>
      </c>
      <c r="I819" s="132" t="n">
        <v>0.18</v>
      </c>
      <c r="J819" s="132" t="n">
        <v>0.33</v>
      </c>
      <c r="K819" s="130" t="n">
        <v>0.264631533477322</v>
      </c>
      <c r="L819" s="132" t="n">
        <v>0.33</v>
      </c>
      <c r="M819" s="131" t="s">
        <v>64</v>
      </c>
      <c r="N819" s="133" t="n">
        <v>1.3152</v>
      </c>
      <c r="O819" s="133" t="n">
        <v>0.264631533477322</v>
      </c>
      <c r="P819" s="132" t="n">
        <v>0.0207</v>
      </c>
      <c r="Q819" s="131" t="s">
        <v>130</v>
      </c>
      <c r="R819" s="130" t="n">
        <v>0</v>
      </c>
      <c r="S819" s="143" t="n">
        <v>0</v>
      </c>
      <c r="T819" s="134" t="n">
        <v>45596.5748976852</v>
      </c>
    </row>
    <row r="820" customFormat="false" ht="39.75" hidden="false" customHeight="true" outlineLevel="0" collapsed="false">
      <c r="B820" s="130" t="n">
        <v>1144169695</v>
      </c>
      <c r="C820" s="131" t="s">
        <v>323</v>
      </c>
      <c r="D820" s="131" t="s">
        <v>135</v>
      </c>
      <c r="E820" s="130" t="n">
        <v>2600900</v>
      </c>
      <c r="F820" s="131" t="s">
        <v>29</v>
      </c>
      <c r="G820" s="130" t="n">
        <v>1500000</v>
      </c>
      <c r="H820" s="131" t="n">
        <v>621</v>
      </c>
      <c r="I820" s="132" t="n">
        <v>0.33</v>
      </c>
      <c r="J820" s="132" t="n">
        <v>0.39</v>
      </c>
      <c r="K820" s="130" t="n">
        <v>37.1159483255796</v>
      </c>
      <c r="L820" s="132" t="n">
        <v>0.39</v>
      </c>
      <c r="M820" s="131" t="s">
        <v>64</v>
      </c>
      <c r="N820" s="133" t="n">
        <v>4.72934830251067</v>
      </c>
      <c r="O820" s="133" t="n">
        <v>37.1159483255796</v>
      </c>
      <c r="P820" s="132" t="n">
        <v>0.0207</v>
      </c>
      <c r="Q820" s="131" t="s">
        <v>130</v>
      </c>
      <c r="R820" s="130" t="n">
        <v>92229000</v>
      </c>
      <c r="S820" s="143" t="n">
        <v>0</v>
      </c>
      <c r="T820" s="134" t="n">
        <v>45596.5814601852</v>
      </c>
    </row>
    <row r="821" customFormat="false" ht="39.75" hidden="false" customHeight="true" outlineLevel="0" collapsed="false">
      <c r="B821" s="130" t="n">
        <v>1144175903</v>
      </c>
      <c r="C821" s="131" t="s">
        <v>152</v>
      </c>
      <c r="D821" s="131" t="s">
        <v>153</v>
      </c>
      <c r="E821" s="130" t="n">
        <v>2600000</v>
      </c>
      <c r="F821" s="131" t="s">
        <v>18</v>
      </c>
      <c r="G821" s="130" t="n">
        <v>800000</v>
      </c>
      <c r="H821" s="131" t="n">
        <v>458</v>
      </c>
      <c r="I821" s="132" t="n">
        <v>0.22</v>
      </c>
      <c r="J821" s="132" t="n">
        <v>0.25</v>
      </c>
      <c r="K821" s="130" t="n">
        <v>5.92995115384615</v>
      </c>
      <c r="L821" s="132" t="n">
        <v>0.25</v>
      </c>
      <c r="M821" s="131" t="s">
        <v>64</v>
      </c>
      <c r="N821" s="133" t="n">
        <v>1.06967923076923</v>
      </c>
      <c r="O821" s="133" t="n">
        <v>5.92995115384615</v>
      </c>
      <c r="P821" s="132" t="n">
        <v>0.0207</v>
      </c>
      <c r="Q821" s="131" t="s">
        <v>130</v>
      </c>
      <c r="R821" s="130" t="n">
        <v>1809000</v>
      </c>
      <c r="S821" s="143" t="s">
        <v>829</v>
      </c>
      <c r="T821" s="134" t="n">
        <v>45596.5850766204</v>
      </c>
    </row>
    <row r="822" customFormat="false" ht="39.75" hidden="false" customHeight="true" outlineLevel="0" collapsed="false">
      <c r="B822" s="130" t="n">
        <v>1144175903</v>
      </c>
      <c r="C822" s="131" t="s">
        <v>152</v>
      </c>
      <c r="D822" s="131" t="s">
        <v>153</v>
      </c>
      <c r="E822" s="130" t="n">
        <v>2600000</v>
      </c>
      <c r="F822" s="131" t="s">
        <v>18</v>
      </c>
      <c r="G822" s="130" t="n">
        <v>800000</v>
      </c>
      <c r="H822" s="131" t="n">
        <v>458</v>
      </c>
      <c r="I822" s="132" t="n">
        <v>0.22</v>
      </c>
      <c r="J822" s="132" t="n">
        <v>0.25</v>
      </c>
      <c r="K822" s="130" t="n">
        <v>5.75119653846154</v>
      </c>
      <c r="L822" s="132" t="n">
        <v>0.25</v>
      </c>
      <c r="M822" s="131" t="s">
        <v>64</v>
      </c>
      <c r="N822" s="133" t="n">
        <v>1.06967923076923</v>
      </c>
      <c r="O822" s="133" t="n">
        <v>5.75119653846154</v>
      </c>
      <c r="P822" s="132" t="n">
        <v>0.0207</v>
      </c>
      <c r="Q822" s="131" t="s">
        <v>130</v>
      </c>
      <c r="R822" s="130" t="n">
        <v>1809000</v>
      </c>
      <c r="S822" s="143" t="s">
        <v>829</v>
      </c>
      <c r="T822" s="134" t="n">
        <v>45596.5941962963</v>
      </c>
    </row>
    <row r="823" customFormat="false" ht="39.75" hidden="false" customHeight="true" outlineLevel="0" collapsed="false">
      <c r="B823" s="130" t="n">
        <v>16985476</v>
      </c>
      <c r="C823" s="131" t="s">
        <v>558</v>
      </c>
      <c r="D823" s="131" t="s">
        <v>830</v>
      </c>
      <c r="E823" s="130" t="n">
        <v>2681200</v>
      </c>
      <c r="F823" s="131" t="s">
        <v>29</v>
      </c>
      <c r="G823" s="130" t="n">
        <v>3000000</v>
      </c>
      <c r="H823" s="131" t="n">
        <v>886</v>
      </c>
      <c r="I823" s="132" t="n">
        <v>0.28</v>
      </c>
      <c r="J823" s="132" t="n">
        <v>0.39</v>
      </c>
      <c r="K823" s="130" t="n">
        <v>1.14774914217515</v>
      </c>
      <c r="L823" s="132" t="n">
        <v>0.39</v>
      </c>
      <c r="M823" s="131" t="s">
        <v>62</v>
      </c>
      <c r="N823" s="133" t="n">
        <v>0.89296956586603</v>
      </c>
      <c r="O823" s="133" t="n">
        <v>1.14774914217515</v>
      </c>
      <c r="P823" s="132" t="n">
        <v>0.0207</v>
      </c>
      <c r="Q823" s="131" t="s">
        <v>130</v>
      </c>
      <c r="R823" s="130" t="n">
        <v>2385000</v>
      </c>
      <c r="S823" s="143" t="n">
        <v>0</v>
      </c>
      <c r="T823" s="134" t="n">
        <v>45596.5974295139</v>
      </c>
    </row>
    <row r="824" customFormat="false" ht="39.75" hidden="false" customHeight="true" outlineLevel="0" collapsed="false">
      <c r="B824" s="130" t="n">
        <v>38604845</v>
      </c>
      <c r="C824" s="131" t="s">
        <v>596</v>
      </c>
      <c r="D824" s="131" t="s">
        <v>135</v>
      </c>
      <c r="E824" s="130" t="n">
        <v>1991000</v>
      </c>
      <c r="F824" s="131" t="s">
        <v>29</v>
      </c>
      <c r="G824" s="130" t="n">
        <v>2400000</v>
      </c>
      <c r="H824" s="131" t="n">
        <v>807</v>
      </c>
      <c r="I824" s="132" t="n">
        <v>0.26</v>
      </c>
      <c r="J824" s="132" t="n">
        <v>0.29</v>
      </c>
      <c r="K824" s="130" t="n">
        <v>5.69986639879458</v>
      </c>
      <c r="L824" s="132" t="n">
        <v>0.29</v>
      </c>
      <c r="M824" s="131" t="s">
        <v>62</v>
      </c>
      <c r="N824" s="133" t="n">
        <v>0.964368658965344</v>
      </c>
      <c r="O824" s="133" t="n">
        <v>5.69986639879458</v>
      </c>
      <c r="P824" s="132" t="n">
        <v>0.0207</v>
      </c>
      <c r="Q824" s="131" t="s">
        <v>130</v>
      </c>
      <c r="R824" s="130" t="n">
        <v>9754000</v>
      </c>
      <c r="S824" s="143" t="n">
        <v>0</v>
      </c>
      <c r="T824" s="134" t="n">
        <v>45596.611078125</v>
      </c>
    </row>
    <row r="825" customFormat="false" ht="39.75" hidden="false" customHeight="true" outlineLevel="0" collapsed="false">
      <c r="B825" s="130" t="n">
        <v>16985476</v>
      </c>
      <c r="C825" s="131" t="s">
        <v>558</v>
      </c>
      <c r="D825" s="131" t="s">
        <v>830</v>
      </c>
      <c r="E825" s="130" t="n">
        <v>2681200</v>
      </c>
      <c r="F825" s="131" t="s">
        <v>29</v>
      </c>
      <c r="G825" s="130" t="n">
        <v>3000000</v>
      </c>
      <c r="H825" s="131" t="n">
        <v>886</v>
      </c>
      <c r="I825" s="132" t="n">
        <v>0.14</v>
      </c>
      <c r="J825" s="132" t="n">
        <v>0.26</v>
      </c>
      <c r="K825" s="130" t="n">
        <v>0.258222064747128</v>
      </c>
      <c r="L825" s="132" t="n">
        <v>0.26</v>
      </c>
      <c r="M825" s="131" t="s">
        <v>62</v>
      </c>
      <c r="N825" s="133" t="n">
        <v>0.711906981948381</v>
      </c>
      <c r="O825" s="133" t="n">
        <v>0.258222064747128</v>
      </c>
      <c r="P825" s="132" t="n">
        <v>0.0207</v>
      </c>
      <c r="Q825" s="131" t="s">
        <v>130</v>
      </c>
      <c r="R825" s="130" t="n">
        <v>0</v>
      </c>
      <c r="S825" s="143" t="n">
        <v>0</v>
      </c>
      <c r="T825" s="134" t="n">
        <v>45597.455337963</v>
      </c>
    </row>
    <row r="826" customFormat="false" ht="39.75" hidden="false" customHeight="true" outlineLevel="0" collapsed="false">
      <c r="B826" s="130" t="n">
        <v>16985476</v>
      </c>
      <c r="C826" s="131" t="s">
        <v>558</v>
      </c>
      <c r="D826" s="131" t="s">
        <v>830</v>
      </c>
      <c r="E826" s="130" t="n">
        <v>2681200</v>
      </c>
      <c r="F826" s="131" t="s">
        <v>29</v>
      </c>
      <c r="G826" s="130" t="n">
        <v>1500000</v>
      </c>
      <c r="H826" s="131" t="n">
        <v>886</v>
      </c>
      <c r="I826" s="132" t="n">
        <v>0.64</v>
      </c>
      <c r="J826" s="132" t="n">
        <v>0.7</v>
      </c>
      <c r="K826" s="130" t="n">
        <v>35.5863046397136</v>
      </c>
      <c r="L826" s="132" t="n">
        <v>0.7</v>
      </c>
      <c r="M826" s="131" t="s">
        <v>62</v>
      </c>
      <c r="N826" s="133" t="n">
        <v>1.97421937938237</v>
      </c>
      <c r="O826" s="133" t="n">
        <v>35.5863046397136</v>
      </c>
      <c r="P826" s="132" t="n">
        <v>0.0207</v>
      </c>
      <c r="Q826" s="131" t="s">
        <v>130</v>
      </c>
      <c r="R826" s="130" t="n">
        <v>95414000</v>
      </c>
      <c r="S826" s="143" t="n">
        <v>0</v>
      </c>
      <c r="T826" s="134" t="n">
        <v>45597.4635240741</v>
      </c>
    </row>
    <row r="827" customFormat="false" ht="39.75" hidden="false" customHeight="true" outlineLevel="0" collapsed="false">
      <c r="B827" s="130" t="n">
        <v>38604845</v>
      </c>
      <c r="C827" s="131" t="s">
        <v>596</v>
      </c>
      <c r="D827" s="131" t="s">
        <v>135</v>
      </c>
      <c r="E827" s="130" t="n">
        <v>1991000</v>
      </c>
      <c r="F827" s="131" t="s">
        <v>29</v>
      </c>
      <c r="G827" s="130" t="n">
        <v>2400000</v>
      </c>
      <c r="H827" s="131" t="n">
        <v>807</v>
      </c>
      <c r="I827" s="132" t="n">
        <v>0.26</v>
      </c>
      <c r="J827" s="132" t="n">
        <v>0.29</v>
      </c>
      <c r="K827" s="130" t="n">
        <v>5.69986639879458</v>
      </c>
      <c r="L827" s="132" t="n">
        <v>0.29</v>
      </c>
      <c r="M827" s="131" t="s">
        <v>62</v>
      </c>
      <c r="N827" s="133" t="n">
        <v>1.03870266197891</v>
      </c>
      <c r="O827" s="133" t="n">
        <v>5.69986639879458</v>
      </c>
      <c r="P827" s="132" t="n">
        <v>0.0207</v>
      </c>
      <c r="Q827" s="131" t="s">
        <v>130</v>
      </c>
      <c r="R827" s="130" t="n">
        <v>9754000</v>
      </c>
      <c r="S827" s="143" t="n">
        <v>0</v>
      </c>
      <c r="T827" s="134" t="n">
        <v>45597.4695174769</v>
      </c>
    </row>
    <row r="828" customFormat="false" ht="39.75" hidden="false" customHeight="true" outlineLevel="0" collapsed="false">
      <c r="B828" s="130" t="n">
        <v>38464115</v>
      </c>
      <c r="C828" s="131" t="s">
        <v>195</v>
      </c>
      <c r="D828" s="131" t="s">
        <v>135</v>
      </c>
      <c r="E828" s="130" t="n">
        <v>2893800</v>
      </c>
      <c r="F828" s="131" t="s">
        <v>29</v>
      </c>
      <c r="G828" s="130" t="n">
        <v>4000000</v>
      </c>
      <c r="H828" s="131" t="n">
        <v>837</v>
      </c>
      <c r="I828" s="132" t="n">
        <v>0.48</v>
      </c>
      <c r="J828" s="132" t="n">
        <v>0.43</v>
      </c>
      <c r="K828" s="130" t="n">
        <v>11.907801161103</v>
      </c>
      <c r="L828" s="132" t="n">
        <v>0.43</v>
      </c>
      <c r="M828" s="131" t="s">
        <v>62</v>
      </c>
      <c r="N828" s="133" t="n">
        <v>1.01769680005529</v>
      </c>
      <c r="O828" s="133" t="n">
        <v>11.907801161103</v>
      </c>
      <c r="P828" s="132" t="n">
        <v>0.0207</v>
      </c>
      <c r="Q828" s="131" t="s">
        <v>130</v>
      </c>
      <c r="R828" s="130" t="n">
        <v>33554000</v>
      </c>
      <c r="S828" s="143" t="n">
        <v>0</v>
      </c>
      <c r="T828" s="134" t="n">
        <v>45597.4724422454</v>
      </c>
    </row>
    <row r="829" customFormat="false" ht="39.75" hidden="false" customHeight="true" outlineLevel="0" collapsed="false">
      <c r="B829" s="130" t="n">
        <v>16926618</v>
      </c>
      <c r="C829" s="131" t="s">
        <v>831</v>
      </c>
      <c r="D829" s="131" t="s">
        <v>135</v>
      </c>
      <c r="E829" s="130" t="n">
        <v>2089800</v>
      </c>
      <c r="F829" s="131" t="s">
        <v>16</v>
      </c>
      <c r="G829" s="130" t="n">
        <v>3600000</v>
      </c>
      <c r="H829" s="131" t="n">
        <v>762</v>
      </c>
      <c r="I829" s="132" t="n">
        <v>0.44</v>
      </c>
      <c r="J829" s="132" t="n">
        <v>0.46</v>
      </c>
      <c r="K829" s="130" t="n">
        <v>6.64840558905158</v>
      </c>
      <c r="L829" s="132" t="n">
        <v>0.46</v>
      </c>
      <c r="M829" s="131" t="s">
        <v>62</v>
      </c>
      <c r="N829" s="133" t="n">
        <v>2.98479088908029</v>
      </c>
      <c r="O829" s="133" t="n">
        <v>6.64840558905158</v>
      </c>
      <c r="P829" s="132" t="n">
        <v>0.0187</v>
      </c>
      <c r="Q829" s="131" t="s">
        <v>130</v>
      </c>
      <c r="R829" s="130" t="n">
        <v>4494000</v>
      </c>
      <c r="S829" s="143" t="n">
        <v>0</v>
      </c>
      <c r="T829" s="134" t="n">
        <v>45602.4238581019</v>
      </c>
    </row>
    <row r="830" customFormat="false" ht="39.75" hidden="false" customHeight="true" outlineLevel="0" collapsed="false">
      <c r="B830" s="130" t="n">
        <v>31658624</v>
      </c>
      <c r="C830" s="131" t="s">
        <v>832</v>
      </c>
      <c r="D830" s="131" t="s">
        <v>135</v>
      </c>
      <c r="E830" s="130" t="n">
        <v>5418800</v>
      </c>
      <c r="F830" s="131" t="s">
        <v>16</v>
      </c>
      <c r="G830" s="130" t="n">
        <v>4500000</v>
      </c>
      <c r="H830" s="131" t="n">
        <v>675</v>
      </c>
      <c r="I830" s="132" t="n">
        <v>0.4</v>
      </c>
      <c r="J830" s="132" t="n">
        <v>0.36</v>
      </c>
      <c r="K830" s="130" t="n">
        <v>3.90953292241825</v>
      </c>
      <c r="L830" s="132" t="n">
        <v>0.36</v>
      </c>
      <c r="M830" s="131" t="s">
        <v>62</v>
      </c>
      <c r="N830" s="133" t="n">
        <v>0.858379530523363</v>
      </c>
      <c r="O830" s="133" t="n">
        <v>3.90953292241825</v>
      </c>
      <c r="P830" s="132" t="n">
        <v>0.0187</v>
      </c>
      <c r="Q830" s="131" t="s">
        <v>130</v>
      </c>
      <c r="R830" s="130" t="n">
        <v>0</v>
      </c>
      <c r="S830" s="143" t="s">
        <v>833</v>
      </c>
      <c r="T830" s="134" t="n">
        <v>45602.4356571759</v>
      </c>
    </row>
    <row r="831" customFormat="false" ht="39.75" hidden="false" customHeight="true" outlineLevel="0" collapsed="false">
      <c r="B831" s="130" t="n">
        <v>94493424</v>
      </c>
      <c r="C831" s="131" t="s">
        <v>293</v>
      </c>
      <c r="D831" s="131" t="s">
        <v>135</v>
      </c>
      <c r="E831" s="130" t="n">
        <v>8178800</v>
      </c>
      <c r="F831" s="131" t="s">
        <v>11</v>
      </c>
      <c r="G831" s="130" t="n">
        <v>22200000</v>
      </c>
      <c r="H831" s="131" t="n">
        <v>803</v>
      </c>
      <c r="I831" s="132" t="n">
        <v>0.52</v>
      </c>
      <c r="J831" s="132" t="n">
        <v>0.45</v>
      </c>
      <c r="K831" s="130" t="n">
        <v>13.6661148334719</v>
      </c>
      <c r="L831" s="132" t="n">
        <v>0.45</v>
      </c>
      <c r="M831" s="131" t="s">
        <v>61</v>
      </c>
      <c r="N831" s="133" t="n">
        <v>1.29867278818409</v>
      </c>
      <c r="O831" s="133" t="n">
        <v>13.6661148334719</v>
      </c>
      <c r="P831" s="132" t="n">
        <v>0.0147</v>
      </c>
      <c r="Q831" s="131" t="s">
        <v>130</v>
      </c>
      <c r="R831" s="130" t="n">
        <v>96285000</v>
      </c>
      <c r="S831" s="143" t="s">
        <v>834</v>
      </c>
      <c r="T831" s="134" t="n">
        <v>45602.4500446759</v>
      </c>
    </row>
    <row r="832" customFormat="false" ht="39.75" hidden="false" customHeight="true" outlineLevel="0" collapsed="false">
      <c r="B832" s="130" t="n">
        <v>31658624</v>
      </c>
      <c r="C832" s="131" t="s">
        <v>832</v>
      </c>
      <c r="D832" s="131" t="s">
        <v>135</v>
      </c>
      <c r="E832" s="130" t="n">
        <v>5418800</v>
      </c>
      <c r="F832" s="131" t="s">
        <v>16</v>
      </c>
      <c r="G832" s="130" t="n">
        <v>9000000</v>
      </c>
      <c r="H832" s="131" t="n">
        <v>675</v>
      </c>
      <c r="I832" s="132" t="n">
        <v>0.4</v>
      </c>
      <c r="J832" s="132" t="n">
        <v>0.38</v>
      </c>
      <c r="K832" s="130" t="n">
        <v>3.90953292241825</v>
      </c>
      <c r="L832" s="132" t="n">
        <v>0.38</v>
      </c>
      <c r="M832" s="131" t="s">
        <v>62</v>
      </c>
      <c r="N832" s="133" t="n">
        <v>0.858379530523363</v>
      </c>
      <c r="O832" s="133" t="n">
        <v>3.90953292241825</v>
      </c>
      <c r="P832" s="132" t="n">
        <v>0.0147</v>
      </c>
      <c r="Q832" s="131" t="s">
        <v>130</v>
      </c>
      <c r="R832" s="130" t="n">
        <v>0</v>
      </c>
      <c r="S832" s="143" t="s">
        <v>834</v>
      </c>
      <c r="T832" s="134" t="n">
        <v>45602.4578568287</v>
      </c>
    </row>
    <row r="833" customFormat="false" ht="39.75" hidden="false" customHeight="true" outlineLevel="0" collapsed="false">
      <c r="B833" s="130" t="n">
        <v>94527022</v>
      </c>
      <c r="C833" s="131" t="s">
        <v>835</v>
      </c>
      <c r="D833" s="131" t="s">
        <v>135</v>
      </c>
      <c r="E833" s="130" t="n">
        <v>6474400</v>
      </c>
      <c r="F833" s="131" t="s">
        <v>29</v>
      </c>
      <c r="G833" s="130" t="n">
        <v>1000000</v>
      </c>
      <c r="H833" s="131" t="n">
        <v>738</v>
      </c>
      <c r="I833" s="132" t="n">
        <v>0.37</v>
      </c>
      <c r="J833" s="132" t="n">
        <v>0.38</v>
      </c>
      <c r="K833" s="130" t="n">
        <v>21.0901546089213</v>
      </c>
      <c r="L833" s="132" t="n">
        <v>0.38</v>
      </c>
      <c r="M833" s="131" t="s">
        <v>62</v>
      </c>
      <c r="N833" s="133" t="n">
        <v>1.27954343259607</v>
      </c>
      <c r="O833" s="133" t="n">
        <v>21.0901546089213</v>
      </c>
      <c r="P833" s="132" t="n">
        <v>0.0147</v>
      </c>
      <c r="Q833" s="131" t="s">
        <v>130</v>
      </c>
      <c r="R833" s="130" t="n">
        <v>125749000</v>
      </c>
      <c r="S833" s="143" t="n">
        <v>0</v>
      </c>
      <c r="T833" s="134" t="n">
        <v>45604.4195207176</v>
      </c>
    </row>
    <row r="834" customFormat="false" ht="39.75" hidden="false" customHeight="true" outlineLevel="0" collapsed="false">
      <c r="B834" s="130" t="n">
        <v>94506781</v>
      </c>
      <c r="C834" s="131" t="s">
        <v>836</v>
      </c>
      <c r="D834" s="131" t="s">
        <v>135</v>
      </c>
      <c r="E834" s="130" t="n">
        <v>6247700</v>
      </c>
      <c r="F834" s="131" t="s">
        <v>29</v>
      </c>
      <c r="G834" s="130" t="n">
        <v>3000000</v>
      </c>
      <c r="H834" s="131" t="n">
        <v>647</v>
      </c>
      <c r="I834" s="132" t="n">
        <v>0.28</v>
      </c>
      <c r="J834" s="132" t="n">
        <v>0.31</v>
      </c>
      <c r="K834" s="130" t="n">
        <v>10.6517177521328</v>
      </c>
      <c r="L834" s="132" t="n">
        <v>0.31</v>
      </c>
      <c r="M834" s="131" t="s">
        <v>62</v>
      </c>
      <c r="N834" s="133" t="n">
        <v>1.85902732205452</v>
      </c>
      <c r="O834" s="133" t="n">
        <v>10.6517177521328</v>
      </c>
      <c r="P834" s="132" t="n">
        <v>0.0187</v>
      </c>
      <c r="Q834" s="131" t="s">
        <v>130</v>
      </c>
      <c r="R834" s="130" t="n">
        <v>53266000</v>
      </c>
      <c r="S834" s="143" t="n">
        <v>0</v>
      </c>
      <c r="T834" s="134" t="n">
        <v>45604.4216844907</v>
      </c>
    </row>
    <row r="835" customFormat="false" ht="39.75" hidden="false" customHeight="true" outlineLevel="0" collapsed="false">
      <c r="B835" s="130" t="n">
        <v>16537560</v>
      </c>
      <c r="C835" s="131" t="s">
        <v>559</v>
      </c>
      <c r="D835" s="131" t="s">
        <v>129</v>
      </c>
      <c r="E835" s="130" t="n">
        <v>2255900</v>
      </c>
      <c r="F835" s="131" t="s">
        <v>29</v>
      </c>
      <c r="G835" s="130" t="n">
        <v>2000000</v>
      </c>
      <c r="H835" s="131" t="n">
        <v>594</v>
      </c>
      <c r="I835" s="132" t="n">
        <v>0.32</v>
      </c>
      <c r="J835" s="132" t="n">
        <v>0.37</v>
      </c>
      <c r="K835" s="130" t="n">
        <v>2.12722815727648</v>
      </c>
      <c r="L835" s="132" t="n">
        <v>0.37</v>
      </c>
      <c r="M835" s="131" t="s">
        <v>64</v>
      </c>
      <c r="N835" s="133" t="n">
        <v>1.23431579413981</v>
      </c>
      <c r="O835" s="133" t="n">
        <v>2.12722815727648</v>
      </c>
      <c r="P835" s="132" t="n">
        <v>0.0187</v>
      </c>
      <c r="Q835" s="131" t="s">
        <v>130</v>
      </c>
      <c r="R835" s="130" t="n">
        <v>2522700</v>
      </c>
      <c r="S835" s="143" t="n">
        <v>0</v>
      </c>
      <c r="T835" s="134" t="n">
        <v>45604.4235265046</v>
      </c>
    </row>
    <row r="836" customFormat="false" ht="39.75" hidden="false" customHeight="true" outlineLevel="0" collapsed="false">
      <c r="B836" s="130" t="n">
        <v>1113673170</v>
      </c>
      <c r="C836" s="131" t="s">
        <v>148</v>
      </c>
      <c r="D836" s="131" t="s">
        <v>135</v>
      </c>
      <c r="E836" s="130" t="n">
        <v>2600900</v>
      </c>
      <c r="F836" s="131" t="s">
        <v>29</v>
      </c>
      <c r="G836" s="130" t="n">
        <v>2000000</v>
      </c>
      <c r="H836" s="131" t="n">
        <v>744</v>
      </c>
      <c r="I836" s="132" t="n">
        <v>0.23</v>
      </c>
      <c r="J836" s="132" t="n">
        <v>0.22</v>
      </c>
      <c r="K836" s="130" t="n">
        <v>5.1278680456765</v>
      </c>
      <c r="L836" s="132" t="n">
        <v>0.22</v>
      </c>
      <c r="M836" s="131" t="s">
        <v>64</v>
      </c>
      <c r="N836" s="133" t="n">
        <v>1.21155215502326</v>
      </c>
      <c r="O836" s="133" t="n">
        <v>5.1278680456765</v>
      </c>
      <c r="P836" s="132" t="n">
        <v>0.0187</v>
      </c>
      <c r="Q836" s="131" t="s">
        <v>130</v>
      </c>
      <c r="R836" s="130" t="n">
        <v>9595000</v>
      </c>
      <c r="S836" s="143" t="n">
        <v>0</v>
      </c>
      <c r="T836" s="134" t="n">
        <v>45604.4627082176</v>
      </c>
    </row>
    <row r="837" customFormat="false" ht="39.75" hidden="false" customHeight="true" outlineLevel="0" collapsed="false">
      <c r="B837" s="130" t="n">
        <v>1085661638</v>
      </c>
      <c r="C837" s="131" t="s">
        <v>496</v>
      </c>
      <c r="D837" s="131" t="s">
        <v>135</v>
      </c>
      <c r="E837" s="130" t="n">
        <v>5418800</v>
      </c>
      <c r="F837" s="131" t="s">
        <v>29</v>
      </c>
      <c r="G837" s="130" t="n">
        <v>900000</v>
      </c>
      <c r="H837" s="131" t="n">
        <v>874</v>
      </c>
      <c r="I837" s="132" t="n">
        <v>0.43</v>
      </c>
      <c r="J837" s="132" t="n">
        <v>0.45</v>
      </c>
      <c r="K837" s="130" t="n">
        <v>3.47713958810069</v>
      </c>
      <c r="L837" s="132" t="n">
        <v>0.45</v>
      </c>
      <c r="M837" s="131" t="s">
        <v>61</v>
      </c>
      <c r="N837" s="133" t="n">
        <v>1.30096017568465</v>
      </c>
      <c r="O837" s="133" t="n">
        <v>3.47713958810069</v>
      </c>
      <c r="P837" s="132" t="n">
        <v>0.0187</v>
      </c>
      <c r="Q837" s="131" t="s">
        <v>130</v>
      </c>
      <c r="R837" s="130" t="n">
        <v>10325500</v>
      </c>
      <c r="S837" s="143" t="n">
        <v>0</v>
      </c>
      <c r="T837" s="134" t="n">
        <v>45604.4758861111</v>
      </c>
    </row>
    <row r="838" customFormat="false" ht="39.75" hidden="false" customHeight="true" outlineLevel="0" collapsed="false">
      <c r="B838" s="130" t="n">
        <v>1144129364</v>
      </c>
      <c r="C838" s="131" t="s">
        <v>837</v>
      </c>
      <c r="D838" s="131" t="s">
        <v>129</v>
      </c>
      <c r="E838" s="130" t="n">
        <v>2893800</v>
      </c>
      <c r="F838" s="131" t="s">
        <v>14</v>
      </c>
      <c r="G838" s="130" t="n">
        <v>4500000</v>
      </c>
      <c r="H838" s="131" t="n">
        <v>741</v>
      </c>
      <c r="I838" s="132" t="n">
        <v>0.04</v>
      </c>
      <c r="J838" s="132" t="n">
        <v>0.13</v>
      </c>
      <c r="K838" s="130" t="n">
        <v>0</v>
      </c>
      <c r="L838" s="132" t="n">
        <v>0.13</v>
      </c>
      <c r="M838" s="131" t="s">
        <v>64</v>
      </c>
      <c r="N838" s="133" t="n">
        <v>0.615357315640335</v>
      </c>
      <c r="O838" s="133" t="n">
        <v>0</v>
      </c>
      <c r="P838" s="132" t="n">
        <v>0.0187</v>
      </c>
      <c r="Q838" s="131" t="s">
        <v>130</v>
      </c>
      <c r="R838" s="130" t="n">
        <v>0</v>
      </c>
      <c r="S838" s="143" t="n">
        <v>0</v>
      </c>
      <c r="T838" s="134" t="n">
        <v>45609.4186108796</v>
      </c>
    </row>
    <row r="839" customFormat="false" ht="39.75" hidden="false" customHeight="true" outlineLevel="0" collapsed="false">
      <c r="B839" s="130" t="n">
        <v>1143863088</v>
      </c>
      <c r="C839" s="131" t="s">
        <v>560</v>
      </c>
      <c r="D839" s="131" t="s">
        <v>135</v>
      </c>
      <c r="E839" s="130" t="n">
        <v>5418800</v>
      </c>
      <c r="F839" s="131" t="s">
        <v>14</v>
      </c>
      <c r="G839" s="130" t="n">
        <v>10300000</v>
      </c>
      <c r="H839" s="131" t="n">
        <v>666</v>
      </c>
      <c r="I839" s="132" t="n">
        <v>0.17</v>
      </c>
      <c r="J839" s="132" t="n">
        <v>0.23</v>
      </c>
      <c r="K839" s="130" t="n">
        <v>14.4513231711818</v>
      </c>
      <c r="L839" s="132" t="n">
        <v>0.23</v>
      </c>
      <c r="M839" s="131" t="s">
        <v>64</v>
      </c>
      <c r="N839" s="133" t="n">
        <v>1.05271720676164</v>
      </c>
      <c r="O839" s="133" t="n">
        <v>14.4513231711818</v>
      </c>
      <c r="P839" s="132" t="n">
        <v>0.0187</v>
      </c>
      <c r="Q839" s="131" t="s">
        <v>130</v>
      </c>
      <c r="R839" s="130" t="n">
        <v>74502000</v>
      </c>
      <c r="S839" s="143" t="n">
        <v>0</v>
      </c>
      <c r="T839" s="134" t="n">
        <v>45609.4212739583</v>
      </c>
    </row>
    <row r="840" customFormat="false" ht="39.75" hidden="false" customHeight="true" outlineLevel="0" collapsed="false">
      <c r="B840" s="130" t="n">
        <v>1130651554</v>
      </c>
      <c r="C840" s="131" t="s">
        <v>838</v>
      </c>
      <c r="D840" s="131" t="s">
        <v>129</v>
      </c>
      <c r="E840" s="130" t="n">
        <v>2600900</v>
      </c>
      <c r="F840" s="131" t="s">
        <v>14</v>
      </c>
      <c r="G840" s="130" t="n">
        <v>4500000</v>
      </c>
      <c r="H840" s="131" t="n">
        <v>731</v>
      </c>
      <c r="I840" s="132" t="n">
        <v>0.23</v>
      </c>
      <c r="J840" s="132" t="n">
        <v>0.33</v>
      </c>
      <c r="K840" s="130" t="n">
        <v>0.0176861855511554</v>
      </c>
      <c r="L840" s="132" t="n">
        <v>0.33</v>
      </c>
      <c r="M840" s="131" t="s">
        <v>64</v>
      </c>
      <c r="N840" s="133" t="n">
        <v>0.983771002345342</v>
      </c>
      <c r="O840" s="133" t="n">
        <v>0.0176861855511554</v>
      </c>
      <c r="P840" s="132" t="n">
        <v>0.0187</v>
      </c>
      <c r="Q840" s="131" t="s">
        <v>130</v>
      </c>
      <c r="R840" s="130" t="n">
        <v>46000</v>
      </c>
      <c r="S840" s="143" t="n">
        <v>0</v>
      </c>
      <c r="T840" s="134" t="n">
        <v>45609.4295819444</v>
      </c>
    </row>
    <row r="841" customFormat="false" ht="39.75" hidden="false" customHeight="true" outlineLevel="0" collapsed="false">
      <c r="B841" s="130" t="n">
        <v>38557612</v>
      </c>
      <c r="C841" s="131" t="s">
        <v>441</v>
      </c>
      <c r="D841" s="131" t="s">
        <v>135</v>
      </c>
      <c r="E841" s="130" t="n">
        <v>5679200</v>
      </c>
      <c r="F841" s="131" t="s">
        <v>14</v>
      </c>
      <c r="G841" s="130" t="n">
        <v>6000000</v>
      </c>
      <c r="H841" s="131" t="n">
        <v>687</v>
      </c>
      <c r="I841" s="132" t="n">
        <v>0.36</v>
      </c>
      <c r="J841" s="132" t="n">
        <v>0.4</v>
      </c>
      <c r="K841" s="130" t="n">
        <v>9.59851141005776</v>
      </c>
      <c r="L841" s="132" t="n">
        <v>0.4</v>
      </c>
      <c r="M841" s="131" t="s">
        <v>62</v>
      </c>
      <c r="N841" s="133" t="n">
        <v>1.03067403859699</v>
      </c>
      <c r="O841" s="133" t="n">
        <v>9.59851141005776</v>
      </c>
      <c r="P841" s="132" t="n">
        <v>0.0187</v>
      </c>
      <c r="Q841" s="131" t="s">
        <v>130</v>
      </c>
      <c r="R841" s="130" t="n">
        <v>42537000</v>
      </c>
      <c r="S841" s="143" t="n">
        <v>0</v>
      </c>
      <c r="T841" s="134" t="n">
        <v>45609.4335888889</v>
      </c>
    </row>
    <row r="842" customFormat="false" ht="39.75" hidden="false" customHeight="true" outlineLevel="0" collapsed="false">
      <c r="B842" s="130" t="n">
        <v>66851685</v>
      </c>
      <c r="C842" s="131" t="s">
        <v>184</v>
      </c>
      <c r="D842" s="131" t="s">
        <v>839</v>
      </c>
      <c r="E842" s="130" t="n">
        <v>1590000</v>
      </c>
      <c r="F842" s="131" t="s">
        <v>22</v>
      </c>
      <c r="G842" s="130" t="n">
        <v>7000000</v>
      </c>
      <c r="H842" s="131" t="n">
        <v>747</v>
      </c>
      <c r="I842" s="132" t="n">
        <v>0.29</v>
      </c>
      <c r="J842" s="132" t="n">
        <v>0.52</v>
      </c>
      <c r="K842" s="130" t="n">
        <v>2.07443333333333</v>
      </c>
      <c r="L842" s="132" t="n">
        <v>0.52</v>
      </c>
      <c r="M842" s="131" t="s">
        <v>62</v>
      </c>
      <c r="N842" s="133" t="n">
        <v>0.945553459119497</v>
      </c>
      <c r="O842" s="133" t="n">
        <v>2.07443333333333</v>
      </c>
      <c r="P842" s="132" t="n">
        <v>0.0107</v>
      </c>
      <c r="Q842" s="131" t="s">
        <v>130</v>
      </c>
      <c r="R842" s="130" t="n">
        <v>0</v>
      </c>
      <c r="S842" s="143" t="n">
        <v>0</v>
      </c>
      <c r="T842" s="134" t="n">
        <v>45609.4520649306</v>
      </c>
    </row>
    <row r="843" customFormat="false" ht="39.75" hidden="false" customHeight="true" outlineLevel="0" collapsed="false">
      <c r="B843" s="130" t="n">
        <v>1113512751</v>
      </c>
      <c r="C843" s="131" t="s">
        <v>840</v>
      </c>
      <c r="D843" s="131" t="s">
        <v>135</v>
      </c>
      <c r="E843" s="130" t="n">
        <v>2893800</v>
      </c>
      <c r="F843" s="131" t="s">
        <v>29</v>
      </c>
      <c r="G843" s="130" t="n">
        <v>2000000</v>
      </c>
      <c r="H843" s="131" t="n">
        <v>830</v>
      </c>
      <c r="I843" s="132" t="n">
        <v>0.33</v>
      </c>
      <c r="J843" s="132" t="n">
        <v>0.33</v>
      </c>
      <c r="K843" s="130" t="n">
        <v>9.10069666182874</v>
      </c>
      <c r="L843" s="132" t="n">
        <v>0.33</v>
      </c>
      <c r="M843" s="131" t="s">
        <v>62</v>
      </c>
      <c r="N843" s="133" t="n">
        <v>0.885622710622711</v>
      </c>
      <c r="O843" s="133" t="n">
        <v>9.10069666182874</v>
      </c>
      <c r="P843" s="132" t="n">
        <v>0.0187</v>
      </c>
      <c r="Q843" s="131" t="s">
        <v>130</v>
      </c>
      <c r="R843" s="130" t="n">
        <v>24599000</v>
      </c>
      <c r="S843" s="143" t="n">
        <v>0</v>
      </c>
      <c r="T843" s="134" t="n">
        <v>45609.6779159722</v>
      </c>
    </row>
    <row r="844" customFormat="false" ht="39.75" hidden="false" customHeight="true" outlineLevel="0" collapsed="false">
      <c r="B844" s="130" t="n">
        <v>66783733</v>
      </c>
      <c r="C844" s="131" t="s">
        <v>495</v>
      </c>
      <c r="D844" s="131" t="s">
        <v>135</v>
      </c>
      <c r="E844" s="130" t="n">
        <v>2893800</v>
      </c>
      <c r="F844" s="131" t="s">
        <v>29</v>
      </c>
      <c r="G844" s="130" t="n">
        <v>3900000</v>
      </c>
      <c r="H844" s="131" t="n">
        <v>747</v>
      </c>
      <c r="I844" s="132" t="n">
        <v>0.43</v>
      </c>
      <c r="J844" s="132" t="n">
        <v>0.42</v>
      </c>
      <c r="K844" s="130" t="n">
        <v>5.1510823139125</v>
      </c>
      <c r="L844" s="132" t="n">
        <v>0.42</v>
      </c>
      <c r="M844" s="131" t="s">
        <v>62</v>
      </c>
      <c r="N844" s="133" t="n">
        <v>0.978361324210381</v>
      </c>
      <c r="O844" s="133" t="n">
        <v>5.1510823139125</v>
      </c>
      <c r="P844" s="132" t="n">
        <v>0.0187</v>
      </c>
      <c r="Q844" s="131" t="s">
        <v>130</v>
      </c>
      <c r="R844" s="130" t="n">
        <v>0</v>
      </c>
      <c r="S844" s="143" t="n">
        <v>0</v>
      </c>
      <c r="T844" s="134" t="n">
        <v>45609.6789559028</v>
      </c>
    </row>
    <row r="845" customFormat="false" ht="39.75" hidden="false" customHeight="true" outlineLevel="0" collapsed="false">
      <c r="B845" s="130" t="n">
        <v>1113308071</v>
      </c>
      <c r="C845" s="131" t="s">
        <v>154</v>
      </c>
      <c r="D845" s="131" t="s">
        <v>135</v>
      </c>
      <c r="E845" s="130" t="n">
        <v>2893800</v>
      </c>
      <c r="F845" s="131" t="s">
        <v>29</v>
      </c>
      <c r="G845" s="130" t="n">
        <v>1700000</v>
      </c>
      <c r="H845" s="131" t="n">
        <v>657</v>
      </c>
      <c r="I845" s="132" t="n">
        <v>0.42</v>
      </c>
      <c r="J845" s="132" t="n">
        <v>0.41</v>
      </c>
      <c r="K845" s="130" t="n">
        <v>19.8583063791554</v>
      </c>
      <c r="L845" s="132" t="n">
        <v>0.41</v>
      </c>
      <c r="M845" s="131" t="s">
        <v>62</v>
      </c>
      <c r="N845" s="133" t="n">
        <v>4.07953106641786</v>
      </c>
      <c r="O845" s="133" t="n">
        <v>19.8583063791554</v>
      </c>
      <c r="P845" s="132" t="n">
        <v>0.0187</v>
      </c>
      <c r="Q845" s="131" t="s">
        <v>130</v>
      </c>
      <c r="R845" s="130" t="n">
        <v>46603000</v>
      </c>
      <c r="S845" s="143" t="n">
        <v>0</v>
      </c>
      <c r="T845" s="134" t="n">
        <v>45610.5689675926</v>
      </c>
    </row>
    <row r="846" customFormat="false" ht="39.75" hidden="false" customHeight="true" outlineLevel="0" collapsed="false">
      <c r="B846" s="130" t="n">
        <v>1107523319</v>
      </c>
      <c r="C846" s="131" t="s">
        <v>406</v>
      </c>
      <c r="D846" s="131" t="s">
        <v>135</v>
      </c>
      <c r="E846" s="130" t="n">
        <v>2600900</v>
      </c>
      <c r="F846" s="131" t="s">
        <v>29</v>
      </c>
      <c r="G846" s="130" t="n">
        <v>1000000</v>
      </c>
      <c r="H846" s="131" t="n">
        <v>621</v>
      </c>
      <c r="I846" s="132" t="n">
        <v>0.27</v>
      </c>
      <c r="J846" s="132" t="n">
        <v>0.29</v>
      </c>
      <c r="K846" s="130" t="n">
        <v>1.54574070514053</v>
      </c>
      <c r="L846" s="132" t="n">
        <v>0.29</v>
      </c>
      <c r="M846" s="131" t="s">
        <v>64</v>
      </c>
      <c r="N846" s="133" t="n">
        <v>3.15771771309931</v>
      </c>
      <c r="O846" s="133" t="n">
        <v>1.54574070514053</v>
      </c>
      <c r="P846" s="132" t="n">
        <v>0.0187</v>
      </c>
      <c r="Q846" s="131" t="s">
        <v>130</v>
      </c>
      <c r="R846" s="130" t="n">
        <v>0</v>
      </c>
      <c r="S846" s="143" t="n">
        <v>0</v>
      </c>
      <c r="T846" s="134" t="n">
        <v>45610.603175463</v>
      </c>
    </row>
    <row r="847" customFormat="false" ht="39.75" hidden="false" customHeight="true" outlineLevel="0" collapsed="false">
      <c r="B847" s="130" t="n">
        <v>31323722</v>
      </c>
      <c r="C847" s="131" t="s">
        <v>841</v>
      </c>
      <c r="D847" s="131" t="s">
        <v>135</v>
      </c>
      <c r="E847" s="130" t="n">
        <v>2600900</v>
      </c>
      <c r="F847" s="131" t="s">
        <v>29</v>
      </c>
      <c r="G847" s="130" t="n">
        <v>1500000</v>
      </c>
      <c r="H847" s="131" t="n">
        <v>764</v>
      </c>
      <c r="I847" s="132" t="n">
        <v>0.43</v>
      </c>
      <c r="J847" s="132" t="n">
        <v>0.47</v>
      </c>
      <c r="K847" s="130" t="n">
        <v>16.6930677842285</v>
      </c>
      <c r="L847" s="132" t="n">
        <v>0.47</v>
      </c>
      <c r="M847" s="131" t="s">
        <v>64</v>
      </c>
      <c r="N847" s="133" t="n">
        <v>0.978265215886808</v>
      </c>
      <c r="O847" s="133" t="n">
        <v>16.6930677842285</v>
      </c>
      <c r="P847" s="132" t="n">
        <v>0.0187</v>
      </c>
      <c r="Q847" s="131" t="s">
        <v>130</v>
      </c>
      <c r="R847" s="130" t="n">
        <v>43417000</v>
      </c>
      <c r="S847" s="143" t="n">
        <v>0</v>
      </c>
      <c r="T847" s="134" t="n">
        <v>45611.4650112269</v>
      </c>
    </row>
    <row r="848" customFormat="false" ht="39.75" hidden="false" customHeight="true" outlineLevel="0" collapsed="false">
      <c r="B848" s="130" t="n">
        <v>1061773444</v>
      </c>
      <c r="C848" s="131" t="s">
        <v>712</v>
      </c>
      <c r="D848" s="131" t="s">
        <v>129</v>
      </c>
      <c r="E848" s="130" t="n">
        <v>5418800</v>
      </c>
      <c r="F848" s="131" t="s">
        <v>29</v>
      </c>
      <c r="G848" s="130" t="n">
        <v>4000000</v>
      </c>
      <c r="H848" s="131" t="n">
        <v>668</v>
      </c>
      <c r="I848" s="132" t="n">
        <v>0.19</v>
      </c>
      <c r="J848" s="132" t="n">
        <v>0.24</v>
      </c>
      <c r="K848" s="130" t="n">
        <v>2.67801579685539</v>
      </c>
      <c r="L848" s="132" t="n">
        <v>0.24</v>
      </c>
      <c r="M848" s="131" t="s">
        <v>64</v>
      </c>
      <c r="N848" s="133" t="n">
        <v>1.08171864619473</v>
      </c>
      <c r="O848" s="133" t="n">
        <v>2.67801579685539</v>
      </c>
      <c r="P848" s="132" t="n">
        <v>0.0187</v>
      </c>
      <c r="Q848" s="131" t="s">
        <v>130</v>
      </c>
      <c r="R848" s="130" t="n">
        <v>9385000</v>
      </c>
      <c r="S848" s="143" t="n">
        <v>0</v>
      </c>
      <c r="T848" s="134" t="n">
        <v>45611.4734052083</v>
      </c>
    </row>
    <row r="849" customFormat="false" ht="39.75" hidden="false" customHeight="true" outlineLevel="0" collapsed="false">
      <c r="B849" s="130" t="n">
        <v>1143840738</v>
      </c>
      <c r="C849" s="131" t="s">
        <v>842</v>
      </c>
      <c r="D849" s="131" t="s">
        <v>135</v>
      </c>
      <c r="E849" s="130" t="n">
        <v>2600900</v>
      </c>
      <c r="F849" s="131" t="s">
        <v>29</v>
      </c>
      <c r="G849" s="130" t="n">
        <v>1000000</v>
      </c>
      <c r="H849" s="131" t="n">
        <v>747</v>
      </c>
      <c r="I849" s="132" t="n">
        <v>0.31</v>
      </c>
      <c r="J849" s="132" t="n">
        <v>0.35</v>
      </c>
      <c r="K849" s="130" t="n">
        <v>5.94438117574686</v>
      </c>
      <c r="L849" s="132" t="n">
        <v>0.35</v>
      </c>
      <c r="M849" s="131" t="s">
        <v>62</v>
      </c>
      <c r="N849" s="133" t="n">
        <v>0.915084009381368</v>
      </c>
      <c r="O849" s="133" t="n">
        <v>5.94438117574686</v>
      </c>
      <c r="P849" s="132" t="n">
        <v>0.0187</v>
      </c>
      <c r="Q849" s="131" t="s">
        <v>130</v>
      </c>
      <c r="R849" s="130" t="n">
        <v>8945000</v>
      </c>
      <c r="S849" s="143" t="n">
        <v>0</v>
      </c>
      <c r="T849" s="134" t="n">
        <v>45611.482091088</v>
      </c>
    </row>
    <row r="850" customFormat="false" ht="39.75" hidden="false" customHeight="true" outlineLevel="0" collapsed="false">
      <c r="B850" s="130" t="n">
        <v>31309273</v>
      </c>
      <c r="C850" s="131" t="s">
        <v>461</v>
      </c>
      <c r="D850" s="131" t="s">
        <v>135</v>
      </c>
      <c r="E850" s="130" t="n">
        <v>5291000</v>
      </c>
      <c r="F850" s="131" t="s">
        <v>16</v>
      </c>
      <c r="G850" s="130" t="n">
        <v>6240000</v>
      </c>
      <c r="H850" s="131" t="n">
        <v>818</v>
      </c>
      <c r="I850" s="132" t="n">
        <v>0.26</v>
      </c>
      <c r="J850" s="132" t="n">
        <v>0.26</v>
      </c>
      <c r="K850" s="130" t="n">
        <v>6.05722736722737</v>
      </c>
      <c r="L850" s="132" t="n">
        <v>0.26</v>
      </c>
      <c r="M850" s="131" t="s">
        <v>62</v>
      </c>
      <c r="N850" s="133" t="n">
        <v>0.731008694008694</v>
      </c>
      <c r="O850" s="133" t="n">
        <v>6.05722736722737</v>
      </c>
      <c r="P850" s="132" t="n">
        <v>0.0187</v>
      </c>
      <c r="Q850" s="131" t="s">
        <v>130</v>
      </c>
      <c r="R850" s="130" t="n">
        <v>30346000</v>
      </c>
      <c r="S850" s="143" t="n">
        <v>0</v>
      </c>
      <c r="T850" s="134" t="n">
        <v>45616.3697288194</v>
      </c>
    </row>
    <row r="851" customFormat="false" ht="39.75" hidden="false" customHeight="true" outlineLevel="0" collapsed="false">
      <c r="B851" s="130" t="n">
        <v>66974150</v>
      </c>
      <c r="C851" s="131" t="s">
        <v>843</v>
      </c>
      <c r="D851" s="131" t="s">
        <v>135</v>
      </c>
      <c r="E851" s="130" t="n">
        <v>2893800</v>
      </c>
      <c r="F851" s="131" t="s">
        <v>8</v>
      </c>
      <c r="G851" s="130" t="n">
        <v>5230774</v>
      </c>
      <c r="H851" s="131" t="n">
        <v>910</v>
      </c>
      <c r="I851" s="132" t="n">
        <v>0.23</v>
      </c>
      <c r="J851" s="132" t="n">
        <v>0.3</v>
      </c>
      <c r="K851" s="130" t="n">
        <v>1.83668532725137</v>
      </c>
      <c r="L851" s="132" t="n">
        <v>0.3</v>
      </c>
      <c r="M851" s="131" t="s">
        <v>62</v>
      </c>
      <c r="N851" s="133" t="n">
        <v>0.789179625406041</v>
      </c>
      <c r="O851" s="133" t="n">
        <v>1.83668532725137</v>
      </c>
      <c r="P851" s="132" t="n">
        <v>0.0145</v>
      </c>
      <c r="Q851" s="131" t="s">
        <v>130</v>
      </c>
      <c r="R851" s="130" t="n">
        <v>5315000</v>
      </c>
      <c r="S851" s="143" t="n">
        <v>0</v>
      </c>
      <c r="T851" s="134" t="n">
        <v>45616.372272338</v>
      </c>
    </row>
    <row r="852" customFormat="false" ht="39.75" hidden="false" customHeight="true" outlineLevel="0" collapsed="false">
      <c r="B852" s="130" t="n">
        <v>31929082</v>
      </c>
      <c r="C852" s="131" t="s">
        <v>844</v>
      </c>
      <c r="D852" s="131" t="s">
        <v>135</v>
      </c>
      <c r="E852" s="130" t="n">
        <v>3400000</v>
      </c>
      <c r="F852" s="131" t="s">
        <v>14</v>
      </c>
      <c r="G852" s="130" t="n">
        <v>6500000</v>
      </c>
      <c r="H852" s="131" t="n">
        <v>827</v>
      </c>
      <c r="I852" s="132" t="n">
        <v>0.04</v>
      </c>
      <c r="J852" s="132" t="n">
        <v>0.1</v>
      </c>
      <c r="K852" s="130" t="n">
        <v>6.11235294117647</v>
      </c>
      <c r="L852" s="132" t="n">
        <v>0.1</v>
      </c>
      <c r="M852" s="131" t="s">
        <v>62</v>
      </c>
      <c r="N852" s="133" t="n">
        <v>1.00391676470588</v>
      </c>
      <c r="O852" s="133" t="n">
        <v>6.11235294117647</v>
      </c>
      <c r="P852" s="132" t="n">
        <v>0.0187</v>
      </c>
      <c r="Q852" s="131" t="s">
        <v>130</v>
      </c>
      <c r="R852" s="130" t="n">
        <v>20782000</v>
      </c>
      <c r="S852" s="143" t="n">
        <v>0</v>
      </c>
      <c r="T852" s="134" t="n">
        <v>45616.3818424769</v>
      </c>
    </row>
    <row r="853" customFormat="false" ht="39.75" hidden="false" customHeight="true" outlineLevel="0" collapsed="false">
      <c r="B853" s="130" t="n">
        <v>43400374</v>
      </c>
      <c r="C853" s="131" t="s">
        <v>347</v>
      </c>
      <c r="D853" s="131" t="s">
        <v>135</v>
      </c>
      <c r="E853" s="130" t="n">
        <v>5418800</v>
      </c>
      <c r="F853" s="131" t="s">
        <v>14</v>
      </c>
      <c r="G853" s="130" t="n">
        <v>5600000</v>
      </c>
      <c r="H853" s="131" t="n">
        <v>782</v>
      </c>
      <c r="I853" s="132" t="n">
        <v>0.35</v>
      </c>
      <c r="J853" s="132" t="n">
        <v>0.39</v>
      </c>
      <c r="K853" s="130" t="n">
        <v>16.96519524618</v>
      </c>
      <c r="L853" s="132" t="n">
        <v>0.39</v>
      </c>
      <c r="M853" s="131" t="s">
        <v>64</v>
      </c>
      <c r="N853" s="133" t="n">
        <v>1.12922381339042</v>
      </c>
      <c r="O853" s="133" t="n">
        <v>16.96519524618</v>
      </c>
      <c r="P853" s="132" t="n">
        <v>0.0187</v>
      </c>
      <c r="Q853" s="131" t="s">
        <v>130</v>
      </c>
      <c r="R853" s="130" t="n">
        <v>91931000</v>
      </c>
      <c r="S853" s="143" t="n">
        <v>0</v>
      </c>
      <c r="T853" s="134" t="n">
        <v>45616.3854790509</v>
      </c>
    </row>
    <row r="854" customFormat="false" ht="39.75" hidden="false" customHeight="true" outlineLevel="0" collapsed="false">
      <c r="B854" s="130" t="n">
        <v>94516656</v>
      </c>
      <c r="C854" s="131" t="s">
        <v>380</v>
      </c>
      <c r="D854" s="131" t="s">
        <v>135</v>
      </c>
      <c r="E854" s="130" t="n">
        <v>5679200</v>
      </c>
      <c r="F854" s="131" t="s">
        <v>14</v>
      </c>
      <c r="G854" s="130" t="n">
        <v>7100000</v>
      </c>
      <c r="H854" s="131" t="n">
        <v>724</v>
      </c>
      <c r="I854" s="132" t="n">
        <v>0.37</v>
      </c>
      <c r="J854" s="132" t="n">
        <v>0.34</v>
      </c>
      <c r="K854" s="130" t="n">
        <v>8.80331402310185</v>
      </c>
      <c r="L854" s="132" t="n">
        <v>0.34</v>
      </c>
      <c r="M854" s="131" t="s">
        <v>62</v>
      </c>
      <c r="N854" s="133" t="n">
        <v>0.914895407803916</v>
      </c>
      <c r="O854" s="133" t="n">
        <v>8.80331402310185</v>
      </c>
      <c r="P854" s="132" t="n">
        <v>0.0187</v>
      </c>
      <c r="Q854" s="131" t="s">
        <v>130</v>
      </c>
      <c r="R854" s="130" t="n">
        <v>45594000</v>
      </c>
      <c r="S854" s="143" t="n">
        <v>0</v>
      </c>
      <c r="T854" s="134" t="n">
        <v>45616.3913078704</v>
      </c>
    </row>
    <row r="855" customFormat="false" ht="39.75" hidden="false" customHeight="true" outlineLevel="0" collapsed="false">
      <c r="B855" s="130" t="n">
        <v>48657507</v>
      </c>
      <c r="C855" s="131" t="s">
        <v>845</v>
      </c>
      <c r="D855" s="131" t="s">
        <v>135</v>
      </c>
      <c r="E855" s="130" t="n">
        <v>2893800</v>
      </c>
      <c r="F855" s="131" t="s">
        <v>11</v>
      </c>
      <c r="G855" s="130" t="n">
        <v>7000000</v>
      </c>
      <c r="H855" s="131" t="n">
        <v>854</v>
      </c>
      <c r="I855" s="132" t="n">
        <v>0.09</v>
      </c>
      <c r="J855" s="132" t="n">
        <v>0.15</v>
      </c>
      <c r="K855" s="130" t="n">
        <v>4.73322275209068</v>
      </c>
      <c r="L855" s="132" t="n">
        <v>0.15</v>
      </c>
      <c r="M855" s="131" t="s">
        <v>61</v>
      </c>
      <c r="N855" s="133" t="n">
        <v>0.813610477572742</v>
      </c>
      <c r="O855" s="133" t="n">
        <v>4.73322275209068</v>
      </c>
      <c r="P855" s="132" t="n">
        <v>0.0147</v>
      </c>
      <c r="Q855" s="131" t="s">
        <v>130</v>
      </c>
      <c r="R855" s="130" t="n">
        <v>13697000</v>
      </c>
      <c r="S855" s="143" t="n">
        <v>0</v>
      </c>
      <c r="T855" s="134" t="n">
        <v>45616.3932342593</v>
      </c>
    </row>
    <row r="856" customFormat="false" ht="39.75" hidden="false" customHeight="true" outlineLevel="0" collapsed="false">
      <c r="B856" s="130" t="n">
        <v>48657507</v>
      </c>
      <c r="C856" s="131" t="s">
        <v>845</v>
      </c>
      <c r="D856" s="131" t="s">
        <v>135</v>
      </c>
      <c r="E856" s="130" t="n">
        <v>2893800</v>
      </c>
      <c r="F856" s="131" t="s">
        <v>11</v>
      </c>
      <c r="G856" s="130" t="n">
        <v>7000000</v>
      </c>
      <c r="H856" s="131" t="n">
        <v>854</v>
      </c>
      <c r="I856" s="132" t="n">
        <v>0.09</v>
      </c>
      <c r="J856" s="132" t="n">
        <v>0.15</v>
      </c>
      <c r="K856" s="130" t="n">
        <v>4.73322275209068</v>
      </c>
      <c r="L856" s="132" t="n">
        <v>0.15</v>
      </c>
      <c r="M856" s="131" t="s">
        <v>61</v>
      </c>
      <c r="N856" s="133" t="n">
        <v>0.813610477572742</v>
      </c>
      <c r="O856" s="133" t="n">
        <v>4.73322275209068</v>
      </c>
      <c r="P856" s="132" t="n">
        <v>0.0147</v>
      </c>
      <c r="Q856" s="131" t="s">
        <v>130</v>
      </c>
      <c r="R856" s="130" t="n">
        <v>13697000</v>
      </c>
      <c r="S856" s="143" t="n">
        <v>0</v>
      </c>
      <c r="T856" s="134" t="n">
        <v>45616.3934209491</v>
      </c>
    </row>
    <row r="857" customFormat="false" ht="39.75" hidden="false" customHeight="true" outlineLevel="0" collapsed="false">
      <c r="B857" s="130" t="n">
        <v>38888433</v>
      </c>
      <c r="C857" s="131" t="s">
        <v>846</v>
      </c>
      <c r="D857" s="131" t="s">
        <v>135</v>
      </c>
      <c r="E857" s="130" t="n">
        <v>6130300</v>
      </c>
      <c r="F857" s="131" t="s">
        <v>14</v>
      </c>
      <c r="G857" s="130" t="n">
        <v>10000000</v>
      </c>
      <c r="H857" s="131" t="n">
        <v>693</v>
      </c>
      <c r="I857" s="132" t="n">
        <v>0.38</v>
      </c>
      <c r="J857" s="132" t="n">
        <v>0.43</v>
      </c>
      <c r="K857" s="130" t="n">
        <v>6.93496419424824</v>
      </c>
      <c r="L857" s="132" t="n">
        <v>0.43</v>
      </c>
      <c r="M857" s="131" t="s">
        <v>64</v>
      </c>
      <c r="N857" s="133" t="n">
        <v>0.888138427156909</v>
      </c>
      <c r="O857" s="133" t="n">
        <v>6.93496419424824</v>
      </c>
      <c r="P857" s="132" t="n">
        <v>0.0147</v>
      </c>
      <c r="Q857" s="131" t="s">
        <v>130</v>
      </c>
      <c r="R857" s="130" t="n">
        <v>38328000</v>
      </c>
      <c r="S857" s="143" t="n">
        <v>0</v>
      </c>
      <c r="T857" s="134" t="n">
        <v>45616.397637037</v>
      </c>
    </row>
    <row r="858" customFormat="false" ht="39.75" hidden="false" customHeight="true" outlineLevel="0" collapsed="false">
      <c r="B858" s="130" t="n">
        <v>1130632963</v>
      </c>
      <c r="C858" s="131" t="s">
        <v>312</v>
      </c>
      <c r="D858" s="131" t="s">
        <v>129</v>
      </c>
      <c r="E858" s="130" t="n">
        <v>2893800</v>
      </c>
      <c r="F858" s="131" t="s">
        <v>14</v>
      </c>
      <c r="G858" s="130" t="n">
        <v>4500000</v>
      </c>
      <c r="H858" s="131" t="n">
        <v>841</v>
      </c>
      <c r="I858" s="132" t="n">
        <v>0.34</v>
      </c>
      <c r="J858" s="132" t="n">
        <v>0.39</v>
      </c>
      <c r="K858" s="130" t="n">
        <v>16.4130910912986</v>
      </c>
      <c r="L858" s="132" t="n">
        <v>0.39</v>
      </c>
      <c r="M858" s="131" t="s">
        <v>62</v>
      </c>
      <c r="N858" s="133" t="n">
        <v>1.03472423802612</v>
      </c>
      <c r="O858" s="133" t="n">
        <v>16.4130910912986</v>
      </c>
      <c r="P858" s="132" t="n">
        <v>0.0187</v>
      </c>
      <c r="Q858" s="131" t="s">
        <v>130</v>
      </c>
      <c r="R858" s="130" t="n">
        <v>43483000</v>
      </c>
      <c r="S858" s="143" t="n">
        <v>0</v>
      </c>
      <c r="T858" s="134" t="n">
        <v>45616.4181270833</v>
      </c>
    </row>
    <row r="859" customFormat="false" ht="39.75" hidden="false" customHeight="true" outlineLevel="0" collapsed="false">
      <c r="B859" s="130" t="n">
        <v>67030084</v>
      </c>
      <c r="C859" s="131" t="s">
        <v>226</v>
      </c>
      <c r="D859" s="131" t="s">
        <v>135</v>
      </c>
      <c r="E859" s="130" t="n">
        <v>2600900</v>
      </c>
      <c r="F859" s="131" t="s">
        <v>14</v>
      </c>
      <c r="G859" s="130" t="n">
        <v>6100000</v>
      </c>
      <c r="H859" s="131" t="n">
        <v>621</v>
      </c>
      <c r="I859" s="132" t="n">
        <v>0.35</v>
      </c>
      <c r="J859" s="132" t="n">
        <v>0.39</v>
      </c>
      <c r="K859" s="130" t="n">
        <v>10.4722123111231</v>
      </c>
      <c r="L859" s="132" t="n">
        <v>0.39</v>
      </c>
      <c r="M859" s="131" t="s">
        <v>62</v>
      </c>
      <c r="N859" s="133" t="n">
        <v>2.18489215271637</v>
      </c>
      <c r="O859" s="133" t="n">
        <v>10.4722123111231</v>
      </c>
      <c r="P859" s="132" t="n">
        <v>0.0187</v>
      </c>
      <c r="Q859" s="131" t="s">
        <v>130</v>
      </c>
      <c r="R859" s="130" t="n">
        <v>23837000</v>
      </c>
      <c r="S859" s="143" t="n">
        <v>0</v>
      </c>
      <c r="T859" s="134" t="n">
        <v>45623.3972413194</v>
      </c>
    </row>
    <row r="860" customFormat="false" ht="39.75" hidden="false" customHeight="true" outlineLevel="0" collapsed="false">
      <c r="B860" s="130" t="n">
        <v>66717580</v>
      </c>
      <c r="C860" s="131" t="s">
        <v>325</v>
      </c>
      <c r="D860" s="131" t="s">
        <v>135</v>
      </c>
      <c r="E860" s="130" t="n">
        <v>2916600</v>
      </c>
      <c r="F860" s="131" t="s">
        <v>14</v>
      </c>
      <c r="G860" s="130" t="n">
        <v>4300000</v>
      </c>
      <c r="H860" s="131" t="n">
        <v>902</v>
      </c>
      <c r="I860" s="132" t="n">
        <v>0.41</v>
      </c>
      <c r="J860" s="132" t="n">
        <v>0.42</v>
      </c>
      <c r="K860" s="130" t="n">
        <v>9.28651272029075</v>
      </c>
      <c r="L860" s="132" t="n">
        <v>0.42</v>
      </c>
      <c r="M860" s="131" t="s">
        <v>61</v>
      </c>
      <c r="N860" s="133" t="n">
        <v>1.03901117739834</v>
      </c>
      <c r="O860" s="133" t="n">
        <v>9.28651272029075</v>
      </c>
      <c r="P860" s="132" t="n">
        <v>0.0187</v>
      </c>
      <c r="Q860" s="131" t="s">
        <v>130</v>
      </c>
      <c r="R860" s="130" t="n">
        <v>22707000</v>
      </c>
      <c r="S860" s="143" t="n">
        <v>0</v>
      </c>
      <c r="T860" s="134" t="n">
        <v>45623.4041085648</v>
      </c>
    </row>
    <row r="861" customFormat="false" ht="39.75" hidden="false" customHeight="true" outlineLevel="0" collapsed="false">
      <c r="B861" s="130" t="n">
        <v>52968326</v>
      </c>
      <c r="C861" s="131" t="s">
        <v>534</v>
      </c>
      <c r="D861" s="131" t="s">
        <v>135</v>
      </c>
      <c r="E861" s="130" t="n">
        <v>4870200</v>
      </c>
      <c r="F861" s="131" t="s">
        <v>19</v>
      </c>
      <c r="G861" s="130" t="n">
        <v>10100000</v>
      </c>
      <c r="H861" s="131" t="n">
        <v>702</v>
      </c>
      <c r="I861" s="132" t="n">
        <v>0.42</v>
      </c>
      <c r="J861" s="132" t="n">
        <v>0.52</v>
      </c>
      <c r="K861" s="130" t="n">
        <v>0</v>
      </c>
      <c r="L861" s="132" t="n">
        <v>0.52</v>
      </c>
      <c r="M861" s="131" t="s">
        <v>64</v>
      </c>
      <c r="N861" s="133" t="n">
        <v>0.966064227341793</v>
      </c>
      <c r="O861" s="133" t="n">
        <v>0</v>
      </c>
      <c r="P861" s="132" t="n">
        <v>0.006</v>
      </c>
      <c r="Q861" s="131" t="s">
        <v>130</v>
      </c>
      <c r="R861" s="130" t="n">
        <v>0</v>
      </c>
      <c r="S861" s="143" t="n">
        <v>0</v>
      </c>
      <c r="T861" s="134" t="n">
        <v>45623.4245231482</v>
      </c>
    </row>
    <row r="862" customFormat="false" ht="39.75" hidden="false" customHeight="true" outlineLevel="0" collapsed="false">
      <c r="B862" s="130" t="n">
        <v>67043234</v>
      </c>
      <c r="C862" s="131" t="s">
        <v>847</v>
      </c>
      <c r="D862" s="131" t="s">
        <v>135</v>
      </c>
      <c r="E862" s="130" t="n">
        <v>4870200</v>
      </c>
      <c r="F862" s="131" t="s">
        <v>14</v>
      </c>
      <c r="G862" s="130" t="n">
        <v>5000000</v>
      </c>
      <c r="H862" s="131" t="n">
        <v>855</v>
      </c>
      <c r="I862" s="132" t="n">
        <v>0.28</v>
      </c>
      <c r="J862" s="132" t="n">
        <v>0.3</v>
      </c>
      <c r="K862" s="130" t="n">
        <v>8.31013100078026</v>
      </c>
      <c r="L862" s="132" t="n">
        <v>0.3</v>
      </c>
      <c r="M862" s="131" t="s">
        <v>62</v>
      </c>
      <c r="N862" s="133" t="n">
        <v>0.839649706377562</v>
      </c>
      <c r="O862" s="133" t="n">
        <v>8.31013100078026</v>
      </c>
      <c r="P862" s="132" t="n">
        <v>0.0187</v>
      </c>
      <c r="Q862" s="131" t="s">
        <v>130</v>
      </c>
      <c r="R862" s="130" t="n">
        <v>40472000</v>
      </c>
      <c r="S862" s="143" t="n">
        <v>0</v>
      </c>
      <c r="T862" s="134" t="n">
        <v>45623.4511642361</v>
      </c>
    </row>
    <row r="863" customFormat="false" ht="39.75" hidden="false" customHeight="true" outlineLevel="0" collapsed="false">
      <c r="B863" s="130" t="n">
        <v>1234193404</v>
      </c>
      <c r="C863" s="131" t="s">
        <v>848</v>
      </c>
      <c r="D863" s="131" t="s">
        <v>849</v>
      </c>
      <c r="E863" s="130" t="n">
        <v>2893800</v>
      </c>
      <c r="F863" s="131" t="s">
        <v>19</v>
      </c>
      <c r="G863" s="130" t="n">
        <v>6000000</v>
      </c>
      <c r="H863" s="131" t="n">
        <v>696</v>
      </c>
      <c r="I863" s="132" t="n">
        <v>0.13</v>
      </c>
      <c r="J863" s="132" t="n">
        <v>0.33</v>
      </c>
      <c r="K863" s="130" t="n">
        <v>0</v>
      </c>
      <c r="L863" s="132" t="n">
        <v>0.33</v>
      </c>
      <c r="M863" s="131" t="s">
        <v>64</v>
      </c>
      <c r="N863" s="133" t="n">
        <v>0.868070011749257</v>
      </c>
      <c r="O863" s="133" t="n">
        <v>0</v>
      </c>
      <c r="P863" s="132" t="n">
        <v>0.006</v>
      </c>
      <c r="Q863" s="131" t="s">
        <v>130</v>
      </c>
      <c r="R863" s="130" t="n">
        <v>0</v>
      </c>
      <c r="S863" s="143" t="n">
        <v>0</v>
      </c>
      <c r="T863" s="134" t="n">
        <v>45623.4568892361</v>
      </c>
    </row>
    <row r="864" customFormat="false" ht="39.75" hidden="false" customHeight="true" outlineLevel="0" collapsed="false">
      <c r="B864" s="130" t="n">
        <v>25273899</v>
      </c>
      <c r="C864" s="131" t="s">
        <v>389</v>
      </c>
      <c r="D864" s="131" t="s">
        <v>135</v>
      </c>
      <c r="E864" s="130" t="n">
        <v>4876900</v>
      </c>
      <c r="F864" s="131" t="s">
        <v>14</v>
      </c>
      <c r="G864" s="130" t="n">
        <v>5000000</v>
      </c>
      <c r="H864" s="131" t="n">
        <v>926</v>
      </c>
      <c r="I864" s="132" t="n">
        <v>0.18</v>
      </c>
      <c r="J864" s="132" t="n">
        <v>0.24</v>
      </c>
      <c r="K864" s="130" t="n">
        <v>0.110435932662142</v>
      </c>
      <c r="L864" s="132" t="n">
        <v>0.24</v>
      </c>
      <c r="M864" s="131" t="s">
        <v>62</v>
      </c>
      <c r="N864" s="133" t="n">
        <v>0.747536139760914</v>
      </c>
      <c r="O864" s="133" t="n">
        <v>0.110435932662142</v>
      </c>
      <c r="P864" s="132" t="n">
        <v>0.0187</v>
      </c>
      <c r="Q864" s="131" t="s">
        <v>130</v>
      </c>
      <c r="R864" s="130" t="n">
        <v>0</v>
      </c>
      <c r="S864" s="143" t="n">
        <v>0</v>
      </c>
      <c r="T864" s="134" t="n">
        <v>45623.4612074074</v>
      </c>
    </row>
    <row r="865" customFormat="false" ht="39.75" hidden="false" customHeight="true" outlineLevel="0" collapsed="false">
      <c r="B865" s="130" t="n">
        <v>66856977</v>
      </c>
      <c r="C865" s="131" t="s">
        <v>258</v>
      </c>
      <c r="D865" s="131" t="s">
        <v>135</v>
      </c>
      <c r="E865" s="130" t="n">
        <v>8245400</v>
      </c>
      <c r="F865" s="131" t="s">
        <v>29</v>
      </c>
      <c r="G865" s="130" t="n">
        <v>500000</v>
      </c>
      <c r="H865" s="131" t="n">
        <v>747</v>
      </c>
      <c r="I865" s="132" t="n">
        <v>0.39</v>
      </c>
      <c r="J865" s="132" t="n">
        <v>0.39</v>
      </c>
      <c r="K865" s="130" t="n">
        <v>5.32199311131055</v>
      </c>
      <c r="L865" s="132" t="n">
        <v>0.39</v>
      </c>
      <c r="M865" s="131" t="s">
        <v>62</v>
      </c>
      <c r="N865" s="133" t="n">
        <v>3.00154352730007</v>
      </c>
      <c r="O865" s="133" t="n">
        <v>5.32199311131055</v>
      </c>
      <c r="P865" s="132" t="n">
        <v>0.0187</v>
      </c>
      <c r="Q865" s="131" t="s">
        <v>130</v>
      </c>
      <c r="R865" s="130" t="n">
        <v>17696000</v>
      </c>
      <c r="S865" s="143" t="n">
        <v>0</v>
      </c>
      <c r="T865" s="134" t="n">
        <v>45624.4864041667</v>
      </c>
    </row>
    <row r="866" customFormat="false" ht="39.75" hidden="false" customHeight="true" outlineLevel="0" collapsed="false">
      <c r="B866" s="130" t="n">
        <v>1144067925</v>
      </c>
      <c r="C866" s="131" t="s">
        <v>850</v>
      </c>
      <c r="D866" s="131" t="s">
        <v>851</v>
      </c>
      <c r="E866" s="130" t="n">
        <v>4469100</v>
      </c>
      <c r="F866" s="131" t="s">
        <v>14</v>
      </c>
      <c r="G866" s="130" t="n">
        <v>5000000</v>
      </c>
      <c r="H866" s="131" t="n">
        <v>845</v>
      </c>
      <c r="I866" s="132" t="n">
        <v>0.39</v>
      </c>
      <c r="J866" s="132" t="n">
        <v>0.41</v>
      </c>
      <c r="K866" s="130" t="n">
        <v>7.77203463784655</v>
      </c>
      <c r="L866" s="132" t="n">
        <v>0.41</v>
      </c>
      <c r="M866" s="131" t="s">
        <v>62</v>
      </c>
      <c r="N866" s="133" t="n">
        <v>1.35951511490009</v>
      </c>
      <c r="O866" s="133" t="n">
        <v>7.77203463784655</v>
      </c>
      <c r="P866" s="132" t="n">
        <v>0.0187</v>
      </c>
      <c r="Q866" s="131" t="s">
        <v>130</v>
      </c>
      <c r="R866" s="130" t="n">
        <v>33734000</v>
      </c>
      <c r="S866" s="143" t="n">
        <v>0</v>
      </c>
      <c r="T866" s="134" t="n">
        <v>45630.4022662037</v>
      </c>
    </row>
    <row r="867" customFormat="false" ht="39.75" hidden="false" customHeight="true" outlineLevel="0" collapsed="false">
      <c r="B867" s="130" t="n">
        <v>29363464</v>
      </c>
      <c r="C867" s="131" t="s">
        <v>749</v>
      </c>
      <c r="D867" s="131" t="s">
        <v>135</v>
      </c>
      <c r="E867" s="130" t="n">
        <v>2893800</v>
      </c>
      <c r="F867" s="131" t="s">
        <v>14</v>
      </c>
      <c r="G867" s="130" t="n">
        <v>5000000</v>
      </c>
      <c r="H867" s="131" t="n">
        <v>665</v>
      </c>
      <c r="I867" s="132" t="n">
        <v>0.42</v>
      </c>
      <c r="J867" s="132" t="n">
        <v>0.48</v>
      </c>
      <c r="K867" s="130" t="n">
        <v>8.17859803718294</v>
      </c>
      <c r="L867" s="132" t="n">
        <v>0.48</v>
      </c>
      <c r="M867" s="131" t="s">
        <v>62</v>
      </c>
      <c r="N867" s="133" t="n">
        <v>1.4740210104361</v>
      </c>
      <c r="O867" s="133" t="n">
        <v>8.17859803718294</v>
      </c>
      <c r="P867" s="132" t="n">
        <v>0.0187</v>
      </c>
      <c r="Q867" s="131" t="s">
        <v>130</v>
      </c>
      <c r="R867" s="130" t="n">
        <v>18218000</v>
      </c>
      <c r="S867" s="143" t="s">
        <v>852</v>
      </c>
      <c r="T867" s="134" t="n">
        <v>45630.4186508102</v>
      </c>
    </row>
    <row r="868" customFormat="false" ht="39.75" hidden="false" customHeight="true" outlineLevel="0" collapsed="false">
      <c r="B868" s="130" t="n">
        <v>31321149</v>
      </c>
      <c r="C868" s="131" t="s">
        <v>241</v>
      </c>
      <c r="D868" s="131" t="s">
        <v>135</v>
      </c>
      <c r="E868" s="130" t="n">
        <v>3945300</v>
      </c>
      <c r="F868" s="131" t="s">
        <v>19</v>
      </c>
      <c r="G868" s="130" t="n">
        <v>8277140</v>
      </c>
      <c r="H868" s="131" t="n">
        <v>999</v>
      </c>
      <c r="I868" s="132" t="n">
        <v>0.12</v>
      </c>
      <c r="J868" s="132" t="n">
        <v>0.31</v>
      </c>
      <c r="K868" s="130" t="n">
        <v>0</v>
      </c>
      <c r="L868" s="132" t="n">
        <v>0.31</v>
      </c>
      <c r="M868" s="131" t="s">
        <v>61</v>
      </c>
      <c r="N868" s="133" t="n">
        <v>0.720177172838567</v>
      </c>
      <c r="O868" s="133" t="n">
        <v>0</v>
      </c>
      <c r="P868" s="132" t="n">
        <v>0.006</v>
      </c>
      <c r="Q868" s="131" t="s">
        <v>130</v>
      </c>
      <c r="R868" s="130" t="n">
        <v>0</v>
      </c>
      <c r="S868" s="143" t="n">
        <v>0</v>
      </c>
      <c r="T868" s="134" t="n">
        <v>45630.4210607639</v>
      </c>
    </row>
    <row r="869" customFormat="false" ht="39.75" hidden="false" customHeight="true" outlineLevel="0" collapsed="false">
      <c r="B869" s="130" t="n">
        <v>1151965144</v>
      </c>
      <c r="C869" s="131" t="s">
        <v>853</v>
      </c>
      <c r="D869" s="131" t="s">
        <v>135</v>
      </c>
      <c r="E869" s="130" t="n">
        <v>2600900</v>
      </c>
      <c r="F869" s="131" t="s">
        <v>19</v>
      </c>
      <c r="G869" s="130" t="n">
        <v>6000000</v>
      </c>
      <c r="H869" s="131" t="n">
        <v>683</v>
      </c>
      <c r="I869" s="132" t="n">
        <v>0.06</v>
      </c>
      <c r="J869" s="132" t="n">
        <v>0.28</v>
      </c>
      <c r="K869" s="130" t="n">
        <v>6.929139913107</v>
      </c>
      <c r="L869" s="132" t="n">
        <v>0.28</v>
      </c>
      <c r="M869" s="131" t="s">
        <v>64</v>
      </c>
      <c r="N869" s="133" t="n">
        <v>0.867951093852128</v>
      </c>
      <c r="O869" s="133" t="n">
        <v>6.929139913107</v>
      </c>
      <c r="P869" s="132" t="n">
        <v>0.006</v>
      </c>
      <c r="Q869" s="131" t="s">
        <v>130</v>
      </c>
      <c r="R869" s="130" t="n">
        <v>18022000</v>
      </c>
      <c r="S869" s="143" t="n">
        <v>0</v>
      </c>
      <c r="T869" s="134" t="n">
        <v>45630.4242405093</v>
      </c>
    </row>
    <row r="870" customFormat="false" ht="39.75" hidden="false" customHeight="true" outlineLevel="0" collapsed="false">
      <c r="B870" s="130" t="n">
        <v>67030956</v>
      </c>
      <c r="C870" s="131" t="s">
        <v>854</v>
      </c>
      <c r="D870" s="131" t="s">
        <v>135</v>
      </c>
      <c r="E870" s="130" t="n">
        <v>5684862</v>
      </c>
      <c r="F870" s="131" t="s">
        <v>14</v>
      </c>
      <c r="G870" s="130" t="n">
        <v>4500000</v>
      </c>
      <c r="H870" s="131" t="n">
        <v>847</v>
      </c>
      <c r="I870" s="132" t="n">
        <v>0.23</v>
      </c>
      <c r="J870" s="132" t="n">
        <v>0.27</v>
      </c>
      <c r="K870" s="130" t="n">
        <v>1.29486925100381</v>
      </c>
      <c r="L870" s="132" t="n">
        <v>0.27</v>
      </c>
      <c r="M870" s="131" t="s">
        <v>62</v>
      </c>
      <c r="N870" s="133" t="n">
        <v>0.839053679755111</v>
      </c>
      <c r="O870" s="133" t="n">
        <v>1.29486925100381</v>
      </c>
      <c r="P870" s="132" t="n">
        <v>0.0187</v>
      </c>
      <c r="Q870" s="131" t="s">
        <v>130</v>
      </c>
      <c r="R870" s="130" t="n">
        <v>5653000</v>
      </c>
      <c r="S870" s="143" t="n">
        <v>0</v>
      </c>
      <c r="T870" s="134" t="n">
        <v>45630.4400418981</v>
      </c>
    </row>
    <row r="871" customFormat="false" ht="39.75" hidden="false" customHeight="true" outlineLevel="0" collapsed="false">
      <c r="B871" s="130" t="n">
        <v>1143880251</v>
      </c>
      <c r="C871" s="131" t="s">
        <v>855</v>
      </c>
      <c r="D871" s="131" t="s">
        <v>760</v>
      </c>
      <c r="E871" s="130" t="n">
        <v>2600900</v>
      </c>
      <c r="F871" s="131" t="s">
        <v>14</v>
      </c>
      <c r="G871" s="130" t="n">
        <v>6800000</v>
      </c>
      <c r="H871" s="131" t="n">
        <v>813</v>
      </c>
      <c r="I871" s="132" t="n">
        <v>0.33</v>
      </c>
      <c r="J871" s="132" t="n">
        <v>0.41</v>
      </c>
      <c r="K871" s="130" t="n">
        <v>11.5914145103618</v>
      </c>
      <c r="L871" s="132" t="n">
        <v>0.41</v>
      </c>
      <c r="M871" s="131" t="s">
        <v>62</v>
      </c>
      <c r="N871" s="133" t="n">
        <v>0.88590334115114</v>
      </c>
      <c r="O871" s="133" t="n">
        <v>11.5914145103618</v>
      </c>
      <c r="P871" s="132" t="n">
        <v>0.0187</v>
      </c>
      <c r="Q871" s="131" t="s">
        <v>130</v>
      </c>
      <c r="R871" s="130" t="n">
        <v>30054000</v>
      </c>
      <c r="S871" s="143" t="n">
        <v>0</v>
      </c>
      <c r="T871" s="134" t="n">
        <v>45630.447608912</v>
      </c>
    </row>
    <row r="872" customFormat="false" ht="39.75" hidden="false" customHeight="true" outlineLevel="0" collapsed="false">
      <c r="B872" s="130" t="n">
        <v>1127218494</v>
      </c>
      <c r="C872" s="131" t="s">
        <v>358</v>
      </c>
      <c r="D872" s="131" t="s">
        <v>760</v>
      </c>
      <c r="E872" s="130" t="n">
        <v>2340800</v>
      </c>
      <c r="F872" s="131" t="s">
        <v>14</v>
      </c>
      <c r="G872" s="130" t="n">
        <v>4500000</v>
      </c>
      <c r="H872" s="131" t="n">
        <v>371</v>
      </c>
      <c r="I872" s="132" t="n">
        <v>0.47</v>
      </c>
      <c r="J872" s="132" t="n">
        <v>0.52</v>
      </c>
      <c r="K872" s="130" t="n">
        <v>8.51670668147642</v>
      </c>
      <c r="L872" s="132" t="n">
        <v>0.52</v>
      </c>
      <c r="M872" s="131" t="s">
        <v>64</v>
      </c>
      <c r="N872" s="133" t="n">
        <v>1.0091011619959</v>
      </c>
      <c r="O872" s="133" t="n">
        <v>8.51670668147642</v>
      </c>
      <c r="P872" s="132" t="n">
        <v>0.0187</v>
      </c>
      <c r="Q872" s="131" t="s">
        <v>130</v>
      </c>
      <c r="R872" s="130" t="n">
        <v>19000000</v>
      </c>
      <c r="S872" s="143" t="n">
        <v>0</v>
      </c>
      <c r="T872" s="134" t="n">
        <v>45630.4531239583</v>
      </c>
    </row>
    <row r="873" customFormat="false" ht="39.75" hidden="false" customHeight="true" outlineLevel="0" collapsed="false">
      <c r="B873" s="130" t="n">
        <v>1127218494</v>
      </c>
      <c r="C873" s="131" t="s">
        <v>358</v>
      </c>
      <c r="D873" s="131" t="s">
        <v>760</v>
      </c>
      <c r="E873" s="130" t="n">
        <v>2340800</v>
      </c>
      <c r="F873" s="131" t="s">
        <v>14</v>
      </c>
      <c r="G873" s="130" t="n">
        <v>4000000</v>
      </c>
      <c r="H873" s="131" t="n">
        <v>371</v>
      </c>
      <c r="I873" s="132" t="n">
        <v>0.47</v>
      </c>
      <c r="J873" s="132" t="n">
        <v>0.52</v>
      </c>
      <c r="K873" s="130" t="n">
        <v>8.51670668147642</v>
      </c>
      <c r="L873" s="132" t="n">
        <v>0.52</v>
      </c>
      <c r="M873" s="131" t="s">
        <v>64</v>
      </c>
      <c r="N873" s="133" t="n">
        <v>1.0091011619959</v>
      </c>
      <c r="O873" s="133" t="n">
        <v>8.51670668147642</v>
      </c>
      <c r="P873" s="132" t="n">
        <v>0.0187</v>
      </c>
      <c r="Q873" s="131" t="s">
        <v>130</v>
      </c>
      <c r="R873" s="130" t="n">
        <v>19000000</v>
      </c>
      <c r="S873" s="143" t="n">
        <v>0</v>
      </c>
      <c r="T873" s="134" t="n">
        <v>45630.4924841435</v>
      </c>
    </row>
    <row r="874" customFormat="false" ht="39.75" hidden="false" customHeight="true" outlineLevel="0" collapsed="false">
      <c r="B874" s="130" t="n">
        <v>67031395</v>
      </c>
      <c r="C874" s="131" t="s">
        <v>343</v>
      </c>
      <c r="D874" s="131" t="s">
        <v>135</v>
      </c>
      <c r="E874" s="130" t="n">
        <v>2340800</v>
      </c>
      <c r="F874" s="131" t="s">
        <v>29</v>
      </c>
      <c r="G874" s="130" t="n">
        <v>1000000</v>
      </c>
      <c r="H874" s="131" t="n">
        <v>726</v>
      </c>
      <c r="I874" s="132" t="n">
        <v>0.17</v>
      </c>
      <c r="J874" s="132" t="n">
        <v>0.19</v>
      </c>
      <c r="K874" s="130" t="n">
        <v>1.75538619275461</v>
      </c>
      <c r="L874" s="132" t="n">
        <v>0.19</v>
      </c>
      <c r="M874" s="131" t="s">
        <v>64</v>
      </c>
      <c r="N874" s="133" t="n">
        <v>0.827191558441558</v>
      </c>
      <c r="O874" s="133" t="n">
        <v>1.75538619275461</v>
      </c>
      <c r="P874" s="132" t="n">
        <v>0.0187</v>
      </c>
      <c r="Q874" s="131" t="s">
        <v>130</v>
      </c>
      <c r="R874" s="130" t="n">
        <v>43000</v>
      </c>
      <c r="S874" s="143" t="n">
        <v>0</v>
      </c>
      <c r="T874" s="134" t="n">
        <v>45631.6279465278</v>
      </c>
    </row>
    <row r="875" customFormat="false" ht="39.75" hidden="false" customHeight="true" outlineLevel="0" collapsed="false">
      <c r="B875" s="130" t="n">
        <v>1089486387</v>
      </c>
      <c r="C875" s="131" t="s">
        <v>856</v>
      </c>
      <c r="D875" s="131" t="s">
        <v>135</v>
      </c>
      <c r="E875" s="130" t="n">
        <v>4870200</v>
      </c>
      <c r="F875" s="131" t="s">
        <v>8</v>
      </c>
      <c r="G875" s="130" t="n">
        <v>4067039</v>
      </c>
      <c r="H875" s="131" t="n">
        <v>710</v>
      </c>
      <c r="I875" s="132" t="n">
        <v>0.05</v>
      </c>
      <c r="J875" s="132" t="n">
        <v>0.1</v>
      </c>
      <c r="K875" s="130" t="n">
        <v>0.218956921686994</v>
      </c>
      <c r="L875" s="132" t="n">
        <v>0.1</v>
      </c>
      <c r="M875" s="131" t="s">
        <v>64</v>
      </c>
      <c r="N875" s="133" t="n">
        <v>0.630422980575746</v>
      </c>
      <c r="O875" s="133" t="n">
        <v>0.218956921686994</v>
      </c>
      <c r="P875" s="132" t="n">
        <v>0.0145</v>
      </c>
      <c r="Q875" s="131" t="s">
        <v>130</v>
      </c>
      <c r="R875" s="130" t="n">
        <v>29000</v>
      </c>
      <c r="S875" s="143" t="n">
        <v>0</v>
      </c>
      <c r="T875" s="134" t="n">
        <v>45636.7597222222</v>
      </c>
    </row>
    <row r="876" customFormat="false" ht="39.75" hidden="false" customHeight="true" outlineLevel="0" collapsed="false">
      <c r="B876" s="130" t="n">
        <v>66875234</v>
      </c>
      <c r="C876" s="131" t="s">
        <v>857</v>
      </c>
      <c r="D876" s="131" t="s">
        <v>858</v>
      </c>
      <c r="E876" s="130" t="n">
        <v>2240000</v>
      </c>
      <c r="F876" s="131" t="s">
        <v>17</v>
      </c>
      <c r="G876" s="130" t="n">
        <v>30000000</v>
      </c>
      <c r="H876" s="131" t="n">
        <v>973</v>
      </c>
      <c r="I876" s="132" t="n">
        <v>0.15</v>
      </c>
      <c r="J876" s="132" t="n">
        <v>0.52</v>
      </c>
      <c r="K876" s="130" t="n">
        <v>0.986998660714286</v>
      </c>
      <c r="L876" s="132" t="n">
        <v>0.52</v>
      </c>
      <c r="M876" s="131" t="s">
        <v>61</v>
      </c>
      <c r="N876" s="133" t="n">
        <v>0.811087946428571</v>
      </c>
      <c r="O876" s="133" t="n">
        <v>0.986998660714286</v>
      </c>
      <c r="P876" s="132" t="n">
        <v>0.0145</v>
      </c>
      <c r="Q876" s="131" t="s">
        <v>130</v>
      </c>
      <c r="R876" s="130" t="n">
        <v>1726000</v>
      </c>
      <c r="S876" s="143" t="n">
        <v>0</v>
      </c>
      <c r="T876" s="134" t="n">
        <v>45636.7696175926</v>
      </c>
    </row>
    <row r="877" customFormat="false" ht="39.75" hidden="false" customHeight="true" outlineLevel="0" collapsed="false">
      <c r="B877" s="130" t="n">
        <v>31446402</v>
      </c>
      <c r="C877" s="131" t="s">
        <v>555</v>
      </c>
      <c r="D877" s="131" t="s">
        <v>135</v>
      </c>
      <c r="E877" s="130" t="n">
        <v>2893800</v>
      </c>
      <c r="F877" s="131" t="s">
        <v>11</v>
      </c>
      <c r="G877" s="130" t="n">
        <v>6000000</v>
      </c>
      <c r="H877" s="131" t="n">
        <v>764</v>
      </c>
      <c r="I877" s="132" t="n">
        <v>0.44</v>
      </c>
      <c r="J877" s="132" t="n">
        <v>0.49</v>
      </c>
      <c r="K877" s="130" t="n">
        <v>73.0217769023429</v>
      </c>
      <c r="L877" s="132" t="n">
        <v>0.49</v>
      </c>
      <c r="M877" s="131" t="s">
        <v>64</v>
      </c>
      <c r="N877" s="133" t="n">
        <v>2.77458635703919</v>
      </c>
      <c r="O877" s="133" t="n">
        <v>73.0217769023429</v>
      </c>
      <c r="P877" s="132" t="n">
        <v>0.0147</v>
      </c>
      <c r="Q877" s="131" t="s">
        <v>130</v>
      </c>
      <c r="R877" s="130" t="n">
        <v>206140000</v>
      </c>
      <c r="S877" s="143" t="n">
        <v>0</v>
      </c>
      <c r="T877" s="134" t="n">
        <v>45636.7754318287</v>
      </c>
    </row>
    <row r="878" customFormat="false" ht="39.75" hidden="false" customHeight="true" outlineLevel="0" collapsed="false">
      <c r="B878" s="130" t="n">
        <v>1143945334</v>
      </c>
      <c r="C878" s="131" t="s">
        <v>206</v>
      </c>
      <c r="D878" s="131" t="s">
        <v>859</v>
      </c>
      <c r="E878" s="130" t="n">
        <v>2893800</v>
      </c>
      <c r="F878" s="131" t="s">
        <v>19</v>
      </c>
      <c r="G878" s="130" t="n">
        <v>5500000</v>
      </c>
      <c r="H878" s="131" t="n">
        <v>873</v>
      </c>
      <c r="I878" s="132" t="n">
        <v>0.47</v>
      </c>
      <c r="J878" s="132" t="n">
        <v>0.57</v>
      </c>
      <c r="K878" s="130" t="n">
        <v>5.17312875803442</v>
      </c>
      <c r="L878" s="132" t="n">
        <v>0.57</v>
      </c>
      <c r="M878" s="131" t="s">
        <v>62</v>
      </c>
      <c r="N878" s="133" t="n">
        <v>1.29681318681319</v>
      </c>
      <c r="O878" s="133" t="n">
        <v>5.17312875803442</v>
      </c>
      <c r="P878" s="132" t="n">
        <v>0.006</v>
      </c>
      <c r="Q878" s="131" t="s">
        <v>130</v>
      </c>
      <c r="R878" s="130" t="n">
        <v>14970000</v>
      </c>
      <c r="S878" s="143" t="n">
        <v>0</v>
      </c>
      <c r="T878" s="134" t="n">
        <v>45636.7788569444</v>
      </c>
    </row>
    <row r="879" customFormat="false" ht="39.75" hidden="false" customHeight="true" outlineLevel="0" collapsed="false">
      <c r="B879" s="130" t="n">
        <v>16893872</v>
      </c>
      <c r="C879" s="131" t="s">
        <v>860</v>
      </c>
      <c r="D879" s="131" t="s">
        <v>153</v>
      </c>
      <c r="E879" s="130" t="n">
        <v>7500000</v>
      </c>
      <c r="F879" s="131" t="s">
        <v>13</v>
      </c>
      <c r="G879" s="130" t="n">
        <v>8500000</v>
      </c>
      <c r="H879" s="131" t="n">
        <v>841</v>
      </c>
      <c r="I879" s="132" t="n">
        <v>0.03</v>
      </c>
      <c r="J879" s="132" t="n">
        <v>0.09</v>
      </c>
      <c r="K879" s="130" t="n">
        <v>0.0181494666666667</v>
      </c>
      <c r="L879" s="132" t="n">
        <v>0.09</v>
      </c>
      <c r="M879" s="131" t="s">
        <v>62</v>
      </c>
      <c r="N879" s="133" t="n">
        <v>0.518351333333333</v>
      </c>
      <c r="O879" s="133" t="n">
        <v>0.0181494666666667</v>
      </c>
      <c r="P879" s="132" t="n">
        <v>0.0147</v>
      </c>
      <c r="Q879" s="131" t="s">
        <v>130</v>
      </c>
      <c r="R879" s="130" t="n">
        <v>0</v>
      </c>
      <c r="S879" s="143" t="n">
        <v>0</v>
      </c>
      <c r="T879" s="134" t="n">
        <v>45636.7842854167</v>
      </c>
    </row>
    <row r="880" customFormat="false" ht="39.75" hidden="false" customHeight="true" outlineLevel="0" collapsed="false">
      <c r="B880" s="130" t="n">
        <v>1112880193</v>
      </c>
      <c r="C880" s="131" t="s">
        <v>229</v>
      </c>
      <c r="D880" s="131" t="s">
        <v>760</v>
      </c>
      <c r="E880" s="130" t="n">
        <v>3394800</v>
      </c>
      <c r="F880" s="131" t="s">
        <v>19</v>
      </c>
      <c r="G880" s="130" t="n">
        <v>4303288</v>
      </c>
      <c r="H880" s="131" t="n">
        <v>857</v>
      </c>
      <c r="I880" s="132" t="n">
        <v>0.29</v>
      </c>
      <c r="J880" s="132" t="n">
        <v>0.35</v>
      </c>
      <c r="K880" s="130" t="n">
        <v>1.6332402497938</v>
      </c>
      <c r="L880" s="132" t="n">
        <v>0.35</v>
      </c>
      <c r="M880" s="131" t="s">
        <v>61</v>
      </c>
      <c r="N880" s="133" t="n">
        <v>0.85977377165076</v>
      </c>
      <c r="O880" s="133" t="n">
        <v>1.6332402497938</v>
      </c>
      <c r="P880" s="132" t="n">
        <v>0.006</v>
      </c>
      <c r="Q880" s="131" t="s">
        <v>130</v>
      </c>
      <c r="R880" s="130" t="n">
        <v>0</v>
      </c>
      <c r="S880" s="143" t="n">
        <v>0</v>
      </c>
      <c r="T880" s="134" t="n">
        <v>45636.7892037037</v>
      </c>
    </row>
    <row r="881" customFormat="false" ht="39.75" hidden="false" customHeight="true" outlineLevel="0" collapsed="false">
      <c r="B881" s="130" t="n">
        <v>66859571</v>
      </c>
      <c r="C881" s="131" t="s">
        <v>696</v>
      </c>
      <c r="D881" s="131" t="s">
        <v>760</v>
      </c>
      <c r="E881" s="130" t="n">
        <v>2600900</v>
      </c>
      <c r="F881" s="131" t="s">
        <v>16</v>
      </c>
      <c r="G881" s="130" t="n">
        <v>5100000</v>
      </c>
      <c r="H881" s="131" t="n">
        <v>801</v>
      </c>
      <c r="I881" s="132" t="n">
        <v>0.3</v>
      </c>
      <c r="J881" s="132" t="n">
        <v>0.24</v>
      </c>
      <c r="K881" s="130" t="n">
        <v>9.06608327886501</v>
      </c>
      <c r="L881" s="132" t="n">
        <v>0.24</v>
      </c>
      <c r="M881" s="131" t="s">
        <v>61</v>
      </c>
      <c r="N881" s="133" t="n">
        <v>1.16643008189473</v>
      </c>
      <c r="O881" s="133" t="n">
        <v>9.06608327886501</v>
      </c>
      <c r="P881" s="132" t="n">
        <v>0.0187</v>
      </c>
      <c r="Q881" s="131" t="s">
        <v>130</v>
      </c>
      <c r="R881" s="130" t="n">
        <v>16565000</v>
      </c>
      <c r="S881" s="143" t="n">
        <v>0</v>
      </c>
      <c r="T881" s="134" t="n">
        <v>45636.7935133102</v>
      </c>
    </row>
    <row r="882" customFormat="false" ht="39.75" hidden="false" customHeight="true" outlineLevel="0" collapsed="false">
      <c r="B882" s="130" t="n">
        <v>67037654</v>
      </c>
      <c r="C882" s="131" t="s">
        <v>861</v>
      </c>
      <c r="D882" s="131" t="s">
        <v>135</v>
      </c>
      <c r="E882" s="130" t="n">
        <v>2600900</v>
      </c>
      <c r="F882" s="131" t="s">
        <v>16</v>
      </c>
      <c r="G882" s="130" t="n">
        <v>9000000</v>
      </c>
      <c r="H882" s="131" t="n">
        <v>831</v>
      </c>
      <c r="I882" s="132" t="n">
        <v>0.43</v>
      </c>
      <c r="J882" s="132" t="n">
        <v>0.63</v>
      </c>
      <c r="K882" s="130" t="n">
        <v>9.95050751662886</v>
      </c>
      <c r="L882" s="132" t="n">
        <v>0.63</v>
      </c>
      <c r="M882" s="131" t="s">
        <v>62</v>
      </c>
      <c r="N882" s="133" t="n">
        <v>0.974799876965666</v>
      </c>
      <c r="O882" s="133" t="n">
        <v>9.95050751662886</v>
      </c>
      <c r="P882" s="132" t="n">
        <v>0.0187</v>
      </c>
      <c r="Q882" s="131" t="s">
        <v>130</v>
      </c>
      <c r="R882" s="130" t="n">
        <v>24535000</v>
      </c>
      <c r="S882" s="143" t="n">
        <v>0</v>
      </c>
      <c r="T882" s="134" t="n">
        <v>45636.7983625</v>
      </c>
    </row>
    <row r="883" customFormat="false" ht="39.75" hidden="false" customHeight="true" outlineLevel="0" collapsed="false">
      <c r="B883" s="130" t="n">
        <v>1116267571</v>
      </c>
      <c r="C883" s="131" t="s">
        <v>862</v>
      </c>
      <c r="D883" s="131" t="s">
        <v>135</v>
      </c>
      <c r="E883" s="130" t="n">
        <v>2893800</v>
      </c>
      <c r="F883" s="131" t="s">
        <v>16</v>
      </c>
      <c r="G883" s="130" t="n">
        <v>6000000</v>
      </c>
      <c r="H883" s="131" t="n">
        <v>772</v>
      </c>
      <c r="I883" s="132" t="n">
        <v>0.36</v>
      </c>
      <c r="J883" s="132" t="n">
        <v>0.43</v>
      </c>
      <c r="K883" s="130" t="n">
        <v>13.9736678415924</v>
      </c>
      <c r="L883" s="132" t="n">
        <v>0.43</v>
      </c>
      <c r="M883" s="131" t="s">
        <v>64</v>
      </c>
      <c r="N883" s="133" t="n">
        <v>0.924358974358974</v>
      </c>
      <c r="O883" s="133" t="n">
        <v>13.9736678415924</v>
      </c>
      <c r="P883" s="132" t="n">
        <v>0.0187</v>
      </c>
      <c r="Q883" s="131" t="s">
        <v>130</v>
      </c>
      <c r="R883" s="130" t="n">
        <v>40437000</v>
      </c>
      <c r="S883" s="143" t="n">
        <v>0</v>
      </c>
      <c r="T883" s="134" t="n">
        <v>45636.8016041667</v>
      </c>
    </row>
    <row r="884" customFormat="false" ht="39.75" hidden="false" customHeight="true" outlineLevel="0" collapsed="false">
      <c r="B884" s="130" t="n">
        <v>1089905168</v>
      </c>
      <c r="C884" s="131" t="s">
        <v>863</v>
      </c>
      <c r="D884" s="131" t="s">
        <v>135</v>
      </c>
      <c r="E884" s="130" t="n">
        <v>2893800</v>
      </c>
      <c r="F884" s="131" t="s">
        <v>19</v>
      </c>
      <c r="G884" s="130" t="n">
        <v>4100000</v>
      </c>
      <c r="H884" s="131" t="n">
        <v>766</v>
      </c>
      <c r="I884" s="132" t="n">
        <v>0.05</v>
      </c>
      <c r="J884" s="132" t="n">
        <v>0.12</v>
      </c>
      <c r="K884" s="130" t="n">
        <v>0</v>
      </c>
      <c r="L884" s="132" t="n">
        <v>0.12</v>
      </c>
      <c r="M884" s="131" t="s">
        <v>64</v>
      </c>
      <c r="N884" s="133" t="n">
        <v>0.697187435206303</v>
      </c>
      <c r="O884" s="133" t="n">
        <v>0</v>
      </c>
      <c r="P884" s="132" t="n">
        <v>0.006</v>
      </c>
      <c r="Q884" s="131" t="s">
        <v>130</v>
      </c>
      <c r="R884" s="130" t="n">
        <v>0</v>
      </c>
      <c r="S884" s="143" t="n">
        <v>0</v>
      </c>
      <c r="T884" s="134" t="n">
        <v>45636.8048006944</v>
      </c>
    </row>
    <row r="885" customFormat="false" ht="39.75" hidden="false" customHeight="true" outlineLevel="0" collapsed="false">
      <c r="B885" s="130" t="n">
        <v>1130620889</v>
      </c>
      <c r="C885" s="131" t="s">
        <v>864</v>
      </c>
      <c r="D885" s="131" t="s">
        <v>135</v>
      </c>
      <c r="E885" s="130" t="n">
        <v>1918500</v>
      </c>
      <c r="F885" s="131" t="s">
        <v>19</v>
      </c>
      <c r="G885" s="130" t="n">
        <v>4137130</v>
      </c>
      <c r="H885" s="131" t="n">
        <v>939</v>
      </c>
      <c r="I885" s="132" t="n">
        <v>0.32</v>
      </c>
      <c r="J885" s="132" t="n">
        <v>0.43</v>
      </c>
      <c r="K885" s="130" t="n">
        <v>8.44446911649726</v>
      </c>
      <c r="L885" s="132" t="n">
        <v>0.43</v>
      </c>
      <c r="M885" s="131" t="s">
        <v>62</v>
      </c>
      <c r="N885" s="133" t="n">
        <v>1.06713474068283</v>
      </c>
      <c r="O885" s="133" t="n">
        <v>8.44446911649726</v>
      </c>
      <c r="P885" s="132" t="n">
        <v>0.006</v>
      </c>
      <c r="Q885" s="131" t="s">
        <v>130</v>
      </c>
      <c r="R885" s="130" t="n">
        <v>13451000</v>
      </c>
      <c r="S885" s="143" t="n">
        <v>0</v>
      </c>
      <c r="T885" s="134" t="n">
        <v>45636.8077238426</v>
      </c>
    </row>
    <row r="886" customFormat="false" ht="39.75" hidden="false" customHeight="true" outlineLevel="0" collapsed="false">
      <c r="B886" s="130" t="n">
        <v>1143835632</v>
      </c>
      <c r="C886" s="131" t="s">
        <v>554</v>
      </c>
      <c r="D886" s="131" t="s">
        <v>135</v>
      </c>
      <c r="E886" s="130" t="n">
        <v>9087800</v>
      </c>
      <c r="F886" s="131" t="s">
        <v>19</v>
      </c>
      <c r="G886" s="130" t="n">
        <v>16596765</v>
      </c>
      <c r="H886" s="131" t="n">
        <v>856</v>
      </c>
      <c r="I886" s="132" t="n">
        <v>0.24</v>
      </c>
      <c r="J886" s="132" t="n">
        <v>0.28</v>
      </c>
      <c r="K886" s="130" t="n">
        <v>2.75798323026475</v>
      </c>
      <c r="L886" s="132" t="n">
        <v>0.28</v>
      </c>
      <c r="M886" s="131" t="s">
        <v>62</v>
      </c>
      <c r="N886" s="133" t="n">
        <v>1.28774774973041</v>
      </c>
      <c r="O886" s="133" t="n">
        <v>2.75798323026475</v>
      </c>
      <c r="P886" s="132" t="n">
        <v>0.006</v>
      </c>
      <c r="Q886" s="131" t="s">
        <v>130</v>
      </c>
      <c r="R886" s="130" t="n">
        <v>25064000</v>
      </c>
      <c r="S886" s="143" t="n">
        <v>0</v>
      </c>
      <c r="T886" s="134" t="n">
        <v>45636.8135314815</v>
      </c>
    </row>
    <row r="887" customFormat="false" ht="39.75" hidden="false" customHeight="true" outlineLevel="0" collapsed="false">
      <c r="B887" s="130" t="n">
        <v>1144101138</v>
      </c>
      <c r="C887" s="131" t="s">
        <v>865</v>
      </c>
      <c r="D887" s="131" t="s">
        <v>135</v>
      </c>
      <c r="E887" s="130" t="n">
        <v>2893800</v>
      </c>
      <c r="F887" s="131" t="s">
        <v>17</v>
      </c>
      <c r="G887" s="130" t="n">
        <v>16198782</v>
      </c>
      <c r="H887" s="131" t="n">
        <v>632</v>
      </c>
      <c r="I887" s="132" t="n">
        <v>0.14</v>
      </c>
      <c r="J887" s="132" t="n">
        <v>0.3</v>
      </c>
      <c r="K887" s="130" t="n">
        <v>0</v>
      </c>
      <c r="L887" s="132" t="n">
        <v>0.3</v>
      </c>
      <c r="M887" s="131" t="s">
        <v>64</v>
      </c>
      <c r="N887" s="133" t="n">
        <v>0.709583938074504</v>
      </c>
      <c r="O887" s="133" t="n">
        <v>0</v>
      </c>
      <c r="P887" s="132" t="n">
        <v>0.015</v>
      </c>
      <c r="Q887" s="131" t="s">
        <v>130</v>
      </c>
      <c r="R887" s="130" t="n">
        <v>0</v>
      </c>
      <c r="S887" s="143" t="s">
        <v>866</v>
      </c>
      <c r="T887" s="134" t="n">
        <v>45643.5905565972</v>
      </c>
    </row>
    <row r="888" customFormat="false" ht="39.75" hidden="false" customHeight="true" outlineLevel="0" collapsed="false">
      <c r="B888" s="130" t="n">
        <v>1005024520</v>
      </c>
      <c r="C888" s="131" t="s">
        <v>594</v>
      </c>
      <c r="D888" s="131" t="s">
        <v>760</v>
      </c>
      <c r="E888" s="130" t="n">
        <v>2893800</v>
      </c>
      <c r="F888" s="131" t="s">
        <v>19</v>
      </c>
      <c r="G888" s="130" t="n">
        <v>6901692</v>
      </c>
      <c r="H888" s="131" t="n">
        <v>829</v>
      </c>
      <c r="I888" s="132" t="n">
        <v>0.38</v>
      </c>
      <c r="J888" s="132" t="n">
        <v>0.6</v>
      </c>
      <c r="K888" s="130" t="n">
        <v>9.81270302025019</v>
      </c>
      <c r="L888" s="132" t="n">
        <v>0.6</v>
      </c>
      <c r="M888" s="131" t="s">
        <v>62</v>
      </c>
      <c r="N888" s="133" t="n">
        <v>0.92515170364227</v>
      </c>
      <c r="O888" s="133" t="n">
        <v>9.81270302025019</v>
      </c>
      <c r="P888" s="132" t="n">
        <v>0.006</v>
      </c>
      <c r="Q888" s="131" t="s">
        <v>130</v>
      </c>
      <c r="R888" s="130" t="n">
        <v>28396000</v>
      </c>
      <c r="S888" s="143" t="n">
        <v>0</v>
      </c>
      <c r="T888" s="134" t="n">
        <v>45643.5951777778</v>
      </c>
    </row>
    <row r="889" customFormat="false" ht="39.75" hidden="false" customHeight="true" outlineLevel="0" collapsed="false">
      <c r="B889" s="130" t="n">
        <v>29126389</v>
      </c>
      <c r="C889" s="131" t="s">
        <v>543</v>
      </c>
      <c r="D889" s="131" t="s">
        <v>135</v>
      </c>
      <c r="E889" s="130" t="n">
        <v>2893800</v>
      </c>
      <c r="F889" s="131" t="s">
        <v>19</v>
      </c>
      <c r="G889" s="130" t="n">
        <v>6901692</v>
      </c>
      <c r="H889" s="131" t="n">
        <v>882</v>
      </c>
      <c r="I889" s="132" t="n">
        <v>0.17</v>
      </c>
      <c r="J889" s="132" t="n">
        <v>0.4</v>
      </c>
      <c r="K889" s="130" t="n">
        <v>0.0286025295459258</v>
      </c>
      <c r="L889" s="132" t="n">
        <v>0.4</v>
      </c>
      <c r="M889" s="131" t="s">
        <v>62</v>
      </c>
      <c r="N889" s="133" t="n">
        <v>0.739123298085562</v>
      </c>
      <c r="O889" s="133" t="n">
        <v>0.0286025295459258</v>
      </c>
      <c r="P889" s="132" t="n">
        <v>0.006</v>
      </c>
      <c r="Q889" s="131" t="s">
        <v>130</v>
      </c>
      <c r="R889" s="130" t="n">
        <v>66000</v>
      </c>
      <c r="S889" s="143" t="n">
        <v>0</v>
      </c>
      <c r="T889" s="134" t="n">
        <v>45643.5988538194</v>
      </c>
    </row>
    <row r="890" customFormat="false" ht="39.75" hidden="false" customHeight="true" outlineLevel="0" collapsed="false">
      <c r="B890" s="130" t="n">
        <v>67025009</v>
      </c>
      <c r="C890" s="131" t="s">
        <v>697</v>
      </c>
      <c r="D890" s="131" t="s">
        <v>760</v>
      </c>
      <c r="E890" s="130" t="n">
        <v>2600900</v>
      </c>
      <c r="F890" s="131" t="s">
        <v>14</v>
      </c>
      <c r="G890" s="130" t="n">
        <v>10000000</v>
      </c>
      <c r="H890" s="131" t="n">
        <v>845</v>
      </c>
      <c r="I890" s="132" t="n">
        <v>0.2</v>
      </c>
      <c r="J890" s="132" t="n">
        <v>0.6</v>
      </c>
      <c r="K890" s="130" t="n">
        <v>1.23721519474028</v>
      </c>
      <c r="L890" s="132" t="n">
        <v>0.6</v>
      </c>
      <c r="M890" s="131" t="s">
        <v>62</v>
      </c>
      <c r="N890" s="133" t="n">
        <v>0.767041024260833</v>
      </c>
      <c r="O890" s="133" t="n">
        <v>1.23721519474028</v>
      </c>
      <c r="P890" s="132" t="n">
        <v>0.0187</v>
      </c>
      <c r="Q890" s="131" t="s">
        <v>130</v>
      </c>
      <c r="R890" s="130" t="n">
        <v>0</v>
      </c>
      <c r="S890" s="143" t="n">
        <v>0</v>
      </c>
      <c r="T890" s="134" t="n">
        <v>45643.6015259259</v>
      </c>
    </row>
    <row r="891" customFormat="false" ht="39.75" hidden="false" customHeight="true" outlineLevel="0" collapsed="false">
      <c r="B891" s="130" t="n">
        <v>52057091</v>
      </c>
      <c r="C891" s="131" t="s">
        <v>183</v>
      </c>
      <c r="D891" s="131" t="s">
        <v>760</v>
      </c>
      <c r="E891" s="130" t="n">
        <v>5291000</v>
      </c>
      <c r="F891" s="131" t="s">
        <v>19</v>
      </c>
      <c r="G891" s="130" t="n">
        <v>11050074</v>
      </c>
      <c r="H891" s="131" t="n">
        <v>873</v>
      </c>
      <c r="I891" s="132" t="n">
        <v>0.16</v>
      </c>
      <c r="J891" s="132" t="n">
        <v>0.06</v>
      </c>
      <c r="K891" s="130" t="n">
        <v>0.709088641088641</v>
      </c>
      <c r="L891" s="132" t="n">
        <v>0.06</v>
      </c>
      <c r="M891" s="131" t="s">
        <v>61</v>
      </c>
      <c r="N891" s="133" t="n">
        <v>0.637156492156492</v>
      </c>
      <c r="O891" s="133" t="n">
        <v>0.709088641088641</v>
      </c>
      <c r="P891" s="132" t="n">
        <v>0.006</v>
      </c>
      <c r="Q891" s="131" t="s">
        <v>130</v>
      </c>
      <c r="R891" s="130" t="n">
        <v>0</v>
      </c>
      <c r="S891" s="143" t="n">
        <v>0</v>
      </c>
      <c r="T891" s="134" t="n">
        <v>45643.6081375</v>
      </c>
    </row>
    <row r="892" customFormat="false" ht="39.75" hidden="false" customHeight="true" outlineLevel="0" collapsed="false">
      <c r="B892" s="130" t="n">
        <v>16745578</v>
      </c>
      <c r="C892" s="131" t="s">
        <v>867</v>
      </c>
      <c r="D892" s="131" t="s">
        <v>135</v>
      </c>
      <c r="E892" s="130" t="n">
        <v>8245400</v>
      </c>
      <c r="F892" s="131" t="s">
        <v>19</v>
      </c>
      <c r="G892" s="130" t="n">
        <v>7182222</v>
      </c>
      <c r="H892" s="131" t="n">
        <v>823</v>
      </c>
      <c r="I892" s="132" t="n">
        <v>0.27</v>
      </c>
      <c r="J892" s="132" t="n">
        <v>0.35</v>
      </c>
      <c r="K892" s="130" t="n">
        <v>9.01569359885512</v>
      </c>
      <c r="L892" s="132" t="n">
        <v>0.35</v>
      </c>
      <c r="M892" s="131" t="s">
        <v>61</v>
      </c>
      <c r="N892" s="133" t="n">
        <v>0.886505930579475</v>
      </c>
      <c r="O892" s="133" t="n">
        <v>9.01569359885512</v>
      </c>
      <c r="P892" s="132" t="n">
        <v>0.006</v>
      </c>
      <c r="Q892" s="131" t="s">
        <v>130</v>
      </c>
      <c r="R892" s="130" t="n">
        <v>74338000</v>
      </c>
      <c r="S892" s="143" t="n">
        <v>0</v>
      </c>
      <c r="T892" s="134" t="n">
        <v>45643.6260646991</v>
      </c>
    </row>
    <row r="893" customFormat="false" ht="39.75" hidden="false" customHeight="true" outlineLevel="0" collapsed="false">
      <c r="B893" s="130" t="n">
        <v>94074257</v>
      </c>
      <c r="C893" s="131" t="s">
        <v>868</v>
      </c>
      <c r="D893" s="131" t="s">
        <v>158</v>
      </c>
      <c r="E893" s="130" t="n">
        <v>41866386</v>
      </c>
      <c r="F893" s="131" t="s">
        <v>16</v>
      </c>
      <c r="G893" s="130" t="n">
        <v>10000000</v>
      </c>
      <c r="H893" s="131" t="n">
        <v>574</v>
      </c>
      <c r="I893" s="132" t="n">
        <v>0.41</v>
      </c>
      <c r="J893" s="132" t="n">
        <v>0.43</v>
      </c>
      <c r="K893" s="130" t="n">
        <v>13.3280547310675</v>
      </c>
      <c r="L893" s="132" t="n">
        <v>0.43</v>
      </c>
      <c r="M893" s="131" t="s">
        <v>64</v>
      </c>
      <c r="N893" s="133" t="n">
        <v>2.00030579520286</v>
      </c>
      <c r="O893" s="133" t="n">
        <v>13.3280547310675</v>
      </c>
      <c r="P893" s="132" t="n">
        <v>0.006</v>
      </c>
      <c r="Q893" s="131" t="s">
        <v>130</v>
      </c>
      <c r="R893" s="130" t="n">
        <v>551879000</v>
      </c>
      <c r="S893" s="143" t="s">
        <v>869</v>
      </c>
      <c r="T893" s="134" t="n">
        <v>45643.6302971065</v>
      </c>
    </row>
    <row r="894" customFormat="false" ht="39.75" hidden="false" customHeight="true" outlineLevel="0" collapsed="false">
      <c r="B894" s="130" t="n">
        <v>1112480962</v>
      </c>
      <c r="C894" s="131" t="s">
        <v>870</v>
      </c>
      <c r="D894" s="131" t="s">
        <v>135</v>
      </c>
      <c r="E894" s="130" t="n">
        <v>2893800</v>
      </c>
      <c r="F894" s="131" t="s">
        <v>14</v>
      </c>
      <c r="G894" s="130" t="n">
        <v>6400000</v>
      </c>
      <c r="H894" s="131" t="n">
        <v>726</v>
      </c>
      <c r="I894" s="132" t="n">
        <v>0.59</v>
      </c>
      <c r="J894" s="132" t="n">
        <v>0.63</v>
      </c>
      <c r="K894" s="130" t="n">
        <v>15.6126131729905</v>
      </c>
      <c r="L894" s="132" t="n">
        <v>0.63</v>
      </c>
      <c r="M894" s="131" t="s">
        <v>64</v>
      </c>
      <c r="N894" s="133" t="n">
        <v>2.91981235745387</v>
      </c>
      <c r="O894" s="133" t="n">
        <v>15.6126131729905</v>
      </c>
      <c r="P894" s="132" t="n">
        <v>0.0187</v>
      </c>
      <c r="Q894" s="131" t="s">
        <v>130</v>
      </c>
      <c r="R894" s="130" t="n">
        <v>43457000</v>
      </c>
      <c r="S894" s="143" t="s">
        <v>871</v>
      </c>
      <c r="T894" s="134" t="n">
        <v>45665.385453125</v>
      </c>
    </row>
    <row r="895" customFormat="false" ht="39.75" hidden="false" customHeight="true" outlineLevel="0" collapsed="false">
      <c r="B895" s="130" t="n">
        <v>1112491402</v>
      </c>
      <c r="C895" s="131" t="s">
        <v>872</v>
      </c>
      <c r="D895" s="131" t="s">
        <v>135</v>
      </c>
      <c r="E895" s="130" t="n">
        <v>2893800</v>
      </c>
      <c r="F895" s="131" t="s">
        <v>14</v>
      </c>
      <c r="G895" s="130" t="n">
        <v>6300000</v>
      </c>
      <c r="H895" s="131" t="n">
        <v>603</v>
      </c>
      <c r="I895" s="132" t="n">
        <v>0.41</v>
      </c>
      <c r="J895" s="132" t="n">
        <v>0.5</v>
      </c>
      <c r="K895" s="130" t="n">
        <v>14.5496924459189</v>
      </c>
      <c r="L895" s="132" t="n">
        <v>0.5</v>
      </c>
      <c r="M895" s="131" t="s">
        <v>64</v>
      </c>
      <c r="N895" s="133" t="n">
        <v>1.42273688575575</v>
      </c>
      <c r="O895" s="133" t="n">
        <v>14.5496924459189</v>
      </c>
      <c r="P895" s="132" t="n">
        <v>0.0187</v>
      </c>
      <c r="Q895" s="131" t="s">
        <v>130</v>
      </c>
      <c r="R895" s="130" t="n">
        <v>40541000</v>
      </c>
      <c r="S895" s="143" t="n">
        <v>0</v>
      </c>
      <c r="T895" s="134" t="n">
        <v>45665.4028413195</v>
      </c>
    </row>
    <row r="896" customFormat="false" ht="39.75" hidden="false" customHeight="true" outlineLevel="0" collapsed="false">
      <c r="B896" s="130" t="n">
        <v>1002954062</v>
      </c>
      <c r="C896" s="131" t="s">
        <v>873</v>
      </c>
      <c r="D896" s="131" t="s">
        <v>135</v>
      </c>
      <c r="E896" s="130" t="n">
        <v>2255900</v>
      </c>
      <c r="F896" s="131" t="s">
        <v>14</v>
      </c>
      <c r="G896" s="130" t="n">
        <v>5000000</v>
      </c>
      <c r="H896" s="131" t="n">
        <v>756</v>
      </c>
      <c r="I896" s="132" t="n">
        <v>0.07</v>
      </c>
      <c r="J896" s="132" t="n">
        <v>0.19</v>
      </c>
      <c r="K896" s="130" t="n">
        <v>1.16671838290704</v>
      </c>
      <c r="L896" s="132" t="n">
        <v>0.19</v>
      </c>
      <c r="M896" s="131" t="s">
        <v>64</v>
      </c>
      <c r="N896" s="133" t="n">
        <v>0.792318808457822</v>
      </c>
      <c r="O896" s="133" t="n">
        <v>1.16671838290704</v>
      </c>
      <c r="P896" s="132" t="n">
        <v>0.0187</v>
      </c>
      <c r="Q896" s="131" t="s">
        <v>130</v>
      </c>
      <c r="R896" s="130" t="n">
        <v>2632000</v>
      </c>
      <c r="S896" s="143" t="n">
        <v>0</v>
      </c>
      <c r="T896" s="134" t="n">
        <v>45665.4071409722</v>
      </c>
    </row>
    <row r="897" customFormat="false" ht="39.75" hidden="false" customHeight="true" outlineLevel="0" collapsed="false">
      <c r="B897" s="130" t="n">
        <v>1234188409</v>
      </c>
      <c r="C897" s="131" t="s">
        <v>575</v>
      </c>
      <c r="D897" s="131" t="s">
        <v>135</v>
      </c>
      <c r="E897" s="130" t="n">
        <v>2893800</v>
      </c>
      <c r="F897" s="131" t="s">
        <v>19</v>
      </c>
      <c r="G897" s="130" t="n">
        <v>5000000</v>
      </c>
      <c r="H897" s="131" t="n">
        <v>716</v>
      </c>
      <c r="I897" s="132" t="n">
        <v>0.46</v>
      </c>
      <c r="J897" s="132" t="n">
        <v>0.51</v>
      </c>
      <c r="K897" s="130" t="n">
        <v>14.6295528371</v>
      </c>
      <c r="L897" s="132" t="n">
        <v>0.51</v>
      </c>
      <c r="M897" s="131" t="s">
        <v>64</v>
      </c>
      <c r="N897" s="133" t="n">
        <v>1.00335199391803</v>
      </c>
      <c r="O897" s="133" t="n">
        <v>14.6295528371</v>
      </c>
      <c r="P897" s="132" t="n">
        <v>0.006</v>
      </c>
      <c r="Q897" s="131" t="s">
        <v>130</v>
      </c>
      <c r="R897" s="130" t="n">
        <v>42335000</v>
      </c>
      <c r="S897" s="143" t="n">
        <v>0</v>
      </c>
      <c r="T897" s="134" t="n">
        <v>45665.4126821759</v>
      </c>
    </row>
    <row r="898" customFormat="false" ht="39.75" hidden="false" customHeight="true" outlineLevel="0" collapsed="false">
      <c r="B898" s="130" t="n">
        <v>14839121</v>
      </c>
      <c r="C898" s="131" t="s">
        <v>744</v>
      </c>
      <c r="D898" s="131" t="s">
        <v>135</v>
      </c>
      <c r="E898" s="130" t="n">
        <v>1918500</v>
      </c>
      <c r="F898" s="131" t="s">
        <v>14</v>
      </c>
      <c r="G898" s="130" t="n">
        <v>4400000</v>
      </c>
      <c r="H898" s="131" t="n">
        <v>762</v>
      </c>
      <c r="I898" s="132" t="n">
        <v>0.46</v>
      </c>
      <c r="J898" s="132" t="n">
        <v>0.53</v>
      </c>
      <c r="K898" s="130" t="n">
        <v>11.9410998175658</v>
      </c>
      <c r="L898" s="132" t="n">
        <v>0.53</v>
      </c>
      <c r="M898" s="131" t="s">
        <v>64</v>
      </c>
      <c r="N898" s="133" t="n">
        <v>1.3059483971853</v>
      </c>
      <c r="O898" s="133" t="n">
        <v>11.9410998175658</v>
      </c>
      <c r="P898" s="132" t="n">
        <v>0.018</v>
      </c>
      <c r="Q898" s="131" t="s">
        <v>130</v>
      </c>
      <c r="R898" s="130" t="n">
        <v>22909000</v>
      </c>
      <c r="S898" s="143" t="n">
        <v>0</v>
      </c>
      <c r="T898" s="134" t="n">
        <v>45665.4245861111</v>
      </c>
    </row>
    <row r="899" customFormat="false" ht="39.75" hidden="false" customHeight="true" outlineLevel="0" collapsed="false">
      <c r="B899" s="130" t="n">
        <v>66661771</v>
      </c>
      <c r="C899" s="131" t="s">
        <v>874</v>
      </c>
      <c r="D899" s="131" t="s">
        <v>135</v>
      </c>
      <c r="E899" s="130" t="n">
        <v>2893800</v>
      </c>
      <c r="F899" s="131" t="s">
        <v>8</v>
      </c>
      <c r="G899" s="130" t="n">
        <v>11800000</v>
      </c>
      <c r="H899" s="131" t="n">
        <v>844</v>
      </c>
      <c r="I899" s="132" t="n">
        <v>0.31</v>
      </c>
      <c r="J899" s="132" t="n">
        <v>0.42</v>
      </c>
      <c r="K899" s="130" t="n">
        <v>10.6690165180731</v>
      </c>
      <c r="L899" s="132" t="n">
        <v>0.42</v>
      </c>
      <c r="M899" s="131" t="s">
        <v>62</v>
      </c>
      <c r="N899" s="133" t="n">
        <v>1.08572672610408</v>
      </c>
      <c r="O899" s="133" t="n">
        <v>10.6690165180731</v>
      </c>
      <c r="P899" s="132" t="n">
        <v>0.0145</v>
      </c>
      <c r="Q899" s="131" t="s">
        <v>130</v>
      </c>
      <c r="R899" s="130" t="n">
        <v>30874000</v>
      </c>
      <c r="S899" s="143" t="n">
        <v>0</v>
      </c>
      <c r="T899" s="134" t="n">
        <v>45665.4315260417</v>
      </c>
    </row>
    <row r="900" customFormat="false" ht="39.75" hidden="false" customHeight="true" outlineLevel="0" collapsed="false">
      <c r="B900" s="130" t="n">
        <v>38684944</v>
      </c>
      <c r="C900" s="131" t="s">
        <v>875</v>
      </c>
      <c r="D900" s="131" t="s">
        <v>153</v>
      </c>
      <c r="E900" s="130" t="n">
        <v>2600900</v>
      </c>
      <c r="F900" s="131" t="s">
        <v>14</v>
      </c>
      <c r="G900" s="130" t="n">
        <v>3000000</v>
      </c>
      <c r="H900" s="131" t="n">
        <v>706</v>
      </c>
      <c r="I900" s="132" t="n">
        <v>0.18</v>
      </c>
      <c r="J900" s="132" t="n">
        <v>0.25</v>
      </c>
      <c r="K900" s="130" t="n">
        <v>8.81460802030067</v>
      </c>
      <c r="L900" s="132" t="n">
        <v>0.25</v>
      </c>
      <c r="M900" s="131" t="s">
        <v>62</v>
      </c>
      <c r="N900" s="133" t="n">
        <v>0.81590334115114</v>
      </c>
      <c r="O900" s="133" t="n">
        <v>8.81460802030067</v>
      </c>
      <c r="P900" s="132" t="n">
        <v>0.0187</v>
      </c>
      <c r="Q900" s="131" t="s">
        <v>130</v>
      </c>
      <c r="R900" s="130" t="n">
        <v>5775000</v>
      </c>
      <c r="S900" s="143" t="s">
        <v>876</v>
      </c>
      <c r="T900" s="134" t="n">
        <v>45666.4607362269</v>
      </c>
    </row>
    <row r="901" customFormat="false" ht="39.75" hidden="false" customHeight="true" outlineLevel="0" collapsed="false">
      <c r="B901" s="130" t="n">
        <v>38554243</v>
      </c>
      <c r="C901" s="131" t="s">
        <v>352</v>
      </c>
      <c r="D901" s="131" t="s">
        <v>135</v>
      </c>
      <c r="E901" s="130" t="n">
        <v>2600900</v>
      </c>
      <c r="F901" s="131" t="s">
        <v>29</v>
      </c>
      <c r="G901" s="130" t="n">
        <v>1000000</v>
      </c>
      <c r="H901" s="131" t="n">
        <v>702</v>
      </c>
      <c r="I901" s="132" t="n">
        <v>0.2</v>
      </c>
      <c r="J901" s="132" t="n">
        <v>0.22</v>
      </c>
      <c r="K901" s="130" t="n">
        <v>1.5433757545465</v>
      </c>
      <c r="L901" s="132" t="n">
        <v>0.22</v>
      </c>
      <c r="M901" s="131" t="s">
        <v>64</v>
      </c>
      <c r="N901" s="133" t="n">
        <v>0.842379176438925</v>
      </c>
      <c r="O901" s="133" t="n">
        <v>1.5433757545465</v>
      </c>
      <c r="P901" s="132" t="n">
        <v>0.0187</v>
      </c>
      <c r="Q901" s="131" t="s">
        <v>130</v>
      </c>
      <c r="R901" s="130" t="n">
        <v>627000</v>
      </c>
      <c r="S901" s="143" t="n">
        <v>0</v>
      </c>
      <c r="T901" s="134" t="n">
        <v>45666.5005553241</v>
      </c>
    </row>
    <row r="902" customFormat="false" ht="39.75" hidden="false" customHeight="true" outlineLevel="0" collapsed="false">
      <c r="B902" s="130" t="n">
        <v>38684944</v>
      </c>
      <c r="C902" s="131" t="s">
        <v>875</v>
      </c>
      <c r="D902" s="131" t="s">
        <v>153</v>
      </c>
      <c r="E902" s="130" t="n">
        <v>2600900</v>
      </c>
      <c r="F902" s="131" t="s">
        <v>29</v>
      </c>
      <c r="G902" s="130" t="n">
        <v>3000000</v>
      </c>
      <c r="H902" s="131" t="n">
        <v>706</v>
      </c>
      <c r="I902" s="132" t="n">
        <v>0.36</v>
      </c>
      <c r="J902" s="132" t="n">
        <v>0.43</v>
      </c>
      <c r="K902" s="130" t="n">
        <v>8.81460802030067</v>
      </c>
      <c r="L902" s="132" t="n">
        <v>0.43</v>
      </c>
      <c r="M902" s="131" t="s">
        <v>62</v>
      </c>
      <c r="N902" s="133" t="n">
        <v>0.983368833865201</v>
      </c>
      <c r="O902" s="133" t="n">
        <v>8.81460802030067</v>
      </c>
      <c r="P902" s="132" t="n">
        <v>0.0187</v>
      </c>
      <c r="Q902" s="131" t="s">
        <v>130</v>
      </c>
      <c r="R902" s="130" t="n">
        <v>5775000</v>
      </c>
      <c r="S902" s="143" t="s">
        <v>877</v>
      </c>
      <c r="T902" s="134" t="n">
        <v>45667.3062530093</v>
      </c>
    </row>
    <row r="903" customFormat="false" ht="39.75" hidden="false" customHeight="true" outlineLevel="0" collapsed="false">
      <c r="B903" s="130" t="n">
        <v>1144179107</v>
      </c>
      <c r="C903" s="131" t="s">
        <v>169</v>
      </c>
      <c r="D903" s="131" t="s">
        <v>135</v>
      </c>
      <c r="E903" s="130" t="n">
        <v>2893800</v>
      </c>
      <c r="F903" s="131" t="s">
        <v>29</v>
      </c>
      <c r="G903" s="130" t="n">
        <v>1600000</v>
      </c>
      <c r="H903" s="131" t="n">
        <v>710</v>
      </c>
      <c r="I903" s="132" t="n">
        <v>0.32</v>
      </c>
      <c r="J903" s="132" t="n">
        <v>0.38</v>
      </c>
      <c r="K903" s="130" t="n">
        <v>5.95895258829221</v>
      </c>
      <c r="L903" s="132" t="n">
        <v>0.38</v>
      </c>
      <c r="M903" s="131" t="s">
        <v>64</v>
      </c>
      <c r="N903" s="133" t="n">
        <v>1.03205819337895</v>
      </c>
      <c r="O903" s="133" t="n">
        <v>5.95895258829221</v>
      </c>
      <c r="P903" s="132" t="n">
        <v>0.0187</v>
      </c>
      <c r="Q903" s="131" t="s">
        <v>130</v>
      </c>
      <c r="R903" s="130" t="n">
        <v>13619000</v>
      </c>
      <c r="S903" s="143" t="n">
        <v>0</v>
      </c>
      <c r="T903" s="134" t="n">
        <v>45667.334919213</v>
      </c>
    </row>
    <row r="904" customFormat="false" ht="39.75" hidden="false" customHeight="true" outlineLevel="0" collapsed="false">
      <c r="S904" s="143"/>
    </row>
    <row r="905" customFormat="false" ht="39.75" hidden="false" customHeight="true" outlineLevel="0" collapsed="false">
      <c r="S905" s="143"/>
    </row>
    <row r="906" customFormat="false" ht="39.75" hidden="false" customHeight="true" outlineLevel="0" collapsed="false">
      <c r="S906" s="143"/>
    </row>
    <row r="907" customFormat="false" ht="39.75" hidden="false" customHeight="true" outlineLevel="0" collapsed="false">
      <c r="S907" s="143"/>
    </row>
    <row r="908" customFormat="false" ht="39.75" hidden="false" customHeight="true" outlineLevel="0" collapsed="false">
      <c r="S908" s="143"/>
    </row>
    <row r="909" customFormat="false" ht="39.75" hidden="false" customHeight="true" outlineLevel="0" collapsed="false">
      <c r="S909" s="143"/>
    </row>
    <row r="910" customFormat="false" ht="39.75" hidden="false" customHeight="true" outlineLevel="0" collapsed="false">
      <c r="S910" s="143"/>
    </row>
    <row r="911" customFormat="false" ht="39.75" hidden="false" customHeight="true" outlineLevel="0" collapsed="false">
      <c r="S911" s="143"/>
    </row>
    <row r="912" customFormat="false" ht="39.75" hidden="false" customHeight="true" outlineLevel="0" collapsed="false">
      <c r="S912" s="143"/>
    </row>
    <row r="913" customFormat="false" ht="39.75" hidden="false" customHeight="true" outlineLevel="0" collapsed="false">
      <c r="S913" s="143"/>
    </row>
    <row r="914" customFormat="false" ht="39.75" hidden="false" customHeight="true" outlineLevel="0" collapsed="false">
      <c r="S914" s="143"/>
    </row>
    <row r="915" customFormat="false" ht="39.75" hidden="false" customHeight="true" outlineLevel="0" collapsed="false">
      <c r="S915" s="143"/>
    </row>
    <row r="916" customFormat="false" ht="39.75" hidden="false" customHeight="true" outlineLevel="0" collapsed="false">
      <c r="S916" s="143"/>
    </row>
    <row r="917" customFormat="false" ht="39.75" hidden="false" customHeight="true" outlineLevel="0" collapsed="false">
      <c r="S917" s="143"/>
    </row>
    <row r="918" customFormat="false" ht="39.75" hidden="false" customHeight="true" outlineLevel="0" collapsed="false">
      <c r="S918" s="143"/>
    </row>
    <row r="919" customFormat="false" ht="39.75" hidden="false" customHeight="true" outlineLevel="0" collapsed="false">
      <c r="S919" s="143"/>
    </row>
    <row r="920" customFormat="false" ht="39.75" hidden="false" customHeight="true" outlineLevel="0" collapsed="false">
      <c r="S920" s="143"/>
    </row>
    <row r="921" customFormat="false" ht="39.75" hidden="false" customHeight="true" outlineLevel="0" collapsed="false">
      <c r="S921" s="143"/>
    </row>
    <row r="922" customFormat="false" ht="39.75" hidden="false" customHeight="true" outlineLevel="0" collapsed="false">
      <c r="S922" s="143"/>
    </row>
    <row r="923" customFormat="false" ht="39.75" hidden="false" customHeight="true" outlineLevel="0" collapsed="false">
      <c r="S923" s="143"/>
    </row>
    <row r="924" customFormat="false" ht="39.75" hidden="false" customHeight="true" outlineLevel="0" collapsed="false">
      <c r="S924" s="143"/>
    </row>
    <row r="925" customFormat="false" ht="39.75" hidden="false" customHeight="true" outlineLevel="0" collapsed="false">
      <c r="S925" s="143"/>
    </row>
    <row r="926" customFormat="false" ht="39.75" hidden="false" customHeight="true" outlineLevel="0" collapsed="false">
      <c r="S926" s="143"/>
    </row>
    <row r="927" customFormat="false" ht="39.75" hidden="false" customHeight="true" outlineLevel="0" collapsed="false">
      <c r="S927" s="143"/>
    </row>
    <row r="928" customFormat="false" ht="39.75" hidden="false" customHeight="true" outlineLevel="0" collapsed="false">
      <c r="S928" s="143"/>
    </row>
    <row r="929" customFormat="false" ht="39.75" hidden="false" customHeight="true" outlineLevel="0" collapsed="false">
      <c r="S929" s="143"/>
    </row>
    <row r="930" customFormat="false" ht="39.75" hidden="false" customHeight="true" outlineLevel="0" collapsed="false">
      <c r="S930" s="143"/>
    </row>
    <row r="931" customFormat="false" ht="39.75" hidden="false" customHeight="true" outlineLevel="0" collapsed="false">
      <c r="S931" s="143"/>
    </row>
    <row r="932" customFormat="false" ht="39.75" hidden="false" customHeight="true" outlineLevel="0" collapsed="false">
      <c r="S932" s="143"/>
    </row>
    <row r="933" customFormat="false" ht="39.75" hidden="false" customHeight="true" outlineLevel="0" collapsed="false">
      <c r="S933" s="143"/>
    </row>
    <row r="934" customFormat="false" ht="39.75" hidden="false" customHeight="true" outlineLevel="0" collapsed="false">
      <c r="S934" s="143"/>
    </row>
    <row r="935" customFormat="false" ht="39.75" hidden="false" customHeight="true" outlineLevel="0" collapsed="false">
      <c r="S935" s="143"/>
    </row>
    <row r="936" customFormat="false" ht="39.75" hidden="false" customHeight="true" outlineLevel="0" collapsed="false">
      <c r="S936" s="143"/>
    </row>
    <row r="937" customFormat="false" ht="39.75" hidden="false" customHeight="true" outlineLevel="0" collapsed="false">
      <c r="S937" s="143"/>
    </row>
    <row r="938" customFormat="false" ht="39.75" hidden="false" customHeight="true" outlineLevel="0" collapsed="false">
      <c r="S938" s="143"/>
    </row>
    <row r="939" customFormat="false" ht="39.75" hidden="false" customHeight="true" outlineLevel="0" collapsed="false">
      <c r="S939" s="143"/>
    </row>
    <row r="940" customFormat="false" ht="39.75" hidden="false" customHeight="true" outlineLevel="0" collapsed="false">
      <c r="S940" s="143"/>
    </row>
    <row r="941" customFormat="false" ht="39.75" hidden="false" customHeight="true" outlineLevel="0" collapsed="false">
      <c r="S941" s="143"/>
    </row>
    <row r="942" customFormat="false" ht="39.75" hidden="false" customHeight="true" outlineLevel="0" collapsed="false">
      <c r="S942" s="143"/>
    </row>
    <row r="943" customFormat="false" ht="39.75" hidden="false" customHeight="true" outlineLevel="0" collapsed="false">
      <c r="S943" s="143"/>
    </row>
    <row r="944" customFormat="false" ht="39.75" hidden="false" customHeight="true" outlineLevel="0" collapsed="false">
      <c r="S944" s="143"/>
    </row>
    <row r="945" customFormat="false" ht="39.75" hidden="false" customHeight="true" outlineLevel="0" collapsed="false">
      <c r="S945" s="143"/>
    </row>
    <row r="946" customFormat="false" ht="39.75" hidden="false" customHeight="true" outlineLevel="0" collapsed="false">
      <c r="S946" s="143"/>
    </row>
    <row r="947" customFormat="false" ht="39.75" hidden="false" customHeight="true" outlineLevel="0" collapsed="false">
      <c r="S947" s="143"/>
    </row>
    <row r="948" customFormat="false" ht="39.75" hidden="false" customHeight="true" outlineLevel="0" collapsed="false">
      <c r="S948" s="143"/>
    </row>
    <row r="949" customFormat="false" ht="39.75" hidden="false" customHeight="true" outlineLevel="0" collapsed="false">
      <c r="S949" s="143"/>
    </row>
    <row r="950" customFormat="false" ht="39.75" hidden="false" customHeight="true" outlineLevel="0" collapsed="false">
      <c r="S950" s="143"/>
    </row>
    <row r="951" customFormat="false" ht="39.75" hidden="false" customHeight="true" outlineLevel="0" collapsed="false">
      <c r="S951" s="143"/>
    </row>
    <row r="952" customFormat="false" ht="39.75" hidden="false" customHeight="true" outlineLevel="0" collapsed="false">
      <c r="S952" s="143"/>
    </row>
    <row r="953" customFormat="false" ht="39.75" hidden="false" customHeight="true" outlineLevel="0" collapsed="false">
      <c r="S953" s="143"/>
    </row>
    <row r="954" customFormat="false" ht="39.75" hidden="false" customHeight="true" outlineLevel="0" collapsed="false">
      <c r="S954" s="143"/>
    </row>
    <row r="955" customFormat="false" ht="39.75" hidden="false" customHeight="true" outlineLevel="0" collapsed="false">
      <c r="S955" s="143"/>
    </row>
    <row r="956" customFormat="false" ht="39.75" hidden="false" customHeight="true" outlineLevel="0" collapsed="false">
      <c r="S956" s="143"/>
    </row>
    <row r="957" customFormat="false" ht="39.75" hidden="false" customHeight="true" outlineLevel="0" collapsed="false">
      <c r="S957" s="143"/>
    </row>
    <row r="958" customFormat="false" ht="39.75" hidden="false" customHeight="true" outlineLevel="0" collapsed="false">
      <c r="S958" s="143"/>
    </row>
    <row r="959" customFormat="false" ht="39.75" hidden="false" customHeight="true" outlineLevel="0" collapsed="false">
      <c r="S959" s="143"/>
    </row>
    <row r="960" customFormat="false" ht="39.75" hidden="false" customHeight="true" outlineLevel="0" collapsed="false">
      <c r="S960" s="143"/>
    </row>
    <row r="961" customFormat="false" ht="39.75" hidden="false" customHeight="true" outlineLevel="0" collapsed="false">
      <c r="S961" s="143"/>
    </row>
    <row r="962" customFormat="false" ht="39.75" hidden="false" customHeight="true" outlineLevel="0" collapsed="false">
      <c r="S962" s="143"/>
    </row>
    <row r="963" customFormat="false" ht="39.75" hidden="false" customHeight="true" outlineLevel="0" collapsed="false">
      <c r="S963" s="143"/>
    </row>
    <row r="964" customFormat="false" ht="39.75" hidden="false" customHeight="true" outlineLevel="0" collapsed="false">
      <c r="S964" s="143"/>
    </row>
    <row r="965" customFormat="false" ht="39.75" hidden="false" customHeight="true" outlineLevel="0" collapsed="false">
      <c r="S965" s="143"/>
    </row>
    <row r="966" customFormat="false" ht="39.75" hidden="false" customHeight="true" outlineLevel="0" collapsed="false">
      <c r="S966" s="143"/>
    </row>
    <row r="967" customFormat="false" ht="39.75" hidden="false" customHeight="true" outlineLevel="0" collapsed="false">
      <c r="S967" s="143"/>
    </row>
    <row r="968" customFormat="false" ht="39.75" hidden="false" customHeight="true" outlineLevel="0" collapsed="false">
      <c r="S968" s="143"/>
    </row>
    <row r="969" customFormat="false" ht="39.75" hidden="false" customHeight="true" outlineLevel="0" collapsed="false">
      <c r="S969" s="143"/>
    </row>
    <row r="970" customFormat="false" ht="39.75" hidden="false" customHeight="true" outlineLevel="0" collapsed="false">
      <c r="S970" s="143"/>
    </row>
    <row r="971" customFormat="false" ht="39.75" hidden="false" customHeight="true" outlineLevel="0" collapsed="false">
      <c r="S971" s="143"/>
    </row>
    <row r="972" customFormat="false" ht="39.75" hidden="false" customHeight="true" outlineLevel="0" collapsed="false">
      <c r="S972" s="143"/>
    </row>
    <row r="973" customFormat="false" ht="39.75" hidden="false" customHeight="true" outlineLevel="0" collapsed="false">
      <c r="S973" s="143"/>
    </row>
    <row r="974" customFormat="false" ht="39.75" hidden="false" customHeight="true" outlineLevel="0" collapsed="false">
      <c r="S974" s="143"/>
    </row>
    <row r="975" customFormat="false" ht="39.75" hidden="false" customHeight="true" outlineLevel="0" collapsed="false">
      <c r="S975" s="143"/>
    </row>
    <row r="976" customFormat="false" ht="39.75" hidden="false" customHeight="true" outlineLevel="0" collapsed="false">
      <c r="S976" s="143"/>
    </row>
    <row r="977" customFormat="false" ht="39.75" hidden="false" customHeight="true" outlineLevel="0" collapsed="false">
      <c r="S977" s="143"/>
    </row>
    <row r="978" customFormat="false" ht="39.75" hidden="false" customHeight="true" outlineLevel="0" collapsed="false">
      <c r="S978" s="143"/>
    </row>
    <row r="979" customFormat="false" ht="39.75" hidden="false" customHeight="true" outlineLevel="0" collapsed="false">
      <c r="S979" s="143"/>
    </row>
    <row r="980" customFormat="false" ht="39.75" hidden="false" customHeight="true" outlineLevel="0" collapsed="false">
      <c r="S980" s="143"/>
    </row>
    <row r="981" customFormat="false" ht="39.75" hidden="false" customHeight="true" outlineLevel="0" collapsed="false">
      <c r="S981" s="143"/>
    </row>
    <row r="982" customFormat="false" ht="39.75" hidden="false" customHeight="true" outlineLevel="0" collapsed="false">
      <c r="S982" s="143"/>
    </row>
    <row r="983" customFormat="false" ht="39.75" hidden="false" customHeight="true" outlineLevel="0" collapsed="false">
      <c r="S983" s="143"/>
    </row>
    <row r="984" customFormat="false" ht="39.75" hidden="false" customHeight="true" outlineLevel="0" collapsed="false">
      <c r="S984" s="143"/>
    </row>
    <row r="985" customFormat="false" ht="39.75" hidden="false" customHeight="true" outlineLevel="0" collapsed="false">
      <c r="S985" s="143"/>
    </row>
    <row r="986" customFormat="false" ht="39.75" hidden="false" customHeight="true" outlineLevel="0" collapsed="false">
      <c r="S986" s="143"/>
    </row>
    <row r="987" customFormat="false" ht="39.75" hidden="false" customHeight="true" outlineLevel="0" collapsed="false">
      <c r="S987" s="143"/>
    </row>
    <row r="988" customFormat="false" ht="39.75" hidden="false" customHeight="true" outlineLevel="0" collapsed="false">
      <c r="S988" s="143"/>
    </row>
    <row r="989" customFormat="false" ht="39.75" hidden="false" customHeight="true" outlineLevel="0" collapsed="false">
      <c r="S989" s="143"/>
    </row>
    <row r="990" customFormat="false" ht="39.75" hidden="false" customHeight="true" outlineLevel="0" collapsed="false">
      <c r="S990" s="143"/>
    </row>
    <row r="991" customFormat="false" ht="39.75" hidden="false" customHeight="true" outlineLevel="0" collapsed="false">
      <c r="S991" s="143"/>
    </row>
    <row r="992" customFormat="false" ht="39.75" hidden="false" customHeight="true" outlineLevel="0" collapsed="false">
      <c r="S992" s="143"/>
    </row>
    <row r="993" customFormat="false" ht="39.75" hidden="false" customHeight="true" outlineLevel="0" collapsed="false">
      <c r="S993" s="143"/>
    </row>
    <row r="994" customFormat="false" ht="39.75" hidden="false" customHeight="true" outlineLevel="0" collapsed="false">
      <c r="S994" s="143"/>
    </row>
    <row r="995" customFormat="false" ht="39.75" hidden="false" customHeight="true" outlineLevel="0" collapsed="false">
      <c r="S995" s="143"/>
    </row>
    <row r="996" customFormat="false" ht="39.75" hidden="false" customHeight="true" outlineLevel="0" collapsed="false">
      <c r="S996" s="143"/>
    </row>
    <row r="997" customFormat="false" ht="39.75" hidden="false" customHeight="true" outlineLevel="0" collapsed="false">
      <c r="S997" s="143"/>
    </row>
    <row r="998" customFormat="false" ht="39.75" hidden="false" customHeight="true" outlineLevel="0" collapsed="false">
      <c r="S998" s="143"/>
    </row>
    <row r="999" customFormat="false" ht="39.75" hidden="false" customHeight="true" outlineLevel="0" collapsed="false">
      <c r="S999" s="143"/>
    </row>
    <row r="1000" customFormat="false" ht="39.75" hidden="false" customHeight="true" outlineLevel="0" collapsed="false">
      <c r="S1000" s="143"/>
    </row>
    <row r="1001" customFormat="false" ht="39.75" hidden="false" customHeight="true" outlineLevel="0" collapsed="false">
      <c r="S1001" s="143"/>
    </row>
    <row r="1002" customFormat="false" ht="39.75" hidden="false" customHeight="true" outlineLevel="0" collapsed="false">
      <c r="S1002" s="143"/>
    </row>
    <row r="1003" customFormat="false" ht="39.75" hidden="false" customHeight="true" outlineLevel="0" collapsed="false">
      <c r="S1003" s="143"/>
    </row>
    <row r="1004" customFormat="false" ht="39.75" hidden="false" customHeight="true" outlineLevel="0" collapsed="false">
      <c r="S1004" s="143"/>
    </row>
    <row r="1005" customFormat="false" ht="39.75" hidden="false" customHeight="true" outlineLevel="0" collapsed="false">
      <c r="S1005" s="143"/>
    </row>
    <row r="1006" customFormat="false" ht="39.75" hidden="false" customHeight="true" outlineLevel="0" collapsed="false">
      <c r="S1006" s="143"/>
    </row>
    <row r="1007" customFormat="false" ht="39.75" hidden="false" customHeight="true" outlineLevel="0" collapsed="false">
      <c r="S1007" s="143"/>
    </row>
    <row r="1008" customFormat="false" ht="39.75" hidden="false" customHeight="true" outlineLevel="0" collapsed="false">
      <c r="S1008" s="143"/>
    </row>
    <row r="1009" customFormat="false" ht="39.75" hidden="false" customHeight="true" outlineLevel="0" collapsed="false">
      <c r="S1009" s="143"/>
    </row>
    <row r="1010" customFormat="false" ht="39.75" hidden="false" customHeight="true" outlineLevel="0" collapsed="false">
      <c r="S1010" s="143"/>
    </row>
    <row r="1011" customFormat="false" ht="39.75" hidden="false" customHeight="true" outlineLevel="0" collapsed="false">
      <c r="S1011" s="143"/>
    </row>
    <row r="1012" customFormat="false" ht="39.75" hidden="false" customHeight="true" outlineLevel="0" collapsed="false">
      <c r="S1012" s="143"/>
    </row>
    <row r="1013" customFormat="false" ht="39.75" hidden="false" customHeight="true" outlineLevel="0" collapsed="false">
      <c r="S1013" s="143"/>
    </row>
    <row r="1014" customFormat="false" ht="39.75" hidden="false" customHeight="true" outlineLevel="0" collapsed="false">
      <c r="S1014" s="143"/>
    </row>
    <row r="1015" customFormat="false" ht="39.75" hidden="false" customHeight="true" outlineLevel="0" collapsed="false">
      <c r="S1015" s="143"/>
    </row>
    <row r="1016" customFormat="false" ht="39.75" hidden="false" customHeight="true" outlineLevel="0" collapsed="false">
      <c r="S1016" s="143"/>
    </row>
    <row r="1017" customFormat="false" ht="39.75" hidden="false" customHeight="true" outlineLevel="0" collapsed="false">
      <c r="S1017" s="143"/>
    </row>
    <row r="1018" customFormat="false" ht="39.75" hidden="false" customHeight="true" outlineLevel="0" collapsed="false">
      <c r="S1018" s="143"/>
    </row>
    <row r="1019" customFormat="false" ht="39.75" hidden="false" customHeight="true" outlineLevel="0" collapsed="false">
      <c r="S1019" s="143"/>
    </row>
    <row r="1020" customFormat="false" ht="39.75" hidden="false" customHeight="true" outlineLevel="0" collapsed="false">
      <c r="S1020" s="143"/>
    </row>
    <row r="1021" customFormat="false" ht="39.75" hidden="false" customHeight="true" outlineLevel="0" collapsed="false">
      <c r="S1021" s="143"/>
    </row>
    <row r="1022" customFormat="false" ht="39.75" hidden="false" customHeight="true" outlineLevel="0" collapsed="false">
      <c r="S1022" s="143"/>
    </row>
    <row r="1023" customFormat="false" ht="39.75" hidden="false" customHeight="true" outlineLevel="0" collapsed="false">
      <c r="S1023" s="143"/>
    </row>
    <row r="1024" customFormat="false" ht="39.75" hidden="false" customHeight="true" outlineLevel="0" collapsed="false">
      <c r="S1024" s="143"/>
    </row>
    <row r="1025" customFormat="false" ht="39.75" hidden="false" customHeight="true" outlineLevel="0" collapsed="false">
      <c r="S1025" s="143"/>
    </row>
    <row r="1026" customFormat="false" ht="39.75" hidden="false" customHeight="true" outlineLevel="0" collapsed="false">
      <c r="S1026" s="143"/>
    </row>
    <row r="1027" customFormat="false" ht="39.75" hidden="false" customHeight="true" outlineLevel="0" collapsed="false">
      <c r="S1027" s="143"/>
    </row>
    <row r="1028" customFormat="false" ht="39.75" hidden="false" customHeight="true" outlineLevel="0" collapsed="false">
      <c r="S1028" s="143"/>
    </row>
    <row r="1029" customFormat="false" ht="39.75" hidden="false" customHeight="true" outlineLevel="0" collapsed="false">
      <c r="S1029" s="143"/>
    </row>
    <row r="1030" customFormat="false" ht="39.75" hidden="false" customHeight="true" outlineLevel="0" collapsed="false">
      <c r="S1030" s="143"/>
    </row>
    <row r="1031" customFormat="false" ht="39.75" hidden="false" customHeight="true" outlineLevel="0" collapsed="false">
      <c r="S1031" s="143"/>
    </row>
    <row r="1032" customFormat="false" ht="39.75" hidden="false" customHeight="true" outlineLevel="0" collapsed="false">
      <c r="S1032" s="143"/>
    </row>
    <row r="1033" customFormat="false" ht="39.75" hidden="false" customHeight="true" outlineLevel="0" collapsed="false">
      <c r="S1033" s="143"/>
    </row>
    <row r="1034" customFormat="false" ht="39.75" hidden="false" customHeight="true" outlineLevel="0" collapsed="false">
      <c r="S1034" s="143"/>
    </row>
    <row r="1035" customFormat="false" ht="39.75" hidden="false" customHeight="true" outlineLevel="0" collapsed="false">
      <c r="S1035" s="143"/>
    </row>
    <row r="1036" customFormat="false" ht="39.75" hidden="false" customHeight="true" outlineLevel="0" collapsed="false">
      <c r="S1036" s="143"/>
    </row>
    <row r="1037" customFormat="false" ht="39.75" hidden="false" customHeight="true" outlineLevel="0" collapsed="false">
      <c r="S1037" s="143"/>
    </row>
    <row r="1038" customFormat="false" ht="39.75" hidden="false" customHeight="true" outlineLevel="0" collapsed="false">
      <c r="S1038" s="143"/>
    </row>
    <row r="1039" customFormat="false" ht="39.75" hidden="false" customHeight="true" outlineLevel="0" collapsed="false">
      <c r="S1039" s="143"/>
    </row>
    <row r="1040" customFormat="false" ht="39.75" hidden="false" customHeight="true" outlineLevel="0" collapsed="false">
      <c r="S1040" s="143"/>
    </row>
    <row r="1041" customFormat="false" ht="39.75" hidden="false" customHeight="true" outlineLevel="0" collapsed="false">
      <c r="S1041" s="143"/>
    </row>
    <row r="1042" customFormat="false" ht="39.75" hidden="false" customHeight="true" outlineLevel="0" collapsed="false">
      <c r="S1042" s="143"/>
    </row>
    <row r="1043" customFormat="false" ht="39.75" hidden="false" customHeight="true" outlineLevel="0" collapsed="false">
      <c r="S1043" s="143"/>
    </row>
    <row r="1044" customFormat="false" ht="39.75" hidden="false" customHeight="true" outlineLevel="0" collapsed="false">
      <c r="S1044" s="143"/>
    </row>
    <row r="1045" customFormat="false" ht="39.75" hidden="false" customHeight="true" outlineLevel="0" collapsed="false">
      <c r="S1045" s="143"/>
    </row>
    <row r="1046" customFormat="false" ht="39.75" hidden="false" customHeight="true" outlineLevel="0" collapsed="false">
      <c r="S1046" s="143"/>
    </row>
    <row r="1047" customFormat="false" ht="39.75" hidden="false" customHeight="true" outlineLevel="0" collapsed="false">
      <c r="S1047" s="143"/>
    </row>
    <row r="1048" customFormat="false" ht="39.75" hidden="false" customHeight="true" outlineLevel="0" collapsed="false">
      <c r="S1048" s="143"/>
    </row>
    <row r="1049" customFormat="false" ht="39.75" hidden="false" customHeight="true" outlineLevel="0" collapsed="false">
      <c r="S1049" s="143"/>
    </row>
    <row r="1050" customFormat="false" ht="39.75" hidden="false" customHeight="true" outlineLevel="0" collapsed="false">
      <c r="S1050" s="143"/>
    </row>
    <row r="1051" customFormat="false" ht="39.75" hidden="false" customHeight="true" outlineLevel="0" collapsed="false">
      <c r="S1051" s="143"/>
    </row>
    <row r="1052" customFormat="false" ht="39.75" hidden="false" customHeight="true" outlineLevel="0" collapsed="false">
      <c r="S1052" s="143"/>
    </row>
    <row r="1053" customFormat="false" ht="39.75" hidden="false" customHeight="true" outlineLevel="0" collapsed="false">
      <c r="S1053" s="143"/>
    </row>
    <row r="1054" customFormat="false" ht="39.75" hidden="false" customHeight="true" outlineLevel="0" collapsed="false">
      <c r="S1054" s="143"/>
    </row>
    <row r="1055" customFormat="false" ht="39.75" hidden="false" customHeight="true" outlineLevel="0" collapsed="false">
      <c r="S1055" s="143"/>
    </row>
    <row r="1056" customFormat="false" ht="39.75" hidden="false" customHeight="true" outlineLevel="0" collapsed="false">
      <c r="S1056" s="143"/>
    </row>
    <row r="1057" customFormat="false" ht="39.75" hidden="false" customHeight="true" outlineLevel="0" collapsed="false">
      <c r="S1057" s="143"/>
    </row>
    <row r="1058" customFormat="false" ht="39.75" hidden="false" customHeight="true" outlineLevel="0" collapsed="false">
      <c r="S1058" s="143"/>
    </row>
    <row r="1059" customFormat="false" ht="39.75" hidden="false" customHeight="true" outlineLevel="0" collapsed="false">
      <c r="S1059" s="143"/>
    </row>
    <row r="1060" customFormat="false" ht="39.75" hidden="false" customHeight="true" outlineLevel="0" collapsed="false">
      <c r="S1060" s="143"/>
    </row>
    <row r="1061" customFormat="false" ht="39.75" hidden="false" customHeight="true" outlineLevel="0" collapsed="false">
      <c r="S1061" s="143"/>
    </row>
    <row r="1062" customFormat="false" ht="39.75" hidden="false" customHeight="true" outlineLevel="0" collapsed="false">
      <c r="S1062" s="143"/>
    </row>
    <row r="1063" customFormat="false" ht="39.75" hidden="false" customHeight="true" outlineLevel="0" collapsed="false">
      <c r="S1063" s="143"/>
    </row>
    <row r="1064" customFormat="false" ht="39.75" hidden="false" customHeight="true" outlineLevel="0" collapsed="false">
      <c r="S1064" s="143"/>
    </row>
    <row r="1065" customFormat="false" ht="39.75" hidden="false" customHeight="true" outlineLevel="0" collapsed="false">
      <c r="S1065" s="143"/>
    </row>
    <row r="1066" customFormat="false" ht="39.75" hidden="false" customHeight="true" outlineLevel="0" collapsed="false">
      <c r="S1066" s="143"/>
    </row>
    <row r="1067" customFormat="false" ht="39.75" hidden="false" customHeight="true" outlineLevel="0" collapsed="false">
      <c r="S1067" s="143"/>
    </row>
    <row r="1068" customFormat="false" ht="39.75" hidden="false" customHeight="true" outlineLevel="0" collapsed="false">
      <c r="S1068" s="143"/>
    </row>
    <row r="1069" customFormat="false" ht="39.75" hidden="false" customHeight="true" outlineLevel="0" collapsed="false">
      <c r="S1069" s="143"/>
    </row>
    <row r="1070" customFormat="false" ht="39.75" hidden="false" customHeight="true" outlineLevel="0" collapsed="false">
      <c r="S1070" s="143"/>
    </row>
    <row r="1071" customFormat="false" ht="39.75" hidden="false" customHeight="true" outlineLevel="0" collapsed="false">
      <c r="S1071" s="143"/>
    </row>
    <row r="1072" customFormat="false" ht="39.75" hidden="false" customHeight="true" outlineLevel="0" collapsed="false">
      <c r="S1072" s="143"/>
    </row>
    <row r="1073" customFormat="false" ht="39.75" hidden="false" customHeight="true" outlineLevel="0" collapsed="false">
      <c r="S1073" s="143"/>
    </row>
    <row r="1074" customFormat="false" ht="39.75" hidden="false" customHeight="true" outlineLevel="0" collapsed="false">
      <c r="S1074" s="143"/>
    </row>
    <row r="1075" customFormat="false" ht="39.75" hidden="false" customHeight="true" outlineLevel="0" collapsed="false">
      <c r="S1075" s="143"/>
    </row>
    <row r="1076" customFormat="false" ht="39.75" hidden="false" customHeight="true" outlineLevel="0" collapsed="false">
      <c r="S1076" s="143"/>
    </row>
    <row r="1077" customFormat="false" ht="39.75" hidden="false" customHeight="true" outlineLevel="0" collapsed="false">
      <c r="S1077" s="143"/>
    </row>
    <row r="1078" customFormat="false" ht="39.75" hidden="false" customHeight="true" outlineLevel="0" collapsed="false">
      <c r="S1078" s="143"/>
    </row>
    <row r="1079" customFormat="false" ht="39.75" hidden="false" customHeight="true" outlineLevel="0" collapsed="false">
      <c r="S1079" s="143"/>
    </row>
    <row r="1080" customFormat="false" ht="39.75" hidden="false" customHeight="true" outlineLevel="0" collapsed="false">
      <c r="S1080" s="143"/>
    </row>
    <row r="1081" customFormat="false" ht="39.75" hidden="false" customHeight="true" outlineLevel="0" collapsed="false">
      <c r="S1081" s="143"/>
    </row>
    <row r="1082" customFormat="false" ht="39.75" hidden="false" customHeight="true" outlineLevel="0" collapsed="false">
      <c r="S1082" s="143"/>
    </row>
    <row r="1083" customFormat="false" ht="39.75" hidden="false" customHeight="true" outlineLevel="0" collapsed="false">
      <c r="S1083" s="143"/>
    </row>
    <row r="1084" customFormat="false" ht="39.75" hidden="false" customHeight="true" outlineLevel="0" collapsed="false">
      <c r="S1084" s="143"/>
    </row>
    <row r="1085" customFormat="false" ht="39.75" hidden="false" customHeight="true" outlineLevel="0" collapsed="false">
      <c r="S1085" s="143"/>
    </row>
    <row r="1086" customFormat="false" ht="39.75" hidden="false" customHeight="true" outlineLevel="0" collapsed="false">
      <c r="S1086" s="143"/>
    </row>
    <row r="1087" customFormat="false" ht="39.75" hidden="false" customHeight="true" outlineLevel="0" collapsed="false">
      <c r="S1087" s="143"/>
    </row>
    <row r="1088" customFormat="false" ht="39.75" hidden="false" customHeight="true" outlineLevel="0" collapsed="false">
      <c r="S1088" s="143"/>
    </row>
    <row r="1089" customFormat="false" ht="39.75" hidden="false" customHeight="true" outlineLevel="0" collapsed="false">
      <c r="S1089" s="143"/>
    </row>
    <row r="1090" customFormat="false" ht="39.75" hidden="false" customHeight="true" outlineLevel="0" collapsed="false">
      <c r="S1090" s="143"/>
    </row>
    <row r="1091" customFormat="false" ht="39.75" hidden="false" customHeight="true" outlineLevel="0" collapsed="false">
      <c r="S1091" s="143"/>
    </row>
    <row r="1092" customFormat="false" ht="39.75" hidden="false" customHeight="true" outlineLevel="0" collapsed="false">
      <c r="S1092" s="143"/>
    </row>
    <row r="1093" customFormat="false" ht="39.75" hidden="false" customHeight="true" outlineLevel="0" collapsed="false">
      <c r="S1093" s="143"/>
    </row>
    <row r="1094" customFormat="false" ht="39.75" hidden="false" customHeight="true" outlineLevel="0" collapsed="false">
      <c r="S1094" s="143"/>
    </row>
    <row r="1095" customFormat="false" ht="39.75" hidden="false" customHeight="true" outlineLevel="0" collapsed="false">
      <c r="S1095" s="143"/>
    </row>
    <row r="1096" customFormat="false" ht="39.75" hidden="false" customHeight="true" outlineLevel="0" collapsed="false">
      <c r="S1096" s="143"/>
    </row>
    <row r="1097" customFormat="false" ht="39.75" hidden="false" customHeight="true" outlineLevel="0" collapsed="false">
      <c r="S1097" s="143"/>
    </row>
    <row r="1098" customFormat="false" ht="39.75" hidden="false" customHeight="true" outlineLevel="0" collapsed="false">
      <c r="S1098" s="143"/>
    </row>
    <row r="1099" customFormat="false" ht="39.75" hidden="false" customHeight="true" outlineLevel="0" collapsed="false">
      <c r="S1099" s="143"/>
    </row>
    <row r="1100" customFormat="false" ht="39.75" hidden="false" customHeight="true" outlineLevel="0" collapsed="false">
      <c r="S1100" s="143"/>
    </row>
    <row r="1101" customFormat="false" ht="39.75" hidden="false" customHeight="true" outlineLevel="0" collapsed="false">
      <c r="S1101" s="143"/>
    </row>
    <row r="1102" customFormat="false" ht="39.75" hidden="false" customHeight="true" outlineLevel="0" collapsed="false">
      <c r="S1102" s="143"/>
    </row>
    <row r="1103" customFormat="false" ht="39.75" hidden="false" customHeight="true" outlineLevel="0" collapsed="false">
      <c r="S1103" s="143"/>
    </row>
    <row r="1104" customFormat="false" ht="39.75" hidden="false" customHeight="true" outlineLevel="0" collapsed="false">
      <c r="S1104" s="143"/>
    </row>
    <row r="1105" customFormat="false" ht="39.75" hidden="false" customHeight="true" outlineLevel="0" collapsed="false">
      <c r="S1105" s="143"/>
    </row>
    <row r="1106" customFormat="false" ht="39.75" hidden="false" customHeight="true" outlineLevel="0" collapsed="false">
      <c r="S1106" s="143"/>
    </row>
    <row r="1107" customFormat="false" ht="39.75" hidden="false" customHeight="true" outlineLevel="0" collapsed="false">
      <c r="S1107" s="143"/>
    </row>
    <row r="1108" customFormat="false" ht="39.75" hidden="false" customHeight="true" outlineLevel="0" collapsed="false">
      <c r="S1108" s="143"/>
    </row>
    <row r="1109" customFormat="false" ht="39.75" hidden="false" customHeight="true" outlineLevel="0" collapsed="false">
      <c r="S1109" s="143"/>
    </row>
    <row r="1110" customFormat="false" ht="39.75" hidden="false" customHeight="true" outlineLevel="0" collapsed="false">
      <c r="S1110" s="143"/>
    </row>
    <row r="1111" customFormat="false" ht="39.75" hidden="false" customHeight="true" outlineLevel="0" collapsed="false">
      <c r="S1111" s="143"/>
    </row>
    <row r="1112" customFormat="false" ht="39.75" hidden="false" customHeight="true" outlineLevel="0" collapsed="false">
      <c r="S1112" s="143"/>
    </row>
    <row r="1113" customFormat="false" ht="39.75" hidden="false" customHeight="true" outlineLevel="0" collapsed="false">
      <c r="S1113" s="143"/>
    </row>
    <row r="1114" customFormat="false" ht="39.75" hidden="false" customHeight="true" outlineLevel="0" collapsed="false">
      <c r="S1114" s="143"/>
    </row>
    <row r="1115" customFormat="false" ht="39.75" hidden="false" customHeight="true" outlineLevel="0" collapsed="false">
      <c r="S1115" s="143"/>
    </row>
    <row r="1116" customFormat="false" ht="39.75" hidden="false" customHeight="true" outlineLevel="0" collapsed="false">
      <c r="S1116" s="143"/>
    </row>
    <row r="1117" customFormat="false" ht="39.75" hidden="false" customHeight="true" outlineLevel="0" collapsed="false">
      <c r="S1117" s="143"/>
    </row>
    <row r="1118" customFormat="false" ht="39.75" hidden="false" customHeight="true" outlineLevel="0" collapsed="false">
      <c r="S1118" s="143"/>
    </row>
    <row r="1119" customFormat="false" ht="39.75" hidden="false" customHeight="true" outlineLevel="0" collapsed="false">
      <c r="S1119" s="143"/>
    </row>
    <row r="1120" customFormat="false" ht="39.75" hidden="false" customHeight="true" outlineLevel="0" collapsed="false">
      <c r="S1120" s="143"/>
    </row>
    <row r="1121" customFormat="false" ht="39.75" hidden="false" customHeight="true" outlineLevel="0" collapsed="false">
      <c r="S1121" s="143"/>
    </row>
    <row r="1122" customFormat="false" ht="39.75" hidden="false" customHeight="true" outlineLevel="0" collapsed="false">
      <c r="S1122" s="143"/>
    </row>
    <row r="1123" customFormat="false" ht="39.75" hidden="false" customHeight="true" outlineLevel="0" collapsed="false">
      <c r="S1123" s="143"/>
    </row>
    <row r="1124" customFormat="false" ht="39.75" hidden="false" customHeight="true" outlineLevel="0" collapsed="false">
      <c r="S1124" s="143"/>
    </row>
    <row r="1125" customFormat="false" ht="39.75" hidden="false" customHeight="true" outlineLevel="0" collapsed="false">
      <c r="S1125" s="143"/>
    </row>
    <row r="1126" customFormat="false" ht="39.75" hidden="false" customHeight="true" outlineLevel="0" collapsed="false">
      <c r="S1126" s="143"/>
    </row>
    <row r="1127" customFormat="false" ht="39.75" hidden="false" customHeight="true" outlineLevel="0" collapsed="false">
      <c r="S1127" s="143"/>
    </row>
    <row r="1128" customFormat="false" ht="39.75" hidden="false" customHeight="true" outlineLevel="0" collapsed="false">
      <c r="S1128" s="143"/>
    </row>
    <row r="1129" customFormat="false" ht="39.75" hidden="false" customHeight="true" outlineLevel="0" collapsed="false">
      <c r="S1129" s="143"/>
    </row>
    <row r="1130" customFormat="false" ht="39.75" hidden="false" customHeight="true" outlineLevel="0" collapsed="false">
      <c r="S1130" s="143"/>
    </row>
    <row r="1131" customFormat="false" ht="39.75" hidden="false" customHeight="true" outlineLevel="0" collapsed="false">
      <c r="S1131" s="143"/>
    </row>
    <row r="1132" customFormat="false" ht="39.75" hidden="false" customHeight="true" outlineLevel="0" collapsed="false">
      <c r="S1132" s="143"/>
    </row>
    <row r="1133" customFormat="false" ht="39.75" hidden="false" customHeight="true" outlineLevel="0" collapsed="false">
      <c r="S1133" s="143"/>
    </row>
    <row r="1134" customFormat="false" ht="39.75" hidden="false" customHeight="true" outlineLevel="0" collapsed="false">
      <c r="S1134" s="143"/>
    </row>
    <row r="1135" customFormat="false" ht="39.75" hidden="false" customHeight="true" outlineLevel="0" collapsed="false">
      <c r="S1135" s="143"/>
    </row>
    <row r="1136" customFormat="false" ht="39.75" hidden="false" customHeight="true" outlineLevel="0" collapsed="false">
      <c r="S1136" s="143"/>
    </row>
    <row r="1137" customFormat="false" ht="39.75" hidden="false" customHeight="true" outlineLevel="0" collapsed="false">
      <c r="S1137" s="143"/>
    </row>
    <row r="1138" customFormat="false" ht="39.75" hidden="false" customHeight="true" outlineLevel="0" collapsed="false">
      <c r="S1138" s="143"/>
    </row>
    <row r="1139" customFormat="false" ht="39.75" hidden="false" customHeight="true" outlineLevel="0" collapsed="false">
      <c r="S1139" s="143"/>
    </row>
    <row r="1140" customFormat="false" ht="39.75" hidden="false" customHeight="true" outlineLevel="0" collapsed="false">
      <c r="S1140" s="143"/>
    </row>
    <row r="1141" customFormat="false" ht="39.75" hidden="false" customHeight="true" outlineLevel="0" collapsed="false">
      <c r="S1141" s="143"/>
    </row>
    <row r="1142" customFormat="false" ht="39.75" hidden="false" customHeight="true" outlineLevel="0" collapsed="false">
      <c r="S1142" s="143"/>
    </row>
    <row r="1143" customFormat="false" ht="39.75" hidden="false" customHeight="true" outlineLevel="0" collapsed="false">
      <c r="S1143" s="143"/>
    </row>
    <row r="1144" customFormat="false" ht="39.75" hidden="false" customHeight="true" outlineLevel="0" collapsed="false">
      <c r="S1144" s="143"/>
    </row>
    <row r="1145" customFormat="false" ht="39.75" hidden="false" customHeight="true" outlineLevel="0" collapsed="false">
      <c r="S1145" s="143"/>
    </row>
    <row r="1146" customFormat="false" ht="39.75" hidden="false" customHeight="true" outlineLevel="0" collapsed="false">
      <c r="S1146" s="143"/>
    </row>
    <row r="1147" customFormat="false" ht="39.75" hidden="false" customHeight="true" outlineLevel="0" collapsed="false">
      <c r="S1147" s="143"/>
    </row>
    <row r="1148" customFormat="false" ht="39.75" hidden="false" customHeight="true" outlineLevel="0" collapsed="false">
      <c r="S1148" s="143"/>
    </row>
    <row r="1149" customFormat="false" ht="39.75" hidden="false" customHeight="true" outlineLevel="0" collapsed="false">
      <c r="S1149" s="143"/>
    </row>
    <row r="1150" customFormat="false" ht="39.75" hidden="false" customHeight="true" outlineLevel="0" collapsed="false">
      <c r="S1150" s="143"/>
    </row>
    <row r="1151" customFormat="false" ht="39.75" hidden="false" customHeight="true" outlineLevel="0" collapsed="false">
      <c r="S1151" s="143"/>
    </row>
    <row r="1152" customFormat="false" ht="39.75" hidden="false" customHeight="true" outlineLevel="0" collapsed="false">
      <c r="S1152" s="143"/>
    </row>
    <row r="1153" customFormat="false" ht="39.75" hidden="false" customHeight="true" outlineLevel="0" collapsed="false">
      <c r="S1153" s="143"/>
    </row>
    <row r="1154" customFormat="false" ht="39.75" hidden="false" customHeight="true" outlineLevel="0" collapsed="false">
      <c r="S1154" s="143"/>
    </row>
    <row r="1155" customFormat="false" ht="39.75" hidden="false" customHeight="true" outlineLevel="0" collapsed="false">
      <c r="S1155" s="143"/>
    </row>
    <row r="1156" customFormat="false" ht="39.75" hidden="false" customHeight="true" outlineLevel="0" collapsed="false">
      <c r="S1156" s="143"/>
    </row>
    <row r="1157" customFormat="false" ht="39.75" hidden="false" customHeight="true" outlineLevel="0" collapsed="false">
      <c r="S1157" s="143"/>
    </row>
    <row r="1158" customFormat="false" ht="39.75" hidden="false" customHeight="true" outlineLevel="0" collapsed="false">
      <c r="S1158" s="143"/>
    </row>
    <row r="1159" customFormat="false" ht="39.75" hidden="false" customHeight="true" outlineLevel="0" collapsed="false">
      <c r="S1159" s="143"/>
    </row>
    <row r="1160" customFormat="false" ht="39.75" hidden="false" customHeight="true" outlineLevel="0" collapsed="false">
      <c r="S1160" s="143"/>
    </row>
    <row r="1161" customFormat="false" ht="39.75" hidden="false" customHeight="true" outlineLevel="0" collapsed="false">
      <c r="S1161" s="143"/>
    </row>
    <row r="1162" customFormat="false" ht="39.75" hidden="false" customHeight="true" outlineLevel="0" collapsed="false">
      <c r="S1162" s="143"/>
    </row>
    <row r="1163" customFormat="false" ht="39.75" hidden="false" customHeight="true" outlineLevel="0" collapsed="false">
      <c r="S1163" s="143"/>
    </row>
    <row r="1164" customFormat="false" ht="39.75" hidden="false" customHeight="true" outlineLevel="0" collapsed="false">
      <c r="S1164" s="143"/>
    </row>
    <row r="1165" customFormat="false" ht="39.75" hidden="false" customHeight="true" outlineLevel="0" collapsed="false">
      <c r="S1165" s="143"/>
    </row>
    <row r="1166" customFormat="false" ht="39.75" hidden="false" customHeight="true" outlineLevel="0" collapsed="false">
      <c r="S1166" s="143"/>
    </row>
    <row r="1167" customFormat="false" ht="39.75" hidden="false" customHeight="true" outlineLevel="0" collapsed="false">
      <c r="S1167" s="143"/>
    </row>
    <row r="1168" customFormat="false" ht="39.75" hidden="false" customHeight="true" outlineLevel="0" collapsed="false">
      <c r="S1168" s="143"/>
    </row>
    <row r="1169" customFormat="false" ht="39.75" hidden="false" customHeight="true" outlineLevel="0" collapsed="false">
      <c r="S1169" s="143"/>
    </row>
    <row r="1170" customFormat="false" ht="39.75" hidden="false" customHeight="true" outlineLevel="0" collapsed="false">
      <c r="S1170" s="143"/>
    </row>
    <row r="1171" customFormat="false" ht="39.75" hidden="false" customHeight="true" outlineLevel="0" collapsed="false">
      <c r="S1171" s="143"/>
    </row>
    <row r="1172" customFormat="false" ht="39.75" hidden="false" customHeight="true" outlineLevel="0" collapsed="false">
      <c r="S1172" s="143"/>
    </row>
    <row r="1173" customFormat="false" ht="39.75" hidden="false" customHeight="true" outlineLevel="0" collapsed="false">
      <c r="S1173" s="143"/>
    </row>
    <row r="1174" customFormat="false" ht="39.75" hidden="false" customHeight="true" outlineLevel="0" collapsed="false">
      <c r="S1174" s="143"/>
    </row>
    <row r="1175" customFormat="false" ht="39.75" hidden="false" customHeight="true" outlineLevel="0" collapsed="false">
      <c r="S1175" s="143"/>
    </row>
    <row r="1176" customFormat="false" ht="39.75" hidden="false" customHeight="true" outlineLevel="0" collapsed="false">
      <c r="S1176" s="143"/>
    </row>
    <row r="1177" customFormat="false" ht="39.75" hidden="false" customHeight="true" outlineLevel="0" collapsed="false">
      <c r="S1177" s="143"/>
    </row>
    <row r="1178" customFormat="false" ht="39.75" hidden="false" customHeight="true" outlineLevel="0" collapsed="false">
      <c r="S1178" s="143"/>
    </row>
    <row r="1179" customFormat="false" ht="39.75" hidden="false" customHeight="true" outlineLevel="0" collapsed="false">
      <c r="S1179" s="143"/>
    </row>
    <row r="1180" customFormat="false" ht="39.75" hidden="false" customHeight="true" outlineLevel="0" collapsed="false">
      <c r="S1180" s="143"/>
    </row>
    <row r="1181" customFormat="false" ht="39.75" hidden="false" customHeight="true" outlineLevel="0" collapsed="false">
      <c r="S1181" s="143"/>
    </row>
    <row r="1182" customFormat="false" ht="39.75" hidden="false" customHeight="true" outlineLevel="0" collapsed="false">
      <c r="S1182" s="143"/>
    </row>
    <row r="1183" customFormat="false" ht="39.75" hidden="false" customHeight="true" outlineLevel="0" collapsed="false">
      <c r="S1183" s="143"/>
    </row>
    <row r="1184" customFormat="false" ht="39.75" hidden="false" customHeight="true" outlineLevel="0" collapsed="false">
      <c r="S1184" s="143"/>
    </row>
    <row r="1185" customFormat="false" ht="39.75" hidden="false" customHeight="true" outlineLevel="0" collapsed="false">
      <c r="S1185" s="143"/>
    </row>
    <row r="1186" customFormat="false" ht="39.75" hidden="false" customHeight="true" outlineLevel="0" collapsed="false">
      <c r="S1186" s="143"/>
    </row>
    <row r="1187" customFormat="false" ht="39.75" hidden="false" customHeight="true" outlineLevel="0" collapsed="false">
      <c r="S1187" s="143"/>
    </row>
    <row r="1188" customFormat="false" ht="39.75" hidden="false" customHeight="true" outlineLevel="0" collapsed="false">
      <c r="S1188" s="143"/>
    </row>
    <row r="1189" customFormat="false" ht="39.75" hidden="false" customHeight="true" outlineLevel="0" collapsed="false">
      <c r="S1189" s="143"/>
    </row>
    <row r="1190" customFormat="false" ht="39.75" hidden="false" customHeight="true" outlineLevel="0" collapsed="false">
      <c r="S1190" s="143"/>
    </row>
    <row r="1191" customFormat="false" ht="39.75" hidden="false" customHeight="true" outlineLevel="0" collapsed="false">
      <c r="S1191" s="143"/>
    </row>
    <row r="1192" customFormat="false" ht="39.75" hidden="false" customHeight="true" outlineLevel="0" collapsed="false">
      <c r="S1192" s="143"/>
    </row>
    <row r="1193" customFormat="false" ht="39.75" hidden="false" customHeight="true" outlineLevel="0" collapsed="false">
      <c r="S1193" s="143"/>
    </row>
    <row r="1194" customFormat="false" ht="39.75" hidden="false" customHeight="true" outlineLevel="0" collapsed="false">
      <c r="S1194" s="143"/>
    </row>
    <row r="1195" customFormat="false" ht="39.75" hidden="false" customHeight="true" outlineLevel="0" collapsed="false">
      <c r="S1195" s="143"/>
    </row>
    <row r="1196" customFormat="false" ht="39.75" hidden="false" customHeight="true" outlineLevel="0" collapsed="false">
      <c r="S1196" s="143"/>
    </row>
    <row r="1197" customFormat="false" ht="39.75" hidden="false" customHeight="true" outlineLevel="0" collapsed="false">
      <c r="S1197" s="143"/>
    </row>
    <row r="1198" customFormat="false" ht="39.75" hidden="false" customHeight="true" outlineLevel="0" collapsed="false">
      <c r="S1198" s="143"/>
    </row>
    <row r="1199" customFormat="false" ht="39.75" hidden="false" customHeight="true" outlineLevel="0" collapsed="false">
      <c r="S1199" s="143"/>
    </row>
    <row r="1200" customFormat="false" ht="39.75" hidden="false" customHeight="true" outlineLevel="0" collapsed="false">
      <c r="S1200" s="143"/>
    </row>
    <row r="1201" customFormat="false" ht="39.75" hidden="false" customHeight="true" outlineLevel="0" collapsed="false">
      <c r="S1201" s="143"/>
    </row>
    <row r="1202" customFormat="false" ht="39.75" hidden="false" customHeight="true" outlineLevel="0" collapsed="false">
      <c r="S1202" s="143"/>
    </row>
    <row r="1203" customFormat="false" ht="39.75" hidden="false" customHeight="true" outlineLevel="0" collapsed="false">
      <c r="S1203" s="143"/>
    </row>
    <row r="1204" customFormat="false" ht="39.75" hidden="false" customHeight="true" outlineLevel="0" collapsed="false">
      <c r="S1204" s="143"/>
    </row>
    <row r="1205" customFormat="false" ht="39.75" hidden="false" customHeight="true" outlineLevel="0" collapsed="false">
      <c r="S1205" s="143"/>
    </row>
    <row r="1206" customFormat="false" ht="39.75" hidden="false" customHeight="true" outlineLevel="0" collapsed="false">
      <c r="S1206" s="143"/>
    </row>
    <row r="1207" customFormat="false" ht="39.75" hidden="false" customHeight="true" outlineLevel="0" collapsed="false">
      <c r="S1207" s="143"/>
    </row>
    <row r="1208" customFormat="false" ht="39.75" hidden="false" customHeight="true" outlineLevel="0" collapsed="false">
      <c r="S1208" s="143"/>
    </row>
    <row r="1209" customFormat="false" ht="39.75" hidden="false" customHeight="true" outlineLevel="0" collapsed="false">
      <c r="S1209" s="143"/>
    </row>
    <row r="1210" customFormat="false" ht="39.75" hidden="false" customHeight="true" outlineLevel="0" collapsed="false">
      <c r="S1210" s="143"/>
    </row>
    <row r="1211" customFormat="false" ht="39.75" hidden="false" customHeight="true" outlineLevel="0" collapsed="false">
      <c r="S1211" s="143"/>
    </row>
    <row r="1212" customFormat="false" ht="39.75" hidden="false" customHeight="true" outlineLevel="0" collapsed="false">
      <c r="S1212" s="143"/>
    </row>
    <row r="1213" customFormat="false" ht="39.75" hidden="false" customHeight="true" outlineLevel="0" collapsed="false">
      <c r="S1213" s="143"/>
    </row>
    <row r="1214" customFormat="false" ht="39.75" hidden="false" customHeight="true" outlineLevel="0" collapsed="false">
      <c r="S1214" s="143"/>
    </row>
    <row r="1215" customFormat="false" ht="39.75" hidden="false" customHeight="true" outlineLevel="0" collapsed="false">
      <c r="S1215" s="143"/>
    </row>
    <row r="1216" customFormat="false" ht="39.75" hidden="false" customHeight="true" outlineLevel="0" collapsed="false">
      <c r="S1216" s="143"/>
    </row>
    <row r="1217" customFormat="false" ht="39.75" hidden="false" customHeight="true" outlineLevel="0" collapsed="false">
      <c r="S1217" s="143"/>
    </row>
    <row r="1218" customFormat="false" ht="39.75" hidden="false" customHeight="true" outlineLevel="0" collapsed="false">
      <c r="S1218" s="143"/>
    </row>
    <row r="1219" customFormat="false" ht="39.75" hidden="false" customHeight="true" outlineLevel="0" collapsed="false">
      <c r="S1219" s="143"/>
    </row>
    <row r="1220" customFormat="false" ht="39.75" hidden="false" customHeight="true" outlineLevel="0" collapsed="false">
      <c r="S1220" s="143"/>
    </row>
    <row r="1221" customFormat="false" ht="39.75" hidden="false" customHeight="true" outlineLevel="0" collapsed="false">
      <c r="S1221" s="143"/>
    </row>
    <row r="1222" customFormat="false" ht="39.75" hidden="false" customHeight="true" outlineLevel="0" collapsed="false">
      <c r="S1222" s="143"/>
    </row>
    <row r="1223" customFormat="false" ht="39.75" hidden="false" customHeight="true" outlineLevel="0" collapsed="false">
      <c r="S1223" s="143"/>
    </row>
    <row r="1224" customFormat="false" ht="39.75" hidden="false" customHeight="true" outlineLevel="0" collapsed="false">
      <c r="S1224" s="143"/>
    </row>
    <row r="1225" customFormat="false" ht="39.75" hidden="false" customHeight="true" outlineLevel="0" collapsed="false">
      <c r="S1225" s="143"/>
    </row>
    <row r="1226" customFormat="false" ht="39.75" hidden="false" customHeight="true" outlineLevel="0" collapsed="false">
      <c r="S1226" s="143"/>
    </row>
    <row r="1227" customFormat="false" ht="39.75" hidden="false" customHeight="true" outlineLevel="0" collapsed="false">
      <c r="S1227" s="143"/>
    </row>
    <row r="1228" customFormat="false" ht="39.75" hidden="false" customHeight="true" outlineLevel="0" collapsed="false">
      <c r="S1228" s="143"/>
    </row>
    <row r="1229" customFormat="false" ht="39.75" hidden="false" customHeight="true" outlineLevel="0" collapsed="false">
      <c r="S1229" s="143"/>
    </row>
    <row r="1230" customFormat="false" ht="39.75" hidden="false" customHeight="true" outlineLevel="0" collapsed="false">
      <c r="S1230" s="143"/>
    </row>
    <row r="1231" customFormat="false" ht="39.75" hidden="false" customHeight="true" outlineLevel="0" collapsed="false">
      <c r="S1231" s="143"/>
    </row>
    <row r="1232" customFormat="false" ht="39.75" hidden="false" customHeight="true" outlineLevel="0" collapsed="false">
      <c r="S1232" s="143"/>
    </row>
    <row r="1233" customFormat="false" ht="39.75" hidden="false" customHeight="true" outlineLevel="0" collapsed="false">
      <c r="S1233" s="143"/>
    </row>
    <row r="1234" customFormat="false" ht="39.75" hidden="false" customHeight="true" outlineLevel="0" collapsed="false">
      <c r="S1234" s="143"/>
    </row>
    <row r="1235" customFormat="false" ht="39.75" hidden="false" customHeight="true" outlineLevel="0" collapsed="false">
      <c r="S1235" s="143"/>
    </row>
    <row r="1236" customFormat="false" ht="39.75" hidden="false" customHeight="true" outlineLevel="0" collapsed="false">
      <c r="S1236" s="143"/>
    </row>
    <row r="1237" customFormat="false" ht="39.75" hidden="false" customHeight="true" outlineLevel="0" collapsed="false">
      <c r="S1237" s="143"/>
    </row>
    <row r="1238" customFormat="false" ht="39.75" hidden="false" customHeight="true" outlineLevel="0" collapsed="false">
      <c r="S1238" s="143"/>
    </row>
    <row r="1239" customFormat="false" ht="39.75" hidden="false" customHeight="true" outlineLevel="0" collapsed="false">
      <c r="S1239" s="143"/>
    </row>
    <row r="1240" customFormat="false" ht="39.75" hidden="false" customHeight="true" outlineLevel="0" collapsed="false">
      <c r="S1240" s="143"/>
    </row>
    <row r="1241" customFormat="false" ht="39.75" hidden="false" customHeight="true" outlineLevel="0" collapsed="false">
      <c r="S1241" s="143"/>
    </row>
    <row r="1242" customFormat="false" ht="39.75" hidden="false" customHeight="true" outlineLevel="0" collapsed="false">
      <c r="S1242" s="143"/>
    </row>
    <row r="1243" customFormat="false" ht="39.75" hidden="false" customHeight="true" outlineLevel="0" collapsed="false">
      <c r="S1243" s="143"/>
    </row>
    <row r="1244" customFormat="false" ht="39.75" hidden="false" customHeight="true" outlineLevel="0" collapsed="false">
      <c r="S1244" s="143"/>
    </row>
    <row r="1245" customFormat="false" ht="39.75" hidden="false" customHeight="true" outlineLevel="0" collapsed="false">
      <c r="S1245" s="143"/>
    </row>
    <row r="1246" customFormat="false" ht="39.75" hidden="false" customHeight="true" outlineLevel="0" collapsed="false">
      <c r="S1246" s="143"/>
    </row>
    <row r="1247" customFormat="false" ht="39.75" hidden="false" customHeight="true" outlineLevel="0" collapsed="false">
      <c r="S1247" s="143"/>
    </row>
    <row r="1248" customFormat="false" ht="39.75" hidden="false" customHeight="true" outlineLevel="0" collapsed="false">
      <c r="S1248" s="143"/>
    </row>
    <row r="1249" customFormat="false" ht="39.75" hidden="false" customHeight="true" outlineLevel="0" collapsed="false">
      <c r="S1249" s="143"/>
    </row>
    <row r="1250" customFormat="false" ht="39.75" hidden="false" customHeight="true" outlineLevel="0" collapsed="false">
      <c r="S1250" s="143"/>
    </row>
    <row r="1251" customFormat="false" ht="39.75" hidden="false" customHeight="true" outlineLevel="0" collapsed="false">
      <c r="S1251" s="143"/>
    </row>
    <row r="1252" customFormat="false" ht="39.75" hidden="false" customHeight="true" outlineLevel="0" collapsed="false">
      <c r="S1252" s="143"/>
    </row>
    <row r="1253" customFormat="false" ht="39.75" hidden="false" customHeight="true" outlineLevel="0" collapsed="false">
      <c r="S1253" s="143"/>
    </row>
    <row r="1254" customFormat="false" ht="39.75" hidden="false" customHeight="true" outlineLevel="0" collapsed="false">
      <c r="S1254" s="143"/>
    </row>
    <row r="1255" customFormat="false" ht="39.75" hidden="false" customHeight="true" outlineLevel="0" collapsed="false">
      <c r="S1255" s="143"/>
    </row>
    <row r="1256" customFormat="false" ht="39.75" hidden="false" customHeight="true" outlineLevel="0" collapsed="false">
      <c r="S1256" s="143"/>
    </row>
    <row r="1257" customFormat="false" ht="39.75" hidden="false" customHeight="true" outlineLevel="0" collapsed="false">
      <c r="S1257" s="143"/>
    </row>
    <row r="1258" customFormat="false" ht="39.75" hidden="false" customHeight="true" outlineLevel="0" collapsed="false">
      <c r="S1258" s="143"/>
    </row>
    <row r="1259" customFormat="false" ht="39.75" hidden="false" customHeight="true" outlineLevel="0" collapsed="false">
      <c r="S1259" s="143"/>
    </row>
    <row r="1260" customFormat="false" ht="39.75" hidden="false" customHeight="true" outlineLevel="0" collapsed="false">
      <c r="S1260" s="143"/>
    </row>
    <row r="1261" customFormat="false" ht="39.75" hidden="false" customHeight="true" outlineLevel="0" collapsed="false">
      <c r="S1261" s="143"/>
    </row>
    <row r="1262" customFormat="false" ht="39.75" hidden="false" customHeight="true" outlineLevel="0" collapsed="false">
      <c r="S1262" s="143"/>
    </row>
    <row r="1263" customFormat="false" ht="39.75" hidden="false" customHeight="true" outlineLevel="0" collapsed="false">
      <c r="S1263" s="143"/>
    </row>
    <row r="1264" customFormat="false" ht="39.75" hidden="false" customHeight="true" outlineLevel="0" collapsed="false">
      <c r="S1264" s="143"/>
    </row>
    <row r="1265" customFormat="false" ht="39.75" hidden="false" customHeight="true" outlineLevel="0" collapsed="false">
      <c r="S1265" s="143"/>
    </row>
    <row r="1266" customFormat="false" ht="39.75" hidden="false" customHeight="true" outlineLevel="0" collapsed="false">
      <c r="S1266" s="143"/>
    </row>
    <row r="1267" customFormat="false" ht="39.75" hidden="false" customHeight="true" outlineLevel="0" collapsed="false">
      <c r="S1267" s="143"/>
    </row>
    <row r="1268" customFormat="false" ht="39.75" hidden="false" customHeight="true" outlineLevel="0" collapsed="false">
      <c r="S1268" s="143"/>
    </row>
    <row r="1269" customFormat="false" ht="39.75" hidden="false" customHeight="true" outlineLevel="0" collapsed="false">
      <c r="S1269" s="143"/>
    </row>
    <row r="1270" customFormat="false" ht="39.75" hidden="false" customHeight="true" outlineLevel="0" collapsed="false">
      <c r="S1270" s="143"/>
    </row>
    <row r="1271" customFormat="false" ht="39.75" hidden="false" customHeight="true" outlineLevel="0" collapsed="false">
      <c r="S1271" s="143"/>
    </row>
    <row r="1272" customFormat="false" ht="39.75" hidden="false" customHeight="true" outlineLevel="0" collapsed="false">
      <c r="S1272" s="143"/>
    </row>
    <row r="1273" customFormat="false" ht="39.75" hidden="false" customHeight="true" outlineLevel="0" collapsed="false">
      <c r="S1273" s="143"/>
    </row>
    <row r="1274" customFormat="false" ht="39.75" hidden="false" customHeight="true" outlineLevel="0" collapsed="false">
      <c r="S1274" s="143"/>
    </row>
    <row r="1275" customFormat="false" ht="39.75" hidden="false" customHeight="true" outlineLevel="0" collapsed="false">
      <c r="S1275" s="143"/>
    </row>
    <row r="1276" customFormat="false" ht="39.75" hidden="false" customHeight="true" outlineLevel="0" collapsed="false">
      <c r="S1276" s="143"/>
    </row>
    <row r="1277" customFormat="false" ht="39.75" hidden="false" customHeight="true" outlineLevel="0" collapsed="false">
      <c r="S1277" s="143"/>
    </row>
    <row r="1278" customFormat="false" ht="39.75" hidden="false" customHeight="true" outlineLevel="0" collapsed="false">
      <c r="S1278" s="143"/>
    </row>
    <row r="1279" customFormat="false" ht="39.75" hidden="false" customHeight="true" outlineLevel="0" collapsed="false">
      <c r="S1279" s="143"/>
    </row>
    <row r="1280" customFormat="false" ht="39.75" hidden="false" customHeight="true" outlineLevel="0" collapsed="false">
      <c r="S1280" s="143"/>
    </row>
    <row r="1281" customFormat="false" ht="39.75" hidden="false" customHeight="true" outlineLevel="0" collapsed="false">
      <c r="S1281" s="143"/>
    </row>
    <row r="1282" customFormat="false" ht="39.75" hidden="false" customHeight="true" outlineLevel="0" collapsed="false">
      <c r="S1282" s="143"/>
    </row>
    <row r="1283" customFormat="false" ht="39.75" hidden="false" customHeight="true" outlineLevel="0" collapsed="false">
      <c r="S1283" s="143"/>
    </row>
    <row r="1284" customFormat="false" ht="39.75" hidden="false" customHeight="true" outlineLevel="0" collapsed="false">
      <c r="S1284" s="143"/>
    </row>
    <row r="1285" customFormat="false" ht="39.75" hidden="false" customHeight="true" outlineLevel="0" collapsed="false">
      <c r="S1285" s="143"/>
    </row>
    <row r="1286" customFormat="false" ht="39.75" hidden="false" customHeight="true" outlineLevel="0" collapsed="false">
      <c r="S1286" s="143"/>
    </row>
    <row r="1287" customFormat="false" ht="39.75" hidden="false" customHeight="true" outlineLevel="0" collapsed="false">
      <c r="S1287" s="143"/>
    </row>
    <row r="1288" customFormat="false" ht="39.75" hidden="false" customHeight="true" outlineLevel="0" collapsed="false">
      <c r="S1288" s="143"/>
    </row>
    <row r="1289" customFormat="false" ht="39.75" hidden="false" customHeight="true" outlineLevel="0" collapsed="false">
      <c r="S1289" s="143"/>
    </row>
    <row r="1290" customFormat="false" ht="39.75" hidden="false" customHeight="true" outlineLevel="0" collapsed="false">
      <c r="S1290" s="143"/>
    </row>
    <row r="1291" customFormat="false" ht="39.75" hidden="false" customHeight="true" outlineLevel="0" collapsed="false">
      <c r="S1291" s="143"/>
    </row>
    <row r="1292" customFormat="false" ht="39.75" hidden="false" customHeight="true" outlineLevel="0" collapsed="false">
      <c r="S1292" s="143"/>
    </row>
    <row r="1293" customFormat="false" ht="39.75" hidden="false" customHeight="true" outlineLevel="0" collapsed="false">
      <c r="S1293" s="143"/>
    </row>
    <row r="1294" customFormat="false" ht="39.75" hidden="false" customHeight="true" outlineLevel="0" collapsed="false">
      <c r="S1294" s="143"/>
    </row>
    <row r="1295" customFormat="false" ht="39.75" hidden="false" customHeight="true" outlineLevel="0" collapsed="false">
      <c r="S1295" s="143"/>
    </row>
    <row r="1296" customFormat="false" ht="39.75" hidden="false" customHeight="true" outlineLevel="0" collapsed="false">
      <c r="S1296" s="143"/>
    </row>
    <row r="1297" customFormat="false" ht="39.75" hidden="false" customHeight="true" outlineLevel="0" collapsed="false">
      <c r="S1297" s="143"/>
    </row>
    <row r="1298" customFormat="false" ht="39.75" hidden="false" customHeight="true" outlineLevel="0" collapsed="false">
      <c r="S1298" s="143"/>
    </row>
    <row r="1299" customFormat="false" ht="39.75" hidden="false" customHeight="true" outlineLevel="0" collapsed="false">
      <c r="S1299" s="143"/>
    </row>
    <row r="1300" customFormat="false" ht="39.75" hidden="false" customHeight="true" outlineLevel="0" collapsed="false">
      <c r="S1300" s="143"/>
    </row>
    <row r="1301" customFormat="false" ht="39.75" hidden="false" customHeight="true" outlineLevel="0" collapsed="false">
      <c r="S1301" s="143"/>
    </row>
    <row r="1302" customFormat="false" ht="39.75" hidden="false" customHeight="true" outlineLevel="0" collapsed="false">
      <c r="S1302" s="143"/>
    </row>
    <row r="1303" customFormat="false" ht="39.75" hidden="false" customHeight="true" outlineLevel="0" collapsed="false">
      <c r="S1303" s="143"/>
    </row>
    <row r="1304" customFormat="false" ht="39.75" hidden="false" customHeight="true" outlineLevel="0" collapsed="false">
      <c r="S1304" s="143"/>
    </row>
    <row r="1305" customFormat="false" ht="39.75" hidden="false" customHeight="true" outlineLevel="0" collapsed="false">
      <c r="S1305" s="143"/>
    </row>
    <row r="1306" customFormat="false" ht="39.75" hidden="false" customHeight="true" outlineLevel="0" collapsed="false">
      <c r="S1306" s="143"/>
    </row>
    <row r="1307" customFormat="false" ht="39.75" hidden="false" customHeight="true" outlineLevel="0" collapsed="false">
      <c r="S1307" s="143"/>
    </row>
    <row r="1308" customFormat="false" ht="39.75" hidden="false" customHeight="true" outlineLevel="0" collapsed="false">
      <c r="S1308" s="143"/>
    </row>
    <row r="1309" customFormat="false" ht="39.75" hidden="false" customHeight="true" outlineLevel="0" collapsed="false">
      <c r="S1309" s="143"/>
    </row>
    <row r="1310" customFormat="false" ht="39.75" hidden="false" customHeight="true" outlineLevel="0" collapsed="false">
      <c r="S1310" s="143"/>
    </row>
    <row r="1311" customFormat="false" ht="39.75" hidden="false" customHeight="true" outlineLevel="0" collapsed="false">
      <c r="S1311" s="143"/>
    </row>
    <row r="1312" customFormat="false" ht="39.75" hidden="false" customHeight="true" outlineLevel="0" collapsed="false">
      <c r="S1312" s="143"/>
    </row>
    <row r="1313" customFormat="false" ht="39.75" hidden="false" customHeight="true" outlineLevel="0" collapsed="false">
      <c r="S1313" s="143"/>
    </row>
    <row r="1314" customFormat="false" ht="39.75" hidden="false" customHeight="true" outlineLevel="0" collapsed="false">
      <c r="S1314" s="143"/>
    </row>
    <row r="1315" customFormat="false" ht="39.75" hidden="false" customHeight="true" outlineLevel="0" collapsed="false">
      <c r="S1315" s="143"/>
    </row>
    <row r="1316" customFormat="false" ht="39.75" hidden="false" customHeight="true" outlineLevel="0" collapsed="false">
      <c r="S1316" s="143"/>
    </row>
    <row r="1317" customFormat="false" ht="39.75" hidden="false" customHeight="true" outlineLevel="0" collapsed="false">
      <c r="S1317" s="143"/>
    </row>
    <row r="1318" customFormat="false" ht="39.75" hidden="false" customHeight="true" outlineLevel="0" collapsed="false">
      <c r="S1318" s="143"/>
    </row>
    <row r="1319" customFormat="false" ht="39.75" hidden="false" customHeight="true" outlineLevel="0" collapsed="false">
      <c r="S1319" s="143"/>
    </row>
    <row r="1320" customFormat="false" ht="39.75" hidden="false" customHeight="true" outlineLevel="0" collapsed="false">
      <c r="S1320" s="143"/>
    </row>
    <row r="1321" customFormat="false" ht="39.75" hidden="false" customHeight="true" outlineLevel="0" collapsed="false">
      <c r="S1321" s="143"/>
    </row>
    <row r="1322" customFormat="false" ht="39.75" hidden="false" customHeight="true" outlineLevel="0" collapsed="false">
      <c r="S1322" s="143"/>
    </row>
    <row r="1323" customFormat="false" ht="39.75" hidden="false" customHeight="true" outlineLevel="0" collapsed="false">
      <c r="S1323" s="143"/>
    </row>
    <row r="1324" customFormat="false" ht="39.75" hidden="false" customHeight="true" outlineLevel="0" collapsed="false">
      <c r="S1324" s="143"/>
    </row>
    <row r="1325" customFormat="false" ht="39.75" hidden="false" customHeight="true" outlineLevel="0" collapsed="false">
      <c r="S1325" s="143"/>
    </row>
    <row r="1326" customFormat="false" ht="39.75" hidden="false" customHeight="true" outlineLevel="0" collapsed="false">
      <c r="S1326" s="143"/>
    </row>
    <row r="1327" customFormat="false" ht="39.75" hidden="false" customHeight="true" outlineLevel="0" collapsed="false">
      <c r="S1327" s="143"/>
    </row>
    <row r="1328" customFormat="false" ht="39.75" hidden="false" customHeight="true" outlineLevel="0" collapsed="false">
      <c r="S1328" s="143"/>
    </row>
    <row r="1329" customFormat="false" ht="39.75" hidden="false" customHeight="true" outlineLevel="0" collapsed="false">
      <c r="S1329" s="143"/>
    </row>
    <row r="1330" customFormat="false" ht="39.75" hidden="false" customHeight="true" outlineLevel="0" collapsed="false">
      <c r="S1330" s="143"/>
    </row>
    <row r="1331" customFormat="false" ht="39.75" hidden="false" customHeight="true" outlineLevel="0" collapsed="false">
      <c r="S1331" s="143"/>
    </row>
    <row r="1332" customFormat="false" ht="39.75" hidden="false" customHeight="true" outlineLevel="0" collapsed="false">
      <c r="S1332" s="143"/>
    </row>
    <row r="1333" customFormat="false" ht="39.75" hidden="false" customHeight="true" outlineLevel="0" collapsed="false">
      <c r="S1333" s="143"/>
    </row>
    <row r="1334" customFormat="false" ht="39.75" hidden="false" customHeight="true" outlineLevel="0" collapsed="false">
      <c r="S1334" s="143"/>
    </row>
    <row r="1335" customFormat="false" ht="39.75" hidden="false" customHeight="true" outlineLevel="0" collapsed="false">
      <c r="S1335" s="143"/>
    </row>
    <row r="1336" customFormat="false" ht="39.75" hidden="false" customHeight="true" outlineLevel="0" collapsed="false">
      <c r="S1336" s="143"/>
    </row>
    <row r="1337" customFormat="false" ht="39.75" hidden="false" customHeight="true" outlineLevel="0" collapsed="false">
      <c r="S1337" s="143"/>
    </row>
    <row r="1338" customFormat="false" ht="39.75" hidden="false" customHeight="true" outlineLevel="0" collapsed="false">
      <c r="S1338" s="143"/>
    </row>
    <row r="1339" customFormat="false" ht="39.75" hidden="false" customHeight="true" outlineLevel="0" collapsed="false">
      <c r="S1339" s="143"/>
    </row>
    <row r="1340" customFormat="false" ht="39.75" hidden="false" customHeight="true" outlineLevel="0" collapsed="false">
      <c r="S1340" s="143"/>
    </row>
    <row r="1341" customFormat="false" ht="39.75" hidden="false" customHeight="true" outlineLevel="0" collapsed="false">
      <c r="S1341" s="143"/>
    </row>
    <row r="1342" customFormat="false" ht="39.75" hidden="false" customHeight="true" outlineLevel="0" collapsed="false">
      <c r="S1342" s="143"/>
    </row>
    <row r="1343" customFormat="false" ht="39.75" hidden="false" customHeight="true" outlineLevel="0" collapsed="false">
      <c r="S1343" s="143"/>
    </row>
    <row r="1344" customFormat="false" ht="39.75" hidden="false" customHeight="true" outlineLevel="0" collapsed="false">
      <c r="S1344" s="143"/>
    </row>
    <row r="1345" customFormat="false" ht="39.75" hidden="false" customHeight="true" outlineLevel="0" collapsed="false">
      <c r="S1345" s="143"/>
    </row>
    <row r="1346" customFormat="false" ht="39.75" hidden="false" customHeight="true" outlineLevel="0" collapsed="false">
      <c r="S1346" s="143"/>
    </row>
    <row r="1347" customFormat="false" ht="39.75" hidden="false" customHeight="true" outlineLevel="0" collapsed="false">
      <c r="S1347" s="143"/>
    </row>
    <row r="1348" customFormat="false" ht="39.75" hidden="false" customHeight="true" outlineLevel="0" collapsed="false">
      <c r="S1348" s="143"/>
    </row>
    <row r="1349" customFormat="false" ht="39.75" hidden="false" customHeight="true" outlineLevel="0" collapsed="false">
      <c r="S1349" s="143"/>
    </row>
    <row r="1350" customFormat="false" ht="39.75" hidden="false" customHeight="true" outlineLevel="0" collapsed="false">
      <c r="S1350" s="143"/>
    </row>
    <row r="1351" customFormat="false" ht="39.75" hidden="false" customHeight="true" outlineLevel="0" collapsed="false">
      <c r="S1351" s="143"/>
    </row>
    <row r="1352" customFormat="false" ht="39.75" hidden="false" customHeight="true" outlineLevel="0" collapsed="false">
      <c r="S1352" s="143"/>
    </row>
    <row r="1353" customFormat="false" ht="39.75" hidden="false" customHeight="true" outlineLevel="0" collapsed="false">
      <c r="S1353" s="143"/>
    </row>
    <row r="1354" customFormat="false" ht="39.75" hidden="false" customHeight="true" outlineLevel="0" collapsed="false">
      <c r="S1354" s="143"/>
    </row>
    <row r="1355" customFormat="false" ht="39.75" hidden="false" customHeight="true" outlineLevel="0" collapsed="false">
      <c r="S1355" s="143"/>
    </row>
    <row r="1356" customFormat="false" ht="39.75" hidden="false" customHeight="true" outlineLevel="0" collapsed="false">
      <c r="S1356" s="143"/>
    </row>
    <row r="1357" customFormat="false" ht="39.75" hidden="false" customHeight="true" outlineLevel="0" collapsed="false">
      <c r="S1357" s="143"/>
    </row>
    <row r="1358" customFormat="false" ht="39.75" hidden="false" customHeight="true" outlineLevel="0" collapsed="false">
      <c r="S1358" s="143"/>
    </row>
    <row r="1359" customFormat="false" ht="39.75" hidden="false" customHeight="true" outlineLevel="0" collapsed="false">
      <c r="S1359" s="143"/>
    </row>
    <row r="1360" customFormat="false" ht="39.75" hidden="false" customHeight="true" outlineLevel="0" collapsed="false">
      <c r="S1360" s="143"/>
    </row>
    <row r="1361" customFormat="false" ht="39.75" hidden="false" customHeight="true" outlineLevel="0" collapsed="false">
      <c r="S1361" s="143"/>
    </row>
    <row r="1362" customFormat="false" ht="39.75" hidden="false" customHeight="true" outlineLevel="0" collapsed="false">
      <c r="S1362" s="143"/>
    </row>
    <row r="1363" customFormat="false" ht="39.75" hidden="false" customHeight="true" outlineLevel="0" collapsed="false">
      <c r="S1363" s="143"/>
    </row>
    <row r="1364" customFormat="false" ht="39.75" hidden="false" customHeight="true" outlineLevel="0" collapsed="false">
      <c r="S1364" s="143"/>
    </row>
    <row r="1365" customFormat="false" ht="39.75" hidden="false" customHeight="true" outlineLevel="0" collapsed="false">
      <c r="S1365" s="143"/>
    </row>
    <row r="1366" customFormat="false" ht="39.75" hidden="false" customHeight="true" outlineLevel="0" collapsed="false">
      <c r="S1366" s="143"/>
    </row>
    <row r="1367" customFormat="false" ht="39.75" hidden="false" customHeight="true" outlineLevel="0" collapsed="false">
      <c r="S1367" s="143"/>
    </row>
    <row r="1368" customFormat="false" ht="39.75" hidden="false" customHeight="true" outlineLevel="0" collapsed="false">
      <c r="S1368" s="143"/>
    </row>
    <row r="1369" customFormat="false" ht="39.75" hidden="false" customHeight="true" outlineLevel="0" collapsed="false">
      <c r="S1369" s="143"/>
    </row>
    <row r="1370" customFormat="false" ht="39.75" hidden="false" customHeight="true" outlineLevel="0" collapsed="false">
      <c r="S1370" s="143"/>
    </row>
    <row r="1371" customFormat="false" ht="39.75" hidden="false" customHeight="true" outlineLevel="0" collapsed="false">
      <c r="S1371" s="143"/>
    </row>
    <row r="1372" customFormat="false" ht="39.75" hidden="false" customHeight="true" outlineLevel="0" collapsed="false">
      <c r="S1372" s="143"/>
    </row>
    <row r="1373" customFormat="false" ht="39.75" hidden="false" customHeight="true" outlineLevel="0" collapsed="false">
      <c r="S1373" s="143"/>
    </row>
    <row r="1374" customFormat="false" ht="39.75" hidden="false" customHeight="true" outlineLevel="0" collapsed="false">
      <c r="S1374" s="143"/>
    </row>
    <row r="1375" customFormat="false" ht="39.75" hidden="false" customHeight="true" outlineLevel="0" collapsed="false">
      <c r="S1375" s="143"/>
    </row>
    <row r="1376" customFormat="false" ht="39.75" hidden="false" customHeight="true" outlineLevel="0" collapsed="false">
      <c r="S1376" s="143"/>
    </row>
    <row r="1377" customFormat="false" ht="39.75" hidden="false" customHeight="true" outlineLevel="0" collapsed="false">
      <c r="S1377" s="143"/>
    </row>
    <row r="1378" customFormat="false" ht="39.75" hidden="false" customHeight="true" outlineLevel="0" collapsed="false">
      <c r="S1378" s="143"/>
    </row>
    <row r="1379" customFormat="false" ht="39.75" hidden="false" customHeight="true" outlineLevel="0" collapsed="false">
      <c r="S1379" s="143"/>
    </row>
    <row r="1380" customFormat="false" ht="39.75" hidden="false" customHeight="true" outlineLevel="0" collapsed="false">
      <c r="S1380" s="143"/>
    </row>
    <row r="1381" customFormat="false" ht="39.75" hidden="false" customHeight="true" outlineLevel="0" collapsed="false">
      <c r="S1381" s="143"/>
    </row>
    <row r="1382" customFormat="false" ht="39.75" hidden="false" customHeight="true" outlineLevel="0" collapsed="false">
      <c r="S1382" s="143"/>
    </row>
    <row r="1383" customFormat="false" ht="39.75" hidden="false" customHeight="true" outlineLevel="0" collapsed="false">
      <c r="S1383" s="143"/>
    </row>
    <row r="1384" customFormat="false" ht="39.75" hidden="false" customHeight="true" outlineLevel="0" collapsed="false">
      <c r="S1384" s="143"/>
    </row>
    <row r="1385" customFormat="false" ht="39.75" hidden="false" customHeight="true" outlineLevel="0" collapsed="false">
      <c r="S1385" s="143"/>
    </row>
    <row r="1386" customFormat="false" ht="39.75" hidden="false" customHeight="true" outlineLevel="0" collapsed="false">
      <c r="S1386" s="143"/>
    </row>
    <row r="1387" customFormat="false" ht="39.75" hidden="false" customHeight="true" outlineLevel="0" collapsed="false">
      <c r="S1387" s="143"/>
    </row>
    <row r="1388" customFormat="false" ht="39.75" hidden="false" customHeight="true" outlineLevel="0" collapsed="false">
      <c r="S1388" s="143"/>
    </row>
    <row r="1389" customFormat="false" ht="39.75" hidden="false" customHeight="true" outlineLevel="0" collapsed="false">
      <c r="S1389" s="143"/>
    </row>
    <row r="1390" customFormat="false" ht="39.75" hidden="false" customHeight="true" outlineLevel="0" collapsed="false">
      <c r="S1390" s="143"/>
    </row>
    <row r="1391" customFormat="false" ht="39.75" hidden="false" customHeight="true" outlineLevel="0" collapsed="false">
      <c r="S1391" s="143"/>
    </row>
    <row r="1392" customFormat="false" ht="39.75" hidden="false" customHeight="true" outlineLevel="0" collapsed="false">
      <c r="S1392" s="143"/>
    </row>
    <row r="1393" customFormat="false" ht="39.75" hidden="false" customHeight="true" outlineLevel="0" collapsed="false">
      <c r="S1393" s="143"/>
    </row>
    <row r="1394" customFormat="false" ht="39.75" hidden="false" customHeight="true" outlineLevel="0" collapsed="false">
      <c r="S1394" s="143"/>
    </row>
    <row r="1395" customFormat="false" ht="39.75" hidden="false" customHeight="true" outlineLevel="0" collapsed="false">
      <c r="S1395" s="143"/>
    </row>
    <row r="1396" customFormat="false" ht="39.75" hidden="false" customHeight="true" outlineLevel="0" collapsed="false">
      <c r="S1396" s="143"/>
    </row>
    <row r="1397" customFormat="false" ht="39.75" hidden="false" customHeight="true" outlineLevel="0" collapsed="false">
      <c r="S1397" s="143"/>
    </row>
    <row r="1398" customFormat="false" ht="39.75" hidden="false" customHeight="true" outlineLevel="0" collapsed="false">
      <c r="S1398" s="143"/>
    </row>
    <row r="1399" customFormat="false" ht="39.75" hidden="false" customHeight="true" outlineLevel="0" collapsed="false">
      <c r="S1399" s="143"/>
    </row>
    <row r="1400" customFormat="false" ht="39.75" hidden="false" customHeight="true" outlineLevel="0" collapsed="false">
      <c r="S1400" s="143"/>
    </row>
    <row r="1401" customFormat="false" ht="39.75" hidden="false" customHeight="true" outlineLevel="0" collapsed="false">
      <c r="S1401" s="143"/>
    </row>
    <row r="1402" customFormat="false" ht="39.75" hidden="false" customHeight="true" outlineLevel="0" collapsed="false">
      <c r="S1402" s="143"/>
    </row>
    <row r="1403" customFormat="false" ht="39.75" hidden="false" customHeight="true" outlineLevel="0" collapsed="false">
      <c r="S1403" s="143"/>
    </row>
    <row r="1404" customFormat="false" ht="39.75" hidden="false" customHeight="true" outlineLevel="0" collapsed="false">
      <c r="S1404" s="143"/>
    </row>
    <row r="1405" customFormat="false" ht="39.75" hidden="false" customHeight="true" outlineLevel="0" collapsed="false">
      <c r="S1405" s="143"/>
    </row>
    <row r="1406" customFormat="false" ht="39.75" hidden="false" customHeight="true" outlineLevel="0" collapsed="false">
      <c r="S1406" s="143"/>
    </row>
    <row r="1407" customFormat="false" ht="39.75" hidden="false" customHeight="true" outlineLevel="0" collapsed="false">
      <c r="S1407" s="143"/>
    </row>
    <row r="1408" customFormat="false" ht="39.75" hidden="false" customHeight="true" outlineLevel="0" collapsed="false">
      <c r="S1408" s="143"/>
    </row>
    <row r="1409" customFormat="false" ht="39.75" hidden="false" customHeight="true" outlineLevel="0" collapsed="false">
      <c r="S1409" s="143"/>
    </row>
    <row r="1410" customFormat="false" ht="39.75" hidden="false" customHeight="true" outlineLevel="0" collapsed="false">
      <c r="S1410" s="143"/>
    </row>
    <row r="1411" customFormat="false" ht="39.75" hidden="false" customHeight="true" outlineLevel="0" collapsed="false">
      <c r="S1411" s="143"/>
    </row>
    <row r="1412" customFormat="false" ht="39.75" hidden="false" customHeight="true" outlineLevel="0" collapsed="false">
      <c r="S1412" s="143"/>
    </row>
    <row r="1413" customFormat="false" ht="39.75" hidden="false" customHeight="true" outlineLevel="0" collapsed="false">
      <c r="S1413" s="143"/>
    </row>
    <row r="1414" customFormat="false" ht="39.75" hidden="false" customHeight="true" outlineLevel="0" collapsed="false">
      <c r="S1414" s="143"/>
    </row>
    <row r="1415" customFormat="false" ht="39.75" hidden="false" customHeight="true" outlineLevel="0" collapsed="false">
      <c r="S1415" s="143"/>
    </row>
    <row r="1416" customFormat="false" ht="39.75" hidden="false" customHeight="true" outlineLevel="0" collapsed="false">
      <c r="S1416" s="143"/>
    </row>
    <row r="1417" customFormat="false" ht="39.75" hidden="false" customHeight="true" outlineLevel="0" collapsed="false">
      <c r="S1417" s="143"/>
    </row>
    <row r="1418" customFormat="false" ht="39.75" hidden="false" customHeight="true" outlineLevel="0" collapsed="false">
      <c r="S1418" s="143"/>
    </row>
    <row r="1419" customFormat="false" ht="39.75" hidden="false" customHeight="true" outlineLevel="0" collapsed="false">
      <c r="S1419" s="143"/>
    </row>
    <row r="1420" customFormat="false" ht="39.75" hidden="false" customHeight="true" outlineLevel="0" collapsed="false">
      <c r="S1420" s="143"/>
    </row>
    <row r="1421" customFormat="false" ht="39.75" hidden="false" customHeight="true" outlineLevel="0" collapsed="false">
      <c r="S1421" s="143"/>
    </row>
    <row r="1422" customFormat="false" ht="39.75" hidden="false" customHeight="true" outlineLevel="0" collapsed="false">
      <c r="S1422" s="143"/>
    </row>
    <row r="1423" customFormat="false" ht="39.75" hidden="false" customHeight="true" outlineLevel="0" collapsed="false">
      <c r="S1423" s="143"/>
    </row>
    <row r="1424" customFormat="false" ht="39.75" hidden="false" customHeight="true" outlineLevel="0" collapsed="false">
      <c r="S1424" s="143"/>
    </row>
    <row r="1425" customFormat="false" ht="39.75" hidden="false" customHeight="true" outlineLevel="0" collapsed="false">
      <c r="S1425" s="143"/>
    </row>
    <row r="1426" customFormat="false" ht="39.75" hidden="false" customHeight="true" outlineLevel="0" collapsed="false">
      <c r="S1426" s="143"/>
    </row>
    <row r="1427" customFormat="false" ht="39.75" hidden="false" customHeight="true" outlineLevel="0" collapsed="false">
      <c r="S1427" s="143"/>
    </row>
    <row r="1428" customFormat="false" ht="39.75" hidden="false" customHeight="true" outlineLevel="0" collapsed="false">
      <c r="S1428" s="143"/>
    </row>
    <row r="1429" customFormat="false" ht="39.75" hidden="false" customHeight="true" outlineLevel="0" collapsed="false">
      <c r="S1429" s="143"/>
    </row>
    <row r="1430" customFormat="false" ht="39.75" hidden="false" customHeight="true" outlineLevel="0" collapsed="false">
      <c r="S1430" s="143"/>
    </row>
    <row r="1431" customFormat="false" ht="39.75" hidden="false" customHeight="true" outlineLevel="0" collapsed="false">
      <c r="S1431" s="143"/>
    </row>
    <row r="1432" customFormat="false" ht="39.75" hidden="false" customHeight="true" outlineLevel="0" collapsed="false">
      <c r="S1432" s="143"/>
    </row>
    <row r="1433" customFormat="false" ht="39.75" hidden="false" customHeight="true" outlineLevel="0" collapsed="false">
      <c r="S1433" s="143"/>
    </row>
    <row r="1434" customFormat="false" ht="39.75" hidden="false" customHeight="true" outlineLevel="0" collapsed="false">
      <c r="S1434" s="143"/>
    </row>
    <row r="1435" customFormat="false" ht="39.75" hidden="false" customHeight="true" outlineLevel="0" collapsed="false">
      <c r="S1435" s="143"/>
    </row>
    <row r="1436" customFormat="false" ht="39.75" hidden="false" customHeight="true" outlineLevel="0" collapsed="false">
      <c r="S1436" s="143"/>
    </row>
    <row r="1437" customFormat="false" ht="39.75" hidden="false" customHeight="true" outlineLevel="0" collapsed="false">
      <c r="S1437" s="143"/>
    </row>
    <row r="1438" customFormat="false" ht="39.75" hidden="false" customHeight="true" outlineLevel="0" collapsed="false">
      <c r="S1438" s="143"/>
    </row>
    <row r="1439" customFormat="false" ht="39.75" hidden="false" customHeight="true" outlineLevel="0" collapsed="false">
      <c r="S1439" s="143"/>
    </row>
    <row r="1440" customFormat="false" ht="39.75" hidden="false" customHeight="true" outlineLevel="0" collapsed="false">
      <c r="S1440" s="143"/>
    </row>
    <row r="1441" customFormat="false" ht="39.75" hidden="false" customHeight="true" outlineLevel="0" collapsed="false">
      <c r="S1441" s="143"/>
    </row>
    <row r="1442" customFormat="false" ht="39.75" hidden="false" customHeight="true" outlineLevel="0" collapsed="false">
      <c r="S1442" s="143"/>
    </row>
    <row r="1443" customFormat="false" ht="39.75" hidden="false" customHeight="true" outlineLevel="0" collapsed="false">
      <c r="S1443" s="143"/>
    </row>
    <row r="1444" customFormat="false" ht="39.75" hidden="false" customHeight="true" outlineLevel="0" collapsed="false">
      <c r="S1444" s="143"/>
    </row>
    <row r="1445" customFormat="false" ht="39.75" hidden="false" customHeight="true" outlineLevel="0" collapsed="false">
      <c r="S1445" s="143"/>
    </row>
    <row r="1446" customFormat="false" ht="39.75" hidden="false" customHeight="true" outlineLevel="0" collapsed="false">
      <c r="S1446" s="143"/>
    </row>
    <row r="1447" customFormat="false" ht="39.75" hidden="false" customHeight="true" outlineLevel="0" collapsed="false">
      <c r="S1447" s="143"/>
    </row>
    <row r="1448" customFormat="false" ht="39.75" hidden="false" customHeight="true" outlineLevel="0" collapsed="false">
      <c r="S1448" s="143"/>
    </row>
    <row r="1449" customFormat="false" ht="39.75" hidden="false" customHeight="true" outlineLevel="0" collapsed="false">
      <c r="S1449" s="143"/>
    </row>
    <row r="1450" customFormat="false" ht="39.75" hidden="false" customHeight="true" outlineLevel="0" collapsed="false">
      <c r="S1450" s="143"/>
    </row>
    <row r="1451" customFormat="false" ht="39.75" hidden="false" customHeight="true" outlineLevel="0" collapsed="false">
      <c r="S1451" s="143"/>
    </row>
    <row r="1452" customFormat="false" ht="39.75" hidden="false" customHeight="true" outlineLevel="0" collapsed="false">
      <c r="S1452" s="143"/>
    </row>
    <row r="1453" customFormat="false" ht="39.75" hidden="false" customHeight="true" outlineLevel="0" collapsed="false">
      <c r="S1453" s="143"/>
    </row>
    <row r="1454" customFormat="false" ht="39.75" hidden="false" customHeight="true" outlineLevel="0" collapsed="false">
      <c r="S1454" s="143"/>
    </row>
    <row r="1455" customFormat="false" ht="39.75" hidden="false" customHeight="true" outlineLevel="0" collapsed="false">
      <c r="S1455" s="143"/>
    </row>
    <row r="1456" customFormat="false" ht="39.75" hidden="false" customHeight="true" outlineLevel="0" collapsed="false">
      <c r="S1456" s="143"/>
    </row>
    <row r="1457" customFormat="false" ht="39.75" hidden="false" customHeight="true" outlineLevel="0" collapsed="false">
      <c r="S1457" s="143"/>
    </row>
    <row r="1458" customFormat="false" ht="39.75" hidden="false" customHeight="true" outlineLevel="0" collapsed="false">
      <c r="S1458" s="143"/>
    </row>
    <row r="1459" customFormat="false" ht="39.75" hidden="false" customHeight="true" outlineLevel="0" collapsed="false">
      <c r="S1459" s="143"/>
    </row>
    <row r="1460" customFormat="false" ht="39.75" hidden="false" customHeight="true" outlineLevel="0" collapsed="false">
      <c r="S1460" s="143"/>
    </row>
    <row r="1461" customFormat="false" ht="39.75" hidden="false" customHeight="true" outlineLevel="0" collapsed="false">
      <c r="S1461" s="143"/>
    </row>
    <row r="1462" customFormat="false" ht="39.75" hidden="false" customHeight="true" outlineLevel="0" collapsed="false">
      <c r="S1462" s="143"/>
    </row>
    <row r="1463" customFormat="false" ht="39.75" hidden="false" customHeight="true" outlineLevel="0" collapsed="false">
      <c r="S1463" s="143"/>
    </row>
    <row r="1464" customFormat="false" ht="39.75" hidden="false" customHeight="true" outlineLevel="0" collapsed="false">
      <c r="S1464" s="143"/>
    </row>
    <row r="1465" customFormat="false" ht="39.75" hidden="false" customHeight="true" outlineLevel="0" collapsed="false">
      <c r="S1465" s="143"/>
    </row>
    <row r="1466" customFormat="false" ht="39.75" hidden="false" customHeight="true" outlineLevel="0" collapsed="false">
      <c r="S1466" s="143"/>
    </row>
    <row r="1467" customFormat="false" ht="39.75" hidden="false" customHeight="true" outlineLevel="0" collapsed="false">
      <c r="S1467" s="143"/>
    </row>
    <row r="1468" customFormat="false" ht="39.75" hidden="false" customHeight="true" outlineLevel="0" collapsed="false">
      <c r="S1468" s="143"/>
    </row>
    <row r="1469" customFormat="false" ht="39.75" hidden="false" customHeight="true" outlineLevel="0" collapsed="false">
      <c r="S1469" s="143"/>
    </row>
    <row r="1470" customFormat="false" ht="39.75" hidden="false" customHeight="true" outlineLevel="0" collapsed="false">
      <c r="S1470" s="143"/>
    </row>
    <row r="1471" customFormat="false" ht="39.75" hidden="false" customHeight="true" outlineLevel="0" collapsed="false">
      <c r="S1471" s="143"/>
    </row>
    <row r="1472" customFormat="false" ht="39.75" hidden="false" customHeight="true" outlineLevel="0" collapsed="false">
      <c r="S1472" s="143"/>
    </row>
    <row r="1473" customFormat="false" ht="39.75" hidden="false" customHeight="true" outlineLevel="0" collapsed="false">
      <c r="S1473" s="143"/>
    </row>
    <row r="1474" customFormat="false" ht="39.75" hidden="false" customHeight="true" outlineLevel="0" collapsed="false">
      <c r="S1474" s="143"/>
    </row>
    <row r="1475" customFormat="false" ht="39.75" hidden="false" customHeight="true" outlineLevel="0" collapsed="false">
      <c r="S1475" s="143"/>
    </row>
    <row r="1476" customFormat="false" ht="39.75" hidden="false" customHeight="true" outlineLevel="0" collapsed="false">
      <c r="S1476" s="143"/>
    </row>
    <row r="1477" customFormat="false" ht="39.75" hidden="false" customHeight="true" outlineLevel="0" collapsed="false">
      <c r="S1477" s="143"/>
    </row>
    <row r="1478" customFormat="false" ht="39.75" hidden="false" customHeight="true" outlineLevel="0" collapsed="false">
      <c r="S1478" s="143"/>
    </row>
    <row r="1479" customFormat="false" ht="39.75" hidden="false" customHeight="true" outlineLevel="0" collapsed="false">
      <c r="S1479" s="143"/>
    </row>
    <row r="1480" customFormat="false" ht="39.75" hidden="false" customHeight="true" outlineLevel="0" collapsed="false">
      <c r="S1480" s="143"/>
    </row>
    <row r="1481" customFormat="false" ht="39.75" hidden="false" customHeight="true" outlineLevel="0" collapsed="false">
      <c r="S1481" s="143"/>
    </row>
    <row r="1482" customFormat="false" ht="39.75" hidden="false" customHeight="true" outlineLevel="0" collapsed="false">
      <c r="S1482" s="143"/>
    </row>
    <row r="1483" customFormat="false" ht="39.75" hidden="false" customHeight="true" outlineLevel="0" collapsed="false">
      <c r="S1483" s="143"/>
    </row>
    <row r="1484" customFormat="false" ht="39.75" hidden="false" customHeight="true" outlineLevel="0" collapsed="false">
      <c r="S1484" s="143"/>
    </row>
    <row r="1485" customFormat="false" ht="39.75" hidden="false" customHeight="true" outlineLevel="0" collapsed="false">
      <c r="S1485" s="143"/>
    </row>
    <row r="1486" customFormat="false" ht="39.75" hidden="false" customHeight="true" outlineLevel="0" collapsed="false">
      <c r="S1486" s="143"/>
    </row>
    <row r="1487" customFormat="false" ht="39.75" hidden="false" customHeight="true" outlineLevel="0" collapsed="false">
      <c r="S1487" s="143"/>
    </row>
    <row r="1488" customFormat="false" ht="39.75" hidden="false" customHeight="true" outlineLevel="0" collapsed="false">
      <c r="S1488" s="143"/>
    </row>
    <row r="1489" customFormat="false" ht="39.75" hidden="false" customHeight="true" outlineLevel="0" collapsed="false">
      <c r="S1489" s="143"/>
    </row>
    <row r="1490" customFormat="false" ht="39.75" hidden="false" customHeight="true" outlineLevel="0" collapsed="false">
      <c r="S1490" s="143"/>
    </row>
    <row r="1491" customFormat="false" ht="39.75" hidden="false" customHeight="true" outlineLevel="0" collapsed="false">
      <c r="S1491" s="143"/>
    </row>
    <row r="1492" customFormat="false" ht="39.75" hidden="false" customHeight="true" outlineLevel="0" collapsed="false">
      <c r="S1492" s="143"/>
    </row>
    <row r="1493" customFormat="false" ht="39.75" hidden="false" customHeight="true" outlineLevel="0" collapsed="false">
      <c r="S1493" s="143"/>
    </row>
    <row r="1494" customFormat="false" ht="39.75" hidden="false" customHeight="true" outlineLevel="0" collapsed="false">
      <c r="S1494" s="143"/>
    </row>
    <row r="1495" customFormat="false" ht="39.75" hidden="false" customHeight="true" outlineLevel="0" collapsed="false">
      <c r="S1495" s="143"/>
    </row>
    <row r="1496" customFormat="false" ht="39.75" hidden="false" customHeight="true" outlineLevel="0" collapsed="false">
      <c r="S1496" s="143"/>
    </row>
    <row r="1497" customFormat="false" ht="39.75" hidden="false" customHeight="true" outlineLevel="0" collapsed="false">
      <c r="S1497" s="143"/>
    </row>
    <row r="1498" customFormat="false" ht="39.75" hidden="false" customHeight="true" outlineLevel="0" collapsed="false">
      <c r="S1498" s="143"/>
    </row>
    <row r="1499" customFormat="false" ht="39.75" hidden="false" customHeight="true" outlineLevel="0" collapsed="false">
      <c r="S1499" s="143"/>
    </row>
    <row r="1500" customFormat="false" ht="39.75" hidden="false" customHeight="true" outlineLevel="0" collapsed="false">
      <c r="S1500" s="143"/>
    </row>
    <row r="1501" customFormat="false" ht="39.75" hidden="false" customHeight="true" outlineLevel="0" collapsed="false">
      <c r="S1501" s="143"/>
    </row>
    <row r="1502" customFormat="false" ht="39.75" hidden="false" customHeight="true" outlineLevel="0" collapsed="false">
      <c r="S1502" s="143"/>
    </row>
    <row r="1503" customFormat="false" ht="39.75" hidden="false" customHeight="true" outlineLevel="0" collapsed="false">
      <c r="S1503" s="143"/>
    </row>
    <row r="1504" customFormat="false" ht="39.75" hidden="false" customHeight="true" outlineLevel="0" collapsed="false">
      <c r="S1504" s="143"/>
    </row>
    <row r="1505" customFormat="false" ht="39.75" hidden="false" customHeight="true" outlineLevel="0" collapsed="false">
      <c r="S1505" s="143"/>
    </row>
    <row r="1506" customFormat="false" ht="39.75" hidden="false" customHeight="true" outlineLevel="0" collapsed="false">
      <c r="S1506" s="143"/>
    </row>
    <row r="1507" customFormat="false" ht="39.75" hidden="false" customHeight="true" outlineLevel="0" collapsed="false">
      <c r="S1507" s="143"/>
    </row>
    <row r="1508" customFormat="false" ht="39.75" hidden="false" customHeight="true" outlineLevel="0" collapsed="false">
      <c r="S1508" s="143"/>
    </row>
    <row r="1509" customFormat="false" ht="39.75" hidden="false" customHeight="true" outlineLevel="0" collapsed="false">
      <c r="S1509" s="143"/>
    </row>
    <row r="1510" customFormat="false" ht="39.75" hidden="false" customHeight="true" outlineLevel="0" collapsed="false">
      <c r="S1510" s="143"/>
    </row>
    <row r="1511" customFormat="false" ht="39.75" hidden="false" customHeight="true" outlineLevel="0" collapsed="false">
      <c r="S1511" s="143"/>
    </row>
    <row r="1512" customFormat="false" ht="39.75" hidden="false" customHeight="true" outlineLevel="0" collapsed="false">
      <c r="S1512" s="143"/>
    </row>
    <row r="1513" customFormat="false" ht="39.75" hidden="false" customHeight="true" outlineLevel="0" collapsed="false">
      <c r="S1513" s="143"/>
    </row>
    <row r="1514" customFormat="false" ht="39.75" hidden="false" customHeight="true" outlineLevel="0" collapsed="false">
      <c r="S1514" s="143"/>
    </row>
    <row r="1515" customFormat="false" ht="39.75" hidden="false" customHeight="true" outlineLevel="0" collapsed="false">
      <c r="S1515" s="143"/>
    </row>
    <row r="1516" customFormat="false" ht="39.75" hidden="false" customHeight="true" outlineLevel="0" collapsed="false">
      <c r="S1516" s="143"/>
    </row>
    <row r="1517" customFormat="false" ht="39.75" hidden="false" customHeight="true" outlineLevel="0" collapsed="false">
      <c r="S1517" s="143"/>
    </row>
    <row r="1518" customFormat="false" ht="39.75" hidden="false" customHeight="true" outlineLevel="0" collapsed="false">
      <c r="S1518" s="143"/>
    </row>
    <row r="1519" customFormat="false" ht="39.75" hidden="false" customHeight="true" outlineLevel="0" collapsed="false">
      <c r="S1519" s="143"/>
    </row>
    <row r="1520" customFormat="false" ht="39.75" hidden="false" customHeight="true" outlineLevel="0" collapsed="false">
      <c r="S1520" s="143"/>
    </row>
    <row r="1521" customFormat="false" ht="39.75" hidden="false" customHeight="true" outlineLevel="0" collapsed="false">
      <c r="S1521" s="143"/>
    </row>
    <row r="1522" customFormat="false" ht="39.75" hidden="false" customHeight="true" outlineLevel="0" collapsed="false">
      <c r="S1522" s="143"/>
    </row>
    <row r="1523" customFormat="false" ht="39.75" hidden="false" customHeight="true" outlineLevel="0" collapsed="false">
      <c r="S1523" s="143"/>
    </row>
    <row r="1524" customFormat="false" ht="39.75" hidden="false" customHeight="true" outlineLevel="0" collapsed="false">
      <c r="S1524" s="143"/>
    </row>
    <row r="1525" customFormat="false" ht="39.75" hidden="false" customHeight="true" outlineLevel="0" collapsed="false">
      <c r="S1525" s="143"/>
    </row>
    <row r="1526" customFormat="false" ht="39.75" hidden="false" customHeight="true" outlineLevel="0" collapsed="false">
      <c r="S1526" s="143"/>
    </row>
    <row r="1527" customFormat="false" ht="39.75" hidden="false" customHeight="true" outlineLevel="0" collapsed="false">
      <c r="S1527" s="143"/>
    </row>
    <row r="1528" customFormat="false" ht="39.75" hidden="false" customHeight="true" outlineLevel="0" collapsed="false">
      <c r="S1528" s="143"/>
    </row>
    <row r="1529" customFormat="false" ht="39.75" hidden="false" customHeight="true" outlineLevel="0" collapsed="false">
      <c r="S1529" s="143"/>
    </row>
    <row r="1530" customFormat="false" ht="39.75" hidden="false" customHeight="true" outlineLevel="0" collapsed="false">
      <c r="S1530" s="143"/>
    </row>
    <row r="1531" customFormat="false" ht="39.75" hidden="false" customHeight="true" outlineLevel="0" collapsed="false">
      <c r="S1531" s="143"/>
    </row>
    <row r="1532" customFormat="false" ht="39.75" hidden="false" customHeight="true" outlineLevel="0" collapsed="false">
      <c r="S1532" s="143"/>
    </row>
    <row r="1533" customFormat="false" ht="39.75" hidden="false" customHeight="true" outlineLevel="0" collapsed="false">
      <c r="S1533" s="143"/>
    </row>
    <row r="1534" customFormat="false" ht="39.75" hidden="false" customHeight="true" outlineLevel="0" collapsed="false">
      <c r="S1534" s="143"/>
    </row>
    <row r="1535" customFormat="false" ht="39.75" hidden="false" customHeight="true" outlineLevel="0" collapsed="false">
      <c r="S1535" s="143"/>
    </row>
    <row r="1536" customFormat="false" ht="39.75" hidden="false" customHeight="true" outlineLevel="0" collapsed="false">
      <c r="S1536" s="143"/>
    </row>
    <row r="1537" customFormat="false" ht="39.75" hidden="false" customHeight="true" outlineLevel="0" collapsed="false">
      <c r="S1537" s="143"/>
    </row>
    <row r="1538" customFormat="false" ht="39.75" hidden="false" customHeight="true" outlineLevel="0" collapsed="false">
      <c r="S1538" s="143"/>
    </row>
    <row r="1539" customFormat="false" ht="39.75" hidden="false" customHeight="true" outlineLevel="0" collapsed="false">
      <c r="S1539" s="143"/>
    </row>
    <row r="1540" customFormat="false" ht="39.75" hidden="false" customHeight="true" outlineLevel="0" collapsed="false">
      <c r="S1540" s="143"/>
    </row>
    <row r="1541" customFormat="false" ht="39.75" hidden="false" customHeight="true" outlineLevel="0" collapsed="false">
      <c r="S1541" s="143"/>
    </row>
    <row r="1542" customFormat="false" ht="39.75" hidden="false" customHeight="true" outlineLevel="0" collapsed="false">
      <c r="S1542" s="143"/>
    </row>
    <row r="1543" customFormat="false" ht="39.75" hidden="false" customHeight="true" outlineLevel="0" collapsed="false">
      <c r="S1543" s="143"/>
    </row>
    <row r="1544" customFormat="false" ht="39.75" hidden="false" customHeight="true" outlineLevel="0" collapsed="false">
      <c r="S1544" s="143"/>
    </row>
    <row r="1545" customFormat="false" ht="39.75" hidden="false" customHeight="true" outlineLevel="0" collapsed="false">
      <c r="S1545" s="143"/>
    </row>
    <row r="1546" customFormat="false" ht="39.75" hidden="false" customHeight="true" outlineLevel="0" collapsed="false">
      <c r="S1546" s="143"/>
    </row>
    <row r="1547" customFormat="false" ht="39.75" hidden="false" customHeight="true" outlineLevel="0" collapsed="false">
      <c r="S1547" s="143"/>
    </row>
    <row r="1548" customFormat="false" ht="39.75" hidden="false" customHeight="true" outlineLevel="0" collapsed="false">
      <c r="S1548" s="143"/>
    </row>
    <row r="1549" customFormat="false" ht="39.75" hidden="false" customHeight="true" outlineLevel="0" collapsed="false">
      <c r="S1549" s="143"/>
    </row>
    <row r="1550" customFormat="false" ht="39.75" hidden="false" customHeight="true" outlineLevel="0" collapsed="false">
      <c r="S1550" s="143"/>
    </row>
    <row r="1551" customFormat="false" ht="39.75" hidden="false" customHeight="true" outlineLevel="0" collapsed="false">
      <c r="S1551" s="143"/>
    </row>
    <row r="1552" customFormat="false" ht="39.75" hidden="false" customHeight="true" outlineLevel="0" collapsed="false">
      <c r="S1552" s="143"/>
    </row>
    <row r="1553" customFormat="false" ht="39.75" hidden="false" customHeight="true" outlineLevel="0" collapsed="false">
      <c r="S1553" s="143"/>
    </row>
    <row r="1554" customFormat="false" ht="39.75" hidden="false" customHeight="true" outlineLevel="0" collapsed="false">
      <c r="S1554" s="143"/>
    </row>
    <row r="1555" customFormat="false" ht="39.75" hidden="false" customHeight="true" outlineLevel="0" collapsed="false">
      <c r="S1555" s="143"/>
    </row>
    <row r="1556" customFormat="false" ht="39.75" hidden="false" customHeight="true" outlineLevel="0" collapsed="false">
      <c r="S1556" s="143"/>
    </row>
    <row r="1557" customFormat="false" ht="39.75" hidden="false" customHeight="true" outlineLevel="0" collapsed="false">
      <c r="S1557" s="143"/>
    </row>
    <row r="1558" customFormat="false" ht="39.75" hidden="false" customHeight="true" outlineLevel="0" collapsed="false">
      <c r="S1558" s="143"/>
    </row>
    <row r="1559" customFormat="false" ht="39.75" hidden="false" customHeight="true" outlineLevel="0" collapsed="false">
      <c r="S1559" s="143"/>
    </row>
    <row r="1560" customFormat="false" ht="39.75" hidden="false" customHeight="true" outlineLevel="0" collapsed="false">
      <c r="S1560" s="143"/>
    </row>
    <row r="1561" customFormat="false" ht="39.75" hidden="false" customHeight="true" outlineLevel="0" collapsed="false">
      <c r="S1561" s="143"/>
    </row>
    <row r="1562" customFormat="false" ht="39.75" hidden="false" customHeight="true" outlineLevel="0" collapsed="false">
      <c r="S1562" s="143"/>
    </row>
    <row r="1563" customFormat="false" ht="39.75" hidden="false" customHeight="true" outlineLevel="0" collapsed="false">
      <c r="S1563" s="143"/>
    </row>
    <row r="1564" customFormat="false" ht="39.75" hidden="false" customHeight="true" outlineLevel="0" collapsed="false">
      <c r="S1564" s="143"/>
    </row>
    <row r="1565" customFormat="false" ht="39.75" hidden="false" customHeight="true" outlineLevel="0" collapsed="false">
      <c r="S1565" s="143"/>
    </row>
    <row r="1566" customFormat="false" ht="39.75" hidden="false" customHeight="true" outlineLevel="0" collapsed="false">
      <c r="S1566" s="143"/>
    </row>
    <row r="1567" customFormat="false" ht="39.75" hidden="false" customHeight="true" outlineLevel="0" collapsed="false">
      <c r="S1567" s="143"/>
    </row>
    <row r="1568" customFormat="false" ht="39.75" hidden="false" customHeight="true" outlineLevel="0" collapsed="false">
      <c r="S1568" s="143"/>
    </row>
    <row r="1569" customFormat="false" ht="39.75" hidden="false" customHeight="true" outlineLevel="0" collapsed="false">
      <c r="S1569" s="143"/>
    </row>
    <row r="1570" customFormat="false" ht="39.75" hidden="false" customHeight="true" outlineLevel="0" collapsed="false">
      <c r="S1570" s="143"/>
    </row>
    <row r="1571" customFormat="false" ht="39.75" hidden="false" customHeight="true" outlineLevel="0" collapsed="false">
      <c r="S1571" s="143"/>
    </row>
    <row r="1572" customFormat="false" ht="39.75" hidden="false" customHeight="true" outlineLevel="0" collapsed="false">
      <c r="S1572" s="143"/>
    </row>
    <row r="1573" customFormat="false" ht="39.75" hidden="false" customHeight="true" outlineLevel="0" collapsed="false">
      <c r="S1573" s="143"/>
    </row>
    <row r="1574" customFormat="false" ht="39.75" hidden="false" customHeight="true" outlineLevel="0" collapsed="false">
      <c r="S1574" s="143"/>
    </row>
    <row r="1575" customFormat="false" ht="39.75" hidden="false" customHeight="true" outlineLevel="0" collapsed="false">
      <c r="S1575" s="143"/>
    </row>
    <row r="1576" customFormat="false" ht="39.75" hidden="false" customHeight="true" outlineLevel="0" collapsed="false">
      <c r="S1576" s="143"/>
    </row>
    <row r="1577" customFormat="false" ht="39.75" hidden="false" customHeight="true" outlineLevel="0" collapsed="false">
      <c r="S1577" s="143"/>
    </row>
    <row r="1578" customFormat="false" ht="39.75" hidden="false" customHeight="true" outlineLevel="0" collapsed="false">
      <c r="S1578" s="143"/>
    </row>
    <row r="1579" customFormat="false" ht="39.75" hidden="false" customHeight="true" outlineLevel="0" collapsed="false">
      <c r="S1579" s="143"/>
    </row>
    <row r="1580" customFormat="false" ht="39.75" hidden="false" customHeight="true" outlineLevel="0" collapsed="false">
      <c r="S1580" s="143"/>
    </row>
    <row r="1581" customFormat="false" ht="39.75" hidden="false" customHeight="true" outlineLevel="0" collapsed="false">
      <c r="S1581" s="143"/>
    </row>
    <row r="1582" customFormat="false" ht="39.75" hidden="false" customHeight="true" outlineLevel="0" collapsed="false">
      <c r="S1582" s="143"/>
    </row>
    <row r="1583" customFormat="false" ht="39.75" hidden="false" customHeight="true" outlineLevel="0" collapsed="false">
      <c r="S1583" s="143"/>
    </row>
    <row r="1584" customFormat="false" ht="39.75" hidden="false" customHeight="true" outlineLevel="0" collapsed="false">
      <c r="S1584" s="143"/>
    </row>
    <row r="1585" customFormat="false" ht="39.75" hidden="false" customHeight="true" outlineLevel="0" collapsed="false">
      <c r="S1585" s="143"/>
    </row>
    <row r="1586" customFormat="false" ht="39.75" hidden="false" customHeight="true" outlineLevel="0" collapsed="false">
      <c r="S1586" s="143"/>
    </row>
    <row r="1587" customFormat="false" ht="39.75" hidden="false" customHeight="true" outlineLevel="0" collapsed="false">
      <c r="S1587" s="143"/>
    </row>
    <row r="1588" customFormat="false" ht="39.75" hidden="false" customHeight="true" outlineLevel="0" collapsed="false">
      <c r="S1588" s="143"/>
    </row>
    <row r="1589" customFormat="false" ht="39.75" hidden="false" customHeight="true" outlineLevel="0" collapsed="false">
      <c r="S1589" s="143"/>
    </row>
    <row r="1590" customFormat="false" ht="39.75" hidden="false" customHeight="true" outlineLevel="0" collapsed="false">
      <c r="S1590" s="143"/>
    </row>
    <row r="1591" customFormat="false" ht="39.75" hidden="false" customHeight="true" outlineLevel="0" collapsed="false">
      <c r="S1591" s="143"/>
    </row>
    <row r="1592" customFormat="false" ht="39.75" hidden="false" customHeight="true" outlineLevel="0" collapsed="false">
      <c r="S1592" s="143"/>
    </row>
    <row r="1593" customFormat="false" ht="39.75" hidden="false" customHeight="true" outlineLevel="0" collapsed="false">
      <c r="S1593" s="143"/>
    </row>
    <row r="1594" customFormat="false" ht="39.75" hidden="false" customHeight="true" outlineLevel="0" collapsed="false">
      <c r="S1594" s="143"/>
    </row>
    <row r="1595" customFormat="false" ht="39.75" hidden="false" customHeight="true" outlineLevel="0" collapsed="false">
      <c r="S1595" s="143"/>
    </row>
    <row r="1596" customFormat="false" ht="39.75" hidden="false" customHeight="true" outlineLevel="0" collapsed="false">
      <c r="S1596" s="143"/>
    </row>
    <row r="1597" customFormat="false" ht="39.75" hidden="false" customHeight="true" outlineLevel="0" collapsed="false">
      <c r="S1597" s="143"/>
    </row>
    <row r="1598" customFormat="false" ht="39.75" hidden="false" customHeight="true" outlineLevel="0" collapsed="false">
      <c r="S1598" s="143"/>
    </row>
    <row r="1599" customFormat="false" ht="39.75" hidden="false" customHeight="true" outlineLevel="0" collapsed="false">
      <c r="S1599" s="143"/>
    </row>
    <row r="1600" customFormat="false" ht="39.75" hidden="false" customHeight="true" outlineLevel="0" collapsed="false">
      <c r="S1600" s="143"/>
    </row>
    <row r="1601" customFormat="false" ht="39.75" hidden="false" customHeight="true" outlineLevel="0" collapsed="false">
      <c r="S1601" s="143"/>
    </row>
    <row r="1602" customFormat="false" ht="39.75" hidden="false" customHeight="true" outlineLevel="0" collapsed="false">
      <c r="S1602" s="143"/>
    </row>
    <row r="1603" customFormat="false" ht="39.75" hidden="false" customHeight="true" outlineLevel="0" collapsed="false">
      <c r="S1603" s="143"/>
    </row>
    <row r="1604" customFormat="false" ht="39.75" hidden="false" customHeight="true" outlineLevel="0" collapsed="false">
      <c r="S1604" s="143"/>
    </row>
    <row r="1605" customFormat="false" ht="39.75" hidden="false" customHeight="true" outlineLevel="0" collapsed="false">
      <c r="S1605" s="143"/>
    </row>
    <row r="1606" customFormat="false" ht="39.75" hidden="false" customHeight="true" outlineLevel="0" collapsed="false">
      <c r="S1606" s="143"/>
    </row>
    <row r="1607" customFormat="false" ht="39.75" hidden="false" customHeight="true" outlineLevel="0" collapsed="false">
      <c r="S1607" s="143"/>
    </row>
    <row r="1608" customFormat="false" ht="39.75" hidden="false" customHeight="true" outlineLevel="0" collapsed="false">
      <c r="S1608" s="143"/>
    </row>
    <row r="1609" customFormat="false" ht="39.75" hidden="false" customHeight="true" outlineLevel="0" collapsed="false">
      <c r="S1609" s="143"/>
    </row>
    <row r="1610" customFormat="false" ht="39.75" hidden="false" customHeight="true" outlineLevel="0" collapsed="false">
      <c r="S1610" s="143"/>
    </row>
    <row r="1611" customFormat="false" ht="39.75" hidden="false" customHeight="true" outlineLevel="0" collapsed="false">
      <c r="S1611" s="143"/>
    </row>
    <row r="1612" customFormat="false" ht="39.75" hidden="false" customHeight="true" outlineLevel="0" collapsed="false">
      <c r="S1612" s="143"/>
    </row>
    <row r="1613" customFormat="false" ht="39.75" hidden="false" customHeight="true" outlineLevel="0" collapsed="false">
      <c r="S1613" s="143"/>
    </row>
    <row r="1614" customFormat="false" ht="39.75" hidden="false" customHeight="true" outlineLevel="0" collapsed="false">
      <c r="S1614" s="143"/>
    </row>
    <row r="1615" customFormat="false" ht="39.75" hidden="false" customHeight="true" outlineLevel="0" collapsed="false">
      <c r="S1615" s="143"/>
    </row>
    <row r="1616" customFormat="false" ht="39.75" hidden="false" customHeight="true" outlineLevel="0" collapsed="false">
      <c r="S1616" s="143"/>
    </row>
    <row r="1617" customFormat="false" ht="39.75" hidden="false" customHeight="true" outlineLevel="0" collapsed="false">
      <c r="S1617" s="143"/>
    </row>
    <row r="1618" customFormat="false" ht="39.75" hidden="false" customHeight="true" outlineLevel="0" collapsed="false">
      <c r="S1618" s="143"/>
    </row>
    <row r="1619" customFormat="false" ht="39.75" hidden="false" customHeight="true" outlineLevel="0" collapsed="false">
      <c r="S1619" s="143"/>
    </row>
    <row r="1620" customFormat="false" ht="39.75" hidden="false" customHeight="true" outlineLevel="0" collapsed="false">
      <c r="S1620" s="143"/>
    </row>
    <row r="1621" customFormat="false" ht="39.75" hidden="false" customHeight="true" outlineLevel="0" collapsed="false">
      <c r="S1621" s="143"/>
    </row>
    <row r="1622" customFormat="false" ht="39.75" hidden="false" customHeight="true" outlineLevel="0" collapsed="false">
      <c r="S1622" s="143"/>
    </row>
    <row r="1623" customFormat="false" ht="39.75" hidden="false" customHeight="true" outlineLevel="0" collapsed="false">
      <c r="S1623" s="143"/>
    </row>
    <row r="1624" customFormat="false" ht="39.75" hidden="false" customHeight="true" outlineLevel="0" collapsed="false">
      <c r="S1624" s="143"/>
    </row>
    <row r="1625" customFormat="false" ht="39.75" hidden="false" customHeight="true" outlineLevel="0" collapsed="false">
      <c r="S1625" s="143"/>
    </row>
    <row r="1626" customFormat="false" ht="39.75" hidden="false" customHeight="true" outlineLevel="0" collapsed="false">
      <c r="S1626" s="143"/>
    </row>
    <row r="1627" customFormat="false" ht="39.75" hidden="false" customHeight="true" outlineLevel="0" collapsed="false">
      <c r="S1627" s="143"/>
    </row>
    <row r="1628" customFormat="false" ht="39.75" hidden="false" customHeight="true" outlineLevel="0" collapsed="false">
      <c r="S1628" s="143"/>
    </row>
    <row r="1629" customFormat="false" ht="39.75" hidden="false" customHeight="true" outlineLevel="0" collapsed="false">
      <c r="S1629" s="143"/>
    </row>
    <row r="1630" customFormat="false" ht="39.75" hidden="false" customHeight="true" outlineLevel="0" collapsed="false">
      <c r="S1630" s="143"/>
    </row>
    <row r="1631" customFormat="false" ht="39.75" hidden="false" customHeight="true" outlineLevel="0" collapsed="false">
      <c r="S1631" s="143"/>
    </row>
    <row r="1632" customFormat="false" ht="39.75" hidden="false" customHeight="true" outlineLevel="0" collapsed="false">
      <c r="S1632" s="143"/>
    </row>
    <row r="1633" customFormat="false" ht="39.75" hidden="false" customHeight="true" outlineLevel="0" collapsed="false">
      <c r="S1633" s="143"/>
    </row>
    <row r="1634" customFormat="false" ht="39.75" hidden="false" customHeight="true" outlineLevel="0" collapsed="false">
      <c r="S1634" s="143"/>
    </row>
    <row r="1635" customFormat="false" ht="39.75" hidden="false" customHeight="true" outlineLevel="0" collapsed="false">
      <c r="S1635" s="143"/>
    </row>
    <row r="1636" customFormat="false" ht="39.75" hidden="false" customHeight="true" outlineLevel="0" collapsed="false">
      <c r="S1636" s="143"/>
    </row>
    <row r="1637" customFormat="false" ht="39.75" hidden="false" customHeight="true" outlineLevel="0" collapsed="false">
      <c r="S1637" s="143"/>
    </row>
    <row r="1638" customFormat="false" ht="39.75" hidden="false" customHeight="true" outlineLevel="0" collapsed="false">
      <c r="S1638" s="143"/>
    </row>
    <row r="1639" customFormat="false" ht="39.75" hidden="false" customHeight="true" outlineLevel="0" collapsed="false">
      <c r="S1639" s="143"/>
    </row>
    <row r="1640" customFormat="false" ht="39.75" hidden="false" customHeight="true" outlineLevel="0" collapsed="false">
      <c r="S1640" s="143"/>
    </row>
    <row r="1641" customFormat="false" ht="39.75" hidden="false" customHeight="true" outlineLevel="0" collapsed="false">
      <c r="S1641" s="143"/>
    </row>
    <row r="1642" customFormat="false" ht="39.75" hidden="false" customHeight="true" outlineLevel="0" collapsed="false">
      <c r="S1642" s="143"/>
    </row>
    <row r="1643" customFormat="false" ht="39.75" hidden="false" customHeight="true" outlineLevel="0" collapsed="false">
      <c r="S1643" s="143"/>
    </row>
    <row r="1644" customFormat="false" ht="39.75" hidden="false" customHeight="true" outlineLevel="0" collapsed="false">
      <c r="S1644" s="143"/>
    </row>
    <row r="1645" customFormat="false" ht="39.75" hidden="false" customHeight="true" outlineLevel="0" collapsed="false">
      <c r="S1645" s="143"/>
    </row>
    <row r="1646" customFormat="false" ht="39.75" hidden="false" customHeight="true" outlineLevel="0" collapsed="false">
      <c r="S1646" s="143"/>
    </row>
    <row r="1647" customFormat="false" ht="39.75" hidden="false" customHeight="true" outlineLevel="0" collapsed="false">
      <c r="S1647" s="143"/>
    </row>
    <row r="1648" customFormat="false" ht="39.75" hidden="false" customHeight="true" outlineLevel="0" collapsed="false">
      <c r="S1648" s="143"/>
    </row>
    <row r="1649" customFormat="false" ht="39.75" hidden="false" customHeight="true" outlineLevel="0" collapsed="false">
      <c r="S1649" s="143"/>
    </row>
    <row r="1650" customFormat="false" ht="39.75" hidden="false" customHeight="true" outlineLevel="0" collapsed="false">
      <c r="S1650" s="143"/>
    </row>
    <row r="1651" customFormat="false" ht="39.75" hidden="false" customHeight="true" outlineLevel="0" collapsed="false">
      <c r="S1651" s="143"/>
    </row>
    <row r="1652" customFormat="false" ht="39.75" hidden="false" customHeight="true" outlineLevel="0" collapsed="false">
      <c r="S1652" s="143"/>
    </row>
    <row r="1653" customFormat="false" ht="39.75" hidden="false" customHeight="true" outlineLevel="0" collapsed="false">
      <c r="S1653" s="143"/>
    </row>
    <row r="1654" customFormat="false" ht="39.75" hidden="false" customHeight="true" outlineLevel="0" collapsed="false">
      <c r="S1654" s="143"/>
    </row>
    <row r="1655" customFormat="false" ht="39.75" hidden="false" customHeight="true" outlineLevel="0" collapsed="false">
      <c r="S1655" s="143"/>
    </row>
    <row r="1656" customFormat="false" ht="39.75" hidden="false" customHeight="true" outlineLevel="0" collapsed="false">
      <c r="S1656" s="143"/>
    </row>
    <row r="1657" customFormat="false" ht="39.75" hidden="false" customHeight="true" outlineLevel="0" collapsed="false">
      <c r="S1657" s="143"/>
    </row>
    <row r="1658" customFormat="false" ht="39.75" hidden="false" customHeight="true" outlineLevel="0" collapsed="false">
      <c r="S1658" s="143"/>
    </row>
    <row r="1659" customFormat="false" ht="39.75" hidden="false" customHeight="true" outlineLevel="0" collapsed="false">
      <c r="S1659" s="143"/>
    </row>
    <row r="1660" customFormat="false" ht="39.75" hidden="false" customHeight="true" outlineLevel="0" collapsed="false">
      <c r="S1660" s="143"/>
    </row>
    <row r="1661" customFormat="false" ht="39.75" hidden="false" customHeight="true" outlineLevel="0" collapsed="false">
      <c r="S1661" s="143"/>
    </row>
    <row r="1662" customFormat="false" ht="39.75" hidden="false" customHeight="true" outlineLevel="0" collapsed="false">
      <c r="S1662" s="143"/>
    </row>
    <row r="1663" customFormat="false" ht="39.75" hidden="false" customHeight="true" outlineLevel="0" collapsed="false">
      <c r="S1663" s="143"/>
    </row>
    <row r="1664" customFormat="false" ht="39.75" hidden="false" customHeight="true" outlineLevel="0" collapsed="false">
      <c r="S1664" s="143"/>
    </row>
    <row r="1665" customFormat="false" ht="39.75" hidden="false" customHeight="true" outlineLevel="0" collapsed="false">
      <c r="S1665" s="143"/>
    </row>
    <row r="1666" customFormat="false" ht="39.75" hidden="false" customHeight="true" outlineLevel="0" collapsed="false">
      <c r="S1666" s="143"/>
    </row>
    <row r="1667" customFormat="false" ht="39.75" hidden="false" customHeight="true" outlineLevel="0" collapsed="false">
      <c r="S1667" s="143"/>
    </row>
    <row r="1668" customFormat="false" ht="39.75" hidden="false" customHeight="true" outlineLevel="0" collapsed="false">
      <c r="S1668" s="143"/>
    </row>
    <row r="1669" customFormat="false" ht="39.75" hidden="false" customHeight="true" outlineLevel="0" collapsed="false">
      <c r="S1669" s="143"/>
    </row>
    <row r="1670" customFormat="false" ht="39.75" hidden="false" customHeight="true" outlineLevel="0" collapsed="false">
      <c r="S1670" s="143"/>
    </row>
    <row r="1671" customFormat="false" ht="39.75" hidden="false" customHeight="true" outlineLevel="0" collapsed="false">
      <c r="S1671" s="143"/>
    </row>
    <row r="1672" customFormat="false" ht="39.75" hidden="false" customHeight="true" outlineLevel="0" collapsed="false">
      <c r="S1672" s="143"/>
    </row>
    <row r="1673" customFormat="false" ht="39.75" hidden="false" customHeight="true" outlineLevel="0" collapsed="false">
      <c r="S1673" s="143"/>
    </row>
    <row r="1674" customFormat="false" ht="39.75" hidden="false" customHeight="true" outlineLevel="0" collapsed="false">
      <c r="S1674" s="143"/>
    </row>
    <row r="1675" customFormat="false" ht="39.75" hidden="false" customHeight="true" outlineLevel="0" collapsed="false">
      <c r="S1675" s="143"/>
    </row>
    <row r="1676" customFormat="false" ht="39.75" hidden="false" customHeight="true" outlineLevel="0" collapsed="false">
      <c r="S1676" s="143"/>
    </row>
    <row r="1677" customFormat="false" ht="39.75" hidden="false" customHeight="true" outlineLevel="0" collapsed="false">
      <c r="S1677" s="143"/>
    </row>
    <row r="1678" customFormat="false" ht="39.75" hidden="false" customHeight="true" outlineLevel="0" collapsed="false">
      <c r="S1678" s="143"/>
    </row>
    <row r="1679" customFormat="false" ht="39.75" hidden="false" customHeight="true" outlineLevel="0" collapsed="false">
      <c r="S1679" s="143"/>
    </row>
    <row r="1680" customFormat="false" ht="39.75" hidden="false" customHeight="true" outlineLevel="0" collapsed="false">
      <c r="S1680" s="143"/>
    </row>
    <row r="1681" customFormat="false" ht="39.75" hidden="false" customHeight="true" outlineLevel="0" collapsed="false">
      <c r="S1681" s="143"/>
    </row>
    <row r="1682" customFormat="false" ht="39.75" hidden="false" customHeight="true" outlineLevel="0" collapsed="false">
      <c r="S1682" s="143"/>
    </row>
    <row r="1683" customFormat="false" ht="39.75" hidden="false" customHeight="true" outlineLevel="0" collapsed="false">
      <c r="S1683" s="143"/>
    </row>
    <row r="1684" customFormat="false" ht="39.75" hidden="false" customHeight="true" outlineLevel="0" collapsed="false">
      <c r="S1684" s="143"/>
    </row>
    <row r="1685" customFormat="false" ht="39.75" hidden="false" customHeight="true" outlineLevel="0" collapsed="false">
      <c r="S1685" s="143"/>
    </row>
    <row r="1686" customFormat="false" ht="39.75" hidden="false" customHeight="true" outlineLevel="0" collapsed="false">
      <c r="S1686" s="143"/>
    </row>
    <row r="1687" customFormat="false" ht="39.75" hidden="false" customHeight="true" outlineLevel="0" collapsed="false">
      <c r="S1687" s="143"/>
    </row>
    <row r="1688" customFormat="false" ht="39.75" hidden="false" customHeight="true" outlineLevel="0" collapsed="false">
      <c r="S1688" s="143"/>
    </row>
    <row r="1689" customFormat="false" ht="39.75" hidden="false" customHeight="true" outlineLevel="0" collapsed="false">
      <c r="S1689" s="143"/>
    </row>
    <row r="1690" customFormat="false" ht="39.75" hidden="false" customHeight="true" outlineLevel="0" collapsed="false">
      <c r="S1690" s="143"/>
    </row>
    <row r="1691" customFormat="false" ht="39.75" hidden="false" customHeight="true" outlineLevel="0" collapsed="false">
      <c r="S1691" s="143"/>
    </row>
    <row r="1692" customFormat="false" ht="39.75" hidden="false" customHeight="true" outlineLevel="0" collapsed="false">
      <c r="S1692" s="143"/>
    </row>
    <row r="1693" customFormat="false" ht="39.75" hidden="false" customHeight="true" outlineLevel="0" collapsed="false">
      <c r="S1693" s="143"/>
    </row>
    <row r="1694" customFormat="false" ht="39.75" hidden="false" customHeight="true" outlineLevel="0" collapsed="false">
      <c r="S1694" s="143"/>
    </row>
    <row r="1695" customFormat="false" ht="39.75" hidden="false" customHeight="true" outlineLevel="0" collapsed="false">
      <c r="S1695" s="143"/>
    </row>
    <row r="1696" customFormat="false" ht="39.75" hidden="false" customHeight="true" outlineLevel="0" collapsed="false">
      <c r="S1696" s="143"/>
    </row>
    <row r="1697" customFormat="false" ht="39.75" hidden="false" customHeight="true" outlineLevel="0" collapsed="false">
      <c r="S1697" s="143"/>
    </row>
    <row r="1698" customFormat="false" ht="39.75" hidden="false" customHeight="true" outlineLevel="0" collapsed="false">
      <c r="S1698" s="143"/>
    </row>
    <row r="1699" customFormat="false" ht="39.75" hidden="false" customHeight="true" outlineLevel="0" collapsed="false">
      <c r="S1699" s="143"/>
    </row>
    <row r="1700" customFormat="false" ht="39.75" hidden="false" customHeight="true" outlineLevel="0" collapsed="false">
      <c r="S1700" s="143"/>
    </row>
    <row r="1701" customFormat="false" ht="39.75" hidden="false" customHeight="true" outlineLevel="0" collapsed="false">
      <c r="S1701" s="143"/>
    </row>
    <row r="1702" customFormat="false" ht="39.75" hidden="false" customHeight="true" outlineLevel="0" collapsed="false">
      <c r="S1702" s="143"/>
    </row>
    <row r="1703" customFormat="false" ht="39.75" hidden="false" customHeight="true" outlineLevel="0" collapsed="false">
      <c r="S1703" s="143"/>
    </row>
    <row r="1704" customFormat="false" ht="39.75" hidden="false" customHeight="true" outlineLevel="0" collapsed="false">
      <c r="S1704" s="143"/>
    </row>
    <row r="1705" customFormat="false" ht="39.75" hidden="false" customHeight="true" outlineLevel="0" collapsed="false">
      <c r="S1705" s="143"/>
    </row>
    <row r="1706" customFormat="false" ht="39.75" hidden="false" customHeight="true" outlineLevel="0" collapsed="false">
      <c r="S1706" s="143"/>
    </row>
    <row r="1707" customFormat="false" ht="39.75" hidden="false" customHeight="true" outlineLevel="0" collapsed="false">
      <c r="S1707" s="143"/>
    </row>
    <row r="1708" customFormat="false" ht="39.75" hidden="false" customHeight="true" outlineLevel="0" collapsed="false">
      <c r="S1708" s="143"/>
    </row>
    <row r="1709" customFormat="false" ht="39.75" hidden="false" customHeight="true" outlineLevel="0" collapsed="false">
      <c r="S1709" s="143"/>
    </row>
    <row r="1710" customFormat="false" ht="39.75" hidden="false" customHeight="true" outlineLevel="0" collapsed="false">
      <c r="S1710" s="143"/>
    </row>
    <row r="1711" customFormat="false" ht="39.75" hidden="false" customHeight="true" outlineLevel="0" collapsed="false">
      <c r="S1711" s="143"/>
    </row>
    <row r="1712" customFormat="false" ht="39.75" hidden="false" customHeight="true" outlineLevel="0" collapsed="false">
      <c r="S1712" s="143"/>
    </row>
    <row r="1713" customFormat="false" ht="39.75" hidden="false" customHeight="true" outlineLevel="0" collapsed="false">
      <c r="S1713" s="143"/>
    </row>
    <row r="1714" customFormat="false" ht="39.75" hidden="false" customHeight="true" outlineLevel="0" collapsed="false">
      <c r="S1714" s="143"/>
    </row>
    <row r="1715" customFormat="false" ht="39.75" hidden="false" customHeight="true" outlineLevel="0" collapsed="false">
      <c r="S1715" s="143"/>
    </row>
    <row r="1716" customFormat="false" ht="39.75" hidden="false" customHeight="true" outlineLevel="0" collapsed="false">
      <c r="S1716" s="143"/>
    </row>
    <row r="1717" customFormat="false" ht="39.75" hidden="false" customHeight="true" outlineLevel="0" collapsed="false">
      <c r="S1717" s="143"/>
    </row>
    <row r="1718" customFormat="false" ht="39.75" hidden="false" customHeight="true" outlineLevel="0" collapsed="false">
      <c r="S1718" s="143"/>
    </row>
    <row r="1719" customFormat="false" ht="39.75" hidden="false" customHeight="true" outlineLevel="0" collapsed="false">
      <c r="S1719" s="143"/>
    </row>
    <row r="1720" customFormat="false" ht="39.75" hidden="false" customHeight="true" outlineLevel="0" collapsed="false">
      <c r="S1720" s="143"/>
    </row>
    <row r="1721" customFormat="false" ht="39.75" hidden="false" customHeight="true" outlineLevel="0" collapsed="false">
      <c r="S1721" s="143"/>
    </row>
    <row r="1722" customFormat="false" ht="39.75" hidden="false" customHeight="true" outlineLevel="0" collapsed="false">
      <c r="S1722" s="143"/>
    </row>
    <row r="1723" customFormat="false" ht="39.75" hidden="false" customHeight="true" outlineLevel="0" collapsed="false">
      <c r="S1723" s="143"/>
    </row>
    <row r="1724" customFormat="false" ht="39.75" hidden="false" customHeight="true" outlineLevel="0" collapsed="false">
      <c r="S1724" s="143"/>
    </row>
    <row r="1725" customFormat="false" ht="39.75" hidden="false" customHeight="true" outlineLevel="0" collapsed="false">
      <c r="S1725" s="143"/>
    </row>
    <row r="1726" customFormat="false" ht="39.75" hidden="false" customHeight="true" outlineLevel="0" collapsed="false">
      <c r="S1726" s="143"/>
    </row>
    <row r="1727" customFormat="false" ht="39.75" hidden="false" customHeight="true" outlineLevel="0" collapsed="false">
      <c r="S1727" s="143"/>
    </row>
    <row r="1728" customFormat="false" ht="39.75" hidden="false" customHeight="true" outlineLevel="0" collapsed="false">
      <c r="S1728" s="143"/>
    </row>
    <row r="1729" customFormat="false" ht="39.75" hidden="false" customHeight="true" outlineLevel="0" collapsed="false">
      <c r="S1729" s="143"/>
    </row>
    <row r="1730" customFormat="false" ht="39.75" hidden="false" customHeight="true" outlineLevel="0" collapsed="false">
      <c r="S1730" s="143"/>
    </row>
    <row r="1731" customFormat="false" ht="39.75" hidden="false" customHeight="true" outlineLevel="0" collapsed="false">
      <c r="S1731" s="143"/>
    </row>
    <row r="1732" customFormat="false" ht="39.75" hidden="false" customHeight="true" outlineLevel="0" collapsed="false">
      <c r="S1732" s="143"/>
    </row>
    <row r="1733" customFormat="false" ht="39.75" hidden="false" customHeight="true" outlineLevel="0" collapsed="false">
      <c r="S1733" s="143"/>
    </row>
    <row r="1734" customFormat="false" ht="39.75" hidden="false" customHeight="true" outlineLevel="0" collapsed="false">
      <c r="S1734" s="143"/>
    </row>
    <row r="1735" customFormat="false" ht="39.75" hidden="false" customHeight="true" outlineLevel="0" collapsed="false">
      <c r="S1735" s="143"/>
    </row>
    <row r="1736" customFormat="false" ht="39.75" hidden="false" customHeight="true" outlineLevel="0" collapsed="false">
      <c r="S1736" s="143"/>
    </row>
    <row r="1737" customFormat="false" ht="39.75" hidden="false" customHeight="true" outlineLevel="0" collapsed="false">
      <c r="S1737" s="143"/>
    </row>
    <row r="1738" customFormat="false" ht="39.75" hidden="false" customHeight="true" outlineLevel="0" collapsed="false">
      <c r="S1738" s="143"/>
    </row>
    <row r="1739" customFormat="false" ht="39.75" hidden="false" customHeight="true" outlineLevel="0" collapsed="false">
      <c r="S1739" s="143"/>
    </row>
    <row r="1740" customFormat="false" ht="39.75" hidden="false" customHeight="true" outlineLevel="0" collapsed="false">
      <c r="S1740" s="143"/>
    </row>
    <row r="1741" customFormat="false" ht="39.75" hidden="false" customHeight="true" outlineLevel="0" collapsed="false">
      <c r="S1741" s="143"/>
    </row>
    <row r="1742" customFormat="false" ht="39.75" hidden="false" customHeight="true" outlineLevel="0" collapsed="false">
      <c r="S1742" s="143"/>
    </row>
    <row r="1743" customFormat="false" ht="39.75" hidden="false" customHeight="true" outlineLevel="0" collapsed="false">
      <c r="S1743" s="143"/>
    </row>
    <row r="1744" customFormat="false" ht="39.75" hidden="false" customHeight="true" outlineLevel="0" collapsed="false">
      <c r="S1744" s="143"/>
    </row>
    <row r="1745" customFormat="false" ht="39.75" hidden="false" customHeight="true" outlineLevel="0" collapsed="false">
      <c r="S1745" s="143"/>
    </row>
    <row r="1746" customFormat="false" ht="39.75" hidden="false" customHeight="true" outlineLevel="0" collapsed="false">
      <c r="S1746" s="143"/>
    </row>
    <row r="1747" customFormat="false" ht="39.75" hidden="false" customHeight="true" outlineLevel="0" collapsed="false">
      <c r="S1747" s="143"/>
    </row>
    <row r="1748" customFormat="false" ht="39.75" hidden="false" customHeight="true" outlineLevel="0" collapsed="false">
      <c r="S1748" s="143"/>
    </row>
    <row r="1749" customFormat="false" ht="39.75" hidden="false" customHeight="true" outlineLevel="0" collapsed="false">
      <c r="S1749" s="143"/>
    </row>
    <row r="1750" customFormat="false" ht="39.75" hidden="false" customHeight="true" outlineLevel="0" collapsed="false">
      <c r="S1750" s="143"/>
    </row>
    <row r="1751" customFormat="false" ht="39.75" hidden="false" customHeight="true" outlineLevel="0" collapsed="false">
      <c r="S1751" s="143"/>
    </row>
    <row r="1752" customFormat="false" ht="39.75" hidden="false" customHeight="true" outlineLevel="0" collapsed="false">
      <c r="S1752" s="143"/>
    </row>
    <row r="1753" customFormat="false" ht="39.75" hidden="false" customHeight="true" outlineLevel="0" collapsed="false">
      <c r="S1753" s="143"/>
    </row>
    <row r="1754" customFormat="false" ht="39.75" hidden="false" customHeight="true" outlineLevel="0" collapsed="false">
      <c r="S1754" s="143"/>
    </row>
    <row r="1755" customFormat="false" ht="39.75" hidden="false" customHeight="true" outlineLevel="0" collapsed="false">
      <c r="S1755" s="143"/>
    </row>
    <row r="1756" customFormat="false" ht="39.75" hidden="false" customHeight="true" outlineLevel="0" collapsed="false">
      <c r="S1756" s="143"/>
    </row>
    <row r="1757" customFormat="false" ht="39.75" hidden="false" customHeight="true" outlineLevel="0" collapsed="false">
      <c r="S1757" s="143"/>
    </row>
    <row r="1758" customFormat="false" ht="39.75" hidden="false" customHeight="true" outlineLevel="0" collapsed="false">
      <c r="S1758" s="143"/>
    </row>
    <row r="1759" customFormat="false" ht="39.75" hidden="false" customHeight="true" outlineLevel="0" collapsed="false">
      <c r="S1759" s="143"/>
    </row>
    <row r="1760" customFormat="false" ht="39.75" hidden="false" customHeight="true" outlineLevel="0" collapsed="false">
      <c r="S1760" s="143"/>
    </row>
    <row r="1761" customFormat="false" ht="39.75" hidden="false" customHeight="true" outlineLevel="0" collapsed="false">
      <c r="S1761" s="143"/>
    </row>
    <row r="1762" customFormat="false" ht="39.75" hidden="false" customHeight="true" outlineLevel="0" collapsed="false">
      <c r="S1762" s="143"/>
    </row>
    <row r="1763" customFormat="false" ht="39.75" hidden="false" customHeight="true" outlineLevel="0" collapsed="false">
      <c r="S1763" s="143"/>
    </row>
    <row r="1764" customFormat="false" ht="39.75" hidden="false" customHeight="true" outlineLevel="0" collapsed="false">
      <c r="S1764" s="143"/>
    </row>
    <row r="1765" customFormat="false" ht="39.75" hidden="false" customHeight="true" outlineLevel="0" collapsed="false">
      <c r="S1765" s="143"/>
    </row>
    <row r="1766" customFormat="false" ht="39.75" hidden="false" customHeight="true" outlineLevel="0" collapsed="false">
      <c r="S1766" s="143"/>
    </row>
    <row r="1767" customFormat="false" ht="39.75" hidden="false" customHeight="true" outlineLevel="0" collapsed="false">
      <c r="S1767" s="143"/>
    </row>
    <row r="1768" customFormat="false" ht="39.75" hidden="false" customHeight="true" outlineLevel="0" collapsed="false">
      <c r="S1768" s="143"/>
    </row>
    <row r="1769" customFormat="false" ht="39.75" hidden="false" customHeight="true" outlineLevel="0" collapsed="false">
      <c r="S1769" s="143"/>
    </row>
    <row r="1770" customFormat="false" ht="39.75" hidden="false" customHeight="true" outlineLevel="0" collapsed="false">
      <c r="S1770" s="143"/>
    </row>
    <row r="1771" customFormat="false" ht="39.75" hidden="false" customHeight="true" outlineLevel="0" collapsed="false">
      <c r="S1771" s="143"/>
    </row>
    <row r="1772" customFormat="false" ht="39.75" hidden="false" customHeight="true" outlineLevel="0" collapsed="false">
      <c r="S1772" s="143"/>
    </row>
    <row r="1773" customFormat="false" ht="39.75" hidden="false" customHeight="true" outlineLevel="0" collapsed="false">
      <c r="S1773" s="143"/>
    </row>
    <row r="1774" customFormat="false" ht="39.75" hidden="false" customHeight="true" outlineLevel="0" collapsed="false">
      <c r="S1774" s="143"/>
    </row>
    <row r="1775" customFormat="false" ht="39.75" hidden="false" customHeight="true" outlineLevel="0" collapsed="false">
      <c r="S1775" s="143"/>
    </row>
    <row r="1776" customFormat="false" ht="39.75" hidden="false" customHeight="true" outlineLevel="0" collapsed="false">
      <c r="S1776" s="143"/>
    </row>
    <row r="1777" customFormat="false" ht="39.75" hidden="false" customHeight="true" outlineLevel="0" collapsed="false">
      <c r="S1777" s="143"/>
    </row>
    <row r="1778" customFormat="false" ht="39.75" hidden="false" customHeight="true" outlineLevel="0" collapsed="false">
      <c r="S1778" s="143"/>
    </row>
    <row r="1779" customFormat="false" ht="39.75" hidden="false" customHeight="true" outlineLevel="0" collapsed="false">
      <c r="S1779" s="143"/>
    </row>
    <row r="1780" customFormat="false" ht="39.75" hidden="false" customHeight="true" outlineLevel="0" collapsed="false">
      <c r="S1780" s="143"/>
    </row>
    <row r="1781" customFormat="false" ht="39.75" hidden="false" customHeight="true" outlineLevel="0" collapsed="false">
      <c r="S1781" s="143"/>
    </row>
    <row r="1782" customFormat="false" ht="39.75" hidden="false" customHeight="true" outlineLevel="0" collapsed="false">
      <c r="S1782" s="143"/>
    </row>
    <row r="1783" customFormat="false" ht="39.75" hidden="false" customHeight="true" outlineLevel="0" collapsed="false">
      <c r="S1783" s="143"/>
    </row>
    <row r="1784" customFormat="false" ht="39.75" hidden="false" customHeight="true" outlineLevel="0" collapsed="false">
      <c r="S1784" s="143"/>
    </row>
    <row r="1785" customFormat="false" ht="39.75" hidden="false" customHeight="true" outlineLevel="0" collapsed="false">
      <c r="S1785" s="143"/>
    </row>
    <row r="1786" customFormat="false" ht="39.75" hidden="false" customHeight="true" outlineLevel="0" collapsed="false">
      <c r="S1786" s="143"/>
    </row>
    <row r="1787" customFormat="false" ht="39.75" hidden="false" customHeight="true" outlineLevel="0" collapsed="false">
      <c r="S1787" s="143"/>
    </row>
    <row r="1788" customFormat="false" ht="39.75" hidden="false" customHeight="true" outlineLevel="0" collapsed="false">
      <c r="S1788" s="143"/>
    </row>
    <row r="1789" customFormat="false" ht="39.75" hidden="false" customHeight="true" outlineLevel="0" collapsed="false">
      <c r="S1789" s="143"/>
    </row>
    <row r="1790" customFormat="false" ht="39.75" hidden="false" customHeight="true" outlineLevel="0" collapsed="false">
      <c r="S1790" s="143"/>
    </row>
    <row r="1791" customFormat="false" ht="39.75" hidden="false" customHeight="true" outlineLevel="0" collapsed="false">
      <c r="S1791" s="143"/>
    </row>
    <row r="1792" customFormat="false" ht="39.75" hidden="false" customHeight="true" outlineLevel="0" collapsed="false">
      <c r="S1792" s="143"/>
    </row>
    <row r="1793" customFormat="false" ht="39.75" hidden="false" customHeight="true" outlineLevel="0" collapsed="false">
      <c r="S1793" s="143"/>
    </row>
    <row r="1794" customFormat="false" ht="39.75" hidden="false" customHeight="true" outlineLevel="0" collapsed="false">
      <c r="S1794" s="143"/>
    </row>
    <row r="1795" customFormat="false" ht="39.75" hidden="false" customHeight="true" outlineLevel="0" collapsed="false">
      <c r="S1795" s="143"/>
    </row>
    <row r="1796" customFormat="false" ht="39.75" hidden="false" customHeight="true" outlineLevel="0" collapsed="false">
      <c r="S1796" s="143"/>
    </row>
    <row r="1797" customFormat="false" ht="39.75" hidden="false" customHeight="true" outlineLevel="0" collapsed="false">
      <c r="S1797" s="143"/>
    </row>
    <row r="1798" customFormat="false" ht="39.75" hidden="false" customHeight="true" outlineLevel="0" collapsed="false">
      <c r="S1798" s="143"/>
    </row>
    <row r="1799" customFormat="false" ht="39.75" hidden="false" customHeight="true" outlineLevel="0" collapsed="false">
      <c r="S1799" s="143"/>
    </row>
    <row r="1800" customFormat="false" ht="39.75" hidden="false" customHeight="true" outlineLevel="0" collapsed="false">
      <c r="S1800" s="143"/>
    </row>
    <row r="1801" customFormat="false" ht="39.75" hidden="false" customHeight="true" outlineLevel="0" collapsed="false">
      <c r="S1801" s="143"/>
    </row>
    <row r="1802" customFormat="false" ht="39.75" hidden="false" customHeight="true" outlineLevel="0" collapsed="false">
      <c r="S1802" s="143"/>
    </row>
    <row r="1803" customFormat="false" ht="39.75" hidden="false" customHeight="true" outlineLevel="0" collapsed="false">
      <c r="S1803" s="143"/>
    </row>
    <row r="1804" customFormat="false" ht="39.75" hidden="false" customHeight="true" outlineLevel="0" collapsed="false">
      <c r="S1804" s="143"/>
    </row>
    <row r="1805" customFormat="false" ht="39.75" hidden="false" customHeight="true" outlineLevel="0" collapsed="false">
      <c r="S1805" s="143"/>
    </row>
    <row r="1806" customFormat="false" ht="39.75" hidden="false" customHeight="true" outlineLevel="0" collapsed="false">
      <c r="S1806" s="143"/>
    </row>
    <row r="1807" customFormat="false" ht="39.75" hidden="false" customHeight="true" outlineLevel="0" collapsed="false">
      <c r="S1807" s="143"/>
    </row>
    <row r="1808" customFormat="false" ht="39.75" hidden="false" customHeight="true" outlineLevel="0" collapsed="false">
      <c r="S1808" s="143"/>
    </row>
    <row r="1809" customFormat="false" ht="39.75" hidden="false" customHeight="true" outlineLevel="0" collapsed="false">
      <c r="S1809" s="143"/>
    </row>
    <row r="1810" customFormat="false" ht="39.75" hidden="false" customHeight="true" outlineLevel="0" collapsed="false">
      <c r="S1810" s="143"/>
    </row>
    <row r="1811" customFormat="false" ht="39.75" hidden="false" customHeight="true" outlineLevel="0" collapsed="false">
      <c r="S1811" s="143"/>
    </row>
    <row r="1812" customFormat="false" ht="39.75" hidden="false" customHeight="true" outlineLevel="0" collapsed="false">
      <c r="S1812" s="143"/>
    </row>
    <row r="1813" customFormat="false" ht="39.75" hidden="false" customHeight="true" outlineLevel="0" collapsed="false">
      <c r="S1813" s="143"/>
    </row>
    <row r="1814" customFormat="false" ht="39.75" hidden="false" customHeight="true" outlineLevel="0" collapsed="false">
      <c r="S1814" s="143"/>
    </row>
    <row r="1815" customFormat="false" ht="39.75" hidden="false" customHeight="true" outlineLevel="0" collapsed="false">
      <c r="S1815" s="143"/>
    </row>
    <row r="1816" customFormat="false" ht="39.75" hidden="false" customHeight="true" outlineLevel="0" collapsed="false">
      <c r="S1816" s="143"/>
    </row>
    <row r="1817" customFormat="false" ht="39.75" hidden="false" customHeight="true" outlineLevel="0" collapsed="false">
      <c r="S1817" s="143"/>
    </row>
    <row r="1818" customFormat="false" ht="39.75" hidden="false" customHeight="true" outlineLevel="0" collapsed="false">
      <c r="S1818" s="143"/>
    </row>
    <row r="1819" customFormat="false" ht="39.75" hidden="false" customHeight="true" outlineLevel="0" collapsed="false">
      <c r="S1819" s="143"/>
    </row>
    <row r="1820" customFormat="false" ht="39.75" hidden="false" customHeight="true" outlineLevel="0" collapsed="false">
      <c r="S1820" s="143"/>
    </row>
    <row r="1821" customFormat="false" ht="39.75" hidden="false" customHeight="true" outlineLevel="0" collapsed="false">
      <c r="S1821" s="143"/>
    </row>
    <row r="1822" customFormat="false" ht="39.75" hidden="false" customHeight="true" outlineLevel="0" collapsed="false">
      <c r="S1822" s="143"/>
    </row>
    <row r="1823" customFormat="false" ht="39.75" hidden="false" customHeight="true" outlineLevel="0" collapsed="false">
      <c r="S1823" s="143"/>
    </row>
    <row r="1824" customFormat="false" ht="39.75" hidden="false" customHeight="true" outlineLevel="0" collapsed="false">
      <c r="S1824" s="143"/>
    </row>
    <row r="1825" customFormat="false" ht="39.75" hidden="false" customHeight="true" outlineLevel="0" collapsed="false">
      <c r="S1825" s="143"/>
    </row>
    <row r="1826" customFormat="false" ht="39.75" hidden="false" customHeight="true" outlineLevel="0" collapsed="false">
      <c r="S1826" s="143"/>
    </row>
    <row r="1827" customFormat="false" ht="39.75" hidden="false" customHeight="true" outlineLevel="0" collapsed="false">
      <c r="S1827" s="143"/>
    </row>
    <row r="1828" customFormat="false" ht="39.75" hidden="false" customHeight="true" outlineLevel="0" collapsed="false">
      <c r="S1828" s="143"/>
    </row>
    <row r="1829" customFormat="false" ht="39.75" hidden="false" customHeight="true" outlineLevel="0" collapsed="false">
      <c r="S1829" s="143"/>
    </row>
    <row r="1830" customFormat="false" ht="39.75" hidden="false" customHeight="true" outlineLevel="0" collapsed="false">
      <c r="S1830" s="143"/>
    </row>
    <row r="1831" customFormat="false" ht="39.75" hidden="false" customHeight="true" outlineLevel="0" collapsed="false">
      <c r="S1831" s="143"/>
    </row>
    <row r="1832" customFormat="false" ht="39.75" hidden="false" customHeight="true" outlineLevel="0" collapsed="false">
      <c r="S1832" s="143"/>
    </row>
    <row r="1833" customFormat="false" ht="39.75" hidden="false" customHeight="true" outlineLevel="0" collapsed="false">
      <c r="S1833" s="143"/>
    </row>
    <row r="1834" customFormat="false" ht="39.75" hidden="false" customHeight="true" outlineLevel="0" collapsed="false">
      <c r="S1834" s="143"/>
    </row>
    <row r="1835" customFormat="false" ht="39.75" hidden="false" customHeight="true" outlineLevel="0" collapsed="false">
      <c r="S1835" s="143"/>
    </row>
    <row r="1836" customFormat="false" ht="39.75" hidden="false" customHeight="true" outlineLevel="0" collapsed="false">
      <c r="S1836" s="143"/>
    </row>
    <row r="1837" customFormat="false" ht="39.75" hidden="false" customHeight="true" outlineLevel="0" collapsed="false">
      <c r="S1837" s="143"/>
    </row>
    <row r="1838" customFormat="false" ht="39.75" hidden="false" customHeight="true" outlineLevel="0" collapsed="false">
      <c r="S1838" s="143"/>
    </row>
    <row r="1839" customFormat="false" ht="39.75" hidden="false" customHeight="true" outlineLevel="0" collapsed="false">
      <c r="S1839" s="143"/>
    </row>
    <row r="1840" customFormat="false" ht="39.75" hidden="false" customHeight="true" outlineLevel="0" collapsed="false">
      <c r="S1840" s="143"/>
    </row>
    <row r="1841" customFormat="false" ht="39.75" hidden="false" customHeight="true" outlineLevel="0" collapsed="false">
      <c r="S1841" s="143"/>
    </row>
    <row r="1842" customFormat="false" ht="39.75" hidden="false" customHeight="true" outlineLevel="0" collapsed="false">
      <c r="S1842" s="143"/>
    </row>
    <row r="1843" customFormat="false" ht="39.75" hidden="false" customHeight="true" outlineLevel="0" collapsed="false">
      <c r="S1843" s="143"/>
    </row>
    <row r="1844" customFormat="false" ht="39.75" hidden="false" customHeight="true" outlineLevel="0" collapsed="false">
      <c r="S1844" s="143"/>
    </row>
    <row r="1845" customFormat="false" ht="39.75" hidden="false" customHeight="true" outlineLevel="0" collapsed="false">
      <c r="S1845" s="143"/>
    </row>
    <row r="1846" customFormat="false" ht="39.75" hidden="false" customHeight="true" outlineLevel="0" collapsed="false">
      <c r="S1846" s="143"/>
    </row>
    <row r="1847" customFormat="false" ht="39.75" hidden="false" customHeight="true" outlineLevel="0" collapsed="false">
      <c r="S1847" s="143"/>
    </row>
    <row r="1848" customFormat="false" ht="39.75" hidden="false" customHeight="true" outlineLevel="0" collapsed="false">
      <c r="S1848" s="143"/>
    </row>
    <row r="1849" customFormat="false" ht="39.75" hidden="false" customHeight="true" outlineLevel="0" collapsed="false">
      <c r="S1849" s="143"/>
    </row>
    <row r="1850" customFormat="false" ht="39.75" hidden="false" customHeight="true" outlineLevel="0" collapsed="false">
      <c r="S1850" s="143"/>
    </row>
    <row r="1851" customFormat="false" ht="39.75" hidden="false" customHeight="true" outlineLevel="0" collapsed="false">
      <c r="S1851" s="143"/>
    </row>
    <row r="1852" customFormat="false" ht="39.75" hidden="false" customHeight="true" outlineLevel="0" collapsed="false">
      <c r="S1852" s="143"/>
    </row>
    <row r="1853" customFormat="false" ht="39.75" hidden="false" customHeight="true" outlineLevel="0" collapsed="false">
      <c r="S1853" s="143"/>
    </row>
    <row r="1854" customFormat="false" ht="39.75" hidden="false" customHeight="true" outlineLevel="0" collapsed="false">
      <c r="S1854" s="143"/>
    </row>
    <row r="1855" customFormat="false" ht="39.75" hidden="false" customHeight="true" outlineLevel="0" collapsed="false">
      <c r="S1855" s="143"/>
    </row>
    <row r="1856" customFormat="false" ht="39.75" hidden="false" customHeight="true" outlineLevel="0" collapsed="false">
      <c r="S1856" s="143"/>
    </row>
    <row r="1857" customFormat="false" ht="39.75" hidden="false" customHeight="true" outlineLevel="0" collapsed="false">
      <c r="S1857" s="143"/>
    </row>
    <row r="1858" customFormat="false" ht="39.75" hidden="false" customHeight="true" outlineLevel="0" collapsed="false">
      <c r="S1858" s="143"/>
    </row>
    <row r="1859" customFormat="false" ht="39.75" hidden="false" customHeight="true" outlineLevel="0" collapsed="false">
      <c r="S1859" s="143"/>
    </row>
    <row r="1860" customFormat="false" ht="39.75" hidden="false" customHeight="true" outlineLevel="0" collapsed="false">
      <c r="S1860" s="143"/>
    </row>
    <row r="1861" customFormat="false" ht="39.75" hidden="false" customHeight="true" outlineLevel="0" collapsed="false">
      <c r="S1861" s="143"/>
    </row>
    <row r="1862" customFormat="false" ht="39.75" hidden="false" customHeight="true" outlineLevel="0" collapsed="false">
      <c r="S1862" s="143"/>
    </row>
    <row r="1863" customFormat="false" ht="39.75" hidden="false" customHeight="true" outlineLevel="0" collapsed="false">
      <c r="S1863" s="143"/>
    </row>
    <row r="1864" customFormat="false" ht="39.75" hidden="false" customHeight="true" outlineLevel="0" collapsed="false">
      <c r="S1864" s="143"/>
    </row>
    <row r="1865" customFormat="false" ht="39.75" hidden="false" customHeight="true" outlineLevel="0" collapsed="false">
      <c r="S1865" s="143"/>
    </row>
    <row r="1866" customFormat="false" ht="39.75" hidden="false" customHeight="true" outlineLevel="0" collapsed="false">
      <c r="S1866" s="143"/>
    </row>
    <row r="1867" customFormat="false" ht="39.75" hidden="false" customHeight="true" outlineLevel="0" collapsed="false">
      <c r="S1867" s="143"/>
    </row>
    <row r="1868" customFormat="false" ht="39.75" hidden="false" customHeight="true" outlineLevel="0" collapsed="false">
      <c r="S1868" s="143"/>
    </row>
    <row r="1869" customFormat="false" ht="39.75" hidden="false" customHeight="true" outlineLevel="0" collapsed="false">
      <c r="S1869" s="143"/>
    </row>
    <row r="1870" customFormat="false" ht="39.75" hidden="false" customHeight="true" outlineLevel="0" collapsed="false">
      <c r="S1870" s="143"/>
    </row>
    <row r="1871" customFormat="false" ht="39.75" hidden="false" customHeight="true" outlineLevel="0" collapsed="false">
      <c r="S1871" s="143"/>
    </row>
    <row r="1872" customFormat="false" ht="39.75" hidden="false" customHeight="true" outlineLevel="0" collapsed="false">
      <c r="S1872" s="143"/>
    </row>
    <row r="1873" customFormat="false" ht="39.75" hidden="false" customHeight="true" outlineLevel="0" collapsed="false">
      <c r="S1873" s="143"/>
    </row>
    <row r="1874" customFormat="false" ht="39.75" hidden="false" customHeight="true" outlineLevel="0" collapsed="false">
      <c r="S1874" s="143"/>
    </row>
    <row r="1875" customFormat="false" ht="39.75" hidden="false" customHeight="true" outlineLevel="0" collapsed="false">
      <c r="S1875" s="143"/>
    </row>
    <row r="1876" customFormat="false" ht="39.75" hidden="false" customHeight="true" outlineLevel="0" collapsed="false">
      <c r="S1876" s="143"/>
    </row>
    <row r="1877" customFormat="false" ht="39.75" hidden="false" customHeight="true" outlineLevel="0" collapsed="false">
      <c r="S1877" s="143"/>
    </row>
    <row r="1878" customFormat="false" ht="39.75" hidden="false" customHeight="true" outlineLevel="0" collapsed="false">
      <c r="S1878" s="143"/>
    </row>
    <row r="1879" customFormat="false" ht="39.75" hidden="false" customHeight="true" outlineLevel="0" collapsed="false">
      <c r="S1879" s="143"/>
    </row>
    <row r="1880" customFormat="false" ht="39.75" hidden="false" customHeight="true" outlineLevel="0" collapsed="false">
      <c r="S1880" s="143"/>
    </row>
    <row r="1881" customFormat="false" ht="39.75" hidden="false" customHeight="true" outlineLevel="0" collapsed="false">
      <c r="S1881" s="143"/>
    </row>
    <row r="1882" customFormat="false" ht="39.75" hidden="false" customHeight="true" outlineLevel="0" collapsed="false">
      <c r="S1882" s="143"/>
    </row>
    <row r="1883" customFormat="false" ht="39.75" hidden="false" customHeight="true" outlineLevel="0" collapsed="false">
      <c r="S1883" s="143"/>
    </row>
    <row r="1884" customFormat="false" ht="39.75" hidden="false" customHeight="true" outlineLevel="0" collapsed="false">
      <c r="S1884" s="143"/>
    </row>
    <row r="1885" customFormat="false" ht="39.75" hidden="false" customHeight="true" outlineLevel="0" collapsed="false">
      <c r="S1885" s="143"/>
    </row>
    <row r="1886" customFormat="false" ht="39.75" hidden="false" customHeight="true" outlineLevel="0" collapsed="false">
      <c r="S1886" s="143"/>
    </row>
    <row r="1887" customFormat="false" ht="39.75" hidden="false" customHeight="true" outlineLevel="0" collapsed="false">
      <c r="S1887" s="143"/>
    </row>
    <row r="1888" customFormat="false" ht="39.75" hidden="false" customHeight="true" outlineLevel="0" collapsed="false">
      <c r="S1888" s="143"/>
    </row>
    <row r="1889" customFormat="false" ht="39.75" hidden="false" customHeight="true" outlineLevel="0" collapsed="false">
      <c r="S1889" s="143"/>
    </row>
    <row r="1890" customFormat="false" ht="39.75" hidden="false" customHeight="true" outlineLevel="0" collapsed="false">
      <c r="S1890" s="143"/>
    </row>
    <row r="1891" customFormat="false" ht="39.75" hidden="false" customHeight="true" outlineLevel="0" collapsed="false">
      <c r="S1891" s="143"/>
    </row>
    <row r="1892" customFormat="false" ht="39.75" hidden="false" customHeight="true" outlineLevel="0" collapsed="false">
      <c r="S1892" s="143"/>
    </row>
    <row r="1893" customFormat="false" ht="39.75" hidden="false" customHeight="true" outlineLevel="0" collapsed="false">
      <c r="S1893" s="143"/>
    </row>
    <row r="1894" customFormat="false" ht="39.75" hidden="false" customHeight="true" outlineLevel="0" collapsed="false">
      <c r="S1894" s="143"/>
    </row>
    <row r="1895" customFormat="false" ht="39.75" hidden="false" customHeight="true" outlineLevel="0" collapsed="false">
      <c r="S1895" s="143"/>
    </row>
    <row r="1896" customFormat="false" ht="39.75" hidden="false" customHeight="true" outlineLevel="0" collapsed="false">
      <c r="S1896" s="143"/>
    </row>
    <row r="1897" customFormat="false" ht="39.75" hidden="false" customHeight="true" outlineLevel="0" collapsed="false">
      <c r="S1897" s="143"/>
    </row>
    <row r="1898" customFormat="false" ht="39.75" hidden="false" customHeight="true" outlineLevel="0" collapsed="false">
      <c r="S1898" s="143"/>
    </row>
    <row r="1899" customFormat="false" ht="39.75" hidden="false" customHeight="true" outlineLevel="0" collapsed="false">
      <c r="S1899" s="143"/>
    </row>
    <row r="1900" customFormat="false" ht="39.75" hidden="false" customHeight="true" outlineLevel="0" collapsed="false">
      <c r="S1900" s="143"/>
    </row>
    <row r="1901" customFormat="false" ht="39.75" hidden="false" customHeight="true" outlineLevel="0" collapsed="false">
      <c r="S1901" s="143"/>
    </row>
    <row r="1902" customFormat="false" ht="39.75" hidden="false" customHeight="true" outlineLevel="0" collapsed="false">
      <c r="S1902" s="143"/>
    </row>
    <row r="1903" customFormat="false" ht="39.75" hidden="false" customHeight="true" outlineLevel="0" collapsed="false">
      <c r="S1903" s="143"/>
    </row>
  </sheetData>
  <autoFilter ref="B5:T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1:K5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1.4453125" defaultRowHeight="13.5" customHeight="false" zeroHeight="false" outlineLevelRow="0" outlineLevelCol="0"/>
  <cols>
    <col collapsed="false" customWidth="true" hidden="false" outlineLevel="0" max="1" min="1" style="1" width="2.56"/>
    <col collapsed="false" customWidth="true" hidden="false" outlineLevel="0" max="2" min="2" style="1" width="29.44"/>
    <col collapsed="false" customWidth="true" hidden="false" outlineLevel="0" max="3" min="3" style="1" width="20.88"/>
    <col collapsed="false" customWidth="true" hidden="false" outlineLevel="0" max="4" min="4" style="1" width="27.11"/>
    <col collapsed="false" customWidth="true" hidden="false" outlineLevel="0" max="5" min="5" style="1" width="15"/>
    <col collapsed="false" customWidth="true" hidden="false" outlineLevel="0" max="6" min="6" style="1" width="18.88"/>
    <col collapsed="false" customWidth="true" hidden="false" outlineLevel="0" max="7" min="7" style="1" width="12.44"/>
    <col collapsed="false" customWidth="true" hidden="false" outlineLevel="0" max="8" min="8" style="1" width="6.44"/>
    <col collapsed="false" customWidth="false" hidden="false" outlineLevel="0" max="16384" min="9" style="1" width="11.44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144" t="s">
        <v>878</v>
      </c>
      <c r="C2" s="145" t="n">
        <v>1750905</v>
      </c>
    </row>
    <row r="3" customFormat="false" ht="13.8" hidden="false" customHeight="false" outlineLevel="0" collapsed="false">
      <c r="G3" s="146" t="s">
        <v>879</v>
      </c>
      <c r="H3" s="146"/>
      <c r="I3" s="146"/>
    </row>
    <row r="4" customFormat="false" ht="13.8" hidden="false" customHeight="false" outlineLevel="0" collapsed="false">
      <c r="B4" s="147" t="s">
        <v>880</v>
      </c>
      <c r="C4" s="147"/>
      <c r="D4" s="147"/>
      <c r="G4" s="148" t="s">
        <v>881</v>
      </c>
      <c r="H4" s="149" t="n">
        <v>0.08</v>
      </c>
      <c r="I4" s="150" t="n">
        <v>0</v>
      </c>
    </row>
    <row r="5" customFormat="false" ht="13.8" hidden="false" customHeight="false" outlineLevel="0" collapsed="false">
      <c r="B5" s="151" t="n">
        <f aca="false">+$C$2*1</f>
        <v>1750905</v>
      </c>
      <c r="C5" s="152" t="n">
        <f aca="false">+$C$2*4</f>
        <v>7003620</v>
      </c>
      <c r="D5" s="153" t="n">
        <v>0.5</v>
      </c>
      <c r="G5" s="148" t="s">
        <v>882</v>
      </c>
      <c r="H5" s="149" t="n">
        <v>0.7</v>
      </c>
      <c r="I5" s="154"/>
    </row>
    <row r="6" customFormat="false" ht="13.8" hidden="false" customHeight="false" outlineLevel="0" collapsed="false">
      <c r="B6" s="151" t="n">
        <f aca="false">+$C$2*4</f>
        <v>7003620</v>
      </c>
      <c r="C6" s="152" t="n">
        <f aca="false">+$C$2*10</f>
        <v>17509050</v>
      </c>
      <c r="D6" s="153" t="n">
        <v>0.4</v>
      </c>
      <c r="G6" s="155" t="s">
        <v>883</v>
      </c>
      <c r="H6" s="156" t="n">
        <v>0.12</v>
      </c>
      <c r="I6" s="157"/>
    </row>
    <row r="7" customFormat="false" ht="13.8" hidden="false" customHeight="false" outlineLevel="0" collapsed="false">
      <c r="B7" s="158"/>
      <c r="C7" s="159" t="n">
        <f aca="false">+$C$2*10</f>
        <v>17509050</v>
      </c>
      <c r="D7" s="160" t="n">
        <v>0.3</v>
      </c>
    </row>
    <row r="8" customFormat="false" ht="13.8" hidden="false" customHeight="false" outlineLevel="0" collapsed="false">
      <c r="B8" s="161"/>
      <c r="C8" s="161"/>
      <c r="D8" s="161"/>
      <c r="G8" s="162" t="s">
        <v>884</v>
      </c>
      <c r="H8" s="162"/>
    </row>
    <row r="9" customFormat="false" ht="13.8" hidden="false" customHeight="false" outlineLevel="0" collapsed="false">
      <c r="B9" s="163" t="s">
        <v>885</v>
      </c>
      <c r="C9" s="164" t="n">
        <v>0.3498</v>
      </c>
      <c r="D9" s="165" t="n">
        <f aca="false">+(1+C9)^(1/12)-1</f>
        <v>0.0253113980671524</v>
      </c>
      <c r="G9" s="166" t="n">
        <f aca="false">+$C$2*4</f>
        <v>7003620</v>
      </c>
      <c r="H9" s="167" t="n">
        <v>0.09</v>
      </c>
    </row>
    <row r="10" customFormat="false" ht="13.8" hidden="false" customHeight="false" outlineLevel="0" collapsed="false">
      <c r="B10" s="166" t="s">
        <v>886</v>
      </c>
      <c r="C10" s="168"/>
      <c r="D10" s="169" t="n">
        <v>36</v>
      </c>
      <c r="G10" s="161"/>
      <c r="H10" s="89"/>
    </row>
    <row r="11" customFormat="false" ht="13.8" hidden="false" customHeight="false" outlineLevel="0" collapsed="false">
      <c r="G11" s="162" t="s">
        <v>887</v>
      </c>
      <c r="H11" s="162"/>
    </row>
    <row r="12" customFormat="false" ht="13.8" hidden="false" customHeight="false" outlineLevel="0" collapsed="false">
      <c r="B12" s="170"/>
      <c r="C12" s="170"/>
      <c r="D12" s="170"/>
      <c r="G12" s="166"/>
      <c r="H12" s="167" t="n">
        <v>0.12</v>
      </c>
      <c r="I12" s="171"/>
    </row>
    <row r="13" customFormat="false" ht="13.8" hidden="false" customHeight="false" outlineLevel="0" collapsed="false">
      <c r="B13" s="147" t="s">
        <v>888</v>
      </c>
      <c r="C13" s="147"/>
      <c r="D13" s="147"/>
      <c r="H13" s="172"/>
      <c r="I13" s="172"/>
    </row>
    <row r="14" customFormat="false" ht="13.8" hidden="false" customHeight="false" outlineLevel="0" collapsed="false">
      <c r="B14" s="173" t="s">
        <v>889</v>
      </c>
      <c r="C14" s="174" t="s">
        <v>890</v>
      </c>
      <c r="D14" s="175" t="s">
        <v>891</v>
      </c>
      <c r="H14" s="176"/>
      <c r="I14" s="177"/>
    </row>
    <row r="15" customFormat="false" ht="13.8" hidden="false" customHeight="false" outlineLevel="0" collapsed="false">
      <c r="B15" s="178" t="n">
        <v>0</v>
      </c>
      <c r="C15" s="179" t="n">
        <v>0</v>
      </c>
      <c r="D15" s="180" t="s">
        <v>892</v>
      </c>
      <c r="H15" s="176"/>
      <c r="I15" s="177"/>
    </row>
    <row r="16" customFormat="false" ht="13.8" hidden="false" customHeight="false" outlineLevel="0" collapsed="false">
      <c r="B16" s="178" t="n">
        <v>0</v>
      </c>
      <c r="C16" s="179" t="n">
        <v>4000000</v>
      </c>
      <c r="D16" s="180" t="s">
        <v>893</v>
      </c>
      <c r="H16" s="176"/>
      <c r="I16" s="177"/>
    </row>
    <row r="17" customFormat="false" ht="13.8" hidden="false" customHeight="false" outlineLevel="0" collapsed="false">
      <c r="B17" s="178" t="n">
        <v>4000000</v>
      </c>
      <c r="C17" s="179" t="n">
        <v>9999999999</v>
      </c>
      <c r="D17" s="180" t="s">
        <v>894</v>
      </c>
      <c r="H17" s="176"/>
      <c r="I17" s="177"/>
    </row>
    <row r="18" customFormat="false" ht="13.8" hidden="false" customHeight="false" outlineLevel="0" collapsed="false">
      <c r="B18" s="181" t="n">
        <v>0</v>
      </c>
      <c r="C18" s="182" t="n">
        <v>0</v>
      </c>
      <c r="D18" s="183" t="s">
        <v>895</v>
      </c>
      <c r="G18" s="176"/>
      <c r="H18" s="176"/>
      <c r="I18" s="177"/>
    </row>
    <row r="19" customFormat="false" ht="13.8" hidden="false" customHeight="false" outlineLevel="0" collapsed="false">
      <c r="G19" s="176"/>
      <c r="H19" s="176"/>
      <c r="I19" s="177"/>
    </row>
    <row r="20" customFormat="false" ht="13.8" hidden="false" customHeight="false" outlineLevel="0" collapsed="false">
      <c r="B20" s="184" t="s">
        <v>896</v>
      </c>
      <c r="C20" s="184"/>
      <c r="D20" s="184"/>
      <c r="G20" s="176"/>
      <c r="H20" s="176"/>
      <c r="I20" s="177"/>
    </row>
    <row r="21" customFormat="false" ht="13.8" hidden="false" customHeight="false" outlineLevel="0" collapsed="false">
      <c r="B21" s="185" t="s">
        <v>889</v>
      </c>
      <c r="C21" s="174" t="s">
        <v>890</v>
      </c>
      <c r="D21" s="174" t="s">
        <v>891</v>
      </c>
      <c r="G21" s="176"/>
      <c r="H21" s="176"/>
      <c r="I21" s="177"/>
    </row>
    <row r="22" customFormat="false" ht="13.8" hidden="false" customHeight="false" outlineLevel="0" collapsed="false">
      <c r="B22" s="186" t="n">
        <v>0</v>
      </c>
      <c r="C22" s="187" t="n">
        <v>15</v>
      </c>
      <c r="D22" s="187" t="s">
        <v>881</v>
      </c>
      <c r="G22" s="176"/>
      <c r="H22" s="176"/>
      <c r="I22" s="177"/>
    </row>
    <row r="23" customFormat="false" ht="13.8" hidden="false" customHeight="false" outlineLevel="0" collapsed="false">
      <c r="B23" s="186" t="n">
        <v>15</v>
      </c>
      <c r="C23" s="187" t="n">
        <v>20</v>
      </c>
      <c r="D23" s="187" t="s">
        <v>897</v>
      </c>
      <c r="G23" s="176"/>
      <c r="H23" s="176"/>
      <c r="I23" s="177"/>
    </row>
    <row r="24" customFormat="false" ht="13.8" hidden="false" customHeight="false" outlineLevel="0" collapsed="false">
      <c r="B24" s="186" t="s">
        <v>898</v>
      </c>
      <c r="C24" s="187" t="n">
        <v>20</v>
      </c>
      <c r="D24" s="187" t="s">
        <v>899</v>
      </c>
      <c r="G24" s="176"/>
      <c r="H24" s="176"/>
      <c r="I24" s="177"/>
    </row>
    <row r="25" customFormat="false" ht="13.8" hidden="false" customHeight="false" outlineLevel="0" collapsed="false">
      <c r="G25" s="176"/>
      <c r="H25" s="176"/>
      <c r="I25" s="177"/>
    </row>
    <row r="26" customFormat="false" ht="13.8" hidden="false" customHeight="false" outlineLevel="0" collapsed="false">
      <c r="B26" s="147" t="s">
        <v>900</v>
      </c>
      <c r="C26" s="147"/>
      <c r="D26" s="147"/>
      <c r="E26" s="147"/>
      <c r="F26" s="147"/>
      <c r="G26" s="176"/>
      <c r="H26" s="176"/>
      <c r="I26" s="177"/>
    </row>
    <row r="27" customFormat="false" ht="13.8" hidden="false" customHeight="false" outlineLevel="0" collapsed="false">
      <c r="B27" s="173" t="s">
        <v>901</v>
      </c>
      <c r="C27" s="173"/>
      <c r="D27" s="185" t="s">
        <v>902</v>
      </c>
      <c r="E27" s="174" t="s">
        <v>903</v>
      </c>
      <c r="F27" s="175" t="s">
        <v>904</v>
      </c>
      <c r="G27" s="1" t="n">
        <v>2023</v>
      </c>
      <c r="I27" s="176"/>
      <c r="J27" s="176"/>
      <c r="K27" s="177"/>
    </row>
    <row r="28" customFormat="false" ht="13.8" hidden="false" customHeight="false" outlineLevel="0" collapsed="false">
      <c r="B28" s="188" t="n">
        <f aca="false">+$C$2*$I$28</f>
        <v>1750905</v>
      </c>
      <c r="C28" s="179" t="n">
        <f aca="false">+$C$2*$J$28</f>
        <v>3501810</v>
      </c>
      <c r="D28" s="187" t="s">
        <v>61</v>
      </c>
      <c r="E28" s="187" t="n">
        <v>5</v>
      </c>
      <c r="F28" s="189" t="n">
        <f aca="false">+$C$2*E28</f>
        <v>8754525</v>
      </c>
      <c r="G28" s="161" t="n">
        <v>5800000</v>
      </c>
      <c r="I28" s="2" t="n">
        <v>1</v>
      </c>
      <c r="J28" s="1" t="n">
        <v>2</v>
      </c>
      <c r="K28" s="177"/>
    </row>
    <row r="29" customFormat="false" ht="13.8" hidden="false" customHeight="false" outlineLevel="0" collapsed="false">
      <c r="B29" s="188" t="n">
        <f aca="false">+$C$2*$I$28</f>
        <v>1750905</v>
      </c>
      <c r="C29" s="179" t="n">
        <f aca="false">+$C$2*$J$28</f>
        <v>3501810</v>
      </c>
      <c r="D29" s="187" t="s">
        <v>62</v>
      </c>
      <c r="E29" s="187" t="n">
        <v>4</v>
      </c>
      <c r="F29" s="189" t="n">
        <f aca="false">+$C$2*E29</f>
        <v>7003620</v>
      </c>
      <c r="G29" s="161" t="n">
        <v>4640000</v>
      </c>
      <c r="I29" s="2"/>
    </row>
    <row r="30" customFormat="false" ht="13.8" hidden="false" customHeight="false" outlineLevel="0" collapsed="false">
      <c r="B30" s="188" t="n">
        <f aca="false">+$C$2*$I$28</f>
        <v>1750905</v>
      </c>
      <c r="C30" s="179" t="n">
        <f aca="false">+$C$2*$J$28</f>
        <v>3501810</v>
      </c>
      <c r="D30" s="187" t="s">
        <v>64</v>
      </c>
      <c r="E30" s="187" t="n">
        <v>2</v>
      </c>
      <c r="F30" s="189" t="n">
        <f aca="false">+$C$2*E30</f>
        <v>3501810</v>
      </c>
      <c r="G30" s="161" t="n">
        <v>2320000</v>
      </c>
      <c r="I30" s="2"/>
    </row>
    <row r="31" customFormat="false" ht="13.8" hidden="false" customHeight="false" outlineLevel="0" collapsed="false">
      <c r="B31" s="188" t="n">
        <f aca="false">+$C$2*$I$31+1</f>
        <v>3501811</v>
      </c>
      <c r="C31" s="179" t="n">
        <f aca="false">+$C$2*$J$31</f>
        <v>7003620</v>
      </c>
      <c r="D31" s="187" t="s">
        <v>61</v>
      </c>
      <c r="E31" s="187" t="n">
        <v>8</v>
      </c>
      <c r="F31" s="189" t="n">
        <f aca="false">+$C$2*E31</f>
        <v>14007240</v>
      </c>
      <c r="G31" s="161" t="n">
        <v>9280000</v>
      </c>
      <c r="I31" s="2" t="n">
        <v>2</v>
      </c>
      <c r="J31" s="1" t="n">
        <v>4</v>
      </c>
    </row>
    <row r="32" customFormat="false" ht="13.8" hidden="false" customHeight="false" outlineLevel="0" collapsed="false">
      <c r="B32" s="188" t="n">
        <f aca="false">+$C$2*$I$31+1</f>
        <v>3501811</v>
      </c>
      <c r="C32" s="179" t="n">
        <f aca="false">+$C$2*$J$31</f>
        <v>7003620</v>
      </c>
      <c r="D32" s="187" t="s">
        <v>62</v>
      </c>
      <c r="E32" s="187" t="n">
        <v>5</v>
      </c>
      <c r="F32" s="189" t="n">
        <f aca="false">+$C$2*E32</f>
        <v>8754525</v>
      </c>
      <c r="G32" s="161" t="n">
        <v>5800000</v>
      </c>
      <c r="J32" s="176"/>
    </row>
    <row r="33" customFormat="false" ht="13.8" hidden="false" customHeight="false" outlineLevel="0" collapsed="false">
      <c r="B33" s="188" t="n">
        <f aca="false">+$C$2*$I$31+1</f>
        <v>3501811</v>
      </c>
      <c r="C33" s="179" t="n">
        <f aca="false">+$C$2*$J$31</f>
        <v>7003620</v>
      </c>
      <c r="D33" s="187" t="s">
        <v>64</v>
      </c>
      <c r="E33" s="187" t="n">
        <v>2</v>
      </c>
      <c r="F33" s="189" t="n">
        <f aca="false">+$C$2*E33</f>
        <v>3501810</v>
      </c>
      <c r="G33" s="161" t="n">
        <v>2320000</v>
      </c>
      <c r="J33" s="176"/>
    </row>
    <row r="34" customFormat="false" ht="13.8" hidden="false" customHeight="false" outlineLevel="0" collapsed="false">
      <c r="B34" s="178" t="n">
        <f aca="false">+$C$2*$I$34+1</f>
        <v>7003621</v>
      </c>
      <c r="C34" s="179"/>
      <c r="D34" s="187" t="s">
        <v>61</v>
      </c>
      <c r="E34" s="187" t="n">
        <v>11</v>
      </c>
      <c r="F34" s="189" t="n">
        <f aca="false">+$C$2*E34</f>
        <v>19259955</v>
      </c>
      <c r="G34" s="161" t="n">
        <v>12760000</v>
      </c>
      <c r="I34" s="2" t="n">
        <v>4</v>
      </c>
      <c r="J34" s="176"/>
    </row>
    <row r="35" customFormat="false" ht="13.8" hidden="false" customHeight="false" outlineLevel="0" collapsed="false">
      <c r="B35" s="178" t="n">
        <f aca="false">+$C$2*$I$34+1</f>
        <v>7003621</v>
      </c>
      <c r="C35" s="179"/>
      <c r="D35" s="187" t="s">
        <v>62</v>
      </c>
      <c r="E35" s="187" t="n">
        <v>6</v>
      </c>
      <c r="F35" s="189" t="n">
        <f aca="false">+$C$2*E35</f>
        <v>10505430</v>
      </c>
      <c r="G35" s="161" t="n">
        <v>6960000</v>
      </c>
      <c r="J35" s="176"/>
    </row>
    <row r="36" customFormat="false" ht="13.8" hidden="false" customHeight="false" outlineLevel="0" collapsed="false">
      <c r="B36" s="181" t="n">
        <f aca="false">+$C$2*$I$34+1</f>
        <v>7003621</v>
      </c>
      <c r="C36" s="182"/>
      <c r="D36" s="190" t="s">
        <v>64</v>
      </c>
      <c r="E36" s="190" t="n">
        <v>2</v>
      </c>
      <c r="F36" s="191" t="n">
        <f aca="false">+$C$2*E36</f>
        <v>3501810</v>
      </c>
      <c r="G36" s="161" t="n">
        <v>2320000</v>
      </c>
      <c r="J36" s="176"/>
    </row>
    <row r="37" customFormat="false" ht="13.8" hidden="false" customHeight="false" outlineLevel="0" collapsed="false">
      <c r="G37" s="176"/>
      <c r="H37" s="176"/>
      <c r="I37" s="177"/>
    </row>
    <row r="38" customFormat="false" ht="13.8" hidden="false" customHeight="false" outlineLevel="0" collapsed="false">
      <c r="B38" s="147" t="s">
        <v>905</v>
      </c>
      <c r="C38" s="147"/>
      <c r="D38" s="147"/>
      <c r="G38" s="176"/>
      <c r="H38" s="176"/>
      <c r="I38" s="177"/>
    </row>
    <row r="39" customFormat="false" ht="13.8" hidden="false" customHeight="false" outlineLevel="0" collapsed="false">
      <c r="B39" s="173" t="s">
        <v>902</v>
      </c>
      <c r="C39" s="174" t="s">
        <v>903</v>
      </c>
      <c r="D39" s="175" t="s">
        <v>906</v>
      </c>
      <c r="E39" s="1" t="n">
        <v>2023</v>
      </c>
      <c r="F39" s="176"/>
      <c r="G39" s="176"/>
      <c r="H39" s="177"/>
    </row>
    <row r="40" customFormat="false" ht="13.8" hidden="false" customHeight="false" outlineLevel="0" collapsed="false">
      <c r="B40" s="192" t="s">
        <v>61</v>
      </c>
      <c r="C40" s="187" t="n">
        <v>14</v>
      </c>
      <c r="D40" s="189" t="n">
        <f aca="false">+$C$2*C40</f>
        <v>24512670</v>
      </c>
      <c r="E40" s="161" t="n">
        <v>18560000</v>
      </c>
      <c r="F40" s="193" t="n">
        <f aca="false">+E40-D40</f>
        <v>-5952670</v>
      </c>
      <c r="G40" s="176"/>
      <c r="H40" s="177"/>
    </row>
    <row r="41" customFormat="false" ht="13.8" hidden="false" customHeight="false" outlineLevel="0" collapsed="false">
      <c r="B41" s="194" t="s">
        <v>62</v>
      </c>
      <c r="C41" s="190" t="n">
        <v>10</v>
      </c>
      <c r="D41" s="191" t="n">
        <f aca="false">+$C$2*C41</f>
        <v>17509050</v>
      </c>
      <c r="E41" s="161" t="n">
        <v>12760000</v>
      </c>
      <c r="F41" s="193" t="n">
        <f aca="false">+E41-D41</f>
        <v>-4749050</v>
      </c>
      <c r="G41" s="176"/>
      <c r="H41" s="176"/>
      <c r="I41" s="177"/>
    </row>
    <row r="42" customFormat="false" ht="13.8" hidden="false" customHeight="false" outlineLevel="0" collapsed="false">
      <c r="G42" s="176"/>
      <c r="H42" s="176"/>
      <c r="I42" s="177"/>
    </row>
    <row r="43" customFormat="false" ht="13.8" hidden="false" customHeight="false" outlineLevel="0" collapsed="false">
      <c r="G43" s="176"/>
      <c r="H43" s="176"/>
      <c r="I43" s="177"/>
    </row>
    <row r="44" customFormat="false" ht="13.8" hidden="false" customHeight="false" outlineLevel="0" collapsed="false">
      <c r="B44" s="147" t="s">
        <v>907</v>
      </c>
      <c r="D44" s="147" t="s">
        <v>908</v>
      </c>
    </row>
    <row r="45" customFormat="false" ht="13.8" hidden="false" customHeight="false" outlineLevel="0" collapsed="false">
      <c r="B45" s="195" t="s">
        <v>909</v>
      </c>
      <c r="D45" s="195" t="s">
        <v>910</v>
      </c>
    </row>
    <row r="46" customFormat="false" ht="13.8" hidden="false" customHeight="false" outlineLevel="0" collapsed="false">
      <c r="B46" s="195" t="s">
        <v>911</v>
      </c>
      <c r="D46" s="195" t="s">
        <v>894</v>
      </c>
    </row>
    <row r="47" customFormat="false" ht="13.8" hidden="false" customHeight="false" outlineLevel="0" collapsed="false">
      <c r="B47" s="195" t="s">
        <v>912</v>
      </c>
      <c r="D47" s="195" t="s">
        <v>895</v>
      </c>
    </row>
    <row r="48" customFormat="false" ht="13.8" hidden="false" customHeight="false" outlineLevel="0" collapsed="false">
      <c r="B48" s="195" t="s">
        <v>913</v>
      </c>
      <c r="D48" s="196"/>
    </row>
    <row r="49" customFormat="false" ht="13.8" hidden="false" customHeight="false" outlineLevel="0" collapsed="false">
      <c r="B49" s="195" t="s">
        <v>914</v>
      </c>
    </row>
    <row r="50" customFormat="false" ht="13.8" hidden="false" customHeight="false" outlineLevel="0" collapsed="false">
      <c r="B50" s="195"/>
    </row>
    <row r="51" customFormat="false" ht="13.8" hidden="false" customHeight="false" outlineLevel="0" collapsed="false">
      <c r="B51" s="195"/>
    </row>
    <row r="52" customFormat="false" ht="13.8" hidden="false" customHeight="false" outlineLevel="0" collapsed="false">
      <c r="B52" s="196"/>
    </row>
  </sheetData>
  <mergeCells count="10">
    <mergeCell ref="G3:I3"/>
    <mergeCell ref="B4:D4"/>
    <mergeCell ref="G8:H8"/>
    <mergeCell ref="G11:H11"/>
    <mergeCell ref="B12:D12"/>
    <mergeCell ref="B13:D13"/>
    <mergeCell ref="B20:D20"/>
    <mergeCell ref="B26:F26"/>
    <mergeCell ref="B27:C27"/>
    <mergeCell ref="B38:D3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82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I101" activeCellId="0" sqref="I101"/>
    </sheetView>
  </sheetViews>
  <sheetFormatPr defaultColWidth="10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915</v>
      </c>
      <c r="B1" s="0" t="s">
        <v>916</v>
      </c>
      <c r="C1" s="0" t="s">
        <v>917</v>
      </c>
    </row>
    <row r="2" customFormat="false" ht="14.25" hidden="false" customHeight="false" outlineLevel="0" collapsed="false">
      <c r="A2" s="0" t="n">
        <v>1</v>
      </c>
      <c r="B2" s="0" t="n">
        <v>40087405</v>
      </c>
      <c r="C2" s="0" t="n">
        <v>747</v>
      </c>
    </row>
    <row r="3" customFormat="false" ht="14.25" hidden="false" customHeight="false" outlineLevel="0" collapsed="false">
      <c r="A3" s="0" t="n">
        <v>1</v>
      </c>
      <c r="B3" s="0" t="n">
        <v>1144128860</v>
      </c>
      <c r="C3" s="0" t="n">
        <v>794</v>
      </c>
    </row>
    <row r="4" customFormat="false" ht="14.25" hidden="false" customHeight="false" outlineLevel="0" collapsed="false">
      <c r="A4" s="0" t="n">
        <v>1</v>
      </c>
      <c r="B4" s="0" t="n">
        <v>11320970</v>
      </c>
      <c r="C4" s="0" t="n">
        <v>816</v>
      </c>
    </row>
    <row r="5" customFormat="false" ht="14.25" hidden="false" customHeight="false" outlineLevel="0" collapsed="false">
      <c r="A5" s="0" t="n">
        <v>1</v>
      </c>
      <c r="B5" s="0" t="n">
        <v>1130643699</v>
      </c>
      <c r="C5" s="0" t="n">
        <v>632</v>
      </c>
    </row>
    <row r="6" customFormat="false" ht="14.25" hidden="false" customHeight="false" outlineLevel="0" collapsed="false">
      <c r="A6" s="0" t="n">
        <v>1</v>
      </c>
      <c r="B6" s="0" t="n">
        <v>1118282261</v>
      </c>
      <c r="C6" s="0" t="n">
        <v>747</v>
      </c>
    </row>
    <row r="7" customFormat="false" ht="14.25" hidden="false" customHeight="false" outlineLevel="0" collapsed="false">
      <c r="A7" s="0" t="n">
        <v>1</v>
      </c>
      <c r="B7" s="0" t="n">
        <v>66773669</v>
      </c>
      <c r="C7" s="0" t="n">
        <v>784</v>
      </c>
    </row>
    <row r="8" customFormat="false" ht="14.25" hidden="false" customHeight="false" outlineLevel="0" collapsed="false">
      <c r="A8" s="0" t="n">
        <v>1</v>
      </c>
      <c r="B8" s="0" t="n">
        <v>1087118163</v>
      </c>
      <c r="C8" s="0" t="n">
        <v>605</v>
      </c>
    </row>
    <row r="9" customFormat="false" ht="14.25" hidden="false" customHeight="false" outlineLevel="0" collapsed="false">
      <c r="A9" s="0" t="n">
        <v>1</v>
      </c>
      <c r="B9" s="0" t="n">
        <v>38561848</v>
      </c>
      <c r="C9" s="0" t="n">
        <v>557</v>
      </c>
    </row>
    <row r="10" customFormat="false" ht="14.25" hidden="false" customHeight="false" outlineLevel="0" collapsed="false">
      <c r="A10" s="0" t="n">
        <v>1</v>
      </c>
      <c r="B10" s="0" t="n">
        <v>1130595126</v>
      </c>
      <c r="C10" s="0" t="n">
        <v>861</v>
      </c>
    </row>
    <row r="11" customFormat="false" ht="14.25" hidden="false" customHeight="false" outlineLevel="0" collapsed="false">
      <c r="A11" s="0" t="n">
        <v>1</v>
      </c>
      <c r="B11" s="0" t="n">
        <v>31576196</v>
      </c>
      <c r="C11" s="0" t="n">
        <v>910</v>
      </c>
    </row>
    <row r="12" customFormat="false" ht="14.25" hidden="false" customHeight="false" outlineLevel="0" collapsed="false">
      <c r="A12" s="0" t="n">
        <v>1</v>
      </c>
      <c r="B12" s="0" t="n">
        <v>1144067925</v>
      </c>
      <c r="C12" s="0" t="n">
        <v>803</v>
      </c>
    </row>
    <row r="13" customFormat="false" ht="14.25" hidden="false" customHeight="false" outlineLevel="0" collapsed="false">
      <c r="A13" s="0" t="n">
        <v>1</v>
      </c>
      <c r="B13" s="0" t="n">
        <v>1151939688</v>
      </c>
      <c r="C13" s="0" t="n">
        <v>770</v>
      </c>
    </row>
    <row r="14" customFormat="false" ht="14.25" hidden="false" customHeight="false" outlineLevel="0" collapsed="false">
      <c r="A14" s="0" t="n">
        <v>1</v>
      </c>
      <c r="B14" s="0" t="n">
        <v>6098612</v>
      </c>
      <c r="C14" s="0" t="n">
        <v>721</v>
      </c>
    </row>
    <row r="15" customFormat="false" ht="14.25" hidden="false" customHeight="false" outlineLevel="0" collapsed="false">
      <c r="A15" s="0" t="n">
        <v>1</v>
      </c>
      <c r="B15" s="0" t="n">
        <v>1130635450</v>
      </c>
      <c r="C15" s="0" t="n">
        <v>772</v>
      </c>
    </row>
    <row r="16" customFormat="false" ht="14.25" hidden="false" customHeight="false" outlineLevel="0" collapsed="false">
      <c r="A16" s="0" t="n">
        <v>1</v>
      </c>
      <c r="B16" s="0" t="n">
        <v>1144136654</v>
      </c>
      <c r="C16" s="0" t="n">
        <v>900</v>
      </c>
    </row>
    <row r="17" customFormat="false" ht="14.25" hidden="false" customHeight="false" outlineLevel="0" collapsed="false">
      <c r="A17" s="0" t="n">
        <v>1</v>
      </c>
      <c r="B17" s="0" t="n">
        <v>1005873030</v>
      </c>
      <c r="C17" s="0" t="n">
        <v>568</v>
      </c>
    </row>
    <row r="18" customFormat="false" ht="14.25" hidden="false" customHeight="false" outlineLevel="0" collapsed="false">
      <c r="A18" s="0" t="n">
        <v>1</v>
      </c>
      <c r="B18" s="0" t="n">
        <v>1144031120</v>
      </c>
      <c r="C18" s="0" t="n">
        <v>845</v>
      </c>
    </row>
    <row r="19" customFormat="false" ht="14.25" hidden="false" customHeight="false" outlineLevel="0" collapsed="false">
      <c r="A19" s="0" t="n">
        <v>1</v>
      </c>
      <c r="B19" s="0" t="n">
        <v>1144157555</v>
      </c>
      <c r="C19" s="0" t="n">
        <v>801</v>
      </c>
    </row>
    <row r="20" customFormat="false" ht="14.25" hidden="false" customHeight="false" outlineLevel="0" collapsed="false">
      <c r="A20" s="0" t="n">
        <v>1</v>
      </c>
      <c r="B20" s="0" t="n">
        <v>1143959792</v>
      </c>
      <c r="C20" s="0" t="n">
        <v>632</v>
      </c>
    </row>
    <row r="21" customFormat="false" ht="14.25" hidden="false" customHeight="false" outlineLevel="0" collapsed="false">
      <c r="A21" s="0" t="n">
        <v>1</v>
      </c>
      <c r="B21" s="0" t="n">
        <v>94062275</v>
      </c>
      <c r="C21" s="0" t="n">
        <v>999</v>
      </c>
    </row>
    <row r="22" customFormat="false" ht="14.25" hidden="false" customHeight="false" outlineLevel="0" collapsed="false">
      <c r="A22" s="0" t="n">
        <v>1</v>
      </c>
      <c r="B22" s="0" t="n">
        <v>1144063991</v>
      </c>
      <c r="C22" s="0" t="n">
        <v>640</v>
      </c>
    </row>
    <row r="23" customFormat="false" ht="14.25" hidden="false" customHeight="false" outlineLevel="0" collapsed="false">
      <c r="A23" s="0" t="n">
        <v>1</v>
      </c>
      <c r="B23" s="0" t="n">
        <v>1005830733</v>
      </c>
      <c r="C23" s="0" t="n">
        <v>573</v>
      </c>
    </row>
    <row r="24" customFormat="false" ht="14.25" hidden="false" customHeight="false" outlineLevel="0" collapsed="false">
      <c r="A24" s="0" t="n">
        <v>1</v>
      </c>
      <c r="B24" s="0" t="n">
        <v>1143934493</v>
      </c>
      <c r="C24" s="0" t="n">
        <v>723</v>
      </c>
    </row>
    <row r="25" customFormat="false" ht="14.25" hidden="false" customHeight="false" outlineLevel="0" collapsed="false">
      <c r="A25" s="0" t="n">
        <v>1</v>
      </c>
      <c r="B25" s="0" t="n">
        <v>1143932401</v>
      </c>
      <c r="C25" s="0" t="n">
        <v>640</v>
      </c>
    </row>
    <row r="26" customFormat="false" ht="14.25" hidden="false" customHeight="false" outlineLevel="0" collapsed="false">
      <c r="A26" s="0" t="n">
        <v>1</v>
      </c>
      <c r="B26" s="0" t="n">
        <v>1193439718</v>
      </c>
      <c r="C26" s="0" t="n">
        <v>805</v>
      </c>
    </row>
    <row r="27" customFormat="false" ht="14.25" hidden="false" customHeight="false" outlineLevel="0" collapsed="false">
      <c r="A27" s="0" t="n">
        <v>1</v>
      </c>
      <c r="B27" s="0" t="n">
        <v>55232585</v>
      </c>
      <c r="C27" s="0" t="n">
        <v>974</v>
      </c>
    </row>
    <row r="28" customFormat="false" ht="14.25" hidden="false" customHeight="false" outlineLevel="0" collapsed="false">
      <c r="A28" s="0" t="n">
        <v>1</v>
      </c>
      <c r="B28" s="0" t="n">
        <v>1143863088</v>
      </c>
      <c r="C28" s="0" t="n">
        <v>762</v>
      </c>
    </row>
    <row r="29" customFormat="false" ht="14.25" hidden="false" customHeight="false" outlineLevel="0" collapsed="false">
      <c r="A29" s="0" t="n">
        <v>1</v>
      </c>
      <c r="B29" s="0" t="n">
        <v>67026757</v>
      </c>
      <c r="C29" s="0" t="n">
        <v>938</v>
      </c>
    </row>
    <row r="30" customFormat="false" ht="14.25" hidden="false" customHeight="false" outlineLevel="0" collapsed="false">
      <c r="A30" s="0" t="n">
        <v>1</v>
      </c>
      <c r="B30" s="0" t="n">
        <v>67012661</v>
      </c>
      <c r="C30" s="0" t="n">
        <v>960</v>
      </c>
    </row>
    <row r="31" customFormat="false" ht="14.25" hidden="false" customHeight="false" outlineLevel="0" collapsed="false">
      <c r="A31" s="0" t="n">
        <v>1</v>
      </c>
      <c r="B31" s="0" t="n">
        <v>1114818603</v>
      </c>
      <c r="C31" s="0" t="n">
        <v>705</v>
      </c>
    </row>
    <row r="32" customFormat="false" ht="14.25" hidden="false" customHeight="false" outlineLevel="0" collapsed="false">
      <c r="A32" s="0" t="n">
        <v>1</v>
      </c>
      <c r="B32" s="0" t="n">
        <v>29679168</v>
      </c>
      <c r="C32" s="0" t="n">
        <v>846</v>
      </c>
    </row>
    <row r="33" customFormat="false" ht="14.25" hidden="false" customHeight="false" outlineLevel="0" collapsed="false">
      <c r="A33" s="0" t="n">
        <v>1</v>
      </c>
      <c r="B33" s="0" t="n">
        <v>31853280</v>
      </c>
      <c r="C33" s="0" t="n">
        <v>993</v>
      </c>
    </row>
    <row r="34" customFormat="false" ht="14.25" hidden="false" customHeight="false" outlineLevel="0" collapsed="false">
      <c r="A34" s="0" t="n">
        <v>1</v>
      </c>
      <c r="B34" s="0" t="n">
        <v>34558931</v>
      </c>
      <c r="C34" s="0" t="n">
        <v>772</v>
      </c>
    </row>
    <row r="35" customFormat="false" ht="14.25" hidden="false" customHeight="false" outlineLevel="0" collapsed="false">
      <c r="A35" s="0" t="n">
        <v>1</v>
      </c>
      <c r="B35" s="0" t="n">
        <v>29665479</v>
      </c>
      <c r="C35" s="0" t="n">
        <v>832</v>
      </c>
    </row>
    <row r="36" customFormat="false" ht="14.25" hidden="false" customHeight="false" outlineLevel="0" collapsed="false">
      <c r="A36" s="0" t="n">
        <v>1</v>
      </c>
      <c r="B36" s="0" t="n">
        <v>1117517012</v>
      </c>
      <c r="C36" s="0" t="n">
        <v>926</v>
      </c>
    </row>
    <row r="37" customFormat="false" ht="14.25" hidden="false" customHeight="false" outlineLevel="0" collapsed="false">
      <c r="A37" s="0" t="n">
        <v>1</v>
      </c>
      <c r="B37" s="0" t="n">
        <v>1144051013</v>
      </c>
      <c r="C37" s="0" t="n">
        <v>753</v>
      </c>
    </row>
    <row r="38" customFormat="false" ht="14.25" hidden="false" customHeight="false" outlineLevel="0" collapsed="false">
      <c r="A38" s="0" t="n">
        <v>1</v>
      </c>
      <c r="B38" s="0" t="n">
        <v>52290327</v>
      </c>
      <c r="C38" s="0" t="n">
        <v>793</v>
      </c>
    </row>
    <row r="39" customFormat="false" ht="14.25" hidden="false" customHeight="false" outlineLevel="0" collapsed="false">
      <c r="A39" s="0" t="n">
        <v>1</v>
      </c>
      <c r="B39" s="0" t="n">
        <v>1116253405</v>
      </c>
      <c r="C39" s="0" t="n">
        <v>619</v>
      </c>
    </row>
    <row r="40" customFormat="false" ht="14.25" hidden="false" customHeight="false" outlineLevel="0" collapsed="false">
      <c r="A40" s="0" t="n">
        <v>1</v>
      </c>
      <c r="B40" s="0" t="n">
        <v>66872117</v>
      </c>
      <c r="C40" s="0" t="n">
        <v>812</v>
      </c>
    </row>
    <row r="41" customFormat="false" ht="14.25" hidden="false" customHeight="false" outlineLevel="0" collapsed="false">
      <c r="A41" s="0" t="n">
        <v>1</v>
      </c>
      <c r="B41" s="0" t="n">
        <v>1144176050</v>
      </c>
      <c r="C41" s="0" t="n">
        <v>727</v>
      </c>
    </row>
    <row r="42" customFormat="false" ht="14.25" hidden="false" customHeight="false" outlineLevel="0" collapsed="false">
      <c r="A42" s="0" t="n">
        <v>1</v>
      </c>
      <c r="B42" s="0" t="n">
        <v>1118307622</v>
      </c>
      <c r="C42" s="0" t="n">
        <v>836</v>
      </c>
    </row>
    <row r="43" customFormat="false" ht="14.25" hidden="false" customHeight="false" outlineLevel="0" collapsed="false">
      <c r="A43" s="0" t="n">
        <v>1</v>
      </c>
      <c r="B43" s="0" t="n">
        <v>1107044508</v>
      </c>
      <c r="C43" s="0" t="n">
        <v>719</v>
      </c>
    </row>
    <row r="44" customFormat="false" ht="14.25" hidden="false" customHeight="false" outlineLevel="0" collapsed="false">
      <c r="A44" s="0" t="n">
        <v>1</v>
      </c>
      <c r="B44" s="0" t="n">
        <v>16737817</v>
      </c>
      <c r="C44" s="0" t="n">
        <v>889</v>
      </c>
    </row>
    <row r="45" customFormat="false" ht="14.25" hidden="false" customHeight="false" outlineLevel="0" collapsed="false">
      <c r="A45" s="0" t="n">
        <v>1</v>
      </c>
      <c r="B45" s="0" t="n">
        <v>67022295</v>
      </c>
      <c r="C45" s="0" t="n">
        <v>757</v>
      </c>
    </row>
    <row r="46" customFormat="false" ht="14.25" hidden="false" customHeight="false" outlineLevel="0" collapsed="false">
      <c r="A46" s="0" t="n">
        <v>1</v>
      </c>
      <c r="B46" s="0" t="n">
        <v>29347777</v>
      </c>
      <c r="C46" s="0" t="n">
        <v>598</v>
      </c>
    </row>
    <row r="47" customFormat="false" ht="14.25" hidden="false" customHeight="false" outlineLevel="0" collapsed="false">
      <c r="A47" s="0" t="n">
        <v>1</v>
      </c>
      <c r="B47" s="0" t="n">
        <v>1059710734</v>
      </c>
      <c r="C47" s="0" t="n">
        <v>702</v>
      </c>
    </row>
    <row r="48" customFormat="false" ht="14.25" hidden="false" customHeight="false" outlineLevel="0" collapsed="false">
      <c r="A48" s="0" t="n">
        <v>1</v>
      </c>
      <c r="B48" s="0" t="n">
        <v>25364521</v>
      </c>
      <c r="C48" s="0" t="n">
        <v>726</v>
      </c>
    </row>
    <row r="49" customFormat="false" ht="14.25" hidden="false" customHeight="false" outlineLevel="0" collapsed="false">
      <c r="A49" s="0" t="n">
        <v>1</v>
      </c>
      <c r="B49" s="0" t="n">
        <v>1144088175</v>
      </c>
      <c r="C49" s="0" t="n">
        <v>789</v>
      </c>
    </row>
    <row r="50" customFormat="false" ht="14.25" hidden="false" customHeight="false" outlineLevel="0" collapsed="false">
      <c r="A50" s="0" t="n">
        <v>1</v>
      </c>
      <c r="B50" s="0" t="n">
        <v>1143851108</v>
      </c>
      <c r="C50" s="0" t="n">
        <v>782</v>
      </c>
    </row>
    <row r="51" customFormat="false" ht="14.25" hidden="false" customHeight="false" outlineLevel="0" collapsed="false">
      <c r="A51" s="0" t="n">
        <v>1</v>
      </c>
      <c r="B51" s="0" t="n">
        <v>1107068265</v>
      </c>
      <c r="C51" s="0" t="n">
        <v>733</v>
      </c>
    </row>
    <row r="52" customFormat="false" ht="14.25" hidden="false" customHeight="false" outlineLevel="0" collapsed="false">
      <c r="A52" s="0" t="n">
        <v>1</v>
      </c>
      <c r="B52" s="0" t="n">
        <v>38642747</v>
      </c>
      <c r="C52" s="0" t="n">
        <v>978</v>
      </c>
    </row>
    <row r="53" customFormat="false" ht="14.25" hidden="false" customHeight="false" outlineLevel="0" collapsed="false">
      <c r="A53" s="0" t="n">
        <v>1</v>
      </c>
      <c r="B53" s="0" t="n">
        <v>1144063311</v>
      </c>
      <c r="C53" s="0" t="n">
        <v>770</v>
      </c>
    </row>
    <row r="54" customFormat="false" ht="14.25" hidden="false" customHeight="false" outlineLevel="0" collapsed="false">
      <c r="A54" s="0" t="n">
        <v>1</v>
      </c>
      <c r="B54" s="0" t="n">
        <v>94409720</v>
      </c>
      <c r="C54" s="0" t="n">
        <v>921</v>
      </c>
    </row>
    <row r="55" customFormat="false" ht="14.25" hidden="false" customHeight="false" outlineLevel="0" collapsed="false">
      <c r="A55" s="0" t="n">
        <v>1</v>
      </c>
      <c r="B55" s="0" t="n">
        <v>1143992553</v>
      </c>
      <c r="C55" s="0" t="n">
        <v>598</v>
      </c>
    </row>
    <row r="56" customFormat="false" ht="14.25" hidden="false" customHeight="false" outlineLevel="0" collapsed="false">
      <c r="A56" s="0" t="n">
        <v>1</v>
      </c>
      <c r="B56" s="0" t="n">
        <v>1107063642</v>
      </c>
      <c r="C56" s="0" t="n">
        <v>665</v>
      </c>
    </row>
    <row r="57" customFormat="false" ht="14.25" hidden="false" customHeight="false" outlineLevel="0" collapsed="false">
      <c r="A57" s="0" t="n">
        <v>1</v>
      </c>
      <c r="B57" s="0" t="n">
        <v>16769506</v>
      </c>
      <c r="C57" s="0" t="n">
        <v>988</v>
      </c>
    </row>
    <row r="58" customFormat="false" ht="14.25" hidden="false" customHeight="false" outlineLevel="0" collapsed="false">
      <c r="A58" s="0" t="n">
        <v>1</v>
      </c>
      <c r="B58" s="0" t="n">
        <v>94371756</v>
      </c>
      <c r="C58" s="0" t="n">
        <v>611</v>
      </c>
    </row>
    <row r="59" customFormat="false" ht="14.25" hidden="false" customHeight="false" outlineLevel="0" collapsed="false">
      <c r="A59" s="0" t="n">
        <v>1</v>
      </c>
      <c r="B59" s="0" t="n">
        <v>1060590276</v>
      </c>
      <c r="C59" s="0" t="n">
        <v>632</v>
      </c>
    </row>
    <row r="60" customFormat="false" ht="14.25" hidden="false" customHeight="false" outlineLevel="0" collapsed="false">
      <c r="A60" s="0" t="n">
        <v>1</v>
      </c>
      <c r="B60" s="0" t="n">
        <v>31168598</v>
      </c>
      <c r="C60" s="0" t="n">
        <v>888</v>
      </c>
    </row>
    <row r="61" customFormat="false" ht="14.25" hidden="false" customHeight="false" outlineLevel="0" collapsed="false">
      <c r="A61" s="0" t="n">
        <v>1</v>
      </c>
      <c r="B61" s="0" t="n">
        <v>67028910</v>
      </c>
      <c r="C61" s="0" t="n">
        <v>941</v>
      </c>
    </row>
    <row r="62" customFormat="false" ht="14.25" hidden="false" customHeight="false" outlineLevel="0" collapsed="false">
      <c r="A62" s="0" t="n">
        <v>1</v>
      </c>
      <c r="B62" s="0" t="n">
        <v>1007619449</v>
      </c>
      <c r="C62" s="0" t="n">
        <v>670</v>
      </c>
    </row>
    <row r="63" customFormat="false" ht="14.25" hidden="false" customHeight="false" outlineLevel="0" collapsed="false">
      <c r="A63" s="0" t="n">
        <v>1</v>
      </c>
      <c r="B63" s="0" t="n">
        <v>1144085140</v>
      </c>
      <c r="C63" s="0" t="n">
        <v>515</v>
      </c>
    </row>
    <row r="64" customFormat="false" ht="14.25" hidden="false" customHeight="false" outlineLevel="0" collapsed="false">
      <c r="A64" s="0" t="n">
        <v>1</v>
      </c>
      <c r="B64" s="0" t="n">
        <v>1143867413</v>
      </c>
      <c r="C64" s="0" t="n">
        <v>758</v>
      </c>
    </row>
    <row r="65" customFormat="false" ht="14.25" hidden="false" customHeight="false" outlineLevel="0" collapsed="false">
      <c r="A65" s="0" t="n">
        <v>1</v>
      </c>
      <c r="B65" s="0" t="n">
        <v>14479754</v>
      </c>
      <c r="C65" s="0" t="n">
        <v>457</v>
      </c>
    </row>
    <row r="66" customFormat="false" ht="14.25" hidden="false" customHeight="false" outlineLevel="0" collapsed="false">
      <c r="A66" s="0" t="n">
        <v>1</v>
      </c>
      <c r="B66" s="0" t="n">
        <v>1112469097</v>
      </c>
      <c r="C66" s="0" t="n">
        <v>781</v>
      </c>
    </row>
    <row r="67" customFormat="false" ht="14.25" hidden="false" customHeight="false" outlineLevel="0" collapsed="false">
      <c r="A67" s="0" t="n">
        <v>1</v>
      </c>
      <c r="B67" s="0" t="n">
        <v>1144171386</v>
      </c>
      <c r="C67" s="0" t="n">
        <v>726</v>
      </c>
    </row>
    <row r="68" customFormat="false" ht="14.25" hidden="false" customHeight="false" outlineLevel="0" collapsed="false">
      <c r="A68" s="0" t="n">
        <v>1</v>
      </c>
      <c r="B68" s="0" t="n">
        <v>1144024737</v>
      </c>
      <c r="C68" s="0" t="n">
        <v>845</v>
      </c>
    </row>
    <row r="69" customFormat="false" ht="14.25" hidden="false" customHeight="false" outlineLevel="0" collapsed="false">
      <c r="A69" s="0" t="n">
        <v>1</v>
      </c>
      <c r="B69" s="0" t="n">
        <v>31929082</v>
      </c>
      <c r="C69" s="0" t="n">
        <v>846</v>
      </c>
    </row>
    <row r="70" customFormat="false" ht="14.25" hidden="false" customHeight="false" outlineLevel="0" collapsed="false">
      <c r="A70" s="0" t="n">
        <v>1</v>
      </c>
      <c r="B70" s="0" t="n">
        <v>1144144325</v>
      </c>
      <c r="C70" s="0" t="n">
        <v>790</v>
      </c>
    </row>
    <row r="71" customFormat="false" ht="14.25" hidden="false" customHeight="false" outlineLevel="0" collapsed="false">
      <c r="A71" s="0" t="n">
        <v>1</v>
      </c>
      <c r="B71" s="0" t="n">
        <v>67023387</v>
      </c>
      <c r="C71" s="0" t="n">
        <v>362</v>
      </c>
    </row>
    <row r="72" customFormat="false" ht="14.25" hidden="false" customHeight="false" outlineLevel="0" collapsed="false">
      <c r="A72" s="0" t="n">
        <v>1</v>
      </c>
      <c r="B72" s="0" t="n">
        <v>1143950540</v>
      </c>
      <c r="C72" s="0" t="n">
        <v>702</v>
      </c>
    </row>
    <row r="73" customFormat="false" ht="14.25" hidden="false" customHeight="false" outlineLevel="0" collapsed="false">
      <c r="A73" s="0" t="n">
        <v>1</v>
      </c>
      <c r="B73" s="0" t="n">
        <v>66951294</v>
      </c>
      <c r="C73" s="0" t="n">
        <v>706</v>
      </c>
    </row>
    <row r="74" customFormat="false" ht="14.25" hidden="false" customHeight="false" outlineLevel="0" collapsed="false">
      <c r="A74" s="0" t="n">
        <v>1</v>
      </c>
      <c r="B74" s="0" t="n">
        <v>1144097450</v>
      </c>
      <c r="C74" s="0" t="n">
        <v>665</v>
      </c>
    </row>
    <row r="75" customFormat="false" ht="14.25" hidden="false" customHeight="false" outlineLevel="0" collapsed="false">
      <c r="A75" s="0" t="n">
        <v>1</v>
      </c>
      <c r="B75" s="0" t="n">
        <v>1144108811</v>
      </c>
      <c r="C75" s="0" t="n">
        <v>686</v>
      </c>
    </row>
    <row r="76" customFormat="false" ht="14.25" hidden="false" customHeight="false" outlineLevel="0" collapsed="false">
      <c r="A76" s="0" t="n">
        <v>1</v>
      </c>
      <c r="B76" s="0" t="n">
        <v>1130602719</v>
      </c>
      <c r="C76" s="0" t="n">
        <v>860</v>
      </c>
    </row>
    <row r="77" customFormat="false" ht="14.25" hidden="false" customHeight="false" outlineLevel="0" collapsed="false">
      <c r="A77" s="0" t="n">
        <v>1</v>
      </c>
      <c r="B77" s="0" t="n">
        <v>48657507</v>
      </c>
      <c r="C77" s="0" t="n">
        <v>858</v>
      </c>
    </row>
    <row r="78" customFormat="false" ht="14.25" hidden="false" customHeight="false" outlineLevel="0" collapsed="false">
      <c r="A78" s="0" t="n">
        <v>1</v>
      </c>
      <c r="B78" s="0" t="n">
        <v>1143838419</v>
      </c>
      <c r="C78" s="0" t="n">
        <v>887</v>
      </c>
    </row>
    <row r="79" customFormat="false" ht="14.25" hidden="false" customHeight="false" outlineLevel="0" collapsed="false">
      <c r="A79" s="0" t="n">
        <v>1</v>
      </c>
      <c r="B79" s="0" t="n">
        <v>1144028170</v>
      </c>
      <c r="C79" s="0" t="n">
        <v>634</v>
      </c>
    </row>
    <row r="80" customFormat="false" ht="14.25" hidden="false" customHeight="false" outlineLevel="0" collapsed="false">
      <c r="A80" s="0" t="n">
        <v>1</v>
      </c>
      <c r="B80" s="0" t="n">
        <v>52708735</v>
      </c>
      <c r="C80" s="0" t="n">
        <v>694</v>
      </c>
    </row>
    <row r="81" customFormat="false" ht="14.25" hidden="false" customHeight="false" outlineLevel="0" collapsed="false">
      <c r="A81" s="0" t="n">
        <v>1</v>
      </c>
      <c r="B81" s="0" t="n">
        <v>67037654</v>
      </c>
      <c r="C81" s="0" t="n">
        <v>847</v>
      </c>
    </row>
    <row r="82" customFormat="false" ht="14.25" hidden="false" customHeight="false" outlineLevel="0" collapsed="false">
      <c r="A82" s="0" t="n">
        <v>1</v>
      </c>
      <c r="B82" s="0" t="n">
        <v>30323543</v>
      </c>
      <c r="C82" s="0" t="n">
        <v>927</v>
      </c>
    </row>
    <row r="83" customFormat="false" ht="14.25" hidden="false" customHeight="false" outlineLevel="0" collapsed="false">
      <c r="A83" s="0" t="n">
        <v>1</v>
      </c>
      <c r="B83" s="0" t="n">
        <v>29360578</v>
      </c>
      <c r="C83" s="0" t="n">
        <v>747</v>
      </c>
    </row>
    <row r="84" customFormat="false" ht="14.25" hidden="false" customHeight="false" outlineLevel="0" collapsed="false">
      <c r="A84" s="0" t="n">
        <v>1</v>
      </c>
      <c r="B84" s="0" t="n">
        <v>1130618816</v>
      </c>
      <c r="C84" s="0" t="n">
        <v>999</v>
      </c>
    </row>
    <row r="85" customFormat="false" ht="14.25" hidden="false" customHeight="false" outlineLevel="0" collapsed="false">
      <c r="A85" s="0" t="n">
        <v>1</v>
      </c>
      <c r="B85" s="0" t="n">
        <v>31711815</v>
      </c>
      <c r="C85" s="0" t="n">
        <v>803</v>
      </c>
    </row>
    <row r="86" customFormat="false" ht="14.25" hidden="false" customHeight="false" outlineLevel="0" collapsed="false">
      <c r="A86" s="0" t="n">
        <v>1</v>
      </c>
      <c r="B86" s="0" t="n">
        <v>1107087302</v>
      </c>
      <c r="C86" s="0" t="n">
        <v>686</v>
      </c>
    </row>
    <row r="87" customFormat="false" ht="14.25" hidden="false" customHeight="false" outlineLevel="0" collapsed="false">
      <c r="A87" s="0" t="n">
        <v>1</v>
      </c>
      <c r="B87" s="0" t="n">
        <v>1234189691</v>
      </c>
      <c r="C87" s="0" t="n">
        <v>787</v>
      </c>
    </row>
    <row r="88" customFormat="false" ht="14.25" hidden="false" customHeight="false" outlineLevel="0" collapsed="false">
      <c r="A88" s="0" t="n">
        <v>1</v>
      </c>
      <c r="B88" s="0" t="n">
        <v>1130654674</v>
      </c>
      <c r="C88" s="0" t="n">
        <v>646</v>
      </c>
    </row>
    <row r="89" customFormat="false" ht="14.25" hidden="false" customHeight="false" outlineLevel="0" collapsed="false">
      <c r="A89" s="0" t="n">
        <v>1</v>
      </c>
      <c r="B89" s="0" t="n">
        <v>24338540</v>
      </c>
      <c r="C89" s="0" t="n">
        <v>807</v>
      </c>
    </row>
    <row r="90" customFormat="false" ht="14.25" hidden="false" customHeight="false" outlineLevel="0" collapsed="false">
      <c r="A90" s="0" t="n">
        <v>1</v>
      </c>
      <c r="B90" s="0" t="n">
        <v>1143939888</v>
      </c>
      <c r="C90" s="0" t="n">
        <v>867</v>
      </c>
    </row>
    <row r="91" customFormat="false" ht="14.25" hidden="false" customHeight="false" outlineLevel="0" collapsed="false">
      <c r="A91" s="0" t="n">
        <v>1</v>
      </c>
      <c r="B91" s="0" t="n">
        <v>1107069840</v>
      </c>
      <c r="C91" s="0" t="n">
        <v>632</v>
      </c>
    </row>
    <row r="92" customFormat="false" ht="14.25" hidden="false" customHeight="false" outlineLevel="0" collapsed="false">
      <c r="A92" s="0" t="n">
        <v>1</v>
      </c>
      <c r="B92" s="0" t="n">
        <v>66999723</v>
      </c>
      <c r="C92" s="0" t="n">
        <v>494</v>
      </c>
    </row>
    <row r="93" customFormat="false" ht="14.25" hidden="false" customHeight="false" outlineLevel="0" collapsed="false">
      <c r="A93" s="0" t="n">
        <v>1</v>
      </c>
      <c r="B93" s="0" t="n">
        <v>38566344</v>
      </c>
      <c r="C93" s="0" t="n">
        <v>919</v>
      </c>
    </row>
    <row r="94" customFormat="false" ht="14.25" hidden="false" customHeight="false" outlineLevel="0" collapsed="false">
      <c r="A94" s="0" t="n">
        <v>1</v>
      </c>
      <c r="B94" s="0" t="n">
        <v>67030243</v>
      </c>
      <c r="C94" s="0" t="n">
        <v>825</v>
      </c>
    </row>
    <row r="95" customFormat="false" ht="14.25" hidden="false" customHeight="false" outlineLevel="0" collapsed="false">
      <c r="A95" s="0" t="n">
        <v>1</v>
      </c>
      <c r="B95" s="0" t="n">
        <v>11620559</v>
      </c>
      <c r="C95" s="0" t="n">
        <v>780</v>
      </c>
    </row>
    <row r="96" customFormat="false" ht="14.25" hidden="false" customHeight="false" outlineLevel="0" collapsed="false">
      <c r="A96" s="0" t="n">
        <v>1</v>
      </c>
      <c r="B96" s="0" t="n">
        <v>29679941</v>
      </c>
      <c r="C96" s="0" t="n">
        <v>902</v>
      </c>
    </row>
    <row r="97" customFormat="false" ht="14.25" hidden="false" customHeight="false" outlineLevel="0" collapsed="false">
      <c r="A97" s="0" t="n">
        <v>1</v>
      </c>
      <c r="B97" s="0" t="n">
        <v>25454154</v>
      </c>
      <c r="C97" s="0" t="n">
        <v>873</v>
      </c>
    </row>
    <row r="98" customFormat="false" ht="14.25" hidden="false" customHeight="false" outlineLevel="0" collapsed="false">
      <c r="A98" s="0" t="n">
        <v>1</v>
      </c>
      <c r="B98" s="0" t="n">
        <v>34613050</v>
      </c>
      <c r="C98" s="0" t="n">
        <v>747</v>
      </c>
    </row>
    <row r="99" customFormat="false" ht="14.25" hidden="false" customHeight="false" outlineLevel="0" collapsed="false">
      <c r="A99" s="0" t="n">
        <v>1</v>
      </c>
      <c r="B99" s="0" t="n">
        <v>1143939334</v>
      </c>
      <c r="C99" s="0" t="n">
        <v>686</v>
      </c>
    </row>
    <row r="100" customFormat="false" ht="14.25" hidden="false" customHeight="false" outlineLevel="0" collapsed="false">
      <c r="A100" s="0" t="n">
        <v>1</v>
      </c>
      <c r="B100" s="0" t="n">
        <v>1143949801</v>
      </c>
      <c r="C100" s="0" t="n">
        <v>594</v>
      </c>
    </row>
    <row r="101" customFormat="false" ht="14.25" hidden="false" customHeight="false" outlineLevel="0" collapsed="false">
      <c r="A101" s="0" t="n">
        <v>1</v>
      </c>
      <c r="B101" s="0" t="n">
        <v>1006171145</v>
      </c>
      <c r="C101" s="0" t="n">
        <v>779</v>
      </c>
    </row>
    <row r="102" customFormat="false" ht="14.25" hidden="false" customHeight="false" outlineLevel="0" collapsed="false">
      <c r="A102" s="0" t="n">
        <v>1</v>
      </c>
      <c r="B102" s="0" t="n">
        <v>1234191678</v>
      </c>
      <c r="C102" s="0" t="n">
        <v>632</v>
      </c>
    </row>
    <row r="103" customFormat="false" ht="14.25" hidden="false" customHeight="false" outlineLevel="0" collapsed="false">
      <c r="A103" s="0" t="n">
        <v>1</v>
      </c>
      <c r="B103" s="0" t="n">
        <v>1144170930</v>
      </c>
      <c r="C103" s="0" t="n">
        <v>686</v>
      </c>
    </row>
    <row r="104" customFormat="false" ht="14.25" hidden="false" customHeight="false" outlineLevel="0" collapsed="false">
      <c r="A104" s="0" t="n">
        <v>1</v>
      </c>
      <c r="B104" s="0" t="n">
        <v>1143863607</v>
      </c>
      <c r="C104" s="0" t="n">
        <v>872</v>
      </c>
    </row>
    <row r="105" customFormat="false" ht="14.25" hidden="false" customHeight="false" outlineLevel="0" collapsed="false">
      <c r="A105" s="0" t="n">
        <v>1</v>
      </c>
      <c r="B105" s="0" t="n">
        <v>38551019</v>
      </c>
      <c r="C105" s="0" t="n">
        <v>573</v>
      </c>
    </row>
    <row r="106" customFormat="false" ht="14.25" hidden="false" customHeight="false" outlineLevel="0" collapsed="false">
      <c r="A106" s="0" t="n">
        <v>1</v>
      </c>
      <c r="B106" s="0" t="n">
        <v>31843374</v>
      </c>
      <c r="C106" s="0" t="n">
        <v>885</v>
      </c>
    </row>
    <row r="107" customFormat="false" ht="14.25" hidden="false" customHeight="false" outlineLevel="0" collapsed="false">
      <c r="A107" s="0" t="n">
        <v>1</v>
      </c>
      <c r="B107" s="0" t="n">
        <v>31483756</v>
      </c>
      <c r="C107" s="0" t="n">
        <v>849</v>
      </c>
    </row>
    <row r="108" customFormat="false" ht="14.25" hidden="false" customHeight="false" outlineLevel="0" collapsed="false">
      <c r="A108" s="0" t="n">
        <v>1</v>
      </c>
      <c r="B108" s="0" t="n">
        <v>66953774</v>
      </c>
      <c r="C108" s="0" t="n">
        <v>747</v>
      </c>
    </row>
    <row r="109" customFormat="false" ht="14.25" hidden="false" customHeight="false" outlineLevel="0" collapsed="false">
      <c r="A109" s="0" t="n">
        <v>1</v>
      </c>
      <c r="B109" s="0" t="n">
        <v>1143875698</v>
      </c>
      <c r="C109" s="0" t="n">
        <v>754</v>
      </c>
    </row>
    <row r="110" customFormat="false" ht="14.25" hidden="false" customHeight="false" outlineLevel="0" collapsed="false">
      <c r="A110" s="0" t="n">
        <v>1</v>
      </c>
      <c r="B110" s="0" t="n">
        <v>31878122</v>
      </c>
      <c r="C110" s="0" t="n">
        <v>933</v>
      </c>
    </row>
    <row r="111" customFormat="false" ht="14.25" hidden="false" customHeight="false" outlineLevel="0" collapsed="false">
      <c r="A111" s="0" t="n">
        <v>1</v>
      </c>
      <c r="B111" s="0" t="n">
        <v>1010086359</v>
      </c>
      <c r="C111" s="0" t="n">
        <v>828</v>
      </c>
    </row>
    <row r="112" customFormat="false" ht="14.25" hidden="false" customHeight="false" outlineLevel="0" collapsed="false">
      <c r="A112" s="0" t="n">
        <v>1</v>
      </c>
      <c r="B112" s="0" t="n">
        <v>1144041392</v>
      </c>
      <c r="C112" s="0" t="n">
        <v>632</v>
      </c>
    </row>
    <row r="113" customFormat="false" ht="14.25" hidden="false" customHeight="false" outlineLevel="0" collapsed="false">
      <c r="A113" s="0" t="n">
        <v>1</v>
      </c>
      <c r="B113" s="0" t="n">
        <v>1044423154</v>
      </c>
      <c r="C113" s="0" t="n">
        <v>783</v>
      </c>
    </row>
    <row r="114" customFormat="false" ht="14.25" hidden="false" customHeight="false" outlineLevel="0" collapsed="false">
      <c r="A114" s="0" t="n">
        <v>1</v>
      </c>
      <c r="B114" s="0" t="n">
        <v>38568611</v>
      </c>
      <c r="C114" s="0" t="n">
        <v>696</v>
      </c>
    </row>
    <row r="115" customFormat="false" ht="14.25" hidden="false" customHeight="false" outlineLevel="0" collapsed="false">
      <c r="A115" s="0" t="n">
        <v>1</v>
      </c>
      <c r="B115" s="0" t="n">
        <v>1113533532</v>
      </c>
      <c r="C115" s="0" t="n">
        <v>494</v>
      </c>
    </row>
    <row r="116" customFormat="false" ht="14.25" hidden="false" customHeight="false" outlineLevel="0" collapsed="false">
      <c r="A116" s="0" t="n">
        <v>1</v>
      </c>
      <c r="B116" s="0" t="n">
        <v>66656655</v>
      </c>
      <c r="C116" s="0" t="n">
        <v>999</v>
      </c>
    </row>
    <row r="117" customFormat="false" ht="14.25" hidden="false" customHeight="false" outlineLevel="0" collapsed="false">
      <c r="A117" s="0" t="n">
        <v>1</v>
      </c>
      <c r="B117" s="0" t="n">
        <v>38683813</v>
      </c>
      <c r="C117" s="0" t="n">
        <v>888</v>
      </c>
    </row>
    <row r="118" customFormat="false" ht="14.25" hidden="false" customHeight="false" outlineLevel="0" collapsed="false">
      <c r="A118" s="0" t="n">
        <v>1</v>
      </c>
      <c r="B118" s="0" t="n">
        <v>1144185994</v>
      </c>
      <c r="C118" s="0" t="n">
        <v>875</v>
      </c>
    </row>
    <row r="119" customFormat="false" ht="14.25" hidden="false" customHeight="false" outlineLevel="0" collapsed="false">
      <c r="A119" s="0" t="n">
        <v>1</v>
      </c>
      <c r="B119" s="0" t="n">
        <v>1143968126</v>
      </c>
      <c r="C119" s="0" t="n">
        <v>687</v>
      </c>
    </row>
    <row r="120" customFormat="false" ht="14.25" hidden="false" customHeight="false" outlineLevel="0" collapsed="false">
      <c r="A120" s="0" t="n">
        <v>1</v>
      </c>
      <c r="B120" s="0" t="n">
        <v>1085259520</v>
      </c>
      <c r="C120" s="0" t="n">
        <v>824</v>
      </c>
    </row>
    <row r="121" customFormat="false" ht="14.25" hidden="false" customHeight="false" outlineLevel="0" collapsed="false">
      <c r="A121" s="0" t="n">
        <v>1</v>
      </c>
      <c r="B121" s="0" t="n">
        <v>1116442637</v>
      </c>
      <c r="C121" s="0" t="n">
        <v>684</v>
      </c>
    </row>
    <row r="122" customFormat="false" ht="14.25" hidden="false" customHeight="false" outlineLevel="0" collapsed="false">
      <c r="A122" s="0" t="n">
        <v>1</v>
      </c>
      <c r="B122" s="0" t="n">
        <v>1143964209</v>
      </c>
      <c r="C122" s="0" t="n">
        <v>818</v>
      </c>
    </row>
    <row r="123" customFormat="false" ht="14.25" hidden="false" customHeight="false" outlineLevel="0" collapsed="false">
      <c r="A123" s="0" t="n">
        <v>1</v>
      </c>
      <c r="B123" s="0" t="n">
        <v>1061986499</v>
      </c>
      <c r="C123" s="0" t="n">
        <v>638</v>
      </c>
    </row>
    <row r="124" customFormat="false" ht="14.25" hidden="false" customHeight="false" outlineLevel="0" collapsed="false">
      <c r="A124" s="0" t="n">
        <v>1</v>
      </c>
      <c r="B124" s="0" t="n">
        <v>32350689</v>
      </c>
      <c r="C124" s="0" t="n">
        <v>927</v>
      </c>
    </row>
    <row r="125" customFormat="false" ht="14.25" hidden="false" customHeight="false" outlineLevel="0" collapsed="false">
      <c r="A125" s="0" t="n">
        <v>1</v>
      </c>
      <c r="B125" s="0" t="n">
        <v>1127939089</v>
      </c>
      <c r="C125" s="0" t="n">
        <v>797</v>
      </c>
    </row>
    <row r="126" customFormat="false" ht="14.25" hidden="false" customHeight="false" outlineLevel="0" collapsed="false">
      <c r="A126" s="0" t="n">
        <v>1</v>
      </c>
      <c r="B126" s="0" t="n">
        <v>1192910903</v>
      </c>
      <c r="C126" s="0" t="n">
        <v>632</v>
      </c>
    </row>
    <row r="127" customFormat="false" ht="14.25" hidden="false" customHeight="false" outlineLevel="0" collapsed="false">
      <c r="A127" s="0" t="n">
        <v>1</v>
      </c>
      <c r="B127" s="0" t="n">
        <v>31974020</v>
      </c>
      <c r="C127" s="0" t="n">
        <v>621</v>
      </c>
    </row>
    <row r="128" customFormat="false" ht="14.25" hidden="false" customHeight="false" outlineLevel="0" collapsed="false">
      <c r="A128" s="0" t="n">
        <v>1</v>
      </c>
      <c r="B128" s="0" t="n">
        <v>1144171743</v>
      </c>
      <c r="C128" s="0" t="n">
        <v>573</v>
      </c>
    </row>
    <row r="129" customFormat="false" ht="14.25" hidden="false" customHeight="false" outlineLevel="0" collapsed="false">
      <c r="A129" s="0" t="n">
        <v>1</v>
      </c>
      <c r="B129" s="0" t="n">
        <v>1144187352</v>
      </c>
      <c r="C129" s="0" t="n">
        <v>737</v>
      </c>
    </row>
    <row r="130" customFormat="false" ht="14.25" hidden="false" customHeight="false" outlineLevel="0" collapsed="false">
      <c r="A130" s="0" t="n">
        <v>1</v>
      </c>
      <c r="B130" s="0" t="n">
        <v>1144057157</v>
      </c>
      <c r="C130" s="0" t="n">
        <v>729</v>
      </c>
    </row>
    <row r="131" customFormat="false" ht="14.25" hidden="false" customHeight="false" outlineLevel="0" collapsed="false">
      <c r="A131" s="0" t="n">
        <v>1</v>
      </c>
      <c r="B131" s="0" t="n">
        <v>1152458312</v>
      </c>
      <c r="C131" s="0" t="n">
        <v>819</v>
      </c>
    </row>
    <row r="132" customFormat="false" ht="14.25" hidden="false" customHeight="false" outlineLevel="0" collapsed="false">
      <c r="A132" s="0" t="n">
        <v>1</v>
      </c>
      <c r="B132" s="0" t="n">
        <v>29106583</v>
      </c>
      <c r="C132" s="0" t="n">
        <v>749</v>
      </c>
    </row>
    <row r="133" customFormat="false" ht="14.25" hidden="false" customHeight="false" outlineLevel="0" collapsed="false">
      <c r="A133" s="0" t="n">
        <v>1</v>
      </c>
      <c r="B133" s="0" t="n">
        <v>1144032127</v>
      </c>
      <c r="C133" s="0" t="n">
        <v>921</v>
      </c>
    </row>
    <row r="134" customFormat="false" ht="14.25" hidden="false" customHeight="false" outlineLevel="0" collapsed="false">
      <c r="A134" s="0" t="n">
        <v>1</v>
      </c>
      <c r="B134" s="0" t="n">
        <v>1114821052</v>
      </c>
      <c r="C134" s="0" t="n">
        <v>698</v>
      </c>
    </row>
    <row r="135" customFormat="false" ht="14.25" hidden="false" customHeight="false" outlineLevel="0" collapsed="false">
      <c r="A135" s="0" t="n">
        <v>1</v>
      </c>
      <c r="B135" s="0" t="n">
        <v>1127218494</v>
      </c>
      <c r="C135" s="0" t="n">
        <v>686</v>
      </c>
    </row>
    <row r="136" customFormat="false" ht="14.25" hidden="false" customHeight="false" outlineLevel="0" collapsed="false">
      <c r="A136" s="0" t="n">
        <v>1</v>
      </c>
      <c r="B136" s="0" t="n">
        <v>67025218</v>
      </c>
      <c r="C136" s="0" t="n">
        <v>891</v>
      </c>
    </row>
    <row r="137" customFormat="false" ht="14.25" hidden="false" customHeight="false" outlineLevel="0" collapsed="false">
      <c r="A137" s="0" t="n">
        <v>1</v>
      </c>
      <c r="B137" s="0" t="n">
        <v>31308604</v>
      </c>
      <c r="C137" s="0" t="n">
        <v>665</v>
      </c>
    </row>
    <row r="138" customFormat="false" ht="14.25" hidden="false" customHeight="false" outlineLevel="0" collapsed="false">
      <c r="A138" s="0" t="n">
        <v>1</v>
      </c>
      <c r="B138" s="0" t="n">
        <v>14797927</v>
      </c>
      <c r="C138" s="0" t="n">
        <v>925</v>
      </c>
    </row>
    <row r="139" customFormat="false" ht="14.25" hidden="false" customHeight="false" outlineLevel="0" collapsed="false">
      <c r="A139" s="0" t="n">
        <v>1</v>
      </c>
      <c r="B139" s="0" t="n">
        <v>1144043829</v>
      </c>
      <c r="C139" s="0" t="n">
        <v>857</v>
      </c>
    </row>
    <row r="140" customFormat="false" ht="14.25" hidden="false" customHeight="false" outlineLevel="0" collapsed="false">
      <c r="A140" s="0" t="n">
        <v>1</v>
      </c>
      <c r="B140" s="0" t="n">
        <v>38463310</v>
      </c>
      <c r="C140" s="0" t="n">
        <v>705</v>
      </c>
    </row>
    <row r="141" customFormat="false" ht="14.25" hidden="false" customHeight="false" outlineLevel="0" collapsed="false">
      <c r="A141" s="0" t="n">
        <v>1</v>
      </c>
      <c r="B141" s="0" t="n">
        <v>94529453</v>
      </c>
      <c r="C141" s="0" t="n">
        <v>648</v>
      </c>
    </row>
    <row r="142" customFormat="false" ht="14.25" hidden="false" customHeight="false" outlineLevel="0" collapsed="false">
      <c r="A142" s="0" t="n">
        <v>1</v>
      </c>
      <c r="B142" s="0" t="n">
        <v>1143854954</v>
      </c>
      <c r="C142" s="0" t="n">
        <v>899</v>
      </c>
    </row>
    <row r="143" customFormat="false" ht="14.25" hidden="false" customHeight="false" outlineLevel="0" collapsed="false">
      <c r="A143" s="0" t="n">
        <v>1</v>
      </c>
      <c r="B143" s="0" t="n">
        <v>1192747716</v>
      </c>
      <c r="C143" s="0" t="n">
        <v>330</v>
      </c>
    </row>
    <row r="144" customFormat="false" ht="14.25" hidden="false" customHeight="false" outlineLevel="0" collapsed="false">
      <c r="A144" s="0" t="n">
        <v>1</v>
      </c>
      <c r="B144" s="0" t="n">
        <v>55151378</v>
      </c>
      <c r="C144" s="0" t="n">
        <v>884</v>
      </c>
    </row>
    <row r="145" customFormat="false" ht="14.25" hidden="false" customHeight="false" outlineLevel="0" collapsed="false">
      <c r="A145" s="0" t="n">
        <v>1</v>
      </c>
      <c r="B145" s="0" t="n">
        <v>66918633</v>
      </c>
      <c r="C145" s="0" t="n">
        <v>884</v>
      </c>
    </row>
    <row r="146" customFormat="false" ht="14.25" hidden="false" customHeight="false" outlineLevel="0" collapsed="false">
      <c r="A146" s="0" t="n">
        <v>1</v>
      </c>
      <c r="B146" s="0" t="n">
        <v>31532035</v>
      </c>
      <c r="C146" s="0" t="n">
        <v>995</v>
      </c>
    </row>
    <row r="147" customFormat="false" ht="14.25" hidden="false" customHeight="false" outlineLevel="0" collapsed="false">
      <c r="A147" s="0" t="n">
        <v>1</v>
      </c>
      <c r="B147" s="0" t="n">
        <v>1151947941</v>
      </c>
      <c r="C147" s="0" t="n">
        <v>677</v>
      </c>
    </row>
    <row r="148" customFormat="false" ht="14.25" hidden="false" customHeight="false" outlineLevel="0" collapsed="false">
      <c r="A148" s="0" t="n">
        <v>1</v>
      </c>
      <c r="B148" s="0" t="n">
        <v>1130599537</v>
      </c>
      <c r="C148" s="0" t="n">
        <v>792</v>
      </c>
    </row>
    <row r="149" customFormat="false" ht="14.25" hidden="false" customHeight="false" outlineLevel="0" collapsed="false">
      <c r="A149" s="0" t="n">
        <v>1</v>
      </c>
      <c r="B149" s="0" t="n">
        <v>1234196269</v>
      </c>
      <c r="C149" s="0" t="n">
        <v>882</v>
      </c>
    </row>
    <row r="150" customFormat="false" ht="14.25" hidden="false" customHeight="false" outlineLevel="0" collapsed="false">
      <c r="A150" s="0" t="n">
        <v>1</v>
      </c>
      <c r="B150" s="0" t="n">
        <v>1143117018</v>
      </c>
      <c r="C150" s="0" t="n">
        <v>536</v>
      </c>
    </row>
    <row r="151" customFormat="false" ht="14.25" hidden="false" customHeight="false" outlineLevel="0" collapsed="false">
      <c r="A151" s="0" t="n">
        <v>1</v>
      </c>
      <c r="B151" s="0" t="n">
        <v>1130588194</v>
      </c>
      <c r="C151" s="0" t="n">
        <v>796</v>
      </c>
    </row>
    <row r="152" customFormat="false" ht="14.25" hidden="false" customHeight="false" outlineLevel="0" collapsed="false">
      <c r="A152" s="0" t="n">
        <v>1</v>
      </c>
      <c r="B152" s="0" t="n">
        <v>31942712</v>
      </c>
      <c r="C152" s="0" t="n">
        <v>686</v>
      </c>
    </row>
    <row r="153" customFormat="false" ht="14.25" hidden="false" customHeight="false" outlineLevel="0" collapsed="false">
      <c r="A153" s="0" t="n">
        <v>1</v>
      </c>
      <c r="B153" s="0" t="n">
        <v>22665545</v>
      </c>
      <c r="C153" s="0" t="n">
        <v>686</v>
      </c>
    </row>
    <row r="154" customFormat="false" ht="14.25" hidden="false" customHeight="false" outlineLevel="0" collapsed="false">
      <c r="A154" s="0" t="n">
        <v>1</v>
      </c>
      <c r="B154" s="0" t="n">
        <v>41957474</v>
      </c>
      <c r="C154" s="0" t="n">
        <v>885</v>
      </c>
    </row>
    <row r="155" customFormat="false" ht="14.25" hidden="false" customHeight="false" outlineLevel="0" collapsed="false">
      <c r="A155" s="0" t="n">
        <v>1</v>
      </c>
      <c r="B155" s="0" t="n">
        <v>94556574</v>
      </c>
      <c r="C155" s="0" t="n">
        <v>647</v>
      </c>
    </row>
    <row r="156" customFormat="false" ht="14.25" hidden="false" customHeight="false" outlineLevel="0" collapsed="false">
      <c r="A156" s="0" t="n">
        <v>1</v>
      </c>
      <c r="B156" s="0" t="n">
        <v>1115421594</v>
      </c>
      <c r="C156" s="0" t="n">
        <v>741</v>
      </c>
    </row>
    <row r="157" customFormat="false" ht="14.25" hidden="false" customHeight="false" outlineLevel="0" collapsed="false">
      <c r="A157" s="0" t="n">
        <v>1</v>
      </c>
      <c r="B157" s="0" t="n">
        <v>1143844512</v>
      </c>
      <c r="C157" s="0" t="n">
        <v>824</v>
      </c>
    </row>
    <row r="158" customFormat="false" ht="14.25" hidden="false" customHeight="false" outlineLevel="0" collapsed="false">
      <c r="A158" s="0" t="n">
        <v>1</v>
      </c>
      <c r="B158" s="0" t="n">
        <v>1006182264</v>
      </c>
      <c r="C158" s="0" t="n">
        <v>799</v>
      </c>
    </row>
    <row r="159" customFormat="false" ht="14.25" hidden="false" customHeight="false" outlineLevel="0" collapsed="false">
      <c r="A159" s="0" t="n">
        <v>1</v>
      </c>
      <c r="B159" s="0" t="n">
        <v>1118300104</v>
      </c>
      <c r="C159" s="0" t="n">
        <v>842</v>
      </c>
    </row>
    <row r="160" customFormat="false" ht="14.25" hidden="false" customHeight="false" outlineLevel="0" collapsed="false">
      <c r="A160" s="0" t="n">
        <v>1</v>
      </c>
      <c r="B160" s="0" t="n">
        <v>1087185676</v>
      </c>
      <c r="C160" s="0" t="n">
        <v>726</v>
      </c>
    </row>
    <row r="161" customFormat="false" ht="14.25" hidden="false" customHeight="false" outlineLevel="0" collapsed="false">
      <c r="A161" s="0" t="n">
        <v>1</v>
      </c>
      <c r="B161" s="0" t="n">
        <v>1144071455</v>
      </c>
      <c r="C161" s="0" t="n">
        <v>783</v>
      </c>
    </row>
    <row r="162" customFormat="false" ht="14.25" hidden="false" customHeight="false" outlineLevel="0" collapsed="false">
      <c r="A162" s="0" t="n">
        <v>1</v>
      </c>
      <c r="B162" s="0" t="n">
        <v>38287868</v>
      </c>
      <c r="C162" s="0" t="n">
        <v>786</v>
      </c>
    </row>
    <row r="163" customFormat="false" ht="14.25" hidden="false" customHeight="false" outlineLevel="0" collapsed="false">
      <c r="A163" s="0" t="n">
        <v>1</v>
      </c>
      <c r="B163" s="0" t="n">
        <v>1010149247</v>
      </c>
      <c r="C163" s="0" t="n">
        <v>694</v>
      </c>
    </row>
    <row r="164" customFormat="false" ht="14.25" hidden="false" customHeight="false" outlineLevel="0" collapsed="false">
      <c r="A164" s="0" t="n">
        <v>1</v>
      </c>
      <c r="B164" s="0" t="n">
        <v>1113779883</v>
      </c>
      <c r="C164" s="0" t="n">
        <v>785</v>
      </c>
    </row>
    <row r="165" customFormat="false" ht="14.25" hidden="false" customHeight="false" outlineLevel="0" collapsed="false">
      <c r="A165" s="0" t="n">
        <v>1</v>
      </c>
      <c r="B165" s="0" t="n">
        <v>94412295</v>
      </c>
      <c r="C165" s="0" t="n">
        <v>961</v>
      </c>
    </row>
    <row r="166" customFormat="false" ht="14.25" hidden="false" customHeight="false" outlineLevel="0" collapsed="false">
      <c r="A166" s="0" t="n">
        <v>1</v>
      </c>
      <c r="B166" s="0" t="n">
        <v>94526922</v>
      </c>
      <c r="C166" s="0" t="n">
        <v>611</v>
      </c>
    </row>
    <row r="167" customFormat="false" ht="14.25" hidden="false" customHeight="false" outlineLevel="0" collapsed="false">
      <c r="A167" s="0" t="n">
        <v>1</v>
      </c>
      <c r="B167" s="0" t="n">
        <v>1144152032</v>
      </c>
      <c r="C167" s="0" t="n">
        <v>663</v>
      </c>
    </row>
    <row r="168" customFormat="false" ht="14.25" hidden="false" customHeight="false" outlineLevel="0" collapsed="false">
      <c r="A168" s="0" t="n">
        <v>1</v>
      </c>
      <c r="B168" s="0" t="n">
        <v>66875234</v>
      </c>
      <c r="C168" s="0" t="n">
        <v>932</v>
      </c>
    </row>
    <row r="169" customFormat="false" ht="14.25" hidden="false" customHeight="false" outlineLevel="0" collapsed="false">
      <c r="A169" s="0" t="n">
        <v>1</v>
      </c>
      <c r="B169" s="0" t="n">
        <v>94491699</v>
      </c>
      <c r="C169" s="0" t="n">
        <v>999</v>
      </c>
    </row>
    <row r="170" customFormat="false" ht="14.25" hidden="false" customHeight="false" outlineLevel="0" collapsed="false">
      <c r="A170" s="0" t="n">
        <v>1</v>
      </c>
      <c r="B170" s="0" t="n">
        <v>1151969735</v>
      </c>
      <c r="C170" s="0" t="n">
        <v>677</v>
      </c>
    </row>
    <row r="171" customFormat="false" ht="14.25" hidden="false" customHeight="false" outlineLevel="0" collapsed="false">
      <c r="A171" s="0" t="n">
        <v>1</v>
      </c>
      <c r="B171" s="0" t="n">
        <v>60328704</v>
      </c>
      <c r="C171" s="0" t="n">
        <v>897</v>
      </c>
    </row>
    <row r="172" customFormat="false" ht="14.25" hidden="false" customHeight="false" outlineLevel="0" collapsed="false">
      <c r="A172" s="0" t="n">
        <v>1</v>
      </c>
      <c r="B172" s="0" t="n">
        <v>1053788277</v>
      </c>
      <c r="C172" s="0" t="n">
        <v>764</v>
      </c>
    </row>
    <row r="173" customFormat="false" ht="14.25" hidden="false" customHeight="false" outlineLevel="0" collapsed="false">
      <c r="A173" s="0" t="n">
        <v>1</v>
      </c>
      <c r="B173" s="0" t="n">
        <v>1107510274</v>
      </c>
      <c r="C173" s="0" t="n">
        <v>667</v>
      </c>
    </row>
    <row r="174" customFormat="false" ht="14.25" hidden="false" customHeight="false" outlineLevel="0" collapsed="false">
      <c r="A174" s="0" t="n">
        <v>1</v>
      </c>
      <c r="B174" s="0" t="n">
        <v>1151966662</v>
      </c>
      <c r="C174" s="0" t="n">
        <v>732</v>
      </c>
    </row>
    <row r="175" customFormat="false" ht="14.25" hidden="false" customHeight="false" outlineLevel="0" collapsed="false">
      <c r="A175" s="0" t="n">
        <v>1</v>
      </c>
      <c r="B175" s="0" t="n">
        <v>1143874967</v>
      </c>
      <c r="C175" s="0" t="n">
        <v>744</v>
      </c>
    </row>
    <row r="176" customFormat="false" ht="14.25" hidden="false" customHeight="false" outlineLevel="0" collapsed="false">
      <c r="A176" s="0" t="n">
        <v>1</v>
      </c>
      <c r="B176" s="0" t="n">
        <v>1054997916</v>
      </c>
      <c r="C176" s="0" t="n">
        <v>611</v>
      </c>
    </row>
    <row r="177" customFormat="false" ht="14.25" hidden="false" customHeight="false" outlineLevel="0" collapsed="false">
      <c r="A177" s="0" t="n">
        <v>1</v>
      </c>
      <c r="B177" s="0" t="n">
        <v>66833280</v>
      </c>
      <c r="C177" s="0" t="n">
        <v>913</v>
      </c>
    </row>
    <row r="178" customFormat="false" ht="14.25" hidden="false" customHeight="false" outlineLevel="0" collapsed="false">
      <c r="A178" s="0" t="n">
        <v>1</v>
      </c>
      <c r="B178" s="0" t="n">
        <v>67000840</v>
      </c>
      <c r="C178" s="0" t="n">
        <v>780</v>
      </c>
    </row>
    <row r="179" customFormat="false" ht="14.25" hidden="false" customHeight="false" outlineLevel="0" collapsed="false">
      <c r="A179" s="0" t="n">
        <v>1</v>
      </c>
      <c r="B179" s="0" t="n">
        <v>1113658300</v>
      </c>
      <c r="C179" s="0" t="n">
        <v>619</v>
      </c>
    </row>
    <row r="180" customFormat="false" ht="14.25" hidden="false" customHeight="false" outlineLevel="0" collapsed="false">
      <c r="A180" s="0" t="n">
        <v>1</v>
      </c>
      <c r="B180" s="0" t="n">
        <v>1130640618</v>
      </c>
      <c r="C180" s="0" t="n">
        <v>663</v>
      </c>
    </row>
    <row r="181" customFormat="false" ht="14.25" hidden="false" customHeight="false" outlineLevel="0" collapsed="false">
      <c r="A181" s="0" t="n">
        <v>1</v>
      </c>
      <c r="B181" s="0" t="n">
        <v>10285994</v>
      </c>
      <c r="C181" s="0" t="n">
        <v>957</v>
      </c>
    </row>
    <row r="182" customFormat="false" ht="14.25" hidden="false" customHeight="false" outlineLevel="0" collapsed="false">
      <c r="A182" s="0" t="n">
        <v>1</v>
      </c>
      <c r="B182" s="0" t="n">
        <v>31574768</v>
      </c>
      <c r="C182" s="0" t="n">
        <v>985</v>
      </c>
    </row>
    <row r="183" customFormat="false" ht="14.25" hidden="false" customHeight="false" outlineLevel="0" collapsed="false">
      <c r="A183" s="0" t="n">
        <v>1</v>
      </c>
      <c r="B183" s="0" t="n">
        <v>1144035049</v>
      </c>
      <c r="C183" s="0" t="n">
        <v>999</v>
      </c>
    </row>
    <row r="184" customFormat="false" ht="14.25" hidden="false" customHeight="false" outlineLevel="0" collapsed="false">
      <c r="A184" s="0" t="n">
        <v>1</v>
      </c>
      <c r="B184" s="0" t="n">
        <v>94494552</v>
      </c>
      <c r="C184" s="0" t="n">
        <v>839</v>
      </c>
    </row>
    <row r="185" customFormat="false" ht="14.25" hidden="false" customHeight="false" outlineLevel="0" collapsed="false">
      <c r="A185" s="0" t="n">
        <v>1</v>
      </c>
      <c r="B185" s="0" t="n">
        <v>66852905</v>
      </c>
      <c r="C185" s="0" t="n">
        <v>910</v>
      </c>
    </row>
    <row r="186" customFormat="false" ht="14.25" hidden="false" customHeight="false" outlineLevel="0" collapsed="false">
      <c r="A186" s="0" t="n">
        <v>1</v>
      </c>
      <c r="B186" s="0" t="n">
        <v>1113692973</v>
      </c>
      <c r="C186" s="0" t="n">
        <v>811</v>
      </c>
    </row>
    <row r="187" customFormat="false" ht="14.25" hidden="false" customHeight="false" outlineLevel="0" collapsed="false">
      <c r="A187" s="0" t="n">
        <v>1</v>
      </c>
      <c r="B187" s="0" t="n">
        <v>1005966057</v>
      </c>
      <c r="C187" s="0" t="n">
        <v>677</v>
      </c>
    </row>
    <row r="188" customFormat="false" ht="14.25" hidden="false" customHeight="false" outlineLevel="0" collapsed="false">
      <c r="A188" s="0" t="n">
        <v>1</v>
      </c>
      <c r="B188" s="0" t="n">
        <v>1144193870</v>
      </c>
      <c r="C188" s="0" t="n">
        <v>665</v>
      </c>
    </row>
    <row r="189" customFormat="false" ht="14.25" hidden="false" customHeight="false" outlineLevel="0" collapsed="false">
      <c r="A189" s="0" t="n">
        <v>1</v>
      </c>
      <c r="B189" s="0" t="n">
        <v>1107507036</v>
      </c>
      <c r="C189" s="0" t="n">
        <v>532</v>
      </c>
    </row>
    <row r="190" customFormat="false" ht="14.25" hidden="false" customHeight="false" outlineLevel="0" collapsed="false">
      <c r="A190" s="0" t="n">
        <v>1</v>
      </c>
      <c r="B190" s="0" t="n">
        <v>1144080755</v>
      </c>
      <c r="C190" s="0" t="n">
        <v>657</v>
      </c>
    </row>
    <row r="191" customFormat="false" ht="14.25" hidden="false" customHeight="false" outlineLevel="0" collapsed="false">
      <c r="A191" s="0" t="n">
        <v>1</v>
      </c>
      <c r="B191" s="0" t="n">
        <v>1118308441</v>
      </c>
      <c r="C191" s="0" t="n">
        <v>680</v>
      </c>
    </row>
    <row r="192" customFormat="false" ht="14.25" hidden="false" customHeight="false" outlineLevel="0" collapsed="false">
      <c r="A192" s="0" t="n">
        <v>1</v>
      </c>
      <c r="B192" s="0" t="n">
        <v>6537914</v>
      </c>
      <c r="C192" s="0" t="n">
        <v>907</v>
      </c>
    </row>
    <row r="193" customFormat="false" ht="14.25" hidden="false" customHeight="false" outlineLevel="0" collapsed="false">
      <c r="A193" s="0" t="n">
        <v>1</v>
      </c>
      <c r="B193" s="0" t="n">
        <v>1130585077</v>
      </c>
      <c r="C193" s="0" t="n">
        <v>686</v>
      </c>
    </row>
    <row r="194" customFormat="false" ht="14.25" hidden="false" customHeight="false" outlineLevel="0" collapsed="false">
      <c r="A194" s="0" t="n">
        <v>1</v>
      </c>
      <c r="B194" s="0" t="n">
        <v>1130617701</v>
      </c>
      <c r="C194" s="0" t="n">
        <v>861</v>
      </c>
    </row>
    <row r="195" customFormat="false" ht="14.25" hidden="false" customHeight="false" outlineLevel="0" collapsed="false">
      <c r="A195" s="0" t="n">
        <v>1</v>
      </c>
      <c r="B195" s="0" t="n">
        <v>16285415</v>
      </c>
      <c r="C195" s="0" t="n">
        <v>621</v>
      </c>
    </row>
    <row r="196" customFormat="false" ht="14.25" hidden="false" customHeight="false" outlineLevel="0" collapsed="false">
      <c r="A196" s="0" t="n">
        <v>1</v>
      </c>
      <c r="B196" s="0" t="n">
        <v>66809436</v>
      </c>
      <c r="C196" s="0" t="n">
        <v>821</v>
      </c>
    </row>
    <row r="197" customFormat="false" ht="14.25" hidden="false" customHeight="false" outlineLevel="0" collapsed="false">
      <c r="A197" s="0" t="n">
        <v>1</v>
      </c>
      <c r="B197" s="0" t="n">
        <v>38601635</v>
      </c>
      <c r="C197" s="0" t="n">
        <v>792</v>
      </c>
    </row>
    <row r="198" customFormat="false" ht="14.25" hidden="false" customHeight="false" outlineLevel="0" collapsed="false">
      <c r="A198" s="0" t="n">
        <v>1</v>
      </c>
      <c r="B198" s="0" t="n">
        <v>16786534</v>
      </c>
      <c r="C198" s="0" t="n">
        <v>762</v>
      </c>
    </row>
    <row r="199" customFormat="false" ht="14.25" hidden="false" customHeight="false" outlineLevel="0" collapsed="false">
      <c r="A199" s="0" t="n">
        <v>1</v>
      </c>
      <c r="B199" s="0" t="n">
        <v>16699405</v>
      </c>
      <c r="C199" s="0" t="n">
        <v>858</v>
      </c>
    </row>
    <row r="200" customFormat="false" ht="14.25" hidden="false" customHeight="false" outlineLevel="0" collapsed="false">
      <c r="A200" s="0" t="n">
        <v>1</v>
      </c>
      <c r="B200" s="0" t="n">
        <v>1144061341</v>
      </c>
      <c r="C200" s="0" t="n">
        <v>808</v>
      </c>
    </row>
    <row r="201" customFormat="false" ht="14.25" hidden="false" customHeight="false" outlineLevel="0" collapsed="false">
      <c r="A201" s="0" t="n">
        <v>1</v>
      </c>
      <c r="B201" s="0" t="n">
        <v>1193236208</v>
      </c>
      <c r="C201" s="0" t="n">
        <v>818</v>
      </c>
    </row>
    <row r="202" customFormat="false" ht="14.25" hidden="false" customHeight="false" outlineLevel="0" collapsed="false">
      <c r="A202" s="0" t="n">
        <v>1</v>
      </c>
      <c r="B202" s="0" t="n">
        <v>1113695768</v>
      </c>
      <c r="C202" s="0" t="n">
        <v>486</v>
      </c>
    </row>
    <row r="203" customFormat="false" ht="14.25" hidden="false" customHeight="false" outlineLevel="0" collapsed="false">
      <c r="A203" s="0" t="n">
        <v>1</v>
      </c>
      <c r="B203" s="0" t="n">
        <v>1144052978</v>
      </c>
      <c r="C203" s="0" t="n">
        <v>862</v>
      </c>
    </row>
    <row r="204" customFormat="false" ht="14.25" hidden="false" customHeight="false" outlineLevel="0" collapsed="false">
      <c r="A204" s="0" t="n">
        <v>1</v>
      </c>
      <c r="B204" s="0" t="n">
        <v>30744172</v>
      </c>
      <c r="C204" s="0" t="n">
        <v>914</v>
      </c>
    </row>
    <row r="205" customFormat="false" ht="14.25" hidden="false" customHeight="false" outlineLevel="0" collapsed="false">
      <c r="A205" s="0" t="n">
        <v>1</v>
      </c>
      <c r="B205" s="0" t="n">
        <v>1061720192</v>
      </c>
      <c r="C205" s="0" t="n">
        <v>744</v>
      </c>
    </row>
    <row r="206" customFormat="false" ht="14.25" hidden="false" customHeight="false" outlineLevel="0" collapsed="false">
      <c r="A206" s="0" t="n">
        <v>1</v>
      </c>
      <c r="B206" s="0" t="n">
        <v>1151944557</v>
      </c>
      <c r="C206" s="0" t="n">
        <v>842</v>
      </c>
    </row>
    <row r="207" customFormat="false" ht="14.25" hidden="false" customHeight="false" outlineLevel="0" collapsed="false">
      <c r="A207" s="0" t="n">
        <v>1</v>
      </c>
      <c r="B207" s="0" t="n">
        <v>67006115</v>
      </c>
      <c r="C207" s="0" t="n">
        <v>747</v>
      </c>
    </row>
    <row r="208" customFormat="false" ht="14.25" hidden="false" customHeight="false" outlineLevel="0" collapsed="false">
      <c r="A208" s="0" t="n">
        <v>1</v>
      </c>
      <c r="B208" s="0" t="n">
        <v>1075289825</v>
      </c>
      <c r="C208" s="0" t="n">
        <v>671</v>
      </c>
    </row>
    <row r="209" customFormat="false" ht="14.25" hidden="false" customHeight="false" outlineLevel="0" collapsed="false">
      <c r="A209" s="0" t="n">
        <v>1</v>
      </c>
      <c r="B209" s="0" t="n">
        <v>1053863018</v>
      </c>
      <c r="C209" s="0" t="n">
        <v>800</v>
      </c>
    </row>
    <row r="210" customFormat="false" ht="14.25" hidden="false" customHeight="false" outlineLevel="0" collapsed="false">
      <c r="A210" s="0" t="n">
        <v>1</v>
      </c>
      <c r="B210" s="0" t="n">
        <v>1151952941</v>
      </c>
      <c r="C210" s="0" t="n">
        <v>747</v>
      </c>
    </row>
    <row r="211" customFormat="false" ht="14.25" hidden="false" customHeight="false" outlineLevel="0" collapsed="false">
      <c r="A211" s="0" t="n">
        <v>1</v>
      </c>
      <c r="B211" s="0" t="n">
        <v>1148207872</v>
      </c>
      <c r="C211" s="0" t="n">
        <v>794</v>
      </c>
    </row>
    <row r="212" customFormat="false" ht="14.25" hidden="false" customHeight="false" outlineLevel="0" collapsed="false">
      <c r="A212" s="0" t="n">
        <v>1</v>
      </c>
      <c r="B212" s="0" t="n">
        <v>1130661912</v>
      </c>
      <c r="C212" s="0" t="n">
        <v>849</v>
      </c>
    </row>
    <row r="213" customFormat="false" ht="14.25" hidden="false" customHeight="false" outlineLevel="0" collapsed="false">
      <c r="A213" s="0" t="n">
        <v>1</v>
      </c>
      <c r="B213" s="0" t="n">
        <v>31712761</v>
      </c>
      <c r="C213" s="0" t="n">
        <v>710</v>
      </c>
    </row>
    <row r="214" customFormat="false" ht="14.25" hidden="false" customHeight="false" outlineLevel="0" collapsed="false">
      <c r="A214" s="0" t="n">
        <v>1</v>
      </c>
      <c r="B214" s="0" t="n">
        <v>1143970362</v>
      </c>
      <c r="C214" s="0" t="n">
        <v>665</v>
      </c>
    </row>
    <row r="215" customFormat="false" ht="14.25" hidden="false" customHeight="false" outlineLevel="0" collapsed="false">
      <c r="A215" s="0" t="n">
        <v>1</v>
      </c>
      <c r="B215" s="0" t="n">
        <v>1144146146</v>
      </c>
      <c r="C215" s="0" t="n">
        <v>642</v>
      </c>
    </row>
    <row r="216" customFormat="false" ht="14.25" hidden="false" customHeight="false" outlineLevel="0" collapsed="false">
      <c r="A216" s="0" t="n">
        <v>1</v>
      </c>
      <c r="B216" s="0" t="n">
        <v>1107084296</v>
      </c>
      <c r="C216" s="0" t="n">
        <v>598</v>
      </c>
    </row>
    <row r="217" customFormat="false" ht="14.25" hidden="false" customHeight="false" outlineLevel="0" collapsed="false">
      <c r="A217" s="0" t="n">
        <v>1</v>
      </c>
      <c r="B217" s="0" t="n">
        <v>1018504659</v>
      </c>
      <c r="C217" s="0" t="n">
        <v>771</v>
      </c>
    </row>
    <row r="218" customFormat="false" ht="14.25" hidden="false" customHeight="false" outlineLevel="0" collapsed="false">
      <c r="A218" s="0" t="n">
        <v>1</v>
      </c>
      <c r="B218" s="0" t="n">
        <v>1130587720</v>
      </c>
      <c r="C218" s="0" t="n">
        <v>640</v>
      </c>
    </row>
    <row r="219" customFormat="false" ht="14.25" hidden="false" customHeight="false" outlineLevel="0" collapsed="false">
      <c r="A219" s="0" t="n">
        <v>1</v>
      </c>
      <c r="B219" s="0" t="n">
        <v>1144209482</v>
      </c>
      <c r="C219" s="0" t="n">
        <v>775</v>
      </c>
    </row>
    <row r="220" customFormat="false" ht="14.25" hidden="false" customHeight="false" outlineLevel="0" collapsed="false">
      <c r="A220" s="0" t="n">
        <v>1</v>
      </c>
      <c r="B220" s="0" t="n">
        <v>1012409708</v>
      </c>
      <c r="C220" s="0" t="n">
        <v>657</v>
      </c>
    </row>
    <row r="221" customFormat="false" ht="14.25" hidden="false" customHeight="false" outlineLevel="0" collapsed="false">
      <c r="A221" s="0" t="n">
        <v>1</v>
      </c>
      <c r="B221" s="0" t="n">
        <v>1144191800</v>
      </c>
      <c r="C221" s="0" t="n">
        <v>630</v>
      </c>
    </row>
    <row r="222" customFormat="false" ht="14.25" hidden="false" customHeight="false" outlineLevel="0" collapsed="false">
      <c r="A222" s="0" t="n">
        <v>1</v>
      </c>
      <c r="B222" s="0" t="n">
        <v>38561292</v>
      </c>
      <c r="C222" s="0" t="n">
        <v>695</v>
      </c>
    </row>
    <row r="223" customFormat="false" ht="14.25" hidden="false" customHeight="false" outlineLevel="0" collapsed="false">
      <c r="A223" s="0" t="n">
        <v>1</v>
      </c>
      <c r="B223" s="0" t="n">
        <v>1114876803</v>
      </c>
      <c r="C223" s="0" t="n">
        <v>710</v>
      </c>
    </row>
    <row r="224" customFormat="false" ht="14.25" hidden="false" customHeight="false" outlineLevel="0" collapsed="false">
      <c r="A224" s="0" t="n">
        <v>1</v>
      </c>
      <c r="B224" s="0" t="n">
        <v>30330090</v>
      </c>
      <c r="C224" s="0" t="n">
        <v>794</v>
      </c>
    </row>
    <row r="225" customFormat="false" ht="14.25" hidden="false" customHeight="false" outlineLevel="0" collapsed="false">
      <c r="A225" s="0" t="n">
        <v>1</v>
      </c>
      <c r="B225" s="0" t="n">
        <v>16761455</v>
      </c>
      <c r="C225" s="0" t="n">
        <v>762</v>
      </c>
    </row>
    <row r="226" customFormat="false" ht="14.25" hidden="false" customHeight="false" outlineLevel="0" collapsed="false">
      <c r="A226" s="0" t="n">
        <v>1</v>
      </c>
      <c r="B226" s="0" t="n">
        <v>1130624012</v>
      </c>
      <c r="C226" s="0" t="n">
        <v>855</v>
      </c>
    </row>
    <row r="227" customFormat="false" ht="14.25" hidden="false" customHeight="false" outlineLevel="0" collapsed="false">
      <c r="A227" s="0" t="n">
        <v>1</v>
      </c>
      <c r="B227" s="0" t="n">
        <v>25733400</v>
      </c>
      <c r="C227" s="0" t="n">
        <v>849</v>
      </c>
    </row>
    <row r="228" customFormat="false" ht="14.25" hidden="false" customHeight="false" outlineLevel="0" collapsed="false">
      <c r="A228" s="0" t="n">
        <v>1</v>
      </c>
      <c r="B228" s="0" t="n">
        <v>67028594</v>
      </c>
      <c r="C228" s="0" t="n">
        <v>686</v>
      </c>
    </row>
    <row r="229" customFormat="false" ht="14.25" hidden="false" customHeight="false" outlineLevel="0" collapsed="false">
      <c r="A229" s="0" t="n">
        <v>1</v>
      </c>
      <c r="B229" s="0" t="n">
        <v>29113301</v>
      </c>
      <c r="C229" s="0" t="n">
        <v>494</v>
      </c>
    </row>
    <row r="230" customFormat="false" ht="14.25" hidden="false" customHeight="false" outlineLevel="0" collapsed="false">
      <c r="A230" s="0" t="n">
        <v>1</v>
      </c>
      <c r="B230" s="0" t="n">
        <v>1088345243</v>
      </c>
      <c r="C230" s="0" t="n">
        <v>664</v>
      </c>
    </row>
    <row r="231" customFormat="false" ht="14.25" hidden="false" customHeight="false" outlineLevel="0" collapsed="false">
      <c r="A231" s="0" t="n">
        <v>1</v>
      </c>
      <c r="B231" s="0" t="n">
        <v>1107083585</v>
      </c>
      <c r="C231" s="0" t="n">
        <v>762</v>
      </c>
    </row>
    <row r="232" customFormat="false" ht="14.25" hidden="false" customHeight="false" outlineLevel="0" collapsed="false">
      <c r="A232" s="0" t="n">
        <v>1</v>
      </c>
      <c r="B232" s="0" t="n">
        <v>1003864478</v>
      </c>
      <c r="C232" s="0" t="n">
        <v>637</v>
      </c>
    </row>
    <row r="233" customFormat="false" ht="14.25" hidden="false" customHeight="false" outlineLevel="0" collapsed="false">
      <c r="A233" s="0" t="n">
        <v>1</v>
      </c>
      <c r="B233" s="0" t="n">
        <v>1130597766</v>
      </c>
      <c r="C233" s="0" t="n">
        <v>691</v>
      </c>
    </row>
    <row r="234" customFormat="false" ht="14.25" hidden="false" customHeight="false" outlineLevel="0" collapsed="false">
      <c r="A234" s="0" t="n">
        <v>1</v>
      </c>
      <c r="B234" s="0" t="n">
        <v>1193034560</v>
      </c>
      <c r="C234" s="0" t="n">
        <v>719</v>
      </c>
    </row>
    <row r="235" customFormat="false" ht="14.25" hidden="false" customHeight="false" outlineLevel="0" collapsed="false">
      <c r="A235" s="0" t="n">
        <v>1</v>
      </c>
      <c r="B235" s="0" t="n">
        <v>1130624827</v>
      </c>
      <c r="C235" s="0" t="n">
        <v>865</v>
      </c>
    </row>
    <row r="236" customFormat="false" ht="14.25" hidden="false" customHeight="false" outlineLevel="0" collapsed="false">
      <c r="A236" s="0" t="n">
        <v>1</v>
      </c>
      <c r="B236" s="0" t="n">
        <v>1143836074</v>
      </c>
      <c r="C236" s="0" t="n">
        <v>705</v>
      </c>
    </row>
    <row r="237" customFormat="false" ht="14.25" hidden="false" customHeight="false" outlineLevel="0" collapsed="false">
      <c r="A237" s="0" t="n">
        <v>1</v>
      </c>
      <c r="B237" s="0" t="n">
        <v>66727385</v>
      </c>
      <c r="C237" s="0" t="n">
        <v>735</v>
      </c>
    </row>
    <row r="238" customFormat="false" ht="14.25" hidden="false" customHeight="false" outlineLevel="0" collapsed="false">
      <c r="A238" s="0" t="n">
        <v>1</v>
      </c>
      <c r="B238" s="0" t="n">
        <v>1086753676</v>
      </c>
      <c r="C238" s="0" t="n">
        <v>821</v>
      </c>
    </row>
    <row r="239" customFormat="false" ht="14.25" hidden="false" customHeight="false" outlineLevel="0" collapsed="false">
      <c r="A239" s="0" t="n">
        <v>1</v>
      </c>
      <c r="B239" s="0" t="n">
        <v>1061763299</v>
      </c>
      <c r="C239" s="0" t="n">
        <v>844</v>
      </c>
    </row>
    <row r="240" customFormat="false" ht="14.25" hidden="false" customHeight="false" outlineLevel="0" collapsed="false">
      <c r="A240" s="0" t="n">
        <v>1</v>
      </c>
      <c r="B240" s="0" t="n">
        <v>1112479971</v>
      </c>
      <c r="C240" s="0" t="n">
        <v>746</v>
      </c>
    </row>
    <row r="241" customFormat="false" ht="14.25" hidden="false" customHeight="false" outlineLevel="0" collapsed="false">
      <c r="A241" s="0" t="n">
        <v>1</v>
      </c>
      <c r="B241" s="0" t="n">
        <v>38656658</v>
      </c>
      <c r="C241" s="0" t="n">
        <v>693</v>
      </c>
    </row>
    <row r="242" customFormat="false" ht="14.25" hidden="false" customHeight="false" outlineLevel="0" collapsed="false">
      <c r="A242" s="0" t="n">
        <v>1</v>
      </c>
      <c r="B242" s="0" t="n">
        <v>16285644</v>
      </c>
      <c r="C242" s="0" t="n">
        <v>816</v>
      </c>
    </row>
    <row r="243" customFormat="false" ht="14.25" hidden="false" customHeight="false" outlineLevel="0" collapsed="false">
      <c r="A243" s="0" t="n">
        <v>1</v>
      </c>
      <c r="B243" s="0" t="n">
        <v>1059606598</v>
      </c>
      <c r="C243" s="0" t="n">
        <v>611</v>
      </c>
    </row>
    <row r="244" customFormat="false" ht="14.25" hidden="false" customHeight="false" outlineLevel="0" collapsed="false">
      <c r="A244" s="0" t="n">
        <v>1</v>
      </c>
      <c r="B244" s="0" t="n">
        <v>1113622605</v>
      </c>
      <c r="C244" s="0" t="n">
        <v>999</v>
      </c>
    </row>
    <row r="245" customFormat="false" ht="14.25" hidden="false" customHeight="false" outlineLevel="0" collapsed="false">
      <c r="A245" s="0" t="n">
        <v>1</v>
      </c>
      <c r="B245" s="0" t="n">
        <v>1143990240</v>
      </c>
      <c r="C245" s="0" t="n">
        <v>665</v>
      </c>
    </row>
    <row r="246" customFormat="false" ht="14.25" hidden="false" customHeight="false" outlineLevel="0" collapsed="false">
      <c r="A246" s="0" t="n">
        <v>1</v>
      </c>
      <c r="B246" s="0" t="n">
        <v>1144078618</v>
      </c>
      <c r="C246" s="0" t="n">
        <v>858</v>
      </c>
    </row>
    <row r="247" customFormat="false" ht="14.25" hidden="false" customHeight="false" outlineLevel="0" collapsed="false">
      <c r="A247" s="0" t="n">
        <v>1</v>
      </c>
      <c r="B247" s="0" t="n">
        <v>1005895375</v>
      </c>
      <c r="C247" s="0" t="n">
        <v>598</v>
      </c>
    </row>
    <row r="248" customFormat="false" ht="14.25" hidden="false" customHeight="false" outlineLevel="0" collapsed="false">
      <c r="A248" s="0" t="n">
        <v>1</v>
      </c>
      <c r="B248" s="0" t="n">
        <v>38614218</v>
      </c>
      <c r="C248" s="0" t="n">
        <v>612</v>
      </c>
    </row>
    <row r="249" customFormat="false" ht="14.25" hidden="false" customHeight="false" outlineLevel="0" collapsed="false">
      <c r="A249" s="0" t="n">
        <v>1</v>
      </c>
      <c r="B249" s="0" t="n">
        <v>1107530583</v>
      </c>
      <c r="C249" s="0" t="n">
        <v>715</v>
      </c>
    </row>
    <row r="250" customFormat="false" ht="14.25" hidden="false" customHeight="false" outlineLevel="0" collapsed="false">
      <c r="A250" s="0" t="n">
        <v>1</v>
      </c>
      <c r="B250" s="0" t="n">
        <v>1107058643</v>
      </c>
      <c r="C250" s="0" t="n">
        <v>677</v>
      </c>
    </row>
    <row r="251" customFormat="false" ht="14.25" hidden="false" customHeight="false" outlineLevel="0" collapsed="false">
      <c r="A251" s="0" t="n">
        <v>1</v>
      </c>
      <c r="B251" s="0" t="n">
        <v>66929175</v>
      </c>
      <c r="C251" s="0" t="n">
        <v>968</v>
      </c>
    </row>
    <row r="252" customFormat="false" ht="14.25" hidden="false" customHeight="false" outlineLevel="0" collapsed="false">
      <c r="A252" s="0" t="n">
        <v>1</v>
      </c>
      <c r="B252" s="0" t="n">
        <v>1144189605</v>
      </c>
      <c r="C252" s="0" t="n">
        <v>632</v>
      </c>
    </row>
    <row r="253" customFormat="false" ht="14.25" hidden="false" customHeight="false" outlineLevel="0" collapsed="false">
      <c r="A253" s="0" t="n">
        <v>1</v>
      </c>
      <c r="B253" s="0" t="n">
        <v>1144168142</v>
      </c>
      <c r="C253" s="0" t="n">
        <v>743</v>
      </c>
    </row>
    <row r="254" customFormat="false" ht="14.25" hidden="false" customHeight="false" outlineLevel="0" collapsed="false">
      <c r="A254" s="0" t="n">
        <v>1</v>
      </c>
      <c r="B254" s="0" t="n">
        <v>1152443072</v>
      </c>
      <c r="C254" s="0" t="n">
        <v>905</v>
      </c>
    </row>
    <row r="255" customFormat="false" ht="14.25" hidden="false" customHeight="false" outlineLevel="0" collapsed="false">
      <c r="A255" s="0" t="n">
        <v>1</v>
      </c>
      <c r="B255" s="0" t="n">
        <v>66901991</v>
      </c>
      <c r="C255" s="0" t="n">
        <v>747</v>
      </c>
    </row>
    <row r="256" customFormat="false" ht="14.25" hidden="false" customHeight="false" outlineLevel="0" collapsed="false">
      <c r="A256" s="0" t="n">
        <v>1</v>
      </c>
      <c r="B256" s="0" t="n">
        <v>1130606712</v>
      </c>
      <c r="C256" s="0" t="n">
        <v>910</v>
      </c>
    </row>
    <row r="257" customFormat="false" ht="14.25" hidden="false" customHeight="false" outlineLevel="0" collapsed="false">
      <c r="A257" s="0" t="n">
        <v>1</v>
      </c>
      <c r="B257" s="0" t="n">
        <v>14839121</v>
      </c>
      <c r="C257" s="0" t="n">
        <v>762</v>
      </c>
    </row>
    <row r="258" customFormat="false" ht="14.25" hidden="false" customHeight="false" outlineLevel="0" collapsed="false">
      <c r="A258" s="0" t="n">
        <v>1</v>
      </c>
      <c r="B258" s="0" t="n">
        <v>66873270</v>
      </c>
      <c r="C258" s="0" t="n">
        <v>730</v>
      </c>
    </row>
    <row r="259" customFormat="false" ht="14.25" hidden="false" customHeight="false" outlineLevel="0" collapsed="false">
      <c r="A259" s="0" t="n">
        <v>1</v>
      </c>
      <c r="B259" s="0" t="n">
        <v>76140409</v>
      </c>
      <c r="C259" s="0" t="n">
        <v>896</v>
      </c>
    </row>
    <row r="260" customFormat="false" ht="14.25" hidden="false" customHeight="false" outlineLevel="0" collapsed="false">
      <c r="A260" s="0" t="n">
        <v>1</v>
      </c>
      <c r="B260" s="0" t="n">
        <v>1144101567</v>
      </c>
      <c r="C260" s="0" t="n">
        <v>682</v>
      </c>
    </row>
    <row r="261" customFormat="false" ht="14.25" hidden="false" customHeight="false" outlineLevel="0" collapsed="false">
      <c r="A261" s="0" t="n">
        <v>1</v>
      </c>
      <c r="B261" s="0" t="n">
        <v>16849715</v>
      </c>
      <c r="C261" s="0" t="n">
        <v>995</v>
      </c>
    </row>
    <row r="262" customFormat="false" ht="14.25" hidden="false" customHeight="false" outlineLevel="0" collapsed="false">
      <c r="A262" s="0" t="n">
        <v>1</v>
      </c>
      <c r="B262" s="0" t="n">
        <v>1105787420</v>
      </c>
      <c r="C262" s="0" t="n">
        <v>909</v>
      </c>
    </row>
    <row r="263" customFormat="false" ht="14.25" hidden="false" customHeight="false" outlineLevel="0" collapsed="false">
      <c r="A263" s="0" t="n">
        <v>1</v>
      </c>
      <c r="B263" s="0" t="n">
        <v>1107090337</v>
      </c>
      <c r="C263" s="0" t="n">
        <v>632</v>
      </c>
    </row>
    <row r="264" customFormat="false" ht="14.25" hidden="false" customHeight="false" outlineLevel="0" collapsed="false">
      <c r="A264" s="0" t="n">
        <v>1</v>
      </c>
      <c r="B264" s="0" t="n">
        <v>1144182000</v>
      </c>
      <c r="C264" s="0" t="n">
        <v>827</v>
      </c>
    </row>
    <row r="265" customFormat="false" ht="14.25" hidden="false" customHeight="false" outlineLevel="0" collapsed="false">
      <c r="A265" s="0" t="n">
        <v>1</v>
      </c>
      <c r="B265" s="0" t="n">
        <v>1144147981</v>
      </c>
      <c r="C265" s="0" t="n">
        <v>856</v>
      </c>
    </row>
    <row r="266" customFormat="false" ht="14.25" hidden="false" customHeight="false" outlineLevel="0" collapsed="false">
      <c r="A266" s="0" t="n">
        <v>1</v>
      </c>
      <c r="B266" s="0" t="n">
        <v>66974012</v>
      </c>
      <c r="C266" s="0" t="n">
        <v>568</v>
      </c>
    </row>
    <row r="267" customFormat="false" ht="14.25" hidden="false" customHeight="false" outlineLevel="0" collapsed="false">
      <c r="A267" s="0" t="n">
        <v>1</v>
      </c>
      <c r="B267" s="0" t="n">
        <v>67011371</v>
      </c>
      <c r="C267" s="0" t="n">
        <v>802</v>
      </c>
    </row>
    <row r="268" customFormat="false" ht="14.25" hidden="false" customHeight="false" outlineLevel="0" collapsed="false">
      <c r="A268" s="0" t="n">
        <v>1</v>
      </c>
      <c r="B268" s="0" t="n">
        <v>1143856655</v>
      </c>
      <c r="C268" s="0" t="n">
        <v>695</v>
      </c>
    </row>
    <row r="269" customFormat="false" ht="14.25" hidden="false" customHeight="false" outlineLevel="0" collapsed="false">
      <c r="A269" s="0" t="n">
        <v>1</v>
      </c>
      <c r="B269" s="0" t="n">
        <v>67039923</v>
      </c>
      <c r="C269" s="0" t="n">
        <v>999</v>
      </c>
    </row>
    <row r="270" customFormat="false" ht="14.25" hidden="false" customHeight="false" outlineLevel="0" collapsed="false">
      <c r="A270" s="0" t="n">
        <v>1</v>
      </c>
      <c r="B270" s="0" t="n">
        <v>1113518404</v>
      </c>
      <c r="C270" s="0" t="n">
        <v>701</v>
      </c>
    </row>
    <row r="271" customFormat="false" ht="14.25" hidden="false" customHeight="false" outlineLevel="0" collapsed="false">
      <c r="A271" s="0" t="n">
        <v>1</v>
      </c>
      <c r="B271" s="0" t="n">
        <v>1144076969</v>
      </c>
      <c r="C271" s="0" t="n">
        <v>725</v>
      </c>
    </row>
    <row r="272" customFormat="false" ht="14.25" hidden="false" customHeight="false" outlineLevel="0" collapsed="false">
      <c r="A272" s="0" t="n">
        <v>1</v>
      </c>
      <c r="B272" s="0" t="n">
        <v>66764802</v>
      </c>
      <c r="C272" s="0" t="n">
        <v>778</v>
      </c>
    </row>
    <row r="273" customFormat="false" ht="14.25" hidden="false" customHeight="false" outlineLevel="0" collapsed="false">
      <c r="A273" s="0" t="n">
        <v>1</v>
      </c>
      <c r="B273" s="0" t="n">
        <v>67031135</v>
      </c>
      <c r="C273" s="0" t="n">
        <v>687</v>
      </c>
    </row>
    <row r="274" customFormat="false" ht="14.25" hidden="false" customHeight="false" outlineLevel="0" collapsed="false">
      <c r="A274" s="0" t="n">
        <v>1</v>
      </c>
      <c r="B274" s="0" t="n">
        <v>1130620889</v>
      </c>
      <c r="C274" s="0" t="n">
        <v>999</v>
      </c>
    </row>
    <row r="275" customFormat="false" ht="14.25" hidden="false" customHeight="false" outlineLevel="0" collapsed="false">
      <c r="A275" s="0" t="n">
        <v>1</v>
      </c>
      <c r="B275" s="0" t="n">
        <v>31322862</v>
      </c>
      <c r="C275" s="0" t="n">
        <v>687</v>
      </c>
    </row>
    <row r="276" customFormat="false" ht="14.25" hidden="false" customHeight="false" outlineLevel="0" collapsed="false">
      <c r="A276" s="0" t="n">
        <v>1</v>
      </c>
      <c r="B276" s="0" t="n">
        <v>29123511</v>
      </c>
      <c r="C276" s="0" t="n">
        <v>846</v>
      </c>
    </row>
    <row r="277" customFormat="false" ht="14.25" hidden="false" customHeight="false" outlineLevel="0" collapsed="false">
      <c r="A277" s="0" t="n">
        <v>1</v>
      </c>
      <c r="B277" s="0" t="n">
        <v>66960048</v>
      </c>
      <c r="C277" s="0" t="n">
        <v>779</v>
      </c>
    </row>
    <row r="278" customFormat="false" ht="14.25" hidden="false" customHeight="false" outlineLevel="0" collapsed="false">
      <c r="A278" s="0" t="n">
        <v>1</v>
      </c>
      <c r="B278" s="0" t="n">
        <v>1107101778</v>
      </c>
      <c r="C278" s="0" t="n">
        <v>678</v>
      </c>
    </row>
    <row r="279" customFormat="false" ht="14.25" hidden="false" customHeight="false" outlineLevel="0" collapsed="false">
      <c r="A279" s="0" t="n">
        <v>1</v>
      </c>
      <c r="B279" s="0" t="n">
        <v>1059596418</v>
      </c>
      <c r="C279" s="0" t="n">
        <v>944</v>
      </c>
    </row>
    <row r="280" customFormat="false" ht="14.25" hidden="false" customHeight="false" outlineLevel="0" collapsed="false">
      <c r="A280" s="0" t="n">
        <v>1</v>
      </c>
      <c r="B280" s="0" t="n">
        <v>94516656</v>
      </c>
      <c r="C280" s="0" t="n">
        <v>703</v>
      </c>
    </row>
    <row r="281" customFormat="false" ht="14.25" hidden="false" customHeight="false" outlineLevel="0" collapsed="false">
      <c r="A281" s="0" t="n">
        <v>1</v>
      </c>
      <c r="B281" s="0" t="n">
        <v>1130598197</v>
      </c>
      <c r="C281" s="0" t="n">
        <v>806</v>
      </c>
    </row>
    <row r="282" customFormat="false" ht="14.25" hidden="false" customHeight="false" outlineLevel="0" collapsed="false">
      <c r="A282" s="0" t="n">
        <v>1</v>
      </c>
      <c r="B282" s="0" t="n">
        <v>1130608725</v>
      </c>
      <c r="C282" s="0" t="n">
        <v>767</v>
      </c>
    </row>
    <row r="283" customFormat="false" ht="14.25" hidden="false" customHeight="false" outlineLevel="0" collapsed="false">
      <c r="A283" s="0" t="n">
        <v>1</v>
      </c>
      <c r="B283" s="0" t="n">
        <v>1107510749</v>
      </c>
      <c r="C283" s="0" t="n">
        <v>659</v>
      </c>
    </row>
    <row r="284" customFormat="false" ht="14.25" hidden="false" customHeight="false" outlineLevel="0" collapsed="false">
      <c r="A284" s="0" t="n">
        <v>1</v>
      </c>
      <c r="B284" s="0" t="n">
        <v>1144103604</v>
      </c>
      <c r="C284" s="0" t="n">
        <v>701</v>
      </c>
    </row>
    <row r="285" customFormat="false" ht="14.25" hidden="false" customHeight="false" outlineLevel="0" collapsed="false">
      <c r="A285" s="0" t="n">
        <v>1</v>
      </c>
      <c r="B285" s="0" t="n">
        <v>1107085921</v>
      </c>
      <c r="C285" s="0" t="n">
        <v>715</v>
      </c>
    </row>
    <row r="286" customFormat="false" ht="14.25" hidden="false" customHeight="false" outlineLevel="0" collapsed="false">
      <c r="A286" s="0" t="n">
        <v>1</v>
      </c>
      <c r="B286" s="0" t="n">
        <v>1144161138</v>
      </c>
      <c r="C286" s="0" t="n">
        <v>830</v>
      </c>
    </row>
    <row r="287" customFormat="false" ht="14.25" hidden="false" customHeight="false" outlineLevel="0" collapsed="false">
      <c r="A287" s="0" t="n">
        <v>1</v>
      </c>
      <c r="B287" s="0" t="n">
        <v>1113515582</v>
      </c>
      <c r="C287" s="0" t="n">
        <v>619</v>
      </c>
    </row>
    <row r="288" customFormat="false" ht="14.25" hidden="false" customHeight="false" outlineLevel="0" collapsed="false">
      <c r="A288" s="0" t="n">
        <v>1</v>
      </c>
      <c r="B288" s="0" t="n">
        <v>25341987</v>
      </c>
      <c r="C288" s="0" t="n">
        <v>619</v>
      </c>
    </row>
    <row r="289" customFormat="false" ht="14.25" hidden="false" customHeight="false" outlineLevel="0" collapsed="false">
      <c r="A289" s="0" t="n">
        <v>1</v>
      </c>
      <c r="B289" s="0" t="n">
        <v>59816941</v>
      </c>
      <c r="C289" s="0" t="n">
        <v>569</v>
      </c>
    </row>
    <row r="290" customFormat="false" ht="14.25" hidden="false" customHeight="false" outlineLevel="0" collapsed="false">
      <c r="A290" s="0" t="n">
        <v>1</v>
      </c>
      <c r="B290" s="0" t="n">
        <v>1006341887</v>
      </c>
      <c r="C290" s="0" t="n">
        <v>562</v>
      </c>
    </row>
    <row r="291" customFormat="false" ht="14.25" hidden="false" customHeight="false" outlineLevel="0" collapsed="false">
      <c r="A291" s="0" t="n">
        <v>1</v>
      </c>
      <c r="B291" s="0" t="n">
        <v>31097169</v>
      </c>
      <c r="C291" s="0" t="n">
        <v>867</v>
      </c>
    </row>
    <row r="292" customFormat="false" ht="14.25" hidden="false" customHeight="false" outlineLevel="0" collapsed="false">
      <c r="A292" s="0" t="n">
        <v>1</v>
      </c>
      <c r="B292" s="0" t="n">
        <v>1144154240</v>
      </c>
      <c r="C292" s="0" t="n">
        <v>621</v>
      </c>
    </row>
    <row r="293" customFormat="false" ht="14.25" hidden="false" customHeight="false" outlineLevel="0" collapsed="false">
      <c r="A293" s="0" t="n">
        <v>1</v>
      </c>
      <c r="B293" s="0" t="n">
        <v>1144173564</v>
      </c>
      <c r="C293" s="0" t="n">
        <v>675</v>
      </c>
    </row>
    <row r="294" customFormat="false" ht="14.25" hidden="false" customHeight="false" outlineLevel="0" collapsed="false">
      <c r="A294" s="0" t="n">
        <v>1</v>
      </c>
      <c r="B294" s="0" t="n">
        <v>38681350</v>
      </c>
      <c r="C294" s="0" t="n">
        <v>746</v>
      </c>
    </row>
    <row r="295" customFormat="false" ht="14.25" hidden="false" customHeight="false" outlineLevel="0" collapsed="false">
      <c r="A295" s="0" t="n">
        <v>1</v>
      </c>
      <c r="B295" s="0" t="n">
        <v>1143993996</v>
      </c>
      <c r="C295" s="0" t="n">
        <v>611</v>
      </c>
    </row>
    <row r="296" customFormat="false" ht="14.25" hidden="false" customHeight="false" outlineLevel="0" collapsed="false">
      <c r="A296" s="0" t="n">
        <v>1</v>
      </c>
      <c r="B296" s="0" t="n">
        <v>67030084</v>
      </c>
      <c r="C296" s="0" t="n">
        <v>747</v>
      </c>
    </row>
    <row r="297" customFormat="false" ht="14.25" hidden="false" customHeight="false" outlineLevel="0" collapsed="false">
      <c r="A297" s="0" t="n">
        <v>1</v>
      </c>
      <c r="B297" s="0" t="n">
        <v>1144143403</v>
      </c>
      <c r="C297" s="0" t="n">
        <v>747</v>
      </c>
    </row>
    <row r="298" customFormat="false" ht="14.25" hidden="false" customHeight="false" outlineLevel="0" collapsed="false">
      <c r="A298" s="0" t="n">
        <v>1</v>
      </c>
      <c r="B298" s="0" t="n">
        <v>1107083838</v>
      </c>
      <c r="C298" s="0" t="n">
        <v>807</v>
      </c>
    </row>
    <row r="299" customFormat="false" ht="14.25" hidden="false" customHeight="false" outlineLevel="0" collapsed="false">
      <c r="A299" s="0" t="n">
        <v>1</v>
      </c>
      <c r="B299" s="0" t="n">
        <v>1002858305</v>
      </c>
      <c r="C299" s="0" t="n">
        <v>736</v>
      </c>
    </row>
    <row r="300" customFormat="false" ht="14.25" hidden="false" customHeight="false" outlineLevel="0" collapsed="false">
      <c r="A300" s="0" t="n">
        <v>1</v>
      </c>
      <c r="B300" s="0" t="n">
        <v>1144078650</v>
      </c>
      <c r="C300" s="0" t="n">
        <v>705</v>
      </c>
    </row>
    <row r="301" customFormat="false" ht="14.25" hidden="false" customHeight="false" outlineLevel="0" collapsed="false">
      <c r="A301" s="0" t="n">
        <v>1</v>
      </c>
      <c r="B301" s="0" t="n">
        <v>1002954062</v>
      </c>
      <c r="C301" s="0" t="n">
        <v>756</v>
      </c>
    </row>
    <row r="302" customFormat="false" ht="14.25" hidden="false" customHeight="false" outlineLevel="0" collapsed="false">
      <c r="A302" s="0" t="n">
        <v>1</v>
      </c>
      <c r="B302" s="0" t="n">
        <v>1130590645</v>
      </c>
      <c r="C302" s="0" t="n">
        <v>815</v>
      </c>
    </row>
    <row r="303" customFormat="false" ht="14.25" hidden="false" customHeight="false" outlineLevel="0" collapsed="false">
      <c r="A303" s="0" t="n">
        <v>1</v>
      </c>
      <c r="B303" s="0" t="n">
        <v>1144133482</v>
      </c>
      <c r="C303" s="0" t="n">
        <v>653</v>
      </c>
    </row>
    <row r="304" customFormat="false" ht="14.25" hidden="false" customHeight="false" outlineLevel="0" collapsed="false">
      <c r="A304" s="0" t="n">
        <v>1</v>
      </c>
      <c r="B304" s="0" t="n">
        <v>1005868325</v>
      </c>
      <c r="C304" s="0" t="n">
        <v>734</v>
      </c>
    </row>
    <row r="305" customFormat="false" ht="14.25" hidden="false" customHeight="false" outlineLevel="0" collapsed="false">
      <c r="A305" s="0" t="n">
        <v>1</v>
      </c>
      <c r="B305" s="0" t="n">
        <v>1114877587</v>
      </c>
      <c r="C305" s="0" t="n">
        <v>586</v>
      </c>
    </row>
    <row r="306" customFormat="false" ht="14.25" hidden="false" customHeight="false" outlineLevel="0" collapsed="false">
      <c r="A306" s="0" t="n">
        <v>1</v>
      </c>
      <c r="B306" s="0" t="n">
        <v>1107097817</v>
      </c>
      <c r="C306" s="0" t="n">
        <v>637</v>
      </c>
    </row>
    <row r="307" customFormat="false" ht="14.25" hidden="false" customHeight="false" outlineLevel="0" collapsed="false">
      <c r="A307" s="0" t="n">
        <v>1</v>
      </c>
      <c r="B307" s="0" t="n">
        <v>1144106610</v>
      </c>
      <c r="C307" s="0" t="n">
        <v>748</v>
      </c>
    </row>
    <row r="308" customFormat="false" ht="14.25" hidden="false" customHeight="false" outlineLevel="0" collapsed="false">
      <c r="A308" s="0" t="n">
        <v>1</v>
      </c>
      <c r="B308" s="0" t="n">
        <v>1193123792</v>
      </c>
      <c r="C308" s="0" t="n">
        <v>694</v>
      </c>
    </row>
    <row r="309" customFormat="false" ht="14.25" hidden="false" customHeight="false" outlineLevel="0" collapsed="false">
      <c r="A309" s="0" t="n">
        <v>1</v>
      </c>
      <c r="B309" s="0" t="n">
        <v>1144104260</v>
      </c>
      <c r="C309" s="0" t="n">
        <v>875</v>
      </c>
    </row>
    <row r="310" customFormat="false" ht="14.25" hidden="false" customHeight="false" outlineLevel="0" collapsed="false">
      <c r="A310" s="0" t="n">
        <v>1</v>
      </c>
      <c r="B310" s="0" t="n">
        <v>31997137</v>
      </c>
      <c r="C310" s="0" t="n">
        <v>948</v>
      </c>
    </row>
    <row r="311" customFormat="false" ht="14.25" hidden="false" customHeight="false" outlineLevel="0" collapsed="false">
      <c r="A311" s="0" t="n">
        <v>1</v>
      </c>
      <c r="B311" s="0" t="n">
        <v>1144032064</v>
      </c>
      <c r="C311" s="0" t="n">
        <v>677</v>
      </c>
    </row>
    <row r="312" customFormat="false" ht="14.25" hidden="false" customHeight="false" outlineLevel="0" collapsed="false">
      <c r="A312" s="0" t="n">
        <v>1</v>
      </c>
      <c r="B312" s="0" t="n">
        <v>1006103549</v>
      </c>
      <c r="C312" s="0" t="n">
        <v>827</v>
      </c>
    </row>
    <row r="313" customFormat="false" ht="14.25" hidden="false" customHeight="false" outlineLevel="0" collapsed="false">
      <c r="A313" s="0" t="n">
        <v>1</v>
      </c>
      <c r="B313" s="0" t="n">
        <v>1113690647</v>
      </c>
      <c r="C313" s="0" t="n">
        <v>696</v>
      </c>
    </row>
    <row r="314" customFormat="false" ht="14.25" hidden="false" customHeight="false" outlineLevel="0" collapsed="false">
      <c r="A314" s="0" t="n">
        <v>1</v>
      </c>
      <c r="B314" s="0" t="n">
        <v>29679637</v>
      </c>
      <c r="C314" s="0" t="n">
        <v>846</v>
      </c>
    </row>
    <row r="315" customFormat="false" ht="14.25" hidden="false" customHeight="false" outlineLevel="0" collapsed="false">
      <c r="A315" s="0" t="n">
        <v>1</v>
      </c>
      <c r="B315" s="0" t="n">
        <v>1114894351</v>
      </c>
      <c r="C315" s="0" t="n">
        <v>589</v>
      </c>
    </row>
    <row r="316" customFormat="false" ht="14.25" hidden="false" customHeight="false" outlineLevel="0" collapsed="false">
      <c r="A316" s="0" t="n">
        <v>1</v>
      </c>
      <c r="B316" s="0" t="n">
        <v>1144069656</v>
      </c>
      <c r="C316" s="0" t="n">
        <v>780</v>
      </c>
    </row>
    <row r="317" customFormat="false" ht="14.25" hidden="false" customHeight="false" outlineLevel="0" collapsed="false">
      <c r="A317" s="0" t="n">
        <v>1</v>
      </c>
      <c r="B317" s="0" t="n">
        <v>1065664139</v>
      </c>
      <c r="C317" s="0" t="n">
        <v>619</v>
      </c>
    </row>
    <row r="318" customFormat="false" ht="14.25" hidden="false" customHeight="false" outlineLevel="0" collapsed="false">
      <c r="A318" s="0" t="n">
        <v>1</v>
      </c>
      <c r="B318" s="0" t="n">
        <v>67011839</v>
      </c>
      <c r="C318" s="0" t="n">
        <v>838</v>
      </c>
    </row>
    <row r="319" customFormat="false" ht="14.25" hidden="false" customHeight="false" outlineLevel="0" collapsed="false">
      <c r="A319" s="0" t="n">
        <v>1</v>
      </c>
      <c r="B319" s="0" t="n">
        <v>30732717</v>
      </c>
      <c r="C319" s="0" t="n">
        <v>841</v>
      </c>
    </row>
    <row r="320" customFormat="false" ht="14.25" hidden="false" customHeight="false" outlineLevel="0" collapsed="false">
      <c r="A320" s="0" t="n">
        <v>1</v>
      </c>
      <c r="B320" s="0" t="n">
        <v>11830463</v>
      </c>
      <c r="C320" s="0" t="n">
        <v>686</v>
      </c>
    </row>
    <row r="321" customFormat="false" ht="14.25" hidden="false" customHeight="false" outlineLevel="0" collapsed="false">
      <c r="A321" s="0" t="n">
        <v>1</v>
      </c>
      <c r="B321" s="0" t="n">
        <v>1088281354</v>
      </c>
      <c r="C321" s="0" t="n">
        <v>960</v>
      </c>
    </row>
    <row r="322" customFormat="false" ht="14.25" hidden="false" customHeight="false" outlineLevel="0" collapsed="false">
      <c r="A322" s="0" t="n">
        <v>1</v>
      </c>
      <c r="B322" s="0" t="n">
        <v>1143832776</v>
      </c>
      <c r="C322" s="0" t="n">
        <v>733</v>
      </c>
    </row>
    <row r="323" customFormat="false" ht="14.25" hidden="false" customHeight="false" outlineLevel="0" collapsed="false">
      <c r="A323" s="0" t="n">
        <v>1</v>
      </c>
      <c r="B323" s="0" t="n">
        <v>1053796916</v>
      </c>
      <c r="C323" s="0" t="n">
        <v>839</v>
      </c>
    </row>
    <row r="324" customFormat="false" ht="14.25" hidden="false" customHeight="false" outlineLevel="0" collapsed="false">
      <c r="A324" s="0" t="n">
        <v>1</v>
      </c>
      <c r="B324" s="0" t="n">
        <v>1114457956</v>
      </c>
      <c r="C324" s="0" t="n">
        <v>841</v>
      </c>
    </row>
    <row r="325" customFormat="false" ht="14.25" hidden="false" customHeight="false" outlineLevel="0" collapsed="false">
      <c r="A325" s="0" t="n">
        <v>1</v>
      </c>
      <c r="B325" s="0" t="n">
        <v>1151934960</v>
      </c>
      <c r="C325" s="0" t="n">
        <v>850</v>
      </c>
    </row>
    <row r="326" customFormat="false" ht="14.25" hidden="false" customHeight="false" outlineLevel="0" collapsed="false">
      <c r="A326" s="0" t="n">
        <v>1</v>
      </c>
      <c r="B326" s="0" t="n">
        <v>1144179107</v>
      </c>
      <c r="C326" s="0" t="n">
        <v>710</v>
      </c>
    </row>
    <row r="327" customFormat="false" ht="14.25" hidden="false" customHeight="false" outlineLevel="0" collapsed="false">
      <c r="A327" s="0" t="n">
        <v>1</v>
      </c>
      <c r="B327" s="0" t="n">
        <v>1151953406</v>
      </c>
      <c r="C327" s="0" t="n">
        <v>791</v>
      </c>
    </row>
    <row r="328" customFormat="false" ht="14.25" hidden="false" customHeight="false" outlineLevel="0" collapsed="false">
      <c r="A328" s="0" t="n">
        <v>1</v>
      </c>
      <c r="B328" s="0" t="n">
        <v>1143853616</v>
      </c>
      <c r="C328" s="0" t="n">
        <v>900</v>
      </c>
    </row>
    <row r="329" customFormat="false" ht="14.25" hidden="false" customHeight="false" outlineLevel="0" collapsed="false">
      <c r="A329" s="0" t="n">
        <v>1</v>
      </c>
      <c r="B329" s="0" t="n">
        <v>94521503</v>
      </c>
      <c r="C329" s="0" t="n">
        <v>999</v>
      </c>
    </row>
    <row r="330" customFormat="false" ht="14.25" hidden="false" customHeight="false" outlineLevel="0" collapsed="false">
      <c r="A330" s="0" t="n">
        <v>1</v>
      </c>
      <c r="B330" s="0" t="n">
        <v>66933857</v>
      </c>
      <c r="C330" s="0" t="n">
        <v>747</v>
      </c>
    </row>
    <row r="331" customFormat="false" ht="14.25" hidden="false" customHeight="false" outlineLevel="0" collapsed="false">
      <c r="A331" s="0" t="n">
        <v>1</v>
      </c>
      <c r="B331" s="0" t="n">
        <v>1143938057</v>
      </c>
      <c r="C331" s="0" t="n">
        <v>640</v>
      </c>
    </row>
    <row r="332" customFormat="false" ht="14.25" hidden="false" customHeight="false" outlineLevel="0" collapsed="false">
      <c r="A332" s="0" t="n">
        <v>1</v>
      </c>
      <c r="B332" s="0" t="n">
        <v>1114339845</v>
      </c>
      <c r="C332" s="0" t="n">
        <v>822</v>
      </c>
    </row>
    <row r="333" customFormat="false" ht="14.25" hidden="false" customHeight="false" outlineLevel="0" collapsed="false">
      <c r="A333" s="0" t="n">
        <v>1</v>
      </c>
      <c r="B333" s="0" t="n">
        <v>66847351</v>
      </c>
      <c r="C333" s="0" t="n">
        <v>632</v>
      </c>
    </row>
    <row r="334" customFormat="false" ht="14.25" hidden="false" customHeight="false" outlineLevel="0" collapsed="false">
      <c r="A334" s="0" t="n">
        <v>1</v>
      </c>
      <c r="B334" s="0" t="n">
        <v>67040484</v>
      </c>
      <c r="C334" s="0" t="n">
        <v>665</v>
      </c>
    </row>
    <row r="335" customFormat="false" ht="14.25" hidden="false" customHeight="false" outlineLevel="0" collapsed="false">
      <c r="A335" s="0" t="n">
        <v>1</v>
      </c>
      <c r="B335" s="0" t="n">
        <v>1005967595</v>
      </c>
      <c r="C335" s="0" t="n">
        <v>800</v>
      </c>
    </row>
    <row r="336" customFormat="false" ht="14.25" hidden="false" customHeight="false" outlineLevel="0" collapsed="false">
      <c r="A336" s="0" t="n">
        <v>1</v>
      </c>
      <c r="B336" s="0" t="n">
        <v>1107529610</v>
      </c>
      <c r="C336" s="0" t="n">
        <v>699</v>
      </c>
    </row>
    <row r="337" customFormat="false" ht="14.25" hidden="false" customHeight="false" outlineLevel="0" collapsed="false">
      <c r="A337" s="0" t="n">
        <v>1</v>
      </c>
      <c r="B337" s="0" t="n">
        <v>34614231</v>
      </c>
      <c r="C337" s="0" t="n">
        <v>640</v>
      </c>
    </row>
    <row r="338" customFormat="false" ht="14.25" hidden="false" customHeight="false" outlineLevel="0" collapsed="false">
      <c r="A338" s="0" t="n">
        <v>1</v>
      </c>
      <c r="B338" s="0" t="n">
        <v>38684312</v>
      </c>
      <c r="C338" s="0" t="n">
        <v>790</v>
      </c>
    </row>
    <row r="339" customFormat="false" ht="14.25" hidden="false" customHeight="false" outlineLevel="0" collapsed="false">
      <c r="A339" s="0" t="n">
        <v>1</v>
      </c>
      <c r="B339" s="0" t="n">
        <v>1107048198</v>
      </c>
      <c r="C339" s="0" t="n">
        <v>747</v>
      </c>
    </row>
    <row r="340" customFormat="false" ht="14.25" hidden="false" customHeight="false" outlineLevel="0" collapsed="false">
      <c r="A340" s="0" t="n">
        <v>1</v>
      </c>
      <c r="B340" s="0" t="n">
        <v>38873740</v>
      </c>
      <c r="C340" s="0" t="n">
        <v>932</v>
      </c>
    </row>
    <row r="341" customFormat="false" ht="14.25" hidden="false" customHeight="false" outlineLevel="0" collapsed="false">
      <c r="A341" s="0" t="n">
        <v>1</v>
      </c>
      <c r="B341" s="0" t="n">
        <v>1144083873</v>
      </c>
      <c r="C341" s="0" t="n">
        <v>795</v>
      </c>
    </row>
    <row r="342" customFormat="false" ht="14.25" hidden="false" customHeight="false" outlineLevel="0" collapsed="false">
      <c r="A342" s="0" t="n">
        <v>1</v>
      </c>
      <c r="B342" s="0" t="n">
        <v>38684944</v>
      </c>
      <c r="C342" s="0" t="n">
        <v>706</v>
      </c>
    </row>
    <row r="343" customFormat="false" ht="14.25" hidden="false" customHeight="false" outlineLevel="0" collapsed="false">
      <c r="A343" s="0" t="n">
        <v>1</v>
      </c>
      <c r="B343" s="0" t="n">
        <v>31584732</v>
      </c>
      <c r="C343" s="0" t="n">
        <v>760</v>
      </c>
    </row>
    <row r="344" customFormat="false" ht="14.25" hidden="false" customHeight="false" outlineLevel="0" collapsed="false">
      <c r="A344" s="0" t="n">
        <v>1</v>
      </c>
      <c r="B344" s="0" t="n">
        <v>1130588719</v>
      </c>
      <c r="C344" s="0" t="n">
        <v>686</v>
      </c>
    </row>
    <row r="345" customFormat="false" ht="14.25" hidden="false" customHeight="false" outlineLevel="0" collapsed="false">
      <c r="A345" s="0" t="n">
        <v>1</v>
      </c>
      <c r="B345" s="0" t="n">
        <v>66769609</v>
      </c>
      <c r="C345" s="0" t="n">
        <v>893</v>
      </c>
    </row>
    <row r="346" customFormat="false" ht="14.25" hidden="false" customHeight="false" outlineLevel="0" collapsed="false">
      <c r="A346" s="0" t="n">
        <v>1</v>
      </c>
      <c r="B346" s="0" t="n">
        <v>1143978965</v>
      </c>
      <c r="C346" s="0" t="n">
        <v>797</v>
      </c>
    </row>
    <row r="347" customFormat="false" ht="14.25" hidden="false" customHeight="false" outlineLevel="0" collapsed="false">
      <c r="A347" s="0" t="n">
        <v>1</v>
      </c>
      <c r="B347" s="0" t="n">
        <v>66900521</v>
      </c>
      <c r="C347" s="0" t="n">
        <v>812</v>
      </c>
    </row>
    <row r="348" customFormat="false" ht="14.25" hidden="false" customHeight="false" outlineLevel="0" collapsed="false">
      <c r="A348" s="0" t="n">
        <v>1</v>
      </c>
      <c r="B348" s="0" t="n">
        <v>1113624682</v>
      </c>
      <c r="C348" s="0" t="n">
        <v>866</v>
      </c>
    </row>
    <row r="349" customFormat="false" ht="14.25" hidden="false" customHeight="false" outlineLevel="0" collapsed="false">
      <c r="A349" s="0" t="n">
        <v>1</v>
      </c>
      <c r="B349" s="0" t="n">
        <v>1143836437</v>
      </c>
      <c r="C349" s="0" t="n">
        <v>750</v>
      </c>
    </row>
    <row r="350" customFormat="false" ht="14.25" hidden="false" customHeight="false" outlineLevel="0" collapsed="false">
      <c r="A350" s="0" t="n">
        <v>1</v>
      </c>
      <c r="B350" s="0" t="n">
        <v>94378217</v>
      </c>
      <c r="C350" s="0" t="n">
        <v>866</v>
      </c>
    </row>
    <row r="351" customFormat="false" ht="14.25" hidden="false" customHeight="false" outlineLevel="0" collapsed="false">
      <c r="A351" s="0" t="n">
        <v>1</v>
      </c>
      <c r="B351" s="0" t="n">
        <v>38668565</v>
      </c>
      <c r="C351" s="0" t="n">
        <v>747</v>
      </c>
    </row>
    <row r="352" customFormat="false" ht="14.25" hidden="false" customHeight="false" outlineLevel="0" collapsed="false">
      <c r="A352" s="0" t="n">
        <v>1</v>
      </c>
      <c r="B352" s="0" t="n">
        <v>1130589776</v>
      </c>
      <c r="C352" s="0" t="n">
        <v>769</v>
      </c>
    </row>
    <row r="353" customFormat="false" ht="14.25" hidden="false" customHeight="false" outlineLevel="0" collapsed="false">
      <c r="A353" s="0" t="n">
        <v>1</v>
      </c>
      <c r="B353" s="0" t="n">
        <v>16918596</v>
      </c>
      <c r="C353" s="0" t="n">
        <v>858</v>
      </c>
    </row>
    <row r="354" customFormat="false" ht="14.25" hidden="false" customHeight="false" outlineLevel="0" collapsed="false">
      <c r="A354" s="0" t="n">
        <v>1</v>
      </c>
      <c r="B354" s="0" t="n">
        <v>16749432</v>
      </c>
      <c r="C354" s="0" t="n">
        <v>553</v>
      </c>
    </row>
    <row r="355" customFormat="false" ht="14.25" hidden="false" customHeight="false" outlineLevel="0" collapsed="false">
      <c r="A355" s="0" t="n">
        <v>1</v>
      </c>
      <c r="B355" s="0" t="n">
        <v>1130668875</v>
      </c>
      <c r="C355" s="0" t="n">
        <v>536</v>
      </c>
    </row>
    <row r="356" customFormat="false" ht="14.25" hidden="false" customHeight="false" outlineLevel="0" collapsed="false">
      <c r="A356" s="0" t="n">
        <v>1</v>
      </c>
      <c r="B356" s="0" t="n">
        <v>1108638170</v>
      </c>
      <c r="C356" s="0" t="n">
        <v>651</v>
      </c>
    </row>
    <row r="357" customFormat="false" ht="14.25" hidden="false" customHeight="false" outlineLevel="0" collapsed="false">
      <c r="A357" s="0" t="n">
        <v>1</v>
      </c>
      <c r="B357" s="0" t="n">
        <v>1130612767</v>
      </c>
      <c r="C357" s="0" t="n">
        <v>741</v>
      </c>
    </row>
    <row r="358" customFormat="false" ht="14.25" hidden="false" customHeight="false" outlineLevel="0" collapsed="false">
      <c r="A358" s="0" t="n">
        <v>1</v>
      </c>
      <c r="B358" s="0" t="n">
        <v>1112104835</v>
      </c>
      <c r="C358" s="0" t="n">
        <v>809</v>
      </c>
    </row>
    <row r="359" customFormat="false" ht="14.25" hidden="false" customHeight="false" outlineLevel="0" collapsed="false">
      <c r="A359" s="0" t="n">
        <v>1</v>
      </c>
      <c r="B359" s="0" t="n">
        <v>66960289</v>
      </c>
      <c r="C359" s="0" t="n">
        <v>880</v>
      </c>
    </row>
    <row r="360" customFormat="false" ht="14.25" hidden="false" customHeight="false" outlineLevel="0" collapsed="false">
      <c r="A360" s="0" t="n">
        <v>1</v>
      </c>
      <c r="B360" s="0" t="n">
        <v>1061772801</v>
      </c>
      <c r="C360" s="0" t="n">
        <v>756</v>
      </c>
    </row>
    <row r="361" customFormat="false" ht="14.25" hidden="false" customHeight="false" outlineLevel="0" collapsed="false">
      <c r="A361" s="0" t="n">
        <v>1</v>
      </c>
      <c r="B361" s="0" t="n">
        <v>52026283</v>
      </c>
      <c r="C361" s="0" t="n">
        <v>751</v>
      </c>
    </row>
    <row r="362" customFormat="false" ht="14.25" hidden="false" customHeight="false" outlineLevel="0" collapsed="false">
      <c r="A362" s="0" t="n">
        <v>1</v>
      </c>
      <c r="B362" s="0" t="n">
        <v>1143959417</v>
      </c>
      <c r="C362" s="0" t="n">
        <v>747</v>
      </c>
    </row>
    <row r="363" customFormat="false" ht="14.25" hidden="false" customHeight="false" outlineLevel="0" collapsed="false">
      <c r="A363" s="0" t="n">
        <v>1</v>
      </c>
      <c r="B363" s="0" t="n">
        <v>1144033001</v>
      </c>
      <c r="C363" s="0" t="n">
        <v>631</v>
      </c>
    </row>
    <row r="364" customFormat="false" ht="14.25" hidden="false" customHeight="false" outlineLevel="0" collapsed="false">
      <c r="A364" s="0" t="n">
        <v>1</v>
      </c>
      <c r="B364" s="0" t="n">
        <v>38551037</v>
      </c>
      <c r="C364" s="0" t="n">
        <v>908</v>
      </c>
    </row>
    <row r="365" customFormat="false" ht="14.25" hidden="false" customHeight="false" outlineLevel="0" collapsed="false">
      <c r="A365" s="0" t="n">
        <v>1</v>
      </c>
      <c r="B365" s="0" t="n">
        <v>66656378</v>
      </c>
      <c r="C365" s="0" t="n">
        <v>903</v>
      </c>
    </row>
    <row r="366" customFormat="false" ht="14.25" hidden="false" customHeight="false" outlineLevel="0" collapsed="false">
      <c r="A366" s="0" t="n">
        <v>1</v>
      </c>
      <c r="B366" s="0" t="n">
        <v>1144163128</v>
      </c>
      <c r="C366" s="0" t="n">
        <v>732</v>
      </c>
    </row>
    <row r="367" customFormat="false" ht="14.25" hidden="false" customHeight="false" outlineLevel="0" collapsed="false">
      <c r="A367" s="0" t="n">
        <v>1</v>
      </c>
      <c r="B367" s="0" t="n">
        <v>1151944121</v>
      </c>
      <c r="C367" s="0" t="n">
        <v>711</v>
      </c>
    </row>
    <row r="368" customFormat="false" ht="14.25" hidden="false" customHeight="false" outlineLevel="0" collapsed="false">
      <c r="A368" s="0" t="n">
        <v>1</v>
      </c>
      <c r="B368" s="0" t="n">
        <v>59801808</v>
      </c>
      <c r="C368" s="0" t="n">
        <v>999</v>
      </c>
    </row>
    <row r="369" customFormat="false" ht="14.25" hidden="false" customHeight="false" outlineLevel="0" collapsed="false">
      <c r="A369" s="0" t="n">
        <v>1</v>
      </c>
      <c r="B369" s="0" t="n">
        <v>1143843519</v>
      </c>
      <c r="C369" s="0" t="n">
        <v>619</v>
      </c>
    </row>
    <row r="370" customFormat="false" ht="14.25" hidden="false" customHeight="false" outlineLevel="0" collapsed="false">
      <c r="A370" s="0" t="n">
        <v>1</v>
      </c>
      <c r="B370" s="0" t="n">
        <v>31324751</v>
      </c>
      <c r="C370" s="0" t="n">
        <v>775</v>
      </c>
    </row>
    <row r="371" customFormat="false" ht="14.25" hidden="false" customHeight="false" outlineLevel="0" collapsed="false">
      <c r="A371" s="0" t="n">
        <v>1</v>
      </c>
      <c r="B371" s="0" t="n">
        <v>1114816139</v>
      </c>
      <c r="C371" s="0" t="n">
        <v>720</v>
      </c>
    </row>
    <row r="372" customFormat="false" ht="14.25" hidden="false" customHeight="false" outlineLevel="0" collapsed="false">
      <c r="A372" s="0" t="n">
        <v>1</v>
      </c>
      <c r="B372" s="0" t="n">
        <v>1130614258</v>
      </c>
      <c r="C372" s="0" t="n">
        <v>735</v>
      </c>
    </row>
    <row r="373" customFormat="false" ht="14.25" hidden="false" customHeight="false" outlineLevel="0" collapsed="false">
      <c r="A373" s="0" t="n">
        <v>1</v>
      </c>
      <c r="B373" s="0" t="n">
        <v>1058967701</v>
      </c>
      <c r="C373" s="0" t="n">
        <v>829</v>
      </c>
    </row>
    <row r="374" customFormat="false" ht="14.25" hidden="false" customHeight="false" outlineLevel="0" collapsed="false">
      <c r="A374" s="0" t="n">
        <v>1</v>
      </c>
      <c r="B374" s="0" t="n">
        <v>1114727465</v>
      </c>
      <c r="C374" s="0" t="n">
        <v>833</v>
      </c>
    </row>
    <row r="375" customFormat="false" ht="14.25" hidden="false" customHeight="false" outlineLevel="0" collapsed="false">
      <c r="A375" s="0" t="n">
        <v>1</v>
      </c>
      <c r="B375" s="0" t="n">
        <v>1144039965</v>
      </c>
      <c r="C375" s="0" t="n">
        <v>971</v>
      </c>
    </row>
    <row r="376" customFormat="false" ht="14.25" hidden="false" customHeight="false" outlineLevel="0" collapsed="false">
      <c r="A376" s="0" t="n">
        <v>1</v>
      </c>
      <c r="B376" s="0" t="n">
        <v>1047342178</v>
      </c>
      <c r="C376" s="0" t="n">
        <v>790</v>
      </c>
    </row>
    <row r="377" customFormat="false" ht="14.25" hidden="false" customHeight="false" outlineLevel="0" collapsed="false">
      <c r="A377" s="0" t="n">
        <v>1</v>
      </c>
      <c r="B377" s="0" t="n">
        <v>66718924</v>
      </c>
      <c r="C377" s="0" t="n">
        <v>848</v>
      </c>
    </row>
    <row r="378" customFormat="false" ht="14.25" hidden="false" customHeight="false" outlineLevel="0" collapsed="false">
      <c r="A378" s="0" t="n">
        <v>1</v>
      </c>
      <c r="B378" s="0" t="n">
        <v>1111786165</v>
      </c>
      <c r="C378" s="0" t="n">
        <v>742</v>
      </c>
    </row>
    <row r="379" customFormat="false" ht="14.25" hidden="false" customHeight="false" outlineLevel="0" collapsed="false">
      <c r="A379" s="0" t="n">
        <v>1</v>
      </c>
      <c r="B379" s="0" t="n">
        <v>67032503</v>
      </c>
      <c r="C379" s="0" t="n">
        <v>840</v>
      </c>
    </row>
    <row r="380" customFormat="false" ht="14.25" hidden="false" customHeight="false" outlineLevel="0" collapsed="false">
      <c r="A380" s="0" t="n">
        <v>1</v>
      </c>
      <c r="B380" s="0" t="n">
        <v>1151948942</v>
      </c>
      <c r="C380" s="0" t="n">
        <v>747</v>
      </c>
    </row>
    <row r="381" customFormat="false" ht="14.25" hidden="false" customHeight="false" outlineLevel="0" collapsed="false">
      <c r="A381" s="0" t="n">
        <v>1</v>
      </c>
      <c r="B381" s="0" t="n">
        <v>38683545</v>
      </c>
      <c r="C381" s="0" t="n">
        <v>864</v>
      </c>
    </row>
    <row r="382" customFormat="false" ht="14.25" hidden="false" customHeight="false" outlineLevel="0" collapsed="false">
      <c r="A382" s="0" t="n">
        <v>1</v>
      </c>
      <c r="B382" s="0" t="n">
        <v>1144151651</v>
      </c>
      <c r="C382" s="0" t="n">
        <v>775</v>
      </c>
    </row>
    <row r="383" customFormat="false" ht="14.25" hidden="false" customHeight="false" outlineLevel="0" collapsed="false">
      <c r="A383" s="0" t="n">
        <v>1</v>
      </c>
      <c r="B383" s="0" t="n">
        <v>38879179</v>
      </c>
      <c r="C383" s="0" t="n">
        <v>792</v>
      </c>
    </row>
    <row r="384" customFormat="false" ht="14.25" hidden="false" customHeight="false" outlineLevel="0" collapsed="false">
      <c r="A384" s="0" t="n">
        <v>1</v>
      </c>
      <c r="B384" s="0" t="n">
        <v>1130588075</v>
      </c>
      <c r="C384" s="0" t="n">
        <v>637</v>
      </c>
    </row>
    <row r="385" customFormat="false" ht="14.25" hidden="false" customHeight="false" outlineLevel="0" collapsed="false">
      <c r="A385" s="0" t="n">
        <v>1</v>
      </c>
      <c r="B385" s="0" t="n">
        <v>1118283599</v>
      </c>
      <c r="C385" s="0" t="n">
        <v>878</v>
      </c>
    </row>
    <row r="386" customFormat="false" ht="14.25" hidden="false" customHeight="false" outlineLevel="0" collapsed="false">
      <c r="A386" s="0" t="n">
        <v>1</v>
      </c>
      <c r="B386" s="0" t="n">
        <v>1107526302</v>
      </c>
      <c r="C386" s="0" t="n">
        <v>929</v>
      </c>
    </row>
    <row r="387" customFormat="false" ht="14.25" hidden="false" customHeight="false" outlineLevel="0" collapsed="false">
      <c r="A387" s="0" t="n">
        <v>1</v>
      </c>
      <c r="B387" s="0" t="n">
        <v>1144024028</v>
      </c>
      <c r="C387" s="0" t="n">
        <v>712</v>
      </c>
    </row>
    <row r="388" customFormat="false" ht="14.25" hidden="false" customHeight="false" outlineLevel="0" collapsed="false">
      <c r="A388" s="0" t="n">
        <v>1</v>
      </c>
      <c r="B388" s="0" t="n">
        <v>38790124</v>
      </c>
      <c r="C388" s="0" t="n">
        <v>882</v>
      </c>
    </row>
    <row r="389" customFormat="false" ht="14.25" hidden="false" customHeight="false" outlineLevel="0" collapsed="false">
      <c r="A389" s="0" t="n">
        <v>1</v>
      </c>
      <c r="B389" s="0" t="n">
        <v>1144154965</v>
      </c>
      <c r="C389" s="0" t="n">
        <v>917</v>
      </c>
    </row>
    <row r="390" customFormat="false" ht="14.25" hidden="false" customHeight="false" outlineLevel="0" collapsed="false">
      <c r="A390" s="0" t="n">
        <v>1</v>
      </c>
      <c r="B390" s="0" t="n">
        <v>29352921</v>
      </c>
      <c r="C390" s="0" t="n">
        <v>800</v>
      </c>
    </row>
    <row r="391" customFormat="false" ht="14.25" hidden="false" customHeight="false" outlineLevel="0" collapsed="false">
      <c r="A391" s="0" t="n">
        <v>1</v>
      </c>
      <c r="B391" s="0" t="n">
        <v>34515070</v>
      </c>
      <c r="C391" s="0" t="n">
        <v>625</v>
      </c>
    </row>
    <row r="392" customFormat="false" ht="14.25" hidden="false" customHeight="false" outlineLevel="0" collapsed="false">
      <c r="A392" s="0" t="n">
        <v>1</v>
      </c>
      <c r="B392" s="0" t="n">
        <v>1143834819</v>
      </c>
      <c r="C392" s="0" t="n">
        <v>799</v>
      </c>
    </row>
    <row r="393" customFormat="false" ht="14.25" hidden="false" customHeight="false" outlineLevel="0" collapsed="false">
      <c r="A393" s="0" t="n">
        <v>1</v>
      </c>
      <c r="B393" s="0" t="n">
        <v>67024289</v>
      </c>
      <c r="C393" s="0" t="n">
        <v>679</v>
      </c>
    </row>
    <row r="394" customFormat="false" ht="14.25" hidden="false" customHeight="false" outlineLevel="0" collapsed="false">
      <c r="A394" s="0" t="n">
        <v>1</v>
      </c>
      <c r="B394" s="0" t="n">
        <v>1143868606</v>
      </c>
      <c r="C394" s="0" t="n">
        <v>633</v>
      </c>
    </row>
    <row r="395" customFormat="false" ht="14.25" hidden="false" customHeight="false" outlineLevel="0" collapsed="false">
      <c r="A395" s="0" t="n">
        <v>1</v>
      </c>
      <c r="B395" s="0" t="n">
        <v>1144139928</v>
      </c>
      <c r="C395" s="0" t="n">
        <v>893</v>
      </c>
    </row>
    <row r="396" customFormat="false" ht="14.25" hidden="false" customHeight="false" outlineLevel="0" collapsed="false">
      <c r="A396" s="0" t="n">
        <v>1</v>
      </c>
      <c r="B396" s="0" t="n">
        <v>29544732</v>
      </c>
      <c r="C396" s="0" t="n">
        <v>695</v>
      </c>
    </row>
    <row r="397" customFormat="false" ht="14.25" hidden="false" customHeight="false" outlineLevel="0" collapsed="false">
      <c r="A397" s="0" t="n">
        <v>1</v>
      </c>
      <c r="B397" s="0" t="n">
        <v>1144199664</v>
      </c>
      <c r="C397" s="0" t="n">
        <v>781</v>
      </c>
    </row>
    <row r="398" customFormat="false" ht="14.25" hidden="false" customHeight="false" outlineLevel="0" collapsed="false">
      <c r="A398" s="0" t="n">
        <v>1</v>
      </c>
      <c r="B398" s="0" t="n">
        <v>1144198209</v>
      </c>
      <c r="C398" s="0" t="n">
        <v>821</v>
      </c>
    </row>
    <row r="399" customFormat="false" ht="14.25" hidden="false" customHeight="false" outlineLevel="0" collapsed="false">
      <c r="A399" s="0" t="n">
        <v>1</v>
      </c>
      <c r="B399" s="0" t="n">
        <v>16865656</v>
      </c>
      <c r="C399" s="0" t="n">
        <v>836</v>
      </c>
    </row>
    <row r="400" customFormat="false" ht="14.25" hidden="false" customHeight="false" outlineLevel="0" collapsed="false">
      <c r="A400" s="0" t="n">
        <v>1</v>
      </c>
      <c r="B400" s="0" t="n">
        <v>16729830</v>
      </c>
      <c r="C400" s="0" t="n">
        <v>945</v>
      </c>
    </row>
    <row r="401" customFormat="false" ht="14.25" hidden="false" customHeight="false" outlineLevel="0" collapsed="false">
      <c r="A401" s="0" t="n">
        <v>1</v>
      </c>
      <c r="B401" s="0" t="n">
        <v>31958544</v>
      </c>
      <c r="C401" s="0" t="n">
        <v>897</v>
      </c>
    </row>
    <row r="402" customFormat="false" ht="14.25" hidden="false" customHeight="false" outlineLevel="0" collapsed="false">
      <c r="A402" s="0" t="n">
        <v>1</v>
      </c>
      <c r="B402" s="0" t="n">
        <v>1143967622</v>
      </c>
      <c r="C402" s="0" t="n">
        <v>747</v>
      </c>
    </row>
    <row r="403" customFormat="false" ht="14.25" hidden="false" customHeight="false" outlineLevel="0" collapsed="false">
      <c r="A403" s="0" t="n">
        <v>1</v>
      </c>
      <c r="B403" s="0" t="n">
        <v>38644679</v>
      </c>
      <c r="C403" s="0" t="n">
        <v>736</v>
      </c>
    </row>
    <row r="404" customFormat="false" ht="14.25" hidden="false" customHeight="false" outlineLevel="0" collapsed="false">
      <c r="A404" s="0" t="n">
        <v>1</v>
      </c>
      <c r="B404" s="0" t="n">
        <v>1107527319</v>
      </c>
      <c r="C404" s="0" t="n">
        <v>814</v>
      </c>
    </row>
    <row r="405" customFormat="false" ht="14.25" hidden="false" customHeight="false" outlineLevel="0" collapsed="false">
      <c r="A405" s="0" t="n">
        <v>1</v>
      </c>
      <c r="B405" s="0" t="n">
        <v>34322592</v>
      </c>
      <c r="C405" s="0" t="n">
        <v>909</v>
      </c>
    </row>
    <row r="406" customFormat="false" ht="14.25" hidden="false" customHeight="false" outlineLevel="0" collapsed="false">
      <c r="A406" s="0" t="n">
        <v>1</v>
      </c>
      <c r="B406" s="0" t="n">
        <v>31998747</v>
      </c>
      <c r="C406" s="0" t="n">
        <v>999</v>
      </c>
    </row>
    <row r="407" customFormat="false" ht="14.25" hidden="false" customHeight="false" outlineLevel="0" collapsed="false">
      <c r="A407" s="0" t="n">
        <v>1</v>
      </c>
      <c r="B407" s="0" t="n">
        <v>24340972</v>
      </c>
      <c r="C407" s="0" t="n">
        <v>632</v>
      </c>
    </row>
    <row r="408" customFormat="false" ht="14.25" hidden="false" customHeight="false" outlineLevel="0" collapsed="false">
      <c r="A408" s="0" t="n">
        <v>1</v>
      </c>
      <c r="B408" s="0" t="n">
        <v>16768054</v>
      </c>
      <c r="C408" s="0" t="n">
        <v>993</v>
      </c>
    </row>
    <row r="409" customFormat="false" ht="14.25" hidden="false" customHeight="false" outlineLevel="0" collapsed="false">
      <c r="A409" s="0" t="n">
        <v>1</v>
      </c>
      <c r="B409" s="0" t="n">
        <v>1006344358</v>
      </c>
      <c r="C409" s="0" t="n">
        <v>731</v>
      </c>
    </row>
    <row r="410" customFormat="false" ht="14.25" hidden="false" customHeight="false" outlineLevel="0" collapsed="false">
      <c r="A410" s="0" t="n">
        <v>1</v>
      </c>
      <c r="B410" s="0" t="n">
        <v>1130621785</v>
      </c>
      <c r="C410" s="0" t="n">
        <v>911</v>
      </c>
    </row>
    <row r="411" customFormat="false" ht="14.25" hidden="false" customHeight="false" outlineLevel="0" collapsed="false">
      <c r="A411" s="0" t="n">
        <v>1</v>
      </c>
      <c r="B411" s="0" t="n">
        <v>1107530279</v>
      </c>
      <c r="C411" s="0" t="n">
        <v>674</v>
      </c>
    </row>
    <row r="412" customFormat="false" ht="14.25" hidden="false" customHeight="false" outlineLevel="0" collapsed="false">
      <c r="A412" s="0" t="n">
        <v>1</v>
      </c>
      <c r="B412" s="0" t="n">
        <v>34533175</v>
      </c>
      <c r="C412" s="0" t="n">
        <v>916</v>
      </c>
    </row>
    <row r="413" customFormat="false" ht="14.25" hidden="false" customHeight="false" outlineLevel="0" collapsed="false">
      <c r="A413" s="0" t="n">
        <v>1</v>
      </c>
      <c r="B413" s="0" t="n">
        <v>1144038379</v>
      </c>
      <c r="C413" s="0" t="n">
        <v>807</v>
      </c>
    </row>
    <row r="414" customFormat="false" ht="14.25" hidden="false" customHeight="false" outlineLevel="0" collapsed="false">
      <c r="A414" s="0" t="n">
        <v>1</v>
      </c>
      <c r="B414" s="0" t="n">
        <v>1143995184</v>
      </c>
      <c r="C414" s="0" t="n">
        <v>603</v>
      </c>
    </row>
    <row r="415" customFormat="false" ht="14.25" hidden="false" customHeight="false" outlineLevel="0" collapsed="false">
      <c r="A415" s="0" t="n">
        <v>1</v>
      </c>
      <c r="B415" s="0" t="n">
        <v>30332791</v>
      </c>
      <c r="C415" s="0" t="n">
        <v>863</v>
      </c>
    </row>
    <row r="416" customFormat="false" ht="14.25" hidden="false" customHeight="false" outlineLevel="0" collapsed="false">
      <c r="A416" s="0" t="n">
        <v>1</v>
      </c>
      <c r="B416" s="0" t="n">
        <v>1111540665</v>
      </c>
      <c r="C416" s="0" t="n">
        <v>613</v>
      </c>
    </row>
    <row r="417" customFormat="false" ht="14.25" hidden="false" customHeight="false" outlineLevel="0" collapsed="false">
      <c r="A417" s="0" t="n">
        <v>1</v>
      </c>
      <c r="B417" s="0" t="n">
        <v>22462719</v>
      </c>
      <c r="C417" s="0" t="n">
        <v>894</v>
      </c>
    </row>
    <row r="418" customFormat="false" ht="14.25" hidden="false" customHeight="false" outlineLevel="0" collapsed="false">
      <c r="A418" s="0" t="n">
        <v>1</v>
      </c>
      <c r="B418" s="0" t="n">
        <v>1130679086</v>
      </c>
      <c r="C418" s="0" t="n">
        <v>749</v>
      </c>
    </row>
    <row r="419" customFormat="false" ht="14.25" hidden="false" customHeight="false" outlineLevel="0" collapsed="false">
      <c r="A419" s="0" t="n">
        <v>1</v>
      </c>
      <c r="B419" s="0" t="n">
        <v>1107080128</v>
      </c>
      <c r="C419" s="0" t="n">
        <v>828</v>
      </c>
    </row>
    <row r="420" customFormat="false" ht="14.25" hidden="false" customHeight="false" outlineLevel="0" collapsed="false">
      <c r="A420" s="0" t="n">
        <v>1</v>
      </c>
      <c r="B420" s="0" t="n">
        <v>66702591</v>
      </c>
      <c r="C420" s="0" t="n">
        <v>939</v>
      </c>
    </row>
    <row r="421" customFormat="false" ht="14.25" hidden="false" customHeight="false" outlineLevel="0" collapsed="false">
      <c r="A421" s="0" t="n">
        <v>1</v>
      </c>
      <c r="B421" s="0" t="n">
        <v>1107096171</v>
      </c>
      <c r="C421" s="0" t="n">
        <v>785</v>
      </c>
    </row>
    <row r="422" customFormat="false" ht="14.25" hidden="false" customHeight="false" outlineLevel="0" collapsed="false">
      <c r="A422" s="0" t="n">
        <v>1</v>
      </c>
      <c r="B422" s="0" t="n">
        <v>1062294892</v>
      </c>
      <c r="C422" s="0" t="n">
        <v>671</v>
      </c>
    </row>
    <row r="423" customFormat="false" ht="14.25" hidden="false" customHeight="false" outlineLevel="0" collapsed="false">
      <c r="A423" s="0" t="n">
        <v>1</v>
      </c>
      <c r="B423" s="0" t="n">
        <v>1144136212</v>
      </c>
      <c r="C423" s="0" t="n">
        <v>861</v>
      </c>
    </row>
    <row r="424" customFormat="false" ht="14.25" hidden="false" customHeight="false" outlineLevel="0" collapsed="false">
      <c r="A424" s="0" t="n">
        <v>1</v>
      </c>
      <c r="B424" s="0" t="n">
        <v>52932360</v>
      </c>
      <c r="C424" s="0" t="n">
        <v>764</v>
      </c>
    </row>
    <row r="425" customFormat="false" ht="14.25" hidden="false" customHeight="false" outlineLevel="0" collapsed="false">
      <c r="A425" s="0" t="n">
        <v>1</v>
      </c>
      <c r="B425" s="0" t="n">
        <v>38464115</v>
      </c>
      <c r="C425" s="0" t="n">
        <v>841</v>
      </c>
    </row>
    <row r="426" customFormat="false" ht="14.25" hidden="false" customHeight="false" outlineLevel="0" collapsed="false">
      <c r="A426" s="0" t="n">
        <v>1</v>
      </c>
      <c r="B426" s="0" t="n">
        <v>1144075418</v>
      </c>
      <c r="C426" s="0" t="n">
        <v>794</v>
      </c>
    </row>
    <row r="427" customFormat="false" ht="14.25" hidden="false" customHeight="false" outlineLevel="0" collapsed="false">
      <c r="A427" s="0" t="n">
        <v>1</v>
      </c>
      <c r="B427" s="0" t="n">
        <v>66959438</v>
      </c>
      <c r="C427" s="0" t="n">
        <v>783</v>
      </c>
    </row>
    <row r="428" customFormat="false" ht="14.25" hidden="false" customHeight="false" outlineLevel="0" collapsed="false">
      <c r="A428" s="0" t="n">
        <v>1</v>
      </c>
      <c r="B428" s="0" t="n">
        <v>29785277</v>
      </c>
      <c r="C428" s="0" t="n">
        <v>686</v>
      </c>
    </row>
    <row r="429" customFormat="false" ht="14.25" hidden="false" customHeight="false" outlineLevel="0" collapsed="false">
      <c r="A429" s="0" t="n">
        <v>1</v>
      </c>
      <c r="B429" s="0" t="n">
        <v>38681207</v>
      </c>
      <c r="C429" s="0" t="n">
        <v>866</v>
      </c>
    </row>
    <row r="430" customFormat="false" ht="14.25" hidden="false" customHeight="false" outlineLevel="0" collapsed="false">
      <c r="A430" s="0" t="n">
        <v>1</v>
      </c>
      <c r="B430" s="0" t="n">
        <v>1113592659</v>
      </c>
      <c r="C430" s="0" t="n">
        <v>823</v>
      </c>
    </row>
    <row r="431" customFormat="false" ht="14.25" hidden="false" customHeight="false" outlineLevel="0" collapsed="false">
      <c r="A431" s="0" t="n">
        <v>1</v>
      </c>
      <c r="B431" s="0" t="n">
        <v>31305575</v>
      </c>
      <c r="C431" s="0" t="n">
        <v>632</v>
      </c>
    </row>
    <row r="432" customFormat="false" ht="14.25" hidden="false" customHeight="false" outlineLevel="0" collapsed="false">
      <c r="A432" s="0" t="n">
        <v>1</v>
      </c>
      <c r="B432" s="0" t="n">
        <v>1144029540</v>
      </c>
      <c r="C432" s="0" t="n">
        <v>719</v>
      </c>
    </row>
    <row r="433" customFormat="false" ht="14.25" hidden="false" customHeight="false" outlineLevel="0" collapsed="false">
      <c r="A433" s="0" t="n">
        <v>1</v>
      </c>
      <c r="B433" s="0" t="n">
        <v>31574118</v>
      </c>
      <c r="C433" s="0" t="n">
        <v>882</v>
      </c>
    </row>
    <row r="434" customFormat="false" ht="14.25" hidden="false" customHeight="false" outlineLevel="0" collapsed="false">
      <c r="A434" s="0" t="n">
        <v>1</v>
      </c>
      <c r="B434" s="0" t="n">
        <v>67030093</v>
      </c>
      <c r="C434" s="0" t="n">
        <v>847</v>
      </c>
    </row>
    <row r="435" customFormat="false" ht="14.25" hidden="false" customHeight="false" outlineLevel="0" collapsed="false">
      <c r="A435" s="0" t="n">
        <v>1</v>
      </c>
      <c r="B435" s="0" t="n">
        <v>1130631347</v>
      </c>
      <c r="C435" s="0" t="n">
        <v>589</v>
      </c>
    </row>
    <row r="436" customFormat="false" ht="14.25" hidden="false" customHeight="false" outlineLevel="0" collapsed="false">
      <c r="A436" s="0" t="n">
        <v>1</v>
      </c>
      <c r="B436" s="0" t="n">
        <v>1143874908</v>
      </c>
      <c r="C436" s="0" t="n">
        <v>573</v>
      </c>
    </row>
    <row r="437" customFormat="false" ht="14.25" hidden="false" customHeight="false" outlineLevel="0" collapsed="false">
      <c r="A437" s="0" t="n">
        <v>1</v>
      </c>
      <c r="B437" s="0" t="n">
        <v>14465776</v>
      </c>
      <c r="C437" s="0" t="n">
        <v>762</v>
      </c>
    </row>
    <row r="438" customFormat="false" ht="14.25" hidden="false" customHeight="false" outlineLevel="0" collapsed="false">
      <c r="A438" s="0" t="n">
        <v>1</v>
      </c>
      <c r="B438" s="0" t="n">
        <v>1112465088</v>
      </c>
      <c r="C438" s="0" t="n">
        <v>837</v>
      </c>
    </row>
    <row r="439" customFormat="false" ht="14.25" hidden="false" customHeight="false" outlineLevel="0" collapsed="false">
      <c r="A439" s="0" t="n">
        <v>1</v>
      </c>
      <c r="B439" s="0" t="n">
        <v>1116723361</v>
      </c>
      <c r="C439" s="0" t="n">
        <v>771</v>
      </c>
    </row>
    <row r="440" customFormat="false" ht="14.25" hidden="false" customHeight="false" outlineLevel="0" collapsed="false">
      <c r="A440" s="0" t="n">
        <v>1</v>
      </c>
      <c r="B440" s="0" t="n">
        <v>31530816</v>
      </c>
      <c r="C440" s="0" t="n">
        <v>808</v>
      </c>
    </row>
    <row r="441" customFormat="false" ht="14.25" hidden="false" customHeight="false" outlineLevel="0" collapsed="false">
      <c r="A441" s="0" t="n">
        <v>1</v>
      </c>
      <c r="B441" s="0" t="n">
        <v>38644539</v>
      </c>
      <c r="C441" s="0" t="n">
        <v>737</v>
      </c>
    </row>
    <row r="442" customFormat="false" ht="14.25" hidden="false" customHeight="false" outlineLevel="0" collapsed="false">
      <c r="A442" s="0" t="n">
        <v>1</v>
      </c>
      <c r="B442" s="0" t="n">
        <v>1144180163</v>
      </c>
      <c r="C442" s="0" t="n">
        <v>724</v>
      </c>
    </row>
    <row r="443" customFormat="false" ht="14.25" hidden="false" customHeight="false" outlineLevel="0" collapsed="false">
      <c r="A443" s="0" t="n">
        <v>1</v>
      </c>
      <c r="B443" s="0" t="n">
        <v>1116267848</v>
      </c>
      <c r="C443" s="0" t="n">
        <v>834</v>
      </c>
    </row>
    <row r="444" customFormat="false" ht="14.25" hidden="false" customHeight="false" outlineLevel="0" collapsed="false">
      <c r="A444" s="0" t="n">
        <v>1</v>
      </c>
      <c r="B444" s="0" t="n">
        <v>1144065325</v>
      </c>
      <c r="C444" s="0" t="n">
        <v>726</v>
      </c>
    </row>
    <row r="445" customFormat="false" ht="14.25" hidden="false" customHeight="false" outlineLevel="0" collapsed="false">
      <c r="A445" s="0" t="n">
        <v>1</v>
      </c>
      <c r="B445" s="0" t="n">
        <v>16379970</v>
      </c>
      <c r="C445" s="0" t="n">
        <v>999</v>
      </c>
    </row>
    <row r="446" customFormat="false" ht="14.25" hidden="false" customHeight="false" outlineLevel="0" collapsed="false">
      <c r="A446" s="0" t="n">
        <v>1</v>
      </c>
      <c r="B446" s="0" t="n">
        <v>1143840832</v>
      </c>
      <c r="C446" s="0" t="n">
        <v>877</v>
      </c>
    </row>
    <row r="447" customFormat="false" ht="14.25" hidden="false" customHeight="false" outlineLevel="0" collapsed="false">
      <c r="A447" s="0" t="n">
        <v>1</v>
      </c>
      <c r="B447" s="0" t="n">
        <v>1151946155</v>
      </c>
      <c r="C447" s="0" t="n">
        <v>573</v>
      </c>
    </row>
    <row r="448" customFormat="false" ht="14.25" hidden="false" customHeight="false" outlineLevel="0" collapsed="false">
      <c r="A448" s="0" t="n">
        <v>1</v>
      </c>
      <c r="B448" s="0" t="n">
        <v>1107055122</v>
      </c>
      <c r="C448" s="0" t="n">
        <v>821</v>
      </c>
    </row>
    <row r="449" customFormat="false" ht="14.25" hidden="false" customHeight="false" outlineLevel="0" collapsed="false">
      <c r="A449" s="0" t="n">
        <v>1</v>
      </c>
      <c r="B449" s="0" t="n">
        <v>25287875</v>
      </c>
      <c r="C449" s="0" t="n">
        <v>841</v>
      </c>
    </row>
    <row r="450" customFormat="false" ht="14.25" hidden="false" customHeight="false" outlineLevel="0" collapsed="false">
      <c r="A450" s="0" t="n">
        <v>1</v>
      </c>
      <c r="B450" s="0" t="n">
        <v>1061818745</v>
      </c>
      <c r="C450" s="0" t="n">
        <v>683</v>
      </c>
    </row>
    <row r="451" customFormat="false" ht="14.25" hidden="false" customHeight="false" outlineLevel="0" collapsed="false">
      <c r="A451" s="0" t="n">
        <v>1</v>
      </c>
      <c r="B451" s="0" t="n">
        <v>36175046</v>
      </c>
      <c r="C451" s="0" t="n">
        <v>999</v>
      </c>
    </row>
    <row r="452" customFormat="false" ht="14.25" hidden="false" customHeight="false" outlineLevel="0" collapsed="false">
      <c r="A452" s="0" t="n">
        <v>1</v>
      </c>
      <c r="B452" s="0" t="n">
        <v>1005967323</v>
      </c>
      <c r="C452" s="0" t="n">
        <v>691</v>
      </c>
    </row>
    <row r="453" customFormat="false" ht="14.25" hidden="false" customHeight="false" outlineLevel="0" collapsed="false">
      <c r="A453" s="0" t="n">
        <v>1</v>
      </c>
      <c r="B453" s="0" t="n">
        <v>1144086307</v>
      </c>
      <c r="C453" s="0" t="n">
        <v>827</v>
      </c>
    </row>
    <row r="454" customFormat="false" ht="14.25" hidden="false" customHeight="false" outlineLevel="0" collapsed="false">
      <c r="A454" s="0" t="n">
        <v>1</v>
      </c>
      <c r="B454" s="0" t="n">
        <v>1151953084</v>
      </c>
      <c r="C454" s="0" t="n">
        <v>866</v>
      </c>
    </row>
    <row r="455" customFormat="false" ht="14.25" hidden="false" customHeight="false" outlineLevel="0" collapsed="false">
      <c r="A455" s="0" t="n">
        <v>1</v>
      </c>
      <c r="B455" s="0" t="n">
        <v>1130683942</v>
      </c>
      <c r="C455" s="0" t="n">
        <v>665</v>
      </c>
    </row>
    <row r="456" customFormat="false" ht="14.25" hidden="false" customHeight="false" outlineLevel="0" collapsed="false">
      <c r="A456" s="0" t="n">
        <v>1</v>
      </c>
      <c r="B456" s="0" t="n">
        <v>1143840210</v>
      </c>
      <c r="C456" s="0" t="n">
        <v>886</v>
      </c>
    </row>
    <row r="457" customFormat="false" ht="14.25" hidden="false" customHeight="false" outlineLevel="0" collapsed="false">
      <c r="A457" s="0" t="n">
        <v>1</v>
      </c>
      <c r="B457" s="0" t="n">
        <v>94413398</v>
      </c>
      <c r="C457" s="0" t="n">
        <v>893</v>
      </c>
    </row>
    <row r="458" customFormat="false" ht="14.25" hidden="false" customHeight="false" outlineLevel="0" collapsed="false">
      <c r="A458" s="0" t="n">
        <v>1</v>
      </c>
      <c r="B458" s="0" t="n">
        <v>1130614799</v>
      </c>
      <c r="C458" s="0" t="n">
        <v>476</v>
      </c>
    </row>
    <row r="459" customFormat="false" ht="14.25" hidden="false" customHeight="false" outlineLevel="0" collapsed="false">
      <c r="A459" s="0" t="n">
        <v>1</v>
      </c>
      <c r="B459" s="0" t="n">
        <v>1085252948</v>
      </c>
      <c r="C459" s="0" t="n">
        <v>996</v>
      </c>
    </row>
    <row r="460" customFormat="false" ht="14.25" hidden="false" customHeight="false" outlineLevel="0" collapsed="false">
      <c r="A460" s="0" t="n">
        <v>1</v>
      </c>
      <c r="B460" s="0" t="n">
        <v>1116130515</v>
      </c>
      <c r="C460" s="0" t="n">
        <v>686</v>
      </c>
    </row>
    <row r="461" customFormat="false" ht="14.25" hidden="false" customHeight="false" outlineLevel="0" collapsed="false">
      <c r="A461" s="0" t="n">
        <v>1</v>
      </c>
      <c r="B461" s="0" t="n">
        <v>1144075435</v>
      </c>
      <c r="C461" s="0" t="n">
        <v>705</v>
      </c>
    </row>
    <row r="462" customFormat="false" ht="14.25" hidden="false" customHeight="false" outlineLevel="0" collapsed="false">
      <c r="A462" s="0" t="n">
        <v>1</v>
      </c>
      <c r="B462" s="0" t="n">
        <v>1079655957</v>
      </c>
      <c r="C462" s="0" t="n">
        <v>491</v>
      </c>
    </row>
    <row r="463" customFormat="false" ht="14.25" hidden="false" customHeight="false" outlineLevel="0" collapsed="false">
      <c r="A463" s="0" t="n">
        <v>1</v>
      </c>
      <c r="B463" s="0" t="n">
        <v>1097389965</v>
      </c>
      <c r="C463" s="0" t="n">
        <v>797</v>
      </c>
    </row>
    <row r="464" customFormat="false" ht="14.25" hidden="false" customHeight="false" outlineLevel="0" collapsed="false">
      <c r="A464" s="0" t="n">
        <v>1</v>
      </c>
      <c r="B464" s="0" t="n">
        <v>94072107</v>
      </c>
      <c r="C464" s="0" t="n">
        <v>665</v>
      </c>
    </row>
    <row r="465" customFormat="false" ht="14.25" hidden="false" customHeight="false" outlineLevel="0" collapsed="false">
      <c r="A465" s="0" t="n">
        <v>1</v>
      </c>
      <c r="B465" s="0" t="n">
        <v>31532714</v>
      </c>
      <c r="C465" s="0" t="n">
        <v>665</v>
      </c>
    </row>
    <row r="466" customFormat="false" ht="14.25" hidden="false" customHeight="false" outlineLevel="0" collapsed="false">
      <c r="A466" s="0" t="n">
        <v>1</v>
      </c>
      <c r="B466" s="0" t="n">
        <v>1144057759</v>
      </c>
      <c r="C466" s="0" t="n">
        <v>675</v>
      </c>
    </row>
    <row r="467" customFormat="false" ht="14.25" hidden="false" customHeight="false" outlineLevel="0" collapsed="false">
      <c r="A467" s="0" t="n">
        <v>1</v>
      </c>
      <c r="B467" s="0" t="n">
        <v>43976423</v>
      </c>
      <c r="C467" s="0" t="n">
        <v>801</v>
      </c>
    </row>
    <row r="468" customFormat="false" ht="14.25" hidden="false" customHeight="false" outlineLevel="0" collapsed="false">
      <c r="A468" s="0" t="n">
        <v>1</v>
      </c>
      <c r="B468" s="0" t="n">
        <v>45556004</v>
      </c>
      <c r="C468" s="0" t="n">
        <v>924</v>
      </c>
    </row>
    <row r="469" customFormat="false" ht="14.25" hidden="false" customHeight="false" outlineLevel="0" collapsed="false">
      <c r="A469" s="0" t="n">
        <v>1</v>
      </c>
      <c r="B469" s="0" t="n">
        <v>1006233140</v>
      </c>
      <c r="C469" s="0" t="n">
        <v>706</v>
      </c>
    </row>
    <row r="470" customFormat="false" ht="14.25" hidden="false" customHeight="false" outlineLevel="0" collapsed="false">
      <c r="A470" s="0" t="n">
        <v>1</v>
      </c>
      <c r="B470" s="0" t="n">
        <v>1130589667</v>
      </c>
      <c r="C470" s="0" t="n">
        <v>647</v>
      </c>
    </row>
    <row r="471" customFormat="false" ht="14.25" hidden="false" customHeight="false" outlineLevel="0" collapsed="false">
      <c r="A471" s="0" t="n">
        <v>1</v>
      </c>
      <c r="B471" s="0" t="n">
        <v>1144160285</v>
      </c>
      <c r="C471" s="0" t="n">
        <v>611</v>
      </c>
    </row>
    <row r="472" customFormat="false" ht="14.25" hidden="false" customHeight="false" outlineLevel="0" collapsed="false">
      <c r="A472" s="0" t="n">
        <v>1</v>
      </c>
      <c r="B472" s="0" t="n">
        <v>1123201722</v>
      </c>
      <c r="C472" s="0" t="n">
        <v>845</v>
      </c>
    </row>
    <row r="473" customFormat="false" ht="14.25" hidden="false" customHeight="false" outlineLevel="0" collapsed="false">
      <c r="A473" s="0" t="n">
        <v>1</v>
      </c>
      <c r="B473" s="0" t="n">
        <v>29119003</v>
      </c>
      <c r="C473" s="0" t="n">
        <v>611</v>
      </c>
    </row>
    <row r="474" customFormat="false" ht="14.25" hidden="false" customHeight="false" outlineLevel="0" collapsed="false">
      <c r="A474" s="0" t="n">
        <v>1</v>
      </c>
      <c r="B474" s="0" t="n">
        <v>6355880</v>
      </c>
      <c r="C474" s="0" t="n">
        <v>678</v>
      </c>
    </row>
    <row r="475" customFormat="false" ht="14.25" hidden="false" customHeight="false" outlineLevel="0" collapsed="false">
      <c r="A475" s="0" t="n">
        <v>1</v>
      </c>
      <c r="B475" s="0" t="n">
        <v>34674541</v>
      </c>
      <c r="C475" s="0" t="n">
        <v>838</v>
      </c>
    </row>
    <row r="476" customFormat="false" ht="14.25" hidden="false" customHeight="false" outlineLevel="0" collapsed="false">
      <c r="A476" s="0" t="n">
        <v>1</v>
      </c>
      <c r="B476" s="0" t="n">
        <v>1118295742</v>
      </c>
      <c r="C476" s="0" t="n">
        <v>868</v>
      </c>
    </row>
    <row r="477" customFormat="false" ht="14.25" hidden="false" customHeight="false" outlineLevel="0" collapsed="false">
      <c r="A477" s="0" t="n">
        <v>1</v>
      </c>
      <c r="B477" s="0" t="n">
        <v>1151936475</v>
      </c>
      <c r="C477" s="0" t="n">
        <v>881</v>
      </c>
    </row>
    <row r="478" customFormat="false" ht="14.25" hidden="false" customHeight="false" outlineLevel="0" collapsed="false">
      <c r="A478" s="0" t="n">
        <v>1</v>
      </c>
      <c r="B478" s="0" t="n">
        <v>1130683767</v>
      </c>
      <c r="C478" s="0" t="n">
        <v>976</v>
      </c>
    </row>
    <row r="479" customFormat="false" ht="14.25" hidden="false" customHeight="false" outlineLevel="0" collapsed="false">
      <c r="A479" s="0" t="n">
        <v>1</v>
      </c>
      <c r="B479" s="0" t="n">
        <v>16776926</v>
      </c>
      <c r="C479" s="0" t="n">
        <v>837</v>
      </c>
    </row>
    <row r="480" customFormat="false" ht="14.25" hidden="false" customHeight="false" outlineLevel="0" collapsed="false">
      <c r="A480" s="0" t="n">
        <v>1</v>
      </c>
      <c r="B480" s="0" t="n">
        <v>66983355</v>
      </c>
      <c r="C480" s="0" t="n">
        <v>923</v>
      </c>
    </row>
    <row r="481" customFormat="false" ht="14.25" hidden="false" customHeight="false" outlineLevel="0" collapsed="false">
      <c r="A481" s="0" t="n">
        <v>1</v>
      </c>
      <c r="B481" s="0" t="n">
        <v>1107064974</v>
      </c>
      <c r="C481" s="0" t="n">
        <v>880</v>
      </c>
    </row>
    <row r="482" customFormat="false" ht="14.25" hidden="false" customHeight="false" outlineLevel="0" collapsed="false">
      <c r="A482" s="0" t="n">
        <v>1</v>
      </c>
      <c r="B482" s="0" t="n">
        <v>1144143175</v>
      </c>
      <c r="C482" s="0" t="n">
        <v>774</v>
      </c>
    </row>
    <row r="483" customFormat="false" ht="14.25" hidden="false" customHeight="false" outlineLevel="0" collapsed="false">
      <c r="A483" s="0" t="n">
        <v>1</v>
      </c>
      <c r="B483" s="0" t="n">
        <v>67026475</v>
      </c>
      <c r="C483" s="0" t="n">
        <v>744</v>
      </c>
    </row>
    <row r="484" customFormat="false" ht="14.25" hidden="false" customHeight="false" outlineLevel="0" collapsed="false">
      <c r="A484" s="0" t="n">
        <v>1</v>
      </c>
      <c r="B484" s="0" t="n">
        <v>1143867339</v>
      </c>
      <c r="C484" s="0" t="n">
        <v>884</v>
      </c>
    </row>
    <row r="485" customFormat="false" ht="14.25" hidden="false" customHeight="false" outlineLevel="0" collapsed="false">
      <c r="A485" s="0" t="n">
        <v>1</v>
      </c>
      <c r="B485" s="0" t="n">
        <v>1144158585</v>
      </c>
      <c r="C485" s="0" t="n">
        <v>724</v>
      </c>
    </row>
    <row r="486" customFormat="false" ht="14.25" hidden="false" customHeight="false" outlineLevel="0" collapsed="false">
      <c r="A486" s="0" t="n">
        <v>1</v>
      </c>
      <c r="B486" s="0" t="n">
        <v>1020719516</v>
      </c>
      <c r="C486" s="0" t="n">
        <v>699</v>
      </c>
    </row>
    <row r="487" customFormat="false" ht="14.25" hidden="false" customHeight="false" outlineLevel="0" collapsed="false">
      <c r="A487" s="0" t="n">
        <v>1</v>
      </c>
      <c r="B487" s="0" t="n">
        <v>1116267571</v>
      </c>
      <c r="C487" s="0" t="n">
        <v>758</v>
      </c>
    </row>
    <row r="488" customFormat="false" ht="14.25" hidden="false" customHeight="false" outlineLevel="0" collapsed="false">
      <c r="A488" s="0" t="n">
        <v>1</v>
      </c>
      <c r="B488" s="0" t="n">
        <v>1193575066</v>
      </c>
      <c r="C488" s="0" t="n">
        <v>812</v>
      </c>
    </row>
    <row r="489" customFormat="false" ht="14.25" hidden="false" customHeight="false" outlineLevel="0" collapsed="false">
      <c r="A489" s="0" t="n">
        <v>1</v>
      </c>
      <c r="B489" s="0" t="n">
        <v>1130622237</v>
      </c>
      <c r="C489" s="0" t="n">
        <v>900</v>
      </c>
    </row>
    <row r="490" customFormat="false" ht="14.25" hidden="false" customHeight="false" outlineLevel="0" collapsed="false">
      <c r="A490" s="0" t="n">
        <v>1</v>
      </c>
      <c r="B490" s="0" t="n">
        <v>1143991158</v>
      </c>
      <c r="C490" s="0" t="n">
        <v>696</v>
      </c>
    </row>
    <row r="491" customFormat="false" ht="14.25" hidden="false" customHeight="false" outlineLevel="0" collapsed="false">
      <c r="A491" s="0" t="n">
        <v>1</v>
      </c>
      <c r="B491" s="0" t="n">
        <v>1144150087</v>
      </c>
      <c r="C491" s="0" t="n">
        <v>799</v>
      </c>
    </row>
    <row r="492" customFormat="false" ht="14.25" hidden="false" customHeight="false" outlineLevel="0" collapsed="false">
      <c r="A492" s="0" t="n">
        <v>1</v>
      </c>
      <c r="B492" s="0" t="n">
        <v>9104444</v>
      </c>
      <c r="C492" s="0" t="n">
        <v>598</v>
      </c>
    </row>
    <row r="493" customFormat="false" ht="14.25" hidden="false" customHeight="false" outlineLevel="0" collapsed="false">
      <c r="A493" s="0" t="n">
        <v>1</v>
      </c>
      <c r="B493" s="0" t="n">
        <v>38613192</v>
      </c>
      <c r="C493" s="0" t="n">
        <v>852</v>
      </c>
    </row>
    <row r="494" customFormat="false" ht="14.25" hidden="false" customHeight="false" outlineLevel="0" collapsed="false">
      <c r="A494" s="0" t="n">
        <v>1</v>
      </c>
      <c r="B494" s="0" t="n">
        <v>66704767</v>
      </c>
      <c r="C494" s="0" t="n">
        <v>696</v>
      </c>
    </row>
    <row r="495" customFormat="false" ht="14.25" hidden="false" customHeight="false" outlineLevel="0" collapsed="false">
      <c r="A495" s="0" t="n">
        <v>1</v>
      </c>
      <c r="B495" s="0" t="n">
        <v>1002936067</v>
      </c>
      <c r="C495" s="0" t="n">
        <v>651</v>
      </c>
    </row>
    <row r="496" customFormat="false" ht="14.25" hidden="false" customHeight="false" outlineLevel="0" collapsed="false">
      <c r="A496" s="0" t="n">
        <v>1</v>
      </c>
      <c r="B496" s="0" t="n">
        <v>1107078179</v>
      </c>
      <c r="C496" s="0" t="n">
        <v>687</v>
      </c>
    </row>
    <row r="497" customFormat="false" ht="14.25" hidden="false" customHeight="false" outlineLevel="0" collapsed="false">
      <c r="A497" s="0" t="n">
        <v>1</v>
      </c>
      <c r="B497" s="0" t="n">
        <v>1062308316</v>
      </c>
      <c r="C497" s="0" t="n">
        <v>874</v>
      </c>
    </row>
    <row r="498" customFormat="false" ht="14.25" hidden="false" customHeight="false" outlineLevel="0" collapsed="false">
      <c r="A498" s="0" t="n">
        <v>1</v>
      </c>
      <c r="B498" s="0" t="n">
        <v>66939312</v>
      </c>
      <c r="C498" s="0" t="n">
        <v>973</v>
      </c>
    </row>
    <row r="499" customFormat="false" ht="14.25" hidden="false" customHeight="false" outlineLevel="0" collapsed="false">
      <c r="A499" s="0" t="n">
        <v>1</v>
      </c>
      <c r="B499" s="0" t="n">
        <v>1130661546</v>
      </c>
      <c r="C499" s="0" t="n">
        <v>814</v>
      </c>
    </row>
    <row r="500" customFormat="false" ht="14.25" hidden="false" customHeight="false" outlineLevel="0" collapsed="false">
      <c r="A500" s="0" t="n">
        <v>1</v>
      </c>
      <c r="B500" s="0" t="n">
        <v>1118293988</v>
      </c>
      <c r="C500" s="0" t="n">
        <v>829</v>
      </c>
    </row>
    <row r="501" customFormat="false" ht="14.25" hidden="false" customHeight="false" outlineLevel="0" collapsed="false">
      <c r="A501" s="0" t="n">
        <v>1</v>
      </c>
      <c r="B501" s="0" t="n">
        <v>38554243</v>
      </c>
      <c r="C501" s="0" t="n">
        <v>702</v>
      </c>
    </row>
    <row r="502" customFormat="false" ht="14.25" hidden="false" customHeight="false" outlineLevel="0" collapsed="false">
      <c r="A502" s="0" t="n">
        <v>1</v>
      </c>
      <c r="B502" s="0" t="n">
        <v>1130653364</v>
      </c>
      <c r="C502" s="0" t="n">
        <v>793</v>
      </c>
    </row>
    <row r="503" customFormat="false" ht="14.25" hidden="false" customHeight="false" outlineLevel="0" collapsed="false">
      <c r="A503" s="0" t="n">
        <v>1</v>
      </c>
      <c r="B503" s="0" t="n">
        <v>1143972695</v>
      </c>
      <c r="C503" s="0" t="n">
        <v>747</v>
      </c>
    </row>
    <row r="504" customFormat="false" ht="14.25" hidden="false" customHeight="false" outlineLevel="0" collapsed="false">
      <c r="A504" s="0" t="n">
        <v>1</v>
      </c>
      <c r="B504" s="0" t="n">
        <v>1112470207</v>
      </c>
      <c r="C504" s="0" t="n">
        <v>805</v>
      </c>
    </row>
    <row r="505" customFormat="false" ht="14.25" hidden="false" customHeight="false" outlineLevel="0" collapsed="false">
      <c r="A505" s="0" t="n">
        <v>1</v>
      </c>
      <c r="B505" s="0" t="n">
        <v>66866459</v>
      </c>
      <c r="C505" s="0" t="n">
        <v>751</v>
      </c>
    </row>
    <row r="506" customFormat="false" ht="14.25" hidden="false" customHeight="false" outlineLevel="0" collapsed="false">
      <c r="A506" s="0" t="n">
        <v>1</v>
      </c>
      <c r="B506" s="0" t="n">
        <v>10280915</v>
      </c>
      <c r="C506" s="0" t="n">
        <v>901</v>
      </c>
    </row>
    <row r="507" customFormat="false" ht="14.25" hidden="false" customHeight="false" outlineLevel="0" collapsed="false">
      <c r="A507" s="0" t="n">
        <v>1</v>
      </c>
      <c r="B507" s="0" t="n">
        <v>52968326</v>
      </c>
      <c r="C507" s="0" t="n">
        <v>805</v>
      </c>
    </row>
    <row r="508" customFormat="false" ht="14.25" hidden="false" customHeight="false" outlineLevel="0" collapsed="false">
      <c r="A508" s="0" t="n">
        <v>1</v>
      </c>
      <c r="B508" s="0" t="n">
        <v>38557635</v>
      </c>
      <c r="C508" s="0" t="n">
        <v>619</v>
      </c>
    </row>
    <row r="509" customFormat="false" ht="14.25" hidden="false" customHeight="false" outlineLevel="0" collapsed="false">
      <c r="A509" s="0" t="n">
        <v>1</v>
      </c>
      <c r="B509" s="0" t="n">
        <v>1033654195</v>
      </c>
      <c r="C509" s="0" t="n">
        <v>611</v>
      </c>
    </row>
    <row r="510" customFormat="false" ht="14.25" hidden="false" customHeight="false" outlineLevel="0" collapsed="false">
      <c r="A510" s="0" t="n">
        <v>1</v>
      </c>
      <c r="B510" s="0" t="n">
        <v>1144062811</v>
      </c>
      <c r="C510" s="0" t="n">
        <v>473</v>
      </c>
    </row>
    <row r="511" customFormat="false" ht="14.25" hidden="false" customHeight="false" outlineLevel="0" collapsed="false">
      <c r="A511" s="0" t="n">
        <v>1</v>
      </c>
      <c r="B511" s="0" t="n">
        <v>1130648286</v>
      </c>
      <c r="C511" s="0" t="n">
        <v>686</v>
      </c>
    </row>
    <row r="512" customFormat="false" ht="14.25" hidden="false" customHeight="false" outlineLevel="0" collapsed="false">
      <c r="A512" s="0" t="n">
        <v>1</v>
      </c>
      <c r="B512" s="0" t="n">
        <v>38563552</v>
      </c>
      <c r="C512" s="0" t="n">
        <v>982</v>
      </c>
    </row>
    <row r="513" customFormat="false" ht="14.25" hidden="false" customHeight="false" outlineLevel="0" collapsed="false">
      <c r="A513" s="0" t="n">
        <v>1</v>
      </c>
      <c r="B513" s="0" t="n">
        <v>1130679405</v>
      </c>
      <c r="C513" s="0" t="n">
        <v>843</v>
      </c>
    </row>
    <row r="514" customFormat="false" ht="14.25" hidden="false" customHeight="false" outlineLevel="0" collapsed="false">
      <c r="A514" s="0" t="n">
        <v>1</v>
      </c>
      <c r="B514" s="0" t="n">
        <v>34564166</v>
      </c>
      <c r="C514" s="0" t="n">
        <v>823</v>
      </c>
    </row>
    <row r="515" customFormat="false" ht="14.25" hidden="false" customHeight="false" outlineLevel="0" collapsed="false">
      <c r="A515" s="0" t="n">
        <v>1</v>
      </c>
      <c r="B515" s="0" t="n">
        <v>1107099311</v>
      </c>
      <c r="C515" s="0" t="n">
        <v>716</v>
      </c>
    </row>
    <row r="516" customFormat="false" ht="14.25" hidden="false" customHeight="false" outlineLevel="0" collapsed="false">
      <c r="A516" s="0" t="n">
        <v>1</v>
      </c>
      <c r="B516" s="0" t="n">
        <v>37317417</v>
      </c>
      <c r="C516" s="0" t="n">
        <v>741</v>
      </c>
    </row>
    <row r="517" customFormat="false" ht="14.25" hidden="false" customHeight="false" outlineLevel="0" collapsed="false">
      <c r="A517" s="0" t="n">
        <v>1</v>
      </c>
      <c r="B517" s="0" t="n">
        <v>31980650</v>
      </c>
      <c r="C517" s="0" t="n">
        <v>828</v>
      </c>
    </row>
    <row r="518" customFormat="false" ht="14.25" hidden="false" customHeight="false" outlineLevel="0" collapsed="false">
      <c r="A518" s="0" t="n">
        <v>1</v>
      </c>
      <c r="B518" s="0" t="n">
        <v>1110363150</v>
      </c>
      <c r="C518" s="0" t="n">
        <v>678</v>
      </c>
    </row>
    <row r="519" customFormat="false" ht="14.25" hidden="false" customHeight="false" outlineLevel="0" collapsed="false">
      <c r="A519" s="0" t="n">
        <v>1</v>
      </c>
      <c r="B519" s="0" t="n">
        <v>1144189435</v>
      </c>
      <c r="C519" s="0" t="n">
        <v>778</v>
      </c>
    </row>
    <row r="520" customFormat="false" ht="14.25" hidden="false" customHeight="false" outlineLevel="0" collapsed="false">
      <c r="A520" s="0" t="n">
        <v>1</v>
      </c>
      <c r="B520" s="0" t="n">
        <v>38613482</v>
      </c>
      <c r="C520" s="0" t="n">
        <v>665</v>
      </c>
    </row>
    <row r="521" customFormat="false" ht="14.25" hidden="false" customHeight="false" outlineLevel="0" collapsed="false">
      <c r="A521" s="0" t="n">
        <v>1</v>
      </c>
      <c r="B521" s="0" t="n">
        <v>1143944606</v>
      </c>
      <c r="C521" s="0" t="n">
        <v>632</v>
      </c>
    </row>
    <row r="522" customFormat="false" ht="14.25" hidden="false" customHeight="false" outlineLevel="0" collapsed="false">
      <c r="A522" s="0" t="n">
        <v>1</v>
      </c>
      <c r="B522" s="0" t="n">
        <v>1143963761</v>
      </c>
      <c r="C522" s="0" t="n">
        <v>777</v>
      </c>
    </row>
    <row r="523" customFormat="false" ht="14.25" hidden="false" customHeight="false" outlineLevel="0" collapsed="false">
      <c r="A523" s="0" t="n">
        <v>1</v>
      </c>
      <c r="B523" s="0" t="n">
        <v>31907533</v>
      </c>
      <c r="C523" s="0" t="n">
        <v>767</v>
      </c>
    </row>
    <row r="524" customFormat="false" ht="14.25" hidden="false" customHeight="false" outlineLevel="0" collapsed="false">
      <c r="A524" s="0" t="n">
        <v>1</v>
      </c>
      <c r="B524" s="0" t="n">
        <v>67023070</v>
      </c>
      <c r="C524" s="0" t="n">
        <v>666</v>
      </c>
    </row>
    <row r="525" customFormat="false" ht="14.25" hidden="false" customHeight="false" outlineLevel="0" collapsed="false">
      <c r="A525" s="0" t="n">
        <v>1</v>
      </c>
      <c r="B525" s="0" t="n">
        <v>94537451</v>
      </c>
      <c r="C525" s="0" t="n">
        <v>888</v>
      </c>
    </row>
    <row r="526" customFormat="false" ht="14.25" hidden="false" customHeight="false" outlineLevel="0" collapsed="false">
      <c r="A526" s="0" t="n">
        <v>1</v>
      </c>
      <c r="B526" s="0" t="n">
        <v>1130679836</v>
      </c>
      <c r="C526" s="0" t="n">
        <v>847</v>
      </c>
    </row>
    <row r="527" customFormat="false" ht="14.25" hidden="false" customHeight="false" outlineLevel="0" collapsed="false">
      <c r="A527" s="0" t="n">
        <v>1</v>
      </c>
      <c r="B527" s="0" t="n">
        <v>1143946545</v>
      </c>
      <c r="C527" s="0" t="n">
        <v>909</v>
      </c>
    </row>
    <row r="528" customFormat="false" ht="14.25" hidden="false" customHeight="false" outlineLevel="0" collapsed="false">
      <c r="A528" s="0" t="n">
        <v>1</v>
      </c>
      <c r="B528" s="0" t="n">
        <v>31324094</v>
      </c>
      <c r="C528" s="0" t="n">
        <v>747</v>
      </c>
    </row>
    <row r="529" customFormat="false" ht="14.25" hidden="false" customHeight="false" outlineLevel="0" collapsed="false">
      <c r="A529" s="0" t="n">
        <v>1</v>
      </c>
      <c r="B529" s="0" t="n">
        <v>1192898686</v>
      </c>
      <c r="C529" s="0" t="n">
        <v>675</v>
      </c>
    </row>
    <row r="530" customFormat="false" ht="14.25" hidden="false" customHeight="false" outlineLevel="0" collapsed="false">
      <c r="A530" s="0" t="n">
        <v>1</v>
      </c>
      <c r="B530" s="0" t="n">
        <v>1130667500</v>
      </c>
      <c r="C530" s="0" t="n">
        <v>863</v>
      </c>
    </row>
    <row r="531" customFormat="false" ht="14.25" hidden="false" customHeight="false" outlineLevel="0" collapsed="false">
      <c r="A531" s="0" t="n">
        <v>1</v>
      </c>
      <c r="B531" s="0" t="n">
        <v>94270032</v>
      </c>
      <c r="C531" s="0" t="n">
        <v>792</v>
      </c>
    </row>
    <row r="532" customFormat="false" ht="14.25" hidden="false" customHeight="false" outlineLevel="0" collapsed="false">
      <c r="A532" s="0" t="n">
        <v>1</v>
      </c>
      <c r="B532" s="0" t="n">
        <v>16896487</v>
      </c>
      <c r="C532" s="0" t="n">
        <v>778</v>
      </c>
    </row>
    <row r="533" customFormat="false" ht="14.25" hidden="false" customHeight="false" outlineLevel="0" collapsed="false">
      <c r="A533" s="0" t="n">
        <v>1</v>
      </c>
      <c r="B533" s="0" t="n">
        <v>67041595</v>
      </c>
      <c r="C533" s="0" t="n">
        <v>993</v>
      </c>
    </row>
    <row r="534" customFormat="false" ht="14.25" hidden="false" customHeight="false" outlineLevel="0" collapsed="false">
      <c r="A534" s="0" t="n">
        <v>1</v>
      </c>
      <c r="B534" s="0" t="n">
        <v>66846381</v>
      </c>
      <c r="C534" s="0" t="n">
        <v>801</v>
      </c>
    </row>
    <row r="535" customFormat="false" ht="14.25" hidden="false" customHeight="false" outlineLevel="0" collapsed="false">
      <c r="A535" s="0" t="n">
        <v>1</v>
      </c>
      <c r="B535" s="0" t="n">
        <v>1112472484</v>
      </c>
      <c r="C535" s="0" t="n">
        <v>655</v>
      </c>
    </row>
    <row r="536" customFormat="false" ht="14.25" hidden="false" customHeight="false" outlineLevel="0" collapsed="false">
      <c r="A536" s="0" t="n">
        <v>1</v>
      </c>
      <c r="B536" s="0" t="n">
        <v>14608276</v>
      </c>
      <c r="C536" s="0" t="n">
        <v>859</v>
      </c>
    </row>
    <row r="537" customFormat="false" ht="14.25" hidden="false" customHeight="false" outlineLevel="0" collapsed="false">
      <c r="A537" s="0" t="n">
        <v>1</v>
      </c>
      <c r="B537" s="0" t="n">
        <v>1061755509</v>
      </c>
      <c r="C537" s="0" t="n">
        <v>727</v>
      </c>
    </row>
    <row r="538" customFormat="false" ht="14.25" hidden="false" customHeight="false" outlineLevel="0" collapsed="false">
      <c r="A538" s="0" t="n">
        <v>1</v>
      </c>
      <c r="B538" s="0" t="n">
        <v>1130602580</v>
      </c>
      <c r="C538" s="0" t="n">
        <v>764</v>
      </c>
    </row>
    <row r="539" customFormat="false" ht="14.25" hidden="false" customHeight="false" outlineLevel="0" collapsed="false">
      <c r="A539" s="0" t="n">
        <v>1</v>
      </c>
      <c r="B539" s="0" t="n">
        <v>1130650243</v>
      </c>
      <c r="C539" s="0" t="n">
        <v>999</v>
      </c>
    </row>
    <row r="540" customFormat="false" ht="14.25" hidden="false" customHeight="false" outlineLevel="0" collapsed="false">
      <c r="A540" s="0" t="n">
        <v>1</v>
      </c>
      <c r="B540" s="0" t="n">
        <v>38558372</v>
      </c>
      <c r="C540" s="0" t="n">
        <v>632</v>
      </c>
    </row>
    <row r="541" customFormat="false" ht="14.25" hidden="false" customHeight="false" outlineLevel="0" collapsed="false">
      <c r="A541" s="0" t="n">
        <v>1</v>
      </c>
      <c r="B541" s="0" t="n">
        <v>94073310</v>
      </c>
      <c r="C541" s="0" t="n">
        <v>803</v>
      </c>
    </row>
    <row r="542" customFormat="false" ht="14.25" hidden="false" customHeight="false" outlineLevel="0" collapsed="false">
      <c r="A542" s="0" t="n">
        <v>1</v>
      </c>
      <c r="B542" s="0" t="n">
        <v>1113644857</v>
      </c>
      <c r="C542" s="0" t="n">
        <v>756</v>
      </c>
    </row>
    <row r="543" customFormat="false" ht="14.25" hidden="false" customHeight="false" outlineLevel="0" collapsed="false">
      <c r="A543" s="0" t="n">
        <v>1</v>
      </c>
      <c r="B543" s="0" t="n">
        <v>25331605</v>
      </c>
      <c r="C543" s="0" t="n">
        <v>706</v>
      </c>
    </row>
    <row r="544" customFormat="false" ht="14.25" hidden="false" customHeight="false" outlineLevel="0" collapsed="false">
      <c r="A544" s="0" t="n">
        <v>1</v>
      </c>
      <c r="B544" s="0" t="n">
        <v>1144159356</v>
      </c>
      <c r="C544" s="0" t="n">
        <v>690</v>
      </c>
    </row>
    <row r="545" customFormat="false" ht="14.25" hidden="false" customHeight="false" outlineLevel="0" collapsed="false">
      <c r="A545" s="0" t="n">
        <v>1</v>
      </c>
      <c r="B545" s="0" t="n">
        <v>51696063</v>
      </c>
      <c r="C545" s="0" t="n">
        <v>933</v>
      </c>
    </row>
    <row r="546" customFormat="false" ht="14.25" hidden="false" customHeight="false" outlineLevel="0" collapsed="false">
      <c r="A546" s="0" t="n">
        <v>1</v>
      </c>
      <c r="B546" s="0" t="n">
        <v>1006207247</v>
      </c>
      <c r="C546" s="0" t="n">
        <v>704</v>
      </c>
    </row>
    <row r="547" customFormat="false" ht="14.25" hidden="false" customHeight="false" outlineLevel="0" collapsed="false">
      <c r="A547" s="0" t="n">
        <v>1</v>
      </c>
      <c r="B547" s="0" t="n">
        <v>14608714</v>
      </c>
      <c r="C547" s="0" t="n">
        <v>765</v>
      </c>
    </row>
    <row r="548" customFormat="false" ht="14.25" hidden="false" customHeight="false" outlineLevel="0" collapsed="false">
      <c r="A548" s="0" t="n">
        <v>1</v>
      </c>
      <c r="B548" s="0" t="n">
        <v>1010091223</v>
      </c>
      <c r="C548" s="0" t="n">
        <v>825</v>
      </c>
    </row>
    <row r="549" customFormat="false" ht="14.25" hidden="false" customHeight="false" outlineLevel="0" collapsed="false">
      <c r="A549" s="0" t="n">
        <v>1</v>
      </c>
      <c r="B549" s="0" t="n">
        <v>1118257489</v>
      </c>
      <c r="C549" s="0" t="n">
        <v>820</v>
      </c>
    </row>
    <row r="550" customFormat="false" ht="14.25" hidden="false" customHeight="false" outlineLevel="0" collapsed="false">
      <c r="A550" s="0" t="n">
        <v>1</v>
      </c>
      <c r="B550" s="0" t="n">
        <v>94459046</v>
      </c>
      <c r="C550" s="0" t="n">
        <v>943</v>
      </c>
    </row>
    <row r="551" customFormat="false" ht="14.25" hidden="false" customHeight="false" outlineLevel="0" collapsed="false">
      <c r="A551" s="0" t="n">
        <v>1</v>
      </c>
      <c r="B551" s="0" t="n">
        <v>1107839628</v>
      </c>
      <c r="C551" s="0" t="n">
        <v>596</v>
      </c>
    </row>
    <row r="552" customFormat="false" ht="14.25" hidden="false" customHeight="false" outlineLevel="0" collapsed="false">
      <c r="A552" s="0" t="n">
        <v>1</v>
      </c>
      <c r="B552" s="0" t="n">
        <v>16795335</v>
      </c>
      <c r="C552" s="0" t="n">
        <v>445</v>
      </c>
    </row>
    <row r="553" customFormat="false" ht="14.25" hidden="false" customHeight="false" outlineLevel="0" collapsed="false">
      <c r="A553" s="0" t="n">
        <v>1</v>
      </c>
      <c r="B553" s="0" t="n">
        <v>1143826134</v>
      </c>
      <c r="C553" s="0" t="n">
        <v>687</v>
      </c>
    </row>
    <row r="554" customFormat="false" ht="14.25" hidden="false" customHeight="false" outlineLevel="0" collapsed="false">
      <c r="A554" s="0" t="n">
        <v>1</v>
      </c>
      <c r="B554" s="0" t="n">
        <v>1130609026</v>
      </c>
      <c r="C554" s="0" t="n">
        <v>720</v>
      </c>
    </row>
    <row r="555" customFormat="false" ht="14.25" hidden="false" customHeight="false" outlineLevel="0" collapsed="false">
      <c r="A555" s="0" t="n">
        <v>1</v>
      </c>
      <c r="B555" s="0" t="n">
        <v>1107074454</v>
      </c>
      <c r="C555" s="0" t="n">
        <v>632</v>
      </c>
    </row>
    <row r="556" customFormat="false" ht="14.25" hidden="false" customHeight="false" outlineLevel="0" collapsed="false">
      <c r="A556" s="0" t="n">
        <v>1</v>
      </c>
      <c r="B556" s="0" t="n">
        <v>1130593382</v>
      </c>
      <c r="C556" s="0" t="n">
        <v>860</v>
      </c>
    </row>
    <row r="557" customFormat="false" ht="14.25" hidden="false" customHeight="false" outlineLevel="0" collapsed="false">
      <c r="A557" s="0" t="n">
        <v>1</v>
      </c>
      <c r="B557" s="0" t="n">
        <v>31482745</v>
      </c>
      <c r="C557" s="0" t="n">
        <v>629</v>
      </c>
    </row>
    <row r="558" customFormat="false" ht="14.25" hidden="false" customHeight="false" outlineLevel="0" collapsed="false">
      <c r="A558" s="0" t="n">
        <v>1</v>
      </c>
      <c r="B558" s="0" t="n">
        <v>1144151772</v>
      </c>
      <c r="C558" s="0" t="n">
        <v>814</v>
      </c>
    </row>
    <row r="559" customFormat="false" ht="14.25" hidden="false" customHeight="false" outlineLevel="0" collapsed="false">
      <c r="A559" s="0" t="n">
        <v>1</v>
      </c>
      <c r="B559" s="0" t="n">
        <v>1130631035</v>
      </c>
      <c r="C559" s="0" t="n">
        <v>608</v>
      </c>
    </row>
    <row r="560" customFormat="false" ht="14.25" hidden="false" customHeight="false" outlineLevel="0" collapsed="false">
      <c r="A560" s="0" t="n">
        <v>1</v>
      </c>
      <c r="B560" s="0" t="n">
        <v>6199680</v>
      </c>
      <c r="C560" s="0" t="n">
        <v>926</v>
      </c>
    </row>
    <row r="561" customFormat="false" ht="14.25" hidden="false" customHeight="false" outlineLevel="0" collapsed="false">
      <c r="A561" s="0" t="n">
        <v>1</v>
      </c>
      <c r="B561" s="0" t="n">
        <v>66968191</v>
      </c>
      <c r="C561" s="0" t="n">
        <v>757</v>
      </c>
    </row>
    <row r="562" customFormat="false" ht="14.25" hidden="false" customHeight="false" outlineLevel="0" collapsed="false">
      <c r="A562" s="0" t="n">
        <v>1</v>
      </c>
      <c r="B562" s="0" t="n">
        <v>1144175317</v>
      </c>
      <c r="C562" s="0" t="n">
        <v>555</v>
      </c>
    </row>
    <row r="563" customFormat="false" ht="14.25" hidden="false" customHeight="false" outlineLevel="0" collapsed="false">
      <c r="A563" s="0" t="n">
        <v>1</v>
      </c>
      <c r="B563" s="0" t="n">
        <v>34564544</v>
      </c>
      <c r="C563" s="0" t="n">
        <v>762</v>
      </c>
    </row>
    <row r="564" customFormat="false" ht="14.25" hidden="false" customHeight="false" outlineLevel="0" collapsed="false">
      <c r="A564" s="0" t="n">
        <v>1</v>
      </c>
      <c r="B564" s="0" t="n">
        <v>1144164758</v>
      </c>
      <c r="C564" s="0" t="n">
        <v>819</v>
      </c>
    </row>
    <row r="565" customFormat="false" ht="14.25" hidden="false" customHeight="false" outlineLevel="0" collapsed="false">
      <c r="A565" s="0" t="n">
        <v>1</v>
      </c>
      <c r="B565" s="0" t="n">
        <v>66848316</v>
      </c>
      <c r="C565" s="0" t="n">
        <v>892</v>
      </c>
    </row>
    <row r="566" customFormat="false" ht="14.25" hidden="false" customHeight="false" outlineLevel="0" collapsed="false">
      <c r="A566" s="0" t="n">
        <v>1</v>
      </c>
      <c r="B566" s="0" t="n">
        <v>1144059839</v>
      </c>
      <c r="C566" s="0" t="n">
        <v>695</v>
      </c>
    </row>
    <row r="567" customFormat="false" ht="14.25" hidden="false" customHeight="false" outlineLevel="0" collapsed="false">
      <c r="A567" s="0" t="n">
        <v>1</v>
      </c>
      <c r="B567" s="0" t="n">
        <v>38556029</v>
      </c>
      <c r="C567" s="0" t="n">
        <v>665</v>
      </c>
    </row>
    <row r="568" customFormat="false" ht="14.25" hidden="false" customHeight="false" outlineLevel="0" collapsed="false">
      <c r="A568" s="0" t="n">
        <v>1</v>
      </c>
      <c r="B568" s="0" t="n">
        <v>1151968713</v>
      </c>
      <c r="C568" s="0" t="n">
        <v>884</v>
      </c>
    </row>
    <row r="569" customFormat="false" ht="14.25" hidden="false" customHeight="false" outlineLevel="0" collapsed="false">
      <c r="A569" s="0" t="n">
        <v>1</v>
      </c>
      <c r="B569" s="0" t="n">
        <v>1144137672</v>
      </c>
      <c r="C569" s="0" t="n">
        <v>793</v>
      </c>
    </row>
    <row r="570" customFormat="false" ht="14.25" hidden="false" customHeight="false" outlineLevel="0" collapsed="false">
      <c r="A570" s="0" t="n">
        <v>1</v>
      </c>
      <c r="B570" s="0" t="n">
        <v>1143842513</v>
      </c>
      <c r="C570" s="0" t="n">
        <v>845</v>
      </c>
    </row>
    <row r="571" customFormat="false" ht="14.25" hidden="false" customHeight="false" outlineLevel="0" collapsed="false">
      <c r="A571" s="0" t="n">
        <v>1</v>
      </c>
      <c r="B571" s="0" t="n">
        <v>1144137869</v>
      </c>
      <c r="C571" s="0" t="n">
        <v>568</v>
      </c>
    </row>
    <row r="572" customFormat="false" ht="14.25" hidden="false" customHeight="false" outlineLevel="0" collapsed="false">
      <c r="A572" s="0" t="n">
        <v>1</v>
      </c>
      <c r="B572" s="0" t="n">
        <v>1144188314</v>
      </c>
      <c r="C572" s="0" t="n">
        <v>639</v>
      </c>
    </row>
    <row r="573" customFormat="false" ht="14.25" hidden="false" customHeight="false" outlineLevel="0" collapsed="false">
      <c r="A573" s="0" t="n">
        <v>1</v>
      </c>
      <c r="B573" s="0" t="n">
        <v>1010058582</v>
      </c>
      <c r="C573" s="0" t="n">
        <v>763</v>
      </c>
    </row>
    <row r="574" customFormat="false" ht="14.25" hidden="false" customHeight="false" outlineLevel="0" collapsed="false">
      <c r="A574" s="0" t="n">
        <v>1</v>
      </c>
      <c r="B574" s="0" t="n">
        <v>16926618</v>
      </c>
      <c r="C574" s="0" t="n">
        <v>747</v>
      </c>
    </row>
    <row r="575" customFormat="false" ht="14.25" hidden="false" customHeight="false" outlineLevel="0" collapsed="false">
      <c r="A575" s="0" t="n">
        <v>1</v>
      </c>
      <c r="B575" s="0" t="n">
        <v>1107100321</v>
      </c>
      <c r="C575" s="0" t="n">
        <v>598</v>
      </c>
    </row>
    <row r="576" customFormat="false" ht="14.25" hidden="false" customHeight="false" outlineLevel="0" collapsed="false">
      <c r="A576" s="0" t="n">
        <v>1</v>
      </c>
      <c r="B576" s="0" t="n">
        <v>1130611151</v>
      </c>
      <c r="C576" s="0" t="n">
        <v>853</v>
      </c>
    </row>
    <row r="577" customFormat="false" ht="14.25" hidden="false" customHeight="false" outlineLevel="0" collapsed="false">
      <c r="A577" s="0" t="n">
        <v>1</v>
      </c>
      <c r="B577" s="0" t="n">
        <v>1116157019</v>
      </c>
      <c r="C577" s="0" t="n">
        <v>667</v>
      </c>
    </row>
    <row r="578" customFormat="false" ht="14.25" hidden="false" customHeight="false" outlineLevel="0" collapsed="false">
      <c r="A578" s="0" t="n">
        <v>1</v>
      </c>
      <c r="B578" s="0" t="n">
        <v>16377725</v>
      </c>
      <c r="C578" s="0" t="n">
        <v>874</v>
      </c>
    </row>
    <row r="579" customFormat="false" ht="14.25" hidden="false" customHeight="false" outlineLevel="0" collapsed="false">
      <c r="A579" s="0" t="n">
        <v>1</v>
      </c>
      <c r="B579" s="0" t="n">
        <v>1061773444</v>
      </c>
      <c r="C579" s="0" t="n">
        <v>657</v>
      </c>
    </row>
    <row r="580" customFormat="false" ht="14.25" hidden="false" customHeight="false" outlineLevel="0" collapsed="false">
      <c r="A580" s="0" t="n">
        <v>1</v>
      </c>
      <c r="B580" s="0" t="n">
        <v>29706560</v>
      </c>
      <c r="C580" s="0" t="n">
        <v>893</v>
      </c>
    </row>
    <row r="581" customFormat="false" ht="14.25" hidden="false" customHeight="false" outlineLevel="0" collapsed="false">
      <c r="A581" s="0" t="n">
        <v>1</v>
      </c>
      <c r="B581" s="0" t="n">
        <v>1150934479</v>
      </c>
      <c r="C581" s="0" t="n">
        <v>611</v>
      </c>
    </row>
    <row r="582" customFormat="false" ht="14.25" hidden="false" customHeight="false" outlineLevel="0" collapsed="false">
      <c r="A582" s="0" t="n">
        <v>1</v>
      </c>
      <c r="B582" s="0" t="n">
        <v>1107066883</v>
      </c>
      <c r="C582" s="0" t="n">
        <v>896</v>
      </c>
    </row>
    <row r="583" customFormat="false" ht="14.25" hidden="false" customHeight="false" outlineLevel="0" collapsed="false">
      <c r="A583" s="0" t="n">
        <v>1</v>
      </c>
      <c r="B583" s="0" t="n">
        <v>14609734</v>
      </c>
      <c r="C583" s="0" t="n">
        <v>747</v>
      </c>
    </row>
    <row r="584" customFormat="false" ht="14.25" hidden="false" customHeight="false" outlineLevel="0" collapsed="false">
      <c r="A584" s="0" t="n">
        <v>1</v>
      </c>
      <c r="B584" s="0" t="n">
        <v>1143828327</v>
      </c>
      <c r="C584" s="0" t="n">
        <v>915</v>
      </c>
    </row>
    <row r="585" customFormat="false" ht="14.25" hidden="false" customHeight="false" outlineLevel="0" collapsed="false">
      <c r="A585" s="0" t="n">
        <v>1</v>
      </c>
      <c r="B585" s="0" t="n">
        <v>1193461219</v>
      </c>
      <c r="C585" s="0" t="n">
        <v>576</v>
      </c>
    </row>
    <row r="586" customFormat="false" ht="14.25" hidden="false" customHeight="false" outlineLevel="0" collapsed="false">
      <c r="A586" s="0" t="n">
        <v>1</v>
      </c>
      <c r="B586" s="0" t="n">
        <v>1060649843</v>
      </c>
      <c r="C586" s="0" t="n">
        <v>904</v>
      </c>
    </row>
    <row r="587" customFormat="false" ht="14.25" hidden="false" customHeight="false" outlineLevel="0" collapsed="false">
      <c r="A587" s="0" t="n">
        <v>1</v>
      </c>
      <c r="B587" s="0" t="n">
        <v>1107035395</v>
      </c>
      <c r="C587" s="0" t="n">
        <v>686</v>
      </c>
    </row>
    <row r="588" customFormat="false" ht="14.25" hidden="false" customHeight="false" outlineLevel="0" collapsed="false">
      <c r="A588" s="0" t="n">
        <v>1</v>
      </c>
      <c r="B588" s="0" t="n">
        <v>1064430974</v>
      </c>
      <c r="C588" s="0" t="n">
        <v>860</v>
      </c>
    </row>
    <row r="589" customFormat="false" ht="14.25" hidden="false" customHeight="false" outlineLevel="0" collapsed="false">
      <c r="A589" s="0" t="n">
        <v>1</v>
      </c>
      <c r="B589" s="0" t="n">
        <v>1144193504</v>
      </c>
      <c r="C589" s="0" t="n">
        <v>849</v>
      </c>
    </row>
    <row r="590" customFormat="false" ht="14.25" hidden="false" customHeight="false" outlineLevel="0" collapsed="false">
      <c r="A590" s="0" t="n">
        <v>1</v>
      </c>
      <c r="B590" s="0" t="n">
        <v>1112485702</v>
      </c>
      <c r="C590" s="0" t="n">
        <v>766</v>
      </c>
    </row>
    <row r="591" customFormat="false" ht="14.25" hidden="false" customHeight="false" outlineLevel="0" collapsed="false">
      <c r="A591" s="0" t="n">
        <v>1</v>
      </c>
      <c r="B591" s="0" t="n">
        <v>29672981</v>
      </c>
      <c r="C591" s="0" t="n">
        <v>900</v>
      </c>
    </row>
    <row r="592" customFormat="false" ht="14.25" hidden="false" customHeight="false" outlineLevel="0" collapsed="false">
      <c r="A592" s="0" t="n">
        <v>1</v>
      </c>
      <c r="B592" s="0" t="n">
        <v>1107045504</v>
      </c>
      <c r="C592" s="0" t="n">
        <v>415</v>
      </c>
    </row>
    <row r="593" customFormat="false" ht="14.25" hidden="false" customHeight="false" outlineLevel="0" collapsed="false">
      <c r="A593" s="0" t="n">
        <v>1</v>
      </c>
      <c r="B593" s="0" t="n">
        <v>1111540042</v>
      </c>
      <c r="C593" s="0" t="n">
        <v>632</v>
      </c>
    </row>
    <row r="594" customFormat="false" ht="14.25" hidden="false" customHeight="false" outlineLevel="0" collapsed="false">
      <c r="A594" s="0" t="n">
        <v>1</v>
      </c>
      <c r="B594" s="0" t="n">
        <v>1143844762</v>
      </c>
      <c r="C594" s="0" t="n">
        <v>822</v>
      </c>
    </row>
    <row r="595" customFormat="false" ht="14.25" hidden="false" customHeight="false" outlineLevel="0" collapsed="false">
      <c r="A595" s="0" t="n">
        <v>1</v>
      </c>
      <c r="B595" s="0" t="n">
        <v>1112465080</v>
      </c>
      <c r="C595" s="0" t="n">
        <v>573</v>
      </c>
    </row>
    <row r="596" customFormat="false" ht="14.25" hidden="false" customHeight="false" outlineLevel="0" collapsed="false">
      <c r="A596" s="0" t="n">
        <v>1</v>
      </c>
      <c r="B596" s="0" t="n">
        <v>1143860441</v>
      </c>
      <c r="C596" s="0" t="n">
        <v>805</v>
      </c>
    </row>
    <row r="597" customFormat="false" ht="14.25" hidden="false" customHeight="false" outlineLevel="0" collapsed="false">
      <c r="A597" s="0" t="n">
        <v>1</v>
      </c>
      <c r="B597" s="0" t="n">
        <v>1130608230</v>
      </c>
      <c r="C597" s="0" t="n">
        <v>817</v>
      </c>
    </row>
    <row r="598" customFormat="false" ht="14.25" hidden="false" customHeight="false" outlineLevel="0" collapsed="false">
      <c r="A598" s="0" t="n">
        <v>1</v>
      </c>
      <c r="B598" s="0" t="n">
        <v>66811253</v>
      </c>
      <c r="C598" s="0" t="n">
        <v>797</v>
      </c>
    </row>
    <row r="599" customFormat="false" ht="14.25" hidden="false" customHeight="false" outlineLevel="0" collapsed="false">
      <c r="A599" s="0" t="n">
        <v>1</v>
      </c>
      <c r="B599" s="0" t="n">
        <v>34317987</v>
      </c>
      <c r="C599" s="0" t="n">
        <v>720</v>
      </c>
    </row>
    <row r="600" customFormat="false" ht="14.25" hidden="false" customHeight="false" outlineLevel="0" collapsed="false">
      <c r="A600" s="0" t="n">
        <v>1</v>
      </c>
      <c r="B600" s="0" t="n">
        <v>59856422</v>
      </c>
      <c r="C600" s="0" t="n">
        <v>820</v>
      </c>
    </row>
    <row r="601" customFormat="false" ht="14.25" hidden="false" customHeight="false" outlineLevel="0" collapsed="false">
      <c r="A601" s="0" t="n">
        <v>1</v>
      </c>
      <c r="B601" s="0" t="n">
        <v>1193238666</v>
      </c>
      <c r="C601" s="0" t="n">
        <v>701</v>
      </c>
    </row>
    <row r="602" customFormat="false" ht="14.25" hidden="false" customHeight="false" outlineLevel="0" collapsed="false">
      <c r="A602" s="0" t="n">
        <v>1</v>
      </c>
      <c r="B602" s="0" t="n">
        <v>1144052271</v>
      </c>
      <c r="C602" s="0" t="n">
        <v>796</v>
      </c>
    </row>
    <row r="603" customFormat="false" ht="14.25" hidden="false" customHeight="false" outlineLevel="0" collapsed="false">
      <c r="A603" s="0" t="n">
        <v>1</v>
      </c>
      <c r="B603" s="0" t="n">
        <v>1144140877</v>
      </c>
      <c r="C603" s="0" t="n">
        <v>901</v>
      </c>
    </row>
    <row r="604" customFormat="false" ht="14.25" hidden="false" customHeight="false" outlineLevel="0" collapsed="false">
      <c r="A604" s="0" t="n">
        <v>1</v>
      </c>
      <c r="B604" s="0" t="n">
        <v>1107059303</v>
      </c>
      <c r="C604" s="0" t="n">
        <v>573</v>
      </c>
    </row>
    <row r="605" customFormat="false" ht="14.25" hidden="false" customHeight="false" outlineLevel="0" collapsed="false">
      <c r="A605" s="0" t="n">
        <v>1</v>
      </c>
      <c r="B605" s="0" t="n">
        <v>16375423</v>
      </c>
      <c r="C605" s="0" t="n">
        <v>755</v>
      </c>
    </row>
    <row r="606" customFormat="false" ht="14.25" hidden="false" customHeight="false" outlineLevel="0" collapsed="false">
      <c r="A606" s="0" t="n">
        <v>1</v>
      </c>
      <c r="B606" s="0" t="n">
        <v>38601357</v>
      </c>
      <c r="C606" s="0" t="n">
        <v>751</v>
      </c>
    </row>
    <row r="607" customFormat="false" ht="14.25" hidden="false" customHeight="false" outlineLevel="0" collapsed="false">
      <c r="A607" s="0" t="n">
        <v>1</v>
      </c>
      <c r="B607" s="0" t="n">
        <v>1112878165</v>
      </c>
      <c r="C607" s="0" t="n">
        <v>657</v>
      </c>
    </row>
    <row r="608" customFormat="false" ht="14.25" hidden="false" customHeight="false" outlineLevel="0" collapsed="false">
      <c r="A608" s="0" t="n">
        <v>1</v>
      </c>
      <c r="B608" s="0" t="n">
        <v>1130655620</v>
      </c>
      <c r="C608" s="0" t="n">
        <v>568</v>
      </c>
    </row>
    <row r="609" customFormat="false" ht="14.25" hidden="false" customHeight="false" outlineLevel="0" collapsed="false">
      <c r="A609" s="0" t="n">
        <v>1</v>
      </c>
      <c r="B609" s="0" t="n">
        <v>1144070112</v>
      </c>
      <c r="C609" s="0" t="n">
        <v>839</v>
      </c>
    </row>
    <row r="610" customFormat="false" ht="14.25" hidden="false" customHeight="false" outlineLevel="0" collapsed="false">
      <c r="A610" s="0" t="n">
        <v>1</v>
      </c>
      <c r="B610" s="0" t="n">
        <v>67021850</v>
      </c>
      <c r="C610" s="0" t="n">
        <v>657</v>
      </c>
    </row>
    <row r="611" customFormat="false" ht="14.25" hidden="false" customHeight="false" outlineLevel="0" collapsed="false">
      <c r="A611" s="0" t="n">
        <v>1</v>
      </c>
      <c r="B611" s="0" t="n">
        <v>1113673479</v>
      </c>
      <c r="C611" s="0" t="n">
        <v>677</v>
      </c>
    </row>
    <row r="612" customFormat="false" ht="14.25" hidden="false" customHeight="false" outlineLevel="0" collapsed="false">
      <c r="A612" s="0" t="n">
        <v>1</v>
      </c>
      <c r="B612" s="0" t="n">
        <v>1144102705</v>
      </c>
      <c r="C612" s="0" t="n">
        <v>824</v>
      </c>
    </row>
    <row r="613" customFormat="false" ht="14.25" hidden="false" customHeight="false" outlineLevel="0" collapsed="false">
      <c r="A613" s="0" t="n">
        <v>1</v>
      </c>
      <c r="B613" s="0" t="n">
        <v>29109508</v>
      </c>
      <c r="C613" s="0" t="n">
        <v>895</v>
      </c>
    </row>
    <row r="614" customFormat="false" ht="14.25" hidden="false" customHeight="false" outlineLevel="0" collapsed="false">
      <c r="A614" s="0" t="n">
        <v>1</v>
      </c>
      <c r="B614" s="0" t="n">
        <v>1144181904</v>
      </c>
      <c r="C614" s="0" t="n">
        <v>759</v>
      </c>
    </row>
    <row r="615" customFormat="false" ht="14.25" hidden="false" customHeight="false" outlineLevel="0" collapsed="false">
      <c r="A615" s="0" t="n">
        <v>1</v>
      </c>
      <c r="B615" s="0" t="n">
        <v>1143855035</v>
      </c>
      <c r="C615" s="0" t="n">
        <v>757</v>
      </c>
    </row>
    <row r="616" customFormat="false" ht="14.25" hidden="false" customHeight="false" outlineLevel="0" collapsed="false">
      <c r="A616" s="0" t="n">
        <v>1</v>
      </c>
      <c r="B616" s="0" t="n">
        <v>38600890</v>
      </c>
      <c r="C616" s="0" t="n">
        <v>684</v>
      </c>
    </row>
    <row r="617" customFormat="false" ht="14.25" hidden="false" customHeight="false" outlineLevel="0" collapsed="false">
      <c r="A617" s="0" t="n">
        <v>1</v>
      </c>
      <c r="B617" s="0" t="n">
        <v>1151963191</v>
      </c>
      <c r="C617" s="0" t="n">
        <v>800</v>
      </c>
    </row>
    <row r="618" customFormat="false" ht="14.25" hidden="false" customHeight="false" outlineLevel="0" collapsed="false">
      <c r="A618" s="0" t="n">
        <v>1</v>
      </c>
      <c r="B618" s="0" t="n">
        <v>94074218</v>
      </c>
      <c r="C618" s="0" t="n">
        <v>686</v>
      </c>
    </row>
    <row r="619" customFormat="false" ht="14.25" hidden="false" customHeight="false" outlineLevel="0" collapsed="false">
      <c r="A619" s="0" t="n">
        <v>1</v>
      </c>
      <c r="B619" s="0" t="n">
        <v>67022946</v>
      </c>
      <c r="C619" s="0" t="n">
        <v>762</v>
      </c>
    </row>
    <row r="620" customFormat="false" ht="14.25" hidden="false" customHeight="false" outlineLevel="0" collapsed="false">
      <c r="A620" s="0" t="n">
        <v>1</v>
      </c>
      <c r="B620" s="0" t="n">
        <v>1130617415</v>
      </c>
      <c r="C620" s="0" t="n">
        <v>632</v>
      </c>
    </row>
    <row r="621" customFormat="false" ht="14.25" hidden="false" customHeight="false" outlineLevel="0" collapsed="false">
      <c r="A621" s="0" t="n">
        <v>1</v>
      </c>
      <c r="B621" s="0" t="n">
        <v>1144059077</v>
      </c>
      <c r="C621" s="0" t="n">
        <v>665</v>
      </c>
    </row>
    <row r="622" customFormat="false" ht="14.25" hidden="false" customHeight="false" outlineLevel="0" collapsed="false">
      <c r="A622" s="0" t="n">
        <v>1</v>
      </c>
      <c r="B622" s="0" t="n">
        <v>1144145645</v>
      </c>
      <c r="C622" s="0" t="n">
        <v>611</v>
      </c>
    </row>
    <row r="623" customFormat="false" ht="14.25" hidden="false" customHeight="false" outlineLevel="0" collapsed="false">
      <c r="A623" s="0" t="n">
        <v>1</v>
      </c>
      <c r="B623" s="0" t="n">
        <v>31712755</v>
      </c>
      <c r="C623" s="0" t="n">
        <v>794</v>
      </c>
    </row>
    <row r="624" customFormat="false" ht="14.25" hidden="false" customHeight="false" outlineLevel="0" collapsed="false">
      <c r="A624" s="0" t="n">
        <v>1</v>
      </c>
      <c r="B624" s="0" t="n">
        <v>94506736</v>
      </c>
      <c r="C624" s="0" t="n">
        <v>943</v>
      </c>
    </row>
    <row r="625" customFormat="false" ht="14.25" hidden="false" customHeight="false" outlineLevel="0" collapsed="false">
      <c r="A625" s="0" t="n">
        <v>1</v>
      </c>
      <c r="B625" s="0" t="n">
        <v>1130650454</v>
      </c>
      <c r="C625" s="0" t="n">
        <v>815</v>
      </c>
    </row>
    <row r="626" customFormat="false" ht="14.25" hidden="false" customHeight="false" outlineLevel="0" collapsed="false">
      <c r="A626" s="0" t="n">
        <v>1</v>
      </c>
      <c r="B626" s="0" t="n">
        <v>52899917</v>
      </c>
      <c r="C626" s="0" t="n">
        <v>598</v>
      </c>
    </row>
    <row r="627" customFormat="false" ht="14.25" hidden="false" customHeight="false" outlineLevel="0" collapsed="false">
      <c r="A627" s="0" t="n">
        <v>1</v>
      </c>
      <c r="B627" s="0" t="n">
        <v>1006099186</v>
      </c>
      <c r="C627" s="0" t="n">
        <v>-4</v>
      </c>
    </row>
    <row r="628" customFormat="false" ht="14.25" hidden="false" customHeight="false" outlineLevel="0" collapsed="false">
      <c r="A628" s="0" t="n">
        <v>1</v>
      </c>
      <c r="B628" s="0" t="n">
        <v>19601683</v>
      </c>
      <c r="C628" s="0" t="n">
        <v>734</v>
      </c>
    </row>
    <row r="629" customFormat="false" ht="14.25" hidden="false" customHeight="false" outlineLevel="0" collapsed="false">
      <c r="A629" s="0" t="n">
        <v>1</v>
      </c>
      <c r="B629" s="0" t="n">
        <v>1113635046</v>
      </c>
      <c r="C629" s="0" t="n">
        <v>831</v>
      </c>
    </row>
    <row r="630" customFormat="false" ht="14.25" hidden="false" customHeight="false" outlineLevel="0" collapsed="false">
      <c r="A630" s="0" t="n">
        <v>1</v>
      </c>
      <c r="B630" s="0" t="n">
        <v>1144203070</v>
      </c>
      <c r="C630" s="0" t="n">
        <v>781</v>
      </c>
    </row>
    <row r="631" customFormat="false" ht="14.25" hidden="false" customHeight="false" outlineLevel="0" collapsed="false">
      <c r="A631" s="0" t="n">
        <v>1</v>
      </c>
      <c r="B631" s="0" t="n">
        <v>1124868351</v>
      </c>
      <c r="C631" s="0" t="n">
        <v>866</v>
      </c>
    </row>
    <row r="632" customFormat="false" ht="14.25" hidden="false" customHeight="false" outlineLevel="0" collapsed="false">
      <c r="A632" s="0" t="n">
        <v>1</v>
      </c>
      <c r="B632" s="0" t="n">
        <v>53006632</v>
      </c>
      <c r="C632" s="0" t="n">
        <v>657</v>
      </c>
    </row>
    <row r="633" customFormat="false" ht="14.25" hidden="false" customHeight="false" outlineLevel="0" collapsed="false">
      <c r="A633" s="0" t="n">
        <v>1</v>
      </c>
      <c r="B633" s="0" t="n">
        <v>1130611756</v>
      </c>
      <c r="C633" s="0" t="n">
        <v>836</v>
      </c>
    </row>
    <row r="634" customFormat="false" ht="14.25" hidden="false" customHeight="false" outlineLevel="0" collapsed="false">
      <c r="A634" s="0" t="n">
        <v>1</v>
      </c>
      <c r="B634" s="0" t="n">
        <v>1004342204</v>
      </c>
      <c r="C634" s="0" t="n">
        <v>594</v>
      </c>
    </row>
    <row r="635" customFormat="false" ht="14.25" hidden="false" customHeight="false" outlineLevel="0" collapsed="false">
      <c r="A635" s="0" t="n">
        <v>1</v>
      </c>
      <c r="B635" s="0" t="n">
        <v>1107513864</v>
      </c>
      <c r="C635" s="0" t="n">
        <v>855</v>
      </c>
    </row>
    <row r="636" customFormat="false" ht="14.25" hidden="false" customHeight="false" outlineLevel="0" collapsed="false">
      <c r="A636" s="0" t="n">
        <v>1</v>
      </c>
      <c r="B636" s="0" t="n">
        <v>1087994517</v>
      </c>
      <c r="C636" s="0" t="n">
        <v>747</v>
      </c>
    </row>
    <row r="637" customFormat="false" ht="14.25" hidden="false" customHeight="false" outlineLevel="0" collapsed="false">
      <c r="A637" s="0" t="n">
        <v>1</v>
      </c>
      <c r="B637" s="0" t="n">
        <v>1006208137</v>
      </c>
      <c r="C637" s="0" t="n">
        <v>691</v>
      </c>
    </row>
    <row r="638" customFormat="false" ht="14.25" hidden="false" customHeight="false" outlineLevel="0" collapsed="false">
      <c r="A638" s="0" t="n">
        <v>1</v>
      </c>
      <c r="B638" s="0" t="n">
        <v>34370826</v>
      </c>
      <c r="C638" s="0" t="n">
        <v>721</v>
      </c>
    </row>
    <row r="639" customFormat="false" ht="14.25" hidden="false" customHeight="false" outlineLevel="0" collapsed="false">
      <c r="A639" s="0" t="n">
        <v>1</v>
      </c>
      <c r="B639" s="0" t="n">
        <v>1151953296</v>
      </c>
      <c r="C639" s="0" t="n">
        <v>791</v>
      </c>
    </row>
    <row r="640" customFormat="false" ht="14.25" hidden="false" customHeight="false" outlineLevel="0" collapsed="false">
      <c r="A640" s="0" t="n">
        <v>1</v>
      </c>
      <c r="B640" s="0" t="n">
        <v>29360157</v>
      </c>
      <c r="C640" s="0" t="n">
        <v>958</v>
      </c>
    </row>
    <row r="641" customFormat="false" ht="14.25" hidden="false" customHeight="false" outlineLevel="0" collapsed="false">
      <c r="A641" s="0" t="n">
        <v>1</v>
      </c>
      <c r="B641" s="0" t="n">
        <v>10294212</v>
      </c>
      <c r="C641" s="0" t="n">
        <v>929</v>
      </c>
    </row>
    <row r="642" customFormat="false" ht="14.25" hidden="false" customHeight="false" outlineLevel="0" collapsed="false">
      <c r="A642" s="0" t="n">
        <v>1</v>
      </c>
      <c r="B642" s="0" t="n">
        <v>16846278</v>
      </c>
      <c r="C642" s="0" t="n">
        <v>747</v>
      </c>
    </row>
    <row r="643" customFormat="false" ht="14.25" hidden="false" customHeight="false" outlineLevel="0" collapsed="false">
      <c r="A643" s="0" t="n">
        <v>1</v>
      </c>
      <c r="B643" s="0" t="n">
        <v>31306752</v>
      </c>
      <c r="C643" s="0" t="n">
        <v>941</v>
      </c>
    </row>
    <row r="644" customFormat="false" ht="14.25" hidden="false" customHeight="false" outlineLevel="0" collapsed="false">
      <c r="A644" s="0" t="n">
        <v>1</v>
      </c>
      <c r="B644" s="0" t="n">
        <v>38562907</v>
      </c>
      <c r="C644" s="0" t="n">
        <v>940</v>
      </c>
    </row>
    <row r="645" customFormat="false" ht="14.25" hidden="false" customHeight="false" outlineLevel="0" collapsed="false">
      <c r="A645" s="0" t="n">
        <v>1</v>
      </c>
      <c r="B645" s="0" t="n">
        <v>1113647946</v>
      </c>
      <c r="C645" s="0" t="n">
        <v>752</v>
      </c>
    </row>
    <row r="646" customFormat="false" ht="14.25" hidden="false" customHeight="false" outlineLevel="0" collapsed="false">
      <c r="A646" s="0" t="n">
        <v>1</v>
      </c>
      <c r="B646" s="0" t="n">
        <v>1087184710</v>
      </c>
      <c r="C646" s="0" t="n">
        <v>642</v>
      </c>
    </row>
    <row r="647" customFormat="false" ht="14.25" hidden="false" customHeight="false" outlineLevel="0" collapsed="false">
      <c r="A647" s="0" t="n">
        <v>1</v>
      </c>
      <c r="B647" s="0" t="n">
        <v>66927392</v>
      </c>
      <c r="C647" s="0" t="n">
        <v>988</v>
      </c>
    </row>
    <row r="648" customFormat="false" ht="14.25" hidden="false" customHeight="false" outlineLevel="0" collapsed="false">
      <c r="A648" s="0" t="n">
        <v>1</v>
      </c>
      <c r="B648" s="0" t="n">
        <v>1085297667</v>
      </c>
      <c r="C648" s="0" t="n">
        <v>887</v>
      </c>
    </row>
    <row r="649" customFormat="false" ht="14.25" hidden="false" customHeight="false" outlineLevel="0" collapsed="false">
      <c r="A649" s="0" t="n">
        <v>1</v>
      </c>
      <c r="B649" s="0" t="n">
        <v>1107075855</v>
      </c>
      <c r="C649" s="0" t="n">
        <v>686</v>
      </c>
    </row>
    <row r="650" customFormat="false" ht="14.25" hidden="false" customHeight="false" outlineLevel="0" collapsed="false">
      <c r="A650" s="0" t="n">
        <v>1</v>
      </c>
      <c r="B650" s="0" t="n">
        <v>1143971906</v>
      </c>
      <c r="C650" s="0" t="n">
        <v>850</v>
      </c>
    </row>
    <row r="651" customFormat="false" ht="14.25" hidden="false" customHeight="false" outlineLevel="0" collapsed="false">
      <c r="A651" s="0" t="n">
        <v>1</v>
      </c>
      <c r="B651" s="0" t="n">
        <v>1193586630</v>
      </c>
      <c r="C651" s="0" t="n">
        <v>682</v>
      </c>
    </row>
    <row r="652" customFormat="false" ht="14.25" hidden="false" customHeight="false" outlineLevel="0" collapsed="false">
      <c r="A652" s="0" t="n">
        <v>1</v>
      </c>
      <c r="B652" s="0" t="n">
        <v>1115091457</v>
      </c>
      <c r="C652" s="0" t="n">
        <v>633</v>
      </c>
    </row>
    <row r="653" customFormat="false" ht="14.25" hidden="false" customHeight="false" outlineLevel="0" collapsed="false">
      <c r="A653" s="0" t="n">
        <v>1</v>
      </c>
      <c r="B653" s="0" t="n">
        <v>1112480121</v>
      </c>
      <c r="C653" s="0" t="n">
        <v>813</v>
      </c>
    </row>
    <row r="654" customFormat="false" ht="14.25" hidden="false" customHeight="false" outlineLevel="0" collapsed="false">
      <c r="A654" s="0" t="n">
        <v>1</v>
      </c>
      <c r="B654" s="0" t="n">
        <v>1002994011</v>
      </c>
      <c r="C654" s="0" t="n">
        <v>553</v>
      </c>
    </row>
    <row r="655" customFormat="false" ht="14.25" hidden="false" customHeight="false" outlineLevel="0" collapsed="false">
      <c r="A655" s="0" t="n">
        <v>1</v>
      </c>
      <c r="B655" s="0" t="n">
        <v>94041607</v>
      </c>
      <c r="C655" s="0" t="n">
        <v>809</v>
      </c>
    </row>
    <row r="656" customFormat="false" ht="14.25" hidden="false" customHeight="false" outlineLevel="0" collapsed="false">
      <c r="A656" s="0" t="n">
        <v>1</v>
      </c>
      <c r="B656" s="0" t="n">
        <v>1144205254</v>
      </c>
      <c r="C656" s="0" t="n">
        <v>665</v>
      </c>
    </row>
    <row r="657" customFormat="false" ht="14.25" hidden="false" customHeight="false" outlineLevel="0" collapsed="false">
      <c r="A657" s="0" t="n">
        <v>1</v>
      </c>
      <c r="B657" s="0" t="n">
        <v>1031163412</v>
      </c>
      <c r="C657" s="0" t="n">
        <v>515</v>
      </c>
    </row>
    <row r="658" customFormat="false" ht="14.25" hidden="false" customHeight="false" outlineLevel="0" collapsed="false">
      <c r="A658" s="0" t="n">
        <v>1</v>
      </c>
      <c r="B658" s="0" t="n">
        <v>66900071</v>
      </c>
      <c r="C658" s="0" t="n">
        <v>686</v>
      </c>
    </row>
    <row r="659" customFormat="false" ht="14.25" hidden="false" customHeight="false" outlineLevel="0" collapsed="false">
      <c r="A659" s="0" t="n">
        <v>1</v>
      </c>
      <c r="B659" s="0" t="n">
        <v>1144155514</v>
      </c>
      <c r="C659" s="0" t="n">
        <v>791</v>
      </c>
    </row>
    <row r="660" customFormat="false" ht="14.25" hidden="false" customHeight="false" outlineLevel="0" collapsed="false">
      <c r="A660" s="0" t="n">
        <v>1</v>
      </c>
      <c r="B660" s="0" t="n">
        <v>1143866189</v>
      </c>
      <c r="C660" s="0" t="n">
        <v>814</v>
      </c>
    </row>
    <row r="661" customFormat="false" ht="14.25" hidden="false" customHeight="false" outlineLevel="0" collapsed="false">
      <c r="A661" s="0" t="n">
        <v>1</v>
      </c>
      <c r="B661" s="0" t="n">
        <v>29676890</v>
      </c>
      <c r="C661" s="0" t="n">
        <v>893</v>
      </c>
    </row>
    <row r="662" customFormat="false" ht="14.25" hidden="false" customHeight="false" outlineLevel="0" collapsed="false">
      <c r="A662" s="0" t="n">
        <v>1</v>
      </c>
      <c r="B662" s="0" t="n">
        <v>1192766509</v>
      </c>
      <c r="C662" s="0" t="n">
        <v>603</v>
      </c>
    </row>
    <row r="663" customFormat="false" ht="14.25" hidden="false" customHeight="false" outlineLevel="0" collapsed="false">
      <c r="A663" s="0" t="n">
        <v>1</v>
      </c>
      <c r="B663" s="0" t="n">
        <v>29125116</v>
      </c>
      <c r="C663" s="0" t="n">
        <v>932</v>
      </c>
    </row>
    <row r="664" customFormat="false" ht="14.25" hidden="false" customHeight="false" outlineLevel="0" collapsed="false">
      <c r="A664" s="0" t="n">
        <v>1</v>
      </c>
      <c r="B664" s="0" t="n">
        <v>1144044681</v>
      </c>
      <c r="C664" s="0" t="n">
        <v>796</v>
      </c>
    </row>
    <row r="665" customFormat="false" ht="14.25" hidden="false" customHeight="false" outlineLevel="0" collapsed="false">
      <c r="A665" s="0" t="n">
        <v>1</v>
      </c>
      <c r="B665" s="0" t="n">
        <v>94405422</v>
      </c>
      <c r="C665" s="0" t="n">
        <v>906</v>
      </c>
    </row>
    <row r="666" customFormat="false" ht="14.25" hidden="false" customHeight="false" outlineLevel="0" collapsed="false">
      <c r="A666" s="0" t="n">
        <v>1</v>
      </c>
      <c r="B666" s="0" t="n">
        <v>6391199</v>
      </c>
      <c r="C666" s="0" t="n">
        <v>840</v>
      </c>
    </row>
    <row r="667" customFormat="false" ht="14.25" hidden="false" customHeight="false" outlineLevel="0" collapsed="false">
      <c r="A667" s="0" t="n">
        <v>1</v>
      </c>
      <c r="B667" s="0" t="n">
        <v>1112620305</v>
      </c>
      <c r="C667" s="0" t="n">
        <v>779</v>
      </c>
    </row>
    <row r="668" customFormat="false" ht="14.25" hidden="false" customHeight="false" outlineLevel="0" collapsed="false">
      <c r="A668" s="0" t="n">
        <v>1</v>
      </c>
      <c r="B668" s="0" t="n">
        <v>38665738</v>
      </c>
      <c r="C668" s="0" t="n">
        <v>897</v>
      </c>
    </row>
    <row r="669" customFormat="false" ht="14.25" hidden="false" customHeight="false" outlineLevel="0" collapsed="false">
      <c r="A669" s="0" t="n">
        <v>1</v>
      </c>
      <c r="B669" s="0" t="n">
        <v>1118289237</v>
      </c>
      <c r="C669" s="0" t="n">
        <v>780</v>
      </c>
    </row>
    <row r="670" customFormat="false" ht="14.25" hidden="false" customHeight="false" outlineLevel="0" collapsed="false">
      <c r="A670" s="0" t="n">
        <v>1</v>
      </c>
      <c r="B670" s="0" t="n">
        <v>1143828047</v>
      </c>
      <c r="C670" s="0" t="n">
        <v>691</v>
      </c>
    </row>
    <row r="671" customFormat="false" ht="14.25" hidden="false" customHeight="false" outlineLevel="0" collapsed="false">
      <c r="A671" s="0" t="n">
        <v>1</v>
      </c>
      <c r="B671" s="0" t="n">
        <v>94512277</v>
      </c>
      <c r="C671" s="0" t="n">
        <v>836</v>
      </c>
    </row>
    <row r="672" customFormat="false" ht="14.25" hidden="false" customHeight="false" outlineLevel="0" collapsed="false">
      <c r="A672" s="0" t="n">
        <v>1</v>
      </c>
      <c r="B672" s="0" t="n">
        <v>1130647826</v>
      </c>
      <c r="C672" s="0" t="n">
        <v>726</v>
      </c>
    </row>
    <row r="673" customFormat="false" ht="14.25" hidden="false" customHeight="false" outlineLevel="0" collapsed="false">
      <c r="A673" s="0" t="n">
        <v>1</v>
      </c>
      <c r="B673" s="0" t="n">
        <v>38886733</v>
      </c>
      <c r="C673" s="0" t="n">
        <v>785</v>
      </c>
    </row>
    <row r="674" customFormat="false" ht="14.25" hidden="false" customHeight="false" outlineLevel="0" collapsed="false">
      <c r="A674" s="0" t="n">
        <v>1</v>
      </c>
      <c r="B674" s="0" t="n">
        <v>1113308797</v>
      </c>
      <c r="C674" s="0" t="n">
        <v>796</v>
      </c>
    </row>
    <row r="675" customFormat="false" ht="14.25" hidden="false" customHeight="false" outlineLevel="0" collapsed="false">
      <c r="A675" s="0" t="n">
        <v>1</v>
      </c>
      <c r="B675" s="0" t="n">
        <v>31309273</v>
      </c>
      <c r="C675" s="0" t="n">
        <v>870</v>
      </c>
    </row>
    <row r="676" customFormat="false" ht="14.25" hidden="false" customHeight="false" outlineLevel="0" collapsed="false">
      <c r="A676" s="0" t="n">
        <v>1</v>
      </c>
      <c r="B676" s="0" t="n">
        <v>1130650735</v>
      </c>
      <c r="C676" s="0" t="n">
        <v>612</v>
      </c>
    </row>
    <row r="677" customFormat="false" ht="14.25" hidden="false" customHeight="false" outlineLevel="0" collapsed="false">
      <c r="A677" s="0" t="n">
        <v>1</v>
      </c>
      <c r="B677" s="0" t="n">
        <v>1061439749</v>
      </c>
      <c r="C677" s="0" t="n">
        <v>728</v>
      </c>
    </row>
    <row r="678" customFormat="false" ht="14.25" hidden="false" customHeight="false" outlineLevel="0" collapsed="false">
      <c r="A678" s="0" t="n">
        <v>1</v>
      </c>
      <c r="B678" s="0" t="n">
        <v>1113790401</v>
      </c>
      <c r="C678" s="0" t="n">
        <v>759</v>
      </c>
    </row>
    <row r="679" customFormat="false" ht="14.25" hidden="false" customHeight="false" outlineLevel="0" collapsed="false">
      <c r="A679" s="0" t="n">
        <v>1</v>
      </c>
      <c r="B679" s="0" t="n">
        <v>6393613</v>
      </c>
      <c r="C679" s="0" t="n">
        <v>647</v>
      </c>
    </row>
    <row r="680" customFormat="false" ht="14.25" hidden="false" customHeight="false" outlineLevel="0" collapsed="false">
      <c r="A680" s="0" t="n">
        <v>1</v>
      </c>
      <c r="B680" s="0" t="n">
        <v>1144149618</v>
      </c>
      <c r="C680" s="0" t="n">
        <v>652</v>
      </c>
    </row>
    <row r="681" customFormat="false" ht="14.25" hidden="false" customHeight="false" outlineLevel="0" collapsed="false">
      <c r="A681" s="0" t="n">
        <v>1</v>
      </c>
      <c r="B681" s="0" t="n">
        <v>29110131</v>
      </c>
      <c r="C681" s="0" t="n">
        <v>710</v>
      </c>
    </row>
    <row r="682" customFormat="false" ht="14.25" hidden="false" customHeight="false" outlineLevel="0" collapsed="false">
      <c r="A682" s="0" t="n">
        <v>1</v>
      </c>
      <c r="B682" s="0" t="n">
        <v>66919261</v>
      </c>
      <c r="C682" s="0" t="n">
        <v>885</v>
      </c>
    </row>
    <row r="683" customFormat="false" ht="14.25" hidden="false" customHeight="false" outlineLevel="0" collapsed="false">
      <c r="A683" s="0" t="n">
        <v>1</v>
      </c>
      <c r="B683" s="0" t="n">
        <v>1113539552</v>
      </c>
      <c r="C683" s="0" t="n">
        <v>633</v>
      </c>
    </row>
    <row r="684" customFormat="false" ht="14.25" hidden="false" customHeight="false" outlineLevel="0" collapsed="false">
      <c r="A684" s="0" t="n">
        <v>1</v>
      </c>
      <c r="B684" s="0" t="n">
        <v>1143851441</v>
      </c>
      <c r="C684" s="0" t="n">
        <v>705</v>
      </c>
    </row>
    <row r="685" customFormat="false" ht="14.25" hidden="false" customHeight="false" outlineLevel="0" collapsed="false">
      <c r="A685" s="0" t="n">
        <v>1</v>
      </c>
      <c r="B685" s="0" t="n">
        <v>1143880251</v>
      </c>
      <c r="C685" s="0" t="n">
        <v>749</v>
      </c>
    </row>
    <row r="686" customFormat="false" ht="14.25" hidden="false" customHeight="false" outlineLevel="0" collapsed="false">
      <c r="A686" s="0" t="n">
        <v>1</v>
      </c>
      <c r="B686" s="0" t="n">
        <v>1004629086</v>
      </c>
      <c r="C686" s="0" t="n">
        <v>903</v>
      </c>
    </row>
    <row r="687" customFormat="false" ht="14.25" hidden="false" customHeight="false" outlineLevel="0" collapsed="false">
      <c r="A687" s="0" t="n">
        <v>1</v>
      </c>
      <c r="B687" s="0" t="n">
        <v>29106642</v>
      </c>
      <c r="C687" s="0" t="n">
        <v>686</v>
      </c>
    </row>
    <row r="688" customFormat="false" ht="14.25" hidden="false" customHeight="false" outlineLevel="0" collapsed="false">
      <c r="A688" s="0" t="n">
        <v>1</v>
      </c>
      <c r="B688" s="0" t="n">
        <v>1144175696</v>
      </c>
      <c r="C688" s="0" t="n">
        <v>731</v>
      </c>
    </row>
    <row r="689" customFormat="false" ht="14.25" hidden="false" customHeight="false" outlineLevel="0" collapsed="false">
      <c r="A689" s="0" t="n">
        <v>1</v>
      </c>
      <c r="B689" s="0" t="n">
        <v>1144036466</v>
      </c>
      <c r="C689" s="0" t="n">
        <v>879</v>
      </c>
    </row>
    <row r="690" customFormat="false" ht="14.25" hidden="false" customHeight="false" outlineLevel="0" collapsed="false">
      <c r="A690" s="0" t="n">
        <v>1</v>
      </c>
      <c r="B690" s="0" t="n">
        <v>1006054314</v>
      </c>
      <c r="C690" s="0" t="n">
        <v>440</v>
      </c>
    </row>
    <row r="691" customFormat="false" ht="14.25" hidden="false" customHeight="false" outlineLevel="0" collapsed="false">
      <c r="A691" s="0" t="n">
        <v>1</v>
      </c>
      <c r="B691" s="0" t="n">
        <v>22734707</v>
      </c>
      <c r="C691" s="0" t="n">
        <v>796</v>
      </c>
    </row>
    <row r="692" customFormat="false" ht="14.25" hidden="false" customHeight="false" outlineLevel="0" collapsed="false">
      <c r="A692" s="0" t="n">
        <v>1</v>
      </c>
      <c r="B692" s="0" t="n">
        <v>94475821</v>
      </c>
      <c r="C692" s="0" t="n">
        <v>826</v>
      </c>
    </row>
    <row r="693" customFormat="false" ht="14.25" hidden="false" customHeight="false" outlineLevel="0" collapsed="false">
      <c r="A693" s="0" t="n">
        <v>1</v>
      </c>
      <c r="B693" s="0" t="n">
        <v>75073905</v>
      </c>
      <c r="C693" s="0" t="n">
        <v>927</v>
      </c>
    </row>
    <row r="694" customFormat="false" ht="14.25" hidden="false" customHeight="false" outlineLevel="0" collapsed="false">
      <c r="A694" s="0" t="n">
        <v>1</v>
      </c>
      <c r="B694" s="0" t="n">
        <v>1144067909</v>
      </c>
      <c r="C694" s="0" t="n">
        <v>788</v>
      </c>
    </row>
    <row r="695" customFormat="false" ht="14.25" hidden="false" customHeight="false" outlineLevel="0" collapsed="false">
      <c r="A695" s="0" t="n">
        <v>1</v>
      </c>
      <c r="B695" s="0" t="n">
        <v>1151960223</v>
      </c>
      <c r="C695" s="0" t="n">
        <v>568</v>
      </c>
    </row>
    <row r="696" customFormat="false" ht="14.25" hidden="false" customHeight="false" outlineLevel="0" collapsed="false">
      <c r="A696" s="0" t="n">
        <v>1</v>
      </c>
      <c r="B696" s="0" t="n">
        <v>1151947582</v>
      </c>
      <c r="C696" s="0" t="n">
        <v>568</v>
      </c>
    </row>
    <row r="697" customFormat="false" ht="14.25" hidden="false" customHeight="false" outlineLevel="0" collapsed="false">
      <c r="A697" s="0" t="n">
        <v>1</v>
      </c>
      <c r="B697" s="0" t="n">
        <v>1107514466</v>
      </c>
      <c r="C697" s="0" t="n">
        <v>582</v>
      </c>
    </row>
    <row r="698" customFormat="false" ht="14.25" hidden="false" customHeight="false" outlineLevel="0" collapsed="false">
      <c r="A698" s="0" t="n">
        <v>1</v>
      </c>
      <c r="B698" s="0" t="n">
        <v>66851685</v>
      </c>
      <c r="C698" s="0" t="n">
        <v>862</v>
      </c>
    </row>
    <row r="699" customFormat="false" ht="14.25" hidden="false" customHeight="false" outlineLevel="0" collapsed="false">
      <c r="A699" s="0" t="n">
        <v>1</v>
      </c>
      <c r="B699" s="0" t="n">
        <v>38561313</v>
      </c>
      <c r="C699" s="0" t="n">
        <v>889</v>
      </c>
    </row>
    <row r="700" customFormat="false" ht="14.25" hidden="false" customHeight="false" outlineLevel="0" collapsed="false">
      <c r="A700" s="0" t="n">
        <v>1</v>
      </c>
      <c r="B700" s="0" t="n">
        <v>1130594176</v>
      </c>
      <c r="C700" s="0" t="n">
        <v>902</v>
      </c>
    </row>
    <row r="701" customFormat="false" ht="14.25" hidden="false" customHeight="false" outlineLevel="0" collapsed="false">
      <c r="A701" s="0" t="n">
        <v>1</v>
      </c>
      <c r="B701" s="0" t="n">
        <v>1144156511</v>
      </c>
      <c r="C701" s="0" t="n">
        <v>747</v>
      </c>
    </row>
    <row r="702" customFormat="false" ht="14.25" hidden="false" customHeight="false" outlineLevel="0" collapsed="false">
      <c r="A702" s="0" t="n">
        <v>1</v>
      </c>
      <c r="B702" s="0" t="n">
        <v>1088356182</v>
      </c>
      <c r="C702" s="0" t="n">
        <v>797</v>
      </c>
    </row>
    <row r="703" customFormat="false" ht="14.25" hidden="false" customHeight="false" outlineLevel="0" collapsed="false">
      <c r="A703" s="0" t="n">
        <v>1</v>
      </c>
      <c r="B703" s="0" t="n">
        <v>66981726</v>
      </c>
      <c r="C703" s="0" t="n">
        <v>790</v>
      </c>
    </row>
    <row r="704" customFormat="false" ht="14.25" hidden="false" customHeight="false" outlineLevel="0" collapsed="false">
      <c r="A704" s="0" t="n">
        <v>1</v>
      </c>
      <c r="B704" s="0" t="n">
        <v>38601336</v>
      </c>
      <c r="C704" s="0" t="n">
        <v>598</v>
      </c>
    </row>
    <row r="705" customFormat="false" ht="14.25" hidden="false" customHeight="false" outlineLevel="0" collapsed="false">
      <c r="A705" s="0" t="n">
        <v>1</v>
      </c>
      <c r="B705" s="0" t="n">
        <v>1130679196</v>
      </c>
      <c r="C705" s="0" t="n">
        <v>747</v>
      </c>
    </row>
    <row r="706" customFormat="false" ht="14.25" hidden="false" customHeight="false" outlineLevel="0" collapsed="false">
      <c r="A706" s="0" t="n">
        <v>1</v>
      </c>
      <c r="B706" s="0" t="n">
        <v>1144056291</v>
      </c>
      <c r="C706" s="0" t="n">
        <v>937</v>
      </c>
    </row>
    <row r="707" customFormat="false" ht="14.25" hidden="false" customHeight="false" outlineLevel="0" collapsed="false">
      <c r="A707" s="0" t="n">
        <v>1</v>
      </c>
      <c r="B707" s="0" t="n">
        <v>1107510180</v>
      </c>
      <c r="C707" s="0" t="n">
        <v>665</v>
      </c>
    </row>
    <row r="708" customFormat="false" ht="14.25" hidden="false" customHeight="false" outlineLevel="0" collapsed="false">
      <c r="A708" s="0" t="n">
        <v>1</v>
      </c>
      <c r="B708" s="0" t="n">
        <v>67032665</v>
      </c>
      <c r="C708" s="0" t="n">
        <v>665</v>
      </c>
    </row>
    <row r="709" customFormat="false" ht="14.25" hidden="false" customHeight="false" outlineLevel="0" collapsed="false">
      <c r="A709" s="0" t="n">
        <v>1</v>
      </c>
      <c r="B709" s="0" t="n">
        <v>67007578</v>
      </c>
      <c r="C709" s="0" t="n">
        <v>846</v>
      </c>
    </row>
    <row r="710" customFormat="false" ht="14.25" hidden="false" customHeight="false" outlineLevel="0" collapsed="false">
      <c r="A710" s="0" t="n">
        <v>1</v>
      </c>
      <c r="B710" s="0" t="n">
        <v>31573111</v>
      </c>
      <c r="C710" s="0" t="n">
        <v>843</v>
      </c>
    </row>
    <row r="711" customFormat="false" ht="14.25" hidden="false" customHeight="false" outlineLevel="0" collapsed="false">
      <c r="A711" s="0" t="n">
        <v>1</v>
      </c>
      <c r="B711" s="0" t="n">
        <v>29684827</v>
      </c>
      <c r="C711" s="0" t="n">
        <v>788</v>
      </c>
    </row>
    <row r="712" customFormat="false" ht="14.25" hidden="false" customHeight="false" outlineLevel="0" collapsed="false">
      <c r="A712" s="0" t="n">
        <v>1</v>
      </c>
      <c r="B712" s="0" t="n">
        <v>67027986</v>
      </c>
      <c r="C712" s="0" t="n">
        <v>887</v>
      </c>
    </row>
    <row r="713" customFormat="false" ht="14.25" hidden="false" customHeight="false" outlineLevel="0" collapsed="false">
      <c r="A713" s="0" t="n">
        <v>1</v>
      </c>
      <c r="B713" s="0" t="n">
        <v>1112484884</v>
      </c>
      <c r="C713" s="0" t="n">
        <v>686</v>
      </c>
    </row>
    <row r="714" customFormat="false" ht="14.25" hidden="false" customHeight="false" outlineLevel="0" collapsed="false">
      <c r="A714" s="0" t="n">
        <v>1</v>
      </c>
      <c r="B714" s="0" t="n">
        <v>1129583672</v>
      </c>
      <c r="C714" s="0" t="n">
        <v>813</v>
      </c>
    </row>
    <row r="715" customFormat="false" ht="14.25" hidden="false" customHeight="false" outlineLevel="0" collapsed="false">
      <c r="A715" s="0" t="n">
        <v>1</v>
      </c>
      <c r="B715" s="0" t="n">
        <v>1053805598</v>
      </c>
      <c r="C715" s="0" t="n">
        <v>927</v>
      </c>
    </row>
    <row r="716" customFormat="false" ht="14.25" hidden="false" customHeight="false" outlineLevel="0" collapsed="false">
      <c r="A716" s="0" t="n">
        <v>1</v>
      </c>
      <c r="B716" s="0" t="n">
        <v>1130594758</v>
      </c>
      <c r="C716" s="0" t="n">
        <v>744</v>
      </c>
    </row>
    <row r="717" customFormat="false" ht="14.25" hidden="false" customHeight="false" outlineLevel="0" collapsed="false">
      <c r="A717" s="0" t="n">
        <v>1</v>
      </c>
      <c r="B717" s="0" t="n">
        <v>1144139342</v>
      </c>
      <c r="C717" s="0" t="n">
        <v>765</v>
      </c>
    </row>
    <row r="718" customFormat="false" ht="14.25" hidden="false" customHeight="false" outlineLevel="0" collapsed="false">
      <c r="A718" s="0" t="n">
        <v>1</v>
      </c>
      <c r="B718" s="0" t="n">
        <v>1143842766</v>
      </c>
      <c r="C718" s="0" t="n">
        <v>640</v>
      </c>
    </row>
    <row r="719" customFormat="false" ht="14.25" hidden="false" customHeight="false" outlineLevel="0" collapsed="false">
      <c r="A719" s="0" t="n">
        <v>1</v>
      </c>
      <c r="B719" s="0" t="n">
        <v>67026638</v>
      </c>
      <c r="C719" s="0" t="n">
        <v>827</v>
      </c>
    </row>
    <row r="720" customFormat="false" ht="14.25" hidden="false" customHeight="false" outlineLevel="0" collapsed="false">
      <c r="A720" s="0" t="n">
        <v>1</v>
      </c>
      <c r="B720" s="0" t="n">
        <v>1143827788</v>
      </c>
      <c r="C720" s="0" t="n">
        <v>665</v>
      </c>
    </row>
    <row r="721" customFormat="false" ht="14.25" hidden="false" customHeight="false" outlineLevel="0" collapsed="false">
      <c r="A721" s="0" t="n">
        <v>1</v>
      </c>
      <c r="B721" s="0" t="n">
        <v>1144090100</v>
      </c>
      <c r="C721" s="0" t="n">
        <v>611</v>
      </c>
    </row>
    <row r="722" customFormat="false" ht="14.25" hidden="false" customHeight="false" outlineLevel="0" collapsed="false">
      <c r="A722" s="0" t="n">
        <v>1</v>
      </c>
      <c r="B722" s="0" t="n">
        <v>38600399</v>
      </c>
      <c r="C722" s="0" t="n">
        <v>726</v>
      </c>
    </row>
    <row r="723" customFormat="false" ht="14.25" hidden="false" customHeight="false" outlineLevel="0" collapsed="false">
      <c r="A723" s="0" t="n">
        <v>1</v>
      </c>
      <c r="B723" s="0" t="n">
        <v>1113687930</v>
      </c>
      <c r="C723" s="0" t="n">
        <v>619</v>
      </c>
    </row>
    <row r="724" customFormat="false" ht="14.25" hidden="false" customHeight="false" outlineLevel="0" collapsed="false">
      <c r="A724" s="0" t="n">
        <v>1</v>
      </c>
      <c r="B724" s="0" t="n">
        <v>1115079127</v>
      </c>
      <c r="C724" s="0" t="n">
        <v>727</v>
      </c>
    </row>
    <row r="725" customFormat="false" ht="14.25" hidden="false" customHeight="false" outlineLevel="0" collapsed="false">
      <c r="A725" s="0" t="n">
        <v>1</v>
      </c>
      <c r="B725" s="0" t="n">
        <v>1143831754</v>
      </c>
      <c r="C725" s="0" t="n">
        <v>773</v>
      </c>
    </row>
    <row r="726" customFormat="false" ht="14.25" hidden="false" customHeight="false" outlineLevel="0" collapsed="false">
      <c r="A726" s="0" t="n">
        <v>1</v>
      </c>
      <c r="B726" s="0" t="n">
        <v>16918838</v>
      </c>
      <c r="C726" s="0" t="n">
        <v>866</v>
      </c>
    </row>
    <row r="727" customFormat="false" ht="14.25" hidden="false" customHeight="false" outlineLevel="0" collapsed="false">
      <c r="A727" s="0" t="n">
        <v>1</v>
      </c>
      <c r="B727" s="0" t="n">
        <v>1144085630</v>
      </c>
      <c r="C727" s="0" t="n">
        <v>686</v>
      </c>
    </row>
    <row r="728" customFormat="false" ht="14.25" hidden="false" customHeight="false" outlineLevel="0" collapsed="false">
      <c r="A728" s="0" t="n">
        <v>1</v>
      </c>
      <c r="B728" s="0" t="n">
        <v>31309662</v>
      </c>
      <c r="C728" s="0" t="n">
        <v>657</v>
      </c>
    </row>
    <row r="729" customFormat="false" ht="14.25" hidden="false" customHeight="false" outlineLevel="0" collapsed="false">
      <c r="A729" s="0" t="n">
        <v>1</v>
      </c>
      <c r="B729" s="0" t="n">
        <v>38610903</v>
      </c>
      <c r="C729" s="0" t="n">
        <v>868</v>
      </c>
    </row>
    <row r="730" customFormat="false" ht="14.25" hidden="false" customHeight="false" outlineLevel="0" collapsed="false">
      <c r="A730" s="0" t="n">
        <v>1</v>
      </c>
      <c r="B730" s="0" t="n">
        <v>1002839691</v>
      </c>
      <c r="C730" s="0" t="n">
        <v>747</v>
      </c>
    </row>
    <row r="731" customFormat="false" ht="14.25" hidden="false" customHeight="false" outlineLevel="0" collapsed="false">
      <c r="A731" s="0" t="n">
        <v>1</v>
      </c>
      <c r="B731" s="0" t="n">
        <v>1143849905</v>
      </c>
      <c r="C731" s="0" t="n">
        <v>553</v>
      </c>
    </row>
    <row r="732" customFormat="false" ht="14.25" hidden="false" customHeight="false" outlineLevel="0" collapsed="false">
      <c r="A732" s="0" t="n">
        <v>1</v>
      </c>
      <c r="B732" s="0" t="n">
        <v>94412423</v>
      </c>
      <c r="C732" s="0" t="n">
        <v>726</v>
      </c>
    </row>
    <row r="733" customFormat="false" ht="14.25" hidden="false" customHeight="false" outlineLevel="0" collapsed="false">
      <c r="A733" s="0" t="n">
        <v>1</v>
      </c>
      <c r="B733" s="0" t="n">
        <v>1075239620</v>
      </c>
      <c r="C733" s="0" t="n">
        <v>568</v>
      </c>
    </row>
    <row r="734" customFormat="false" ht="14.25" hidden="false" customHeight="false" outlineLevel="0" collapsed="false">
      <c r="A734" s="0" t="n">
        <v>1</v>
      </c>
      <c r="B734" s="0" t="n">
        <v>1115076657</v>
      </c>
      <c r="C734" s="0" t="n">
        <v>770</v>
      </c>
    </row>
    <row r="735" customFormat="false" ht="14.25" hidden="false" customHeight="false" outlineLevel="0" collapsed="false">
      <c r="A735" s="0" t="n">
        <v>1</v>
      </c>
      <c r="B735" s="0" t="n">
        <v>42130016</v>
      </c>
      <c r="C735" s="0" t="n">
        <v>970</v>
      </c>
    </row>
    <row r="736" customFormat="false" ht="14.25" hidden="false" customHeight="false" outlineLevel="0" collapsed="false">
      <c r="A736" s="0" t="n">
        <v>1</v>
      </c>
      <c r="B736" s="0" t="n">
        <v>1144054574</v>
      </c>
      <c r="C736" s="0" t="n">
        <v>948</v>
      </c>
    </row>
    <row r="737" customFormat="false" ht="14.25" hidden="false" customHeight="false" outlineLevel="0" collapsed="false">
      <c r="A737" s="0" t="n">
        <v>1</v>
      </c>
      <c r="B737" s="0" t="n">
        <v>1144069289</v>
      </c>
      <c r="C737" s="0" t="n">
        <v>763</v>
      </c>
    </row>
    <row r="738" customFormat="false" ht="14.25" hidden="false" customHeight="false" outlineLevel="0" collapsed="false">
      <c r="A738" s="0" t="n">
        <v>1</v>
      </c>
      <c r="B738" s="0" t="n">
        <v>67025059</v>
      </c>
      <c r="C738" s="0" t="n">
        <v>686</v>
      </c>
    </row>
    <row r="739" customFormat="false" ht="14.25" hidden="false" customHeight="false" outlineLevel="0" collapsed="false">
      <c r="A739" s="0" t="n">
        <v>1</v>
      </c>
      <c r="B739" s="0" t="n">
        <v>1144106381</v>
      </c>
      <c r="C739" s="0" t="n">
        <v>589</v>
      </c>
    </row>
    <row r="740" customFormat="false" ht="14.25" hidden="false" customHeight="false" outlineLevel="0" collapsed="false">
      <c r="A740" s="0" t="n">
        <v>1</v>
      </c>
      <c r="B740" s="0" t="n">
        <v>1004063412</v>
      </c>
      <c r="C740" s="0" t="n">
        <v>799</v>
      </c>
    </row>
    <row r="741" customFormat="false" ht="14.25" hidden="false" customHeight="false" outlineLevel="0" collapsed="false">
      <c r="A741" s="0" t="n">
        <v>1</v>
      </c>
      <c r="B741" s="0" t="n">
        <v>1052981175</v>
      </c>
      <c r="C741" s="0" t="n">
        <v>726</v>
      </c>
    </row>
    <row r="742" customFormat="false" ht="14.25" hidden="false" customHeight="false" outlineLevel="0" collapsed="false">
      <c r="A742" s="0" t="n">
        <v>1</v>
      </c>
      <c r="B742" s="0" t="n">
        <v>1112223503</v>
      </c>
      <c r="C742" s="0" t="n">
        <v>611</v>
      </c>
    </row>
    <row r="743" customFormat="false" ht="14.25" hidden="false" customHeight="false" outlineLevel="0" collapsed="false">
      <c r="A743" s="0" t="n">
        <v>1</v>
      </c>
      <c r="B743" s="0" t="n">
        <v>71738242</v>
      </c>
      <c r="C743" s="0" t="n">
        <v>933</v>
      </c>
    </row>
    <row r="744" customFormat="false" ht="14.25" hidden="false" customHeight="false" outlineLevel="0" collapsed="false">
      <c r="A744" s="0" t="n">
        <v>1</v>
      </c>
      <c r="B744" s="0" t="n">
        <v>38561807</v>
      </c>
      <c r="C744" s="0" t="n">
        <v>503</v>
      </c>
    </row>
    <row r="745" customFormat="false" ht="14.25" hidden="false" customHeight="false" outlineLevel="0" collapsed="false">
      <c r="A745" s="0" t="n">
        <v>1</v>
      </c>
      <c r="B745" s="0" t="n">
        <v>66993132</v>
      </c>
      <c r="C745" s="0" t="n">
        <v>755</v>
      </c>
    </row>
    <row r="746" customFormat="false" ht="14.25" hidden="false" customHeight="false" outlineLevel="0" collapsed="false">
      <c r="A746" s="0" t="n">
        <v>1</v>
      </c>
      <c r="B746" s="0" t="n">
        <v>1143938596</v>
      </c>
      <c r="C746" s="0" t="n">
        <v>536</v>
      </c>
    </row>
    <row r="747" customFormat="false" ht="14.25" hidden="false" customHeight="false" outlineLevel="0" collapsed="false">
      <c r="A747" s="0" t="n">
        <v>1</v>
      </c>
      <c r="B747" s="0" t="n">
        <v>67030192</v>
      </c>
      <c r="C747" s="0" t="n">
        <v>831</v>
      </c>
    </row>
    <row r="748" customFormat="false" ht="14.25" hidden="false" customHeight="false" outlineLevel="0" collapsed="false">
      <c r="A748" s="0" t="n">
        <v>1</v>
      </c>
      <c r="B748" s="0" t="n">
        <v>1130628436</v>
      </c>
      <c r="C748" s="0" t="n">
        <v>804</v>
      </c>
    </row>
    <row r="749" customFormat="false" ht="14.25" hidden="false" customHeight="false" outlineLevel="0" collapsed="false">
      <c r="A749" s="0" t="n">
        <v>1</v>
      </c>
      <c r="B749" s="0" t="n">
        <v>1144174417</v>
      </c>
      <c r="C749" s="0" t="n">
        <v>710</v>
      </c>
    </row>
    <row r="750" customFormat="false" ht="14.25" hidden="false" customHeight="false" outlineLevel="0" collapsed="false">
      <c r="A750" s="0" t="n">
        <v>1</v>
      </c>
      <c r="B750" s="0" t="n">
        <v>1193101208</v>
      </c>
      <c r="C750" s="0" t="n">
        <v>611</v>
      </c>
    </row>
    <row r="751" customFormat="false" ht="14.25" hidden="false" customHeight="false" outlineLevel="0" collapsed="false">
      <c r="A751" s="0" t="n">
        <v>1</v>
      </c>
      <c r="B751" s="0" t="n">
        <v>30335201</v>
      </c>
      <c r="C751" s="0" t="n">
        <v>817</v>
      </c>
    </row>
    <row r="752" customFormat="false" ht="14.25" hidden="false" customHeight="false" outlineLevel="0" collapsed="false">
      <c r="A752" s="0" t="n">
        <v>1</v>
      </c>
      <c r="B752" s="0" t="n">
        <v>1144185524</v>
      </c>
      <c r="C752" s="0" t="n">
        <v>582</v>
      </c>
    </row>
    <row r="753" customFormat="false" ht="14.25" hidden="false" customHeight="false" outlineLevel="0" collapsed="false">
      <c r="A753" s="0" t="n">
        <v>1</v>
      </c>
      <c r="B753" s="0" t="n">
        <v>67023981</v>
      </c>
      <c r="C753" s="0" t="n">
        <v>890</v>
      </c>
    </row>
    <row r="754" customFormat="false" ht="14.25" hidden="false" customHeight="false" outlineLevel="0" collapsed="false">
      <c r="A754" s="0" t="n">
        <v>1</v>
      </c>
      <c r="B754" s="0" t="n">
        <v>38569313</v>
      </c>
      <c r="C754" s="0" t="n">
        <v>854</v>
      </c>
    </row>
    <row r="755" customFormat="false" ht="14.25" hidden="false" customHeight="false" outlineLevel="0" collapsed="false">
      <c r="A755" s="0" t="n">
        <v>1</v>
      </c>
      <c r="B755" s="0" t="n">
        <v>1144082255</v>
      </c>
      <c r="C755" s="0" t="n">
        <v>701</v>
      </c>
    </row>
    <row r="756" customFormat="false" ht="14.25" hidden="false" customHeight="false" outlineLevel="0" collapsed="false">
      <c r="A756" s="0" t="n">
        <v>1</v>
      </c>
      <c r="B756" s="0" t="n">
        <v>38611423</v>
      </c>
      <c r="C756" s="0" t="n">
        <v>686</v>
      </c>
    </row>
    <row r="757" customFormat="false" ht="14.25" hidden="false" customHeight="false" outlineLevel="0" collapsed="false">
      <c r="A757" s="0" t="n">
        <v>1</v>
      </c>
      <c r="B757" s="0" t="n">
        <v>1130651554</v>
      </c>
      <c r="C757" s="0" t="n">
        <v>810</v>
      </c>
    </row>
    <row r="758" customFormat="false" ht="14.25" hidden="false" customHeight="false" outlineLevel="0" collapsed="false">
      <c r="A758" s="0" t="n">
        <v>1</v>
      </c>
      <c r="B758" s="0" t="n">
        <v>59834435</v>
      </c>
      <c r="C758" s="0" t="n">
        <v>820</v>
      </c>
    </row>
    <row r="759" customFormat="false" ht="14.25" hidden="false" customHeight="false" outlineLevel="0" collapsed="false">
      <c r="A759" s="0" t="n">
        <v>1</v>
      </c>
      <c r="B759" s="0" t="n">
        <v>1107509624</v>
      </c>
      <c r="C759" s="0" t="n">
        <v>648</v>
      </c>
    </row>
    <row r="760" customFormat="false" ht="14.25" hidden="false" customHeight="false" outlineLevel="0" collapsed="false">
      <c r="A760" s="0" t="n">
        <v>1</v>
      </c>
      <c r="B760" s="0" t="n">
        <v>1130592120</v>
      </c>
      <c r="C760" s="0" t="n">
        <v>845</v>
      </c>
    </row>
    <row r="761" customFormat="false" ht="14.25" hidden="false" customHeight="false" outlineLevel="0" collapsed="false">
      <c r="A761" s="0" t="n">
        <v>1</v>
      </c>
      <c r="B761" s="0" t="n">
        <v>1151963823</v>
      </c>
      <c r="C761" s="0" t="n">
        <v>632</v>
      </c>
    </row>
    <row r="762" customFormat="false" ht="14.25" hidden="false" customHeight="false" outlineLevel="0" collapsed="false">
      <c r="A762" s="0" t="n">
        <v>1</v>
      </c>
      <c r="B762" s="0" t="n">
        <v>1032378479</v>
      </c>
      <c r="C762" s="0" t="n">
        <v>899</v>
      </c>
    </row>
    <row r="763" customFormat="false" ht="14.25" hidden="false" customHeight="false" outlineLevel="0" collapsed="false">
      <c r="A763" s="0" t="n">
        <v>1</v>
      </c>
      <c r="B763" s="0" t="n">
        <v>1075240800</v>
      </c>
      <c r="C763" s="0" t="n">
        <v>615</v>
      </c>
    </row>
    <row r="764" customFormat="false" ht="14.25" hidden="false" customHeight="false" outlineLevel="0" collapsed="false">
      <c r="A764" s="0" t="n">
        <v>1</v>
      </c>
      <c r="B764" s="0" t="n">
        <v>1107081228</v>
      </c>
      <c r="C764" s="0" t="n">
        <v>684</v>
      </c>
    </row>
    <row r="765" customFormat="false" ht="14.25" hidden="false" customHeight="false" outlineLevel="0" collapsed="false">
      <c r="A765" s="0" t="n">
        <v>1</v>
      </c>
      <c r="B765" s="0" t="n">
        <v>1006181772</v>
      </c>
      <c r="C765" s="0" t="n">
        <v>665</v>
      </c>
    </row>
    <row r="766" customFormat="false" ht="14.25" hidden="false" customHeight="false" outlineLevel="0" collapsed="false">
      <c r="A766" s="0" t="n">
        <v>1</v>
      </c>
      <c r="B766" s="0" t="n">
        <v>67020375</v>
      </c>
      <c r="C766" s="0" t="n">
        <v>926</v>
      </c>
    </row>
    <row r="767" customFormat="false" ht="14.25" hidden="false" customHeight="false" outlineLevel="0" collapsed="false">
      <c r="A767" s="0" t="n">
        <v>1</v>
      </c>
      <c r="B767" s="0" t="n">
        <v>29705663</v>
      </c>
      <c r="C767" s="0" t="n">
        <v>686</v>
      </c>
    </row>
    <row r="768" customFormat="false" ht="14.25" hidden="false" customHeight="false" outlineLevel="0" collapsed="false">
      <c r="A768" s="0" t="n">
        <v>1</v>
      </c>
      <c r="B768" s="0" t="n">
        <v>1144165348</v>
      </c>
      <c r="C768" s="0" t="n">
        <v>762</v>
      </c>
    </row>
    <row r="769" customFormat="false" ht="14.25" hidden="false" customHeight="false" outlineLevel="0" collapsed="false">
      <c r="A769" s="0" t="n">
        <v>1</v>
      </c>
      <c r="B769" s="0" t="n">
        <v>66783733</v>
      </c>
      <c r="C769" s="0" t="n">
        <v>747</v>
      </c>
    </row>
    <row r="770" customFormat="false" ht="14.25" hidden="false" customHeight="false" outlineLevel="0" collapsed="false">
      <c r="A770" s="0" t="n">
        <v>1</v>
      </c>
      <c r="B770" s="0" t="n">
        <v>1151966415</v>
      </c>
      <c r="C770" s="0" t="n">
        <v>780</v>
      </c>
    </row>
    <row r="771" customFormat="false" ht="14.25" hidden="false" customHeight="false" outlineLevel="0" collapsed="false">
      <c r="A771" s="0" t="n">
        <v>1</v>
      </c>
      <c r="B771" s="0" t="n">
        <v>1116235969</v>
      </c>
      <c r="C771" s="0" t="n">
        <v>769</v>
      </c>
    </row>
    <row r="772" customFormat="false" ht="14.25" hidden="false" customHeight="false" outlineLevel="0" collapsed="false">
      <c r="A772" s="0" t="n">
        <v>1</v>
      </c>
      <c r="B772" s="0" t="n">
        <v>1005945934</v>
      </c>
      <c r="C772" s="0" t="n">
        <v>735</v>
      </c>
    </row>
    <row r="773" customFormat="false" ht="14.25" hidden="false" customHeight="false" outlineLevel="0" collapsed="false">
      <c r="A773" s="0" t="n">
        <v>1</v>
      </c>
      <c r="B773" s="0" t="n">
        <v>1005894749</v>
      </c>
      <c r="C773" s="0" t="n">
        <v>568</v>
      </c>
    </row>
    <row r="774" customFormat="false" ht="14.25" hidden="false" customHeight="false" outlineLevel="0" collapsed="false">
      <c r="A774" s="0" t="n">
        <v>1</v>
      </c>
      <c r="B774" s="0" t="n">
        <v>1107073161</v>
      </c>
      <c r="C774" s="0" t="n">
        <v>619</v>
      </c>
    </row>
    <row r="775" customFormat="false" ht="14.25" hidden="false" customHeight="false" outlineLevel="0" collapsed="false">
      <c r="A775" s="0" t="n">
        <v>1</v>
      </c>
      <c r="B775" s="0" t="n">
        <v>1193037577</v>
      </c>
      <c r="C775" s="0" t="n">
        <v>665</v>
      </c>
    </row>
    <row r="776" customFormat="false" ht="14.25" hidden="false" customHeight="false" outlineLevel="0" collapsed="false">
      <c r="A776" s="0" t="n">
        <v>1</v>
      </c>
      <c r="B776" s="0" t="n">
        <v>24348754</v>
      </c>
      <c r="C776" s="0" t="n">
        <v>952</v>
      </c>
    </row>
    <row r="777" customFormat="false" ht="14.25" hidden="false" customHeight="false" outlineLevel="0" collapsed="false">
      <c r="A777" s="0" t="n">
        <v>1</v>
      </c>
      <c r="B777" s="0" t="n">
        <v>16839283</v>
      </c>
      <c r="C777" s="0" t="n">
        <v>777</v>
      </c>
    </row>
    <row r="778" customFormat="false" ht="14.25" hidden="false" customHeight="false" outlineLevel="0" collapsed="false">
      <c r="A778" s="0" t="n">
        <v>1</v>
      </c>
      <c r="B778" s="0" t="n">
        <v>1107055420</v>
      </c>
      <c r="C778" s="0" t="n">
        <v>744</v>
      </c>
    </row>
    <row r="779" customFormat="false" ht="14.25" hidden="false" customHeight="false" outlineLevel="0" collapsed="false">
      <c r="A779" s="0" t="n">
        <v>1</v>
      </c>
      <c r="B779" s="0" t="n">
        <v>16945354</v>
      </c>
      <c r="C779" s="0" t="n">
        <v>611</v>
      </c>
    </row>
    <row r="780" customFormat="false" ht="14.25" hidden="false" customHeight="false" outlineLevel="0" collapsed="false">
      <c r="A780" s="0" t="n">
        <v>1</v>
      </c>
      <c r="B780" s="0" t="n">
        <v>1143864842</v>
      </c>
      <c r="C780" s="0" t="n">
        <v>759</v>
      </c>
    </row>
    <row r="781" customFormat="false" ht="14.25" hidden="false" customHeight="false" outlineLevel="0" collapsed="false">
      <c r="A781" s="0" t="n">
        <v>1</v>
      </c>
      <c r="B781" s="0" t="n">
        <v>1116261599</v>
      </c>
      <c r="C781" s="0" t="n">
        <v>772</v>
      </c>
    </row>
    <row r="782" customFormat="false" ht="14.25" hidden="false" customHeight="false" outlineLevel="0" collapsed="false">
      <c r="A782" s="0" t="n">
        <v>1</v>
      </c>
      <c r="B782" s="0" t="n">
        <v>1143872319</v>
      </c>
      <c r="C782" s="0" t="n">
        <v>805</v>
      </c>
    </row>
    <row r="783" customFormat="false" ht="14.25" hidden="false" customHeight="false" outlineLevel="0" collapsed="false">
      <c r="A783" s="0" t="n">
        <v>1</v>
      </c>
      <c r="B783" s="0" t="n">
        <v>1130640687</v>
      </c>
      <c r="C783" s="0" t="n">
        <v>747</v>
      </c>
    </row>
    <row r="784" customFormat="false" ht="14.25" hidden="false" customHeight="false" outlineLevel="0" collapsed="false">
      <c r="A784" s="0" t="n">
        <v>1</v>
      </c>
      <c r="B784" s="0" t="n">
        <v>1143945724</v>
      </c>
      <c r="C784" s="0" t="n">
        <v>611</v>
      </c>
    </row>
    <row r="785" customFormat="false" ht="14.25" hidden="false" customHeight="false" outlineLevel="0" collapsed="false">
      <c r="A785" s="0" t="n">
        <v>1</v>
      </c>
      <c r="B785" s="0" t="n">
        <v>1005866675</v>
      </c>
      <c r="C785" s="0" t="n">
        <v>568</v>
      </c>
    </row>
    <row r="786" customFormat="false" ht="14.25" hidden="false" customHeight="false" outlineLevel="0" collapsed="false">
      <c r="A786" s="0" t="n">
        <v>1</v>
      </c>
      <c r="B786" s="0" t="n">
        <v>1143854553</v>
      </c>
      <c r="C786" s="0" t="n">
        <v>536</v>
      </c>
    </row>
    <row r="787" customFormat="false" ht="14.25" hidden="false" customHeight="false" outlineLevel="0" collapsed="false">
      <c r="A787" s="0" t="n">
        <v>1</v>
      </c>
      <c r="B787" s="0" t="n">
        <v>1128047242</v>
      </c>
      <c r="C787" s="0" t="n">
        <v>726</v>
      </c>
    </row>
    <row r="788" customFormat="false" ht="14.25" hidden="false" customHeight="false" outlineLevel="0" collapsed="false">
      <c r="A788" s="0" t="n">
        <v>1</v>
      </c>
      <c r="B788" s="0" t="n">
        <v>1087800366</v>
      </c>
      <c r="C788" s="0" t="n">
        <v>270</v>
      </c>
    </row>
    <row r="789" customFormat="false" ht="14.25" hidden="false" customHeight="false" outlineLevel="0" collapsed="false">
      <c r="A789" s="0" t="n">
        <v>1</v>
      </c>
      <c r="B789" s="0" t="n">
        <v>31482381</v>
      </c>
      <c r="C789" s="0" t="n">
        <v>901</v>
      </c>
    </row>
    <row r="790" customFormat="false" ht="14.25" hidden="false" customHeight="false" outlineLevel="0" collapsed="false">
      <c r="A790" s="0" t="n">
        <v>1</v>
      </c>
      <c r="B790" s="0" t="n">
        <v>1107085530</v>
      </c>
      <c r="C790" s="0" t="n">
        <v>594</v>
      </c>
    </row>
    <row r="791" customFormat="false" ht="14.25" hidden="false" customHeight="false" outlineLevel="0" collapsed="false">
      <c r="A791" s="0" t="n">
        <v>1</v>
      </c>
      <c r="B791" s="0" t="n">
        <v>24341885</v>
      </c>
      <c r="C791" s="0" t="n">
        <v>747</v>
      </c>
    </row>
    <row r="792" customFormat="false" ht="14.25" hidden="false" customHeight="false" outlineLevel="0" collapsed="false">
      <c r="A792" s="0" t="n">
        <v>1</v>
      </c>
      <c r="B792" s="0" t="n">
        <v>66922338</v>
      </c>
      <c r="C792" s="0" t="n">
        <v>747</v>
      </c>
    </row>
    <row r="793" customFormat="false" ht="14.25" hidden="false" customHeight="false" outlineLevel="0" collapsed="false">
      <c r="A793" s="0" t="n">
        <v>1</v>
      </c>
      <c r="B793" s="0" t="n">
        <v>1143840552</v>
      </c>
      <c r="C793" s="0" t="n">
        <v>798</v>
      </c>
    </row>
    <row r="794" customFormat="false" ht="14.25" hidden="false" customHeight="false" outlineLevel="0" collapsed="false">
      <c r="A794" s="0" t="n">
        <v>1</v>
      </c>
      <c r="B794" s="0" t="n">
        <v>1005870761</v>
      </c>
      <c r="C794" s="0" t="n">
        <v>655</v>
      </c>
    </row>
    <row r="795" customFormat="false" ht="14.25" hidden="false" customHeight="false" outlineLevel="0" collapsed="false">
      <c r="A795" s="0" t="n">
        <v>1</v>
      </c>
      <c r="B795" s="0" t="n">
        <v>1107096680</v>
      </c>
      <c r="C795" s="0" t="n">
        <v>695</v>
      </c>
    </row>
    <row r="796" customFormat="false" ht="14.25" hidden="false" customHeight="false" outlineLevel="0" collapsed="false">
      <c r="A796" s="0" t="n">
        <v>1</v>
      </c>
      <c r="B796" s="0" t="n">
        <v>1144149654</v>
      </c>
      <c r="C796" s="0" t="n">
        <v>822</v>
      </c>
    </row>
    <row r="797" customFormat="false" ht="14.25" hidden="false" customHeight="false" outlineLevel="0" collapsed="false">
      <c r="A797" s="0" t="n">
        <v>1</v>
      </c>
      <c r="B797" s="0" t="n">
        <v>34613504</v>
      </c>
      <c r="C797" s="0" t="n">
        <v>665</v>
      </c>
    </row>
    <row r="798" customFormat="false" ht="14.25" hidden="false" customHeight="false" outlineLevel="0" collapsed="false">
      <c r="A798" s="0" t="n">
        <v>1</v>
      </c>
      <c r="B798" s="0" t="n">
        <v>1107522576</v>
      </c>
      <c r="C798" s="0" t="n">
        <v>785</v>
      </c>
    </row>
    <row r="799" customFormat="false" ht="14.25" hidden="false" customHeight="false" outlineLevel="0" collapsed="false">
      <c r="A799" s="0" t="n">
        <v>1</v>
      </c>
      <c r="B799" s="0" t="n">
        <v>1234188409</v>
      </c>
      <c r="C799" s="0" t="n">
        <v>716</v>
      </c>
    </row>
    <row r="800" customFormat="false" ht="14.25" hidden="false" customHeight="false" outlineLevel="0" collapsed="false">
      <c r="A800" s="0" t="n">
        <v>1</v>
      </c>
      <c r="B800" s="0" t="n">
        <v>1143858755</v>
      </c>
      <c r="C800" s="0" t="n">
        <v>687</v>
      </c>
    </row>
    <row r="801" customFormat="false" ht="14.25" hidden="false" customHeight="false" outlineLevel="0" collapsed="false">
      <c r="A801" s="0" t="n">
        <v>1</v>
      </c>
      <c r="B801" s="0" t="n">
        <v>1130632864</v>
      </c>
      <c r="C801" s="0" t="n">
        <v>887</v>
      </c>
    </row>
    <row r="802" customFormat="false" ht="14.25" hidden="false" customHeight="false" outlineLevel="0" collapsed="false">
      <c r="A802" s="0" t="n">
        <v>1</v>
      </c>
      <c r="B802" s="0" t="n">
        <v>38641467</v>
      </c>
      <c r="C802" s="0" t="n">
        <v>860</v>
      </c>
    </row>
    <row r="803" customFormat="false" ht="14.25" hidden="false" customHeight="false" outlineLevel="0" collapsed="false">
      <c r="A803" s="0" t="n">
        <v>1</v>
      </c>
      <c r="B803" s="0" t="n">
        <v>1062289306</v>
      </c>
      <c r="C803" s="0" t="n">
        <v>632</v>
      </c>
    </row>
    <row r="804" customFormat="false" ht="14.25" hidden="false" customHeight="false" outlineLevel="0" collapsed="false">
      <c r="A804" s="0" t="n">
        <v>1</v>
      </c>
      <c r="B804" s="0" t="n">
        <v>94492338</v>
      </c>
      <c r="C804" s="0" t="n">
        <v>845</v>
      </c>
    </row>
    <row r="805" customFormat="false" ht="14.25" hidden="false" customHeight="false" outlineLevel="0" collapsed="false">
      <c r="A805" s="0" t="n">
        <v>1</v>
      </c>
      <c r="B805" s="0" t="n">
        <v>1010130898</v>
      </c>
      <c r="C805" s="0" t="n">
        <v>599</v>
      </c>
    </row>
    <row r="806" customFormat="false" ht="14.25" hidden="false" customHeight="false" outlineLevel="0" collapsed="false">
      <c r="A806" s="0" t="n">
        <v>1</v>
      </c>
      <c r="B806" s="0" t="n">
        <v>1144077310</v>
      </c>
      <c r="C806" s="0" t="n">
        <v>710</v>
      </c>
    </row>
    <row r="807" customFormat="false" ht="14.25" hidden="false" customHeight="false" outlineLevel="0" collapsed="false">
      <c r="A807" s="0" t="n">
        <v>1</v>
      </c>
      <c r="B807" s="0" t="n">
        <v>34679469</v>
      </c>
      <c r="C807" s="0" t="n">
        <v>734</v>
      </c>
    </row>
    <row r="808" customFormat="false" ht="14.25" hidden="false" customHeight="false" outlineLevel="0" collapsed="false">
      <c r="A808" s="0" t="n">
        <v>1</v>
      </c>
      <c r="B808" s="0" t="n">
        <v>66828792</v>
      </c>
      <c r="C808" s="0" t="n">
        <v>919</v>
      </c>
    </row>
    <row r="809" customFormat="false" ht="14.25" hidden="false" customHeight="false" outlineLevel="0" collapsed="false">
      <c r="A809" s="0" t="n">
        <v>1</v>
      </c>
      <c r="B809" s="0" t="n">
        <v>31387452</v>
      </c>
      <c r="C809" s="0" t="n">
        <v>899</v>
      </c>
    </row>
    <row r="810" customFormat="false" ht="14.25" hidden="false" customHeight="false" outlineLevel="0" collapsed="false">
      <c r="A810" s="0" t="n">
        <v>1</v>
      </c>
      <c r="B810" s="0" t="n">
        <v>1130596820</v>
      </c>
      <c r="C810" s="0" t="n">
        <v>-4</v>
      </c>
    </row>
    <row r="811" customFormat="false" ht="14.25" hidden="false" customHeight="false" outlineLevel="0" collapsed="false">
      <c r="A811" s="0" t="n">
        <v>1</v>
      </c>
      <c r="B811" s="0" t="n">
        <v>38640849</v>
      </c>
      <c r="C811" s="0" t="n">
        <v>739</v>
      </c>
    </row>
    <row r="812" customFormat="false" ht="14.25" hidden="false" customHeight="false" outlineLevel="0" collapsed="false">
      <c r="A812" s="0" t="n">
        <v>1</v>
      </c>
      <c r="B812" s="0" t="n">
        <v>1143944093</v>
      </c>
      <c r="C812" s="0" t="n">
        <v>613</v>
      </c>
    </row>
    <row r="813" customFormat="false" ht="14.25" hidden="false" customHeight="false" outlineLevel="0" collapsed="false">
      <c r="A813" s="0" t="n">
        <v>1</v>
      </c>
      <c r="B813" s="0" t="n">
        <v>1085253482</v>
      </c>
      <c r="C813" s="0" t="n">
        <v>748</v>
      </c>
    </row>
    <row r="814" customFormat="false" ht="14.25" hidden="false" customHeight="false" outlineLevel="0" collapsed="false">
      <c r="A814" s="0" t="n">
        <v>1</v>
      </c>
      <c r="B814" s="0" t="n">
        <v>1130655308</v>
      </c>
      <c r="C814" s="0" t="n">
        <v>860</v>
      </c>
    </row>
    <row r="815" customFormat="false" ht="14.25" hidden="false" customHeight="false" outlineLevel="0" collapsed="false">
      <c r="A815" s="0" t="n">
        <v>1</v>
      </c>
      <c r="B815" s="0" t="n">
        <v>29179426</v>
      </c>
      <c r="C815" s="0" t="n">
        <v>717</v>
      </c>
    </row>
    <row r="816" customFormat="false" ht="14.25" hidden="false" customHeight="false" outlineLevel="0" collapsed="false">
      <c r="A816" s="0" t="n">
        <v>1</v>
      </c>
      <c r="B816" s="0" t="n">
        <v>1151935482</v>
      </c>
      <c r="C816" s="0" t="n">
        <v>686</v>
      </c>
    </row>
    <row r="817" customFormat="false" ht="14.25" hidden="false" customHeight="false" outlineLevel="0" collapsed="false">
      <c r="A817" s="0" t="n">
        <v>1</v>
      </c>
      <c r="B817" s="0" t="n">
        <v>1113624281</v>
      </c>
      <c r="C817" s="0" t="n">
        <v>578</v>
      </c>
    </row>
    <row r="818" customFormat="false" ht="14.25" hidden="false" customHeight="false" outlineLevel="0" collapsed="false">
      <c r="A818" s="0" t="n">
        <v>1</v>
      </c>
      <c r="B818" s="0" t="n">
        <v>38552196</v>
      </c>
      <c r="C818" s="0" t="n">
        <v>880</v>
      </c>
    </row>
    <row r="819" customFormat="false" ht="14.25" hidden="false" customHeight="false" outlineLevel="0" collapsed="false">
      <c r="A819" s="0" t="n">
        <v>1</v>
      </c>
      <c r="B819" s="0" t="n">
        <v>1143991760</v>
      </c>
      <c r="C819" s="0" t="n">
        <v>665</v>
      </c>
    </row>
    <row r="820" customFormat="false" ht="14.25" hidden="false" customHeight="false" outlineLevel="0" collapsed="false">
      <c r="A820" s="0" t="n">
        <v>1</v>
      </c>
      <c r="B820" s="0" t="n">
        <v>31321149</v>
      </c>
      <c r="C820" s="0" t="n">
        <v>999</v>
      </c>
    </row>
    <row r="821" customFormat="false" ht="14.25" hidden="false" customHeight="false" outlineLevel="0" collapsed="false">
      <c r="A821" s="0" t="n">
        <v>1</v>
      </c>
      <c r="B821" s="0" t="n">
        <v>67019745</v>
      </c>
      <c r="C821" s="0" t="n">
        <v>780</v>
      </c>
    </row>
    <row r="822" customFormat="false" ht="14.25" hidden="false" customHeight="false" outlineLevel="0" collapsed="false">
      <c r="A822" s="0" t="n">
        <v>1</v>
      </c>
      <c r="B822" s="0" t="n">
        <v>1113518076</v>
      </c>
      <c r="C822" s="0" t="n">
        <v>872</v>
      </c>
    </row>
    <row r="823" customFormat="false" ht="14.25" hidden="false" customHeight="false" outlineLevel="0" collapsed="false">
      <c r="A823" s="0" t="n">
        <v>1</v>
      </c>
      <c r="B823" s="0" t="n">
        <v>1130649272</v>
      </c>
      <c r="C823" s="0" t="n">
        <v>744</v>
      </c>
    </row>
    <row r="824" customFormat="false" ht="14.25" hidden="false" customHeight="false" outlineLevel="0" collapsed="false">
      <c r="A824" s="0" t="n">
        <v>1</v>
      </c>
      <c r="B824" s="0" t="n">
        <v>1060590809</v>
      </c>
      <c r="C824" s="0" t="n">
        <v>854</v>
      </c>
    </row>
    <row r="825" customFormat="false" ht="14.25" hidden="false" customHeight="false" outlineLevel="0" collapsed="false">
      <c r="A825" s="0" t="n">
        <v>1</v>
      </c>
      <c r="B825" s="0" t="n">
        <v>31578207</v>
      </c>
      <c r="C825" s="0" t="n">
        <v>999</v>
      </c>
    </row>
    <row r="826" customFormat="false" ht="14.25" hidden="false" customHeight="false" outlineLevel="0" collapsed="false">
      <c r="A826" s="0" t="n">
        <v>1</v>
      </c>
      <c r="B826" s="0" t="n">
        <v>1143872802</v>
      </c>
      <c r="C826" s="0" t="n">
        <v>708</v>
      </c>
    </row>
    <row r="827" customFormat="false" ht="14.25" hidden="false" customHeight="false" outlineLevel="0" collapsed="false">
      <c r="A827" s="0" t="n">
        <v>1</v>
      </c>
      <c r="B827" s="0" t="n">
        <v>1085661067</v>
      </c>
      <c r="C827" s="0" t="n">
        <v>686</v>
      </c>
    </row>
    <row r="828" customFormat="false" ht="14.25" hidden="false" customHeight="false" outlineLevel="0" collapsed="false">
      <c r="A828" s="0" t="n">
        <v>1</v>
      </c>
      <c r="B828" s="0" t="n">
        <v>1116243446</v>
      </c>
      <c r="C828" s="0" t="n">
        <v>932</v>
      </c>
    </row>
    <row r="829" customFormat="false" ht="14.25" hidden="false" customHeight="false" outlineLevel="0" collapsed="false">
      <c r="A829" s="0" t="n">
        <v>1</v>
      </c>
      <c r="B829" s="0" t="n">
        <v>67032841</v>
      </c>
      <c r="C829" s="0" t="n">
        <v>684</v>
      </c>
    </row>
    <row r="830" customFormat="false" ht="14.25" hidden="false" customHeight="false" outlineLevel="0" collapsed="false">
      <c r="A830" s="0" t="n">
        <v>1</v>
      </c>
      <c r="B830" s="0" t="n">
        <v>38888798</v>
      </c>
      <c r="C830" s="0" t="n">
        <v>954</v>
      </c>
    </row>
    <row r="831" customFormat="false" ht="14.25" hidden="false" customHeight="false" outlineLevel="0" collapsed="false">
      <c r="A831" s="0" t="n">
        <v>1</v>
      </c>
      <c r="B831" s="0" t="n">
        <v>38557612</v>
      </c>
      <c r="C831" s="0" t="n">
        <v>687</v>
      </c>
    </row>
    <row r="832" customFormat="false" ht="14.25" hidden="false" customHeight="false" outlineLevel="0" collapsed="false">
      <c r="A832" s="0" t="n">
        <v>1</v>
      </c>
      <c r="B832" s="0" t="n">
        <v>67026976</v>
      </c>
      <c r="C832" s="0" t="n">
        <v>914</v>
      </c>
    </row>
    <row r="833" customFormat="false" ht="14.25" hidden="false" customHeight="false" outlineLevel="0" collapsed="false">
      <c r="A833" s="0" t="n">
        <v>1</v>
      </c>
      <c r="B833" s="0" t="n">
        <v>1042353451</v>
      </c>
      <c r="C833" s="0" t="n">
        <v>710</v>
      </c>
    </row>
    <row r="834" customFormat="false" ht="14.25" hidden="false" customHeight="false" outlineLevel="0" collapsed="false">
      <c r="A834" s="0" t="n">
        <v>1</v>
      </c>
      <c r="B834" s="0" t="n">
        <v>1087129438</v>
      </c>
      <c r="C834" s="0" t="n">
        <v>785</v>
      </c>
    </row>
    <row r="835" customFormat="false" ht="14.25" hidden="false" customHeight="false" outlineLevel="0" collapsed="false">
      <c r="A835" s="0" t="n">
        <v>1</v>
      </c>
      <c r="B835" s="0" t="n">
        <v>94522827</v>
      </c>
      <c r="C835" s="0" t="n">
        <v>827</v>
      </c>
    </row>
    <row r="836" customFormat="false" ht="14.25" hidden="false" customHeight="false" outlineLevel="0" collapsed="false">
      <c r="A836" s="0" t="n">
        <v>1</v>
      </c>
      <c r="B836" s="0" t="n">
        <v>1005966107</v>
      </c>
      <c r="C836" s="0" t="n">
        <v>672</v>
      </c>
    </row>
    <row r="837" customFormat="false" ht="14.25" hidden="false" customHeight="false" outlineLevel="0" collapsed="false">
      <c r="A837" s="0" t="n">
        <v>1</v>
      </c>
      <c r="B837" s="0" t="n">
        <v>1118256005</v>
      </c>
      <c r="C837" s="0" t="n">
        <v>802</v>
      </c>
    </row>
    <row r="838" customFormat="false" ht="14.25" hidden="false" customHeight="false" outlineLevel="0" collapsed="false">
      <c r="A838" s="0" t="n">
        <v>1</v>
      </c>
      <c r="B838" s="0" t="n">
        <v>31447047</v>
      </c>
      <c r="C838" s="0" t="n">
        <v>611</v>
      </c>
    </row>
    <row r="839" customFormat="false" ht="14.25" hidden="false" customHeight="false" outlineLevel="0" collapsed="false">
      <c r="A839" s="0" t="n">
        <v>1</v>
      </c>
      <c r="B839" s="0" t="n">
        <v>1143836705</v>
      </c>
      <c r="C839" s="0" t="n">
        <v>887</v>
      </c>
    </row>
    <row r="840" customFormat="false" ht="14.25" hidden="false" customHeight="false" outlineLevel="0" collapsed="false">
      <c r="A840" s="0" t="n">
        <v>1</v>
      </c>
      <c r="B840" s="0" t="n">
        <v>67005575</v>
      </c>
      <c r="C840" s="0" t="n">
        <v>766</v>
      </c>
    </row>
    <row r="841" customFormat="false" ht="14.25" hidden="false" customHeight="false" outlineLevel="0" collapsed="false">
      <c r="A841" s="0" t="n">
        <v>1</v>
      </c>
      <c r="B841" s="0" t="n">
        <v>1130589547</v>
      </c>
      <c r="C841" s="0" t="n">
        <v>897</v>
      </c>
    </row>
    <row r="842" customFormat="false" ht="14.25" hidden="false" customHeight="false" outlineLevel="0" collapsed="false">
      <c r="A842" s="0" t="n">
        <v>1</v>
      </c>
      <c r="B842" s="0" t="n">
        <v>1112483089</v>
      </c>
      <c r="C842" s="0" t="n">
        <v>686</v>
      </c>
    </row>
    <row r="843" customFormat="false" ht="14.25" hidden="false" customHeight="false" outlineLevel="0" collapsed="false">
      <c r="A843" s="0" t="n">
        <v>1</v>
      </c>
      <c r="B843" s="0" t="n">
        <v>1114726971</v>
      </c>
      <c r="C843" s="0" t="n">
        <v>776</v>
      </c>
    </row>
    <row r="844" customFormat="false" ht="14.25" hidden="false" customHeight="false" outlineLevel="0" collapsed="false">
      <c r="A844" s="0" t="n">
        <v>1</v>
      </c>
      <c r="B844" s="0" t="n">
        <v>1151940448</v>
      </c>
      <c r="C844" s="0" t="n">
        <v>885</v>
      </c>
    </row>
    <row r="845" customFormat="false" ht="14.25" hidden="false" customHeight="false" outlineLevel="0" collapsed="false">
      <c r="A845" s="0" t="n">
        <v>1</v>
      </c>
      <c r="B845" s="0" t="n">
        <v>94400085</v>
      </c>
      <c r="C845" s="0" t="n">
        <v>458</v>
      </c>
    </row>
    <row r="846" customFormat="false" ht="14.25" hidden="false" customHeight="false" outlineLevel="0" collapsed="false">
      <c r="A846" s="0" t="n">
        <v>1</v>
      </c>
      <c r="B846" s="0" t="n">
        <v>1144161715</v>
      </c>
      <c r="C846" s="0" t="n">
        <v>747</v>
      </c>
    </row>
    <row r="847" customFormat="false" ht="14.25" hidden="false" customHeight="false" outlineLevel="0" collapsed="false">
      <c r="A847" s="0" t="n">
        <v>1</v>
      </c>
      <c r="B847" s="0" t="n">
        <v>1144053183</v>
      </c>
      <c r="C847" s="0" t="n">
        <v>693</v>
      </c>
    </row>
    <row r="848" customFormat="false" ht="14.25" hidden="false" customHeight="false" outlineLevel="0" collapsed="false">
      <c r="A848" s="0" t="n">
        <v>1</v>
      </c>
      <c r="B848" s="0" t="n">
        <v>1112300302</v>
      </c>
      <c r="C848" s="0" t="n">
        <v>863</v>
      </c>
    </row>
    <row r="849" customFormat="false" ht="14.25" hidden="false" customHeight="false" outlineLevel="0" collapsed="false">
      <c r="A849" s="0" t="n">
        <v>1</v>
      </c>
      <c r="B849" s="0" t="n">
        <v>41904817</v>
      </c>
      <c r="C849" s="0" t="n">
        <v>747</v>
      </c>
    </row>
    <row r="850" customFormat="false" ht="14.25" hidden="false" customHeight="false" outlineLevel="0" collapsed="false">
      <c r="A850" s="0" t="n">
        <v>1</v>
      </c>
      <c r="B850" s="0" t="n">
        <v>1144156406</v>
      </c>
      <c r="C850" s="0" t="n">
        <v>718</v>
      </c>
    </row>
    <row r="851" customFormat="false" ht="14.25" hidden="false" customHeight="false" outlineLevel="0" collapsed="false">
      <c r="A851" s="0" t="n">
        <v>1</v>
      </c>
      <c r="B851" s="0" t="n">
        <v>1130670450</v>
      </c>
      <c r="C851" s="0" t="n">
        <v>619</v>
      </c>
    </row>
    <row r="852" customFormat="false" ht="14.25" hidden="false" customHeight="false" outlineLevel="0" collapsed="false">
      <c r="A852" s="0" t="n">
        <v>1</v>
      </c>
      <c r="B852" s="0" t="n">
        <v>67041428</v>
      </c>
      <c r="C852" s="0" t="n">
        <v>868</v>
      </c>
    </row>
    <row r="853" customFormat="false" ht="14.25" hidden="false" customHeight="false" outlineLevel="0" collapsed="false">
      <c r="A853" s="0" t="n">
        <v>1</v>
      </c>
      <c r="B853" s="0" t="n">
        <v>16917362</v>
      </c>
      <c r="C853" s="0" t="n">
        <v>850</v>
      </c>
    </row>
    <row r="854" customFormat="false" ht="14.25" hidden="false" customHeight="false" outlineLevel="0" collapsed="false">
      <c r="A854" s="0" t="n">
        <v>1</v>
      </c>
      <c r="B854" s="0" t="n">
        <v>1112218922</v>
      </c>
      <c r="C854" s="0" t="n">
        <v>747</v>
      </c>
    </row>
    <row r="855" customFormat="false" ht="14.25" hidden="false" customHeight="false" outlineLevel="0" collapsed="false">
      <c r="A855" s="0" t="n">
        <v>1</v>
      </c>
      <c r="B855" s="0" t="n">
        <v>1144108067</v>
      </c>
      <c r="C855" s="0" t="n">
        <v>695</v>
      </c>
    </row>
    <row r="856" customFormat="false" ht="14.25" hidden="false" customHeight="false" outlineLevel="0" collapsed="false">
      <c r="A856" s="0" t="n">
        <v>1</v>
      </c>
      <c r="B856" s="0" t="n">
        <v>1130626432</v>
      </c>
      <c r="C856" s="0" t="n">
        <v>842</v>
      </c>
    </row>
    <row r="857" customFormat="false" ht="14.25" hidden="false" customHeight="false" outlineLevel="0" collapsed="false">
      <c r="A857" s="0" t="n">
        <v>1</v>
      </c>
      <c r="B857" s="0" t="n">
        <v>1005976508</v>
      </c>
      <c r="C857" s="0" t="n">
        <v>726</v>
      </c>
    </row>
    <row r="858" customFormat="false" ht="14.25" hidden="false" customHeight="false" outlineLevel="0" collapsed="false">
      <c r="A858" s="0" t="n">
        <v>1</v>
      </c>
      <c r="B858" s="0" t="n">
        <v>27456572</v>
      </c>
      <c r="C858" s="0" t="n">
        <v>809</v>
      </c>
    </row>
    <row r="859" customFormat="false" ht="14.25" hidden="false" customHeight="false" outlineLevel="0" collapsed="false">
      <c r="A859" s="0" t="n">
        <v>1</v>
      </c>
      <c r="B859" s="0" t="n">
        <v>16778716</v>
      </c>
      <c r="C859" s="0" t="n">
        <v>766</v>
      </c>
    </row>
    <row r="860" customFormat="false" ht="14.25" hidden="false" customHeight="false" outlineLevel="0" collapsed="false">
      <c r="A860" s="0" t="n">
        <v>1</v>
      </c>
      <c r="B860" s="0" t="n">
        <v>30314802</v>
      </c>
      <c r="C860" s="0" t="n">
        <v>841</v>
      </c>
    </row>
    <row r="861" customFormat="false" ht="14.25" hidden="false" customHeight="false" outlineLevel="0" collapsed="false">
      <c r="A861" s="0" t="n">
        <v>1</v>
      </c>
      <c r="B861" s="0" t="n">
        <v>1130590776</v>
      </c>
      <c r="C861" s="0" t="n">
        <v>740</v>
      </c>
    </row>
    <row r="862" customFormat="false" ht="14.25" hidden="false" customHeight="false" outlineLevel="0" collapsed="false">
      <c r="A862" s="0" t="n">
        <v>1</v>
      </c>
      <c r="B862" s="0" t="n">
        <v>1143858820</v>
      </c>
      <c r="C862" s="0" t="n">
        <v>594</v>
      </c>
    </row>
    <row r="863" customFormat="false" ht="14.25" hidden="false" customHeight="false" outlineLevel="0" collapsed="false">
      <c r="A863" s="0" t="n">
        <v>1</v>
      </c>
      <c r="B863" s="0" t="n">
        <v>1151944100</v>
      </c>
      <c r="C863" s="0" t="n">
        <v>819</v>
      </c>
    </row>
    <row r="864" customFormat="false" ht="14.25" hidden="false" customHeight="false" outlineLevel="0" collapsed="false">
      <c r="A864" s="0" t="n">
        <v>1</v>
      </c>
      <c r="B864" s="0" t="n">
        <v>1130674192</v>
      </c>
      <c r="C864" s="0" t="n">
        <v>743</v>
      </c>
    </row>
    <row r="865" customFormat="false" ht="14.25" hidden="false" customHeight="false" outlineLevel="0" collapsed="false">
      <c r="A865" s="0" t="n">
        <v>1</v>
      </c>
      <c r="B865" s="0" t="n">
        <v>1144151327</v>
      </c>
      <c r="C865" s="0" t="n">
        <v>568</v>
      </c>
    </row>
    <row r="866" customFormat="false" ht="14.25" hidden="false" customHeight="false" outlineLevel="0" collapsed="false">
      <c r="A866" s="0" t="n">
        <v>1</v>
      </c>
      <c r="B866" s="0" t="n">
        <v>66995724</v>
      </c>
      <c r="C866" s="0" t="n">
        <v>719</v>
      </c>
    </row>
    <row r="867" customFormat="false" ht="14.25" hidden="false" customHeight="false" outlineLevel="0" collapsed="false">
      <c r="A867" s="0" t="n">
        <v>1</v>
      </c>
      <c r="B867" s="0" t="n">
        <v>31537574</v>
      </c>
      <c r="C867" s="0" t="n">
        <v>738</v>
      </c>
    </row>
    <row r="868" customFormat="false" ht="14.25" hidden="false" customHeight="false" outlineLevel="0" collapsed="false">
      <c r="A868" s="0" t="n">
        <v>1</v>
      </c>
      <c r="B868" s="0" t="n">
        <v>94070686</v>
      </c>
      <c r="C868" s="0" t="n">
        <v>862</v>
      </c>
    </row>
    <row r="869" customFormat="false" ht="14.25" hidden="false" customHeight="false" outlineLevel="0" collapsed="false">
      <c r="A869" s="0" t="n">
        <v>1</v>
      </c>
      <c r="B869" s="0" t="n">
        <v>1075250228</v>
      </c>
      <c r="C869" s="0" t="n">
        <v>857</v>
      </c>
    </row>
    <row r="870" customFormat="false" ht="14.25" hidden="false" customHeight="false" outlineLevel="0" collapsed="false">
      <c r="A870" s="0" t="n">
        <v>1</v>
      </c>
      <c r="B870" s="0" t="n">
        <v>94493424</v>
      </c>
      <c r="C870" s="0" t="n">
        <v>808</v>
      </c>
    </row>
    <row r="871" customFormat="false" ht="14.25" hidden="false" customHeight="false" outlineLevel="0" collapsed="false">
      <c r="A871" s="0" t="n">
        <v>1</v>
      </c>
      <c r="B871" s="0" t="n">
        <v>67028441</v>
      </c>
      <c r="C871" s="0" t="n">
        <v>920</v>
      </c>
    </row>
    <row r="872" customFormat="false" ht="14.25" hidden="false" customHeight="false" outlineLevel="0" collapsed="false">
      <c r="A872" s="0" t="n">
        <v>1</v>
      </c>
      <c r="B872" s="0" t="n">
        <v>1144202165</v>
      </c>
      <c r="C872" s="0" t="n">
        <v>809</v>
      </c>
    </row>
    <row r="873" customFormat="false" ht="14.25" hidden="false" customHeight="false" outlineLevel="0" collapsed="false">
      <c r="A873" s="0" t="n">
        <v>1</v>
      </c>
      <c r="B873" s="0" t="n">
        <v>1144056300</v>
      </c>
      <c r="C873" s="0" t="n">
        <v>836</v>
      </c>
    </row>
    <row r="874" customFormat="false" ht="14.25" hidden="false" customHeight="false" outlineLevel="0" collapsed="false">
      <c r="A874" s="0" t="n">
        <v>1</v>
      </c>
      <c r="B874" s="0" t="n">
        <v>66859571</v>
      </c>
      <c r="C874" s="0" t="n">
        <v>803</v>
      </c>
    </row>
    <row r="875" customFormat="false" ht="14.25" hidden="false" customHeight="false" outlineLevel="0" collapsed="false">
      <c r="A875" s="0" t="n">
        <v>1</v>
      </c>
      <c r="B875" s="0" t="n">
        <v>1112461387</v>
      </c>
      <c r="C875" s="0" t="n">
        <v>749</v>
      </c>
    </row>
    <row r="876" customFormat="false" ht="14.25" hidden="false" customHeight="false" outlineLevel="0" collapsed="false">
      <c r="A876" s="0" t="n">
        <v>1</v>
      </c>
      <c r="B876" s="0" t="n">
        <v>1193399281</v>
      </c>
      <c r="C876" s="0" t="n">
        <v>767</v>
      </c>
    </row>
    <row r="877" customFormat="false" ht="14.25" hidden="false" customHeight="false" outlineLevel="0" collapsed="false">
      <c r="A877" s="0" t="n">
        <v>1</v>
      </c>
      <c r="B877" s="0" t="n">
        <v>31986152</v>
      </c>
      <c r="C877" s="0" t="n">
        <v>799</v>
      </c>
    </row>
    <row r="878" customFormat="false" ht="14.25" hidden="false" customHeight="false" outlineLevel="0" collapsed="false">
      <c r="A878" s="0" t="n">
        <v>1</v>
      </c>
      <c r="B878" s="0" t="n">
        <v>29105840</v>
      </c>
      <c r="C878" s="0" t="n">
        <v>849</v>
      </c>
    </row>
    <row r="879" customFormat="false" ht="14.25" hidden="false" customHeight="false" outlineLevel="0" collapsed="false">
      <c r="A879" s="0" t="n">
        <v>1</v>
      </c>
      <c r="B879" s="0" t="n">
        <v>60337190</v>
      </c>
      <c r="C879" s="0" t="n">
        <v>957</v>
      </c>
    </row>
    <row r="880" customFormat="false" ht="14.25" hidden="false" customHeight="false" outlineLevel="0" collapsed="false">
      <c r="A880" s="0" t="n">
        <v>1</v>
      </c>
      <c r="B880" s="0" t="n">
        <v>67030981</v>
      </c>
      <c r="C880" s="0" t="n">
        <v>814</v>
      </c>
    </row>
    <row r="881" customFormat="false" ht="14.25" hidden="false" customHeight="false" outlineLevel="0" collapsed="false">
      <c r="A881" s="0" t="n">
        <v>1</v>
      </c>
      <c r="B881" s="0" t="n">
        <v>1006008209</v>
      </c>
      <c r="C881" s="0" t="n">
        <v>611</v>
      </c>
    </row>
    <row r="882" customFormat="false" ht="14.25" hidden="false" customHeight="false" outlineLevel="0" collapsed="false">
      <c r="A882" s="0" t="n">
        <v>1</v>
      </c>
      <c r="B882" s="0" t="n">
        <v>1061435339</v>
      </c>
      <c r="C882" s="0" t="n">
        <v>726</v>
      </c>
    </row>
    <row r="883" customFormat="false" ht="14.25" hidden="false" customHeight="false" outlineLevel="0" collapsed="false">
      <c r="A883" s="0" t="n">
        <v>1</v>
      </c>
      <c r="B883" s="0" t="n">
        <v>1144157995</v>
      </c>
      <c r="C883" s="0" t="n">
        <v>767</v>
      </c>
    </row>
    <row r="884" customFormat="false" ht="14.25" hidden="false" customHeight="false" outlineLevel="0" collapsed="false">
      <c r="A884" s="0" t="n">
        <v>1</v>
      </c>
      <c r="B884" s="0" t="n">
        <v>29180645</v>
      </c>
      <c r="C884" s="0" t="n">
        <v>813</v>
      </c>
    </row>
    <row r="885" customFormat="false" ht="14.25" hidden="false" customHeight="false" outlineLevel="0" collapsed="false">
      <c r="A885" s="0" t="n">
        <v>1</v>
      </c>
      <c r="B885" s="0" t="n">
        <v>66997637</v>
      </c>
      <c r="C885" s="0" t="n">
        <v>869</v>
      </c>
    </row>
    <row r="886" customFormat="false" ht="14.25" hidden="false" customHeight="false" outlineLevel="0" collapsed="false">
      <c r="A886" s="0" t="n">
        <v>1</v>
      </c>
      <c r="B886" s="0" t="n">
        <v>38670692</v>
      </c>
      <c r="C886" s="0" t="n">
        <v>831</v>
      </c>
    </row>
    <row r="887" customFormat="false" ht="14.25" hidden="false" customHeight="false" outlineLevel="0" collapsed="false">
      <c r="A887" s="0" t="n">
        <v>1</v>
      </c>
      <c r="B887" s="0" t="n">
        <v>94071305</v>
      </c>
      <c r="C887" s="0" t="n">
        <v>830</v>
      </c>
    </row>
    <row r="888" customFormat="false" ht="14.25" hidden="false" customHeight="false" outlineLevel="0" collapsed="false">
      <c r="A888" s="0" t="n">
        <v>1</v>
      </c>
      <c r="B888" s="0" t="n">
        <v>1006361753</v>
      </c>
      <c r="C888" s="0" t="n">
        <v>568</v>
      </c>
    </row>
    <row r="889" customFormat="false" ht="14.25" hidden="false" customHeight="false" outlineLevel="0" collapsed="false">
      <c r="A889" s="0" t="n">
        <v>1</v>
      </c>
      <c r="B889" s="0" t="n">
        <v>1113538766</v>
      </c>
      <c r="C889" s="0" t="n">
        <v>666</v>
      </c>
    </row>
    <row r="890" customFormat="false" ht="14.25" hidden="false" customHeight="false" outlineLevel="0" collapsed="false">
      <c r="A890" s="0" t="n">
        <v>1</v>
      </c>
      <c r="B890" s="0" t="n">
        <v>1130641134</v>
      </c>
      <c r="C890" s="0" t="n">
        <v>686</v>
      </c>
    </row>
    <row r="891" customFormat="false" ht="14.25" hidden="false" customHeight="false" outlineLevel="0" collapsed="false">
      <c r="A891" s="0" t="n">
        <v>1</v>
      </c>
      <c r="B891" s="0" t="n">
        <v>66847778</v>
      </c>
      <c r="C891" s="0" t="n">
        <v>621</v>
      </c>
    </row>
    <row r="892" customFormat="false" ht="14.25" hidden="false" customHeight="false" outlineLevel="0" collapsed="false">
      <c r="A892" s="0" t="n">
        <v>1</v>
      </c>
      <c r="B892" s="0" t="n">
        <v>1107101151</v>
      </c>
      <c r="C892" s="0" t="n">
        <v>693</v>
      </c>
    </row>
    <row r="893" customFormat="false" ht="14.25" hidden="false" customHeight="false" outlineLevel="0" collapsed="false">
      <c r="A893" s="0" t="n">
        <v>1</v>
      </c>
      <c r="B893" s="0" t="n">
        <v>1130641716</v>
      </c>
      <c r="C893" s="0" t="n">
        <v>868</v>
      </c>
    </row>
    <row r="894" customFormat="false" ht="14.25" hidden="false" customHeight="false" outlineLevel="0" collapsed="false">
      <c r="A894" s="0" t="n">
        <v>1</v>
      </c>
      <c r="B894" s="0" t="n">
        <v>76330389</v>
      </c>
      <c r="C894" s="0" t="n">
        <v>785</v>
      </c>
    </row>
    <row r="895" customFormat="false" ht="14.25" hidden="false" customHeight="false" outlineLevel="0" collapsed="false">
      <c r="A895" s="0" t="n">
        <v>1</v>
      </c>
      <c r="B895" s="0" t="n">
        <v>94423089</v>
      </c>
      <c r="C895" s="0" t="n">
        <v>849</v>
      </c>
    </row>
    <row r="896" customFormat="false" ht="14.25" hidden="false" customHeight="false" outlineLevel="0" collapsed="false">
      <c r="A896" s="0" t="n">
        <v>1</v>
      </c>
      <c r="B896" s="0" t="n">
        <v>94371222</v>
      </c>
      <c r="C896" s="0" t="n">
        <v>989</v>
      </c>
    </row>
    <row r="897" customFormat="false" ht="14.25" hidden="false" customHeight="false" outlineLevel="0" collapsed="false">
      <c r="A897" s="0" t="n">
        <v>1</v>
      </c>
      <c r="B897" s="0" t="n">
        <v>29106695</v>
      </c>
      <c r="C897" s="0" t="n">
        <v>760</v>
      </c>
    </row>
    <row r="898" customFormat="false" ht="14.25" hidden="false" customHeight="false" outlineLevel="0" collapsed="false">
      <c r="A898" s="0" t="n">
        <v>1</v>
      </c>
      <c r="B898" s="0" t="n">
        <v>67033351</v>
      </c>
      <c r="C898" s="0" t="n">
        <v>632</v>
      </c>
    </row>
    <row r="899" customFormat="false" ht="14.25" hidden="false" customHeight="false" outlineLevel="0" collapsed="false">
      <c r="A899" s="0" t="n">
        <v>1</v>
      </c>
      <c r="B899" s="0" t="n">
        <v>1144047802</v>
      </c>
      <c r="C899" s="0" t="n">
        <v>588</v>
      </c>
    </row>
    <row r="900" customFormat="false" ht="14.25" hidden="false" customHeight="false" outlineLevel="0" collapsed="false">
      <c r="A900" s="0" t="n">
        <v>1</v>
      </c>
      <c r="B900" s="0" t="n">
        <v>1143842328</v>
      </c>
      <c r="C900" s="0" t="n">
        <v>458</v>
      </c>
    </row>
    <row r="901" customFormat="false" ht="14.25" hidden="false" customHeight="false" outlineLevel="0" collapsed="false">
      <c r="A901" s="0" t="n">
        <v>1</v>
      </c>
      <c r="B901" s="0" t="n">
        <v>1059981078</v>
      </c>
      <c r="C901" s="0" t="n">
        <v>726</v>
      </c>
    </row>
    <row r="902" customFormat="false" ht="14.25" hidden="false" customHeight="false" outlineLevel="0" collapsed="false">
      <c r="A902" s="0" t="n">
        <v>1</v>
      </c>
      <c r="B902" s="0" t="n">
        <v>1143860494</v>
      </c>
      <c r="C902" s="0" t="n">
        <v>804</v>
      </c>
    </row>
    <row r="903" customFormat="false" ht="14.25" hidden="false" customHeight="false" outlineLevel="0" collapsed="false">
      <c r="A903" s="0" t="n">
        <v>1</v>
      </c>
      <c r="B903" s="0" t="n">
        <v>94433993</v>
      </c>
      <c r="C903" s="0" t="n">
        <v>769</v>
      </c>
    </row>
    <row r="904" customFormat="false" ht="14.25" hidden="false" customHeight="false" outlineLevel="0" collapsed="false">
      <c r="A904" s="0" t="n">
        <v>1</v>
      </c>
      <c r="B904" s="0" t="n">
        <v>1143924806</v>
      </c>
      <c r="C904" s="0" t="n">
        <v>686</v>
      </c>
    </row>
    <row r="905" customFormat="false" ht="14.25" hidden="false" customHeight="false" outlineLevel="0" collapsed="false">
      <c r="A905" s="0" t="n">
        <v>1</v>
      </c>
      <c r="B905" s="0" t="n">
        <v>25338294</v>
      </c>
      <c r="C905" s="0" t="n">
        <v>726</v>
      </c>
    </row>
    <row r="906" customFormat="false" ht="14.25" hidden="false" customHeight="false" outlineLevel="0" collapsed="false">
      <c r="A906" s="0" t="n">
        <v>1</v>
      </c>
      <c r="B906" s="0" t="n">
        <v>1234197111</v>
      </c>
      <c r="C906" s="0" t="n">
        <v>657</v>
      </c>
    </row>
    <row r="907" customFormat="false" ht="14.25" hidden="false" customHeight="false" outlineLevel="0" collapsed="false">
      <c r="A907" s="0" t="n">
        <v>1</v>
      </c>
      <c r="B907" s="0" t="n">
        <v>1026588570</v>
      </c>
      <c r="C907" s="0" t="n">
        <v>611</v>
      </c>
    </row>
    <row r="908" customFormat="false" ht="14.25" hidden="false" customHeight="false" outlineLevel="0" collapsed="false">
      <c r="A908" s="0" t="n">
        <v>1</v>
      </c>
      <c r="B908" s="0" t="n">
        <v>1144131412</v>
      </c>
      <c r="C908" s="0" t="n">
        <v>862</v>
      </c>
    </row>
    <row r="909" customFormat="false" ht="14.25" hidden="false" customHeight="false" outlineLevel="0" collapsed="false">
      <c r="A909" s="0" t="n">
        <v>1</v>
      </c>
      <c r="B909" s="0" t="n">
        <v>34615367</v>
      </c>
      <c r="C909" s="0" t="n">
        <v>811</v>
      </c>
    </row>
    <row r="910" customFormat="false" ht="14.25" hidden="false" customHeight="false" outlineLevel="0" collapsed="false">
      <c r="A910" s="0" t="n">
        <v>1</v>
      </c>
      <c r="B910" s="0" t="n">
        <v>66974280</v>
      </c>
      <c r="C910" s="0" t="n">
        <v>666</v>
      </c>
    </row>
    <row r="911" customFormat="false" ht="14.25" hidden="false" customHeight="false" outlineLevel="0" collapsed="false">
      <c r="A911" s="0" t="n">
        <v>1</v>
      </c>
      <c r="B911" s="0" t="n">
        <v>1144024281</v>
      </c>
      <c r="C911" s="0" t="n">
        <v>853</v>
      </c>
    </row>
    <row r="912" customFormat="false" ht="14.25" hidden="false" customHeight="false" outlineLevel="0" collapsed="false">
      <c r="A912" s="0" t="n">
        <v>1</v>
      </c>
      <c r="B912" s="0" t="n">
        <v>1118287786</v>
      </c>
      <c r="C912" s="0" t="n">
        <v>894</v>
      </c>
    </row>
    <row r="913" customFormat="false" ht="14.25" hidden="false" customHeight="false" outlineLevel="0" collapsed="false">
      <c r="A913" s="0" t="n">
        <v>1</v>
      </c>
      <c r="B913" s="0" t="n">
        <v>1144175903</v>
      </c>
      <c r="C913" s="0" t="n">
        <v>589</v>
      </c>
    </row>
    <row r="914" customFormat="false" ht="14.25" hidden="false" customHeight="false" outlineLevel="0" collapsed="false">
      <c r="A914" s="0" t="n">
        <v>1</v>
      </c>
      <c r="B914" s="0" t="n">
        <v>1144189200</v>
      </c>
      <c r="C914" s="0" t="n">
        <v>757</v>
      </c>
    </row>
    <row r="915" customFormat="false" ht="14.25" hidden="false" customHeight="false" outlineLevel="0" collapsed="false">
      <c r="A915" s="0" t="n">
        <v>1</v>
      </c>
      <c r="B915" s="0" t="n">
        <v>1144167005</v>
      </c>
      <c r="C915" s="0" t="n">
        <v>832</v>
      </c>
    </row>
    <row r="916" customFormat="false" ht="14.25" hidden="false" customHeight="false" outlineLevel="0" collapsed="false">
      <c r="A916" s="0" t="n">
        <v>1</v>
      </c>
      <c r="B916" s="0" t="n">
        <v>1144126183</v>
      </c>
      <c r="C916" s="0" t="n">
        <v>759</v>
      </c>
    </row>
    <row r="917" customFormat="false" ht="14.25" hidden="false" customHeight="false" outlineLevel="0" collapsed="false">
      <c r="A917" s="0" t="n">
        <v>1</v>
      </c>
      <c r="B917" s="0" t="n">
        <v>1107092398</v>
      </c>
      <c r="C917" s="0" t="n">
        <v>773</v>
      </c>
    </row>
    <row r="918" customFormat="false" ht="14.25" hidden="false" customHeight="false" outlineLevel="0" collapsed="false">
      <c r="A918" s="0" t="n">
        <v>1</v>
      </c>
      <c r="B918" s="0" t="n">
        <v>30299942</v>
      </c>
      <c r="C918" s="0" t="n">
        <v>647</v>
      </c>
    </row>
    <row r="919" customFormat="false" ht="14.25" hidden="false" customHeight="false" outlineLevel="0" collapsed="false">
      <c r="A919" s="0" t="n">
        <v>1</v>
      </c>
      <c r="B919" s="0" t="n">
        <v>1143984654</v>
      </c>
      <c r="C919" s="0" t="n">
        <v>838</v>
      </c>
    </row>
    <row r="920" customFormat="false" ht="14.25" hidden="false" customHeight="false" outlineLevel="0" collapsed="false">
      <c r="A920" s="0" t="n">
        <v>1</v>
      </c>
      <c r="B920" s="0" t="n">
        <v>94043207</v>
      </c>
      <c r="C920" s="0" t="n">
        <v>747</v>
      </c>
    </row>
    <row r="921" customFormat="false" ht="14.25" hidden="false" customHeight="false" outlineLevel="0" collapsed="false">
      <c r="A921" s="0" t="n">
        <v>1</v>
      </c>
      <c r="B921" s="0" t="n">
        <v>25601528</v>
      </c>
      <c r="C921" s="0" t="n">
        <v>753</v>
      </c>
    </row>
    <row r="922" customFormat="false" ht="14.25" hidden="false" customHeight="false" outlineLevel="0" collapsed="false">
      <c r="A922" s="0" t="n">
        <v>1</v>
      </c>
      <c r="B922" s="0" t="n">
        <v>1112479726</v>
      </c>
      <c r="C922" s="0" t="n">
        <v>811</v>
      </c>
    </row>
    <row r="923" customFormat="false" ht="14.25" hidden="false" customHeight="false" outlineLevel="0" collapsed="false">
      <c r="A923" s="0" t="n">
        <v>1</v>
      </c>
      <c r="B923" s="0" t="n">
        <v>1143972657</v>
      </c>
      <c r="C923" s="0" t="n">
        <v>686</v>
      </c>
    </row>
    <row r="924" customFormat="false" ht="14.25" hidden="false" customHeight="false" outlineLevel="0" collapsed="false">
      <c r="A924" s="0" t="n">
        <v>1</v>
      </c>
      <c r="B924" s="0" t="n">
        <v>1144168203</v>
      </c>
      <c r="C924" s="0" t="n">
        <v>621</v>
      </c>
    </row>
    <row r="925" customFormat="false" ht="14.25" hidden="false" customHeight="false" outlineLevel="0" collapsed="false">
      <c r="A925" s="0" t="n">
        <v>1</v>
      </c>
      <c r="B925" s="0" t="n">
        <v>1143949762</v>
      </c>
      <c r="C925" s="0" t="n">
        <v>633</v>
      </c>
    </row>
    <row r="926" customFormat="false" ht="14.25" hidden="false" customHeight="false" outlineLevel="0" collapsed="false">
      <c r="A926" s="0" t="n">
        <v>1</v>
      </c>
      <c r="B926" s="0" t="n">
        <v>31306157</v>
      </c>
      <c r="C926" s="0" t="n">
        <v>576</v>
      </c>
    </row>
    <row r="927" customFormat="false" ht="14.25" hidden="false" customHeight="false" outlineLevel="0" collapsed="false">
      <c r="A927" s="0" t="n">
        <v>1</v>
      </c>
      <c r="B927" s="0" t="n">
        <v>1116234251</v>
      </c>
      <c r="C927" s="0" t="n">
        <v>804</v>
      </c>
    </row>
    <row r="928" customFormat="false" ht="14.25" hidden="false" customHeight="false" outlineLevel="0" collapsed="false">
      <c r="A928" s="0" t="n">
        <v>1</v>
      </c>
      <c r="B928" s="0" t="n">
        <v>1107509891</v>
      </c>
      <c r="C928" s="0" t="n">
        <v>898</v>
      </c>
    </row>
    <row r="929" customFormat="false" ht="14.25" hidden="false" customHeight="false" outlineLevel="0" collapsed="false">
      <c r="A929" s="0" t="n">
        <v>1</v>
      </c>
      <c r="B929" s="0" t="n">
        <v>1112476291</v>
      </c>
      <c r="C929" s="0" t="n">
        <v>619</v>
      </c>
    </row>
    <row r="930" customFormat="false" ht="14.25" hidden="false" customHeight="false" outlineLevel="0" collapsed="false">
      <c r="A930" s="0" t="n">
        <v>1</v>
      </c>
      <c r="B930" s="0" t="n">
        <v>1143838291</v>
      </c>
      <c r="C930" s="0" t="n">
        <v>749</v>
      </c>
    </row>
    <row r="931" customFormat="false" ht="14.25" hidden="false" customHeight="false" outlineLevel="0" collapsed="false">
      <c r="A931" s="0" t="n">
        <v>1</v>
      </c>
      <c r="B931" s="0" t="n">
        <v>1144056448</v>
      </c>
      <c r="C931" s="0" t="n">
        <v>852</v>
      </c>
    </row>
    <row r="932" customFormat="false" ht="14.25" hidden="false" customHeight="false" outlineLevel="0" collapsed="false">
      <c r="A932" s="0" t="n">
        <v>1</v>
      </c>
      <c r="B932" s="0" t="n">
        <v>1130591493</v>
      </c>
      <c r="C932" s="0" t="n">
        <v>690</v>
      </c>
    </row>
    <row r="933" customFormat="false" ht="14.25" hidden="false" customHeight="false" outlineLevel="0" collapsed="false">
      <c r="A933" s="0" t="n">
        <v>1</v>
      </c>
      <c r="B933" s="0" t="n">
        <v>1006814476</v>
      </c>
      <c r="C933" s="0" t="n">
        <v>675</v>
      </c>
    </row>
    <row r="934" customFormat="false" ht="14.25" hidden="false" customHeight="false" outlineLevel="0" collapsed="false">
      <c r="A934" s="0" t="n">
        <v>1</v>
      </c>
      <c r="B934" s="0" t="n">
        <v>52075070</v>
      </c>
      <c r="C934" s="0" t="n">
        <v>666</v>
      </c>
    </row>
    <row r="935" customFormat="false" ht="14.25" hidden="false" customHeight="false" outlineLevel="0" collapsed="false">
      <c r="A935" s="0" t="n">
        <v>1</v>
      </c>
      <c r="B935" s="0" t="n">
        <v>66902081</v>
      </c>
      <c r="C935" s="0" t="n">
        <v>750</v>
      </c>
    </row>
    <row r="936" customFormat="false" ht="14.25" hidden="false" customHeight="false" outlineLevel="0" collapsed="false">
      <c r="A936" s="0" t="n">
        <v>1</v>
      </c>
      <c r="B936" s="0" t="n">
        <v>66820844</v>
      </c>
      <c r="C936" s="0" t="n">
        <v>615</v>
      </c>
    </row>
    <row r="937" customFormat="false" ht="14.25" hidden="false" customHeight="false" outlineLevel="0" collapsed="false">
      <c r="A937" s="0" t="n">
        <v>1</v>
      </c>
      <c r="B937" s="0" t="n">
        <v>14893690</v>
      </c>
      <c r="C937" s="0" t="n">
        <v>884</v>
      </c>
    </row>
    <row r="938" customFormat="false" ht="14.25" hidden="false" customHeight="false" outlineLevel="0" collapsed="false">
      <c r="A938" s="0" t="n">
        <v>1</v>
      </c>
      <c r="B938" s="0" t="n">
        <v>1143948839</v>
      </c>
      <c r="C938" s="0" t="n">
        <v>619</v>
      </c>
    </row>
    <row r="939" customFormat="false" ht="14.25" hidden="false" customHeight="false" outlineLevel="0" collapsed="false">
      <c r="A939" s="0" t="n">
        <v>1</v>
      </c>
      <c r="B939" s="0" t="n">
        <v>67004483</v>
      </c>
      <c r="C939" s="0" t="n">
        <v>977</v>
      </c>
    </row>
    <row r="940" customFormat="false" ht="14.25" hidden="false" customHeight="false" outlineLevel="0" collapsed="false">
      <c r="A940" s="0" t="n">
        <v>1</v>
      </c>
      <c r="B940" s="0" t="n">
        <v>1130667239</v>
      </c>
      <c r="C940" s="0" t="n">
        <v>831</v>
      </c>
    </row>
    <row r="941" customFormat="false" ht="14.25" hidden="false" customHeight="false" outlineLevel="0" collapsed="false">
      <c r="A941" s="0" t="n">
        <v>1</v>
      </c>
      <c r="B941" s="0" t="n">
        <v>29688760</v>
      </c>
      <c r="C941" s="0" t="n">
        <v>867</v>
      </c>
    </row>
    <row r="942" customFormat="false" ht="14.25" hidden="false" customHeight="false" outlineLevel="0" collapsed="false">
      <c r="A942" s="0" t="n">
        <v>1</v>
      </c>
      <c r="B942" s="0" t="n">
        <v>1144131694</v>
      </c>
      <c r="C942" s="0" t="n">
        <v>843</v>
      </c>
    </row>
    <row r="943" customFormat="false" ht="14.25" hidden="false" customHeight="false" outlineLevel="0" collapsed="false">
      <c r="A943" s="0" t="n">
        <v>1</v>
      </c>
      <c r="B943" s="0" t="n">
        <v>1062287599</v>
      </c>
      <c r="C943" s="0" t="n">
        <v>666</v>
      </c>
    </row>
    <row r="944" customFormat="false" ht="14.25" hidden="false" customHeight="false" outlineLevel="0" collapsed="false">
      <c r="A944" s="0" t="n">
        <v>1</v>
      </c>
      <c r="B944" s="0" t="n">
        <v>41745058</v>
      </c>
      <c r="C944" s="0" t="n">
        <v>712</v>
      </c>
    </row>
    <row r="945" customFormat="false" ht="14.25" hidden="false" customHeight="false" outlineLevel="0" collapsed="false">
      <c r="A945" s="0" t="n">
        <v>1</v>
      </c>
      <c r="B945" s="0" t="n">
        <v>1143994538</v>
      </c>
      <c r="C945" s="0" t="n">
        <v>705</v>
      </c>
    </row>
    <row r="946" customFormat="false" ht="14.25" hidden="false" customHeight="false" outlineLevel="0" collapsed="false">
      <c r="A946" s="0" t="n">
        <v>1</v>
      </c>
      <c r="B946" s="0" t="n">
        <v>1143876942</v>
      </c>
      <c r="C946" s="0" t="n">
        <v>684</v>
      </c>
    </row>
    <row r="947" customFormat="false" ht="14.25" hidden="false" customHeight="false" outlineLevel="0" collapsed="false">
      <c r="A947" s="0" t="n">
        <v>1</v>
      </c>
      <c r="B947" s="0" t="n">
        <v>67002983</v>
      </c>
      <c r="C947" s="0" t="n">
        <v>900</v>
      </c>
    </row>
    <row r="948" customFormat="false" ht="14.25" hidden="false" customHeight="false" outlineLevel="0" collapsed="false">
      <c r="A948" s="0" t="n">
        <v>1</v>
      </c>
      <c r="B948" s="0" t="n">
        <v>66952393</v>
      </c>
      <c r="C948" s="0" t="n">
        <v>891</v>
      </c>
    </row>
    <row r="949" customFormat="false" ht="14.25" hidden="false" customHeight="false" outlineLevel="0" collapsed="false">
      <c r="A949" s="0" t="n">
        <v>1</v>
      </c>
      <c r="B949" s="0" t="n">
        <v>1107509818</v>
      </c>
      <c r="C949" s="0" t="n">
        <v>874</v>
      </c>
    </row>
    <row r="950" customFormat="false" ht="14.25" hidden="false" customHeight="false" outlineLevel="0" collapsed="false">
      <c r="A950" s="0" t="n">
        <v>1</v>
      </c>
      <c r="B950" s="0" t="n">
        <v>34319217</v>
      </c>
      <c r="C950" s="0" t="n">
        <v>999</v>
      </c>
    </row>
    <row r="951" customFormat="false" ht="14.25" hidden="false" customHeight="false" outlineLevel="0" collapsed="false">
      <c r="A951" s="0" t="n">
        <v>1</v>
      </c>
      <c r="B951" s="0" t="n">
        <v>1094898445</v>
      </c>
      <c r="C951" s="0" t="n">
        <v>922</v>
      </c>
    </row>
    <row r="952" customFormat="false" ht="14.25" hidden="false" customHeight="false" outlineLevel="0" collapsed="false">
      <c r="A952" s="0" t="n">
        <v>1</v>
      </c>
      <c r="B952" s="0" t="n">
        <v>1130671304</v>
      </c>
      <c r="C952" s="0" t="n">
        <v>665</v>
      </c>
    </row>
    <row r="953" customFormat="false" ht="14.25" hidden="false" customHeight="false" outlineLevel="0" collapsed="false">
      <c r="A953" s="0" t="n">
        <v>1</v>
      </c>
      <c r="B953" s="0" t="n">
        <v>38888433</v>
      </c>
      <c r="C953" s="0" t="n">
        <v>792</v>
      </c>
    </row>
    <row r="954" customFormat="false" ht="14.25" hidden="false" customHeight="false" outlineLevel="0" collapsed="false">
      <c r="A954" s="0" t="n">
        <v>1</v>
      </c>
      <c r="B954" s="0" t="n">
        <v>94326822</v>
      </c>
      <c r="C954" s="0" t="n">
        <v>936</v>
      </c>
    </row>
    <row r="955" customFormat="false" ht="14.25" hidden="false" customHeight="false" outlineLevel="0" collapsed="false">
      <c r="A955" s="0" t="n">
        <v>1</v>
      </c>
      <c r="B955" s="0" t="n">
        <v>66856977</v>
      </c>
      <c r="C955" s="0" t="n">
        <v>747</v>
      </c>
    </row>
    <row r="956" customFormat="false" ht="14.25" hidden="false" customHeight="false" outlineLevel="0" collapsed="false">
      <c r="A956" s="0" t="n">
        <v>1</v>
      </c>
      <c r="B956" s="0" t="n">
        <v>1144188603</v>
      </c>
      <c r="C956" s="0" t="n">
        <v>869</v>
      </c>
    </row>
    <row r="957" customFormat="false" ht="14.25" hidden="false" customHeight="false" outlineLevel="0" collapsed="false">
      <c r="A957" s="0" t="n">
        <v>1</v>
      </c>
      <c r="B957" s="0" t="n">
        <v>1144129364</v>
      </c>
      <c r="C957" s="0" t="n">
        <v>697</v>
      </c>
    </row>
    <row r="958" customFormat="false" ht="14.25" hidden="false" customHeight="false" outlineLevel="0" collapsed="false">
      <c r="A958" s="0" t="n">
        <v>1</v>
      </c>
      <c r="B958" s="0" t="n">
        <v>34318934</v>
      </c>
      <c r="C958" s="0" t="n">
        <v>790</v>
      </c>
    </row>
    <row r="959" customFormat="false" ht="14.25" hidden="false" customHeight="false" outlineLevel="0" collapsed="false">
      <c r="A959" s="0" t="n">
        <v>1</v>
      </c>
      <c r="B959" s="0" t="n">
        <v>38670313</v>
      </c>
      <c r="C959" s="0" t="n">
        <v>476</v>
      </c>
    </row>
    <row r="960" customFormat="false" ht="14.25" hidden="false" customHeight="false" outlineLevel="0" collapsed="false">
      <c r="A960" s="0" t="n">
        <v>1</v>
      </c>
      <c r="B960" s="0" t="n">
        <v>1151966279</v>
      </c>
      <c r="C960" s="0" t="n">
        <v>702</v>
      </c>
    </row>
    <row r="961" customFormat="false" ht="14.25" hidden="false" customHeight="false" outlineLevel="0" collapsed="false">
      <c r="A961" s="0" t="n">
        <v>1</v>
      </c>
      <c r="B961" s="0" t="n">
        <v>1110282293</v>
      </c>
      <c r="C961" s="0" t="n">
        <v>707</v>
      </c>
    </row>
    <row r="962" customFormat="false" ht="14.25" hidden="false" customHeight="false" outlineLevel="0" collapsed="false">
      <c r="A962" s="0" t="n">
        <v>1</v>
      </c>
      <c r="B962" s="0" t="n">
        <v>1144154389</v>
      </c>
      <c r="C962" s="0" t="n">
        <v>762</v>
      </c>
    </row>
    <row r="963" customFormat="false" ht="14.25" hidden="false" customHeight="false" outlineLevel="0" collapsed="false">
      <c r="A963" s="0" t="n">
        <v>1</v>
      </c>
      <c r="B963" s="0" t="n">
        <v>1012413660</v>
      </c>
      <c r="C963" s="0" t="n">
        <v>642</v>
      </c>
    </row>
    <row r="964" customFormat="false" ht="14.25" hidden="false" customHeight="false" outlineLevel="0" collapsed="false">
      <c r="A964" s="0" t="n">
        <v>1</v>
      </c>
      <c r="B964" s="0" t="n">
        <v>1114210448</v>
      </c>
      <c r="C964" s="0" t="n">
        <v>858</v>
      </c>
    </row>
    <row r="965" customFormat="false" ht="14.25" hidden="false" customHeight="false" outlineLevel="0" collapsed="false">
      <c r="A965" s="0" t="n">
        <v>1</v>
      </c>
      <c r="B965" s="0" t="n">
        <v>24331999</v>
      </c>
      <c r="C965" s="0" t="n">
        <v>863</v>
      </c>
    </row>
    <row r="966" customFormat="false" ht="14.25" hidden="false" customHeight="false" outlineLevel="0" collapsed="false">
      <c r="A966" s="0" t="n">
        <v>1</v>
      </c>
      <c r="B966" s="0" t="n">
        <v>1006433995</v>
      </c>
      <c r="C966" s="0" t="n">
        <v>708</v>
      </c>
    </row>
    <row r="967" customFormat="false" ht="14.25" hidden="false" customHeight="false" outlineLevel="0" collapsed="false">
      <c r="A967" s="0" t="n">
        <v>1</v>
      </c>
      <c r="B967" s="0" t="n">
        <v>1234191313</v>
      </c>
      <c r="C967" s="0" t="n">
        <v>665</v>
      </c>
    </row>
    <row r="968" customFormat="false" ht="14.25" hidden="false" customHeight="false" outlineLevel="0" collapsed="false">
      <c r="A968" s="0" t="n">
        <v>1</v>
      </c>
      <c r="B968" s="0" t="n">
        <v>1151942037</v>
      </c>
      <c r="C968" s="0" t="n">
        <v>747</v>
      </c>
    </row>
    <row r="969" customFormat="false" ht="14.25" hidden="false" customHeight="false" outlineLevel="0" collapsed="false">
      <c r="A969" s="0" t="n">
        <v>1</v>
      </c>
      <c r="B969" s="0" t="n">
        <v>66915635</v>
      </c>
      <c r="C969" s="0" t="n">
        <v>677</v>
      </c>
    </row>
    <row r="970" customFormat="false" ht="14.25" hidden="false" customHeight="false" outlineLevel="0" collapsed="false">
      <c r="A970" s="0" t="n">
        <v>1</v>
      </c>
      <c r="B970" s="0" t="n">
        <v>1130622606</v>
      </c>
      <c r="C970" s="0" t="n">
        <v>555</v>
      </c>
    </row>
    <row r="971" customFormat="false" ht="14.25" hidden="false" customHeight="false" outlineLevel="0" collapsed="false">
      <c r="A971" s="0" t="n">
        <v>1</v>
      </c>
      <c r="B971" s="0" t="n">
        <v>31992697</v>
      </c>
      <c r="C971" s="0" t="n">
        <v>973</v>
      </c>
    </row>
    <row r="972" customFormat="false" ht="14.25" hidden="false" customHeight="false" outlineLevel="0" collapsed="false">
      <c r="A972" s="0" t="n">
        <v>1</v>
      </c>
      <c r="B972" s="0" t="n">
        <v>1114733895</v>
      </c>
      <c r="C972" s="0" t="n">
        <v>536</v>
      </c>
    </row>
    <row r="973" customFormat="false" ht="14.25" hidden="false" customHeight="false" outlineLevel="0" collapsed="false">
      <c r="A973" s="0" t="n">
        <v>1</v>
      </c>
      <c r="B973" s="0" t="n">
        <v>1113673170</v>
      </c>
      <c r="C973" s="0" t="n">
        <v>642</v>
      </c>
    </row>
    <row r="974" customFormat="false" ht="14.25" hidden="false" customHeight="false" outlineLevel="0" collapsed="false">
      <c r="A974" s="0" t="n">
        <v>1</v>
      </c>
      <c r="B974" s="0" t="n">
        <v>16283520</v>
      </c>
      <c r="C974" s="0" t="n">
        <v>816</v>
      </c>
    </row>
    <row r="975" customFormat="false" ht="14.25" hidden="false" customHeight="false" outlineLevel="0" collapsed="false">
      <c r="A975" s="0" t="n">
        <v>1</v>
      </c>
      <c r="B975" s="0" t="n">
        <v>67000068</v>
      </c>
      <c r="C975" s="0" t="n">
        <v>964</v>
      </c>
    </row>
    <row r="976" customFormat="false" ht="14.25" hidden="false" customHeight="false" outlineLevel="0" collapsed="false">
      <c r="A976" s="0" t="n">
        <v>1</v>
      </c>
      <c r="B976" s="0" t="n">
        <v>67039425</v>
      </c>
      <c r="C976" s="0" t="n">
        <v>785</v>
      </c>
    </row>
    <row r="977" customFormat="false" ht="14.25" hidden="false" customHeight="false" outlineLevel="0" collapsed="false">
      <c r="A977" s="0" t="n">
        <v>1</v>
      </c>
      <c r="B977" s="0" t="n">
        <v>1107057969</v>
      </c>
      <c r="C977" s="0" t="n">
        <v>807</v>
      </c>
    </row>
    <row r="978" customFormat="false" ht="14.25" hidden="false" customHeight="false" outlineLevel="0" collapsed="false">
      <c r="A978" s="0" t="n">
        <v>1</v>
      </c>
      <c r="B978" s="0" t="n">
        <v>31309999</v>
      </c>
      <c r="C978" s="0" t="n">
        <v>791</v>
      </c>
    </row>
    <row r="979" customFormat="false" ht="14.25" hidden="false" customHeight="false" outlineLevel="0" collapsed="false">
      <c r="A979" s="0" t="n">
        <v>1</v>
      </c>
      <c r="B979" s="0" t="n">
        <v>29544646</v>
      </c>
      <c r="C979" s="0" t="n">
        <v>840</v>
      </c>
    </row>
    <row r="980" customFormat="false" ht="14.25" hidden="false" customHeight="false" outlineLevel="0" collapsed="false">
      <c r="A980" s="0" t="n">
        <v>1</v>
      </c>
      <c r="B980" s="0" t="n">
        <v>1144169857</v>
      </c>
      <c r="C980" s="0" t="n">
        <v>768</v>
      </c>
    </row>
    <row r="981" customFormat="false" ht="14.25" hidden="false" customHeight="false" outlineLevel="0" collapsed="false">
      <c r="A981" s="0" t="n">
        <v>1</v>
      </c>
      <c r="B981" s="0" t="n">
        <v>1130670426</v>
      </c>
      <c r="C981" s="0" t="n">
        <v>878</v>
      </c>
    </row>
    <row r="982" customFormat="false" ht="14.25" hidden="false" customHeight="false" outlineLevel="0" collapsed="false">
      <c r="A982" s="0" t="n">
        <v>1</v>
      </c>
      <c r="B982" s="0" t="n">
        <v>66877948</v>
      </c>
      <c r="C982" s="0" t="n">
        <v>596</v>
      </c>
    </row>
    <row r="983" customFormat="false" ht="14.25" hidden="false" customHeight="false" outlineLevel="0" collapsed="false">
      <c r="A983" s="0" t="n">
        <v>1</v>
      </c>
      <c r="B983" s="0" t="n">
        <v>1144140986</v>
      </c>
      <c r="C983" s="0" t="n">
        <v>761</v>
      </c>
    </row>
    <row r="984" customFormat="false" ht="14.25" hidden="false" customHeight="false" outlineLevel="0" collapsed="false">
      <c r="A984" s="0" t="n">
        <v>1</v>
      </c>
      <c r="B984" s="0" t="n">
        <v>1082689692</v>
      </c>
      <c r="C984" s="0" t="n">
        <v>794</v>
      </c>
    </row>
    <row r="985" customFormat="false" ht="14.25" hidden="false" customHeight="false" outlineLevel="0" collapsed="false">
      <c r="A985" s="0" t="n">
        <v>1</v>
      </c>
      <c r="B985" s="0" t="n">
        <v>94489748</v>
      </c>
      <c r="C985" s="0" t="n">
        <v>999</v>
      </c>
    </row>
    <row r="986" customFormat="false" ht="14.25" hidden="false" customHeight="false" outlineLevel="0" collapsed="false">
      <c r="A986" s="0" t="n">
        <v>1</v>
      </c>
      <c r="B986" s="0" t="n">
        <v>31948469</v>
      </c>
      <c r="C986" s="0" t="n">
        <v>765</v>
      </c>
    </row>
    <row r="987" customFormat="false" ht="14.25" hidden="false" customHeight="false" outlineLevel="0" collapsed="false">
      <c r="A987" s="0" t="n">
        <v>1</v>
      </c>
      <c r="B987" s="0" t="n">
        <v>25273899</v>
      </c>
      <c r="C987" s="0" t="n">
        <v>761</v>
      </c>
    </row>
    <row r="988" customFormat="false" ht="14.25" hidden="false" customHeight="false" outlineLevel="0" collapsed="false">
      <c r="A988" s="0" t="n">
        <v>1</v>
      </c>
      <c r="B988" s="0" t="n">
        <v>1118305334</v>
      </c>
      <c r="C988" s="0" t="n">
        <v>665</v>
      </c>
    </row>
    <row r="989" customFormat="false" ht="14.25" hidden="false" customHeight="false" outlineLevel="0" collapsed="false">
      <c r="A989" s="0" t="n">
        <v>1</v>
      </c>
      <c r="B989" s="0" t="n">
        <v>1143827561</v>
      </c>
      <c r="C989" s="0" t="n">
        <v>577</v>
      </c>
    </row>
    <row r="990" customFormat="false" ht="14.25" hidden="false" customHeight="false" outlineLevel="0" collapsed="false">
      <c r="A990" s="0" t="n">
        <v>1</v>
      </c>
      <c r="B990" s="0" t="n">
        <v>1112482367</v>
      </c>
      <c r="C990" s="0" t="n">
        <v>752</v>
      </c>
    </row>
    <row r="991" customFormat="false" ht="14.25" hidden="false" customHeight="false" outlineLevel="0" collapsed="false">
      <c r="A991" s="0" t="n">
        <v>1</v>
      </c>
      <c r="B991" s="0" t="n">
        <v>29117076</v>
      </c>
      <c r="C991" s="0" t="n">
        <v>665</v>
      </c>
    </row>
    <row r="992" customFormat="false" ht="14.25" hidden="false" customHeight="false" outlineLevel="0" collapsed="false">
      <c r="A992" s="0" t="n">
        <v>1</v>
      </c>
      <c r="B992" s="0" t="n">
        <v>1005785010</v>
      </c>
      <c r="C992" s="0" t="n">
        <v>809</v>
      </c>
    </row>
    <row r="993" customFormat="false" ht="14.25" hidden="false" customHeight="false" outlineLevel="0" collapsed="false">
      <c r="A993" s="0" t="n">
        <v>1</v>
      </c>
      <c r="B993" s="0" t="n">
        <v>5824652</v>
      </c>
      <c r="C993" s="0" t="n">
        <v>687</v>
      </c>
    </row>
    <row r="994" customFormat="false" ht="14.25" hidden="false" customHeight="false" outlineLevel="0" collapsed="false">
      <c r="A994" s="0" t="n">
        <v>1</v>
      </c>
      <c r="B994" s="0" t="n">
        <v>1107093208</v>
      </c>
      <c r="C994" s="0" t="n">
        <v>630</v>
      </c>
    </row>
    <row r="995" customFormat="false" ht="14.25" hidden="false" customHeight="false" outlineLevel="0" collapsed="false">
      <c r="A995" s="0" t="n">
        <v>1</v>
      </c>
      <c r="B995" s="0" t="n">
        <v>34513804</v>
      </c>
      <c r="C995" s="0" t="n">
        <v>776</v>
      </c>
    </row>
    <row r="996" customFormat="false" ht="14.25" hidden="false" customHeight="false" outlineLevel="0" collapsed="false">
      <c r="A996" s="0" t="n">
        <v>1</v>
      </c>
      <c r="B996" s="0" t="n">
        <v>31324780</v>
      </c>
      <c r="C996" s="0" t="n">
        <v>959</v>
      </c>
    </row>
    <row r="997" customFormat="false" ht="14.25" hidden="false" customHeight="false" outlineLevel="0" collapsed="false">
      <c r="A997" s="0" t="n">
        <v>1</v>
      </c>
      <c r="B997" s="0" t="n">
        <v>38560478</v>
      </c>
      <c r="C997" s="0" t="n">
        <v>999</v>
      </c>
    </row>
    <row r="998" customFormat="false" ht="14.25" hidden="false" customHeight="false" outlineLevel="0" collapsed="false">
      <c r="A998" s="0" t="n">
        <v>1</v>
      </c>
      <c r="B998" s="0" t="n">
        <v>1126601736</v>
      </c>
      <c r="C998" s="0" t="n">
        <v>713</v>
      </c>
    </row>
    <row r="999" customFormat="false" ht="14.25" hidden="false" customHeight="false" outlineLevel="0" collapsed="false">
      <c r="A999" s="0" t="n">
        <v>1</v>
      </c>
      <c r="B999" s="0" t="n">
        <v>16282233</v>
      </c>
      <c r="C999" s="0" t="n">
        <v>943</v>
      </c>
    </row>
    <row r="1000" customFormat="false" ht="14.25" hidden="false" customHeight="false" outlineLevel="0" collapsed="false">
      <c r="A1000" s="0" t="n">
        <v>1</v>
      </c>
      <c r="B1000" s="0" t="n">
        <v>38867456</v>
      </c>
      <c r="C1000" s="0" t="n">
        <v>999</v>
      </c>
    </row>
    <row r="1001" customFormat="false" ht="14.25" hidden="false" customHeight="false" outlineLevel="0" collapsed="false">
      <c r="A1001" s="0" t="n">
        <v>1</v>
      </c>
      <c r="B1001" s="0" t="n">
        <v>66656138</v>
      </c>
      <c r="C1001" s="0" t="n">
        <v>726</v>
      </c>
    </row>
    <row r="1002" customFormat="false" ht="14.25" hidden="false" customHeight="false" outlineLevel="0" collapsed="false">
      <c r="A1002" s="0" t="n">
        <v>1</v>
      </c>
      <c r="B1002" s="0" t="n">
        <v>66977276</v>
      </c>
      <c r="C1002" s="0" t="n">
        <v>816</v>
      </c>
    </row>
    <row r="1003" customFormat="false" ht="14.25" hidden="false" customHeight="false" outlineLevel="0" collapsed="false">
      <c r="A1003" s="0" t="n">
        <v>1</v>
      </c>
      <c r="B1003" s="0" t="n">
        <v>1107083078</v>
      </c>
      <c r="C1003" s="0" t="n">
        <v>703</v>
      </c>
    </row>
    <row r="1004" customFormat="false" ht="14.25" hidden="false" customHeight="false" outlineLevel="0" collapsed="false">
      <c r="A1004" s="0" t="n">
        <v>1</v>
      </c>
      <c r="B1004" s="0" t="n">
        <v>29126389</v>
      </c>
      <c r="C1004" s="0" t="n">
        <v>866</v>
      </c>
    </row>
    <row r="1005" customFormat="false" ht="14.25" hidden="false" customHeight="false" outlineLevel="0" collapsed="false">
      <c r="A1005" s="0" t="n">
        <v>1</v>
      </c>
      <c r="B1005" s="0" t="n">
        <v>1116262680</v>
      </c>
      <c r="C1005" s="0" t="n">
        <v>710</v>
      </c>
    </row>
    <row r="1006" customFormat="false" ht="14.25" hidden="false" customHeight="false" outlineLevel="0" collapsed="false">
      <c r="A1006" s="0" t="n">
        <v>1</v>
      </c>
      <c r="B1006" s="0" t="n">
        <v>1144079903</v>
      </c>
      <c r="C1006" s="0" t="n">
        <v>921</v>
      </c>
    </row>
    <row r="1007" customFormat="false" ht="14.25" hidden="false" customHeight="false" outlineLevel="0" collapsed="false">
      <c r="A1007" s="0" t="n">
        <v>1</v>
      </c>
      <c r="B1007" s="0" t="n">
        <v>1143844784</v>
      </c>
      <c r="C1007" s="0" t="n">
        <v>755</v>
      </c>
    </row>
    <row r="1008" customFormat="false" ht="14.25" hidden="false" customHeight="false" outlineLevel="0" collapsed="false">
      <c r="A1008" s="0" t="n">
        <v>1</v>
      </c>
      <c r="B1008" s="0" t="n">
        <v>1144125541</v>
      </c>
      <c r="C1008" s="0" t="n">
        <v>841</v>
      </c>
    </row>
    <row r="1009" customFormat="false" ht="14.25" hidden="false" customHeight="false" outlineLevel="0" collapsed="false">
      <c r="A1009" s="0" t="n">
        <v>1</v>
      </c>
      <c r="B1009" s="0" t="n">
        <v>1007145804</v>
      </c>
      <c r="C1009" s="0" t="n">
        <v>891</v>
      </c>
    </row>
    <row r="1010" customFormat="false" ht="14.25" hidden="false" customHeight="false" outlineLevel="0" collapsed="false">
      <c r="A1010" s="0" t="n">
        <v>1</v>
      </c>
      <c r="B1010" s="0" t="n">
        <v>1143840738</v>
      </c>
      <c r="C1010" s="0" t="n">
        <v>665</v>
      </c>
    </row>
    <row r="1011" customFormat="false" ht="14.25" hidden="false" customHeight="false" outlineLevel="0" collapsed="false">
      <c r="A1011" s="0" t="n">
        <v>1</v>
      </c>
      <c r="B1011" s="0" t="n">
        <v>1062283228</v>
      </c>
      <c r="C1011" s="0" t="n">
        <v>999</v>
      </c>
    </row>
    <row r="1012" customFormat="false" ht="14.25" hidden="false" customHeight="false" outlineLevel="0" collapsed="false">
      <c r="A1012" s="0" t="n">
        <v>1</v>
      </c>
      <c r="B1012" s="0" t="n">
        <v>1014210301</v>
      </c>
      <c r="C1012" s="0" t="n">
        <v>910</v>
      </c>
    </row>
    <row r="1013" customFormat="false" ht="14.25" hidden="false" customHeight="false" outlineLevel="0" collapsed="false">
      <c r="A1013" s="0" t="n">
        <v>1</v>
      </c>
      <c r="B1013" s="0" t="n">
        <v>1144135850</v>
      </c>
      <c r="C1013" s="0" t="n">
        <v>557</v>
      </c>
    </row>
    <row r="1014" customFormat="false" ht="14.25" hidden="false" customHeight="false" outlineLevel="0" collapsed="false">
      <c r="A1014" s="0" t="n">
        <v>1</v>
      </c>
      <c r="B1014" s="0" t="n">
        <v>59666004</v>
      </c>
      <c r="C1014" s="0" t="n">
        <v>973</v>
      </c>
    </row>
    <row r="1015" customFormat="false" ht="14.25" hidden="false" customHeight="false" outlineLevel="0" collapsed="false">
      <c r="A1015" s="0" t="n">
        <v>1</v>
      </c>
      <c r="B1015" s="0" t="n">
        <v>1151949440</v>
      </c>
      <c r="C1015" s="0" t="n">
        <v>887</v>
      </c>
    </row>
    <row r="1016" customFormat="false" ht="14.25" hidden="false" customHeight="false" outlineLevel="0" collapsed="false">
      <c r="A1016" s="0" t="n">
        <v>1</v>
      </c>
      <c r="B1016" s="0" t="n">
        <v>1085267594</v>
      </c>
      <c r="C1016" s="0" t="n">
        <v>747</v>
      </c>
    </row>
    <row r="1017" customFormat="false" ht="14.25" hidden="false" customHeight="false" outlineLevel="0" collapsed="false">
      <c r="A1017" s="0" t="n">
        <v>1</v>
      </c>
      <c r="B1017" s="0" t="n">
        <v>34320998</v>
      </c>
      <c r="C1017" s="0" t="n">
        <v>669</v>
      </c>
    </row>
    <row r="1018" customFormat="false" ht="14.25" hidden="false" customHeight="false" outlineLevel="0" collapsed="false">
      <c r="A1018" s="0" t="n">
        <v>1</v>
      </c>
      <c r="B1018" s="0" t="n">
        <v>29115289</v>
      </c>
      <c r="C1018" s="0" t="n">
        <v>751</v>
      </c>
    </row>
    <row r="1019" customFormat="false" ht="14.25" hidden="false" customHeight="false" outlineLevel="0" collapsed="false">
      <c r="A1019" s="0" t="n">
        <v>1</v>
      </c>
      <c r="B1019" s="0" t="n">
        <v>38640081</v>
      </c>
      <c r="C1019" s="0" t="n">
        <v>621</v>
      </c>
    </row>
    <row r="1020" customFormat="false" ht="14.25" hidden="false" customHeight="false" outlineLevel="0" collapsed="false">
      <c r="A1020" s="0" t="n">
        <v>1</v>
      </c>
      <c r="B1020" s="0" t="n">
        <v>1143944202</v>
      </c>
      <c r="C1020" s="0" t="n">
        <v>747</v>
      </c>
    </row>
    <row r="1021" customFormat="false" ht="14.25" hidden="false" customHeight="false" outlineLevel="0" collapsed="false">
      <c r="A1021" s="0" t="n">
        <v>1</v>
      </c>
      <c r="B1021" s="0" t="n">
        <v>1144169695</v>
      </c>
      <c r="C1021" s="0" t="n">
        <v>747</v>
      </c>
    </row>
    <row r="1022" customFormat="false" ht="14.25" hidden="false" customHeight="false" outlineLevel="0" collapsed="false">
      <c r="A1022" s="0" t="n">
        <v>1</v>
      </c>
      <c r="B1022" s="0" t="n">
        <v>1143986684</v>
      </c>
      <c r="C1022" s="0" t="n">
        <v>536</v>
      </c>
    </row>
    <row r="1023" customFormat="false" ht="14.25" hidden="false" customHeight="false" outlineLevel="0" collapsed="false">
      <c r="A1023" s="0" t="n">
        <v>1</v>
      </c>
      <c r="B1023" s="0" t="n">
        <v>1112768596</v>
      </c>
      <c r="C1023" s="0" t="n">
        <v>738</v>
      </c>
    </row>
    <row r="1024" customFormat="false" ht="14.25" hidden="false" customHeight="false" outlineLevel="0" collapsed="false">
      <c r="A1024" s="0" t="n">
        <v>1</v>
      </c>
      <c r="B1024" s="0" t="n">
        <v>1130609348</v>
      </c>
      <c r="C1024" s="0" t="n">
        <v>632</v>
      </c>
    </row>
    <row r="1025" customFormat="false" ht="14.25" hidden="false" customHeight="false" outlineLevel="0" collapsed="false">
      <c r="A1025" s="0" t="n">
        <v>1</v>
      </c>
      <c r="B1025" s="0" t="n">
        <v>1151965144</v>
      </c>
      <c r="C1025" s="0" t="n">
        <v>666</v>
      </c>
    </row>
    <row r="1026" customFormat="false" ht="14.25" hidden="false" customHeight="false" outlineLevel="0" collapsed="false">
      <c r="A1026" s="0" t="n">
        <v>1</v>
      </c>
      <c r="B1026" s="0" t="n">
        <v>29508587</v>
      </c>
      <c r="C1026" s="0" t="n">
        <v>702</v>
      </c>
    </row>
    <row r="1027" customFormat="false" ht="14.25" hidden="false" customHeight="false" outlineLevel="0" collapsed="false">
      <c r="A1027" s="0" t="n">
        <v>1</v>
      </c>
      <c r="B1027" s="0" t="n">
        <v>43190151</v>
      </c>
      <c r="C1027" s="0" t="n">
        <v>896</v>
      </c>
    </row>
    <row r="1028" customFormat="false" ht="14.25" hidden="false" customHeight="false" outlineLevel="0" collapsed="false">
      <c r="A1028" s="0" t="n">
        <v>1</v>
      </c>
      <c r="B1028" s="0" t="n">
        <v>38554945</v>
      </c>
      <c r="C1028" s="0" t="n">
        <v>665</v>
      </c>
    </row>
    <row r="1029" customFormat="false" ht="14.25" hidden="false" customHeight="false" outlineLevel="0" collapsed="false">
      <c r="A1029" s="0" t="n">
        <v>1</v>
      </c>
      <c r="B1029" s="0" t="n">
        <v>1047396862</v>
      </c>
      <c r="C1029" s="0" t="n">
        <v>680</v>
      </c>
    </row>
    <row r="1030" customFormat="false" ht="14.25" hidden="false" customHeight="false" outlineLevel="0" collapsed="false">
      <c r="A1030" s="0" t="n">
        <v>1</v>
      </c>
      <c r="B1030" s="0" t="n">
        <v>1130638245</v>
      </c>
      <c r="C1030" s="0" t="n">
        <v>861</v>
      </c>
    </row>
    <row r="1031" customFormat="false" ht="14.25" hidden="false" customHeight="false" outlineLevel="0" collapsed="false">
      <c r="A1031" s="0" t="n">
        <v>1</v>
      </c>
      <c r="B1031" s="0" t="n">
        <v>1144083299</v>
      </c>
      <c r="C1031" s="0" t="n">
        <v>750</v>
      </c>
    </row>
    <row r="1032" customFormat="false" ht="14.25" hidden="false" customHeight="false" outlineLevel="0" collapsed="false">
      <c r="A1032" s="0" t="n">
        <v>1</v>
      </c>
      <c r="B1032" s="0" t="n">
        <v>1113512751</v>
      </c>
      <c r="C1032" s="0" t="n">
        <v>799</v>
      </c>
    </row>
    <row r="1033" customFormat="false" ht="14.25" hidden="false" customHeight="false" outlineLevel="0" collapsed="false">
      <c r="A1033" s="0" t="n">
        <v>1</v>
      </c>
      <c r="B1033" s="0" t="n">
        <v>1005863887</v>
      </c>
      <c r="C1033" s="0" t="n">
        <v>687</v>
      </c>
    </row>
    <row r="1034" customFormat="false" ht="14.25" hidden="false" customHeight="false" outlineLevel="0" collapsed="false">
      <c r="A1034" s="0" t="n">
        <v>1</v>
      </c>
      <c r="B1034" s="0" t="n">
        <v>41924675</v>
      </c>
      <c r="C1034" s="0" t="n">
        <v>867</v>
      </c>
    </row>
    <row r="1035" customFormat="false" ht="14.25" hidden="false" customHeight="false" outlineLevel="0" collapsed="false">
      <c r="A1035" s="0" t="n">
        <v>1</v>
      </c>
      <c r="B1035" s="0" t="n">
        <v>30736513</v>
      </c>
      <c r="C1035" s="0" t="n">
        <v>747</v>
      </c>
    </row>
    <row r="1036" customFormat="false" ht="14.25" hidden="false" customHeight="false" outlineLevel="0" collapsed="false">
      <c r="A1036" s="0" t="n">
        <v>1</v>
      </c>
      <c r="B1036" s="0" t="n">
        <v>31582244</v>
      </c>
      <c r="C1036" s="0" t="n">
        <v>906</v>
      </c>
    </row>
    <row r="1037" customFormat="false" ht="14.25" hidden="false" customHeight="false" outlineLevel="0" collapsed="false">
      <c r="A1037" s="0" t="n">
        <v>1</v>
      </c>
      <c r="B1037" s="0" t="n">
        <v>1151967554</v>
      </c>
      <c r="C1037" s="0" t="n">
        <v>752</v>
      </c>
    </row>
    <row r="1038" customFormat="false" ht="14.25" hidden="false" customHeight="false" outlineLevel="0" collapsed="false">
      <c r="A1038" s="0" t="n">
        <v>1</v>
      </c>
      <c r="B1038" s="0" t="n">
        <v>1072524175</v>
      </c>
      <c r="C1038" s="0" t="n">
        <v>730</v>
      </c>
    </row>
    <row r="1039" customFormat="false" ht="14.25" hidden="false" customHeight="false" outlineLevel="0" collapsed="false">
      <c r="A1039" s="0" t="n">
        <v>1</v>
      </c>
      <c r="B1039" s="0" t="n">
        <v>1112882571</v>
      </c>
      <c r="C1039" s="0" t="n">
        <v>704</v>
      </c>
    </row>
    <row r="1040" customFormat="false" ht="14.25" hidden="false" customHeight="false" outlineLevel="0" collapsed="false">
      <c r="A1040" s="0" t="n">
        <v>1</v>
      </c>
      <c r="B1040" s="0" t="n">
        <v>67041989</v>
      </c>
      <c r="C1040" s="0" t="n">
        <v>854</v>
      </c>
    </row>
    <row r="1041" customFormat="false" ht="14.25" hidden="false" customHeight="false" outlineLevel="0" collapsed="false">
      <c r="A1041" s="0" t="n">
        <v>1</v>
      </c>
      <c r="B1041" s="0" t="n">
        <v>1144190402</v>
      </c>
      <c r="C1041" s="0" t="n">
        <v>742</v>
      </c>
    </row>
    <row r="1042" customFormat="false" ht="14.25" hidden="false" customHeight="false" outlineLevel="0" collapsed="false">
      <c r="A1042" s="0" t="n">
        <v>1</v>
      </c>
      <c r="B1042" s="0" t="n">
        <v>1144106737</v>
      </c>
      <c r="C1042" s="0" t="n">
        <v>886</v>
      </c>
    </row>
    <row r="1043" customFormat="false" ht="14.25" hidden="false" customHeight="false" outlineLevel="0" collapsed="false">
      <c r="A1043" s="0" t="n">
        <v>1</v>
      </c>
      <c r="B1043" s="0" t="n">
        <v>31711209</v>
      </c>
      <c r="C1043" s="0" t="n">
        <v>831</v>
      </c>
    </row>
    <row r="1044" customFormat="false" ht="14.25" hidden="false" customHeight="false" outlineLevel="0" collapsed="false">
      <c r="A1044" s="0" t="n">
        <v>1</v>
      </c>
      <c r="B1044" s="0" t="n">
        <v>31574407</v>
      </c>
      <c r="C1044" s="0" t="n">
        <v>904</v>
      </c>
    </row>
    <row r="1045" customFormat="false" ht="14.25" hidden="false" customHeight="false" outlineLevel="0" collapsed="false">
      <c r="A1045" s="0" t="n">
        <v>1</v>
      </c>
      <c r="B1045" s="0" t="n">
        <v>14621610</v>
      </c>
      <c r="C1045" s="0" t="n">
        <v>912</v>
      </c>
    </row>
    <row r="1046" customFormat="false" ht="14.25" hidden="false" customHeight="false" outlineLevel="0" collapsed="false">
      <c r="A1046" s="0" t="n">
        <v>1</v>
      </c>
      <c r="B1046" s="0" t="n">
        <v>1144093972</v>
      </c>
      <c r="C1046" s="0" t="n">
        <v>865</v>
      </c>
    </row>
    <row r="1047" customFormat="false" ht="14.25" hidden="false" customHeight="false" outlineLevel="0" collapsed="false">
      <c r="A1047" s="0" t="n">
        <v>1</v>
      </c>
      <c r="B1047" s="0" t="n">
        <v>1006168646</v>
      </c>
      <c r="C1047" s="0" t="n">
        <v>827</v>
      </c>
    </row>
    <row r="1048" customFormat="false" ht="14.25" hidden="false" customHeight="false" outlineLevel="0" collapsed="false">
      <c r="A1048" s="0" t="n">
        <v>1</v>
      </c>
      <c r="B1048" s="0" t="n">
        <v>1144125219</v>
      </c>
      <c r="C1048" s="0" t="n">
        <v>765</v>
      </c>
    </row>
    <row r="1049" customFormat="false" ht="14.25" hidden="false" customHeight="false" outlineLevel="0" collapsed="false">
      <c r="A1049" s="0" t="n">
        <v>1</v>
      </c>
      <c r="B1049" s="0" t="n">
        <v>66813752</v>
      </c>
      <c r="C1049" s="0" t="n">
        <v>912</v>
      </c>
    </row>
    <row r="1050" customFormat="false" ht="14.25" hidden="false" customHeight="false" outlineLevel="0" collapsed="false">
      <c r="A1050" s="0" t="n">
        <v>1</v>
      </c>
      <c r="B1050" s="0" t="n">
        <v>38641418</v>
      </c>
      <c r="C1050" s="0" t="n">
        <v>720</v>
      </c>
    </row>
    <row r="1051" customFormat="false" ht="14.25" hidden="false" customHeight="false" outlineLevel="0" collapsed="false">
      <c r="A1051" s="0" t="n">
        <v>1</v>
      </c>
      <c r="B1051" s="0" t="n">
        <v>1143981268</v>
      </c>
      <c r="C1051" s="0" t="n">
        <v>860</v>
      </c>
    </row>
    <row r="1052" customFormat="false" ht="14.25" hidden="false" customHeight="false" outlineLevel="0" collapsed="false">
      <c r="A1052" s="0" t="n">
        <v>1</v>
      </c>
      <c r="B1052" s="0" t="n">
        <v>67000591</v>
      </c>
      <c r="C1052" s="0" t="n">
        <v>684</v>
      </c>
    </row>
    <row r="1053" customFormat="false" ht="14.25" hidden="false" customHeight="false" outlineLevel="0" collapsed="false">
      <c r="A1053" s="0" t="n">
        <v>1</v>
      </c>
      <c r="B1053" s="0" t="n">
        <v>16755647</v>
      </c>
      <c r="C1053" s="0" t="n">
        <v>690</v>
      </c>
    </row>
    <row r="1054" customFormat="false" ht="14.25" hidden="false" customHeight="false" outlineLevel="0" collapsed="false">
      <c r="A1054" s="0" t="n">
        <v>1</v>
      </c>
      <c r="B1054" s="0" t="n">
        <v>1144076114</v>
      </c>
      <c r="C1054" s="0" t="n">
        <v>686</v>
      </c>
    </row>
    <row r="1055" customFormat="false" ht="14.25" hidden="false" customHeight="false" outlineLevel="0" collapsed="false">
      <c r="A1055" s="0" t="n">
        <v>1</v>
      </c>
      <c r="B1055" s="0" t="n">
        <v>38462107</v>
      </c>
      <c r="C1055" s="0" t="n">
        <v>922</v>
      </c>
    </row>
    <row r="1056" customFormat="false" ht="14.25" hidden="false" customHeight="false" outlineLevel="0" collapsed="false">
      <c r="A1056" s="0" t="n">
        <v>1</v>
      </c>
      <c r="B1056" s="0" t="n">
        <v>1144153454</v>
      </c>
      <c r="C1056" s="0" t="n">
        <v>647</v>
      </c>
    </row>
    <row r="1057" customFormat="false" ht="14.25" hidden="false" customHeight="false" outlineLevel="0" collapsed="false">
      <c r="A1057" s="0" t="n">
        <v>1</v>
      </c>
      <c r="B1057" s="0" t="n">
        <v>1005891368</v>
      </c>
      <c r="C1057" s="0" t="n">
        <v>733</v>
      </c>
    </row>
    <row r="1058" customFormat="false" ht="14.25" hidden="false" customHeight="false" outlineLevel="0" collapsed="false">
      <c r="A1058" s="0" t="n">
        <v>1</v>
      </c>
      <c r="B1058" s="0" t="n">
        <v>1143970117</v>
      </c>
      <c r="C1058" s="0" t="n">
        <v>579</v>
      </c>
    </row>
    <row r="1059" customFormat="false" ht="14.25" hidden="false" customHeight="false" outlineLevel="0" collapsed="false">
      <c r="A1059" s="0" t="n">
        <v>1</v>
      </c>
      <c r="B1059" s="0" t="n">
        <v>1151948975</v>
      </c>
      <c r="C1059" s="0" t="n">
        <v>738</v>
      </c>
    </row>
    <row r="1060" customFormat="false" ht="14.25" hidden="false" customHeight="false" outlineLevel="0" collapsed="false">
      <c r="A1060" s="0" t="n">
        <v>1</v>
      </c>
      <c r="B1060" s="0" t="n">
        <v>1062312895</v>
      </c>
      <c r="C1060" s="0" t="n">
        <v>616</v>
      </c>
    </row>
    <row r="1061" customFormat="false" ht="14.25" hidden="false" customHeight="false" outlineLevel="0" collapsed="false">
      <c r="A1061" s="0" t="n">
        <v>1</v>
      </c>
      <c r="B1061" s="0" t="n">
        <v>1144084984</v>
      </c>
      <c r="C1061" s="0" t="n">
        <v>748</v>
      </c>
    </row>
    <row r="1062" customFormat="false" ht="14.25" hidden="false" customHeight="false" outlineLevel="0" collapsed="false">
      <c r="A1062" s="0" t="n">
        <v>1</v>
      </c>
      <c r="B1062" s="0" t="n">
        <v>29125244</v>
      </c>
      <c r="C1062" s="0" t="n">
        <v>924</v>
      </c>
    </row>
    <row r="1063" customFormat="false" ht="14.25" hidden="false" customHeight="false" outlineLevel="0" collapsed="false">
      <c r="A1063" s="0" t="n">
        <v>1</v>
      </c>
      <c r="B1063" s="0" t="n">
        <v>1064441803</v>
      </c>
      <c r="C1063" s="0" t="n">
        <v>494</v>
      </c>
    </row>
    <row r="1064" customFormat="false" ht="14.25" hidden="false" customHeight="false" outlineLevel="0" collapsed="false">
      <c r="A1064" s="0" t="n">
        <v>1</v>
      </c>
      <c r="B1064" s="0" t="n">
        <v>1130661444</v>
      </c>
      <c r="C1064" s="0" t="n">
        <v>855</v>
      </c>
    </row>
    <row r="1065" customFormat="false" ht="14.25" hidden="false" customHeight="false" outlineLevel="0" collapsed="false">
      <c r="A1065" s="0" t="n">
        <v>1</v>
      </c>
      <c r="B1065" s="0" t="n">
        <v>1143940744</v>
      </c>
      <c r="C1065" s="0" t="n">
        <v>619</v>
      </c>
    </row>
    <row r="1066" customFormat="false" ht="14.25" hidden="false" customHeight="false" outlineLevel="0" collapsed="false">
      <c r="A1066" s="0" t="n">
        <v>1</v>
      </c>
      <c r="B1066" s="0" t="n">
        <v>1143874200</v>
      </c>
      <c r="C1066" s="0" t="n">
        <v>817</v>
      </c>
    </row>
    <row r="1067" customFormat="false" ht="14.25" hidden="false" customHeight="false" outlineLevel="0" collapsed="false">
      <c r="A1067" s="0" t="n">
        <v>1</v>
      </c>
      <c r="B1067" s="0" t="n">
        <v>67039508</v>
      </c>
      <c r="C1067" s="0" t="n">
        <v>878</v>
      </c>
    </row>
    <row r="1068" customFormat="false" ht="14.25" hidden="false" customHeight="false" outlineLevel="0" collapsed="false">
      <c r="A1068" s="0" t="n">
        <v>1</v>
      </c>
      <c r="B1068" s="0" t="n">
        <v>29177571</v>
      </c>
      <c r="C1068" s="0" t="n">
        <v>864</v>
      </c>
    </row>
    <row r="1069" customFormat="false" ht="14.25" hidden="false" customHeight="false" outlineLevel="0" collapsed="false">
      <c r="A1069" s="0" t="n">
        <v>1</v>
      </c>
      <c r="B1069" s="0" t="n">
        <v>66980789</v>
      </c>
      <c r="C1069" s="0" t="n">
        <v>582</v>
      </c>
    </row>
    <row r="1070" customFormat="false" ht="14.25" hidden="false" customHeight="false" outlineLevel="0" collapsed="false">
      <c r="A1070" s="0" t="n">
        <v>1</v>
      </c>
      <c r="B1070" s="0" t="n">
        <v>1130639453</v>
      </c>
      <c r="C1070" s="0" t="n">
        <v>860</v>
      </c>
    </row>
    <row r="1071" customFormat="false" ht="14.25" hidden="false" customHeight="false" outlineLevel="0" collapsed="false">
      <c r="A1071" s="0" t="n">
        <v>1</v>
      </c>
      <c r="B1071" s="0" t="n">
        <v>31940944</v>
      </c>
      <c r="C1071" s="0" t="n">
        <v>952</v>
      </c>
    </row>
    <row r="1072" customFormat="false" ht="14.25" hidden="false" customHeight="false" outlineLevel="0" collapsed="false">
      <c r="A1072" s="0" t="n">
        <v>1</v>
      </c>
      <c r="B1072" s="0" t="n">
        <v>29182544</v>
      </c>
      <c r="C1072" s="0" t="n">
        <v>999</v>
      </c>
    </row>
    <row r="1073" customFormat="false" ht="14.25" hidden="false" customHeight="false" outlineLevel="0" collapsed="false">
      <c r="A1073" s="0" t="n">
        <v>1</v>
      </c>
      <c r="B1073" s="0" t="n">
        <v>1130598128</v>
      </c>
      <c r="C1073" s="0" t="n">
        <v>851</v>
      </c>
    </row>
    <row r="1074" customFormat="false" ht="14.25" hidden="false" customHeight="false" outlineLevel="0" collapsed="false">
      <c r="A1074" s="0" t="n">
        <v>1</v>
      </c>
      <c r="B1074" s="0" t="n">
        <v>1006011753</v>
      </c>
      <c r="C1074" s="0" t="n">
        <v>708</v>
      </c>
    </row>
    <row r="1075" customFormat="false" ht="14.25" hidden="false" customHeight="false" outlineLevel="0" collapsed="false">
      <c r="A1075" s="0" t="n">
        <v>1</v>
      </c>
      <c r="B1075" s="0" t="n">
        <v>1151965024</v>
      </c>
      <c r="C1075" s="0" t="n">
        <v>769</v>
      </c>
    </row>
    <row r="1076" customFormat="false" ht="14.25" hidden="false" customHeight="false" outlineLevel="0" collapsed="false">
      <c r="A1076" s="0" t="n">
        <v>1</v>
      </c>
      <c r="B1076" s="0" t="n">
        <v>31656172</v>
      </c>
      <c r="C1076" s="0" t="n">
        <v>743</v>
      </c>
    </row>
    <row r="1077" customFormat="false" ht="14.25" hidden="false" customHeight="false" outlineLevel="0" collapsed="false">
      <c r="A1077" s="0" t="n">
        <v>1</v>
      </c>
      <c r="B1077" s="0" t="n">
        <v>1112477211</v>
      </c>
      <c r="C1077" s="0" t="n">
        <v>686</v>
      </c>
    </row>
    <row r="1078" customFormat="false" ht="14.25" hidden="false" customHeight="false" outlineLevel="0" collapsed="false">
      <c r="A1078" s="0" t="n">
        <v>1</v>
      </c>
      <c r="B1078" s="0" t="n">
        <v>1114728183</v>
      </c>
      <c r="C1078" s="0" t="n">
        <v>619</v>
      </c>
    </row>
    <row r="1079" customFormat="false" ht="14.25" hidden="false" customHeight="false" outlineLevel="0" collapsed="false">
      <c r="A1079" s="0" t="n">
        <v>1</v>
      </c>
      <c r="B1079" s="0" t="n">
        <v>1143847468</v>
      </c>
      <c r="C1079" s="0" t="n">
        <v>731</v>
      </c>
    </row>
    <row r="1080" customFormat="false" ht="14.25" hidden="false" customHeight="false" outlineLevel="0" collapsed="false">
      <c r="A1080" s="0" t="n">
        <v>1</v>
      </c>
      <c r="B1080" s="0" t="n">
        <v>1130627078</v>
      </c>
      <c r="C1080" s="0" t="n">
        <v>946</v>
      </c>
    </row>
    <row r="1081" customFormat="false" ht="14.25" hidden="false" customHeight="false" outlineLevel="0" collapsed="false">
      <c r="A1081" s="0" t="n">
        <v>1</v>
      </c>
      <c r="B1081" s="0" t="n">
        <v>1112466938</v>
      </c>
      <c r="C1081" s="0" t="n">
        <v>830</v>
      </c>
    </row>
    <row r="1082" customFormat="false" ht="14.25" hidden="false" customHeight="false" outlineLevel="0" collapsed="false">
      <c r="A1082" s="0" t="n">
        <v>1</v>
      </c>
      <c r="B1082" s="0" t="n">
        <v>1193595791</v>
      </c>
      <c r="C1082" s="0" t="n">
        <v>741</v>
      </c>
    </row>
    <row r="1083" customFormat="false" ht="14.25" hidden="false" customHeight="false" outlineLevel="0" collapsed="false">
      <c r="A1083" s="0" t="n">
        <v>1</v>
      </c>
      <c r="B1083" s="0" t="n">
        <v>1144179414</v>
      </c>
      <c r="C1083" s="0" t="n">
        <v>706</v>
      </c>
    </row>
    <row r="1084" customFormat="false" ht="14.25" hidden="false" customHeight="false" outlineLevel="0" collapsed="false">
      <c r="A1084" s="0" t="n">
        <v>1</v>
      </c>
      <c r="B1084" s="0" t="n">
        <v>1144052596</v>
      </c>
      <c r="C1084" s="0" t="n">
        <v>621</v>
      </c>
    </row>
    <row r="1085" customFormat="false" ht="14.25" hidden="false" customHeight="false" outlineLevel="0" collapsed="false">
      <c r="A1085" s="0" t="n">
        <v>1</v>
      </c>
      <c r="B1085" s="0" t="n">
        <v>1112100422</v>
      </c>
      <c r="C1085" s="0" t="n">
        <v>726</v>
      </c>
    </row>
    <row r="1086" customFormat="false" ht="14.25" hidden="false" customHeight="false" outlineLevel="0" collapsed="false">
      <c r="A1086" s="0" t="n">
        <v>1</v>
      </c>
      <c r="B1086" s="0" t="n">
        <v>16889110</v>
      </c>
      <c r="C1086" s="0" t="n">
        <v>603</v>
      </c>
    </row>
    <row r="1087" customFormat="false" ht="14.25" hidden="false" customHeight="false" outlineLevel="0" collapsed="false">
      <c r="A1087" s="0" t="n">
        <v>1</v>
      </c>
      <c r="B1087" s="0" t="n">
        <v>1107039601</v>
      </c>
      <c r="C1087" s="0" t="n">
        <v>642</v>
      </c>
    </row>
    <row r="1088" customFormat="false" ht="14.25" hidden="false" customHeight="false" outlineLevel="0" collapsed="false">
      <c r="A1088" s="0" t="n">
        <v>1</v>
      </c>
      <c r="B1088" s="0" t="n">
        <v>1143993556</v>
      </c>
      <c r="C1088" s="0" t="n">
        <v>798</v>
      </c>
    </row>
    <row r="1089" customFormat="false" ht="14.25" hidden="false" customHeight="false" outlineLevel="0" collapsed="false">
      <c r="A1089" s="0" t="n">
        <v>1</v>
      </c>
      <c r="B1089" s="0" t="n">
        <v>1144051429</v>
      </c>
      <c r="C1089" s="0" t="n">
        <v>746</v>
      </c>
    </row>
    <row r="1090" customFormat="false" ht="14.25" hidden="false" customHeight="false" outlineLevel="0" collapsed="false">
      <c r="A1090" s="0" t="n">
        <v>1</v>
      </c>
      <c r="B1090" s="0" t="n">
        <v>1006168795</v>
      </c>
      <c r="C1090" s="0" t="n">
        <v>681</v>
      </c>
    </row>
    <row r="1091" customFormat="false" ht="14.25" hidden="false" customHeight="false" outlineLevel="0" collapsed="false">
      <c r="A1091" s="0" t="n">
        <v>1</v>
      </c>
      <c r="B1091" s="0" t="n">
        <v>67041560</v>
      </c>
      <c r="C1091" s="0" t="n">
        <v>758</v>
      </c>
    </row>
    <row r="1092" customFormat="false" ht="14.25" hidden="false" customHeight="false" outlineLevel="0" collapsed="false">
      <c r="A1092" s="0" t="n">
        <v>1</v>
      </c>
      <c r="B1092" s="0" t="n">
        <v>16729841</v>
      </c>
      <c r="C1092" s="0" t="n">
        <v>876</v>
      </c>
    </row>
    <row r="1093" customFormat="false" ht="14.25" hidden="false" customHeight="false" outlineLevel="0" collapsed="false">
      <c r="A1093" s="0" t="n">
        <v>1</v>
      </c>
      <c r="B1093" s="0" t="n">
        <v>16701228</v>
      </c>
      <c r="C1093" s="0" t="n">
        <v>943</v>
      </c>
    </row>
    <row r="1094" customFormat="false" ht="14.25" hidden="false" customHeight="false" outlineLevel="0" collapsed="false">
      <c r="A1094" s="0" t="n">
        <v>1</v>
      </c>
      <c r="B1094" s="0" t="n">
        <v>1053830288</v>
      </c>
      <c r="C1094" s="0" t="n">
        <v>845</v>
      </c>
    </row>
    <row r="1095" customFormat="false" ht="14.25" hidden="false" customHeight="false" outlineLevel="0" collapsed="false">
      <c r="A1095" s="0" t="n">
        <v>1</v>
      </c>
      <c r="B1095" s="0" t="n">
        <v>1113514976</v>
      </c>
      <c r="C1095" s="0" t="n">
        <v>801</v>
      </c>
    </row>
    <row r="1096" customFormat="false" ht="14.25" hidden="false" customHeight="false" outlineLevel="0" collapsed="false">
      <c r="A1096" s="0" t="n">
        <v>1</v>
      </c>
      <c r="B1096" s="0" t="n">
        <v>31446403</v>
      </c>
      <c r="C1096" s="0" t="n">
        <v>665</v>
      </c>
    </row>
    <row r="1097" customFormat="false" ht="14.25" hidden="false" customHeight="false" outlineLevel="0" collapsed="false">
      <c r="A1097" s="0" t="n">
        <v>1</v>
      </c>
      <c r="B1097" s="0" t="n">
        <v>1005966722</v>
      </c>
      <c r="C1097" s="0" t="n">
        <v>770</v>
      </c>
    </row>
    <row r="1098" customFormat="false" ht="14.25" hidden="false" customHeight="false" outlineLevel="0" collapsed="false">
      <c r="A1098" s="0" t="n">
        <v>1</v>
      </c>
      <c r="B1098" s="0" t="n">
        <v>31970568</v>
      </c>
      <c r="C1098" s="0" t="n">
        <v>999</v>
      </c>
    </row>
    <row r="1099" customFormat="false" ht="14.25" hidden="false" customHeight="false" outlineLevel="0" collapsed="false">
      <c r="A1099" s="0" t="n">
        <v>1</v>
      </c>
      <c r="B1099" s="0" t="n">
        <v>38612512</v>
      </c>
      <c r="C1099" s="0" t="n">
        <v>686</v>
      </c>
    </row>
    <row r="1100" customFormat="false" ht="14.25" hidden="false" customHeight="false" outlineLevel="0" collapsed="false">
      <c r="A1100" s="0" t="n">
        <v>1</v>
      </c>
      <c r="B1100" s="0" t="n">
        <v>1130656042</v>
      </c>
      <c r="C1100" s="0" t="n">
        <v>908</v>
      </c>
    </row>
    <row r="1101" customFormat="false" ht="14.25" hidden="false" customHeight="false" outlineLevel="0" collapsed="false">
      <c r="A1101" s="0" t="n">
        <v>1</v>
      </c>
      <c r="B1101" s="0" t="n">
        <v>94322572</v>
      </c>
      <c r="C1101" s="0" t="n">
        <v>999</v>
      </c>
    </row>
    <row r="1102" customFormat="false" ht="14.25" hidden="false" customHeight="false" outlineLevel="0" collapsed="false">
      <c r="A1102" s="0" t="n">
        <v>1</v>
      </c>
      <c r="B1102" s="0" t="n">
        <v>66858279</v>
      </c>
      <c r="C1102" s="0" t="n">
        <v>862</v>
      </c>
    </row>
    <row r="1103" customFormat="false" ht="14.25" hidden="false" customHeight="false" outlineLevel="0" collapsed="false">
      <c r="A1103" s="0" t="n">
        <v>1</v>
      </c>
      <c r="B1103" s="0" t="n">
        <v>31711710</v>
      </c>
      <c r="C1103" s="0" t="n">
        <v>912</v>
      </c>
    </row>
    <row r="1104" customFormat="false" ht="14.25" hidden="false" customHeight="false" outlineLevel="0" collapsed="false">
      <c r="A1104" s="0" t="n">
        <v>1</v>
      </c>
      <c r="B1104" s="0" t="n">
        <v>1144130897</v>
      </c>
      <c r="C1104" s="0" t="n">
        <v>773</v>
      </c>
    </row>
    <row r="1105" customFormat="false" ht="14.25" hidden="false" customHeight="false" outlineLevel="0" collapsed="false">
      <c r="A1105" s="0" t="n">
        <v>1</v>
      </c>
      <c r="B1105" s="0" t="n">
        <v>31998677</v>
      </c>
      <c r="C1105" s="0" t="n">
        <v>726</v>
      </c>
    </row>
    <row r="1106" customFormat="false" ht="14.25" hidden="false" customHeight="false" outlineLevel="0" collapsed="false">
      <c r="A1106" s="0" t="n">
        <v>1</v>
      </c>
      <c r="B1106" s="0" t="n">
        <v>31431781</v>
      </c>
      <c r="C1106" s="0" t="n">
        <v>927</v>
      </c>
    </row>
    <row r="1107" customFormat="false" ht="14.25" hidden="false" customHeight="false" outlineLevel="0" collapsed="false">
      <c r="A1107" s="0" t="n">
        <v>1</v>
      </c>
      <c r="B1107" s="0" t="n">
        <v>1130605624</v>
      </c>
      <c r="C1107" s="0" t="n">
        <v>751</v>
      </c>
    </row>
    <row r="1108" customFormat="false" ht="14.25" hidden="false" customHeight="false" outlineLevel="0" collapsed="false">
      <c r="A1108" s="0" t="n">
        <v>1</v>
      </c>
      <c r="B1108" s="0" t="n">
        <v>1107513488</v>
      </c>
      <c r="C1108" s="0" t="n">
        <v>553</v>
      </c>
    </row>
    <row r="1109" customFormat="false" ht="14.25" hidden="false" customHeight="false" outlineLevel="0" collapsed="false">
      <c r="A1109" s="0" t="n">
        <v>1</v>
      </c>
      <c r="B1109" s="0" t="n">
        <v>1143830949</v>
      </c>
      <c r="C1109" s="0" t="n">
        <v>747</v>
      </c>
    </row>
    <row r="1110" customFormat="false" ht="14.25" hidden="false" customHeight="false" outlineLevel="0" collapsed="false">
      <c r="A1110" s="0" t="n">
        <v>1</v>
      </c>
      <c r="B1110" s="0" t="n">
        <v>1130668382</v>
      </c>
      <c r="C1110" s="0" t="n">
        <v>919</v>
      </c>
    </row>
    <row r="1111" customFormat="false" ht="14.25" hidden="false" customHeight="false" outlineLevel="0" collapsed="false">
      <c r="A1111" s="0" t="n">
        <v>1</v>
      </c>
      <c r="B1111" s="0" t="n">
        <v>29107314</v>
      </c>
      <c r="C1111" s="0" t="n">
        <v>796</v>
      </c>
    </row>
    <row r="1112" customFormat="false" ht="14.25" hidden="false" customHeight="false" outlineLevel="0" collapsed="false">
      <c r="A1112" s="0" t="n">
        <v>1</v>
      </c>
      <c r="B1112" s="0" t="n">
        <v>1006170029</v>
      </c>
      <c r="C1112" s="0" t="n">
        <v>679</v>
      </c>
    </row>
    <row r="1113" customFormat="false" ht="14.25" hidden="false" customHeight="false" outlineLevel="0" collapsed="false">
      <c r="A1113" s="0" t="n">
        <v>1</v>
      </c>
      <c r="B1113" s="0" t="n">
        <v>1143836561</v>
      </c>
      <c r="C1113" s="0" t="n">
        <v>665</v>
      </c>
    </row>
    <row r="1114" customFormat="false" ht="14.25" hidden="false" customHeight="false" outlineLevel="0" collapsed="false">
      <c r="A1114" s="0" t="n">
        <v>1</v>
      </c>
      <c r="B1114" s="0" t="n">
        <v>1143864409</v>
      </c>
      <c r="C1114" s="0" t="n">
        <v>515</v>
      </c>
    </row>
    <row r="1115" customFormat="false" ht="14.25" hidden="false" customHeight="false" outlineLevel="0" collapsed="false">
      <c r="A1115" s="0" t="n">
        <v>1</v>
      </c>
      <c r="B1115" s="0" t="n">
        <v>1107094442</v>
      </c>
      <c r="C1115" s="0" t="n">
        <v>942</v>
      </c>
    </row>
    <row r="1116" customFormat="false" ht="14.25" hidden="false" customHeight="false" outlineLevel="0" collapsed="false">
      <c r="A1116" s="0" t="n">
        <v>1</v>
      </c>
      <c r="B1116" s="0" t="n">
        <v>14839579</v>
      </c>
      <c r="C1116" s="0" t="n">
        <v>695</v>
      </c>
    </row>
    <row r="1117" customFormat="false" ht="14.25" hidden="false" customHeight="false" outlineLevel="0" collapsed="false">
      <c r="A1117" s="0" t="n">
        <v>1</v>
      </c>
      <c r="B1117" s="0" t="n">
        <v>37081443</v>
      </c>
      <c r="C1117" s="0" t="n">
        <v>751</v>
      </c>
    </row>
    <row r="1118" customFormat="false" ht="14.25" hidden="false" customHeight="false" outlineLevel="0" collapsed="false">
      <c r="A1118" s="0" t="n">
        <v>1</v>
      </c>
      <c r="B1118" s="0" t="n">
        <v>1143987647</v>
      </c>
      <c r="C1118" s="0" t="n">
        <v>710</v>
      </c>
    </row>
    <row r="1119" customFormat="false" ht="14.25" hidden="false" customHeight="false" outlineLevel="0" collapsed="false">
      <c r="A1119" s="0" t="n">
        <v>1</v>
      </c>
      <c r="B1119" s="0" t="n">
        <v>1144070516</v>
      </c>
      <c r="C1119" s="0" t="n">
        <v>662</v>
      </c>
    </row>
    <row r="1120" customFormat="false" ht="14.25" hidden="false" customHeight="false" outlineLevel="0" collapsed="false">
      <c r="A1120" s="0" t="n">
        <v>1</v>
      </c>
      <c r="B1120" s="0" t="n">
        <v>31988600</v>
      </c>
      <c r="C1120" s="0" t="n">
        <v>924</v>
      </c>
    </row>
    <row r="1121" customFormat="false" ht="14.25" hidden="false" customHeight="false" outlineLevel="0" collapsed="false">
      <c r="A1121" s="0" t="n">
        <v>1</v>
      </c>
      <c r="B1121" s="0" t="n">
        <v>1143938085</v>
      </c>
      <c r="C1121" s="0" t="n">
        <v>731</v>
      </c>
    </row>
    <row r="1122" customFormat="false" ht="14.25" hidden="false" customHeight="false" outlineLevel="0" collapsed="false">
      <c r="A1122" s="0" t="n">
        <v>1</v>
      </c>
      <c r="B1122" s="0" t="n">
        <v>1144165375</v>
      </c>
      <c r="C1122" s="0" t="n">
        <v>671</v>
      </c>
    </row>
    <row r="1123" customFormat="false" ht="14.25" hidden="false" customHeight="false" outlineLevel="0" collapsed="false">
      <c r="A1123" s="0" t="n">
        <v>1</v>
      </c>
      <c r="B1123" s="0" t="n">
        <v>1112478456</v>
      </c>
      <c r="C1123" s="0" t="n">
        <v>594</v>
      </c>
    </row>
    <row r="1124" customFormat="false" ht="14.25" hidden="false" customHeight="false" outlineLevel="0" collapsed="false">
      <c r="A1124" s="0" t="n">
        <v>1</v>
      </c>
      <c r="B1124" s="0" t="n">
        <v>1143941511</v>
      </c>
      <c r="C1124" s="0" t="n">
        <v>634</v>
      </c>
    </row>
    <row r="1125" customFormat="false" ht="14.25" hidden="false" customHeight="false" outlineLevel="0" collapsed="false">
      <c r="A1125" s="0" t="n">
        <v>1</v>
      </c>
      <c r="B1125" s="0" t="n">
        <v>1144101138</v>
      </c>
      <c r="C1125" s="0" t="n">
        <v>569</v>
      </c>
    </row>
    <row r="1126" customFormat="false" ht="14.25" hidden="false" customHeight="false" outlineLevel="0" collapsed="false">
      <c r="A1126" s="0" t="n">
        <v>1</v>
      </c>
      <c r="B1126" s="0" t="n">
        <v>1144043402</v>
      </c>
      <c r="C1126" s="0" t="n">
        <v>696</v>
      </c>
    </row>
    <row r="1127" customFormat="false" ht="14.25" hidden="false" customHeight="false" outlineLevel="0" collapsed="false">
      <c r="A1127" s="0" t="n">
        <v>1</v>
      </c>
      <c r="B1127" s="0" t="n">
        <v>1144067354</v>
      </c>
      <c r="C1127" s="0" t="n">
        <v>848</v>
      </c>
    </row>
    <row r="1128" customFormat="false" ht="14.25" hidden="false" customHeight="false" outlineLevel="0" collapsed="false">
      <c r="A1128" s="0" t="n">
        <v>1</v>
      </c>
      <c r="B1128" s="0" t="n">
        <v>45558893</v>
      </c>
      <c r="C1128" s="0" t="n">
        <v>787</v>
      </c>
    </row>
    <row r="1129" customFormat="false" ht="14.25" hidden="false" customHeight="false" outlineLevel="0" collapsed="false">
      <c r="A1129" s="0" t="n">
        <v>1</v>
      </c>
      <c r="B1129" s="0" t="n">
        <v>1006537246</v>
      </c>
      <c r="C1129" s="0" t="n">
        <v>760</v>
      </c>
    </row>
    <row r="1130" customFormat="false" ht="14.25" hidden="false" customHeight="false" outlineLevel="0" collapsed="false">
      <c r="A1130" s="0" t="n">
        <v>1</v>
      </c>
      <c r="B1130" s="0" t="n">
        <v>29510817</v>
      </c>
      <c r="C1130" s="0" t="n">
        <v>747</v>
      </c>
    </row>
    <row r="1131" customFormat="false" ht="14.25" hidden="false" customHeight="false" outlineLevel="0" collapsed="false">
      <c r="A1131" s="0" t="n">
        <v>1</v>
      </c>
      <c r="B1131" s="0" t="n">
        <v>1144166828</v>
      </c>
      <c r="C1131" s="0" t="n">
        <v>953</v>
      </c>
    </row>
    <row r="1132" customFormat="false" ht="14.25" hidden="false" customHeight="false" outlineLevel="0" collapsed="false">
      <c r="A1132" s="0" t="n">
        <v>1</v>
      </c>
      <c r="B1132" s="0" t="n">
        <v>67004195</v>
      </c>
      <c r="C1132" s="0" t="n">
        <v>748</v>
      </c>
    </row>
    <row r="1133" customFormat="false" ht="14.25" hidden="false" customHeight="false" outlineLevel="0" collapsed="false">
      <c r="A1133" s="0" t="n">
        <v>1</v>
      </c>
      <c r="B1133" s="0" t="n">
        <v>1144175329</v>
      </c>
      <c r="C1133" s="0" t="n">
        <v>881</v>
      </c>
    </row>
    <row r="1134" customFormat="false" ht="14.25" hidden="false" customHeight="false" outlineLevel="0" collapsed="false">
      <c r="A1134" s="0" t="n">
        <v>1</v>
      </c>
      <c r="B1134" s="0" t="n">
        <v>94410958</v>
      </c>
      <c r="C1134" s="0" t="n">
        <v>686</v>
      </c>
    </row>
    <row r="1135" customFormat="false" ht="14.25" hidden="false" customHeight="false" outlineLevel="0" collapsed="false">
      <c r="A1135" s="0" t="n">
        <v>1</v>
      </c>
      <c r="B1135" s="0" t="n">
        <v>34515352</v>
      </c>
      <c r="C1135" s="0" t="n">
        <v>830</v>
      </c>
    </row>
    <row r="1136" customFormat="false" ht="14.25" hidden="false" customHeight="false" outlineLevel="0" collapsed="false">
      <c r="A1136" s="0" t="n">
        <v>1</v>
      </c>
      <c r="B1136" s="0" t="n">
        <v>94457631</v>
      </c>
      <c r="C1136" s="0" t="n">
        <v>976</v>
      </c>
    </row>
    <row r="1137" customFormat="false" ht="14.25" hidden="false" customHeight="false" outlineLevel="0" collapsed="false">
      <c r="A1137" s="0" t="n">
        <v>1</v>
      </c>
      <c r="B1137" s="0" t="n">
        <v>1193226482</v>
      </c>
      <c r="C1137" s="0" t="n">
        <v>638</v>
      </c>
    </row>
    <row r="1138" customFormat="false" ht="14.25" hidden="false" customHeight="false" outlineLevel="0" collapsed="false">
      <c r="A1138" s="0" t="n">
        <v>1</v>
      </c>
      <c r="B1138" s="0" t="n">
        <v>1112480962</v>
      </c>
      <c r="C1138" s="0" t="n">
        <v>726</v>
      </c>
    </row>
    <row r="1139" customFormat="false" ht="14.25" hidden="false" customHeight="false" outlineLevel="0" collapsed="false">
      <c r="A1139" s="0" t="n">
        <v>1</v>
      </c>
      <c r="B1139" s="0" t="n">
        <v>6550905</v>
      </c>
      <c r="C1139" s="0" t="n">
        <v>783</v>
      </c>
    </row>
    <row r="1140" customFormat="false" ht="14.25" hidden="false" customHeight="false" outlineLevel="0" collapsed="false">
      <c r="A1140" s="0" t="n">
        <v>1</v>
      </c>
      <c r="B1140" s="0" t="n">
        <v>1144202961</v>
      </c>
      <c r="C1140" s="0" t="n">
        <v>661</v>
      </c>
    </row>
    <row r="1141" customFormat="false" ht="14.25" hidden="false" customHeight="false" outlineLevel="0" collapsed="false">
      <c r="A1141" s="0" t="n">
        <v>1</v>
      </c>
      <c r="B1141" s="0" t="n">
        <v>1010113787</v>
      </c>
      <c r="C1141" s="0" t="n">
        <v>787</v>
      </c>
    </row>
    <row r="1142" customFormat="false" ht="14.25" hidden="false" customHeight="false" outlineLevel="0" collapsed="false">
      <c r="A1142" s="0" t="n">
        <v>1</v>
      </c>
      <c r="B1142" s="0" t="n">
        <v>1144045043</v>
      </c>
      <c r="C1142" s="0" t="n">
        <v>810</v>
      </c>
    </row>
    <row r="1143" customFormat="false" ht="14.25" hidden="false" customHeight="false" outlineLevel="0" collapsed="false">
      <c r="A1143" s="0" t="n">
        <v>1</v>
      </c>
      <c r="B1143" s="0" t="n">
        <v>31324832</v>
      </c>
      <c r="C1143" s="0" t="n">
        <v>687</v>
      </c>
    </row>
    <row r="1144" customFormat="false" ht="14.25" hidden="false" customHeight="false" outlineLevel="0" collapsed="false">
      <c r="A1144" s="0" t="n">
        <v>1</v>
      </c>
      <c r="B1144" s="0" t="n">
        <v>1085336173</v>
      </c>
      <c r="C1144" s="0" t="n">
        <v>792</v>
      </c>
    </row>
    <row r="1145" customFormat="false" ht="14.25" hidden="false" customHeight="false" outlineLevel="0" collapsed="false">
      <c r="A1145" s="0" t="n">
        <v>1</v>
      </c>
      <c r="B1145" s="0" t="n">
        <v>1144075368</v>
      </c>
      <c r="C1145" s="0" t="n">
        <v>786</v>
      </c>
    </row>
    <row r="1146" customFormat="false" ht="14.25" hidden="false" customHeight="false" outlineLevel="0" collapsed="false">
      <c r="A1146" s="0" t="n">
        <v>1</v>
      </c>
      <c r="B1146" s="0" t="n">
        <v>1143931949</v>
      </c>
      <c r="C1146" s="0" t="n">
        <v>705</v>
      </c>
    </row>
    <row r="1147" customFormat="false" ht="14.25" hidden="false" customHeight="false" outlineLevel="0" collapsed="false">
      <c r="A1147" s="0" t="n">
        <v>1</v>
      </c>
      <c r="B1147" s="0" t="n">
        <v>1144160460</v>
      </c>
      <c r="C1147" s="0" t="n">
        <v>750</v>
      </c>
    </row>
    <row r="1148" customFormat="false" ht="14.25" hidden="false" customHeight="false" outlineLevel="0" collapsed="false">
      <c r="A1148" s="0" t="n">
        <v>1</v>
      </c>
      <c r="B1148" s="0" t="n">
        <v>66852676</v>
      </c>
      <c r="C1148" s="0" t="n">
        <v>795</v>
      </c>
    </row>
    <row r="1149" customFormat="false" ht="14.25" hidden="false" customHeight="false" outlineLevel="0" collapsed="false">
      <c r="A1149" s="0" t="n">
        <v>1</v>
      </c>
      <c r="B1149" s="0" t="n">
        <v>29127854</v>
      </c>
      <c r="C1149" s="0" t="n">
        <v>724</v>
      </c>
    </row>
    <row r="1150" customFormat="false" ht="14.25" hidden="false" customHeight="false" outlineLevel="0" collapsed="false">
      <c r="A1150" s="0" t="n">
        <v>1</v>
      </c>
      <c r="B1150" s="0" t="n">
        <v>1144052717</v>
      </c>
      <c r="C1150" s="0" t="n">
        <v>611</v>
      </c>
    </row>
    <row r="1151" customFormat="false" ht="14.25" hidden="false" customHeight="false" outlineLevel="0" collapsed="false">
      <c r="A1151" s="0" t="n">
        <v>1</v>
      </c>
      <c r="B1151" s="0" t="n">
        <v>1144161155</v>
      </c>
      <c r="C1151" s="0" t="n">
        <v>699</v>
      </c>
    </row>
    <row r="1152" customFormat="false" ht="14.25" hidden="false" customHeight="false" outlineLevel="0" collapsed="false">
      <c r="A1152" s="0" t="n">
        <v>1</v>
      </c>
      <c r="B1152" s="0" t="n">
        <v>5208653</v>
      </c>
      <c r="C1152" s="0" t="n">
        <v>828</v>
      </c>
    </row>
    <row r="1153" customFormat="false" ht="14.25" hidden="false" customHeight="false" outlineLevel="0" collapsed="false">
      <c r="A1153" s="0" t="n">
        <v>1</v>
      </c>
      <c r="B1153" s="0" t="n">
        <v>16738073</v>
      </c>
      <c r="C1153" s="0" t="n">
        <v>935</v>
      </c>
    </row>
    <row r="1154" customFormat="false" ht="14.25" hidden="false" customHeight="false" outlineLevel="0" collapsed="false">
      <c r="A1154" s="0" t="n">
        <v>1</v>
      </c>
      <c r="B1154" s="0" t="n">
        <v>31585154</v>
      </c>
      <c r="C1154" s="0" t="n">
        <v>913</v>
      </c>
    </row>
    <row r="1155" customFormat="false" ht="14.25" hidden="false" customHeight="false" outlineLevel="0" collapsed="false">
      <c r="A1155" s="0" t="n">
        <v>1</v>
      </c>
      <c r="B1155" s="0" t="n">
        <v>1143927195</v>
      </c>
      <c r="C1155" s="0" t="n">
        <v>878</v>
      </c>
    </row>
    <row r="1156" customFormat="false" ht="14.25" hidden="false" customHeight="false" outlineLevel="0" collapsed="false">
      <c r="A1156" s="0" t="n">
        <v>1</v>
      </c>
      <c r="B1156" s="0" t="n">
        <v>1143841250</v>
      </c>
      <c r="C1156" s="0" t="n">
        <v>778</v>
      </c>
    </row>
    <row r="1157" customFormat="false" ht="14.25" hidden="false" customHeight="false" outlineLevel="0" collapsed="false">
      <c r="A1157" s="0" t="n">
        <v>1</v>
      </c>
      <c r="B1157" s="0" t="n">
        <v>66907772</v>
      </c>
      <c r="C1157" s="0" t="n">
        <v>999</v>
      </c>
    </row>
    <row r="1158" customFormat="false" ht="14.25" hidden="false" customHeight="false" outlineLevel="0" collapsed="false">
      <c r="A1158" s="0" t="n">
        <v>1</v>
      </c>
      <c r="B1158" s="0" t="n">
        <v>1107081197</v>
      </c>
      <c r="C1158" s="0" t="n">
        <v>849</v>
      </c>
    </row>
    <row r="1159" customFormat="false" ht="14.25" hidden="false" customHeight="false" outlineLevel="0" collapsed="false">
      <c r="A1159" s="0" t="n">
        <v>1</v>
      </c>
      <c r="B1159" s="0" t="n">
        <v>1144163849</v>
      </c>
      <c r="C1159" s="0" t="n">
        <v>722</v>
      </c>
    </row>
    <row r="1160" customFormat="false" ht="14.25" hidden="false" customHeight="false" outlineLevel="0" collapsed="false">
      <c r="A1160" s="0" t="n">
        <v>1</v>
      </c>
      <c r="B1160" s="0" t="n">
        <v>67038777</v>
      </c>
      <c r="C1160" s="0" t="n">
        <v>709</v>
      </c>
    </row>
    <row r="1161" customFormat="false" ht="14.25" hidden="false" customHeight="false" outlineLevel="0" collapsed="false">
      <c r="A1161" s="0" t="n">
        <v>1</v>
      </c>
      <c r="B1161" s="0" t="n">
        <v>1151947795</v>
      </c>
      <c r="C1161" s="0" t="n">
        <v>922</v>
      </c>
    </row>
    <row r="1162" customFormat="false" ht="14.25" hidden="false" customHeight="false" outlineLevel="0" collapsed="false">
      <c r="A1162" s="0" t="n">
        <v>1</v>
      </c>
      <c r="B1162" s="0" t="n">
        <v>42772603</v>
      </c>
      <c r="C1162" s="0" t="n">
        <v>870</v>
      </c>
    </row>
    <row r="1163" customFormat="false" ht="14.25" hidden="false" customHeight="false" outlineLevel="0" collapsed="false">
      <c r="A1163" s="0" t="n">
        <v>1</v>
      </c>
      <c r="B1163" s="0" t="n">
        <v>1130627726</v>
      </c>
      <c r="C1163" s="0" t="n">
        <v>619</v>
      </c>
    </row>
    <row r="1164" customFormat="false" ht="14.25" hidden="false" customHeight="false" outlineLevel="0" collapsed="false">
      <c r="A1164" s="0" t="n">
        <v>1</v>
      </c>
      <c r="B1164" s="0" t="n">
        <v>66991546</v>
      </c>
      <c r="C1164" s="0" t="n">
        <v>897</v>
      </c>
    </row>
    <row r="1165" customFormat="false" ht="14.25" hidden="false" customHeight="false" outlineLevel="0" collapsed="false">
      <c r="A1165" s="0" t="n">
        <v>1</v>
      </c>
      <c r="B1165" s="0" t="n">
        <v>38643849</v>
      </c>
      <c r="C1165" s="0" t="n">
        <v>640</v>
      </c>
    </row>
    <row r="1166" customFormat="false" ht="14.25" hidden="false" customHeight="false" outlineLevel="0" collapsed="false">
      <c r="A1166" s="0" t="n">
        <v>1</v>
      </c>
      <c r="B1166" s="0" t="n">
        <v>1143945334</v>
      </c>
      <c r="C1166" s="0" t="n">
        <v>884</v>
      </c>
    </row>
    <row r="1167" customFormat="false" ht="14.25" hidden="false" customHeight="false" outlineLevel="0" collapsed="false">
      <c r="A1167" s="0" t="n">
        <v>1</v>
      </c>
      <c r="B1167" s="0" t="n">
        <v>1130635381</v>
      </c>
      <c r="C1167" s="0" t="n">
        <v>955</v>
      </c>
    </row>
    <row r="1168" customFormat="false" ht="14.25" hidden="false" customHeight="false" outlineLevel="0" collapsed="false">
      <c r="A1168" s="0" t="n">
        <v>1</v>
      </c>
      <c r="B1168" s="0" t="n">
        <v>55113244</v>
      </c>
      <c r="C1168" s="0" t="n">
        <v>999</v>
      </c>
    </row>
    <row r="1169" customFormat="false" ht="14.25" hidden="false" customHeight="false" outlineLevel="0" collapsed="false">
      <c r="A1169" s="0" t="n">
        <v>1</v>
      </c>
      <c r="B1169" s="0" t="n">
        <v>66899613</v>
      </c>
      <c r="C1169" s="0" t="n">
        <v>853</v>
      </c>
    </row>
    <row r="1170" customFormat="false" ht="14.25" hidden="false" customHeight="false" outlineLevel="0" collapsed="false">
      <c r="A1170" s="0" t="n">
        <v>1</v>
      </c>
      <c r="B1170" s="0" t="n">
        <v>1107099090</v>
      </c>
      <c r="C1170" s="0" t="n">
        <v>860</v>
      </c>
    </row>
    <row r="1171" customFormat="false" ht="14.25" hidden="false" customHeight="false" outlineLevel="0" collapsed="false">
      <c r="A1171" s="0" t="n">
        <v>1</v>
      </c>
      <c r="B1171" s="0" t="n">
        <v>1006052439</v>
      </c>
      <c r="C1171" s="0" t="n">
        <v>702</v>
      </c>
    </row>
    <row r="1172" customFormat="false" ht="14.25" hidden="false" customHeight="false" outlineLevel="0" collapsed="false">
      <c r="A1172" s="0" t="n">
        <v>1</v>
      </c>
      <c r="B1172" s="0" t="n">
        <v>31570062</v>
      </c>
      <c r="C1172" s="0" t="n">
        <v>557</v>
      </c>
    </row>
    <row r="1173" customFormat="false" ht="14.25" hidden="false" customHeight="false" outlineLevel="0" collapsed="false">
      <c r="A1173" s="0" t="n">
        <v>1</v>
      </c>
      <c r="B1173" s="0" t="n">
        <v>1062204134</v>
      </c>
      <c r="C1173" s="0" t="n">
        <v>763</v>
      </c>
    </row>
    <row r="1174" customFormat="false" ht="14.25" hidden="false" customHeight="false" outlineLevel="0" collapsed="false">
      <c r="A1174" s="0" t="n">
        <v>1</v>
      </c>
      <c r="B1174" s="0" t="n">
        <v>66810126</v>
      </c>
      <c r="C1174" s="0" t="n">
        <v>999</v>
      </c>
    </row>
    <row r="1175" customFormat="false" ht="14.25" hidden="false" customHeight="false" outlineLevel="0" collapsed="false">
      <c r="A1175" s="0" t="n">
        <v>1</v>
      </c>
      <c r="B1175" s="0" t="n">
        <v>29347426</v>
      </c>
      <c r="C1175" s="0" t="n">
        <v>844</v>
      </c>
    </row>
    <row r="1176" customFormat="false" ht="14.25" hidden="false" customHeight="false" outlineLevel="0" collapsed="false">
      <c r="A1176" s="0" t="n">
        <v>1</v>
      </c>
      <c r="B1176" s="0" t="n">
        <v>1060416900</v>
      </c>
      <c r="C1176" s="0" t="n">
        <v>753</v>
      </c>
    </row>
    <row r="1177" customFormat="false" ht="14.25" hidden="false" customHeight="false" outlineLevel="0" collapsed="false">
      <c r="A1177" s="0" t="n">
        <v>1</v>
      </c>
      <c r="B1177" s="0" t="n">
        <v>1107521462</v>
      </c>
      <c r="C1177" s="0" t="n">
        <v>730</v>
      </c>
    </row>
    <row r="1178" customFormat="false" ht="14.25" hidden="false" customHeight="false" outlineLevel="0" collapsed="false">
      <c r="A1178" s="0" t="n">
        <v>1</v>
      </c>
      <c r="B1178" s="0" t="n">
        <v>31998651</v>
      </c>
      <c r="C1178" s="0" t="n">
        <v>990</v>
      </c>
    </row>
    <row r="1179" customFormat="false" ht="14.25" hidden="false" customHeight="false" outlineLevel="0" collapsed="false">
      <c r="A1179" s="0" t="n">
        <v>1</v>
      </c>
      <c r="B1179" s="0" t="n">
        <v>1144108263</v>
      </c>
      <c r="C1179" s="0" t="n">
        <v>822</v>
      </c>
    </row>
    <row r="1180" customFormat="false" ht="14.25" hidden="false" customHeight="false" outlineLevel="0" collapsed="false">
      <c r="A1180" s="0" t="n">
        <v>1</v>
      </c>
      <c r="B1180" s="0" t="n">
        <v>31905395</v>
      </c>
      <c r="C1180" s="0" t="n">
        <v>981</v>
      </c>
    </row>
    <row r="1181" customFormat="false" ht="14.25" hidden="false" customHeight="false" outlineLevel="0" collapsed="false">
      <c r="A1181" s="0" t="n">
        <v>1</v>
      </c>
      <c r="B1181" s="0" t="n">
        <v>94501835</v>
      </c>
      <c r="C1181" s="0" t="n">
        <v>825</v>
      </c>
    </row>
    <row r="1182" customFormat="false" ht="14.25" hidden="false" customHeight="false" outlineLevel="0" collapsed="false">
      <c r="A1182" s="0" t="n">
        <v>1</v>
      </c>
      <c r="B1182" s="0" t="n">
        <v>1107519632</v>
      </c>
      <c r="C1182" s="0" t="n">
        <v>494</v>
      </c>
    </row>
    <row r="1183" customFormat="false" ht="14.25" hidden="false" customHeight="false" outlineLevel="0" collapsed="false">
      <c r="A1183" s="0" t="n">
        <v>1</v>
      </c>
      <c r="B1183" s="0" t="n">
        <v>67037333</v>
      </c>
      <c r="C1183" s="0" t="n">
        <v>943</v>
      </c>
    </row>
    <row r="1184" customFormat="false" ht="14.25" hidden="false" customHeight="false" outlineLevel="0" collapsed="false">
      <c r="A1184" s="0" t="n">
        <v>1</v>
      </c>
      <c r="B1184" s="0" t="n">
        <v>1005975258</v>
      </c>
      <c r="C1184" s="0" t="n">
        <v>790</v>
      </c>
    </row>
    <row r="1185" customFormat="false" ht="14.25" hidden="false" customHeight="false" outlineLevel="0" collapsed="false">
      <c r="A1185" s="0" t="n">
        <v>1</v>
      </c>
      <c r="B1185" s="0" t="n">
        <v>1128455751</v>
      </c>
      <c r="C1185" s="0" t="n">
        <v>897</v>
      </c>
    </row>
    <row r="1186" customFormat="false" ht="14.25" hidden="false" customHeight="false" outlineLevel="0" collapsed="false">
      <c r="A1186" s="0" t="n">
        <v>1</v>
      </c>
      <c r="B1186" s="0" t="n">
        <v>16745578</v>
      </c>
      <c r="C1186" s="0" t="n">
        <v>948</v>
      </c>
    </row>
    <row r="1187" customFormat="false" ht="14.25" hidden="false" customHeight="false" outlineLevel="0" collapsed="false">
      <c r="A1187" s="0" t="n">
        <v>1</v>
      </c>
      <c r="B1187" s="0" t="n">
        <v>10567677</v>
      </c>
      <c r="C1187" s="0" t="n">
        <v>823</v>
      </c>
    </row>
    <row r="1188" customFormat="false" ht="14.25" hidden="false" customHeight="false" outlineLevel="0" collapsed="false">
      <c r="A1188" s="0" t="n">
        <v>1</v>
      </c>
      <c r="B1188" s="0" t="n">
        <v>31902853</v>
      </c>
      <c r="C1188" s="0" t="n">
        <v>978</v>
      </c>
    </row>
    <row r="1189" customFormat="false" ht="14.25" hidden="false" customHeight="false" outlineLevel="0" collapsed="false">
      <c r="A1189" s="0" t="n">
        <v>1</v>
      </c>
      <c r="B1189" s="0" t="n">
        <v>60406095</v>
      </c>
      <c r="C1189" s="0" t="n">
        <v>747</v>
      </c>
    </row>
    <row r="1190" customFormat="false" ht="14.25" hidden="false" customHeight="false" outlineLevel="0" collapsed="false">
      <c r="A1190" s="0" t="n">
        <v>1</v>
      </c>
      <c r="B1190" s="0" t="n">
        <v>24343891</v>
      </c>
      <c r="C1190" s="0" t="n">
        <v>582</v>
      </c>
    </row>
    <row r="1191" customFormat="false" ht="14.25" hidden="false" customHeight="false" outlineLevel="0" collapsed="false">
      <c r="A1191" s="0" t="n">
        <v>1</v>
      </c>
      <c r="B1191" s="0" t="n">
        <v>1062303978</v>
      </c>
      <c r="C1191" s="0" t="n">
        <v>857</v>
      </c>
    </row>
    <row r="1192" customFormat="false" ht="14.25" hidden="false" customHeight="false" outlineLevel="0" collapsed="false">
      <c r="A1192" s="0" t="n">
        <v>1</v>
      </c>
      <c r="B1192" s="0" t="n">
        <v>1054986842</v>
      </c>
      <c r="C1192" s="0" t="n">
        <v>749</v>
      </c>
    </row>
    <row r="1193" customFormat="false" ht="14.25" hidden="false" customHeight="false" outlineLevel="0" collapsed="false">
      <c r="A1193" s="0" t="n">
        <v>1</v>
      </c>
      <c r="B1193" s="0" t="n">
        <v>1060804184</v>
      </c>
      <c r="C1193" s="0" t="n">
        <v>573</v>
      </c>
    </row>
    <row r="1194" customFormat="false" ht="14.25" hidden="false" customHeight="false" outlineLevel="0" collapsed="false">
      <c r="A1194" s="0" t="n">
        <v>1</v>
      </c>
      <c r="B1194" s="0" t="n">
        <v>1112481386</v>
      </c>
      <c r="C1194" s="0" t="n">
        <v>555</v>
      </c>
    </row>
    <row r="1195" customFormat="false" ht="14.25" hidden="false" customHeight="false" outlineLevel="0" collapsed="false">
      <c r="A1195" s="0" t="n">
        <v>1</v>
      </c>
      <c r="B1195" s="0" t="n">
        <v>1107526099</v>
      </c>
      <c r="C1195" s="0" t="n">
        <v>674</v>
      </c>
    </row>
    <row r="1196" customFormat="false" ht="14.25" hidden="false" customHeight="false" outlineLevel="0" collapsed="false">
      <c r="A1196" s="0" t="n">
        <v>1</v>
      </c>
      <c r="B1196" s="0" t="n">
        <v>1006172329</v>
      </c>
      <c r="C1196" s="0" t="n">
        <v>671</v>
      </c>
    </row>
    <row r="1197" customFormat="false" ht="14.25" hidden="false" customHeight="false" outlineLevel="0" collapsed="false">
      <c r="A1197" s="0" t="n">
        <v>1</v>
      </c>
      <c r="B1197" s="0" t="n">
        <v>29562102</v>
      </c>
      <c r="C1197" s="0" t="n">
        <v>883</v>
      </c>
    </row>
    <row r="1198" customFormat="false" ht="14.25" hidden="false" customHeight="false" outlineLevel="0" collapsed="false">
      <c r="A1198" s="0" t="n">
        <v>1</v>
      </c>
      <c r="B1198" s="0" t="n">
        <v>66717580</v>
      </c>
      <c r="C1198" s="0" t="n">
        <v>889</v>
      </c>
    </row>
    <row r="1199" customFormat="false" ht="14.25" hidden="false" customHeight="false" outlineLevel="0" collapsed="false">
      <c r="A1199" s="0" t="n">
        <v>1</v>
      </c>
      <c r="B1199" s="0" t="n">
        <v>24527680</v>
      </c>
      <c r="C1199" s="0" t="n">
        <v>825</v>
      </c>
    </row>
    <row r="1200" customFormat="false" ht="14.25" hidden="false" customHeight="false" outlineLevel="0" collapsed="false">
      <c r="A1200" s="0" t="n">
        <v>1</v>
      </c>
      <c r="B1200" s="0" t="n">
        <v>31446899</v>
      </c>
      <c r="C1200" s="0" t="n">
        <v>880</v>
      </c>
    </row>
    <row r="1201" customFormat="false" ht="14.25" hidden="false" customHeight="false" outlineLevel="0" collapsed="false">
      <c r="A1201" s="0" t="n">
        <v>1</v>
      </c>
      <c r="B1201" s="0" t="n">
        <v>16777879</v>
      </c>
      <c r="C1201" s="0" t="n">
        <v>899</v>
      </c>
    </row>
    <row r="1202" customFormat="false" ht="14.25" hidden="false" customHeight="false" outlineLevel="0" collapsed="false">
      <c r="A1202" s="0" t="n">
        <v>1</v>
      </c>
      <c r="B1202" s="0" t="n">
        <v>29547783</v>
      </c>
      <c r="C1202" s="0" t="n">
        <v>645</v>
      </c>
    </row>
    <row r="1203" customFormat="false" ht="14.25" hidden="false" customHeight="false" outlineLevel="0" collapsed="false">
      <c r="A1203" s="0" t="n">
        <v>1</v>
      </c>
      <c r="B1203" s="0" t="n">
        <v>94071991</v>
      </c>
      <c r="C1203" s="0" t="n">
        <v>694</v>
      </c>
    </row>
    <row r="1204" customFormat="false" ht="14.25" hidden="false" customHeight="false" outlineLevel="0" collapsed="false">
      <c r="A1204" s="0" t="n">
        <v>1</v>
      </c>
      <c r="B1204" s="0" t="n">
        <v>1118312185</v>
      </c>
      <c r="C1204" s="0" t="n">
        <v>794</v>
      </c>
    </row>
    <row r="1205" customFormat="false" ht="14.25" hidden="false" customHeight="false" outlineLevel="0" collapsed="false">
      <c r="A1205" s="0" t="n">
        <v>1</v>
      </c>
      <c r="B1205" s="0" t="n">
        <v>1151948109</v>
      </c>
      <c r="C1205" s="0" t="n">
        <v>634</v>
      </c>
    </row>
    <row r="1206" customFormat="false" ht="14.25" hidden="false" customHeight="false" outlineLevel="0" collapsed="false">
      <c r="A1206" s="0" t="n">
        <v>1</v>
      </c>
      <c r="B1206" s="0" t="n">
        <v>38602057</v>
      </c>
      <c r="C1206" s="0" t="n">
        <v>722</v>
      </c>
    </row>
    <row r="1207" customFormat="false" ht="14.25" hidden="false" customHeight="false" outlineLevel="0" collapsed="false">
      <c r="A1207" s="0" t="n">
        <v>1</v>
      </c>
      <c r="B1207" s="0" t="n">
        <v>1130664985</v>
      </c>
      <c r="C1207" s="0" t="n">
        <v>999</v>
      </c>
    </row>
    <row r="1208" customFormat="false" ht="14.25" hidden="false" customHeight="false" outlineLevel="0" collapsed="false">
      <c r="A1208" s="0" t="n">
        <v>1</v>
      </c>
      <c r="B1208" s="0" t="n">
        <v>65706563</v>
      </c>
      <c r="C1208" s="0" t="n">
        <v>665</v>
      </c>
    </row>
    <row r="1209" customFormat="false" ht="14.25" hidden="false" customHeight="false" outlineLevel="0" collapsed="false">
      <c r="A1209" s="0" t="n">
        <v>1</v>
      </c>
      <c r="B1209" s="0" t="n">
        <v>67010687</v>
      </c>
      <c r="C1209" s="0" t="n">
        <v>964</v>
      </c>
    </row>
    <row r="1210" customFormat="false" ht="14.25" hidden="false" customHeight="false" outlineLevel="0" collapsed="false">
      <c r="A1210" s="0" t="n">
        <v>1</v>
      </c>
      <c r="B1210" s="0" t="n">
        <v>29681380</v>
      </c>
      <c r="C1210" s="0" t="n">
        <v>619</v>
      </c>
    </row>
    <row r="1211" customFormat="false" ht="14.25" hidden="false" customHeight="false" outlineLevel="0" collapsed="false">
      <c r="A1211" s="0" t="n">
        <v>1</v>
      </c>
      <c r="B1211" s="0" t="n">
        <v>1143836852</v>
      </c>
      <c r="C1211" s="0" t="n">
        <v>665</v>
      </c>
    </row>
    <row r="1212" customFormat="false" ht="14.25" hidden="false" customHeight="false" outlineLevel="0" collapsed="false">
      <c r="A1212" s="0" t="n">
        <v>1</v>
      </c>
      <c r="B1212" s="0" t="n">
        <v>1085251971</v>
      </c>
      <c r="C1212" s="0" t="n">
        <v>746</v>
      </c>
    </row>
    <row r="1213" customFormat="false" ht="14.25" hidden="false" customHeight="false" outlineLevel="0" collapsed="false">
      <c r="A1213" s="0" t="n">
        <v>1</v>
      </c>
      <c r="B1213" s="0" t="n">
        <v>14638857</v>
      </c>
      <c r="C1213" s="0" t="n">
        <v>773</v>
      </c>
    </row>
    <row r="1214" customFormat="false" ht="14.25" hidden="false" customHeight="false" outlineLevel="0" collapsed="false">
      <c r="A1214" s="0" t="n">
        <v>1</v>
      </c>
      <c r="B1214" s="0" t="n">
        <v>1002993980</v>
      </c>
      <c r="C1214" s="0" t="n">
        <v>796</v>
      </c>
    </row>
    <row r="1215" customFormat="false" ht="14.25" hidden="false" customHeight="false" outlineLevel="0" collapsed="false">
      <c r="A1215" s="0" t="n">
        <v>1</v>
      </c>
      <c r="B1215" s="0" t="n">
        <v>1143849676</v>
      </c>
      <c r="C1215" s="0" t="n">
        <v>609</v>
      </c>
    </row>
    <row r="1216" customFormat="false" ht="14.25" hidden="false" customHeight="false" outlineLevel="0" collapsed="false">
      <c r="A1216" s="0" t="n">
        <v>1</v>
      </c>
      <c r="B1216" s="0" t="n">
        <v>1143925006</v>
      </c>
      <c r="C1216" s="0" t="n">
        <v>687</v>
      </c>
    </row>
    <row r="1217" customFormat="false" ht="14.25" hidden="false" customHeight="false" outlineLevel="0" collapsed="false">
      <c r="A1217" s="0" t="n">
        <v>1</v>
      </c>
      <c r="B1217" s="0" t="n">
        <v>1144179372</v>
      </c>
      <c r="C1217" s="0" t="n">
        <v>726</v>
      </c>
    </row>
    <row r="1218" customFormat="false" ht="14.25" hidden="false" customHeight="false" outlineLevel="0" collapsed="false">
      <c r="A1218" s="0" t="n">
        <v>1</v>
      </c>
      <c r="B1218" s="0" t="n">
        <v>1143840442</v>
      </c>
      <c r="C1218" s="0" t="n">
        <v>686</v>
      </c>
    </row>
    <row r="1219" customFormat="false" ht="14.25" hidden="false" customHeight="false" outlineLevel="0" collapsed="false">
      <c r="A1219" s="0" t="n">
        <v>1</v>
      </c>
      <c r="B1219" s="0" t="n">
        <v>67041835</v>
      </c>
      <c r="C1219" s="0" t="n">
        <v>747</v>
      </c>
    </row>
    <row r="1220" customFormat="false" ht="14.25" hidden="false" customHeight="false" outlineLevel="0" collapsed="false">
      <c r="A1220" s="0" t="n">
        <v>1</v>
      </c>
      <c r="B1220" s="0" t="n">
        <v>73432460</v>
      </c>
      <c r="C1220" s="0" t="n">
        <v>582</v>
      </c>
    </row>
    <row r="1221" customFormat="false" ht="14.25" hidden="false" customHeight="false" outlineLevel="0" collapsed="false">
      <c r="A1221" s="0" t="n">
        <v>1</v>
      </c>
      <c r="B1221" s="0" t="n">
        <v>1144026363</v>
      </c>
      <c r="C1221" s="0" t="n">
        <v>923</v>
      </c>
    </row>
    <row r="1222" customFormat="false" ht="14.25" hidden="false" customHeight="false" outlineLevel="0" collapsed="false">
      <c r="A1222" s="0" t="n">
        <v>1</v>
      </c>
      <c r="B1222" s="0" t="n">
        <v>1112469685</v>
      </c>
      <c r="C1222" s="0" t="n">
        <v>884</v>
      </c>
    </row>
    <row r="1223" customFormat="false" ht="14.25" hidden="false" customHeight="false" outlineLevel="0" collapsed="false">
      <c r="A1223" s="0" t="n">
        <v>1</v>
      </c>
      <c r="B1223" s="0" t="n">
        <v>31710423</v>
      </c>
      <c r="C1223" s="0" t="n">
        <v>925</v>
      </c>
    </row>
    <row r="1224" customFormat="false" ht="14.25" hidden="false" customHeight="false" outlineLevel="0" collapsed="false">
      <c r="A1224" s="0" t="n">
        <v>1</v>
      </c>
      <c r="B1224" s="0" t="n">
        <v>1144212406</v>
      </c>
      <c r="C1224" s="0" t="n">
        <v>696</v>
      </c>
    </row>
    <row r="1225" customFormat="false" ht="14.25" hidden="false" customHeight="false" outlineLevel="0" collapsed="false">
      <c r="A1225" s="0" t="n">
        <v>1</v>
      </c>
      <c r="B1225" s="0" t="n">
        <v>1144026406</v>
      </c>
      <c r="C1225" s="0" t="n">
        <v>873</v>
      </c>
    </row>
    <row r="1226" customFormat="false" ht="14.25" hidden="false" customHeight="false" outlineLevel="0" collapsed="false">
      <c r="A1226" s="0" t="n">
        <v>1</v>
      </c>
      <c r="B1226" s="0" t="n">
        <v>29820520</v>
      </c>
      <c r="C1226" s="0" t="n">
        <v>829</v>
      </c>
    </row>
    <row r="1227" customFormat="false" ht="14.25" hidden="false" customHeight="false" outlineLevel="0" collapsed="false">
      <c r="A1227" s="0" t="n">
        <v>1</v>
      </c>
      <c r="B1227" s="0" t="n">
        <v>1143941016</v>
      </c>
      <c r="C1227" s="0" t="n">
        <v>786</v>
      </c>
    </row>
    <row r="1228" customFormat="false" ht="14.25" hidden="false" customHeight="false" outlineLevel="0" collapsed="false">
      <c r="A1228" s="0" t="n">
        <v>1</v>
      </c>
      <c r="B1228" s="0" t="n">
        <v>1144024343</v>
      </c>
      <c r="C1228" s="0" t="n">
        <v>555</v>
      </c>
    </row>
    <row r="1229" customFormat="false" ht="14.25" hidden="false" customHeight="false" outlineLevel="0" collapsed="false">
      <c r="A1229" s="0" t="n">
        <v>1</v>
      </c>
      <c r="B1229" s="0" t="n">
        <v>38669398</v>
      </c>
      <c r="C1229" s="0" t="n">
        <v>814</v>
      </c>
    </row>
    <row r="1230" customFormat="false" ht="14.25" hidden="false" customHeight="false" outlineLevel="0" collapsed="false">
      <c r="A1230" s="0" t="n">
        <v>1</v>
      </c>
      <c r="B1230" s="0" t="n">
        <v>1002956858</v>
      </c>
      <c r="C1230" s="0" t="n">
        <v>734</v>
      </c>
    </row>
    <row r="1231" customFormat="false" ht="14.25" hidden="false" customHeight="false" outlineLevel="0" collapsed="false">
      <c r="A1231" s="0" t="n">
        <v>1</v>
      </c>
      <c r="B1231" s="0" t="n">
        <v>1086133211</v>
      </c>
      <c r="C1231" s="0" t="n">
        <v>839</v>
      </c>
    </row>
    <row r="1232" customFormat="false" ht="14.25" hidden="false" customHeight="false" outlineLevel="0" collapsed="false">
      <c r="A1232" s="0" t="n">
        <v>1</v>
      </c>
      <c r="B1232" s="0" t="n">
        <v>35424880</v>
      </c>
      <c r="C1232" s="0" t="n">
        <v>890</v>
      </c>
    </row>
    <row r="1233" customFormat="false" ht="14.25" hidden="false" customHeight="false" outlineLevel="0" collapsed="false">
      <c r="A1233" s="0" t="n">
        <v>1</v>
      </c>
      <c r="B1233" s="0" t="n">
        <v>16799691</v>
      </c>
      <c r="C1233" s="0" t="n">
        <v>867</v>
      </c>
    </row>
    <row r="1234" customFormat="false" ht="14.25" hidden="false" customHeight="false" outlineLevel="0" collapsed="false">
      <c r="A1234" s="0" t="n">
        <v>1</v>
      </c>
      <c r="B1234" s="0" t="n">
        <v>34616482</v>
      </c>
      <c r="C1234" s="0" t="n">
        <v>619</v>
      </c>
    </row>
    <row r="1235" customFormat="false" ht="14.25" hidden="false" customHeight="false" outlineLevel="0" collapsed="false">
      <c r="A1235" s="0" t="n">
        <v>1</v>
      </c>
      <c r="B1235" s="0" t="n">
        <v>1128416021</v>
      </c>
      <c r="C1235" s="0" t="n">
        <v>814</v>
      </c>
    </row>
    <row r="1236" customFormat="false" ht="14.25" hidden="false" customHeight="false" outlineLevel="0" collapsed="false">
      <c r="A1236" s="0" t="n">
        <v>1</v>
      </c>
      <c r="B1236" s="0" t="n">
        <v>1114874046</v>
      </c>
      <c r="C1236" s="0" t="n">
        <v>548</v>
      </c>
    </row>
    <row r="1237" customFormat="false" ht="14.25" hidden="false" customHeight="false" outlineLevel="0" collapsed="false">
      <c r="A1237" s="0" t="n">
        <v>1</v>
      </c>
      <c r="B1237" s="0" t="n">
        <v>1107064750</v>
      </c>
      <c r="C1237" s="0" t="n">
        <v>619</v>
      </c>
    </row>
    <row r="1238" customFormat="false" ht="14.25" hidden="false" customHeight="false" outlineLevel="0" collapsed="false">
      <c r="A1238" s="0" t="n">
        <v>1</v>
      </c>
      <c r="B1238" s="0" t="n">
        <v>29360220</v>
      </c>
      <c r="C1238" s="0" t="n">
        <v>999</v>
      </c>
    </row>
    <row r="1239" customFormat="false" ht="14.25" hidden="false" customHeight="false" outlineLevel="0" collapsed="false">
      <c r="A1239" s="0" t="n">
        <v>1</v>
      </c>
      <c r="B1239" s="0" t="n">
        <v>16537560</v>
      </c>
      <c r="C1239" s="0" t="n">
        <v>557</v>
      </c>
    </row>
    <row r="1240" customFormat="false" ht="14.25" hidden="false" customHeight="false" outlineLevel="0" collapsed="false">
      <c r="A1240" s="0" t="n">
        <v>1</v>
      </c>
      <c r="B1240" s="0" t="n">
        <v>1144129380</v>
      </c>
      <c r="C1240" s="0" t="n">
        <v>711</v>
      </c>
    </row>
    <row r="1241" customFormat="false" ht="14.25" hidden="false" customHeight="false" outlineLevel="0" collapsed="false">
      <c r="A1241" s="0" t="n">
        <v>1</v>
      </c>
      <c r="B1241" s="0" t="n">
        <v>1113308071</v>
      </c>
      <c r="C1241" s="0" t="n">
        <v>726</v>
      </c>
    </row>
    <row r="1242" customFormat="false" ht="14.25" hidden="false" customHeight="false" outlineLevel="0" collapsed="false">
      <c r="A1242" s="0" t="n">
        <v>1</v>
      </c>
      <c r="B1242" s="0" t="n">
        <v>1114388985</v>
      </c>
      <c r="C1242" s="0" t="n">
        <v>494</v>
      </c>
    </row>
    <row r="1243" customFormat="false" ht="14.25" hidden="false" customHeight="false" outlineLevel="0" collapsed="false">
      <c r="A1243" s="0" t="n">
        <v>1</v>
      </c>
      <c r="B1243" s="0" t="n">
        <v>1130611040</v>
      </c>
      <c r="C1243" s="0" t="n">
        <v>704</v>
      </c>
    </row>
    <row r="1244" customFormat="false" ht="14.25" hidden="false" customHeight="false" outlineLevel="0" collapsed="false">
      <c r="A1244" s="0" t="n">
        <v>1</v>
      </c>
      <c r="B1244" s="0" t="n">
        <v>1144062341</v>
      </c>
      <c r="C1244" s="0" t="n">
        <v>578</v>
      </c>
    </row>
    <row r="1245" customFormat="false" ht="14.25" hidden="false" customHeight="false" outlineLevel="0" collapsed="false">
      <c r="A1245" s="0" t="n">
        <v>1</v>
      </c>
      <c r="B1245" s="0" t="n">
        <v>1144095055</v>
      </c>
      <c r="C1245" s="0" t="n">
        <v>835</v>
      </c>
    </row>
    <row r="1246" customFormat="false" ht="14.25" hidden="false" customHeight="false" outlineLevel="0" collapsed="false">
      <c r="A1246" s="0" t="n">
        <v>1</v>
      </c>
      <c r="B1246" s="0" t="n">
        <v>29117851</v>
      </c>
      <c r="C1246" s="0" t="n">
        <v>700</v>
      </c>
    </row>
    <row r="1247" customFormat="false" ht="14.25" hidden="false" customHeight="false" outlineLevel="0" collapsed="false">
      <c r="A1247" s="0" t="n">
        <v>1</v>
      </c>
      <c r="B1247" s="0" t="n">
        <v>67043234</v>
      </c>
      <c r="C1247" s="0" t="n">
        <v>849</v>
      </c>
    </row>
    <row r="1248" customFormat="false" ht="14.25" hidden="false" customHeight="false" outlineLevel="0" collapsed="false">
      <c r="A1248" s="0" t="n">
        <v>1</v>
      </c>
      <c r="B1248" s="0" t="n">
        <v>66997808</v>
      </c>
      <c r="C1248" s="0" t="n">
        <v>936</v>
      </c>
    </row>
    <row r="1249" customFormat="false" ht="14.25" hidden="false" customHeight="false" outlineLevel="0" collapsed="false">
      <c r="A1249" s="0" t="n">
        <v>1</v>
      </c>
      <c r="B1249" s="0" t="n">
        <v>1061738970</v>
      </c>
      <c r="C1249" s="0" t="n">
        <v>695</v>
      </c>
    </row>
    <row r="1250" customFormat="false" ht="14.25" hidden="false" customHeight="false" outlineLevel="0" collapsed="false">
      <c r="A1250" s="0" t="n">
        <v>1</v>
      </c>
      <c r="B1250" s="0" t="n">
        <v>1114456188</v>
      </c>
      <c r="C1250" s="0" t="n">
        <v>700</v>
      </c>
    </row>
    <row r="1251" customFormat="false" ht="14.25" hidden="false" customHeight="false" outlineLevel="0" collapsed="false">
      <c r="A1251" s="0" t="n">
        <v>1</v>
      </c>
      <c r="B1251" s="0" t="n">
        <v>31941404</v>
      </c>
      <c r="C1251" s="0" t="n">
        <v>880</v>
      </c>
    </row>
    <row r="1252" customFormat="false" ht="14.25" hidden="false" customHeight="false" outlineLevel="0" collapsed="false">
      <c r="A1252" s="0" t="n">
        <v>1</v>
      </c>
      <c r="B1252" s="0" t="n">
        <v>1110489892</v>
      </c>
      <c r="C1252" s="0" t="n">
        <v>795</v>
      </c>
    </row>
    <row r="1253" customFormat="false" ht="14.25" hidden="false" customHeight="false" outlineLevel="0" collapsed="false">
      <c r="A1253" s="0" t="n">
        <v>1</v>
      </c>
      <c r="B1253" s="0" t="n">
        <v>14607266</v>
      </c>
      <c r="C1253" s="0" t="n">
        <v>652</v>
      </c>
    </row>
    <row r="1254" customFormat="false" ht="14.25" hidden="false" customHeight="false" outlineLevel="0" collapsed="false">
      <c r="A1254" s="0" t="n">
        <v>1</v>
      </c>
      <c r="B1254" s="0" t="n">
        <v>1143941664</v>
      </c>
      <c r="C1254" s="0" t="n">
        <v>710</v>
      </c>
    </row>
    <row r="1255" customFormat="false" ht="14.25" hidden="false" customHeight="false" outlineLevel="0" collapsed="false">
      <c r="A1255" s="0" t="n">
        <v>1</v>
      </c>
      <c r="B1255" s="0" t="n">
        <v>1128428566</v>
      </c>
      <c r="C1255" s="0" t="n">
        <v>792</v>
      </c>
    </row>
    <row r="1256" customFormat="false" ht="14.25" hidden="false" customHeight="false" outlineLevel="0" collapsed="false">
      <c r="A1256" s="0" t="n">
        <v>1</v>
      </c>
      <c r="B1256" s="0" t="n">
        <v>1192806606</v>
      </c>
      <c r="C1256" s="0" t="n">
        <v>561</v>
      </c>
    </row>
    <row r="1257" customFormat="false" ht="14.25" hidden="false" customHeight="false" outlineLevel="0" collapsed="false">
      <c r="A1257" s="0" t="n">
        <v>1</v>
      </c>
      <c r="B1257" s="0" t="n">
        <v>1143935417</v>
      </c>
      <c r="C1257" s="0" t="n">
        <v>858</v>
      </c>
    </row>
    <row r="1258" customFormat="false" ht="14.25" hidden="false" customHeight="false" outlineLevel="0" collapsed="false">
      <c r="A1258" s="0" t="n">
        <v>1</v>
      </c>
      <c r="B1258" s="0" t="n">
        <v>38889968</v>
      </c>
      <c r="C1258" s="0" t="n">
        <v>555</v>
      </c>
    </row>
    <row r="1259" customFormat="false" ht="14.25" hidden="false" customHeight="false" outlineLevel="0" collapsed="false">
      <c r="A1259" s="0" t="n">
        <v>1</v>
      </c>
      <c r="B1259" s="0" t="n">
        <v>31925606</v>
      </c>
      <c r="C1259" s="0" t="n">
        <v>883</v>
      </c>
    </row>
    <row r="1260" customFormat="false" ht="14.25" hidden="false" customHeight="false" outlineLevel="0" collapsed="false">
      <c r="A1260" s="0" t="n">
        <v>1</v>
      </c>
      <c r="B1260" s="0" t="n">
        <v>1010057277</v>
      </c>
      <c r="C1260" s="0" t="n">
        <v>710</v>
      </c>
    </row>
    <row r="1261" customFormat="false" ht="14.25" hidden="false" customHeight="false" outlineLevel="0" collapsed="false">
      <c r="A1261" s="0" t="n">
        <v>1</v>
      </c>
      <c r="B1261" s="0" t="n">
        <v>1143836746</v>
      </c>
      <c r="C1261" s="0" t="n">
        <v>726</v>
      </c>
    </row>
    <row r="1262" customFormat="false" ht="14.25" hidden="false" customHeight="false" outlineLevel="0" collapsed="false">
      <c r="A1262" s="0" t="n">
        <v>1</v>
      </c>
      <c r="B1262" s="0" t="n">
        <v>1144063930</v>
      </c>
      <c r="C1262" s="0" t="n">
        <v>754</v>
      </c>
    </row>
    <row r="1263" customFormat="false" ht="14.25" hidden="false" customHeight="false" outlineLevel="0" collapsed="false">
      <c r="A1263" s="0" t="n">
        <v>1</v>
      </c>
      <c r="B1263" s="0" t="n">
        <v>1130587208</v>
      </c>
      <c r="C1263" s="0" t="n">
        <v>846</v>
      </c>
    </row>
    <row r="1264" customFormat="false" ht="14.25" hidden="false" customHeight="false" outlineLevel="0" collapsed="false">
      <c r="A1264" s="0" t="n">
        <v>1</v>
      </c>
      <c r="B1264" s="0" t="n">
        <v>1130623897</v>
      </c>
      <c r="C1264" s="0" t="n">
        <v>704</v>
      </c>
    </row>
    <row r="1265" customFormat="false" ht="14.25" hidden="false" customHeight="false" outlineLevel="0" collapsed="false">
      <c r="A1265" s="0" t="n">
        <v>1</v>
      </c>
      <c r="B1265" s="0" t="n">
        <v>1107060490</v>
      </c>
      <c r="C1265" s="0" t="n">
        <v>934</v>
      </c>
    </row>
    <row r="1266" customFormat="false" ht="14.25" hidden="false" customHeight="false" outlineLevel="0" collapsed="false">
      <c r="A1266" s="0" t="n">
        <v>1</v>
      </c>
      <c r="B1266" s="0" t="n">
        <v>31523565</v>
      </c>
      <c r="C1266" s="0" t="n">
        <v>921</v>
      </c>
    </row>
    <row r="1267" customFormat="false" ht="14.25" hidden="false" customHeight="false" outlineLevel="0" collapsed="false">
      <c r="A1267" s="0" t="n">
        <v>1</v>
      </c>
      <c r="B1267" s="0" t="n">
        <v>1062312939</v>
      </c>
      <c r="C1267" s="0" t="n">
        <v>568</v>
      </c>
    </row>
    <row r="1268" customFormat="false" ht="14.25" hidden="false" customHeight="false" outlineLevel="0" collapsed="false">
      <c r="A1268" s="0" t="n">
        <v>1</v>
      </c>
      <c r="B1268" s="0" t="n">
        <v>1144148406</v>
      </c>
      <c r="C1268" s="0" t="n">
        <v>869</v>
      </c>
    </row>
    <row r="1269" customFormat="false" ht="14.25" hidden="false" customHeight="false" outlineLevel="0" collapsed="false">
      <c r="A1269" s="0" t="n">
        <v>1</v>
      </c>
      <c r="B1269" s="0" t="n">
        <v>26366473</v>
      </c>
      <c r="C1269" s="0" t="n">
        <v>770</v>
      </c>
    </row>
    <row r="1270" customFormat="false" ht="14.25" hidden="false" customHeight="false" outlineLevel="0" collapsed="false">
      <c r="A1270" s="0" t="n">
        <v>1</v>
      </c>
      <c r="B1270" s="0" t="n">
        <v>16942315</v>
      </c>
      <c r="C1270" s="0" t="n">
        <v>986</v>
      </c>
    </row>
    <row r="1271" customFormat="false" ht="14.25" hidden="false" customHeight="false" outlineLevel="0" collapsed="false">
      <c r="A1271" s="0" t="n">
        <v>1</v>
      </c>
      <c r="B1271" s="0" t="n">
        <v>1118301073</v>
      </c>
      <c r="C1271" s="0" t="n">
        <v>810</v>
      </c>
    </row>
    <row r="1272" customFormat="false" ht="14.25" hidden="false" customHeight="false" outlineLevel="0" collapsed="false">
      <c r="A1272" s="0" t="n">
        <v>1</v>
      </c>
      <c r="B1272" s="0" t="n">
        <v>29121696</v>
      </c>
      <c r="C1272" s="0" t="n">
        <v>951</v>
      </c>
    </row>
    <row r="1273" customFormat="false" ht="14.25" hidden="false" customHeight="false" outlineLevel="0" collapsed="false">
      <c r="A1273" s="0" t="n">
        <v>1</v>
      </c>
      <c r="B1273" s="0" t="n">
        <v>1144212725</v>
      </c>
      <c r="C1273" s="0" t="n">
        <v>721</v>
      </c>
    </row>
    <row r="1274" customFormat="false" ht="14.25" hidden="false" customHeight="false" outlineLevel="0" collapsed="false">
      <c r="A1274" s="0" t="n">
        <v>1</v>
      </c>
      <c r="B1274" s="0" t="n">
        <v>29680920</v>
      </c>
      <c r="C1274" s="0" t="n">
        <v>555</v>
      </c>
    </row>
    <row r="1275" customFormat="false" ht="14.25" hidden="false" customHeight="false" outlineLevel="0" collapsed="false">
      <c r="A1275" s="0" t="n">
        <v>1</v>
      </c>
      <c r="B1275" s="0" t="n">
        <v>1139694040</v>
      </c>
      <c r="C1275" s="0" t="n">
        <v>737</v>
      </c>
    </row>
    <row r="1276" customFormat="false" ht="14.25" hidden="false" customHeight="false" outlineLevel="0" collapsed="false">
      <c r="A1276" s="0" t="n">
        <v>1</v>
      </c>
      <c r="B1276" s="0" t="n">
        <v>94193459</v>
      </c>
      <c r="C1276" s="0" t="n">
        <v>954</v>
      </c>
    </row>
    <row r="1277" customFormat="false" ht="14.25" hidden="false" customHeight="false" outlineLevel="0" collapsed="false">
      <c r="A1277" s="0" t="n">
        <v>1</v>
      </c>
      <c r="B1277" s="0" t="n">
        <v>1086921055</v>
      </c>
      <c r="C1277" s="0" t="n">
        <v>845</v>
      </c>
    </row>
    <row r="1278" customFormat="false" ht="14.25" hidden="false" customHeight="false" outlineLevel="0" collapsed="false">
      <c r="A1278" s="0" t="n">
        <v>1</v>
      </c>
      <c r="B1278" s="0" t="n">
        <v>1107531297</v>
      </c>
      <c r="C1278" s="0" t="n">
        <v>730</v>
      </c>
    </row>
    <row r="1279" customFormat="false" ht="14.25" hidden="false" customHeight="false" outlineLevel="0" collapsed="false">
      <c r="A1279" s="0" t="n">
        <v>1</v>
      </c>
      <c r="B1279" s="0" t="n">
        <v>1144155696</v>
      </c>
      <c r="C1279" s="0" t="n">
        <v>726</v>
      </c>
    </row>
    <row r="1280" customFormat="false" ht="14.25" hidden="false" customHeight="false" outlineLevel="0" collapsed="false">
      <c r="A1280" s="0" t="n">
        <v>1</v>
      </c>
      <c r="B1280" s="0" t="n">
        <v>1130649843</v>
      </c>
      <c r="C1280" s="0" t="n">
        <v>782</v>
      </c>
    </row>
    <row r="1281" customFormat="false" ht="14.25" hidden="false" customHeight="false" outlineLevel="0" collapsed="false">
      <c r="A1281" s="0" t="n">
        <v>1</v>
      </c>
      <c r="B1281" s="0" t="n">
        <v>94506781</v>
      </c>
      <c r="C1281" s="0" t="n">
        <v>619</v>
      </c>
    </row>
    <row r="1282" customFormat="false" ht="14.25" hidden="false" customHeight="false" outlineLevel="0" collapsed="false">
      <c r="A1282" s="0" t="n">
        <v>1</v>
      </c>
      <c r="B1282" s="0" t="n">
        <v>66834463</v>
      </c>
      <c r="C1282" s="0" t="n">
        <v>944</v>
      </c>
    </row>
    <row r="1283" customFormat="false" ht="14.25" hidden="false" customHeight="false" outlineLevel="0" collapsed="false">
      <c r="A1283" s="0" t="n">
        <v>1</v>
      </c>
      <c r="B1283" s="0" t="n">
        <v>31713687</v>
      </c>
      <c r="C1283" s="0" t="n">
        <v>687</v>
      </c>
    </row>
    <row r="1284" customFormat="false" ht="14.25" hidden="false" customHeight="false" outlineLevel="0" collapsed="false">
      <c r="A1284" s="0" t="n">
        <v>1</v>
      </c>
      <c r="B1284" s="0" t="n">
        <v>1107066677</v>
      </c>
      <c r="C1284" s="0" t="n">
        <v>687</v>
      </c>
    </row>
    <row r="1285" customFormat="false" ht="14.25" hidden="false" customHeight="false" outlineLevel="0" collapsed="false">
      <c r="A1285" s="0" t="n">
        <v>1</v>
      </c>
      <c r="B1285" s="0" t="n">
        <v>1107075404</v>
      </c>
      <c r="C1285" s="0" t="n">
        <v>725</v>
      </c>
    </row>
    <row r="1286" customFormat="false" ht="14.25" hidden="false" customHeight="false" outlineLevel="0" collapsed="false">
      <c r="A1286" s="0" t="n">
        <v>1</v>
      </c>
      <c r="B1286" s="0" t="n">
        <v>1130643308</v>
      </c>
      <c r="C1286" s="0" t="n">
        <v>611</v>
      </c>
    </row>
    <row r="1287" customFormat="false" ht="14.25" hidden="false" customHeight="false" outlineLevel="0" collapsed="false">
      <c r="A1287" s="0" t="n">
        <v>1</v>
      </c>
      <c r="B1287" s="0" t="n">
        <v>29363464</v>
      </c>
      <c r="C1287" s="0" t="n">
        <v>677</v>
      </c>
    </row>
    <row r="1288" customFormat="false" ht="14.25" hidden="false" customHeight="false" outlineLevel="0" collapsed="false">
      <c r="A1288" s="0" t="n">
        <v>1</v>
      </c>
      <c r="B1288" s="0" t="n">
        <v>31576144</v>
      </c>
      <c r="C1288" s="0" t="n">
        <v>789</v>
      </c>
    </row>
    <row r="1289" customFormat="false" ht="14.25" hidden="false" customHeight="false" outlineLevel="0" collapsed="false">
      <c r="A1289" s="0" t="n">
        <v>1</v>
      </c>
      <c r="B1289" s="0" t="n">
        <v>1144186978</v>
      </c>
      <c r="C1289" s="0" t="n">
        <v>686</v>
      </c>
    </row>
    <row r="1290" customFormat="false" ht="14.25" hidden="false" customHeight="false" outlineLevel="0" collapsed="false">
      <c r="A1290" s="0" t="n">
        <v>1</v>
      </c>
      <c r="B1290" s="0" t="n">
        <v>1144212279</v>
      </c>
      <c r="C1290" s="0" t="n">
        <v>597</v>
      </c>
    </row>
    <row r="1291" customFormat="false" ht="14.25" hidden="false" customHeight="false" outlineLevel="0" collapsed="false">
      <c r="A1291" s="0" t="n">
        <v>1</v>
      </c>
      <c r="B1291" s="0" t="n">
        <v>1006184267</v>
      </c>
      <c r="C1291" s="0" t="n">
        <v>683</v>
      </c>
    </row>
    <row r="1292" customFormat="false" ht="14.25" hidden="false" customHeight="false" outlineLevel="0" collapsed="false">
      <c r="A1292" s="0" t="n">
        <v>1</v>
      </c>
      <c r="B1292" s="0" t="n">
        <v>1234197935</v>
      </c>
      <c r="C1292" s="0" t="n">
        <v>690</v>
      </c>
    </row>
    <row r="1293" customFormat="false" ht="14.25" hidden="false" customHeight="false" outlineLevel="0" collapsed="false">
      <c r="A1293" s="0" t="n">
        <v>1</v>
      </c>
      <c r="B1293" s="0" t="n">
        <v>1143827019</v>
      </c>
      <c r="C1293" s="0" t="n">
        <v>735</v>
      </c>
    </row>
    <row r="1294" customFormat="false" ht="14.25" hidden="false" customHeight="false" outlineLevel="0" collapsed="false">
      <c r="A1294" s="0" t="n">
        <v>1</v>
      </c>
      <c r="B1294" s="0" t="n">
        <v>66816184</v>
      </c>
      <c r="C1294" s="0" t="n">
        <v>936</v>
      </c>
    </row>
    <row r="1295" customFormat="false" ht="14.25" hidden="false" customHeight="false" outlineLevel="0" collapsed="false">
      <c r="A1295" s="0" t="n">
        <v>1</v>
      </c>
      <c r="B1295" s="0" t="n">
        <v>1090396671</v>
      </c>
      <c r="C1295" s="0" t="n">
        <v>686</v>
      </c>
    </row>
    <row r="1296" customFormat="false" ht="14.25" hidden="false" customHeight="false" outlineLevel="0" collapsed="false">
      <c r="A1296" s="0" t="n">
        <v>1</v>
      </c>
      <c r="B1296" s="0" t="n">
        <v>77167995</v>
      </c>
      <c r="C1296" s="0" t="n">
        <v>999</v>
      </c>
    </row>
    <row r="1297" customFormat="false" ht="14.25" hidden="false" customHeight="false" outlineLevel="0" collapsed="false">
      <c r="A1297" s="0" t="n">
        <v>1</v>
      </c>
      <c r="B1297" s="0" t="n">
        <v>1005707315</v>
      </c>
      <c r="C1297" s="0" t="n">
        <v>662</v>
      </c>
    </row>
    <row r="1298" customFormat="false" ht="14.25" hidden="false" customHeight="false" outlineLevel="0" collapsed="false">
      <c r="A1298" s="0" t="n">
        <v>1</v>
      </c>
      <c r="B1298" s="0" t="n">
        <v>1085265939</v>
      </c>
      <c r="C1298" s="0" t="n">
        <v>802</v>
      </c>
    </row>
    <row r="1299" customFormat="false" ht="14.25" hidden="false" customHeight="false" outlineLevel="0" collapsed="false">
      <c r="A1299" s="0" t="n">
        <v>1</v>
      </c>
      <c r="B1299" s="0" t="n">
        <v>1130632963</v>
      </c>
      <c r="C1299" s="0" t="n">
        <v>817</v>
      </c>
    </row>
    <row r="1300" customFormat="false" ht="14.25" hidden="false" customHeight="false" outlineLevel="0" collapsed="false">
      <c r="A1300" s="0" t="n">
        <v>1</v>
      </c>
      <c r="B1300" s="0" t="n">
        <v>1144050163</v>
      </c>
      <c r="C1300" s="0" t="n">
        <v>838</v>
      </c>
    </row>
    <row r="1301" customFormat="false" ht="14.25" hidden="false" customHeight="false" outlineLevel="0" collapsed="false">
      <c r="A1301" s="0" t="n">
        <v>1</v>
      </c>
      <c r="B1301" s="0" t="n">
        <v>38600460</v>
      </c>
      <c r="C1301" s="0" t="n">
        <v>983</v>
      </c>
    </row>
    <row r="1302" customFormat="false" ht="14.25" hidden="false" customHeight="false" outlineLevel="0" collapsed="false">
      <c r="A1302" s="0" t="n">
        <v>1</v>
      </c>
      <c r="B1302" s="0" t="n">
        <v>1107063637</v>
      </c>
      <c r="C1302" s="0" t="n">
        <v>677</v>
      </c>
    </row>
    <row r="1303" customFormat="false" ht="14.25" hidden="false" customHeight="false" outlineLevel="0" collapsed="false">
      <c r="A1303" s="0" t="n">
        <v>1</v>
      </c>
      <c r="B1303" s="0" t="n">
        <v>1130601788</v>
      </c>
      <c r="C1303" s="0" t="n">
        <v>865</v>
      </c>
    </row>
    <row r="1304" customFormat="false" ht="14.25" hidden="false" customHeight="false" outlineLevel="0" collapsed="false">
      <c r="A1304" s="0" t="n">
        <v>1</v>
      </c>
      <c r="B1304" s="0" t="n">
        <v>1082844316</v>
      </c>
      <c r="C1304" s="0" t="n">
        <v>619</v>
      </c>
    </row>
    <row r="1305" customFormat="false" ht="14.25" hidden="false" customHeight="false" outlineLevel="0" collapsed="false">
      <c r="A1305" s="0" t="n">
        <v>1</v>
      </c>
      <c r="B1305" s="0" t="n">
        <v>44205238</v>
      </c>
      <c r="C1305" s="0" t="n">
        <v>913</v>
      </c>
    </row>
    <row r="1306" customFormat="false" ht="14.25" hidden="false" customHeight="false" outlineLevel="0" collapsed="false">
      <c r="A1306" s="0" t="n">
        <v>1</v>
      </c>
      <c r="B1306" s="0" t="n">
        <v>1143840792</v>
      </c>
      <c r="C1306" s="0" t="n">
        <v>619</v>
      </c>
    </row>
    <row r="1307" customFormat="false" ht="14.25" hidden="false" customHeight="false" outlineLevel="0" collapsed="false">
      <c r="A1307" s="0" t="n">
        <v>1</v>
      </c>
      <c r="B1307" s="0" t="n">
        <v>94282910</v>
      </c>
      <c r="C1307" s="0" t="n">
        <v>910</v>
      </c>
    </row>
    <row r="1308" customFormat="false" ht="14.25" hidden="false" customHeight="false" outlineLevel="0" collapsed="false">
      <c r="A1308" s="0" t="n">
        <v>1</v>
      </c>
      <c r="B1308" s="0" t="n">
        <v>1143981400</v>
      </c>
      <c r="C1308" s="0" t="n">
        <v>772</v>
      </c>
    </row>
    <row r="1309" customFormat="false" ht="14.25" hidden="false" customHeight="false" outlineLevel="0" collapsed="false">
      <c r="A1309" s="0" t="n">
        <v>1</v>
      </c>
      <c r="B1309" s="0" t="n">
        <v>1113520752</v>
      </c>
      <c r="C1309" s="0" t="n">
        <v>642</v>
      </c>
    </row>
    <row r="1310" customFormat="false" ht="14.25" hidden="false" customHeight="false" outlineLevel="0" collapsed="false">
      <c r="A1310" s="0" t="n">
        <v>1</v>
      </c>
      <c r="B1310" s="0" t="n">
        <v>70094763</v>
      </c>
      <c r="C1310" s="0" t="n">
        <v>993</v>
      </c>
    </row>
    <row r="1311" customFormat="false" ht="14.25" hidden="false" customHeight="false" outlineLevel="0" collapsed="false">
      <c r="A1311" s="0" t="n">
        <v>1</v>
      </c>
      <c r="B1311" s="0" t="n">
        <v>29118369</v>
      </c>
      <c r="C1311" s="0" t="n">
        <v>733</v>
      </c>
    </row>
    <row r="1312" customFormat="false" ht="14.25" hidden="false" customHeight="false" outlineLevel="0" collapsed="false">
      <c r="A1312" s="0" t="n">
        <v>1</v>
      </c>
      <c r="B1312" s="0" t="n">
        <v>1130628633</v>
      </c>
      <c r="C1312" s="0" t="n">
        <v>875</v>
      </c>
    </row>
    <row r="1313" customFormat="false" ht="14.25" hidden="false" customHeight="false" outlineLevel="0" collapsed="false">
      <c r="A1313" s="0" t="n">
        <v>1</v>
      </c>
      <c r="B1313" s="0" t="n">
        <v>1053797527</v>
      </c>
      <c r="C1313" s="0" t="n">
        <v>839</v>
      </c>
    </row>
    <row r="1314" customFormat="false" ht="14.25" hidden="false" customHeight="false" outlineLevel="0" collapsed="false">
      <c r="A1314" s="0" t="n">
        <v>1</v>
      </c>
      <c r="B1314" s="0" t="n">
        <v>31714200</v>
      </c>
      <c r="C1314" s="0" t="n">
        <v>686</v>
      </c>
    </row>
    <row r="1315" customFormat="false" ht="14.25" hidden="false" customHeight="false" outlineLevel="0" collapsed="false">
      <c r="A1315" s="0" t="n">
        <v>1</v>
      </c>
      <c r="B1315" s="0" t="n">
        <v>31579220</v>
      </c>
      <c r="C1315" s="0" t="n">
        <v>798</v>
      </c>
    </row>
    <row r="1316" customFormat="false" ht="14.25" hidden="false" customHeight="false" outlineLevel="0" collapsed="false">
      <c r="A1316" s="0" t="n">
        <v>1</v>
      </c>
      <c r="B1316" s="0" t="n">
        <v>1130608171</v>
      </c>
      <c r="C1316" s="0" t="n">
        <v>704</v>
      </c>
    </row>
    <row r="1317" customFormat="false" ht="14.25" hidden="false" customHeight="false" outlineLevel="0" collapsed="false">
      <c r="A1317" s="0" t="n">
        <v>1</v>
      </c>
      <c r="B1317" s="0" t="n">
        <v>1130637498</v>
      </c>
      <c r="C1317" s="0" t="n">
        <v>739</v>
      </c>
    </row>
    <row r="1318" customFormat="false" ht="14.25" hidden="false" customHeight="false" outlineLevel="0" collapsed="false">
      <c r="A1318" s="0" t="n">
        <v>1</v>
      </c>
      <c r="B1318" s="0" t="n">
        <v>1118302952</v>
      </c>
      <c r="C1318" s="0" t="n">
        <v>695</v>
      </c>
    </row>
    <row r="1319" customFormat="false" ht="14.25" hidden="false" customHeight="false" outlineLevel="0" collapsed="false">
      <c r="A1319" s="0" t="n">
        <v>1</v>
      </c>
      <c r="B1319" s="0" t="n">
        <v>67002023</v>
      </c>
      <c r="C1319" s="0" t="n">
        <v>735</v>
      </c>
    </row>
    <row r="1320" customFormat="false" ht="14.25" hidden="false" customHeight="false" outlineLevel="0" collapsed="false">
      <c r="A1320" s="0" t="n">
        <v>1</v>
      </c>
      <c r="B1320" s="0" t="n">
        <v>67031447</v>
      </c>
      <c r="C1320" s="0" t="n">
        <v>636</v>
      </c>
    </row>
    <row r="1321" customFormat="false" ht="14.25" hidden="false" customHeight="false" outlineLevel="0" collapsed="false">
      <c r="A1321" s="0" t="n">
        <v>1</v>
      </c>
      <c r="B1321" s="0" t="n">
        <v>31658624</v>
      </c>
      <c r="C1321" s="0" t="n">
        <v>747</v>
      </c>
    </row>
    <row r="1322" customFormat="false" ht="14.25" hidden="false" customHeight="false" outlineLevel="0" collapsed="false">
      <c r="A1322" s="0" t="n">
        <v>1</v>
      </c>
      <c r="B1322" s="0" t="n">
        <v>14590768</v>
      </c>
      <c r="C1322" s="0" t="n">
        <v>686</v>
      </c>
    </row>
    <row r="1323" customFormat="false" ht="14.25" hidden="false" customHeight="false" outlineLevel="0" collapsed="false">
      <c r="A1323" s="0" t="n">
        <v>1</v>
      </c>
      <c r="B1323" s="0" t="n">
        <v>1005830283</v>
      </c>
      <c r="C1323" s="0" t="n">
        <v>748</v>
      </c>
    </row>
    <row r="1324" customFormat="false" ht="14.25" hidden="false" customHeight="false" outlineLevel="0" collapsed="false">
      <c r="A1324" s="0" t="n">
        <v>1</v>
      </c>
      <c r="B1324" s="0" t="n">
        <v>66815650</v>
      </c>
      <c r="C1324" s="0" t="n">
        <v>675</v>
      </c>
    </row>
    <row r="1325" customFormat="false" ht="14.25" hidden="false" customHeight="false" outlineLevel="0" collapsed="false">
      <c r="A1325" s="0" t="n">
        <v>1</v>
      </c>
      <c r="B1325" s="0" t="n">
        <v>1062300651</v>
      </c>
      <c r="C1325" s="0" t="n">
        <v>686</v>
      </c>
    </row>
    <row r="1326" customFormat="false" ht="14.25" hidden="false" customHeight="false" outlineLevel="0" collapsed="false">
      <c r="A1326" s="0" t="n">
        <v>1</v>
      </c>
      <c r="B1326" s="0" t="n">
        <v>1143997891</v>
      </c>
      <c r="C1326" s="0" t="n">
        <v>684</v>
      </c>
    </row>
    <row r="1327" customFormat="false" ht="14.25" hidden="false" customHeight="false" outlineLevel="0" collapsed="false">
      <c r="A1327" s="0" t="n">
        <v>1</v>
      </c>
      <c r="B1327" s="0" t="n">
        <v>1062314112</v>
      </c>
      <c r="C1327" s="0" t="n">
        <v>726</v>
      </c>
    </row>
    <row r="1328" customFormat="false" ht="14.25" hidden="false" customHeight="false" outlineLevel="0" collapsed="false">
      <c r="A1328" s="0" t="n">
        <v>1</v>
      </c>
      <c r="B1328" s="0" t="n">
        <v>1130591110</v>
      </c>
      <c r="C1328" s="0" t="n">
        <v>866</v>
      </c>
    </row>
    <row r="1329" customFormat="false" ht="14.25" hidden="false" customHeight="false" outlineLevel="0" collapsed="false">
      <c r="A1329" s="0" t="n">
        <v>1</v>
      </c>
      <c r="B1329" s="0" t="n">
        <v>31571567</v>
      </c>
      <c r="C1329" s="0" t="n">
        <v>573</v>
      </c>
    </row>
    <row r="1330" customFormat="false" ht="14.25" hidden="false" customHeight="false" outlineLevel="0" collapsed="false">
      <c r="A1330" s="0" t="n">
        <v>1</v>
      </c>
      <c r="B1330" s="0" t="n">
        <v>29352680</v>
      </c>
      <c r="C1330" s="0" t="n">
        <v>780</v>
      </c>
    </row>
    <row r="1331" customFormat="false" ht="14.25" hidden="false" customHeight="false" outlineLevel="0" collapsed="false">
      <c r="A1331" s="0" t="n">
        <v>1</v>
      </c>
      <c r="B1331" s="0" t="n">
        <v>1143835632</v>
      </c>
      <c r="C1331" s="0" t="n">
        <v>829</v>
      </c>
    </row>
    <row r="1332" customFormat="false" ht="14.25" hidden="false" customHeight="false" outlineLevel="0" collapsed="false">
      <c r="A1332" s="0" t="n">
        <v>1</v>
      </c>
      <c r="B1332" s="0" t="n">
        <v>94426762</v>
      </c>
      <c r="C1332" s="0" t="n">
        <v>530</v>
      </c>
    </row>
    <row r="1333" customFormat="false" ht="14.25" hidden="false" customHeight="false" outlineLevel="0" collapsed="false">
      <c r="A1333" s="0" t="n">
        <v>1</v>
      </c>
      <c r="B1333" s="0" t="n">
        <v>1061711132</v>
      </c>
      <c r="C1333" s="0" t="n">
        <v>747</v>
      </c>
    </row>
    <row r="1334" customFormat="false" ht="14.25" hidden="false" customHeight="false" outlineLevel="0" collapsed="false">
      <c r="A1334" s="0" t="n">
        <v>1</v>
      </c>
      <c r="B1334" s="0" t="n">
        <v>31629605</v>
      </c>
      <c r="C1334" s="0" t="n">
        <v>747</v>
      </c>
    </row>
    <row r="1335" customFormat="false" ht="14.25" hidden="false" customHeight="false" outlineLevel="0" collapsed="false">
      <c r="A1335" s="0" t="n">
        <v>1</v>
      </c>
      <c r="B1335" s="0" t="n">
        <v>1143966842</v>
      </c>
      <c r="C1335" s="0" t="n">
        <v>747</v>
      </c>
    </row>
    <row r="1336" customFormat="false" ht="14.25" hidden="false" customHeight="false" outlineLevel="0" collapsed="false">
      <c r="A1336" s="0" t="n">
        <v>1</v>
      </c>
      <c r="B1336" s="0" t="n">
        <v>1144183507</v>
      </c>
      <c r="C1336" s="0" t="n">
        <v>684</v>
      </c>
    </row>
    <row r="1337" customFormat="false" ht="14.25" hidden="false" customHeight="false" outlineLevel="0" collapsed="false">
      <c r="A1337" s="0" t="n">
        <v>1</v>
      </c>
      <c r="B1337" s="0" t="n">
        <v>31900177</v>
      </c>
      <c r="C1337" s="0" t="n">
        <v>783</v>
      </c>
    </row>
    <row r="1338" customFormat="false" ht="14.25" hidden="false" customHeight="false" outlineLevel="0" collapsed="false">
      <c r="A1338" s="0" t="n">
        <v>1</v>
      </c>
      <c r="B1338" s="0" t="n">
        <v>1143836520</v>
      </c>
      <c r="C1338" s="0" t="n">
        <v>858</v>
      </c>
    </row>
    <row r="1339" customFormat="false" ht="14.25" hidden="false" customHeight="false" outlineLevel="0" collapsed="false">
      <c r="A1339" s="0" t="n">
        <v>1</v>
      </c>
      <c r="B1339" s="0" t="n">
        <v>67025009</v>
      </c>
      <c r="C1339" s="0" t="n">
        <v>861</v>
      </c>
    </row>
    <row r="1340" customFormat="false" ht="14.25" hidden="false" customHeight="false" outlineLevel="0" collapsed="false">
      <c r="A1340" s="0" t="n">
        <v>1</v>
      </c>
      <c r="B1340" s="0" t="n">
        <v>1065654814</v>
      </c>
      <c r="C1340" s="0" t="n">
        <v>870</v>
      </c>
    </row>
    <row r="1341" customFormat="false" ht="14.25" hidden="false" customHeight="false" outlineLevel="0" collapsed="false">
      <c r="A1341" s="0" t="n">
        <v>1</v>
      </c>
      <c r="B1341" s="0" t="n">
        <v>51825981</v>
      </c>
      <c r="C1341" s="0" t="n">
        <v>999</v>
      </c>
    </row>
    <row r="1342" customFormat="false" ht="14.25" hidden="false" customHeight="false" outlineLevel="0" collapsed="false">
      <c r="A1342" s="0" t="n">
        <v>1</v>
      </c>
      <c r="B1342" s="0" t="n">
        <v>1059985209</v>
      </c>
      <c r="C1342" s="0" t="n">
        <v>618</v>
      </c>
    </row>
    <row r="1343" customFormat="false" ht="14.25" hidden="false" customHeight="false" outlineLevel="0" collapsed="false">
      <c r="A1343" s="0" t="n">
        <v>1</v>
      </c>
      <c r="B1343" s="0" t="n">
        <v>29545130</v>
      </c>
      <c r="C1343" s="0" t="n">
        <v>874</v>
      </c>
    </row>
    <row r="1344" customFormat="false" ht="14.25" hidden="false" customHeight="false" outlineLevel="0" collapsed="false">
      <c r="A1344" s="0" t="n">
        <v>1</v>
      </c>
      <c r="B1344" s="0" t="n">
        <v>51997260</v>
      </c>
      <c r="C1344" s="0" t="n">
        <v>619</v>
      </c>
    </row>
    <row r="1345" customFormat="false" ht="14.25" hidden="false" customHeight="false" outlineLevel="0" collapsed="false">
      <c r="A1345" s="0" t="n">
        <v>1</v>
      </c>
      <c r="B1345" s="0" t="n">
        <v>1107087915</v>
      </c>
      <c r="C1345" s="0" t="n">
        <v>706</v>
      </c>
    </row>
    <row r="1346" customFormat="false" ht="14.25" hidden="false" customHeight="false" outlineLevel="0" collapsed="false">
      <c r="A1346" s="0" t="n">
        <v>1</v>
      </c>
      <c r="B1346" s="0" t="n">
        <v>1144078356</v>
      </c>
      <c r="C1346" s="0" t="n">
        <v>632</v>
      </c>
    </row>
    <row r="1347" customFormat="false" ht="14.25" hidden="false" customHeight="false" outlineLevel="0" collapsed="false">
      <c r="A1347" s="0" t="n">
        <v>1</v>
      </c>
      <c r="B1347" s="0" t="n">
        <v>66661771</v>
      </c>
      <c r="C1347" s="0" t="n">
        <v>844</v>
      </c>
    </row>
    <row r="1348" customFormat="false" ht="14.25" hidden="false" customHeight="false" outlineLevel="0" collapsed="false">
      <c r="A1348" s="0" t="n">
        <v>1</v>
      </c>
      <c r="B1348" s="0" t="n">
        <v>1143948073</v>
      </c>
      <c r="C1348" s="0" t="n">
        <v>686</v>
      </c>
    </row>
    <row r="1349" customFormat="false" ht="14.25" hidden="false" customHeight="false" outlineLevel="0" collapsed="false">
      <c r="A1349" s="0" t="n">
        <v>1</v>
      </c>
      <c r="B1349" s="0" t="n">
        <v>1005935480</v>
      </c>
      <c r="C1349" s="0" t="n">
        <v>448</v>
      </c>
    </row>
    <row r="1350" customFormat="false" ht="14.25" hidden="false" customHeight="false" outlineLevel="0" collapsed="false">
      <c r="A1350" s="0" t="n">
        <v>1</v>
      </c>
      <c r="B1350" s="0" t="n">
        <v>1143987282</v>
      </c>
      <c r="C1350" s="0" t="n">
        <v>515</v>
      </c>
    </row>
    <row r="1351" customFormat="false" ht="14.25" hidden="false" customHeight="false" outlineLevel="0" collapsed="false">
      <c r="A1351" s="0" t="n">
        <v>1</v>
      </c>
      <c r="B1351" s="0" t="n">
        <v>29363921</v>
      </c>
      <c r="C1351" s="0" t="n">
        <v>820</v>
      </c>
    </row>
    <row r="1352" customFormat="false" ht="14.25" hidden="false" customHeight="false" outlineLevel="0" collapsed="false">
      <c r="A1352" s="0" t="n">
        <v>1</v>
      </c>
      <c r="B1352" s="0" t="n">
        <v>1144152822</v>
      </c>
      <c r="C1352" s="0" t="n">
        <v>844</v>
      </c>
    </row>
    <row r="1353" customFormat="false" ht="14.25" hidden="false" customHeight="false" outlineLevel="0" collapsed="false">
      <c r="A1353" s="0" t="n">
        <v>1</v>
      </c>
      <c r="B1353" s="0" t="n">
        <v>31525225</v>
      </c>
      <c r="C1353" s="0" t="n">
        <v>712</v>
      </c>
    </row>
    <row r="1354" customFormat="false" ht="14.25" hidden="false" customHeight="false" outlineLevel="0" collapsed="false">
      <c r="A1354" s="0" t="n">
        <v>1</v>
      </c>
      <c r="B1354" s="0" t="n">
        <v>1143996665</v>
      </c>
      <c r="C1354" s="0" t="n">
        <v>795</v>
      </c>
    </row>
    <row r="1355" customFormat="false" ht="14.25" hidden="false" customHeight="false" outlineLevel="0" collapsed="false">
      <c r="A1355" s="0" t="n">
        <v>1</v>
      </c>
      <c r="B1355" s="0" t="n">
        <v>1107523849</v>
      </c>
      <c r="C1355" s="0" t="n">
        <v>702</v>
      </c>
    </row>
    <row r="1356" customFormat="false" ht="14.25" hidden="false" customHeight="false" outlineLevel="0" collapsed="false">
      <c r="A1356" s="0" t="n">
        <v>1</v>
      </c>
      <c r="B1356" s="0" t="n">
        <v>38613128</v>
      </c>
      <c r="C1356" s="0" t="n">
        <v>961</v>
      </c>
    </row>
    <row r="1357" customFormat="false" ht="14.25" hidden="false" customHeight="false" outlineLevel="0" collapsed="false">
      <c r="A1357" s="0" t="n">
        <v>1</v>
      </c>
      <c r="B1357" s="0" t="n">
        <v>16934229</v>
      </c>
      <c r="C1357" s="0" t="n">
        <v>860</v>
      </c>
    </row>
    <row r="1358" customFormat="false" ht="14.25" hidden="false" customHeight="false" outlineLevel="0" collapsed="false">
      <c r="A1358" s="0" t="n">
        <v>1</v>
      </c>
      <c r="B1358" s="0" t="n">
        <v>1144032392</v>
      </c>
      <c r="C1358" s="0" t="n">
        <v>726</v>
      </c>
    </row>
    <row r="1359" customFormat="false" ht="14.25" hidden="false" customHeight="false" outlineLevel="0" collapsed="false">
      <c r="A1359" s="0" t="n">
        <v>1</v>
      </c>
      <c r="B1359" s="0" t="n">
        <v>16918654</v>
      </c>
      <c r="C1359" s="0" t="n">
        <v>933</v>
      </c>
    </row>
    <row r="1360" customFormat="false" ht="14.25" hidden="false" customHeight="false" outlineLevel="0" collapsed="false">
      <c r="A1360" s="0" t="n">
        <v>1</v>
      </c>
      <c r="B1360" s="0" t="n">
        <v>1107102212</v>
      </c>
      <c r="C1360" s="0" t="n">
        <v>686</v>
      </c>
    </row>
    <row r="1361" customFormat="false" ht="14.25" hidden="false" customHeight="false" outlineLevel="0" collapsed="false">
      <c r="A1361" s="0" t="n">
        <v>1</v>
      </c>
      <c r="B1361" s="0" t="n">
        <v>1112491402</v>
      </c>
      <c r="C1361" s="0" t="n">
        <v>603</v>
      </c>
    </row>
    <row r="1362" customFormat="false" ht="14.25" hidden="false" customHeight="false" outlineLevel="0" collapsed="false">
      <c r="A1362" s="0" t="n">
        <v>1</v>
      </c>
      <c r="B1362" s="0" t="n">
        <v>1130683219</v>
      </c>
      <c r="C1362" s="0" t="n">
        <v>695</v>
      </c>
    </row>
    <row r="1363" customFormat="false" ht="14.25" hidden="false" customHeight="false" outlineLevel="0" collapsed="false">
      <c r="A1363" s="0" t="n">
        <v>1</v>
      </c>
      <c r="B1363" s="0" t="n">
        <v>1143868887</v>
      </c>
      <c r="C1363" s="0" t="n">
        <v>593</v>
      </c>
    </row>
    <row r="1364" customFormat="false" ht="14.25" hidden="false" customHeight="false" outlineLevel="0" collapsed="false">
      <c r="A1364" s="0" t="n">
        <v>1</v>
      </c>
      <c r="B1364" s="0" t="n">
        <v>1115949491</v>
      </c>
      <c r="C1364" s="0" t="n">
        <v>762</v>
      </c>
    </row>
    <row r="1365" customFormat="false" ht="14.25" hidden="false" customHeight="false" outlineLevel="0" collapsed="false">
      <c r="A1365" s="0" t="n">
        <v>1</v>
      </c>
      <c r="B1365" s="0" t="n">
        <v>1007544660</v>
      </c>
      <c r="C1365" s="0" t="n">
        <v>814</v>
      </c>
    </row>
    <row r="1366" customFormat="false" ht="14.25" hidden="false" customHeight="false" outlineLevel="0" collapsed="false">
      <c r="A1366" s="0" t="n">
        <v>1</v>
      </c>
      <c r="B1366" s="0" t="n">
        <v>1151957438</v>
      </c>
      <c r="C1366" s="0" t="n">
        <v>632</v>
      </c>
    </row>
    <row r="1367" customFormat="false" ht="14.25" hidden="false" customHeight="false" outlineLevel="0" collapsed="false">
      <c r="A1367" s="0" t="n">
        <v>1</v>
      </c>
      <c r="B1367" s="0" t="n">
        <v>66848167</v>
      </c>
      <c r="C1367" s="0" t="n">
        <v>636</v>
      </c>
    </row>
    <row r="1368" customFormat="false" ht="14.25" hidden="false" customHeight="false" outlineLevel="0" collapsed="false">
      <c r="A1368" s="0" t="n">
        <v>1</v>
      </c>
      <c r="B1368" s="0" t="n">
        <v>1151953867</v>
      </c>
      <c r="C1368" s="0" t="n">
        <v>773</v>
      </c>
    </row>
    <row r="1369" customFormat="false" ht="14.25" hidden="false" customHeight="false" outlineLevel="0" collapsed="false">
      <c r="A1369" s="0" t="n">
        <v>1</v>
      </c>
      <c r="B1369" s="0" t="n">
        <v>66926738</v>
      </c>
      <c r="C1369" s="0" t="n">
        <v>900</v>
      </c>
    </row>
    <row r="1370" customFormat="false" ht="14.25" hidden="false" customHeight="false" outlineLevel="0" collapsed="false">
      <c r="A1370" s="0" t="n">
        <v>1</v>
      </c>
      <c r="B1370" s="0" t="n">
        <v>1144104785</v>
      </c>
      <c r="C1370" s="0" t="n">
        <v>676</v>
      </c>
    </row>
    <row r="1371" customFormat="false" ht="14.25" hidden="false" customHeight="false" outlineLevel="0" collapsed="false">
      <c r="A1371" s="0" t="n">
        <v>1</v>
      </c>
      <c r="B1371" s="0" t="n">
        <v>1144167122</v>
      </c>
      <c r="C1371" s="0" t="n">
        <v>814</v>
      </c>
    </row>
    <row r="1372" customFormat="false" ht="14.25" hidden="false" customHeight="false" outlineLevel="0" collapsed="false">
      <c r="A1372" s="0" t="n">
        <v>1</v>
      </c>
      <c r="B1372" s="0" t="n">
        <v>1143992567</v>
      </c>
      <c r="C1372" s="0" t="n">
        <v>755</v>
      </c>
    </row>
    <row r="1373" customFormat="false" ht="14.25" hidden="false" customHeight="false" outlineLevel="0" collapsed="false">
      <c r="A1373" s="0" t="n">
        <v>1</v>
      </c>
      <c r="B1373" s="0" t="n">
        <v>1005975868</v>
      </c>
      <c r="C1373" s="0" t="n">
        <v>734</v>
      </c>
    </row>
    <row r="1374" customFormat="false" ht="14.25" hidden="false" customHeight="false" outlineLevel="0" collapsed="false">
      <c r="A1374" s="0" t="n">
        <v>1</v>
      </c>
      <c r="B1374" s="0" t="n">
        <v>29116368</v>
      </c>
      <c r="C1374" s="0" t="n">
        <v>818</v>
      </c>
    </row>
    <row r="1375" customFormat="false" ht="14.25" hidden="false" customHeight="false" outlineLevel="0" collapsed="false">
      <c r="A1375" s="0" t="n">
        <v>1</v>
      </c>
      <c r="B1375" s="0" t="n">
        <v>1144143740</v>
      </c>
      <c r="C1375" s="0" t="n">
        <v>695</v>
      </c>
    </row>
    <row r="1376" customFormat="false" ht="14.25" hidden="false" customHeight="false" outlineLevel="0" collapsed="false">
      <c r="A1376" s="0" t="n">
        <v>1</v>
      </c>
      <c r="B1376" s="0" t="n">
        <v>1063813519</v>
      </c>
      <c r="C1376" s="0" t="n">
        <v>494</v>
      </c>
    </row>
    <row r="1377" customFormat="false" ht="14.25" hidden="false" customHeight="false" outlineLevel="0" collapsed="false">
      <c r="A1377" s="0" t="n">
        <v>1</v>
      </c>
      <c r="B1377" s="0" t="n">
        <v>31446402</v>
      </c>
      <c r="C1377" s="0" t="n">
        <v>666</v>
      </c>
    </row>
    <row r="1378" customFormat="false" ht="14.25" hidden="false" customHeight="false" outlineLevel="0" collapsed="false">
      <c r="A1378" s="0" t="n">
        <v>1</v>
      </c>
      <c r="B1378" s="0" t="n">
        <v>1144165820</v>
      </c>
      <c r="C1378" s="0" t="n">
        <v>841</v>
      </c>
    </row>
    <row r="1379" customFormat="false" ht="14.25" hidden="false" customHeight="false" outlineLevel="0" collapsed="false">
      <c r="A1379" s="0" t="n">
        <v>1</v>
      </c>
      <c r="B1379" s="0" t="n">
        <v>1144171571</v>
      </c>
      <c r="C1379" s="0" t="n">
        <v>747</v>
      </c>
    </row>
    <row r="1380" customFormat="false" ht="14.25" hidden="false" customHeight="false" outlineLevel="0" collapsed="false">
      <c r="A1380" s="0" t="n">
        <v>1</v>
      </c>
      <c r="B1380" s="0" t="n">
        <v>1151947279</v>
      </c>
      <c r="C1380" s="0" t="n">
        <v>621</v>
      </c>
    </row>
    <row r="1381" customFormat="false" ht="14.25" hidden="false" customHeight="false" outlineLevel="0" collapsed="false">
      <c r="A1381" s="0" t="n">
        <v>1</v>
      </c>
      <c r="B1381" s="0" t="n">
        <v>66857765</v>
      </c>
      <c r="C1381" s="0" t="n">
        <v>586</v>
      </c>
    </row>
    <row r="1382" customFormat="false" ht="14.25" hidden="false" customHeight="false" outlineLevel="0" collapsed="false">
      <c r="A1382" s="0" t="n">
        <v>1</v>
      </c>
      <c r="B1382" s="0" t="n">
        <v>29182666</v>
      </c>
      <c r="C1382" s="0" t="n">
        <v>931</v>
      </c>
    </row>
    <row r="1383" customFormat="false" ht="14.25" hidden="false" customHeight="false" outlineLevel="0" collapsed="false">
      <c r="A1383" s="0" t="n">
        <v>1</v>
      </c>
      <c r="B1383" s="0" t="n">
        <v>1143944530</v>
      </c>
      <c r="C1383" s="0" t="n">
        <v>839</v>
      </c>
    </row>
    <row r="1384" customFormat="false" ht="14.25" hidden="false" customHeight="false" outlineLevel="0" collapsed="false">
      <c r="A1384" s="0" t="n">
        <v>1</v>
      </c>
      <c r="B1384" s="0" t="n">
        <v>1193471979</v>
      </c>
      <c r="C1384" s="0" t="n">
        <v>757</v>
      </c>
    </row>
    <row r="1385" customFormat="false" ht="14.25" hidden="false" customHeight="false" outlineLevel="0" collapsed="false">
      <c r="A1385" s="0" t="n">
        <v>1</v>
      </c>
      <c r="B1385" s="0" t="n">
        <v>43055996</v>
      </c>
      <c r="C1385" s="0" t="n">
        <v>999</v>
      </c>
    </row>
    <row r="1386" customFormat="false" ht="14.25" hidden="false" customHeight="false" outlineLevel="0" collapsed="false">
      <c r="A1386" s="0" t="n">
        <v>1</v>
      </c>
      <c r="B1386" s="0" t="n">
        <v>1016024410</v>
      </c>
      <c r="C1386" s="0" t="n">
        <v>686</v>
      </c>
    </row>
    <row r="1387" customFormat="false" ht="14.25" hidden="false" customHeight="false" outlineLevel="0" collapsed="false">
      <c r="A1387" s="0" t="n">
        <v>1</v>
      </c>
      <c r="B1387" s="0" t="n">
        <v>1114825987</v>
      </c>
      <c r="C1387" s="0" t="n">
        <v>694</v>
      </c>
    </row>
    <row r="1388" customFormat="false" ht="14.25" hidden="false" customHeight="false" outlineLevel="0" collapsed="false">
      <c r="A1388" s="0" t="n">
        <v>1</v>
      </c>
      <c r="B1388" s="0" t="n">
        <v>31987244</v>
      </c>
      <c r="C1388" s="0" t="n">
        <v>665</v>
      </c>
    </row>
    <row r="1389" customFormat="false" ht="14.25" hidden="false" customHeight="false" outlineLevel="0" collapsed="false">
      <c r="A1389" s="0" t="n">
        <v>1</v>
      </c>
      <c r="B1389" s="0" t="n">
        <v>16774204</v>
      </c>
      <c r="C1389" s="0" t="n">
        <v>981</v>
      </c>
    </row>
    <row r="1390" customFormat="false" ht="14.25" hidden="false" customHeight="false" outlineLevel="0" collapsed="false">
      <c r="A1390" s="0" t="n">
        <v>1</v>
      </c>
      <c r="B1390" s="0" t="n">
        <v>66949976</v>
      </c>
      <c r="C1390" s="0" t="n">
        <v>865</v>
      </c>
    </row>
    <row r="1391" customFormat="false" ht="14.25" hidden="false" customHeight="false" outlineLevel="0" collapsed="false">
      <c r="A1391" s="0" t="n">
        <v>1</v>
      </c>
      <c r="B1391" s="0" t="n">
        <v>1006049428</v>
      </c>
      <c r="C1391" s="0" t="n">
        <v>798</v>
      </c>
    </row>
    <row r="1392" customFormat="false" ht="14.25" hidden="false" customHeight="false" outlineLevel="0" collapsed="false">
      <c r="A1392" s="0" t="n">
        <v>1</v>
      </c>
      <c r="B1392" s="0" t="n">
        <v>29974531</v>
      </c>
      <c r="C1392" s="0" t="n">
        <v>999</v>
      </c>
    </row>
    <row r="1393" customFormat="false" ht="14.25" hidden="false" customHeight="false" outlineLevel="0" collapsed="false">
      <c r="A1393" s="0" t="n">
        <v>1</v>
      </c>
      <c r="B1393" s="0" t="n">
        <v>34555438</v>
      </c>
      <c r="C1393" s="0" t="n">
        <v>973</v>
      </c>
    </row>
    <row r="1394" customFormat="false" ht="14.25" hidden="false" customHeight="false" outlineLevel="0" collapsed="false">
      <c r="A1394" s="0" t="n">
        <v>1</v>
      </c>
      <c r="B1394" s="0" t="n">
        <v>1144124288</v>
      </c>
      <c r="C1394" s="0" t="n">
        <v>873</v>
      </c>
    </row>
    <row r="1395" customFormat="false" ht="14.25" hidden="false" customHeight="false" outlineLevel="0" collapsed="false">
      <c r="A1395" s="0" t="n">
        <v>1</v>
      </c>
      <c r="B1395" s="0" t="n">
        <v>42089913</v>
      </c>
      <c r="C1395" s="0" t="n">
        <v>747</v>
      </c>
    </row>
    <row r="1396" customFormat="false" ht="14.25" hidden="false" customHeight="false" outlineLevel="0" collapsed="false">
      <c r="A1396" s="0" t="n">
        <v>1</v>
      </c>
      <c r="B1396" s="0" t="n">
        <v>31583226</v>
      </c>
      <c r="C1396" s="0" t="n">
        <v>884</v>
      </c>
    </row>
    <row r="1397" customFormat="false" ht="14.25" hidden="false" customHeight="false" outlineLevel="0" collapsed="false">
      <c r="A1397" s="0" t="n">
        <v>1</v>
      </c>
      <c r="B1397" s="0" t="n">
        <v>1116266613</v>
      </c>
      <c r="C1397" s="0" t="n">
        <v>868</v>
      </c>
    </row>
    <row r="1398" customFormat="false" ht="14.25" hidden="false" customHeight="false" outlineLevel="0" collapsed="false">
      <c r="A1398" s="0" t="n">
        <v>1</v>
      </c>
      <c r="B1398" s="0" t="n">
        <v>29706405</v>
      </c>
      <c r="C1398" s="0" t="n">
        <v>596</v>
      </c>
    </row>
    <row r="1399" customFormat="false" ht="14.25" hidden="false" customHeight="false" outlineLevel="0" collapsed="false">
      <c r="A1399" s="0" t="n">
        <v>1</v>
      </c>
      <c r="B1399" s="0" t="n">
        <v>1062290251</v>
      </c>
      <c r="C1399" s="0" t="n">
        <v>486</v>
      </c>
    </row>
    <row r="1400" customFormat="false" ht="14.25" hidden="false" customHeight="false" outlineLevel="0" collapsed="false">
      <c r="A1400" s="0" t="n">
        <v>1</v>
      </c>
      <c r="B1400" s="0" t="n">
        <v>1151945599</v>
      </c>
      <c r="C1400" s="0" t="n">
        <v>856</v>
      </c>
    </row>
    <row r="1401" customFormat="false" ht="14.25" hidden="false" customHeight="false" outlineLevel="0" collapsed="false">
      <c r="A1401" s="0" t="n">
        <v>1</v>
      </c>
      <c r="B1401" s="0" t="n">
        <v>1144053209</v>
      </c>
      <c r="C1401" s="0" t="n">
        <v>737</v>
      </c>
    </row>
    <row r="1402" customFormat="false" ht="14.25" hidden="false" customHeight="false" outlineLevel="0" collapsed="false">
      <c r="A1402" s="0" t="n">
        <v>1</v>
      </c>
      <c r="B1402" s="0" t="n">
        <v>1085661638</v>
      </c>
      <c r="C1402" s="0" t="n">
        <v>762</v>
      </c>
    </row>
    <row r="1403" customFormat="false" ht="14.25" hidden="false" customHeight="false" outlineLevel="0" collapsed="false">
      <c r="A1403" s="0" t="n">
        <v>1</v>
      </c>
      <c r="B1403" s="0" t="n">
        <v>16915378</v>
      </c>
      <c r="C1403" s="0" t="n">
        <v>879</v>
      </c>
    </row>
    <row r="1404" customFormat="false" ht="14.25" hidden="false" customHeight="false" outlineLevel="0" collapsed="false">
      <c r="A1404" s="0" t="n">
        <v>1</v>
      </c>
      <c r="B1404" s="0" t="n">
        <v>1113626506</v>
      </c>
      <c r="C1404" s="0" t="n">
        <v>686</v>
      </c>
    </row>
    <row r="1405" customFormat="false" ht="14.25" hidden="false" customHeight="false" outlineLevel="0" collapsed="false">
      <c r="A1405" s="0" t="n">
        <v>1</v>
      </c>
      <c r="B1405" s="0" t="n">
        <v>25277703</v>
      </c>
      <c r="C1405" s="0" t="n">
        <v>858</v>
      </c>
    </row>
    <row r="1406" customFormat="false" ht="14.25" hidden="false" customHeight="false" outlineLevel="0" collapsed="false">
      <c r="A1406" s="0" t="n">
        <v>1</v>
      </c>
      <c r="B1406" s="0" t="n">
        <v>1107057805</v>
      </c>
      <c r="C1406" s="0" t="n">
        <v>701</v>
      </c>
    </row>
    <row r="1407" customFormat="false" ht="14.25" hidden="false" customHeight="false" outlineLevel="0" collapsed="false">
      <c r="A1407" s="0" t="n">
        <v>1</v>
      </c>
      <c r="B1407" s="0" t="n">
        <v>29111443</v>
      </c>
      <c r="C1407" s="0" t="n">
        <v>831</v>
      </c>
    </row>
    <row r="1408" customFormat="false" ht="14.25" hidden="false" customHeight="false" outlineLevel="0" collapsed="false">
      <c r="A1408" s="0" t="n">
        <v>1</v>
      </c>
      <c r="B1408" s="0" t="n">
        <v>1143970725</v>
      </c>
      <c r="C1408" s="0" t="n">
        <v>787</v>
      </c>
    </row>
    <row r="1409" customFormat="false" ht="14.25" hidden="false" customHeight="false" outlineLevel="0" collapsed="false">
      <c r="A1409" s="0" t="n">
        <v>1</v>
      </c>
      <c r="B1409" s="0" t="n">
        <v>1143990307</v>
      </c>
      <c r="C1409" s="0" t="n">
        <v>686</v>
      </c>
    </row>
    <row r="1410" customFormat="false" ht="14.25" hidden="false" customHeight="false" outlineLevel="0" collapsed="false">
      <c r="A1410" s="0" t="n">
        <v>1</v>
      </c>
      <c r="B1410" s="0" t="n">
        <v>1143938768</v>
      </c>
      <c r="C1410" s="0" t="n">
        <v>838</v>
      </c>
    </row>
    <row r="1411" customFormat="false" ht="14.25" hidden="false" customHeight="false" outlineLevel="0" collapsed="false">
      <c r="A1411" s="0" t="n">
        <v>1</v>
      </c>
      <c r="B1411" s="0" t="n">
        <v>1130624354</v>
      </c>
      <c r="C1411" s="0" t="n">
        <v>755</v>
      </c>
    </row>
    <row r="1412" customFormat="false" ht="14.25" hidden="false" customHeight="false" outlineLevel="0" collapsed="false">
      <c r="A1412" s="0" t="n">
        <v>1</v>
      </c>
      <c r="B1412" s="0" t="n">
        <v>1006169153</v>
      </c>
      <c r="C1412" s="0" t="n">
        <v>798</v>
      </c>
    </row>
    <row r="1413" customFormat="false" ht="14.25" hidden="false" customHeight="false" outlineLevel="0" collapsed="false">
      <c r="A1413" s="0" t="n">
        <v>1</v>
      </c>
      <c r="B1413" s="0" t="n">
        <v>1087994232</v>
      </c>
      <c r="C1413" s="0" t="n">
        <v>596</v>
      </c>
    </row>
    <row r="1414" customFormat="false" ht="14.25" hidden="false" customHeight="false" outlineLevel="0" collapsed="false">
      <c r="A1414" s="0" t="n">
        <v>1</v>
      </c>
      <c r="B1414" s="0" t="n">
        <v>29182423</v>
      </c>
      <c r="C1414" s="0" t="n">
        <v>943</v>
      </c>
    </row>
    <row r="1415" customFormat="false" ht="14.25" hidden="false" customHeight="false" outlineLevel="0" collapsed="false">
      <c r="A1415" s="0" t="n">
        <v>1</v>
      </c>
      <c r="B1415" s="0" t="n">
        <v>38210639</v>
      </c>
      <c r="C1415" s="0" t="n">
        <v>642</v>
      </c>
    </row>
    <row r="1416" customFormat="false" ht="14.25" hidden="false" customHeight="false" outlineLevel="0" collapsed="false">
      <c r="A1416" s="0" t="n">
        <v>1</v>
      </c>
      <c r="B1416" s="0" t="n">
        <v>1005934372</v>
      </c>
      <c r="C1416" s="0" t="n">
        <v>734</v>
      </c>
    </row>
    <row r="1417" customFormat="false" ht="14.25" hidden="false" customHeight="false" outlineLevel="0" collapsed="false">
      <c r="A1417" s="0" t="n">
        <v>1</v>
      </c>
      <c r="B1417" s="0" t="n">
        <v>1113660222</v>
      </c>
      <c r="C1417" s="0" t="n">
        <v>722</v>
      </c>
    </row>
    <row r="1418" customFormat="false" ht="14.25" hidden="false" customHeight="false" outlineLevel="0" collapsed="false">
      <c r="A1418" s="0" t="n">
        <v>1</v>
      </c>
      <c r="B1418" s="0" t="n">
        <v>38566191</v>
      </c>
      <c r="C1418" s="0" t="n">
        <v>677</v>
      </c>
    </row>
    <row r="1419" customFormat="false" ht="14.25" hidden="false" customHeight="false" outlineLevel="0" collapsed="false">
      <c r="A1419" s="0" t="n">
        <v>1</v>
      </c>
      <c r="B1419" s="0" t="n">
        <v>1143935173</v>
      </c>
      <c r="C1419" s="0" t="n">
        <v>648</v>
      </c>
    </row>
    <row r="1420" customFormat="false" ht="14.25" hidden="false" customHeight="false" outlineLevel="0" collapsed="false">
      <c r="A1420" s="0" t="n">
        <v>1</v>
      </c>
      <c r="B1420" s="0" t="n">
        <v>1144140200</v>
      </c>
      <c r="C1420" s="0" t="n">
        <v>875</v>
      </c>
    </row>
    <row r="1421" customFormat="false" ht="14.25" hidden="false" customHeight="false" outlineLevel="0" collapsed="false">
      <c r="A1421" s="0" t="n">
        <v>1</v>
      </c>
      <c r="B1421" s="0" t="n">
        <v>66654939</v>
      </c>
      <c r="C1421" s="0" t="n">
        <v>948</v>
      </c>
    </row>
    <row r="1422" customFormat="false" ht="14.25" hidden="false" customHeight="false" outlineLevel="0" collapsed="false">
      <c r="A1422" s="0" t="n">
        <v>1</v>
      </c>
      <c r="B1422" s="0" t="n">
        <v>1113651975</v>
      </c>
      <c r="C1422" s="0" t="n">
        <v>655</v>
      </c>
    </row>
    <row r="1423" customFormat="false" ht="14.25" hidden="false" customHeight="false" outlineLevel="0" collapsed="false">
      <c r="A1423" s="0" t="n">
        <v>1</v>
      </c>
      <c r="B1423" s="0" t="n">
        <v>16918531</v>
      </c>
      <c r="C1423" s="0" t="n">
        <v>715</v>
      </c>
    </row>
    <row r="1424" customFormat="false" ht="14.25" hidden="false" customHeight="false" outlineLevel="0" collapsed="false">
      <c r="A1424" s="0" t="n">
        <v>1</v>
      </c>
      <c r="B1424" s="0" t="n">
        <v>1144167610</v>
      </c>
      <c r="C1424" s="0" t="n">
        <v>829</v>
      </c>
    </row>
    <row r="1425" customFormat="false" ht="14.25" hidden="false" customHeight="false" outlineLevel="0" collapsed="false">
      <c r="A1425" s="0" t="n">
        <v>1</v>
      </c>
      <c r="B1425" s="0" t="n">
        <v>31487155</v>
      </c>
      <c r="C1425" s="0" t="n">
        <v>906</v>
      </c>
    </row>
    <row r="1426" customFormat="false" ht="14.25" hidden="false" customHeight="false" outlineLevel="0" collapsed="false">
      <c r="A1426" s="0" t="n">
        <v>1</v>
      </c>
      <c r="B1426" s="0" t="n">
        <v>29582380</v>
      </c>
      <c r="C1426" s="0" t="n">
        <v>772</v>
      </c>
    </row>
    <row r="1427" customFormat="false" ht="14.25" hidden="false" customHeight="false" outlineLevel="0" collapsed="false">
      <c r="A1427" s="0" t="n">
        <v>1</v>
      </c>
      <c r="B1427" s="0" t="n">
        <v>1002927469</v>
      </c>
      <c r="C1427" s="0" t="n">
        <v>883</v>
      </c>
    </row>
    <row r="1428" customFormat="false" ht="14.25" hidden="false" customHeight="false" outlineLevel="0" collapsed="false">
      <c r="A1428" s="0" t="n">
        <v>1</v>
      </c>
      <c r="B1428" s="0" t="n">
        <v>29510656</v>
      </c>
      <c r="C1428" s="0" t="n">
        <v>611</v>
      </c>
    </row>
    <row r="1429" customFormat="false" ht="14.25" hidden="false" customHeight="false" outlineLevel="0" collapsed="false">
      <c r="A1429" s="0" t="n">
        <v>1</v>
      </c>
      <c r="B1429" s="0" t="n">
        <v>1144148505</v>
      </c>
      <c r="C1429" s="0" t="n">
        <v>685</v>
      </c>
    </row>
    <row r="1430" customFormat="false" ht="14.25" hidden="false" customHeight="false" outlineLevel="0" collapsed="false">
      <c r="A1430" s="0" t="n">
        <v>1</v>
      </c>
      <c r="B1430" s="0" t="n">
        <v>52316905</v>
      </c>
      <c r="C1430" s="0" t="n">
        <v>948</v>
      </c>
    </row>
    <row r="1431" customFormat="false" ht="14.25" hidden="false" customHeight="false" outlineLevel="0" collapsed="false">
      <c r="A1431" s="0" t="n">
        <v>1</v>
      </c>
      <c r="B1431" s="0" t="n">
        <v>66656118</v>
      </c>
      <c r="C1431" s="0" t="n">
        <v>939</v>
      </c>
    </row>
    <row r="1432" customFormat="false" ht="14.25" hidden="false" customHeight="false" outlineLevel="0" collapsed="false">
      <c r="A1432" s="0" t="n">
        <v>1</v>
      </c>
      <c r="B1432" s="0" t="n">
        <v>31177120</v>
      </c>
      <c r="C1432" s="0" t="n">
        <v>807</v>
      </c>
    </row>
    <row r="1433" customFormat="false" ht="14.25" hidden="false" customHeight="false" outlineLevel="0" collapsed="false">
      <c r="A1433" s="0" t="n">
        <v>1</v>
      </c>
      <c r="B1433" s="0" t="n">
        <v>1123998038</v>
      </c>
      <c r="C1433" s="0" t="n">
        <v>940</v>
      </c>
    </row>
    <row r="1434" customFormat="false" ht="14.25" hidden="false" customHeight="false" outlineLevel="0" collapsed="false">
      <c r="A1434" s="0" t="n">
        <v>1</v>
      </c>
      <c r="B1434" s="0" t="n">
        <v>31308698</v>
      </c>
      <c r="C1434" s="0" t="n">
        <v>657</v>
      </c>
    </row>
    <row r="1435" customFormat="false" ht="14.25" hidden="false" customHeight="false" outlineLevel="0" collapsed="false">
      <c r="A1435" s="0" t="n">
        <v>1</v>
      </c>
      <c r="B1435" s="0" t="n">
        <v>1081592572</v>
      </c>
      <c r="C1435" s="0" t="n">
        <v>747</v>
      </c>
    </row>
    <row r="1436" customFormat="false" ht="14.25" hidden="false" customHeight="false" outlineLevel="0" collapsed="false">
      <c r="A1436" s="0" t="n">
        <v>1</v>
      </c>
      <c r="B1436" s="0" t="n">
        <v>31528300</v>
      </c>
      <c r="C1436" s="0" t="n">
        <v>874</v>
      </c>
    </row>
    <row r="1437" customFormat="false" ht="14.25" hidden="false" customHeight="false" outlineLevel="0" collapsed="false">
      <c r="A1437" s="0" t="n">
        <v>1</v>
      </c>
      <c r="B1437" s="0" t="n">
        <v>1143973263</v>
      </c>
      <c r="C1437" s="0" t="n">
        <v>771</v>
      </c>
    </row>
    <row r="1438" customFormat="false" ht="14.25" hidden="false" customHeight="false" outlineLevel="0" collapsed="false">
      <c r="A1438" s="0" t="n">
        <v>1</v>
      </c>
      <c r="B1438" s="0" t="n">
        <v>94268470</v>
      </c>
      <c r="C1438" s="0" t="n">
        <v>962</v>
      </c>
    </row>
    <row r="1439" customFormat="false" ht="14.25" hidden="false" customHeight="false" outlineLevel="0" collapsed="false">
      <c r="A1439" s="0" t="n">
        <v>1</v>
      </c>
      <c r="B1439" s="0" t="n">
        <v>1059842557</v>
      </c>
      <c r="C1439" s="0" t="n">
        <v>657</v>
      </c>
    </row>
    <row r="1440" customFormat="false" ht="14.25" hidden="false" customHeight="false" outlineLevel="0" collapsed="false">
      <c r="A1440" s="0" t="n">
        <v>1</v>
      </c>
      <c r="B1440" s="0" t="n">
        <v>1130616226</v>
      </c>
      <c r="C1440" s="0" t="n">
        <v>701</v>
      </c>
    </row>
    <row r="1441" customFormat="false" ht="14.25" hidden="false" customHeight="false" outlineLevel="0" collapsed="false">
      <c r="A1441" s="0" t="n">
        <v>1</v>
      </c>
      <c r="B1441" s="0" t="n">
        <v>38790788</v>
      </c>
      <c r="C1441" s="0" t="n">
        <v>790</v>
      </c>
    </row>
    <row r="1442" customFormat="false" ht="14.25" hidden="false" customHeight="false" outlineLevel="0" collapsed="false">
      <c r="A1442" s="0" t="n">
        <v>1</v>
      </c>
      <c r="B1442" s="0" t="n">
        <v>1107083747</v>
      </c>
      <c r="C1442" s="0" t="n">
        <v>730</v>
      </c>
    </row>
    <row r="1443" customFormat="false" ht="14.25" hidden="false" customHeight="false" outlineLevel="0" collapsed="false">
      <c r="A1443" s="0" t="n">
        <v>1</v>
      </c>
      <c r="B1443" s="0" t="n">
        <v>38657055</v>
      </c>
      <c r="C1443" s="0" t="n">
        <v>707</v>
      </c>
    </row>
    <row r="1444" customFormat="false" ht="14.25" hidden="false" customHeight="false" outlineLevel="0" collapsed="false">
      <c r="A1444" s="0" t="n">
        <v>1</v>
      </c>
      <c r="B1444" s="0" t="n">
        <v>66772628</v>
      </c>
      <c r="C1444" s="0" t="n">
        <v>808</v>
      </c>
    </row>
    <row r="1445" customFormat="false" ht="14.25" hidden="false" customHeight="false" outlineLevel="0" collapsed="false">
      <c r="A1445" s="0" t="n">
        <v>1</v>
      </c>
      <c r="B1445" s="0" t="n">
        <v>31538587</v>
      </c>
      <c r="C1445" s="0" t="n">
        <v>762</v>
      </c>
    </row>
    <row r="1446" customFormat="false" ht="14.25" hidden="false" customHeight="false" outlineLevel="0" collapsed="false">
      <c r="A1446" s="0" t="n">
        <v>1</v>
      </c>
      <c r="B1446" s="0" t="n">
        <v>94531289</v>
      </c>
      <c r="C1446" s="0" t="n">
        <v>576</v>
      </c>
    </row>
    <row r="1447" customFormat="false" ht="14.25" hidden="false" customHeight="false" outlineLevel="0" collapsed="false">
      <c r="A1447" s="0" t="n">
        <v>1</v>
      </c>
      <c r="B1447" s="0" t="n">
        <v>52057091</v>
      </c>
      <c r="C1447" s="0" t="n">
        <v>912</v>
      </c>
    </row>
    <row r="1448" customFormat="false" ht="14.25" hidden="false" customHeight="false" outlineLevel="0" collapsed="false">
      <c r="A1448" s="0" t="n">
        <v>1</v>
      </c>
      <c r="B1448" s="0" t="n">
        <v>1116266821</v>
      </c>
      <c r="C1448" s="0" t="n">
        <v>899</v>
      </c>
    </row>
    <row r="1449" customFormat="false" ht="14.25" hidden="false" customHeight="false" outlineLevel="0" collapsed="false">
      <c r="A1449" s="0" t="n">
        <v>1</v>
      </c>
      <c r="B1449" s="0" t="n">
        <v>1003336271</v>
      </c>
      <c r="C1449" s="0" t="n">
        <v>675</v>
      </c>
    </row>
    <row r="1450" customFormat="false" ht="14.25" hidden="false" customHeight="false" outlineLevel="0" collapsed="false">
      <c r="A1450" s="0" t="n">
        <v>1</v>
      </c>
      <c r="B1450" s="0" t="n">
        <v>1143933305</v>
      </c>
      <c r="C1450" s="0" t="n">
        <v>619</v>
      </c>
    </row>
    <row r="1451" customFormat="false" ht="14.25" hidden="false" customHeight="false" outlineLevel="0" collapsed="false">
      <c r="A1451" s="0" t="n">
        <v>1</v>
      </c>
      <c r="B1451" s="0" t="n">
        <v>1144170609</v>
      </c>
      <c r="C1451" s="0" t="n">
        <v>999</v>
      </c>
    </row>
    <row r="1452" customFormat="false" ht="14.25" hidden="false" customHeight="false" outlineLevel="0" collapsed="false">
      <c r="A1452" s="0" t="n">
        <v>1</v>
      </c>
      <c r="B1452" s="0" t="n">
        <v>29111206</v>
      </c>
      <c r="C1452" s="0" t="n">
        <v>695</v>
      </c>
    </row>
    <row r="1453" customFormat="false" ht="14.25" hidden="false" customHeight="false" outlineLevel="0" collapsed="false">
      <c r="A1453" s="0" t="n">
        <v>1</v>
      </c>
      <c r="B1453" s="0" t="n">
        <v>1113531485</v>
      </c>
      <c r="C1453" s="0" t="n">
        <v>827</v>
      </c>
    </row>
    <row r="1454" customFormat="false" ht="14.25" hidden="false" customHeight="false" outlineLevel="0" collapsed="false">
      <c r="A1454" s="0" t="n">
        <v>1</v>
      </c>
      <c r="B1454" s="0" t="n">
        <v>35850665</v>
      </c>
      <c r="C1454" s="0" t="n">
        <v>675</v>
      </c>
    </row>
    <row r="1455" customFormat="false" ht="14.25" hidden="false" customHeight="false" outlineLevel="0" collapsed="false">
      <c r="A1455" s="0" t="n">
        <v>1</v>
      </c>
      <c r="B1455" s="0" t="n">
        <v>31982746</v>
      </c>
      <c r="C1455" s="0" t="n">
        <v>942</v>
      </c>
    </row>
    <row r="1456" customFormat="false" ht="14.25" hidden="false" customHeight="false" outlineLevel="0" collapsed="false">
      <c r="A1456" s="0" t="n">
        <v>1</v>
      </c>
      <c r="B1456" s="0" t="n">
        <v>1144155708</v>
      </c>
      <c r="C1456" s="0" t="n">
        <v>677</v>
      </c>
    </row>
    <row r="1457" customFormat="false" ht="14.25" hidden="false" customHeight="false" outlineLevel="0" collapsed="false">
      <c r="A1457" s="0" t="n">
        <v>1</v>
      </c>
      <c r="B1457" s="0" t="n">
        <v>6135820</v>
      </c>
      <c r="C1457" s="0" t="n">
        <v>897</v>
      </c>
    </row>
    <row r="1458" customFormat="false" ht="14.25" hidden="false" customHeight="false" outlineLevel="0" collapsed="false">
      <c r="A1458" s="0" t="n">
        <v>1</v>
      </c>
      <c r="B1458" s="0" t="n">
        <v>38559970</v>
      </c>
      <c r="C1458" s="0" t="n">
        <v>945</v>
      </c>
    </row>
    <row r="1459" customFormat="false" ht="14.25" hidden="false" customHeight="false" outlineLevel="0" collapsed="false">
      <c r="A1459" s="0" t="n">
        <v>1</v>
      </c>
      <c r="B1459" s="0" t="n">
        <v>94154735</v>
      </c>
      <c r="C1459" s="0" t="n">
        <v>657</v>
      </c>
    </row>
    <row r="1460" customFormat="false" ht="14.25" hidden="false" customHeight="false" outlineLevel="0" collapsed="false">
      <c r="A1460" s="0" t="n">
        <v>1</v>
      </c>
      <c r="B1460" s="0" t="n">
        <v>38595744</v>
      </c>
      <c r="C1460" s="0" t="n">
        <v>903</v>
      </c>
    </row>
    <row r="1461" customFormat="false" ht="14.25" hidden="false" customHeight="false" outlineLevel="0" collapsed="false">
      <c r="A1461" s="0" t="n">
        <v>1</v>
      </c>
      <c r="B1461" s="0" t="n">
        <v>67024309</v>
      </c>
      <c r="C1461" s="0" t="n">
        <v>747</v>
      </c>
    </row>
    <row r="1462" customFormat="false" ht="14.25" hidden="false" customHeight="false" outlineLevel="0" collapsed="false">
      <c r="A1462" s="0" t="n">
        <v>1</v>
      </c>
      <c r="B1462" s="0" t="n">
        <v>34322996</v>
      </c>
      <c r="C1462" s="0" t="n">
        <v>775</v>
      </c>
    </row>
    <row r="1463" customFormat="false" ht="14.25" hidden="false" customHeight="false" outlineLevel="0" collapsed="false">
      <c r="A1463" s="0" t="n">
        <v>1</v>
      </c>
      <c r="B1463" s="0" t="n">
        <v>31568464</v>
      </c>
      <c r="C1463" s="0" t="n">
        <v>999</v>
      </c>
    </row>
    <row r="1464" customFormat="false" ht="14.25" hidden="false" customHeight="false" outlineLevel="0" collapsed="false">
      <c r="A1464" s="0" t="n">
        <v>1</v>
      </c>
      <c r="B1464" s="0" t="n">
        <v>1062303624</v>
      </c>
      <c r="C1464" s="0" t="n">
        <v>586</v>
      </c>
    </row>
    <row r="1465" customFormat="false" ht="14.25" hidden="false" customHeight="false" outlineLevel="0" collapsed="false">
      <c r="A1465" s="0" t="n">
        <v>1</v>
      </c>
      <c r="B1465" s="0" t="n">
        <v>1144194647</v>
      </c>
      <c r="C1465" s="0" t="n">
        <v>687</v>
      </c>
    </row>
    <row r="1466" customFormat="false" ht="14.25" hidden="false" customHeight="false" outlineLevel="0" collapsed="false">
      <c r="A1466" s="0" t="n">
        <v>1</v>
      </c>
      <c r="B1466" s="0" t="n">
        <v>1144093488</v>
      </c>
      <c r="C1466" s="0" t="n">
        <v>794</v>
      </c>
    </row>
    <row r="1467" customFormat="false" ht="14.25" hidden="false" customHeight="false" outlineLevel="0" collapsed="false">
      <c r="A1467" s="0" t="n">
        <v>1</v>
      </c>
      <c r="B1467" s="0" t="n">
        <v>14837964</v>
      </c>
      <c r="C1467" s="0" t="n">
        <v>813</v>
      </c>
    </row>
    <row r="1468" customFormat="false" ht="14.25" hidden="false" customHeight="false" outlineLevel="0" collapsed="false">
      <c r="A1468" s="0" t="n">
        <v>1</v>
      </c>
      <c r="B1468" s="0" t="n">
        <v>1151942706</v>
      </c>
      <c r="C1468" s="0" t="n">
        <v>835</v>
      </c>
    </row>
    <row r="1469" customFormat="false" ht="14.25" hidden="false" customHeight="false" outlineLevel="0" collapsed="false">
      <c r="A1469" s="0" t="n">
        <v>1</v>
      </c>
      <c r="B1469" s="0" t="n">
        <v>38872813</v>
      </c>
      <c r="C1469" s="0" t="n">
        <v>978</v>
      </c>
    </row>
    <row r="1470" customFormat="false" ht="14.25" hidden="false" customHeight="false" outlineLevel="0" collapsed="false">
      <c r="A1470" s="0" t="n">
        <v>1</v>
      </c>
      <c r="B1470" s="0" t="n">
        <v>1130629547</v>
      </c>
      <c r="C1470" s="0" t="n">
        <v>720</v>
      </c>
    </row>
    <row r="1471" customFormat="false" ht="14.25" hidden="false" customHeight="false" outlineLevel="0" collapsed="false">
      <c r="A1471" s="0" t="n">
        <v>1</v>
      </c>
      <c r="B1471" s="0" t="n">
        <v>67025436</v>
      </c>
      <c r="C1471" s="0" t="n">
        <v>598</v>
      </c>
    </row>
    <row r="1472" customFormat="false" ht="14.25" hidden="false" customHeight="false" outlineLevel="0" collapsed="false">
      <c r="A1472" s="0" t="n">
        <v>1</v>
      </c>
      <c r="B1472" s="0" t="n">
        <v>1130680403</v>
      </c>
      <c r="C1472" s="0" t="n">
        <v>756</v>
      </c>
    </row>
    <row r="1473" customFormat="false" ht="14.25" hidden="false" customHeight="false" outlineLevel="0" collapsed="false">
      <c r="A1473" s="0" t="n">
        <v>1</v>
      </c>
      <c r="B1473" s="0" t="n">
        <v>38562452</v>
      </c>
      <c r="C1473" s="0" t="n">
        <v>906</v>
      </c>
    </row>
    <row r="1474" customFormat="false" ht="14.25" hidden="false" customHeight="false" outlineLevel="0" collapsed="false">
      <c r="A1474" s="0" t="n">
        <v>1</v>
      </c>
      <c r="B1474" s="0" t="n">
        <v>66988874</v>
      </c>
      <c r="C1474" s="0" t="n">
        <v>536</v>
      </c>
    </row>
    <row r="1475" customFormat="false" ht="14.25" hidden="false" customHeight="false" outlineLevel="0" collapsed="false">
      <c r="A1475" s="0" t="n">
        <v>1</v>
      </c>
      <c r="B1475" s="0" t="n">
        <v>1143839970</v>
      </c>
      <c r="C1475" s="0" t="n">
        <v>708</v>
      </c>
    </row>
    <row r="1476" customFormat="false" ht="14.25" hidden="false" customHeight="false" outlineLevel="0" collapsed="false">
      <c r="A1476" s="0" t="n">
        <v>1</v>
      </c>
      <c r="B1476" s="0" t="n">
        <v>30668215</v>
      </c>
      <c r="C1476" s="0" t="n">
        <v>883</v>
      </c>
    </row>
    <row r="1477" customFormat="false" ht="14.25" hidden="false" customHeight="false" outlineLevel="0" collapsed="false">
      <c r="A1477" s="0" t="n">
        <v>1</v>
      </c>
      <c r="B1477" s="0" t="n">
        <v>31955414</v>
      </c>
      <c r="C1477" s="0" t="n">
        <v>999</v>
      </c>
    </row>
    <row r="1478" customFormat="false" ht="14.25" hidden="false" customHeight="false" outlineLevel="0" collapsed="false">
      <c r="A1478" s="0" t="n">
        <v>1</v>
      </c>
      <c r="B1478" s="0" t="n">
        <v>1143926064</v>
      </c>
      <c r="C1478" s="0" t="n">
        <v>846</v>
      </c>
    </row>
    <row r="1479" customFormat="false" ht="14.25" hidden="false" customHeight="false" outlineLevel="0" collapsed="false">
      <c r="A1479" s="0" t="n">
        <v>1</v>
      </c>
      <c r="B1479" s="0" t="n">
        <v>1005965608</v>
      </c>
      <c r="C1479" s="0" t="n">
        <v>611</v>
      </c>
    </row>
    <row r="1480" customFormat="false" ht="14.25" hidden="false" customHeight="false" outlineLevel="0" collapsed="false">
      <c r="A1480" s="0" t="n">
        <v>1</v>
      </c>
      <c r="B1480" s="0" t="n">
        <v>1116242064</v>
      </c>
      <c r="C1480" s="0" t="n">
        <v>742</v>
      </c>
    </row>
    <row r="1481" customFormat="false" ht="14.25" hidden="false" customHeight="false" outlineLevel="0" collapsed="false">
      <c r="A1481" s="0" t="n">
        <v>1</v>
      </c>
      <c r="B1481" s="0" t="n">
        <v>1144186814</v>
      </c>
      <c r="C1481" s="0" t="n">
        <v>847</v>
      </c>
    </row>
    <row r="1482" customFormat="false" ht="14.25" hidden="false" customHeight="false" outlineLevel="0" collapsed="false">
      <c r="A1482" s="0" t="n">
        <v>1</v>
      </c>
      <c r="B1482" s="0" t="n">
        <v>1114899235</v>
      </c>
      <c r="C1482" s="0" t="n">
        <v>594</v>
      </c>
    </row>
    <row r="1483" customFormat="false" ht="14.25" hidden="false" customHeight="false" outlineLevel="0" collapsed="false">
      <c r="A1483" s="0" t="n">
        <v>1</v>
      </c>
      <c r="B1483" s="0" t="n">
        <v>10723755</v>
      </c>
      <c r="C1483" s="0" t="n">
        <v>838</v>
      </c>
    </row>
    <row r="1484" customFormat="false" ht="14.25" hidden="false" customHeight="false" outlineLevel="0" collapsed="false">
      <c r="A1484" s="0" t="n">
        <v>1</v>
      </c>
      <c r="B1484" s="0" t="n">
        <v>1130600614</v>
      </c>
      <c r="C1484" s="0" t="n">
        <v>686</v>
      </c>
    </row>
    <row r="1485" customFormat="false" ht="14.25" hidden="false" customHeight="false" outlineLevel="0" collapsed="false">
      <c r="A1485" s="0" t="n">
        <v>1</v>
      </c>
      <c r="B1485" s="0" t="n">
        <v>1089905168</v>
      </c>
      <c r="C1485" s="0" t="n">
        <v>744</v>
      </c>
    </row>
    <row r="1486" customFormat="false" ht="14.25" hidden="false" customHeight="false" outlineLevel="0" collapsed="false">
      <c r="A1486" s="0" t="n">
        <v>1</v>
      </c>
      <c r="B1486" s="0" t="n">
        <v>30395903</v>
      </c>
      <c r="C1486" s="0" t="n">
        <v>879</v>
      </c>
    </row>
    <row r="1487" customFormat="false" ht="14.25" hidden="false" customHeight="false" outlineLevel="0" collapsed="false">
      <c r="A1487" s="0" t="n">
        <v>1</v>
      </c>
      <c r="B1487" s="0" t="n">
        <v>1002839789</v>
      </c>
      <c r="C1487" s="0" t="n">
        <v>705</v>
      </c>
    </row>
    <row r="1488" customFormat="false" ht="14.25" hidden="false" customHeight="false" outlineLevel="0" collapsed="false">
      <c r="A1488" s="0" t="n">
        <v>1</v>
      </c>
      <c r="B1488" s="0" t="n">
        <v>1143859617</v>
      </c>
      <c r="C1488" s="0" t="n">
        <v>687</v>
      </c>
    </row>
    <row r="1489" customFormat="false" ht="14.25" hidden="false" customHeight="false" outlineLevel="0" collapsed="false">
      <c r="A1489" s="0" t="n">
        <v>1</v>
      </c>
      <c r="B1489" s="0" t="n">
        <v>1130594358</v>
      </c>
      <c r="C1489" s="0" t="n">
        <v>827</v>
      </c>
    </row>
    <row r="1490" customFormat="false" ht="14.25" hidden="false" customHeight="false" outlineLevel="0" collapsed="false">
      <c r="A1490" s="0" t="n">
        <v>1</v>
      </c>
      <c r="B1490" s="0" t="n">
        <v>67015173</v>
      </c>
      <c r="C1490" s="0" t="n">
        <v>857</v>
      </c>
    </row>
    <row r="1491" customFormat="false" ht="14.25" hidden="false" customHeight="false" outlineLevel="0" collapsed="false">
      <c r="A1491" s="0" t="n">
        <v>1</v>
      </c>
      <c r="B1491" s="0" t="n">
        <v>1114878389</v>
      </c>
      <c r="C1491" s="0" t="n">
        <v>708</v>
      </c>
    </row>
    <row r="1492" customFormat="false" ht="14.25" hidden="false" customHeight="false" outlineLevel="0" collapsed="false">
      <c r="A1492" s="0" t="n">
        <v>1</v>
      </c>
      <c r="B1492" s="0" t="n">
        <v>66974150</v>
      </c>
      <c r="C1492" s="0" t="n">
        <v>952</v>
      </c>
    </row>
    <row r="1493" customFormat="false" ht="14.25" hidden="false" customHeight="false" outlineLevel="0" collapsed="false">
      <c r="A1493" s="0" t="n">
        <v>1</v>
      </c>
      <c r="B1493" s="0" t="n">
        <v>1143851066</v>
      </c>
      <c r="C1493" s="0" t="n">
        <v>686</v>
      </c>
    </row>
    <row r="1494" customFormat="false" ht="14.25" hidden="false" customHeight="false" outlineLevel="0" collapsed="false">
      <c r="A1494" s="0" t="n">
        <v>1</v>
      </c>
      <c r="B1494" s="0" t="n">
        <v>29539887</v>
      </c>
      <c r="C1494" s="0" t="n">
        <v>964</v>
      </c>
    </row>
    <row r="1495" customFormat="false" ht="14.25" hidden="false" customHeight="false" outlineLevel="0" collapsed="false">
      <c r="A1495" s="0" t="n">
        <v>1</v>
      </c>
      <c r="B1495" s="0" t="n">
        <v>38595275</v>
      </c>
      <c r="C1495" s="0" t="n">
        <v>744</v>
      </c>
    </row>
    <row r="1496" customFormat="false" ht="14.25" hidden="false" customHeight="false" outlineLevel="0" collapsed="false">
      <c r="A1496" s="0" t="n">
        <v>1</v>
      </c>
      <c r="B1496" s="0" t="n">
        <v>1144042462</v>
      </c>
      <c r="C1496" s="0" t="n">
        <v>776</v>
      </c>
    </row>
    <row r="1497" customFormat="false" ht="14.25" hidden="false" customHeight="false" outlineLevel="0" collapsed="false">
      <c r="A1497" s="0" t="n">
        <v>1</v>
      </c>
      <c r="B1497" s="0" t="n">
        <v>1151963609</v>
      </c>
      <c r="C1497" s="0" t="n">
        <v>640</v>
      </c>
    </row>
    <row r="1498" customFormat="false" ht="14.25" hidden="false" customHeight="false" outlineLevel="0" collapsed="false">
      <c r="A1498" s="0" t="n">
        <v>1</v>
      </c>
      <c r="B1498" s="0" t="n">
        <v>1118308415</v>
      </c>
      <c r="C1498" s="0" t="n">
        <v>775</v>
      </c>
    </row>
    <row r="1499" customFormat="false" ht="14.25" hidden="false" customHeight="false" outlineLevel="0" collapsed="false">
      <c r="A1499" s="0" t="n">
        <v>1</v>
      </c>
      <c r="B1499" s="0" t="n">
        <v>1062317237</v>
      </c>
      <c r="C1499" s="0" t="n">
        <v>619</v>
      </c>
    </row>
    <row r="1500" customFormat="false" ht="14.25" hidden="false" customHeight="false" outlineLevel="0" collapsed="false">
      <c r="A1500" s="0" t="n">
        <v>1</v>
      </c>
      <c r="B1500" s="0" t="n">
        <v>53098371</v>
      </c>
      <c r="C1500" s="0" t="n">
        <v>880</v>
      </c>
    </row>
    <row r="1501" customFormat="false" ht="14.25" hidden="false" customHeight="false" outlineLevel="0" collapsed="false">
      <c r="A1501" s="0" t="n">
        <v>1</v>
      </c>
      <c r="B1501" s="0" t="n">
        <v>1107102260</v>
      </c>
      <c r="C1501" s="0" t="n">
        <v>765</v>
      </c>
    </row>
    <row r="1502" customFormat="false" ht="14.25" hidden="false" customHeight="false" outlineLevel="0" collapsed="false">
      <c r="A1502" s="0" t="n">
        <v>1</v>
      </c>
      <c r="B1502" s="0" t="n">
        <v>1151943115</v>
      </c>
      <c r="C1502" s="0" t="n">
        <v>999</v>
      </c>
    </row>
    <row r="1503" customFormat="false" ht="14.25" hidden="false" customHeight="false" outlineLevel="0" collapsed="false">
      <c r="A1503" s="0" t="n">
        <v>1</v>
      </c>
      <c r="B1503" s="0" t="n">
        <v>1144044745</v>
      </c>
      <c r="C1503" s="0" t="n">
        <v>705</v>
      </c>
    </row>
    <row r="1504" customFormat="false" ht="14.25" hidden="false" customHeight="false" outlineLevel="0" collapsed="false">
      <c r="A1504" s="0" t="n">
        <v>1</v>
      </c>
      <c r="B1504" s="0" t="n">
        <v>1144046545</v>
      </c>
      <c r="C1504" s="0" t="n">
        <v>621</v>
      </c>
    </row>
    <row r="1505" customFormat="false" ht="14.25" hidden="false" customHeight="false" outlineLevel="0" collapsed="false">
      <c r="A1505" s="0" t="n">
        <v>1</v>
      </c>
      <c r="B1505" s="0" t="n">
        <v>31488174</v>
      </c>
      <c r="C1505" s="0" t="n">
        <v>568</v>
      </c>
    </row>
    <row r="1506" customFormat="false" ht="14.25" hidden="false" customHeight="false" outlineLevel="0" collapsed="false">
      <c r="A1506" s="0" t="n">
        <v>1</v>
      </c>
      <c r="B1506" s="0" t="n">
        <v>1130625054</v>
      </c>
      <c r="C1506" s="0" t="n">
        <v>896</v>
      </c>
    </row>
    <row r="1507" customFormat="false" ht="14.25" hidden="false" customHeight="false" outlineLevel="0" collapsed="false">
      <c r="A1507" s="0" t="n">
        <v>1</v>
      </c>
      <c r="B1507" s="0" t="n">
        <v>1089242531</v>
      </c>
      <c r="C1507" s="0" t="n">
        <v>752</v>
      </c>
    </row>
    <row r="1508" customFormat="false" ht="14.25" hidden="false" customHeight="false" outlineLevel="0" collapsed="false">
      <c r="A1508" s="0" t="n">
        <v>1</v>
      </c>
      <c r="B1508" s="0" t="n">
        <v>34328720</v>
      </c>
      <c r="C1508" s="0" t="n">
        <v>747</v>
      </c>
    </row>
    <row r="1509" customFormat="false" ht="14.25" hidden="false" customHeight="false" outlineLevel="0" collapsed="false">
      <c r="A1509" s="0" t="n">
        <v>1</v>
      </c>
      <c r="B1509" s="0" t="n">
        <v>30039684</v>
      </c>
      <c r="C1509" s="0" t="n">
        <v>821</v>
      </c>
    </row>
    <row r="1510" customFormat="false" ht="14.25" hidden="false" customHeight="false" outlineLevel="0" collapsed="false">
      <c r="A1510" s="0" t="n">
        <v>1</v>
      </c>
      <c r="B1510" s="0" t="n">
        <v>1006165643</v>
      </c>
      <c r="C1510" s="0" t="n">
        <v>747</v>
      </c>
    </row>
    <row r="1511" customFormat="false" ht="14.25" hidden="false" customHeight="false" outlineLevel="0" collapsed="false">
      <c r="A1511" s="0" t="n">
        <v>1</v>
      </c>
      <c r="B1511" s="0" t="n">
        <v>29689010</v>
      </c>
      <c r="C1511" s="0" t="n">
        <v>758</v>
      </c>
    </row>
    <row r="1512" customFormat="false" ht="14.25" hidden="false" customHeight="false" outlineLevel="0" collapsed="false">
      <c r="A1512" s="0" t="n">
        <v>1</v>
      </c>
      <c r="B1512" s="0" t="n">
        <v>94074257</v>
      </c>
      <c r="C1512" s="0" t="n">
        <v>573</v>
      </c>
    </row>
    <row r="1513" customFormat="false" ht="14.25" hidden="false" customHeight="false" outlineLevel="0" collapsed="false">
      <c r="A1513" s="0" t="n">
        <v>1</v>
      </c>
      <c r="B1513" s="0" t="n">
        <v>1144094043</v>
      </c>
      <c r="C1513" s="0" t="n">
        <v>699</v>
      </c>
    </row>
    <row r="1514" customFormat="false" ht="14.25" hidden="false" customHeight="false" outlineLevel="0" collapsed="false">
      <c r="A1514" s="0" t="n">
        <v>1</v>
      </c>
      <c r="B1514" s="0" t="n">
        <v>1130590061</v>
      </c>
      <c r="C1514" s="0" t="n">
        <v>704</v>
      </c>
    </row>
    <row r="1515" customFormat="false" ht="14.25" hidden="false" customHeight="false" outlineLevel="0" collapsed="false">
      <c r="A1515" s="0" t="n">
        <v>1</v>
      </c>
      <c r="B1515" s="0" t="n">
        <v>29177722</v>
      </c>
      <c r="C1515" s="0" t="n">
        <v>695</v>
      </c>
    </row>
    <row r="1516" customFormat="false" ht="14.25" hidden="false" customHeight="false" outlineLevel="0" collapsed="false">
      <c r="A1516" s="0" t="n">
        <v>1</v>
      </c>
      <c r="B1516" s="0" t="n">
        <v>31656034</v>
      </c>
      <c r="C1516" s="0" t="n">
        <v>906</v>
      </c>
    </row>
    <row r="1517" customFormat="false" ht="14.25" hidden="false" customHeight="false" outlineLevel="0" collapsed="false">
      <c r="A1517" s="0" t="n">
        <v>1</v>
      </c>
      <c r="B1517" s="0" t="n">
        <v>31411666</v>
      </c>
      <c r="C1517" s="0" t="n">
        <v>726</v>
      </c>
    </row>
    <row r="1518" customFormat="false" ht="14.25" hidden="false" customHeight="false" outlineLevel="0" collapsed="false">
      <c r="A1518" s="0" t="n">
        <v>1</v>
      </c>
      <c r="B1518" s="0" t="n">
        <v>29124702</v>
      </c>
      <c r="C1518" s="0" t="n">
        <v>910</v>
      </c>
    </row>
    <row r="1519" customFormat="false" ht="14.25" hidden="false" customHeight="false" outlineLevel="0" collapsed="false">
      <c r="A1519" s="0" t="n">
        <v>1</v>
      </c>
      <c r="B1519" s="0" t="n">
        <v>1144194544</v>
      </c>
      <c r="C1519" s="0" t="n">
        <v>723</v>
      </c>
    </row>
    <row r="1520" customFormat="false" ht="14.25" hidden="false" customHeight="false" outlineLevel="0" collapsed="false">
      <c r="A1520" s="0" t="n">
        <v>1</v>
      </c>
      <c r="B1520" s="0" t="n">
        <v>1143865665</v>
      </c>
      <c r="C1520" s="0" t="n">
        <v>820</v>
      </c>
    </row>
    <row r="1521" customFormat="false" ht="14.25" hidden="false" customHeight="false" outlineLevel="0" collapsed="false">
      <c r="A1521" s="0" t="n">
        <v>1</v>
      </c>
      <c r="B1521" s="0" t="n">
        <v>1085244836</v>
      </c>
      <c r="C1521" s="0" t="n">
        <v>889</v>
      </c>
    </row>
    <row r="1522" customFormat="false" ht="14.25" hidden="false" customHeight="false" outlineLevel="0" collapsed="false">
      <c r="A1522" s="0" t="n">
        <v>1</v>
      </c>
      <c r="B1522" s="0" t="n">
        <v>1144165620</v>
      </c>
      <c r="C1522" s="0" t="n">
        <v>853</v>
      </c>
    </row>
    <row r="1523" customFormat="false" ht="14.25" hidden="false" customHeight="false" outlineLevel="0" collapsed="false">
      <c r="A1523" s="0" t="n">
        <v>1</v>
      </c>
      <c r="B1523" s="0" t="n">
        <v>1144072721</v>
      </c>
      <c r="C1523" s="0" t="n">
        <v>900</v>
      </c>
    </row>
    <row r="1524" customFormat="false" ht="14.25" hidden="false" customHeight="false" outlineLevel="0" collapsed="false">
      <c r="A1524" s="0" t="n">
        <v>1</v>
      </c>
      <c r="B1524" s="0" t="n">
        <v>1144141714</v>
      </c>
      <c r="C1524" s="0" t="n">
        <v>873</v>
      </c>
    </row>
    <row r="1525" customFormat="false" ht="14.25" hidden="false" customHeight="false" outlineLevel="0" collapsed="false">
      <c r="A1525" s="0" t="n">
        <v>1</v>
      </c>
      <c r="B1525" s="0" t="n">
        <v>1130590528</v>
      </c>
      <c r="C1525" s="0" t="n">
        <v>685</v>
      </c>
    </row>
    <row r="1526" customFormat="false" ht="14.25" hidden="false" customHeight="false" outlineLevel="0" collapsed="false">
      <c r="A1526" s="0" t="n">
        <v>1</v>
      </c>
      <c r="B1526" s="0" t="n">
        <v>1144155126</v>
      </c>
      <c r="C1526" s="0" t="n">
        <v>772</v>
      </c>
    </row>
    <row r="1527" customFormat="false" ht="14.25" hidden="false" customHeight="false" outlineLevel="0" collapsed="false">
      <c r="A1527" s="0" t="n">
        <v>1</v>
      </c>
      <c r="B1527" s="0" t="n">
        <v>1114826443</v>
      </c>
      <c r="C1527" s="0" t="n">
        <v>768</v>
      </c>
    </row>
    <row r="1528" customFormat="false" ht="14.25" hidden="false" customHeight="false" outlineLevel="0" collapsed="false">
      <c r="A1528" s="0" t="n">
        <v>1</v>
      </c>
      <c r="B1528" s="0" t="n">
        <v>38681087</v>
      </c>
      <c r="C1528" s="0" t="n">
        <v>792</v>
      </c>
    </row>
    <row r="1529" customFormat="false" ht="14.25" hidden="false" customHeight="false" outlineLevel="0" collapsed="false">
      <c r="A1529" s="0" t="n">
        <v>1</v>
      </c>
      <c r="B1529" s="0" t="n">
        <v>1010048219</v>
      </c>
      <c r="C1529" s="0" t="n">
        <v>737</v>
      </c>
    </row>
    <row r="1530" customFormat="false" ht="14.25" hidden="false" customHeight="false" outlineLevel="0" collapsed="false">
      <c r="A1530" s="0" t="n">
        <v>1</v>
      </c>
      <c r="B1530" s="0" t="n">
        <v>67043166</v>
      </c>
      <c r="C1530" s="0" t="n">
        <v>730</v>
      </c>
    </row>
    <row r="1531" customFormat="false" ht="14.25" hidden="false" customHeight="false" outlineLevel="0" collapsed="false">
      <c r="A1531" s="0" t="n">
        <v>1</v>
      </c>
      <c r="B1531" s="0" t="n">
        <v>1109541401</v>
      </c>
      <c r="C1531" s="0" t="n">
        <v>810</v>
      </c>
    </row>
    <row r="1532" customFormat="false" ht="14.25" hidden="false" customHeight="false" outlineLevel="0" collapsed="false">
      <c r="A1532" s="0" t="n">
        <v>1</v>
      </c>
      <c r="B1532" s="0" t="n">
        <v>1144157341</v>
      </c>
      <c r="C1532" s="0" t="n">
        <v>724</v>
      </c>
    </row>
    <row r="1533" customFormat="false" ht="14.25" hidden="false" customHeight="false" outlineLevel="0" collapsed="false">
      <c r="A1533" s="0" t="n">
        <v>1</v>
      </c>
      <c r="B1533" s="0" t="n">
        <v>30398858</v>
      </c>
      <c r="C1533" s="0" t="n">
        <v>871</v>
      </c>
    </row>
    <row r="1534" customFormat="false" ht="14.25" hidden="false" customHeight="false" outlineLevel="0" collapsed="false">
      <c r="A1534" s="0" t="n">
        <v>1</v>
      </c>
      <c r="B1534" s="0" t="n">
        <v>31323722</v>
      </c>
      <c r="C1534" s="0" t="n">
        <v>686</v>
      </c>
    </row>
    <row r="1535" customFormat="false" ht="14.25" hidden="false" customHeight="false" outlineLevel="0" collapsed="false">
      <c r="A1535" s="0" t="n">
        <v>1</v>
      </c>
      <c r="B1535" s="0" t="n">
        <v>1111752015</v>
      </c>
      <c r="C1535" s="0" t="n">
        <v>657</v>
      </c>
    </row>
    <row r="1536" customFormat="false" ht="14.25" hidden="false" customHeight="false" outlineLevel="0" collapsed="false">
      <c r="A1536" s="0" t="n">
        <v>1</v>
      </c>
      <c r="B1536" s="0" t="n">
        <v>34374143</v>
      </c>
      <c r="C1536" s="0" t="n">
        <v>632</v>
      </c>
    </row>
    <row r="1537" customFormat="false" ht="14.25" hidden="false" customHeight="false" outlineLevel="0" collapsed="false">
      <c r="A1537" s="0" t="n">
        <v>1</v>
      </c>
      <c r="B1537" s="0" t="n">
        <v>1010058542</v>
      </c>
      <c r="C1537" s="0" t="n">
        <v>667</v>
      </c>
    </row>
    <row r="1538" customFormat="false" ht="14.25" hidden="false" customHeight="false" outlineLevel="0" collapsed="false">
      <c r="A1538" s="0" t="n">
        <v>1</v>
      </c>
      <c r="B1538" s="0" t="n">
        <v>67030956</v>
      </c>
      <c r="C1538" s="0" t="n">
        <v>747</v>
      </c>
    </row>
    <row r="1539" customFormat="false" ht="14.25" hidden="false" customHeight="false" outlineLevel="0" collapsed="false">
      <c r="A1539" s="0" t="n">
        <v>1</v>
      </c>
      <c r="B1539" s="0" t="n">
        <v>1144046495</v>
      </c>
      <c r="C1539" s="0" t="n">
        <v>632</v>
      </c>
    </row>
    <row r="1540" customFormat="false" ht="14.25" hidden="false" customHeight="false" outlineLevel="0" collapsed="false">
      <c r="A1540" s="0" t="n">
        <v>1</v>
      </c>
      <c r="B1540" s="0" t="n">
        <v>1143854728</v>
      </c>
      <c r="C1540" s="0" t="n">
        <v>742</v>
      </c>
    </row>
    <row r="1541" customFormat="false" ht="14.25" hidden="false" customHeight="false" outlineLevel="0" collapsed="false">
      <c r="A1541" s="0" t="n">
        <v>1</v>
      </c>
      <c r="B1541" s="0" t="n">
        <v>1116449750</v>
      </c>
      <c r="C1541" s="0" t="n">
        <v>761</v>
      </c>
    </row>
    <row r="1542" customFormat="false" ht="14.25" hidden="false" customHeight="false" outlineLevel="0" collapsed="false">
      <c r="A1542" s="0" t="n">
        <v>1</v>
      </c>
      <c r="B1542" s="0" t="n">
        <v>1005784128</v>
      </c>
      <c r="C1542" s="0" t="n">
        <v>659</v>
      </c>
    </row>
    <row r="1543" customFormat="false" ht="14.25" hidden="false" customHeight="false" outlineLevel="0" collapsed="false">
      <c r="A1543" s="0" t="n">
        <v>1</v>
      </c>
      <c r="B1543" s="0" t="n">
        <v>1113654850</v>
      </c>
      <c r="C1543" s="0" t="n">
        <v>747</v>
      </c>
    </row>
    <row r="1544" customFormat="false" ht="14.25" hidden="false" customHeight="false" outlineLevel="0" collapsed="false">
      <c r="A1544" s="0" t="n">
        <v>1</v>
      </c>
      <c r="B1544" s="0" t="n">
        <v>1143934911</v>
      </c>
      <c r="C1544" s="0" t="n">
        <v>752</v>
      </c>
    </row>
    <row r="1545" customFormat="false" ht="14.25" hidden="false" customHeight="false" outlineLevel="0" collapsed="false">
      <c r="A1545" s="0" t="n">
        <v>1</v>
      </c>
      <c r="B1545" s="0" t="n">
        <v>1007854889</v>
      </c>
      <c r="C1545" s="0" t="n">
        <v>644</v>
      </c>
    </row>
    <row r="1546" customFormat="false" ht="14.25" hidden="false" customHeight="false" outlineLevel="0" collapsed="false">
      <c r="A1546" s="0" t="n">
        <v>1</v>
      </c>
      <c r="B1546" s="0" t="n">
        <v>1112478961</v>
      </c>
      <c r="C1546" s="0" t="n">
        <v>568</v>
      </c>
    </row>
    <row r="1547" customFormat="false" ht="14.25" hidden="false" customHeight="false" outlineLevel="0" collapsed="false">
      <c r="A1547" s="0" t="n">
        <v>1</v>
      </c>
      <c r="B1547" s="0" t="n">
        <v>1094902945</v>
      </c>
      <c r="C1547" s="0" t="n">
        <v>657</v>
      </c>
    </row>
    <row r="1548" customFormat="false" ht="14.25" hidden="false" customHeight="false" outlineLevel="0" collapsed="false">
      <c r="A1548" s="0" t="n">
        <v>1</v>
      </c>
      <c r="B1548" s="0" t="n">
        <v>1144128222</v>
      </c>
      <c r="C1548" s="0" t="n">
        <v>747</v>
      </c>
    </row>
    <row r="1549" customFormat="false" ht="14.25" hidden="false" customHeight="false" outlineLevel="0" collapsed="false">
      <c r="A1549" s="0" t="n">
        <v>1</v>
      </c>
      <c r="B1549" s="0" t="n">
        <v>66905882</v>
      </c>
      <c r="C1549" s="0" t="n">
        <v>641</v>
      </c>
    </row>
    <row r="1550" customFormat="false" ht="14.25" hidden="false" customHeight="false" outlineLevel="0" collapsed="false">
      <c r="A1550" s="0" t="n">
        <v>1</v>
      </c>
      <c r="B1550" s="0" t="n">
        <v>1077465702</v>
      </c>
      <c r="C1550" s="0" t="n">
        <v>642</v>
      </c>
    </row>
    <row r="1551" customFormat="false" ht="14.25" hidden="false" customHeight="false" outlineLevel="0" collapsed="false">
      <c r="A1551" s="0" t="n">
        <v>1</v>
      </c>
      <c r="B1551" s="0" t="n">
        <v>29664881</v>
      </c>
      <c r="C1551" s="0" t="n">
        <v>966</v>
      </c>
    </row>
    <row r="1552" customFormat="false" ht="14.25" hidden="false" customHeight="false" outlineLevel="0" collapsed="false">
      <c r="A1552" s="0" t="n">
        <v>1</v>
      </c>
      <c r="B1552" s="0" t="n">
        <v>1144057584</v>
      </c>
      <c r="C1552" s="0" t="n">
        <v>878</v>
      </c>
    </row>
    <row r="1553" customFormat="false" ht="14.25" hidden="false" customHeight="false" outlineLevel="0" collapsed="false">
      <c r="A1553" s="0" t="n">
        <v>1</v>
      </c>
      <c r="B1553" s="0" t="n">
        <v>1112478723</v>
      </c>
      <c r="C1553" s="0" t="n">
        <v>853</v>
      </c>
    </row>
    <row r="1554" customFormat="false" ht="14.25" hidden="false" customHeight="false" outlineLevel="0" collapsed="false">
      <c r="A1554" s="0" t="n">
        <v>1</v>
      </c>
      <c r="B1554" s="0" t="n">
        <v>1010081233</v>
      </c>
      <c r="C1554" s="0" t="n">
        <v>867</v>
      </c>
    </row>
    <row r="1555" customFormat="false" ht="14.25" hidden="false" customHeight="false" outlineLevel="0" collapsed="false">
      <c r="A1555" s="0" t="n">
        <v>1</v>
      </c>
      <c r="B1555" s="0" t="n">
        <v>1144079317</v>
      </c>
      <c r="C1555" s="0" t="n">
        <v>665</v>
      </c>
    </row>
    <row r="1556" customFormat="false" ht="14.25" hidden="false" customHeight="false" outlineLevel="0" collapsed="false">
      <c r="A1556" s="0" t="n">
        <v>1</v>
      </c>
      <c r="B1556" s="0" t="n">
        <v>1089486387</v>
      </c>
      <c r="C1556" s="0" t="n">
        <v>744</v>
      </c>
    </row>
    <row r="1557" customFormat="false" ht="14.25" hidden="false" customHeight="false" outlineLevel="0" collapsed="false">
      <c r="A1557" s="0" t="n">
        <v>1</v>
      </c>
      <c r="B1557" s="0" t="n">
        <v>1130616273</v>
      </c>
      <c r="C1557" s="0" t="n">
        <v>762</v>
      </c>
    </row>
    <row r="1558" customFormat="false" ht="14.25" hidden="false" customHeight="false" outlineLevel="0" collapsed="false">
      <c r="A1558" s="0" t="n">
        <v>1</v>
      </c>
      <c r="B1558" s="0" t="n">
        <v>66828711</v>
      </c>
      <c r="C1558" s="0" t="n">
        <v>950</v>
      </c>
    </row>
    <row r="1559" customFormat="false" ht="14.25" hidden="false" customHeight="false" outlineLevel="0" collapsed="false">
      <c r="A1559" s="0" t="n">
        <v>1</v>
      </c>
      <c r="B1559" s="0" t="n">
        <v>1061694303</v>
      </c>
      <c r="C1559" s="0" t="n">
        <v>739</v>
      </c>
    </row>
    <row r="1560" customFormat="false" ht="14.25" hidden="false" customHeight="false" outlineLevel="0" collapsed="false">
      <c r="A1560" s="0" t="n">
        <v>1</v>
      </c>
      <c r="B1560" s="0" t="n">
        <v>1143871269</v>
      </c>
      <c r="C1560" s="0" t="n">
        <v>874</v>
      </c>
    </row>
    <row r="1561" customFormat="false" ht="14.25" hidden="false" customHeight="false" outlineLevel="0" collapsed="false">
      <c r="A1561" s="0" t="n">
        <v>1</v>
      </c>
      <c r="B1561" s="0" t="n">
        <v>41119590</v>
      </c>
      <c r="C1561" s="0" t="n">
        <v>937</v>
      </c>
    </row>
    <row r="1562" customFormat="false" ht="14.25" hidden="false" customHeight="false" outlineLevel="0" collapsed="false">
      <c r="A1562" s="0" t="n">
        <v>1</v>
      </c>
      <c r="B1562" s="0" t="n">
        <v>66841915</v>
      </c>
      <c r="C1562" s="0" t="n">
        <v>900</v>
      </c>
    </row>
    <row r="1563" customFormat="false" ht="14.25" hidden="false" customHeight="false" outlineLevel="0" collapsed="false">
      <c r="A1563" s="0" t="n">
        <v>1</v>
      </c>
      <c r="B1563" s="0" t="n">
        <v>1144025831</v>
      </c>
      <c r="C1563" s="0" t="n">
        <v>632</v>
      </c>
    </row>
    <row r="1564" customFormat="false" ht="14.25" hidden="false" customHeight="false" outlineLevel="0" collapsed="false">
      <c r="A1564" s="0" t="n">
        <v>1</v>
      </c>
      <c r="B1564" s="0" t="n">
        <v>1144160528</v>
      </c>
      <c r="C1564" s="0" t="n">
        <v>437</v>
      </c>
    </row>
    <row r="1565" customFormat="false" ht="14.25" hidden="false" customHeight="false" outlineLevel="0" collapsed="false">
      <c r="A1565" s="0" t="n">
        <v>1</v>
      </c>
      <c r="B1565" s="0" t="n">
        <v>1112969479</v>
      </c>
      <c r="C1565" s="0" t="n">
        <v>747</v>
      </c>
    </row>
    <row r="1566" customFormat="false" ht="14.25" hidden="false" customHeight="false" outlineLevel="0" collapsed="false">
      <c r="A1566" s="0" t="n">
        <v>1</v>
      </c>
      <c r="B1566" s="0" t="n">
        <v>1143837031</v>
      </c>
      <c r="C1566" s="0" t="n">
        <v>872</v>
      </c>
    </row>
    <row r="1567" customFormat="false" ht="14.25" hidden="false" customHeight="false" outlineLevel="0" collapsed="false">
      <c r="A1567" s="0" t="n">
        <v>1</v>
      </c>
      <c r="B1567" s="0" t="n">
        <v>31305334</v>
      </c>
      <c r="C1567" s="0" t="n">
        <v>724</v>
      </c>
    </row>
    <row r="1568" customFormat="false" ht="14.25" hidden="false" customHeight="false" outlineLevel="0" collapsed="false">
      <c r="A1568" s="0" t="n">
        <v>1</v>
      </c>
      <c r="B1568" s="0" t="n">
        <v>16457828</v>
      </c>
      <c r="C1568" s="0" t="n">
        <v>907</v>
      </c>
    </row>
    <row r="1569" customFormat="false" ht="14.25" hidden="false" customHeight="false" outlineLevel="0" collapsed="false">
      <c r="A1569" s="0" t="n">
        <v>1</v>
      </c>
      <c r="B1569" s="0" t="n">
        <v>38551369</v>
      </c>
      <c r="C1569" s="0" t="n">
        <v>825</v>
      </c>
    </row>
    <row r="1570" customFormat="false" ht="14.25" hidden="false" customHeight="false" outlineLevel="0" collapsed="false">
      <c r="A1570" s="0" t="n">
        <v>1</v>
      </c>
      <c r="B1570" s="0" t="n">
        <v>67040296</v>
      </c>
      <c r="C1570" s="0" t="n">
        <v>866</v>
      </c>
    </row>
    <row r="1571" customFormat="false" ht="14.25" hidden="false" customHeight="false" outlineLevel="0" collapsed="false">
      <c r="A1571" s="0" t="n">
        <v>1</v>
      </c>
      <c r="B1571" s="0" t="n">
        <v>31579757</v>
      </c>
      <c r="C1571" s="0" t="n">
        <v>818</v>
      </c>
    </row>
    <row r="1572" customFormat="false" ht="14.25" hidden="false" customHeight="false" outlineLevel="0" collapsed="false">
      <c r="A1572" s="0" t="n">
        <v>1</v>
      </c>
      <c r="B1572" s="0" t="n">
        <v>1143947254</v>
      </c>
      <c r="C1572" s="0" t="n">
        <v>859</v>
      </c>
    </row>
    <row r="1573" customFormat="false" ht="14.25" hidden="false" customHeight="false" outlineLevel="0" collapsed="false">
      <c r="A1573" s="0" t="n">
        <v>1</v>
      </c>
      <c r="B1573" s="0" t="n">
        <v>66771259</v>
      </c>
      <c r="C1573" s="0" t="n">
        <v>814</v>
      </c>
    </row>
    <row r="1574" customFormat="false" ht="14.25" hidden="false" customHeight="false" outlineLevel="0" collapsed="false">
      <c r="A1574" s="0" t="n">
        <v>1</v>
      </c>
      <c r="B1574" s="0" t="n">
        <v>1144181518</v>
      </c>
      <c r="C1574" s="0" t="n">
        <v>738</v>
      </c>
    </row>
    <row r="1575" customFormat="false" ht="14.25" hidden="false" customHeight="false" outlineLevel="0" collapsed="false">
      <c r="A1575" s="0" t="n">
        <v>1</v>
      </c>
      <c r="B1575" s="0" t="n">
        <v>79486359</v>
      </c>
      <c r="C1575" s="0" t="n">
        <v>946</v>
      </c>
    </row>
    <row r="1576" customFormat="false" ht="14.25" hidden="false" customHeight="false" outlineLevel="0" collapsed="false">
      <c r="A1576" s="0" t="n">
        <v>1</v>
      </c>
      <c r="B1576" s="0" t="n">
        <v>1143970754</v>
      </c>
      <c r="C1576" s="0" t="n">
        <v>762</v>
      </c>
    </row>
    <row r="1577" customFormat="false" ht="14.25" hidden="false" customHeight="false" outlineLevel="0" collapsed="false">
      <c r="A1577" s="0" t="n">
        <v>1</v>
      </c>
      <c r="B1577" s="0" t="n">
        <v>1005877422</v>
      </c>
      <c r="C1577" s="0" t="n">
        <v>621</v>
      </c>
    </row>
    <row r="1578" customFormat="false" ht="14.25" hidden="false" customHeight="false" outlineLevel="0" collapsed="false">
      <c r="A1578" s="0" t="n">
        <v>1</v>
      </c>
      <c r="B1578" s="0" t="n">
        <v>1107066742</v>
      </c>
      <c r="C1578" s="0" t="n">
        <v>750</v>
      </c>
    </row>
    <row r="1579" customFormat="false" ht="14.25" hidden="false" customHeight="false" outlineLevel="0" collapsed="false">
      <c r="A1579" s="0" t="n">
        <v>1</v>
      </c>
      <c r="B1579" s="0" t="n">
        <v>16893872</v>
      </c>
      <c r="C1579" s="0" t="n">
        <v>719</v>
      </c>
    </row>
    <row r="1580" customFormat="false" ht="14.25" hidden="false" customHeight="false" outlineLevel="0" collapsed="false">
      <c r="A1580" s="0" t="n">
        <v>1</v>
      </c>
      <c r="B1580" s="0" t="n">
        <v>29567600</v>
      </c>
      <c r="C1580" s="0" t="n">
        <v>924</v>
      </c>
    </row>
    <row r="1581" customFormat="false" ht="14.25" hidden="false" customHeight="false" outlineLevel="0" collapsed="false">
      <c r="A1581" s="0" t="n">
        <v>1</v>
      </c>
      <c r="B1581" s="0" t="n">
        <v>1136059863</v>
      </c>
      <c r="C1581" s="0" t="n">
        <v>747</v>
      </c>
    </row>
    <row r="1582" customFormat="false" ht="14.25" hidden="false" customHeight="false" outlineLevel="0" collapsed="false">
      <c r="A1582" s="0" t="n">
        <v>1</v>
      </c>
      <c r="B1582" s="0" t="n">
        <v>13069223</v>
      </c>
      <c r="C1582" s="0" t="n">
        <v>813</v>
      </c>
    </row>
    <row r="1583" customFormat="false" ht="14.25" hidden="false" customHeight="false" outlineLevel="0" collapsed="false">
      <c r="A1583" s="0" t="n">
        <v>1</v>
      </c>
      <c r="B1583" s="0" t="n">
        <v>9292583</v>
      </c>
      <c r="C1583" s="0" t="n">
        <v>927</v>
      </c>
    </row>
    <row r="1584" customFormat="false" ht="14.25" hidden="false" customHeight="false" outlineLevel="0" collapsed="false">
      <c r="A1584" s="0" t="n">
        <v>1</v>
      </c>
      <c r="B1584" s="0" t="n">
        <v>29677772</v>
      </c>
      <c r="C1584" s="0" t="n">
        <v>806</v>
      </c>
    </row>
    <row r="1585" customFormat="false" ht="14.25" hidden="false" customHeight="false" outlineLevel="0" collapsed="false">
      <c r="A1585" s="0" t="n">
        <v>1</v>
      </c>
      <c r="B1585" s="0" t="n">
        <v>1107089150</v>
      </c>
      <c r="C1585" s="0" t="n">
        <v>833</v>
      </c>
    </row>
    <row r="1586" customFormat="false" ht="14.25" hidden="false" customHeight="false" outlineLevel="0" collapsed="false">
      <c r="A1586" s="0" t="n">
        <v>1</v>
      </c>
      <c r="B1586" s="0" t="n">
        <v>1113538911</v>
      </c>
      <c r="C1586" s="0" t="n">
        <v>701</v>
      </c>
    </row>
    <row r="1587" customFormat="false" ht="14.25" hidden="false" customHeight="false" outlineLevel="0" collapsed="false">
      <c r="A1587" s="0" t="n">
        <v>1</v>
      </c>
      <c r="B1587" s="0" t="n">
        <v>1130636523</v>
      </c>
      <c r="C1587" s="0" t="n">
        <v>852</v>
      </c>
    </row>
    <row r="1588" customFormat="false" ht="14.25" hidden="false" customHeight="false" outlineLevel="0" collapsed="false">
      <c r="A1588" s="0" t="n">
        <v>1</v>
      </c>
      <c r="B1588" s="0" t="n">
        <v>1114884602</v>
      </c>
      <c r="C1588" s="0" t="n">
        <v>712</v>
      </c>
    </row>
    <row r="1589" customFormat="false" ht="14.25" hidden="false" customHeight="false" outlineLevel="0" collapsed="false">
      <c r="A1589" s="0" t="n">
        <v>1</v>
      </c>
      <c r="B1589" s="0" t="n">
        <v>34319092</v>
      </c>
      <c r="C1589" s="0" t="n">
        <v>686</v>
      </c>
    </row>
    <row r="1590" customFormat="false" ht="14.25" hidden="false" customHeight="false" outlineLevel="0" collapsed="false">
      <c r="A1590" s="0" t="n">
        <v>1</v>
      </c>
      <c r="B1590" s="0" t="n">
        <v>1144193830</v>
      </c>
      <c r="C1590" s="0" t="n">
        <v>747</v>
      </c>
    </row>
    <row r="1591" customFormat="false" ht="14.25" hidden="false" customHeight="false" outlineLevel="0" collapsed="false">
      <c r="A1591" s="0" t="n">
        <v>1</v>
      </c>
      <c r="B1591" s="0" t="n">
        <v>1114821862</v>
      </c>
      <c r="C1591" s="0" t="n">
        <v>729</v>
      </c>
    </row>
    <row r="1592" customFormat="false" ht="14.25" hidden="false" customHeight="false" outlineLevel="0" collapsed="false">
      <c r="A1592" s="0" t="n">
        <v>1</v>
      </c>
      <c r="B1592" s="0" t="n">
        <v>38604655</v>
      </c>
      <c r="C1592" s="0" t="n">
        <v>815</v>
      </c>
    </row>
    <row r="1593" customFormat="false" ht="14.25" hidden="false" customHeight="false" outlineLevel="0" collapsed="false">
      <c r="A1593" s="0" t="n">
        <v>1</v>
      </c>
      <c r="B1593" s="0" t="n">
        <v>67032722</v>
      </c>
      <c r="C1593" s="0" t="n">
        <v>619</v>
      </c>
    </row>
    <row r="1594" customFormat="false" ht="14.25" hidden="false" customHeight="false" outlineLevel="0" collapsed="false">
      <c r="A1594" s="0" t="n">
        <v>1</v>
      </c>
      <c r="B1594" s="0" t="n">
        <v>25283493</v>
      </c>
      <c r="C1594" s="0" t="n">
        <v>932</v>
      </c>
    </row>
    <row r="1595" customFormat="false" ht="14.25" hidden="false" customHeight="false" outlineLevel="0" collapsed="false">
      <c r="A1595" s="0" t="n">
        <v>1</v>
      </c>
      <c r="B1595" s="0" t="n">
        <v>31571246</v>
      </c>
      <c r="C1595" s="0" t="n">
        <v>894</v>
      </c>
    </row>
    <row r="1596" customFormat="false" ht="14.25" hidden="false" customHeight="false" outlineLevel="0" collapsed="false">
      <c r="A1596" s="0" t="n">
        <v>1</v>
      </c>
      <c r="B1596" s="0" t="n">
        <v>1107523319</v>
      </c>
      <c r="C1596" s="0" t="n">
        <v>640</v>
      </c>
    </row>
    <row r="1597" customFormat="false" ht="14.25" hidden="false" customHeight="false" outlineLevel="0" collapsed="false">
      <c r="A1597" s="0" t="n">
        <v>1</v>
      </c>
      <c r="B1597" s="0" t="n">
        <v>1130628345</v>
      </c>
      <c r="C1597" s="0" t="n">
        <v>666</v>
      </c>
    </row>
    <row r="1598" customFormat="false" ht="14.25" hidden="false" customHeight="false" outlineLevel="0" collapsed="false">
      <c r="A1598" s="0" t="n">
        <v>1</v>
      </c>
      <c r="B1598" s="0" t="n">
        <v>1114063207</v>
      </c>
      <c r="C1598" s="0" t="n">
        <v>777</v>
      </c>
    </row>
    <row r="1599" customFormat="false" ht="14.25" hidden="false" customHeight="false" outlineLevel="0" collapsed="false">
      <c r="A1599" s="0" t="n">
        <v>1</v>
      </c>
      <c r="B1599" s="0" t="n">
        <v>1193153919</v>
      </c>
      <c r="C1599" s="0" t="n">
        <v>782</v>
      </c>
    </row>
    <row r="1600" customFormat="false" ht="14.25" hidden="false" customHeight="false" outlineLevel="0" collapsed="false">
      <c r="A1600" s="0" t="n">
        <v>1</v>
      </c>
      <c r="B1600" s="0" t="n">
        <v>1065814814</v>
      </c>
      <c r="C1600" s="0" t="n">
        <v>795</v>
      </c>
    </row>
    <row r="1601" customFormat="false" ht="14.25" hidden="false" customHeight="false" outlineLevel="0" collapsed="false">
      <c r="A1601" s="0" t="n">
        <v>1</v>
      </c>
      <c r="B1601" s="0" t="n">
        <v>94525897</v>
      </c>
      <c r="C1601" s="0" t="n">
        <v>677</v>
      </c>
    </row>
    <row r="1602" customFormat="false" ht="14.25" hidden="false" customHeight="false" outlineLevel="0" collapsed="false">
      <c r="A1602" s="0" t="n">
        <v>1</v>
      </c>
      <c r="B1602" s="0" t="n">
        <v>1059986707</v>
      </c>
      <c r="C1602" s="0" t="n">
        <v>820</v>
      </c>
    </row>
    <row r="1603" customFormat="false" ht="14.25" hidden="false" customHeight="false" outlineLevel="0" collapsed="false">
      <c r="A1603" s="0" t="n">
        <v>1</v>
      </c>
      <c r="B1603" s="0" t="n">
        <v>1144063824</v>
      </c>
      <c r="C1603" s="0" t="n">
        <v>747</v>
      </c>
    </row>
    <row r="1604" customFormat="false" ht="14.25" hidden="false" customHeight="false" outlineLevel="0" collapsed="false">
      <c r="A1604" s="0" t="n">
        <v>1</v>
      </c>
      <c r="B1604" s="0" t="n">
        <v>29179489</v>
      </c>
      <c r="C1604" s="0" t="n">
        <v>640</v>
      </c>
    </row>
    <row r="1605" customFormat="false" ht="14.25" hidden="false" customHeight="false" outlineLevel="0" collapsed="false">
      <c r="A1605" s="0" t="n">
        <v>1</v>
      </c>
      <c r="B1605" s="0" t="n">
        <v>1005828550</v>
      </c>
      <c r="C1605" s="0" t="n">
        <v>799</v>
      </c>
    </row>
    <row r="1606" customFormat="false" ht="14.25" hidden="false" customHeight="false" outlineLevel="0" collapsed="false">
      <c r="A1606" s="0" t="n">
        <v>1</v>
      </c>
      <c r="B1606" s="0" t="n">
        <v>1143844261</v>
      </c>
      <c r="C1606" s="0" t="n">
        <v>718</v>
      </c>
    </row>
    <row r="1607" customFormat="false" ht="14.25" hidden="false" customHeight="false" outlineLevel="0" collapsed="false">
      <c r="A1607" s="0" t="n">
        <v>1</v>
      </c>
      <c r="B1607" s="0" t="n">
        <v>91493134</v>
      </c>
      <c r="C1607" s="0" t="n">
        <v>657</v>
      </c>
    </row>
    <row r="1608" customFormat="false" ht="14.25" hidden="false" customHeight="false" outlineLevel="0" collapsed="false">
      <c r="A1608" s="0" t="n">
        <v>1</v>
      </c>
      <c r="B1608" s="0" t="n">
        <v>52066817</v>
      </c>
      <c r="C1608" s="0" t="n">
        <v>632</v>
      </c>
    </row>
    <row r="1609" customFormat="false" ht="14.25" hidden="false" customHeight="false" outlineLevel="0" collapsed="false">
      <c r="A1609" s="0" t="n">
        <v>1</v>
      </c>
      <c r="B1609" s="0" t="n">
        <v>66986213</v>
      </c>
      <c r="C1609" s="0" t="n">
        <v>720</v>
      </c>
    </row>
    <row r="1610" customFormat="false" ht="14.25" hidden="false" customHeight="false" outlineLevel="0" collapsed="false">
      <c r="A1610" s="0" t="n">
        <v>1</v>
      </c>
      <c r="B1610" s="0" t="n">
        <v>94064181</v>
      </c>
      <c r="C1610" s="0" t="n">
        <v>665</v>
      </c>
    </row>
    <row r="1611" customFormat="false" ht="14.25" hidden="false" customHeight="false" outlineLevel="0" collapsed="false">
      <c r="A1611" s="0" t="n">
        <v>1</v>
      </c>
      <c r="B1611" s="0" t="n">
        <v>1143861430</v>
      </c>
      <c r="C1611" s="0" t="n">
        <v>781</v>
      </c>
    </row>
    <row r="1612" customFormat="false" ht="14.25" hidden="false" customHeight="false" outlineLevel="0" collapsed="false">
      <c r="A1612" s="0" t="n">
        <v>1</v>
      </c>
      <c r="B1612" s="0" t="n">
        <v>1143847654</v>
      </c>
      <c r="C1612" s="0" t="n">
        <v>843</v>
      </c>
    </row>
    <row r="1613" customFormat="false" ht="14.25" hidden="false" customHeight="false" outlineLevel="0" collapsed="false">
      <c r="A1613" s="0" t="n">
        <v>1</v>
      </c>
      <c r="B1613" s="0" t="n">
        <v>1062326783</v>
      </c>
      <c r="C1613" s="0" t="n">
        <v>695</v>
      </c>
    </row>
    <row r="1614" customFormat="false" ht="14.25" hidden="false" customHeight="false" outlineLevel="0" collapsed="false">
      <c r="A1614" s="0" t="n">
        <v>1</v>
      </c>
      <c r="B1614" s="0" t="n">
        <v>16985476</v>
      </c>
      <c r="C1614" s="0" t="n">
        <v>800</v>
      </c>
    </row>
    <row r="1615" customFormat="false" ht="14.25" hidden="false" customHeight="false" outlineLevel="0" collapsed="false">
      <c r="A1615" s="0" t="n">
        <v>1</v>
      </c>
      <c r="B1615" s="0" t="n">
        <v>34611636</v>
      </c>
      <c r="C1615" s="0" t="n">
        <v>859</v>
      </c>
    </row>
    <row r="1616" customFormat="false" ht="14.25" hidden="false" customHeight="false" outlineLevel="0" collapsed="false">
      <c r="A1616" s="0" t="n">
        <v>1</v>
      </c>
      <c r="B1616" s="0" t="n">
        <v>1130612863</v>
      </c>
      <c r="C1616" s="0" t="n">
        <v>747</v>
      </c>
    </row>
    <row r="1617" customFormat="false" ht="14.25" hidden="false" customHeight="false" outlineLevel="0" collapsed="false">
      <c r="A1617" s="0" t="n">
        <v>1</v>
      </c>
      <c r="B1617" s="0" t="n">
        <v>1002924623</v>
      </c>
      <c r="C1617" s="0" t="n">
        <v>759</v>
      </c>
    </row>
    <row r="1618" customFormat="false" ht="14.25" hidden="false" customHeight="false" outlineLevel="0" collapsed="false">
      <c r="A1618" s="0" t="n">
        <v>1</v>
      </c>
      <c r="B1618" s="0" t="n">
        <v>1107045080</v>
      </c>
      <c r="C1618" s="0" t="n">
        <v>686</v>
      </c>
    </row>
    <row r="1619" customFormat="false" ht="14.25" hidden="false" customHeight="false" outlineLevel="0" collapsed="false">
      <c r="A1619" s="0" t="n">
        <v>1</v>
      </c>
      <c r="B1619" s="0" t="n">
        <v>1143925787</v>
      </c>
      <c r="C1619" s="0" t="n">
        <v>824</v>
      </c>
    </row>
    <row r="1620" customFormat="false" ht="14.25" hidden="false" customHeight="false" outlineLevel="0" collapsed="false">
      <c r="A1620" s="0" t="n">
        <v>1</v>
      </c>
      <c r="B1620" s="0" t="n">
        <v>1143944797</v>
      </c>
      <c r="C1620" s="0" t="n">
        <v>677</v>
      </c>
    </row>
    <row r="1621" customFormat="false" ht="14.25" hidden="false" customHeight="false" outlineLevel="0" collapsed="false">
      <c r="A1621" s="0" t="n">
        <v>1</v>
      </c>
      <c r="B1621" s="0" t="n">
        <v>1143967386</v>
      </c>
      <c r="C1621" s="0" t="n">
        <v>640</v>
      </c>
    </row>
    <row r="1622" customFormat="false" ht="14.25" hidden="false" customHeight="false" outlineLevel="0" collapsed="false">
      <c r="A1622" s="0" t="n">
        <v>1</v>
      </c>
      <c r="B1622" s="0" t="n">
        <v>94043124</v>
      </c>
      <c r="C1622" s="0" t="n">
        <v>536</v>
      </c>
    </row>
    <row r="1623" customFormat="false" ht="14.25" hidden="false" customHeight="false" outlineLevel="0" collapsed="false">
      <c r="A1623" s="0" t="n">
        <v>1</v>
      </c>
      <c r="B1623" s="0" t="n">
        <v>1107034723</v>
      </c>
      <c r="C1623" s="0" t="n">
        <v>901</v>
      </c>
    </row>
    <row r="1624" customFormat="false" ht="14.25" hidden="false" customHeight="false" outlineLevel="0" collapsed="false">
      <c r="A1624" s="0" t="n">
        <v>1</v>
      </c>
      <c r="B1624" s="0" t="n">
        <v>94460501</v>
      </c>
      <c r="C1624" s="0" t="n">
        <v>947</v>
      </c>
    </row>
    <row r="1625" customFormat="false" ht="14.25" hidden="false" customHeight="false" outlineLevel="0" collapsed="false">
      <c r="A1625" s="0" t="n">
        <v>1</v>
      </c>
      <c r="B1625" s="0" t="n">
        <v>1144040148</v>
      </c>
      <c r="C1625" s="0" t="n">
        <v>650</v>
      </c>
    </row>
    <row r="1626" customFormat="false" ht="14.25" hidden="false" customHeight="false" outlineLevel="0" collapsed="false">
      <c r="A1626" s="0" t="n">
        <v>1</v>
      </c>
      <c r="B1626" s="0" t="n">
        <v>1006098868</v>
      </c>
      <c r="C1626" s="0" t="n">
        <v>791</v>
      </c>
    </row>
    <row r="1627" customFormat="false" ht="14.25" hidden="false" customHeight="false" outlineLevel="0" collapsed="false">
      <c r="A1627" s="0" t="n">
        <v>1</v>
      </c>
      <c r="B1627" s="0" t="n">
        <v>1144087362</v>
      </c>
      <c r="C1627" s="0" t="n">
        <v>785</v>
      </c>
    </row>
    <row r="1628" customFormat="false" ht="14.25" hidden="false" customHeight="false" outlineLevel="0" collapsed="false">
      <c r="A1628" s="0" t="n">
        <v>1</v>
      </c>
      <c r="B1628" s="0" t="n">
        <v>1144052450</v>
      </c>
      <c r="C1628" s="0" t="n">
        <v>839</v>
      </c>
    </row>
    <row r="1629" customFormat="false" ht="14.25" hidden="false" customHeight="false" outlineLevel="0" collapsed="false">
      <c r="A1629" s="0" t="n">
        <v>1</v>
      </c>
      <c r="B1629" s="0" t="n">
        <v>67007157</v>
      </c>
      <c r="C1629" s="0" t="n">
        <v>984</v>
      </c>
    </row>
    <row r="1630" customFormat="false" ht="14.25" hidden="false" customHeight="false" outlineLevel="0" collapsed="false">
      <c r="A1630" s="0" t="n">
        <v>1</v>
      </c>
      <c r="B1630" s="0" t="n">
        <v>1143830119</v>
      </c>
      <c r="C1630" s="0" t="n">
        <v>882</v>
      </c>
    </row>
    <row r="1631" customFormat="false" ht="14.25" hidden="false" customHeight="false" outlineLevel="0" collapsed="false">
      <c r="A1631" s="0" t="n">
        <v>1</v>
      </c>
      <c r="B1631" s="0" t="n">
        <v>1059913076</v>
      </c>
      <c r="C1631" s="0" t="n">
        <v>767</v>
      </c>
    </row>
    <row r="1632" customFormat="false" ht="14.25" hidden="false" customHeight="false" outlineLevel="0" collapsed="false">
      <c r="A1632" s="0" t="n">
        <v>1</v>
      </c>
      <c r="B1632" s="0" t="n">
        <v>1107095074</v>
      </c>
      <c r="C1632" s="0" t="n">
        <v>327</v>
      </c>
    </row>
    <row r="1633" customFormat="false" ht="14.25" hidden="false" customHeight="false" outlineLevel="0" collapsed="false">
      <c r="A1633" s="0" t="n">
        <v>1</v>
      </c>
      <c r="B1633" s="0" t="n">
        <v>14894421</v>
      </c>
      <c r="C1633" s="0" t="n">
        <v>853</v>
      </c>
    </row>
    <row r="1634" customFormat="false" ht="14.25" hidden="false" customHeight="false" outlineLevel="0" collapsed="false">
      <c r="A1634" s="0" t="n">
        <v>1</v>
      </c>
      <c r="B1634" s="0" t="n">
        <v>31578926</v>
      </c>
      <c r="C1634" s="0" t="n">
        <v>848</v>
      </c>
    </row>
    <row r="1635" customFormat="false" ht="14.25" hidden="false" customHeight="false" outlineLevel="0" collapsed="false">
      <c r="A1635" s="0" t="n">
        <v>1</v>
      </c>
      <c r="B1635" s="0" t="n">
        <v>38553183</v>
      </c>
      <c r="C1635" s="0" t="n">
        <v>846</v>
      </c>
    </row>
    <row r="1636" customFormat="false" ht="14.25" hidden="false" customHeight="false" outlineLevel="0" collapsed="false">
      <c r="A1636" s="0" t="n">
        <v>1</v>
      </c>
      <c r="B1636" s="0" t="n">
        <v>1085662084</v>
      </c>
      <c r="C1636" s="0" t="n">
        <v>542</v>
      </c>
    </row>
    <row r="1637" customFormat="false" ht="14.25" hidden="false" customHeight="false" outlineLevel="0" collapsed="false">
      <c r="A1637" s="0" t="n">
        <v>1</v>
      </c>
      <c r="B1637" s="0" t="n">
        <v>1143828982</v>
      </c>
      <c r="C1637" s="0" t="n">
        <v>762</v>
      </c>
    </row>
    <row r="1638" customFormat="false" ht="14.25" hidden="false" customHeight="false" outlineLevel="0" collapsed="false">
      <c r="A1638" s="0" t="n">
        <v>1</v>
      </c>
      <c r="B1638" s="0" t="n">
        <v>1067945423</v>
      </c>
      <c r="C1638" s="0" t="n">
        <v>761</v>
      </c>
    </row>
    <row r="1639" customFormat="false" ht="14.25" hidden="false" customHeight="false" outlineLevel="0" collapsed="false">
      <c r="A1639" s="0" t="n">
        <v>1</v>
      </c>
      <c r="B1639" s="0" t="n">
        <v>1144109929</v>
      </c>
      <c r="C1639" s="0" t="n">
        <v>795</v>
      </c>
    </row>
    <row r="1640" customFormat="false" ht="14.25" hidden="false" customHeight="false" outlineLevel="0" collapsed="false">
      <c r="A1640" s="0" t="n">
        <v>1</v>
      </c>
      <c r="B1640" s="0" t="n">
        <v>1006217412</v>
      </c>
      <c r="C1640" s="0" t="n">
        <v>825</v>
      </c>
    </row>
    <row r="1641" customFormat="false" ht="14.25" hidden="false" customHeight="false" outlineLevel="0" collapsed="false">
      <c r="A1641" s="0" t="n">
        <v>1</v>
      </c>
      <c r="B1641" s="0" t="n">
        <v>14638297</v>
      </c>
      <c r="C1641" s="0" t="n">
        <v>711</v>
      </c>
    </row>
    <row r="1642" customFormat="false" ht="14.25" hidden="false" customHeight="false" outlineLevel="0" collapsed="false">
      <c r="A1642" s="0" t="n">
        <v>1</v>
      </c>
      <c r="B1642" s="0" t="n">
        <v>66847766</v>
      </c>
      <c r="C1642" s="0" t="n">
        <v>621</v>
      </c>
    </row>
    <row r="1643" customFormat="false" ht="14.25" hidden="false" customHeight="false" outlineLevel="0" collapsed="false">
      <c r="A1643" s="0" t="n">
        <v>1</v>
      </c>
      <c r="B1643" s="0" t="n">
        <v>1144195001</v>
      </c>
      <c r="C1643" s="0" t="n">
        <v>693</v>
      </c>
    </row>
    <row r="1644" customFormat="false" ht="14.25" hidden="false" customHeight="false" outlineLevel="0" collapsed="false">
      <c r="A1644" s="0" t="n">
        <v>1</v>
      </c>
      <c r="B1644" s="0" t="n">
        <v>66993124</v>
      </c>
      <c r="C1644" s="0" t="n">
        <v>942</v>
      </c>
    </row>
    <row r="1645" customFormat="false" ht="14.25" hidden="false" customHeight="false" outlineLevel="0" collapsed="false">
      <c r="A1645" s="0" t="n">
        <v>1</v>
      </c>
      <c r="B1645" s="0" t="n">
        <v>66829967</v>
      </c>
      <c r="C1645" s="0" t="n">
        <v>665</v>
      </c>
    </row>
    <row r="1646" customFormat="false" ht="14.25" hidden="false" customHeight="false" outlineLevel="0" collapsed="false">
      <c r="A1646" s="0" t="n">
        <v>1</v>
      </c>
      <c r="B1646" s="0" t="n">
        <v>1144136795</v>
      </c>
      <c r="C1646" s="0" t="n">
        <v>831</v>
      </c>
    </row>
    <row r="1647" customFormat="false" ht="14.25" hidden="false" customHeight="false" outlineLevel="0" collapsed="false">
      <c r="A1647" s="0" t="n">
        <v>1</v>
      </c>
      <c r="B1647" s="0" t="n">
        <v>67039044</v>
      </c>
      <c r="C1647" s="0" t="n">
        <v>640</v>
      </c>
    </row>
    <row r="1648" customFormat="false" ht="14.25" hidden="false" customHeight="false" outlineLevel="0" collapsed="false">
      <c r="A1648" s="0" t="n">
        <v>1</v>
      </c>
      <c r="B1648" s="0" t="n">
        <v>1113637168</v>
      </c>
      <c r="C1648" s="0" t="n">
        <v>687</v>
      </c>
    </row>
    <row r="1649" customFormat="false" ht="14.25" hidden="false" customHeight="false" outlineLevel="0" collapsed="false">
      <c r="A1649" s="0" t="n">
        <v>1</v>
      </c>
      <c r="B1649" s="0" t="n">
        <v>1143848340</v>
      </c>
      <c r="C1649" s="0" t="n">
        <v>745</v>
      </c>
    </row>
    <row r="1650" customFormat="false" ht="14.25" hidden="false" customHeight="false" outlineLevel="0" collapsed="false">
      <c r="A1650" s="0" t="n">
        <v>1</v>
      </c>
      <c r="B1650" s="0" t="n">
        <v>94533696</v>
      </c>
      <c r="C1650" s="0" t="n">
        <v>760</v>
      </c>
    </row>
    <row r="1651" customFormat="false" ht="14.25" hidden="false" customHeight="false" outlineLevel="0" collapsed="false">
      <c r="A1651" s="0" t="n">
        <v>1</v>
      </c>
      <c r="B1651" s="0" t="n">
        <v>1130671780</v>
      </c>
      <c r="C1651" s="0" t="n">
        <v>723</v>
      </c>
    </row>
    <row r="1652" customFormat="false" ht="14.25" hidden="false" customHeight="false" outlineLevel="0" collapsed="false">
      <c r="A1652" s="0" t="n">
        <v>1</v>
      </c>
      <c r="B1652" s="0" t="n">
        <v>34614313</v>
      </c>
      <c r="C1652" s="0" t="n">
        <v>796</v>
      </c>
    </row>
    <row r="1653" customFormat="false" ht="14.25" hidden="false" customHeight="false" outlineLevel="0" collapsed="false">
      <c r="A1653" s="0" t="n">
        <v>1</v>
      </c>
      <c r="B1653" s="0" t="n">
        <v>1143855852</v>
      </c>
      <c r="C1653" s="0" t="n">
        <v>785</v>
      </c>
    </row>
    <row r="1654" customFormat="false" ht="14.25" hidden="false" customHeight="false" outlineLevel="0" collapsed="false">
      <c r="A1654" s="0" t="n">
        <v>1</v>
      </c>
      <c r="B1654" s="0" t="n">
        <v>1087115616</v>
      </c>
      <c r="C1654" s="0" t="n">
        <v>773</v>
      </c>
    </row>
    <row r="1655" customFormat="false" ht="14.25" hidden="false" customHeight="false" outlineLevel="0" collapsed="false">
      <c r="A1655" s="0" t="n">
        <v>1</v>
      </c>
      <c r="B1655" s="0" t="n">
        <v>67040256</v>
      </c>
      <c r="C1655" s="0" t="n">
        <v>730</v>
      </c>
    </row>
    <row r="1656" customFormat="false" ht="14.25" hidden="false" customHeight="false" outlineLevel="0" collapsed="false">
      <c r="A1656" s="0" t="n">
        <v>1</v>
      </c>
      <c r="B1656" s="0" t="n">
        <v>1130675029</v>
      </c>
      <c r="C1656" s="0" t="n">
        <v>787</v>
      </c>
    </row>
    <row r="1657" customFormat="false" ht="14.25" hidden="false" customHeight="false" outlineLevel="0" collapsed="false">
      <c r="A1657" s="0" t="n">
        <v>1</v>
      </c>
      <c r="B1657" s="0" t="n">
        <v>1151939341</v>
      </c>
      <c r="C1657" s="0" t="n">
        <v>742</v>
      </c>
    </row>
    <row r="1658" customFormat="false" ht="14.25" hidden="false" customHeight="false" outlineLevel="0" collapsed="false">
      <c r="A1658" s="0" t="n">
        <v>1</v>
      </c>
      <c r="B1658" s="0" t="n">
        <v>1143966322</v>
      </c>
      <c r="C1658" s="0" t="n">
        <v>677</v>
      </c>
    </row>
    <row r="1659" customFormat="false" ht="14.25" hidden="false" customHeight="false" outlineLevel="0" collapsed="false">
      <c r="A1659" s="0" t="n">
        <v>1</v>
      </c>
      <c r="B1659" s="0" t="n">
        <v>31713043</v>
      </c>
      <c r="C1659" s="0" t="n">
        <v>965</v>
      </c>
    </row>
    <row r="1660" customFormat="false" ht="14.25" hidden="false" customHeight="false" outlineLevel="0" collapsed="false">
      <c r="A1660" s="0" t="n">
        <v>1</v>
      </c>
      <c r="B1660" s="0" t="n">
        <v>1130614933</v>
      </c>
      <c r="C1660" s="0" t="n">
        <v>806</v>
      </c>
    </row>
    <row r="1661" customFormat="false" ht="14.25" hidden="false" customHeight="false" outlineLevel="0" collapsed="false">
      <c r="A1661" s="0" t="n">
        <v>1</v>
      </c>
      <c r="B1661" s="0" t="n">
        <v>1005024520</v>
      </c>
      <c r="C1661" s="0" t="n">
        <v>827</v>
      </c>
    </row>
    <row r="1662" customFormat="false" ht="14.25" hidden="false" customHeight="false" outlineLevel="0" collapsed="false">
      <c r="A1662" s="0" t="n">
        <v>1</v>
      </c>
      <c r="B1662" s="0" t="n">
        <v>1112631258</v>
      </c>
      <c r="C1662" s="0" t="n">
        <v>691</v>
      </c>
    </row>
    <row r="1663" customFormat="false" ht="14.25" hidden="false" customHeight="false" outlineLevel="0" collapsed="false">
      <c r="A1663" s="0" t="n">
        <v>1</v>
      </c>
      <c r="B1663" s="0" t="n">
        <v>1110282743</v>
      </c>
      <c r="C1663" s="0" t="n">
        <v>659</v>
      </c>
    </row>
    <row r="1664" customFormat="false" ht="14.25" hidden="false" customHeight="false" outlineLevel="0" collapsed="false">
      <c r="A1664" s="0" t="n">
        <v>1</v>
      </c>
      <c r="B1664" s="0" t="n">
        <v>1143942944</v>
      </c>
      <c r="C1664" s="0" t="n">
        <v>598</v>
      </c>
    </row>
    <row r="1665" customFormat="false" ht="14.25" hidden="false" customHeight="false" outlineLevel="0" collapsed="false">
      <c r="A1665" s="0" t="n">
        <v>1</v>
      </c>
      <c r="B1665" s="0" t="n">
        <v>38601463</v>
      </c>
      <c r="C1665" s="0" t="n">
        <v>863</v>
      </c>
    </row>
    <row r="1666" customFormat="false" ht="14.25" hidden="false" customHeight="false" outlineLevel="0" collapsed="false">
      <c r="A1666" s="0" t="n">
        <v>1</v>
      </c>
      <c r="B1666" s="0" t="n">
        <v>1107055498</v>
      </c>
      <c r="C1666" s="0" t="n">
        <v>659</v>
      </c>
    </row>
    <row r="1667" customFormat="false" ht="14.25" hidden="false" customHeight="false" outlineLevel="0" collapsed="false">
      <c r="A1667" s="0" t="n">
        <v>1</v>
      </c>
      <c r="B1667" s="0" t="n">
        <v>1130635783</v>
      </c>
      <c r="C1667" s="0" t="n">
        <v>640</v>
      </c>
    </row>
    <row r="1668" customFormat="false" ht="14.25" hidden="false" customHeight="false" outlineLevel="0" collapsed="false">
      <c r="A1668" s="0" t="n">
        <v>1</v>
      </c>
      <c r="B1668" s="0" t="n">
        <v>1130634955</v>
      </c>
      <c r="C1668" s="0" t="n">
        <v>641</v>
      </c>
    </row>
    <row r="1669" customFormat="false" ht="14.25" hidden="false" customHeight="false" outlineLevel="0" collapsed="false">
      <c r="A1669" s="0" t="n">
        <v>1</v>
      </c>
      <c r="B1669" s="0" t="n">
        <v>1143962597</v>
      </c>
      <c r="C1669" s="0" t="n">
        <v>515</v>
      </c>
    </row>
    <row r="1670" customFormat="false" ht="14.25" hidden="false" customHeight="false" outlineLevel="0" collapsed="false">
      <c r="A1670" s="0" t="n">
        <v>1</v>
      </c>
      <c r="B1670" s="0" t="n">
        <v>1005979495</v>
      </c>
      <c r="C1670" s="0" t="n">
        <v>684</v>
      </c>
    </row>
    <row r="1671" customFormat="false" ht="14.25" hidden="false" customHeight="false" outlineLevel="0" collapsed="false">
      <c r="A1671" s="0" t="n">
        <v>1</v>
      </c>
      <c r="B1671" s="0" t="n">
        <v>1114832698</v>
      </c>
      <c r="C1671" s="0" t="n">
        <v>820</v>
      </c>
    </row>
    <row r="1672" customFormat="false" ht="14.25" hidden="false" customHeight="false" outlineLevel="0" collapsed="false">
      <c r="A1672" s="0" t="n">
        <v>1</v>
      </c>
      <c r="B1672" s="0" t="n">
        <v>31323960</v>
      </c>
      <c r="C1672" s="0" t="n">
        <v>985</v>
      </c>
    </row>
    <row r="1673" customFormat="false" ht="14.25" hidden="false" customHeight="false" outlineLevel="0" collapsed="false">
      <c r="A1673" s="0" t="n">
        <v>1</v>
      </c>
      <c r="B1673" s="0" t="n">
        <v>1144168040</v>
      </c>
      <c r="C1673" s="0" t="n">
        <v>747</v>
      </c>
    </row>
    <row r="1674" customFormat="false" ht="14.25" hidden="false" customHeight="false" outlineLevel="0" collapsed="false">
      <c r="A1674" s="0" t="n">
        <v>1</v>
      </c>
      <c r="B1674" s="0" t="n">
        <v>29507012</v>
      </c>
      <c r="C1674" s="0" t="n">
        <v>675</v>
      </c>
    </row>
    <row r="1675" customFormat="false" ht="14.25" hidden="false" customHeight="false" outlineLevel="0" collapsed="false">
      <c r="A1675" s="0" t="n">
        <v>1</v>
      </c>
      <c r="B1675" s="0" t="n">
        <v>1144041996</v>
      </c>
      <c r="C1675" s="0" t="n">
        <v>861</v>
      </c>
    </row>
    <row r="1676" customFormat="false" ht="14.25" hidden="false" customHeight="false" outlineLevel="0" collapsed="false">
      <c r="A1676" s="0" t="n">
        <v>1</v>
      </c>
      <c r="B1676" s="0" t="n">
        <v>1143969075</v>
      </c>
      <c r="C1676" s="0" t="n">
        <v>797</v>
      </c>
    </row>
    <row r="1677" customFormat="false" ht="14.25" hidden="false" customHeight="false" outlineLevel="0" collapsed="false">
      <c r="A1677" s="0" t="n">
        <v>1</v>
      </c>
      <c r="B1677" s="0" t="n">
        <v>1085293834</v>
      </c>
      <c r="C1677" s="0" t="n">
        <v>797</v>
      </c>
    </row>
    <row r="1678" customFormat="false" ht="14.25" hidden="false" customHeight="false" outlineLevel="0" collapsed="false">
      <c r="A1678" s="0" t="n">
        <v>1</v>
      </c>
      <c r="B1678" s="0" t="n">
        <v>31884529</v>
      </c>
      <c r="C1678" s="0" t="n">
        <v>744</v>
      </c>
    </row>
    <row r="1679" customFormat="false" ht="14.25" hidden="false" customHeight="false" outlineLevel="0" collapsed="false">
      <c r="A1679" s="0" t="n">
        <v>1</v>
      </c>
      <c r="B1679" s="0" t="n">
        <v>1130635690</v>
      </c>
      <c r="C1679" s="0" t="n">
        <v>642</v>
      </c>
    </row>
    <row r="1680" customFormat="false" ht="14.25" hidden="false" customHeight="false" outlineLevel="0" collapsed="false">
      <c r="A1680" s="0" t="n">
        <v>1</v>
      </c>
      <c r="B1680" s="0" t="n">
        <v>51968425</v>
      </c>
      <c r="C1680" s="0" t="n">
        <v>999</v>
      </c>
    </row>
    <row r="1681" customFormat="false" ht="14.25" hidden="false" customHeight="false" outlineLevel="0" collapsed="false">
      <c r="A1681" s="0" t="n">
        <v>1</v>
      </c>
      <c r="B1681" s="0" t="n">
        <v>1047393865</v>
      </c>
      <c r="C1681" s="0" t="n">
        <v>922</v>
      </c>
    </row>
    <row r="1682" customFormat="false" ht="14.25" hidden="false" customHeight="false" outlineLevel="0" collapsed="false">
      <c r="A1682" s="0" t="n">
        <v>1</v>
      </c>
      <c r="B1682" s="0" t="n">
        <v>67031395</v>
      </c>
      <c r="C1682" s="0" t="n">
        <v>726</v>
      </c>
    </row>
    <row r="1683" customFormat="false" ht="14.25" hidden="false" customHeight="false" outlineLevel="0" collapsed="false">
      <c r="A1683" s="0" t="n">
        <v>1</v>
      </c>
      <c r="B1683" s="0" t="n">
        <v>1116254546</v>
      </c>
      <c r="C1683" s="0" t="n">
        <v>714</v>
      </c>
    </row>
    <row r="1684" customFormat="false" ht="14.25" hidden="false" customHeight="false" outlineLevel="0" collapsed="false">
      <c r="A1684" s="0" t="n">
        <v>1</v>
      </c>
      <c r="B1684" s="0" t="n">
        <v>1107067602</v>
      </c>
      <c r="C1684" s="0" t="n">
        <v>807</v>
      </c>
    </row>
    <row r="1685" customFormat="false" ht="14.25" hidden="false" customHeight="false" outlineLevel="0" collapsed="false">
      <c r="A1685" s="0" t="n">
        <v>1</v>
      </c>
      <c r="B1685" s="0" t="n">
        <v>1144069010</v>
      </c>
      <c r="C1685" s="0" t="n">
        <v>712</v>
      </c>
    </row>
    <row r="1686" customFormat="false" ht="14.25" hidden="false" customHeight="false" outlineLevel="0" collapsed="false">
      <c r="A1686" s="0" t="n">
        <v>1</v>
      </c>
      <c r="B1686" s="0" t="n">
        <v>16845092</v>
      </c>
      <c r="C1686" s="0" t="n">
        <v>967</v>
      </c>
    </row>
    <row r="1687" customFormat="false" ht="14.25" hidden="false" customHeight="false" outlineLevel="0" collapsed="false">
      <c r="A1687" s="0" t="n">
        <v>1</v>
      </c>
      <c r="B1687" s="0" t="n">
        <v>34315645</v>
      </c>
      <c r="C1687" s="0" t="n">
        <v>611</v>
      </c>
    </row>
    <row r="1688" customFormat="false" ht="14.25" hidden="false" customHeight="false" outlineLevel="0" collapsed="false">
      <c r="A1688" s="0" t="n">
        <v>1</v>
      </c>
      <c r="B1688" s="0" t="n">
        <v>1130605643</v>
      </c>
      <c r="C1688" s="0" t="n">
        <v>784</v>
      </c>
    </row>
    <row r="1689" customFormat="false" ht="14.25" hidden="false" customHeight="false" outlineLevel="0" collapsed="false">
      <c r="A1689" s="0" t="n">
        <v>1</v>
      </c>
      <c r="B1689" s="0" t="n">
        <v>1130637122</v>
      </c>
      <c r="C1689" s="0" t="n">
        <v>780</v>
      </c>
    </row>
    <row r="1690" customFormat="false" ht="14.25" hidden="false" customHeight="false" outlineLevel="0" collapsed="false">
      <c r="A1690" s="0" t="n">
        <v>1</v>
      </c>
      <c r="B1690" s="0" t="n">
        <v>16930766</v>
      </c>
      <c r="C1690" s="0" t="n">
        <v>852</v>
      </c>
    </row>
    <row r="1691" customFormat="false" ht="14.25" hidden="false" customHeight="false" outlineLevel="0" collapsed="false">
      <c r="A1691" s="0" t="n">
        <v>1</v>
      </c>
      <c r="B1691" s="0" t="n">
        <v>1059906715</v>
      </c>
      <c r="C1691" s="0" t="n">
        <v>834</v>
      </c>
    </row>
    <row r="1692" customFormat="false" ht="14.25" hidden="false" customHeight="false" outlineLevel="0" collapsed="false">
      <c r="A1692" s="0" t="n">
        <v>1</v>
      </c>
      <c r="B1692" s="0" t="n">
        <v>38889981</v>
      </c>
      <c r="C1692" s="0" t="n">
        <v>919</v>
      </c>
    </row>
    <row r="1693" customFormat="false" ht="14.25" hidden="false" customHeight="false" outlineLevel="0" collapsed="false">
      <c r="A1693" s="0" t="n">
        <v>1</v>
      </c>
      <c r="B1693" s="0" t="n">
        <v>38671608</v>
      </c>
      <c r="C1693" s="0" t="n">
        <v>865</v>
      </c>
    </row>
    <row r="1694" customFormat="false" ht="14.25" hidden="false" customHeight="false" outlineLevel="0" collapsed="false">
      <c r="A1694" s="0" t="n">
        <v>1</v>
      </c>
      <c r="B1694" s="0" t="n">
        <v>1062324690</v>
      </c>
      <c r="C1694" s="0" t="n">
        <v>611</v>
      </c>
    </row>
    <row r="1695" customFormat="false" ht="14.25" hidden="false" customHeight="false" outlineLevel="0" collapsed="false">
      <c r="A1695" s="0" t="n">
        <v>1</v>
      </c>
      <c r="B1695" s="0" t="n">
        <v>1001349725</v>
      </c>
      <c r="C1695" s="0" t="n">
        <v>679</v>
      </c>
    </row>
    <row r="1696" customFormat="false" ht="14.25" hidden="false" customHeight="false" outlineLevel="0" collapsed="false">
      <c r="A1696" s="0" t="n">
        <v>1</v>
      </c>
      <c r="B1696" s="0" t="n">
        <v>38683726</v>
      </c>
      <c r="C1696" s="0" t="n">
        <v>461</v>
      </c>
    </row>
    <row r="1697" customFormat="false" ht="14.25" hidden="false" customHeight="false" outlineLevel="0" collapsed="false">
      <c r="A1697" s="0" t="n">
        <v>1</v>
      </c>
      <c r="B1697" s="0" t="n">
        <v>1118302328</v>
      </c>
      <c r="C1697" s="0" t="n">
        <v>686</v>
      </c>
    </row>
    <row r="1698" customFormat="false" ht="14.25" hidden="false" customHeight="false" outlineLevel="0" collapsed="false">
      <c r="A1698" s="0" t="n">
        <v>1</v>
      </c>
      <c r="B1698" s="0" t="n">
        <v>16918740</v>
      </c>
      <c r="C1698" s="0" t="n">
        <v>747</v>
      </c>
    </row>
    <row r="1699" customFormat="false" ht="14.25" hidden="false" customHeight="false" outlineLevel="0" collapsed="false">
      <c r="A1699" s="0" t="n">
        <v>1</v>
      </c>
      <c r="B1699" s="0" t="n">
        <v>38940022</v>
      </c>
      <c r="C1699" s="0" t="n">
        <v>947</v>
      </c>
    </row>
    <row r="1700" customFormat="false" ht="14.25" hidden="false" customHeight="false" outlineLevel="0" collapsed="false">
      <c r="A1700" s="0" t="n">
        <v>1</v>
      </c>
      <c r="B1700" s="0" t="n">
        <v>1016102174</v>
      </c>
      <c r="C1700" s="0" t="n">
        <v>686</v>
      </c>
    </row>
    <row r="1701" customFormat="false" ht="14.25" hidden="false" customHeight="false" outlineLevel="0" collapsed="false">
      <c r="A1701" s="0" t="n">
        <v>1</v>
      </c>
      <c r="B1701" s="0" t="n">
        <v>38462926</v>
      </c>
      <c r="C1701" s="0" t="n">
        <v>664</v>
      </c>
    </row>
    <row r="1702" customFormat="false" ht="14.25" hidden="false" customHeight="false" outlineLevel="0" collapsed="false">
      <c r="A1702" s="0" t="n">
        <v>1</v>
      </c>
      <c r="B1702" s="0" t="n">
        <v>43400374</v>
      </c>
      <c r="C1702" s="0" t="n">
        <v>695</v>
      </c>
    </row>
    <row r="1703" customFormat="false" ht="14.25" hidden="false" customHeight="false" outlineLevel="0" collapsed="false">
      <c r="A1703" s="0" t="n">
        <v>1</v>
      </c>
      <c r="B1703" s="0" t="n">
        <v>1144094459</v>
      </c>
      <c r="C1703" s="0" t="n">
        <v>677</v>
      </c>
    </row>
    <row r="1704" customFormat="false" ht="14.25" hidden="false" customHeight="false" outlineLevel="0" collapsed="false">
      <c r="A1704" s="0" t="n">
        <v>1</v>
      </c>
      <c r="B1704" s="0" t="n">
        <v>38642212</v>
      </c>
      <c r="C1704" s="0" t="n">
        <v>780</v>
      </c>
    </row>
    <row r="1705" customFormat="false" ht="14.25" hidden="false" customHeight="false" outlineLevel="0" collapsed="false">
      <c r="A1705" s="0" t="n">
        <v>1</v>
      </c>
      <c r="B1705" s="0" t="n">
        <v>1144066909</v>
      </c>
      <c r="C1705" s="0" t="n">
        <v>779</v>
      </c>
    </row>
    <row r="1706" customFormat="false" ht="14.25" hidden="false" customHeight="false" outlineLevel="0" collapsed="false">
      <c r="A1706" s="0" t="n">
        <v>1</v>
      </c>
      <c r="B1706" s="0" t="n">
        <v>1114888786</v>
      </c>
      <c r="C1706" s="0" t="n">
        <v>847</v>
      </c>
    </row>
    <row r="1707" customFormat="false" ht="14.25" hidden="false" customHeight="false" outlineLevel="0" collapsed="false">
      <c r="A1707" s="0" t="n">
        <v>1</v>
      </c>
      <c r="B1707" s="0" t="n">
        <v>1130607298</v>
      </c>
      <c r="C1707" s="0" t="n">
        <v>755</v>
      </c>
    </row>
    <row r="1708" customFormat="false" ht="14.25" hidden="false" customHeight="false" outlineLevel="0" collapsed="false">
      <c r="A1708" s="0" t="n">
        <v>1</v>
      </c>
      <c r="B1708" s="0" t="n">
        <v>1130643922</v>
      </c>
      <c r="C1708" s="0" t="n">
        <v>857</v>
      </c>
    </row>
    <row r="1709" customFormat="false" ht="14.25" hidden="false" customHeight="false" outlineLevel="0" collapsed="false">
      <c r="A1709" s="0" t="n">
        <v>1</v>
      </c>
      <c r="B1709" s="0" t="n">
        <v>75063638</v>
      </c>
      <c r="C1709" s="0" t="n">
        <v>832</v>
      </c>
    </row>
    <row r="1710" customFormat="false" ht="14.25" hidden="false" customHeight="false" outlineLevel="0" collapsed="false">
      <c r="A1710" s="0" t="n">
        <v>1</v>
      </c>
      <c r="B1710" s="0" t="n">
        <v>52959038</v>
      </c>
      <c r="C1710" s="0" t="n">
        <v>790</v>
      </c>
    </row>
    <row r="1711" customFormat="false" ht="14.25" hidden="false" customHeight="false" outlineLevel="0" collapsed="false">
      <c r="A1711" s="0" t="n">
        <v>1</v>
      </c>
      <c r="B1711" s="0" t="n">
        <v>1053849731</v>
      </c>
      <c r="C1711" s="0" t="n">
        <v>911</v>
      </c>
    </row>
    <row r="1712" customFormat="false" ht="14.25" hidden="false" customHeight="false" outlineLevel="0" collapsed="false">
      <c r="A1712" s="0" t="n">
        <v>1</v>
      </c>
      <c r="B1712" s="0" t="n">
        <v>1107516779</v>
      </c>
      <c r="C1712" s="0" t="n">
        <v>657</v>
      </c>
    </row>
    <row r="1713" customFormat="false" ht="14.25" hidden="false" customHeight="false" outlineLevel="0" collapsed="false">
      <c r="A1713" s="0" t="n">
        <v>1</v>
      </c>
      <c r="B1713" s="0" t="n">
        <v>31991267</v>
      </c>
      <c r="C1713" s="0" t="n">
        <v>983</v>
      </c>
    </row>
    <row r="1714" customFormat="false" ht="14.25" hidden="false" customHeight="false" outlineLevel="0" collapsed="false">
      <c r="A1714" s="0" t="n">
        <v>1</v>
      </c>
      <c r="B1714" s="0" t="n">
        <v>67031598</v>
      </c>
      <c r="C1714" s="0" t="n">
        <v>934</v>
      </c>
    </row>
    <row r="1715" customFormat="false" ht="14.25" hidden="false" customHeight="false" outlineLevel="0" collapsed="false">
      <c r="A1715" s="0" t="n">
        <v>1</v>
      </c>
      <c r="B1715" s="0" t="n">
        <v>94527022</v>
      </c>
      <c r="C1715" s="0" t="n">
        <v>686</v>
      </c>
    </row>
    <row r="1716" customFormat="false" ht="14.25" hidden="false" customHeight="false" outlineLevel="0" collapsed="false">
      <c r="A1716" s="0" t="n">
        <v>1</v>
      </c>
      <c r="B1716" s="0" t="n">
        <v>1112107715</v>
      </c>
      <c r="C1716" s="0" t="n">
        <v>834</v>
      </c>
    </row>
    <row r="1717" customFormat="false" ht="14.25" hidden="false" customHeight="false" outlineLevel="0" collapsed="false">
      <c r="A1717" s="0" t="n">
        <v>1</v>
      </c>
      <c r="B1717" s="0" t="n">
        <v>1114833076</v>
      </c>
      <c r="C1717" s="0" t="n">
        <v>804</v>
      </c>
    </row>
    <row r="1718" customFormat="false" ht="14.25" hidden="false" customHeight="false" outlineLevel="0" collapsed="false">
      <c r="A1718" s="0" t="n">
        <v>1</v>
      </c>
      <c r="B1718" s="0" t="n">
        <v>1107509351</v>
      </c>
      <c r="C1718" s="0" t="n">
        <v>744</v>
      </c>
    </row>
    <row r="1719" customFormat="false" ht="14.25" hidden="false" customHeight="false" outlineLevel="0" collapsed="false">
      <c r="A1719" s="0" t="n">
        <v>1</v>
      </c>
      <c r="B1719" s="0" t="n">
        <v>66899264</v>
      </c>
      <c r="C1719" s="0" t="n">
        <v>716</v>
      </c>
    </row>
    <row r="1720" customFormat="false" ht="14.25" hidden="false" customHeight="false" outlineLevel="0" collapsed="false">
      <c r="A1720" s="0" t="n">
        <v>1</v>
      </c>
      <c r="B1720" s="0" t="n">
        <v>1144076746</v>
      </c>
      <c r="C1720" s="0" t="n">
        <v>684</v>
      </c>
    </row>
    <row r="1721" customFormat="false" ht="14.25" hidden="false" customHeight="false" outlineLevel="0" collapsed="false">
      <c r="A1721" s="0" t="n">
        <v>1</v>
      </c>
      <c r="B1721" s="0" t="n">
        <v>1144077600</v>
      </c>
      <c r="C1721" s="0" t="n">
        <v>737</v>
      </c>
    </row>
    <row r="1722" customFormat="false" ht="14.25" hidden="false" customHeight="false" outlineLevel="0" collapsed="false">
      <c r="A1722" s="0" t="n">
        <v>1</v>
      </c>
      <c r="B1722" s="0" t="n">
        <v>1193485143</v>
      </c>
      <c r="C1722" s="0" t="n">
        <v>823</v>
      </c>
    </row>
    <row r="1723" customFormat="false" ht="14.25" hidden="false" customHeight="false" outlineLevel="0" collapsed="false">
      <c r="A1723" s="0" t="n">
        <v>1</v>
      </c>
      <c r="B1723" s="0" t="n">
        <v>1010134134</v>
      </c>
      <c r="C1723" s="0" t="n">
        <v>625</v>
      </c>
    </row>
    <row r="1724" customFormat="false" ht="14.25" hidden="false" customHeight="false" outlineLevel="0" collapsed="false">
      <c r="A1724" s="0" t="n">
        <v>1</v>
      </c>
      <c r="B1724" s="0" t="n">
        <v>1112481844</v>
      </c>
      <c r="C1724" s="0" t="n">
        <v>683</v>
      </c>
    </row>
    <row r="1725" customFormat="false" ht="14.25" hidden="false" customHeight="false" outlineLevel="0" collapsed="false">
      <c r="A1725" s="0" t="n">
        <v>1</v>
      </c>
      <c r="B1725" s="0" t="n">
        <v>38604103</v>
      </c>
      <c r="C1725" s="0" t="n">
        <v>864</v>
      </c>
    </row>
    <row r="1726" customFormat="false" ht="14.25" hidden="false" customHeight="false" outlineLevel="0" collapsed="false">
      <c r="A1726" s="0" t="n">
        <v>1</v>
      </c>
      <c r="B1726" s="0" t="n">
        <v>28540251</v>
      </c>
      <c r="C1726" s="0" t="n">
        <v>568</v>
      </c>
    </row>
    <row r="1727" customFormat="false" ht="14.25" hidden="false" customHeight="false" outlineLevel="0" collapsed="false">
      <c r="A1727" s="0" t="n">
        <v>1</v>
      </c>
      <c r="B1727" s="0" t="n">
        <v>1234193404</v>
      </c>
      <c r="C1727" s="0" t="n">
        <v>766</v>
      </c>
    </row>
    <row r="1728" customFormat="false" ht="14.25" hidden="false" customHeight="false" outlineLevel="0" collapsed="false">
      <c r="A1728" s="0" t="n">
        <v>1</v>
      </c>
      <c r="B1728" s="0" t="n">
        <v>1123626223</v>
      </c>
      <c r="C1728" s="0" t="n">
        <v>747</v>
      </c>
    </row>
    <row r="1729" customFormat="false" ht="14.25" hidden="false" customHeight="false" outlineLevel="0" collapsed="false">
      <c r="A1729" s="0" t="n">
        <v>1</v>
      </c>
      <c r="B1729" s="0" t="n">
        <v>1130608437</v>
      </c>
      <c r="C1729" s="0" t="n">
        <v>747</v>
      </c>
    </row>
    <row r="1730" customFormat="false" ht="14.25" hidden="false" customHeight="false" outlineLevel="0" collapsed="false">
      <c r="A1730" s="0" t="n">
        <v>1</v>
      </c>
      <c r="B1730" s="0" t="n">
        <v>1144148264</v>
      </c>
      <c r="C1730" s="0" t="n">
        <v>744</v>
      </c>
    </row>
    <row r="1731" customFormat="false" ht="14.25" hidden="false" customHeight="false" outlineLevel="0" collapsed="false">
      <c r="A1731" s="0" t="n">
        <v>1</v>
      </c>
      <c r="B1731" s="0" t="n">
        <v>1130617413</v>
      </c>
      <c r="C1731" s="0" t="n">
        <v>665</v>
      </c>
    </row>
    <row r="1732" customFormat="false" ht="14.25" hidden="false" customHeight="false" outlineLevel="0" collapsed="false">
      <c r="A1732" s="0" t="n">
        <v>1</v>
      </c>
      <c r="B1732" s="0" t="n">
        <v>1143833980</v>
      </c>
      <c r="C1732" s="0" t="n">
        <v>747</v>
      </c>
    </row>
    <row r="1733" customFormat="false" ht="14.25" hidden="false" customHeight="false" outlineLevel="0" collapsed="false">
      <c r="A1733" s="0" t="n">
        <v>1</v>
      </c>
      <c r="B1733" s="0" t="n">
        <v>1143844901</v>
      </c>
      <c r="C1733" s="0" t="n">
        <v>834</v>
      </c>
    </row>
    <row r="1734" customFormat="false" ht="14.25" hidden="false" customHeight="false" outlineLevel="0" collapsed="false">
      <c r="A1734" s="0" t="n">
        <v>1</v>
      </c>
      <c r="B1734" s="0" t="n">
        <v>66904285</v>
      </c>
      <c r="C1734" s="0" t="n">
        <v>915</v>
      </c>
    </row>
    <row r="1735" customFormat="false" ht="14.25" hidden="false" customHeight="false" outlineLevel="0" collapsed="false">
      <c r="A1735" s="0" t="n">
        <v>1</v>
      </c>
      <c r="B1735" s="0" t="n">
        <v>1144193840</v>
      </c>
      <c r="C1735" s="0" t="n">
        <v>621</v>
      </c>
    </row>
    <row r="1736" customFormat="false" ht="14.25" hidden="false" customHeight="false" outlineLevel="0" collapsed="false">
      <c r="A1736" s="0" t="n">
        <v>1</v>
      </c>
      <c r="B1736" s="0" t="n">
        <v>1144143150</v>
      </c>
      <c r="C1736" s="0" t="n">
        <v>744</v>
      </c>
    </row>
    <row r="1737" customFormat="false" ht="14.25" hidden="false" customHeight="false" outlineLevel="0" collapsed="false">
      <c r="A1737" s="0" t="n">
        <v>1</v>
      </c>
      <c r="B1737" s="0" t="n">
        <v>31897179</v>
      </c>
      <c r="C1737" s="0" t="n">
        <v>901</v>
      </c>
    </row>
    <row r="1738" customFormat="false" ht="14.25" hidden="false" customHeight="false" outlineLevel="0" collapsed="false">
      <c r="A1738" s="0" t="n">
        <v>1</v>
      </c>
      <c r="B1738" s="0" t="n">
        <v>1144158639</v>
      </c>
      <c r="C1738" s="0" t="n">
        <v>790</v>
      </c>
    </row>
    <row r="1739" customFormat="false" ht="14.25" hidden="false" customHeight="false" outlineLevel="0" collapsed="false">
      <c r="A1739" s="0" t="n">
        <v>1</v>
      </c>
      <c r="B1739" s="0" t="n">
        <v>1144060563</v>
      </c>
      <c r="C1739" s="0" t="n">
        <v>795</v>
      </c>
    </row>
    <row r="1740" customFormat="false" ht="14.25" hidden="false" customHeight="false" outlineLevel="0" collapsed="false">
      <c r="A1740" s="0" t="n">
        <v>1</v>
      </c>
      <c r="B1740" s="0" t="n">
        <v>1144197594</v>
      </c>
      <c r="C1740" s="0" t="n">
        <v>671</v>
      </c>
    </row>
    <row r="1741" customFormat="false" ht="14.25" hidden="false" customHeight="false" outlineLevel="0" collapsed="false">
      <c r="A1741" s="0" t="n">
        <v>1</v>
      </c>
      <c r="B1741" s="0" t="n">
        <v>66948369</v>
      </c>
      <c r="C1741" s="0" t="n">
        <v>885</v>
      </c>
    </row>
    <row r="1742" customFormat="false" ht="14.25" hidden="false" customHeight="false" outlineLevel="0" collapsed="false">
      <c r="A1742" s="0" t="n">
        <v>1</v>
      </c>
      <c r="B1742" s="0" t="n">
        <v>1144212141</v>
      </c>
      <c r="C1742" s="0" t="n">
        <v>882</v>
      </c>
    </row>
    <row r="1743" customFormat="false" ht="14.25" hidden="false" customHeight="false" outlineLevel="0" collapsed="false">
      <c r="A1743" s="0" t="n">
        <v>1</v>
      </c>
      <c r="B1743" s="0" t="n">
        <v>16767193</v>
      </c>
      <c r="C1743" s="0" t="n">
        <v>589</v>
      </c>
    </row>
    <row r="1744" customFormat="false" ht="14.25" hidden="false" customHeight="false" outlineLevel="0" collapsed="false">
      <c r="A1744" s="0" t="n">
        <v>1</v>
      </c>
      <c r="B1744" s="0" t="n">
        <v>52318074</v>
      </c>
      <c r="C1744" s="0" t="n">
        <v>747</v>
      </c>
    </row>
    <row r="1745" customFormat="false" ht="14.25" hidden="false" customHeight="false" outlineLevel="0" collapsed="false">
      <c r="A1745" s="0" t="n">
        <v>1</v>
      </c>
      <c r="B1745" s="0" t="n">
        <v>1143962645</v>
      </c>
      <c r="C1745" s="0" t="n">
        <v>645</v>
      </c>
    </row>
    <row r="1746" customFormat="false" ht="14.25" hidden="false" customHeight="false" outlineLevel="0" collapsed="false">
      <c r="A1746" s="0" t="n">
        <v>1</v>
      </c>
      <c r="B1746" s="0" t="n">
        <v>1130948079</v>
      </c>
      <c r="C1746" s="0" t="n">
        <v>598</v>
      </c>
    </row>
    <row r="1747" customFormat="false" ht="14.25" hidden="false" customHeight="false" outlineLevel="0" collapsed="false">
      <c r="A1747" s="0" t="n">
        <v>1</v>
      </c>
      <c r="B1747" s="0" t="n">
        <v>1006035627</v>
      </c>
      <c r="C1747" s="0" t="n">
        <v>573</v>
      </c>
    </row>
    <row r="1748" customFormat="false" ht="14.25" hidden="false" customHeight="false" outlineLevel="0" collapsed="false">
      <c r="A1748" s="0" t="n">
        <v>1</v>
      </c>
      <c r="B1748" s="0" t="n">
        <v>1143160920</v>
      </c>
      <c r="C1748" s="0" t="n">
        <v>778</v>
      </c>
    </row>
    <row r="1749" customFormat="false" ht="14.25" hidden="false" customHeight="false" outlineLevel="0" collapsed="false">
      <c r="A1749" s="0" t="n">
        <v>1</v>
      </c>
      <c r="B1749" s="0" t="n">
        <v>1192767362</v>
      </c>
      <c r="C1749" s="0" t="n">
        <v>807</v>
      </c>
    </row>
    <row r="1750" customFormat="false" ht="14.25" hidden="false" customHeight="false" outlineLevel="0" collapsed="false">
      <c r="A1750" s="0" t="n">
        <v>1</v>
      </c>
      <c r="B1750" s="0" t="n">
        <v>1130675011</v>
      </c>
      <c r="C1750" s="0" t="n">
        <v>762</v>
      </c>
    </row>
    <row r="1751" customFormat="false" ht="14.25" hidden="false" customHeight="false" outlineLevel="0" collapsed="false">
      <c r="A1751" s="0" t="n">
        <v>1</v>
      </c>
      <c r="B1751" s="0" t="n">
        <v>1151958029</v>
      </c>
      <c r="C1751" s="0" t="n">
        <v>930</v>
      </c>
    </row>
    <row r="1752" customFormat="false" ht="14.25" hidden="false" customHeight="false" outlineLevel="0" collapsed="false">
      <c r="A1752" s="0" t="n">
        <v>1</v>
      </c>
      <c r="B1752" s="0" t="n">
        <v>1143832224</v>
      </c>
      <c r="C1752" s="0" t="n">
        <v>818</v>
      </c>
    </row>
    <row r="1753" customFormat="false" ht="14.25" hidden="false" customHeight="false" outlineLevel="0" collapsed="false">
      <c r="A1753" s="0" t="n">
        <v>1</v>
      </c>
      <c r="B1753" s="0" t="n">
        <v>1130672449</v>
      </c>
      <c r="C1753" s="0" t="n">
        <v>705</v>
      </c>
    </row>
    <row r="1754" customFormat="false" ht="14.25" hidden="false" customHeight="false" outlineLevel="0" collapsed="false">
      <c r="A1754" s="0" t="n">
        <v>1</v>
      </c>
      <c r="B1754" s="0" t="n">
        <v>31308898</v>
      </c>
      <c r="C1754" s="0" t="n">
        <v>859</v>
      </c>
    </row>
    <row r="1755" customFormat="false" ht="14.25" hidden="false" customHeight="false" outlineLevel="0" collapsed="false">
      <c r="A1755" s="0" t="n">
        <v>1</v>
      </c>
      <c r="B1755" s="0" t="n">
        <v>94064042</v>
      </c>
      <c r="C1755" s="0" t="n">
        <v>747</v>
      </c>
    </row>
    <row r="1756" customFormat="false" ht="14.25" hidden="false" customHeight="false" outlineLevel="0" collapsed="false">
      <c r="A1756" s="0" t="n">
        <v>1</v>
      </c>
      <c r="B1756" s="0" t="n">
        <v>34516353</v>
      </c>
      <c r="C1756" s="0" t="n">
        <v>669</v>
      </c>
    </row>
    <row r="1757" customFormat="false" ht="14.25" hidden="false" customHeight="false" outlineLevel="0" collapsed="false">
      <c r="A1757" s="0" t="n">
        <v>1</v>
      </c>
      <c r="B1757" s="0" t="n">
        <v>1054990766</v>
      </c>
      <c r="C1757" s="0" t="n">
        <v>751</v>
      </c>
    </row>
    <row r="1758" customFormat="false" ht="14.25" hidden="false" customHeight="false" outlineLevel="0" collapsed="false">
      <c r="A1758" s="0" t="n">
        <v>1</v>
      </c>
      <c r="B1758" s="0" t="n">
        <v>1112880193</v>
      </c>
      <c r="C1758" s="0" t="n">
        <v>851</v>
      </c>
    </row>
    <row r="1759" customFormat="false" ht="14.25" hidden="false" customHeight="false" outlineLevel="0" collapsed="false">
      <c r="A1759" s="0" t="n">
        <v>1</v>
      </c>
      <c r="B1759" s="0" t="n">
        <v>1113514036</v>
      </c>
      <c r="C1759" s="0" t="n">
        <v>647</v>
      </c>
    </row>
    <row r="1760" customFormat="false" ht="14.25" hidden="false" customHeight="false" outlineLevel="0" collapsed="false">
      <c r="A1760" s="0" t="n">
        <v>1</v>
      </c>
      <c r="B1760" s="0" t="n">
        <v>1144074598</v>
      </c>
      <c r="C1760" s="0" t="n">
        <v>756</v>
      </c>
    </row>
    <row r="1761" customFormat="false" ht="14.25" hidden="false" customHeight="false" outlineLevel="0" collapsed="false">
      <c r="A1761" s="0" t="n">
        <v>1</v>
      </c>
      <c r="B1761" s="0" t="n">
        <v>1143863483</v>
      </c>
      <c r="C1761" s="0" t="n">
        <v>700</v>
      </c>
    </row>
    <row r="1762" customFormat="false" ht="14.25" hidden="false" customHeight="false" outlineLevel="0" collapsed="false">
      <c r="A1762" s="0" t="n">
        <v>1</v>
      </c>
      <c r="B1762" s="0" t="n">
        <v>34516193</v>
      </c>
      <c r="C1762" s="0" t="n">
        <v>966</v>
      </c>
    </row>
    <row r="1763" customFormat="false" ht="14.25" hidden="false" customHeight="false" outlineLevel="0" collapsed="false">
      <c r="A1763" s="0" t="n">
        <v>1</v>
      </c>
      <c r="B1763" s="0" t="n">
        <v>1144164907</v>
      </c>
      <c r="C1763" s="0" t="n">
        <v>898</v>
      </c>
    </row>
    <row r="1764" customFormat="false" ht="14.25" hidden="false" customHeight="false" outlineLevel="0" collapsed="false">
      <c r="A1764" s="0" t="n">
        <v>1</v>
      </c>
      <c r="B1764" s="0" t="n">
        <v>29182965</v>
      </c>
      <c r="C1764" s="0" t="n">
        <v>862</v>
      </c>
    </row>
    <row r="1765" customFormat="false" ht="14.25" hidden="false" customHeight="false" outlineLevel="0" collapsed="false">
      <c r="A1765" s="0" t="n">
        <v>1</v>
      </c>
      <c r="B1765" s="0" t="n">
        <v>1113516050</v>
      </c>
      <c r="C1765" s="0" t="n">
        <v>788</v>
      </c>
    </row>
    <row r="1766" customFormat="false" ht="14.25" hidden="false" customHeight="false" outlineLevel="0" collapsed="false">
      <c r="A1766" s="0" t="n">
        <v>1</v>
      </c>
      <c r="B1766" s="0" t="n">
        <v>1002806316</v>
      </c>
      <c r="C1766" s="0" t="n">
        <v>683</v>
      </c>
    </row>
    <row r="1767" customFormat="false" ht="14.25" hidden="false" customHeight="false" outlineLevel="0" collapsed="false">
      <c r="A1767" s="0" t="n">
        <v>1</v>
      </c>
      <c r="B1767" s="0" t="n">
        <v>1010109955</v>
      </c>
      <c r="C1767" s="0" t="n">
        <v>762</v>
      </c>
    </row>
    <row r="1768" customFormat="false" ht="14.25" hidden="false" customHeight="false" outlineLevel="0" collapsed="false">
      <c r="A1768" s="0" t="n">
        <v>1</v>
      </c>
      <c r="B1768" s="0" t="n">
        <v>1144207702</v>
      </c>
      <c r="C1768" s="0" t="n">
        <v>705</v>
      </c>
    </row>
    <row r="1769" customFormat="false" ht="14.25" hidden="false" customHeight="false" outlineLevel="0" collapsed="false">
      <c r="A1769" s="0" t="n">
        <v>1</v>
      </c>
      <c r="B1769" s="0" t="n">
        <v>66822359</v>
      </c>
      <c r="C1769" s="0" t="n">
        <v>848</v>
      </c>
    </row>
    <row r="1770" customFormat="false" ht="14.25" hidden="false" customHeight="false" outlineLevel="0" collapsed="false">
      <c r="A1770" s="0" t="n">
        <v>1</v>
      </c>
      <c r="B1770" s="0" t="n">
        <v>24713592</v>
      </c>
      <c r="C1770" s="0" t="n">
        <v>689</v>
      </c>
    </row>
    <row r="1771" customFormat="false" ht="14.25" hidden="false" customHeight="false" outlineLevel="0" collapsed="false">
      <c r="A1771" s="0" t="n">
        <v>1</v>
      </c>
      <c r="B1771" s="0" t="n">
        <v>1144192371</v>
      </c>
      <c r="C1771" s="0" t="n">
        <v>651</v>
      </c>
    </row>
    <row r="1772" customFormat="false" ht="14.25" hidden="false" customHeight="false" outlineLevel="0" collapsed="false">
      <c r="A1772" s="0" t="n">
        <v>1</v>
      </c>
      <c r="B1772" s="0" t="n">
        <v>29307666</v>
      </c>
      <c r="C1772" s="0" t="n">
        <v>915</v>
      </c>
    </row>
    <row r="1773" customFormat="false" ht="14.25" hidden="false" customHeight="false" outlineLevel="0" collapsed="false">
      <c r="A1773" s="0" t="n">
        <v>1</v>
      </c>
      <c r="B1773" s="0" t="n">
        <v>1143873178</v>
      </c>
      <c r="C1773" s="0" t="n">
        <v>793</v>
      </c>
    </row>
    <row r="1774" customFormat="false" ht="14.25" hidden="false" customHeight="false" outlineLevel="0" collapsed="false">
      <c r="A1774" s="0" t="n">
        <v>1</v>
      </c>
      <c r="B1774" s="0" t="n">
        <v>16849166</v>
      </c>
      <c r="C1774" s="0" t="n">
        <v>748</v>
      </c>
    </row>
    <row r="1775" customFormat="false" ht="14.25" hidden="false" customHeight="false" outlineLevel="0" collapsed="false">
      <c r="A1775" s="0" t="n">
        <v>1</v>
      </c>
      <c r="B1775" s="0" t="n">
        <v>1144140025</v>
      </c>
      <c r="C1775" s="0" t="n">
        <v>748</v>
      </c>
    </row>
    <row r="1776" customFormat="false" ht="14.25" hidden="false" customHeight="false" outlineLevel="0" collapsed="false">
      <c r="A1776" s="0" t="n">
        <v>1</v>
      </c>
      <c r="B1776" s="0" t="n">
        <v>1116131228</v>
      </c>
      <c r="C1776" s="0" t="n">
        <v>642</v>
      </c>
    </row>
    <row r="1777" customFormat="false" ht="14.25" hidden="false" customHeight="false" outlineLevel="0" collapsed="false">
      <c r="A1777" s="0" t="n">
        <v>1</v>
      </c>
      <c r="B1777" s="0" t="n">
        <v>1144188979</v>
      </c>
      <c r="C1777" s="0" t="n">
        <v>686</v>
      </c>
    </row>
    <row r="1778" customFormat="false" ht="14.25" hidden="false" customHeight="false" outlineLevel="0" collapsed="false">
      <c r="A1778" s="0" t="n">
        <v>1</v>
      </c>
      <c r="B1778" s="0" t="n">
        <v>1144169886</v>
      </c>
      <c r="C1778" s="0" t="n">
        <v>841</v>
      </c>
    </row>
    <row r="1779" customFormat="false" ht="14.25" hidden="false" customHeight="false" outlineLevel="0" collapsed="false">
      <c r="A1779" s="0" t="n">
        <v>1</v>
      </c>
      <c r="B1779" s="0" t="n">
        <v>1144026358</v>
      </c>
      <c r="C1779" s="0" t="n">
        <v>688</v>
      </c>
    </row>
    <row r="1780" customFormat="false" ht="14.25" hidden="false" customHeight="false" outlineLevel="0" collapsed="false">
      <c r="A1780" s="0" t="n">
        <v>1</v>
      </c>
      <c r="B1780" s="0" t="n">
        <v>1107528932</v>
      </c>
      <c r="C1780" s="0" t="n">
        <v>837</v>
      </c>
    </row>
    <row r="1781" customFormat="false" ht="14.25" hidden="false" customHeight="false" outlineLevel="0" collapsed="false">
      <c r="A1781" s="0" t="n">
        <v>1</v>
      </c>
      <c r="B1781" s="0" t="n">
        <v>16940638</v>
      </c>
      <c r="C1781" s="0" t="n">
        <v>758</v>
      </c>
    </row>
    <row r="1782" customFormat="false" ht="14.25" hidden="false" customHeight="false" outlineLevel="0" collapsed="false">
      <c r="A1782" s="0" t="n">
        <v>1</v>
      </c>
      <c r="B1782" s="0" t="n">
        <v>1144097364</v>
      </c>
      <c r="C1782" s="0" t="n">
        <v>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1:AK39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6" activeCellId="0" sqref="G6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1.33"/>
    <col collapsed="false" customWidth="true" hidden="false" outlineLevel="0" max="2" min="2" style="197" width="12.44"/>
    <col collapsed="false" customWidth="true" hidden="false" outlineLevel="0" max="3" min="3" style="197" width="44"/>
    <col collapsed="false" customWidth="true" hidden="false" outlineLevel="0" max="4" min="4" style="197" width="30.88"/>
    <col collapsed="false" customWidth="true" hidden="false" outlineLevel="0" max="5" min="5" style="198" width="15.33"/>
    <col collapsed="false" customWidth="true" hidden="false" outlineLevel="0" max="6" min="6" style="198" width="11.33"/>
    <col collapsed="false" customWidth="true" hidden="false" outlineLevel="0" max="7" min="7" style="199" width="13.56"/>
    <col collapsed="false" customWidth="true" hidden="false" outlineLevel="0" max="8" min="8" style="199" width="14.11"/>
    <col collapsed="false" customWidth="true" hidden="false" outlineLevel="0" max="9" min="9" style="199" width="16.56"/>
    <col collapsed="false" customWidth="true" hidden="false" outlineLevel="0" max="10" min="10" style="198" width="7.33"/>
    <col collapsed="false" customWidth="true" hidden="false" outlineLevel="0" max="11" min="11" style="198" width="15.56"/>
    <col collapsed="false" customWidth="true" hidden="false" outlineLevel="0" max="12" min="12" style="200" width="23.11"/>
    <col collapsed="false" customWidth="true" hidden="false" outlineLevel="0" max="13" min="13" style="200" width="18"/>
    <col collapsed="false" customWidth="true" hidden="false" outlineLevel="0" max="14" min="14" style="198" width="16.67"/>
    <col collapsed="false" customWidth="true" hidden="false" outlineLevel="0" max="15" min="15" style="198" width="45.11"/>
    <col collapsed="false" customWidth="true" hidden="false" outlineLevel="0" max="16" min="16" style="201" width="12.67"/>
    <col collapsed="false" customWidth="true" hidden="false" outlineLevel="0" max="17" min="17" style="197" width="33.67"/>
    <col collapsed="false" customWidth="true" hidden="false" outlineLevel="0" max="18" min="18" style="11" width="46.56"/>
    <col collapsed="false" customWidth="true" hidden="false" outlineLevel="0" max="19" min="19" style="11" width="28.56"/>
    <col collapsed="false" customWidth="true" hidden="false" outlineLevel="0" max="20" min="20" style="11" width="19.11"/>
    <col collapsed="false" customWidth="true" hidden="false" outlineLevel="0" max="21" min="21" style="11" width="31"/>
    <col collapsed="false" customWidth="true" hidden="false" outlineLevel="0" max="22" min="22" style="11" width="37.11"/>
    <col collapsed="false" customWidth="true" hidden="false" outlineLevel="0" max="23" min="23" style="0" width="15"/>
    <col collapsed="false" customWidth="true" hidden="false" outlineLevel="0" max="24" min="24" style="0" width="23.44"/>
    <col collapsed="false" customWidth="true" hidden="false" outlineLevel="0" max="25" min="25" style="0" width="6.44"/>
    <col collapsed="false" customWidth="true" hidden="false" outlineLevel="0" max="26" min="26" style="0" width="6.33"/>
    <col collapsed="false" customWidth="true" hidden="false" outlineLevel="0" max="27" min="27" style="0" width="7.88"/>
    <col collapsed="false" customWidth="true" hidden="false" outlineLevel="0" max="28" min="28" style="0" width="14.33"/>
    <col collapsed="false" customWidth="true" hidden="false" outlineLevel="0" max="29" min="29" style="0" width="24.67"/>
    <col collapsed="false" customWidth="true" hidden="false" outlineLevel="0" max="30" min="30" style="0" width="23.11"/>
    <col collapsed="false" customWidth="true" hidden="false" outlineLevel="0" max="31" min="31" style="0" width="12.56"/>
    <col collapsed="false" customWidth="true" hidden="false" outlineLevel="0" max="32" min="32" style="0" width="12.67"/>
    <col collapsed="false" customWidth="true" hidden="false" outlineLevel="0" max="33" min="33" style="0" width="25"/>
    <col collapsed="false" customWidth="true" hidden="false" outlineLevel="0" max="34" min="34" style="0" width="48"/>
    <col collapsed="false" customWidth="true" hidden="false" outlineLevel="0" max="35" min="35" style="0" width="19.67"/>
    <col collapsed="false" customWidth="true" hidden="false" outlineLevel="0" max="37" min="37" style="0" width="22.88"/>
  </cols>
  <sheetData>
    <row r="1" customFormat="false" ht="17.35" hidden="false" customHeight="false" outlineLevel="0" collapsed="false">
      <c r="B1" s="136" t="s">
        <v>106</v>
      </c>
      <c r="C1" s="202"/>
      <c r="D1" s="1"/>
      <c r="E1" s="11"/>
      <c r="F1" s="11"/>
      <c r="G1" s="203"/>
      <c r="H1" s="203"/>
      <c r="I1" s="203"/>
      <c r="J1" s="11"/>
      <c r="K1" s="11"/>
      <c r="L1" s="200" t="n">
        <f aca="true">+TODAY()</f>
        <v>46154</v>
      </c>
      <c r="N1" s="11"/>
      <c r="O1" s="11"/>
      <c r="P1" s="204"/>
      <c r="S1" s="205" t="n">
        <f aca="true">+TODAY()</f>
        <v>46154</v>
      </c>
      <c r="AK1" s="206" t="s">
        <v>111</v>
      </c>
    </row>
    <row r="2" customFormat="false" ht="14.25" hidden="false" customHeight="false" outlineLevel="0" collapsed="false">
      <c r="B2" s="138" t="s">
        <v>918</v>
      </c>
      <c r="C2" s="1"/>
      <c r="D2" s="1"/>
      <c r="E2" s="11"/>
      <c r="F2" s="11"/>
      <c r="G2" s="203"/>
      <c r="H2" s="203"/>
      <c r="I2" s="203"/>
      <c r="J2" s="11"/>
      <c r="K2" s="11"/>
      <c r="L2" s="207" t="n">
        <f aca="false">+_xlfn.DAYS($L$1,L1049)/365</f>
        <v>3.16164383561644</v>
      </c>
      <c r="M2" s="207" t="n">
        <f aca="false">+_xlfn.DAYS($L$1,M1049)/365</f>
        <v>3.40821917808219</v>
      </c>
      <c r="N2" s="11"/>
      <c r="O2" s="11"/>
      <c r="P2" s="204"/>
      <c r="AK2" s="208" t="s">
        <v>919</v>
      </c>
    </row>
    <row r="3" customFormat="false" ht="14.25" hidden="false" customHeight="false" outlineLevel="0" collapsed="false">
      <c r="B3" s="138"/>
      <c r="C3" s="1"/>
      <c r="D3" s="1"/>
      <c r="E3" s="11"/>
      <c r="F3" s="11"/>
      <c r="G3" s="203"/>
      <c r="H3" s="203" t="n">
        <v>-1</v>
      </c>
      <c r="I3" s="203"/>
      <c r="J3" s="11"/>
      <c r="K3" s="11"/>
      <c r="L3" s="205"/>
      <c r="M3" s="205"/>
      <c r="N3" s="11"/>
      <c r="O3" s="11"/>
      <c r="P3" s="204"/>
      <c r="AK3" s="208"/>
    </row>
    <row r="4" customFormat="false" ht="14.25" hidden="false" customHeight="false" outlineLevel="0" collapsed="false">
      <c r="B4" s="209" t="s">
        <v>920</v>
      </c>
      <c r="C4" s="209"/>
      <c r="D4" s="209"/>
      <c r="E4" s="209"/>
      <c r="F4" s="209"/>
      <c r="G4" s="210"/>
      <c r="H4" s="210"/>
      <c r="I4" s="210"/>
      <c r="J4" s="211"/>
      <c r="K4" s="211"/>
      <c r="L4" s="212"/>
      <c r="M4" s="212"/>
      <c r="N4" s="211"/>
      <c r="O4" s="211"/>
      <c r="P4" s="213"/>
      <c r="Q4" s="214"/>
      <c r="R4" s="215" t="s">
        <v>921</v>
      </c>
      <c r="S4" s="215"/>
      <c r="T4" s="215"/>
      <c r="U4" s="215"/>
      <c r="V4" s="215"/>
      <c r="AK4" s="208" t="s">
        <v>922</v>
      </c>
    </row>
    <row r="5" customFormat="false" ht="14.25" hidden="false" customHeight="false" outlineLevel="0" collapsed="false">
      <c r="B5" s="216" t="s">
        <v>923</v>
      </c>
      <c r="C5" s="217" t="s">
        <v>924</v>
      </c>
      <c r="D5" s="217" t="s">
        <v>925</v>
      </c>
      <c r="E5" s="217" t="s">
        <v>926</v>
      </c>
      <c r="F5" s="217" t="s">
        <v>927</v>
      </c>
      <c r="G5" s="218" t="s">
        <v>901</v>
      </c>
      <c r="H5" s="218" t="s">
        <v>928</v>
      </c>
      <c r="I5" s="218" t="s">
        <v>929</v>
      </c>
      <c r="J5" s="217" t="s">
        <v>930</v>
      </c>
      <c r="K5" s="217" t="s">
        <v>931</v>
      </c>
      <c r="L5" s="219" t="s">
        <v>932</v>
      </c>
      <c r="M5" s="219" t="s">
        <v>933</v>
      </c>
      <c r="N5" s="217" t="s">
        <v>934</v>
      </c>
      <c r="O5" s="217" t="s">
        <v>935</v>
      </c>
      <c r="P5" s="220" t="s">
        <v>936</v>
      </c>
      <c r="Q5" s="221" t="s">
        <v>937</v>
      </c>
      <c r="R5" s="222" t="s">
        <v>110</v>
      </c>
      <c r="S5" s="223" t="s">
        <v>938</v>
      </c>
      <c r="T5" s="223" t="s">
        <v>939</v>
      </c>
      <c r="U5" s="223" t="s">
        <v>940</v>
      </c>
      <c r="V5" s="224" t="s">
        <v>941</v>
      </c>
    </row>
    <row r="6" customFormat="false" ht="14.25" hidden="false" customHeight="false" outlineLevel="0" collapsed="false">
      <c r="B6" s="197" t="n">
        <v>4661060</v>
      </c>
      <c r="C6" s="197" t="s">
        <v>942</v>
      </c>
      <c r="D6" s="197" t="s">
        <v>943</v>
      </c>
      <c r="E6" s="198" t="s">
        <v>944</v>
      </c>
      <c r="F6" s="198" t="s">
        <v>945</v>
      </c>
      <c r="G6" s="225" t="n">
        <v>2600900</v>
      </c>
      <c r="H6" s="225" t="n">
        <v>3332046</v>
      </c>
      <c r="I6" s="225" t="n">
        <v>7023445</v>
      </c>
      <c r="J6" s="198" t="n">
        <v>43</v>
      </c>
      <c r="K6" s="198" t="n">
        <v>2</v>
      </c>
      <c r="L6" s="226" t="n">
        <v>43654</v>
      </c>
      <c r="M6" s="226" t="n">
        <v>38875</v>
      </c>
      <c r="N6" s="227" t="n">
        <v>1</v>
      </c>
      <c r="O6" s="227" t="s">
        <v>135</v>
      </c>
      <c r="P6" s="228" t="n">
        <f aca="false">VLOOKUP(B6,'NIVEL ENERO'!A:D,3,0)</f>
        <v>0.393374581650773</v>
      </c>
      <c r="Q6" s="229" t="n">
        <f aca="false">VLOOKUP(B6,'NIVEL ENERO'!A:D,4,0)</f>
        <v>88218.54</v>
      </c>
      <c r="R6" s="186" t="str">
        <f aca="false">+PROPER(C6&amp;" "&amp;D6)</f>
        <v>Mina Roberto Carlos</v>
      </c>
      <c r="S6" s="230" t="n">
        <f aca="false">+YEARFRAC(L6,$S$1)</f>
        <v>6.84444444444444</v>
      </c>
      <c r="T6" s="230" t="n">
        <f aca="false">+YEARFRAC(M6,$S$1)</f>
        <v>19.9305555555556</v>
      </c>
      <c r="U6" s="231" t="n">
        <f aca="false">+$I6</f>
        <v>7023445</v>
      </c>
      <c r="V6" s="232" t="str">
        <f aca="false">+PROPER(F6)</f>
        <v>Union Libre</v>
      </c>
    </row>
    <row r="7" customFormat="false" ht="14.25" hidden="false" customHeight="false" outlineLevel="0" collapsed="false">
      <c r="B7" s="197" t="n">
        <v>4759062</v>
      </c>
      <c r="C7" s="197" t="s">
        <v>946</v>
      </c>
      <c r="D7" s="197" t="s">
        <v>947</v>
      </c>
      <c r="E7" s="198" t="s">
        <v>944</v>
      </c>
      <c r="F7" s="198" t="s">
        <v>948</v>
      </c>
      <c r="G7" s="225" t="n">
        <v>2100000</v>
      </c>
      <c r="H7" s="225" t="n">
        <v>13049396</v>
      </c>
      <c r="I7" s="225" t="n">
        <v>0</v>
      </c>
      <c r="J7" s="198" t="n">
        <v>66</v>
      </c>
      <c r="K7" s="198" t="n">
        <v>2</v>
      </c>
      <c r="L7" s="226" t="n">
        <v>39786</v>
      </c>
      <c r="M7" s="226" t="n">
        <v>34350</v>
      </c>
      <c r="N7" s="227" t="n">
        <v>4</v>
      </c>
      <c r="O7" s="227" t="s">
        <v>445</v>
      </c>
      <c r="P7" s="228" t="e">
        <f aca="false">VLOOKUP(B7,'NIVEL ENERO'!A:D,3,0)</f>
        <v>#N/A</v>
      </c>
      <c r="Q7" s="229" t="e">
        <f aca="false">VLOOKUP(B7,'NIVEL ENERO'!A:D,4,0)</f>
        <v>#N/A</v>
      </c>
      <c r="R7" s="186" t="str">
        <f aca="false">+PROPER(C7&amp;" "&amp;D7)</f>
        <v>Balanta Mina Genezaid</v>
      </c>
      <c r="S7" s="230" t="n">
        <f aca="false">+YEARFRAC(L7,$S$1)</f>
        <v>17.4388888888889</v>
      </c>
      <c r="T7" s="230" t="n">
        <f aca="false">+YEARFRAC(M7,$S$1)</f>
        <v>32.3222222222222</v>
      </c>
      <c r="U7" s="231" t="n">
        <f aca="false">+$I7</f>
        <v>0</v>
      </c>
      <c r="V7" s="232" t="str">
        <f aca="false">+PROPER(F7)</f>
        <v>Casado(A)</v>
      </c>
    </row>
    <row r="8" customFormat="false" ht="14.25" hidden="false" customHeight="false" outlineLevel="0" collapsed="false">
      <c r="B8" s="197" t="n">
        <v>5208653</v>
      </c>
      <c r="C8" s="197" t="s">
        <v>949</v>
      </c>
      <c r="D8" s="197" t="s">
        <v>950</v>
      </c>
      <c r="E8" s="198" t="s">
        <v>944</v>
      </c>
      <c r="F8" s="198" t="s">
        <v>948</v>
      </c>
      <c r="G8" s="225" t="n">
        <v>8245400</v>
      </c>
      <c r="H8" s="225" t="n">
        <v>3133300</v>
      </c>
      <c r="I8" s="225" t="n">
        <v>0</v>
      </c>
      <c r="J8" s="198" t="n">
        <v>44</v>
      </c>
      <c r="K8" s="198" t="n">
        <v>1</v>
      </c>
      <c r="L8" s="226" t="n">
        <v>43817</v>
      </c>
      <c r="M8" s="226" t="n">
        <v>43452</v>
      </c>
      <c r="N8" s="227" t="n">
        <v>2</v>
      </c>
      <c r="O8" s="227" t="s">
        <v>135</v>
      </c>
      <c r="P8" s="228" t="n">
        <f aca="false">VLOOKUP(B8,'NIVEL ENERO'!A:D,3,0)</f>
        <v>0.162654613435926</v>
      </c>
      <c r="Q8" s="229" t="n">
        <f aca="false">VLOOKUP(B8,'NIVEL ENERO'!A:D,4,0)</f>
        <v>2163256.9</v>
      </c>
      <c r="R8" s="186" t="str">
        <f aca="false">+PROPER(C8&amp;" "&amp;D8)</f>
        <v>Guerrero Rosero Jesus Orlando</v>
      </c>
      <c r="S8" s="230" t="n">
        <f aca="false">+YEARFRAC(L8,$S$1)</f>
        <v>6.4</v>
      </c>
      <c r="T8" s="230" t="n">
        <f aca="false">+YEARFRAC(M8,$S$1)</f>
        <v>7.4</v>
      </c>
      <c r="U8" s="231" t="n">
        <f aca="false">+$I8</f>
        <v>0</v>
      </c>
      <c r="V8" s="232" t="str">
        <f aca="false">+PROPER(F8)</f>
        <v>Casado(A)</v>
      </c>
    </row>
    <row r="9" customFormat="false" ht="14.25" hidden="false" customHeight="false" outlineLevel="0" collapsed="false">
      <c r="B9" s="197" t="n">
        <v>5824652</v>
      </c>
      <c r="C9" s="197" t="s">
        <v>951</v>
      </c>
      <c r="D9" s="197" t="s">
        <v>952</v>
      </c>
      <c r="E9" s="198" t="s">
        <v>944</v>
      </c>
      <c r="F9" s="198" t="s">
        <v>953</v>
      </c>
      <c r="G9" s="225" t="n">
        <v>2089800</v>
      </c>
      <c r="H9" s="225" t="n">
        <v>5329875</v>
      </c>
      <c r="I9" s="225" t="n">
        <v>7507873</v>
      </c>
      <c r="J9" s="198" t="n">
        <v>43</v>
      </c>
      <c r="K9" s="198" t="n">
        <v>2</v>
      </c>
      <c r="L9" s="226" t="n">
        <v>43817</v>
      </c>
      <c r="M9" s="226" t="n">
        <v>40344</v>
      </c>
      <c r="N9" s="227" t="n">
        <v>3</v>
      </c>
      <c r="O9" s="227" t="s">
        <v>135</v>
      </c>
      <c r="P9" s="228" t="n">
        <f aca="false">VLOOKUP(B9,'NIVEL ENERO'!A:D,3,0)</f>
        <v>0.482230875362874</v>
      </c>
      <c r="Q9" s="229" t="n">
        <f aca="false">VLOOKUP(B9,'NIVEL ENERO'!A:D,4,0)</f>
        <v>-222943</v>
      </c>
      <c r="R9" s="186" t="str">
        <f aca="false">+PROPER(C9&amp;" "&amp;D9)</f>
        <v>Carvajal Jimenez Carlos Andres</v>
      </c>
      <c r="S9" s="230" t="n">
        <f aca="false">+YEARFRAC(L9,$S$1)</f>
        <v>6.4</v>
      </c>
      <c r="T9" s="230" t="n">
        <f aca="false">+YEARFRAC(M9,$S$1)</f>
        <v>15.9083333333333</v>
      </c>
      <c r="U9" s="231" t="n">
        <f aca="false">+$I9</f>
        <v>7507873</v>
      </c>
      <c r="V9" s="232" t="str">
        <f aca="false">+PROPER(F9)</f>
        <v>Soltero(A)</v>
      </c>
    </row>
    <row r="10" customFormat="false" ht="14.25" hidden="false" customHeight="false" outlineLevel="0" collapsed="false">
      <c r="B10" s="197" t="n">
        <v>6098612</v>
      </c>
      <c r="C10" s="197" t="s">
        <v>954</v>
      </c>
      <c r="D10" s="197" t="s">
        <v>955</v>
      </c>
      <c r="E10" s="198" t="s">
        <v>944</v>
      </c>
      <c r="F10" s="198" t="s">
        <v>948</v>
      </c>
      <c r="G10" s="225" t="n">
        <v>1625000</v>
      </c>
      <c r="H10" s="225" t="n">
        <v>1180060</v>
      </c>
      <c r="I10" s="225" t="n">
        <v>95250</v>
      </c>
      <c r="J10" s="198" t="n">
        <v>45</v>
      </c>
      <c r="K10" s="198" t="n">
        <v>1</v>
      </c>
      <c r="L10" s="226" t="n">
        <v>45096</v>
      </c>
      <c r="M10" s="226" t="n">
        <v>44964</v>
      </c>
      <c r="N10" s="227" t="n">
        <v>0</v>
      </c>
      <c r="O10" s="227" t="s">
        <v>135</v>
      </c>
      <c r="P10" s="228" t="n">
        <f aca="false">VLOOKUP(B10,'NIVEL ENERO'!A:D,3,0)</f>
        <v>0.401997895384615</v>
      </c>
      <c r="Q10" s="229" t="n">
        <f aca="false">VLOOKUP(B10,'NIVEL ENERO'!A:D,4,0)</f>
        <v>69651</v>
      </c>
      <c r="R10" s="186" t="str">
        <f aca="false">+PROPER(C10&amp;" "&amp;D10)</f>
        <v>Toro Garcia John Fabio</v>
      </c>
      <c r="S10" s="230" t="n">
        <f aca="false">+YEARFRAC(L10,$S$1)</f>
        <v>2.89722222222222</v>
      </c>
      <c r="T10" s="230" t="n">
        <f aca="false">+YEARFRAC(M10,$S$1)</f>
        <v>3.26388888888889</v>
      </c>
      <c r="U10" s="231" t="n">
        <f aca="false">+$I10</f>
        <v>95250</v>
      </c>
      <c r="V10" s="232" t="str">
        <f aca="false">+PROPER(F10)</f>
        <v>Casado(A)</v>
      </c>
    </row>
    <row r="11" customFormat="false" ht="14.25" hidden="false" customHeight="false" outlineLevel="0" collapsed="false">
      <c r="B11" s="197" t="n">
        <v>6135820</v>
      </c>
      <c r="C11" s="197" t="s">
        <v>956</v>
      </c>
      <c r="D11" s="197" t="s">
        <v>957</v>
      </c>
      <c r="E11" s="198" t="s">
        <v>944</v>
      </c>
      <c r="F11" s="198" t="s">
        <v>953</v>
      </c>
      <c r="G11" s="225" t="n">
        <v>8245400</v>
      </c>
      <c r="H11" s="225" t="n">
        <v>7465998</v>
      </c>
      <c r="I11" s="225" t="n">
        <v>2911197</v>
      </c>
      <c r="J11" s="198" t="n">
        <v>43</v>
      </c>
      <c r="K11" s="198" t="n">
        <v>1</v>
      </c>
      <c r="L11" s="226" t="n">
        <v>42074</v>
      </c>
      <c r="M11" s="226" t="n">
        <v>42065</v>
      </c>
      <c r="N11" s="227" t="n">
        <v>2</v>
      </c>
      <c r="O11" s="227" t="s">
        <v>135</v>
      </c>
      <c r="P11" s="228" t="n">
        <f aca="false">VLOOKUP(B11,'NIVEL ENERO'!A:D,3,0)</f>
        <v>0.252861941272818</v>
      </c>
      <c r="Q11" s="229" t="n">
        <f aca="false">VLOOKUP(B11,'NIVEL ENERO'!A:D,4,0)</f>
        <v>1408205</v>
      </c>
      <c r="R11" s="186" t="str">
        <f aca="false">+PROPER(C11&amp;" "&amp;D11)</f>
        <v>Rojas Garcia Alexander</v>
      </c>
      <c r="S11" s="230" t="n">
        <f aca="false">+YEARFRAC(L11,$S$1)</f>
        <v>11.1694444444444</v>
      </c>
      <c r="T11" s="230" t="n">
        <f aca="false">+YEARFRAC(M11,$S$1)</f>
        <v>11.1944444444444</v>
      </c>
      <c r="U11" s="231" t="n">
        <f aca="false">+$I11</f>
        <v>2911197</v>
      </c>
      <c r="V11" s="232" t="str">
        <f aca="false">+PROPER(F11)</f>
        <v>Soltero(A)</v>
      </c>
    </row>
    <row r="12" customFormat="false" ht="14.25" hidden="false" customHeight="false" outlineLevel="0" collapsed="false">
      <c r="B12" s="197" t="n">
        <v>6199680</v>
      </c>
      <c r="C12" s="197" t="s">
        <v>958</v>
      </c>
      <c r="D12" s="197" t="s">
        <v>959</v>
      </c>
      <c r="E12" s="198" t="s">
        <v>944</v>
      </c>
      <c r="F12" s="198" t="s">
        <v>948</v>
      </c>
      <c r="G12" s="225" t="n">
        <v>6247700</v>
      </c>
      <c r="H12" s="225" t="n">
        <v>3492610</v>
      </c>
      <c r="I12" s="225" t="n">
        <v>0</v>
      </c>
      <c r="J12" s="198" t="n">
        <v>44</v>
      </c>
      <c r="K12" s="198" t="n">
        <v>6</v>
      </c>
      <c r="L12" s="226" t="n">
        <v>43333</v>
      </c>
      <c r="M12" s="226" t="n">
        <v>40554</v>
      </c>
      <c r="N12" s="227" t="n">
        <v>4</v>
      </c>
      <c r="O12" s="227" t="s">
        <v>135</v>
      </c>
      <c r="P12" s="228" t="n">
        <f aca="false">VLOOKUP(B12,'NIVEL ENERO'!A:D,3,0)</f>
        <v>0.378014361102488</v>
      </c>
      <c r="Q12" s="229" t="n">
        <f aca="false">VLOOKUP(B12,'NIVEL ENERO'!A:D,4,0)</f>
        <v>315230.64</v>
      </c>
      <c r="R12" s="186" t="str">
        <f aca="false">+PROPER(C12&amp;" "&amp;D12)</f>
        <v>Gomez Grisales Alvaro Hernan</v>
      </c>
      <c r="S12" s="230" t="n">
        <f aca="false">+YEARFRAC(L12,$S$1)</f>
        <v>7.725</v>
      </c>
      <c r="T12" s="230" t="n">
        <f aca="false">+YEARFRAC(M12,$S$1)</f>
        <v>15.3361111111111</v>
      </c>
      <c r="U12" s="231" t="n">
        <f aca="false">+$I12</f>
        <v>0</v>
      </c>
      <c r="V12" s="232" t="str">
        <f aca="false">+PROPER(F12)</f>
        <v>Casado(A)</v>
      </c>
    </row>
    <row r="13" customFormat="false" ht="14.25" hidden="false" customHeight="false" outlineLevel="0" collapsed="false">
      <c r="B13" s="197" t="n">
        <v>6355880</v>
      </c>
      <c r="C13" s="197" t="s">
        <v>960</v>
      </c>
      <c r="D13" s="197" t="s">
        <v>961</v>
      </c>
      <c r="E13" s="198" t="s">
        <v>944</v>
      </c>
      <c r="F13" s="198" t="s">
        <v>948</v>
      </c>
      <c r="G13" s="225" t="n">
        <v>2298000</v>
      </c>
      <c r="H13" s="225" t="n">
        <v>5711566</v>
      </c>
      <c r="I13" s="225" t="n">
        <v>0</v>
      </c>
      <c r="J13" s="198" t="n">
        <v>68</v>
      </c>
      <c r="K13" s="198" t="n">
        <v>2</v>
      </c>
      <c r="L13" s="226" t="n">
        <v>41733</v>
      </c>
      <c r="M13" s="226" t="n">
        <v>41733</v>
      </c>
      <c r="N13" s="227" t="n">
        <v>2</v>
      </c>
      <c r="O13" s="227" t="s">
        <v>445</v>
      </c>
      <c r="P13" s="228" t="e">
        <f aca="false">VLOOKUP(B13,'NIVEL ENERO'!A:D,3,0)</f>
        <v>#N/A</v>
      </c>
      <c r="Q13" s="229" t="e">
        <f aca="false">VLOOKUP(B13,'NIVEL ENERO'!A:D,4,0)</f>
        <v>#N/A</v>
      </c>
      <c r="R13" s="186" t="str">
        <f aca="false">+PROPER(C13&amp;" "&amp;D13)</f>
        <v>Mondragon Gordillo Fernelly</v>
      </c>
      <c r="S13" s="230" t="n">
        <f aca="false">+YEARFRAC(L13,$S$1)</f>
        <v>12.1055555555556</v>
      </c>
      <c r="T13" s="230" t="n">
        <f aca="false">+YEARFRAC(M13,$S$1)</f>
        <v>12.1055555555556</v>
      </c>
      <c r="U13" s="231" t="n">
        <f aca="false">+$I13</f>
        <v>0</v>
      </c>
      <c r="V13" s="232" t="str">
        <f aca="false">+PROPER(F13)</f>
        <v>Casado(A)</v>
      </c>
    </row>
    <row r="14" customFormat="false" ht="14.25" hidden="false" customHeight="false" outlineLevel="0" collapsed="false">
      <c r="B14" s="197" t="n">
        <v>6391199</v>
      </c>
      <c r="C14" s="197" t="s">
        <v>962</v>
      </c>
      <c r="D14" s="197" t="s">
        <v>963</v>
      </c>
      <c r="E14" s="198" t="s">
        <v>944</v>
      </c>
      <c r="F14" s="198" t="s">
        <v>948</v>
      </c>
      <c r="G14" s="225" t="n">
        <v>2916600</v>
      </c>
      <c r="H14" s="225" t="n">
        <v>4613628</v>
      </c>
      <c r="I14" s="225" t="n">
        <v>3516540</v>
      </c>
      <c r="J14" s="198" t="n">
        <v>43</v>
      </c>
      <c r="K14" s="198" t="n">
        <v>4</v>
      </c>
      <c r="L14" s="226" t="n">
        <v>44636</v>
      </c>
      <c r="M14" s="226" t="n">
        <v>40436</v>
      </c>
      <c r="N14" s="227" t="n">
        <v>4</v>
      </c>
      <c r="O14" s="227" t="s">
        <v>135</v>
      </c>
      <c r="P14" s="228" t="n">
        <f aca="false">VLOOKUP(B14,'NIVEL ENERO'!A:D,3,0)</f>
        <v>0.350001980533463</v>
      </c>
      <c r="Q14" s="229" t="n">
        <f aca="false">VLOOKUP(B14,'NIVEL ENERO'!A:D,4,0)</f>
        <v>276853.6</v>
      </c>
      <c r="R14" s="186" t="str">
        <f aca="false">+PROPER(C14&amp;" "&amp;D14)</f>
        <v>Andrade Blanco Luis Fernando</v>
      </c>
      <c r="S14" s="230" t="n">
        <f aca="false">+YEARFRAC(L14,$S$1)</f>
        <v>4.15555555555556</v>
      </c>
      <c r="T14" s="230" t="n">
        <f aca="false">+YEARFRAC(M14,$S$1)</f>
        <v>15.6583333333333</v>
      </c>
      <c r="U14" s="231" t="n">
        <f aca="false">+$I14</f>
        <v>3516540</v>
      </c>
      <c r="V14" s="232" t="str">
        <f aca="false">+PROPER(F14)</f>
        <v>Casado(A)</v>
      </c>
    </row>
    <row r="15" customFormat="false" ht="14.25" hidden="false" customHeight="false" outlineLevel="0" collapsed="false">
      <c r="B15" s="197" t="n">
        <v>6393613</v>
      </c>
      <c r="C15" s="197" t="s">
        <v>964</v>
      </c>
      <c r="D15" s="197" t="s">
        <v>965</v>
      </c>
      <c r="E15" s="198" t="s">
        <v>944</v>
      </c>
      <c r="F15" s="198" t="s">
        <v>945</v>
      </c>
      <c r="G15" s="225" t="n">
        <v>18113200</v>
      </c>
      <c r="H15" s="225" t="n">
        <v>3444817</v>
      </c>
      <c r="I15" s="225" t="n">
        <v>61558704</v>
      </c>
      <c r="J15" s="198" t="n">
        <v>43</v>
      </c>
      <c r="K15" s="198" t="n">
        <v>4</v>
      </c>
      <c r="L15" s="226" t="n">
        <v>45096</v>
      </c>
      <c r="M15" s="226" t="n">
        <v>42121</v>
      </c>
      <c r="N15" s="227" t="n">
        <v>0</v>
      </c>
      <c r="O15" s="227" t="s">
        <v>135</v>
      </c>
      <c r="P15" s="228" t="n">
        <f aca="false">VLOOKUP(B15,'NIVEL ENERO'!A:D,3,0)</f>
        <v>0.383887668886238</v>
      </c>
      <c r="Q15" s="229" t="n">
        <f aca="false">VLOOKUP(B15,'NIVEL ENERO'!A:D,4,0)</f>
        <v>755956.4</v>
      </c>
      <c r="R15" s="186" t="str">
        <f aca="false">+PROPER(C15&amp;" "&amp;D15)</f>
        <v>Toro Correa Jose Joaquin</v>
      </c>
      <c r="S15" s="230" t="n">
        <f aca="false">+YEARFRAC(L15,$S$1)</f>
        <v>2.89722222222222</v>
      </c>
      <c r="T15" s="230" t="n">
        <f aca="false">+YEARFRAC(M15,$S$1)</f>
        <v>11.0416666666667</v>
      </c>
      <c r="U15" s="231" t="n">
        <f aca="false">+$I15</f>
        <v>61558704</v>
      </c>
      <c r="V15" s="232" t="str">
        <f aca="false">+PROPER(F15)</f>
        <v>Union Libre</v>
      </c>
    </row>
    <row r="16" customFormat="false" ht="14.25" hidden="false" customHeight="false" outlineLevel="0" collapsed="false">
      <c r="B16" s="197" t="n">
        <v>6537914</v>
      </c>
      <c r="C16" s="197" t="s">
        <v>966</v>
      </c>
      <c r="D16" s="197" t="s">
        <v>967</v>
      </c>
      <c r="E16" s="198" t="s">
        <v>968</v>
      </c>
      <c r="F16" s="198" t="s">
        <v>953</v>
      </c>
      <c r="G16" s="225" t="n">
        <v>8245400</v>
      </c>
      <c r="H16" s="225" t="n">
        <v>2011731</v>
      </c>
      <c r="I16" s="225" t="n">
        <v>3143167</v>
      </c>
      <c r="J16" s="198" t="n">
        <v>44</v>
      </c>
      <c r="K16" s="198" t="n">
        <v>2</v>
      </c>
      <c r="L16" s="226" t="n">
        <v>44579</v>
      </c>
      <c r="M16" s="226" t="n">
        <v>40148</v>
      </c>
      <c r="N16" s="227" t="n">
        <v>4</v>
      </c>
      <c r="O16" s="227" t="s">
        <v>135</v>
      </c>
      <c r="P16" s="228" t="n">
        <f aca="false">VLOOKUP(B16,'NIVEL ENERO'!A:D,3,0)</f>
        <v>0.164202100565164</v>
      </c>
      <c r="Q16" s="229" t="n">
        <f aca="false">VLOOKUP(B16,'NIVEL ENERO'!A:D,4,0)</f>
        <v>2109156</v>
      </c>
      <c r="R16" s="186" t="str">
        <f aca="false">+PROPER(C16&amp;" "&amp;D16)</f>
        <v>Delgado Alvarez Alexis</v>
      </c>
      <c r="S16" s="230" t="n">
        <f aca="false">+YEARFRAC(L16,$S$1)</f>
        <v>4.31666666666667</v>
      </c>
      <c r="T16" s="230" t="n">
        <f aca="false">+YEARFRAC(M16,$S$1)</f>
        <v>16.4472222222222</v>
      </c>
      <c r="U16" s="231" t="n">
        <f aca="false">+$I16</f>
        <v>3143167</v>
      </c>
      <c r="V16" s="232" t="str">
        <f aca="false">+PROPER(F16)</f>
        <v>Soltero(A)</v>
      </c>
    </row>
    <row r="17" customFormat="false" ht="14.25" hidden="false" customHeight="false" outlineLevel="0" collapsed="false">
      <c r="B17" s="197" t="n">
        <v>6550905</v>
      </c>
      <c r="C17" s="197" t="s">
        <v>969</v>
      </c>
      <c r="D17" s="197" t="s">
        <v>970</v>
      </c>
      <c r="E17" s="198" t="s">
        <v>944</v>
      </c>
      <c r="F17" s="198" t="s">
        <v>945</v>
      </c>
      <c r="G17" s="225" t="n">
        <v>4870200</v>
      </c>
      <c r="H17" s="225" t="n">
        <v>1600537</v>
      </c>
      <c r="I17" s="225" t="n">
        <v>1389409</v>
      </c>
      <c r="J17" s="198" t="n">
        <v>40</v>
      </c>
      <c r="K17" s="198" t="n">
        <v>3</v>
      </c>
      <c r="L17" s="226" t="n">
        <v>45191</v>
      </c>
      <c r="M17" s="226" t="n">
        <v>41593</v>
      </c>
      <c r="N17" s="227" t="n">
        <v>0</v>
      </c>
      <c r="O17" s="227" t="s">
        <v>135</v>
      </c>
      <c r="P17" s="228" t="n">
        <f aca="false">VLOOKUP(B17,'NIVEL ENERO'!A:D,3,0)</f>
        <v>0.359959545547133</v>
      </c>
      <c r="Q17" s="229" t="n">
        <f aca="false">VLOOKUP(B17,'NIVEL ENERO'!A:D,4,0)</f>
        <v>391637.36</v>
      </c>
      <c r="R17" s="186" t="str">
        <f aca="false">+PROPER(C17&amp;" "&amp;D17)</f>
        <v>Vidal Bueno Jorge Hernan</v>
      </c>
      <c r="S17" s="230" t="n">
        <f aca="false">+YEARFRAC(L17,$S$1)</f>
        <v>2.63888888888889</v>
      </c>
      <c r="T17" s="230" t="n">
        <f aca="false">+YEARFRAC(M17,$S$1)</f>
        <v>12.4916666666667</v>
      </c>
      <c r="U17" s="231" t="n">
        <f aca="false">+$I17</f>
        <v>1389409</v>
      </c>
      <c r="V17" s="232" t="str">
        <f aca="false">+PROPER(F17)</f>
        <v>Union Libre</v>
      </c>
    </row>
    <row r="18" customFormat="false" ht="14.25" hidden="false" customHeight="false" outlineLevel="0" collapsed="false">
      <c r="B18" s="197" t="n">
        <v>9292583</v>
      </c>
      <c r="C18" s="197" t="s">
        <v>971</v>
      </c>
      <c r="D18" s="197" t="s">
        <v>972</v>
      </c>
      <c r="E18" s="198" t="s">
        <v>944</v>
      </c>
      <c r="F18" s="198" t="s">
        <v>948</v>
      </c>
      <c r="G18" s="225" t="n">
        <v>5679200</v>
      </c>
      <c r="H18" s="225" t="n">
        <v>2304741</v>
      </c>
      <c r="I18" s="225"/>
      <c r="J18" s="198" t="n">
        <v>47</v>
      </c>
      <c r="K18" s="198" t="n">
        <v>1</v>
      </c>
      <c r="L18" s="226" t="n">
        <v>44977</v>
      </c>
      <c r="M18" s="226" t="n">
        <v>40954</v>
      </c>
      <c r="N18" s="227" t="n">
        <v>0</v>
      </c>
      <c r="O18" s="227" t="s">
        <v>135</v>
      </c>
      <c r="P18" s="228" t="n">
        <f aca="false">VLOOKUP(B18,'NIVEL ENERO'!A:D,3,0)</f>
        <v>0.267605429694423</v>
      </c>
      <c r="Q18" s="229" t="n">
        <f aca="false">VLOOKUP(B18,'NIVEL ENERO'!A:D,4,0)</f>
        <v>1461723</v>
      </c>
      <c r="R18" s="186" t="str">
        <f aca="false">+PROPER(C18&amp;" "&amp;D18)</f>
        <v>Lambrano Barrera Rafael Armando</v>
      </c>
      <c r="S18" s="230" t="n">
        <f aca="false">+YEARFRAC(L18,$S$1)</f>
        <v>3.22777777777778</v>
      </c>
      <c r="T18" s="230" t="n">
        <f aca="false">+YEARFRAC(M18,$S$1)</f>
        <v>14.2416666666667</v>
      </c>
      <c r="U18" s="231" t="n">
        <f aca="false">+$I18</f>
        <v>0</v>
      </c>
      <c r="V18" s="232" t="str">
        <f aca="false">+PROPER(F18)</f>
        <v>Casado(A)</v>
      </c>
    </row>
    <row r="19" customFormat="false" ht="14.25" hidden="false" customHeight="false" outlineLevel="0" collapsed="false">
      <c r="B19" s="197" t="n">
        <v>10280915</v>
      </c>
      <c r="C19" s="197" t="s">
        <v>973</v>
      </c>
      <c r="D19" s="197" t="s">
        <v>974</v>
      </c>
      <c r="E19" s="198" t="s">
        <v>944</v>
      </c>
      <c r="F19" s="198" t="s">
        <v>948</v>
      </c>
      <c r="G19" s="225" t="n">
        <v>19690900</v>
      </c>
      <c r="H19" s="225" t="n">
        <v>5133080</v>
      </c>
      <c r="I19" s="225" t="n">
        <v>3963132</v>
      </c>
      <c r="J19" s="198" t="n">
        <v>56</v>
      </c>
      <c r="K19" s="198" t="n">
        <v>6</v>
      </c>
      <c r="L19" s="226" t="n">
        <v>37987</v>
      </c>
      <c r="M19" s="226" t="n">
        <v>36913</v>
      </c>
      <c r="N19" s="227" t="n">
        <v>2</v>
      </c>
      <c r="O19" s="227" t="s">
        <v>135</v>
      </c>
      <c r="P19" s="228" t="n">
        <f aca="false">VLOOKUP(B19,'NIVEL ENERO'!A:D,3,0)</f>
        <v>0.475654412831221</v>
      </c>
      <c r="Q19" s="229" t="n">
        <f aca="false">VLOOKUP(B19,'NIVEL ENERO'!A:D,4,0)</f>
        <v>-1187939.88</v>
      </c>
      <c r="R19" s="186" t="str">
        <f aca="false">+PROPER(C19&amp;" "&amp;D19)</f>
        <v>Trujillo Arango German Humberto</v>
      </c>
      <c r="S19" s="230" t="n">
        <f aca="false">+YEARFRAC(L19,$S$1)</f>
        <v>22.3638888888889</v>
      </c>
      <c r="T19" s="230" t="n">
        <f aca="false">+YEARFRAC(M19,$S$1)</f>
        <v>25.3055555555556</v>
      </c>
      <c r="U19" s="231" t="n">
        <f aca="false">+$I19</f>
        <v>3963132</v>
      </c>
      <c r="V19" s="232" t="str">
        <f aca="false">+PROPER(F19)</f>
        <v>Casado(A)</v>
      </c>
    </row>
    <row r="20" customFormat="false" ht="14.25" hidden="false" customHeight="false" outlineLevel="0" collapsed="false">
      <c r="B20" s="197" t="n">
        <v>10285994</v>
      </c>
      <c r="C20" s="197" t="s">
        <v>975</v>
      </c>
      <c r="D20" s="197" t="s">
        <v>976</v>
      </c>
      <c r="E20" s="198" t="s">
        <v>944</v>
      </c>
      <c r="F20" s="198" t="s">
        <v>945</v>
      </c>
      <c r="G20" s="225" t="n">
        <v>5418800</v>
      </c>
      <c r="H20" s="225" t="n">
        <v>21421217</v>
      </c>
      <c r="I20" s="225" t="n">
        <v>0</v>
      </c>
      <c r="J20" s="198" t="n">
        <v>55</v>
      </c>
      <c r="K20" s="198" t="n">
        <v>1</v>
      </c>
      <c r="L20" s="226" t="n">
        <v>40076</v>
      </c>
      <c r="M20" s="226" t="n">
        <v>40066</v>
      </c>
      <c r="N20" s="227" t="n">
        <v>3</v>
      </c>
      <c r="O20" s="227" t="s">
        <v>135</v>
      </c>
      <c r="P20" s="228" t="n">
        <f aca="false">VLOOKUP(B20,'NIVEL ENERO'!A:D,3,0)</f>
        <v>0.175959085184319</v>
      </c>
      <c r="Q20" s="229" t="n">
        <f aca="false">VLOOKUP(B20,'NIVEL ENERO'!A:D,4,0)</f>
        <v>1861721.76</v>
      </c>
      <c r="R20" s="186" t="str">
        <f aca="false">+PROPER(C20&amp;" "&amp;D20)</f>
        <v>Correa Garcia Orlando</v>
      </c>
      <c r="S20" s="230" t="n">
        <f aca="false">+YEARFRAC(L20,$S$1)</f>
        <v>16.6444444444444</v>
      </c>
      <c r="T20" s="230" t="n">
        <f aca="false">+YEARFRAC(M20,$S$1)</f>
        <v>16.6722222222222</v>
      </c>
      <c r="U20" s="231" t="n">
        <f aca="false">+$I20</f>
        <v>0</v>
      </c>
      <c r="V20" s="232" t="str">
        <f aca="false">+PROPER(F20)</f>
        <v>Union Libre</v>
      </c>
    </row>
    <row r="21" customFormat="false" ht="14.25" hidden="false" customHeight="false" outlineLevel="0" collapsed="false">
      <c r="B21" s="197" t="n">
        <v>10294212</v>
      </c>
      <c r="C21" s="197" t="s">
        <v>977</v>
      </c>
      <c r="D21" s="197" t="s">
        <v>978</v>
      </c>
      <c r="E21" s="198" t="s">
        <v>944</v>
      </c>
      <c r="F21" s="198" t="s">
        <v>945</v>
      </c>
      <c r="G21" s="225" t="n">
        <v>4469100</v>
      </c>
      <c r="H21" s="225" t="n">
        <v>2570104</v>
      </c>
      <c r="I21" s="225" t="n">
        <v>1152580</v>
      </c>
      <c r="J21" s="198" t="n">
        <v>42</v>
      </c>
      <c r="K21" s="198" t="n">
        <v>2</v>
      </c>
      <c r="L21" s="226" t="n">
        <v>44579</v>
      </c>
      <c r="M21" s="226" t="n">
        <v>44155</v>
      </c>
      <c r="N21" s="227" t="n">
        <v>4</v>
      </c>
      <c r="O21" s="227" t="s">
        <v>135</v>
      </c>
      <c r="P21" s="228" t="n">
        <f aca="false">VLOOKUP(B21,'NIVEL ENERO'!A:D,3,0)</f>
        <v>0.152541045559191</v>
      </c>
      <c r="Q21" s="229" t="n">
        <f aca="false">VLOOKUP(B21,'NIVEL ENERO'!A:D,4,0)</f>
        <v>1642759.02</v>
      </c>
      <c r="R21" s="186" t="str">
        <f aca="false">+PROPER(C21&amp;" "&amp;D21)</f>
        <v>Hurtado Pabon Harry Fabian</v>
      </c>
      <c r="S21" s="230" t="n">
        <f aca="false">+YEARFRAC(L21,$S$1)</f>
        <v>4.31666666666667</v>
      </c>
      <c r="T21" s="230" t="n">
        <f aca="false">+YEARFRAC(M21,$S$1)</f>
        <v>5.47777777777778</v>
      </c>
      <c r="U21" s="231" t="n">
        <f aca="false">+$I21</f>
        <v>1152580</v>
      </c>
      <c r="V21" s="232" t="str">
        <f aca="false">+PROPER(F21)</f>
        <v>Union Libre</v>
      </c>
    </row>
    <row r="22" customFormat="false" ht="14.25" hidden="false" customHeight="false" outlineLevel="0" collapsed="false">
      <c r="B22" s="197" t="n">
        <v>10567677</v>
      </c>
      <c r="C22" s="197" t="s">
        <v>979</v>
      </c>
      <c r="D22" s="197" t="s">
        <v>980</v>
      </c>
      <c r="E22" s="198" t="s">
        <v>981</v>
      </c>
      <c r="F22" s="198" t="s">
        <v>945</v>
      </c>
      <c r="G22" s="225" t="n">
        <v>1670000</v>
      </c>
      <c r="H22" s="225" t="n">
        <v>2420842</v>
      </c>
      <c r="I22" s="225" t="n">
        <v>1112457</v>
      </c>
      <c r="J22" s="198" t="n">
        <v>45</v>
      </c>
      <c r="K22" s="198" t="n">
        <v>2</v>
      </c>
      <c r="L22" s="226" t="n">
        <v>44274</v>
      </c>
      <c r="M22" s="226" t="n">
        <v>42787</v>
      </c>
      <c r="N22" s="227" t="n">
        <v>3</v>
      </c>
      <c r="O22" s="227" t="s">
        <v>135</v>
      </c>
      <c r="P22" s="228" t="n">
        <f aca="false">VLOOKUP(B22,'NIVEL ENERO'!A:D,3,0)</f>
        <v>0.360133040425401</v>
      </c>
      <c r="Q22" s="229" t="n">
        <f aca="false">VLOOKUP(B22,'NIVEL ENERO'!A:D,4,0)</f>
        <v>131217.3</v>
      </c>
      <c r="R22" s="186" t="str">
        <f aca="false">+PROPER(C22&amp;" "&amp;D22)</f>
        <v>Ordonez Palechor Mario Gentil</v>
      </c>
      <c r="S22" s="230" t="n">
        <f aca="false">+YEARFRAC(L22,$S$1)</f>
        <v>5.14722222222222</v>
      </c>
      <c r="T22" s="230" t="n">
        <f aca="false">+YEARFRAC(M22,$S$1)</f>
        <v>9.225</v>
      </c>
      <c r="U22" s="231" t="n">
        <f aca="false">+$I22</f>
        <v>1112457</v>
      </c>
      <c r="V22" s="232" t="str">
        <f aca="false">+PROPER(F22)</f>
        <v>Union Libre</v>
      </c>
    </row>
    <row r="23" customFormat="false" ht="14.25" hidden="false" customHeight="false" outlineLevel="0" collapsed="false">
      <c r="B23" s="197" t="n">
        <v>10723755</v>
      </c>
      <c r="C23" s="197" t="s">
        <v>982</v>
      </c>
      <c r="D23" s="197" t="s">
        <v>983</v>
      </c>
      <c r="E23" s="198" t="s">
        <v>944</v>
      </c>
      <c r="F23" s="198" t="s">
        <v>953</v>
      </c>
      <c r="G23" s="225" t="n">
        <v>4870200</v>
      </c>
      <c r="H23" s="225" t="n">
        <v>1300011</v>
      </c>
      <c r="I23" s="225"/>
      <c r="J23" s="198" t="n">
        <v>39</v>
      </c>
      <c r="K23" s="198" t="n">
        <v>2</v>
      </c>
      <c r="L23" s="226" t="n">
        <v>45279</v>
      </c>
      <c r="M23" s="226" t="n">
        <v>41074</v>
      </c>
      <c r="N23" s="227" t="n">
        <v>0</v>
      </c>
      <c r="O23" s="227" t="s">
        <v>135</v>
      </c>
      <c r="P23" s="228" t="n">
        <f aca="false">VLOOKUP(B23,'NIVEL ENERO'!A:D,3,0)</f>
        <v>0.222243711551183</v>
      </c>
      <c r="Q23" s="229" t="n">
        <f aca="false">VLOOKUP(B23,'NIVEL ENERO'!A:D,4,0)</f>
        <v>1086921.56</v>
      </c>
      <c r="R23" s="186" t="str">
        <f aca="false">+PROPER(C23&amp;" "&amp;D23)</f>
        <v>Hurtado Hurtado John James</v>
      </c>
      <c r="S23" s="230" t="n">
        <f aca="false">+YEARFRAC(L23,$S$1)</f>
        <v>2.39722222222222</v>
      </c>
      <c r="T23" s="230" t="n">
        <f aca="false">+YEARFRAC(M23,$S$1)</f>
        <v>13.9111111111111</v>
      </c>
      <c r="U23" s="231" t="n">
        <f aca="false">+$I23</f>
        <v>0</v>
      </c>
      <c r="V23" s="232" t="str">
        <f aca="false">+PROPER(F23)</f>
        <v>Soltero(A)</v>
      </c>
    </row>
    <row r="24" customFormat="false" ht="14.25" hidden="false" customHeight="false" outlineLevel="0" collapsed="false">
      <c r="B24" s="197" t="n">
        <v>11320970</v>
      </c>
      <c r="C24" s="197" t="s">
        <v>984</v>
      </c>
      <c r="D24" s="197" t="s">
        <v>985</v>
      </c>
      <c r="E24" s="198" t="s">
        <v>944</v>
      </c>
      <c r="F24" s="198" t="s">
        <v>945</v>
      </c>
      <c r="G24" s="225" t="n">
        <v>5374700</v>
      </c>
      <c r="H24" s="225" t="n">
        <v>3298561</v>
      </c>
      <c r="I24" s="225" t="n">
        <v>0</v>
      </c>
      <c r="J24" s="198" t="n">
        <v>52</v>
      </c>
      <c r="K24" s="198" t="n">
        <v>4</v>
      </c>
      <c r="L24" s="226" t="n">
        <v>43627</v>
      </c>
      <c r="M24" s="226" t="n">
        <v>34821</v>
      </c>
      <c r="N24" s="227" t="n">
        <v>4</v>
      </c>
      <c r="O24" s="227" t="s">
        <v>135</v>
      </c>
      <c r="P24" s="228" t="n">
        <f aca="false">VLOOKUP(B24,'NIVEL ENERO'!A:D,3,0)</f>
        <v>0.427546207387687</v>
      </c>
      <c r="Q24" s="229" t="n">
        <f aca="false">VLOOKUP(B24,'NIVEL ENERO'!A:D,4,0)</f>
        <v>-56033.8799999999</v>
      </c>
      <c r="R24" s="186" t="str">
        <f aca="false">+PROPER(C24&amp;" "&amp;D24)</f>
        <v>Hernandez Chavez Carlos Holmes</v>
      </c>
      <c r="S24" s="230" t="n">
        <f aca="false">+YEARFRAC(L24,$S$1)</f>
        <v>6.91944444444444</v>
      </c>
      <c r="T24" s="230" t="n">
        <f aca="false">+YEARFRAC(M24,$S$1)</f>
        <v>31.0277777777778</v>
      </c>
      <c r="U24" s="231" t="n">
        <f aca="false">+$I24</f>
        <v>0</v>
      </c>
      <c r="V24" s="232" t="str">
        <f aca="false">+PROPER(F24)</f>
        <v>Union Libre</v>
      </c>
    </row>
    <row r="25" customFormat="false" ht="14.25" hidden="false" customHeight="false" outlineLevel="0" collapsed="false">
      <c r="B25" s="197" t="n">
        <v>11620559</v>
      </c>
      <c r="C25" s="197" t="s">
        <v>986</v>
      </c>
      <c r="D25" s="197" t="s">
        <v>987</v>
      </c>
      <c r="E25" s="198" t="s">
        <v>944</v>
      </c>
      <c r="F25" s="198" t="s">
        <v>945</v>
      </c>
      <c r="G25" s="225" t="n">
        <v>2600900</v>
      </c>
      <c r="H25" s="225" t="n">
        <v>905339</v>
      </c>
      <c r="I25" s="225" t="n">
        <v>1430597</v>
      </c>
      <c r="J25" s="198" t="n">
        <v>45</v>
      </c>
      <c r="K25" s="198" t="n">
        <v>1</v>
      </c>
      <c r="L25" s="226" t="n">
        <v>45370</v>
      </c>
      <c r="M25" s="226" t="n">
        <v>44781</v>
      </c>
      <c r="N25" s="227" t="n">
        <v>1</v>
      </c>
      <c r="O25" s="227" t="s">
        <v>135</v>
      </c>
      <c r="P25" s="228" t="n">
        <f aca="false">VLOOKUP(B25,'NIVEL ENERO'!A:D,3,0)</f>
        <v>0.389653802133952</v>
      </c>
      <c r="Q25" s="229" t="n">
        <f aca="false">VLOOKUP(B25,'NIVEL ENERO'!A:D,4,0)</f>
        <v>81558.3200000001</v>
      </c>
      <c r="R25" s="186" t="str">
        <f aca="false">+PROPER(C25&amp;" "&amp;D25)</f>
        <v>Mosquera Palacio Evis Joth</v>
      </c>
      <c r="S25" s="230" t="n">
        <f aca="false">+YEARFRAC(L25,$S$1)</f>
        <v>2.14722222222222</v>
      </c>
      <c r="T25" s="230" t="n">
        <f aca="false">+YEARFRAC(M25,$S$1)</f>
        <v>3.76111111111111</v>
      </c>
      <c r="U25" s="231" t="n">
        <f aca="false">+$I25</f>
        <v>1430597</v>
      </c>
      <c r="V25" s="232" t="str">
        <f aca="false">+PROPER(F25)</f>
        <v>Union Libre</v>
      </c>
    </row>
    <row r="26" customFormat="false" ht="14.25" hidden="false" customHeight="false" outlineLevel="0" collapsed="false">
      <c r="B26" s="197" t="n">
        <v>11830463</v>
      </c>
      <c r="C26" s="197" t="s">
        <v>988</v>
      </c>
      <c r="D26" s="197" t="s">
        <v>989</v>
      </c>
      <c r="E26" s="198" t="s">
        <v>944</v>
      </c>
      <c r="F26" s="198" t="s">
        <v>945</v>
      </c>
      <c r="G26" s="225" t="n">
        <v>1918500</v>
      </c>
      <c r="H26" s="225" t="n">
        <v>3682544</v>
      </c>
      <c r="I26" s="225" t="n">
        <v>4123050</v>
      </c>
      <c r="J26" s="198" t="n">
        <v>54</v>
      </c>
      <c r="K26" s="198" t="n">
        <v>4</v>
      </c>
      <c r="L26" s="226" t="n">
        <v>43392</v>
      </c>
      <c r="M26" s="226" t="n">
        <v>43200</v>
      </c>
      <c r="N26" s="227" t="n">
        <v>4</v>
      </c>
      <c r="O26" s="227" t="s">
        <v>135</v>
      </c>
      <c r="P26" s="228" t="n">
        <f aca="false">VLOOKUP(B26,'NIVEL ENERO'!A:D,3,0)</f>
        <v>0.403184237685692</v>
      </c>
      <c r="Q26" s="229" t="n">
        <f aca="false">VLOOKUP(B26,'NIVEL ENERO'!A:D,4,0)</f>
        <v>76812</v>
      </c>
      <c r="R26" s="186" t="str">
        <f aca="false">+PROPER(C26&amp;" "&amp;D26)</f>
        <v>Hinestroza  Gamboa Celimo</v>
      </c>
      <c r="S26" s="230" t="n">
        <f aca="false">+YEARFRAC(L26,$S$1)</f>
        <v>7.56388888888889</v>
      </c>
      <c r="T26" s="230" t="n">
        <f aca="false">+YEARFRAC(M26,$S$1)</f>
        <v>8.08888888888889</v>
      </c>
      <c r="U26" s="231" t="n">
        <f aca="false">+$I26</f>
        <v>4123050</v>
      </c>
      <c r="V26" s="232" t="str">
        <f aca="false">+PROPER(F26)</f>
        <v>Union Libre</v>
      </c>
    </row>
    <row r="27" customFormat="false" ht="14.25" hidden="false" customHeight="false" outlineLevel="0" collapsed="false">
      <c r="B27" s="197" t="n">
        <v>13069223</v>
      </c>
      <c r="C27" s="197" t="s">
        <v>990</v>
      </c>
      <c r="D27" s="197" t="s">
        <v>991</v>
      </c>
      <c r="E27" s="198" t="s">
        <v>944</v>
      </c>
      <c r="F27" s="198" t="s">
        <v>948</v>
      </c>
      <c r="G27" s="225" t="n">
        <v>13588800</v>
      </c>
      <c r="H27" s="225" t="n">
        <v>6790485</v>
      </c>
      <c r="I27" s="225" t="n">
        <v>614601</v>
      </c>
      <c r="J27" s="198" t="n">
        <v>46</v>
      </c>
      <c r="K27" s="198" t="n">
        <v>2</v>
      </c>
      <c r="L27" s="226" t="n">
        <v>44245</v>
      </c>
      <c r="M27" s="226" t="n">
        <v>41075</v>
      </c>
      <c r="N27" s="227" t="n">
        <v>3</v>
      </c>
      <c r="O27" s="227" t="s">
        <v>135</v>
      </c>
      <c r="P27" s="228" t="n">
        <f aca="false">VLOOKUP(B27,'NIVEL ENERO'!A:D,3,0)</f>
        <v>0.229422318379842</v>
      </c>
      <c r="Q27" s="229" t="n">
        <f aca="false">VLOOKUP(B27,'NIVEL ENERO'!A:D,4,0)</f>
        <v>2589722</v>
      </c>
      <c r="R27" s="186" t="str">
        <f aca="false">+PROPER(C27&amp;" "&amp;D27)</f>
        <v>Jojoa Hernandez Milton Alexander</v>
      </c>
      <c r="S27" s="230" t="n">
        <f aca="false">+YEARFRAC(L27,$S$1)</f>
        <v>5.23333333333333</v>
      </c>
      <c r="T27" s="230" t="n">
        <f aca="false">+YEARFRAC(M27,$S$1)</f>
        <v>13.9083333333333</v>
      </c>
      <c r="U27" s="231" t="n">
        <f aca="false">+$I27</f>
        <v>614601</v>
      </c>
      <c r="V27" s="232" t="str">
        <f aca="false">+PROPER(F27)</f>
        <v>Casado(A)</v>
      </c>
    </row>
    <row r="28" customFormat="false" ht="14.25" hidden="false" customHeight="false" outlineLevel="0" collapsed="false">
      <c r="B28" s="197" t="n">
        <v>14465776</v>
      </c>
      <c r="C28" s="197" t="s">
        <v>992</v>
      </c>
      <c r="D28" s="197" t="s">
        <v>993</v>
      </c>
      <c r="E28" s="198" t="s">
        <v>944</v>
      </c>
      <c r="F28" s="198" t="s">
        <v>953</v>
      </c>
      <c r="G28" s="225" t="n">
        <v>3945300</v>
      </c>
      <c r="H28" s="225" t="n">
        <v>4411459</v>
      </c>
      <c r="I28" s="225" t="n">
        <v>2352123</v>
      </c>
      <c r="J28" s="198" t="n">
        <v>42</v>
      </c>
      <c r="K28" s="198" t="n">
        <v>1</v>
      </c>
      <c r="L28" s="226" t="n">
        <v>44328</v>
      </c>
      <c r="M28" s="226" t="n">
        <v>40238</v>
      </c>
      <c r="N28" s="227" t="n">
        <v>4</v>
      </c>
      <c r="O28" s="227" t="s">
        <v>135</v>
      </c>
      <c r="P28" s="228" t="n">
        <f aca="false">VLOOKUP(B28,'NIVEL ENERO'!A:D,3,0)</f>
        <v>0.462339476472295</v>
      </c>
      <c r="Q28" s="229" t="n">
        <f aca="false">VLOOKUP(B28,'NIVEL ENERO'!A:D,4,0)</f>
        <v>-188224.8</v>
      </c>
      <c r="R28" s="186" t="str">
        <f aca="false">+PROPER(C28&amp;" "&amp;D28)</f>
        <v>Canamejoy Garcia Juan Pablo</v>
      </c>
      <c r="S28" s="230" t="n">
        <f aca="false">+YEARFRAC(L28,$S$1)</f>
        <v>5</v>
      </c>
      <c r="T28" s="230" t="n">
        <f aca="false">+YEARFRAC(M28,$S$1)</f>
        <v>16.1972222222222</v>
      </c>
      <c r="U28" s="231" t="n">
        <f aca="false">+$I28</f>
        <v>2352123</v>
      </c>
      <c r="V28" s="232" t="str">
        <f aca="false">+PROPER(F28)</f>
        <v>Soltero(A)</v>
      </c>
    </row>
    <row r="29" customFormat="false" ht="14.25" hidden="false" customHeight="false" outlineLevel="0" collapsed="false">
      <c r="B29" s="197" t="n">
        <v>14479754</v>
      </c>
      <c r="C29" s="197" t="s">
        <v>994</v>
      </c>
      <c r="D29" s="197" t="s">
        <v>995</v>
      </c>
      <c r="E29" s="198" t="s">
        <v>944</v>
      </c>
      <c r="F29" s="198" t="s">
        <v>953</v>
      </c>
      <c r="G29" s="225" t="n">
        <v>1625000</v>
      </c>
      <c r="H29" s="225" t="n">
        <v>1910716</v>
      </c>
      <c r="I29" s="225" t="n">
        <v>5827259</v>
      </c>
      <c r="J29" s="198" t="n">
        <v>40</v>
      </c>
      <c r="K29" s="198" t="n">
        <v>2</v>
      </c>
      <c r="L29" s="226" t="n">
        <v>44635</v>
      </c>
      <c r="M29" s="226" t="n">
        <v>44099</v>
      </c>
      <c r="N29" s="227" t="n">
        <v>0</v>
      </c>
      <c r="O29" s="227" t="s">
        <v>135</v>
      </c>
      <c r="P29" s="228" t="n">
        <f aca="false">VLOOKUP(B29,'NIVEL ENERO'!A:D,3,0)</f>
        <v>0.361146281816617</v>
      </c>
      <c r="Q29" s="229" t="n">
        <f aca="false">VLOOKUP(B29,'NIVEL ENERO'!A:D,4,0)</f>
        <v>129546.98</v>
      </c>
      <c r="R29" s="186" t="str">
        <f aca="false">+PROPER(C29&amp;" "&amp;D29)</f>
        <v>Angulo Segura Arvey</v>
      </c>
      <c r="S29" s="230" t="n">
        <f aca="false">+YEARFRAC(L29,$S$1)</f>
        <v>4.15833333333333</v>
      </c>
      <c r="T29" s="230" t="n">
        <f aca="false">+YEARFRAC(M29,$S$1)</f>
        <v>5.63055555555556</v>
      </c>
      <c r="U29" s="231" t="n">
        <f aca="false">+$I29</f>
        <v>5827259</v>
      </c>
      <c r="V29" s="232" t="str">
        <f aca="false">+PROPER(F29)</f>
        <v>Soltero(A)</v>
      </c>
    </row>
    <row r="30" customFormat="false" ht="14.25" hidden="false" customHeight="false" outlineLevel="0" collapsed="false">
      <c r="B30" s="197" t="n">
        <v>14590768</v>
      </c>
      <c r="C30" s="197" t="s">
        <v>996</v>
      </c>
      <c r="D30" s="197" t="s">
        <v>997</v>
      </c>
      <c r="E30" s="198" t="s">
        <v>944</v>
      </c>
      <c r="F30" s="198" t="s">
        <v>998</v>
      </c>
      <c r="G30" s="225" t="n">
        <v>5418800</v>
      </c>
      <c r="H30" s="225" t="n">
        <v>3476448</v>
      </c>
      <c r="I30" s="225" t="n">
        <v>10166088</v>
      </c>
      <c r="J30" s="198" t="n">
        <v>42</v>
      </c>
      <c r="K30" s="198" t="n">
        <v>2</v>
      </c>
      <c r="L30" s="226" t="n">
        <v>44155</v>
      </c>
      <c r="M30" s="226" t="n">
        <v>39756</v>
      </c>
      <c r="N30" s="227" t="n">
        <v>2</v>
      </c>
      <c r="O30" s="227" t="s">
        <v>135</v>
      </c>
      <c r="P30" s="228" t="n">
        <f aca="false">VLOOKUP(B30,'NIVEL ENERO'!A:D,3,0)</f>
        <v>0.265182774707868</v>
      </c>
      <c r="Q30" s="229" t="n">
        <f aca="false">VLOOKUP(B30,'NIVEL ENERO'!A:D,4,0)</f>
        <v>1231980.88</v>
      </c>
      <c r="R30" s="186" t="str">
        <f aca="false">+PROPER(C30&amp;" "&amp;D30)</f>
        <v>Lloreda Mejia Luis Francisco</v>
      </c>
      <c r="S30" s="230" t="n">
        <f aca="false">+YEARFRAC(L30,$S$1)</f>
        <v>5.47777777777778</v>
      </c>
      <c r="T30" s="230" t="n">
        <f aca="false">+YEARFRAC(M30,$S$1)</f>
        <v>17.5222222222222</v>
      </c>
      <c r="U30" s="231" t="n">
        <f aca="false">+$I30</f>
        <v>10166088</v>
      </c>
      <c r="V30" s="232" t="str">
        <f aca="false">+PROPER(F30)</f>
        <v>Separado(A)</v>
      </c>
    </row>
    <row r="31" customFormat="false" ht="14.25" hidden="false" customHeight="false" outlineLevel="0" collapsed="false">
      <c r="B31" s="197" t="n">
        <v>14607266</v>
      </c>
      <c r="C31" s="197" t="s">
        <v>999</v>
      </c>
      <c r="D31" s="197" t="s">
        <v>1000</v>
      </c>
      <c r="E31" s="198" t="s">
        <v>944</v>
      </c>
      <c r="F31" s="198" t="s">
        <v>945</v>
      </c>
      <c r="G31" s="225" t="n">
        <v>5418800</v>
      </c>
      <c r="H31" s="225" t="n">
        <v>4414912</v>
      </c>
      <c r="I31" s="225" t="n">
        <v>4045957</v>
      </c>
      <c r="J31" s="198" t="n">
        <v>42</v>
      </c>
      <c r="K31" s="198" t="n">
        <v>1</v>
      </c>
      <c r="L31" s="226" t="n">
        <v>45051</v>
      </c>
      <c r="M31" s="226" t="n">
        <v>40589</v>
      </c>
      <c r="N31" s="227" t="n">
        <v>4</v>
      </c>
      <c r="O31" s="227" t="s">
        <v>135</v>
      </c>
      <c r="P31" s="228" t="n">
        <f aca="false">VLOOKUP(B31,'NIVEL ENERO'!A:D,3,0)</f>
        <v>0.17074915665917</v>
      </c>
      <c r="Q31" s="229" t="n">
        <f aca="false">VLOOKUP(B31,'NIVEL ENERO'!A:D,4,0)</f>
        <v>1794590.12</v>
      </c>
      <c r="R31" s="186" t="str">
        <f aca="false">+PROPER(C31&amp;" "&amp;D31)</f>
        <v>Ramos Lasso Julian</v>
      </c>
      <c r="S31" s="230" t="n">
        <f aca="false">+YEARFRAC(L31,$S$1)</f>
        <v>3.01944444444444</v>
      </c>
      <c r="T31" s="230" t="n">
        <f aca="false">+YEARFRAC(M31,$S$1)</f>
        <v>15.2416666666667</v>
      </c>
      <c r="U31" s="231" t="n">
        <f aca="false">+$I31</f>
        <v>4045957</v>
      </c>
      <c r="V31" s="232" t="str">
        <f aca="false">+PROPER(F31)</f>
        <v>Union Libre</v>
      </c>
    </row>
    <row r="32" customFormat="false" ht="14.25" hidden="false" customHeight="false" outlineLevel="0" collapsed="false">
      <c r="B32" s="197" t="n">
        <v>14608276</v>
      </c>
      <c r="C32" s="197" t="s">
        <v>1001</v>
      </c>
      <c r="D32" s="197" t="s">
        <v>1002</v>
      </c>
      <c r="E32" s="198" t="s">
        <v>944</v>
      </c>
      <c r="F32" s="198" t="s">
        <v>948</v>
      </c>
      <c r="G32" s="225" t="n">
        <v>2600900</v>
      </c>
      <c r="H32" s="225" t="n">
        <v>1015322</v>
      </c>
      <c r="I32" s="225"/>
      <c r="J32" s="198" t="n">
        <v>41</v>
      </c>
      <c r="K32" s="198" t="n">
        <v>1</v>
      </c>
      <c r="L32" s="226" t="n">
        <v>45191</v>
      </c>
      <c r="M32" s="226" t="n">
        <v>44365</v>
      </c>
      <c r="N32" s="227" t="n">
        <v>0</v>
      </c>
      <c r="O32" s="227" t="s">
        <v>135</v>
      </c>
      <c r="P32" s="228" t="n">
        <f aca="false">VLOOKUP(B32,'NIVEL ENERO'!A:D,3,0)</f>
        <v>0.119339074935599</v>
      </c>
      <c r="Q32" s="229" t="n">
        <f aca="false">VLOOKUP(B32,'NIVEL ENERO'!A:D,4,0)</f>
        <v>781989</v>
      </c>
      <c r="R32" s="186" t="str">
        <f aca="false">+PROPER(C32&amp;" "&amp;D32)</f>
        <v>Meza Torres Edwar Ernesto</v>
      </c>
      <c r="S32" s="230" t="n">
        <f aca="false">+YEARFRAC(L32,$S$1)</f>
        <v>2.63888888888889</v>
      </c>
      <c r="T32" s="230" t="n">
        <f aca="false">+YEARFRAC(M32,$S$1)</f>
        <v>4.9</v>
      </c>
      <c r="U32" s="231" t="n">
        <f aca="false">+$I32</f>
        <v>0</v>
      </c>
      <c r="V32" s="232" t="str">
        <f aca="false">+PROPER(F32)</f>
        <v>Casado(A)</v>
      </c>
    </row>
    <row r="33" customFormat="false" ht="14.25" hidden="false" customHeight="false" outlineLevel="0" collapsed="false">
      <c r="B33" s="197" t="n">
        <v>14608714</v>
      </c>
      <c r="C33" s="197" t="s">
        <v>1003</v>
      </c>
      <c r="D33" s="197" t="s">
        <v>1004</v>
      </c>
      <c r="E33" s="198" t="s">
        <v>944</v>
      </c>
      <c r="F33" s="198" t="s">
        <v>945</v>
      </c>
      <c r="G33" s="225" t="n">
        <v>5418800</v>
      </c>
      <c r="H33" s="225" t="n">
        <v>15238115</v>
      </c>
      <c r="I33" s="225" t="n">
        <v>12143696</v>
      </c>
      <c r="J33" s="198" t="n">
        <v>41</v>
      </c>
      <c r="K33" s="198" t="n">
        <v>1</v>
      </c>
      <c r="L33" s="226" t="n">
        <v>40526</v>
      </c>
      <c r="M33" s="226" t="n">
        <v>39756</v>
      </c>
      <c r="N33" s="227" t="n">
        <v>4</v>
      </c>
      <c r="O33" s="227" t="s">
        <v>135</v>
      </c>
      <c r="P33" s="228" t="n">
        <f aca="false">VLOOKUP(B33,'NIVEL ENERO'!A:D,3,0)</f>
        <v>0.188363872916158</v>
      </c>
      <c r="Q33" s="229" t="n">
        <f aca="false">VLOOKUP(B33,'NIVEL ENERO'!A:D,4,0)</f>
        <v>1768999.08</v>
      </c>
      <c r="R33" s="186" t="str">
        <f aca="false">+PROPER(C33&amp;" "&amp;D33)</f>
        <v>Diaz Meneses David Orlando</v>
      </c>
      <c r="S33" s="230" t="n">
        <f aca="false">+YEARFRAC(L33,$S$1)</f>
        <v>15.4111111111111</v>
      </c>
      <c r="T33" s="230" t="n">
        <f aca="false">+YEARFRAC(M33,$S$1)</f>
        <v>17.5222222222222</v>
      </c>
      <c r="U33" s="231" t="n">
        <f aca="false">+$I33</f>
        <v>12143696</v>
      </c>
      <c r="V33" s="232" t="str">
        <f aca="false">+PROPER(F33)</f>
        <v>Union Libre</v>
      </c>
    </row>
    <row r="34" customFormat="false" ht="14.25" hidden="false" customHeight="false" outlineLevel="0" collapsed="false">
      <c r="B34" s="197" t="n">
        <v>14609734</v>
      </c>
      <c r="C34" s="197" t="s">
        <v>1005</v>
      </c>
      <c r="D34" s="197" t="s">
        <v>1006</v>
      </c>
      <c r="E34" s="198" t="s">
        <v>944</v>
      </c>
      <c r="F34" s="198" t="s">
        <v>945</v>
      </c>
      <c r="G34" s="225" t="n">
        <v>1625000</v>
      </c>
      <c r="H34" s="225" t="n">
        <v>2283663</v>
      </c>
      <c r="I34" s="225" t="n">
        <v>2187024</v>
      </c>
      <c r="J34" s="198" t="n">
        <v>40</v>
      </c>
      <c r="K34" s="198" t="n">
        <v>2</v>
      </c>
      <c r="L34" s="226" t="n">
        <v>44398</v>
      </c>
      <c r="M34" s="226" t="n">
        <v>44175</v>
      </c>
      <c r="N34" s="227" t="n">
        <v>3</v>
      </c>
      <c r="O34" s="227" t="s">
        <v>135</v>
      </c>
      <c r="P34" s="228" t="n">
        <f aca="false">VLOOKUP(B34,'NIVEL ENERO'!A:D,3,0)</f>
        <v>0.273814848080318</v>
      </c>
      <c r="Q34" s="229" t="n">
        <f aca="false">VLOOKUP(B34,'NIVEL ENERO'!A:D,4,0)</f>
        <v>316837.8</v>
      </c>
      <c r="R34" s="186" t="str">
        <f aca="false">+PROPER(C34&amp;" "&amp;D34)</f>
        <v>Montano Preciado Jhon Freddy</v>
      </c>
      <c r="S34" s="230" t="n">
        <f aca="false">+YEARFRAC(L34,$S$1)</f>
        <v>4.80833333333333</v>
      </c>
      <c r="T34" s="230" t="n">
        <f aca="false">+YEARFRAC(M34,$S$1)</f>
        <v>5.42222222222222</v>
      </c>
      <c r="U34" s="231" t="n">
        <f aca="false">+$I34</f>
        <v>2187024</v>
      </c>
      <c r="V34" s="232" t="str">
        <f aca="false">+PROPER(F34)</f>
        <v>Union Libre</v>
      </c>
    </row>
    <row r="35" customFormat="false" ht="14.25" hidden="false" customHeight="false" outlineLevel="0" collapsed="false">
      <c r="B35" s="197" t="n">
        <v>14621610</v>
      </c>
      <c r="C35" s="197" t="s">
        <v>1007</v>
      </c>
      <c r="D35" s="197" t="s">
        <v>1008</v>
      </c>
      <c r="E35" s="198" t="s">
        <v>944</v>
      </c>
      <c r="F35" s="198" t="s">
        <v>953</v>
      </c>
      <c r="G35" s="225" t="n">
        <v>4761900</v>
      </c>
      <c r="H35" s="225" t="n">
        <v>6363376</v>
      </c>
      <c r="I35" s="225" t="n">
        <v>0</v>
      </c>
      <c r="J35" s="198" t="n">
        <v>41</v>
      </c>
      <c r="K35" s="198" t="n">
        <v>1</v>
      </c>
      <c r="L35" s="226" t="n">
        <v>42871</v>
      </c>
      <c r="M35" s="226" t="n">
        <v>37043</v>
      </c>
      <c r="N35" s="227" t="n">
        <v>1</v>
      </c>
      <c r="O35" s="227" t="s">
        <v>135</v>
      </c>
      <c r="P35" s="228" t="n">
        <f aca="false">VLOOKUP(B35,'NIVEL ENERO'!A:D,3,0)</f>
        <v>0.224526554526555</v>
      </c>
      <c r="Q35" s="229" t="n">
        <f aca="false">VLOOKUP(B35,'NIVEL ENERO'!A:D,4,0)</f>
        <v>930825</v>
      </c>
      <c r="R35" s="186" t="str">
        <f aca="false">+PROPER(C35&amp;" "&amp;D35)</f>
        <v>Munoz Valero Alvaro</v>
      </c>
      <c r="S35" s="230" t="n">
        <f aca="false">+YEARFRAC(L35,$S$1)</f>
        <v>8.98888888888889</v>
      </c>
      <c r="T35" s="230" t="n">
        <f aca="false">+YEARFRAC(M35,$S$1)</f>
        <v>24.9472222222222</v>
      </c>
      <c r="U35" s="231" t="n">
        <f aca="false">+$I35</f>
        <v>0</v>
      </c>
      <c r="V35" s="232" t="str">
        <f aca="false">+PROPER(F35)</f>
        <v>Soltero(A)</v>
      </c>
    </row>
    <row r="36" customFormat="false" ht="14.25" hidden="false" customHeight="false" outlineLevel="0" collapsed="false">
      <c r="B36" s="197" t="n">
        <v>14638297</v>
      </c>
      <c r="C36" s="197" t="s">
        <v>1009</v>
      </c>
      <c r="D36" s="197" t="s">
        <v>1010</v>
      </c>
      <c r="E36" s="198" t="s">
        <v>944</v>
      </c>
      <c r="F36" s="198" t="s">
        <v>945</v>
      </c>
      <c r="G36" s="225" t="n">
        <v>5418800</v>
      </c>
      <c r="H36" s="225" t="n">
        <v>3718870</v>
      </c>
      <c r="I36" s="225" t="n">
        <v>1898217</v>
      </c>
      <c r="J36" s="198" t="n">
        <v>40</v>
      </c>
      <c r="K36" s="198" t="n">
        <v>1</v>
      </c>
      <c r="L36" s="226" t="n">
        <v>44519</v>
      </c>
      <c r="M36" s="226" t="n">
        <v>44393</v>
      </c>
      <c r="N36" s="227" t="n">
        <v>4</v>
      </c>
      <c r="O36" s="227" t="s">
        <v>135</v>
      </c>
      <c r="P36" s="228" t="n">
        <f aca="false">VLOOKUP(B36,'NIVEL ENERO'!A:D,3,0)</f>
        <v>0.389924528055946</v>
      </c>
      <c r="Q36" s="229" t="n">
        <f aca="false">VLOOKUP(B36,'NIVEL ENERO'!A:D,4,0)</f>
        <v>221501.52</v>
      </c>
      <c r="R36" s="186" t="str">
        <f aca="false">+PROPER(C36&amp;" "&amp;D36)</f>
        <v>Arango Narvaez Oscar Eduardo</v>
      </c>
      <c r="S36" s="230" t="n">
        <f aca="false">+YEARFRAC(L36,$S$1)</f>
        <v>4.48055555555556</v>
      </c>
      <c r="T36" s="230" t="n">
        <f aca="false">+YEARFRAC(M36,$S$1)</f>
        <v>4.82222222222222</v>
      </c>
      <c r="U36" s="231" t="n">
        <f aca="false">+$I36</f>
        <v>1898217</v>
      </c>
      <c r="V36" s="232" t="str">
        <f aca="false">+PROPER(F36)</f>
        <v>Union Libre</v>
      </c>
    </row>
    <row r="37" customFormat="false" ht="14.25" hidden="false" customHeight="false" outlineLevel="0" collapsed="false">
      <c r="B37" s="197" t="n">
        <v>14638857</v>
      </c>
      <c r="C37" s="197" t="s">
        <v>1011</v>
      </c>
      <c r="D37" s="197" t="s">
        <v>1012</v>
      </c>
      <c r="E37" s="198" t="s">
        <v>944</v>
      </c>
      <c r="F37" s="198" t="s">
        <v>945</v>
      </c>
      <c r="G37" s="225" t="n">
        <v>5418800</v>
      </c>
      <c r="H37" s="225" t="n">
        <v>1256457</v>
      </c>
      <c r="I37" s="225" t="n">
        <v>375780</v>
      </c>
      <c r="J37" s="198" t="n">
        <v>40</v>
      </c>
      <c r="K37" s="198" t="n">
        <v>6</v>
      </c>
      <c r="L37" s="226" t="n">
        <v>45064</v>
      </c>
      <c r="M37" s="226" t="n">
        <v>40988</v>
      </c>
      <c r="N37" s="227" t="n">
        <v>2</v>
      </c>
      <c r="O37" s="227" t="s">
        <v>135</v>
      </c>
      <c r="P37" s="228" t="n">
        <f aca="false">VLOOKUP(B37,'NIVEL ENERO'!A:D,3,0)</f>
        <v>0.323022692451033</v>
      </c>
      <c r="Q37" s="229" t="n">
        <f aca="false">VLOOKUP(B37,'NIVEL ENERO'!A:D,4,0)</f>
        <v>530831.8</v>
      </c>
      <c r="R37" s="186" t="str">
        <f aca="false">+PROPER(C37&amp;" "&amp;D37)</f>
        <v>Ocampo Gallego Jonnathan</v>
      </c>
      <c r="S37" s="230" t="n">
        <f aca="false">+YEARFRAC(L37,$S$1)</f>
        <v>2.98333333333333</v>
      </c>
      <c r="T37" s="230" t="n">
        <f aca="false">+YEARFRAC(M37,$S$1)</f>
        <v>14.1444444444444</v>
      </c>
      <c r="U37" s="231" t="n">
        <f aca="false">+$I37</f>
        <v>375780</v>
      </c>
      <c r="V37" s="232" t="str">
        <f aca="false">+PROPER(F37)</f>
        <v>Union Libre</v>
      </c>
    </row>
    <row r="38" customFormat="false" ht="14.25" hidden="false" customHeight="false" outlineLevel="0" collapsed="false">
      <c r="B38" s="197" t="n">
        <v>14797927</v>
      </c>
      <c r="C38" s="197" t="s">
        <v>1013</v>
      </c>
      <c r="D38" s="197" t="s">
        <v>1014</v>
      </c>
      <c r="E38" s="198" t="s">
        <v>944</v>
      </c>
      <c r="F38" s="198" t="s">
        <v>945</v>
      </c>
      <c r="G38" s="225" t="n">
        <v>2600900</v>
      </c>
      <c r="H38" s="225" t="n">
        <v>5292123</v>
      </c>
      <c r="I38" s="225" t="n">
        <v>1522898</v>
      </c>
      <c r="J38" s="198" t="n">
        <v>42</v>
      </c>
      <c r="K38" s="198" t="n">
        <v>1</v>
      </c>
      <c r="L38" s="226" t="n">
        <v>42191</v>
      </c>
      <c r="M38" s="226" t="n">
        <v>42139</v>
      </c>
      <c r="N38" s="227" t="n">
        <v>2</v>
      </c>
      <c r="O38" s="227" t="s">
        <v>135</v>
      </c>
      <c r="P38" s="228" t="n">
        <f aca="false">VLOOKUP(B38,'NIVEL ENERO'!A:D,3,0)</f>
        <v>0.299163366526971</v>
      </c>
      <c r="Q38" s="229" t="n">
        <f aca="false">VLOOKUP(B38,'NIVEL ENERO'!A:D,4,0)</f>
        <v>314284</v>
      </c>
      <c r="R38" s="186" t="str">
        <f aca="false">+PROPER(C38&amp;" "&amp;D38)</f>
        <v>Wagner Diaz Julio Enrique</v>
      </c>
      <c r="S38" s="230" t="n">
        <f aca="false">+YEARFRAC(L38,$S$1)</f>
        <v>10.85</v>
      </c>
      <c r="T38" s="230" t="n">
        <f aca="false">+YEARFRAC(M38,$S$1)</f>
        <v>10.9916666666667</v>
      </c>
      <c r="U38" s="231" t="n">
        <f aca="false">+$I38</f>
        <v>1522898</v>
      </c>
      <c r="V38" s="232" t="str">
        <f aca="false">+PROPER(F38)</f>
        <v>Union Libre</v>
      </c>
    </row>
    <row r="39" customFormat="false" ht="14.25" hidden="false" customHeight="false" outlineLevel="0" collapsed="false">
      <c r="B39" s="197" t="n">
        <v>14837964</v>
      </c>
      <c r="C39" s="197" t="s">
        <v>1015</v>
      </c>
      <c r="D39" s="197" t="s">
        <v>1016</v>
      </c>
      <c r="E39" s="198" t="s">
        <v>944</v>
      </c>
      <c r="F39" s="198" t="s">
        <v>948</v>
      </c>
      <c r="G39" s="225" t="n">
        <v>2893800</v>
      </c>
      <c r="H39" s="225" t="n">
        <v>2249657</v>
      </c>
      <c r="I39" s="225" t="n">
        <v>2462396</v>
      </c>
      <c r="J39" s="198" t="n">
        <v>44</v>
      </c>
      <c r="K39" s="198" t="n">
        <v>2</v>
      </c>
      <c r="L39" s="226" t="n">
        <v>44669</v>
      </c>
      <c r="M39" s="226" t="n">
        <v>39118</v>
      </c>
      <c r="N39" s="227" t="n">
        <v>3</v>
      </c>
      <c r="O39" s="227" t="s">
        <v>135</v>
      </c>
      <c r="P39" s="228" t="n">
        <f aca="false">VLOOKUP(B39,'NIVEL ENERO'!A:D,3,0)</f>
        <v>0.36386528097363</v>
      </c>
      <c r="Q39" s="229" t="n">
        <f aca="false">VLOOKUP(B39,'NIVEL ENERO'!A:D,4,0)</f>
        <v>223252.68</v>
      </c>
      <c r="R39" s="186" t="str">
        <f aca="false">+PROPER(C39&amp;" "&amp;D39)</f>
        <v>Nino Motato Hugo Fernando</v>
      </c>
      <c r="S39" s="230" t="n">
        <f aca="false">+YEARFRAC(L39,$S$1)</f>
        <v>4.06666666666667</v>
      </c>
      <c r="T39" s="230" t="n">
        <f aca="false">+YEARFRAC(M39,$S$1)</f>
        <v>19.2694444444444</v>
      </c>
      <c r="U39" s="231" t="n">
        <f aca="false">+$I39</f>
        <v>2462396</v>
      </c>
      <c r="V39" s="232" t="str">
        <f aca="false">+PROPER(F39)</f>
        <v>Casado(A)</v>
      </c>
    </row>
    <row r="40" customFormat="false" ht="14.25" hidden="false" customHeight="false" outlineLevel="0" collapsed="false">
      <c r="B40" s="197" t="n">
        <v>14839121</v>
      </c>
      <c r="C40" s="197" t="s">
        <v>1017</v>
      </c>
      <c r="D40" s="197" t="s">
        <v>1018</v>
      </c>
      <c r="E40" s="198" t="s">
        <v>944</v>
      </c>
      <c r="F40" s="198" t="s">
        <v>948</v>
      </c>
      <c r="G40" s="225" t="n">
        <v>1918500</v>
      </c>
      <c r="H40" s="225" t="n">
        <v>1864687</v>
      </c>
      <c r="I40" s="225" t="n">
        <v>0</v>
      </c>
      <c r="J40" s="198" t="n">
        <v>44</v>
      </c>
      <c r="K40" s="198" t="n">
        <v>1</v>
      </c>
      <c r="L40" s="226" t="n">
        <v>45051</v>
      </c>
      <c r="M40" s="226" t="n">
        <v>44378</v>
      </c>
      <c r="N40" s="227" t="n">
        <v>0</v>
      </c>
      <c r="O40" s="227" t="s">
        <v>135</v>
      </c>
      <c r="P40" s="228" t="n">
        <f aca="false">VLOOKUP(B40,'NIVEL ENERO'!A:D,3,0)</f>
        <v>0.495026864738077</v>
      </c>
      <c r="Q40" s="229" t="n">
        <f aca="false">VLOOKUP(B40,'NIVEL ENERO'!A:D,4,0)</f>
        <v>-342712</v>
      </c>
      <c r="R40" s="186" t="str">
        <f aca="false">+PROPER(C40&amp;" "&amp;D40)</f>
        <v>Uribe Paz Harvin Ricardo</v>
      </c>
      <c r="S40" s="230" t="n">
        <f aca="false">+YEARFRAC(L40,$S$1)</f>
        <v>3.01944444444444</v>
      </c>
      <c r="T40" s="230" t="n">
        <f aca="false">+YEARFRAC(M40,$S$1)</f>
        <v>4.86388888888889</v>
      </c>
      <c r="U40" s="231" t="n">
        <f aca="false">+$I40</f>
        <v>0</v>
      </c>
      <c r="V40" s="232" t="str">
        <f aca="false">+PROPER(F40)</f>
        <v>Casado(A)</v>
      </c>
    </row>
    <row r="41" customFormat="false" ht="14.25" hidden="false" customHeight="false" outlineLevel="0" collapsed="false">
      <c r="B41" s="197" t="n">
        <v>14839579</v>
      </c>
      <c r="C41" s="197" t="s">
        <v>1019</v>
      </c>
      <c r="D41" s="197" t="s">
        <v>1020</v>
      </c>
      <c r="E41" s="198" t="s">
        <v>944</v>
      </c>
      <c r="F41" s="198" t="s">
        <v>945</v>
      </c>
      <c r="G41" s="225" t="n">
        <v>4383200</v>
      </c>
      <c r="H41" s="225" t="n">
        <v>12412153</v>
      </c>
      <c r="I41" s="225" t="n">
        <v>0</v>
      </c>
      <c r="J41" s="198" t="n">
        <v>44</v>
      </c>
      <c r="K41" s="198" t="n">
        <v>1</v>
      </c>
      <c r="L41" s="226" t="n">
        <v>38687</v>
      </c>
      <c r="M41" s="226" t="n">
        <v>38306</v>
      </c>
      <c r="N41" s="227" t="n">
        <v>2</v>
      </c>
      <c r="O41" s="227" t="s">
        <v>135</v>
      </c>
      <c r="P41" s="228" t="n">
        <f aca="false">VLOOKUP(B41,'NIVEL ENERO'!A:D,3,0)</f>
        <v>0.108644976924405</v>
      </c>
      <c r="Q41" s="229" t="n">
        <f aca="false">VLOOKUP(B41,'NIVEL ENERO'!A:D,4,0)</f>
        <v>1497029.2</v>
      </c>
      <c r="R41" s="186" t="str">
        <f aca="false">+PROPER(C41&amp;" "&amp;D41)</f>
        <v>Trochez Delgado Jhon Jairo</v>
      </c>
      <c r="S41" s="230" t="n">
        <f aca="false">+YEARFRAC(L41,$S$1)</f>
        <v>20.4472222222222</v>
      </c>
      <c r="T41" s="230" t="n">
        <f aca="false">+YEARFRAC(M41,$S$1)</f>
        <v>21.4916666666667</v>
      </c>
      <c r="U41" s="231" t="n">
        <f aca="false">+$I41</f>
        <v>0</v>
      </c>
      <c r="V41" s="232" t="str">
        <f aca="false">+PROPER(F41)</f>
        <v>Union Libre</v>
      </c>
    </row>
    <row r="42" customFormat="false" ht="14.25" hidden="false" customHeight="false" outlineLevel="0" collapsed="false">
      <c r="B42" s="197" t="n">
        <v>14893690</v>
      </c>
      <c r="C42" s="197" t="s">
        <v>1021</v>
      </c>
      <c r="D42" s="197" t="s">
        <v>1022</v>
      </c>
      <c r="E42" s="198" t="s">
        <v>944</v>
      </c>
      <c r="F42" s="198" t="s">
        <v>948</v>
      </c>
      <c r="G42" s="225" t="n">
        <v>10237200</v>
      </c>
      <c r="H42" s="225" t="n">
        <v>2405675</v>
      </c>
      <c r="I42" s="225"/>
      <c r="J42" s="198" t="n">
        <v>54</v>
      </c>
      <c r="K42" s="198" t="n">
        <v>1</v>
      </c>
      <c r="L42" s="226" t="n">
        <v>44939</v>
      </c>
      <c r="M42" s="226" t="n">
        <v>44837</v>
      </c>
      <c r="N42" s="227" t="n">
        <v>0</v>
      </c>
      <c r="O42" s="227" t="s">
        <v>135</v>
      </c>
      <c r="P42" s="228" t="n">
        <f aca="false">VLOOKUP(B42,'NIVEL ENERO'!A:D,3,0)</f>
        <v>0.146247509084515</v>
      </c>
      <c r="Q42" s="229" t="n">
        <f aca="false">VLOOKUP(B42,'NIVEL ENERO'!A:D,4,0)</f>
        <v>2802459</v>
      </c>
      <c r="R42" s="186" t="str">
        <f aca="false">+PROPER(C42&amp;" "&amp;D42)</f>
        <v>Viveros Daravina Jair Sidney</v>
      </c>
      <c r="S42" s="230" t="n">
        <f aca="false">+YEARFRAC(L42,$S$1)</f>
        <v>3.33055555555556</v>
      </c>
      <c r="T42" s="230" t="n">
        <f aca="false">+YEARFRAC(M42,$S$1)</f>
        <v>3.60833333333333</v>
      </c>
      <c r="U42" s="231" t="n">
        <f aca="false">+$I42</f>
        <v>0</v>
      </c>
      <c r="V42" s="232" t="str">
        <f aca="false">+PROPER(F42)</f>
        <v>Casado(A)</v>
      </c>
    </row>
    <row r="43" customFormat="false" ht="14.25" hidden="false" customHeight="false" outlineLevel="0" collapsed="false">
      <c r="B43" s="197" t="n">
        <v>14894421</v>
      </c>
      <c r="C43" s="197" t="s">
        <v>1023</v>
      </c>
      <c r="D43" s="197" t="s">
        <v>1024</v>
      </c>
      <c r="E43" s="198" t="s">
        <v>944</v>
      </c>
      <c r="F43" s="198" t="s">
        <v>953</v>
      </c>
      <c r="G43" s="225" t="n">
        <v>1400000</v>
      </c>
      <c r="H43" s="225" t="n">
        <v>3462432</v>
      </c>
      <c r="I43" s="225" t="n">
        <v>424260</v>
      </c>
      <c r="J43" s="198" t="n">
        <v>55</v>
      </c>
      <c r="K43" s="198" t="n">
        <v>2</v>
      </c>
      <c r="L43" s="226" t="n">
        <v>43595</v>
      </c>
      <c r="M43" s="226" t="n">
        <v>42614</v>
      </c>
      <c r="N43" s="227" t="n">
        <v>2</v>
      </c>
      <c r="O43" s="227" t="s">
        <v>185</v>
      </c>
      <c r="P43" s="228" t="e">
        <f aca="false">VLOOKUP(B43,'NIVEL ENERO'!A:D,3,0)</f>
        <v>#N/A</v>
      </c>
      <c r="Q43" s="229" t="e">
        <f aca="false">VLOOKUP(B43,'NIVEL ENERO'!A:D,4,0)</f>
        <v>#N/A</v>
      </c>
      <c r="R43" s="186" t="str">
        <f aca="false">+PROPER(C43&amp;" "&amp;D43)</f>
        <v>Gomez Jose Olmes</v>
      </c>
      <c r="S43" s="230" t="n">
        <f aca="false">+YEARFRAC(L43,$S$1)</f>
        <v>7.00555555555556</v>
      </c>
      <c r="T43" s="230" t="n">
        <f aca="false">+YEARFRAC(M43,$S$1)</f>
        <v>9.69722222222222</v>
      </c>
      <c r="U43" s="231" t="n">
        <f aca="false">+$I43</f>
        <v>424260</v>
      </c>
      <c r="V43" s="232" t="str">
        <f aca="false">+PROPER(F43)</f>
        <v>Soltero(A)</v>
      </c>
    </row>
    <row r="44" customFormat="false" ht="14.25" hidden="false" customHeight="false" outlineLevel="0" collapsed="false">
      <c r="B44" s="197" t="n">
        <v>16282233</v>
      </c>
      <c r="C44" s="197" t="s">
        <v>1025</v>
      </c>
      <c r="D44" s="197" t="s">
        <v>963</v>
      </c>
      <c r="E44" s="198" t="s">
        <v>944</v>
      </c>
      <c r="F44" s="198" t="s">
        <v>953</v>
      </c>
      <c r="G44" s="225" t="n">
        <v>8245400</v>
      </c>
      <c r="H44" s="225" t="n">
        <v>3713126</v>
      </c>
      <c r="I44" s="225" t="n">
        <v>0</v>
      </c>
      <c r="J44" s="198" t="n">
        <v>57</v>
      </c>
      <c r="K44" s="198" t="n">
        <v>1</v>
      </c>
      <c r="L44" s="226" t="n">
        <v>43299</v>
      </c>
      <c r="M44" s="226" t="n">
        <v>40589</v>
      </c>
      <c r="N44" s="227" t="n">
        <v>1</v>
      </c>
      <c r="O44" s="227" t="s">
        <v>135</v>
      </c>
      <c r="P44" s="228" t="n">
        <f aca="false">VLOOKUP(B44,'NIVEL ENERO'!A:D,3,0)</f>
        <v>0.166232814262063</v>
      </c>
      <c r="Q44" s="229" t="n">
        <f aca="false">VLOOKUP(B44,'NIVEL ENERO'!A:D,4,0)</f>
        <v>2115251</v>
      </c>
      <c r="R44" s="186" t="str">
        <f aca="false">+PROPER(C44&amp;" "&amp;D44)</f>
        <v>Gonzalez Oliveros Luis Fernando</v>
      </c>
      <c r="S44" s="230" t="n">
        <f aca="false">+YEARFRAC(L44,$S$1)</f>
        <v>7.81666666666667</v>
      </c>
      <c r="T44" s="230" t="n">
        <f aca="false">+YEARFRAC(M44,$S$1)</f>
        <v>15.2416666666667</v>
      </c>
      <c r="U44" s="231" t="n">
        <f aca="false">+$I44</f>
        <v>0</v>
      </c>
      <c r="V44" s="232" t="str">
        <f aca="false">+PROPER(F44)</f>
        <v>Soltero(A)</v>
      </c>
    </row>
    <row r="45" customFormat="false" ht="14.25" hidden="false" customHeight="false" outlineLevel="0" collapsed="false">
      <c r="B45" s="197" t="n">
        <v>16283520</v>
      </c>
      <c r="C45" s="197" t="s">
        <v>1026</v>
      </c>
      <c r="D45" s="197" t="s">
        <v>1027</v>
      </c>
      <c r="E45" s="198" t="s">
        <v>944</v>
      </c>
      <c r="F45" s="198" t="s">
        <v>948</v>
      </c>
      <c r="G45" s="225" t="n">
        <v>6247700</v>
      </c>
      <c r="H45" s="225" t="n">
        <v>6549188</v>
      </c>
      <c r="I45" s="225" t="n">
        <v>0</v>
      </c>
      <c r="J45" s="198" t="n">
        <v>56</v>
      </c>
      <c r="K45" s="198" t="n">
        <v>1</v>
      </c>
      <c r="L45" s="226" t="n">
        <v>44757</v>
      </c>
      <c r="M45" s="226" t="n">
        <v>39576</v>
      </c>
      <c r="N45" s="227" t="n">
        <v>1</v>
      </c>
      <c r="O45" s="227" t="s">
        <v>135</v>
      </c>
      <c r="P45" s="228" t="n">
        <f aca="false">VLOOKUP(B45,'NIVEL ENERO'!A:D,3,0)</f>
        <v>0.142458244146485</v>
      </c>
      <c r="Q45" s="229" t="n">
        <f aca="false">VLOOKUP(B45,'NIVEL ENERO'!A:D,4,0)</f>
        <v>2165070.58</v>
      </c>
      <c r="R45" s="186" t="str">
        <f aca="false">+PROPER(C45&amp;" "&amp;D45)</f>
        <v>Oidor Lozano Gino Humberto</v>
      </c>
      <c r="S45" s="230" t="n">
        <f aca="false">+YEARFRAC(L45,$S$1)</f>
        <v>3.825</v>
      </c>
      <c r="T45" s="230" t="n">
        <f aca="false">+YEARFRAC(M45,$S$1)</f>
        <v>18.0111111111111</v>
      </c>
      <c r="U45" s="231" t="n">
        <f aca="false">+$I45</f>
        <v>0</v>
      </c>
      <c r="V45" s="232" t="str">
        <f aca="false">+PROPER(F45)</f>
        <v>Casado(A)</v>
      </c>
    </row>
    <row r="46" customFormat="false" ht="14.25" hidden="false" customHeight="false" outlineLevel="0" collapsed="false">
      <c r="B46" s="197" t="n">
        <v>16285415</v>
      </c>
      <c r="C46" s="197" t="s">
        <v>1028</v>
      </c>
      <c r="D46" s="197" t="s">
        <v>1029</v>
      </c>
      <c r="E46" s="198" t="s">
        <v>944</v>
      </c>
      <c r="F46" s="198" t="s">
        <v>948</v>
      </c>
      <c r="G46" s="225" t="n">
        <v>2893800</v>
      </c>
      <c r="H46" s="225" t="n">
        <v>1910716</v>
      </c>
      <c r="I46" s="225" t="n">
        <v>1731232</v>
      </c>
      <c r="J46" s="198" t="n">
        <v>45</v>
      </c>
      <c r="K46" s="198" t="n">
        <v>1</v>
      </c>
      <c r="L46" s="226" t="n">
        <v>44642</v>
      </c>
      <c r="M46" s="226" t="n">
        <v>44105</v>
      </c>
      <c r="N46" s="227" t="n">
        <v>5</v>
      </c>
      <c r="O46" s="227" t="s">
        <v>135</v>
      </c>
      <c r="P46" s="228" t="n">
        <f aca="false">VLOOKUP(B46,'NIVEL ENERO'!A:D,3,0)</f>
        <v>0.401660138493621</v>
      </c>
      <c r="Q46" s="229" t="n">
        <f aca="false">VLOOKUP(B46,'NIVEL ENERO'!A:D,4,0)</f>
        <v>55072.4399999999</v>
      </c>
      <c r="R46" s="186" t="str">
        <f aca="false">+PROPER(C46&amp;" "&amp;D46)</f>
        <v>Ramirez Marin Diego Hernan</v>
      </c>
      <c r="S46" s="230" t="n">
        <f aca="false">+YEARFRAC(L46,$S$1)</f>
        <v>4.13888888888889</v>
      </c>
      <c r="T46" s="230" t="n">
        <f aca="false">+YEARFRAC(M46,$S$1)</f>
        <v>5.61388888888889</v>
      </c>
      <c r="U46" s="231" t="n">
        <f aca="false">+$I46</f>
        <v>1731232</v>
      </c>
      <c r="V46" s="232" t="str">
        <f aca="false">+PROPER(F46)</f>
        <v>Casado(A)</v>
      </c>
    </row>
    <row r="47" customFormat="false" ht="14.25" hidden="false" customHeight="false" outlineLevel="0" collapsed="false">
      <c r="B47" s="197" t="n">
        <v>16285644</v>
      </c>
      <c r="C47" s="197" t="s">
        <v>1030</v>
      </c>
      <c r="D47" s="197" t="s">
        <v>1031</v>
      </c>
      <c r="E47" s="198" t="s">
        <v>944</v>
      </c>
      <c r="F47" s="198" t="s">
        <v>945</v>
      </c>
      <c r="G47" s="225" t="n">
        <v>9087800</v>
      </c>
      <c r="H47" s="225" t="n">
        <v>1607671</v>
      </c>
      <c r="I47" s="225" t="n">
        <v>0</v>
      </c>
      <c r="J47" s="198" t="n">
        <v>45</v>
      </c>
      <c r="K47" s="198" t="n">
        <v>3</v>
      </c>
      <c r="L47" s="226" t="n">
        <v>44854</v>
      </c>
      <c r="M47" s="226" t="n">
        <v>44124</v>
      </c>
      <c r="N47" s="227" t="n">
        <v>0</v>
      </c>
      <c r="O47" s="227" t="s">
        <v>135</v>
      </c>
      <c r="P47" s="228" t="n">
        <f aca="false">VLOOKUP(B47,'NIVEL ENERO'!A:D,3,0)</f>
        <v>0.133852970051751</v>
      </c>
      <c r="Q47" s="229" t="n">
        <f aca="false">VLOOKUP(B47,'NIVEL ENERO'!A:D,4,0)</f>
        <v>2778521.14</v>
      </c>
      <c r="R47" s="186" t="str">
        <f aca="false">+PROPER(C47&amp;" "&amp;D47)</f>
        <v>Barragan Calderon Diego Mauricio</v>
      </c>
      <c r="S47" s="230" t="n">
        <f aca="false">+YEARFRAC(L47,$S$1)</f>
        <v>3.56111111111111</v>
      </c>
      <c r="T47" s="230" t="n">
        <f aca="false">+YEARFRAC(M47,$S$1)</f>
        <v>5.56111111111111</v>
      </c>
      <c r="U47" s="231" t="n">
        <f aca="false">+$I47</f>
        <v>0</v>
      </c>
      <c r="V47" s="232" t="str">
        <f aca="false">+PROPER(F47)</f>
        <v>Union Libre</v>
      </c>
    </row>
    <row r="48" customFormat="false" ht="14.25" hidden="false" customHeight="false" outlineLevel="0" collapsed="false">
      <c r="B48" s="197" t="n">
        <v>16375423</v>
      </c>
      <c r="C48" s="197" t="s">
        <v>1032</v>
      </c>
      <c r="D48" s="197" t="s">
        <v>1033</v>
      </c>
      <c r="E48" s="198" t="s">
        <v>944</v>
      </c>
      <c r="F48" s="198" t="s">
        <v>948</v>
      </c>
      <c r="G48" s="225" t="n">
        <v>2089800</v>
      </c>
      <c r="H48" s="225" t="n">
        <v>3856554</v>
      </c>
      <c r="I48" s="225" t="n">
        <v>0</v>
      </c>
      <c r="J48" s="198" t="n">
        <v>40</v>
      </c>
      <c r="K48" s="198" t="n">
        <v>1</v>
      </c>
      <c r="L48" s="226" t="n">
        <v>44669</v>
      </c>
      <c r="M48" s="226" t="n">
        <v>42444</v>
      </c>
      <c r="N48" s="227" t="n">
        <v>4</v>
      </c>
      <c r="O48" s="227" t="s">
        <v>135</v>
      </c>
      <c r="P48" s="228" t="n">
        <f aca="false">VLOOKUP(B48,'NIVEL ENERO'!A:D,3,0)</f>
        <v>0.37958856342013</v>
      </c>
      <c r="Q48" s="229" t="n">
        <f aca="false">VLOOKUP(B48,'NIVEL ENERO'!A:D,4,0)</f>
        <v>106727.52</v>
      </c>
      <c r="R48" s="186" t="str">
        <f aca="false">+PROPER(C48&amp;" "&amp;D48)</f>
        <v>Zapata Velasco Hernan Alonso</v>
      </c>
      <c r="S48" s="230" t="n">
        <f aca="false">+YEARFRAC(L48,$S$1)</f>
        <v>4.06666666666667</v>
      </c>
      <c r="T48" s="230" t="n">
        <f aca="false">+YEARFRAC(M48,$S$1)</f>
        <v>10.1583333333333</v>
      </c>
      <c r="U48" s="231" t="n">
        <f aca="false">+$I48</f>
        <v>0</v>
      </c>
      <c r="V48" s="232" t="str">
        <f aca="false">+PROPER(F48)</f>
        <v>Casado(A)</v>
      </c>
    </row>
    <row r="49" customFormat="false" ht="14.25" hidden="false" customHeight="false" outlineLevel="0" collapsed="false">
      <c r="B49" s="197" t="n">
        <v>16377725</v>
      </c>
      <c r="C49" s="197" t="s">
        <v>1034</v>
      </c>
      <c r="D49" s="197" t="s">
        <v>1035</v>
      </c>
      <c r="E49" s="198" t="s">
        <v>944</v>
      </c>
      <c r="F49" s="198" t="s">
        <v>953</v>
      </c>
      <c r="G49" s="225" t="n">
        <v>8245400</v>
      </c>
      <c r="H49" s="225" t="n">
        <v>7462269</v>
      </c>
      <c r="I49" s="225" t="n">
        <v>54516477</v>
      </c>
      <c r="J49" s="198" t="n">
        <v>40</v>
      </c>
      <c r="K49" s="198" t="n">
        <v>2</v>
      </c>
      <c r="L49" s="226" t="n">
        <v>40130</v>
      </c>
      <c r="M49" s="226" t="n">
        <v>40120</v>
      </c>
      <c r="N49" s="227" t="n">
        <v>3</v>
      </c>
      <c r="O49" s="227" t="s">
        <v>135</v>
      </c>
      <c r="P49" s="228" t="n">
        <f aca="false">VLOOKUP(B49,'NIVEL ENERO'!A:D,3,0)</f>
        <v>0.329201907968508</v>
      </c>
      <c r="Q49" s="229" t="n">
        <f aca="false">VLOOKUP(B49,'NIVEL ENERO'!A:D,4,0)</f>
        <v>760755.9</v>
      </c>
      <c r="R49" s="186" t="str">
        <f aca="false">+PROPER(C49&amp;" "&amp;D49)</f>
        <v>Vega Mosquera Andres Mauricio</v>
      </c>
      <c r="S49" s="230" t="n">
        <f aca="false">+YEARFRAC(L49,$S$1)</f>
        <v>16.4972222222222</v>
      </c>
      <c r="T49" s="230" t="n">
        <f aca="false">+YEARFRAC(M49,$S$1)</f>
        <v>16.525</v>
      </c>
      <c r="U49" s="231" t="n">
        <f aca="false">+$I49</f>
        <v>54516477</v>
      </c>
      <c r="V49" s="232" t="str">
        <f aca="false">+PROPER(F49)</f>
        <v>Soltero(A)</v>
      </c>
    </row>
    <row r="50" customFormat="false" ht="14.25" hidden="false" customHeight="false" outlineLevel="0" collapsed="false">
      <c r="B50" s="197" t="n">
        <v>16379970</v>
      </c>
      <c r="C50" s="197" t="s">
        <v>1036</v>
      </c>
      <c r="D50" s="197" t="s">
        <v>1037</v>
      </c>
      <c r="E50" s="198" t="s">
        <v>944</v>
      </c>
      <c r="F50" s="198" t="s">
        <v>945</v>
      </c>
      <c r="G50" s="225" t="n">
        <v>2893800</v>
      </c>
      <c r="H50" s="225" t="n">
        <v>1075381</v>
      </c>
      <c r="I50" s="225" t="n">
        <v>0</v>
      </c>
      <c r="J50" s="198" t="n">
        <v>39</v>
      </c>
      <c r="K50" s="198" t="n">
        <v>4</v>
      </c>
      <c r="L50" s="226" t="n">
        <v>45142</v>
      </c>
      <c r="M50" s="226" t="n">
        <v>41417</v>
      </c>
      <c r="N50" s="227" t="n">
        <v>5</v>
      </c>
      <c r="O50" s="227" t="s">
        <v>135</v>
      </c>
      <c r="P50" s="228" t="n">
        <f aca="false">VLOOKUP(B50,'NIVEL ENERO'!A:D,3,0)</f>
        <v>0.267365218767395</v>
      </c>
      <c r="Q50" s="229" t="n">
        <f aca="false">VLOOKUP(B50,'NIVEL ENERO'!A:D,4,0)</f>
        <v>551702.08</v>
      </c>
      <c r="R50" s="186" t="str">
        <f aca="false">+PROPER(C50&amp;" "&amp;D50)</f>
        <v>Caicedo Quintero Leandro</v>
      </c>
      <c r="S50" s="230" t="n">
        <f aca="false">+YEARFRAC(L50,$S$1)</f>
        <v>2.77222222222222</v>
      </c>
      <c r="T50" s="230" t="n">
        <f aca="false">+YEARFRAC(M50,$S$1)</f>
        <v>12.9694444444444</v>
      </c>
      <c r="U50" s="231" t="n">
        <f aca="false">+$I50</f>
        <v>0</v>
      </c>
      <c r="V50" s="232" t="str">
        <f aca="false">+PROPER(F50)</f>
        <v>Union Libre</v>
      </c>
    </row>
    <row r="51" customFormat="false" ht="14.25" hidden="false" customHeight="false" outlineLevel="0" collapsed="false">
      <c r="B51" s="197" t="n">
        <v>16457828</v>
      </c>
      <c r="C51" s="197" t="s">
        <v>1038</v>
      </c>
      <c r="D51" s="197" t="s">
        <v>1039</v>
      </c>
      <c r="E51" s="198" t="s">
        <v>944</v>
      </c>
      <c r="F51" s="198" t="s">
        <v>945</v>
      </c>
      <c r="G51" s="225" t="n">
        <v>2893800</v>
      </c>
      <c r="H51" s="225" t="n">
        <v>300000</v>
      </c>
      <c r="I51" s="225" t="n">
        <v>0</v>
      </c>
      <c r="J51" s="198" t="n">
        <v>46</v>
      </c>
      <c r="K51" s="198" t="n">
        <v>2</v>
      </c>
      <c r="L51" s="226" t="n">
        <v>45587</v>
      </c>
      <c r="M51" s="226" t="n">
        <v>36601</v>
      </c>
      <c r="N51" s="227" t="n">
        <v>3</v>
      </c>
      <c r="O51" s="227" t="s">
        <v>135</v>
      </c>
      <c r="P51" s="228" t="n">
        <f aca="false">VLOOKUP(B51,'NIVEL ENERO'!A:D,3,0)</f>
        <v>0.155105436097729</v>
      </c>
      <c r="Q51" s="229" t="n">
        <f aca="false">VLOOKUP(B51,'NIVEL ENERO'!A:D,4,0)</f>
        <v>1084615.56</v>
      </c>
      <c r="R51" s="186" t="str">
        <f aca="false">+PROPER(C51&amp;" "&amp;D51)</f>
        <v>Morales Sanchez Miguel Angel</v>
      </c>
      <c r="S51" s="230" t="n">
        <f aca="false">+YEARFRAC(L51,$S$1)</f>
        <v>1.55555555555556</v>
      </c>
      <c r="T51" s="230" t="n">
        <f aca="false">+YEARFRAC(M51,$S$1)</f>
        <v>26.1555555555556</v>
      </c>
      <c r="U51" s="231" t="n">
        <f aca="false">+$I51</f>
        <v>0</v>
      </c>
      <c r="V51" s="232" t="str">
        <f aca="false">+PROPER(F51)</f>
        <v>Union Libre</v>
      </c>
    </row>
    <row r="52" customFormat="false" ht="14.25" hidden="false" customHeight="false" outlineLevel="0" collapsed="false">
      <c r="B52" s="197" t="n">
        <v>16537560</v>
      </c>
      <c r="C52" s="197" t="s">
        <v>1040</v>
      </c>
      <c r="D52" s="197" t="s">
        <v>1041</v>
      </c>
      <c r="E52" s="198" t="s">
        <v>944</v>
      </c>
      <c r="F52" s="198" t="s">
        <v>953</v>
      </c>
      <c r="G52" s="225" t="n">
        <v>2255900</v>
      </c>
      <c r="H52" s="225" t="n">
        <v>2053147</v>
      </c>
      <c r="I52" s="225" t="n">
        <v>3894249</v>
      </c>
      <c r="J52" s="198" t="n">
        <v>42</v>
      </c>
      <c r="K52" s="198" t="n">
        <v>2</v>
      </c>
      <c r="L52" s="226" t="n">
        <v>44551</v>
      </c>
      <c r="M52" s="226" t="n">
        <v>44326</v>
      </c>
      <c r="N52" s="227" t="n">
        <v>3</v>
      </c>
      <c r="O52" s="227" t="s">
        <v>135</v>
      </c>
      <c r="P52" s="228" t="n">
        <f aca="false">VLOOKUP(B52,'NIVEL ENERO'!A:D,3,0)</f>
        <v>0.350368024390235</v>
      </c>
      <c r="Q52" s="229" t="n">
        <f aca="false">VLOOKUP(B52,'NIVEL ENERO'!A:D,4,0)</f>
        <v>198762.78</v>
      </c>
      <c r="R52" s="186" t="str">
        <f aca="false">+PROPER(C52&amp;" "&amp;D52)</f>
        <v>Cardozo Luis Felipe</v>
      </c>
      <c r="S52" s="230" t="n">
        <f aca="false">+YEARFRAC(L52,$S$1)</f>
        <v>4.39166666666667</v>
      </c>
      <c r="T52" s="230" t="n">
        <f aca="false">+YEARFRAC(M52,$S$1)</f>
        <v>5.00555555555556</v>
      </c>
      <c r="U52" s="231" t="n">
        <f aca="false">+$I52</f>
        <v>3894249</v>
      </c>
      <c r="V52" s="232" t="str">
        <f aca="false">+PROPER(F52)</f>
        <v>Soltero(A)</v>
      </c>
    </row>
    <row r="53" customFormat="false" ht="14.25" hidden="false" customHeight="false" outlineLevel="0" collapsed="false">
      <c r="B53" s="197" t="n">
        <v>16699405</v>
      </c>
      <c r="C53" s="197" t="s">
        <v>1042</v>
      </c>
      <c r="D53" s="197" t="s">
        <v>1043</v>
      </c>
      <c r="E53" s="198" t="s">
        <v>944</v>
      </c>
      <c r="F53" s="198" t="s">
        <v>948</v>
      </c>
      <c r="G53" s="225" t="n">
        <v>2017100</v>
      </c>
      <c r="H53" s="225" t="n">
        <v>4868171</v>
      </c>
      <c r="I53" s="225" t="n">
        <v>8693235</v>
      </c>
      <c r="J53" s="198" t="n">
        <v>60</v>
      </c>
      <c r="K53" s="198" t="n">
        <v>4</v>
      </c>
      <c r="L53" s="226" t="n">
        <v>42192</v>
      </c>
      <c r="M53" s="226" t="n">
        <v>30180</v>
      </c>
      <c r="N53" s="227" t="n">
        <v>3</v>
      </c>
      <c r="O53" s="227" t="s">
        <v>135</v>
      </c>
      <c r="P53" s="228" t="n">
        <f aca="false">VLOOKUP(B53,'NIVEL ENERO'!A:D,3,0)</f>
        <v>0.338117594566457</v>
      </c>
      <c r="Q53" s="229" t="n">
        <f aca="false">VLOOKUP(B53,'NIVEL ENERO'!A:D,4,0)</f>
        <v>165165</v>
      </c>
      <c r="R53" s="186" t="str">
        <f aca="false">+PROPER(C53&amp;" "&amp;D53)</f>
        <v>Delgado Villegas Carlos Alberto</v>
      </c>
      <c r="S53" s="230" t="n">
        <f aca="false">+YEARFRAC(L53,$S$1)</f>
        <v>10.8472222222222</v>
      </c>
      <c r="T53" s="230" t="n">
        <f aca="false">+YEARFRAC(M53,$S$1)</f>
        <v>43.7361111111111</v>
      </c>
      <c r="U53" s="231" t="n">
        <f aca="false">+$I53</f>
        <v>8693235</v>
      </c>
      <c r="V53" s="232" t="str">
        <f aca="false">+PROPER(F53)</f>
        <v>Casado(A)</v>
      </c>
    </row>
    <row r="54" customFormat="false" ht="14.25" hidden="false" customHeight="false" outlineLevel="0" collapsed="false">
      <c r="B54" s="197" t="n">
        <v>16701228</v>
      </c>
      <c r="C54" s="197" t="s">
        <v>1044</v>
      </c>
      <c r="D54" s="197" t="s">
        <v>1045</v>
      </c>
      <c r="E54" s="198" t="s">
        <v>944</v>
      </c>
      <c r="F54" s="198" t="s">
        <v>945</v>
      </c>
      <c r="G54" s="225" t="n">
        <v>2600900</v>
      </c>
      <c r="H54" s="225" t="n">
        <v>4484998</v>
      </c>
      <c r="I54" s="225" t="n">
        <v>0</v>
      </c>
      <c r="J54" s="198" t="n">
        <v>60</v>
      </c>
      <c r="K54" s="198" t="n">
        <v>1</v>
      </c>
      <c r="L54" s="226" t="n">
        <v>44417</v>
      </c>
      <c r="M54" s="226" t="n">
        <v>35548</v>
      </c>
      <c r="N54" s="227" t="n">
        <v>3</v>
      </c>
      <c r="O54" s="227" t="s">
        <v>135</v>
      </c>
      <c r="P54" s="228" t="n">
        <f aca="false">VLOOKUP(B54,'NIVEL ENERO'!A:D,3,0)</f>
        <v>0.153674174232719</v>
      </c>
      <c r="Q54" s="229" t="n">
        <f aca="false">VLOOKUP(B54,'NIVEL ENERO'!A:D,4,0)</f>
        <v>917559.14</v>
      </c>
      <c r="R54" s="186" t="str">
        <f aca="false">+PROPER(C54&amp;" "&amp;D54)</f>
        <v>Cardenas Varela Luis Eduardo</v>
      </c>
      <c r="S54" s="230" t="n">
        <f aca="false">+YEARFRAC(L54,$S$1)</f>
        <v>4.75833333333333</v>
      </c>
      <c r="T54" s="230" t="n">
        <f aca="false">+YEARFRAC(M54,$S$1)</f>
        <v>29.0388888888889</v>
      </c>
      <c r="U54" s="231" t="n">
        <f aca="false">+$I54</f>
        <v>0</v>
      </c>
      <c r="V54" s="232" t="str">
        <f aca="false">+PROPER(F54)</f>
        <v>Union Libre</v>
      </c>
    </row>
    <row r="55" customFormat="false" ht="14.25" hidden="false" customHeight="false" outlineLevel="0" collapsed="false">
      <c r="B55" s="197" t="n">
        <v>16729830</v>
      </c>
      <c r="C55" s="197" t="s">
        <v>1046</v>
      </c>
      <c r="D55" s="197" t="s">
        <v>1047</v>
      </c>
      <c r="E55" s="198" t="s">
        <v>944</v>
      </c>
      <c r="F55" s="198" t="s">
        <v>948</v>
      </c>
      <c r="G55" s="225" t="n">
        <v>19690900</v>
      </c>
      <c r="H55" s="225" t="n">
        <v>14684493</v>
      </c>
      <c r="I55" s="225" t="n">
        <v>8637506</v>
      </c>
      <c r="J55" s="198" t="n">
        <v>58</v>
      </c>
      <c r="K55" s="198" t="n">
        <v>3</v>
      </c>
      <c r="L55" s="226" t="n">
        <v>39692</v>
      </c>
      <c r="M55" s="226" t="n">
        <v>34366</v>
      </c>
      <c r="N55" s="227" t="n">
        <v>1</v>
      </c>
      <c r="O55" s="227" t="s">
        <v>135</v>
      </c>
      <c r="P55" s="228" t="n">
        <f aca="false">VLOOKUP(B55,'NIVEL ENERO'!A:D,3,0)</f>
        <v>0.28172912360532</v>
      </c>
      <c r="Q55" s="229" t="n">
        <f aca="false">VLOOKUP(B55,'NIVEL ENERO'!A:D,4,0)</f>
        <v>2722678</v>
      </c>
      <c r="R55" s="186" t="str">
        <f aca="false">+PROPER(C55&amp;" "&amp;D55)</f>
        <v>Montenegro Martinez Javier</v>
      </c>
      <c r="S55" s="230" t="n">
        <f aca="false">+YEARFRAC(L55,$S$1)</f>
        <v>17.6972222222222</v>
      </c>
      <c r="T55" s="230" t="n">
        <f aca="false">+YEARFRAC(M55,$S$1)</f>
        <v>32.2805555555556</v>
      </c>
      <c r="U55" s="231" t="n">
        <f aca="false">+$I55</f>
        <v>8637506</v>
      </c>
      <c r="V55" s="232" t="str">
        <f aca="false">+PROPER(F55)</f>
        <v>Casado(A)</v>
      </c>
    </row>
    <row r="56" customFormat="false" ht="14.25" hidden="false" customHeight="false" outlineLevel="0" collapsed="false">
      <c r="B56" s="197" t="n">
        <v>16729841</v>
      </c>
      <c r="C56" s="197" t="s">
        <v>1048</v>
      </c>
      <c r="D56" s="197" t="s">
        <v>1049</v>
      </c>
      <c r="E56" s="198" t="s">
        <v>944</v>
      </c>
      <c r="F56" s="198" t="s">
        <v>945</v>
      </c>
      <c r="G56" s="225" t="n">
        <v>13588800</v>
      </c>
      <c r="H56" s="225" t="n">
        <v>9931291</v>
      </c>
      <c r="I56" s="225" t="n">
        <v>0</v>
      </c>
      <c r="J56" s="198" t="n">
        <v>58</v>
      </c>
      <c r="K56" s="198" t="n">
        <v>6</v>
      </c>
      <c r="L56" s="226" t="n">
        <v>43560</v>
      </c>
      <c r="M56" s="226" t="n">
        <v>41760</v>
      </c>
      <c r="N56" s="227" t="n">
        <v>5</v>
      </c>
      <c r="O56" s="227" t="s">
        <v>135</v>
      </c>
      <c r="P56" s="228" t="n">
        <f aca="false">VLOOKUP(B56,'NIVEL ENERO'!A:D,3,0)</f>
        <v>0.306898328034852</v>
      </c>
      <c r="Q56" s="229" t="n">
        <f aca="false">VLOOKUP(B56,'NIVEL ENERO'!A:D,4,0)</f>
        <v>1536916</v>
      </c>
      <c r="R56" s="186" t="str">
        <f aca="false">+PROPER(C56&amp;" "&amp;D56)</f>
        <v>Arbelaez Vivas Arturo</v>
      </c>
      <c r="S56" s="230" t="n">
        <f aca="false">+YEARFRAC(L56,$S$1)</f>
        <v>7.10277777777778</v>
      </c>
      <c r="T56" s="230" t="n">
        <f aca="false">+YEARFRAC(M56,$S$1)</f>
        <v>12.0305555555556</v>
      </c>
      <c r="U56" s="231" t="n">
        <f aca="false">+$I56</f>
        <v>0</v>
      </c>
      <c r="V56" s="232" t="str">
        <f aca="false">+PROPER(F56)</f>
        <v>Union Libre</v>
      </c>
    </row>
    <row r="57" customFormat="false" ht="14.25" hidden="false" customHeight="false" outlineLevel="0" collapsed="false">
      <c r="B57" s="197" t="n">
        <v>16737817</v>
      </c>
      <c r="C57" s="197" t="s">
        <v>1050</v>
      </c>
      <c r="D57" s="197" t="s">
        <v>1051</v>
      </c>
      <c r="E57" s="198" t="s">
        <v>944</v>
      </c>
      <c r="F57" s="198" t="s">
        <v>953</v>
      </c>
      <c r="G57" s="225" t="n">
        <v>9087800</v>
      </c>
      <c r="H57" s="225" t="n">
        <v>13632833</v>
      </c>
      <c r="I57" s="225" t="n">
        <v>15795655</v>
      </c>
      <c r="J57" s="198" t="n">
        <v>57</v>
      </c>
      <c r="K57" s="198" t="n">
        <v>1</v>
      </c>
      <c r="L57" s="226" t="n">
        <v>40883</v>
      </c>
      <c r="M57" s="226" t="n">
        <v>38930</v>
      </c>
      <c r="N57" s="227" t="n">
        <v>1</v>
      </c>
      <c r="O57" s="227" t="s">
        <v>135</v>
      </c>
      <c r="P57" s="228" t="n">
        <f aca="false">VLOOKUP(B57,'NIVEL ENERO'!A:D,3,0)</f>
        <v>0.314642343070672</v>
      </c>
      <c r="Q57" s="229" t="n">
        <f aca="false">VLOOKUP(B57,'NIVEL ENERO'!A:D,4,0)</f>
        <v>957469.42</v>
      </c>
      <c r="R57" s="186" t="str">
        <f aca="false">+PROPER(C57&amp;" "&amp;D57)</f>
        <v>Rincon Cruz Rafael Antonio</v>
      </c>
      <c r="S57" s="230" t="n">
        <f aca="false">+YEARFRAC(L57,$S$1)</f>
        <v>14.4333333333333</v>
      </c>
      <c r="T57" s="230" t="n">
        <f aca="false">+YEARFRAC(M57,$S$1)</f>
        <v>19.7805555555556</v>
      </c>
      <c r="U57" s="231" t="n">
        <f aca="false">+$I57</f>
        <v>15795655</v>
      </c>
      <c r="V57" s="232" t="str">
        <f aca="false">+PROPER(F57)</f>
        <v>Soltero(A)</v>
      </c>
    </row>
    <row r="58" customFormat="false" ht="14.25" hidden="false" customHeight="false" outlineLevel="0" collapsed="false">
      <c r="B58" s="197" t="n">
        <v>16738073</v>
      </c>
      <c r="C58" s="197" t="s">
        <v>1052</v>
      </c>
      <c r="D58" s="197" t="s">
        <v>1053</v>
      </c>
      <c r="E58" s="198" t="s">
        <v>981</v>
      </c>
      <c r="F58" s="198" t="s">
        <v>948</v>
      </c>
      <c r="G58" s="225" t="n">
        <v>2916600</v>
      </c>
      <c r="H58" s="225" t="n">
        <v>2732918</v>
      </c>
      <c r="I58" s="225" t="n">
        <v>6704967</v>
      </c>
      <c r="J58" s="198" t="n">
        <v>58</v>
      </c>
      <c r="K58" s="198" t="n">
        <v>1</v>
      </c>
      <c r="L58" s="226" t="n">
        <v>44300</v>
      </c>
      <c r="M58" s="226" t="n">
        <v>41470</v>
      </c>
      <c r="N58" s="227" t="n">
        <v>3</v>
      </c>
      <c r="O58" s="227" t="s">
        <v>135</v>
      </c>
      <c r="P58" s="228" t="n">
        <f aca="false">VLOOKUP(B58,'NIVEL ENERO'!A:D,3,0)</f>
        <v>0.372049468417896</v>
      </c>
      <c r="Q58" s="229" t="n">
        <f aca="false">VLOOKUP(B58,'NIVEL ENERO'!A:D,4,0)</f>
        <v>192064.16</v>
      </c>
      <c r="R58" s="186" t="str">
        <f aca="false">+PROPER(C58&amp;" "&amp;D58)</f>
        <v>Dominguez Estrada Norberto</v>
      </c>
      <c r="S58" s="230" t="n">
        <f aca="false">+YEARFRAC(L58,$S$1)</f>
        <v>5.07777777777778</v>
      </c>
      <c r="T58" s="230" t="n">
        <f aca="false">+YEARFRAC(M58,$S$1)</f>
        <v>12.825</v>
      </c>
      <c r="U58" s="231" t="n">
        <f aca="false">+$I58</f>
        <v>6704967</v>
      </c>
      <c r="V58" s="232" t="str">
        <f aca="false">+PROPER(F58)</f>
        <v>Casado(A)</v>
      </c>
    </row>
    <row r="59" customFormat="false" ht="14.25" hidden="false" customHeight="false" outlineLevel="0" collapsed="false">
      <c r="B59" s="197" t="n">
        <v>16745578</v>
      </c>
      <c r="C59" s="197" t="s">
        <v>1054</v>
      </c>
      <c r="D59" s="197" t="s">
        <v>1055</v>
      </c>
      <c r="E59" s="198" t="s">
        <v>944</v>
      </c>
      <c r="F59" s="198" t="s">
        <v>948</v>
      </c>
      <c r="G59" s="225" t="n">
        <v>8245400</v>
      </c>
      <c r="H59" s="225" t="n">
        <v>14209373</v>
      </c>
      <c r="I59" s="225" t="n">
        <v>7182222</v>
      </c>
      <c r="J59" s="198" t="n">
        <v>57</v>
      </c>
      <c r="K59" s="198" t="n">
        <v>1</v>
      </c>
      <c r="L59" s="226" t="n">
        <v>42412</v>
      </c>
      <c r="M59" s="226" t="n">
        <v>35262</v>
      </c>
      <c r="N59" s="227" t="n">
        <v>2</v>
      </c>
      <c r="O59" s="227" t="s">
        <v>135</v>
      </c>
      <c r="P59" s="228" t="n">
        <f aca="false">VLOOKUP(B59,'NIVEL ENERO'!A:D,3,0)</f>
        <v>0.327570524171053</v>
      </c>
      <c r="Q59" s="229" t="n">
        <f aca="false">VLOOKUP(B59,'NIVEL ENERO'!A:D,4,0)</f>
        <v>762118</v>
      </c>
      <c r="R59" s="186" t="str">
        <f aca="false">+PROPER(C59&amp;" "&amp;D59)</f>
        <v>Marin Astros Diego Alberto</v>
      </c>
      <c r="S59" s="230" t="n">
        <f aca="false">+YEARFRAC(L59,$S$1)</f>
        <v>10.25</v>
      </c>
      <c r="T59" s="230" t="n">
        <f aca="false">+YEARFRAC(M59,$S$1)</f>
        <v>29.8222222222222</v>
      </c>
      <c r="U59" s="231" t="n">
        <f aca="false">+$I59</f>
        <v>7182222</v>
      </c>
      <c r="V59" s="232" t="str">
        <f aca="false">+PROPER(F59)</f>
        <v>Casado(A)</v>
      </c>
    </row>
    <row r="60" customFormat="false" ht="14.25" hidden="false" customHeight="false" outlineLevel="0" collapsed="false">
      <c r="B60" s="197" t="n">
        <v>16749432</v>
      </c>
      <c r="C60" s="197" t="s">
        <v>1056</v>
      </c>
      <c r="D60" s="197" t="s">
        <v>1057</v>
      </c>
      <c r="E60" s="198" t="s">
        <v>944</v>
      </c>
      <c r="F60" s="198" t="s">
        <v>948</v>
      </c>
      <c r="G60" s="225" t="n">
        <v>2893800</v>
      </c>
      <c r="H60" s="225" t="n">
        <v>5293692</v>
      </c>
      <c r="I60" s="225" t="n">
        <v>5546564</v>
      </c>
      <c r="J60" s="198" t="n">
        <v>57</v>
      </c>
      <c r="K60" s="198" t="n">
        <v>1</v>
      </c>
      <c r="L60" s="226" t="n">
        <v>42345</v>
      </c>
      <c r="M60" s="226" t="n">
        <v>37158</v>
      </c>
      <c r="N60" s="227" t="n">
        <v>2</v>
      </c>
      <c r="O60" s="227" t="s">
        <v>135</v>
      </c>
      <c r="P60" s="228" t="n">
        <f aca="false">VLOOKUP(B60,'NIVEL ENERO'!A:D,3,0)</f>
        <v>0.41219884213892</v>
      </c>
      <c r="Q60" s="229" t="n">
        <f aca="false">VLOOKUP(B60,'NIVEL ENERO'!A:D,4,0)</f>
        <v>31449.5799999998</v>
      </c>
      <c r="R60" s="186" t="str">
        <f aca="false">+PROPER(C60&amp;" "&amp;D60)</f>
        <v>Solarte Benavidez Guillermo</v>
      </c>
      <c r="S60" s="230" t="n">
        <f aca="false">+YEARFRAC(L60,$S$1)</f>
        <v>10.4305555555556</v>
      </c>
      <c r="T60" s="230" t="n">
        <f aca="false">+YEARFRAC(M60,$S$1)</f>
        <v>24.6333333333333</v>
      </c>
      <c r="U60" s="231" t="n">
        <f aca="false">+$I60</f>
        <v>5546564</v>
      </c>
      <c r="V60" s="232" t="str">
        <f aca="false">+PROPER(F60)</f>
        <v>Casado(A)</v>
      </c>
    </row>
    <row r="61" customFormat="false" ht="14.25" hidden="false" customHeight="false" outlineLevel="0" collapsed="false">
      <c r="B61" s="197" t="n">
        <v>16755647</v>
      </c>
      <c r="C61" s="197" t="s">
        <v>1058</v>
      </c>
      <c r="D61" s="197" t="s">
        <v>1059</v>
      </c>
      <c r="E61" s="198" t="s">
        <v>944</v>
      </c>
      <c r="F61" s="198" t="s">
        <v>948</v>
      </c>
      <c r="G61" s="225" t="n">
        <v>2681200</v>
      </c>
      <c r="H61" s="225" t="n">
        <v>3439477</v>
      </c>
      <c r="I61" s="225" t="n">
        <v>3343857</v>
      </c>
      <c r="J61" s="198" t="n">
        <v>56</v>
      </c>
      <c r="K61" s="198" t="n">
        <v>3</v>
      </c>
      <c r="L61" s="226" t="n">
        <v>43476</v>
      </c>
      <c r="M61" s="226" t="n">
        <v>42781</v>
      </c>
      <c r="N61" s="227" t="n">
        <v>3</v>
      </c>
      <c r="O61" s="227" t="s">
        <v>135</v>
      </c>
      <c r="P61" s="228" t="n">
        <f aca="false">VLOOKUP(B61,'NIVEL ENERO'!A:D,3,0)</f>
        <v>0.256080113382068</v>
      </c>
      <c r="Q61" s="229" t="n">
        <f aca="false">VLOOKUP(B61,'NIVEL ENERO'!A:D,4,0)</f>
        <v>439502</v>
      </c>
      <c r="R61" s="186" t="str">
        <f aca="false">+PROPER(C61&amp;" "&amp;D61)</f>
        <v>Leon Tamayo Jairo</v>
      </c>
      <c r="S61" s="230" t="n">
        <f aca="false">+YEARFRAC(L61,$S$1)</f>
        <v>7.33611111111111</v>
      </c>
      <c r="T61" s="230" t="n">
        <f aca="false">+YEARFRAC(M61,$S$1)</f>
        <v>9.24166666666667</v>
      </c>
      <c r="U61" s="231" t="n">
        <f aca="false">+$I61</f>
        <v>3343857</v>
      </c>
      <c r="V61" s="232" t="str">
        <f aca="false">+PROPER(F61)</f>
        <v>Casado(A)</v>
      </c>
    </row>
    <row r="62" customFormat="false" ht="14.25" hidden="false" customHeight="false" outlineLevel="0" collapsed="false">
      <c r="B62" s="197" t="n">
        <v>16761455</v>
      </c>
      <c r="C62" s="197" t="s">
        <v>1060</v>
      </c>
      <c r="D62" s="197" t="s">
        <v>1061</v>
      </c>
      <c r="E62" s="198" t="s">
        <v>944</v>
      </c>
      <c r="F62" s="198" t="s">
        <v>948</v>
      </c>
      <c r="G62" s="225" t="n">
        <v>9087800</v>
      </c>
      <c r="H62" s="225" t="n">
        <v>2708720</v>
      </c>
      <c r="I62" s="225" t="n">
        <v>4733608</v>
      </c>
      <c r="J62" s="198" t="n">
        <v>56</v>
      </c>
      <c r="K62" s="198" t="n">
        <v>2</v>
      </c>
      <c r="L62" s="226" t="n">
        <v>44823</v>
      </c>
      <c r="M62" s="226" t="n">
        <v>42079</v>
      </c>
      <c r="N62" s="227" t="n">
        <v>3</v>
      </c>
      <c r="O62" s="227" t="s">
        <v>135</v>
      </c>
      <c r="P62" s="228" t="n">
        <f aca="false">VLOOKUP(B62,'NIVEL ENERO'!A:D,3,0)</f>
        <v>0.265482138454501</v>
      </c>
      <c r="Q62" s="229" t="n">
        <f aca="false">VLOOKUP(B62,'NIVEL ENERO'!A:D,4,0)</f>
        <v>844199.22</v>
      </c>
      <c r="R62" s="186" t="str">
        <f aca="false">+PROPER(C62&amp;" "&amp;D62)</f>
        <v>Mejia Vargas  Julio Cesar</v>
      </c>
      <c r="S62" s="230" t="n">
        <f aca="false">+YEARFRAC(L62,$S$1)</f>
        <v>3.64722222222222</v>
      </c>
      <c r="T62" s="230" t="n">
        <f aca="false">+YEARFRAC(M62,$S$1)</f>
        <v>11.1555555555556</v>
      </c>
      <c r="U62" s="231" t="n">
        <f aca="false">+$I62</f>
        <v>4733608</v>
      </c>
      <c r="V62" s="232" t="str">
        <f aca="false">+PROPER(F62)</f>
        <v>Casado(A)</v>
      </c>
    </row>
    <row r="63" customFormat="false" ht="14.25" hidden="false" customHeight="false" outlineLevel="0" collapsed="false">
      <c r="B63" s="197" t="n">
        <v>16767193</v>
      </c>
      <c r="C63" s="197" t="s">
        <v>1062</v>
      </c>
      <c r="D63" s="197" t="s">
        <v>1063</v>
      </c>
      <c r="E63" s="198" t="s">
        <v>944</v>
      </c>
      <c r="F63" s="198" t="s">
        <v>948</v>
      </c>
      <c r="G63" s="225" t="n">
        <v>7551500</v>
      </c>
      <c r="H63" s="225" t="n">
        <v>2409835</v>
      </c>
      <c r="I63" s="225" t="n">
        <v>2344746</v>
      </c>
      <c r="J63" s="198" t="n">
        <v>55</v>
      </c>
      <c r="K63" s="198" t="n">
        <v>6</v>
      </c>
      <c r="L63" s="226" t="n">
        <v>45190</v>
      </c>
      <c r="M63" s="226" t="n">
        <v>34408</v>
      </c>
      <c r="N63" s="227" t="n">
        <v>1</v>
      </c>
      <c r="O63" s="227" t="s">
        <v>135</v>
      </c>
      <c r="P63" s="228" t="n">
        <f aca="false">VLOOKUP(B63,'NIVEL ENERO'!A:D,3,0)</f>
        <v>0.147383831026948</v>
      </c>
      <c r="Q63" s="229" t="n">
        <f aca="false">VLOOKUP(B63,'NIVEL ENERO'!A:D,4,0)</f>
        <v>2058661</v>
      </c>
      <c r="R63" s="186" t="str">
        <f aca="false">+PROPER(C63&amp;" "&amp;D63)</f>
        <v>Gomez Morera Juan Carlos</v>
      </c>
      <c r="S63" s="230" t="n">
        <f aca="false">+YEARFRAC(L63,$S$1)</f>
        <v>2.64166666666667</v>
      </c>
      <c r="T63" s="230" t="n">
        <f aca="false">+YEARFRAC(M63,$S$1)</f>
        <v>32.1583333333333</v>
      </c>
      <c r="U63" s="231" t="n">
        <f aca="false">+$I63</f>
        <v>2344746</v>
      </c>
      <c r="V63" s="232" t="str">
        <f aca="false">+PROPER(F63)</f>
        <v>Casado(A)</v>
      </c>
    </row>
    <row r="64" customFormat="false" ht="14.25" hidden="false" customHeight="false" outlineLevel="0" collapsed="false">
      <c r="B64" s="197" t="n">
        <v>16768054</v>
      </c>
      <c r="C64" s="197" t="s">
        <v>1064</v>
      </c>
      <c r="D64" s="197" t="s">
        <v>1065</v>
      </c>
      <c r="E64" s="198" t="s">
        <v>944</v>
      </c>
      <c r="F64" s="198" t="s">
        <v>948</v>
      </c>
      <c r="G64" s="225" t="n">
        <v>8245400</v>
      </c>
      <c r="H64" s="225" t="n">
        <v>2409412</v>
      </c>
      <c r="I64" s="225" t="n">
        <v>8065707</v>
      </c>
      <c r="J64" s="198" t="n">
        <v>55</v>
      </c>
      <c r="K64" s="198" t="n">
        <v>4</v>
      </c>
      <c r="L64" s="226" t="n">
        <v>44733</v>
      </c>
      <c r="M64" s="226" t="n">
        <v>40119</v>
      </c>
      <c r="N64" s="227" t="n">
        <v>3</v>
      </c>
      <c r="O64" s="227" t="s">
        <v>135</v>
      </c>
      <c r="P64" s="228" t="n">
        <f aca="false">VLOOKUP(B64,'NIVEL ENERO'!A:D,3,0)</f>
        <v>0.334530556422007</v>
      </c>
      <c r="Q64" s="229" t="n">
        <f aca="false">VLOOKUP(B64,'NIVEL ENERO'!A:D,4,0)</f>
        <v>712422</v>
      </c>
      <c r="R64" s="186" t="str">
        <f aca="false">+PROPER(C64&amp;" "&amp;D64)</f>
        <v>Lopez Ramirez Diego Fernando</v>
      </c>
      <c r="S64" s="230" t="n">
        <f aca="false">+YEARFRAC(L64,$S$1)</f>
        <v>3.89166666666667</v>
      </c>
      <c r="T64" s="230" t="n">
        <f aca="false">+YEARFRAC(M64,$S$1)</f>
        <v>16.5277777777778</v>
      </c>
      <c r="U64" s="231" t="n">
        <f aca="false">+$I64</f>
        <v>8065707</v>
      </c>
      <c r="V64" s="232" t="str">
        <f aca="false">+PROPER(F64)</f>
        <v>Casado(A)</v>
      </c>
    </row>
    <row r="65" customFormat="false" ht="14.25" hidden="false" customHeight="false" outlineLevel="0" collapsed="false">
      <c r="B65" s="197" t="n">
        <v>16769506</v>
      </c>
      <c r="C65" s="197" t="s">
        <v>1066</v>
      </c>
      <c r="D65" s="197" t="s">
        <v>1067</v>
      </c>
      <c r="E65" s="198" t="s">
        <v>944</v>
      </c>
      <c r="F65" s="198" t="s">
        <v>953</v>
      </c>
      <c r="G65" s="225" t="n">
        <v>2600900</v>
      </c>
      <c r="H65" s="225" t="n">
        <v>5645821</v>
      </c>
      <c r="I65" s="225" t="n">
        <v>729037</v>
      </c>
      <c r="J65" s="198" t="n">
        <v>55</v>
      </c>
      <c r="K65" s="198" t="n">
        <v>2</v>
      </c>
      <c r="L65" s="226" t="n">
        <v>41619</v>
      </c>
      <c r="M65" s="226" t="n">
        <v>36493</v>
      </c>
      <c r="N65" s="227" t="n">
        <v>1</v>
      </c>
      <c r="O65" s="227" t="s">
        <v>135</v>
      </c>
      <c r="P65" s="228" t="n">
        <f aca="false">VLOOKUP(B65,'NIVEL ENERO'!A:D,3,0)</f>
        <v>0.268830789342151</v>
      </c>
      <c r="Q65" s="229" t="n">
        <f aca="false">VLOOKUP(B65,'NIVEL ENERO'!A:D,4,0)</f>
        <v>393176</v>
      </c>
      <c r="R65" s="186" t="str">
        <f aca="false">+PROPER(C65&amp;" "&amp;D65)</f>
        <v>Pasuy Bastidas Neil Mauricio</v>
      </c>
      <c r="S65" s="230" t="n">
        <f aca="false">+YEARFRAC(L65,$S$1)</f>
        <v>12.4194444444444</v>
      </c>
      <c r="T65" s="230" t="n">
        <f aca="false">+YEARFRAC(M65,$S$1)</f>
        <v>26.4527777777778</v>
      </c>
      <c r="U65" s="231" t="n">
        <f aca="false">+$I65</f>
        <v>729037</v>
      </c>
      <c r="V65" s="232" t="str">
        <f aca="false">+PROPER(F65)</f>
        <v>Soltero(A)</v>
      </c>
    </row>
    <row r="66" customFormat="false" ht="14.25" hidden="false" customHeight="false" outlineLevel="0" collapsed="false">
      <c r="B66" s="197" t="n">
        <v>16774204</v>
      </c>
      <c r="C66" s="197" t="s">
        <v>1068</v>
      </c>
      <c r="D66" s="197" t="s">
        <v>1069</v>
      </c>
      <c r="E66" s="198" t="s">
        <v>981</v>
      </c>
      <c r="F66" s="198" t="s">
        <v>948</v>
      </c>
      <c r="G66" s="225" t="n">
        <v>8245400</v>
      </c>
      <c r="H66" s="225" t="n">
        <v>6153322</v>
      </c>
      <c r="I66" s="225" t="n">
        <v>3425387</v>
      </c>
      <c r="J66" s="198" t="n">
        <v>54</v>
      </c>
      <c r="K66" s="198" t="n">
        <v>4</v>
      </c>
      <c r="L66" s="226" t="n">
        <v>42625</v>
      </c>
      <c r="M66" s="226" t="n">
        <v>40373</v>
      </c>
      <c r="N66" s="227" t="n">
        <v>2</v>
      </c>
      <c r="O66" s="227" t="s">
        <v>135</v>
      </c>
      <c r="P66" s="228" t="n">
        <f aca="false">VLOOKUP(B66,'NIVEL ENERO'!A:D,3,0)</f>
        <v>0.464806248050484</v>
      </c>
      <c r="Q66" s="229" t="n">
        <f aca="false">VLOOKUP(B66,'NIVEL ENERO'!A:D,4,0)</f>
        <v>-373478</v>
      </c>
      <c r="R66" s="186" t="str">
        <f aca="false">+PROPER(C66&amp;" "&amp;D66)</f>
        <v>Mazuera Giraldo Mauricio</v>
      </c>
      <c r="S66" s="230" t="n">
        <f aca="false">+YEARFRAC(L66,$S$1)</f>
        <v>9.66666666666667</v>
      </c>
      <c r="T66" s="230" t="n">
        <f aca="false">+YEARFRAC(M66,$S$1)</f>
        <v>15.8277777777778</v>
      </c>
      <c r="U66" s="231" t="n">
        <f aca="false">+$I66</f>
        <v>3425387</v>
      </c>
      <c r="V66" s="232" t="str">
        <f aca="false">+PROPER(F66)</f>
        <v>Casado(A)</v>
      </c>
    </row>
    <row r="67" customFormat="false" ht="14.25" hidden="false" customHeight="false" outlineLevel="0" collapsed="false">
      <c r="B67" s="197" t="n">
        <v>16776926</v>
      </c>
      <c r="C67" s="197" t="s">
        <v>1070</v>
      </c>
      <c r="D67" s="197" t="s">
        <v>1071</v>
      </c>
      <c r="E67" s="198" t="s">
        <v>944</v>
      </c>
      <c r="F67" s="198" t="s">
        <v>998</v>
      </c>
      <c r="G67" s="225" t="n">
        <v>2893800</v>
      </c>
      <c r="H67" s="225" t="n">
        <v>7093530</v>
      </c>
      <c r="I67" s="225" t="n">
        <v>0</v>
      </c>
      <c r="J67" s="198" t="n">
        <v>54</v>
      </c>
      <c r="K67" s="198" t="n">
        <v>1</v>
      </c>
      <c r="L67" s="226" t="n">
        <v>44183</v>
      </c>
      <c r="M67" s="226" t="n">
        <v>39702</v>
      </c>
      <c r="N67" s="227" t="n">
        <v>5</v>
      </c>
      <c r="O67" s="227" t="s">
        <v>135</v>
      </c>
      <c r="P67" s="228" t="n">
        <f aca="false">VLOOKUP(B67,'NIVEL ENERO'!A:D,3,0)</f>
        <v>0.162101758151838</v>
      </c>
      <c r="Q67" s="229" t="n">
        <f aca="false">VLOOKUP(B67,'NIVEL ENERO'!A:D,4,0)</f>
        <v>910222.96</v>
      </c>
      <c r="R67" s="186" t="str">
        <f aca="false">+PROPER(C67&amp;" "&amp;D67)</f>
        <v>Adrada Montenegro Apolinar</v>
      </c>
      <c r="S67" s="230" t="n">
        <f aca="false">+YEARFRAC(L67,$S$1)</f>
        <v>5.4</v>
      </c>
      <c r="T67" s="230" t="n">
        <f aca="false">+YEARFRAC(M67,$S$1)</f>
        <v>17.6694444444444</v>
      </c>
      <c r="U67" s="231" t="n">
        <f aca="false">+$I67</f>
        <v>0</v>
      </c>
      <c r="V67" s="232" t="str">
        <f aca="false">+PROPER(F67)</f>
        <v>Separado(A)</v>
      </c>
    </row>
    <row r="68" customFormat="false" ht="14.25" hidden="false" customHeight="false" outlineLevel="0" collapsed="false">
      <c r="B68" s="197" t="n">
        <v>16777879</v>
      </c>
      <c r="C68" s="197" t="s">
        <v>1072</v>
      </c>
      <c r="D68" s="197" t="s">
        <v>963</v>
      </c>
      <c r="E68" s="198" t="s">
        <v>944</v>
      </c>
      <c r="F68" s="198" t="s">
        <v>945</v>
      </c>
      <c r="G68" s="225" t="n">
        <v>2089800</v>
      </c>
      <c r="H68" s="225" t="n">
        <v>1910716</v>
      </c>
      <c r="I68" s="225" t="n">
        <v>307123</v>
      </c>
      <c r="J68" s="198" t="n">
        <v>54</v>
      </c>
      <c r="K68" s="198" t="n">
        <v>1</v>
      </c>
      <c r="L68" s="226" t="n">
        <v>44636</v>
      </c>
      <c r="M68" s="226" t="n">
        <v>42753</v>
      </c>
      <c r="N68" s="227" t="n">
        <v>3</v>
      </c>
      <c r="O68" s="227" t="s">
        <v>135</v>
      </c>
      <c r="P68" s="228" t="n">
        <f aca="false">VLOOKUP(B68,'NIVEL ENERO'!A:D,3,0)</f>
        <v>0.280094626231294</v>
      </c>
      <c r="Q68" s="229" t="n">
        <f aca="false">VLOOKUP(B68,'NIVEL ENERO'!A:D,4,0)</f>
        <v>332565.1</v>
      </c>
      <c r="R68" s="186" t="str">
        <f aca="false">+PROPER(C68&amp;" "&amp;D68)</f>
        <v>Valencia Ordonez Luis Fernando</v>
      </c>
      <c r="S68" s="230" t="n">
        <f aca="false">+YEARFRAC(L68,$S$1)</f>
        <v>4.15555555555556</v>
      </c>
      <c r="T68" s="230" t="n">
        <f aca="false">+YEARFRAC(M68,$S$1)</f>
        <v>9.31666666666667</v>
      </c>
      <c r="U68" s="231" t="n">
        <f aca="false">+$I68</f>
        <v>307123</v>
      </c>
      <c r="V68" s="232" t="str">
        <f aca="false">+PROPER(F68)</f>
        <v>Union Libre</v>
      </c>
    </row>
    <row r="69" customFormat="false" ht="14.25" hidden="false" customHeight="false" outlineLevel="0" collapsed="false">
      <c r="B69" s="197" t="n">
        <v>16778716</v>
      </c>
      <c r="C69" s="197" t="s">
        <v>1073</v>
      </c>
      <c r="D69" s="197" t="s">
        <v>1074</v>
      </c>
      <c r="E69" s="198" t="s">
        <v>944</v>
      </c>
      <c r="F69" s="198" t="s">
        <v>953</v>
      </c>
      <c r="G69" s="225" t="n">
        <v>2893800</v>
      </c>
      <c r="H69" s="225" t="n">
        <v>1860209</v>
      </c>
      <c r="I69" s="225" t="n">
        <v>853788</v>
      </c>
      <c r="J69" s="198" t="n">
        <v>54</v>
      </c>
      <c r="K69" s="198" t="n">
        <v>1</v>
      </c>
      <c r="L69" s="226" t="n">
        <v>37561</v>
      </c>
      <c r="M69" s="226" t="n">
        <v>34142</v>
      </c>
      <c r="N69" s="227" t="n">
        <v>3</v>
      </c>
      <c r="O69" s="227" t="s">
        <v>135</v>
      </c>
      <c r="P69" s="228" t="n">
        <f aca="false">VLOOKUP(B69,'NIVEL ENERO'!A:D,3,0)</f>
        <v>0.279149988165742</v>
      </c>
      <c r="Q69" s="229" t="n">
        <f aca="false">VLOOKUP(B69,'NIVEL ENERO'!A:D,4,0)</f>
        <v>433228.72</v>
      </c>
      <c r="R69" s="186" t="str">
        <f aca="false">+PROPER(C69&amp;" "&amp;D69)</f>
        <v>Sepulveda Gutierrez Berley Antonio</v>
      </c>
      <c r="S69" s="230" t="n">
        <f aca="false">+YEARFRAC(L69,$S$1)</f>
        <v>23.5305555555556</v>
      </c>
      <c r="T69" s="230" t="n">
        <f aca="false">+YEARFRAC(M69,$S$1)</f>
        <v>32.8888888888889</v>
      </c>
      <c r="U69" s="231" t="n">
        <f aca="false">+$I69</f>
        <v>853788</v>
      </c>
      <c r="V69" s="232" t="str">
        <f aca="false">+PROPER(F69)</f>
        <v>Soltero(A)</v>
      </c>
    </row>
    <row r="70" customFormat="false" ht="14.25" hidden="false" customHeight="false" outlineLevel="0" collapsed="false">
      <c r="B70" s="197" t="n">
        <v>16786534</v>
      </c>
      <c r="C70" s="197" t="s">
        <v>1075</v>
      </c>
      <c r="D70" s="197" t="s">
        <v>1063</v>
      </c>
      <c r="E70" s="198" t="s">
        <v>944</v>
      </c>
      <c r="F70" s="198" t="s">
        <v>953</v>
      </c>
      <c r="G70" s="225" t="n">
        <v>2893800</v>
      </c>
      <c r="H70" s="225" t="n">
        <v>1302043</v>
      </c>
      <c r="I70" s="225" t="n">
        <v>1765834</v>
      </c>
      <c r="J70" s="198" t="n">
        <v>54</v>
      </c>
      <c r="K70" s="198" t="n">
        <v>1</v>
      </c>
      <c r="L70" s="226" t="n">
        <v>45020</v>
      </c>
      <c r="M70" s="226" t="n">
        <v>38244</v>
      </c>
      <c r="N70" s="227" t="n">
        <v>3</v>
      </c>
      <c r="O70" s="227" t="s">
        <v>135</v>
      </c>
      <c r="P70" s="228" t="n">
        <f aca="false">VLOOKUP(B70,'NIVEL ENERO'!A:D,3,0)</f>
        <v>0.378495268618042</v>
      </c>
      <c r="Q70" s="229" t="n">
        <f aca="false">VLOOKUP(B70,'NIVEL ENERO'!A:D,4,0)</f>
        <v>158366.38</v>
      </c>
      <c r="R70" s="186" t="str">
        <f aca="false">+PROPER(C70&amp;" "&amp;D70)</f>
        <v>Vasquez Garcia Juan Carlos</v>
      </c>
      <c r="S70" s="230" t="n">
        <f aca="false">+YEARFRAC(L70,$S$1)</f>
        <v>3.10555555555556</v>
      </c>
      <c r="T70" s="230" t="n">
        <f aca="false">+YEARFRAC(M70,$S$1)</f>
        <v>21.6611111111111</v>
      </c>
      <c r="U70" s="231" t="n">
        <f aca="false">+$I70</f>
        <v>1765834</v>
      </c>
      <c r="V70" s="232" t="str">
        <f aca="false">+PROPER(F70)</f>
        <v>Soltero(A)</v>
      </c>
    </row>
    <row r="71" customFormat="false" ht="14.25" hidden="false" customHeight="false" outlineLevel="0" collapsed="false">
      <c r="B71" s="197" t="n">
        <v>16795335</v>
      </c>
      <c r="C71" s="197" t="s">
        <v>1076</v>
      </c>
      <c r="D71" s="197" t="s">
        <v>1043</v>
      </c>
      <c r="E71" s="198" t="s">
        <v>944</v>
      </c>
      <c r="F71" s="198" t="s">
        <v>945</v>
      </c>
      <c r="G71" s="225" t="n">
        <v>5374700</v>
      </c>
      <c r="H71" s="225" t="n">
        <v>1607671</v>
      </c>
      <c r="I71" s="225" t="n">
        <v>1421234</v>
      </c>
      <c r="J71" s="198" t="n">
        <v>53</v>
      </c>
      <c r="K71" s="198" t="n">
        <v>1</v>
      </c>
      <c r="L71" s="226" t="n">
        <v>44853</v>
      </c>
      <c r="M71" s="226" t="n">
        <v>35432</v>
      </c>
      <c r="N71" s="227" t="n">
        <v>1</v>
      </c>
      <c r="O71" s="227" t="s">
        <v>135</v>
      </c>
      <c r="P71" s="228" t="e">
        <f aca="false">VLOOKUP(B71,'NIVEL ENERO'!A:D,3,0)</f>
        <v>#N/A</v>
      </c>
      <c r="Q71" s="229" t="e">
        <f aca="false">VLOOKUP(B71,'NIVEL ENERO'!A:D,4,0)</f>
        <v>#N/A</v>
      </c>
      <c r="R71" s="186" t="str">
        <f aca="false">+PROPER(C71&amp;" "&amp;D71)</f>
        <v>Angulo Toro Carlos Alberto</v>
      </c>
      <c r="S71" s="230" t="n">
        <f aca="false">+YEARFRAC(L71,$S$1)</f>
        <v>3.56388888888889</v>
      </c>
      <c r="T71" s="230" t="n">
        <f aca="false">+YEARFRAC(M71,$S$1)</f>
        <v>29.3611111111111</v>
      </c>
      <c r="U71" s="231" t="n">
        <f aca="false">+$I71</f>
        <v>1421234</v>
      </c>
      <c r="V71" s="232" t="str">
        <f aca="false">+PROPER(F71)</f>
        <v>Union Libre</v>
      </c>
    </row>
    <row r="72" customFormat="false" ht="14.25" hidden="false" customHeight="false" outlineLevel="0" collapsed="false">
      <c r="B72" s="197" t="n">
        <v>16799691</v>
      </c>
      <c r="C72" s="197" t="s">
        <v>1077</v>
      </c>
      <c r="D72" s="197" t="s">
        <v>1078</v>
      </c>
      <c r="E72" s="198" t="s">
        <v>944</v>
      </c>
      <c r="F72" s="198" t="s">
        <v>948</v>
      </c>
      <c r="G72" s="225" t="n">
        <v>2893800</v>
      </c>
      <c r="H72" s="225" t="n">
        <v>2927066</v>
      </c>
      <c r="I72" s="225" t="n">
        <v>8931978</v>
      </c>
      <c r="J72" s="198" t="n">
        <v>52</v>
      </c>
      <c r="K72" s="198" t="n">
        <v>3</v>
      </c>
      <c r="L72" s="226" t="n">
        <v>42808</v>
      </c>
      <c r="M72" s="226" t="n">
        <v>36542</v>
      </c>
      <c r="N72" s="227" t="n">
        <v>3</v>
      </c>
      <c r="O72" s="227" t="s">
        <v>135</v>
      </c>
      <c r="P72" s="228" t="n">
        <f aca="false">VLOOKUP(B72,'NIVEL ENERO'!A:D,3,0)</f>
        <v>0.261346326629346</v>
      </c>
      <c r="Q72" s="229" t="n">
        <f aca="false">VLOOKUP(B72,'NIVEL ENERO'!A:D,4,0)</f>
        <v>459112</v>
      </c>
      <c r="R72" s="186" t="str">
        <f aca="false">+PROPER(C72&amp;" "&amp;D72)</f>
        <v>Uribe Cardenas Julian Andres</v>
      </c>
      <c r="S72" s="230" t="n">
        <f aca="false">+YEARFRAC(L72,$S$1)</f>
        <v>9.16111111111111</v>
      </c>
      <c r="T72" s="230" t="n">
        <f aca="false">+YEARFRAC(M72,$S$1)</f>
        <v>26.3194444444444</v>
      </c>
      <c r="U72" s="231" t="n">
        <f aca="false">+$I72</f>
        <v>8931978</v>
      </c>
      <c r="V72" s="232" t="str">
        <f aca="false">+PROPER(F72)</f>
        <v>Casado(A)</v>
      </c>
    </row>
    <row r="73" customFormat="false" ht="14.25" hidden="false" customHeight="false" outlineLevel="0" collapsed="false">
      <c r="B73" s="197" t="n">
        <v>16839283</v>
      </c>
      <c r="C73" s="197" t="s">
        <v>1079</v>
      </c>
      <c r="D73" s="197" t="s">
        <v>1080</v>
      </c>
      <c r="E73" s="198" t="s">
        <v>944</v>
      </c>
      <c r="F73" s="198" t="s">
        <v>945</v>
      </c>
      <c r="G73" s="225" t="n">
        <v>1717900</v>
      </c>
      <c r="H73" s="225" t="n">
        <v>2809735</v>
      </c>
      <c r="I73" s="225" t="n">
        <v>1627862</v>
      </c>
      <c r="J73" s="198" t="n">
        <v>45</v>
      </c>
      <c r="K73" s="198" t="n">
        <v>1</v>
      </c>
      <c r="L73" s="226" t="n">
        <v>44757</v>
      </c>
      <c r="M73" s="226" t="n">
        <v>43758</v>
      </c>
      <c r="N73" s="227" t="n">
        <v>3</v>
      </c>
      <c r="O73" s="227" t="s">
        <v>135</v>
      </c>
      <c r="P73" s="228" t="n">
        <f aca="false">VLOOKUP(B73,'NIVEL ENERO'!A:D,3,0)</f>
        <v>0.547186589146717</v>
      </c>
      <c r="Q73" s="229" t="n">
        <f aca="false">VLOOKUP(B73,'NIVEL ENERO'!A:D,4,0)</f>
        <v>-398159.333333333</v>
      </c>
      <c r="R73" s="186" t="str">
        <f aca="false">+PROPER(C73&amp;" "&amp;D73)</f>
        <v>Carabali Rodriguez Wilfredys</v>
      </c>
      <c r="S73" s="230" t="n">
        <f aca="false">+YEARFRAC(L73,$S$1)</f>
        <v>3.825</v>
      </c>
      <c r="T73" s="230" t="n">
        <f aca="false">+YEARFRAC(M73,$S$1)</f>
        <v>6.56111111111111</v>
      </c>
      <c r="U73" s="231" t="n">
        <f aca="false">+$I73</f>
        <v>1627862</v>
      </c>
      <c r="V73" s="232" t="str">
        <f aca="false">+PROPER(F73)</f>
        <v>Union Libre</v>
      </c>
    </row>
    <row r="74" customFormat="false" ht="14.25" hidden="false" customHeight="false" outlineLevel="0" collapsed="false">
      <c r="B74" s="197" t="n">
        <v>16845092</v>
      </c>
      <c r="C74" s="197" t="s">
        <v>1081</v>
      </c>
      <c r="D74" s="197" t="s">
        <v>1010</v>
      </c>
      <c r="E74" s="198" t="s">
        <v>944</v>
      </c>
      <c r="F74" s="198" t="s">
        <v>998</v>
      </c>
      <c r="G74" s="225" t="n">
        <v>2600900</v>
      </c>
      <c r="H74" s="225" t="n">
        <v>3905831</v>
      </c>
      <c r="I74" s="225" t="n">
        <v>0</v>
      </c>
      <c r="J74" s="198" t="n">
        <v>42</v>
      </c>
      <c r="K74" s="198" t="n">
        <v>1</v>
      </c>
      <c r="L74" s="226" t="n">
        <v>44995</v>
      </c>
      <c r="M74" s="226" t="n">
        <v>39069</v>
      </c>
      <c r="N74" s="227" t="n">
        <v>0</v>
      </c>
      <c r="O74" s="227" t="s">
        <v>135</v>
      </c>
      <c r="P74" s="228" t="n">
        <f aca="false">VLOOKUP(B74,'NIVEL ENERO'!A:D,3,0)</f>
        <v>0.380484027006906</v>
      </c>
      <c r="Q74" s="229" t="n">
        <f aca="false">VLOOKUP(B74,'NIVEL ENERO'!A:D,4,0)</f>
        <v>139651.78</v>
      </c>
      <c r="R74" s="186" t="str">
        <f aca="false">+PROPER(C74&amp;" "&amp;D74)</f>
        <v>Saldana Oscar Eduardo</v>
      </c>
      <c r="S74" s="230" t="n">
        <f aca="false">+YEARFRAC(L74,$S$1)</f>
        <v>3.17222222222222</v>
      </c>
      <c r="T74" s="230" t="n">
        <f aca="false">+YEARFRAC(M74,$S$1)</f>
        <v>19.4</v>
      </c>
      <c r="U74" s="231" t="n">
        <f aca="false">+$I74</f>
        <v>0</v>
      </c>
      <c r="V74" s="232" t="str">
        <f aca="false">+PROPER(F74)</f>
        <v>Separado(A)</v>
      </c>
    </row>
    <row r="75" customFormat="false" ht="14.25" hidden="false" customHeight="false" outlineLevel="0" collapsed="false">
      <c r="B75" s="197" t="n">
        <v>16846278</v>
      </c>
      <c r="C75" s="197" t="s">
        <v>1082</v>
      </c>
      <c r="D75" s="197" t="s">
        <v>1083</v>
      </c>
      <c r="E75" s="198" t="s">
        <v>944</v>
      </c>
      <c r="F75" s="198" t="s">
        <v>945</v>
      </c>
      <c r="G75" s="225" t="n">
        <v>2600900</v>
      </c>
      <c r="H75" s="225" t="n">
        <v>3626738</v>
      </c>
      <c r="I75" s="225" t="n">
        <v>13955754</v>
      </c>
      <c r="J75" s="198" t="n">
        <v>41</v>
      </c>
      <c r="K75" s="198" t="n">
        <v>4</v>
      </c>
      <c r="L75" s="226" t="n">
        <v>43564</v>
      </c>
      <c r="M75" s="226" t="n">
        <v>42385</v>
      </c>
      <c r="N75" s="227" t="n">
        <v>2</v>
      </c>
      <c r="O75" s="227" t="s">
        <v>135</v>
      </c>
      <c r="P75" s="228" t="n">
        <f aca="false">VLOOKUP(B75,'NIVEL ENERO'!A:D,3,0)</f>
        <v>0.399134579258738</v>
      </c>
      <c r="Q75" s="229" t="n">
        <f aca="false">VLOOKUP(B75,'NIVEL ENERO'!A:D,4,0)</f>
        <v>66328.6199999999</v>
      </c>
      <c r="R75" s="186" t="str">
        <f aca="false">+PROPER(C75&amp;" "&amp;D75)</f>
        <v>Urquijo Patino Dorian Esteban</v>
      </c>
      <c r="S75" s="230" t="n">
        <f aca="false">+YEARFRAC(L75,$S$1)</f>
        <v>7.09166666666667</v>
      </c>
      <c r="T75" s="230" t="n">
        <f aca="false">+YEARFRAC(M75,$S$1)</f>
        <v>10.3222222222222</v>
      </c>
      <c r="U75" s="231" t="n">
        <f aca="false">+$I75</f>
        <v>13955754</v>
      </c>
      <c r="V75" s="232" t="str">
        <f aca="false">+PROPER(F75)</f>
        <v>Union Libre</v>
      </c>
    </row>
    <row r="76" customFormat="false" ht="14.25" hidden="false" customHeight="false" outlineLevel="0" collapsed="false">
      <c r="B76" s="197" t="n">
        <v>16849166</v>
      </c>
      <c r="C76" s="197" t="s">
        <v>1084</v>
      </c>
      <c r="D76" s="197" t="s">
        <v>1085</v>
      </c>
      <c r="E76" s="198" t="s">
        <v>944</v>
      </c>
      <c r="F76" s="198" t="s">
        <v>953</v>
      </c>
      <c r="G76" s="225" t="n">
        <v>1670000</v>
      </c>
      <c r="H76" s="225" t="n">
        <v>1801450</v>
      </c>
      <c r="I76" s="225" t="n">
        <v>2465355</v>
      </c>
      <c r="J76" s="198" t="n">
        <v>40</v>
      </c>
      <c r="K76" s="198" t="n">
        <v>2</v>
      </c>
      <c r="L76" s="226" t="n">
        <v>44797</v>
      </c>
      <c r="M76" s="226" t="n">
        <v>43869</v>
      </c>
      <c r="N76" s="227" t="n">
        <v>4</v>
      </c>
      <c r="O76" s="227" t="s">
        <v>135</v>
      </c>
      <c r="P76" s="228" t="n">
        <f aca="false">VLOOKUP(B76,'NIVEL ENERO'!A:D,3,0)</f>
        <v>0.251193928336332</v>
      </c>
      <c r="Q76" s="229" t="n">
        <f aca="false">VLOOKUP(B76,'NIVEL ENERO'!A:D,4,0)</f>
        <v>360124.74</v>
      </c>
      <c r="R76" s="186" t="str">
        <f aca="false">+PROPER(C76&amp;" "&amp;D76)</f>
        <v>Diaz Guerrero Jhony Andres</v>
      </c>
      <c r="S76" s="230" t="n">
        <f aca="false">+YEARFRAC(L76,$S$1)</f>
        <v>3.71666666666667</v>
      </c>
      <c r="T76" s="230" t="n">
        <f aca="false">+YEARFRAC(M76,$S$1)</f>
        <v>6.26111111111111</v>
      </c>
      <c r="U76" s="231" t="n">
        <f aca="false">+$I76</f>
        <v>2465355</v>
      </c>
      <c r="V76" s="232" t="str">
        <f aca="false">+PROPER(F76)</f>
        <v>Soltero(A)</v>
      </c>
    </row>
    <row r="77" customFormat="false" ht="14.25" hidden="false" customHeight="false" outlineLevel="0" collapsed="false">
      <c r="B77" s="197" t="n">
        <v>16849715</v>
      </c>
      <c r="C77" s="197" t="s">
        <v>1086</v>
      </c>
      <c r="D77" s="197" t="s">
        <v>1087</v>
      </c>
      <c r="E77" s="198" t="s">
        <v>944</v>
      </c>
      <c r="F77" s="198" t="s">
        <v>945</v>
      </c>
      <c r="G77" s="225" t="n">
        <v>4234800</v>
      </c>
      <c r="H77" s="225" t="n">
        <v>2379426</v>
      </c>
      <c r="I77" s="225" t="n">
        <v>179747</v>
      </c>
      <c r="J77" s="198" t="n">
        <v>40</v>
      </c>
      <c r="K77" s="198" t="n">
        <v>3</v>
      </c>
      <c r="L77" s="226" t="n">
        <v>44328</v>
      </c>
      <c r="M77" s="226" t="n">
        <v>40238</v>
      </c>
      <c r="N77" s="227" t="n">
        <v>4</v>
      </c>
      <c r="O77" s="227" t="s">
        <v>135</v>
      </c>
      <c r="P77" s="228" t="n">
        <f aca="false">VLOOKUP(B77,'NIVEL ENERO'!A:D,3,0)</f>
        <v>0.152361858883536</v>
      </c>
      <c r="Q77" s="229" t="n">
        <f aca="false">VLOOKUP(B77,'NIVEL ENERO'!A:D,4,0)</f>
        <v>1133394</v>
      </c>
      <c r="R77" s="186" t="str">
        <f aca="false">+PROPER(C77&amp;" "&amp;D77)</f>
        <v>Anacona Angulo Luis Alberto</v>
      </c>
      <c r="S77" s="230" t="n">
        <f aca="false">+YEARFRAC(L77,$S$1)</f>
        <v>5</v>
      </c>
      <c r="T77" s="230" t="n">
        <f aca="false">+YEARFRAC(M77,$S$1)</f>
        <v>16.1972222222222</v>
      </c>
      <c r="U77" s="231" t="n">
        <f aca="false">+$I77</f>
        <v>179747</v>
      </c>
      <c r="V77" s="232" t="str">
        <f aca="false">+PROPER(F77)</f>
        <v>Union Libre</v>
      </c>
    </row>
    <row r="78" customFormat="false" ht="14.25" hidden="false" customHeight="false" outlineLevel="0" collapsed="false">
      <c r="B78" s="197" t="n">
        <v>16865656</v>
      </c>
      <c r="C78" s="197" t="s">
        <v>1088</v>
      </c>
      <c r="D78" s="197" t="s">
        <v>1089</v>
      </c>
      <c r="E78" s="198" t="s">
        <v>944</v>
      </c>
      <c r="F78" s="198" t="s">
        <v>948</v>
      </c>
      <c r="G78" s="225" t="n">
        <v>1880800</v>
      </c>
      <c r="H78" s="225" t="n">
        <v>130000</v>
      </c>
      <c r="I78" s="225"/>
      <c r="J78" s="198" t="n">
        <v>41</v>
      </c>
      <c r="K78" s="198" t="n">
        <v>1</v>
      </c>
      <c r="L78" s="226" t="n">
        <v>45615</v>
      </c>
      <c r="M78" s="226" t="n">
        <v>41133</v>
      </c>
      <c r="N78" s="227" t="n">
        <v>0</v>
      </c>
      <c r="O78" s="227" t="s">
        <v>135</v>
      </c>
      <c r="P78" s="228" t="n">
        <f aca="false">VLOOKUP(B78,'NIVEL ENERO'!A:D,3,0)</f>
        <v>0.355823257903674</v>
      </c>
      <c r="Q78" s="229" t="n">
        <f aca="false">VLOOKUP(B78,'NIVEL ENERO'!A:D,4,0)</f>
        <v>142745.14</v>
      </c>
      <c r="R78" s="186" t="str">
        <f aca="false">+PROPER(C78&amp;" "&amp;D78)</f>
        <v>Almesa Ibarra Jeisson</v>
      </c>
      <c r="S78" s="230" t="n">
        <f aca="false">+YEARFRAC(L78,$S$1)</f>
        <v>1.48055555555556</v>
      </c>
      <c r="T78" s="230" t="n">
        <f aca="false">+YEARFRAC(M78,$S$1)</f>
        <v>13.75</v>
      </c>
      <c r="U78" s="231" t="n">
        <f aca="false">+$I78</f>
        <v>0</v>
      </c>
      <c r="V78" s="232" t="str">
        <f aca="false">+PROPER(F78)</f>
        <v>Casado(A)</v>
      </c>
    </row>
    <row r="79" customFormat="false" ht="14.25" hidden="false" customHeight="false" outlineLevel="0" collapsed="false">
      <c r="B79" s="197" t="n">
        <v>16889110</v>
      </c>
      <c r="C79" s="197" t="s">
        <v>1090</v>
      </c>
      <c r="D79" s="197" t="s">
        <v>1091</v>
      </c>
      <c r="E79" s="198" t="s">
        <v>944</v>
      </c>
      <c r="F79" s="198" t="s">
        <v>998</v>
      </c>
      <c r="G79" s="225" t="n">
        <v>1918500</v>
      </c>
      <c r="H79" s="225" t="n">
        <v>2425387</v>
      </c>
      <c r="I79" s="225" t="n">
        <v>3026858</v>
      </c>
      <c r="J79" s="198" t="n">
        <v>51</v>
      </c>
      <c r="K79" s="198" t="n">
        <v>4</v>
      </c>
      <c r="L79" s="226" t="n">
        <v>44305</v>
      </c>
      <c r="M79" s="226" t="n">
        <v>44105</v>
      </c>
      <c r="N79" s="227" t="n">
        <v>2</v>
      </c>
      <c r="O79" s="227" t="s">
        <v>135</v>
      </c>
      <c r="P79" s="228" t="n">
        <f aca="false">VLOOKUP(B79,'NIVEL ENERO'!A:D,3,0)</f>
        <v>0.415068365910868</v>
      </c>
      <c r="Q79" s="229" t="n">
        <f aca="false">VLOOKUP(B79,'NIVEL ENERO'!A:D,4,0)</f>
        <v>22527</v>
      </c>
      <c r="R79" s="186" t="str">
        <f aca="false">+PROPER(C79&amp;" "&amp;D79)</f>
        <v>Opance Collo Milton Lider</v>
      </c>
      <c r="S79" s="230" t="n">
        <f aca="false">+YEARFRAC(L79,$S$1)</f>
        <v>5.06388888888889</v>
      </c>
      <c r="T79" s="230" t="n">
        <f aca="false">+YEARFRAC(M79,$S$1)</f>
        <v>5.61388888888889</v>
      </c>
      <c r="U79" s="231" t="n">
        <f aca="false">+$I79</f>
        <v>3026858</v>
      </c>
      <c r="V79" s="232" t="str">
        <f aca="false">+PROPER(F79)</f>
        <v>Separado(A)</v>
      </c>
    </row>
    <row r="80" customFormat="false" ht="14.25" hidden="false" customHeight="false" outlineLevel="0" collapsed="false">
      <c r="B80" s="197" t="n">
        <v>16893872</v>
      </c>
      <c r="C80" s="197" t="s">
        <v>1092</v>
      </c>
      <c r="D80" s="197" t="s">
        <v>1016</v>
      </c>
      <c r="E80" s="198" t="s">
        <v>944</v>
      </c>
      <c r="F80" s="198" t="s">
        <v>953</v>
      </c>
      <c r="G80" s="225" t="n">
        <v>6500000</v>
      </c>
      <c r="H80" s="225" t="n">
        <v>1045473</v>
      </c>
      <c r="I80" s="225" t="n">
        <v>8458337</v>
      </c>
      <c r="J80" s="198" t="n">
        <v>44</v>
      </c>
      <c r="K80" s="198" t="n">
        <v>1</v>
      </c>
      <c r="L80" s="226" t="n">
        <v>45044</v>
      </c>
      <c r="M80" s="226" t="n">
        <v>45033</v>
      </c>
      <c r="N80" s="227" t="n">
        <v>0</v>
      </c>
      <c r="O80" s="227" t="s">
        <v>153</v>
      </c>
      <c r="P80" s="228" t="e">
        <f aca="false">VLOOKUP(B80,'NIVEL ENERO'!A:D,3,0)</f>
        <v>#N/A</v>
      </c>
      <c r="Q80" s="229" t="e">
        <f aca="false">VLOOKUP(B80,'NIVEL ENERO'!A:D,4,0)</f>
        <v>#N/A</v>
      </c>
      <c r="R80" s="186" t="str">
        <f aca="false">+PROPER(C80&amp;" "&amp;D80)</f>
        <v>Davila Ledesma Hugo Fernando</v>
      </c>
      <c r="S80" s="230" t="n">
        <f aca="false">+YEARFRAC(L80,$S$1)</f>
        <v>3.03888888888889</v>
      </c>
      <c r="T80" s="230" t="n">
        <f aca="false">+YEARFRAC(M80,$S$1)</f>
        <v>3.06944444444444</v>
      </c>
      <c r="U80" s="231" t="n">
        <f aca="false">+$I80</f>
        <v>8458337</v>
      </c>
      <c r="V80" s="232" t="str">
        <f aca="false">+PROPER(F80)</f>
        <v>Soltero(A)</v>
      </c>
    </row>
    <row r="81" customFormat="false" ht="14.25" hidden="false" customHeight="false" outlineLevel="0" collapsed="false">
      <c r="B81" s="197" t="n">
        <v>16896487</v>
      </c>
      <c r="C81" s="197" t="s">
        <v>1093</v>
      </c>
      <c r="D81" s="197" t="s">
        <v>1094</v>
      </c>
      <c r="E81" s="198" t="s">
        <v>944</v>
      </c>
      <c r="F81" s="198" t="s">
        <v>948</v>
      </c>
      <c r="G81" s="225" t="n">
        <v>1755600</v>
      </c>
      <c r="H81" s="225" t="n">
        <v>3331872</v>
      </c>
      <c r="I81" s="225" t="n">
        <v>5842427</v>
      </c>
      <c r="J81" s="198" t="n">
        <v>40</v>
      </c>
      <c r="K81" s="198" t="n">
        <v>2</v>
      </c>
      <c r="L81" s="226" t="n">
        <v>43564</v>
      </c>
      <c r="M81" s="226" t="n">
        <v>42325</v>
      </c>
      <c r="N81" s="227" t="n">
        <v>2</v>
      </c>
      <c r="O81" s="227" t="s">
        <v>135</v>
      </c>
      <c r="P81" s="228" t="n">
        <f aca="false">VLOOKUP(B81,'NIVEL ENERO'!A:D,3,0)</f>
        <v>0.48175627490372</v>
      </c>
      <c r="Q81" s="229" t="n">
        <f aca="false">VLOOKUP(B81,'NIVEL ENERO'!A:D,4,0)</f>
        <v>-282225</v>
      </c>
      <c r="R81" s="186" t="str">
        <f aca="false">+PROPER(C81&amp;" "&amp;D81)</f>
        <v>Parra Lopez Gustavo Andres</v>
      </c>
      <c r="S81" s="230" t="n">
        <f aca="false">+YEARFRAC(L81,$S$1)</f>
        <v>7.09166666666667</v>
      </c>
      <c r="T81" s="230" t="n">
        <f aca="false">+YEARFRAC(M81,$S$1)</f>
        <v>10.4861111111111</v>
      </c>
      <c r="U81" s="231" t="n">
        <f aca="false">+$I81</f>
        <v>5842427</v>
      </c>
      <c r="V81" s="232" t="str">
        <f aca="false">+PROPER(F81)</f>
        <v>Casado(A)</v>
      </c>
    </row>
    <row r="82" customFormat="false" ht="14.25" hidden="false" customHeight="false" outlineLevel="0" collapsed="false">
      <c r="B82" s="197" t="n">
        <v>16915378</v>
      </c>
      <c r="C82" s="197" t="s">
        <v>1095</v>
      </c>
      <c r="D82" s="197" t="s">
        <v>1096</v>
      </c>
      <c r="E82" s="198" t="s">
        <v>944</v>
      </c>
      <c r="F82" s="198" t="s">
        <v>953</v>
      </c>
      <c r="G82" s="225" t="n">
        <v>6946500</v>
      </c>
      <c r="H82" s="225" t="n">
        <v>9637648</v>
      </c>
      <c r="I82" s="225" t="n">
        <v>2549106</v>
      </c>
      <c r="J82" s="198" t="n">
        <v>45</v>
      </c>
      <c r="K82" s="198" t="n">
        <v>2</v>
      </c>
      <c r="L82" s="226" t="n">
        <v>41736</v>
      </c>
      <c r="M82" s="226" t="n">
        <v>37057</v>
      </c>
      <c r="N82" s="227" t="n">
        <v>2</v>
      </c>
      <c r="O82" s="227" t="s">
        <v>135</v>
      </c>
      <c r="P82" s="228" t="n">
        <f aca="false">VLOOKUP(B82,'NIVEL ENERO'!A:D,3,0)</f>
        <v>0.392542541216977</v>
      </c>
      <c r="Q82" s="229" t="n">
        <f aca="false">VLOOKUP(B82,'NIVEL ENERO'!A:D,4,0)</f>
        <v>207345</v>
      </c>
      <c r="R82" s="186" t="str">
        <f aca="false">+PROPER(C82&amp;" "&amp;D82)</f>
        <v>Herrera Villalba Charles Rower</v>
      </c>
      <c r="S82" s="230" t="n">
        <f aca="false">+YEARFRAC(L82,$S$1)</f>
        <v>12.0972222222222</v>
      </c>
      <c r="T82" s="230" t="n">
        <f aca="false">+YEARFRAC(M82,$S$1)</f>
        <v>24.9083333333333</v>
      </c>
      <c r="U82" s="231" t="n">
        <f aca="false">+$I82</f>
        <v>2549106</v>
      </c>
      <c r="V82" s="232" t="str">
        <f aca="false">+PROPER(F82)</f>
        <v>Soltero(A)</v>
      </c>
    </row>
    <row r="83" customFormat="false" ht="14.25" hidden="false" customHeight="false" outlineLevel="0" collapsed="false">
      <c r="B83" s="197" t="n">
        <v>16917362</v>
      </c>
      <c r="C83" s="197" t="s">
        <v>1097</v>
      </c>
      <c r="D83" s="197" t="s">
        <v>1098</v>
      </c>
      <c r="E83" s="198" t="s">
        <v>968</v>
      </c>
      <c r="F83" s="198" t="s">
        <v>948</v>
      </c>
      <c r="G83" s="225" t="n">
        <v>4870200</v>
      </c>
      <c r="H83" s="225" t="n">
        <v>4122930</v>
      </c>
      <c r="I83" s="225"/>
      <c r="J83" s="198" t="n">
        <v>44</v>
      </c>
      <c r="K83" s="198" t="n">
        <v>1</v>
      </c>
      <c r="L83" s="226" t="n">
        <v>44396</v>
      </c>
      <c r="M83" s="226" t="n">
        <v>44105</v>
      </c>
      <c r="N83" s="227" t="n">
        <v>4</v>
      </c>
      <c r="O83" s="227" t="s">
        <v>135</v>
      </c>
      <c r="P83" s="228" t="n">
        <f aca="false">VLOOKUP(B83,'NIVEL ENERO'!A:D,3,0)</f>
        <v>0.119459506198865</v>
      </c>
      <c r="Q83" s="229" t="n">
        <f aca="false">VLOOKUP(B83,'NIVEL ENERO'!A:D,4,0)</f>
        <v>1904709.04</v>
      </c>
      <c r="R83" s="186" t="str">
        <f aca="false">+PROPER(C83&amp;" "&amp;D83)</f>
        <v>Serna Espinosa Fabian Andres</v>
      </c>
      <c r="S83" s="230" t="n">
        <f aca="false">+YEARFRAC(L83,$S$1)</f>
        <v>4.81388888888889</v>
      </c>
      <c r="T83" s="230" t="n">
        <f aca="false">+YEARFRAC(M83,$S$1)</f>
        <v>5.61388888888889</v>
      </c>
      <c r="U83" s="231" t="n">
        <f aca="false">+$I83</f>
        <v>0</v>
      </c>
      <c r="V83" s="232" t="str">
        <f aca="false">+PROPER(F83)</f>
        <v>Casado(A)</v>
      </c>
    </row>
    <row r="84" customFormat="false" ht="14.25" hidden="false" customHeight="false" outlineLevel="0" collapsed="false">
      <c r="B84" s="197" t="n">
        <v>16918531</v>
      </c>
      <c r="C84" s="197" t="s">
        <v>1099</v>
      </c>
      <c r="D84" s="197" t="s">
        <v>1100</v>
      </c>
      <c r="E84" s="198" t="s">
        <v>944</v>
      </c>
      <c r="F84" s="198" t="s">
        <v>953</v>
      </c>
      <c r="G84" s="225" t="n">
        <v>2600900</v>
      </c>
      <c r="H84" s="225" t="n">
        <v>650225</v>
      </c>
      <c r="I84" s="225" t="n">
        <v>345523</v>
      </c>
      <c r="J84" s="198" t="n">
        <v>43</v>
      </c>
      <c r="K84" s="198" t="n">
        <v>2</v>
      </c>
      <c r="L84" s="226" t="n">
        <v>45518</v>
      </c>
      <c r="M84" s="226" t="n">
        <v>40260</v>
      </c>
      <c r="N84" s="227" t="n">
        <v>2</v>
      </c>
      <c r="O84" s="227" t="s">
        <v>135</v>
      </c>
      <c r="P84" s="228" t="n">
        <f aca="false">VLOOKUP(B84,'NIVEL ENERO'!A:D,3,0)</f>
        <v>0.472931677496251</v>
      </c>
      <c r="Q84" s="229" t="n">
        <f aca="false">VLOOKUP(B84,'NIVEL ENERO'!A:D,4,0)</f>
        <v>-137670</v>
      </c>
      <c r="R84" s="186" t="str">
        <f aca="false">+PROPER(C84&amp;" "&amp;D84)</f>
        <v>Correa Murillo Cesar Augusto</v>
      </c>
      <c r="S84" s="230" t="n">
        <f aca="false">+YEARFRAC(L84,$S$1)</f>
        <v>1.74444444444444</v>
      </c>
      <c r="T84" s="230" t="n">
        <f aca="false">+YEARFRAC(M84,$S$1)</f>
        <v>16.1361111111111</v>
      </c>
      <c r="U84" s="231" t="n">
        <f aca="false">+$I84</f>
        <v>345523</v>
      </c>
      <c r="V84" s="232" t="str">
        <f aca="false">+PROPER(F84)</f>
        <v>Soltero(A)</v>
      </c>
    </row>
    <row r="85" customFormat="false" ht="14.25" hidden="false" customHeight="false" outlineLevel="0" collapsed="false">
      <c r="B85" s="197" t="n">
        <v>16918596</v>
      </c>
      <c r="C85" s="197" t="s">
        <v>1101</v>
      </c>
      <c r="D85" s="197" t="s">
        <v>1102</v>
      </c>
      <c r="E85" s="198" t="s">
        <v>944</v>
      </c>
      <c r="F85" s="198" t="s">
        <v>948</v>
      </c>
      <c r="G85" s="225" t="n">
        <v>2893800</v>
      </c>
      <c r="H85" s="225" t="n">
        <v>4785887</v>
      </c>
      <c r="I85" s="225" t="n">
        <v>1274859</v>
      </c>
      <c r="J85" s="198" t="n">
        <v>43</v>
      </c>
      <c r="K85" s="198" t="n">
        <v>2</v>
      </c>
      <c r="L85" s="226" t="n">
        <v>42930</v>
      </c>
      <c r="M85" s="226" t="n">
        <v>38119</v>
      </c>
      <c r="N85" s="227" t="n">
        <v>5</v>
      </c>
      <c r="O85" s="227" t="s">
        <v>135</v>
      </c>
      <c r="P85" s="228" t="n">
        <f aca="false">VLOOKUP(B85,'NIVEL ENERO'!A:D,3,0)</f>
        <v>0.382215689448361</v>
      </c>
      <c r="Q85" s="229" t="n">
        <f aca="false">VLOOKUP(B85,'NIVEL ENERO'!A:D,4,0)</f>
        <v>106910.48</v>
      </c>
      <c r="R85" s="186" t="str">
        <f aca="false">+PROPER(C85&amp;" "&amp;D85)</f>
        <v>Taborda Valencia Paulo Andres</v>
      </c>
      <c r="S85" s="230" t="n">
        <f aca="false">+YEARFRAC(L85,$S$1)</f>
        <v>8.82777777777778</v>
      </c>
      <c r="T85" s="230" t="n">
        <f aca="false">+YEARFRAC(M85,$S$1)</f>
        <v>22</v>
      </c>
      <c r="U85" s="231" t="n">
        <f aca="false">+$I85</f>
        <v>1274859</v>
      </c>
      <c r="V85" s="232" t="str">
        <f aca="false">+PROPER(F85)</f>
        <v>Casado(A)</v>
      </c>
    </row>
    <row r="86" customFormat="false" ht="14.25" hidden="false" customHeight="false" outlineLevel="0" collapsed="false">
      <c r="B86" s="197" t="n">
        <v>16918654</v>
      </c>
      <c r="C86" s="197" t="s">
        <v>1103</v>
      </c>
      <c r="D86" s="197" t="s">
        <v>1104</v>
      </c>
      <c r="E86" s="198" t="s">
        <v>944</v>
      </c>
      <c r="F86" s="198" t="s">
        <v>945</v>
      </c>
      <c r="G86" s="225" t="n">
        <v>5812800</v>
      </c>
      <c r="H86" s="225" t="n">
        <v>1000000</v>
      </c>
      <c r="I86" s="225" t="n">
        <v>0</v>
      </c>
      <c r="J86" s="198" t="n">
        <v>43</v>
      </c>
      <c r="K86" s="198" t="n">
        <v>1</v>
      </c>
      <c r="L86" s="226" t="n">
        <v>38735</v>
      </c>
      <c r="M86" s="226" t="n">
        <v>36395</v>
      </c>
      <c r="N86" s="227" t="n">
        <v>0</v>
      </c>
      <c r="O86" s="227" t="s">
        <v>135</v>
      </c>
      <c r="P86" s="228" t="n">
        <f aca="false">VLOOKUP(B86,'NIVEL ENERO'!A:D,3,0)</f>
        <v>0.113623210845032</v>
      </c>
      <c r="Q86" s="229" t="n">
        <f aca="false">VLOOKUP(B86,'NIVEL ENERO'!A:D,4,0)</f>
        <v>1780907</v>
      </c>
      <c r="R86" s="186" t="str">
        <f aca="false">+PROPER(C86&amp;" "&amp;D86)</f>
        <v>Diaz Salgado Jesus Alvenis</v>
      </c>
      <c r="S86" s="230" t="n">
        <f aca="false">+YEARFRAC(L86,$S$1)</f>
        <v>20.3166666666667</v>
      </c>
      <c r="T86" s="230" t="n">
        <f aca="false">+YEARFRAC(M86,$S$1)</f>
        <v>26.7194444444444</v>
      </c>
      <c r="U86" s="231" t="n">
        <f aca="false">+$I86</f>
        <v>0</v>
      </c>
      <c r="V86" s="232" t="str">
        <f aca="false">+PROPER(F86)</f>
        <v>Union Libre</v>
      </c>
    </row>
    <row r="87" customFormat="false" ht="14.25" hidden="false" customHeight="false" outlineLevel="0" collapsed="false">
      <c r="B87" s="197" t="n">
        <v>16918740</v>
      </c>
      <c r="C87" s="197" t="s">
        <v>1105</v>
      </c>
      <c r="D87" s="197" t="s">
        <v>1106</v>
      </c>
      <c r="E87" s="198" t="s">
        <v>944</v>
      </c>
      <c r="F87" s="198" t="s">
        <v>1107</v>
      </c>
      <c r="G87" s="225" t="n">
        <v>2916600</v>
      </c>
      <c r="H87" s="225" t="n">
        <v>2053147</v>
      </c>
      <c r="I87" s="225" t="n">
        <v>73917</v>
      </c>
      <c r="J87" s="198" t="n">
        <v>44</v>
      </c>
      <c r="K87" s="198" t="n">
        <v>3</v>
      </c>
      <c r="L87" s="226" t="n">
        <v>44550</v>
      </c>
      <c r="M87" s="226" t="n">
        <v>40736</v>
      </c>
      <c r="N87" s="227" t="n">
        <v>3</v>
      </c>
      <c r="O87" s="227" t="s">
        <v>135</v>
      </c>
      <c r="P87" s="228" t="n">
        <f aca="false">VLOOKUP(B87,'NIVEL ENERO'!A:D,3,0)</f>
        <v>0.123272688760526</v>
      </c>
      <c r="Q87" s="229" t="n">
        <f aca="false">VLOOKUP(B87,'NIVEL ENERO'!A:D,4,0)</f>
        <v>1036640.6</v>
      </c>
      <c r="R87" s="186" t="str">
        <f aca="false">+PROPER(C87&amp;" "&amp;D87)</f>
        <v>Calle Camacho Deybi</v>
      </c>
      <c r="S87" s="230" t="n">
        <f aca="false">+YEARFRAC(L87,$S$1)</f>
        <v>4.39444444444445</v>
      </c>
      <c r="T87" s="230" t="n">
        <f aca="false">+YEARFRAC(M87,$S$1)</f>
        <v>14.8333333333333</v>
      </c>
      <c r="U87" s="231" t="n">
        <f aca="false">+$I87</f>
        <v>73917</v>
      </c>
      <c r="V87" s="232" t="str">
        <f aca="false">+PROPER(F87)</f>
        <v>Viudo(A)</v>
      </c>
    </row>
    <row r="88" customFormat="false" ht="14.25" hidden="false" customHeight="false" outlineLevel="0" collapsed="false">
      <c r="B88" s="197" t="n">
        <v>16918838</v>
      </c>
      <c r="C88" s="197" t="s">
        <v>1108</v>
      </c>
      <c r="D88" s="197" t="s">
        <v>1000</v>
      </c>
      <c r="E88" s="198" t="s">
        <v>944</v>
      </c>
      <c r="F88" s="198" t="s">
        <v>953</v>
      </c>
      <c r="G88" s="225" t="n">
        <v>2893800</v>
      </c>
      <c r="H88" s="225" t="n">
        <v>9876915</v>
      </c>
      <c r="I88" s="225" t="n">
        <v>0</v>
      </c>
      <c r="J88" s="198" t="n">
        <v>43</v>
      </c>
      <c r="K88" s="198" t="n">
        <v>1</v>
      </c>
      <c r="L88" s="226" t="n">
        <v>40422</v>
      </c>
      <c r="M88" s="226" t="n">
        <v>40406</v>
      </c>
      <c r="N88" s="227" t="n">
        <v>1</v>
      </c>
      <c r="O88" s="227" t="s">
        <v>135</v>
      </c>
      <c r="P88" s="228" t="n">
        <f aca="false">VLOOKUP(B88,'NIVEL ENERO'!A:D,3,0)</f>
        <v>0.360600248807796</v>
      </c>
      <c r="Q88" s="229" t="n">
        <f aca="false">VLOOKUP(B88,'NIVEL ENERO'!A:D,4,0)</f>
        <v>171891</v>
      </c>
      <c r="R88" s="186" t="str">
        <f aca="false">+PROPER(C88&amp;" "&amp;D88)</f>
        <v>Javela Herrera Julian</v>
      </c>
      <c r="S88" s="230" t="n">
        <f aca="false">+YEARFRAC(L88,$S$1)</f>
        <v>15.6972222222222</v>
      </c>
      <c r="T88" s="230" t="n">
        <f aca="false">+YEARFRAC(M88,$S$1)</f>
        <v>15.7388888888889</v>
      </c>
      <c r="U88" s="231" t="n">
        <f aca="false">+$I88</f>
        <v>0</v>
      </c>
      <c r="V88" s="232" t="str">
        <f aca="false">+PROPER(F88)</f>
        <v>Soltero(A)</v>
      </c>
    </row>
    <row r="89" customFormat="false" ht="14.25" hidden="false" customHeight="false" outlineLevel="0" collapsed="false">
      <c r="B89" s="197" t="n">
        <v>16926618</v>
      </c>
      <c r="C89" s="197" t="s">
        <v>1109</v>
      </c>
      <c r="D89" s="197" t="s">
        <v>1110</v>
      </c>
      <c r="E89" s="198" t="s">
        <v>944</v>
      </c>
      <c r="F89" s="198" t="s">
        <v>953</v>
      </c>
      <c r="G89" s="225" t="n">
        <v>2089800</v>
      </c>
      <c r="H89" s="225" t="n">
        <v>4544182</v>
      </c>
      <c r="I89" s="225" t="n">
        <v>11610614</v>
      </c>
      <c r="J89" s="198" t="n">
        <v>44</v>
      </c>
      <c r="K89" s="198" t="n">
        <v>1</v>
      </c>
      <c r="L89" s="226" t="n">
        <v>42710</v>
      </c>
      <c r="M89" s="226" t="n">
        <v>38888</v>
      </c>
      <c r="N89" s="227" t="n">
        <v>3</v>
      </c>
      <c r="O89" s="227" t="s">
        <v>135</v>
      </c>
      <c r="P89" s="228" t="n">
        <f aca="false">VLOOKUP(B89,'NIVEL ENERO'!A:D,3,0)</f>
        <v>0.416624622665272</v>
      </c>
      <c r="Q89" s="229" t="n">
        <f aca="false">VLOOKUP(B89,'NIVEL ENERO'!A:D,4,0)</f>
        <v>8746.2799999998</v>
      </c>
      <c r="R89" s="186" t="str">
        <f aca="false">+PROPER(C89&amp;" "&amp;D89)</f>
        <v>Fraga Recalde Nelson Andres</v>
      </c>
      <c r="S89" s="230" t="n">
        <f aca="false">+YEARFRAC(L89,$S$1)</f>
        <v>9.43333333333333</v>
      </c>
      <c r="T89" s="230" t="n">
        <f aca="false">+YEARFRAC(M89,$S$1)</f>
        <v>19.8944444444444</v>
      </c>
      <c r="U89" s="231" t="n">
        <f aca="false">+$I89</f>
        <v>11610614</v>
      </c>
      <c r="V89" s="232" t="str">
        <f aca="false">+PROPER(F89)</f>
        <v>Soltero(A)</v>
      </c>
    </row>
    <row r="90" customFormat="false" ht="14.25" hidden="false" customHeight="false" outlineLevel="0" collapsed="false">
      <c r="B90" s="197" t="n">
        <v>16930766</v>
      </c>
      <c r="C90" s="197" t="s">
        <v>1111</v>
      </c>
      <c r="D90" s="197" t="s">
        <v>1112</v>
      </c>
      <c r="E90" s="198" t="s">
        <v>944</v>
      </c>
      <c r="F90" s="198" t="s">
        <v>953</v>
      </c>
      <c r="G90" s="225" t="n">
        <v>2893800</v>
      </c>
      <c r="H90" s="225" t="n">
        <v>8955362</v>
      </c>
      <c r="I90" s="225" t="n">
        <v>22389700</v>
      </c>
      <c r="J90" s="198" t="n">
        <v>46</v>
      </c>
      <c r="K90" s="198" t="n">
        <v>4</v>
      </c>
      <c r="L90" s="226" t="n">
        <v>40490</v>
      </c>
      <c r="M90" s="226" t="n">
        <v>40261</v>
      </c>
      <c r="N90" s="227" t="n">
        <v>2</v>
      </c>
      <c r="O90" s="227" t="s">
        <v>135</v>
      </c>
      <c r="P90" s="228" t="n">
        <f aca="false">VLOOKUP(B90,'NIVEL ENERO'!A:D,3,0)</f>
        <v>0.39589724585617</v>
      </c>
      <c r="Q90" s="229" t="n">
        <f aca="false">VLOOKUP(B90,'NIVEL ENERO'!A:D,4,0)</f>
        <v>81777.6399999999</v>
      </c>
      <c r="R90" s="186" t="str">
        <f aca="false">+PROPER(C90&amp;" "&amp;D90)</f>
        <v>Urrego Lotero Edinson Andres</v>
      </c>
      <c r="S90" s="230" t="n">
        <f aca="false">+YEARFRAC(L90,$S$1)</f>
        <v>15.5111111111111</v>
      </c>
      <c r="T90" s="230" t="n">
        <f aca="false">+YEARFRAC(M90,$S$1)</f>
        <v>16.1333333333333</v>
      </c>
      <c r="U90" s="231" t="n">
        <f aca="false">+$I90</f>
        <v>22389700</v>
      </c>
      <c r="V90" s="232" t="str">
        <f aca="false">+PROPER(F90)</f>
        <v>Soltero(A)</v>
      </c>
    </row>
    <row r="91" customFormat="false" ht="14.25" hidden="false" customHeight="false" outlineLevel="0" collapsed="false">
      <c r="B91" s="197" t="n">
        <v>16934229</v>
      </c>
      <c r="C91" s="197" t="s">
        <v>1113</v>
      </c>
      <c r="D91" s="197" t="s">
        <v>1069</v>
      </c>
      <c r="E91" s="198" t="s">
        <v>944</v>
      </c>
      <c r="F91" s="198" t="s">
        <v>948</v>
      </c>
      <c r="G91" s="225" t="n">
        <v>7114600</v>
      </c>
      <c r="H91" s="225" t="n">
        <v>800000</v>
      </c>
      <c r="I91" s="225" t="n">
        <v>0</v>
      </c>
      <c r="J91" s="198" t="n">
        <v>43</v>
      </c>
      <c r="K91" s="198" t="n">
        <v>1</v>
      </c>
      <c r="L91" s="226" t="n">
        <v>45555</v>
      </c>
      <c r="M91" s="226" t="n">
        <v>42009</v>
      </c>
      <c r="N91" s="227" t="n">
        <v>1</v>
      </c>
      <c r="O91" s="227" t="s">
        <v>135</v>
      </c>
      <c r="P91" s="228" t="n">
        <f aca="false">VLOOKUP(B91,'NIVEL ENERO'!A:D,3,0)</f>
        <v>0.339516206111377</v>
      </c>
      <c r="Q91" s="229" t="n">
        <f aca="false">VLOOKUP(B91,'NIVEL ENERO'!A:D,4,0)</f>
        <v>572610</v>
      </c>
      <c r="R91" s="186" t="str">
        <f aca="false">+PROPER(C91&amp;" "&amp;D91)</f>
        <v>Serna Giraldo Mauricio</v>
      </c>
      <c r="S91" s="230" t="n">
        <f aca="false">+YEARFRAC(L91,$S$1)</f>
        <v>1.64444444444444</v>
      </c>
      <c r="T91" s="230" t="n">
        <f aca="false">+YEARFRAC(M91,$S$1)</f>
        <v>11.3527777777778</v>
      </c>
      <c r="U91" s="231" t="n">
        <f aca="false">+$I91</f>
        <v>0</v>
      </c>
      <c r="V91" s="232" t="str">
        <f aca="false">+PROPER(F91)</f>
        <v>Casado(A)</v>
      </c>
    </row>
    <row r="92" customFormat="false" ht="14.25" hidden="false" customHeight="false" outlineLevel="0" collapsed="false">
      <c r="B92" s="197" t="n">
        <v>16934523</v>
      </c>
      <c r="C92" s="197" t="s">
        <v>1114</v>
      </c>
      <c r="D92" s="197" t="s">
        <v>1115</v>
      </c>
      <c r="E92" s="198" t="s">
        <v>944</v>
      </c>
      <c r="F92" s="198" t="s">
        <v>953</v>
      </c>
      <c r="G92" s="225" t="n">
        <v>2893800</v>
      </c>
      <c r="H92" s="225" t="n">
        <v>100000</v>
      </c>
      <c r="I92" s="225"/>
      <c r="J92" s="198" t="n">
        <v>43</v>
      </c>
      <c r="K92" s="198" t="n">
        <v>2</v>
      </c>
      <c r="L92" s="226" t="n">
        <v>45643</v>
      </c>
      <c r="M92" s="226" t="n">
        <v>44805</v>
      </c>
      <c r="N92" s="227" t="n">
        <v>0</v>
      </c>
      <c r="O92" s="227" t="s">
        <v>135</v>
      </c>
      <c r="P92" s="228" t="e">
        <f aca="false">VLOOKUP(B92,'NIVEL ENERO'!A:D,3,0)</f>
        <v>#N/A</v>
      </c>
      <c r="Q92" s="229" t="e">
        <f aca="false">VLOOKUP(B92,'NIVEL ENERO'!A:D,4,0)</f>
        <v>#N/A</v>
      </c>
      <c r="R92" s="186" t="str">
        <f aca="false">+PROPER(C92&amp;" "&amp;D92)</f>
        <v>Silva Lozano Jefferson</v>
      </c>
      <c r="S92" s="230" t="n">
        <f aca="false">+YEARFRAC(L92,$S$1)</f>
        <v>1.40277777777778</v>
      </c>
      <c r="T92" s="230" t="n">
        <f aca="false">+YEARFRAC(M92,$S$1)</f>
        <v>3.69722222222222</v>
      </c>
      <c r="U92" s="231" t="n">
        <f aca="false">+$I92</f>
        <v>0</v>
      </c>
      <c r="V92" s="232" t="str">
        <f aca="false">+PROPER(F92)</f>
        <v>Soltero(A)</v>
      </c>
    </row>
    <row r="93" customFormat="false" ht="14.25" hidden="false" customHeight="false" outlineLevel="0" collapsed="false">
      <c r="B93" s="197" t="n">
        <v>16940638</v>
      </c>
      <c r="C93" s="197" t="s">
        <v>1116</v>
      </c>
      <c r="D93" s="197" t="s">
        <v>1033</v>
      </c>
      <c r="E93" s="198" t="s">
        <v>944</v>
      </c>
      <c r="F93" s="198" t="s">
        <v>945</v>
      </c>
      <c r="G93" s="225" t="n">
        <v>2320800</v>
      </c>
      <c r="H93" s="225" t="n">
        <v>2946524</v>
      </c>
      <c r="I93" s="225" t="n">
        <v>3822856</v>
      </c>
      <c r="J93" s="198" t="n">
        <v>43</v>
      </c>
      <c r="K93" s="198" t="n">
        <v>4</v>
      </c>
      <c r="L93" s="226" t="n">
        <v>43928</v>
      </c>
      <c r="M93" s="226" t="n">
        <v>38861</v>
      </c>
      <c r="N93" s="227" t="n">
        <v>3</v>
      </c>
      <c r="O93" s="227" t="s">
        <v>135</v>
      </c>
      <c r="P93" s="228" t="n">
        <f aca="false">VLOOKUP(B93,'NIVEL ENERO'!A:D,3,0)</f>
        <v>0.210772748590101</v>
      </c>
      <c r="Q93" s="229" t="n">
        <f aca="false">VLOOKUP(B93,'NIVEL ENERO'!A:D,4,0)</f>
        <v>679159.26</v>
      </c>
      <c r="R93" s="186" t="str">
        <f aca="false">+PROPER(C93&amp;" "&amp;D93)</f>
        <v>Isaza Valencia Hernan Alonso</v>
      </c>
      <c r="S93" s="230" t="n">
        <f aca="false">+YEARFRAC(L93,$S$1)</f>
        <v>6.09722222222222</v>
      </c>
      <c r="T93" s="230" t="n">
        <f aca="false">+YEARFRAC(M93,$S$1)</f>
        <v>19.9666666666667</v>
      </c>
      <c r="U93" s="231" t="n">
        <f aca="false">+$I93</f>
        <v>3822856</v>
      </c>
      <c r="V93" s="232" t="str">
        <f aca="false">+PROPER(F93)</f>
        <v>Union Libre</v>
      </c>
    </row>
    <row r="94" customFormat="false" ht="14.25" hidden="false" customHeight="false" outlineLevel="0" collapsed="false">
      <c r="B94" s="197" t="n">
        <v>16942315</v>
      </c>
      <c r="C94" s="197" t="s">
        <v>1117</v>
      </c>
      <c r="D94" s="197" t="s">
        <v>1118</v>
      </c>
      <c r="E94" s="198" t="s">
        <v>944</v>
      </c>
      <c r="F94" s="198" t="s">
        <v>948</v>
      </c>
      <c r="G94" s="225" t="n">
        <v>13588800</v>
      </c>
      <c r="H94" s="225" t="n">
        <v>1200000</v>
      </c>
      <c r="I94" s="225" t="n">
        <v>0</v>
      </c>
      <c r="J94" s="198" t="n">
        <v>43</v>
      </c>
      <c r="K94" s="198" t="n">
        <v>6</v>
      </c>
      <c r="L94" s="226" t="n">
        <v>45222</v>
      </c>
      <c r="M94" s="226" t="n">
        <v>42522</v>
      </c>
      <c r="N94" s="227" t="n">
        <v>2</v>
      </c>
      <c r="O94" s="227" t="s">
        <v>135</v>
      </c>
      <c r="P94" s="228" t="n">
        <f aca="false">VLOOKUP(B94,'NIVEL ENERO'!A:D,3,0)</f>
        <v>0.175261906864477</v>
      </c>
      <c r="Q94" s="229" t="n">
        <f aca="false">VLOOKUP(B94,'NIVEL ENERO'!A:D,4,0)</f>
        <v>3325697</v>
      </c>
      <c r="R94" s="186" t="str">
        <f aca="false">+PROPER(C94&amp;" "&amp;D94)</f>
        <v>Londono Hernandez Roberth Andres</v>
      </c>
      <c r="S94" s="230" t="n">
        <f aca="false">+YEARFRAC(L94,$S$1)</f>
        <v>2.55277777777778</v>
      </c>
      <c r="T94" s="230" t="n">
        <f aca="false">+YEARFRAC(M94,$S$1)</f>
        <v>9.94722222222222</v>
      </c>
      <c r="U94" s="231" t="n">
        <f aca="false">+$I94</f>
        <v>0</v>
      </c>
      <c r="V94" s="232" t="str">
        <f aca="false">+PROPER(F94)</f>
        <v>Casado(A)</v>
      </c>
    </row>
    <row r="95" customFormat="false" ht="14.25" hidden="false" customHeight="false" outlineLevel="0" collapsed="false">
      <c r="B95" s="197" t="n">
        <v>16945354</v>
      </c>
      <c r="C95" s="197" t="s">
        <v>1119</v>
      </c>
      <c r="D95" s="197" t="s">
        <v>1120</v>
      </c>
      <c r="E95" s="198" t="s">
        <v>944</v>
      </c>
      <c r="F95" s="198" t="s">
        <v>948</v>
      </c>
      <c r="G95" s="225" t="n">
        <v>1625000</v>
      </c>
      <c r="H95" s="225" t="n">
        <v>650000</v>
      </c>
      <c r="I95" s="225" t="n">
        <v>802578</v>
      </c>
      <c r="J95" s="198" t="n">
        <v>43</v>
      </c>
      <c r="K95" s="198" t="n">
        <v>2</v>
      </c>
      <c r="L95" s="226" t="n">
        <v>45369</v>
      </c>
      <c r="M95" s="226" t="n">
        <v>45323</v>
      </c>
      <c r="N95" s="227" t="n">
        <v>0</v>
      </c>
      <c r="O95" s="227" t="s">
        <v>135</v>
      </c>
      <c r="P95" s="228" t="n">
        <f aca="false">VLOOKUP(B95,'NIVEL ENERO'!A:D,3,0)</f>
        <v>0.433984836923077</v>
      </c>
      <c r="Q95" s="229" t="n">
        <f aca="false">VLOOKUP(B95,'NIVEL ENERO'!A:D,4,0)</f>
        <v>-54108</v>
      </c>
      <c r="R95" s="186" t="str">
        <f aca="false">+PROPER(C95&amp;" "&amp;D95)</f>
        <v>Londono Lopez Edwin</v>
      </c>
      <c r="S95" s="230" t="n">
        <f aca="false">+YEARFRAC(L95,$S$1)</f>
        <v>2.15</v>
      </c>
      <c r="T95" s="230" t="n">
        <f aca="false">+YEARFRAC(M95,$S$1)</f>
        <v>2.28055555555556</v>
      </c>
      <c r="U95" s="231" t="n">
        <f aca="false">+$I95</f>
        <v>802578</v>
      </c>
      <c r="V95" s="232" t="str">
        <f aca="false">+PROPER(F95)</f>
        <v>Casado(A)</v>
      </c>
    </row>
    <row r="96" customFormat="false" ht="14.25" hidden="false" customHeight="false" outlineLevel="0" collapsed="false">
      <c r="B96" s="197" t="n">
        <v>16985476</v>
      </c>
      <c r="C96" s="197" t="s">
        <v>1121</v>
      </c>
      <c r="D96" s="197" t="s">
        <v>1065</v>
      </c>
      <c r="E96" s="198" t="s">
        <v>944</v>
      </c>
      <c r="F96" s="198" t="s">
        <v>945</v>
      </c>
      <c r="G96" s="225" t="n">
        <v>2681200</v>
      </c>
      <c r="H96" s="225" t="n">
        <v>6327802</v>
      </c>
      <c r="I96" s="225" t="n">
        <v>2546705</v>
      </c>
      <c r="J96" s="198" t="n">
        <v>59</v>
      </c>
      <c r="K96" s="198" t="n">
        <v>1</v>
      </c>
      <c r="L96" s="226" t="n">
        <v>44273</v>
      </c>
      <c r="M96" s="226" t="n">
        <v>40192</v>
      </c>
      <c r="N96" s="227" t="n">
        <v>1</v>
      </c>
      <c r="O96" s="227" t="s">
        <v>135</v>
      </c>
      <c r="P96" s="228" t="n">
        <f aca="false">VLOOKUP(B96,'NIVEL ENERO'!A:D,3,0)</f>
        <v>0.395932015853649</v>
      </c>
      <c r="Q96" s="229" t="n">
        <f aca="false">VLOOKUP(B96,'NIVEL ENERO'!A:D,4,0)</f>
        <v>73696.3599999999</v>
      </c>
      <c r="R96" s="186" t="str">
        <f aca="false">+PROPER(C96&amp;" "&amp;D96)</f>
        <v>Rodriguez Diaz Diego Fernando</v>
      </c>
      <c r="S96" s="230" t="n">
        <f aca="false">+YEARFRAC(L96,$S$1)</f>
        <v>5.15</v>
      </c>
      <c r="T96" s="230" t="n">
        <f aca="false">+YEARFRAC(M96,$S$1)</f>
        <v>16.3277777777778</v>
      </c>
      <c r="U96" s="231" t="n">
        <f aca="false">+$I96</f>
        <v>2546705</v>
      </c>
      <c r="V96" s="232" t="str">
        <f aca="false">+PROPER(F96)</f>
        <v>Union Libre</v>
      </c>
    </row>
    <row r="97" customFormat="false" ht="14.25" hidden="false" customHeight="false" outlineLevel="0" collapsed="false">
      <c r="B97" s="197" t="n">
        <v>19601683</v>
      </c>
      <c r="C97" s="197" t="s">
        <v>1122</v>
      </c>
      <c r="D97" s="197" t="s">
        <v>1123</v>
      </c>
      <c r="E97" s="198" t="s">
        <v>944</v>
      </c>
      <c r="F97" s="198" t="s">
        <v>953</v>
      </c>
      <c r="G97" s="225" t="n">
        <v>5224200</v>
      </c>
      <c r="H97" s="225" t="n">
        <v>1015322</v>
      </c>
      <c r="I97" s="225" t="n">
        <v>1335198</v>
      </c>
      <c r="J97" s="198" t="n">
        <v>41</v>
      </c>
      <c r="K97" s="198" t="n">
        <v>1</v>
      </c>
      <c r="L97" s="226" t="n">
        <v>45191</v>
      </c>
      <c r="M97" s="226" t="n">
        <v>42722</v>
      </c>
      <c r="N97" s="227" t="n">
        <v>1</v>
      </c>
      <c r="O97" s="227" t="s">
        <v>135</v>
      </c>
      <c r="P97" s="228" t="n">
        <f aca="false">VLOOKUP(B97,'NIVEL ENERO'!A:D,3,0)</f>
        <v>0.124545789903344</v>
      </c>
      <c r="Q97" s="229" t="n">
        <f aca="false">VLOOKUP(B97,'NIVEL ENERO'!A:D,4,0)</f>
        <v>1892840.2</v>
      </c>
      <c r="R97" s="186" t="str">
        <f aca="false">+PROPER(C97&amp;" "&amp;D97)</f>
        <v>Cantillo Dueñas Eliecer Antonio</v>
      </c>
      <c r="S97" s="230" t="n">
        <f aca="false">+YEARFRAC(L97,$S$1)</f>
        <v>2.63888888888889</v>
      </c>
      <c r="T97" s="230" t="n">
        <f aca="false">+YEARFRAC(M97,$S$1)</f>
        <v>9.4</v>
      </c>
      <c r="U97" s="231" t="n">
        <f aca="false">+$I97</f>
        <v>1335198</v>
      </c>
      <c r="V97" s="232" t="str">
        <f aca="false">+PROPER(F97)</f>
        <v>Soltero(A)</v>
      </c>
    </row>
    <row r="98" customFormat="false" ht="14.25" hidden="false" customHeight="false" outlineLevel="0" collapsed="false">
      <c r="B98" s="197" t="n">
        <v>22462719</v>
      </c>
      <c r="C98" s="197" t="s">
        <v>1124</v>
      </c>
      <c r="D98" s="197" t="s">
        <v>1125</v>
      </c>
      <c r="E98" s="198" t="s">
        <v>944</v>
      </c>
      <c r="F98" s="198" t="s">
        <v>948</v>
      </c>
      <c r="G98" s="225" t="n">
        <v>9087800</v>
      </c>
      <c r="H98" s="225" t="n">
        <v>2506690</v>
      </c>
      <c r="I98" s="225" t="n">
        <v>0</v>
      </c>
      <c r="J98" s="198" t="n">
        <v>47</v>
      </c>
      <c r="K98" s="198" t="n">
        <v>2</v>
      </c>
      <c r="L98" s="226" t="n">
        <v>44908</v>
      </c>
      <c r="M98" s="226" t="n">
        <v>41610</v>
      </c>
      <c r="N98" s="227" t="n">
        <v>0</v>
      </c>
      <c r="O98" s="227" t="s">
        <v>135</v>
      </c>
      <c r="P98" s="228" t="n">
        <f aca="false">VLOOKUP(B98,'NIVEL ENERO'!A:D,3,0)</f>
        <v>0.434433808574814</v>
      </c>
      <c r="Q98" s="229" t="n">
        <f aca="false">VLOOKUP(B98,'NIVEL ENERO'!A:D,4,0)</f>
        <v>-131171.58</v>
      </c>
      <c r="R98" s="186" t="str">
        <f aca="false">+PROPER(C98&amp;" "&amp;D98)</f>
        <v>Pelaez Hurtado Blanca Helena</v>
      </c>
      <c r="S98" s="230" t="n">
        <f aca="false">+YEARFRAC(L98,$S$1)</f>
        <v>3.41388888888889</v>
      </c>
      <c r="T98" s="230" t="n">
        <f aca="false">+YEARFRAC(M98,$S$1)</f>
        <v>12.4444444444444</v>
      </c>
      <c r="U98" s="231" t="n">
        <f aca="false">+$I98</f>
        <v>0</v>
      </c>
      <c r="V98" s="232" t="str">
        <f aca="false">+PROPER(F98)</f>
        <v>Casado(A)</v>
      </c>
    </row>
    <row r="99" customFormat="false" ht="14.25" hidden="false" customHeight="false" outlineLevel="0" collapsed="false">
      <c r="B99" s="197" t="n">
        <v>22665545</v>
      </c>
      <c r="C99" s="197" t="s">
        <v>1126</v>
      </c>
      <c r="D99" s="197" t="s">
        <v>1127</v>
      </c>
      <c r="E99" s="198" t="s">
        <v>944</v>
      </c>
      <c r="F99" s="198" t="s">
        <v>945</v>
      </c>
      <c r="G99" s="225" t="n">
        <v>5842800</v>
      </c>
      <c r="H99" s="225" t="n">
        <v>2314776</v>
      </c>
      <c r="I99" s="225" t="n">
        <v>373933</v>
      </c>
      <c r="J99" s="198" t="n">
        <v>43</v>
      </c>
      <c r="K99" s="198" t="n">
        <v>1</v>
      </c>
      <c r="L99" s="226" t="n">
        <v>44390</v>
      </c>
      <c r="M99" s="226" t="n">
        <v>42740</v>
      </c>
      <c r="N99" s="227" t="n">
        <v>2</v>
      </c>
      <c r="O99" s="227" t="s">
        <v>135</v>
      </c>
      <c r="P99" s="228" t="n">
        <f aca="false">VLOOKUP(B99,'NIVEL ENERO'!A:D,3,0)</f>
        <v>0.121615492572054</v>
      </c>
      <c r="Q99" s="229" t="n">
        <f aca="false">VLOOKUP(B99,'NIVEL ENERO'!A:D,4,0)</f>
        <v>1743401</v>
      </c>
      <c r="R99" s="186" t="str">
        <f aca="false">+PROPER(C99&amp;" "&amp;D99)</f>
        <v>Rodriguez Gonzalez Isagleidys Del Amparo</v>
      </c>
      <c r="S99" s="230" t="n">
        <f aca="false">+YEARFRAC(L99,$S$1)</f>
        <v>4.83055555555556</v>
      </c>
      <c r="T99" s="230" t="n">
        <f aca="false">+YEARFRAC(M99,$S$1)</f>
        <v>9.35277777777778</v>
      </c>
      <c r="U99" s="231" t="n">
        <f aca="false">+$I99</f>
        <v>373933</v>
      </c>
      <c r="V99" s="232" t="str">
        <f aca="false">+PROPER(F99)</f>
        <v>Union Libre</v>
      </c>
    </row>
    <row r="100" customFormat="false" ht="14.25" hidden="false" customHeight="false" outlineLevel="0" collapsed="false">
      <c r="B100" s="197" t="n">
        <v>22734707</v>
      </c>
      <c r="C100" s="197" t="s">
        <v>1128</v>
      </c>
      <c r="D100" s="197" t="s">
        <v>1129</v>
      </c>
      <c r="E100" s="198" t="s">
        <v>944</v>
      </c>
      <c r="F100" s="198" t="s">
        <v>953</v>
      </c>
      <c r="G100" s="225" t="n">
        <v>7000000</v>
      </c>
      <c r="H100" s="225" t="n">
        <v>2500000</v>
      </c>
      <c r="I100" s="225" t="n">
        <v>41555232</v>
      </c>
      <c r="J100" s="198" t="n">
        <v>43</v>
      </c>
      <c r="K100" s="198" t="n">
        <v>2</v>
      </c>
      <c r="L100" s="226" t="n">
        <v>45352</v>
      </c>
      <c r="M100" s="226" t="n">
        <v>43670</v>
      </c>
      <c r="N100" s="227" t="n">
        <v>0</v>
      </c>
      <c r="O100" s="227" t="s">
        <v>158</v>
      </c>
      <c r="P100" s="228" t="e">
        <f aca="false">VLOOKUP(B100,'NIVEL ENERO'!A:D,3,0)</f>
        <v>#N/A</v>
      </c>
      <c r="Q100" s="229" t="e">
        <f aca="false">VLOOKUP(B100,'NIVEL ENERO'!A:D,4,0)</f>
        <v>#N/A</v>
      </c>
      <c r="R100" s="186" t="str">
        <f aca="false">+PROPER(C100&amp;" "&amp;D100)</f>
        <v>Lobo Hernandez Kelly Johana</v>
      </c>
      <c r="S100" s="230" t="n">
        <f aca="false">+YEARFRAC(L100,$S$1)</f>
        <v>2.19722222222222</v>
      </c>
      <c r="T100" s="230" t="n">
        <f aca="false">+YEARFRAC(M100,$S$1)</f>
        <v>6.8</v>
      </c>
      <c r="U100" s="231" t="n">
        <f aca="false">+$I100</f>
        <v>41555232</v>
      </c>
      <c r="V100" s="232" t="str">
        <f aca="false">+PROPER(F100)</f>
        <v>Soltero(A)</v>
      </c>
    </row>
    <row r="101" customFormat="false" ht="14.25" hidden="false" customHeight="false" outlineLevel="0" collapsed="false">
      <c r="B101" s="197" t="n">
        <v>24331999</v>
      </c>
      <c r="C101" s="197" t="s">
        <v>1130</v>
      </c>
      <c r="D101" s="197" t="s">
        <v>1131</v>
      </c>
      <c r="E101" s="198" t="s">
        <v>944</v>
      </c>
      <c r="F101" s="198" t="s">
        <v>948</v>
      </c>
      <c r="G101" s="225" t="n">
        <v>6225200</v>
      </c>
      <c r="H101" s="225" t="n">
        <v>2391078</v>
      </c>
      <c r="I101" s="225" t="n">
        <v>0</v>
      </c>
      <c r="J101" s="198" t="n">
        <v>43</v>
      </c>
      <c r="K101" s="198" t="n">
        <v>1</v>
      </c>
      <c r="L101" s="226" t="n">
        <v>44579</v>
      </c>
      <c r="M101" s="226" t="n">
        <v>38202</v>
      </c>
      <c r="N101" s="227" t="n">
        <v>3</v>
      </c>
      <c r="O101" s="227" t="s">
        <v>135</v>
      </c>
      <c r="P101" s="228" t="n">
        <f aca="false">VLOOKUP(B101,'NIVEL ENERO'!A:D,3,0)</f>
        <v>0.174554873738996</v>
      </c>
      <c r="Q101" s="229" t="n">
        <f aca="false">VLOOKUP(B101,'NIVEL ENERO'!A:D,4,0)</f>
        <v>1527945</v>
      </c>
      <c r="R101" s="186" t="str">
        <f aca="false">+PROPER(C101&amp;" "&amp;D101)</f>
        <v>Navarro Zuluaga Yulieth Lorena</v>
      </c>
      <c r="S101" s="230" t="n">
        <f aca="false">+YEARFRAC(L101,$S$1)</f>
        <v>4.31666666666667</v>
      </c>
      <c r="T101" s="230" t="n">
        <f aca="false">+YEARFRAC(M101,$S$1)</f>
        <v>21.775</v>
      </c>
      <c r="U101" s="231" t="n">
        <f aca="false">+$I101</f>
        <v>0</v>
      </c>
      <c r="V101" s="232" t="str">
        <f aca="false">+PROPER(F101)</f>
        <v>Casado(A)</v>
      </c>
    </row>
    <row r="102" customFormat="false" ht="14.25" hidden="false" customHeight="false" outlineLevel="0" collapsed="false">
      <c r="B102" s="197" t="n">
        <v>24338540</v>
      </c>
      <c r="C102" s="197" t="s">
        <v>1132</v>
      </c>
      <c r="D102" s="197" t="s">
        <v>1133</v>
      </c>
      <c r="E102" s="198" t="s">
        <v>944</v>
      </c>
      <c r="F102" s="198" t="s">
        <v>953</v>
      </c>
      <c r="G102" s="225" t="n">
        <v>6225200</v>
      </c>
      <c r="H102" s="225" t="n">
        <v>5578305</v>
      </c>
      <c r="I102" s="225"/>
      <c r="J102" s="198" t="n">
        <v>39</v>
      </c>
      <c r="K102" s="198" t="n">
        <v>1</v>
      </c>
      <c r="L102" s="226" t="n">
        <v>44552</v>
      </c>
      <c r="M102" s="226" t="n">
        <v>42506</v>
      </c>
      <c r="N102" s="227" t="n">
        <v>2</v>
      </c>
      <c r="O102" s="227" t="s">
        <v>135</v>
      </c>
      <c r="P102" s="228" t="n">
        <f aca="false">VLOOKUP(B102,'NIVEL ENERO'!A:D,3,0)</f>
        <v>0.347803925978282</v>
      </c>
      <c r="Q102" s="229" t="n">
        <f aca="false">VLOOKUP(B102,'NIVEL ENERO'!A:D,4,0)</f>
        <v>449435</v>
      </c>
      <c r="R102" s="186" t="str">
        <f aca="false">+PROPER(C102&amp;" "&amp;D102)</f>
        <v>Villada Alvarez Miyerlay</v>
      </c>
      <c r="S102" s="230" t="n">
        <f aca="false">+YEARFRAC(L102,$S$1)</f>
        <v>4.38888888888889</v>
      </c>
      <c r="T102" s="230" t="n">
        <f aca="false">+YEARFRAC(M102,$S$1)</f>
        <v>9.98888888888889</v>
      </c>
      <c r="U102" s="231" t="n">
        <f aca="false">+$I102</f>
        <v>0</v>
      </c>
      <c r="V102" s="232" t="str">
        <f aca="false">+PROPER(F102)</f>
        <v>Soltero(A)</v>
      </c>
    </row>
    <row r="103" customFormat="false" ht="14.25" hidden="false" customHeight="false" outlineLevel="0" collapsed="false">
      <c r="B103" s="197" t="n">
        <v>24340972</v>
      </c>
      <c r="C103" s="197" t="s">
        <v>1134</v>
      </c>
      <c r="D103" s="197" t="s">
        <v>1135</v>
      </c>
      <c r="E103" s="198" t="s">
        <v>944</v>
      </c>
      <c r="F103" s="198" t="s">
        <v>948</v>
      </c>
      <c r="G103" s="225" t="n">
        <v>2600900</v>
      </c>
      <c r="H103" s="225" t="n">
        <v>1557164</v>
      </c>
      <c r="I103" s="225" t="n">
        <v>181063</v>
      </c>
      <c r="J103" s="198" t="n">
        <v>43</v>
      </c>
      <c r="K103" s="198" t="n">
        <v>6</v>
      </c>
      <c r="L103" s="226" t="n">
        <v>44846</v>
      </c>
      <c r="M103" s="226" t="n">
        <v>44105</v>
      </c>
      <c r="N103" s="227" t="n">
        <v>3</v>
      </c>
      <c r="O103" s="227" t="s">
        <v>135</v>
      </c>
      <c r="P103" s="228" t="n">
        <f aca="false">VLOOKUP(B103,'NIVEL ENERO'!A:D,3,0)</f>
        <v>0.320188672107175</v>
      </c>
      <c r="Q103" s="229" t="n">
        <f aca="false">VLOOKUP(B103,'NIVEL ENERO'!A:D,4,0)</f>
        <v>532053.1</v>
      </c>
      <c r="R103" s="186" t="str">
        <f aca="false">+PROPER(C103&amp;" "&amp;D103)</f>
        <v>Zuluaga Ramirez Sandra Milena</v>
      </c>
      <c r="S103" s="230" t="n">
        <f aca="false">+YEARFRAC(L103,$S$1)</f>
        <v>3.58333333333333</v>
      </c>
      <c r="T103" s="230" t="n">
        <f aca="false">+YEARFRAC(M103,$S$1)</f>
        <v>5.61388888888889</v>
      </c>
      <c r="U103" s="231" t="n">
        <f aca="false">+$I103</f>
        <v>181063</v>
      </c>
      <c r="V103" s="232" t="str">
        <f aca="false">+PROPER(F103)</f>
        <v>Casado(A)</v>
      </c>
    </row>
    <row r="104" customFormat="false" ht="14.25" hidden="false" customHeight="false" outlineLevel="0" collapsed="false">
      <c r="B104" s="197" t="n">
        <v>24341885</v>
      </c>
      <c r="C104" s="197" t="s">
        <v>1136</v>
      </c>
      <c r="D104" s="197" t="s">
        <v>1137</v>
      </c>
      <c r="E104" s="198" t="s">
        <v>944</v>
      </c>
      <c r="F104" s="198" t="s">
        <v>945</v>
      </c>
      <c r="G104" s="225" t="n">
        <v>5842800</v>
      </c>
      <c r="H104" s="225" t="n">
        <v>2043886</v>
      </c>
      <c r="I104" s="225" t="n">
        <v>1440846</v>
      </c>
      <c r="J104" s="198" t="n">
        <v>43</v>
      </c>
      <c r="K104" s="198" t="n">
        <v>1</v>
      </c>
      <c r="L104" s="226" t="n">
        <v>44669</v>
      </c>
      <c r="M104" s="226" t="n">
        <v>44094</v>
      </c>
      <c r="N104" s="227" t="n">
        <v>2</v>
      </c>
      <c r="O104" s="227" t="s">
        <v>135</v>
      </c>
      <c r="P104" s="228" t="n">
        <f aca="false">VLOOKUP(B104,'NIVEL ENERO'!A:D,3,0)</f>
        <v>0.203462209899363</v>
      </c>
      <c r="Q104" s="229" t="n">
        <f aca="false">VLOOKUP(B104,'NIVEL ENERO'!A:D,4,0)</f>
        <v>1265187</v>
      </c>
      <c r="R104" s="186" t="str">
        <f aca="false">+PROPER(C104&amp;" "&amp;D104)</f>
        <v>Zapata Zapata Luz Adriana</v>
      </c>
      <c r="S104" s="230" t="n">
        <f aca="false">+YEARFRAC(L104,$S$1)</f>
        <v>4.06666666666667</v>
      </c>
      <c r="T104" s="230" t="n">
        <f aca="false">+YEARFRAC(M104,$S$1)</f>
        <v>5.64444444444445</v>
      </c>
      <c r="U104" s="231" t="n">
        <f aca="false">+$I104</f>
        <v>1440846</v>
      </c>
      <c r="V104" s="232" t="str">
        <f aca="false">+PROPER(F104)</f>
        <v>Union Libre</v>
      </c>
    </row>
    <row r="105" customFormat="false" ht="14.25" hidden="false" customHeight="false" outlineLevel="0" collapsed="false">
      <c r="B105" s="197" t="n">
        <v>24343891</v>
      </c>
      <c r="C105" s="197" t="s">
        <v>1138</v>
      </c>
      <c r="D105" s="197" t="s">
        <v>1139</v>
      </c>
      <c r="E105" s="198" t="s">
        <v>944</v>
      </c>
      <c r="F105" s="198" t="s">
        <v>953</v>
      </c>
      <c r="G105" s="225" t="n">
        <v>4870200</v>
      </c>
      <c r="H105" s="225" t="n">
        <v>3415825</v>
      </c>
      <c r="I105" s="225" t="n">
        <v>10076173</v>
      </c>
      <c r="J105" s="198" t="n">
        <v>39</v>
      </c>
      <c r="K105" s="198" t="n">
        <v>1</v>
      </c>
      <c r="L105" s="226" t="n">
        <v>44613</v>
      </c>
      <c r="M105" s="226" t="n">
        <v>44105</v>
      </c>
      <c r="N105" s="227" t="n">
        <v>0</v>
      </c>
      <c r="O105" s="227" t="s">
        <v>135</v>
      </c>
      <c r="P105" s="228" t="n">
        <f aca="false">VLOOKUP(B105,'NIVEL ENERO'!A:D,3,0)</f>
        <v>0.322254253690469</v>
      </c>
      <c r="Q105" s="229" t="n">
        <f aca="false">VLOOKUP(B105,'NIVEL ENERO'!A:D,4,0)</f>
        <v>735379.24</v>
      </c>
      <c r="R105" s="186" t="str">
        <f aca="false">+PROPER(C105&amp;" "&amp;D105)</f>
        <v>Adarve Cobo Sandra Liliana</v>
      </c>
      <c r="S105" s="230" t="n">
        <f aca="false">+YEARFRAC(L105,$S$1)</f>
        <v>4.225</v>
      </c>
      <c r="T105" s="230" t="n">
        <f aca="false">+YEARFRAC(M105,$S$1)</f>
        <v>5.61388888888889</v>
      </c>
      <c r="U105" s="231" t="n">
        <f aca="false">+$I105</f>
        <v>10076173</v>
      </c>
      <c r="V105" s="232" t="str">
        <f aca="false">+PROPER(F105)</f>
        <v>Soltero(A)</v>
      </c>
    </row>
    <row r="106" customFormat="false" ht="14.25" hidden="false" customHeight="false" outlineLevel="0" collapsed="false">
      <c r="B106" s="197" t="n">
        <v>24348754</v>
      </c>
      <c r="C106" s="197" t="s">
        <v>1140</v>
      </c>
      <c r="D106" s="197" t="s">
        <v>1137</v>
      </c>
      <c r="E106" s="198" t="s">
        <v>944</v>
      </c>
      <c r="F106" s="198" t="s">
        <v>948</v>
      </c>
      <c r="G106" s="225" t="n">
        <v>5418800</v>
      </c>
      <c r="H106" s="225" t="n">
        <v>18035465</v>
      </c>
      <c r="I106" s="225" t="n">
        <v>28540226</v>
      </c>
      <c r="J106" s="198" t="n">
        <v>44</v>
      </c>
      <c r="K106" s="198" t="n">
        <v>1</v>
      </c>
      <c r="L106" s="226" t="n">
        <v>39792</v>
      </c>
      <c r="M106" s="226" t="n">
        <v>37988</v>
      </c>
      <c r="N106" s="227" t="n">
        <v>5</v>
      </c>
      <c r="O106" s="227" t="s">
        <v>135</v>
      </c>
      <c r="P106" s="228" t="n">
        <f aca="false">VLOOKUP(B106,'NIVEL ENERO'!A:D,3,0)</f>
        <v>0.292284553643081</v>
      </c>
      <c r="Q106" s="229" t="n">
        <f aca="false">VLOOKUP(B106,'NIVEL ENERO'!A:D,4,0)</f>
        <v>749897.08</v>
      </c>
      <c r="R106" s="186" t="str">
        <f aca="false">+PROPER(C106&amp;" "&amp;D106)</f>
        <v>Cardona Martinez Luz Adriana</v>
      </c>
      <c r="S106" s="230" t="n">
        <f aca="false">+YEARFRAC(L106,$S$1)</f>
        <v>17.4222222222222</v>
      </c>
      <c r="T106" s="230" t="n">
        <f aca="false">+YEARFRAC(M106,$S$1)</f>
        <v>22.3611111111111</v>
      </c>
      <c r="U106" s="231" t="n">
        <f aca="false">+$I106</f>
        <v>28540226</v>
      </c>
      <c r="V106" s="232" t="str">
        <f aca="false">+PROPER(F106)</f>
        <v>Casado(A)</v>
      </c>
    </row>
    <row r="107" customFormat="false" ht="14.25" hidden="false" customHeight="false" outlineLevel="0" collapsed="false">
      <c r="B107" s="197" t="n">
        <v>24527680</v>
      </c>
      <c r="C107" s="197" t="s">
        <v>1141</v>
      </c>
      <c r="D107" s="197" t="s">
        <v>1142</v>
      </c>
      <c r="E107" s="198" t="s">
        <v>944</v>
      </c>
      <c r="F107" s="198" t="s">
        <v>948</v>
      </c>
      <c r="G107" s="225" t="n">
        <v>2000000</v>
      </c>
      <c r="H107" s="225" t="n">
        <v>2305675</v>
      </c>
      <c r="I107" s="225" t="n">
        <v>0</v>
      </c>
      <c r="J107" s="198" t="n">
        <v>57</v>
      </c>
      <c r="K107" s="198" t="n">
        <v>2</v>
      </c>
      <c r="L107" s="226" t="n">
        <v>44938</v>
      </c>
      <c r="M107" s="226" t="n">
        <v>35598</v>
      </c>
      <c r="N107" s="227" t="n">
        <v>2</v>
      </c>
      <c r="O107" s="227" t="s">
        <v>445</v>
      </c>
      <c r="P107" s="228" t="e">
        <f aca="false">VLOOKUP(B107,'NIVEL ENERO'!A:D,3,0)</f>
        <v>#N/A</v>
      </c>
      <c r="Q107" s="229" t="e">
        <f aca="false">VLOOKUP(B107,'NIVEL ENERO'!A:D,4,0)</f>
        <v>#N/A</v>
      </c>
      <c r="R107" s="186" t="str">
        <f aca="false">+PROPER(C107&amp;" "&amp;D107)</f>
        <v>Tapasco Ramirez Gloria Olivia</v>
      </c>
      <c r="S107" s="230" t="n">
        <f aca="false">+YEARFRAC(L107,$S$1)</f>
        <v>3.33333333333333</v>
      </c>
      <c r="T107" s="230" t="n">
        <f aca="false">+YEARFRAC(M107,$S$1)</f>
        <v>28.9027777777778</v>
      </c>
      <c r="U107" s="231" t="n">
        <f aca="false">+$I107</f>
        <v>0</v>
      </c>
      <c r="V107" s="232" t="str">
        <f aca="false">+PROPER(F107)</f>
        <v>Casado(A)</v>
      </c>
    </row>
    <row r="108" customFormat="false" ht="14.25" hidden="false" customHeight="false" outlineLevel="0" collapsed="false">
      <c r="B108" s="197" t="n">
        <v>24713592</v>
      </c>
      <c r="C108" s="197" t="s">
        <v>1143</v>
      </c>
      <c r="D108" s="197" t="s">
        <v>1144</v>
      </c>
      <c r="E108" s="198" t="s">
        <v>944</v>
      </c>
      <c r="F108" s="198" t="s">
        <v>945</v>
      </c>
      <c r="G108" s="225" t="n">
        <v>2600900</v>
      </c>
      <c r="H108" s="225" t="n">
        <v>1121761</v>
      </c>
      <c r="I108" s="225"/>
      <c r="J108" s="198" t="n">
        <v>44</v>
      </c>
      <c r="K108" s="198" t="n">
        <v>2</v>
      </c>
      <c r="L108" s="226" t="n">
        <v>45118</v>
      </c>
      <c r="M108" s="226" t="n">
        <v>44105</v>
      </c>
      <c r="N108" s="227" t="n">
        <v>0</v>
      </c>
      <c r="O108" s="227" t="s">
        <v>135</v>
      </c>
      <c r="P108" s="228" t="n">
        <f aca="false">VLOOKUP(B108,'NIVEL ENERO'!A:D,3,0)</f>
        <v>0.146207663121025</v>
      </c>
      <c r="Q108" s="229" t="n">
        <f aca="false">VLOOKUP(B108,'NIVEL ENERO'!A:D,4,0)</f>
        <v>763760.06</v>
      </c>
      <c r="R108" s="186" t="str">
        <f aca="false">+PROPER(C108&amp;" "&amp;D108)</f>
        <v>Abril Acevedo Monica Alejandra</v>
      </c>
      <c r="S108" s="230" t="n">
        <f aca="false">+YEARFRAC(L108,$S$1)</f>
        <v>2.83611111111111</v>
      </c>
      <c r="T108" s="230" t="n">
        <f aca="false">+YEARFRAC(M108,$S$1)</f>
        <v>5.61388888888889</v>
      </c>
      <c r="U108" s="231" t="n">
        <f aca="false">+$I108</f>
        <v>0</v>
      </c>
      <c r="V108" s="232" t="str">
        <f aca="false">+PROPER(F108)</f>
        <v>Union Libre</v>
      </c>
    </row>
    <row r="109" customFormat="false" ht="14.25" hidden="false" customHeight="false" outlineLevel="0" collapsed="false">
      <c r="B109" s="197" t="n">
        <v>25273899</v>
      </c>
      <c r="C109" s="197" t="s">
        <v>1145</v>
      </c>
      <c r="D109" s="197" t="s">
        <v>1146</v>
      </c>
      <c r="E109" s="198" t="s">
        <v>944</v>
      </c>
      <c r="F109" s="198" t="s">
        <v>945</v>
      </c>
      <c r="G109" s="225" t="n">
        <v>5418800</v>
      </c>
      <c r="H109" s="225" t="n">
        <v>4550039</v>
      </c>
      <c r="I109" s="225" t="n">
        <v>9260518</v>
      </c>
      <c r="J109" s="198" t="n">
        <v>47</v>
      </c>
      <c r="K109" s="198" t="n">
        <v>1</v>
      </c>
      <c r="L109" s="226" t="n">
        <v>45279</v>
      </c>
      <c r="M109" s="226" t="n">
        <v>45245</v>
      </c>
      <c r="N109" s="227" t="n">
        <v>0</v>
      </c>
      <c r="O109" s="227" t="s">
        <v>135</v>
      </c>
      <c r="P109" s="228" t="n">
        <f aca="false">VLOOKUP(B109,'NIVEL ENERO'!A:D,3,0)</f>
        <v>0.23333950335053</v>
      </c>
      <c r="Q109" s="229" t="n">
        <f aca="false">VLOOKUP(B109,'NIVEL ENERO'!A:D,4,0)</f>
        <v>1061874.42</v>
      </c>
      <c r="R109" s="186" t="str">
        <f aca="false">+PROPER(C109&amp;" "&amp;D109)</f>
        <v>Arias Ceron Eliana Marcela</v>
      </c>
      <c r="S109" s="230" t="n">
        <f aca="false">+YEARFRAC(L109,$S$1)</f>
        <v>2.39722222222222</v>
      </c>
      <c r="T109" s="230" t="n">
        <f aca="false">+YEARFRAC(M109,$S$1)</f>
        <v>2.49166666666667</v>
      </c>
      <c r="U109" s="231" t="n">
        <f aca="false">+$I109</f>
        <v>9260518</v>
      </c>
      <c r="V109" s="232" t="str">
        <f aca="false">+PROPER(F109)</f>
        <v>Union Libre</v>
      </c>
    </row>
    <row r="110" customFormat="false" ht="14.25" hidden="false" customHeight="false" outlineLevel="0" collapsed="false">
      <c r="B110" s="197" t="n">
        <v>25277703</v>
      </c>
      <c r="C110" s="197" t="s">
        <v>1147</v>
      </c>
      <c r="D110" s="197" t="s">
        <v>1148</v>
      </c>
      <c r="E110" s="198" t="s">
        <v>944</v>
      </c>
      <c r="F110" s="198" t="s">
        <v>953</v>
      </c>
      <c r="G110" s="225" t="n">
        <v>5418800</v>
      </c>
      <c r="H110" s="225" t="n">
        <v>2405675</v>
      </c>
      <c r="I110" s="225" t="n">
        <v>4327866</v>
      </c>
      <c r="J110" s="198" t="n">
        <v>46</v>
      </c>
      <c r="K110" s="198" t="n">
        <v>1</v>
      </c>
      <c r="L110" s="226" t="n">
        <v>44939</v>
      </c>
      <c r="M110" s="226" t="n">
        <v>40238</v>
      </c>
      <c r="N110" s="227" t="n">
        <v>0</v>
      </c>
      <c r="O110" s="227" t="s">
        <v>135</v>
      </c>
      <c r="P110" s="228" t="n">
        <f aca="false">VLOOKUP(B110,'NIVEL ENERO'!A:D,3,0)</f>
        <v>0.359213065254061</v>
      </c>
      <c r="Q110" s="229" t="n">
        <f aca="false">VLOOKUP(B110,'NIVEL ENERO'!A:D,4,0)</f>
        <v>448689.58</v>
      </c>
      <c r="R110" s="186" t="str">
        <f aca="false">+PROPER(C110&amp;" "&amp;D110)</f>
        <v>Illera Paez Claudia Maritza</v>
      </c>
      <c r="S110" s="230" t="n">
        <f aca="false">+YEARFRAC(L110,$S$1)</f>
        <v>3.33055555555556</v>
      </c>
      <c r="T110" s="230" t="n">
        <f aca="false">+YEARFRAC(M110,$S$1)</f>
        <v>16.1972222222222</v>
      </c>
      <c r="U110" s="231" t="n">
        <f aca="false">+$I110</f>
        <v>4327866</v>
      </c>
      <c r="V110" s="232" t="str">
        <f aca="false">+PROPER(F110)</f>
        <v>Soltero(A)</v>
      </c>
    </row>
    <row r="111" customFormat="false" ht="14.25" hidden="false" customHeight="false" outlineLevel="0" collapsed="false">
      <c r="B111" s="197" t="n">
        <v>25283493</v>
      </c>
      <c r="C111" s="197" t="s">
        <v>1149</v>
      </c>
      <c r="D111" s="197" t="s">
        <v>1150</v>
      </c>
      <c r="E111" s="198" t="s">
        <v>944</v>
      </c>
      <c r="F111" s="198" t="s">
        <v>953</v>
      </c>
      <c r="G111" s="225" t="n">
        <v>5842800</v>
      </c>
      <c r="H111" s="225" t="n">
        <v>5840184</v>
      </c>
      <c r="I111" s="225" t="n">
        <v>0</v>
      </c>
      <c r="J111" s="198" t="n">
        <v>45</v>
      </c>
      <c r="K111" s="198" t="n">
        <v>1</v>
      </c>
      <c r="L111" s="226" t="n">
        <v>39797</v>
      </c>
      <c r="M111" s="226" t="n">
        <v>40007</v>
      </c>
      <c r="N111" s="227" t="n">
        <v>2</v>
      </c>
      <c r="O111" s="227" t="s">
        <v>135</v>
      </c>
      <c r="P111" s="228" t="n">
        <f aca="false">VLOOKUP(B111,'NIVEL ENERO'!A:D,3,0)</f>
        <v>0.131243418594382</v>
      </c>
      <c r="Q111" s="229" t="n">
        <f aca="false">VLOOKUP(B111,'NIVEL ENERO'!A:D,4,0)</f>
        <v>1700141</v>
      </c>
      <c r="R111" s="186" t="str">
        <f aca="false">+PROPER(C111&amp;" "&amp;D111)</f>
        <v>Millan Correa Diana Lizeth</v>
      </c>
      <c r="S111" s="230" t="n">
        <f aca="false">+YEARFRAC(L111,$S$1)</f>
        <v>17.4083333333333</v>
      </c>
      <c r="T111" s="230" t="n">
        <f aca="false">+YEARFRAC(M111,$S$1)</f>
        <v>16.8305555555556</v>
      </c>
      <c r="U111" s="231" t="n">
        <f aca="false">+$I111</f>
        <v>0</v>
      </c>
      <c r="V111" s="232" t="str">
        <f aca="false">+PROPER(F111)</f>
        <v>Soltero(A)</v>
      </c>
    </row>
    <row r="112" customFormat="false" ht="14.25" hidden="false" customHeight="false" outlineLevel="0" collapsed="false">
      <c r="B112" s="197" t="n">
        <v>25287875</v>
      </c>
      <c r="C112" s="197" t="s">
        <v>1151</v>
      </c>
      <c r="D112" s="197" t="s">
        <v>1152</v>
      </c>
      <c r="E112" s="198" t="s">
        <v>944</v>
      </c>
      <c r="F112" s="198" t="s">
        <v>953</v>
      </c>
      <c r="G112" s="225" t="n">
        <v>7700000</v>
      </c>
      <c r="H112" s="225" t="n">
        <v>650000</v>
      </c>
      <c r="I112" s="225"/>
      <c r="J112" s="198" t="n">
        <v>44</v>
      </c>
      <c r="K112" s="198" t="n">
        <v>1</v>
      </c>
      <c r="L112" s="226" t="n">
        <v>45352</v>
      </c>
      <c r="M112" s="226" t="n">
        <v>40791</v>
      </c>
      <c r="N112" s="227" t="n">
        <v>0</v>
      </c>
      <c r="O112" s="227" t="s">
        <v>158</v>
      </c>
      <c r="P112" s="228" t="e">
        <f aca="false">VLOOKUP(B112,'NIVEL ENERO'!A:D,3,0)</f>
        <v>#N/A</v>
      </c>
      <c r="Q112" s="229" t="e">
        <f aca="false">VLOOKUP(B112,'NIVEL ENERO'!A:D,4,0)</f>
        <v>#N/A</v>
      </c>
      <c r="R112" s="186" t="str">
        <f aca="false">+PROPER(C112&amp;" "&amp;D112)</f>
        <v>Perez Schmalbach Sandra Patricia Del Carmen</v>
      </c>
      <c r="S112" s="230" t="n">
        <f aca="false">+YEARFRAC(L112,$S$1)</f>
        <v>2.19722222222222</v>
      </c>
      <c r="T112" s="230" t="n">
        <f aca="false">+YEARFRAC(M112,$S$1)</f>
        <v>14.6861111111111</v>
      </c>
      <c r="U112" s="231" t="n">
        <f aca="false">+$I112</f>
        <v>0</v>
      </c>
      <c r="V112" s="232" t="str">
        <f aca="false">+PROPER(F112)</f>
        <v>Soltero(A)</v>
      </c>
    </row>
    <row r="113" customFormat="false" ht="14.25" hidden="false" customHeight="false" outlineLevel="0" collapsed="false">
      <c r="B113" s="197" t="n">
        <v>25331605</v>
      </c>
      <c r="C113" s="197" t="s">
        <v>1153</v>
      </c>
      <c r="D113" s="197" t="s">
        <v>1154</v>
      </c>
      <c r="E113" s="198" t="s">
        <v>944</v>
      </c>
      <c r="F113" s="198" t="s">
        <v>945</v>
      </c>
      <c r="G113" s="225" t="n">
        <v>2893800</v>
      </c>
      <c r="H113" s="225" t="n">
        <v>1506656</v>
      </c>
      <c r="I113" s="225" t="n">
        <v>116826</v>
      </c>
      <c r="J113" s="198" t="n">
        <v>44</v>
      </c>
      <c r="K113" s="198" t="n">
        <v>1</v>
      </c>
      <c r="L113" s="226" t="n">
        <v>44907</v>
      </c>
      <c r="M113" s="226" t="n">
        <v>44105</v>
      </c>
      <c r="N113" s="227" t="n">
        <v>0</v>
      </c>
      <c r="O113" s="227" t="s">
        <v>135</v>
      </c>
      <c r="P113" s="228" t="n">
        <f aca="false">VLOOKUP(B113,'NIVEL ENERO'!A:D,3,0)</f>
        <v>0.116207203215897</v>
      </c>
      <c r="Q113" s="229" t="n">
        <f aca="false">VLOOKUP(B113,'NIVEL ENERO'!A:D,4,0)</f>
        <v>1244330.84</v>
      </c>
      <c r="R113" s="186" t="str">
        <f aca="false">+PROPER(C113&amp;" "&amp;D113)</f>
        <v>Popo Carabali Luz Dely</v>
      </c>
      <c r="S113" s="230" t="n">
        <f aca="false">+YEARFRAC(L113,$S$1)</f>
        <v>3.41666666666667</v>
      </c>
      <c r="T113" s="230" t="n">
        <f aca="false">+YEARFRAC(M113,$S$1)</f>
        <v>5.61388888888889</v>
      </c>
      <c r="U113" s="231" t="n">
        <f aca="false">+$I113</f>
        <v>116826</v>
      </c>
      <c r="V113" s="232" t="str">
        <f aca="false">+PROPER(F113)</f>
        <v>Union Libre</v>
      </c>
    </row>
    <row r="114" customFormat="false" ht="14.25" hidden="false" customHeight="false" outlineLevel="0" collapsed="false">
      <c r="B114" s="197" t="n">
        <v>25338294</v>
      </c>
      <c r="C114" s="197" t="s">
        <v>1155</v>
      </c>
      <c r="D114" s="197" t="s">
        <v>1156</v>
      </c>
      <c r="E114" s="198" t="s">
        <v>944</v>
      </c>
      <c r="F114" s="198" t="s">
        <v>953</v>
      </c>
      <c r="G114" s="225" t="n">
        <v>1670000</v>
      </c>
      <c r="H114" s="225" t="n">
        <v>1121761</v>
      </c>
      <c r="I114" s="225"/>
      <c r="J114" s="198" t="n">
        <v>46</v>
      </c>
      <c r="K114" s="198" t="n">
        <v>3</v>
      </c>
      <c r="L114" s="226" t="n">
        <v>45118</v>
      </c>
      <c r="M114" s="226" t="n">
        <v>41944</v>
      </c>
      <c r="N114" s="227" t="n">
        <v>0</v>
      </c>
      <c r="O114" s="227" t="s">
        <v>135</v>
      </c>
      <c r="P114" s="228" t="n">
        <f aca="false">VLOOKUP(B114,'NIVEL ENERO'!A:D,3,0)</f>
        <v>0.381154974207232</v>
      </c>
      <c r="Q114" s="229" t="n">
        <f aca="false">VLOOKUP(B114,'NIVEL ENERO'!A:D,4,0)</f>
        <v>176392.333333333</v>
      </c>
      <c r="R114" s="186" t="str">
        <f aca="false">+PROPER(C114&amp;" "&amp;D114)</f>
        <v>Paz Mosquera Ilsa Geovana</v>
      </c>
      <c r="S114" s="230" t="n">
        <f aca="false">+YEARFRAC(L114,$S$1)</f>
        <v>2.83611111111111</v>
      </c>
      <c r="T114" s="230" t="n">
        <f aca="false">+YEARFRAC(M114,$S$1)</f>
        <v>11.5305555555556</v>
      </c>
      <c r="U114" s="231" t="n">
        <f aca="false">+$I114</f>
        <v>0</v>
      </c>
      <c r="V114" s="232" t="str">
        <f aca="false">+PROPER(F114)</f>
        <v>Soltero(A)</v>
      </c>
    </row>
    <row r="115" customFormat="false" ht="14.25" hidden="false" customHeight="false" outlineLevel="0" collapsed="false">
      <c r="B115" s="197" t="n">
        <v>25341987</v>
      </c>
      <c r="C115" s="197" t="s">
        <v>1157</v>
      </c>
      <c r="D115" s="197" t="s">
        <v>1158</v>
      </c>
      <c r="E115" s="198" t="s">
        <v>944</v>
      </c>
      <c r="F115" s="198" t="s">
        <v>953</v>
      </c>
      <c r="G115" s="225" t="n">
        <v>1717900</v>
      </c>
      <c r="H115" s="225" t="n">
        <v>1500275</v>
      </c>
      <c r="I115" s="225" t="n">
        <v>0</v>
      </c>
      <c r="J115" s="198" t="n">
        <v>40</v>
      </c>
      <c r="K115" s="198" t="n">
        <v>2</v>
      </c>
      <c r="L115" s="226" t="n">
        <v>45220</v>
      </c>
      <c r="M115" s="226" t="n">
        <v>44683</v>
      </c>
      <c r="N115" s="227" t="n">
        <v>0</v>
      </c>
      <c r="O115" s="227" t="s">
        <v>135</v>
      </c>
      <c r="P115" s="228" t="n">
        <f aca="false">VLOOKUP(B115,'NIVEL ENERO'!A:D,3,0)</f>
        <v>0.431134095895609</v>
      </c>
      <c r="Q115" s="229" t="n">
        <f aca="false">VLOOKUP(B115,'NIVEL ENERO'!A:D,4,0)</f>
        <v>-22231.98</v>
      </c>
      <c r="R115" s="186" t="str">
        <f aca="false">+PROPER(C115&amp;" "&amp;D115)</f>
        <v>Valencia Cobo Eliana</v>
      </c>
      <c r="S115" s="230" t="n">
        <f aca="false">+YEARFRAC(L115,$S$1)</f>
        <v>2.55833333333333</v>
      </c>
      <c r="T115" s="230" t="n">
        <f aca="false">+YEARFRAC(M115,$S$1)</f>
        <v>4.02777777777778</v>
      </c>
      <c r="U115" s="231" t="n">
        <f aca="false">+$I115</f>
        <v>0</v>
      </c>
      <c r="V115" s="232" t="str">
        <f aca="false">+PROPER(F115)</f>
        <v>Soltero(A)</v>
      </c>
    </row>
    <row r="116" customFormat="false" ht="14.25" hidden="false" customHeight="false" outlineLevel="0" collapsed="false">
      <c r="B116" s="197" t="n">
        <v>25364521</v>
      </c>
      <c r="C116" s="197" t="s">
        <v>1159</v>
      </c>
      <c r="D116" s="197" t="s">
        <v>1160</v>
      </c>
      <c r="E116" s="198" t="s">
        <v>944</v>
      </c>
      <c r="F116" s="198" t="s">
        <v>998</v>
      </c>
      <c r="G116" s="225" t="n">
        <v>5842800</v>
      </c>
      <c r="H116" s="225" t="n">
        <v>10908857</v>
      </c>
      <c r="I116" s="225" t="n">
        <v>11051880</v>
      </c>
      <c r="J116" s="198" t="n">
        <v>53</v>
      </c>
      <c r="K116" s="198" t="n">
        <v>1</v>
      </c>
      <c r="L116" s="226" t="n">
        <v>41009</v>
      </c>
      <c r="M116" s="226" t="n">
        <v>35560</v>
      </c>
      <c r="N116" s="227" t="n">
        <v>5</v>
      </c>
      <c r="O116" s="227" t="s">
        <v>135</v>
      </c>
      <c r="P116" s="228" t="n">
        <f aca="false">VLOOKUP(B116,'NIVEL ENERO'!A:D,3,0)</f>
        <v>0.38987026767988</v>
      </c>
      <c r="Q116" s="229" t="n">
        <f aca="false">VLOOKUP(B116,'NIVEL ENERO'!A:D,4,0)</f>
        <v>176042</v>
      </c>
      <c r="R116" s="186" t="str">
        <f aca="false">+PROPER(C116&amp;" "&amp;D116)</f>
        <v>Guerrero Fajardo Gloria Piedad</v>
      </c>
      <c r="S116" s="230" t="n">
        <f aca="false">+YEARFRAC(L116,$S$1)</f>
        <v>14.0888888888889</v>
      </c>
      <c r="T116" s="230" t="n">
        <f aca="false">+YEARFRAC(M116,$S$1)</f>
        <v>29.0055555555556</v>
      </c>
      <c r="U116" s="231" t="n">
        <f aca="false">+$I116</f>
        <v>11051880</v>
      </c>
      <c r="V116" s="232" t="str">
        <f aca="false">+PROPER(F116)</f>
        <v>Separado(A)</v>
      </c>
    </row>
    <row r="117" customFormat="false" ht="14.25" hidden="false" customHeight="false" outlineLevel="0" collapsed="false">
      <c r="B117" s="197" t="n">
        <v>25454154</v>
      </c>
      <c r="C117" s="197" t="s">
        <v>1161</v>
      </c>
      <c r="D117" s="197" t="s">
        <v>1162</v>
      </c>
      <c r="E117" s="198" t="s">
        <v>1163</v>
      </c>
      <c r="F117" s="198" t="s">
        <v>948</v>
      </c>
      <c r="G117" s="225" t="n">
        <v>2893800</v>
      </c>
      <c r="H117" s="225" t="n">
        <v>1355255</v>
      </c>
      <c r="I117" s="225" t="n">
        <v>1366269</v>
      </c>
      <c r="J117" s="198" t="n">
        <v>47</v>
      </c>
      <c r="K117" s="198" t="n">
        <v>1</v>
      </c>
      <c r="L117" s="226" t="n">
        <v>39569</v>
      </c>
      <c r="M117" s="226" t="n">
        <v>40674</v>
      </c>
      <c r="N117" s="227" t="n">
        <v>0</v>
      </c>
      <c r="O117" s="227" t="s">
        <v>135</v>
      </c>
      <c r="P117" s="228" t="n">
        <f aca="false">VLOOKUP(B117,'NIVEL ENERO'!A:D,3,0)</f>
        <v>0.426270976979656</v>
      </c>
      <c r="Q117" s="229" t="n">
        <f aca="false">VLOOKUP(B117,'NIVEL ENERO'!A:D,4,0)</f>
        <v>-24526</v>
      </c>
      <c r="R117" s="186" t="str">
        <f aca="false">+PROPER(C117&amp;" "&amp;D117)</f>
        <v>Penna Oidor Maria Isabel</v>
      </c>
      <c r="S117" s="230" t="n">
        <f aca="false">+YEARFRAC(L117,$S$1)</f>
        <v>18.0305555555556</v>
      </c>
      <c r="T117" s="230" t="n">
        <f aca="false">+YEARFRAC(M117,$S$1)</f>
        <v>15.0027777777778</v>
      </c>
      <c r="U117" s="231" t="n">
        <f aca="false">+$I117</f>
        <v>1366269</v>
      </c>
      <c r="V117" s="232" t="str">
        <f aca="false">+PROPER(F117)</f>
        <v>Casado(A)</v>
      </c>
    </row>
    <row r="118" customFormat="false" ht="14.25" hidden="false" customHeight="false" outlineLevel="0" collapsed="false">
      <c r="B118" s="197" t="n">
        <v>25601528</v>
      </c>
      <c r="C118" s="197" t="s">
        <v>1164</v>
      </c>
      <c r="D118" s="197" t="s">
        <v>1165</v>
      </c>
      <c r="E118" s="198" t="s">
        <v>944</v>
      </c>
      <c r="F118" s="198" t="s">
        <v>953</v>
      </c>
      <c r="G118" s="225" t="n">
        <v>2893800</v>
      </c>
      <c r="H118" s="225" t="n">
        <v>1557164</v>
      </c>
      <c r="I118" s="225"/>
      <c r="J118" s="198" t="n">
        <v>53</v>
      </c>
      <c r="K118" s="198" t="n">
        <v>1</v>
      </c>
      <c r="L118" s="226" t="n">
        <v>44848</v>
      </c>
      <c r="M118" s="226" t="n">
        <v>44105</v>
      </c>
      <c r="N118" s="227" t="n">
        <v>0</v>
      </c>
      <c r="O118" s="227" t="s">
        <v>135</v>
      </c>
      <c r="P118" s="228" t="n">
        <f aca="false">VLOOKUP(B118,'NIVEL ENERO'!A:D,3,0)</f>
        <v>0.454377211516432</v>
      </c>
      <c r="Q118" s="229" t="n">
        <f aca="false">VLOOKUP(B118,'NIVEL ENERO'!A:D,4,0)</f>
        <v>-115752</v>
      </c>
      <c r="R118" s="186" t="str">
        <f aca="false">+PROPER(C118&amp;" "&amp;D118)</f>
        <v>Rodriguez Mosquera Manly</v>
      </c>
      <c r="S118" s="230" t="n">
        <f aca="false">+YEARFRAC(L118,$S$1)</f>
        <v>3.57777777777778</v>
      </c>
      <c r="T118" s="230" t="n">
        <f aca="false">+YEARFRAC(M118,$S$1)</f>
        <v>5.61388888888889</v>
      </c>
      <c r="U118" s="231" t="n">
        <f aca="false">+$I118</f>
        <v>0</v>
      </c>
      <c r="V118" s="232" t="str">
        <f aca="false">+PROPER(F118)</f>
        <v>Soltero(A)</v>
      </c>
    </row>
    <row r="119" customFormat="false" ht="14.25" hidden="false" customHeight="false" outlineLevel="0" collapsed="false">
      <c r="B119" s="197" t="n">
        <v>25733400</v>
      </c>
      <c r="C119" s="197" t="s">
        <v>1166</v>
      </c>
      <c r="D119" s="197" t="s">
        <v>1167</v>
      </c>
      <c r="E119" s="198" t="s">
        <v>944</v>
      </c>
      <c r="F119" s="198" t="s">
        <v>953</v>
      </c>
      <c r="G119" s="225" t="n">
        <v>2893800</v>
      </c>
      <c r="H119" s="225" t="n">
        <v>3542522</v>
      </c>
      <c r="I119" s="225" t="n">
        <v>1440591</v>
      </c>
      <c r="J119" s="198" t="n">
        <v>46</v>
      </c>
      <c r="K119" s="198" t="n">
        <v>1</v>
      </c>
      <c r="L119" s="226" t="n">
        <v>43395</v>
      </c>
      <c r="M119" s="226" t="n">
        <v>41654</v>
      </c>
      <c r="N119" s="227" t="n">
        <v>2</v>
      </c>
      <c r="O119" s="227" t="s">
        <v>135</v>
      </c>
      <c r="P119" s="228" t="n">
        <f aca="false">VLOOKUP(B119,'NIVEL ENERO'!A:D,3,0)</f>
        <v>0.370151247161227</v>
      </c>
      <c r="Q119" s="229" t="n">
        <f aca="false">VLOOKUP(B119,'NIVEL ENERO'!A:D,4,0)</f>
        <v>185521.04</v>
      </c>
      <c r="R119" s="186" t="str">
        <f aca="false">+PROPER(C119&amp;" "&amp;D119)</f>
        <v>Ciclos Largo Leyda</v>
      </c>
      <c r="S119" s="230" t="n">
        <f aca="false">+YEARFRAC(L119,$S$1)</f>
        <v>7.55555555555556</v>
      </c>
      <c r="T119" s="230" t="n">
        <f aca="false">+YEARFRAC(M119,$S$1)</f>
        <v>12.325</v>
      </c>
      <c r="U119" s="231" t="n">
        <f aca="false">+$I119</f>
        <v>1440591</v>
      </c>
      <c r="V119" s="232" t="str">
        <f aca="false">+PROPER(F119)</f>
        <v>Soltero(A)</v>
      </c>
    </row>
    <row r="120" customFormat="false" ht="14.25" hidden="false" customHeight="false" outlineLevel="0" collapsed="false">
      <c r="B120" s="197" t="n">
        <v>26366473</v>
      </c>
      <c r="C120" s="197" t="s">
        <v>1168</v>
      </c>
      <c r="D120" s="197" t="s">
        <v>1169</v>
      </c>
      <c r="E120" s="198" t="s">
        <v>944</v>
      </c>
      <c r="F120" s="198" t="s">
        <v>953</v>
      </c>
      <c r="G120" s="225" t="n">
        <v>2800000</v>
      </c>
      <c r="H120" s="225" t="n">
        <v>16892842</v>
      </c>
      <c r="I120" s="225" t="n">
        <v>16857937</v>
      </c>
      <c r="J120" s="198" t="n">
        <v>60</v>
      </c>
      <c r="K120" s="198" t="n">
        <v>2</v>
      </c>
      <c r="L120" s="226" t="n">
        <v>39342</v>
      </c>
      <c r="M120" s="226" t="n">
        <v>32568</v>
      </c>
      <c r="N120" s="227" t="n">
        <v>3</v>
      </c>
      <c r="O120" s="227" t="s">
        <v>445</v>
      </c>
      <c r="P120" s="228" t="e">
        <f aca="false">VLOOKUP(B120,'NIVEL ENERO'!A:D,3,0)</f>
        <v>#N/A</v>
      </c>
      <c r="Q120" s="229" t="e">
        <f aca="false">VLOOKUP(B120,'NIVEL ENERO'!A:D,4,0)</f>
        <v>#N/A</v>
      </c>
      <c r="R120" s="186" t="str">
        <f aca="false">+PROPER(C120&amp;" "&amp;D120)</f>
        <v>Lopez Martinez Jazmin Luisa</v>
      </c>
      <c r="S120" s="230" t="n">
        <f aca="false">+YEARFRAC(L120,$S$1)</f>
        <v>18.6527777777778</v>
      </c>
      <c r="T120" s="230" t="n">
        <f aca="false">+YEARFRAC(M120,$S$1)</f>
        <v>37.1972222222222</v>
      </c>
      <c r="U120" s="231" t="n">
        <f aca="false">+$I120</f>
        <v>16857937</v>
      </c>
      <c r="V120" s="232" t="str">
        <f aca="false">+PROPER(F120)</f>
        <v>Soltero(A)</v>
      </c>
    </row>
    <row r="121" customFormat="false" ht="14.25" hidden="false" customHeight="false" outlineLevel="0" collapsed="false">
      <c r="B121" s="197" t="n">
        <v>27456572</v>
      </c>
      <c r="C121" s="197" t="s">
        <v>1170</v>
      </c>
      <c r="D121" s="197" t="s">
        <v>1135</v>
      </c>
      <c r="E121" s="198" t="s">
        <v>944</v>
      </c>
      <c r="F121" s="198" t="s">
        <v>953</v>
      </c>
      <c r="G121" s="225" t="n">
        <v>2600900</v>
      </c>
      <c r="H121" s="225" t="n">
        <v>5722487</v>
      </c>
      <c r="I121" s="225" t="n">
        <v>0</v>
      </c>
      <c r="J121" s="198" t="n">
        <v>40</v>
      </c>
      <c r="K121" s="198" t="n">
        <v>2</v>
      </c>
      <c r="L121" s="226" t="n">
        <v>42930</v>
      </c>
      <c r="M121" s="226" t="n">
        <v>41774</v>
      </c>
      <c r="N121" s="227" t="n">
        <v>3</v>
      </c>
      <c r="O121" s="227" t="s">
        <v>135</v>
      </c>
      <c r="P121" s="228" t="n">
        <f aca="false">VLOOKUP(B121,'NIVEL ENERO'!A:D,3,0)</f>
        <v>0.152367641970087</v>
      </c>
      <c r="Q121" s="229" t="n">
        <f aca="false">VLOOKUP(B121,'NIVEL ENERO'!A:D,4,0)</f>
        <v>696085</v>
      </c>
      <c r="R121" s="186" t="str">
        <f aca="false">+PROPER(C121&amp;" "&amp;D121)</f>
        <v>Quenoran Polindara Sandra Milena</v>
      </c>
      <c r="S121" s="230" t="n">
        <f aca="false">+YEARFRAC(L121,$S$1)</f>
        <v>8.82777777777778</v>
      </c>
      <c r="T121" s="230" t="n">
        <f aca="false">+YEARFRAC(M121,$S$1)</f>
        <v>11.9916666666667</v>
      </c>
      <c r="U121" s="231" t="n">
        <f aca="false">+$I121</f>
        <v>0</v>
      </c>
      <c r="V121" s="232" t="str">
        <f aca="false">+PROPER(F121)</f>
        <v>Soltero(A)</v>
      </c>
    </row>
    <row r="122" customFormat="false" ht="14.25" hidden="false" customHeight="false" outlineLevel="0" collapsed="false">
      <c r="B122" s="197" t="n">
        <v>28540251</v>
      </c>
      <c r="C122" s="197" t="s">
        <v>1171</v>
      </c>
      <c r="D122" s="197" t="s">
        <v>1172</v>
      </c>
      <c r="E122" s="198" t="s">
        <v>944</v>
      </c>
      <c r="F122" s="198" t="s">
        <v>948</v>
      </c>
      <c r="G122" s="225" t="n">
        <v>10000000</v>
      </c>
      <c r="H122" s="225" t="n">
        <v>700000</v>
      </c>
      <c r="I122" s="225"/>
      <c r="J122" s="198" t="n">
        <v>41</v>
      </c>
      <c r="K122" s="198" t="n">
        <v>2</v>
      </c>
      <c r="L122" s="226" t="n">
        <v>45352</v>
      </c>
      <c r="M122" s="226" t="n">
        <v>45000</v>
      </c>
      <c r="N122" s="227" t="n">
        <v>0</v>
      </c>
      <c r="O122" s="227" t="s">
        <v>158</v>
      </c>
      <c r="P122" s="228" t="e">
        <f aca="false">VLOOKUP(B122,'NIVEL ENERO'!A:D,3,0)</f>
        <v>#N/A</v>
      </c>
      <c r="Q122" s="229" t="e">
        <f aca="false">VLOOKUP(B122,'NIVEL ENERO'!A:D,4,0)</f>
        <v>#N/A</v>
      </c>
      <c r="R122" s="186" t="str">
        <f aca="false">+PROPER(C122&amp;" "&amp;D122)</f>
        <v>Navas Jimenez Clara Lucia</v>
      </c>
      <c r="S122" s="230" t="n">
        <f aca="false">+YEARFRAC(L122,$S$1)</f>
        <v>2.19722222222222</v>
      </c>
      <c r="T122" s="230" t="n">
        <f aca="false">+YEARFRAC(M122,$S$1)</f>
        <v>3.15833333333333</v>
      </c>
      <c r="U122" s="231" t="n">
        <f aca="false">+$I122</f>
        <v>0</v>
      </c>
      <c r="V122" s="232" t="str">
        <f aca="false">+PROPER(F122)</f>
        <v>Casado(A)</v>
      </c>
    </row>
    <row r="123" customFormat="false" ht="14.25" hidden="false" customHeight="false" outlineLevel="0" collapsed="false">
      <c r="B123" s="197" t="n">
        <v>29105840</v>
      </c>
      <c r="C123" s="197" t="s">
        <v>1173</v>
      </c>
      <c r="D123" s="197" t="s">
        <v>1174</v>
      </c>
      <c r="E123" s="198" t="s">
        <v>944</v>
      </c>
      <c r="F123" s="198" t="s">
        <v>998</v>
      </c>
      <c r="G123" s="225" t="n">
        <v>2600900</v>
      </c>
      <c r="H123" s="225" t="n">
        <v>2567313</v>
      </c>
      <c r="I123" s="225" t="n">
        <v>5090394</v>
      </c>
      <c r="J123" s="198" t="n">
        <v>46</v>
      </c>
      <c r="K123" s="198" t="n">
        <v>2</v>
      </c>
      <c r="L123" s="226" t="n">
        <v>44246</v>
      </c>
      <c r="M123" s="226" t="n">
        <v>44105</v>
      </c>
      <c r="N123" s="227" t="n">
        <v>3</v>
      </c>
      <c r="O123" s="227" t="s">
        <v>135</v>
      </c>
      <c r="P123" s="228" t="n">
        <f aca="false">VLOOKUP(B123,'NIVEL ENERO'!A:D,3,0)</f>
        <v>0.197811974287602</v>
      </c>
      <c r="Q123" s="229" t="n">
        <f aca="false">VLOOKUP(B123,'NIVEL ENERO'!A:D,4,0)</f>
        <v>613623.04</v>
      </c>
      <c r="R123" s="186" t="str">
        <f aca="false">+PROPER(C123&amp;" "&amp;D123)</f>
        <v>Almanza Garcia Arelix</v>
      </c>
      <c r="S123" s="230" t="n">
        <f aca="false">+YEARFRAC(L123,$S$1)</f>
        <v>5.23055555555556</v>
      </c>
      <c r="T123" s="230" t="n">
        <f aca="false">+YEARFRAC(M123,$S$1)</f>
        <v>5.61388888888889</v>
      </c>
      <c r="U123" s="231" t="n">
        <f aca="false">+$I123</f>
        <v>5090394</v>
      </c>
      <c r="V123" s="232" t="str">
        <f aca="false">+PROPER(F123)</f>
        <v>Separado(A)</v>
      </c>
    </row>
    <row r="124" customFormat="false" ht="14.25" hidden="false" customHeight="false" outlineLevel="0" collapsed="false">
      <c r="B124" s="197" t="n">
        <v>29106583</v>
      </c>
      <c r="C124" s="197" t="s">
        <v>1175</v>
      </c>
      <c r="D124" s="197" t="s">
        <v>1176</v>
      </c>
      <c r="E124" s="198" t="s">
        <v>944</v>
      </c>
      <c r="F124" s="198" t="s">
        <v>945</v>
      </c>
      <c r="G124" s="225" t="n">
        <v>1991000</v>
      </c>
      <c r="H124" s="225" t="n">
        <v>2682369</v>
      </c>
      <c r="I124" s="225" t="n">
        <v>0</v>
      </c>
      <c r="J124" s="198" t="n">
        <v>46</v>
      </c>
      <c r="K124" s="198" t="n">
        <v>1</v>
      </c>
      <c r="L124" s="226" t="n">
        <v>44063</v>
      </c>
      <c r="M124" s="226" t="n">
        <v>42940</v>
      </c>
      <c r="N124" s="227" t="n">
        <v>4</v>
      </c>
      <c r="O124" s="227" t="s">
        <v>135</v>
      </c>
      <c r="P124" s="228" t="n">
        <f aca="false">VLOOKUP(B124,'NIVEL ENERO'!A:D,3,0)</f>
        <v>0.134433450527373</v>
      </c>
      <c r="Q124" s="229" t="n">
        <f aca="false">VLOOKUP(B124,'NIVEL ENERO'!A:D,4,0)</f>
        <v>568563</v>
      </c>
      <c r="R124" s="186" t="str">
        <f aca="false">+PROPER(C124&amp;" "&amp;D124)</f>
        <v>Landazuri Arias Elizabeth</v>
      </c>
      <c r="S124" s="230" t="n">
        <f aca="false">+YEARFRAC(L124,$S$1)</f>
        <v>5.72777777777778</v>
      </c>
      <c r="T124" s="230" t="n">
        <f aca="false">+YEARFRAC(M124,$S$1)</f>
        <v>8.8</v>
      </c>
      <c r="U124" s="231" t="n">
        <f aca="false">+$I124</f>
        <v>0</v>
      </c>
      <c r="V124" s="232" t="str">
        <f aca="false">+PROPER(F124)</f>
        <v>Union Libre</v>
      </c>
    </row>
    <row r="125" customFormat="false" ht="14.25" hidden="false" customHeight="false" outlineLevel="0" collapsed="false">
      <c r="B125" s="197" t="n">
        <v>29106642</v>
      </c>
      <c r="C125" s="197" t="s">
        <v>1177</v>
      </c>
      <c r="D125" s="197" t="s">
        <v>1178</v>
      </c>
      <c r="E125" s="198" t="s">
        <v>944</v>
      </c>
      <c r="F125" s="198" t="s">
        <v>948</v>
      </c>
      <c r="G125" s="225" t="n">
        <v>4383200</v>
      </c>
      <c r="H125" s="225" t="n">
        <v>2099109</v>
      </c>
      <c r="I125" s="225" t="n">
        <v>3702445</v>
      </c>
      <c r="J125" s="198" t="n">
        <v>46</v>
      </c>
      <c r="K125" s="198" t="n">
        <v>1</v>
      </c>
      <c r="L125" s="226" t="n">
        <v>44490</v>
      </c>
      <c r="M125" s="226" t="n">
        <v>44105</v>
      </c>
      <c r="N125" s="227" t="n">
        <v>4</v>
      </c>
      <c r="O125" s="227" t="s">
        <v>135</v>
      </c>
      <c r="P125" s="228" t="n">
        <f aca="false">VLOOKUP(B125,'NIVEL ENERO'!A:D,3,0)</f>
        <v>0.486903184580403</v>
      </c>
      <c r="Q125" s="229" t="n">
        <f aca="false">VLOOKUP(B125,'NIVEL ENERO'!A:D,4,0)</f>
        <v>-363410.94</v>
      </c>
      <c r="R125" s="186" t="str">
        <f aca="false">+PROPER(C125&amp;" "&amp;D125)</f>
        <v>Torres Castaneda Claudia  Milena</v>
      </c>
      <c r="S125" s="230" t="n">
        <f aca="false">+YEARFRAC(L125,$S$1)</f>
        <v>4.55833333333333</v>
      </c>
      <c r="T125" s="230" t="n">
        <f aca="false">+YEARFRAC(M125,$S$1)</f>
        <v>5.61388888888889</v>
      </c>
      <c r="U125" s="231" t="n">
        <f aca="false">+$I125</f>
        <v>3702445</v>
      </c>
      <c r="V125" s="232" t="str">
        <f aca="false">+PROPER(F125)</f>
        <v>Casado(A)</v>
      </c>
    </row>
    <row r="126" customFormat="false" ht="14.25" hidden="false" customHeight="false" outlineLevel="0" collapsed="false">
      <c r="B126" s="197" t="n">
        <v>29106695</v>
      </c>
      <c r="C126" s="197" t="s">
        <v>1179</v>
      </c>
      <c r="D126" s="197" t="s">
        <v>1180</v>
      </c>
      <c r="E126" s="198" t="s">
        <v>944</v>
      </c>
      <c r="F126" s="198" t="s">
        <v>945</v>
      </c>
      <c r="G126" s="225" t="n">
        <v>2600900</v>
      </c>
      <c r="H126" s="225" t="n">
        <v>5557249</v>
      </c>
      <c r="I126" s="225" t="n">
        <v>6632245</v>
      </c>
      <c r="J126" s="198" t="n">
        <v>46</v>
      </c>
      <c r="K126" s="198" t="n">
        <v>2</v>
      </c>
      <c r="L126" s="226" t="n">
        <v>43269</v>
      </c>
      <c r="M126" s="226" t="n">
        <v>42962</v>
      </c>
      <c r="N126" s="227" t="n">
        <v>3</v>
      </c>
      <c r="O126" s="227" t="s">
        <v>135</v>
      </c>
      <c r="P126" s="228" t="n">
        <f aca="false">VLOOKUP(B126,'NIVEL ENERO'!A:D,3,0)</f>
        <v>0.395888346341651</v>
      </c>
      <c r="Q126" s="229" t="n">
        <f aca="false">VLOOKUP(B126,'NIVEL ENERO'!A:D,4,0)</f>
        <v>62712</v>
      </c>
      <c r="R126" s="186" t="str">
        <f aca="false">+PROPER(C126&amp;" "&amp;D126)</f>
        <v>Lerma Sanchez Narly</v>
      </c>
      <c r="S126" s="230" t="n">
        <f aca="false">+YEARFRAC(L126,$S$1)</f>
        <v>7.9</v>
      </c>
      <c r="T126" s="230" t="n">
        <f aca="false">+YEARFRAC(M126,$S$1)</f>
        <v>8.74166666666667</v>
      </c>
      <c r="U126" s="231" t="n">
        <f aca="false">+$I126</f>
        <v>6632245</v>
      </c>
      <c r="V126" s="232" t="str">
        <f aca="false">+PROPER(F126)</f>
        <v>Union Libre</v>
      </c>
    </row>
    <row r="127" customFormat="false" ht="14.25" hidden="false" customHeight="false" outlineLevel="0" collapsed="false">
      <c r="B127" s="197" t="n">
        <v>29107314</v>
      </c>
      <c r="C127" s="197" t="s">
        <v>1181</v>
      </c>
      <c r="D127" s="197" t="s">
        <v>1182</v>
      </c>
      <c r="E127" s="198" t="s">
        <v>944</v>
      </c>
      <c r="F127" s="198" t="s">
        <v>945</v>
      </c>
      <c r="G127" s="225" t="n">
        <v>2600900</v>
      </c>
      <c r="H127" s="225" t="n">
        <v>3313955</v>
      </c>
      <c r="I127" s="225" t="n">
        <v>3020698</v>
      </c>
      <c r="J127" s="198" t="n">
        <v>46</v>
      </c>
      <c r="K127" s="198" t="n">
        <v>4</v>
      </c>
      <c r="L127" s="226" t="n">
        <v>44552</v>
      </c>
      <c r="M127" s="226" t="n">
        <v>44105</v>
      </c>
      <c r="N127" s="227" t="n">
        <v>1</v>
      </c>
      <c r="O127" s="227" t="s">
        <v>135</v>
      </c>
      <c r="P127" s="228" t="n">
        <f aca="false">VLOOKUP(B127,'NIVEL ENERO'!A:D,3,0)</f>
        <v>0.147678761888433</v>
      </c>
      <c r="Q127" s="229" t="n">
        <f aca="false">VLOOKUP(B127,'NIVEL ENERO'!A:D,4,0)</f>
        <v>923843.9</v>
      </c>
      <c r="R127" s="186" t="str">
        <f aca="false">+PROPER(C127&amp;" "&amp;D127)</f>
        <v>Caicedo Caicedo Zulay Cristina</v>
      </c>
      <c r="S127" s="230" t="n">
        <f aca="false">+YEARFRAC(L127,$S$1)</f>
        <v>4.38888888888889</v>
      </c>
      <c r="T127" s="230" t="n">
        <f aca="false">+YEARFRAC(M127,$S$1)</f>
        <v>5.61388888888889</v>
      </c>
      <c r="U127" s="231" t="n">
        <f aca="false">+$I127</f>
        <v>3020698</v>
      </c>
      <c r="V127" s="232" t="str">
        <f aca="false">+PROPER(F127)</f>
        <v>Union Libre</v>
      </c>
    </row>
    <row r="128" customFormat="false" ht="14.25" hidden="false" customHeight="false" outlineLevel="0" collapsed="false">
      <c r="B128" s="197" t="n">
        <v>29109508</v>
      </c>
      <c r="C128" s="197" t="s">
        <v>1183</v>
      </c>
      <c r="D128" s="197" t="s">
        <v>1184</v>
      </c>
      <c r="E128" s="198" t="s">
        <v>944</v>
      </c>
      <c r="F128" s="198" t="s">
        <v>948</v>
      </c>
      <c r="G128" s="225" t="n">
        <v>2893800</v>
      </c>
      <c r="H128" s="225" t="n">
        <v>1809701</v>
      </c>
      <c r="I128" s="225" t="n">
        <v>0</v>
      </c>
      <c r="J128" s="198" t="n">
        <v>46</v>
      </c>
      <c r="K128" s="198" t="n">
        <v>1</v>
      </c>
      <c r="L128" s="226" t="n">
        <v>44704</v>
      </c>
      <c r="M128" s="226" t="n">
        <v>35628</v>
      </c>
      <c r="N128" s="227" t="n">
        <v>1</v>
      </c>
      <c r="O128" s="227" t="s">
        <v>135</v>
      </c>
      <c r="P128" s="228" t="n">
        <f aca="false">VLOOKUP(B128,'NIVEL ENERO'!A:D,3,0)</f>
        <v>0.403191440780123</v>
      </c>
      <c r="Q128" s="229" t="n">
        <f aca="false">VLOOKUP(B128,'NIVEL ENERO'!A:D,4,0)</f>
        <v>59382.04</v>
      </c>
      <c r="R128" s="186" t="str">
        <f aca="false">+PROPER(C128&amp;" "&amp;D128)</f>
        <v>Serna Caucayo Paola Andrea</v>
      </c>
      <c r="S128" s="230" t="n">
        <f aca="false">+YEARFRAC(L128,$S$1)</f>
        <v>3.96944444444444</v>
      </c>
      <c r="T128" s="230" t="n">
        <f aca="false">+YEARFRAC(M128,$S$1)</f>
        <v>28.8194444444444</v>
      </c>
      <c r="U128" s="231" t="n">
        <f aca="false">+$I128</f>
        <v>0</v>
      </c>
      <c r="V128" s="232" t="str">
        <f aca="false">+PROPER(F128)</f>
        <v>Casado(A)</v>
      </c>
    </row>
    <row r="129" customFormat="false" ht="14.25" hidden="false" customHeight="false" outlineLevel="0" collapsed="false">
      <c r="B129" s="197" t="n">
        <v>29110131</v>
      </c>
      <c r="C129" s="197" t="s">
        <v>1185</v>
      </c>
      <c r="D129" s="197" t="s">
        <v>1186</v>
      </c>
      <c r="E129" s="198" t="s">
        <v>944</v>
      </c>
      <c r="F129" s="198" t="s">
        <v>948</v>
      </c>
      <c r="G129" s="225" t="n">
        <v>5291000</v>
      </c>
      <c r="H129" s="225" t="n">
        <v>2249657</v>
      </c>
      <c r="I129" s="225" t="n">
        <v>3799825</v>
      </c>
      <c r="J129" s="198" t="n">
        <v>46</v>
      </c>
      <c r="K129" s="198" t="n">
        <v>1</v>
      </c>
      <c r="L129" s="226" t="n">
        <v>44635</v>
      </c>
      <c r="M129" s="226" t="n">
        <v>39852</v>
      </c>
      <c r="N129" s="227" t="n">
        <v>3</v>
      </c>
      <c r="O129" s="227" t="s">
        <v>135</v>
      </c>
      <c r="P129" s="228" t="n">
        <f aca="false">VLOOKUP(B129,'NIVEL ENERO'!A:D,3,0)</f>
        <v>0.219753543753544</v>
      </c>
      <c r="Q129" s="229" t="n">
        <f aca="false">VLOOKUP(B129,'NIVEL ENERO'!A:D,4,0)</f>
        <v>1059504</v>
      </c>
      <c r="R129" s="186" t="str">
        <f aca="false">+PROPER(C129&amp;" "&amp;D129)</f>
        <v>Doza Martinez Liliana</v>
      </c>
      <c r="S129" s="230" t="n">
        <f aca="false">+YEARFRAC(L129,$S$1)</f>
        <v>4.15833333333333</v>
      </c>
      <c r="T129" s="230" t="n">
        <f aca="false">+YEARFRAC(M129,$S$1)</f>
        <v>17.2611111111111</v>
      </c>
      <c r="U129" s="231" t="n">
        <f aca="false">+$I129</f>
        <v>3799825</v>
      </c>
      <c r="V129" s="232" t="str">
        <f aca="false">+PROPER(F129)</f>
        <v>Casado(A)</v>
      </c>
    </row>
    <row r="130" customFormat="false" ht="14.25" hidden="false" customHeight="false" outlineLevel="0" collapsed="false">
      <c r="B130" s="197" t="n">
        <v>29111206</v>
      </c>
      <c r="C130" s="197" t="s">
        <v>1187</v>
      </c>
      <c r="D130" s="197" t="s">
        <v>1188</v>
      </c>
      <c r="E130" s="198" t="s">
        <v>944</v>
      </c>
      <c r="F130" s="198" t="s">
        <v>948</v>
      </c>
      <c r="G130" s="225" t="n">
        <v>2893800</v>
      </c>
      <c r="H130" s="225" t="n">
        <v>1238403</v>
      </c>
      <c r="I130" s="225" t="n">
        <v>1550495</v>
      </c>
      <c r="J130" s="198" t="n">
        <v>45</v>
      </c>
      <c r="K130" s="198" t="n">
        <v>1</v>
      </c>
      <c r="L130" s="226" t="n">
        <v>45064</v>
      </c>
      <c r="M130" s="226" t="n">
        <v>36566</v>
      </c>
      <c r="N130" s="227" t="n">
        <v>3</v>
      </c>
      <c r="O130" s="227" t="s">
        <v>135</v>
      </c>
      <c r="P130" s="228" t="n">
        <f aca="false">VLOOKUP(B130,'NIVEL ENERO'!A:D,3,0)</f>
        <v>0.437202476868264</v>
      </c>
      <c r="Q130" s="229" t="n">
        <f aca="false">VLOOKUP(B130,'NIVEL ENERO'!A:D,4,0)</f>
        <v>-51598.6000000001</v>
      </c>
      <c r="R130" s="186" t="str">
        <f aca="false">+PROPER(C130&amp;" "&amp;D130)</f>
        <v>Elejalde Pena Rosa Elena</v>
      </c>
      <c r="S130" s="230" t="n">
        <f aca="false">+YEARFRAC(L130,$S$1)</f>
        <v>2.98333333333333</v>
      </c>
      <c r="T130" s="230" t="n">
        <f aca="false">+YEARFRAC(M130,$S$1)</f>
        <v>26.2555555555556</v>
      </c>
      <c r="U130" s="231" t="n">
        <f aca="false">+$I130</f>
        <v>1550495</v>
      </c>
      <c r="V130" s="232" t="str">
        <f aca="false">+PROPER(F130)</f>
        <v>Casado(A)</v>
      </c>
    </row>
    <row r="131" customFormat="false" ht="14.25" hidden="false" customHeight="false" outlineLevel="0" collapsed="false">
      <c r="B131" s="197" t="n">
        <v>29111443</v>
      </c>
      <c r="C131" s="197" t="s">
        <v>1189</v>
      </c>
      <c r="D131" s="197" t="s">
        <v>1190</v>
      </c>
      <c r="E131" s="198" t="s">
        <v>944</v>
      </c>
      <c r="F131" s="198" t="s">
        <v>953</v>
      </c>
      <c r="G131" s="225" t="n">
        <v>2600900</v>
      </c>
      <c r="H131" s="225" t="n">
        <v>2249657</v>
      </c>
      <c r="I131" s="225" t="n">
        <v>843095</v>
      </c>
      <c r="J131" s="198" t="n">
        <v>46</v>
      </c>
      <c r="K131" s="198" t="n">
        <v>1</v>
      </c>
      <c r="L131" s="226" t="n">
        <v>44694</v>
      </c>
      <c r="M131" s="226" t="n">
        <v>44105</v>
      </c>
      <c r="N131" s="227" t="n">
        <v>1</v>
      </c>
      <c r="O131" s="227" t="s">
        <v>135</v>
      </c>
      <c r="P131" s="228" t="n">
        <f aca="false">VLOOKUP(B131,'NIVEL ENERO'!A:D,3,0)</f>
        <v>0.286611923149658</v>
      </c>
      <c r="Q131" s="229" t="n">
        <f aca="false">VLOOKUP(B131,'NIVEL ENERO'!A:D,4,0)</f>
        <v>335741.88</v>
      </c>
      <c r="R131" s="186" t="str">
        <f aca="false">+PROPER(C131&amp;" "&amp;D131)</f>
        <v>Jimenez Nunez Sandra Viviana</v>
      </c>
      <c r="S131" s="230" t="n">
        <f aca="false">+YEARFRAC(L131,$S$1)</f>
        <v>3.99722222222222</v>
      </c>
      <c r="T131" s="230" t="n">
        <f aca="false">+YEARFRAC(M131,$S$1)</f>
        <v>5.61388888888889</v>
      </c>
      <c r="U131" s="231" t="n">
        <f aca="false">+$I131</f>
        <v>843095</v>
      </c>
      <c r="V131" s="232" t="str">
        <f aca="false">+PROPER(F131)</f>
        <v>Soltero(A)</v>
      </c>
    </row>
    <row r="132" customFormat="false" ht="14.25" hidden="false" customHeight="false" outlineLevel="0" collapsed="false">
      <c r="B132" s="197" t="n">
        <v>29113301</v>
      </c>
      <c r="C132" s="197" t="s">
        <v>1191</v>
      </c>
      <c r="D132" s="197" t="s">
        <v>1192</v>
      </c>
      <c r="E132" s="198" t="s">
        <v>944</v>
      </c>
      <c r="F132" s="198" t="s">
        <v>953</v>
      </c>
      <c r="G132" s="225" t="n">
        <v>2600900</v>
      </c>
      <c r="H132" s="225" t="n">
        <v>1506656</v>
      </c>
      <c r="I132" s="225" t="n">
        <v>2577689</v>
      </c>
      <c r="J132" s="198" t="n">
        <v>45</v>
      </c>
      <c r="K132" s="198" t="n">
        <v>2</v>
      </c>
      <c r="L132" s="226" t="n">
        <v>44908</v>
      </c>
      <c r="M132" s="226" t="n">
        <v>42139</v>
      </c>
      <c r="N132" s="227" t="n">
        <v>0</v>
      </c>
      <c r="O132" s="227" t="s">
        <v>135</v>
      </c>
      <c r="P132" s="228" t="n">
        <f aca="false">VLOOKUP(B132,'NIVEL ENERO'!A:D,3,0)</f>
        <v>0.390682115289767</v>
      </c>
      <c r="Q132" s="229" t="n">
        <f aca="false">VLOOKUP(B132,'NIVEL ENERO'!A:D,4,0)</f>
        <v>108859.28</v>
      </c>
      <c r="R132" s="186" t="str">
        <f aca="false">+PROPER(C132&amp;" "&amp;D132)</f>
        <v>Molina Georgina</v>
      </c>
      <c r="S132" s="230" t="n">
        <f aca="false">+YEARFRAC(L132,$S$1)</f>
        <v>3.41388888888889</v>
      </c>
      <c r="T132" s="230" t="n">
        <f aca="false">+YEARFRAC(M132,$S$1)</f>
        <v>10.9916666666667</v>
      </c>
      <c r="U132" s="231" t="n">
        <f aca="false">+$I132</f>
        <v>2577689</v>
      </c>
      <c r="V132" s="232" t="str">
        <f aca="false">+PROPER(F132)</f>
        <v>Soltero(A)</v>
      </c>
    </row>
    <row r="133" customFormat="false" ht="14.25" hidden="false" customHeight="false" outlineLevel="0" collapsed="false">
      <c r="B133" s="197" t="n">
        <v>29115289</v>
      </c>
      <c r="C133" s="197" t="s">
        <v>1193</v>
      </c>
      <c r="D133" s="197" t="s">
        <v>1194</v>
      </c>
      <c r="E133" s="198" t="s">
        <v>944</v>
      </c>
      <c r="F133" s="198" t="s">
        <v>945</v>
      </c>
      <c r="G133" s="225" t="n">
        <v>2893800</v>
      </c>
      <c r="H133" s="225" t="n">
        <v>9274563</v>
      </c>
      <c r="I133" s="225" t="n">
        <v>0</v>
      </c>
      <c r="J133" s="198" t="n">
        <v>45</v>
      </c>
      <c r="K133" s="198" t="n">
        <v>1</v>
      </c>
      <c r="L133" s="226" t="n">
        <v>42626</v>
      </c>
      <c r="M133" s="226" t="n">
        <v>39007</v>
      </c>
      <c r="N133" s="227" t="n">
        <v>5</v>
      </c>
      <c r="O133" s="227" t="s">
        <v>135</v>
      </c>
      <c r="P133" s="228" t="n">
        <f aca="false">VLOOKUP(B133,'NIVEL ENERO'!A:D,3,0)</f>
        <v>0.128927977268645</v>
      </c>
      <c r="Q133" s="229" t="n">
        <f aca="false">VLOOKUP(B133,'NIVEL ENERO'!A:D,4,0)</f>
        <v>1734496.34</v>
      </c>
      <c r="R133" s="186" t="str">
        <f aca="false">+PROPER(C133&amp;" "&amp;D133)</f>
        <v>Arango Villota Claudia</v>
      </c>
      <c r="S133" s="230" t="n">
        <f aca="false">+YEARFRAC(L133,$S$1)</f>
        <v>9.66388888888889</v>
      </c>
      <c r="T133" s="230" t="n">
        <f aca="false">+YEARFRAC(M133,$S$1)</f>
        <v>19.5694444444444</v>
      </c>
      <c r="U133" s="231" t="n">
        <f aca="false">+$I133</f>
        <v>0</v>
      </c>
      <c r="V133" s="232" t="str">
        <f aca="false">+PROPER(F133)</f>
        <v>Union Libre</v>
      </c>
    </row>
    <row r="134" customFormat="false" ht="14.25" hidden="false" customHeight="false" outlineLevel="0" collapsed="false">
      <c r="B134" s="197" t="n">
        <v>29116368</v>
      </c>
      <c r="C134" s="197" t="s">
        <v>1195</v>
      </c>
      <c r="D134" s="197" t="s">
        <v>1196</v>
      </c>
      <c r="E134" s="198" t="s">
        <v>944</v>
      </c>
      <c r="F134" s="198" t="s">
        <v>948</v>
      </c>
      <c r="G134" s="225" t="n">
        <v>2893800</v>
      </c>
      <c r="H134" s="225" t="n">
        <v>7023198</v>
      </c>
      <c r="I134" s="225" t="n">
        <v>9206981</v>
      </c>
      <c r="J134" s="198" t="n">
        <v>45</v>
      </c>
      <c r="K134" s="198" t="n">
        <v>4</v>
      </c>
      <c r="L134" s="226" t="n">
        <v>41403</v>
      </c>
      <c r="M134" s="226" t="n">
        <v>36982</v>
      </c>
      <c r="N134" s="227" t="n">
        <v>3</v>
      </c>
      <c r="O134" s="227" t="s">
        <v>135</v>
      </c>
      <c r="P134" s="228" t="n">
        <f aca="false">VLOOKUP(B134,'NIVEL ENERO'!A:D,3,0)</f>
        <v>0.411888520284747</v>
      </c>
      <c r="Q134" s="229" t="n">
        <f aca="false">VLOOKUP(B134,'NIVEL ENERO'!A:D,4,0)</f>
        <v>23473</v>
      </c>
      <c r="R134" s="186" t="str">
        <f aca="false">+PROPER(C134&amp;" "&amp;D134)</f>
        <v>Lasso Ramos Yein</v>
      </c>
      <c r="S134" s="230" t="n">
        <f aca="false">+YEARFRAC(L134,$S$1)</f>
        <v>13.0083333333333</v>
      </c>
      <c r="T134" s="230" t="n">
        <f aca="false">+YEARFRAC(M134,$S$1)</f>
        <v>25.1138888888889</v>
      </c>
      <c r="U134" s="231" t="n">
        <f aca="false">+$I134</f>
        <v>9206981</v>
      </c>
      <c r="V134" s="232" t="str">
        <f aca="false">+PROPER(F134)</f>
        <v>Casado(A)</v>
      </c>
    </row>
    <row r="135" customFormat="false" ht="14.25" hidden="false" customHeight="false" outlineLevel="0" collapsed="false">
      <c r="B135" s="197" t="n">
        <v>29117076</v>
      </c>
      <c r="C135" s="197" t="s">
        <v>1197</v>
      </c>
      <c r="D135" s="197" t="s">
        <v>1198</v>
      </c>
      <c r="E135" s="198" t="s">
        <v>944</v>
      </c>
      <c r="F135" s="198" t="s">
        <v>948</v>
      </c>
      <c r="G135" s="225" t="n">
        <v>13588800</v>
      </c>
      <c r="H135" s="225" t="n">
        <v>5744134</v>
      </c>
      <c r="I135" s="225" t="n">
        <v>6029442</v>
      </c>
      <c r="J135" s="198" t="n">
        <v>45</v>
      </c>
      <c r="K135" s="198" t="n">
        <v>3</v>
      </c>
      <c r="L135" s="226" t="n">
        <v>42930</v>
      </c>
      <c r="M135" s="226" t="n">
        <v>41061</v>
      </c>
      <c r="N135" s="227" t="n">
        <v>3</v>
      </c>
      <c r="O135" s="227" t="s">
        <v>135</v>
      </c>
      <c r="P135" s="228" t="n">
        <f aca="false">VLOOKUP(B135,'NIVEL ENERO'!A:D,3,0)</f>
        <v>0.269948339809255</v>
      </c>
      <c r="Q135" s="229" t="n">
        <f aca="false">VLOOKUP(B135,'NIVEL ENERO'!A:D,4,0)</f>
        <v>2039022</v>
      </c>
      <c r="R135" s="186" t="str">
        <f aca="false">+PROPER(C135&amp;" "&amp;D135)</f>
        <v>Cruz Colonia Jovanna</v>
      </c>
      <c r="S135" s="230" t="n">
        <f aca="false">+YEARFRAC(L135,$S$1)</f>
        <v>8.82777777777778</v>
      </c>
      <c r="T135" s="230" t="n">
        <f aca="false">+YEARFRAC(M135,$S$1)</f>
        <v>13.9472222222222</v>
      </c>
      <c r="U135" s="231" t="n">
        <f aca="false">+$I135</f>
        <v>6029442</v>
      </c>
      <c r="V135" s="232" t="str">
        <f aca="false">+PROPER(F135)</f>
        <v>Casado(A)</v>
      </c>
    </row>
    <row r="136" customFormat="false" ht="14.25" hidden="false" customHeight="false" outlineLevel="0" collapsed="false">
      <c r="B136" s="197" t="n">
        <v>29117851</v>
      </c>
      <c r="C136" s="197" t="s">
        <v>1199</v>
      </c>
      <c r="D136" s="197" t="s">
        <v>1200</v>
      </c>
      <c r="E136" s="198" t="s">
        <v>944</v>
      </c>
      <c r="F136" s="198" t="s">
        <v>948</v>
      </c>
      <c r="G136" s="225" t="n">
        <v>1918500</v>
      </c>
      <c r="H136" s="225" t="n">
        <v>2163254</v>
      </c>
      <c r="I136" s="225" t="n">
        <v>1792522</v>
      </c>
      <c r="J136" s="198" t="n">
        <v>45</v>
      </c>
      <c r="K136" s="198" t="n">
        <v>2</v>
      </c>
      <c r="L136" s="226" t="n">
        <v>44490</v>
      </c>
      <c r="M136" s="226" t="n">
        <v>43264</v>
      </c>
      <c r="N136" s="227" t="n">
        <v>2</v>
      </c>
      <c r="O136" s="227" t="s">
        <v>135</v>
      </c>
      <c r="P136" s="228" t="n">
        <f aca="false">VLOOKUP(B136,'NIVEL ENERO'!A:D,3,0)</f>
        <v>0.385450977326036</v>
      </c>
      <c r="Q136" s="229" t="n">
        <f aca="false">VLOOKUP(B136,'NIVEL ENERO'!A:D,4,0)</f>
        <v>157815</v>
      </c>
      <c r="R136" s="186" t="str">
        <f aca="false">+PROPER(C136&amp;" "&amp;D136)</f>
        <v>Calderon Ladino Maria Constanza</v>
      </c>
      <c r="S136" s="230" t="n">
        <f aca="false">+YEARFRAC(L136,$S$1)</f>
        <v>4.55833333333333</v>
      </c>
      <c r="T136" s="230" t="n">
        <f aca="false">+YEARFRAC(M136,$S$1)</f>
        <v>7.91388888888889</v>
      </c>
      <c r="U136" s="231" t="n">
        <f aca="false">+$I136</f>
        <v>1792522</v>
      </c>
      <c r="V136" s="232" t="str">
        <f aca="false">+PROPER(F136)</f>
        <v>Casado(A)</v>
      </c>
    </row>
    <row r="137" customFormat="false" ht="14.25" hidden="false" customHeight="false" outlineLevel="0" collapsed="false">
      <c r="B137" s="197" t="n">
        <v>29118369</v>
      </c>
      <c r="C137" s="197" t="s">
        <v>1201</v>
      </c>
      <c r="D137" s="197" t="s">
        <v>1202</v>
      </c>
      <c r="E137" s="198" t="s">
        <v>944</v>
      </c>
      <c r="F137" s="198" t="s">
        <v>953</v>
      </c>
      <c r="G137" s="225" t="n">
        <v>4327600</v>
      </c>
      <c r="H137" s="225" t="n">
        <v>2266006</v>
      </c>
      <c r="I137" s="225"/>
      <c r="J137" s="198" t="n">
        <v>45</v>
      </c>
      <c r="K137" s="198" t="n">
        <v>1</v>
      </c>
      <c r="L137" s="226" t="n">
        <v>44459</v>
      </c>
      <c r="M137" s="226" t="n">
        <v>37662</v>
      </c>
      <c r="N137" s="227" t="n">
        <v>1</v>
      </c>
      <c r="O137" s="227" t="s">
        <v>135</v>
      </c>
      <c r="P137" s="228" t="n">
        <f aca="false">VLOOKUP(B137,'NIVEL ENERO'!A:D,3,0)</f>
        <v>0.152920787503466</v>
      </c>
      <c r="Q137" s="229" t="n">
        <f aca="false">VLOOKUP(B137,'NIVEL ENERO'!A:D,4,0)</f>
        <v>1155812</v>
      </c>
      <c r="R137" s="186" t="str">
        <f aca="false">+PROPER(C137&amp;" "&amp;D137)</f>
        <v>Guerrero Sanchez Carolina</v>
      </c>
      <c r="S137" s="230" t="n">
        <f aca="false">+YEARFRAC(L137,$S$1)</f>
        <v>4.64444444444445</v>
      </c>
      <c r="T137" s="230" t="n">
        <f aca="false">+YEARFRAC(M137,$S$1)</f>
        <v>23.2555555555556</v>
      </c>
      <c r="U137" s="231" t="n">
        <f aca="false">+$I137</f>
        <v>0</v>
      </c>
      <c r="V137" s="232" t="str">
        <f aca="false">+PROPER(F137)</f>
        <v>Soltero(A)</v>
      </c>
    </row>
    <row r="138" customFormat="false" ht="14.25" hidden="false" customHeight="false" outlineLevel="0" collapsed="false">
      <c r="B138" s="197" t="n">
        <v>29119003</v>
      </c>
      <c r="C138" s="197" t="s">
        <v>1203</v>
      </c>
      <c r="D138" s="197" t="s">
        <v>1204</v>
      </c>
      <c r="E138" s="198" t="s">
        <v>944</v>
      </c>
      <c r="F138" s="198" t="s">
        <v>953</v>
      </c>
      <c r="G138" s="225" t="n">
        <v>3945300</v>
      </c>
      <c r="H138" s="225" t="n">
        <v>2143051</v>
      </c>
      <c r="I138" s="225" t="n">
        <v>539279</v>
      </c>
      <c r="J138" s="198" t="n">
        <v>45</v>
      </c>
      <c r="K138" s="198" t="n">
        <v>1</v>
      </c>
      <c r="L138" s="226" t="n">
        <v>44733</v>
      </c>
      <c r="M138" s="226" t="n">
        <v>39546</v>
      </c>
      <c r="N138" s="227" t="n">
        <v>1</v>
      </c>
      <c r="O138" s="227" t="s">
        <v>135</v>
      </c>
      <c r="P138" s="228" t="n">
        <f aca="false">VLOOKUP(B138,'NIVEL ENERO'!A:D,3,0)</f>
        <v>0.366861900961628</v>
      </c>
      <c r="Q138" s="229" t="n">
        <f aca="false">VLOOKUP(B138,'NIVEL ENERO'!A:D,4,0)</f>
        <v>230914.16</v>
      </c>
      <c r="R138" s="186" t="str">
        <f aca="false">+PROPER(C138&amp;" "&amp;D138)</f>
        <v>Valencia Mosquera Alexandra</v>
      </c>
      <c r="S138" s="230" t="n">
        <f aca="false">+YEARFRAC(L138,$S$1)</f>
        <v>3.89166666666667</v>
      </c>
      <c r="T138" s="230" t="n">
        <f aca="false">+YEARFRAC(M138,$S$1)</f>
        <v>18.0944444444444</v>
      </c>
      <c r="U138" s="231" t="n">
        <f aca="false">+$I138</f>
        <v>539279</v>
      </c>
      <c r="V138" s="232" t="str">
        <f aca="false">+PROPER(F138)</f>
        <v>Soltero(A)</v>
      </c>
    </row>
    <row r="139" customFormat="false" ht="14.25" hidden="false" customHeight="false" outlineLevel="0" collapsed="false">
      <c r="B139" s="197" t="n">
        <v>29121696</v>
      </c>
      <c r="C139" s="197" t="s">
        <v>1205</v>
      </c>
      <c r="D139" s="197" t="s">
        <v>1206</v>
      </c>
      <c r="E139" s="198" t="s">
        <v>944</v>
      </c>
      <c r="F139" s="198" t="s">
        <v>953</v>
      </c>
      <c r="G139" s="225" t="n">
        <v>6130300</v>
      </c>
      <c r="H139" s="225" t="n">
        <v>11330293</v>
      </c>
      <c r="I139" s="225" t="n">
        <v>34722464</v>
      </c>
      <c r="J139" s="198" t="n">
        <v>45</v>
      </c>
      <c r="K139" s="198" t="n">
        <v>3</v>
      </c>
      <c r="L139" s="226" t="n">
        <v>39904</v>
      </c>
      <c r="M139" s="226" t="n">
        <v>37557</v>
      </c>
      <c r="N139" s="227" t="n">
        <v>2</v>
      </c>
      <c r="O139" s="227" t="s">
        <v>135</v>
      </c>
      <c r="P139" s="228" t="n">
        <f aca="false">VLOOKUP(B139,'NIVEL ENERO'!A:D,3,0)</f>
        <v>0.355760566367062</v>
      </c>
      <c r="Q139" s="229" t="n">
        <f aca="false">VLOOKUP(B139,'NIVEL ENERO'!A:D,4,0)</f>
        <v>393807</v>
      </c>
      <c r="R139" s="186" t="str">
        <f aca="false">+PROPER(C139&amp;" "&amp;D139)</f>
        <v>Moreno Gamboa Nidia Nelsy</v>
      </c>
      <c r="S139" s="230" t="n">
        <f aca="false">+YEARFRAC(L139,$S$1)</f>
        <v>17.1138888888889</v>
      </c>
      <c r="T139" s="230" t="n">
        <f aca="false">+YEARFRAC(M139,$S$1)</f>
        <v>23.5388888888889</v>
      </c>
      <c r="U139" s="231" t="n">
        <f aca="false">+$I139</f>
        <v>34722464</v>
      </c>
      <c r="V139" s="232" t="str">
        <f aca="false">+PROPER(F139)</f>
        <v>Soltero(A)</v>
      </c>
    </row>
    <row r="140" customFormat="false" ht="14.25" hidden="false" customHeight="false" outlineLevel="0" collapsed="false">
      <c r="B140" s="197" t="n">
        <v>29123511</v>
      </c>
      <c r="C140" s="197" t="s">
        <v>1207</v>
      </c>
      <c r="D140" s="197" t="s">
        <v>1186</v>
      </c>
      <c r="E140" s="198" t="s">
        <v>944</v>
      </c>
      <c r="F140" s="198" t="s">
        <v>948</v>
      </c>
      <c r="G140" s="225" t="n">
        <v>2893800</v>
      </c>
      <c r="H140" s="225" t="n">
        <v>16494263</v>
      </c>
      <c r="I140" s="225" t="n">
        <v>4393022</v>
      </c>
      <c r="J140" s="198" t="n">
        <v>45</v>
      </c>
      <c r="K140" s="198" t="n">
        <v>4</v>
      </c>
      <c r="L140" s="226" t="n">
        <v>39225</v>
      </c>
      <c r="M140" s="226" t="n">
        <v>37274</v>
      </c>
      <c r="N140" s="227" t="n">
        <v>2</v>
      </c>
      <c r="O140" s="227" t="s">
        <v>135</v>
      </c>
      <c r="P140" s="228" t="n">
        <f aca="false">VLOOKUP(B140,'NIVEL ENERO'!A:D,3,0)</f>
        <v>0.304192905038147</v>
      </c>
      <c r="Q140" s="229" t="n">
        <f aca="false">VLOOKUP(B140,'NIVEL ENERO'!A:D,4,0)</f>
        <v>457971.78</v>
      </c>
      <c r="R140" s="186" t="str">
        <f aca="false">+PROPER(C140&amp;" "&amp;D140)</f>
        <v>Vidal Marin Liliana</v>
      </c>
      <c r="S140" s="230" t="n">
        <f aca="false">+YEARFRAC(L140,$S$1)</f>
        <v>18.9694444444444</v>
      </c>
      <c r="T140" s="230" t="n">
        <f aca="false">+YEARFRAC(M140,$S$1)</f>
        <v>24.3166666666667</v>
      </c>
      <c r="U140" s="231" t="n">
        <f aca="false">+$I140</f>
        <v>4393022</v>
      </c>
      <c r="V140" s="232" t="str">
        <f aca="false">+PROPER(F140)</f>
        <v>Casado(A)</v>
      </c>
    </row>
    <row r="141" customFormat="false" ht="14.25" hidden="false" customHeight="false" outlineLevel="0" collapsed="false">
      <c r="B141" s="197" t="n">
        <v>29124702</v>
      </c>
      <c r="C141" s="197" t="s">
        <v>1208</v>
      </c>
      <c r="D141" s="197" t="s">
        <v>1209</v>
      </c>
      <c r="E141" s="198" t="s">
        <v>944</v>
      </c>
      <c r="F141" s="198" t="s">
        <v>945</v>
      </c>
      <c r="G141" s="225" t="n">
        <v>5000000</v>
      </c>
      <c r="H141" s="225" t="n">
        <v>325000</v>
      </c>
      <c r="I141" s="225"/>
      <c r="J141" s="198" t="n">
        <v>45</v>
      </c>
      <c r="K141" s="198" t="n">
        <v>6</v>
      </c>
      <c r="L141" s="226" t="n">
        <v>45505</v>
      </c>
      <c r="M141" s="226" t="n">
        <v>40013</v>
      </c>
      <c r="N141" s="227" t="n">
        <v>0</v>
      </c>
      <c r="O141" s="227" t="s">
        <v>158</v>
      </c>
      <c r="P141" s="228" t="e">
        <f aca="false">VLOOKUP(B141,'NIVEL ENERO'!A:D,3,0)</f>
        <v>#N/A</v>
      </c>
      <c r="Q141" s="229" t="e">
        <f aca="false">VLOOKUP(B141,'NIVEL ENERO'!A:D,4,0)</f>
        <v>#N/A</v>
      </c>
      <c r="R141" s="186" t="str">
        <f aca="false">+PROPER(C141&amp;" "&amp;D141)</f>
        <v>Bermeo Cardona Maribeth</v>
      </c>
      <c r="S141" s="230" t="n">
        <f aca="false">+YEARFRAC(L141,$S$1)</f>
        <v>1.78055555555556</v>
      </c>
      <c r="T141" s="230" t="n">
        <f aca="false">+YEARFRAC(M141,$S$1)</f>
        <v>16.8138888888889</v>
      </c>
      <c r="U141" s="231" t="n">
        <f aca="false">+$I141</f>
        <v>0</v>
      </c>
      <c r="V141" s="232" t="str">
        <f aca="false">+PROPER(F141)</f>
        <v>Union Libre</v>
      </c>
    </row>
    <row r="142" customFormat="false" ht="14.25" hidden="false" customHeight="false" outlineLevel="0" collapsed="false">
      <c r="B142" s="197" t="n">
        <v>29125116</v>
      </c>
      <c r="C142" s="197" t="s">
        <v>1210</v>
      </c>
      <c r="D142" s="197" t="s">
        <v>1211</v>
      </c>
      <c r="E142" s="198" t="s">
        <v>944</v>
      </c>
      <c r="F142" s="198" t="s">
        <v>945</v>
      </c>
      <c r="G142" s="225" t="n">
        <v>2600000</v>
      </c>
      <c r="H142" s="225" t="n">
        <v>6060385</v>
      </c>
      <c r="I142" s="225" t="n">
        <v>18491059</v>
      </c>
      <c r="J142" s="198" t="n">
        <v>45</v>
      </c>
      <c r="K142" s="198" t="n">
        <v>4</v>
      </c>
      <c r="L142" s="226" t="n">
        <v>41250</v>
      </c>
      <c r="M142" s="226" t="n">
        <v>40560</v>
      </c>
      <c r="N142" s="227" t="n">
        <v>4</v>
      </c>
      <c r="O142" s="227" t="s">
        <v>153</v>
      </c>
      <c r="P142" s="228" t="e">
        <f aca="false">VLOOKUP(B142,'NIVEL ENERO'!A:D,3,0)</f>
        <v>#N/A</v>
      </c>
      <c r="Q142" s="229" t="e">
        <f aca="false">VLOOKUP(B142,'NIVEL ENERO'!A:D,4,0)</f>
        <v>#N/A</v>
      </c>
      <c r="R142" s="186" t="str">
        <f aca="false">+PROPER(C142&amp;" "&amp;D142)</f>
        <v>Valencia Ortega Emily Yaneth</v>
      </c>
      <c r="S142" s="230" t="n">
        <f aca="false">+YEARFRAC(L142,$S$1)</f>
        <v>13.4305555555556</v>
      </c>
      <c r="T142" s="230" t="n">
        <f aca="false">+YEARFRAC(M142,$S$1)</f>
        <v>15.3194444444444</v>
      </c>
      <c r="U142" s="231" t="n">
        <f aca="false">+$I142</f>
        <v>18491059</v>
      </c>
      <c r="V142" s="232" t="str">
        <f aca="false">+PROPER(F142)</f>
        <v>Union Libre</v>
      </c>
    </row>
    <row r="143" customFormat="false" ht="14.25" hidden="false" customHeight="false" outlineLevel="0" collapsed="false">
      <c r="B143" s="197" t="n">
        <v>29125244</v>
      </c>
      <c r="C143" s="197" t="s">
        <v>1212</v>
      </c>
      <c r="D143" s="197" t="s">
        <v>1135</v>
      </c>
      <c r="E143" s="198" t="s">
        <v>944</v>
      </c>
      <c r="F143" s="198" t="s">
        <v>945</v>
      </c>
      <c r="G143" s="225" t="n">
        <v>2893800</v>
      </c>
      <c r="H143" s="225" t="n">
        <v>10317531</v>
      </c>
      <c r="I143" s="225" t="n">
        <v>5547395</v>
      </c>
      <c r="J143" s="198" t="n">
        <v>45</v>
      </c>
      <c r="K143" s="198" t="n">
        <v>1</v>
      </c>
      <c r="L143" s="226" t="n">
        <v>40159</v>
      </c>
      <c r="M143" s="226" t="n">
        <v>35800</v>
      </c>
      <c r="N143" s="227" t="n">
        <v>2</v>
      </c>
      <c r="O143" s="227" t="s">
        <v>135</v>
      </c>
      <c r="P143" s="228" t="n">
        <f aca="false">VLOOKUP(B143,'NIVEL ENERO'!A:D,3,0)</f>
        <v>0.280991775520077</v>
      </c>
      <c r="Q143" s="229" t="n">
        <f aca="false">VLOOKUP(B143,'NIVEL ENERO'!A:D,4,0)</f>
        <v>402262</v>
      </c>
      <c r="R143" s="186" t="str">
        <f aca="false">+PROPER(C143&amp;" "&amp;D143)</f>
        <v>Castrillon Murillo Sandra Milena</v>
      </c>
      <c r="S143" s="230" t="n">
        <f aca="false">+YEARFRAC(L143,$S$1)</f>
        <v>16.4166666666667</v>
      </c>
      <c r="T143" s="230" t="n">
        <f aca="false">+YEARFRAC(M143,$S$1)</f>
        <v>28.3527777777778</v>
      </c>
      <c r="U143" s="231" t="n">
        <f aca="false">+$I143</f>
        <v>5547395</v>
      </c>
      <c r="V143" s="232" t="str">
        <f aca="false">+PROPER(F143)</f>
        <v>Union Libre</v>
      </c>
    </row>
    <row r="144" customFormat="false" ht="14.25" hidden="false" customHeight="false" outlineLevel="0" collapsed="false">
      <c r="B144" s="197" t="n">
        <v>29126389</v>
      </c>
      <c r="C144" s="197" t="s">
        <v>1213</v>
      </c>
      <c r="D144" s="197" t="s">
        <v>1214</v>
      </c>
      <c r="E144" s="198" t="s">
        <v>944</v>
      </c>
      <c r="F144" s="198" t="s">
        <v>948</v>
      </c>
      <c r="G144" s="225" t="n">
        <v>2893800</v>
      </c>
      <c r="H144" s="225" t="n">
        <v>2466803</v>
      </c>
      <c r="I144" s="225" t="n">
        <v>6901692</v>
      </c>
      <c r="J144" s="198" t="n">
        <v>45</v>
      </c>
      <c r="K144" s="198" t="n">
        <v>1</v>
      </c>
      <c r="L144" s="226" t="n">
        <v>44246</v>
      </c>
      <c r="M144" s="226" t="n">
        <v>43840</v>
      </c>
      <c r="N144" s="227" t="n">
        <v>5</v>
      </c>
      <c r="O144" s="227" t="s">
        <v>135</v>
      </c>
      <c r="P144" s="228" t="n">
        <f aca="false">VLOOKUP(B144,'NIVEL ENERO'!A:D,3,0)</f>
        <v>0.239123298085562</v>
      </c>
      <c r="Q144" s="229" t="n">
        <f aca="false">VLOOKUP(B144,'NIVEL ENERO'!A:D,4,0)</f>
        <v>523421</v>
      </c>
      <c r="R144" s="186" t="str">
        <f aca="false">+PROPER(C144&amp;" "&amp;D144)</f>
        <v>Paredes Guaca Mary Luz</v>
      </c>
      <c r="S144" s="230" t="n">
        <f aca="false">+YEARFRAC(L144,$S$1)</f>
        <v>5.23055555555556</v>
      </c>
      <c r="T144" s="230" t="n">
        <f aca="false">+YEARFRAC(M144,$S$1)</f>
        <v>6.33888888888889</v>
      </c>
      <c r="U144" s="231" t="n">
        <f aca="false">+$I144</f>
        <v>6901692</v>
      </c>
      <c r="V144" s="232" t="str">
        <f aca="false">+PROPER(F144)</f>
        <v>Casado(A)</v>
      </c>
    </row>
    <row r="145" customFormat="false" ht="14.25" hidden="false" customHeight="false" outlineLevel="0" collapsed="false">
      <c r="B145" s="197" t="n">
        <v>29127854</v>
      </c>
      <c r="C145" s="197" t="s">
        <v>1215</v>
      </c>
      <c r="D145" s="197" t="s">
        <v>1202</v>
      </c>
      <c r="E145" s="198" t="s">
        <v>944</v>
      </c>
      <c r="F145" s="198" t="s">
        <v>948</v>
      </c>
      <c r="G145" s="225" t="n">
        <v>2700000</v>
      </c>
      <c r="H145" s="225" t="n">
        <v>2511922</v>
      </c>
      <c r="I145" s="225" t="n">
        <v>75085</v>
      </c>
      <c r="J145" s="198" t="n">
        <v>46</v>
      </c>
      <c r="K145" s="198" t="n">
        <v>2</v>
      </c>
      <c r="L145" s="226" t="n">
        <v>44183</v>
      </c>
      <c r="M145" s="226" t="n">
        <v>37025</v>
      </c>
      <c r="N145" s="227" t="n">
        <v>4</v>
      </c>
      <c r="O145" s="227" t="s">
        <v>445</v>
      </c>
      <c r="P145" s="228" t="e">
        <f aca="false">VLOOKUP(B145,'NIVEL ENERO'!A:D,3,0)</f>
        <v>#N/A</v>
      </c>
      <c r="Q145" s="229" t="e">
        <f aca="false">VLOOKUP(B145,'NIVEL ENERO'!A:D,4,0)</f>
        <v>#N/A</v>
      </c>
      <c r="R145" s="186" t="str">
        <f aca="false">+PROPER(C145&amp;" "&amp;D145)</f>
        <v>Diaz Quinones Carolina</v>
      </c>
      <c r="S145" s="230" t="n">
        <f aca="false">+YEARFRAC(L145,$S$1)</f>
        <v>5.4</v>
      </c>
      <c r="T145" s="230" t="n">
        <f aca="false">+YEARFRAC(M145,$S$1)</f>
        <v>24.9944444444444</v>
      </c>
      <c r="U145" s="231" t="n">
        <f aca="false">+$I145</f>
        <v>75085</v>
      </c>
      <c r="V145" s="232" t="str">
        <f aca="false">+PROPER(F145)</f>
        <v>Casado(A)</v>
      </c>
    </row>
    <row r="146" customFormat="false" ht="14.25" hidden="false" customHeight="false" outlineLevel="0" collapsed="false">
      <c r="B146" s="197" t="n">
        <v>29177571</v>
      </c>
      <c r="C146" s="197" t="s">
        <v>1216</v>
      </c>
      <c r="D146" s="197" t="s">
        <v>1217</v>
      </c>
      <c r="E146" s="198" t="s">
        <v>944</v>
      </c>
      <c r="F146" s="198" t="s">
        <v>945</v>
      </c>
      <c r="G146" s="225" t="n">
        <v>4984600</v>
      </c>
      <c r="H146" s="225" t="n">
        <v>4157030</v>
      </c>
      <c r="I146" s="225" t="n">
        <v>5130401</v>
      </c>
      <c r="J146" s="198" t="n">
        <v>44</v>
      </c>
      <c r="K146" s="198" t="n">
        <v>2</v>
      </c>
      <c r="L146" s="226" t="n">
        <v>43269</v>
      </c>
      <c r="M146" s="226" t="n">
        <v>43160</v>
      </c>
      <c r="N146" s="227" t="n">
        <v>2</v>
      </c>
      <c r="O146" s="227" t="s">
        <v>135</v>
      </c>
      <c r="P146" s="228" t="n">
        <f aca="false">VLOOKUP(B146,'NIVEL ENERO'!A:D,3,0)</f>
        <v>0.378060169265372</v>
      </c>
      <c r="Q146" s="229" t="n">
        <f aca="false">VLOOKUP(B146,'NIVEL ENERO'!A:D,4,0)</f>
        <v>313376.68</v>
      </c>
      <c r="R146" s="186" t="str">
        <f aca="false">+PROPER(C146&amp;" "&amp;D146)</f>
        <v>Morales Toro Rosmery</v>
      </c>
      <c r="S146" s="230" t="n">
        <f aca="false">+YEARFRAC(L146,$S$1)</f>
        <v>7.9</v>
      </c>
      <c r="T146" s="230" t="n">
        <f aca="false">+YEARFRAC(M146,$S$1)</f>
        <v>8.19722222222222</v>
      </c>
      <c r="U146" s="231" t="n">
        <f aca="false">+$I146</f>
        <v>5130401</v>
      </c>
      <c r="V146" s="232" t="str">
        <f aca="false">+PROPER(F146)</f>
        <v>Union Libre</v>
      </c>
    </row>
    <row r="147" customFormat="false" ht="14.25" hidden="false" customHeight="false" outlineLevel="0" collapsed="false">
      <c r="B147" s="197" t="n">
        <v>29177722</v>
      </c>
      <c r="C147" s="197" t="s">
        <v>1218</v>
      </c>
      <c r="D147" s="197" t="s">
        <v>1219</v>
      </c>
      <c r="E147" s="198" t="s">
        <v>944</v>
      </c>
      <c r="F147" s="198" t="s">
        <v>998</v>
      </c>
      <c r="G147" s="225" t="n">
        <v>2600900</v>
      </c>
      <c r="H147" s="225" t="n">
        <v>390000</v>
      </c>
      <c r="I147" s="225" t="n">
        <v>0</v>
      </c>
      <c r="J147" s="198" t="n">
        <v>44</v>
      </c>
      <c r="K147" s="198" t="n">
        <v>4</v>
      </c>
      <c r="L147" s="226" t="n">
        <v>45475</v>
      </c>
      <c r="M147" s="226" t="n">
        <v>44105</v>
      </c>
      <c r="N147" s="227" t="n">
        <v>1</v>
      </c>
      <c r="O147" s="227" t="s">
        <v>135</v>
      </c>
      <c r="P147" s="228" t="n">
        <f aca="false">VLOOKUP(B147,'NIVEL ENERO'!A:D,3,0)</f>
        <v>0.265587508875866</v>
      </c>
      <c r="Q147" s="229" t="n">
        <f aca="false">VLOOKUP(B147,'NIVEL ENERO'!A:D,4,0)</f>
        <v>567428.64</v>
      </c>
      <c r="R147" s="186" t="str">
        <f aca="false">+PROPER(C147&amp;" "&amp;D147)</f>
        <v>Mosquera Castro Mallely</v>
      </c>
      <c r="S147" s="230" t="n">
        <f aca="false">+YEARFRAC(L147,$S$1)</f>
        <v>1.86111111111111</v>
      </c>
      <c r="T147" s="230" t="n">
        <f aca="false">+YEARFRAC(M147,$S$1)</f>
        <v>5.61388888888889</v>
      </c>
      <c r="U147" s="231" t="n">
        <f aca="false">+$I147</f>
        <v>0</v>
      </c>
      <c r="V147" s="232" t="str">
        <f aca="false">+PROPER(F147)</f>
        <v>Separado(A)</v>
      </c>
    </row>
    <row r="148" customFormat="false" ht="14.25" hidden="false" customHeight="false" outlineLevel="0" collapsed="false">
      <c r="B148" s="197" t="n">
        <v>29179426</v>
      </c>
      <c r="C148" s="197" t="s">
        <v>1220</v>
      </c>
      <c r="D148" s="197" t="s">
        <v>1221</v>
      </c>
      <c r="E148" s="198" t="s">
        <v>944</v>
      </c>
      <c r="F148" s="198" t="s">
        <v>945</v>
      </c>
      <c r="G148" s="225" t="n">
        <v>2893800</v>
      </c>
      <c r="H148" s="225" t="n">
        <v>2543010</v>
      </c>
      <c r="I148" s="225" t="n">
        <v>3081898</v>
      </c>
      <c r="J148" s="198" t="n">
        <v>44</v>
      </c>
      <c r="K148" s="198" t="n">
        <v>4</v>
      </c>
      <c r="L148" s="226" t="n">
        <v>44986</v>
      </c>
      <c r="M148" s="226" t="n">
        <v>40924</v>
      </c>
      <c r="N148" s="227" t="n">
        <v>3</v>
      </c>
      <c r="O148" s="227" t="s">
        <v>135</v>
      </c>
      <c r="P148" s="228" t="n">
        <f aca="false">VLOOKUP(B148,'NIVEL ENERO'!A:D,3,0)</f>
        <v>0.416606789536929</v>
      </c>
      <c r="Q148" s="229" t="n">
        <f aca="false">VLOOKUP(B148,'NIVEL ENERO'!A:D,4,0)</f>
        <v>9931.33999999985</v>
      </c>
      <c r="R148" s="186" t="str">
        <f aca="false">+PROPER(C148&amp;" "&amp;D148)</f>
        <v>Camacho Vargas Maribel</v>
      </c>
      <c r="S148" s="230" t="n">
        <f aca="false">+YEARFRAC(L148,$S$1)</f>
        <v>3.19722222222222</v>
      </c>
      <c r="T148" s="230" t="n">
        <f aca="false">+YEARFRAC(M148,$S$1)</f>
        <v>14.3222222222222</v>
      </c>
      <c r="U148" s="231" t="n">
        <f aca="false">+$I148</f>
        <v>3081898</v>
      </c>
      <c r="V148" s="232" t="str">
        <f aca="false">+PROPER(F148)</f>
        <v>Union Libre</v>
      </c>
    </row>
    <row r="149" customFormat="false" ht="14.25" hidden="false" customHeight="false" outlineLevel="0" collapsed="false">
      <c r="B149" s="197" t="n">
        <v>29179489</v>
      </c>
      <c r="C149" s="197" t="s">
        <v>1222</v>
      </c>
      <c r="D149" s="197" t="s">
        <v>1223</v>
      </c>
      <c r="E149" s="198" t="s">
        <v>944</v>
      </c>
      <c r="F149" s="198" t="s">
        <v>998</v>
      </c>
      <c r="G149" s="225" t="n">
        <v>5842800</v>
      </c>
      <c r="H149" s="225" t="n">
        <v>4057183</v>
      </c>
      <c r="I149" s="225" t="n">
        <v>1192390</v>
      </c>
      <c r="J149" s="198" t="n">
        <v>44</v>
      </c>
      <c r="K149" s="198" t="n">
        <v>1</v>
      </c>
      <c r="L149" s="226" t="n">
        <v>43509</v>
      </c>
      <c r="M149" s="226" t="n">
        <v>37964</v>
      </c>
      <c r="N149" s="227" t="n">
        <v>4</v>
      </c>
      <c r="O149" s="227" t="s">
        <v>135</v>
      </c>
      <c r="P149" s="228" t="n">
        <f aca="false">VLOOKUP(B149,'NIVEL ENERO'!A:D,3,0)</f>
        <v>0.449772837745876</v>
      </c>
      <c r="Q149" s="229" t="n">
        <f aca="false">VLOOKUP(B149,'NIVEL ENERO'!A:D,4,0)</f>
        <v>-183752</v>
      </c>
      <c r="R149" s="186" t="str">
        <f aca="false">+PROPER(C149&amp;" "&amp;D149)</f>
        <v>Mejia Hurtado Ana Fernanda</v>
      </c>
      <c r="S149" s="230" t="n">
        <f aca="false">+YEARFRAC(L149,$S$1)</f>
        <v>7.24722222222222</v>
      </c>
      <c r="T149" s="230" t="n">
        <f aca="false">+YEARFRAC(M149,$S$1)</f>
        <v>22.425</v>
      </c>
      <c r="U149" s="231" t="n">
        <f aca="false">+$I149</f>
        <v>1192390</v>
      </c>
      <c r="V149" s="232" t="str">
        <f aca="false">+PROPER(F149)</f>
        <v>Separado(A)</v>
      </c>
    </row>
    <row r="150" customFormat="false" ht="14.25" hidden="false" customHeight="false" outlineLevel="0" collapsed="false">
      <c r="B150" s="197" t="n">
        <v>29180645</v>
      </c>
      <c r="C150" s="197" t="s">
        <v>1224</v>
      </c>
      <c r="D150" s="197" t="s">
        <v>1225</v>
      </c>
      <c r="E150" s="198" t="s">
        <v>944</v>
      </c>
      <c r="F150" s="198" t="s">
        <v>953</v>
      </c>
      <c r="G150" s="225" t="n">
        <v>1717900</v>
      </c>
      <c r="H150" s="225" t="n">
        <v>2627619</v>
      </c>
      <c r="I150" s="225" t="n">
        <v>0</v>
      </c>
      <c r="J150" s="198" t="n">
        <v>44</v>
      </c>
      <c r="K150" s="198" t="n">
        <v>2</v>
      </c>
      <c r="L150" s="226" t="n">
        <v>44124</v>
      </c>
      <c r="M150" s="226" t="n">
        <v>42662</v>
      </c>
      <c r="N150" s="227" t="n">
        <v>1</v>
      </c>
      <c r="O150" s="227" t="s">
        <v>135</v>
      </c>
      <c r="P150" s="228" t="n">
        <f aca="false">VLOOKUP(B150,'NIVEL ENERO'!A:D,3,0)</f>
        <v>0.337991968237201</v>
      </c>
      <c r="Q150" s="229" t="n">
        <f aca="false">VLOOKUP(B150,'NIVEL ENERO'!A:D,4,0)</f>
        <v>252157.64</v>
      </c>
      <c r="R150" s="186" t="str">
        <f aca="false">+PROPER(C150&amp;" "&amp;D150)</f>
        <v>Bravo Amaya Susana</v>
      </c>
      <c r="S150" s="230" t="n">
        <f aca="false">+YEARFRAC(L150,$S$1)</f>
        <v>5.56111111111111</v>
      </c>
      <c r="T150" s="230" t="n">
        <f aca="false">+YEARFRAC(M150,$S$1)</f>
        <v>9.56388888888889</v>
      </c>
      <c r="U150" s="231" t="n">
        <f aca="false">+$I150</f>
        <v>0</v>
      </c>
      <c r="V150" s="232" t="str">
        <f aca="false">+PROPER(F150)</f>
        <v>Soltero(A)</v>
      </c>
    </row>
    <row r="151" customFormat="false" ht="14.25" hidden="false" customHeight="false" outlineLevel="0" collapsed="false">
      <c r="B151" s="197" t="n">
        <v>29182423</v>
      </c>
      <c r="C151" s="197" t="s">
        <v>1226</v>
      </c>
      <c r="D151" s="197" t="s">
        <v>1227</v>
      </c>
      <c r="E151" s="198" t="s">
        <v>944</v>
      </c>
      <c r="F151" s="198" t="s">
        <v>953</v>
      </c>
      <c r="G151" s="225" t="n">
        <v>7551500</v>
      </c>
      <c r="H151" s="225" t="n">
        <v>14071843</v>
      </c>
      <c r="I151" s="225" t="n">
        <v>0</v>
      </c>
      <c r="J151" s="198" t="n">
        <v>45</v>
      </c>
      <c r="K151" s="198" t="n">
        <v>1</v>
      </c>
      <c r="L151" s="226" t="n">
        <v>42900</v>
      </c>
      <c r="M151" s="226" t="n">
        <v>36566</v>
      </c>
      <c r="N151" s="227" t="n">
        <v>2</v>
      </c>
      <c r="O151" s="227" t="s">
        <v>135</v>
      </c>
      <c r="P151" s="228" t="n">
        <f aca="false">VLOOKUP(B151,'NIVEL ENERO'!A:D,3,0)</f>
        <v>0.175046811891677</v>
      </c>
      <c r="Q151" s="229" t="n">
        <f aca="false">VLOOKUP(B151,'NIVEL ENERO'!A:D,4,0)</f>
        <v>1849764</v>
      </c>
      <c r="R151" s="186" t="str">
        <f aca="false">+PROPER(C151&amp;" "&amp;D151)</f>
        <v>Torres Santamaria Jorlyn</v>
      </c>
      <c r="S151" s="230" t="n">
        <f aca="false">+YEARFRAC(L151,$S$1)</f>
        <v>8.91111111111111</v>
      </c>
      <c r="T151" s="230" t="n">
        <f aca="false">+YEARFRAC(M151,$S$1)</f>
        <v>26.2555555555556</v>
      </c>
      <c r="U151" s="231" t="n">
        <f aca="false">+$I151</f>
        <v>0</v>
      </c>
      <c r="V151" s="232" t="str">
        <f aca="false">+PROPER(F151)</f>
        <v>Soltero(A)</v>
      </c>
    </row>
    <row r="152" customFormat="false" ht="14.25" hidden="false" customHeight="false" outlineLevel="0" collapsed="false">
      <c r="B152" s="197" t="n">
        <v>29182544</v>
      </c>
      <c r="C152" s="197" t="s">
        <v>1228</v>
      </c>
      <c r="D152" s="197" t="s">
        <v>1229</v>
      </c>
      <c r="E152" s="198" t="s">
        <v>944</v>
      </c>
      <c r="F152" s="198" t="s">
        <v>948</v>
      </c>
      <c r="G152" s="225" t="n">
        <v>4327600</v>
      </c>
      <c r="H152" s="225" t="n">
        <v>1910716</v>
      </c>
      <c r="I152" s="225" t="n">
        <v>0</v>
      </c>
      <c r="J152" s="198" t="n">
        <v>45</v>
      </c>
      <c r="K152" s="198" t="n">
        <v>1</v>
      </c>
      <c r="L152" s="226" t="n">
        <v>44644</v>
      </c>
      <c r="M152" s="226" t="n">
        <v>40392</v>
      </c>
      <c r="N152" s="227" t="n">
        <v>4</v>
      </c>
      <c r="O152" s="227" t="s">
        <v>135</v>
      </c>
      <c r="P152" s="228" t="n">
        <f aca="false">VLOOKUP(B152,'NIVEL ENERO'!A:D,3,0)</f>
        <v>0.308365837877808</v>
      </c>
      <c r="Q152" s="229" t="n">
        <f aca="false">VLOOKUP(B152,'NIVEL ENERO'!A:D,4,0)</f>
        <v>483108</v>
      </c>
      <c r="R152" s="186" t="str">
        <f aca="false">+PROPER(C152&amp;" "&amp;D152)</f>
        <v>Quintero Calzada Diana Yazmine</v>
      </c>
      <c r="S152" s="230" t="n">
        <f aca="false">+YEARFRAC(L152,$S$1)</f>
        <v>4.13333333333333</v>
      </c>
      <c r="T152" s="230" t="n">
        <f aca="false">+YEARFRAC(M152,$S$1)</f>
        <v>15.7777777777778</v>
      </c>
      <c r="U152" s="231" t="n">
        <f aca="false">+$I152</f>
        <v>0</v>
      </c>
      <c r="V152" s="232" t="str">
        <f aca="false">+PROPER(F152)</f>
        <v>Casado(A)</v>
      </c>
    </row>
    <row r="153" customFormat="false" ht="14.25" hidden="false" customHeight="false" outlineLevel="0" collapsed="false">
      <c r="B153" s="197" t="n">
        <v>29182666</v>
      </c>
      <c r="C153" s="197" t="s">
        <v>1230</v>
      </c>
      <c r="D153" s="197" t="s">
        <v>1231</v>
      </c>
      <c r="E153" s="198" t="s">
        <v>944</v>
      </c>
      <c r="F153" s="198" t="s">
        <v>953</v>
      </c>
      <c r="G153" s="225" t="n">
        <v>4383200</v>
      </c>
      <c r="H153" s="225" t="n">
        <v>3652656</v>
      </c>
      <c r="I153" s="225" t="n">
        <v>2050060</v>
      </c>
      <c r="J153" s="198" t="n">
        <v>44</v>
      </c>
      <c r="K153" s="198" t="n">
        <v>1</v>
      </c>
      <c r="L153" s="226" t="n">
        <v>44811</v>
      </c>
      <c r="M153" s="226" t="n">
        <v>37165</v>
      </c>
      <c r="N153" s="227" t="n">
        <v>1</v>
      </c>
      <c r="O153" s="227" t="s">
        <v>135</v>
      </c>
      <c r="P153" s="228" t="n">
        <f aca="false">VLOOKUP(B153,'NIVEL ENERO'!A:D,3,0)</f>
        <v>0.225954153143351</v>
      </c>
      <c r="Q153" s="229" t="n">
        <f aca="false">VLOOKUP(B153,'NIVEL ENERO'!A:D,4,0)</f>
        <v>921503.74</v>
      </c>
      <c r="R153" s="186" t="str">
        <f aca="false">+PROPER(C153&amp;" "&amp;D153)</f>
        <v>Hernandez Quiceno Nathalie</v>
      </c>
      <c r="S153" s="230" t="n">
        <f aca="false">+YEARFRAC(L153,$S$1)</f>
        <v>3.68055555555556</v>
      </c>
      <c r="T153" s="230" t="n">
        <f aca="false">+YEARFRAC(M153,$S$1)</f>
        <v>24.6138888888889</v>
      </c>
      <c r="U153" s="231" t="n">
        <f aca="false">+$I153</f>
        <v>2050060</v>
      </c>
      <c r="V153" s="232" t="str">
        <f aca="false">+PROPER(F153)</f>
        <v>Soltero(A)</v>
      </c>
    </row>
    <row r="154" customFormat="false" ht="14.25" hidden="false" customHeight="false" outlineLevel="0" collapsed="false">
      <c r="B154" s="197" t="n">
        <v>29182965</v>
      </c>
      <c r="C154" s="197" t="s">
        <v>1232</v>
      </c>
      <c r="D154" s="197" t="s">
        <v>1233</v>
      </c>
      <c r="E154" s="198" t="s">
        <v>944</v>
      </c>
      <c r="F154" s="198" t="s">
        <v>953</v>
      </c>
      <c r="G154" s="225" t="n">
        <v>4383200</v>
      </c>
      <c r="H154" s="225" t="n">
        <v>6210513</v>
      </c>
      <c r="I154" s="225" t="n">
        <v>1764653</v>
      </c>
      <c r="J154" s="198" t="n">
        <v>44</v>
      </c>
      <c r="K154" s="198" t="n">
        <v>2</v>
      </c>
      <c r="L154" s="226" t="n">
        <v>44523</v>
      </c>
      <c r="M154" s="226" t="n">
        <v>44105</v>
      </c>
      <c r="N154" s="227" t="n">
        <v>1</v>
      </c>
      <c r="O154" s="227" t="s">
        <v>135</v>
      </c>
      <c r="P154" s="228" t="n">
        <f aca="false">VLOOKUP(B154,'NIVEL ENERO'!A:D,3,0)</f>
        <v>0.166667575962421</v>
      </c>
      <c r="Q154" s="229" t="n">
        <f aca="false">VLOOKUP(B154,'NIVEL ENERO'!A:D,4,0)</f>
        <v>1439448.26</v>
      </c>
      <c r="R154" s="186" t="str">
        <f aca="false">+PROPER(C154&amp;" "&amp;D154)</f>
        <v>Lozano Lasso Martha Iisabel</v>
      </c>
      <c r="S154" s="230" t="n">
        <f aca="false">+YEARFRAC(L154,$S$1)</f>
        <v>4.46944444444444</v>
      </c>
      <c r="T154" s="230" t="n">
        <f aca="false">+YEARFRAC(M154,$S$1)</f>
        <v>5.61388888888889</v>
      </c>
      <c r="U154" s="231" t="n">
        <f aca="false">+$I154</f>
        <v>1764653</v>
      </c>
      <c r="V154" s="232" t="str">
        <f aca="false">+PROPER(F154)</f>
        <v>Soltero(A)</v>
      </c>
    </row>
    <row r="155" customFormat="false" ht="14.25" hidden="false" customHeight="false" outlineLevel="0" collapsed="false">
      <c r="B155" s="197" t="n">
        <v>29307666</v>
      </c>
      <c r="C155" s="197" t="s">
        <v>1234</v>
      </c>
      <c r="D155" s="197" t="s">
        <v>1235</v>
      </c>
      <c r="E155" s="198" t="s">
        <v>944</v>
      </c>
      <c r="F155" s="198" t="s">
        <v>953</v>
      </c>
      <c r="G155" s="225" t="n">
        <v>6544600</v>
      </c>
      <c r="H155" s="225" t="n">
        <v>10014275</v>
      </c>
      <c r="I155" s="225" t="n">
        <v>0</v>
      </c>
      <c r="J155" s="198" t="n">
        <v>47</v>
      </c>
      <c r="K155" s="198" t="n">
        <v>1</v>
      </c>
      <c r="L155" s="226" t="n">
        <v>43901</v>
      </c>
      <c r="M155" s="226" t="n">
        <v>37530</v>
      </c>
      <c r="N155" s="227" t="n">
        <v>2</v>
      </c>
      <c r="O155" s="227" t="s">
        <v>135</v>
      </c>
      <c r="P155" s="228" t="n">
        <f aca="false">VLOOKUP(B155,'NIVEL ENERO'!A:D,3,0)</f>
        <v>0.462586512242431</v>
      </c>
      <c r="Q155" s="229" t="n">
        <f aca="false">VLOOKUP(B155,'NIVEL ENERO'!A:D,4,0)</f>
        <v>-302986</v>
      </c>
      <c r="R155" s="186" t="str">
        <f aca="false">+PROPER(C155&amp;" "&amp;D155)</f>
        <v>Ceron Valencia Leonor Andrea</v>
      </c>
      <c r="S155" s="230" t="n">
        <f aca="false">+YEARFRAC(L155,$S$1)</f>
        <v>6.16944444444444</v>
      </c>
      <c r="T155" s="230" t="n">
        <f aca="false">+YEARFRAC(M155,$S$1)</f>
        <v>23.6138888888889</v>
      </c>
      <c r="U155" s="231" t="n">
        <f aca="false">+$I155</f>
        <v>0</v>
      </c>
      <c r="V155" s="232" t="str">
        <f aca="false">+PROPER(F155)</f>
        <v>Soltero(A)</v>
      </c>
    </row>
    <row r="156" customFormat="false" ht="14.25" hidden="false" customHeight="false" outlineLevel="0" collapsed="false">
      <c r="B156" s="197" t="n">
        <v>29347426</v>
      </c>
      <c r="C156" s="197" t="s">
        <v>1236</v>
      </c>
      <c r="D156" s="197" t="s">
        <v>1237</v>
      </c>
      <c r="E156" s="198" t="s">
        <v>944</v>
      </c>
      <c r="F156" s="198" t="s">
        <v>948</v>
      </c>
      <c r="G156" s="225" t="n">
        <v>5291000</v>
      </c>
      <c r="H156" s="225" t="n">
        <v>1506676</v>
      </c>
      <c r="I156" s="225" t="n">
        <v>1774215</v>
      </c>
      <c r="J156" s="198" t="n">
        <v>40</v>
      </c>
      <c r="K156" s="198" t="n">
        <v>1</v>
      </c>
      <c r="L156" s="226" t="n">
        <v>44909</v>
      </c>
      <c r="M156" s="226" t="n">
        <v>37937</v>
      </c>
      <c r="N156" s="227" t="n">
        <v>0</v>
      </c>
      <c r="O156" s="227" t="s">
        <v>135</v>
      </c>
      <c r="P156" s="228" t="n">
        <f aca="false">VLOOKUP(B156,'NIVEL ENERO'!A:D,3,0)</f>
        <v>0.345568890568891</v>
      </c>
      <c r="Q156" s="229" t="n">
        <f aca="false">VLOOKUP(B156,'NIVEL ENERO'!A:D,4,0)</f>
        <v>393815</v>
      </c>
      <c r="R156" s="186" t="str">
        <f aca="false">+PROPER(C156&amp;" "&amp;D156)</f>
        <v>Orozco Munoz Ana Maria.</v>
      </c>
      <c r="S156" s="230" t="n">
        <f aca="false">+YEARFRAC(L156,$S$1)</f>
        <v>3.41111111111111</v>
      </c>
      <c r="T156" s="230" t="n">
        <f aca="false">+YEARFRAC(M156,$S$1)</f>
        <v>22.5</v>
      </c>
      <c r="U156" s="231" t="n">
        <f aca="false">+$I156</f>
        <v>1774215</v>
      </c>
      <c r="V156" s="232" t="str">
        <f aca="false">+PROPER(F156)</f>
        <v>Casado(A)</v>
      </c>
    </row>
    <row r="157" customFormat="false" ht="14.25" hidden="false" customHeight="false" outlineLevel="0" collapsed="false">
      <c r="B157" s="197" t="n">
        <v>29347777</v>
      </c>
      <c r="C157" s="197" t="s">
        <v>1238</v>
      </c>
      <c r="D157" s="197" t="s">
        <v>1239</v>
      </c>
      <c r="E157" s="198" t="s">
        <v>944</v>
      </c>
      <c r="F157" s="198" t="s">
        <v>1107</v>
      </c>
      <c r="G157" s="225" t="n">
        <v>5418800</v>
      </c>
      <c r="H157" s="225" t="n">
        <v>1121761</v>
      </c>
      <c r="I157" s="225" t="n">
        <v>1878822</v>
      </c>
      <c r="J157" s="198" t="n">
        <v>40</v>
      </c>
      <c r="K157" s="198" t="n">
        <v>1</v>
      </c>
      <c r="L157" s="226" t="n">
        <v>45121</v>
      </c>
      <c r="M157" s="226" t="n">
        <v>37817</v>
      </c>
      <c r="N157" s="227" t="n">
        <v>2</v>
      </c>
      <c r="O157" s="227" t="s">
        <v>135</v>
      </c>
      <c r="P157" s="228" t="n">
        <f aca="false">VLOOKUP(B157,'NIVEL ENERO'!A:D,3,0)</f>
        <v>0.40423823221096</v>
      </c>
      <c r="Q157" s="229" t="n">
        <f aca="false">VLOOKUP(B157,'NIVEL ENERO'!A:D,4,0)</f>
        <v>123404.879999999</v>
      </c>
      <c r="R157" s="186" t="str">
        <f aca="false">+PROPER(C157&amp;" "&amp;D157)</f>
        <v>Fernandez Nunez Katherine</v>
      </c>
      <c r="S157" s="230" t="n">
        <f aca="false">+YEARFRAC(L157,$S$1)</f>
        <v>2.82777777777778</v>
      </c>
      <c r="T157" s="230" t="n">
        <f aca="false">+YEARFRAC(M157,$S$1)</f>
        <v>22.825</v>
      </c>
      <c r="U157" s="231" t="n">
        <f aca="false">+$I157</f>
        <v>1878822</v>
      </c>
      <c r="V157" s="232" t="str">
        <f aca="false">+PROPER(F157)</f>
        <v>Viudo(A)</v>
      </c>
    </row>
    <row r="158" customFormat="false" ht="14.25" hidden="false" customHeight="false" outlineLevel="0" collapsed="false">
      <c r="B158" s="197" t="n">
        <v>29352680</v>
      </c>
      <c r="C158" s="197" t="s">
        <v>1240</v>
      </c>
      <c r="D158" s="197" t="s">
        <v>1241</v>
      </c>
      <c r="E158" s="198" t="s">
        <v>944</v>
      </c>
      <c r="F158" s="198" t="s">
        <v>945</v>
      </c>
      <c r="G158" s="225" t="n">
        <v>4111000</v>
      </c>
      <c r="H158" s="225" t="n">
        <v>1860209</v>
      </c>
      <c r="I158" s="225" t="n">
        <v>1132511</v>
      </c>
      <c r="J158" s="198" t="n">
        <v>40</v>
      </c>
      <c r="K158" s="198" t="n">
        <v>2</v>
      </c>
      <c r="L158" s="226" t="n">
        <v>44671</v>
      </c>
      <c r="M158" s="226" t="n">
        <v>42842</v>
      </c>
      <c r="N158" s="227" t="n">
        <v>4</v>
      </c>
      <c r="O158" s="227" t="s">
        <v>135</v>
      </c>
      <c r="P158" s="228" t="n">
        <f aca="false">VLOOKUP(B158,'NIVEL ENERO'!A:D,3,0)</f>
        <v>0.161338408726399</v>
      </c>
      <c r="Q158" s="229" t="n">
        <f aca="false">VLOOKUP(B158,'NIVEL ENERO'!A:D,4,0)</f>
        <v>1518360.44</v>
      </c>
      <c r="R158" s="186" t="str">
        <f aca="false">+PROPER(C158&amp;" "&amp;D158)</f>
        <v>Caicedo Campo Diana Carolina</v>
      </c>
      <c r="S158" s="230" t="n">
        <f aca="false">+YEARFRAC(L158,$S$1)</f>
        <v>4.06111111111111</v>
      </c>
      <c r="T158" s="230" t="n">
        <f aca="false">+YEARFRAC(M158,$S$1)</f>
        <v>9.06944444444445</v>
      </c>
      <c r="U158" s="231" t="n">
        <f aca="false">+$I158</f>
        <v>1132511</v>
      </c>
      <c r="V158" s="232" t="str">
        <f aca="false">+PROPER(F158)</f>
        <v>Union Libre</v>
      </c>
    </row>
    <row r="159" customFormat="false" ht="14.25" hidden="false" customHeight="false" outlineLevel="0" collapsed="false">
      <c r="B159" s="197" t="n">
        <v>29352921</v>
      </c>
      <c r="C159" s="197" t="s">
        <v>1242</v>
      </c>
      <c r="D159" s="197" t="s">
        <v>1243</v>
      </c>
      <c r="E159" s="198" t="s">
        <v>944</v>
      </c>
      <c r="F159" s="198" t="s">
        <v>953</v>
      </c>
      <c r="G159" s="225" t="n">
        <v>2600900</v>
      </c>
      <c r="H159" s="225" t="n">
        <v>2407540</v>
      </c>
      <c r="I159" s="225" t="n">
        <v>4428263</v>
      </c>
      <c r="J159" s="198" t="n">
        <v>39</v>
      </c>
      <c r="K159" s="198" t="n">
        <v>2</v>
      </c>
      <c r="L159" s="226" t="n">
        <v>44432</v>
      </c>
      <c r="M159" s="226" t="n">
        <v>41390</v>
      </c>
      <c r="N159" s="227" t="n">
        <v>3</v>
      </c>
      <c r="O159" s="227" t="s">
        <v>135</v>
      </c>
      <c r="P159" s="228" t="n">
        <f aca="false">VLOOKUP(B159,'NIVEL ENERO'!A:D,3,0)</f>
        <v>0.383555317218437</v>
      </c>
      <c r="Q159" s="229" t="n">
        <f aca="false">VLOOKUP(B159,'NIVEL ENERO'!A:D,4,0)</f>
        <v>109213.38</v>
      </c>
      <c r="R159" s="186" t="str">
        <f aca="false">+PROPER(C159&amp;" "&amp;D159)</f>
        <v>Quintero Correa Lady Johanna</v>
      </c>
      <c r="S159" s="230" t="n">
        <f aca="false">+YEARFRAC(L159,$S$1)</f>
        <v>4.71666666666667</v>
      </c>
      <c r="T159" s="230" t="n">
        <f aca="false">+YEARFRAC(M159,$S$1)</f>
        <v>13.0444444444444</v>
      </c>
      <c r="U159" s="231" t="n">
        <f aca="false">+$I159</f>
        <v>4428263</v>
      </c>
      <c r="V159" s="232" t="str">
        <f aca="false">+PROPER(F159)</f>
        <v>Soltero(A)</v>
      </c>
    </row>
    <row r="160" customFormat="false" ht="14.25" hidden="false" customHeight="false" outlineLevel="0" collapsed="false">
      <c r="B160" s="197" t="n">
        <v>29360157</v>
      </c>
      <c r="C160" s="197" t="s">
        <v>1244</v>
      </c>
      <c r="D160" s="197" t="s">
        <v>1245</v>
      </c>
      <c r="E160" s="198" t="s">
        <v>944</v>
      </c>
      <c r="F160" s="198" t="s">
        <v>998</v>
      </c>
      <c r="G160" s="225" t="n">
        <v>13588800</v>
      </c>
      <c r="H160" s="225" t="n">
        <v>3617855</v>
      </c>
      <c r="I160" s="225" t="n">
        <v>2121410</v>
      </c>
      <c r="J160" s="198" t="n">
        <v>42</v>
      </c>
      <c r="K160" s="198" t="n">
        <v>2</v>
      </c>
      <c r="L160" s="226" t="n">
        <v>44551</v>
      </c>
      <c r="M160" s="226" t="n">
        <v>42200</v>
      </c>
      <c r="N160" s="227" t="n">
        <v>1</v>
      </c>
      <c r="O160" s="227" t="s">
        <v>135</v>
      </c>
      <c r="P160" s="228" t="n">
        <f aca="false">VLOOKUP(B160,'NIVEL ENERO'!A:D,3,0)</f>
        <v>0.306152493229719</v>
      </c>
      <c r="Q160" s="229" t="n">
        <f aca="false">VLOOKUP(B160,'NIVEL ENERO'!A:D,4,0)</f>
        <v>1547051</v>
      </c>
      <c r="R160" s="186" t="str">
        <f aca="false">+PROPER(C160&amp;" "&amp;D160)</f>
        <v>Valencia Guarnizo Paola</v>
      </c>
      <c r="S160" s="230" t="n">
        <f aca="false">+YEARFRAC(L160,$S$1)</f>
        <v>4.39166666666667</v>
      </c>
      <c r="T160" s="230" t="n">
        <f aca="false">+YEARFRAC(M160,$S$1)</f>
        <v>10.825</v>
      </c>
      <c r="U160" s="231" t="n">
        <f aca="false">+$I160</f>
        <v>2121410</v>
      </c>
      <c r="V160" s="232" t="str">
        <f aca="false">+PROPER(F160)</f>
        <v>Separado(A)</v>
      </c>
    </row>
    <row r="161" customFormat="false" ht="14.25" hidden="false" customHeight="false" outlineLevel="0" collapsed="false">
      <c r="B161" s="197" t="n">
        <v>29360220</v>
      </c>
      <c r="C161" s="197" t="s">
        <v>1246</v>
      </c>
      <c r="D161" s="197" t="s">
        <v>1247</v>
      </c>
      <c r="E161" s="198" t="s">
        <v>944</v>
      </c>
      <c r="F161" s="198" t="s">
        <v>953</v>
      </c>
      <c r="G161" s="225" t="n">
        <v>5418800</v>
      </c>
      <c r="H161" s="225" t="n">
        <v>8154187</v>
      </c>
      <c r="I161" s="225" t="n">
        <v>0</v>
      </c>
      <c r="J161" s="198" t="n">
        <v>42</v>
      </c>
      <c r="K161" s="198" t="n">
        <v>1</v>
      </c>
      <c r="L161" s="226" t="n">
        <v>43928</v>
      </c>
      <c r="M161" s="226" t="n">
        <v>39735</v>
      </c>
      <c r="N161" s="227" t="n">
        <v>3</v>
      </c>
      <c r="O161" s="227" t="s">
        <v>135</v>
      </c>
      <c r="P161" s="228" t="n">
        <f aca="false">VLOOKUP(B161,'NIVEL ENERO'!A:D,3,0)</f>
        <v>0.258890682993937</v>
      </c>
      <c r="Q161" s="229" t="n">
        <f aca="false">VLOOKUP(B161,'NIVEL ENERO'!A:D,4,0)</f>
        <v>1135262.28</v>
      </c>
      <c r="R161" s="186" t="str">
        <f aca="false">+PROPER(C161&amp;" "&amp;D161)</f>
        <v>Barcos Asprilla Karoll Yesenia</v>
      </c>
      <c r="S161" s="230" t="n">
        <f aca="false">+YEARFRAC(L161,$S$1)</f>
        <v>6.09722222222222</v>
      </c>
      <c r="T161" s="230" t="n">
        <f aca="false">+YEARFRAC(M161,$S$1)</f>
        <v>17.5777777777778</v>
      </c>
      <c r="U161" s="231" t="n">
        <f aca="false">+$I161</f>
        <v>0</v>
      </c>
      <c r="V161" s="232" t="str">
        <f aca="false">+PROPER(F161)</f>
        <v>Soltero(A)</v>
      </c>
    </row>
    <row r="162" customFormat="false" ht="14.25" hidden="false" customHeight="false" outlineLevel="0" collapsed="false">
      <c r="B162" s="197" t="n">
        <v>29360578</v>
      </c>
      <c r="C162" s="197" t="s">
        <v>1248</v>
      </c>
      <c r="D162" s="197" t="s">
        <v>1249</v>
      </c>
      <c r="E162" s="198" t="s">
        <v>944</v>
      </c>
      <c r="F162" s="198" t="s">
        <v>953</v>
      </c>
      <c r="G162" s="225" t="n">
        <v>2893800</v>
      </c>
      <c r="H162" s="225" t="n">
        <v>2099109</v>
      </c>
      <c r="I162" s="225" t="n">
        <v>5700848</v>
      </c>
      <c r="J162" s="198" t="n">
        <v>42</v>
      </c>
      <c r="K162" s="198" t="n">
        <v>4</v>
      </c>
      <c r="L162" s="226" t="n">
        <v>44490</v>
      </c>
      <c r="M162" s="226" t="n">
        <v>44105</v>
      </c>
      <c r="N162" s="227" t="n">
        <v>2</v>
      </c>
      <c r="O162" s="227" t="s">
        <v>135</v>
      </c>
      <c r="P162" s="228" t="n">
        <f aca="false">VLOOKUP(B162,'NIVEL ENERO'!A:D,3,0)</f>
        <v>0.27678216915986</v>
      </c>
      <c r="Q162" s="229" t="n">
        <f aca="false">VLOOKUP(B162,'NIVEL ENERO'!A:D,4,0)</f>
        <v>515562.04</v>
      </c>
      <c r="R162" s="186" t="str">
        <f aca="false">+PROPER(C162&amp;" "&amp;D162)</f>
        <v>Dominguez Cepeda Laura Lorena</v>
      </c>
      <c r="S162" s="230" t="n">
        <f aca="false">+YEARFRAC(L162,$S$1)</f>
        <v>4.55833333333333</v>
      </c>
      <c r="T162" s="230" t="n">
        <f aca="false">+YEARFRAC(M162,$S$1)</f>
        <v>5.61388888888889</v>
      </c>
      <c r="U162" s="231" t="n">
        <f aca="false">+$I162</f>
        <v>5700848</v>
      </c>
      <c r="V162" s="232" t="str">
        <f aca="false">+PROPER(F162)</f>
        <v>Soltero(A)</v>
      </c>
    </row>
    <row r="163" customFormat="false" ht="14.25" hidden="false" customHeight="false" outlineLevel="0" collapsed="false">
      <c r="B163" s="197" t="n">
        <v>29363464</v>
      </c>
      <c r="C163" s="197" t="s">
        <v>1250</v>
      </c>
      <c r="D163" s="197" t="s">
        <v>1251</v>
      </c>
      <c r="E163" s="198" t="s">
        <v>944</v>
      </c>
      <c r="F163" s="198" t="s">
        <v>953</v>
      </c>
      <c r="G163" s="225" t="n">
        <v>2893800</v>
      </c>
      <c r="H163" s="225" t="n">
        <v>3277279</v>
      </c>
      <c r="I163" s="225" t="n">
        <v>10573524</v>
      </c>
      <c r="J163" s="198" t="n">
        <v>42</v>
      </c>
      <c r="K163" s="198" t="n">
        <v>1</v>
      </c>
      <c r="L163" s="226" t="n">
        <v>43357</v>
      </c>
      <c r="M163" s="226" t="n">
        <v>39120</v>
      </c>
      <c r="N163" s="227" t="n">
        <v>1</v>
      </c>
      <c r="O163" s="227" t="s">
        <v>135</v>
      </c>
      <c r="P163" s="228" t="n">
        <f aca="false">VLOOKUP(B163,'NIVEL ENERO'!A:D,3,0)</f>
        <v>0.345608702296961</v>
      </c>
      <c r="Q163" s="229" t="n">
        <f aca="false">VLOOKUP(B163,'NIVEL ENERO'!A:D,4,0)</f>
        <v>316717.28</v>
      </c>
      <c r="R163" s="186" t="str">
        <f aca="false">+PROPER(C163&amp;" "&amp;D163)</f>
        <v>Gaviria Sary</v>
      </c>
      <c r="S163" s="230" t="n">
        <f aca="false">+YEARFRAC(L163,$S$1)</f>
        <v>7.66111111111111</v>
      </c>
      <c r="T163" s="230" t="n">
        <f aca="false">+YEARFRAC(M163,$S$1)</f>
        <v>19.2638888888889</v>
      </c>
      <c r="U163" s="231" t="n">
        <f aca="false">+$I163</f>
        <v>10573524</v>
      </c>
      <c r="V163" s="232" t="str">
        <f aca="false">+PROPER(F163)</f>
        <v>Soltero(A)</v>
      </c>
    </row>
    <row r="164" customFormat="false" ht="14.25" hidden="false" customHeight="false" outlineLevel="0" collapsed="false">
      <c r="B164" s="197" t="n">
        <v>29363921</v>
      </c>
      <c r="C164" s="197" t="s">
        <v>1252</v>
      </c>
      <c r="D164" s="197" t="s">
        <v>1253</v>
      </c>
      <c r="E164" s="198" t="s">
        <v>944</v>
      </c>
      <c r="F164" s="198" t="s">
        <v>953</v>
      </c>
      <c r="G164" s="225" t="n">
        <v>2600900</v>
      </c>
      <c r="H164" s="225" t="n">
        <v>947160</v>
      </c>
      <c r="I164" s="225" t="n">
        <v>4741113</v>
      </c>
      <c r="J164" s="198" t="n">
        <v>42</v>
      </c>
      <c r="K164" s="198" t="n">
        <v>4</v>
      </c>
      <c r="L164" s="226" t="n">
        <v>45220</v>
      </c>
      <c r="M164" s="226" t="n">
        <v>44300</v>
      </c>
      <c r="N164" s="227" t="n">
        <v>0</v>
      </c>
      <c r="O164" s="227" t="s">
        <v>135</v>
      </c>
      <c r="P164" s="228" t="n">
        <f aca="false">VLOOKUP(B164,'NIVEL ENERO'!A:D,3,0)</f>
        <v>0.456305576173392</v>
      </c>
      <c r="Q164" s="229" t="n">
        <f aca="false">VLOOKUP(B164,'NIVEL ENERO'!A:D,4,0)</f>
        <v>-110185.56</v>
      </c>
      <c r="R164" s="186" t="str">
        <f aca="false">+PROPER(C164&amp;" "&amp;D164)</f>
        <v>Hurtado Urrea Glenda Gisela</v>
      </c>
      <c r="S164" s="230" t="n">
        <f aca="false">+YEARFRAC(L164,$S$1)</f>
        <v>2.55833333333333</v>
      </c>
      <c r="T164" s="230" t="n">
        <f aca="false">+YEARFRAC(M164,$S$1)</f>
        <v>5.07777777777778</v>
      </c>
      <c r="U164" s="231" t="n">
        <f aca="false">+$I164</f>
        <v>4741113</v>
      </c>
      <c r="V164" s="232" t="str">
        <f aca="false">+PROPER(F164)</f>
        <v>Soltero(A)</v>
      </c>
    </row>
    <row r="165" customFormat="false" ht="14.25" hidden="false" customHeight="false" outlineLevel="0" collapsed="false">
      <c r="B165" s="197" t="n">
        <v>29507012</v>
      </c>
      <c r="C165" s="197" t="s">
        <v>1254</v>
      </c>
      <c r="D165" s="197" t="s">
        <v>1255</v>
      </c>
      <c r="E165" s="198" t="s">
        <v>944</v>
      </c>
      <c r="F165" s="198" t="s">
        <v>948</v>
      </c>
      <c r="G165" s="225" t="n">
        <v>4870200</v>
      </c>
      <c r="H165" s="225" t="n">
        <v>520000</v>
      </c>
      <c r="I165" s="225" t="n">
        <v>4473198</v>
      </c>
      <c r="J165" s="198" t="n">
        <v>43</v>
      </c>
      <c r="K165" s="198" t="n">
        <v>4</v>
      </c>
      <c r="L165" s="226" t="n">
        <v>45414</v>
      </c>
      <c r="M165" s="226" t="n">
        <v>42633</v>
      </c>
      <c r="N165" s="227" t="n">
        <v>3</v>
      </c>
      <c r="O165" s="227" t="s">
        <v>135</v>
      </c>
      <c r="P165" s="228" t="n">
        <f aca="false">VLOOKUP(B165,'NIVEL ENERO'!A:D,3,0)</f>
        <v>0.355490768228875</v>
      </c>
      <c r="Q165" s="229" t="n">
        <f aca="false">VLOOKUP(B165,'NIVEL ENERO'!A:D,4,0)</f>
        <v>466064.9</v>
      </c>
      <c r="R165" s="186" t="str">
        <f aca="false">+PROPER(C165&amp;" "&amp;D165)</f>
        <v>Collazos Piedrahita Miryam Estella</v>
      </c>
      <c r="S165" s="230" t="n">
        <f aca="false">+YEARFRAC(L165,$S$1)</f>
        <v>2.02777777777778</v>
      </c>
      <c r="T165" s="230" t="n">
        <f aca="false">+YEARFRAC(M165,$S$1)</f>
        <v>9.64444444444444</v>
      </c>
      <c r="U165" s="231" t="n">
        <f aca="false">+$I165</f>
        <v>4473198</v>
      </c>
      <c r="V165" s="232" t="str">
        <f aca="false">+PROPER(F165)</f>
        <v>Casado(A)</v>
      </c>
    </row>
    <row r="166" customFormat="false" ht="14.25" hidden="false" customHeight="false" outlineLevel="0" collapsed="false">
      <c r="B166" s="197" t="n">
        <v>29508587</v>
      </c>
      <c r="C166" s="197" t="s">
        <v>1256</v>
      </c>
      <c r="D166" s="197" t="s">
        <v>1257</v>
      </c>
      <c r="E166" s="198" t="s">
        <v>944</v>
      </c>
      <c r="F166" s="198" t="s">
        <v>948</v>
      </c>
      <c r="G166" s="225" t="n">
        <v>2600900</v>
      </c>
      <c r="H166" s="225" t="n">
        <v>2910316</v>
      </c>
      <c r="I166" s="225" t="n">
        <v>6130272</v>
      </c>
      <c r="J166" s="198" t="n">
        <v>41</v>
      </c>
      <c r="K166" s="198" t="n">
        <v>1</v>
      </c>
      <c r="L166" s="226" t="n">
        <v>43909</v>
      </c>
      <c r="M166" s="226" t="n">
        <v>41137</v>
      </c>
      <c r="N166" s="227" t="n">
        <v>3</v>
      </c>
      <c r="O166" s="227" t="s">
        <v>135</v>
      </c>
      <c r="P166" s="228" t="n">
        <f aca="false">VLOOKUP(B166,'NIVEL ENERO'!A:D,3,0)</f>
        <v>0.42532189210343</v>
      </c>
      <c r="Q166" s="229" t="n">
        <f aca="false">VLOOKUP(B166,'NIVEL ENERO'!A:D,4,0)</f>
        <v>-16706.3400000001</v>
      </c>
      <c r="R166" s="186" t="str">
        <f aca="false">+PROPER(C166&amp;" "&amp;D166)</f>
        <v>Machado Escobar Luz Marina</v>
      </c>
      <c r="S166" s="230" t="n">
        <f aca="false">+YEARFRAC(L166,$S$1)</f>
        <v>6.14722222222222</v>
      </c>
      <c r="T166" s="230" t="n">
        <f aca="false">+YEARFRAC(M166,$S$1)</f>
        <v>13.7388888888889</v>
      </c>
      <c r="U166" s="231" t="n">
        <f aca="false">+$I166</f>
        <v>6130272</v>
      </c>
      <c r="V166" s="232" t="str">
        <f aca="false">+PROPER(F166)</f>
        <v>Casado(A)</v>
      </c>
    </row>
    <row r="167" customFormat="false" ht="14.25" hidden="false" customHeight="false" outlineLevel="0" collapsed="false">
      <c r="B167" s="197" t="n">
        <v>29510656</v>
      </c>
      <c r="C167" s="197" t="s">
        <v>1258</v>
      </c>
      <c r="D167" s="197" t="s">
        <v>1259</v>
      </c>
      <c r="E167" s="198" t="s">
        <v>944</v>
      </c>
      <c r="F167" s="198" t="s">
        <v>1107</v>
      </c>
      <c r="G167" s="225" t="n">
        <v>2604400</v>
      </c>
      <c r="H167" s="225" t="n">
        <v>1121761</v>
      </c>
      <c r="I167" s="225"/>
      <c r="J167" s="198" t="n">
        <v>39</v>
      </c>
      <c r="K167" s="198" t="n">
        <v>2</v>
      </c>
      <c r="L167" s="226" t="n">
        <v>45118</v>
      </c>
      <c r="M167" s="226" t="n">
        <v>42156</v>
      </c>
      <c r="N167" s="227" t="n">
        <v>0</v>
      </c>
      <c r="O167" s="227" t="s">
        <v>135</v>
      </c>
      <c r="P167" s="228" t="n">
        <f aca="false">VLOOKUP(B167,'NIVEL ENERO'!A:D,3,0)</f>
        <v>0.216751474068337</v>
      </c>
      <c r="Q167" s="229" t="n">
        <f aca="false">VLOOKUP(B167,'NIVEL ENERO'!A:D,4,0)</f>
        <v>708165.56</v>
      </c>
      <c r="R167" s="186" t="str">
        <f aca="false">+PROPER(C167&amp;" "&amp;D167)</f>
        <v>Espinoza Cardona Claudia Jimena</v>
      </c>
      <c r="S167" s="230" t="n">
        <f aca="false">+YEARFRAC(L167,$S$1)</f>
        <v>2.83611111111111</v>
      </c>
      <c r="T167" s="230" t="n">
        <f aca="false">+YEARFRAC(M167,$S$1)</f>
        <v>10.9472222222222</v>
      </c>
      <c r="U167" s="231" t="n">
        <f aca="false">+$I167</f>
        <v>0</v>
      </c>
      <c r="V167" s="232" t="str">
        <f aca="false">+PROPER(F167)</f>
        <v>Viudo(A)</v>
      </c>
    </row>
    <row r="168" customFormat="false" ht="14.25" hidden="false" customHeight="false" outlineLevel="0" collapsed="false">
      <c r="B168" s="197" t="n">
        <v>29510817</v>
      </c>
      <c r="C168" s="197" t="s">
        <v>1260</v>
      </c>
      <c r="D168" s="197" t="s">
        <v>1261</v>
      </c>
      <c r="E168" s="198" t="s">
        <v>944</v>
      </c>
      <c r="F168" s="198" t="s">
        <v>953</v>
      </c>
      <c r="G168" s="225" t="n">
        <v>3394800</v>
      </c>
      <c r="H168" s="225" t="n">
        <v>2607705</v>
      </c>
      <c r="I168" s="225" t="n">
        <v>12468124</v>
      </c>
      <c r="J168" s="198" t="n">
        <v>39</v>
      </c>
      <c r="K168" s="198" t="n">
        <v>2</v>
      </c>
      <c r="L168" s="226" t="n">
        <v>44866</v>
      </c>
      <c r="M168" s="226" t="n">
        <v>41436</v>
      </c>
      <c r="N168" s="227" t="n">
        <v>5</v>
      </c>
      <c r="O168" s="227" t="s">
        <v>135</v>
      </c>
      <c r="P168" s="228" t="n">
        <f aca="false">VLOOKUP(B168,'NIVEL ENERO'!A:D,3,0)</f>
        <v>0.416697890891952</v>
      </c>
      <c r="Q168" s="229" t="n">
        <f aca="false">VLOOKUP(B168,'NIVEL ENERO'!A:D,4,0)</f>
        <v>11210</v>
      </c>
      <c r="R168" s="186" t="str">
        <f aca="false">+PROPER(C168&amp;" "&amp;D168)</f>
        <v>Vanegas Amaya Jessica</v>
      </c>
      <c r="S168" s="230" t="n">
        <f aca="false">+YEARFRAC(L168,$S$1)</f>
        <v>3.53055555555556</v>
      </c>
      <c r="T168" s="230" t="n">
        <f aca="false">+YEARFRAC(M168,$S$1)</f>
        <v>12.9194444444444</v>
      </c>
      <c r="U168" s="231" t="n">
        <f aca="false">+$I168</f>
        <v>12468124</v>
      </c>
      <c r="V168" s="232" t="str">
        <f aca="false">+PROPER(F168)</f>
        <v>Soltero(A)</v>
      </c>
    </row>
    <row r="169" customFormat="false" ht="14.25" hidden="false" customHeight="false" outlineLevel="0" collapsed="false">
      <c r="B169" s="197" t="n">
        <v>29539887</v>
      </c>
      <c r="C169" s="197" t="s">
        <v>1262</v>
      </c>
      <c r="D169" s="197" t="s">
        <v>1263</v>
      </c>
      <c r="E169" s="198" t="s">
        <v>968</v>
      </c>
      <c r="F169" s="198" t="s">
        <v>945</v>
      </c>
      <c r="G169" s="225" t="n">
        <v>2113100</v>
      </c>
      <c r="H169" s="225" t="n">
        <v>3050561</v>
      </c>
      <c r="I169" s="225" t="n">
        <v>910545</v>
      </c>
      <c r="J169" s="198" t="n">
        <v>61</v>
      </c>
      <c r="K169" s="198" t="n">
        <v>4</v>
      </c>
      <c r="L169" s="226" t="n">
        <v>43844</v>
      </c>
      <c r="M169" s="226" t="n">
        <v>35800</v>
      </c>
      <c r="N169" s="227" t="n">
        <v>3</v>
      </c>
      <c r="O169" s="227" t="s">
        <v>445</v>
      </c>
      <c r="P169" s="228" t="e">
        <f aca="false">VLOOKUP(B169,'NIVEL ENERO'!A:D,3,0)</f>
        <v>#N/A</v>
      </c>
      <c r="Q169" s="229" t="e">
        <f aca="false">VLOOKUP(B169,'NIVEL ENERO'!A:D,4,0)</f>
        <v>#N/A</v>
      </c>
      <c r="R169" s="186" t="str">
        <f aca="false">+PROPER(C169&amp;" "&amp;D169)</f>
        <v>Calero Molina Nubia</v>
      </c>
      <c r="S169" s="230" t="n">
        <f aca="false">+YEARFRAC(L169,$S$1)</f>
        <v>6.32777777777778</v>
      </c>
      <c r="T169" s="230" t="n">
        <f aca="false">+YEARFRAC(M169,$S$1)</f>
        <v>28.3527777777778</v>
      </c>
      <c r="U169" s="231" t="n">
        <f aca="false">+$I169</f>
        <v>910545</v>
      </c>
      <c r="V169" s="232" t="str">
        <f aca="false">+PROPER(F169)</f>
        <v>Union Libre</v>
      </c>
    </row>
    <row r="170" customFormat="false" ht="14.25" hidden="false" customHeight="false" outlineLevel="0" collapsed="false">
      <c r="B170" s="197" t="n">
        <v>29544646</v>
      </c>
      <c r="C170" s="197" t="s">
        <v>1264</v>
      </c>
      <c r="D170" s="197" t="s">
        <v>1265</v>
      </c>
      <c r="E170" s="198" t="s">
        <v>944</v>
      </c>
      <c r="F170" s="198" t="s">
        <v>953</v>
      </c>
      <c r="G170" s="225" t="n">
        <v>7000000</v>
      </c>
      <c r="H170" s="225" t="n">
        <v>650000</v>
      </c>
      <c r="I170" s="225"/>
      <c r="J170" s="198" t="n">
        <v>40</v>
      </c>
      <c r="K170" s="198" t="n">
        <v>3</v>
      </c>
      <c r="L170" s="226" t="n">
        <v>45352</v>
      </c>
      <c r="M170" s="226" t="n">
        <v>40422</v>
      </c>
      <c r="N170" s="227" t="n">
        <v>0</v>
      </c>
      <c r="O170" s="227" t="s">
        <v>158</v>
      </c>
      <c r="P170" s="228" t="e">
        <f aca="false">VLOOKUP(B170,'NIVEL ENERO'!A:D,3,0)</f>
        <v>#N/A</v>
      </c>
      <c r="Q170" s="229" t="e">
        <f aca="false">VLOOKUP(B170,'NIVEL ENERO'!A:D,4,0)</f>
        <v>#N/A</v>
      </c>
      <c r="R170" s="186" t="str">
        <f aca="false">+PROPER(C170&amp;" "&amp;D170)</f>
        <v>Alvarez Montenegro Adriana</v>
      </c>
      <c r="S170" s="230" t="n">
        <f aca="false">+YEARFRAC(L170,$S$1)</f>
        <v>2.19722222222222</v>
      </c>
      <c r="T170" s="230" t="n">
        <f aca="false">+YEARFRAC(M170,$S$1)</f>
        <v>15.6972222222222</v>
      </c>
      <c r="U170" s="231" t="n">
        <f aca="false">+$I170</f>
        <v>0</v>
      </c>
      <c r="V170" s="232" t="str">
        <f aca="false">+PROPER(F170)</f>
        <v>Soltero(A)</v>
      </c>
    </row>
    <row r="171" customFormat="false" ht="14.25" hidden="false" customHeight="false" outlineLevel="0" collapsed="false">
      <c r="B171" s="197" t="n">
        <v>29544732</v>
      </c>
      <c r="C171" s="197" t="s">
        <v>1266</v>
      </c>
      <c r="D171" s="197" t="s">
        <v>1267</v>
      </c>
      <c r="E171" s="198" t="s">
        <v>944</v>
      </c>
      <c r="F171" s="198" t="s">
        <v>953</v>
      </c>
      <c r="G171" s="225" t="n">
        <v>2893800</v>
      </c>
      <c r="H171" s="225" t="n">
        <v>715000</v>
      </c>
      <c r="I171" s="225" t="n">
        <v>11782179</v>
      </c>
      <c r="J171" s="198" t="n">
        <v>40</v>
      </c>
      <c r="K171" s="198" t="n">
        <v>2</v>
      </c>
      <c r="L171" s="226" t="n">
        <v>45343</v>
      </c>
      <c r="M171" s="226" t="n">
        <v>39022</v>
      </c>
      <c r="N171" s="227" t="n">
        <v>0</v>
      </c>
      <c r="O171" s="227" t="s">
        <v>135</v>
      </c>
      <c r="P171" s="228" t="n">
        <f aca="false">VLOOKUP(B171,'NIVEL ENERO'!A:D,3,0)</f>
        <v>0.209901371549964</v>
      </c>
      <c r="Q171" s="229" t="n">
        <f aca="false">VLOOKUP(B171,'NIVEL ENERO'!A:D,4,0)</f>
        <v>855084.82</v>
      </c>
      <c r="R171" s="186" t="str">
        <f aca="false">+PROPER(C171&amp;" "&amp;D171)</f>
        <v>Pena Ayala Ana Maria</v>
      </c>
      <c r="S171" s="230" t="n">
        <f aca="false">+YEARFRAC(L171,$S$1)</f>
        <v>2.225</v>
      </c>
      <c r="T171" s="230" t="n">
        <f aca="false">+YEARFRAC(M171,$S$1)</f>
        <v>19.5305555555556</v>
      </c>
      <c r="U171" s="231" t="n">
        <f aca="false">+$I171</f>
        <v>11782179</v>
      </c>
      <c r="V171" s="232" t="str">
        <f aca="false">+PROPER(F171)</f>
        <v>Soltero(A)</v>
      </c>
    </row>
    <row r="172" customFormat="false" ht="14.25" hidden="false" customHeight="false" outlineLevel="0" collapsed="false">
      <c r="B172" s="197" t="n">
        <v>29545130</v>
      </c>
      <c r="C172" s="197" t="s">
        <v>1268</v>
      </c>
      <c r="D172" s="197" t="s">
        <v>1269</v>
      </c>
      <c r="E172" s="198" t="s">
        <v>944</v>
      </c>
      <c r="F172" s="198" t="s">
        <v>948</v>
      </c>
      <c r="G172" s="225" t="n">
        <v>3394800</v>
      </c>
      <c r="H172" s="225" t="n">
        <v>2701894</v>
      </c>
      <c r="I172" s="225" t="n">
        <v>400865</v>
      </c>
      <c r="J172" s="198" t="n">
        <v>39</v>
      </c>
      <c r="K172" s="198" t="n">
        <v>1</v>
      </c>
      <c r="L172" s="226" t="n">
        <v>45142</v>
      </c>
      <c r="M172" s="226" t="n">
        <v>41075</v>
      </c>
      <c r="N172" s="227" t="n">
        <v>2</v>
      </c>
      <c r="O172" s="227" t="s">
        <v>135</v>
      </c>
      <c r="P172" s="228" t="n">
        <f aca="false">VLOOKUP(B172,'NIVEL ENERO'!A:D,3,0)</f>
        <v>0.14025597973371</v>
      </c>
      <c r="Q172" s="229" t="n">
        <f aca="false">VLOOKUP(B172,'NIVEL ENERO'!A:D,4,0)</f>
        <v>949675</v>
      </c>
      <c r="R172" s="186" t="str">
        <f aca="false">+PROPER(C172&amp;" "&amp;D172)</f>
        <v>Benavidez Rico Yenifer</v>
      </c>
      <c r="S172" s="230" t="n">
        <f aca="false">+YEARFRAC(L172,$S$1)</f>
        <v>2.77222222222222</v>
      </c>
      <c r="T172" s="230" t="n">
        <f aca="false">+YEARFRAC(M172,$S$1)</f>
        <v>13.9083333333333</v>
      </c>
      <c r="U172" s="231" t="n">
        <f aca="false">+$I172</f>
        <v>400865</v>
      </c>
      <c r="V172" s="232" t="str">
        <f aca="false">+PROPER(F172)</f>
        <v>Casado(A)</v>
      </c>
    </row>
    <row r="173" customFormat="false" ht="14.25" hidden="false" customHeight="false" outlineLevel="0" collapsed="false">
      <c r="B173" s="197" t="n">
        <v>29547783</v>
      </c>
      <c r="C173" s="197" t="s">
        <v>1270</v>
      </c>
      <c r="D173" s="197" t="s">
        <v>1271</v>
      </c>
      <c r="E173" s="198" t="s">
        <v>944</v>
      </c>
      <c r="F173" s="198" t="s">
        <v>945</v>
      </c>
      <c r="G173" s="225" t="n">
        <v>1625000</v>
      </c>
      <c r="H173" s="225" t="n">
        <v>1100000</v>
      </c>
      <c r="I173" s="225"/>
      <c r="J173" s="198" t="n">
        <v>51</v>
      </c>
      <c r="K173" s="198" t="n">
        <v>1</v>
      </c>
      <c r="L173" s="226" t="n">
        <v>45344</v>
      </c>
      <c r="M173" s="226" t="n">
        <v>45507</v>
      </c>
      <c r="N173" s="227" t="n">
        <v>0</v>
      </c>
      <c r="O173" s="227" t="s">
        <v>135</v>
      </c>
      <c r="P173" s="228" t="n">
        <f aca="false">VLOOKUP(B173,'NIVEL ENERO'!A:D,3,0)</f>
        <v>0.153760112916982</v>
      </c>
      <c r="Q173" s="229" t="n">
        <f aca="false">VLOOKUP(B173,'NIVEL ENERO'!A:D,4,0)</f>
        <v>565629.48</v>
      </c>
      <c r="R173" s="186" t="str">
        <f aca="false">+PROPER(C173&amp;" "&amp;D173)</f>
        <v>Plaza Martha</v>
      </c>
      <c r="S173" s="230" t="n">
        <f aca="false">+YEARFRAC(L173,$S$1)</f>
        <v>2.22222222222222</v>
      </c>
      <c r="T173" s="230" t="n">
        <f aca="false">+YEARFRAC(M173,$S$1)</f>
        <v>1.775</v>
      </c>
      <c r="U173" s="231" t="n">
        <f aca="false">+$I173</f>
        <v>0</v>
      </c>
      <c r="V173" s="232" t="str">
        <f aca="false">+PROPER(F173)</f>
        <v>Union Libre</v>
      </c>
    </row>
    <row r="174" customFormat="false" ht="14.25" hidden="false" customHeight="false" outlineLevel="0" collapsed="false">
      <c r="B174" s="197" t="n">
        <v>29562102</v>
      </c>
      <c r="C174" s="197" t="s">
        <v>1272</v>
      </c>
      <c r="D174" s="197" t="s">
        <v>1273</v>
      </c>
      <c r="E174" s="198" t="s">
        <v>944</v>
      </c>
      <c r="F174" s="198" t="s">
        <v>953</v>
      </c>
      <c r="G174" s="225" t="n">
        <v>3847000</v>
      </c>
      <c r="H174" s="225" t="n">
        <v>8994893</v>
      </c>
      <c r="I174" s="225" t="n">
        <v>0</v>
      </c>
      <c r="J174" s="198" t="n">
        <v>67</v>
      </c>
      <c r="K174" s="198" t="n">
        <v>1</v>
      </c>
      <c r="L174" s="226" t="n">
        <v>42314</v>
      </c>
      <c r="M174" s="226" t="n">
        <v>33057</v>
      </c>
      <c r="N174" s="227" t="n">
        <v>2</v>
      </c>
      <c r="O174" s="227" t="s">
        <v>445</v>
      </c>
      <c r="P174" s="228" t="e">
        <f aca="false">VLOOKUP(B174,'NIVEL ENERO'!A:D,3,0)</f>
        <v>#N/A</v>
      </c>
      <c r="Q174" s="229" t="e">
        <f aca="false">VLOOKUP(B174,'NIVEL ENERO'!A:D,4,0)</f>
        <v>#N/A</v>
      </c>
      <c r="R174" s="186" t="str">
        <f aca="false">+PROPER(C174&amp;" "&amp;D174)</f>
        <v>Potes Amezquita Myriam</v>
      </c>
      <c r="S174" s="230" t="n">
        <f aca="false">+YEARFRAC(L174,$S$1)</f>
        <v>10.5166666666667</v>
      </c>
      <c r="T174" s="230" t="n">
        <f aca="false">+YEARFRAC(M174,$S$1)</f>
        <v>35.8583333333333</v>
      </c>
      <c r="U174" s="231" t="n">
        <f aca="false">+$I174</f>
        <v>0</v>
      </c>
      <c r="V174" s="232" t="str">
        <f aca="false">+PROPER(F174)</f>
        <v>Soltero(A)</v>
      </c>
    </row>
    <row r="175" customFormat="false" ht="14.25" hidden="false" customHeight="false" outlineLevel="0" collapsed="false">
      <c r="B175" s="197" t="n">
        <v>29567600</v>
      </c>
      <c r="C175" s="197" t="s">
        <v>1274</v>
      </c>
      <c r="D175" s="197" t="s">
        <v>1275</v>
      </c>
      <c r="E175" s="198" t="s">
        <v>944</v>
      </c>
      <c r="F175" s="198" t="s">
        <v>948</v>
      </c>
      <c r="G175" s="225" t="n">
        <v>5291000</v>
      </c>
      <c r="H175" s="225" t="n">
        <v>850000</v>
      </c>
      <c r="I175" s="225" t="n">
        <v>1302824</v>
      </c>
      <c r="J175" s="198" t="n">
        <v>46</v>
      </c>
      <c r="K175" s="198" t="n">
        <v>1</v>
      </c>
      <c r="L175" s="226" t="n">
        <v>45517</v>
      </c>
      <c r="M175" s="226" t="n">
        <v>40909</v>
      </c>
      <c r="N175" s="227" t="n">
        <v>3</v>
      </c>
      <c r="O175" s="227" t="s">
        <v>135</v>
      </c>
      <c r="P175" s="228" t="n">
        <f aca="false">VLOOKUP(B175,'NIVEL ENERO'!A:D,3,0)</f>
        <v>0.21295274995275</v>
      </c>
      <c r="Q175" s="229" t="n">
        <f aca="false">VLOOKUP(B175,'NIVEL ENERO'!A:D,4,0)</f>
        <v>1095487</v>
      </c>
      <c r="R175" s="186" t="str">
        <f aca="false">+PROPER(C175&amp;" "&amp;D175)</f>
        <v>Quiroz Castrillon Ana Milena</v>
      </c>
      <c r="S175" s="230" t="n">
        <f aca="false">+YEARFRAC(L175,$S$1)</f>
        <v>1.74722222222222</v>
      </c>
      <c r="T175" s="230" t="n">
        <f aca="false">+YEARFRAC(M175,$S$1)</f>
        <v>14.3638888888889</v>
      </c>
      <c r="U175" s="231" t="n">
        <f aca="false">+$I175</f>
        <v>1302824</v>
      </c>
      <c r="V175" s="232" t="str">
        <f aca="false">+PROPER(F175)</f>
        <v>Casado(A)</v>
      </c>
    </row>
    <row r="176" customFormat="false" ht="14.25" hidden="false" customHeight="false" outlineLevel="0" collapsed="false">
      <c r="B176" s="197" t="n">
        <v>29582380</v>
      </c>
      <c r="C176" s="197" t="s">
        <v>1276</v>
      </c>
      <c r="D176" s="197" t="s">
        <v>1277</v>
      </c>
      <c r="E176" s="198" t="s">
        <v>944</v>
      </c>
      <c r="F176" s="198" t="s">
        <v>948</v>
      </c>
      <c r="G176" s="225" t="n">
        <v>2600900</v>
      </c>
      <c r="H176" s="225" t="n">
        <v>10125372</v>
      </c>
      <c r="I176" s="225" t="n">
        <v>0</v>
      </c>
      <c r="J176" s="198" t="n">
        <v>51</v>
      </c>
      <c r="K176" s="198" t="n">
        <v>1</v>
      </c>
      <c r="L176" s="226" t="n">
        <v>41368</v>
      </c>
      <c r="M176" s="226" t="n">
        <v>38762</v>
      </c>
      <c r="N176" s="227" t="n">
        <v>3</v>
      </c>
      <c r="O176" s="227" t="s">
        <v>135</v>
      </c>
      <c r="P176" s="228" t="n">
        <f aca="false">VLOOKUP(B176,'NIVEL ENERO'!A:D,3,0)</f>
        <v>0.131884732208082</v>
      </c>
      <c r="Q176" s="229" t="n">
        <f aca="false">VLOOKUP(B176,'NIVEL ENERO'!A:D,4,0)</f>
        <v>749359</v>
      </c>
      <c r="R176" s="186" t="str">
        <f aca="false">+PROPER(C176&amp;" "&amp;D176)</f>
        <v>Hurtado Orozco Maria Delpilar</v>
      </c>
      <c r="S176" s="230" t="n">
        <f aca="false">+YEARFRAC(L176,$S$1)</f>
        <v>13.1055555555556</v>
      </c>
      <c r="T176" s="230" t="n">
        <f aca="false">+YEARFRAC(M176,$S$1)</f>
        <v>20.2444444444444</v>
      </c>
      <c r="U176" s="231" t="n">
        <f aca="false">+$I176</f>
        <v>0</v>
      </c>
      <c r="V176" s="232" t="str">
        <f aca="false">+PROPER(F176)</f>
        <v>Casado(A)</v>
      </c>
    </row>
    <row r="177" customFormat="false" ht="14.25" hidden="false" customHeight="false" outlineLevel="0" collapsed="false">
      <c r="B177" s="197" t="n">
        <v>29664881</v>
      </c>
      <c r="C177" s="197" t="s">
        <v>1278</v>
      </c>
      <c r="D177" s="197" t="s">
        <v>1279</v>
      </c>
      <c r="E177" s="198" t="s">
        <v>944</v>
      </c>
      <c r="F177" s="198" t="s">
        <v>953</v>
      </c>
      <c r="G177" s="225" t="n">
        <v>2893800</v>
      </c>
      <c r="H177" s="225" t="n">
        <v>12726814</v>
      </c>
      <c r="I177" s="225" t="n">
        <v>5183540</v>
      </c>
      <c r="J177" s="198" t="n">
        <v>44</v>
      </c>
      <c r="K177" s="198" t="n">
        <v>1</v>
      </c>
      <c r="L177" s="226" t="n">
        <v>38967</v>
      </c>
      <c r="M177" s="226" t="n">
        <v>38312</v>
      </c>
      <c r="N177" s="227" t="n">
        <v>1</v>
      </c>
      <c r="O177" s="227" t="s">
        <v>135</v>
      </c>
      <c r="P177" s="228" t="n">
        <f aca="false">VLOOKUP(B177,'NIVEL ENERO'!A:D,3,0)</f>
        <v>0.200426946198111</v>
      </c>
      <c r="Q177" s="229" t="n">
        <f aca="false">VLOOKUP(B177,'NIVEL ENERO'!A:D,4,0)</f>
        <v>665213.62</v>
      </c>
      <c r="R177" s="186" t="str">
        <f aca="false">+PROPER(C177&amp;" "&amp;D177)</f>
        <v>Caicedo Luz Maryuri</v>
      </c>
      <c r="S177" s="230" t="n">
        <f aca="false">+YEARFRAC(L177,$S$1)</f>
        <v>19.6805555555556</v>
      </c>
      <c r="T177" s="230" t="n">
        <f aca="false">+YEARFRAC(M177,$S$1)</f>
        <v>21.475</v>
      </c>
      <c r="U177" s="231" t="n">
        <f aca="false">+$I177</f>
        <v>5183540</v>
      </c>
      <c r="V177" s="232" t="str">
        <f aca="false">+PROPER(F177)</f>
        <v>Soltero(A)</v>
      </c>
    </row>
    <row r="178" customFormat="false" ht="14.25" hidden="false" customHeight="false" outlineLevel="0" collapsed="false">
      <c r="B178" s="197" t="n">
        <v>29665479</v>
      </c>
      <c r="C178" s="197" t="s">
        <v>1280</v>
      </c>
      <c r="D178" s="197" t="s">
        <v>1281</v>
      </c>
      <c r="E178" s="198" t="s">
        <v>944</v>
      </c>
      <c r="F178" s="198" t="s">
        <v>1282</v>
      </c>
      <c r="G178" s="225" t="n">
        <v>6000000</v>
      </c>
      <c r="H178" s="225" t="n">
        <v>17270941</v>
      </c>
      <c r="I178" s="225" t="n">
        <v>0</v>
      </c>
      <c r="J178" s="198" t="n">
        <v>43</v>
      </c>
      <c r="K178" s="198" t="n">
        <v>4</v>
      </c>
      <c r="L178" s="226" t="n">
        <v>40960</v>
      </c>
      <c r="M178" s="226" t="n">
        <v>38593</v>
      </c>
      <c r="N178" s="227" t="n">
        <v>3</v>
      </c>
      <c r="O178" s="227" t="s">
        <v>158</v>
      </c>
      <c r="P178" s="228" t="e">
        <f aca="false">VLOOKUP(B178,'NIVEL ENERO'!A:D,3,0)</f>
        <v>#N/A</v>
      </c>
      <c r="Q178" s="229" t="e">
        <f aca="false">VLOOKUP(B178,'NIVEL ENERO'!A:D,4,0)</f>
        <v>#N/A</v>
      </c>
      <c r="R178" s="186" t="str">
        <f aca="false">+PROPER(C178&amp;" "&amp;D178)</f>
        <v>Mena Gutierrez Catalina</v>
      </c>
      <c r="S178" s="230" t="n">
        <f aca="false">+YEARFRAC(L178,$S$1)</f>
        <v>14.225</v>
      </c>
      <c r="T178" s="230" t="n">
        <f aca="false">+YEARFRAC(M178,$S$1)</f>
        <v>20.7027777777778</v>
      </c>
      <c r="U178" s="231" t="n">
        <f aca="false">+$I178</f>
        <v>0</v>
      </c>
      <c r="V178" s="232" t="str">
        <f aca="false">+PROPER(F178)</f>
        <v>Divorciado</v>
      </c>
    </row>
    <row r="179" customFormat="false" ht="14.25" hidden="false" customHeight="false" outlineLevel="0" collapsed="false">
      <c r="B179" s="197" t="n">
        <v>29672981</v>
      </c>
      <c r="C179" s="197" t="s">
        <v>1283</v>
      </c>
      <c r="D179" s="197" t="s">
        <v>1284</v>
      </c>
      <c r="E179" s="198" t="s">
        <v>944</v>
      </c>
      <c r="F179" s="198" t="s">
        <v>953</v>
      </c>
      <c r="G179" s="225" t="n">
        <v>2320800</v>
      </c>
      <c r="H179" s="225" t="n">
        <v>1910716</v>
      </c>
      <c r="I179" s="225" t="n">
        <v>3021068</v>
      </c>
      <c r="J179" s="198" t="n">
        <v>42</v>
      </c>
      <c r="K179" s="198" t="n">
        <v>1</v>
      </c>
      <c r="L179" s="226" t="n">
        <v>44635</v>
      </c>
      <c r="M179" s="226" t="n">
        <v>44105</v>
      </c>
      <c r="N179" s="227" t="n">
        <v>2</v>
      </c>
      <c r="O179" s="227" t="s">
        <v>135</v>
      </c>
      <c r="P179" s="228" t="n">
        <f aca="false">VLOOKUP(B179,'NIVEL ENERO'!A:D,3,0)</f>
        <v>0.1997227882656</v>
      </c>
      <c r="Q179" s="229" t="n">
        <f aca="false">VLOOKUP(B179,'NIVEL ENERO'!A:D,4,0)</f>
        <v>572919</v>
      </c>
      <c r="R179" s="186" t="str">
        <f aca="false">+PROPER(C179&amp;" "&amp;D179)</f>
        <v>Munoz Arenas Angela Yurany</v>
      </c>
      <c r="S179" s="230" t="n">
        <f aca="false">+YEARFRAC(L179,$S$1)</f>
        <v>4.15833333333333</v>
      </c>
      <c r="T179" s="230" t="n">
        <f aca="false">+YEARFRAC(M179,$S$1)</f>
        <v>5.61388888888889</v>
      </c>
      <c r="U179" s="231" t="n">
        <f aca="false">+$I179</f>
        <v>3021068</v>
      </c>
      <c r="V179" s="232" t="str">
        <f aca="false">+PROPER(F179)</f>
        <v>Soltero(A)</v>
      </c>
    </row>
    <row r="180" customFormat="false" ht="14.25" hidden="false" customHeight="false" outlineLevel="0" collapsed="false">
      <c r="B180" s="197" t="n">
        <v>29676890</v>
      </c>
      <c r="C180" s="197" t="s">
        <v>1285</v>
      </c>
      <c r="D180" s="197" t="s">
        <v>1267</v>
      </c>
      <c r="E180" s="198" t="s">
        <v>944</v>
      </c>
      <c r="F180" s="198" t="s">
        <v>948</v>
      </c>
      <c r="G180" s="225" t="n">
        <v>6000000</v>
      </c>
      <c r="H180" s="225" t="n">
        <v>390000</v>
      </c>
      <c r="I180" s="225"/>
      <c r="J180" s="198" t="n">
        <v>41</v>
      </c>
      <c r="K180" s="198" t="n">
        <v>2</v>
      </c>
      <c r="L180" s="226" t="n">
        <v>45475</v>
      </c>
      <c r="M180" s="226" t="n">
        <v>44504</v>
      </c>
      <c r="N180" s="227" t="n">
        <v>0</v>
      </c>
      <c r="O180" s="227" t="s">
        <v>158</v>
      </c>
      <c r="P180" s="228" t="e">
        <f aca="false">VLOOKUP(B180,'NIVEL ENERO'!A:D,3,0)</f>
        <v>#N/A</v>
      </c>
      <c r="Q180" s="229" t="e">
        <f aca="false">VLOOKUP(B180,'NIVEL ENERO'!A:D,4,0)</f>
        <v>#N/A</v>
      </c>
      <c r="R180" s="186" t="str">
        <f aca="false">+PROPER(C180&amp;" "&amp;D180)</f>
        <v>Munoz Bonilla Ana Maria</v>
      </c>
      <c r="S180" s="230" t="n">
        <f aca="false">+YEARFRAC(L180,$S$1)</f>
        <v>1.86111111111111</v>
      </c>
      <c r="T180" s="230" t="n">
        <f aca="false">+YEARFRAC(M180,$S$1)</f>
        <v>4.52222222222222</v>
      </c>
      <c r="U180" s="231" t="n">
        <f aca="false">+$I180</f>
        <v>0</v>
      </c>
      <c r="V180" s="232" t="str">
        <f aca="false">+PROPER(F180)</f>
        <v>Casado(A)</v>
      </c>
    </row>
    <row r="181" customFormat="false" ht="14.25" hidden="false" customHeight="false" outlineLevel="0" collapsed="false">
      <c r="B181" s="197" t="n">
        <v>29677772</v>
      </c>
      <c r="C181" s="197" t="s">
        <v>1286</v>
      </c>
      <c r="D181" s="197" t="s">
        <v>1287</v>
      </c>
      <c r="E181" s="198" t="s">
        <v>1288</v>
      </c>
      <c r="F181" s="198" t="s">
        <v>953</v>
      </c>
      <c r="G181" s="225" t="n">
        <v>2893800</v>
      </c>
      <c r="H181" s="225" t="n">
        <v>9628033</v>
      </c>
      <c r="I181" s="225" t="n">
        <v>2581075</v>
      </c>
      <c r="J181" s="198" t="n">
        <v>41</v>
      </c>
      <c r="K181" s="198" t="n">
        <v>1</v>
      </c>
      <c r="L181" s="226" t="n">
        <v>42501</v>
      </c>
      <c r="M181" s="226" t="n">
        <v>39305</v>
      </c>
      <c r="N181" s="227" t="n">
        <v>3</v>
      </c>
      <c r="O181" s="227" t="s">
        <v>135</v>
      </c>
      <c r="P181" s="228" t="n">
        <f aca="false">VLOOKUP(B181,'NIVEL ENERO'!A:D,3,0)</f>
        <v>0.252377496717119</v>
      </c>
      <c r="Q181" s="229" t="n">
        <f aca="false">VLOOKUP(B181,'NIVEL ENERO'!A:D,4,0)</f>
        <v>485066</v>
      </c>
      <c r="R181" s="186" t="str">
        <f aca="false">+PROPER(C181&amp;" "&amp;D181)</f>
        <v>Ramirez Martinez Yuri Andrea</v>
      </c>
      <c r="S181" s="230" t="n">
        <f aca="false">+YEARFRAC(L181,$S$1)</f>
        <v>10.0027777777778</v>
      </c>
      <c r="T181" s="230" t="n">
        <f aca="false">+YEARFRAC(M181,$S$1)</f>
        <v>18.7527777777778</v>
      </c>
      <c r="U181" s="231" t="n">
        <f aca="false">+$I181</f>
        <v>2581075</v>
      </c>
      <c r="V181" s="232" t="str">
        <f aca="false">+PROPER(F181)</f>
        <v>Soltero(A)</v>
      </c>
    </row>
    <row r="182" customFormat="false" ht="14.25" hidden="false" customHeight="false" outlineLevel="0" collapsed="false">
      <c r="B182" s="197" t="n">
        <v>29679168</v>
      </c>
      <c r="C182" s="197" t="s">
        <v>1289</v>
      </c>
      <c r="D182" s="197" t="s">
        <v>1290</v>
      </c>
      <c r="E182" s="198" t="s">
        <v>944</v>
      </c>
      <c r="F182" s="198" t="s">
        <v>948</v>
      </c>
      <c r="G182" s="225" t="n">
        <v>2893800</v>
      </c>
      <c r="H182" s="225" t="n">
        <v>2365283</v>
      </c>
      <c r="I182" s="225" t="n">
        <v>2457562</v>
      </c>
      <c r="J182" s="198" t="n">
        <v>41</v>
      </c>
      <c r="K182" s="198" t="n">
        <v>1</v>
      </c>
      <c r="L182" s="226" t="n">
        <v>44362</v>
      </c>
      <c r="M182" s="226" t="n">
        <v>39916</v>
      </c>
      <c r="N182" s="227" t="n">
        <v>4</v>
      </c>
      <c r="O182" s="227" t="s">
        <v>135</v>
      </c>
      <c r="P182" s="228" t="n">
        <f aca="false">VLOOKUP(B182,'NIVEL ENERO'!A:D,3,0)</f>
        <v>0.460502799087705</v>
      </c>
      <c r="Q182" s="229" t="n">
        <f aca="false">VLOOKUP(B182,'NIVEL ENERO'!A:D,4,0)</f>
        <v>-117207</v>
      </c>
      <c r="R182" s="186" t="str">
        <f aca="false">+PROPER(C182&amp;" "&amp;D182)</f>
        <v>Sandoval Carabali Yuseth Magaly</v>
      </c>
      <c r="S182" s="230" t="n">
        <f aca="false">+YEARFRAC(L182,$S$1)</f>
        <v>4.90833333333333</v>
      </c>
      <c r="T182" s="230" t="n">
        <f aca="false">+YEARFRAC(M182,$S$1)</f>
        <v>17.0805555555556</v>
      </c>
      <c r="U182" s="231" t="n">
        <f aca="false">+$I182</f>
        <v>2457562</v>
      </c>
      <c r="V182" s="232" t="str">
        <f aca="false">+PROPER(F182)</f>
        <v>Casado(A)</v>
      </c>
    </row>
    <row r="183" customFormat="false" ht="14.25" hidden="false" customHeight="false" outlineLevel="0" collapsed="false">
      <c r="B183" s="197" t="n">
        <v>29679637</v>
      </c>
      <c r="C183" s="197" t="s">
        <v>1291</v>
      </c>
      <c r="D183" s="197" t="s">
        <v>1292</v>
      </c>
      <c r="E183" s="198" t="s">
        <v>1288</v>
      </c>
      <c r="F183" s="198" t="s">
        <v>948</v>
      </c>
      <c r="G183" s="225" t="n">
        <v>4469100</v>
      </c>
      <c r="H183" s="225" t="n">
        <v>650000</v>
      </c>
      <c r="I183" s="225" t="n">
        <v>1960218</v>
      </c>
      <c r="J183" s="198" t="n">
        <v>41</v>
      </c>
      <c r="K183" s="198" t="n">
        <v>1</v>
      </c>
      <c r="L183" s="226" t="n">
        <v>45370</v>
      </c>
      <c r="M183" s="226" t="n">
        <v>40189</v>
      </c>
      <c r="N183" s="227" t="n">
        <v>3</v>
      </c>
      <c r="O183" s="227" t="s">
        <v>135</v>
      </c>
      <c r="P183" s="228" t="n">
        <f aca="false">VLOOKUP(B183,'NIVEL ENERO'!A:D,3,0)</f>
        <v>0.270040042970791</v>
      </c>
      <c r="Q183" s="229" t="n">
        <f aca="false">VLOOKUP(B183,'NIVEL ENERO'!A:D,4,0)</f>
        <v>724577.92</v>
      </c>
      <c r="R183" s="186" t="str">
        <f aca="false">+PROPER(C183&amp;" "&amp;D183)</f>
        <v>Lenis Herrera Maria Juliana</v>
      </c>
      <c r="S183" s="230" t="n">
        <f aca="false">+YEARFRAC(L183,$S$1)</f>
        <v>2.14722222222222</v>
      </c>
      <c r="T183" s="230" t="n">
        <f aca="false">+YEARFRAC(M183,$S$1)</f>
        <v>16.3361111111111</v>
      </c>
      <c r="U183" s="231" t="n">
        <f aca="false">+$I183</f>
        <v>1960218</v>
      </c>
      <c r="V183" s="232" t="str">
        <f aca="false">+PROPER(F183)</f>
        <v>Casado(A)</v>
      </c>
    </row>
    <row r="184" customFormat="false" ht="14.25" hidden="false" customHeight="false" outlineLevel="0" collapsed="false">
      <c r="B184" s="197" t="n">
        <v>29679941</v>
      </c>
      <c r="C184" s="197" t="s">
        <v>1293</v>
      </c>
      <c r="D184" s="197" t="s">
        <v>1294</v>
      </c>
      <c r="E184" s="198" t="s">
        <v>944</v>
      </c>
      <c r="F184" s="198" t="s">
        <v>948</v>
      </c>
      <c r="G184" s="225" t="n">
        <v>5418800</v>
      </c>
      <c r="H184" s="225" t="n">
        <v>1559014</v>
      </c>
      <c r="I184" s="225"/>
      <c r="J184" s="198" t="n">
        <v>40</v>
      </c>
      <c r="K184" s="198" t="n">
        <v>1</v>
      </c>
      <c r="L184" s="226" t="n">
        <v>44908</v>
      </c>
      <c r="M184" s="226" t="n">
        <v>39356</v>
      </c>
      <c r="N184" s="227" t="n">
        <v>0</v>
      </c>
      <c r="O184" s="227" t="s">
        <v>135</v>
      </c>
      <c r="P184" s="228" t="n">
        <f aca="false">VLOOKUP(B184,'NIVEL ENERO'!A:D,3,0)</f>
        <v>0.108835720085628</v>
      </c>
      <c r="Q184" s="229" t="n">
        <f aca="false">VLOOKUP(B184,'NIVEL ENERO'!A:D,4,0)</f>
        <v>1686137</v>
      </c>
      <c r="R184" s="186" t="str">
        <f aca="false">+PROPER(C184&amp;" "&amp;D184)</f>
        <v>Rivera Munoz Edilma Lucy</v>
      </c>
      <c r="S184" s="230" t="n">
        <f aca="false">+YEARFRAC(L184,$S$1)</f>
        <v>3.41388888888889</v>
      </c>
      <c r="T184" s="230" t="n">
        <f aca="false">+YEARFRAC(M184,$S$1)</f>
        <v>18.6138888888889</v>
      </c>
      <c r="U184" s="231" t="n">
        <f aca="false">+$I184</f>
        <v>0</v>
      </c>
      <c r="V184" s="232" t="str">
        <f aca="false">+PROPER(F184)</f>
        <v>Casado(A)</v>
      </c>
    </row>
    <row r="185" customFormat="false" ht="14.25" hidden="false" customHeight="false" outlineLevel="0" collapsed="false">
      <c r="B185" s="197" t="n">
        <v>29680920</v>
      </c>
      <c r="C185" s="197" t="s">
        <v>1295</v>
      </c>
      <c r="D185" s="197" t="s">
        <v>1296</v>
      </c>
      <c r="E185" s="198" t="s">
        <v>944</v>
      </c>
      <c r="F185" s="198" t="s">
        <v>953</v>
      </c>
      <c r="G185" s="225" t="n">
        <v>2893800</v>
      </c>
      <c r="H185" s="225" t="n">
        <v>3115208</v>
      </c>
      <c r="I185" s="225" t="n">
        <v>7588105</v>
      </c>
      <c r="J185" s="198" t="n">
        <v>41</v>
      </c>
      <c r="K185" s="198" t="n">
        <v>2</v>
      </c>
      <c r="L185" s="226" t="n">
        <v>43753</v>
      </c>
      <c r="M185" s="226" t="n">
        <v>41306</v>
      </c>
      <c r="N185" s="227" t="n">
        <v>3</v>
      </c>
      <c r="O185" s="227" t="s">
        <v>135</v>
      </c>
      <c r="P185" s="228" t="n">
        <f aca="false">VLOOKUP(B185,'NIVEL ENERO'!A:D,3,0)</f>
        <v>0.539005142589438</v>
      </c>
      <c r="Q185" s="229" t="n">
        <f aca="false">VLOOKUP(B185,'NIVEL ENERO'!A:D,4,0)</f>
        <v>-399577.26</v>
      </c>
      <c r="R185" s="186" t="str">
        <f aca="false">+PROPER(C185&amp;" "&amp;D185)</f>
        <v>Botina Arango Erica Marcela</v>
      </c>
      <c r="S185" s="230" t="n">
        <f aca="false">+YEARFRAC(L185,$S$1)</f>
        <v>6.575</v>
      </c>
      <c r="T185" s="230" t="n">
        <f aca="false">+YEARFRAC(M185,$S$1)</f>
        <v>13.2805555555556</v>
      </c>
      <c r="U185" s="231" t="n">
        <f aca="false">+$I185</f>
        <v>7588105</v>
      </c>
      <c r="V185" s="232" t="str">
        <f aca="false">+PROPER(F185)</f>
        <v>Soltero(A)</v>
      </c>
    </row>
    <row r="186" customFormat="false" ht="14.25" hidden="false" customHeight="false" outlineLevel="0" collapsed="false">
      <c r="B186" s="197" t="n">
        <v>29681380</v>
      </c>
      <c r="C186" s="197" t="s">
        <v>1297</v>
      </c>
      <c r="D186" s="197" t="s">
        <v>1298</v>
      </c>
      <c r="E186" s="198" t="s">
        <v>944</v>
      </c>
      <c r="F186" s="198" t="s">
        <v>945</v>
      </c>
      <c r="G186" s="225" t="n">
        <v>2648100</v>
      </c>
      <c r="H186" s="225" t="n">
        <v>2135019</v>
      </c>
      <c r="I186" s="225" t="n">
        <v>1387341</v>
      </c>
      <c r="J186" s="198" t="n">
        <v>40</v>
      </c>
      <c r="K186" s="198" t="n">
        <v>1</v>
      </c>
      <c r="L186" s="226" t="n">
        <v>45252</v>
      </c>
      <c r="M186" s="226" t="n">
        <v>39022</v>
      </c>
      <c r="N186" s="227" t="n">
        <v>5</v>
      </c>
      <c r="O186" s="227" t="s">
        <v>135</v>
      </c>
      <c r="P186" s="228" t="n">
        <f aca="false">VLOOKUP(B186,'NIVEL ENERO'!A:D,3,0)</f>
        <v>0.342053062534157</v>
      </c>
      <c r="Q186" s="229" t="n">
        <f aca="false">VLOOKUP(B186,'NIVEL ENERO'!A:D,4,0)</f>
        <v>292238.58</v>
      </c>
      <c r="R186" s="186" t="str">
        <f aca="false">+PROPER(C186&amp;" "&amp;D186)</f>
        <v>Espinosa Munoz Monica</v>
      </c>
      <c r="S186" s="230" t="n">
        <f aca="false">+YEARFRAC(L186,$S$1)</f>
        <v>2.47222222222222</v>
      </c>
      <c r="T186" s="230" t="n">
        <f aca="false">+YEARFRAC(M186,$S$1)</f>
        <v>19.5305555555556</v>
      </c>
      <c r="U186" s="231" t="n">
        <f aca="false">+$I186</f>
        <v>1387341</v>
      </c>
      <c r="V186" s="232" t="str">
        <f aca="false">+PROPER(F186)</f>
        <v>Union Libre</v>
      </c>
    </row>
    <row r="187" customFormat="false" ht="14.25" hidden="false" customHeight="false" outlineLevel="0" collapsed="false">
      <c r="B187" s="197" t="n">
        <v>29684827</v>
      </c>
      <c r="C187" s="197" t="s">
        <v>1299</v>
      </c>
      <c r="D187" s="197" t="s">
        <v>1300</v>
      </c>
      <c r="E187" s="198" t="s">
        <v>944</v>
      </c>
      <c r="F187" s="198" t="s">
        <v>945</v>
      </c>
      <c r="G187" s="225" t="n">
        <v>2600900</v>
      </c>
      <c r="H187" s="225" t="n">
        <v>1028100</v>
      </c>
      <c r="I187" s="225" t="n">
        <v>2192408</v>
      </c>
      <c r="J187" s="198" t="n">
        <v>39</v>
      </c>
      <c r="K187" s="198" t="n">
        <v>1</v>
      </c>
      <c r="L187" s="226" t="n">
        <v>45370</v>
      </c>
      <c r="M187" s="226" t="n">
        <v>41913</v>
      </c>
      <c r="N187" s="227" t="n">
        <v>4</v>
      </c>
      <c r="O187" s="227" t="s">
        <v>135</v>
      </c>
      <c r="P187" s="228" t="n">
        <f aca="false">VLOOKUP(B187,'NIVEL ENERO'!A:D,3,0)</f>
        <v>0.440172779514773</v>
      </c>
      <c r="Q187" s="229" t="n">
        <f aca="false">VLOOKUP(B187,'NIVEL ENERO'!A:D,4,0)</f>
        <v>-55805.52</v>
      </c>
      <c r="R187" s="186" t="str">
        <f aca="false">+PROPER(C187&amp;" "&amp;D187)</f>
        <v>Cuero Perea Sugeidy</v>
      </c>
      <c r="S187" s="230" t="n">
        <f aca="false">+YEARFRAC(L187,$S$1)</f>
        <v>2.14722222222222</v>
      </c>
      <c r="T187" s="230" t="n">
        <f aca="false">+YEARFRAC(M187,$S$1)</f>
        <v>11.6138888888889</v>
      </c>
      <c r="U187" s="231" t="n">
        <f aca="false">+$I187</f>
        <v>2192408</v>
      </c>
      <c r="V187" s="232" t="str">
        <f aca="false">+PROPER(F187)</f>
        <v>Union Libre</v>
      </c>
    </row>
    <row r="188" customFormat="false" ht="14.25" hidden="false" customHeight="false" outlineLevel="0" collapsed="false">
      <c r="B188" s="197" t="n">
        <v>29688760</v>
      </c>
      <c r="C188" s="197" t="s">
        <v>1301</v>
      </c>
      <c r="D188" s="197" t="s">
        <v>1302</v>
      </c>
      <c r="E188" s="198" t="s">
        <v>944</v>
      </c>
      <c r="F188" s="198" t="s">
        <v>953</v>
      </c>
      <c r="G188" s="225" t="n">
        <v>5842800</v>
      </c>
      <c r="H188" s="225" t="n">
        <v>3619723</v>
      </c>
      <c r="I188" s="225" t="n">
        <v>7144280</v>
      </c>
      <c r="J188" s="198" t="n">
        <v>39</v>
      </c>
      <c r="K188" s="198" t="n">
        <v>1</v>
      </c>
      <c r="L188" s="226" t="n">
        <v>44399</v>
      </c>
      <c r="M188" s="226" t="n">
        <v>39266</v>
      </c>
      <c r="N188" s="227" t="n">
        <v>4</v>
      </c>
      <c r="O188" s="227" t="s">
        <v>135</v>
      </c>
      <c r="P188" s="228" t="n">
        <f aca="false">VLOOKUP(B188,'NIVEL ENERO'!A:D,3,0)</f>
        <v>0.259582392003834</v>
      </c>
      <c r="Q188" s="229" t="n">
        <f aca="false">VLOOKUP(B188,'NIVEL ENERO'!A:D,4,0)</f>
        <v>937288</v>
      </c>
      <c r="R188" s="186" t="str">
        <f aca="false">+PROPER(C188&amp;" "&amp;D188)</f>
        <v>Goyes Recalde Luz Viviana</v>
      </c>
      <c r="S188" s="230" t="n">
        <f aca="false">+YEARFRAC(L188,$S$1)</f>
        <v>4.80555555555556</v>
      </c>
      <c r="T188" s="230" t="n">
        <f aca="false">+YEARFRAC(M188,$S$1)</f>
        <v>18.8583333333333</v>
      </c>
      <c r="U188" s="231" t="n">
        <f aca="false">+$I188</f>
        <v>7144280</v>
      </c>
      <c r="V188" s="232" t="str">
        <f aca="false">+PROPER(F188)</f>
        <v>Soltero(A)</v>
      </c>
    </row>
    <row r="189" customFormat="false" ht="14.25" hidden="false" customHeight="false" outlineLevel="0" collapsed="false">
      <c r="B189" s="197" t="n">
        <v>29689010</v>
      </c>
      <c r="C189" s="197" t="s">
        <v>1303</v>
      </c>
      <c r="D189" s="197" t="s">
        <v>1304</v>
      </c>
      <c r="E189" s="198" t="s">
        <v>944</v>
      </c>
      <c r="F189" s="198" t="s">
        <v>998</v>
      </c>
      <c r="G189" s="225" t="n">
        <v>5842800</v>
      </c>
      <c r="H189" s="225" t="n">
        <v>130000</v>
      </c>
      <c r="I189" s="225" t="n">
        <v>0</v>
      </c>
      <c r="J189" s="198" t="n">
        <v>39</v>
      </c>
      <c r="K189" s="198" t="n">
        <v>1</v>
      </c>
      <c r="L189" s="226" t="n">
        <v>45615</v>
      </c>
      <c r="M189" s="226" t="n">
        <v>40238</v>
      </c>
      <c r="N189" s="227" t="n">
        <v>2</v>
      </c>
      <c r="O189" s="227" t="s">
        <v>135</v>
      </c>
      <c r="P189" s="228" t="n">
        <f aca="false">VLOOKUP(B189,'NIVEL ENERO'!A:D,3,0)</f>
        <v>0.277283151913466</v>
      </c>
      <c r="Q189" s="229" t="n">
        <f aca="false">VLOOKUP(B189,'NIVEL ENERO'!A:D,4,0)</f>
        <v>833866</v>
      </c>
      <c r="R189" s="186" t="str">
        <f aca="false">+PROPER(C189&amp;" "&amp;D189)</f>
        <v>Rivera Cruz Leidy Rosana</v>
      </c>
      <c r="S189" s="230" t="n">
        <f aca="false">+YEARFRAC(L189,$S$1)</f>
        <v>1.48055555555556</v>
      </c>
      <c r="T189" s="230" t="n">
        <f aca="false">+YEARFRAC(M189,$S$1)</f>
        <v>16.1972222222222</v>
      </c>
      <c r="U189" s="231" t="n">
        <f aca="false">+$I189</f>
        <v>0</v>
      </c>
      <c r="V189" s="232" t="str">
        <f aca="false">+PROPER(F189)</f>
        <v>Separado(A)</v>
      </c>
    </row>
    <row r="190" customFormat="false" ht="14.25" hidden="false" customHeight="false" outlineLevel="0" collapsed="false">
      <c r="B190" s="197" t="n">
        <v>29705663</v>
      </c>
      <c r="C190" s="197" t="s">
        <v>1305</v>
      </c>
      <c r="D190" s="197" t="s">
        <v>1306</v>
      </c>
      <c r="E190" s="198" t="s">
        <v>1288</v>
      </c>
      <c r="F190" s="198" t="s">
        <v>945</v>
      </c>
      <c r="G190" s="225" t="n">
        <v>7551500</v>
      </c>
      <c r="H190" s="225" t="n">
        <v>8567588</v>
      </c>
      <c r="I190" s="225" t="n">
        <v>16218126</v>
      </c>
      <c r="J190" s="198" t="n">
        <v>43</v>
      </c>
      <c r="K190" s="198" t="n">
        <v>2</v>
      </c>
      <c r="L190" s="226" t="n">
        <v>44028</v>
      </c>
      <c r="M190" s="226" t="n">
        <v>43191</v>
      </c>
      <c r="N190" s="227" t="n">
        <v>4</v>
      </c>
      <c r="O190" s="227" t="s">
        <v>135</v>
      </c>
      <c r="P190" s="228" t="n">
        <f aca="false">VLOOKUP(B190,'NIVEL ENERO'!A:D,3,0)</f>
        <v>0.285402201241303</v>
      </c>
      <c r="Q190" s="229" t="n">
        <f aca="false">VLOOKUP(B190,'NIVEL ENERO'!A:D,4,0)</f>
        <v>1230378.04</v>
      </c>
      <c r="R190" s="186" t="str">
        <f aca="false">+PROPER(C190&amp;" "&amp;D190)</f>
        <v>Alban Castro Giovanna</v>
      </c>
      <c r="S190" s="230" t="n">
        <f aca="false">+YEARFRAC(L190,$S$1)</f>
        <v>5.82222222222222</v>
      </c>
      <c r="T190" s="230" t="n">
        <f aca="false">+YEARFRAC(M190,$S$1)</f>
        <v>8.11388888888889</v>
      </c>
      <c r="U190" s="231" t="n">
        <f aca="false">+$I190</f>
        <v>16218126</v>
      </c>
      <c r="V190" s="232" t="str">
        <f aca="false">+PROPER(F190)</f>
        <v>Union Libre</v>
      </c>
    </row>
    <row r="191" customFormat="false" ht="14.25" hidden="false" customHeight="false" outlineLevel="0" collapsed="false">
      <c r="B191" s="197" t="n">
        <v>29706405</v>
      </c>
      <c r="C191" s="197" t="s">
        <v>1307</v>
      </c>
      <c r="D191" s="197" t="s">
        <v>1308</v>
      </c>
      <c r="E191" s="198" t="s">
        <v>944</v>
      </c>
      <c r="F191" s="198" t="s">
        <v>998</v>
      </c>
      <c r="G191" s="225" t="n">
        <v>2893800</v>
      </c>
      <c r="H191" s="225" t="n">
        <v>300000</v>
      </c>
      <c r="I191" s="225" t="n">
        <v>0</v>
      </c>
      <c r="J191" s="198" t="n">
        <v>40</v>
      </c>
      <c r="K191" s="198" t="n">
        <v>4</v>
      </c>
      <c r="L191" s="226" t="n">
        <v>45580</v>
      </c>
      <c r="M191" s="226" t="n">
        <v>40341</v>
      </c>
      <c r="N191" s="227" t="n">
        <v>3</v>
      </c>
      <c r="O191" s="227" t="s">
        <v>135</v>
      </c>
      <c r="P191" s="228" t="n">
        <f aca="false">VLOOKUP(B191,'NIVEL ENERO'!A:D,3,0)</f>
        <v>0.303912241731559</v>
      </c>
      <c r="Q191" s="229" t="n">
        <f aca="false">VLOOKUP(B191,'NIVEL ENERO'!A:D,4,0)</f>
        <v>670771.9</v>
      </c>
      <c r="R191" s="186" t="str">
        <f aca="false">+PROPER(C191&amp;" "&amp;D191)</f>
        <v>Lopez Rojas Maria Del Pilar</v>
      </c>
      <c r="S191" s="230" t="n">
        <f aca="false">+YEARFRAC(L191,$S$1)</f>
        <v>1.575</v>
      </c>
      <c r="T191" s="230" t="n">
        <f aca="false">+YEARFRAC(M191,$S$1)</f>
        <v>15.9166666666667</v>
      </c>
      <c r="U191" s="231" t="n">
        <f aca="false">+$I191</f>
        <v>0</v>
      </c>
      <c r="V191" s="232" t="str">
        <f aca="false">+PROPER(F191)</f>
        <v>Separado(A)</v>
      </c>
    </row>
    <row r="192" customFormat="false" ht="14.25" hidden="false" customHeight="false" outlineLevel="0" collapsed="false">
      <c r="B192" s="197" t="n">
        <v>29706560</v>
      </c>
      <c r="C192" s="197" t="s">
        <v>1309</v>
      </c>
      <c r="D192" s="197" t="s">
        <v>1310</v>
      </c>
      <c r="E192" s="198" t="s">
        <v>944</v>
      </c>
      <c r="F192" s="198" t="s">
        <v>948</v>
      </c>
      <c r="G192" s="225" t="n">
        <v>2893800</v>
      </c>
      <c r="H192" s="225" t="n">
        <v>195000</v>
      </c>
      <c r="I192" s="225" t="n">
        <v>0</v>
      </c>
      <c r="J192" s="198" t="n">
        <v>40</v>
      </c>
      <c r="K192" s="198" t="n">
        <v>3</v>
      </c>
      <c r="L192" s="226" t="n">
        <v>45580</v>
      </c>
      <c r="M192" s="226" t="n">
        <v>39729</v>
      </c>
      <c r="N192" s="227" t="n">
        <v>5</v>
      </c>
      <c r="O192" s="227" t="s">
        <v>135</v>
      </c>
      <c r="P192" s="228" t="n">
        <f aca="false">VLOOKUP(B192,'NIVEL ENERO'!A:D,3,0)</f>
        <v>0.476569526764712</v>
      </c>
      <c r="Q192" s="229" t="n">
        <f aca="false">VLOOKUP(B192,'NIVEL ENERO'!A:D,4,0)</f>
        <v>-158244.2</v>
      </c>
      <c r="R192" s="186" t="str">
        <f aca="false">+PROPER(C192&amp;" "&amp;D192)</f>
        <v>Canaveral Candelo Oriana Faysury</v>
      </c>
      <c r="S192" s="230" t="n">
        <f aca="false">+YEARFRAC(L192,$S$1)</f>
        <v>1.575</v>
      </c>
      <c r="T192" s="230" t="n">
        <f aca="false">+YEARFRAC(M192,$S$1)</f>
        <v>17.5944444444444</v>
      </c>
      <c r="U192" s="231" t="n">
        <f aca="false">+$I192</f>
        <v>0</v>
      </c>
      <c r="V192" s="232" t="str">
        <f aca="false">+PROPER(F192)</f>
        <v>Casado(A)</v>
      </c>
    </row>
    <row r="193" customFormat="false" ht="14.25" hidden="false" customHeight="false" outlineLevel="0" collapsed="false">
      <c r="B193" s="197" t="n">
        <v>29785277</v>
      </c>
      <c r="C193" s="197" t="s">
        <v>1311</v>
      </c>
      <c r="D193" s="197" t="s">
        <v>1312</v>
      </c>
      <c r="E193" s="198" t="s">
        <v>944</v>
      </c>
      <c r="F193" s="198" t="s">
        <v>948</v>
      </c>
      <c r="G193" s="225" t="n">
        <v>2500000</v>
      </c>
      <c r="H193" s="225" t="n">
        <v>2163254</v>
      </c>
      <c r="I193" s="225"/>
      <c r="J193" s="198" t="n">
        <v>52</v>
      </c>
      <c r="K193" s="198" t="n">
        <v>2</v>
      </c>
      <c r="L193" s="226" t="n">
        <v>44491</v>
      </c>
      <c r="M193" s="226" t="n">
        <v>44246</v>
      </c>
      <c r="N193" s="227" t="n">
        <v>4</v>
      </c>
      <c r="O193" s="227" t="s">
        <v>135</v>
      </c>
      <c r="P193" s="228" t="n">
        <f aca="false">VLOOKUP(B193,'NIVEL ENERO'!A:D,3,0)</f>
        <v>0.109655470315848</v>
      </c>
      <c r="Q193" s="229" t="n">
        <f aca="false">VLOOKUP(B193,'NIVEL ENERO'!A:D,4,0)</f>
        <v>898075</v>
      </c>
      <c r="R193" s="186" t="str">
        <f aca="false">+PROPER(C193&amp;" "&amp;D193)</f>
        <v>Gil Rios Olga Lucia</v>
      </c>
      <c r="S193" s="230" t="n">
        <f aca="false">+YEARFRAC(L193,$S$1)</f>
        <v>4.55555555555556</v>
      </c>
      <c r="T193" s="230" t="n">
        <f aca="false">+YEARFRAC(M193,$S$1)</f>
        <v>5.23055555555556</v>
      </c>
      <c r="U193" s="231" t="n">
        <f aca="false">+$I193</f>
        <v>0</v>
      </c>
      <c r="V193" s="232" t="str">
        <f aca="false">+PROPER(F193)</f>
        <v>Casado(A)</v>
      </c>
    </row>
    <row r="194" customFormat="false" ht="14.25" hidden="false" customHeight="false" outlineLevel="0" collapsed="false">
      <c r="B194" s="197" t="n">
        <v>29820520</v>
      </c>
      <c r="C194" s="197" t="s">
        <v>1313</v>
      </c>
      <c r="D194" s="197" t="s">
        <v>1314</v>
      </c>
      <c r="E194" s="198" t="s">
        <v>981</v>
      </c>
      <c r="F194" s="198" t="s">
        <v>948</v>
      </c>
      <c r="G194" s="225" t="n">
        <v>5418800</v>
      </c>
      <c r="H194" s="225" t="n">
        <v>4972165</v>
      </c>
      <c r="I194" s="225" t="n">
        <v>9566100</v>
      </c>
      <c r="J194" s="198" t="n">
        <v>44</v>
      </c>
      <c r="K194" s="198" t="n">
        <v>2</v>
      </c>
      <c r="L194" s="226" t="n">
        <v>44670</v>
      </c>
      <c r="M194" s="226" t="n">
        <v>42745</v>
      </c>
      <c r="N194" s="227" t="n">
        <v>5</v>
      </c>
      <c r="O194" s="227" t="s">
        <v>135</v>
      </c>
      <c r="P194" s="228" t="n">
        <f aca="false">VLOOKUP(B194,'NIVEL ENERO'!A:D,3,0)</f>
        <v>0.379001562761085</v>
      </c>
      <c r="Q194" s="229" t="n">
        <f aca="false">VLOOKUP(B194,'NIVEL ENERO'!A:D,4,0)</f>
        <v>306210.44</v>
      </c>
      <c r="R194" s="186" t="str">
        <f aca="false">+PROPER(C194&amp;" "&amp;D194)</f>
        <v>Cardona Pena Bibiana Patricia</v>
      </c>
      <c r="S194" s="230" t="n">
        <f aca="false">+YEARFRAC(L194,$S$1)</f>
        <v>4.06388888888889</v>
      </c>
      <c r="T194" s="230" t="n">
        <f aca="false">+YEARFRAC(M194,$S$1)</f>
        <v>9.33888888888889</v>
      </c>
      <c r="U194" s="231" t="n">
        <f aca="false">+$I194</f>
        <v>9566100</v>
      </c>
      <c r="V194" s="232" t="str">
        <f aca="false">+PROPER(F194)</f>
        <v>Casado(A)</v>
      </c>
    </row>
    <row r="195" customFormat="false" ht="14.25" hidden="false" customHeight="false" outlineLevel="0" collapsed="false">
      <c r="B195" s="197" t="n">
        <v>29974531</v>
      </c>
      <c r="C195" s="197" t="s">
        <v>1315</v>
      </c>
      <c r="D195" s="197" t="s">
        <v>1316</v>
      </c>
      <c r="E195" s="198" t="s">
        <v>944</v>
      </c>
      <c r="F195" s="198" t="s">
        <v>1107</v>
      </c>
      <c r="G195" s="225" t="n">
        <v>5291000</v>
      </c>
      <c r="H195" s="225" t="n">
        <v>2002280</v>
      </c>
      <c r="I195" s="225" t="n">
        <v>0</v>
      </c>
      <c r="J195" s="198" t="n">
        <v>39</v>
      </c>
      <c r="K195" s="198" t="n">
        <v>1</v>
      </c>
      <c r="L195" s="226" t="n">
        <v>45369</v>
      </c>
      <c r="M195" s="226" t="n">
        <v>38569</v>
      </c>
      <c r="N195" s="227" t="n">
        <v>6</v>
      </c>
      <c r="O195" s="227" t="s">
        <v>135</v>
      </c>
      <c r="P195" s="228" t="n">
        <f aca="false">VLOOKUP(B195,'NIVEL ENERO'!A:D,3,0)</f>
        <v>0.23684741214629</v>
      </c>
      <c r="Q195" s="229" t="n">
        <f aca="false">VLOOKUP(B195,'NIVEL ENERO'!A:D,4,0)</f>
        <v>1052624.26</v>
      </c>
      <c r="R195" s="186" t="str">
        <f aca="false">+PROPER(C195&amp;" "&amp;D195)</f>
        <v>Norena Ospina Saudy</v>
      </c>
      <c r="S195" s="230" t="n">
        <f aca="false">+YEARFRAC(L195,$S$1)</f>
        <v>2.15</v>
      </c>
      <c r="T195" s="230" t="n">
        <f aca="false">+YEARFRAC(M195,$S$1)</f>
        <v>20.7694444444444</v>
      </c>
      <c r="U195" s="231" t="n">
        <f aca="false">+$I195</f>
        <v>0</v>
      </c>
      <c r="V195" s="232" t="str">
        <f aca="false">+PROPER(F195)</f>
        <v>Viudo(A)</v>
      </c>
    </row>
    <row r="196" customFormat="false" ht="14.25" hidden="false" customHeight="false" outlineLevel="0" collapsed="false">
      <c r="B196" s="197" t="n">
        <v>30039684</v>
      </c>
      <c r="C196" s="197" t="s">
        <v>1317</v>
      </c>
      <c r="D196" s="197" t="s">
        <v>1318</v>
      </c>
      <c r="E196" s="198" t="s">
        <v>944</v>
      </c>
      <c r="F196" s="198" t="s">
        <v>953</v>
      </c>
      <c r="G196" s="225" t="n">
        <v>5842800</v>
      </c>
      <c r="H196" s="225" t="n">
        <v>6335917</v>
      </c>
      <c r="I196" s="225" t="n">
        <v>2016944</v>
      </c>
      <c r="J196" s="198" t="n">
        <v>43</v>
      </c>
      <c r="K196" s="198" t="n">
        <v>1</v>
      </c>
      <c r="L196" s="226" t="n">
        <v>44431</v>
      </c>
      <c r="M196" s="226" t="n">
        <v>40247</v>
      </c>
      <c r="N196" s="227" t="n">
        <v>3</v>
      </c>
      <c r="O196" s="227" t="s">
        <v>135</v>
      </c>
      <c r="P196" s="228" t="n">
        <f aca="false">VLOOKUP(B196,'NIVEL ENERO'!A:D,3,0)</f>
        <v>0.173525833097485</v>
      </c>
      <c r="Q196" s="229" t="n">
        <f aca="false">VLOOKUP(B196,'NIVEL ENERO'!A:D,4,0)</f>
        <v>2226831.74</v>
      </c>
      <c r="R196" s="186" t="str">
        <f aca="false">+PROPER(C196&amp;" "&amp;D196)</f>
        <v>Mejia Hernandez Fanny Patricia</v>
      </c>
      <c r="S196" s="230" t="n">
        <f aca="false">+YEARFRAC(L196,$S$1)</f>
        <v>4.71944444444444</v>
      </c>
      <c r="T196" s="230" t="n">
        <f aca="false">+YEARFRAC(M196,$S$1)</f>
        <v>16.1722222222222</v>
      </c>
      <c r="U196" s="231" t="n">
        <f aca="false">+$I196</f>
        <v>2016944</v>
      </c>
      <c r="V196" s="232" t="str">
        <f aca="false">+PROPER(F196)</f>
        <v>Soltero(A)</v>
      </c>
    </row>
    <row r="197" customFormat="false" ht="14.25" hidden="false" customHeight="false" outlineLevel="0" collapsed="false">
      <c r="B197" s="197" t="n">
        <v>30299942</v>
      </c>
      <c r="C197" s="197" t="s">
        <v>1319</v>
      </c>
      <c r="D197" s="197" t="s">
        <v>1320</v>
      </c>
      <c r="E197" s="198" t="s">
        <v>944</v>
      </c>
      <c r="F197" s="198" t="s">
        <v>998</v>
      </c>
      <c r="G197" s="225" t="n">
        <v>4656000</v>
      </c>
      <c r="H197" s="225" t="n">
        <v>4779941</v>
      </c>
      <c r="I197" s="225" t="n">
        <v>6279964</v>
      </c>
      <c r="J197" s="198" t="n">
        <v>58</v>
      </c>
      <c r="K197" s="198" t="n">
        <v>2</v>
      </c>
      <c r="L197" s="226" t="n">
        <v>43531</v>
      </c>
      <c r="M197" s="226" t="n">
        <v>45383</v>
      </c>
      <c r="N197" s="227" t="n">
        <v>3</v>
      </c>
      <c r="O197" s="227" t="s">
        <v>445</v>
      </c>
      <c r="P197" s="228" t="e">
        <f aca="false">VLOOKUP(B197,'NIVEL ENERO'!A:D,3,0)</f>
        <v>#N/A</v>
      </c>
      <c r="Q197" s="229" t="e">
        <f aca="false">VLOOKUP(B197,'NIVEL ENERO'!A:D,4,0)</f>
        <v>#N/A</v>
      </c>
      <c r="R197" s="186" t="str">
        <f aca="false">+PROPER(C197&amp;" "&amp;D197)</f>
        <v>Betancur Ruiz Diana Elena</v>
      </c>
      <c r="S197" s="230" t="n">
        <f aca="false">+YEARFRAC(L197,$S$1)</f>
        <v>7.18055555555556</v>
      </c>
      <c r="T197" s="230" t="n">
        <f aca="false">+YEARFRAC(M197,$S$1)</f>
        <v>2.11388888888889</v>
      </c>
      <c r="U197" s="231" t="n">
        <f aca="false">+$I197</f>
        <v>6279964</v>
      </c>
      <c r="V197" s="232" t="str">
        <f aca="false">+PROPER(F197)</f>
        <v>Separado(A)</v>
      </c>
    </row>
    <row r="198" customFormat="false" ht="14.25" hidden="false" customHeight="false" outlineLevel="0" collapsed="false">
      <c r="B198" s="197" t="n">
        <v>30314802</v>
      </c>
      <c r="C198" s="197" t="s">
        <v>1321</v>
      </c>
      <c r="D198" s="197" t="s">
        <v>1322</v>
      </c>
      <c r="E198" s="198" t="s">
        <v>944</v>
      </c>
      <c r="F198" s="198" t="s">
        <v>953</v>
      </c>
      <c r="G198" s="225" t="n">
        <v>2800000</v>
      </c>
      <c r="H198" s="225" t="n">
        <v>1000000</v>
      </c>
      <c r="I198" s="225"/>
      <c r="J198" s="198" t="n">
        <v>54</v>
      </c>
      <c r="K198" s="198" t="n">
        <v>1</v>
      </c>
      <c r="L198" s="226" t="n">
        <v>37922</v>
      </c>
      <c r="M198" s="226" t="n">
        <v>34547</v>
      </c>
      <c r="N198" s="227" t="n">
        <v>0</v>
      </c>
      <c r="O198" s="227" t="s">
        <v>158</v>
      </c>
      <c r="P198" s="228" t="e">
        <f aca="false">VLOOKUP(B198,'NIVEL ENERO'!A:D,3,0)</f>
        <v>#N/A</v>
      </c>
      <c r="Q198" s="229" t="e">
        <f aca="false">VLOOKUP(B198,'NIVEL ENERO'!A:D,4,0)</f>
        <v>#N/A</v>
      </c>
      <c r="R198" s="186" t="str">
        <f aca="false">+PROPER(C198&amp;" "&amp;D198)</f>
        <v>Montoya Camargo Zamira</v>
      </c>
      <c r="S198" s="230" t="n">
        <f aca="false">+YEARFRAC(L198,$S$1)</f>
        <v>22.5388888888889</v>
      </c>
      <c r="T198" s="230" t="n">
        <f aca="false">+YEARFRAC(M198,$S$1)</f>
        <v>31.7805555555556</v>
      </c>
      <c r="U198" s="231" t="n">
        <f aca="false">+$I198</f>
        <v>0</v>
      </c>
      <c r="V198" s="232" t="str">
        <f aca="false">+PROPER(F198)</f>
        <v>Soltero(A)</v>
      </c>
    </row>
    <row r="199" customFormat="false" ht="14.25" hidden="false" customHeight="false" outlineLevel="0" collapsed="false">
      <c r="B199" s="197" t="n">
        <v>30323543</v>
      </c>
      <c r="C199" s="197" t="s">
        <v>1323</v>
      </c>
      <c r="D199" s="197" t="s">
        <v>1324</v>
      </c>
      <c r="E199" s="198" t="s">
        <v>944</v>
      </c>
      <c r="F199" s="198" t="s">
        <v>948</v>
      </c>
      <c r="G199" s="225" t="n">
        <v>5842800</v>
      </c>
      <c r="H199" s="225" t="n">
        <v>15205056</v>
      </c>
      <c r="I199" s="225" t="n">
        <v>4573350</v>
      </c>
      <c r="J199" s="198" t="n">
        <v>52</v>
      </c>
      <c r="K199" s="198" t="n">
        <v>1</v>
      </c>
      <c r="L199" s="226" t="n">
        <v>43025</v>
      </c>
      <c r="M199" s="226" t="n">
        <v>41190</v>
      </c>
      <c r="N199" s="227" t="n">
        <v>2</v>
      </c>
      <c r="O199" s="227" t="s">
        <v>135</v>
      </c>
      <c r="P199" s="228" t="n">
        <f aca="false">VLOOKUP(B199,'NIVEL ENERO'!A:D,3,0)</f>
        <v>0.259394331484905</v>
      </c>
      <c r="Q199" s="229" t="n">
        <f aca="false">VLOOKUP(B199,'NIVEL ENERO'!A:D,4,0)</f>
        <v>781989</v>
      </c>
      <c r="R199" s="186" t="str">
        <f aca="false">+PROPER(C199&amp;" "&amp;D199)</f>
        <v>Triana Parra Luz Stella</v>
      </c>
      <c r="S199" s="230" t="n">
        <f aca="false">+YEARFRAC(L199,$S$1)</f>
        <v>8.56944444444445</v>
      </c>
      <c r="T199" s="230" t="n">
        <f aca="false">+YEARFRAC(M199,$S$1)</f>
        <v>13.5944444444444</v>
      </c>
      <c r="U199" s="231" t="n">
        <f aca="false">+$I199</f>
        <v>4573350</v>
      </c>
      <c r="V199" s="232" t="str">
        <f aca="false">+PROPER(F199)</f>
        <v>Casado(A)</v>
      </c>
    </row>
    <row r="200" customFormat="false" ht="14.25" hidden="false" customHeight="false" outlineLevel="0" collapsed="false">
      <c r="B200" s="197" t="n">
        <v>30330090</v>
      </c>
      <c r="C200" s="197" t="s">
        <v>1325</v>
      </c>
      <c r="D200" s="197" t="s">
        <v>1326</v>
      </c>
      <c r="E200" s="198" t="s">
        <v>944</v>
      </c>
      <c r="F200" s="198" t="s">
        <v>948</v>
      </c>
      <c r="G200" s="225" t="n">
        <v>4870200</v>
      </c>
      <c r="H200" s="225" t="n">
        <v>2606002</v>
      </c>
      <c r="I200" s="225" t="n">
        <v>0</v>
      </c>
      <c r="J200" s="198" t="n">
        <v>50</v>
      </c>
      <c r="K200" s="198" t="n">
        <v>1</v>
      </c>
      <c r="L200" s="226" t="n">
        <v>44183</v>
      </c>
      <c r="M200" s="226" t="n">
        <v>44136</v>
      </c>
      <c r="N200" s="227" t="n">
        <v>3</v>
      </c>
      <c r="O200" s="227" t="s">
        <v>135</v>
      </c>
      <c r="P200" s="228" t="n">
        <f aca="false">VLOOKUP(B200,'NIVEL ENERO'!A:D,3,0)</f>
        <v>0.145462046645754</v>
      </c>
      <c r="Q200" s="229" t="n">
        <f aca="false">VLOOKUP(B200,'NIVEL ENERO'!A:D,4,0)</f>
        <v>1762974.66</v>
      </c>
      <c r="R200" s="186" t="str">
        <f aca="false">+PROPER(C200&amp;" "&amp;D200)</f>
        <v>De La Cruz Marulanda Beatriz Eugenia</v>
      </c>
      <c r="S200" s="230" t="n">
        <f aca="false">+YEARFRAC(L200,$S$1)</f>
        <v>5.4</v>
      </c>
      <c r="T200" s="230" t="n">
        <f aca="false">+YEARFRAC(M200,$S$1)</f>
        <v>5.53055555555556</v>
      </c>
      <c r="U200" s="231" t="n">
        <f aca="false">+$I200</f>
        <v>0</v>
      </c>
      <c r="V200" s="232" t="str">
        <f aca="false">+PROPER(F200)</f>
        <v>Casado(A)</v>
      </c>
    </row>
    <row r="201" customFormat="false" ht="14.25" hidden="false" customHeight="false" outlineLevel="0" collapsed="false">
      <c r="B201" s="197" t="n">
        <v>30332791</v>
      </c>
      <c r="C201" s="197" t="s">
        <v>1327</v>
      </c>
      <c r="D201" s="197" t="s">
        <v>1328</v>
      </c>
      <c r="E201" s="198" t="s">
        <v>944</v>
      </c>
      <c r="F201" s="198" t="s">
        <v>953</v>
      </c>
      <c r="G201" s="225" t="n">
        <v>5418800</v>
      </c>
      <c r="H201" s="225" t="n">
        <v>6042214</v>
      </c>
      <c r="I201" s="225" t="n">
        <v>5114732</v>
      </c>
      <c r="J201" s="198" t="n">
        <v>50</v>
      </c>
      <c r="K201" s="198" t="n">
        <v>3</v>
      </c>
      <c r="L201" s="226" t="n">
        <v>43718</v>
      </c>
      <c r="M201" s="226" t="n">
        <v>45856</v>
      </c>
      <c r="N201" s="227" t="n">
        <v>3</v>
      </c>
      <c r="O201" s="227" t="s">
        <v>135</v>
      </c>
      <c r="P201" s="228" t="n">
        <f aca="false">VLOOKUP(B201,'NIVEL ENERO'!A:D,3,0)</f>
        <v>0.373829342142888</v>
      </c>
      <c r="Q201" s="229" t="n">
        <f aca="false">VLOOKUP(B201,'NIVEL ENERO'!A:D,4,0)</f>
        <v>325192.04</v>
      </c>
      <c r="R201" s="186" t="str">
        <f aca="false">+PROPER(C201&amp;" "&amp;D201)</f>
        <v>Castrillon Monroy Lina Marcela</v>
      </c>
      <c r="S201" s="230" t="n">
        <f aca="false">+YEARFRAC(L201,$S$1)</f>
        <v>6.67222222222222</v>
      </c>
      <c r="T201" s="230" t="n">
        <f aca="false">+YEARFRAC(M201,$S$1)</f>
        <v>0.816666666666667</v>
      </c>
      <c r="U201" s="231" t="n">
        <f aca="false">+$I201</f>
        <v>5114732</v>
      </c>
      <c r="V201" s="232" t="str">
        <f aca="false">+PROPER(F201)</f>
        <v>Soltero(A)</v>
      </c>
    </row>
    <row r="202" customFormat="false" ht="14.25" hidden="false" customHeight="false" outlineLevel="0" collapsed="false">
      <c r="B202" s="197" t="n">
        <v>30335201</v>
      </c>
      <c r="C202" s="197" t="s">
        <v>1329</v>
      </c>
      <c r="D202" s="197" t="s">
        <v>1330</v>
      </c>
      <c r="E202" s="198" t="s">
        <v>944</v>
      </c>
      <c r="F202" s="198" t="s">
        <v>948</v>
      </c>
      <c r="G202" s="225" t="n">
        <v>4469100</v>
      </c>
      <c r="H202" s="225" t="n">
        <v>955165</v>
      </c>
      <c r="I202" s="225" t="n">
        <v>1489664</v>
      </c>
      <c r="J202" s="198" t="n">
        <v>49</v>
      </c>
      <c r="K202" s="198" t="n">
        <v>1</v>
      </c>
      <c r="L202" s="226" t="n">
        <v>45220</v>
      </c>
      <c r="M202" s="226" t="n">
        <v>36509</v>
      </c>
      <c r="N202" s="227" t="n">
        <v>0</v>
      </c>
      <c r="O202" s="227" t="s">
        <v>135</v>
      </c>
      <c r="P202" s="228" t="n">
        <f aca="false">VLOOKUP(B202,'NIVEL ENERO'!A:D,3,0)</f>
        <v>0.133067936098382</v>
      </c>
      <c r="Q202" s="229" t="n">
        <f aca="false">VLOOKUP(B202,'NIVEL ENERO'!A:D,4,0)</f>
        <v>1715531.9</v>
      </c>
      <c r="R202" s="186" t="str">
        <f aca="false">+PROPER(C202&amp;" "&amp;D202)</f>
        <v>Duque Duque Margarita Maria</v>
      </c>
      <c r="S202" s="230" t="n">
        <f aca="false">+YEARFRAC(L202,$S$1)</f>
        <v>2.55833333333333</v>
      </c>
      <c r="T202" s="230" t="n">
        <f aca="false">+YEARFRAC(M202,$S$1)</f>
        <v>26.4083333333333</v>
      </c>
      <c r="U202" s="231" t="n">
        <f aca="false">+$I202</f>
        <v>1489664</v>
      </c>
      <c r="V202" s="232" t="str">
        <f aca="false">+PROPER(F202)</f>
        <v>Casado(A)</v>
      </c>
    </row>
    <row r="203" customFormat="false" ht="14.25" hidden="false" customHeight="false" outlineLevel="0" collapsed="false">
      <c r="B203" s="197" t="n">
        <v>30395903</v>
      </c>
      <c r="C203" s="197" t="s">
        <v>1331</v>
      </c>
      <c r="D203" s="197" t="s">
        <v>1332</v>
      </c>
      <c r="E203" s="198" t="s">
        <v>944</v>
      </c>
      <c r="F203" s="198" t="s">
        <v>948</v>
      </c>
      <c r="G203" s="225" t="n">
        <v>4469100</v>
      </c>
      <c r="H203" s="225" t="n">
        <v>8412768</v>
      </c>
      <c r="I203" s="225" t="n">
        <v>0</v>
      </c>
      <c r="J203" s="198" t="n">
        <v>46</v>
      </c>
      <c r="K203" s="198" t="n">
        <v>6</v>
      </c>
      <c r="L203" s="226" t="n">
        <v>42870</v>
      </c>
      <c r="M203" s="226" t="n">
        <v>40391</v>
      </c>
      <c r="N203" s="227" t="n">
        <v>2</v>
      </c>
      <c r="O203" s="227" t="s">
        <v>135</v>
      </c>
      <c r="P203" s="228" t="n">
        <f aca="false">VLOOKUP(B203,'NIVEL ENERO'!A:D,3,0)</f>
        <v>0.336568278066988</v>
      </c>
      <c r="Q203" s="229" t="n">
        <f aca="false">VLOOKUP(B203,'NIVEL ENERO'!A:D,4,0)</f>
        <v>479536.42</v>
      </c>
      <c r="R203" s="186" t="str">
        <f aca="false">+PROPER(C203&amp;" "&amp;D203)</f>
        <v>Villota Chamorro Ana Cristina</v>
      </c>
      <c r="S203" s="230" t="n">
        <f aca="false">+YEARFRAC(L203,$S$1)</f>
        <v>8.99166666666667</v>
      </c>
      <c r="T203" s="230" t="n">
        <f aca="false">+YEARFRAC(M203,$S$1)</f>
        <v>15.7805555555556</v>
      </c>
      <c r="U203" s="231" t="n">
        <f aca="false">+$I203</f>
        <v>0</v>
      </c>
      <c r="V203" s="232" t="str">
        <f aca="false">+PROPER(F203)</f>
        <v>Casado(A)</v>
      </c>
    </row>
    <row r="204" customFormat="false" ht="14.25" hidden="false" customHeight="false" outlineLevel="0" collapsed="false">
      <c r="B204" s="197" t="n">
        <v>30398858</v>
      </c>
      <c r="C204" s="197" t="s">
        <v>1333</v>
      </c>
      <c r="D204" s="197" t="s">
        <v>1202</v>
      </c>
      <c r="E204" s="198" t="s">
        <v>944</v>
      </c>
      <c r="F204" s="198" t="s">
        <v>948</v>
      </c>
      <c r="G204" s="225" t="n">
        <v>7114600</v>
      </c>
      <c r="H204" s="225" t="n">
        <v>4693995</v>
      </c>
      <c r="I204" s="225" t="n">
        <v>39133834</v>
      </c>
      <c r="J204" s="198" t="n">
        <v>46</v>
      </c>
      <c r="K204" s="198" t="n">
        <v>1</v>
      </c>
      <c r="L204" s="226" t="n">
        <v>42473</v>
      </c>
      <c r="M204" s="226" t="n">
        <v>36363</v>
      </c>
      <c r="N204" s="227" t="n">
        <v>3</v>
      </c>
      <c r="O204" s="227" t="s">
        <v>135</v>
      </c>
      <c r="P204" s="228" t="n">
        <f aca="false">VLOOKUP(B204,'NIVEL ENERO'!A:D,3,0)</f>
        <v>0.325304422591219</v>
      </c>
      <c r="Q204" s="229" t="n">
        <f aca="false">VLOOKUP(B204,'NIVEL ENERO'!A:D,4,0)</f>
        <v>704876</v>
      </c>
      <c r="R204" s="186" t="str">
        <f aca="false">+PROPER(C204&amp;" "&amp;D204)</f>
        <v>Osorio Toro Carolina</v>
      </c>
      <c r="S204" s="230" t="n">
        <f aca="false">+YEARFRAC(L204,$S$1)</f>
        <v>10.0805555555556</v>
      </c>
      <c r="T204" s="230" t="n">
        <f aca="false">+YEARFRAC(M204,$S$1)</f>
        <v>26.8055555555556</v>
      </c>
      <c r="U204" s="231" t="n">
        <f aca="false">+$I204</f>
        <v>39133834</v>
      </c>
      <c r="V204" s="232" t="str">
        <f aca="false">+PROPER(F204)</f>
        <v>Casado(A)</v>
      </c>
    </row>
    <row r="205" customFormat="false" ht="14.25" hidden="false" customHeight="false" outlineLevel="0" collapsed="false">
      <c r="B205" s="197" t="n">
        <v>30668215</v>
      </c>
      <c r="C205" s="197" t="s">
        <v>1334</v>
      </c>
      <c r="D205" s="197" t="s">
        <v>1335</v>
      </c>
      <c r="E205" s="198" t="s">
        <v>944</v>
      </c>
      <c r="F205" s="198" t="s">
        <v>953</v>
      </c>
      <c r="G205" s="225" t="n">
        <v>2916600</v>
      </c>
      <c r="H205" s="225" t="n">
        <v>1357328</v>
      </c>
      <c r="I205" s="225" t="n">
        <v>0</v>
      </c>
      <c r="J205" s="198" t="n">
        <v>41</v>
      </c>
      <c r="K205" s="198" t="n">
        <v>3</v>
      </c>
      <c r="L205" s="226" t="n">
        <v>44987</v>
      </c>
      <c r="M205" s="226" t="n">
        <v>39114</v>
      </c>
      <c r="N205" s="227" t="n">
        <v>1</v>
      </c>
      <c r="O205" s="227" t="s">
        <v>135</v>
      </c>
      <c r="P205" s="228" t="n">
        <f aca="false">VLOOKUP(B205,'NIVEL ENERO'!A:D,3,0)</f>
        <v>0.164674278269218</v>
      </c>
      <c r="Q205" s="229" t="n">
        <f aca="false">VLOOKUP(B205,'NIVEL ENERO'!A:D,4,0)</f>
        <v>744683</v>
      </c>
      <c r="R205" s="186" t="str">
        <f aca="false">+PROPER(C205&amp;" "&amp;D205)</f>
        <v>Lopez Lopez Sughey Milena</v>
      </c>
      <c r="S205" s="230" t="n">
        <f aca="false">+YEARFRAC(L205,$S$1)</f>
        <v>3.19444444444444</v>
      </c>
      <c r="T205" s="230" t="n">
        <f aca="false">+YEARFRAC(M205,$S$1)</f>
        <v>19.2805555555556</v>
      </c>
      <c r="U205" s="231" t="n">
        <f aca="false">+$I205</f>
        <v>0</v>
      </c>
      <c r="V205" s="232" t="str">
        <f aca="false">+PROPER(F205)</f>
        <v>Soltero(A)</v>
      </c>
    </row>
    <row r="206" customFormat="false" ht="14.25" hidden="false" customHeight="false" outlineLevel="0" collapsed="false">
      <c r="B206" s="197" t="n">
        <v>30732717</v>
      </c>
      <c r="C206" s="197" t="s">
        <v>1336</v>
      </c>
      <c r="D206" s="197" t="s">
        <v>1337</v>
      </c>
      <c r="E206" s="198" t="s">
        <v>944</v>
      </c>
      <c r="F206" s="198" t="s">
        <v>945</v>
      </c>
      <c r="G206" s="225" t="n">
        <v>5842800</v>
      </c>
      <c r="H206" s="225" t="n">
        <v>2874763</v>
      </c>
      <c r="I206" s="225" t="n">
        <v>11714736</v>
      </c>
      <c r="J206" s="198" t="n">
        <v>59</v>
      </c>
      <c r="K206" s="198" t="n">
        <v>1</v>
      </c>
      <c r="L206" s="226" t="n">
        <v>44328</v>
      </c>
      <c r="M206" s="226" t="n">
        <v>39987</v>
      </c>
      <c r="N206" s="227" t="n">
        <v>4</v>
      </c>
      <c r="O206" s="227" t="s">
        <v>135</v>
      </c>
      <c r="P206" s="228" t="n">
        <f aca="false">VLOOKUP(B206,'NIVEL ENERO'!A:D,3,0)</f>
        <v>0.388835489833641</v>
      </c>
      <c r="Q206" s="229" t="n">
        <f aca="false">VLOOKUP(B206,'NIVEL ENERO'!A:D,4,0)</f>
        <v>182088</v>
      </c>
      <c r="R206" s="186" t="str">
        <f aca="false">+PROPER(C206&amp;" "&amp;D206)</f>
        <v>Diaz Galvez Marleny Del Socorro</v>
      </c>
      <c r="S206" s="230" t="n">
        <f aca="false">+YEARFRAC(L206,$S$1)</f>
        <v>5</v>
      </c>
      <c r="T206" s="230" t="n">
        <f aca="false">+YEARFRAC(M206,$S$1)</f>
        <v>16.8861111111111</v>
      </c>
      <c r="U206" s="231" t="n">
        <f aca="false">+$I206</f>
        <v>11714736</v>
      </c>
      <c r="V206" s="232" t="str">
        <f aca="false">+PROPER(F206)</f>
        <v>Union Libre</v>
      </c>
    </row>
    <row r="207" customFormat="false" ht="14.25" hidden="false" customHeight="false" outlineLevel="0" collapsed="false">
      <c r="B207" s="197" t="n">
        <v>30736513</v>
      </c>
      <c r="C207" s="197" t="s">
        <v>1338</v>
      </c>
      <c r="D207" s="197" t="s">
        <v>1339</v>
      </c>
      <c r="E207" s="198" t="s">
        <v>944</v>
      </c>
      <c r="F207" s="198" t="s">
        <v>948</v>
      </c>
      <c r="G207" s="225" t="n">
        <v>7114600</v>
      </c>
      <c r="H207" s="225" t="n">
        <v>14877723</v>
      </c>
      <c r="I207" s="225" t="n">
        <v>12081998</v>
      </c>
      <c r="J207" s="198" t="n">
        <v>65</v>
      </c>
      <c r="K207" s="198" t="n">
        <v>1</v>
      </c>
      <c r="L207" s="226" t="n">
        <v>41984</v>
      </c>
      <c r="M207" s="226" t="n">
        <v>36528</v>
      </c>
      <c r="N207" s="227" t="n">
        <v>1</v>
      </c>
      <c r="O207" s="227" t="s">
        <v>135</v>
      </c>
      <c r="P207" s="228" t="n">
        <f aca="false">VLOOKUP(B207,'NIVEL ENERO'!A:D,3,0)</f>
        <v>0.432296404576505</v>
      </c>
      <c r="Q207" s="229" t="n">
        <f aca="false">VLOOKUP(B207,'NIVEL ENERO'!A:D,4,0)</f>
        <v>-87484</v>
      </c>
      <c r="R207" s="186" t="str">
        <f aca="false">+PROPER(C207&amp;" "&amp;D207)</f>
        <v>Acosta Polo Amparo Delsocorro</v>
      </c>
      <c r="S207" s="230" t="n">
        <f aca="false">+YEARFRAC(L207,$S$1)</f>
        <v>11.4194444444444</v>
      </c>
      <c r="T207" s="230" t="n">
        <f aca="false">+YEARFRAC(M207,$S$1)</f>
        <v>26.3583333333333</v>
      </c>
      <c r="U207" s="231" t="n">
        <f aca="false">+$I207</f>
        <v>12081998</v>
      </c>
      <c r="V207" s="232" t="str">
        <f aca="false">+PROPER(F207)</f>
        <v>Casado(A)</v>
      </c>
    </row>
    <row r="208" customFormat="false" ht="14.25" hidden="false" customHeight="false" outlineLevel="0" collapsed="false">
      <c r="B208" s="197" t="n">
        <v>30744172</v>
      </c>
      <c r="C208" s="197" t="s">
        <v>1340</v>
      </c>
      <c r="D208" s="197" t="s">
        <v>1341</v>
      </c>
      <c r="E208" s="198" t="s">
        <v>944</v>
      </c>
      <c r="F208" s="198" t="s">
        <v>953</v>
      </c>
      <c r="G208" s="225" t="n">
        <v>5418800</v>
      </c>
      <c r="H208" s="225" t="n">
        <v>8072380</v>
      </c>
      <c r="I208" s="225" t="n">
        <v>2713096</v>
      </c>
      <c r="J208" s="198" t="n">
        <v>55</v>
      </c>
      <c r="K208" s="198" t="n">
        <v>1</v>
      </c>
      <c r="L208" s="226" t="n">
        <v>45051</v>
      </c>
      <c r="M208" s="226" t="n">
        <v>39880</v>
      </c>
      <c r="N208" s="227" t="n">
        <v>2</v>
      </c>
      <c r="O208" s="227" t="s">
        <v>135</v>
      </c>
      <c r="P208" s="228" t="n">
        <f aca="false">VLOOKUP(B208,'NIVEL ENERO'!A:D,3,0)</f>
        <v>0.331121373051771</v>
      </c>
      <c r="Q208" s="229" t="n">
        <f aca="false">VLOOKUP(B208,'NIVEL ENERO'!A:D,4,0)</f>
        <v>691955.84</v>
      </c>
      <c r="R208" s="186" t="str">
        <f aca="false">+PROPER(C208&amp;" "&amp;D208)</f>
        <v>Charfuelan Calpa Nancy Del Rosario</v>
      </c>
      <c r="S208" s="230" t="n">
        <f aca="false">+YEARFRAC(L208,$S$1)</f>
        <v>3.01944444444444</v>
      </c>
      <c r="T208" s="230" t="n">
        <f aca="false">+YEARFRAC(M208,$S$1)</f>
        <v>17.1777777777778</v>
      </c>
      <c r="U208" s="231" t="n">
        <f aca="false">+$I208</f>
        <v>2713096</v>
      </c>
      <c r="V208" s="232" t="str">
        <f aca="false">+PROPER(F208)</f>
        <v>Soltero(A)</v>
      </c>
    </row>
    <row r="209" customFormat="false" ht="14.25" hidden="false" customHeight="false" outlineLevel="0" collapsed="false">
      <c r="B209" s="197" t="n">
        <v>31168598</v>
      </c>
      <c r="C209" s="197" t="s">
        <v>1342</v>
      </c>
      <c r="D209" s="197" t="s">
        <v>1343</v>
      </c>
      <c r="E209" s="198" t="s">
        <v>944</v>
      </c>
      <c r="F209" s="198" t="s">
        <v>948</v>
      </c>
      <c r="G209" s="225" t="n">
        <v>37000000</v>
      </c>
      <c r="H209" s="225" t="n">
        <v>3013880</v>
      </c>
      <c r="I209" s="225" t="n">
        <v>0</v>
      </c>
      <c r="J209" s="198" t="n">
        <v>59</v>
      </c>
      <c r="K209" s="198" t="n">
        <v>2</v>
      </c>
      <c r="L209" s="226" t="n">
        <v>45169</v>
      </c>
      <c r="M209" s="226" t="n">
        <v>34383</v>
      </c>
      <c r="N209" s="227" t="n">
        <v>2</v>
      </c>
      <c r="O209" s="227" t="s">
        <v>445</v>
      </c>
      <c r="P209" s="228" t="e">
        <f aca="false">VLOOKUP(B209,'NIVEL ENERO'!A:D,3,0)</f>
        <v>#N/A</v>
      </c>
      <c r="Q209" s="229" t="e">
        <f aca="false">VLOOKUP(B209,'NIVEL ENERO'!A:D,4,0)</f>
        <v>#N/A</v>
      </c>
      <c r="R209" s="186" t="str">
        <f aca="false">+PROPER(C209&amp;" "&amp;D209)</f>
        <v>Lucumi Carvajal Nelsy</v>
      </c>
      <c r="S209" s="230" t="n">
        <f aca="false">+YEARFRAC(L209,$S$1)</f>
        <v>2.7</v>
      </c>
      <c r="T209" s="230" t="n">
        <f aca="false">+YEARFRAC(M209,$S$1)</f>
        <v>32.2333333333333</v>
      </c>
      <c r="U209" s="231" t="n">
        <f aca="false">+$I209</f>
        <v>0</v>
      </c>
      <c r="V209" s="232" t="str">
        <f aca="false">+PROPER(F209)</f>
        <v>Casado(A)</v>
      </c>
    </row>
    <row r="210" customFormat="false" ht="14.25" hidden="false" customHeight="false" outlineLevel="0" collapsed="false">
      <c r="B210" s="197" t="n">
        <v>31177120</v>
      </c>
      <c r="C210" s="197" t="s">
        <v>1344</v>
      </c>
      <c r="D210" s="197" t="s">
        <v>1345</v>
      </c>
      <c r="E210" s="198" t="s">
        <v>944</v>
      </c>
      <c r="F210" s="198" t="s">
        <v>953</v>
      </c>
      <c r="G210" s="225" t="n">
        <v>2600900</v>
      </c>
      <c r="H210" s="225" t="n">
        <v>8083158</v>
      </c>
      <c r="I210" s="225" t="n">
        <v>9595166</v>
      </c>
      <c r="J210" s="198" t="n">
        <v>57</v>
      </c>
      <c r="K210" s="198" t="n">
        <v>1</v>
      </c>
      <c r="L210" s="226" t="n">
        <v>44271</v>
      </c>
      <c r="M210" s="226" t="n">
        <v>44105</v>
      </c>
      <c r="N210" s="227" t="n">
        <v>1</v>
      </c>
      <c r="O210" s="227" t="s">
        <v>135</v>
      </c>
      <c r="P210" s="228" t="n">
        <f aca="false">VLOOKUP(B210,'NIVEL ENERO'!A:D,3,0)</f>
        <v>0.220559929991435</v>
      </c>
      <c r="Q210" s="229" t="n">
        <f aca="false">VLOOKUP(B210,'NIVEL ENERO'!A:D,4,0)</f>
        <v>671859.88</v>
      </c>
      <c r="R210" s="186" t="str">
        <f aca="false">+PROPER(C210&amp;" "&amp;D210)</f>
        <v>Salas Castro Olga Yaneth</v>
      </c>
      <c r="S210" s="230" t="n">
        <f aca="false">+YEARFRAC(L210,$S$1)</f>
        <v>5.15555555555556</v>
      </c>
      <c r="T210" s="230" t="n">
        <f aca="false">+YEARFRAC(M210,$S$1)</f>
        <v>5.61388888888889</v>
      </c>
      <c r="U210" s="231" t="n">
        <f aca="false">+$I210</f>
        <v>9595166</v>
      </c>
      <c r="V210" s="232" t="str">
        <f aca="false">+PROPER(F210)</f>
        <v>Soltero(A)</v>
      </c>
    </row>
    <row r="211" customFormat="false" ht="14.25" hidden="false" customHeight="false" outlineLevel="0" collapsed="false">
      <c r="B211" s="197" t="n">
        <v>31305334</v>
      </c>
      <c r="C211" s="197" t="s">
        <v>1346</v>
      </c>
      <c r="D211" s="197" t="s">
        <v>1275</v>
      </c>
      <c r="E211" s="198" t="s">
        <v>944</v>
      </c>
      <c r="F211" s="198" t="s">
        <v>953</v>
      </c>
      <c r="G211" s="225" t="n">
        <v>2893800</v>
      </c>
      <c r="H211" s="225" t="n">
        <v>4033182</v>
      </c>
      <c r="I211" s="225" t="n">
        <v>489652</v>
      </c>
      <c r="J211" s="198" t="n">
        <v>41</v>
      </c>
      <c r="K211" s="198" t="n">
        <v>1</v>
      </c>
      <c r="L211" s="226" t="n">
        <v>44748</v>
      </c>
      <c r="M211" s="226" t="n">
        <v>45641</v>
      </c>
      <c r="N211" s="227" t="n">
        <v>2</v>
      </c>
      <c r="O211" s="227" t="s">
        <v>135</v>
      </c>
      <c r="P211" s="228" t="n">
        <f aca="false">VLOOKUP(B211,'NIVEL ENERO'!A:D,3,0)</f>
        <v>0.400683964940493</v>
      </c>
      <c r="Q211" s="229" t="n">
        <f aca="false">VLOOKUP(B211,'NIVEL ENERO'!A:D,4,0)</f>
        <v>53108.6399999999</v>
      </c>
      <c r="R211" s="186" t="str">
        <f aca="false">+PROPER(C211&amp;" "&amp;D211)</f>
        <v>Castro Valencia Ana Milena</v>
      </c>
      <c r="S211" s="230" t="n">
        <f aca="false">+YEARFRAC(L211,$S$1)</f>
        <v>3.85</v>
      </c>
      <c r="T211" s="230" t="n">
        <f aca="false">+YEARFRAC(M211,$S$1)</f>
        <v>1.40833333333333</v>
      </c>
      <c r="U211" s="231" t="n">
        <f aca="false">+$I211</f>
        <v>489652</v>
      </c>
      <c r="V211" s="232" t="str">
        <f aca="false">+PROPER(F211)</f>
        <v>Soltero(A)</v>
      </c>
    </row>
    <row r="212" customFormat="false" ht="14.25" hidden="false" customHeight="false" outlineLevel="0" collapsed="false">
      <c r="B212" s="197" t="n">
        <v>31305575</v>
      </c>
      <c r="C212" s="197" t="s">
        <v>1347</v>
      </c>
      <c r="D212" s="197" t="s">
        <v>1267</v>
      </c>
      <c r="E212" s="198" t="s">
        <v>944</v>
      </c>
      <c r="F212" s="198" t="s">
        <v>953</v>
      </c>
      <c r="G212" s="225" t="n">
        <v>2893800</v>
      </c>
      <c r="H212" s="225" t="n">
        <v>4949305</v>
      </c>
      <c r="I212" s="225" t="n">
        <v>9451769</v>
      </c>
      <c r="J212" s="198" t="n">
        <v>40</v>
      </c>
      <c r="K212" s="198" t="n">
        <v>2</v>
      </c>
      <c r="L212" s="226" t="n">
        <v>42782</v>
      </c>
      <c r="M212" s="226" t="n">
        <v>40909</v>
      </c>
      <c r="N212" s="227" t="n">
        <v>4</v>
      </c>
      <c r="O212" s="227" t="s">
        <v>135</v>
      </c>
      <c r="P212" s="228" t="n">
        <f aca="false">VLOOKUP(B212,'NIVEL ENERO'!A:D,3,0)</f>
        <v>0.324580174906339</v>
      </c>
      <c r="Q212" s="229" t="n">
        <f aca="false">VLOOKUP(B212,'NIVEL ENERO'!A:D,4,0)</f>
        <v>325848.62</v>
      </c>
      <c r="R212" s="186" t="str">
        <f aca="false">+PROPER(C212&amp;" "&amp;D212)</f>
        <v>Vargas Cardona Ana Maria</v>
      </c>
      <c r="S212" s="230" t="n">
        <f aca="false">+YEARFRAC(L212,$S$1)</f>
        <v>9.23888888888889</v>
      </c>
      <c r="T212" s="230" t="n">
        <f aca="false">+YEARFRAC(M212,$S$1)</f>
        <v>14.3638888888889</v>
      </c>
      <c r="U212" s="231" t="n">
        <f aca="false">+$I212</f>
        <v>9451769</v>
      </c>
      <c r="V212" s="232" t="str">
        <f aca="false">+PROPER(F212)</f>
        <v>Soltero(A)</v>
      </c>
    </row>
    <row r="213" customFormat="false" ht="14.25" hidden="false" customHeight="false" outlineLevel="0" collapsed="false">
      <c r="B213" s="197" t="n">
        <v>31306157</v>
      </c>
      <c r="C213" s="197" t="s">
        <v>1348</v>
      </c>
      <c r="D213" s="197" t="s">
        <v>1349</v>
      </c>
      <c r="E213" s="198" t="s">
        <v>944</v>
      </c>
      <c r="F213" s="198" t="s">
        <v>948</v>
      </c>
      <c r="G213" s="225" t="n">
        <v>2320800</v>
      </c>
      <c r="H213" s="225" t="n">
        <v>1801313</v>
      </c>
      <c r="I213" s="225" t="n">
        <v>2660948</v>
      </c>
      <c r="J213" s="198" t="n">
        <v>41</v>
      </c>
      <c r="K213" s="198" t="n">
        <v>4</v>
      </c>
      <c r="L213" s="226" t="n">
        <v>45118</v>
      </c>
      <c r="M213" s="226" t="n">
        <v>44105</v>
      </c>
      <c r="N213" s="227" t="n">
        <v>0</v>
      </c>
      <c r="O213" s="227" t="s">
        <v>135</v>
      </c>
      <c r="P213" s="228" t="n">
        <f aca="false">VLOOKUP(B213,'NIVEL ENERO'!A:D,3,0)</f>
        <v>0.172111731688335</v>
      </c>
      <c r="Q213" s="229" t="n">
        <f aca="false">VLOOKUP(B213,'NIVEL ENERO'!A:D,4,0)</f>
        <v>1284580.06</v>
      </c>
      <c r="R213" s="186" t="str">
        <f aca="false">+PROPER(C213&amp;" "&amp;D213)</f>
        <v>Murillo Cuero Derly Viviana</v>
      </c>
      <c r="S213" s="230" t="n">
        <f aca="false">+YEARFRAC(L213,$S$1)</f>
        <v>2.83611111111111</v>
      </c>
      <c r="T213" s="230" t="n">
        <f aca="false">+YEARFRAC(M213,$S$1)</f>
        <v>5.61388888888889</v>
      </c>
      <c r="U213" s="231" t="n">
        <f aca="false">+$I213</f>
        <v>2660948</v>
      </c>
      <c r="V213" s="232" t="str">
        <f aca="false">+PROPER(F213)</f>
        <v>Casado(A)</v>
      </c>
    </row>
    <row r="214" customFormat="false" ht="14.25" hidden="false" customHeight="false" outlineLevel="0" collapsed="false">
      <c r="B214" s="197" t="n">
        <v>31306752</v>
      </c>
      <c r="C214" s="197" t="s">
        <v>1350</v>
      </c>
      <c r="D214" s="197" t="s">
        <v>1190</v>
      </c>
      <c r="E214" s="198" t="s">
        <v>1288</v>
      </c>
      <c r="F214" s="198" t="s">
        <v>945</v>
      </c>
      <c r="G214" s="225" t="n">
        <v>2893800</v>
      </c>
      <c r="H214" s="225" t="n">
        <v>4889718</v>
      </c>
      <c r="I214" s="225" t="n">
        <v>2127295</v>
      </c>
      <c r="J214" s="198" t="n">
        <v>40</v>
      </c>
      <c r="K214" s="198" t="n">
        <v>2</v>
      </c>
      <c r="L214" s="226" t="n">
        <v>44228</v>
      </c>
      <c r="M214" s="226" t="n">
        <v>38534</v>
      </c>
      <c r="N214" s="227" t="n">
        <v>3</v>
      </c>
      <c r="O214" s="227" t="s">
        <v>135</v>
      </c>
      <c r="P214" s="228" t="n">
        <f aca="false">VLOOKUP(B214,'NIVEL ENERO'!A:D,3,0)</f>
        <v>0.337715115073606</v>
      </c>
      <c r="Q214" s="229" t="n">
        <f aca="false">VLOOKUP(B214,'NIVEL ENERO'!A:D,4,0)</f>
        <v>238116</v>
      </c>
      <c r="R214" s="186" t="str">
        <f aca="false">+PROPER(C214&amp;" "&amp;D214)</f>
        <v>Coronado Alzate Sandra Viviana</v>
      </c>
      <c r="S214" s="230" t="n">
        <f aca="false">+YEARFRAC(L214,$S$1)</f>
        <v>5.28055555555556</v>
      </c>
      <c r="T214" s="230" t="n">
        <f aca="false">+YEARFRAC(M214,$S$1)</f>
        <v>20.8638888888889</v>
      </c>
      <c r="U214" s="231" t="n">
        <f aca="false">+$I214</f>
        <v>2127295</v>
      </c>
      <c r="V214" s="232" t="str">
        <f aca="false">+PROPER(F214)</f>
        <v>Union Libre</v>
      </c>
    </row>
    <row r="215" customFormat="false" ht="14.25" hidden="false" customHeight="false" outlineLevel="0" collapsed="false">
      <c r="B215" s="197" t="n">
        <v>31308604</v>
      </c>
      <c r="C215" s="197" t="s">
        <v>1351</v>
      </c>
      <c r="D215" s="197" t="s">
        <v>1352</v>
      </c>
      <c r="E215" s="198" t="s">
        <v>944</v>
      </c>
      <c r="F215" s="198" t="s">
        <v>953</v>
      </c>
      <c r="G215" s="225" t="n">
        <v>2893800</v>
      </c>
      <c r="H215" s="225" t="n">
        <v>1557164</v>
      </c>
      <c r="I215" s="225" t="n">
        <v>0</v>
      </c>
      <c r="J215" s="198" t="n">
        <v>40</v>
      </c>
      <c r="K215" s="198" t="n">
        <v>4</v>
      </c>
      <c r="L215" s="226" t="n">
        <v>44866</v>
      </c>
      <c r="M215" s="226" t="n">
        <v>39148</v>
      </c>
      <c r="N215" s="227" t="n">
        <v>1</v>
      </c>
      <c r="O215" s="227" t="s">
        <v>135</v>
      </c>
      <c r="P215" s="228" t="n">
        <f aca="false">VLOOKUP(B215,'NIVEL ENERO'!A:D,3,0)</f>
        <v>0.298901299159831</v>
      </c>
      <c r="Q215" s="229" t="n">
        <f aca="false">VLOOKUP(B215,'NIVEL ENERO'!A:D,4,0)</f>
        <v>460289.34</v>
      </c>
      <c r="R215" s="186" t="str">
        <f aca="false">+PROPER(C215&amp;" "&amp;D215)</f>
        <v>Castillo Pino Monica Andrea</v>
      </c>
      <c r="S215" s="230" t="n">
        <f aca="false">+YEARFRAC(L215,$S$1)</f>
        <v>3.53055555555556</v>
      </c>
      <c r="T215" s="230" t="n">
        <f aca="false">+YEARFRAC(M215,$S$1)</f>
        <v>19.1805555555556</v>
      </c>
      <c r="U215" s="231" t="n">
        <f aca="false">+$I215</f>
        <v>0</v>
      </c>
      <c r="V215" s="232" t="str">
        <f aca="false">+PROPER(F215)</f>
        <v>Soltero(A)</v>
      </c>
    </row>
    <row r="216" customFormat="false" ht="14.25" hidden="false" customHeight="false" outlineLevel="0" collapsed="false">
      <c r="B216" s="197" t="n">
        <v>31308698</v>
      </c>
      <c r="C216" s="197" t="s">
        <v>1353</v>
      </c>
      <c r="D216" s="197" t="s">
        <v>1239</v>
      </c>
      <c r="E216" s="198" t="s">
        <v>944</v>
      </c>
      <c r="F216" s="198" t="s">
        <v>953</v>
      </c>
      <c r="G216" s="225" t="n">
        <v>4984600</v>
      </c>
      <c r="H216" s="225" t="n">
        <v>2062239</v>
      </c>
      <c r="I216" s="225" t="n">
        <v>5569857</v>
      </c>
      <c r="J216" s="198" t="n">
        <v>40</v>
      </c>
      <c r="K216" s="198" t="n">
        <v>2</v>
      </c>
      <c r="L216" s="226" t="n">
        <v>44552</v>
      </c>
      <c r="M216" s="226" t="n">
        <v>41225</v>
      </c>
      <c r="N216" s="227" t="n">
        <v>3</v>
      </c>
      <c r="O216" s="227" t="s">
        <v>135</v>
      </c>
      <c r="P216" s="228" t="n">
        <f aca="false">VLOOKUP(B216,'NIVEL ENERO'!A:D,3,0)</f>
        <v>0.145669678570729</v>
      </c>
      <c r="Q216" s="229" t="n">
        <f aca="false">VLOOKUP(B216,'NIVEL ENERO'!A:D,4,0)</f>
        <v>1274632.22</v>
      </c>
      <c r="R216" s="186" t="str">
        <f aca="false">+PROPER(C216&amp;" "&amp;D216)</f>
        <v>Rojas Zapata Katherine</v>
      </c>
      <c r="S216" s="230" t="n">
        <f aca="false">+YEARFRAC(L216,$S$1)</f>
        <v>4.38888888888889</v>
      </c>
      <c r="T216" s="230" t="n">
        <f aca="false">+YEARFRAC(M216,$S$1)</f>
        <v>13.5</v>
      </c>
      <c r="U216" s="231" t="n">
        <f aca="false">+$I216</f>
        <v>5569857</v>
      </c>
      <c r="V216" s="232" t="str">
        <f aca="false">+PROPER(F216)</f>
        <v>Soltero(A)</v>
      </c>
    </row>
    <row r="217" customFormat="false" ht="14.25" hidden="false" customHeight="false" outlineLevel="0" collapsed="false">
      <c r="B217" s="197" t="n">
        <v>31309273</v>
      </c>
      <c r="C217" s="197" t="s">
        <v>1354</v>
      </c>
      <c r="D217" s="197" t="s">
        <v>1355</v>
      </c>
      <c r="E217" s="198" t="s">
        <v>944</v>
      </c>
      <c r="F217" s="198" t="s">
        <v>998</v>
      </c>
      <c r="G217" s="225" t="n">
        <v>5291000</v>
      </c>
      <c r="H217" s="225" t="n">
        <v>5938458</v>
      </c>
      <c r="I217" s="225" t="n">
        <v>6094083</v>
      </c>
      <c r="J217" s="198" t="n">
        <v>40</v>
      </c>
      <c r="K217" s="198" t="n">
        <v>2</v>
      </c>
      <c r="L217" s="226" t="n">
        <v>42443</v>
      </c>
      <c r="M217" s="226" t="n">
        <v>38903</v>
      </c>
      <c r="N217" s="227" t="n">
        <v>5</v>
      </c>
      <c r="O217" s="227" t="s">
        <v>135</v>
      </c>
      <c r="P217" s="228" t="n">
        <f aca="false">VLOOKUP(B217,'NIVEL ENERO'!A:D,3,0)</f>
        <v>0.297114156114156</v>
      </c>
      <c r="Q217" s="229" t="n">
        <f aca="false">VLOOKUP(B217,'NIVEL ENERO'!A:D,4,0)</f>
        <v>650189</v>
      </c>
      <c r="R217" s="186" t="str">
        <f aca="false">+PROPER(C217&amp;" "&amp;D217)</f>
        <v>Sanchez Barrera Angelica Maria</v>
      </c>
      <c r="S217" s="230" t="n">
        <f aca="false">+YEARFRAC(L217,$S$1)</f>
        <v>10.1611111111111</v>
      </c>
      <c r="T217" s="230" t="n">
        <f aca="false">+YEARFRAC(M217,$S$1)</f>
        <v>19.8527777777778</v>
      </c>
      <c r="U217" s="231" t="n">
        <f aca="false">+$I217</f>
        <v>6094083</v>
      </c>
      <c r="V217" s="232" t="str">
        <f aca="false">+PROPER(F217)</f>
        <v>Separado(A)</v>
      </c>
    </row>
    <row r="218" customFormat="false" ht="14.25" hidden="false" customHeight="false" outlineLevel="0" collapsed="false">
      <c r="B218" s="197" t="n">
        <v>31309662</v>
      </c>
      <c r="C218" s="197" t="s">
        <v>1356</v>
      </c>
      <c r="D218" s="197" t="s">
        <v>1357</v>
      </c>
      <c r="E218" s="198" t="s">
        <v>944</v>
      </c>
      <c r="F218" s="198" t="s">
        <v>945</v>
      </c>
      <c r="G218" s="225" t="n">
        <v>2600900</v>
      </c>
      <c r="H218" s="225" t="n">
        <v>2834445</v>
      </c>
      <c r="I218" s="225" t="n">
        <v>9482698</v>
      </c>
      <c r="J218" s="198" t="n">
        <v>39</v>
      </c>
      <c r="K218" s="198" t="n">
        <v>1</v>
      </c>
      <c r="L218" s="226" t="n">
        <v>44431</v>
      </c>
      <c r="M218" s="226" t="n">
        <v>43782</v>
      </c>
      <c r="N218" s="227" t="n">
        <v>2</v>
      </c>
      <c r="O218" s="227" t="s">
        <v>135</v>
      </c>
      <c r="P218" s="228" t="n">
        <f aca="false">VLOOKUP(B218,'NIVEL ENERO'!A:D,3,0)</f>
        <v>0.329688276864205</v>
      </c>
      <c r="Q218" s="229" t="n">
        <f aca="false">VLOOKUP(B218,'NIVEL ENERO'!A:D,4,0)</f>
        <v>234682.96</v>
      </c>
      <c r="R218" s="186" t="str">
        <f aca="false">+PROPER(C218&amp;" "&amp;D218)</f>
        <v>Hurtado Garcia Leidy Viviana</v>
      </c>
      <c r="S218" s="230" t="n">
        <f aca="false">+YEARFRAC(L218,$S$1)</f>
        <v>4.71944444444444</v>
      </c>
      <c r="T218" s="230" t="n">
        <f aca="false">+YEARFRAC(M218,$S$1)</f>
        <v>6.49722222222222</v>
      </c>
      <c r="U218" s="231" t="n">
        <f aca="false">+$I218</f>
        <v>9482698</v>
      </c>
      <c r="V218" s="232" t="str">
        <f aca="false">+PROPER(F218)</f>
        <v>Union Libre</v>
      </c>
    </row>
    <row r="219" customFormat="false" ht="14.25" hidden="false" customHeight="false" outlineLevel="0" collapsed="false">
      <c r="B219" s="197" t="n">
        <v>31309999</v>
      </c>
      <c r="C219" s="197" t="s">
        <v>1358</v>
      </c>
      <c r="D219" s="197" t="s">
        <v>1359</v>
      </c>
      <c r="E219" s="198" t="s">
        <v>944</v>
      </c>
      <c r="F219" s="198" t="s">
        <v>945</v>
      </c>
      <c r="G219" s="225" t="n">
        <v>1991000</v>
      </c>
      <c r="H219" s="225" t="n">
        <v>3653391</v>
      </c>
      <c r="I219" s="225" t="n">
        <v>2732542</v>
      </c>
      <c r="J219" s="198" t="n">
        <v>39</v>
      </c>
      <c r="K219" s="198" t="n">
        <v>4</v>
      </c>
      <c r="L219" s="226" t="n">
        <v>43446</v>
      </c>
      <c r="M219" s="226" t="n">
        <v>43198</v>
      </c>
      <c r="N219" s="227" t="n">
        <v>2</v>
      </c>
      <c r="O219" s="227" t="s">
        <v>135</v>
      </c>
      <c r="P219" s="228" t="n">
        <f aca="false">VLOOKUP(B219,'NIVEL ENERO'!A:D,3,0)</f>
        <v>0.328416068746871</v>
      </c>
      <c r="Q219" s="229" t="n">
        <f aca="false">VLOOKUP(B219,'NIVEL ENERO'!A:D,4,0)</f>
        <v>219545</v>
      </c>
      <c r="R219" s="186" t="str">
        <f aca="false">+PROPER(C219&amp;" "&amp;D219)</f>
        <v>Guerrero Vallejo Leydi Johanna</v>
      </c>
      <c r="S219" s="230" t="n">
        <f aca="false">+YEARFRAC(L219,$S$1)</f>
        <v>7.41666666666667</v>
      </c>
      <c r="T219" s="230" t="n">
        <f aca="false">+YEARFRAC(M219,$S$1)</f>
        <v>8.09444444444445</v>
      </c>
      <c r="U219" s="231" t="n">
        <f aca="false">+$I219</f>
        <v>2732542</v>
      </c>
      <c r="V219" s="232" t="str">
        <f aca="false">+PROPER(F219)</f>
        <v>Union Libre</v>
      </c>
    </row>
    <row r="220" customFormat="false" ht="14.25" hidden="false" customHeight="false" outlineLevel="0" collapsed="false">
      <c r="B220" s="197" t="n">
        <v>31321149</v>
      </c>
      <c r="C220" s="197" t="s">
        <v>1360</v>
      </c>
      <c r="D220" s="197" t="s">
        <v>1361</v>
      </c>
      <c r="E220" s="198" t="s">
        <v>944</v>
      </c>
      <c r="F220" s="198" t="s">
        <v>948</v>
      </c>
      <c r="G220" s="225" t="n">
        <v>3945300</v>
      </c>
      <c r="H220" s="225" t="n">
        <v>5196416</v>
      </c>
      <c r="I220" s="225" t="n">
        <v>7115806</v>
      </c>
      <c r="J220" s="198" t="n">
        <v>41</v>
      </c>
      <c r="K220" s="198" t="n">
        <v>1</v>
      </c>
      <c r="L220" s="226" t="n">
        <v>41957</v>
      </c>
      <c r="M220" s="226" t="n">
        <v>39035</v>
      </c>
      <c r="N220" s="227" t="n">
        <v>3</v>
      </c>
      <c r="O220" s="227" t="s">
        <v>135</v>
      </c>
      <c r="P220" s="228" t="n">
        <f aca="false">VLOOKUP(B220,'NIVEL ENERO'!A:D,3,0)</f>
        <v>0.398173522926013</v>
      </c>
      <c r="Q220" s="229" t="n">
        <f aca="false">VLOOKUP(B220,'NIVEL ENERO'!A:D,4,0)</f>
        <v>86112</v>
      </c>
      <c r="R220" s="186" t="str">
        <f aca="false">+PROPER(C220&amp;" "&amp;D220)</f>
        <v>Espitia Jojoa Claudia Liliana</v>
      </c>
      <c r="S220" s="230" t="n">
        <f aca="false">+YEARFRAC(L220,$S$1)</f>
        <v>11.4944444444444</v>
      </c>
      <c r="T220" s="230" t="n">
        <f aca="false">+YEARFRAC(M220,$S$1)</f>
        <v>19.4944444444444</v>
      </c>
      <c r="U220" s="231" t="n">
        <f aca="false">+$I220</f>
        <v>7115806</v>
      </c>
      <c r="V220" s="232" t="str">
        <f aca="false">+PROPER(F220)</f>
        <v>Casado(A)</v>
      </c>
    </row>
    <row r="221" customFormat="false" ht="14.25" hidden="false" customHeight="false" outlineLevel="0" collapsed="false">
      <c r="B221" s="197" t="n">
        <v>31322862</v>
      </c>
      <c r="C221" s="197" t="s">
        <v>1362</v>
      </c>
      <c r="D221" s="197" t="s">
        <v>1363</v>
      </c>
      <c r="E221" s="198" t="s">
        <v>944</v>
      </c>
      <c r="F221" s="198" t="s">
        <v>945</v>
      </c>
      <c r="G221" s="225" t="n">
        <v>1991000</v>
      </c>
      <c r="H221" s="225" t="n">
        <v>2112746</v>
      </c>
      <c r="I221" s="225" t="n">
        <v>3929628</v>
      </c>
      <c r="J221" s="198" t="n">
        <v>41</v>
      </c>
      <c r="K221" s="198" t="n">
        <v>1</v>
      </c>
      <c r="L221" s="226" t="n">
        <v>44522</v>
      </c>
      <c r="M221" s="226" t="n">
        <v>44291</v>
      </c>
      <c r="N221" s="227" t="n">
        <v>4</v>
      </c>
      <c r="O221" s="227" t="s">
        <v>135</v>
      </c>
      <c r="P221" s="228" t="n">
        <f aca="false">VLOOKUP(B221,'NIVEL ENERO'!A:D,3,0)</f>
        <v>0.384499001582645</v>
      </c>
      <c r="Q221" s="229" t="n">
        <f aca="false">VLOOKUP(B221,'NIVEL ENERO'!A:D,4,0)</f>
        <v>160812</v>
      </c>
      <c r="R221" s="186" t="str">
        <f aca="false">+PROPER(C221&amp;" "&amp;D221)</f>
        <v>Ortiz Cadena Kelly Julieth</v>
      </c>
      <c r="S221" s="230" t="n">
        <f aca="false">+YEARFRAC(L221,$S$1)</f>
        <v>4.47222222222222</v>
      </c>
      <c r="T221" s="230" t="n">
        <f aca="false">+YEARFRAC(M221,$S$1)</f>
        <v>5.10277777777778</v>
      </c>
      <c r="U221" s="231" t="n">
        <f aca="false">+$I221</f>
        <v>3929628</v>
      </c>
      <c r="V221" s="232" t="str">
        <f aca="false">+PROPER(F221)</f>
        <v>Union Libre</v>
      </c>
    </row>
    <row r="222" customFormat="false" ht="14.25" hidden="false" customHeight="false" outlineLevel="0" collapsed="false">
      <c r="B222" s="197" t="n">
        <v>31323722</v>
      </c>
      <c r="C222" s="197" t="s">
        <v>1364</v>
      </c>
      <c r="D222" s="197" t="s">
        <v>1365</v>
      </c>
      <c r="E222" s="198" t="s">
        <v>944</v>
      </c>
      <c r="F222" s="198" t="s">
        <v>953</v>
      </c>
      <c r="G222" s="225" t="n">
        <v>2600900</v>
      </c>
      <c r="H222" s="225" t="n">
        <v>2517311</v>
      </c>
      <c r="I222" s="225" t="n">
        <v>1346492</v>
      </c>
      <c r="J222" s="198" t="n">
        <v>41</v>
      </c>
      <c r="K222" s="198" t="n">
        <v>1</v>
      </c>
      <c r="L222" s="226" t="n">
        <v>44246</v>
      </c>
      <c r="M222" s="226" t="n">
        <v>44118</v>
      </c>
      <c r="N222" s="227" t="n">
        <v>3</v>
      </c>
      <c r="O222" s="227" t="s">
        <v>135</v>
      </c>
      <c r="P222" s="228" t="n">
        <f aca="false">VLOOKUP(B222,'NIVEL ENERO'!A:D,3,0)</f>
        <v>0.454276031710043</v>
      </c>
      <c r="Q222" s="229" t="n">
        <f aca="false">VLOOKUP(B222,'NIVEL ENERO'!A:D,4,0)</f>
        <v>-108141.04</v>
      </c>
      <c r="R222" s="186" t="str">
        <f aca="false">+PROPER(C222&amp;" "&amp;D222)</f>
        <v>Barrera Aroca Jimena</v>
      </c>
      <c r="S222" s="230" t="n">
        <f aca="false">+YEARFRAC(L222,$S$1)</f>
        <v>5.23055555555556</v>
      </c>
      <c r="T222" s="230" t="n">
        <f aca="false">+YEARFRAC(M222,$S$1)</f>
        <v>5.57777777777778</v>
      </c>
      <c r="U222" s="231" t="n">
        <f aca="false">+$I222</f>
        <v>1346492</v>
      </c>
      <c r="V222" s="232" t="str">
        <f aca="false">+PROPER(F222)</f>
        <v>Soltero(A)</v>
      </c>
    </row>
    <row r="223" customFormat="false" ht="14.25" hidden="false" customHeight="false" outlineLevel="0" collapsed="false">
      <c r="B223" s="197" t="n">
        <v>31323960</v>
      </c>
      <c r="C223" s="197" t="s">
        <v>1366</v>
      </c>
      <c r="D223" s="197" t="s">
        <v>1367</v>
      </c>
      <c r="E223" s="198" t="s">
        <v>944</v>
      </c>
      <c r="F223" s="198" t="s">
        <v>948</v>
      </c>
      <c r="G223" s="225" t="n">
        <v>6544600</v>
      </c>
      <c r="H223" s="225" t="n">
        <v>13932481</v>
      </c>
      <c r="I223" s="225" t="n">
        <v>16984457</v>
      </c>
      <c r="J223" s="198" t="n">
        <v>41</v>
      </c>
      <c r="K223" s="198" t="n">
        <v>2</v>
      </c>
      <c r="L223" s="226" t="n">
        <v>39128</v>
      </c>
      <c r="M223" s="226" t="n">
        <v>39126</v>
      </c>
      <c r="N223" s="227" t="n">
        <v>2</v>
      </c>
      <c r="O223" s="227" t="s">
        <v>135</v>
      </c>
      <c r="P223" s="228" t="n">
        <f aca="false">VLOOKUP(B223,'NIVEL ENERO'!A:D,3,0)</f>
        <v>0.26519274316361</v>
      </c>
      <c r="Q223" s="229" t="n">
        <f aca="false">VLOOKUP(B223,'NIVEL ENERO'!A:D,4,0)</f>
        <v>1169027</v>
      </c>
      <c r="R223" s="186" t="str">
        <f aca="false">+PROPER(C223&amp;" "&amp;D223)</f>
        <v>Jaramillo Cardenas Diana Catalina</v>
      </c>
      <c r="S223" s="230" t="n">
        <f aca="false">+YEARFRAC(L223,$S$1)</f>
        <v>19.2416666666667</v>
      </c>
      <c r="T223" s="230" t="n">
        <f aca="false">+YEARFRAC(M223,$S$1)</f>
        <v>19.2472222222222</v>
      </c>
      <c r="U223" s="231" t="n">
        <f aca="false">+$I223</f>
        <v>16984457</v>
      </c>
      <c r="V223" s="232" t="str">
        <f aca="false">+PROPER(F223)</f>
        <v>Casado(A)</v>
      </c>
    </row>
    <row r="224" customFormat="false" ht="14.25" hidden="false" customHeight="false" outlineLevel="0" collapsed="false">
      <c r="B224" s="197" t="n">
        <v>31324094</v>
      </c>
      <c r="C224" s="197" t="s">
        <v>1368</v>
      </c>
      <c r="D224" s="197" t="s">
        <v>1369</v>
      </c>
      <c r="E224" s="198" t="s">
        <v>944</v>
      </c>
      <c r="F224" s="198" t="s">
        <v>945</v>
      </c>
      <c r="G224" s="225" t="n">
        <v>2893800</v>
      </c>
      <c r="H224" s="225" t="n">
        <v>5641817</v>
      </c>
      <c r="I224" s="225" t="n">
        <v>5776176</v>
      </c>
      <c r="J224" s="198" t="n">
        <v>40</v>
      </c>
      <c r="K224" s="198" t="n">
        <v>2</v>
      </c>
      <c r="L224" s="226" t="n">
        <v>42991</v>
      </c>
      <c r="M224" s="226" t="n">
        <v>42840</v>
      </c>
      <c r="N224" s="227" t="n">
        <v>4</v>
      </c>
      <c r="O224" s="227" t="s">
        <v>135</v>
      </c>
      <c r="P224" s="228" t="n">
        <f aca="false">VLOOKUP(B224,'NIVEL ENERO'!A:D,3,0)</f>
        <v>0.413263323224743</v>
      </c>
      <c r="Q224" s="229" t="n">
        <f aca="false">VLOOKUP(B224,'NIVEL ENERO'!A:D,4,0)</f>
        <v>22395.04</v>
      </c>
      <c r="R224" s="186" t="str">
        <f aca="false">+PROPER(C224&amp;" "&amp;D224)</f>
        <v>Flor Diaz Diana Maria</v>
      </c>
      <c r="S224" s="230" t="n">
        <f aca="false">+YEARFRAC(L224,$S$1)</f>
        <v>8.66388888888889</v>
      </c>
      <c r="T224" s="230" t="n">
        <f aca="false">+YEARFRAC(M224,$S$1)</f>
        <v>9.075</v>
      </c>
      <c r="U224" s="231" t="n">
        <f aca="false">+$I224</f>
        <v>5776176</v>
      </c>
      <c r="V224" s="232" t="str">
        <f aca="false">+PROPER(F224)</f>
        <v>Union Libre</v>
      </c>
    </row>
    <row r="225" customFormat="false" ht="14.25" hidden="false" customHeight="false" outlineLevel="0" collapsed="false">
      <c r="B225" s="197" t="n">
        <v>31324751</v>
      </c>
      <c r="C225" s="197" t="s">
        <v>1370</v>
      </c>
      <c r="D225" s="197" t="s">
        <v>1371</v>
      </c>
      <c r="E225" s="198" t="s">
        <v>944</v>
      </c>
      <c r="F225" s="198" t="s">
        <v>948</v>
      </c>
      <c r="G225" s="225" t="n">
        <v>2893800</v>
      </c>
      <c r="H225" s="225" t="n">
        <v>2402005</v>
      </c>
      <c r="I225" s="225" t="n">
        <v>2677426</v>
      </c>
      <c r="J225" s="198" t="n">
        <v>40</v>
      </c>
      <c r="K225" s="198" t="n">
        <v>1</v>
      </c>
      <c r="L225" s="226" t="n">
        <v>45191</v>
      </c>
      <c r="M225" s="226" t="n">
        <v>38774</v>
      </c>
      <c r="N225" s="227" t="n">
        <v>4</v>
      </c>
      <c r="O225" s="227" t="s">
        <v>135</v>
      </c>
      <c r="P225" s="228" t="n">
        <f aca="false">VLOOKUP(B225,'NIVEL ENERO'!A:D,3,0)</f>
        <v>0.324303502656531</v>
      </c>
      <c r="Q225" s="229" t="n">
        <f aca="false">VLOOKUP(B225,'NIVEL ENERO'!A:D,4,0)</f>
        <v>370785.84</v>
      </c>
      <c r="R225" s="186" t="str">
        <f aca="false">+PROPER(C225&amp;" "&amp;D225)</f>
        <v>Nunez Munoz Marisol</v>
      </c>
      <c r="S225" s="230" t="n">
        <f aca="false">+YEARFRAC(L225,$S$1)</f>
        <v>2.63888888888889</v>
      </c>
      <c r="T225" s="230" t="n">
        <f aca="false">+YEARFRAC(M225,$S$1)</f>
        <v>20.2111111111111</v>
      </c>
      <c r="U225" s="231" t="n">
        <f aca="false">+$I225</f>
        <v>2677426</v>
      </c>
      <c r="V225" s="232" t="str">
        <f aca="false">+PROPER(F225)</f>
        <v>Casado(A)</v>
      </c>
    </row>
    <row r="226" customFormat="false" ht="14.25" hidden="false" customHeight="false" outlineLevel="0" collapsed="false">
      <c r="B226" s="197" t="n">
        <v>31324780</v>
      </c>
      <c r="C226" s="197" t="s">
        <v>1372</v>
      </c>
      <c r="D226" s="197" t="s">
        <v>1373</v>
      </c>
      <c r="E226" s="198" t="s">
        <v>944</v>
      </c>
      <c r="F226" s="198" t="s">
        <v>945</v>
      </c>
      <c r="G226" s="225" t="n">
        <v>5842800</v>
      </c>
      <c r="H226" s="225" t="n">
        <v>1759194</v>
      </c>
      <c r="I226" s="225" t="n">
        <v>464178</v>
      </c>
      <c r="J226" s="198" t="n">
        <v>41</v>
      </c>
      <c r="K226" s="198" t="n">
        <v>1</v>
      </c>
      <c r="L226" s="226" t="n">
        <v>44757</v>
      </c>
      <c r="M226" s="226" t="n">
        <v>44511</v>
      </c>
      <c r="N226" s="227" t="n">
        <v>3</v>
      </c>
      <c r="O226" s="227" t="s">
        <v>135</v>
      </c>
      <c r="P226" s="228" t="n">
        <f aca="false">VLOOKUP(B226,'NIVEL ENERO'!A:D,3,0)</f>
        <v>0.185908672385027</v>
      </c>
      <c r="Q226" s="229" t="n">
        <f aca="false">VLOOKUP(B226,'NIVEL ENERO'!A:D,4,0)</f>
        <v>1352551.6</v>
      </c>
      <c r="R226" s="186" t="str">
        <f aca="false">+PROPER(C226&amp;" "&amp;D226)</f>
        <v>Salazar Garcia Claudia Lorena</v>
      </c>
      <c r="S226" s="230" t="n">
        <f aca="false">+YEARFRAC(L226,$S$1)</f>
        <v>3.825</v>
      </c>
      <c r="T226" s="230" t="n">
        <f aca="false">+YEARFRAC(M226,$S$1)</f>
        <v>4.50277777777778</v>
      </c>
      <c r="U226" s="231" t="n">
        <f aca="false">+$I226</f>
        <v>464178</v>
      </c>
      <c r="V226" s="232" t="str">
        <f aca="false">+PROPER(F226)</f>
        <v>Union Libre</v>
      </c>
    </row>
    <row r="227" customFormat="false" ht="14.25" hidden="false" customHeight="false" outlineLevel="0" collapsed="false">
      <c r="B227" s="197" t="n">
        <v>31324832</v>
      </c>
      <c r="C227" s="197" t="s">
        <v>1374</v>
      </c>
      <c r="D227" s="197" t="s">
        <v>1375</v>
      </c>
      <c r="E227" s="198" t="s">
        <v>944</v>
      </c>
      <c r="F227" s="198" t="s">
        <v>953</v>
      </c>
      <c r="G227" s="225" t="n">
        <v>5500000</v>
      </c>
      <c r="H227" s="225" t="n">
        <v>3760036</v>
      </c>
      <c r="I227" s="225" t="n">
        <v>4154497</v>
      </c>
      <c r="J227" s="198" t="n">
        <v>40</v>
      </c>
      <c r="K227" s="198" t="n">
        <v>2</v>
      </c>
      <c r="L227" s="226" t="n">
        <v>44908</v>
      </c>
      <c r="M227" s="226" t="n">
        <v>44722</v>
      </c>
      <c r="N227" s="227" t="n">
        <v>2</v>
      </c>
      <c r="O227" s="227" t="s">
        <v>135</v>
      </c>
      <c r="P227" s="228" t="n">
        <f aca="false">VLOOKUP(B227,'NIVEL ENERO'!A:D,3,0)</f>
        <v>0.209329543225717</v>
      </c>
      <c r="Q227" s="229" t="n">
        <f aca="false">VLOOKUP(B227,'NIVEL ENERO'!A:D,4,0)</f>
        <v>1499441.92</v>
      </c>
      <c r="R227" s="186" t="str">
        <f aca="false">+PROPER(C227&amp;" "&amp;D227)</f>
        <v>Navia Moreno Aura Celmira</v>
      </c>
      <c r="S227" s="230" t="n">
        <f aca="false">+YEARFRAC(L227,$S$1)</f>
        <v>3.41388888888889</v>
      </c>
      <c r="T227" s="230" t="n">
        <f aca="false">+YEARFRAC(M227,$S$1)</f>
        <v>3.92222222222222</v>
      </c>
      <c r="U227" s="231" t="n">
        <f aca="false">+$I227</f>
        <v>4154497</v>
      </c>
      <c r="V227" s="232" t="str">
        <f aca="false">+PROPER(F227)</f>
        <v>Soltero(A)</v>
      </c>
    </row>
    <row r="228" customFormat="false" ht="14.25" hidden="false" customHeight="false" outlineLevel="0" collapsed="false">
      <c r="B228" s="197" t="n">
        <v>31387452</v>
      </c>
      <c r="C228" s="197" t="s">
        <v>1376</v>
      </c>
      <c r="D228" s="197" t="s">
        <v>1377</v>
      </c>
      <c r="E228" s="198" t="s">
        <v>944</v>
      </c>
      <c r="F228" s="198" t="s">
        <v>948</v>
      </c>
      <c r="G228" s="225" t="n">
        <v>4800000</v>
      </c>
      <c r="H228" s="225" t="n">
        <v>13523728</v>
      </c>
      <c r="I228" s="225" t="n">
        <v>0</v>
      </c>
      <c r="J228" s="198" t="n">
        <v>59</v>
      </c>
      <c r="K228" s="198" t="n">
        <v>2</v>
      </c>
      <c r="L228" s="226" t="n">
        <v>43333</v>
      </c>
      <c r="M228" s="226" t="n">
        <v>38777</v>
      </c>
      <c r="N228" s="227" t="n">
        <v>4</v>
      </c>
      <c r="O228" s="227" t="s">
        <v>445</v>
      </c>
      <c r="P228" s="228" t="e">
        <f aca="false">VLOOKUP(B228,'NIVEL ENERO'!A:D,3,0)</f>
        <v>#N/A</v>
      </c>
      <c r="Q228" s="229" t="e">
        <f aca="false">VLOOKUP(B228,'NIVEL ENERO'!A:D,4,0)</f>
        <v>#N/A</v>
      </c>
      <c r="R228" s="186" t="str">
        <f aca="false">+PROPER(C228&amp;" "&amp;D228)</f>
        <v>Hurtado Castro Carmenza</v>
      </c>
      <c r="S228" s="230" t="n">
        <f aca="false">+YEARFRAC(L228,$S$1)</f>
        <v>7.725</v>
      </c>
      <c r="T228" s="230" t="n">
        <f aca="false">+YEARFRAC(M228,$S$1)</f>
        <v>20.1972222222222</v>
      </c>
      <c r="U228" s="231" t="n">
        <f aca="false">+$I228</f>
        <v>0</v>
      </c>
      <c r="V228" s="232" t="str">
        <f aca="false">+PROPER(F228)</f>
        <v>Casado(A)</v>
      </c>
    </row>
    <row r="229" customFormat="false" ht="14.25" hidden="false" customHeight="false" outlineLevel="0" collapsed="false">
      <c r="B229" s="197" t="n">
        <v>31411666</v>
      </c>
      <c r="C229" s="197" t="s">
        <v>1378</v>
      </c>
      <c r="D229" s="197" t="s">
        <v>1379</v>
      </c>
      <c r="E229" s="198" t="s">
        <v>944</v>
      </c>
      <c r="F229" s="198" t="s">
        <v>953</v>
      </c>
      <c r="G229" s="225" t="n">
        <v>2893800</v>
      </c>
      <c r="H229" s="225" t="n">
        <v>3849634</v>
      </c>
      <c r="I229" s="225" t="n">
        <v>4065723</v>
      </c>
      <c r="J229" s="198" t="n">
        <v>57</v>
      </c>
      <c r="K229" s="198" t="n">
        <v>2</v>
      </c>
      <c r="L229" s="226" t="n">
        <v>43180</v>
      </c>
      <c r="M229" s="226" t="n">
        <v>34722</v>
      </c>
      <c r="N229" s="227" t="n">
        <v>1</v>
      </c>
      <c r="O229" s="227" t="s">
        <v>135</v>
      </c>
      <c r="P229" s="228" t="n">
        <f aca="false">VLOOKUP(B229,'NIVEL ENERO'!A:D,3,0)</f>
        <v>0.387714069608429</v>
      </c>
      <c r="Q229" s="229" t="n">
        <f aca="false">VLOOKUP(B229,'NIVEL ENERO'!A:D,4,0)</f>
        <v>136792.28</v>
      </c>
      <c r="R229" s="186" t="str">
        <f aca="false">+PROPER(C229&amp;" "&amp;D229)</f>
        <v>Toro Castro Irene</v>
      </c>
      <c r="S229" s="230" t="n">
        <f aca="false">+YEARFRAC(L229,$S$1)</f>
        <v>8.14166666666667</v>
      </c>
      <c r="T229" s="230" t="n">
        <f aca="false">+YEARFRAC(M229,$S$1)</f>
        <v>31.3027777777778</v>
      </c>
      <c r="U229" s="231" t="n">
        <f aca="false">+$I229</f>
        <v>4065723</v>
      </c>
      <c r="V229" s="232" t="str">
        <f aca="false">+PROPER(F229)</f>
        <v>Soltero(A)</v>
      </c>
    </row>
    <row r="230" customFormat="false" ht="14.25" hidden="false" customHeight="false" outlineLevel="0" collapsed="false">
      <c r="B230" s="197" t="n">
        <v>31446402</v>
      </c>
      <c r="C230" s="197" t="s">
        <v>1380</v>
      </c>
      <c r="D230" s="197" t="s">
        <v>1381</v>
      </c>
      <c r="E230" s="198" t="s">
        <v>944</v>
      </c>
      <c r="F230" s="198" t="s">
        <v>953</v>
      </c>
      <c r="G230" s="225" t="n">
        <v>2648100</v>
      </c>
      <c r="H230" s="225" t="n">
        <v>3103602</v>
      </c>
      <c r="I230" s="225" t="n">
        <v>10257624</v>
      </c>
      <c r="J230" s="198" t="n">
        <v>44</v>
      </c>
      <c r="K230" s="198" t="n">
        <v>2</v>
      </c>
      <c r="L230" s="226" t="n">
        <v>43718</v>
      </c>
      <c r="M230" s="226" t="n">
        <v>41440</v>
      </c>
      <c r="N230" s="227" t="n">
        <v>3</v>
      </c>
      <c r="O230" s="227" t="s">
        <v>135</v>
      </c>
      <c r="P230" s="228" t="n">
        <f aca="false">VLOOKUP(B230,'NIVEL ENERO'!A:D,3,0)</f>
        <v>0.484282444437609</v>
      </c>
      <c r="Q230" s="229" t="n">
        <f aca="false">VLOOKUP(B230,'NIVEL ENERO'!A:D,4,0)</f>
        <v>-185301.56</v>
      </c>
      <c r="R230" s="186" t="str">
        <f aca="false">+PROPER(C230&amp;" "&amp;D230)</f>
        <v>Quitumbo Quiguanas Yamirth</v>
      </c>
      <c r="S230" s="230" t="n">
        <f aca="false">+YEARFRAC(L230,$S$1)</f>
        <v>6.67222222222222</v>
      </c>
      <c r="T230" s="230" t="n">
        <f aca="false">+YEARFRAC(M230,$S$1)</f>
        <v>12.9083333333333</v>
      </c>
      <c r="U230" s="231" t="n">
        <f aca="false">+$I230</f>
        <v>10257624</v>
      </c>
      <c r="V230" s="232" t="str">
        <f aca="false">+PROPER(F230)</f>
        <v>Soltero(A)</v>
      </c>
    </row>
    <row r="231" customFormat="false" ht="14.25" hidden="false" customHeight="false" outlineLevel="0" collapsed="false">
      <c r="B231" s="197" t="n">
        <v>31446403</v>
      </c>
      <c r="C231" s="197" t="s">
        <v>1382</v>
      </c>
      <c r="D231" s="197" t="s">
        <v>1383</v>
      </c>
      <c r="E231" s="198" t="s">
        <v>944</v>
      </c>
      <c r="F231" s="198" t="s">
        <v>998</v>
      </c>
      <c r="G231" s="225" t="n">
        <v>1625000</v>
      </c>
      <c r="H231" s="225" t="n">
        <v>900000</v>
      </c>
      <c r="I231" s="225"/>
      <c r="J231" s="198" t="n">
        <v>45</v>
      </c>
      <c r="K231" s="198" t="n">
        <v>2</v>
      </c>
      <c r="L231" s="226" t="n">
        <v>45366</v>
      </c>
      <c r="M231" s="226" t="n">
        <v>45541</v>
      </c>
      <c r="N231" s="227" t="n">
        <v>0</v>
      </c>
      <c r="O231" s="227" t="s">
        <v>135</v>
      </c>
      <c r="P231" s="228" t="n">
        <f aca="false">VLOOKUP(B231,'NIVEL ENERO'!A:D,3,0)</f>
        <v>0.355199759843454</v>
      </c>
      <c r="Q231" s="229" t="n">
        <f aca="false">VLOOKUP(B231,'NIVEL ENERO'!A:D,4,0)</f>
        <v>291411</v>
      </c>
      <c r="R231" s="186" t="str">
        <f aca="false">+PROPER(C231&amp;" "&amp;D231)</f>
        <v>Nazarit Carmen Janeth</v>
      </c>
      <c r="S231" s="230" t="n">
        <f aca="false">+YEARFRAC(L231,$S$1)</f>
        <v>2.15833333333333</v>
      </c>
      <c r="T231" s="230" t="n">
        <f aca="false">+YEARFRAC(M231,$S$1)</f>
        <v>1.68333333333333</v>
      </c>
      <c r="U231" s="231" t="n">
        <f aca="false">+$I231</f>
        <v>0</v>
      </c>
      <c r="V231" s="232" t="str">
        <f aca="false">+PROPER(F231)</f>
        <v>Separado(A)</v>
      </c>
    </row>
    <row r="232" customFormat="false" ht="14.25" hidden="false" customHeight="false" outlineLevel="0" collapsed="false">
      <c r="B232" s="197" t="n">
        <v>31446899</v>
      </c>
      <c r="C232" s="197" t="s">
        <v>1384</v>
      </c>
      <c r="D232" s="197" t="s">
        <v>1385</v>
      </c>
      <c r="E232" s="198" t="s">
        <v>944</v>
      </c>
      <c r="F232" s="198" t="s">
        <v>948</v>
      </c>
      <c r="G232" s="225" t="n">
        <v>2600900</v>
      </c>
      <c r="H232" s="225" t="n">
        <v>2236994</v>
      </c>
      <c r="I232" s="225" t="n">
        <v>0</v>
      </c>
      <c r="J232" s="198" t="n">
        <v>44</v>
      </c>
      <c r="K232" s="198" t="n">
        <v>2</v>
      </c>
      <c r="L232" s="226" t="n">
        <v>44432</v>
      </c>
      <c r="M232" s="226" t="n">
        <v>40494</v>
      </c>
      <c r="N232" s="227" t="n">
        <v>3</v>
      </c>
      <c r="O232" s="227" t="s">
        <v>135</v>
      </c>
      <c r="P232" s="228" t="n">
        <f aca="false">VLOOKUP(B232,'NIVEL ENERO'!A:D,3,0)</f>
        <v>0.303274778882334</v>
      </c>
      <c r="Q232" s="229" t="n">
        <f aca="false">VLOOKUP(B232,'NIVEL ENERO'!A:D,4,0)</f>
        <v>296844.26</v>
      </c>
      <c r="R232" s="186" t="str">
        <f aca="false">+PROPER(C232&amp;" "&amp;D232)</f>
        <v>Bayer Taborda Anllely</v>
      </c>
      <c r="S232" s="230" t="n">
        <f aca="false">+YEARFRAC(L232,$S$1)</f>
        <v>4.71666666666667</v>
      </c>
      <c r="T232" s="230" t="n">
        <f aca="false">+YEARFRAC(M232,$S$1)</f>
        <v>15.5</v>
      </c>
      <c r="U232" s="231" t="n">
        <f aca="false">+$I232</f>
        <v>0</v>
      </c>
      <c r="V232" s="232" t="str">
        <f aca="false">+PROPER(F232)</f>
        <v>Casado(A)</v>
      </c>
    </row>
    <row r="233" customFormat="false" ht="14.25" hidden="false" customHeight="false" outlineLevel="0" collapsed="false">
      <c r="B233" s="197" t="n">
        <v>31447047</v>
      </c>
      <c r="C233" s="197" t="s">
        <v>1386</v>
      </c>
      <c r="D233" s="197" t="s">
        <v>1221</v>
      </c>
      <c r="E233" s="198" t="s">
        <v>944</v>
      </c>
      <c r="F233" s="198" t="s">
        <v>953</v>
      </c>
      <c r="G233" s="225" t="n">
        <v>1380000</v>
      </c>
      <c r="H233" s="225" t="n">
        <v>600000</v>
      </c>
      <c r="I233" s="225" t="n">
        <v>2548126</v>
      </c>
      <c r="J233" s="198" t="n">
        <v>44</v>
      </c>
      <c r="K233" s="198" t="n">
        <v>2</v>
      </c>
      <c r="L233" s="226" t="n">
        <v>45475</v>
      </c>
      <c r="M233" s="226" t="n">
        <v>45000</v>
      </c>
      <c r="N233" s="227" t="n">
        <v>0</v>
      </c>
      <c r="O233" s="227" t="s">
        <v>185</v>
      </c>
      <c r="P233" s="228" t="e">
        <f aca="false">VLOOKUP(B233,'NIVEL ENERO'!A:D,3,0)</f>
        <v>#N/A</v>
      </c>
      <c r="Q233" s="229" t="e">
        <f aca="false">VLOOKUP(B233,'NIVEL ENERO'!A:D,4,0)</f>
        <v>#N/A</v>
      </c>
      <c r="R233" s="186" t="str">
        <f aca="false">+PROPER(C233&amp;" "&amp;D233)</f>
        <v>Ceron Quintero Maribel</v>
      </c>
      <c r="S233" s="230" t="n">
        <f aca="false">+YEARFRAC(L233,$S$1)</f>
        <v>1.86111111111111</v>
      </c>
      <c r="T233" s="230" t="n">
        <f aca="false">+YEARFRAC(M233,$S$1)</f>
        <v>3.15833333333333</v>
      </c>
      <c r="U233" s="231" t="n">
        <f aca="false">+$I233</f>
        <v>2548126</v>
      </c>
      <c r="V233" s="232" t="str">
        <f aca="false">+PROPER(F233)</f>
        <v>Soltero(A)</v>
      </c>
    </row>
    <row r="234" customFormat="false" ht="14.25" hidden="false" customHeight="false" outlineLevel="0" collapsed="false">
      <c r="B234" s="197" t="n">
        <v>31482381</v>
      </c>
      <c r="C234" s="197" t="s">
        <v>1387</v>
      </c>
      <c r="D234" s="197" t="s">
        <v>1388</v>
      </c>
      <c r="E234" s="198" t="s">
        <v>944</v>
      </c>
      <c r="F234" s="198" t="s">
        <v>953</v>
      </c>
      <c r="G234" s="225" t="n">
        <v>5418800</v>
      </c>
      <c r="H234" s="225" t="n">
        <v>2086164</v>
      </c>
      <c r="I234" s="225" t="n">
        <v>1043150</v>
      </c>
      <c r="J234" s="198" t="n">
        <v>45</v>
      </c>
      <c r="K234" s="198" t="n">
        <v>1</v>
      </c>
      <c r="L234" s="226" t="n">
        <v>44845</v>
      </c>
      <c r="M234" s="226" t="n">
        <v>44105</v>
      </c>
      <c r="N234" s="227" t="n">
        <v>2</v>
      </c>
      <c r="O234" s="227" t="s">
        <v>135</v>
      </c>
      <c r="P234" s="228" t="n">
        <f aca="false">VLOOKUP(B234,'NIVEL ENERO'!A:D,3,0)</f>
        <v>0.290869220535291</v>
      </c>
      <c r="Q234" s="229" t="n">
        <f aca="false">VLOOKUP(B234,'NIVEL ENERO'!A:D,4,0)</f>
        <v>961677.72</v>
      </c>
      <c r="R234" s="186" t="str">
        <f aca="false">+PROPER(C234&amp;" "&amp;D234)</f>
        <v>Checa Cardenas Maryury</v>
      </c>
      <c r="S234" s="230" t="n">
        <f aca="false">+YEARFRAC(L234,$S$1)</f>
        <v>3.58611111111111</v>
      </c>
      <c r="T234" s="230" t="n">
        <f aca="false">+YEARFRAC(M234,$S$1)</f>
        <v>5.61388888888889</v>
      </c>
      <c r="U234" s="231" t="n">
        <f aca="false">+$I234</f>
        <v>1043150</v>
      </c>
      <c r="V234" s="232" t="str">
        <f aca="false">+PROPER(F234)</f>
        <v>Soltero(A)</v>
      </c>
    </row>
    <row r="235" customFormat="false" ht="14.25" hidden="false" customHeight="false" outlineLevel="0" collapsed="false">
      <c r="B235" s="197" t="n">
        <v>31482745</v>
      </c>
      <c r="C235" s="197" t="s">
        <v>1389</v>
      </c>
      <c r="D235" s="197" t="s">
        <v>1390</v>
      </c>
      <c r="E235" s="198" t="s">
        <v>944</v>
      </c>
      <c r="F235" s="198" t="s">
        <v>945</v>
      </c>
      <c r="G235" s="225" t="n">
        <v>2893800</v>
      </c>
      <c r="H235" s="225" t="n">
        <v>350000</v>
      </c>
      <c r="I235" s="225" t="n">
        <v>2800000</v>
      </c>
      <c r="J235" s="198" t="n">
        <v>45</v>
      </c>
      <c r="K235" s="198" t="n">
        <v>2</v>
      </c>
      <c r="L235" s="226" t="n">
        <v>45524</v>
      </c>
      <c r="M235" s="226" t="n">
        <v>41531</v>
      </c>
      <c r="N235" s="227" t="n">
        <v>4</v>
      </c>
      <c r="O235" s="227" t="s">
        <v>135</v>
      </c>
      <c r="P235" s="228" t="n">
        <f aca="false">VLOOKUP(B235,'NIVEL ENERO'!A:D,3,0)</f>
        <v>0.210253760854381</v>
      </c>
      <c r="Q235" s="229" t="n">
        <f aca="false">VLOOKUP(B235,'NIVEL ENERO'!A:D,4,0)</f>
        <v>750127.92</v>
      </c>
      <c r="R235" s="186" t="str">
        <f aca="false">+PROPER(C235&amp;" "&amp;D235)</f>
        <v>Medina Barragan Angelica</v>
      </c>
      <c r="S235" s="230" t="n">
        <f aca="false">+YEARFRAC(L235,$S$1)</f>
        <v>1.72777777777778</v>
      </c>
      <c r="T235" s="230" t="n">
        <f aca="false">+YEARFRAC(M235,$S$1)</f>
        <v>12.6611111111111</v>
      </c>
      <c r="U235" s="231" t="n">
        <f aca="false">+$I235</f>
        <v>2800000</v>
      </c>
      <c r="V235" s="232" t="str">
        <f aca="false">+PROPER(F235)</f>
        <v>Union Libre</v>
      </c>
    </row>
    <row r="236" customFormat="false" ht="14.25" hidden="false" customHeight="false" outlineLevel="0" collapsed="false">
      <c r="B236" s="197" t="n">
        <v>31483756</v>
      </c>
      <c r="C236" s="197" t="s">
        <v>1391</v>
      </c>
      <c r="D236" s="197" t="s">
        <v>1392</v>
      </c>
      <c r="E236" s="198" t="s">
        <v>944</v>
      </c>
      <c r="F236" s="198" t="s">
        <v>948</v>
      </c>
      <c r="G236" s="225" t="n">
        <v>2893800</v>
      </c>
      <c r="H236" s="225" t="n">
        <v>2123264</v>
      </c>
      <c r="I236" s="225" t="n">
        <v>3854078</v>
      </c>
      <c r="J236" s="198" t="n">
        <v>45</v>
      </c>
      <c r="K236" s="198" t="n">
        <v>1</v>
      </c>
      <c r="L236" s="226" t="n">
        <v>45020</v>
      </c>
      <c r="M236" s="226" t="n">
        <v>40238</v>
      </c>
      <c r="N236" s="227" t="n">
        <v>4</v>
      </c>
      <c r="O236" s="227" t="s">
        <v>135</v>
      </c>
      <c r="P236" s="228" t="n">
        <f aca="false">VLOOKUP(B236,'NIVEL ENERO'!A:D,3,0)</f>
        <v>0.226235601984697</v>
      </c>
      <c r="Q236" s="229" t="n">
        <f aca="false">VLOOKUP(B236,'NIVEL ENERO'!A:D,4,0)</f>
        <v>768654.26</v>
      </c>
      <c r="R236" s="186" t="str">
        <f aca="false">+PROPER(C236&amp;" "&amp;D236)</f>
        <v>Pinzon Vasquez Lina Paola</v>
      </c>
      <c r="S236" s="230" t="n">
        <f aca="false">+YEARFRAC(L236,$S$1)</f>
        <v>3.10555555555556</v>
      </c>
      <c r="T236" s="230" t="n">
        <f aca="false">+YEARFRAC(M236,$S$1)</f>
        <v>16.1972222222222</v>
      </c>
      <c r="U236" s="231" t="n">
        <f aca="false">+$I236</f>
        <v>3854078</v>
      </c>
      <c r="V236" s="232" t="str">
        <f aca="false">+PROPER(F236)</f>
        <v>Casado(A)</v>
      </c>
    </row>
    <row r="237" customFormat="false" ht="14.25" hidden="false" customHeight="false" outlineLevel="0" collapsed="false">
      <c r="B237" s="197" t="n">
        <v>31487155</v>
      </c>
      <c r="C237" s="197" t="s">
        <v>1393</v>
      </c>
      <c r="D237" s="197" t="s">
        <v>1394</v>
      </c>
      <c r="E237" s="198" t="s">
        <v>944</v>
      </c>
      <c r="F237" s="198" t="s">
        <v>948</v>
      </c>
      <c r="G237" s="225" t="n">
        <v>2600900</v>
      </c>
      <c r="H237" s="225" t="n">
        <v>1708686</v>
      </c>
      <c r="I237" s="225" t="n">
        <v>1235498</v>
      </c>
      <c r="J237" s="198" t="n">
        <v>42</v>
      </c>
      <c r="K237" s="198" t="n">
        <v>1</v>
      </c>
      <c r="L237" s="226" t="n">
        <v>44748</v>
      </c>
      <c r="M237" s="226" t="n">
        <v>42440</v>
      </c>
      <c r="N237" s="227" t="n">
        <v>2</v>
      </c>
      <c r="O237" s="227" t="s">
        <v>135</v>
      </c>
      <c r="P237" s="228" t="n">
        <f aca="false">VLOOKUP(B237,'NIVEL ENERO'!A:D,3,0)</f>
        <v>0.368426631564362</v>
      </c>
      <c r="Q237" s="229" t="n">
        <f aca="false">VLOOKUP(B237,'NIVEL ENERO'!A:D,4,0)</f>
        <v>148882</v>
      </c>
      <c r="R237" s="186" t="str">
        <f aca="false">+PROPER(C237&amp;" "&amp;D237)</f>
        <v>Pereira Gonzalez Lady Carolina</v>
      </c>
      <c r="S237" s="230" t="n">
        <f aca="false">+YEARFRAC(L237,$S$1)</f>
        <v>3.85</v>
      </c>
      <c r="T237" s="230" t="n">
        <f aca="false">+YEARFRAC(M237,$S$1)</f>
        <v>10.1694444444444</v>
      </c>
      <c r="U237" s="231" t="n">
        <f aca="false">+$I237</f>
        <v>1235498</v>
      </c>
      <c r="V237" s="232" t="str">
        <f aca="false">+PROPER(F237)</f>
        <v>Casado(A)</v>
      </c>
    </row>
    <row r="238" customFormat="false" ht="14.25" hidden="false" customHeight="false" outlineLevel="0" collapsed="false">
      <c r="B238" s="197" t="n">
        <v>31488174</v>
      </c>
      <c r="C238" s="197" t="s">
        <v>1395</v>
      </c>
      <c r="D238" s="197" t="s">
        <v>1396</v>
      </c>
      <c r="E238" s="198" t="s">
        <v>944</v>
      </c>
      <c r="F238" s="198" t="s">
        <v>948</v>
      </c>
      <c r="G238" s="225" t="n">
        <v>2893800</v>
      </c>
      <c r="H238" s="225" t="n">
        <v>4061825</v>
      </c>
      <c r="I238" s="225" t="n">
        <v>5954709</v>
      </c>
      <c r="J238" s="198" t="n">
        <v>41</v>
      </c>
      <c r="K238" s="198" t="n">
        <v>2</v>
      </c>
      <c r="L238" s="226" t="n">
        <v>43117</v>
      </c>
      <c r="M238" s="226" t="n">
        <v>40896</v>
      </c>
      <c r="N238" s="227" t="n">
        <v>5</v>
      </c>
      <c r="O238" s="227" t="s">
        <v>135</v>
      </c>
      <c r="P238" s="228" t="n">
        <f aca="false">VLOOKUP(B238,'NIVEL ENERO'!A:D,3,0)</f>
        <v>0.458167461469348</v>
      </c>
      <c r="Q238" s="229" t="n">
        <f aca="false">VLOOKUP(B238,'NIVEL ENERO'!A:D,4,0)</f>
        <v>-110449</v>
      </c>
      <c r="R238" s="186" t="str">
        <f aca="false">+PROPER(C238&amp;" "&amp;D238)</f>
        <v>Nieto Sanchez Catherine Julieth</v>
      </c>
      <c r="S238" s="230" t="n">
        <f aca="false">+YEARFRAC(L238,$S$1)</f>
        <v>8.31944444444445</v>
      </c>
      <c r="T238" s="230" t="n">
        <f aca="false">+YEARFRAC(M238,$S$1)</f>
        <v>14.3972222222222</v>
      </c>
      <c r="U238" s="231" t="n">
        <f aca="false">+$I238</f>
        <v>5954709</v>
      </c>
      <c r="V238" s="232" t="str">
        <f aca="false">+PROPER(F238)</f>
        <v>Casado(A)</v>
      </c>
    </row>
    <row r="239" customFormat="false" ht="14.25" hidden="false" customHeight="false" outlineLevel="0" collapsed="false">
      <c r="B239" s="197" t="n">
        <v>31523565</v>
      </c>
      <c r="C239" s="197" t="s">
        <v>1397</v>
      </c>
      <c r="D239" s="197" t="s">
        <v>1398</v>
      </c>
      <c r="E239" s="198" t="s">
        <v>944</v>
      </c>
      <c r="F239" s="198" t="s">
        <v>953</v>
      </c>
      <c r="G239" s="225" t="n">
        <v>3966000</v>
      </c>
      <c r="H239" s="225" t="n">
        <v>23332086</v>
      </c>
      <c r="I239" s="225" t="n">
        <v>0</v>
      </c>
      <c r="J239" s="198" t="n">
        <v>59</v>
      </c>
      <c r="K239" s="198" t="n">
        <v>2</v>
      </c>
      <c r="L239" s="226" t="n">
        <v>41250</v>
      </c>
      <c r="M239" s="226" t="n">
        <v>38964</v>
      </c>
      <c r="N239" s="227" t="n">
        <v>2</v>
      </c>
      <c r="O239" s="227" t="s">
        <v>445</v>
      </c>
      <c r="P239" s="228" t="e">
        <f aca="false">VLOOKUP(B239,'NIVEL ENERO'!A:D,3,0)</f>
        <v>#N/A</v>
      </c>
      <c r="Q239" s="229" t="e">
        <f aca="false">VLOOKUP(B239,'NIVEL ENERO'!A:D,4,0)</f>
        <v>#N/A</v>
      </c>
      <c r="R239" s="186" t="str">
        <f aca="false">+PROPER(C239&amp;" "&amp;D239)</f>
        <v>Ocampo Palacio Luz Angela</v>
      </c>
      <c r="S239" s="230" t="n">
        <f aca="false">+YEARFRAC(L239,$S$1)</f>
        <v>13.4305555555556</v>
      </c>
      <c r="T239" s="230" t="n">
        <f aca="false">+YEARFRAC(M239,$S$1)</f>
        <v>19.6888888888889</v>
      </c>
      <c r="U239" s="231" t="n">
        <f aca="false">+$I239</f>
        <v>0</v>
      </c>
      <c r="V239" s="232" t="str">
        <f aca="false">+PROPER(F239)</f>
        <v>Soltero(A)</v>
      </c>
    </row>
    <row r="240" customFormat="false" ht="14.25" hidden="false" customHeight="false" outlineLevel="0" collapsed="false">
      <c r="B240" s="197" t="n">
        <v>31525225</v>
      </c>
      <c r="C240" s="197" t="s">
        <v>1399</v>
      </c>
      <c r="D240" s="197" t="s">
        <v>1400</v>
      </c>
      <c r="E240" s="198" t="s">
        <v>944</v>
      </c>
      <c r="F240" s="198" t="s">
        <v>945</v>
      </c>
      <c r="G240" s="225" t="n">
        <v>1670000</v>
      </c>
      <c r="H240" s="225" t="n">
        <v>6053831</v>
      </c>
      <c r="I240" s="225" t="n">
        <v>0</v>
      </c>
      <c r="J240" s="198" t="n">
        <v>62</v>
      </c>
      <c r="K240" s="198" t="n">
        <v>1</v>
      </c>
      <c r="L240" s="226" t="n">
        <v>40732</v>
      </c>
      <c r="M240" s="226" t="n">
        <v>39042</v>
      </c>
      <c r="N240" s="227" t="n">
        <v>3</v>
      </c>
      <c r="O240" s="227" t="s">
        <v>135</v>
      </c>
      <c r="P240" s="228" t="n">
        <f aca="false">VLOOKUP(B240,'NIVEL ENERO'!A:D,3,0)</f>
        <v>0.386278526946108</v>
      </c>
      <c r="Q240" s="229" t="n">
        <f aca="false">VLOOKUP(B240,'NIVEL ENERO'!A:D,4,0)</f>
        <v>134083</v>
      </c>
      <c r="R240" s="186" t="str">
        <f aca="false">+PROPER(C240&amp;" "&amp;D240)</f>
        <v>Balanta Cortez Nancy</v>
      </c>
      <c r="S240" s="230" t="n">
        <f aca="false">+YEARFRAC(L240,$S$1)</f>
        <v>14.8444444444444</v>
      </c>
      <c r="T240" s="230" t="n">
        <f aca="false">+YEARFRAC(M240,$S$1)</f>
        <v>19.475</v>
      </c>
      <c r="U240" s="231" t="n">
        <f aca="false">+$I240</f>
        <v>0</v>
      </c>
      <c r="V240" s="232" t="str">
        <f aca="false">+PROPER(F240)</f>
        <v>Union Libre</v>
      </c>
    </row>
    <row r="241" customFormat="false" ht="14.25" hidden="false" customHeight="false" outlineLevel="0" collapsed="false">
      <c r="B241" s="197" t="n">
        <v>31528300</v>
      </c>
      <c r="C241" s="197" t="s">
        <v>1401</v>
      </c>
      <c r="D241" s="197" t="s">
        <v>1402</v>
      </c>
      <c r="E241" s="198" t="s">
        <v>944</v>
      </c>
      <c r="F241" s="198" t="s">
        <v>953</v>
      </c>
      <c r="G241" s="225" t="n">
        <v>1918500</v>
      </c>
      <c r="H241" s="225" t="n">
        <v>1987957</v>
      </c>
      <c r="I241" s="225" t="n">
        <v>0</v>
      </c>
      <c r="J241" s="198" t="n">
        <v>54</v>
      </c>
      <c r="K241" s="198" t="n">
        <v>4</v>
      </c>
      <c r="L241" s="226" t="n">
        <v>44635</v>
      </c>
      <c r="M241" s="226" t="n">
        <v>45122</v>
      </c>
      <c r="N241" s="227" t="n">
        <v>1</v>
      </c>
      <c r="O241" s="227" t="s">
        <v>135</v>
      </c>
      <c r="P241" s="228" t="n">
        <f aca="false">VLOOKUP(B241,'NIVEL ENERO'!A:D,3,0)</f>
        <v>0.336984487881157</v>
      </c>
      <c r="Q241" s="229" t="n">
        <f aca="false">VLOOKUP(B241,'NIVEL ENERO'!A:D,4,0)</f>
        <v>379203</v>
      </c>
      <c r="R241" s="186" t="str">
        <f aca="false">+PROPER(C241&amp;" "&amp;D241)</f>
        <v>Ochoa Rios Sandra Silvana</v>
      </c>
      <c r="S241" s="230" t="n">
        <f aca="false">+YEARFRAC(L241,$S$1)</f>
        <v>4.15833333333333</v>
      </c>
      <c r="T241" s="230" t="n">
        <f aca="false">+YEARFRAC(M241,$S$1)</f>
        <v>2.825</v>
      </c>
      <c r="U241" s="231" t="n">
        <f aca="false">+$I241</f>
        <v>0</v>
      </c>
      <c r="V241" s="232" t="str">
        <f aca="false">+PROPER(F241)</f>
        <v>Soltero(A)</v>
      </c>
    </row>
    <row r="242" customFormat="false" ht="14.25" hidden="false" customHeight="false" outlineLevel="0" collapsed="false">
      <c r="B242" s="197" t="n">
        <v>31528626</v>
      </c>
      <c r="C242" s="197" t="s">
        <v>1403</v>
      </c>
      <c r="D242" s="197" t="s">
        <v>1186</v>
      </c>
      <c r="E242" s="198" t="s">
        <v>944</v>
      </c>
      <c r="F242" s="198" t="s">
        <v>945</v>
      </c>
      <c r="G242" s="225" t="n">
        <v>6225200</v>
      </c>
      <c r="H242" s="225" t="n">
        <v>65000</v>
      </c>
      <c r="I242" s="225" t="n">
        <v>0</v>
      </c>
      <c r="J242" s="198" t="n">
        <v>56</v>
      </c>
      <c r="K242" s="198" t="n">
        <v>4</v>
      </c>
      <c r="L242" s="226" t="n">
        <v>45644</v>
      </c>
      <c r="M242" s="226" t="n">
        <v>40613</v>
      </c>
      <c r="N242" s="227" t="n">
        <v>2</v>
      </c>
      <c r="O242" s="227" t="s">
        <v>135</v>
      </c>
      <c r="P242" s="228" t="e">
        <f aca="false">VLOOKUP(B242,'NIVEL ENERO'!A:D,3,0)</f>
        <v>#N/A</v>
      </c>
      <c r="Q242" s="229" t="e">
        <f aca="false">VLOOKUP(B242,'NIVEL ENERO'!A:D,4,0)</f>
        <v>#N/A</v>
      </c>
      <c r="R242" s="186" t="str">
        <f aca="false">+PROPER(C242&amp;" "&amp;D242)</f>
        <v>Marin Perez Liliana</v>
      </c>
      <c r="S242" s="230" t="n">
        <f aca="false">+YEARFRAC(L242,$S$1)</f>
        <v>1.4</v>
      </c>
      <c r="T242" s="230" t="n">
        <f aca="false">+YEARFRAC(M242,$S$1)</f>
        <v>15.1694444444444</v>
      </c>
      <c r="U242" s="231" t="n">
        <f aca="false">+$I242</f>
        <v>0</v>
      </c>
      <c r="V242" s="232" t="str">
        <f aca="false">+PROPER(F242)</f>
        <v>Union Libre</v>
      </c>
    </row>
    <row r="243" customFormat="false" ht="14.25" hidden="false" customHeight="false" outlineLevel="0" collapsed="false">
      <c r="B243" s="197" t="n">
        <v>31530816</v>
      </c>
      <c r="C243" s="197" t="s">
        <v>1404</v>
      </c>
      <c r="D243" s="197" t="s">
        <v>1405</v>
      </c>
      <c r="E243" s="198" t="s">
        <v>944</v>
      </c>
      <c r="F243" s="198" t="s">
        <v>953</v>
      </c>
      <c r="G243" s="225" t="n">
        <v>1670000</v>
      </c>
      <c r="H243" s="225" t="n">
        <v>4339212</v>
      </c>
      <c r="I243" s="225" t="n">
        <v>5139661</v>
      </c>
      <c r="J243" s="198" t="n">
        <v>52</v>
      </c>
      <c r="K243" s="198" t="n">
        <v>2</v>
      </c>
      <c r="L243" s="226" t="n">
        <v>42598</v>
      </c>
      <c r="M243" s="226" t="n">
        <v>39856</v>
      </c>
      <c r="N243" s="227" t="n">
        <v>4</v>
      </c>
      <c r="O243" s="227" t="s">
        <v>135</v>
      </c>
      <c r="P243" s="228" t="n">
        <f aca="false">VLOOKUP(B243,'NIVEL ENERO'!A:D,3,0)</f>
        <v>0.469153664670659</v>
      </c>
      <c r="Q243" s="229" t="n">
        <f aca="false">VLOOKUP(B243,'NIVEL ENERO'!A:D,4,0)</f>
        <v>-195444.333333333</v>
      </c>
      <c r="R243" s="186" t="str">
        <f aca="false">+PROPER(C243&amp;" "&amp;D243)</f>
        <v>Daza Barona Ofelia</v>
      </c>
      <c r="S243" s="230" t="n">
        <f aca="false">+YEARFRAC(L243,$S$1)</f>
        <v>9.73888888888889</v>
      </c>
      <c r="T243" s="230" t="n">
        <f aca="false">+YEARFRAC(M243,$S$1)</f>
        <v>17.25</v>
      </c>
      <c r="U243" s="231" t="n">
        <f aca="false">+$I243</f>
        <v>5139661</v>
      </c>
      <c r="V243" s="232" t="str">
        <f aca="false">+PROPER(F243)</f>
        <v>Soltero(A)</v>
      </c>
    </row>
    <row r="244" customFormat="false" ht="14.25" hidden="false" customHeight="false" outlineLevel="0" collapsed="false">
      <c r="B244" s="197" t="n">
        <v>31532035</v>
      </c>
      <c r="C244" s="197" t="s">
        <v>1406</v>
      </c>
      <c r="D244" s="197" t="s">
        <v>1407</v>
      </c>
      <c r="E244" s="198" t="s">
        <v>944</v>
      </c>
      <c r="F244" s="198" t="s">
        <v>948</v>
      </c>
      <c r="G244" s="225" t="n">
        <v>9087800</v>
      </c>
      <c r="H244" s="225" t="n">
        <v>9215604</v>
      </c>
      <c r="I244" s="225" t="n">
        <v>2941065</v>
      </c>
      <c r="J244" s="198" t="n">
        <v>51</v>
      </c>
      <c r="K244" s="198" t="n">
        <v>1</v>
      </c>
      <c r="L244" s="226" t="n">
        <v>43878</v>
      </c>
      <c r="M244" s="226" t="n">
        <v>43614</v>
      </c>
      <c r="N244" s="227" t="n">
        <v>3</v>
      </c>
      <c r="O244" s="227" t="s">
        <v>135</v>
      </c>
      <c r="P244" s="228" t="n">
        <f aca="false">VLOOKUP(B244,'NIVEL ENERO'!A:D,3,0)</f>
        <v>0.219825799405872</v>
      </c>
      <c r="Q244" s="229" t="n">
        <f aca="false">VLOOKUP(B244,'NIVEL ENERO'!A:D,4,0)</f>
        <v>1240049.28</v>
      </c>
      <c r="R244" s="186" t="str">
        <f aca="false">+PROPER(C244&amp;" "&amp;D244)</f>
        <v>Gil Montilla Ivonny</v>
      </c>
      <c r="S244" s="230" t="n">
        <f aca="false">+YEARFRAC(L244,$S$1)</f>
        <v>6.23611111111111</v>
      </c>
      <c r="T244" s="230" t="n">
        <f aca="false">+YEARFRAC(M244,$S$1)</f>
        <v>6.95277777777778</v>
      </c>
      <c r="U244" s="231" t="n">
        <f aca="false">+$I244</f>
        <v>2941065</v>
      </c>
      <c r="V244" s="232" t="str">
        <f aca="false">+PROPER(F244)</f>
        <v>Casado(A)</v>
      </c>
    </row>
    <row r="245" customFormat="false" ht="14.25" hidden="false" customHeight="false" outlineLevel="0" collapsed="false">
      <c r="B245" s="197" t="n">
        <v>31532714</v>
      </c>
      <c r="C245" s="197" t="s">
        <v>1408</v>
      </c>
      <c r="D245" s="197" t="s">
        <v>1409</v>
      </c>
      <c r="E245" s="198" t="s">
        <v>944</v>
      </c>
      <c r="F245" s="198" t="s">
        <v>945</v>
      </c>
      <c r="G245" s="225" t="n">
        <v>2893800</v>
      </c>
      <c r="H245" s="225" t="n">
        <v>1300352</v>
      </c>
      <c r="I245" s="225" t="n">
        <v>2764013</v>
      </c>
      <c r="J245" s="198" t="n">
        <v>51</v>
      </c>
      <c r="K245" s="198" t="n">
        <v>1</v>
      </c>
      <c r="L245" s="226" t="n">
        <v>45020</v>
      </c>
      <c r="M245" s="226" t="n">
        <v>39650</v>
      </c>
      <c r="N245" s="227" t="n">
        <v>2</v>
      </c>
      <c r="O245" s="227" t="s">
        <v>135</v>
      </c>
      <c r="P245" s="228" t="n">
        <f aca="false">VLOOKUP(B245,'NIVEL ENERO'!A:D,3,0)</f>
        <v>0.461107337685087</v>
      </c>
      <c r="Q245" s="229" t="n">
        <f aca="false">VLOOKUP(B245,'NIVEL ENERO'!A:D,4,0)</f>
        <v>-114991.2</v>
      </c>
      <c r="R245" s="186" t="str">
        <f aca="false">+PROPER(C245&amp;" "&amp;D245)</f>
        <v>Grajales Maria Luzvianey</v>
      </c>
      <c r="S245" s="230" t="n">
        <f aca="false">+YEARFRAC(L245,$S$1)</f>
        <v>3.10555555555556</v>
      </c>
      <c r="T245" s="230" t="n">
        <f aca="false">+YEARFRAC(M245,$S$1)</f>
        <v>17.8083333333333</v>
      </c>
      <c r="U245" s="231" t="n">
        <f aca="false">+$I245</f>
        <v>2764013</v>
      </c>
      <c r="V245" s="232" t="str">
        <f aca="false">+PROPER(F245)</f>
        <v>Union Libre</v>
      </c>
    </row>
    <row r="246" customFormat="false" ht="14.25" hidden="false" customHeight="false" outlineLevel="0" collapsed="false">
      <c r="B246" s="197" t="n">
        <v>31537574</v>
      </c>
      <c r="C246" s="197" t="s">
        <v>1410</v>
      </c>
      <c r="D246" s="197" t="s">
        <v>1135</v>
      </c>
      <c r="E246" s="198" t="s">
        <v>944</v>
      </c>
      <c r="F246" s="198" t="s">
        <v>945</v>
      </c>
      <c r="G246" s="225" t="n">
        <v>2600900</v>
      </c>
      <c r="H246" s="225" t="n">
        <v>8537452</v>
      </c>
      <c r="I246" s="225" t="n">
        <v>0</v>
      </c>
      <c r="J246" s="198" t="n">
        <v>47</v>
      </c>
      <c r="K246" s="198" t="n">
        <v>2</v>
      </c>
      <c r="L246" s="226" t="n">
        <v>42230</v>
      </c>
      <c r="M246" s="226" t="n">
        <v>39883</v>
      </c>
      <c r="N246" s="227" t="n">
        <v>4</v>
      </c>
      <c r="O246" s="227" t="s">
        <v>135</v>
      </c>
      <c r="P246" s="228" t="n">
        <f aca="false">VLOOKUP(B246,'NIVEL ENERO'!A:D,3,0)</f>
        <v>0.422970369134135</v>
      </c>
      <c r="Q246" s="229" t="n">
        <f aca="false">VLOOKUP(B246,'NIVEL ENERO'!A:D,4,0)</f>
        <v>-9136.40000000014</v>
      </c>
      <c r="R246" s="186" t="str">
        <f aca="false">+PROPER(C246&amp;" "&amp;D246)</f>
        <v>Navia Campo Sandra Milena</v>
      </c>
      <c r="S246" s="230" t="n">
        <f aca="false">+YEARFRAC(L246,$S$1)</f>
        <v>10.7444444444444</v>
      </c>
      <c r="T246" s="230" t="n">
        <f aca="false">+YEARFRAC(M246,$S$1)</f>
        <v>17.1694444444444</v>
      </c>
      <c r="U246" s="231" t="n">
        <f aca="false">+$I246</f>
        <v>0</v>
      </c>
      <c r="V246" s="232" t="str">
        <f aca="false">+PROPER(F246)</f>
        <v>Union Libre</v>
      </c>
    </row>
    <row r="247" customFormat="false" ht="14.25" hidden="false" customHeight="false" outlineLevel="0" collapsed="false">
      <c r="B247" s="197" t="n">
        <v>31538587</v>
      </c>
      <c r="C247" s="197" t="s">
        <v>1411</v>
      </c>
      <c r="D247" s="197" t="s">
        <v>1412</v>
      </c>
      <c r="E247" s="198" t="s">
        <v>944</v>
      </c>
      <c r="F247" s="198" t="s">
        <v>998</v>
      </c>
      <c r="G247" s="225" t="n">
        <v>2600900</v>
      </c>
      <c r="H247" s="225" t="n">
        <v>2608230</v>
      </c>
      <c r="I247" s="225" t="n">
        <v>11610610</v>
      </c>
      <c r="J247" s="198" t="n">
        <v>47</v>
      </c>
      <c r="K247" s="198" t="n">
        <v>1</v>
      </c>
      <c r="L247" s="226" t="n">
        <v>44148</v>
      </c>
      <c r="M247" s="226" t="n">
        <v>38904</v>
      </c>
      <c r="N247" s="227" t="n">
        <v>3</v>
      </c>
      <c r="O247" s="227" t="s">
        <v>135</v>
      </c>
      <c r="P247" s="228" t="n">
        <f aca="false">VLOOKUP(B247,'NIVEL ENERO'!A:D,3,0)</f>
        <v>0.31368348717598</v>
      </c>
      <c r="Q247" s="229" t="n">
        <f aca="false">VLOOKUP(B247,'NIVEL ENERO'!A:D,4,0)</f>
        <v>261156.52</v>
      </c>
      <c r="R247" s="186" t="str">
        <f aca="false">+PROPER(C247&amp;" "&amp;D247)</f>
        <v>Jaramillo Herrera Sirley</v>
      </c>
      <c r="S247" s="230" t="n">
        <f aca="false">+YEARFRAC(L247,$S$1)</f>
        <v>5.49722222222222</v>
      </c>
      <c r="T247" s="230" t="n">
        <f aca="false">+YEARFRAC(M247,$S$1)</f>
        <v>19.85</v>
      </c>
      <c r="U247" s="231" t="n">
        <f aca="false">+$I247</f>
        <v>11610610</v>
      </c>
      <c r="V247" s="232" t="str">
        <f aca="false">+PROPER(F247)</f>
        <v>Separado(A)</v>
      </c>
    </row>
    <row r="248" customFormat="false" ht="14.25" hidden="false" customHeight="false" outlineLevel="0" collapsed="false">
      <c r="B248" s="197" t="n">
        <v>31568464</v>
      </c>
      <c r="C248" s="197" t="s">
        <v>1413</v>
      </c>
      <c r="D248" s="197" t="s">
        <v>1414</v>
      </c>
      <c r="E248" s="198" t="s">
        <v>944</v>
      </c>
      <c r="F248" s="198" t="s">
        <v>945</v>
      </c>
      <c r="G248" s="225" t="n">
        <v>2340800</v>
      </c>
      <c r="H248" s="225" t="n">
        <v>3249669</v>
      </c>
      <c r="I248" s="225" t="n">
        <v>0</v>
      </c>
      <c r="J248" s="198" t="n">
        <v>44</v>
      </c>
      <c r="K248" s="198" t="n">
        <v>1</v>
      </c>
      <c r="L248" s="226" t="n">
        <v>43654</v>
      </c>
      <c r="M248" s="226" t="n">
        <v>40959</v>
      </c>
      <c r="N248" s="227" t="n">
        <v>3</v>
      </c>
      <c r="O248" s="227" t="s">
        <v>135</v>
      </c>
      <c r="P248" s="228" t="n">
        <f aca="false">VLOOKUP(B248,'NIVEL ENERO'!A:D,3,0)</f>
        <v>0.29095268023502</v>
      </c>
      <c r="Q248" s="229" t="n">
        <f aca="false">VLOOKUP(B248,'NIVEL ENERO'!A:D,4,0)</f>
        <v>367194.9</v>
      </c>
      <c r="R248" s="186" t="str">
        <f aca="false">+PROPER(C248&amp;" "&amp;D248)</f>
        <v>Mendez Botello Isabel Cristina</v>
      </c>
      <c r="S248" s="230" t="n">
        <f aca="false">+YEARFRAC(L248,$S$1)</f>
        <v>6.84444444444444</v>
      </c>
      <c r="T248" s="230" t="n">
        <f aca="false">+YEARFRAC(M248,$S$1)</f>
        <v>14.2277777777778</v>
      </c>
      <c r="U248" s="231" t="n">
        <f aca="false">+$I248</f>
        <v>0</v>
      </c>
      <c r="V248" s="232" t="str">
        <f aca="false">+PROPER(F248)</f>
        <v>Union Libre</v>
      </c>
    </row>
    <row r="249" customFormat="false" ht="14.25" hidden="false" customHeight="false" outlineLevel="0" collapsed="false">
      <c r="B249" s="197" t="n">
        <v>31570062</v>
      </c>
      <c r="C249" s="197" t="s">
        <v>1415</v>
      </c>
      <c r="D249" s="197" t="s">
        <v>1416</v>
      </c>
      <c r="E249" s="198" t="s">
        <v>944</v>
      </c>
      <c r="F249" s="198" t="s">
        <v>953</v>
      </c>
      <c r="G249" s="225" t="n">
        <v>2064300</v>
      </c>
      <c r="H249" s="225" t="n">
        <v>2809735</v>
      </c>
      <c r="I249" s="225" t="n">
        <v>4126876</v>
      </c>
      <c r="J249" s="198" t="n">
        <v>45</v>
      </c>
      <c r="K249" s="198" t="n">
        <v>4</v>
      </c>
      <c r="L249" s="226" t="n">
        <v>44825</v>
      </c>
      <c r="M249" s="226" t="n">
        <v>44500</v>
      </c>
      <c r="N249" s="227" t="n">
        <v>3</v>
      </c>
      <c r="O249" s="227" t="s">
        <v>135</v>
      </c>
      <c r="P249" s="228" t="n">
        <f aca="false">VLOOKUP(B249,'NIVEL ENERO'!A:D,3,0)</f>
        <v>0.421435957457826</v>
      </c>
      <c r="Q249" s="229" t="n">
        <f aca="false">VLOOKUP(B249,'NIVEL ENERO'!A:D,4,0)</f>
        <v>-5480</v>
      </c>
      <c r="R249" s="186" t="str">
        <f aca="false">+PROPER(C249&amp;" "&amp;D249)</f>
        <v>Hurtado Ramos Melfi</v>
      </c>
      <c r="S249" s="230" t="n">
        <f aca="false">+YEARFRAC(L249,$S$1)</f>
        <v>3.64166666666667</v>
      </c>
      <c r="T249" s="230" t="n">
        <f aca="false">+YEARFRAC(M249,$S$1)</f>
        <v>4.53333333333333</v>
      </c>
      <c r="U249" s="231" t="n">
        <f aca="false">+$I249</f>
        <v>4126876</v>
      </c>
      <c r="V249" s="232" t="str">
        <f aca="false">+PROPER(F249)</f>
        <v>Soltero(A)</v>
      </c>
    </row>
    <row r="250" customFormat="false" ht="14.25" hidden="false" customHeight="false" outlineLevel="0" collapsed="false">
      <c r="B250" s="197" t="n">
        <v>31571246</v>
      </c>
      <c r="C250" s="197" t="s">
        <v>1417</v>
      </c>
      <c r="D250" s="197" t="s">
        <v>1418</v>
      </c>
      <c r="E250" s="198" t="s">
        <v>944</v>
      </c>
      <c r="F250" s="198" t="s">
        <v>948</v>
      </c>
      <c r="G250" s="225" t="n">
        <v>4870200</v>
      </c>
      <c r="H250" s="225" t="n">
        <v>15140245</v>
      </c>
      <c r="I250" s="225" t="n">
        <v>182384</v>
      </c>
      <c r="J250" s="198" t="n">
        <v>44</v>
      </c>
      <c r="K250" s="198" t="n">
        <v>4</v>
      </c>
      <c r="L250" s="226" t="n">
        <v>40646</v>
      </c>
      <c r="M250" s="226" t="n">
        <v>40909</v>
      </c>
      <c r="N250" s="227" t="n">
        <v>3</v>
      </c>
      <c r="O250" s="227" t="s">
        <v>135</v>
      </c>
      <c r="P250" s="228" t="n">
        <f aca="false">VLOOKUP(B250,'NIVEL ENERO'!A:D,3,0)</f>
        <v>0.147559648474395</v>
      </c>
      <c r="Q250" s="229" t="n">
        <f aca="false">VLOOKUP(B250,'NIVEL ENERO'!A:D,4,0)</f>
        <v>1326839</v>
      </c>
      <c r="R250" s="186" t="str">
        <f aca="false">+PROPER(C250&amp;" "&amp;D250)</f>
        <v>Correa Daza Yenny Lorena</v>
      </c>
      <c r="S250" s="230" t="n">
        <f aca="false">+YEARFRAC(L250,$S$1)</f>
        <v>15.0805555555556</v>
      </c>
      <c r="T250" s="230" t="n">
        <f aca="false">+YEARFRAC(M250,$S$1)</f>
        <v>14.3638888888889</v>
      </c>
      <c r="U250" s="231" t="n">
        <f aca="false">+$I250</f>
        <v>182384</v>
      </c>
      <c r="V250" s="232" t="str">
        <f aca="false">+PROPER(F250)</f>
        <v>Casado(A)</v>
      </c>
    </row>
    <row r="251" customFormat="false" ht="14.25" hidden="false" customHeight="false" outlineLevel="0" collapsed="false">
      <c r="B251" s="197" t="n">
        <v>31571567</v>
      </c>
      <c r="C251" s="197" t="s">
        <v>1419</v>
      </c>
      <c r="D251" s="197" t="s">
        <v>1420</v>
      </c>
      <c r="E251" s="198" t="s">
        <v>944</v>
      </c>
      <c r="F251" s="198" t="s">
        <v>945</v>
      </c>
      <c r="G251" s="225" t="n">
        <v>2893800</v>
      </c>
      <c r="H251" s="225" t="n">
        <v>300000</v>
      </c>
      <c r="I251" s="225" t="n">
        <v>740252</v>
      </c>
      <c r="J251" s="198" t="n">
        <v>44</v>
      </c>
      <c r="K251" s="198" t="n">
        <v>2</v>
      </c>
      <c r="L251" s="226" t="n">
        <v>45615</v>
      </c>
      <c r="M251" s="226" t="n">
        <v>38524</v>
      </c>
      <c r="N251" s="227" t="n">
        <v>4</v>
      </c>
      <c r="O251" s="227" t="s">
        <v>135</v>
      </c>
      <c r="P251" s="228" t="n">
        <f aca="false">VLOOKUP(B251,'NIVEL ENERO'!A:D,3,0)</f>
        <v>0.480423301866003</v>
      </c>
      <c r="Q251" s="229" t="n">
        <f aca="false">VLOOKUP(B251,'NIVEL ENERO'!A:D,4,0)</f>
        <v>-238551.8</v>
      </c>
      <c r="R251" s="186" t="str">
        <f aca="false">+PROPER(C251&amp;" "&amp;D251)</f>
        <v>Piedrahita Viafara Claudia Mercedes</v>
      </c>
      <c r="S251" s="230" t="n">
        <f aca="false">+YEARFRAC(L251,$S$1)</f>
        <v>1.48055555555556</v>
      </c>
      <c r="T251" s="230" t="n">
        <f aca="false">+YEARFRAC(M251,$S$1)</f>
        <v>20.8916666666667</v>
      </c>
      <c r="U251" s="231" t="n">
        <f aca="false">+$I251</f>
        <v>740252</v>
      </c>
      <c r="V251" s="232" t="str">
        <f aca="false">+PROPER(F251)</f>
        <v>Union Libre</v>
      </c>
    </row>
    <row r="252" customFormat="false" ht="14.25" hidden="false" customHeight="false" outlineLevel="0" collapsed="false">
      <c r="B252" s="197" t="n">
        <v>31573111</v>
      </c>
      <c r="C252" s="197" t="s">
        <v>1421</v>
      </c>
      <c r="D252" s="197" t="s">
        <v>1308</v>
      </c>
      <c r="E252" s="198" t="s">
        <v>944</v>
      </c>
      <c r="F252" s="198" t="s">
        <v>945</v>
      </c>
      <c r="G252" s="225" t="n">
        <v>2600900</v>
      </c>
      <c r="H252" s="225" t="n">
        <v>3373817</v>
      </c>
      <c r="I252" s="225" t="n">
        <v>4119971</v>
      </c>
      <c r="J252" s="198" t="n">
        <v>44</v>
      </c>
      <c r="K252" s="198" t="n">
        <v>2</v>
      </c>
      <c r="L252" s="226" t="n">
        <v>43531</v>
      </c>
      <c r="M252" s="226" t="n">
        <v>38874</v>
      </c>
      <c r="N252" s="227" t="n">
        <v>2</v>
      </c>
      <c r="O252" s="227" t="s">
        <v>135</v>
      </c>
      <c r="P252" s="228" t="n">
        <f aca="false">VLOOKUP(B252,'NIVEL ENERO'!A:D,3,0)</f>
        <v>0.388428382289759</v>
      </c>
      <c r="Q252" s="229" t="n">
        <f aca="false">VLOOKUP(B252,'NIVEL ENERO'!A:D,4,0)</f>
        <v>96068.1599999999</v>
      </c>
      <c r="R252" s="186" t="str">
        <f aca="false">+PROPER(C252&amp;" "&amp;D252)</f>
        <v>Cordoba Quintero Maria Del Pilar</v>
      </c>
      <c r="S252" s="230" t="n">
        <f aca="false">+YEARFRAC(L252,$S$1)</f>
        <v>7.18055555555556</v>
      </c>
      <c r="T252" s="230" t="n">
        <f aca="false">+YEARFRAC(M252,$S$1)</f>
        <v>19.9333333333333</v>
      </c>
      <c r="U252" s="231" t="n">
        <f aca="false">+$I252</f>
        <v>4119971</v>
      </c>
      <c r="V252" s="232" t="str">
        <f aca="false">+PROPER(F252)</f>
        <v>Union Libre</v>
      </c>
    </row>
    <row r="253" customFormat="false" ht="14.25" hidden="false" customHeight="false" outlineLevel="0" collapsed="false">
      <c r="B253" s="197" t="n">
        <v>31574118</v>
      </c>
      <c r="C253" s="197" t="s">
        <v>1422</v>
      </c>
      <c r="D253" s="197" t="s">
        <v>1390</v>
      </c>
      <c r="E253" s="198" t="s">
        <v>981</v>
      </c>
      <c r="F253" s="198" t="s">
        <v>953</v>
      </c>
      <c r="G253" s="225" t="n">
        <v>4870200</v>
      </c>
      <c r="H253" s="225" t="n">
        <v>11262726</v>
      </c>
      <c r="I253" s="225" t="n">
        <v>6785131</v>
      </c>
      <c r="J253" s="198" t="n">
        <v>44</v>
      </c>
      <c r="K253" s="198" t="n">
        <v>1</v>
      </c>
      <c r="L253" s="226" t="n">
        <v>39995</v>
      </c>
      <c r="M253" s="226" t="n">
        <v>39995</v>
      </c>
      <c r="N253" s="227" t="n">
        <v>2</v>
      </c>
      <c r="O253" s="227" t="s">
        <v>135</v>
      </c>
      <c r="P253" s="228" t="n">
        <f aca="false">VLOOKUP(B253,'NIVEL ENERO'!A:D,3,0)</f>
        <v>0.189307215309433</v>
      </c>
      <c r="Q253" s="229" t="n">
        <f aca="false">VLOOKUP(B253,'NIVEL ENERO'!A:D,4,0)</f>
        <v>1123520</v>
      </c>
      <c r="R253" s="186" t="str">
        <f aca="false">+PROPER(C253&amp;" "&amp;D253)</f>
        <v>Cardona Hernandez Angelica</v>
      </c>
      <c r="S253" s="230" t="n">
        <f aca="false">+YEARFRAC(L253,$S$1)</f>
        <v>16.8638888888889</v>
      </c>
      <c r="T253" s="230" t="n">
        <f aca="false">+YEARFRAC(M253,$S$1)</f>
        <v>16.8638888888889</v>
      </c>
      <c r="U253" s="231" t="n">
        <f aca="false">+$I253</f>
        <v>6785131</v>
      </c>
      <c r="V253" s="232" t="str">
        <f aca="false">+PROPER(F253)</f>
        <v>Soltero(A)</v>
      </c>
    </row>
    <row r="254" customFormat="false" ht="14.25" hidden="false" customHeight="false" outlineLevel="0" collapsed="false">
      <c r="B254" s="197" t="n">
        <v>31574407</v>
      </c>
      <c r="C254" s="197" t="s">
        <v>1423</v>
      </c>
      <c r="D254" s="197" t="s">
        <v>1424</v>
      </c>
      <c r="E254" s="198" t="s">
        <v>1288</v>
      </c>
      <c r="F254" s="198" t="s">
        <v>953</v>
      </c>
      <c r="G254" s="225" t="n">
        <v>3945300</v>
      </c>
      <c r="H254" s="225" t="n">
        <v>6514471</v>
      </c>
      <c r="I254" s="225" t="n">
        <v>0</v>
      </c>
      <c r="J254" s="198" t="n">
        <v>44</v>
      </c>
      <c r="K254" s="198" t="n">
        <v>4</v>
      </c>
      <c r="L254" s="226" t="n">
        <v>44300</v>
      </c>
      <c r="M254" s="226" t="n">
        <v>37936</v>
      </c>
      <c r="N254" s="227" t="n">
        <v>2</v>
      </c>
      <c r="O254" s="227" t="s">
        <v>135</v>
      </c>
      <c r="P254" s="228" t="n">
        <f aca="false">VLOOKUP(B254,'NIVEL ENERO'!A:D,3,0)</f>
        <v>0.134647301852838</v>
      </c>
      <c r="Q254" s="229" t="n">
        <f aca="false">VLOOKUP(B254,'NIVEL ENERO'!A:D,4,0)</f>
        <v>1125802</v>
      </c>
      <c r="R254" s="186" t="str">
        <f aca="false">+PROPER(C254&amp;" "&amp;D254)</f>
        <v>Varela Angucho Zeudy Janeth</v>
      </c>
      <c r="S254" s="230" t="n">
        <f aca="false">+YEARFRAC(L254,$S$1)</f>
        <v>5.07777777777778</v>
      </c>
      <c r="T254" s="230" t="n">
        <f aca="false">+YEARFRAC(M254,$S$1)</f>
        <v>22.5027777777778</v>
      </c>
      <c r="U254" s="231" t="n">
        <f aca="false">+$I254</f>
        <v>0</v>
      </c>
      <c r="V254" s="232" t="str">
        <f aca="false">+PROPER(F254)</f>
        <v>Soltero(A)</v>
      </c>
    </row>
    <row r="255" customFormat="false" ht="14.25" hidden="false" customHeight="false" outlineLevel="0" collapsed="false">
      <c r="B255" s="197" t="n">
        <v>31574768</v>
      </c>
      <c r="C255" s="197" t="s">
        <v>1425</v>
      </c>
      <c r="D255" s="197" t="s">
        <v>1426</v>
      </c>
      <c r="E255" s="198" t="s">
        <v>944</v>
      </c>
      <c r="F255" s="198" t="s">
        <v>948</v>
      </c>
      <c r="G255" s="225" t="n">
        <v>4327600</v>
      </c>
      <c r="H255" s="225" t="n">
        <v>10633924</v>
      </c>
      <c r="I255" s="225" t="n">
        <v>16112203</v>
      </c>
      <c r="J255" s="198" t="n">
        <v>44</v>
      </c>
      <c r="K255" s="198" t="n">
        <v>1</v>
      </c>
      <c r="L255" s="226" t="n">
        <v>42503</v>
      </c>
      <c r="M255" s="226" t="n">
        <v>42485</v>
      </c>
      <c r="N255" s="227" t="n">
        <v>4</v>
      </c>
      <c r="O255" s="227" t="s">
        <v>135</v>
      </c>
      <c r="P255" s="228" t="n">
        <f aca="false">VLOOKUP(B255,'NIVEL ENERO'!A:D,3,0)</f>
        <v>0.28347282558462</v>
      </c>
      <c r="Q255" s="229" t="n">
        <f aca="false">VLOOKUP(B255,'NIVEL ENERO'!A:D,4,0)</f>
        <v>590835</v>
      </c>
      <c r="R255" s="186" t="str">
        <f aca="false">+PROPER(C255&amp;" "&amp;D255)</f>
        <v>Velasquez Alegria Diannet</v>
      </c>
      <c r="S255" s="230" t="n">
        <f aca="false">+YEARFRAC(L255,$S$1)</f>
        <v>9.99722222222222</v>
      </c>
      <c r="T255" s="230" t="n">
        <f aca="false">+YEARFRAC(M255,$S$1)</f>
        <v>10.0472222222222</v>
      </c>
      <c r="U255" s="231" t="n">
        <f aca="false">+$I255</f>
        <v>16112203</v>
      </c>
      <c r="V255" s="232" t="str">
        <f aca="false">+PROPER(F255)</f>
        <v>Casado(A)</v>
      </c>
    </row>
    <row r="256" customFormat="false" ht="14.25" hidden="false" customHeight="false" outlineLevel="0" collapsed="false">
      <c r="B256" s="197" t="n">
        <v>31575627</v>
      </c>
      <c r="C256" s="197" t="s">
        <v>1427</v>
      </c>
      <c r="D256" s="197" t="s">
        <v>1428</v>
      </c>
      <c r="E256" s="198" t="s">
        <v>944</v>
      </c>
      <c r="F256" s="198" t="s">
        <v>948</v>
      </c>
      <c r="G256" s="225" t="n">
        <v>2893800</v>
      </c>
      <c r="H256" s="225" t="n">
        <v>250000</v>
      </c>
      <c r="I256" s="225" t="n">
        <v>0</v>
      </c>
      <c r="J256" s="198" t="n">
        <v>44</v>
      </c>
      <c r="K256" s="198" t="n">
        <v>2</v>
      </c>
      <c r="L256" s="226" t="n">
        <v>45643</v>
      </c>
      <c r="M256" s="226" t="n">
        <v>39146</v>
      </c>
      <c r="N256" s="227" t="n">
        <v>4</v>
      </c>
      <c r="O256" s="227" t="s">
        <v>135</v>
      </c>
      <c r="P256" s="228" t="e">
        <f aca="false">VLOOKUP(B256,'NIVEL ENERO'!A:D,3,0)</f>
        <v>#N/A</v>
      </c>
      <c r="Q256" s="229" t="e">
        <f aca="false">VLOOKUP(B256,'NIVEL ENERO'!A:D,4,0)</f>
        <v>#N/A</v>
      </c>
      <c r="R256" s="186" t="str">
        <f aca="false">+PROPER(C256&amp;" "&amp;D256)</f>
        <v>Acosta Guzman Carmen Rosa</v>
      </c>
      <c r="S256" s="230" t="n">
        <f aca="false">+YEARFRAC(L256,$S$1)</f>
        <v>1.40277777777778</v>
      </c>
      <c r="T256" s="230" t="n">
        <f aca="false">+YEARFRAC(M256,$S$1)</f>
        <v>19.1861111111111</v>
      </c>
      <c r="U256" s="231" t="n">
        <f aca="false">+$I256</f>
        <v>0</v>
      </c>
      <c r="V256" s="232" t="str">
        <f aca="false">+PROPER(F256)</f>
        <v>Casado(A)</v>
      </c>
    </row>
    <row r="257" customFormat="false" ht="14.25" hidden="false" customHeight="false" outlineLevel="0" collapsed="false">
      <c r="B257" s="197" t="n">
        <v>31576144</v>
      </c>
      <c r="C257" s="197" t="s">
        <v>1429</v>
      </c>
      <c r="D257" s="197" t="s">
        <v>1135</v>
      </c>
      <c r="E257" s="198" t="s">
        <v>944</v>
      </c>
      <c r="F257" s="198" t="s">
        <v>945</v>
      </c>
      <c r="G257" s="225" t="n">
        <v>5418800</v>
      </c>
      <c r="H257" s="225" t="n">
        <v>1920644</v>
      </c>
      <c r="I257" s="225" t="n">
        <v>1548833</v>
      </c>
      <c r="J257" s="198" t="n">
        <v>44</v>
      </c>
      <c r="K257" s="198" t="n">
        <v>4</v>
      </c>
      <c r="L257" s="226" t="n">
        <v>45191</v>
      </c>
      <c r="M257" s="226" t="n">
        <v>44105</v>
      </c>
      <c r="N257" s="227" t="n">
        <v>0</v>
      </c>
      <c r="O257" s="227" t="s">
        <v>135</v>
      </c>
      <c r="P257" s="228" t="n">
        <f aca="false">VLOOKUP(B257,'NIVEL ENERO'!A:D,3,0)</f>
        <v>0.443655790950026</v>
      </c>
      <c r="Q257" s="229" t="n">
        <f aca="false">VLOOKUP(B257,'NIVEL ENERO'!A:D,4,0)</f>
        <v>-128186</v>
      </c>
      <c r="R257" s="186" t="str">
        <f aca="false">+PROPER(C257&amp;" "&amp;D257)</f>
        <v>Munoz Echeverry Sandra Milena</v>
      </c>
      <c r="S257" s="230" t="n">
        <f aca="false">+YEARFRAC(L257,$S$1)</f>
        <v>2.63888888888889</v>
      </c>
      <c r="T257" s="230" t="n">
        <f aca="false">+YEARFRAC(M257,$S$1)</f>
        <v>5.61388888888889</v>
      </c>
      <c r="U257" s="231" t="n">
        <f aca="false">+$I257</f>
        <v>1548833</v>
      </c>
      <c r="V257" s="232" t="str">
        <f aca="false">+PROPER(F257)</f>
        <v>Union Libre</v>
      </c>
    </row>
    <row r="258" customFormat="false" ht="14.25" hidden="false" customHeight="false" outlineLevel="0" collapsed="false">
      <c r="B258" s="197" t="n">
        <v>31576196</v>
      </c>
      <c r="C258" s="197" t="s">
        <v>1430</v>
      </c>
      <c r="D258" s="197" t="s">
        <v>1202</v>
      </c>
      <c r="E258" s="198" t="s">
        <v>944</v>
      </c>
      <c r="F258" s="198" t="s">
        <v>998</v>
      </c>
      <c r="G258" s="225" t="n">
        <v>5291000</v>
      </c>
      <c r="H258" s="225" t="n">
        <v>1922668</v>
      </c>
      <c r="I258" s="225" t="n">
        <v>36011</v>
      </c>
      <c r="J258" s="198" t="n">
        <v>43</v>
      </c>
      <c r="K258" s="198" t="n">
        <v>1</v>
      </c>
      <c r="L258" s="226" t="n">
        <v>44704</v>
      </c>
      <c r="M258" s="226" t="n">
        <v>40238</v>
      </c>
      <c r="N258" s="227" t="n">
        <v>4</v>
      </c>
      <c r="O258" s="227" t="s">
        <v>135</v>
      </c>
      <c r="P258" s="228" t="n">
        <f aca="false">VLOOKUP(B258,'NIVEL ENERO'!A:D,3,0)</f>
        <v>0.107764485396998</v>
      </c>
      <c r="Q258" s="229" t="n">
        <f aca="false">VLOOKUP(B258,'NIVEL ENERO'!A:D,4,0)</f>
        <v>1652038.42</v>
      </c>
      <c r="R258" s="186" t="str">
        <f aca="false">+PROPER(C258&amp;" "&amp;D258)</f>
        <v>Arango Saenz Carolina</v>
      </c>
      <c r="S258" s="230" t="n">
        <f aca="false">+YEARFRAC(L258,$S$1)</f>
        <v>3.96944444444444</v>
      </c>
      <c r="T258" s="230" t="n">
        <f aca="false">+YEARFRAC(M258,$S$1)</f>
        <v>16.1972222222222</v>
      </c>
      <c r="U258" s="231" t="n">
        <f aca="false">+$I258</f>
        <v>36011</v>
      </c>
      <c r="V258" s="232" t="str">
        <f aca="false">+PROPER(F258)</f>
        <v>Separado(A)</v>
      </c>
    </row>
    <row r="259" customFormat="false" ht="14.25" hidden="false" customHeight="false" outlineLevel="0" collapsed="false">
      <c r="B259" s="197" t="n">
        <v>31578207</v>
      </c>
      <c r="C259" s="197" t="s">
        <v>1431</v>
      </c>
      <c r="D259" s="197" t="s">
        <v>1432</v>
      </c>
      <c r="E259" s="198" t="s">
        <v>944</v>
      </c>
      <c r="F259" s="198" t="s">
        <v>948</v>
      </c>
      <c r="G259" s="225" t="n">
        <v>2893800</v>
      </c>
      <c r="H259" s="225" t="n">
        <v>1355255</v>
      </c>
      <c r="I259" s="225"/>
      <c r="J259" s="198" t="n">
        <v>43</v>
      </c>
      <c r="K259" s="198" t="n">
        <v>2</v>
      </c>
      <c r="L259" s="226" t="n">
        <v>45001</v>
      </c>
      <c r="M259" s="226" t="n">
        <v>36563</v>
      </c>
      <c r="N259" s="227" t="n">
        <v>0</v>
      </c>
      <c r="O259" s="227" t="s">
        <v>135</v>
      </c>
      <c r="P259" s="228" t="n">
        <f aca="false">VLOOKUP(B259,'NIVEL ENERO'!A:D,3,0)</f>
        <v>0.253696869168567</v>
      </c>
      <c r="Q259" s="229" t="n">
        <f aca="false">VLOOKUP(B259,'NIVEL ENERO'!A:D,4,0)</f>
        <v>481248</v>
      </c>
      <c r="R259" s="186" t="str">
        <f aca="false">+PROPER(C259&amp;" "&amp;D259)</f>
        <v>Vargas Delgado Maria Orfelina</v>
      </c>
      <c r="S259" s="230" t="n">
        <f aca="false">+YEARFRAC(L259,$S$1)</f>
        <v>3.15555555555556</v>
      </c>
      <c r="T259" s="230" t="n">
        <f aca="false">+YEARFRAC(M259,$S$1)</f>
        <v>26.2638888888889</v>
      </c>
      <c r="U259" s="231" t="n">
        <f aca="false">+$I259</f>
        <v>0</v>
      </c>
      <c r="V259" s="232" t="str">
        <f aca="false">+PROPER(F259)</f>
        <v>Casado(A)</v>
      </c>
    </row>
    <row r="260" customFormat="false" ht="14.25" hidden="false" customHeight="false" outlineLevel="0" collapsed="false">
      <c r="B260" s="197" t="n">
        <v>31578926</v>
      </c>
      <c r="C260" s="197" t="s">
        <v>1433</v>
      </c>
      <c r="D260" s="197" t="s">
        <v>1434</v>
      </c>
      <c r="E260" s="198" t="s">
        <v>944</v>
      </c>
      <c r="F260" s="198" t="s">
        <v>948</v>
      </c>
      <c r="G260" s="225" t="n">
        <v>7000000</v>
      </c>
      <c r="H260" s="225" t="n">
        <v>585000</v>
      </c>
      <c r="I260" s="225"/>
      <c r="J260" s="198" t="n">
        <v>43</v>
      </c>
      <c r="K260" s="198" t="n">
        <v>2</v>
      </c>
      <c r="L260" s="226" t="n">
        <v>45383</v>
      </c>
      <c r="M260" s="226" t="n">
        <v>44621</v>
      </c>
      <c r="N260" s="227" t="n">
        <v>0</v>
      </c>
      <c r="O260" s="227" t="s">
        <v>158</v>
      </c>
      <c r="P260" s="228" t="e">
        <f aca="false">VLOOKUP(B260,'NIVEL ENERO'!A:D,3,0)</f>
        <v>#N/A</v>
      </c>
      <c r="Q260" s="229" t="e">
        <f aca="false">VLOOKUP(B260,'NIVEL ENERO'!A:D,4,0)</f>
        <v>#N/A</v>
      </c>
      <c r="R260" s="186" t="str">
        <f aca="false">+PROPER(C260&amp;" "&amp;D260)</f>
        <v>Diaz Espinal Diana Marcela</v>
      </c>
      <c r="S260" s="230" t="n">
        <f aca="false">+YEARFRAC(L260,$S$1)</f>
        <v>2.11388888888889</v>
      </c>
      <c r="T260" s="230" t="n">
        <f aca="false">+YEARFRAC(M260,$S$1)</f>
        <v>4.19722222222222</v>
      </c>
      <c r="U260" s="231" t="n">
        <f aca="false">+$I260</f>
        <v>0</v>
      </c>
      <c r="V260" s="232" t="str">
        <f aca="false">+PROPER(F260)</f>
        <v>Casado(A)</v>
      </c>
    </row>
    <row r="261" customFormat="false" ht="14.25" hidden="false" customHeight="false" outlineLevel="0" collapsed="false">
      <c r="B261" s="197" t="n">
        <v>31579220</v>
      </c>
      <c r="C261" s="197" t="s">
        <v>1435</v>
      </c>
      <c r="D261" s="197" t="s">
        <v>1436</v>
      </c>
      <c r="E261" s="198" t="s">
        <v>944</v>
      </c>
      <c r="F261" s="198" t="s">
        <v>948</v>
      </c>
      <c r="G261" s="225" t="n">
        <v>2893800</v>
      </c>
      <c r="H261" s="225" t="n">
        <v>3555878</v>
      </c>
      <c r="I261" s="225" t="n">
        <v>9221596</v>
      </c>
      <c r="J261" s="198" t="n">
        <v>42</v>
      </c>
      <c r="K261" s="198" t="n">
        <v>4</v>
      </c>
      <c r="L261" s="226" t="n">
        <v>43689</v>
      </c>
      <c r="M261" s="226" t="n">
        <v>38691</v>
      </c>
      <c r="N261" s="227" t="n">
        <v>2</v>
      </c>
      <c r="O261" s="227" t="s">
        <v>135</v>
      </c>
      <c r="P261" s="228" t="n">
        <f aca="false">VLOOKUP(B261,'NIVEL ENERO'!A:D,3,0)</f>
        <v>0.458098350373968</v>
      </c>
      <c r="Q261" s="229" t="n">
        <f aca="false">VLOOKUP(B261,'NIVEL ENERO'!A:D,4,0)</f>
        <v>-154372.56</v>
      </c>
      <c r="R261" s="186" t="str">
        <f aca="false">+PROPER(C261&amp;" "&amp;D261)</f>
        <v>Urrea Claudia Ximena</v>
      </c>
      <c r="S261" s="230" t="n">
        <f aca="false">+YEARFRAC(L261,$S$1)</f>
        <v>6.75</v>
      </c>
      <c r="T261" s="230" t="n">
        <f aca="false">+YEARFRAC(M261,$S$1)</f>
        <v>20.4361111111111</v>
      </c>
      <c r="U261" s="231" t="n">
        <f aca="false">+$I261</f>
        <v>9221596</v>
      </c>
      <c r="V261" s="232" t="str">
        <f aca="false">+PROPER(F261)</f>
        <v>Casado(A)</v>
      </c>
    </row>
    <row r="262" customFormat="false" ht="14.25" hidden="false" customHeight="false" outlineLevel="0" collapsed="false">
      <c r="B262" s="197" t="n">
        <v>31579757</v>
      </c>
      <c r="C262" s="197" t="s">
        <v>1437</v>
      </c>
      <c r="D262" s="197" t="s">
        <v>1438</v>
      </c>
      <c r="E262" s="198" t="s">
        <v>944</v>
      </c>
      <c r="F262" s="198" t="s">
        <v>948</v>
      </c>
      <c r="G262" s="225" t="n">
        <v>2893800</v>
      </c>
      <c r="H262" s="225" t="n">
        <v>390000</v>
      </c>
      <c r="I262" s="225" t="n">
        <v>1799683</v>
      </c>
      <c r="J262" s="198" t="n">
        <v>43</v>
      </c>
      <c r="K262" s="198" t="n">
        <v>2</v>
      </c>
      <c r="L262" s="226" t="n">
        <v>45475</v>
      </c>
      <c r="M262" s="226" t="n">
        <v>40344</v>
      </c>
      <c r="N262" s="227" t="n">
        <v>2</v>
      </c>
      <c r="O262" s="227" t="s">
        <v>135</v>
      </c>
      <c r="P262" s="228" t="n">
        <f aca="false">VLOOKUP(B262,'NIVEL ENERO'!A:D,3,0)</f>
        <v>0.49162623539982</v>
      </c>
      <c r="Q262" s="229" t="n">
        <f aca="false">VLOOKUP(B262,'NIVEL ENERO'!A:D,4,0)</f>
        <v>-207272</v>
      </c>
      <c r="R262" s="186" t="str">
        <f aca="false">+PROPER(C262&amp;" "&amp;D262)</f>
        <v>Ruiz Escobar Sandra Lizeth</v>
      </c>
      <c r="S262" s="230" t="n">
        <f aca="false">+YEARFRAC(L262,$S$1)</f>
        <v>1.86111111111111</v>
      </c>
      <c r="T262" s="230" t="n">
        <f aca="false">+YEARFRAC(M262,$S$1)</f>
        <v>15.9083333333333</v>
      </c>
      <c r="U262" s="231" t="n">
        <f aca="false">+$I262</f>
        <v>1799683</v>
      </c>
      <c r="V262" s="232" t="str">
        <f aca="false">+PROPER(F262)</f>
        <v>Casado(A)</v>
      </c>
    </row>
    <row r="263" customFormat="false" ht="14.25" hidden="false" customHeight="false" outlineLevel="0" collapsed="false">
      <c r="B263" s="197" t="n">
        <v>31582244</v>
      </c>
      <c r="C263" s="197" t="s">
        <v>1439</v>
      </c>
      <c r="D263" s="197" t="s">
        <v>1440</v>
      </c>
      <c r="E263" s="198" t="s">
        <v>944</v>
      </c>
      <c r="F263" s="198" t="s">
        <v>998</v>
      </c>
      <c r="G263" s="225" t="n">
        <v>2893800</v>
      </c>
      <c r="H263" s="225" t="n">
        <v>9660754</v>
      </c>
      <c r="I263" s="225" t="n">
        <v>2871316</v>
      </c>
      <c r="J263" s="198" t="n">
        <v>43</v>
      </c>
      <c r="K263" s="198" t="n">
        <v>6</v>
      </c>
      <c r="L263" s="226" t="n">
        <v>42535</v>
      </c>
      <c r="M263" s="226" t="n">
        <v>41532</v>
      </c>
      <c r="N263" s="227" t="n">
        <v>2</v>
      </c>
      <c r="O263" s="227" t="s">
        <v>135</v>
      </c>
      <c r="P263" s="228" t="n">
        <f aca="false">VLOOKUP(B263,'NIVEL ENERO'!A:D,3,0)</f>
        <v>0.230719054530375</v>
      </c>
      <c r="Q263" s="229" t="n">
        <f aca="false">VLOOKUP(B263,'NIVEL ENERO'!A:D,4,0)</f>
        <v>456451</v>
      </c>
      <c r="R263" s="186" t="str">
        <f aca="false">+PROPER(C263&amp;" "&amp;D263)</f>
        <v>Vallejo Fernandez Adriana Patricia</v>
      </c>
      <c r="S263" s="230" t="n">
        <f aca="false">+YEARFRAC(L263,$S$1)</f>
        <v>9.91111111111111</v>
      </c>
      <c r="T263" s="230" t="n">
        <f aca="false">+YEARFRAC(M263,$S$1)</f>
        <v>12.6583333333333</v>
      </c>
      <c r="U263" s="231" t="n">
        <f aca="false">+$I263</f>
        <v>2871316</v>
      </c>
      <c r="V263" s="232" t="str">
        <f aca="false">+PROPER(F263)</f>
        <v>Separado(A)</v>
      </c>
    </row>
    <row r="264" customFormat="false" ht="14.25" hidden="false" customHeight="false" outlineLevel="0" collapsed="false">
      <c r="B264" s="197" t="n">
        <v>31583226</v>
      </c>
      <c r="C264" s="197" t="s">
        <v>1441</v>
      </c>
      <c r="D264" s="197" t="s">
        <v>1442</v>
      </c>
      <c r="E264" s="198" t="s">
        <v>944</v>
      </c>
      <c r="F264" s="198" t="s">
        <v>953</v>
      </c>
      <c r="G264" s="225" t="n">
        <v>5842800</v>
      </c>
      <c r="H264" s="225" t="n">
        <v>1569329</v>
      </c>
      <c r="I264" s="225" t="n">
        <v>0</v>
      </c>
      <c r="J264" s="198" t="n">
        <v>43</v>
      </c>
      <c r="K264" s="198" t="n">
        <v>1</v>
      </c>
      <c r="L264" s="226" t="n">
        <v>45142</v>
      </c>
      <c r="M264" s="226" t="n">
        <v>40126</v>
      </c>
      <c r="N264" s="227" t="n">
        <v>1</v>
      </c>
      <c r="O264" s="227" t="s">
        <v>135</v>
      </c>
      <c r="P264" s="228" t="n">
        <f aca="false">VLOOKUP(B264,'NIVEL ENERO'!A:D,3,0)</f>
        <v>0.110337178780907</v>
      </c>
      <c r="Q264" s="229" t="n">
        <f aca="false">VLOOKUP(B264,'NIVEL ENERO'!A:D,4,0)</f>
        <v>1911177</v>
      </c>
      <c r="R264" s="186" t="str">
        <f aca="false">+PROPER(C264&amp;" "&amp;D264)</f>
        <v>Ortiz Rojas Helen Johana</v>
      </c>
      <c r="S264" s="230" t="n">
        <f aca="false">+YEARFRAC(L264,$S$1)</f>
        <v>2.77222222222222</v>
      </c>
      <c r="T264" s="230" t="n">
        <f aca="false">+YEARFRAC(M264,$S$1)</f>
        <v>16.5083333333333</v>
      </c>
      <c r="U264" s="231" t="n">
        <f aca="false">+$I264</f>
        <v>0</v>
      </c>
      <c r="V264" s="232" t="str">
        <f aca="false">+PROPER(F264)</f>
        <v>Soltero(A)</v>
      </c>
    </row>
    <row r="265" customFormat="false" ht="14.25" hidden="false" customHeight="false" outlineLevel="0" collapsed="false">
      <c r="B265" s="197" t="n">
        <v>31584732</v>
      </c>
      <c r="C265" s="197" t="s">
        <v>1443</v>
      </c>
      <c r="D265" s="197" t="s">
        <v>1444</v>
      </c>
      <c r="E265" s="198" t="s">
        <v>944</v>
      </c>
      <c r="F265" s="198" t="s">
        <v>945</v>
      </c>
      <c r="G265" s="225" t="n">
        <v>4327600</v>
      </c>
      <c r="H265" s="225" t="n">
        <v>4892813</v>
      </c>
      <c r="I265" s="225" t="n">
        <v>0</v>
      </c>
      <c r="J265" s="198" t="n">
        <v>44</v>
      </c>
      <c r="K265" s="198" t="n">
        <v>1</v>
      </c>
      <c r="L265" s="226" t="n">
        <v>42930</v>
      </c>
      <c r="M265" s="226" t="n">
        <v>37942</v>
      </c>
      <c r="N265" s="227" t="n">
        <v>2</v>
      </c>
      <c r="O265" s="227" t="s">
        <v>135</v>
      </c>
      <c r="P265" s="228" t="n">
        <f aca="false">VLOOKUP(B265,'NIVEL ENERO'!A:D,3,0)</f>
        <v>0.11817982253443</v>
      </c>
      <c r="Q265" s="229" t="n">
        <f aca="false">VLOOKUP(B265,'NIVEL ENERO'!A:D,4,0)</f>
        <v>1306157</v>
      </c>
      <c r="R265" s="186" t="str">
        <f aca="false">+PROPER(C265&amp;" "&amp;D265)</f>
        <v>Duran Dolly</v>
      </c>
      <c r="S265" s="230" t="n">
        <f aca="false">+YEARFRAC(L265,$S$1)</f>
        <v>8.82777777777778</v>
      </c>
      <c r="T265" s="230" t="n">
        <f aca="false">+YEARFRAC(M265,$S$1)</f>
        <v>22.4861111111111</v>
      </c>
      <c r="U265" s="231" t="n">
        <f aca="false">+$I265</f>
        <v>0</v>
      </c>
      <c r="V265" s="232" t="str">
        <f aca="false">+PROPER(F265)</f>
        <v>Union Libre</v>
      </c>
    </row>
    <row r="266" customFormat="false" ht="14.25" hidden="false" customHeight="false" outlineLevel="0" collapsed="false">
      <c r="B266" s="197" t="n">
        <v>31585154</v>
      </c>
      <c r="C266" s="197" t="s">
        <v>1445</v>
      </c>
      <c r="D266" s="197" t="s">
        <v>1135</v>
      </c>
      <c r="E266" s="198" t="s">
        <v>944</v>
      </c>
      <c r="F266" s="198" t="s">
        <v>945</v>
      </c>
      <c r="G266" s="225" t="n">
        <v>2600900</v>
      </c>
      <c r="H266" s="225" t="n">
        <v>700000</v>
      </c>
      <c r="I266" s="225" t="n">
        <v>423473</v>
      </c>
      <c r="J266" s="198" t="n">
        <v>45</v>
      </c>
      <c r="K266" s="198" t="n">
        <v>1</v>
      </c>
      <c r="L266" s="226" t="n">
        <v>45447</v>
      </c>
      <c r="M266" s="226" t="n">
        <v>41562</v>
      </c>
      <c r="N266" s="227" t="n">
        <v>1</v>
      </c>
      <c r="O266" s="227" t="s">
        <v>135</v>
      </c>
      <c r="P266" s="228" t="n">
        <f aca="false">VLOOKUP(B266,'NIVEL ENERO'!A:D,3,0)</f>
        <v>0.311631742858241</v>
      </c>
      <c r="Q266" s="229" t="n">
        <f aca="false">VLOOKUP(B266,'NIVEL ENERO'!A:D,4,0)</f>
        <v>281855</v>
      </c>
      <c r="R266" s="186" t="str">
        <f aca="false">+PROPER(C266&amp;" "&amp;D266)</f>
        <v>Gonzalez Carvajal Sandra Milena</v>
      </c>
      <c r="S266" s="230" t="n">
        <f aca="false">+YEARFRAC(L266,$S$1)</f>
        <v>1.93888888888889</v>
      </c>
      <c r="T266" s="230" t="n">
        <f aca="false">+YEARFRAC(M266,$S$1)</f>
        <v>12.575</v>
      </c>
      <c r="U266" s="231" t="n">
        <f aca="false">+$I266</f>
        <v>423473</v>
      </c>
      <c r="V266" s="232" t="str">
        <f aca="false">+PROPER(F266)</f>
        <v>Union Libre</v>
      </c>
    </row>
    <row r="267" customFormat="false" ht="14.25" hidden="false" customHeight="false" outlineLevel="0" collapsed="false">
      <c r="B267" s="197" t="n">
        <v>31629605</v>
      </c>
      <c r="C267" s="197" t="s">
        <v>1446</v>
      </c>
      <c r="D267" s="197" t="s">
        <v>1447</v>
      </c>
      <c r="E267" s="198" t="s">
        <v>944</v>
      </c>
      <c r="F267" s="198" t="s">
        <v>1107</v>
      </c>
      <c r="G267" s="225" t="n">
        <v>2600900</v>
      </c>
      <c r="H267" s="225" t="n">
        <v>9740071</v>
      </c>
      <c r="I267" s="225" t="n">
        <v>15837156</v>
      </c>
      <c r="J267" s="198" t="n">
        <v>57</v>
      </c>
      <c r="K267" s="198" t="n">
        <v>1</v>
      </c>
      <c r="L267" s="226" t="n">
        <v>41557</v>
      </c>
      <c r="M267" s="226" t="n">
        <v>34760</v>
      </c>
      <c r="N267" s="227" t="n">
        <v>3</v>
      </c>
      <c r="O267" s="227" t="s">
        <v>135</v>
      </c>
      <c r="P267" s="228" t="n">
        <f aca="false">VLOOKUP(B267,'NIVEL ENERO'!A:D,3,0)</f>
        <v>0.419227671085559</v>
      </c>
      <c r="Q267" s="229" t="n">
        <f aca="false">VLOOKUP(B267,'NIVEL ENERO'!A:D,4,0)</f>
        <v>2457.07999999984</v>
      </c>
      <c r="R267" s="186" t="str">
        <f aca="false">+PROPER(C267&amp;" "&amp;D267)</f>
        <v>Martinez Becerra Martha Lucia</v>
      </c>
      <c r="S267" s="230" t="n">
        <f aca="false">+YEARFRAC(L267,$S$1)</f>
        <v>12.5888888888889</v>
      </c>
      <c r="T267" s="230" t="n">
        <f aca="false">+YEARFRAC(M267,$S$1)</f>
        <v>31.1944444444444</v>
      </c>
      <c r="U267" s="231" t="n">
        <f aca="false">+$I267</f>
        <v>15837156</v>
      </c>
      <c r="V267" s="232" t="str">
        <f aca="false">+PROPER(F267)</f>
        <v>Viudo(A)</v>
      </c>
    </row>
    <row r="268" customFormat="false" ht="14.25" hidden="false" customHeight="false" outlineLevel="0" collapsed="false">
      <c r="B268" s="197" t="n">
        <v>31656034</v>
      </c>
      <c r="C268" s="197" t="s">
        <v>1448</v>
      </c>
      <c r="D268" s="197" t="s">
        <v>1449</v>
      </c>
      <c r="E268" s="198" t="s">
        <v>944</v>
      </c>
      <c r="F268" s="198" t="s">
        <v>945</v>
      </c>
      <c r="G268" s="225" t="n">
        <v>5842800</v>
      </c>
      <c r="H268" s="225" t="n">
        <v>2191033</v>
      </c>
      <c r="I268" s="225" t="n">
        <v>1683384</v>
      </c>
      <c r="J268" s="198" t="n">
        <v>41</v>
      </c>
      <c r="K268" s="198" t="n">
        <v>6</v>
      </c>
      <c r="L268" s="226" t="n">
        <v>44460</v>
      </c>
      <c r="M268" s="226" t="n">
        <v>44172</v>
      </c>
      <c r="N268" s="227" t="n">
        <v>2</v>
      </c>
      <c r="O268" s="227" t="s">
        <v>135</v>
      </c>
      <c r="P268" s="228" t="n">
        <f aca="false">VLOOKUP(B268,'NIVEL ENERO'!A:D,3,0)</f>
        <v>0.167027281440405</v>
      </c>
      <c r="Q268" s="229" t="n">
        <f aca="false">VLOOKUP(B268,'NIVEL ENERO'!A:D,4,0)</f>
        <v>1478069</v>
      </c>
      <c r="R268" s="186" t="str">
        <f aca="false">+PROPER(C268&amp;" "&amp;D268)</f>
        <v>Leon Hernandez Yury Juliana</v>
      </c>
      <c r="S268" s="230" t="n">
        <f aca="false">+YEARFRAC(L268,$S$1)</f>
        <v>4.64166666666667</v>
      </c>
      <c r="T268" s="230" t="n">
        <f aca="false">+YEARFRAC(M268,$S$1)</f>
        <v>5.43055555555556</v>
      </c>
      <c r="U268" s="231" t="n">
        <f aca="false">+$I268</f>
        <v>1683384</v>
      </c>
      <c r="V268" s="232" t="str">
        <f aca="false">+PROPER(F268)</f>
        <v>Union Libre</v>
      </c>
    </row>
    <row r="269" customFormat="false" ht="14.25" hidden="false" customHeight="false" outlineLevel="0" collapsed="false">
      <c r="B269" s="197" t="n">
        <v>31656172</v>
      </c>
      <c r="C269" s="197" t="s">
        <v>1450</v>
      </c>
      <c r="D269" s="197" t="s">
        <v>1451</v>
      </c>
      <c r="E269" s="198" t="s">
        <v>944</v>
      </c>
      <c r="F269" s="198" t="s">
        <v>945</v>
      </c>
      <c r="G269" s="225" t="n">
        <v>9087800</v>
      </c>
      <c r="H269" s="225" t="n">
        <v>1809701</v>
      </c>
      <c r="I269" s="225" t="n">
        <v>1613106</v>
      </c>
      <c r="J269" s="198" t="n">
        <v>40</v>
      </c>
      <c r="K269" s="198" t="n">
        <v>2</v>
      </c>
      <c r="L269" s="226" t="n">
        <v>44693</v>
      </c>
      <c r="M269" s="226" t="n">
        <v>43661</v>
      </c>
      <c r="N269" s="227" t="n">
        <v>1</v>
      </c>
      <c r="O269" s="227" t="s">
        <v>135</v>
      </c>
      <c r="P269" s="228" t="n">
        <f aca="false">VLOOKUP(B269,'NIVEL ENERO'!A:D,3,0)</f>
        <v>0.343757895200159</v>
      </c>
      <c r="Q269" s="229" t="n">
        <f aca="false">VLOOKUP(B269,'NIVEL ENERO'!A:D,4,0)</f>
        <v>692873</v>
      </c>
      <c r="R269" s="186" t="str">
        <f aca="false">+PROPER(C269&amp;" "&amp;D269)</f>
        <v>Marin Posso Marcela</v>
      </c>
      <c r="S269" s="230" t="n">
        <f aca="false">+YEARFRAC(L269,$S$1)</f>
        <v>4</v>
      </c>
      <c r="T269" s="230" t="n">
        <f aca="false">+YEARFRAC(M269,$S$1)</f>
        <v>6.825</v>
      </c>
      <c r="U269" s="231" t="n">
        <f aca="false">+$I269</f>
        <v>1613106</v>
      </c>
      <c r="V269" s="232" t="str">
        <f aca="false">+PROPER(F269)</f>
        <v>Union Libre</v>
      </c>
    </row>
    <row r="270" customFormat="false" ht="14.25" hidden="false" customHeight="false" outlineLevel="0" collapsed="false">
      <c r="B270" s="197" t="n">
        <v>31658624</v>
      </c>
      <c r="C270" s="197" t="s">
        <v>1452</v>
      </c>
      <c r="D270" s="197" t="s">
        <v>1453</v>
      </c>
      <c r="E270" s="198" t="s">
        <v>944</v>
      </c>
      <c r="F270" s="198" t="s">
        <v>945</v>
      </c>
      <c r="G270" s="225" t="n">
        <v>4984600</v>
      </c>
      <c r="H270" s="225" t="n">
        <v>16311776</v>
      </c>
      <c r="I270" s="225" t="n">
        <v>24403588</v>
      </c>
      <c r="J270" s="198" t="n">
        <v>39</v>
      </c>
      <c r="K270" s="198" t="n">
        <v>2</v>
      </c>
      <c r="L270" s="226" t="n">
        <v>42930</v>
      </c>
      <c r="M270" s="226" t="n">
        <v>40527</v>
      </c>
      <c r="N270" s="227" t="n">
        <v>4</v>
      </c>
      <c r="O270" s="227" t="s">
        <v>135</v>
      </c>
      <c r="P270" s="228" t="n">
        <f aca="false">VLOOKUP(B270,'NIVEL ENERO'!A:D,3,0)</f>
        <v>0.338945962605301</v>
      </c>
      <c r="Q270" s="229" t="n">
        <f aca="false">VLOOKUP(B270,'NIVEL ENERO'!A:D,4,0)</f>
        <v>599624.8</v>
      </c>
      <c r="R270" s="186" t="str">
        <f aca="false">+PROPER(C270&amp;" "&amp;D270)</f>
        <v>Perdomo Quinchia Johanna Carolina</v>
      </c>
      <c r="S270" s="230" t="n">
        <f aca="false">+YEARFRAC(L270,$S$1)</f>
        <v>8.82777777777778</v>
      </c>
      <c r="T270" s="230" t="n">
        <f aca="false">+YEARFRAC(M270,$S$1)</f>
        <v>15.4083333333333</v>
      </c>
      <c r="U270" s="231" t="n">
        <f aca="false">+$I270</f>
        <v>24403588</v>
      </c>
      <c r="V270" s="232" t="str">
        <f aca="false">+PROPER(F270)</f>
        <v>Union Libre</v>
      </c>
    </row>
    <row r="271" customFormat="false" ht="14.25" hidden="false" customHeight="false" outlineLevel="0" collapsed="false">
      <c r="B271" s="197" t="n">
        <v>31710423</v>
      </c>
      <c r="C271" s="197" t="s">
        <v>1454</v>
      </c>
      <c r="D271" s="197" t="s">
        <v>1202</v>
      </c>
      <c r="E271" s="198" t="s">
        <v>944</v>
      </c>
      <c r="F271" s="198" t="s">
        <v>945</v>
      </c>
      <c r="G271" s="225" t="n">
        <v>3811461</v>
      </c>
      <c r="H271" s="225" t="n">
        <v>4504741</v>
      </c>
      <c r="I271" s="225" t="n">
        <v>101514</v>
      </c>
      <c r="J271" s="198" t="n">
        <v>42</v>
      </c>
      <c r="K271" s="198" t="n">
        <v>3</v>
      </c>
      <c r="L271" s="226" t="n">
        <v>44973</v>
      </c>
      <c r="M271" s="226" t="n">
        <v>42598</v>
      </c>
      <c r="N271" s="227" t="n">
        <v>2</v>
      </c>
      <c r="O271" s="227" t="s">
        <v>135</v>
      </c>
      <c r="P271" s="228" t="n">
        <f aca="false">VLOOKUP(B271,'NIVEL ENERO'!A:D,3,0)</f>
        <v>0.17439139328118</v>
      </c>
      <c r="Q271" s="229" t="n">
        <f aca="false">VLOOKUP(B271,'NIVEL ENERO'!A:D,4,0)</f>
        <v>2356823.84</v>
      </c>
      <c r="R271" s="186" t="str">
        <f aca="false">+PROPER(C271&amp;" "&amp;D271)</f>
        <v>Castro Gomez Carolina</v>
      </c>
      <c r="S271" s="230" t="n">
        <f aca="false">+YEARFRAC(L271,$S$1)</f>
        <v>3.23888888888889</v>
      </c>
      <c r="T271" s="230" t="n">
        <f aca="false">+YEARFRAC(M271,$S$1)</f>
        <v>9.73888888888889</v>
      </c>
      <c r="U271" s="231" t="n">
        <f aca="false">+$I271</f>
        <v>101514</v>
      </c>
      <c r="V271" s="232" t="str">
        <f aca="false">+PROPER(F271)</f>
        <v>Union Libre</v>
      </c>
    </row>
    <row r="272" customFormat="false" ht="14.25" hidden="false" customHeight="false" outlineLevel="0" collapsed="false">
      <c r="B272" s="197" t="n">
        <v>31711209</v>
      </c>
      <c r="C272" s="197" t="s">
        <v>1455</v>
      </c>
      <c r="D272" s="197" t="s">
        <v>1456</v>
      </c>
      <c r="E272" s="198" t="s">
        <v>944</v>
      </c>
      <c r="F272" s="198" t="s">
        <v>948</v>
      </c>
      <c r="G272" s="225" t="n">
        <v>2600900</v>
      </c>
      <c r="H272" s="225" t="n">
        <v>2163254</v>
      </c>
      <c r="I272" s="225" t="n">
        <v>908642</v>
      </c>
      <c r="J272" s="198" t="n">
        <v>42</v>
      </c>
      <c r="K272" s="198" t="n">
        <v>3</v>
      </c>
      <c r="L272" s="226" t="n">
        <v>44490</v>
      </c>
      <c r="M272" s="226" t="n">
        <v>44305</v>
      </c>
      <c r="N272" s="227" t="n">
        <v>3</v>
      </c>
      <c r="O272" s="227" t="s">
        <v>135</v>
      </c>
      <c r="P272" s="228" t="n">
        <f aca="false">VLOOKUP(B272,'NIVEL ENERO'!A:D,3,0)</f>
        <v>0.294264391087575</v>
      </c>
      <c r="Q272" s="229" t="n">
        <f aca="false">VLOOKUP(B272,'NIVEL ENERO'!A:D,4,0)</f>
        <v>392431.02</v>
      </c>
      <c r="R272" s="186" t="str">
        <f aca="false">+PROPER(C272&amp;" "&amp;D272)</f>
        <v>Munoz Munoz Faysuli</v>
      </c>
      <c r="S272" s="230" t="n">
        <f aca="false">+YEARFRAC(L272,$S$1)</f>
        <v>4.55833333333333</v>
      </c>
      <c r="T272" s="230" t="n">
        <f aca="false">+YEARFRAC(M272,$S$1)</f>
        <v>5.06388888888889</v>
      </c>
      <c r="U272" s="231" t="n">
        <f aca="false">+$I272</f>
        <v>908642</v>
      </c>
      <c r="V272" s="232" t="str">
        <f aca="false">+PROPER(F272)</f>
        <v>Casado(A)</v>
      </c>
    </row>
    <row r="273" customFormat="false" ht="14.25" hidden="false" customHeight="false" outlineLevel="0" collapsed="false">
      <c r="B273" s="197" t="n">
        <v>31711710</v>
      </c>
      <c r="C273" s="197" t="s">
        <v>1457</v>
      </c>
      <c r="D273" s="197" t="s">
        <v>1458</v>
      </c>
      <c r="E273" s="198" t="s">
        <v>944</v>
      </c>
      <c r="F273" s="198" t="s">
        <v>948</v>
      </c>
      <c r="G273" s="225" t="n">
        <v>5418800</v>
      </c>
      <c r="H273" s="225" t="n">
        <v>585000</v>
      </c>
      <c r="I273" s="225" t="n">
        <v>0</v>
      </c>
      <c r="J273" s="198" t="n">
        <v>41</v>
      </c>
      <c r="K273" s="198" t="n">
        <v>3</v>
      </c>
      <c r="L273" s="226" t="n">
        <v>45390</v>
      </c>
      <c r="M273" s="226" t="n">
        <v>38183</v>
      </c>
      <c r="N273" s="227" t="n">
        <v>5</v>
      </c>
      <c r="O273" s="227" t="s">
        <v>135</v>
      </c>
      <c r="P273" s="228" t="n">
        <f aca="false">VLOOKUP(B273,'NIVEL ENERO'!A:D,3,0)</f>
        <v>0.414487705723623</v>
      </c>
      <c r="Q273" s="229" t="n">
        <f aca="false">VLOOKUP(B273,'NIVEL ENERO'!A:D,4,0)</f>
        <v>34212.7599999998</v>
      </c>
      <c r="R273" s="186" t="str">
        <f aca="false">+PROPER(C273&amp;" "&amp;D273)</f>
        <v>Borja Munoz Dora Viviana</v>
      </c>
      <c r="S273" s="230" t="n">
        <f aca="false">+YEARFRAC(L273,$S$1)</f>
        <v>2.09444444444444</v>
      </c>
      <c r="T273" s="230" t="n">
        <f aca="false">+YEARFRAC(M273,$S$1)</f>
        <v>21.825</v>
      </c>
      <c r="U273" s="231" t="n">
        <f aca="false">+$I273</f>
        <v>0</v>
      </c>
      <c r="V273" s="232" t="str">
        <f aca="false">+PROPER(F273)</f>
        <v>Casado(A)</v>
      </c>
    </row>
    <row r="274" customFormat="false" ht="14.25" hidden="false" customHeight="false" outlineLevel="0" collapsed="false">
      <c r="B274" s="197" t="n">
        <v>31711815</v>
      </c>
      <c r="C274" s="197" t="s">
        <v>1459</v>
      </c>
      <c r="D274" s="197" t="s">
        <v>1460</v>
      </c>
      <c r="E274" s="198" t="s">
        <v>944</v>
      </c>
      <c r="F274" s="198" t="s">
        <v>953</v>
      </c>
      <c r="G274" s="225" t="n">
        <v>2600900</v>
      </c>
      <c r="H274" s="225" t="n">
        <v>5912528</v>
      </c>
      <c r="I274" s="225" t="n">
        <v>4584794</v>
      </c>
      <c r="J274" s="198" t="n">
        <v>42</v>
      </c>
      <c r="K274" s="198" t="n">
        <v>2</v>
      </c>
      <c r="L274" s="226" t="n">
        <v>41187</v>
      </c>
      <c r="M274" s="226" t="n">
        <v>41170</v>
      </c>
      <c r="N274" s="227" t="n">
        <v>5</v>
      </c>
      <c r="O274" s="227" t="s">
        <v>135</v>
      </c>
      <c r="P274" s="228" t="n">
        <f aca="false">VLOOKUP(B274,'NIVEL ENERO'!A:D,3,0)</f>
        <v>0.226693063141596</v>
      </c>
      <c r="Q274" s="229" t="n">
        <f aca="false">VLOOKUP(B274,'NIVEL ENERO'!A:D,4,0)</f>
        <v>623351.66</v>
      </c>
      <c r="R274" s="186" t="str">
        <f aca="false">+PROPER(C274&amp;" "&amp;D274)</f>
        <v>Duque Meneses Diana Lorena</v>
      </c>
      <c r="S274" s="230" t="n">
        <f aca="false">+YEARFRAC(L274,$S$1)</f>
        <v>13.6027777777778</v>
      </c>
      <c r="T274" s="230" t="n">
        <f aca="false">+YEARFRAC(M274,$S$1)</f>
        <v>13.65</v>
      </c>
      <c r="U274" s="231" t="n">
        <f aca="false">+$I274</f>
        <v>4584794</v>
      </c>
      <c r="V274" s="232" t="str">
        <f aca="false">+PROPER(F274)</f>
        <v>Soltero(A)</v>
      </c>
    </row>
    <row r="275" customFormat="false" ht="14.25" hidden="false" customHeight="false" outlineLevel="0" collapsed="false">
      <c r="B275" s="197" t="n">
        <v>31712755</v>
      </c>
      <c r="C275" s="197" t="s">
        <v>1461</v>
      </c>
      <c r="D275" s="197" t="s">
        <v>1462</v>
      </c>
      <c r="E275" s="198" t="s">
        <v>944</v>
      </c>
      <c r="F275" s="198" t="s">
        <v>948</v>
      </c>
      <c r="G275" s="225" t="n">
        <v>4383200</v>
      </c>
      <c r="H275" s="225" t="n">
        <v>1910716</v>
      </c>
      <c r="I275" s="225" t="n">
        <v>0</v>
      </c>
      <c r="J275" s="198" t="n">
        <v>41</v>
      </c>
      <c r="K275" s="198" t="n">
        <v>1</v>
      </c>
      <c r="L275" s="226" t="n">
        <v>44644</v>
      </c>
      <c r="M275" s="226" t="n">
        <v>44105</v>
      </c>
      <c r="N275" s="227" t="n">
        <v>3</v>
      </c>
      <c r="O275" s="227" t="s">
        <v>135</v>
      </c>
      <c r="P275" s="228" t="n">
        <f aca="false">VLOOKUP(B275,'NIVEL ENERO'!A:D,3,0)</f>
        <v>0.0998015228781544</v>
      </c>
      <c r="Q275" s="229" t="n">
        <f aca="false">VLOOKUP(B275,'NIVEL ENERO'!A:D,4,0)</f>
        <v>1478245.26</v>
      </c>
      <c r="R275" s="186" t="str">
        <f aca="false">+PROPER(C275&amp;" "&amp;D275)</f>
        <v>Colina Henao Diana Yurany</v>
      </c>
      <c r="S275" s="230" t="n">
        <f aca="false">+YEARFRAC(L275,$S$1)</f>
        <v>4.13333333333333</v>
      </c>
      <c r="T275" s="230" t="n">
        <f aca="false">+YEARFRAC(M275,$S$1)</f>
        <v>5.61388888888889</v>
      </c>
      <c r="U275" s="231" t="n">
        <f aca="false">+$I275</f>
        <v>0</v>
      </c>
      <c r="V275" s="232" t="str">
        <f aca="false">+PROPER(F275)</f>
        <v>Casado(A)</v>
      </c>
    </row>
    <row r="276" customFormat="false" ht="14.25" hidden="false" customHeight="false" outlineLevel="0" collapsed="false">
      <c r="B276" s="197" t="n">
        <v>31712761</v>
      </c>
      <c r="C276" s="197" t="s">
        <v>1463</v>
      </c>
      <c r="D276" s="197" t="s">
        <v>1464</v>
      </c>
      <c r="E276" s="198" t="s">
        <v>944</v>
      </c>
      <c r="F276" s="198" t="s">
        <v>953</v>
      </c>
      <c r="G276" s="225" t="n">
        <v>4870200</v>
      </c>
      <c r="H276" s="225" t="n">
        <v>4803672</v>
      </c>
      <c r="I276" s="225" t="n">
        <v>13182858</v>
      </c>
      <c r="J276" s="198" t="n">
        <v>41</v>
      </c>
      <c r="K276" s="198" t="n">
        <v>1</v>
      </c>
      <c r="L276" s="226" t="n">
        <v>42782</v>
      </c>
      <c r="M276" s="226" t="n">
        <v>39639</v>
      </c>
      <c r="N276" s="227" t="n">
        <v>3</v>
      </c>
      <c r="O276" s="227" t="s">
        <v>135</v>
      </c>
      <c r="P276" s="228" t="n">
        <f aca="false">VLOOKUP(B276,'NIVEL ENERO'!A:D,3,0)</f>
        <v>0.246093807189835</v>
      </c>
      <c r="Q276" s="229" t="n">
        <f aca="false">VLOOKUP(B276,'NIVEL ENERO'!A:D,4,0)</f>
        <v>1389767.34</v>
      </c>
      <c r="R276" s="186" t="str">
        <f aca="false">+PROPER(C276&amp;" "&amp;D276)</f>
        <v>Perdomo Martinez Madeleyne</v>
      </c>
      <c r="S276" s="230" t="n">
        <f aca="false">+YEARFRAC(L276,$S$1)</f>
        <v>9.23888888888889</v>
      </c>
      <c r="T276" s="230" t="n">
        <f aca="false">+YEARFRAC(M276,$S$1)</f>
        <v>17.8388888888889</v>
      </c>
      <c r="U276" s="231" t="n">
        <f aca="false">+$I276</f>
        <v>13182858</v>
      </c>
      <c r="V276" s="232" t="str">
        <f aca="false">+PROPER(F276)</f>
        <v>Soltero(A)</v>
      </c>
    </row>
    <row r="277" customFormat="false" ht="14.25" hidden="false" customHeight="false" outlineLevel="0" collapsed="false">
      <c r="B277" s="197" t="n">
        <v>31713043</v>
      </c>
      <c r="C277" s="197" t="s">
        <v>1465</v>
      </c>
      <c r="D277" s="197" t="s">
        <v>1466</v>
      </c>
      <c r="E277" s="198" t="s">
        <v>944</v>
      </c>
      <c r="F277" s="198" t="s">
        <v>948</v>
      </c>
      <c r="G277" s="225" t="n">
        <v>5291000</v>
      </c>
      <c r="H277" s="225" t="n">
        <v>2555495</v>
      </c>
      <c r="I277" s="225" t="n">
        <v>2526329</v>
      </c>
      <c r="J277" s="198" t="n">
        <v>41</v>
      </c>
      <c r="K277" s="198" t="n">
        <v>4</v>
      </c>
      <c r="L277" s="226" t="n">
        <v>44182</v>
      </c>
      <c r="M277" s="226" t="n">
        <v>40007</v>
      </c>
      <c r="N277" s="227" t="n">
        <v>4</v>
      </c>
      <c r="O277" s="227" t="s">
        <v>135</v>
      </c>
      <c r="P277" s="228" t="n">
        <f aca="false">VLOOKUP(B277,'NIVEL ENERO'!A:D,3,0)</f>
        <v>0.171560196560197</v>
      </c>
      <c r="Q277" s="229" t="n">
        <f aca="false">VLOOKUP(B277,'NIVEL ENERO'!A:D,4,0)</f>
        <v>1314495</v>
      </c>
      <c r="R277" s="186" t="str">
        <f aca="false">+PROPER(C277&amp;" "&amp;D277)</f>
        <v>Maglioni Castro Melisa</v>
      </c>
      <c r="S277" s="230" t="n">
        <f aca="false">+YEARFRAC(L277,$S$1)</f>
        <v>5.40277777777778</v>
      </c>
      <c r="T277" s="230" t="n">
        <f aca="false">+YEARFRAC(M277,$S$1)</f>
        <v>16.8305555555556</v>
      </c>
      <c r="U277" s="231" t="n">
        <f aca="false">+$I277</f>
        <v>2526329</v>
      </c>
      <c r="V277" s="232" t="str">
        <f aca="false">+PROPER(F277)</f>
        <v>Casado(A)</v>
      </c>
    </row>
    <row r="278" customFormat="false" ht="14.25" hidden="false" customHeight="false" outlineLevel="0" collapsed="false">
      <c r="B278" s="197" t="n">
        <v>31713687</v>
      </c>
      <c r="C278" s="197" t="s">
        <v>1467</v>
      </c>
      <c r="D278" s="197" t="s">
        <v>1468</v>
      </c>
      <c r="E278" s="198" t="s">
        <v>944</v>
      </c>
      <c r="F278" s="198" t="s">
        <v>945</v>
      </c>
      <c r="G278" s="225" t="n">
        <v>4383200</v>
      </c>
      <c r="H278" s="225" t="n">
        <v>3217532</v>
      </c>
      <c r="I278" s="225" t="n">
        <v>1812717</v>
      </c>
      <c r="J278" s="198" t="n">
        <v>42</v>
      </c>
      <c r="K278" s="198" t="n">
        <v>4</v>
      </c>
      <c r="L278" s="226" t="n">
        <v>44398</v>
      </c>
      <c r="M278" s="226" t="n">
        <v>44105</v>
      </c>
      <c r="N278" s="227" t="n">
        <v>5</v>
      </c>
      <c r="O278" s="227" t="s">
        <v>135</v>
      </c>
      <c r="P278" s="228" t="n">
        <f aca="false">VLOOKUP(B278,'NIVEL ENERO'!A:D,3,0)</f>
        <v>0.353773122120534</v>
      </c>
      <c r="Q278" s="229" t="n">
        <f aca="false">VLOOKUP(B278,'NIVEL ENERO'!A:D,4,0)</f>
        <v>261909.2</v>
      </c>
      <c r="R278" s="186" t="str">
        <f aca="false">+PROPER(C278&amp;" "&amp;D278)</f>
        <v>Dinas Munoz Ettiana</v>
      </c>
      <c r="S278" s="230" t="n">
        <f aca="false">+YEARFRAC(L278,$S$1)</f>
        <v>4.80833333333333</v>
      </c>
      <c r="T278" s="230" t="n">
        <f aca="false">+YEARFRAC(M278,$S$1)</f>
        <v>5.61388888888889</v>
      </c>
      <c r="U278" s="231" t="n">
        <f aca="false">+$I278</f>
        <v>1812717</v>
      </c>
      <c r="V278" s="232" t="str">
        <f aca="false">+PROPER(F278)</f>
        <v>Union Libre</v>
      </c>
    </row>
    <row r="279" customFormat="false" ht="14.25" hidden="false" customHeight="false" outlineLevel="0" collapsed="false">
      <c r="B279" s="197" t="n">
        <v>31714200</v>
      </c>
      <c r="C279" s="197" t="s">
        <v>1469</v>
      </c>
      <c r="D279" s="197" t="s">
        <v>1312</v>
      </c>
      <c r="E279" s="198" t="s">
        <v>944</v>
      </c>
      <c r="F279" s="198" t="s">
        <v>953</v>
      </c>
      <c r="G279" s="225" t="n">
        <v>2893800</v>
      </c>
      <c r="H279" s="225" t="n">
        <v>4250345</v>
      </c>
      <c r="I279" s="225" t="n">
        <v>4434706</v>
      </c>
      <c r="J279" s="198" t="n">
        <v>41</v>
      </c>
      <c r="K279" s="198" t="n">
        <v>1</v>
      </c>
      <c r="L279" s="226" t="n">
        <v>44328</v>
      </c>
      <c r="M279" s="226" t="n">
        <v>41947</v>
      </c>
      <c r="N279" s="227" t="n">
        <v>2</v>
      </c>
      <c r="O279" s="227" t="s">
        <v>135</v>
      </c>
      <c r="P279" s="228" t="n">
        <f aca="false">VLOOKUP(B279,'NIVEL ENERO'!A:D,3,0)</f>
        <v>0.366523256617596</v>
      </c>
      <c r="Q279" s="229" t="n">
        <f aca="false">VLOOKUP(B279,'NIVEL ENERO'!A:D,4,0)</f>
        <v>154751</v>
      </c>
      <c r="R279" s="186" t="str">
        <f aca="false">+PROPER(C279&amp;" "&amp;D279)</f>
        <v>Bedoya Cortes Olga Lucia</v>
      </c>
      <c r="S279" s="230" t="n">
        <f aca="false">+YEARFRAC(L279,$S$1)</f>
        <v>5</v>
      </c>
      <c r="T279" s="230" t="n">
        <f aca="false">+YEARFRAC(M279,$S$1)</f>
        <v>11.5222222222222</v>
      </c>
      <c r="U279" s="231" t="n">
        <f aca="false">+$I279</f>
        <v>4434706</v>
      </c>
      <c r="V279" s="232" t="str">
        <f aca="false">+PROPER(F279)</f>
        <v>Soltero(A)</v>
      </c>
    </row>
    <row r="280" customFormat="false" ht="14.25" hidden="false" customHeight="false" outlineLevel="0" collapsed="false">
      <c r="B280" s="197" t="n">
        <v>31843374</v>
      </c>
      <c r="C280" s="197" t="s">
        <v>1470</v>
      </c>
      <c r="D280" s="197" t="s">
        <v>1471</v>
      </c>
      <c r="E280" s="198" t="s">
        <v>944</v>
      </c>
      <c r="F280" s="198" t="s">
        <v>945</v>
      </c>
      <c r="G280" s="225" t="n">
        <v>2500000</v>
      </c>
      <c r="H280" s="225" t="n">
        <v>8033466</v>
      </c>
      <c r="I280" s="225" t="n">
        <v>9094390</v>
      </c>
      <c r="J280" s="198" t="n">
        <v>70</v>
      </c>
      <c r="K280" s="198" t="n">
        <v>2</v>
      </c>
      <c r="L280" s="226" t="n">
        <v>39973</v>
      </c>
      <c r="M280" s="226" t="n">
        <v>31839</v>
      </c>
      <c r="N280" s="227" t="n">
        <v>3</v>
      </c>
      <c r="O280" s="227" t="s">
        <v>445</v>
      </c>
      <c r="P280" s="228" t="e">
        <f aca="false">VLOOKUP(B280,'NIVEL ENERO'!A:D,3,0)</f>
        <v>#N/A</v>
      </c>
      <c r="Q280" s="229" t="e">
        <f aca="false">VLOOKUP(B280,'NIVEL ENERO'!A:D,4,0)</f>
        <v>#N/A</v>
      </c>
      <c r="R280" s="186" t="str">
        <f aca="false">+PROPER(C280&amp;" "&amp;D280)</f>
        <v>Bedoya Idarraga Colombia</v>
      </c>
      <c r="S280" s="230" t="n">
        <f aca="false">+YEARFRAC(L280,$S$1)</f>
        <v>16.925</v>
      </c>
      <c r="T280" s="230" t="n">
        <f aca="false">+YEARFRAC(M280,$S$1)</f>
        <v>39.1916666666667</v>
      </c>
      <c r="U280" s="231" t="n">
        <f aca="false">+$I280</f>
        <v>9094390</v>
      </c>
      <c r="V280" s="232" t="str">
        <f aca="false">+PROPER(F280)</f>
        <v>Union Libre</v>
      </c>
    </row>
    <row r="281" customFormat="false" ht="14.25" hidden="false" customHeight="false" outlineLevel="0" collapsed="false">
      <c r="B281" s="197" t="n">
        <v>31853280</v>
      </c>
      <c r="C281" s="197" t="s">
        <v>1472</v>
      </c>
      <c r="D281" s="197" t="s">
        <v>1473</v>
      </c>
      <c r="E281" s="198" t="s">
        <v>944</v>
      </c>
      <c r="F281" s="198" t="s">
        <v>948</v>
      </c>
      <c r="G281" s="225" t="n">
        <v>7900000</v>
      </c>
      <c r="H281" s="225" t="n">
        <v>8652384</v>
      </c>
      <c r="I281" s="225" t="n">
        <v>12347521</v>
      </c>
      <c r="J281" s="198" t="n">
        <v>64</v>
      </c>
      <c r="K281" s="198" t="n">
        <v>2</v>
      </c>
      <c r="L281" s="226" t="n">
        <v>41414</v>
      </c>
      <c r="M281" s="226" t="n">
        <v>32735</v>
      </c>
      <c r="N281" s="227" t="n">
        <v>4</v>
      </c>
      <c r="O281" s="227" t="s">
        <v>445</v>
      </c>
      <c r="P281" s="228" t="e">
        <f aca="false">VLOOKUP(B281,'NIVEL ENERO'!A:D,3,0)</f>
        <v>#N/A</v>
      </c>
      <c r="Q281" s="229" t="e">
        <f aca="false">VLOOKUP(B281,'NIVEL ENERO'!A:D,4,0)</f>
        <v>#N/A</v>
      </c>
      <c r="R281" s="186" t="str">
        <f aca="false">+PROPER(C281&amp;" "&amp;D281)</f>
        <v>Barona Sinisterra Sonia</v>
      </c>
      <c r="S281" s="230" t="n">
        <f aca="false">+YEARFRAC(L281,$S$1)</f>
        <v>12.9777777777778</v>
      </c>
      <c r="T281" s="230" t="n">
        <f aca="false">+YEARFRAC(M281,$S$1)</f>
        <v>36.7416666666667</v>
      </c>
      <c r="U281" s="231" t="n">
        <f aca="false">+$I281</f>
        <v>12347521</v>
      </c>
      <c r="V281" s="232" t="str">
        <f aca="false">+PROPER(F281)</f>
        <v>Casado(A)</v>
      </c>
    </row>
    <row r="282" customFormat="false" ht="14.25" hidden="false" customHeight="false" outlineLevel="0" collapsed="false">
      <c r="B282" s="197" t="n">
        <v>31878122</v>
      </c>
      <c r="C282" s="197" t="s">
        <v>1474</v>
      </c>
      <c r="D282" s="197" t="s">
        <v>1475</v>
      </c>
      <c r="E282" s="198" t="s">
        <v>944</v>
      </c>
      <c r="F282" s="198" t="s">
        <v>948</v>
      </c>
      <c r="G282" s="225" t="n">
        <v>4480000</v>
      </c>
      <c r="H282" s="225" t="n">
        <v>2506690</v>
      </c>
      <c r="I282" s="225" t="n">
        <v>1114150</v>
      </c>
      <c r="J282" s="198" t="n">
        <v>63</v>
      </c>
      <c r="K282" s="198" t="n">
        <v>1</v>
      </c>
      <c r="L282" s="226" t="n">
        <v>44904</v>
      </c>
      <c r="M282" s="226" t="n">
        <v>40895</v>
      </c>
      <c r="N282" s="227" t="n">
        <v>4</v>
      </c>
      <c r="O282" s="227" t="s">
        <v>445</v>
      </c>
      <c r="P282" s="228" t="e">
        <f aca="false">VLOOKUP(B282,'NIVEL ENERO'!A:D,3,0)</f>
        <v>#N/A</v>
      </c>
      <c r="Q282" s="229" t="e">
        <f aca="false">VLOOKUP(B282,'NIVEL ENERO'!A:D,4,0)</f>
        <v>#N/A</v>
      </c>
      <c r="R282" s="186" t="str">
        <f aca="false">+PROPER(C282&amp;" "&amp;D282)</f>
        <v>Hernandez Prado Gloria Stella</v>
      </c>
      <c r="S282" s="230" t="n">
        <f aca="false">+YEARFRAC(L282,$S$1)</f>
        <v>3.425</v>
      </c>
      <c r="T282" s="230" t="n">
        <f aca="false">+YEARFRAC(M282,$S$1)</f>
        <v>14.4</v>
      </c>
      <c r="U282" s="231" t="n">
        <f aca="false">+$I282</f>
        <v>1114150</v>
      </c>
      <c r="V282" s="232" t="str">
        <f aca="false">+PROPER(F282)</f>
        <v>Casado(A)</v>
      </c>
    </row>
    <row r="283" customFormat="false" ht="14.25" hidden="false" customHeight="false" outlineLevel="0" collapsed="false">
      <c r="B283" s="197" t="n">
        <v>31884529</v>
      </c>
      <c r="C283" s="197" t="s">
        <v>1476</v>
      </c>
      <c r="D283" s="197" t="s">
        <v>1477</v>
      </c>
      <c r="E283" s="198" t="s">
        <v>944</v>
      </c>
      <c r="F283" s="198" t="s">
        <v>948</v>
      </c>
      <c r="G283" s="225" t="n">
        <v>4000000</v>
      </c>
      <c r="H283" s="225" t="n">
        <v>1330059</v>
      </c>
      <c r="I283" s="225" t="n">
        <v>178911</v>
      </c>
      <c r="J283" s="198" t="n">
        <v>62</v>
      </c>
      <c r="K283" s="198" t="n">
        <v>2</v>
      </c>
      <c r="L283" s="226" t="n">
        <v>45020</v>
      </c>
      <c r="M283" s="226" t="n">
        <v>45624</v>
      </c>
      <c r="N283" s="227" t="n">
        <v>2</v>
      </c>
      <c r="O283" s="227" t="s">
        <v>445</v>
      </c>
      <c r="P283" s="228" t="e">
        <f aca="false">VLOOKUP(B283,'NIVEL ENERO'!A:D,3,0)</f>
        <v>#N/A</v>
      </c>
      <c r="Q283" s="229" t="e">
        <f aca="false">VLOOKUP(B283,'NIVEL ENERO'!A:D,4,0)</f>
        <v>#N/A</v>
      </c>
      <c r="R283" s="186" t="str">
        <f aca="false">+PROPER(C283&amp;" "&amp;D283)</f>
        <v>Echeverry Bermudez Clara Ines</v>
      </c>
      <c r="S283" s="230" t="n">
        <f aca="false">+YEARFRAC(L283,$S$1)</f>
        <v>3.10555555555556</v>
      </c>
      <c r="T283" s="230" t="n">
        <f aca="false">+YEARFRAC(M283,$S$1)</f>
        <v>1.45555555555556</v>
      </c>
      <c r="U283" s="231" t="n">
        <f aca="false">+$I283</f>
        <v>178911</v>
      </c>
      <c r="V283" s="232" t="str">
        <f aca="false">+PROPER(F283)</f>
        <v>Casado(A)</v>
      </c>
    </row>
    <row r="284" customFormat="false" ht="14.25" hidden="false" customHeight="false" outlineLevel="0" collapsed="false">
      <c r="B284" s="197" t="n">
        <v>31897179</v>
      </c>
      <c r="C284" s="197" t="s">
        <v>1478</v>
      </c>
      <c r="D284" s="197" t="s">
        <v>1479</v>
      </c>
      <c r="E284" s="198" t="s">
        <v>944</v>
      </c>
      <c r="F284" s="198" t="s">
        <v>1107</v>
      </c>
      <c r="G284" s="225" t="n">
        <v>3500000</v>
      </c>
      <c r="H284" s="225" t="n">
        <v>10378234</v>
      </c>
      <c r="I284" s="225" t="n">
        <v>4391887</v>
      </c>
      <c r="J284" s="198" t="n">
        <v>62</v>
      </c>
      <c r="K284" s="198" t="n">
        <v>2</v>
      </c>
      <c r="L284" s="226" t="n">
        <v>39610</v>
      </c>
      <c r="M284" s="226" t="n">
        <v>38601</v>
      </c>
      <c r="N284" s="227" t="n">
        <v>3</v>
      </c>
      <c r="O284" s="227" t="s">
        <v>445</v>
      </c>
      <c r="P284" s="228" t="e">
        <f aca="false">VLOOKUP(B284,'NIVEL ENERO'!A:D,3,0)</f>
        <v>#N/A</v>
      </c>
      <c r="Q284" s="229" t="e">
        <f aca="false">VLOOKUP(B284,'NIVEL ENERO'!A:D,4,0)</f>
        <v>#N/A</v>
      </c>
      <c r="R284" s="186" t="str">
        <f aca="false">+PROPER(C284&amp;" "&amp;D284)</f>
        <v>Angarita Polania Maria Fernanda</v>
      </c>
      <c r="S284" s="230" t="n">
        <f aca="false">+YEARFRAC(L284,$S$1)</f>
        <v>17.9194444444444</v>
      </c>
      <c r="T284" s="230" t="n">
        <f aca="false">+YEARFRAC(M284,$S$1)</f>
        <v>20.6833333333333</v>
      </c>
      <c r="U284" s="231" t="n">
        <f aca="false">+$I284</f>
        <v>4391887</v>
      </c>
      <c r="V284" s="232" t="str">
        <f aca="false">+PROPER(F284)</f>
        <v>Viudo(A)</v>
      </c>
    </row>
    <row r="285" customFormat="false" ht="14.25" hidden="false" customHeight="false" outlineLevel="0" collapsed="false">
      <c r="B285" s="197" t="n">
        <v>31900177</v>
      </c>
      <c r="C285" s="197" t="s">
        <v>1480</v>
      </c>
      <c r="D285" s="197" t="s">
        <v>1447</v>
      </c>
      <c r="E285" s="198" t="s">
        <v>944</v>
      </c>
      <c r="F285" s="198" t="s">
        <v>948</v>
      </c>
      <c r="G285" s="225" t="n">
        <v>2900000</v>
      </c>
      <c r="H285" s="225" t="n">
        <v>3201463</v>
      </c>
      <c r="I285" s="225" t="n">
        <v>8015433</v>
      </c>
      <c r="J285" s="198" t="n">
        <v>61</v>
      </c>
      <c r="K285" s="198" t="n">
        <v>2</v>
      </c>
      <c r="L285" s="226" t="n">
        <v>43901</v>
      </c>
      <c r="M285" s="226" t="n">
        <v>45383</v>
      </c>
      <c r="N285" s="227" t="n">
        <v>2</v>
      </c>
      <c r="O285" s="227" t="s">
        <v>445</v>
      </c>
      <c r="P285" s="228" t="e">
        <f aca="false">VLOOKUP(B285,'NIVEL ENERO'!A:D,3,0)</f>
        <v>#N/A</v>
      </c>
      <c r="Q285" s="229" t="e">
        <f aca="false">VLOOKUP(B285,'NIVEL ENERO'!A:D,4,0)</f>
        <v>#N/A</v>
      </c>
      <c r="R285" s="186" t="str">
        <f aca="false">+PROPER(C285&amp;" "&amp;D285)</f>
        <v>Bonilla Escobar Martha Lucia</v>
      </c>
      <c r="S285" s="230" t="n">
        <f aca="false">+YEARFRAC(L285,$S$1)</f>
        <v>6.16944444444444</v>
      </c>
      <c r="T285" s="230" t="n">
        <f aca="false">+YEARFRAC(M285,$S$1)</f>
        <v>2.11388888888889</v>
      </c>
      <c r="U285" s="231" t="n">
        <f aca="false">+$I285</f>
        <v>8015433</v>
      </c>
      <c r="V285" s="232" t="str">
        <f aca="false">+PROPER(F285)</f>
        <v>Casado(A)</v>
      </c>
    </row>
    <row r="286" customFormat="false" ht="14.25" hidden="false" customHeight="false" outlineLevel="0" collapsed="false">
      <c r="B286" s="197" t="n">
        <v>31902853</v>
      </c>
      <c r="C286" s="197" t="s">
        <v>1481</v>
      </c>
      <c r="D286" s="197" t="s">
        <v>1482</v>
      </c>
      <c r="E286" s="198" t="s">
        <v>944</v>
      </c>
      <c r="F286" s="198" t="s">
        <v>948</v>
      </c>
      <c r="G286" s="225" t="n">
        <v>3800000</v>
      </c>
      <c r="H286" s="225" t="n">
        <v>11994913</v>
      </c>
      <c r="I286" s="225" t="n">
        <v>17862264</v>
      </c>
      <c r="J286" s="198" t="n">
        <v>62</v>
      </c>
      <c r="K286" s="198" t="n">
        <v>2</v>
      </c>
      <c r="L286" s="226" t="n">
        <v>38777</v>
      </c>
      <c r="M286" s="226" t="n">
        <v>34352</v>
      </c>
      <c r="N286" s="227" t="n">
        <v>3</v>
      </c>
      <c r="O286" s="227" t="s">
        <v>445</v>
      </c>
      <c r="P286" s="228" t="e">
        <f aca="false">VLOOKUP(B286,'NIVEL ENERO'!A:D,3,0)</f>
        <v>#N/A</v>
      </c>
      <c r="Q286" s="229" t="e">
        <f aca="false">VLOOKUP(B286,'NIVEL ENERO'!A:D,4,0)</f>
        <v>#N/A</v>
      </c>
      <c r="R286" s="186" t="str">
        <f aca="false">+PROPER(C286&amp;" "&amp;D286)</f>
        <v>Ordonez Cruz Maria Lucy</v>
      </c>
      <c r="S286" s="230" t="n">
        <f aca="false">+YEARFRAC(L286,$S$1)</f>
        <v>20.1972222222222</v>
      </c>
      <c r="T286" s="230" t="n">
        <f aca="false">+YEARFRAC(M286,$S$1)</f>
        <v>32.3166666666667</v>
      </c>
      <c r="U286" s="231" t="n">
        <f aca="false">+$I286</f>
        <v>17862264</v>
      </c>
      <c r="V286" s="232" t="str">
        <f aca="false">+PROPER(F286)</f>
        <v>Casado(A)</v>
      </c>
    </row>
    <row r="287" customFormat="false" ht="14.25" hidden="false" customHeight="false" outlineLevel="0" collapsed="false">
      <c r="B287" s="197" t="n">
        <v>31905395</v>
      </c>
      <c r="C287" s="197" t="s">
        <v>1483</v>
      </c>
      <c r="D287" s="197" t="s">
        <v>1265</v>
      </c>
      <c r="E287" s="198" t="s">
        <v>944</v>
      </c>
      <c r="F287" s="198" t="s">
        <v>948</v>
      </c>
      <c r="G287" s="225" t="n">
        <v>2760000</v>
      </c>
      <c r="H287" s="225" t="n">
        <v>6551869</v>
      </c>
      <c r="I287" s="225" t="n">
        <v>500865</v>
      </c>
      <c r="J287" s="198" t="n">
        <v>62</v>
      </c>
      <c r="K287" s="198" t="n">
        <v>2</v>
      </c>
      <c r="L287" s="226" t="n">
        <v>44238</v>
      </c>
      <c r="M287" s="226" t="n">
        <v>38839</v>
      </c>
      <c r="N287" s="227" t="n">
        <v>2</v>
      </c>
      <c r="O287" s="227" t="s">
        <v>445</v>
      </c>
      <c r="P287" s="228" t="e">
        <f aca="false">VLOOKUP(B287,'NIVEL ENERO'!A:D,3,0)</f>
        <v>#N/A</v>
      </c>
      <c r="Q287" s="229" t="e">
        <f aca="false">VLOOKUP(B287,'NIVEL ENERO'!A:D,4,0)</f>
        <v>#N/A</v>
      </c>
      <c r="R287" s="186" t="str">
        <f aca="false">+PROPER(C287&amp;" "&amp;D287)</f>
        <v>Villegas Rubio Adriana</v>
      </c>
      <c r="S287" s="230" t="n">
        <f aca="false">+YEARFRAC(L287,$S$1)</f>
        <v>5.25277777777778</v>
      </c>
      <c r="T287" s="230" t="n">
        <f aca="false">+YEARFRAC(M287,$S$1)</f>
        <v>20.0277777777778</v>
      </c>
      <c r="U287" s="231" t="n">
        <f aca="false">+$I287</f>
        <v>500865</v>
      </c>
      <c r="V287" s="232" t="str">
        <f aca="false">+PROPER(F287)</f>
        <v>Casado(A)</v>
      </c>
    </row>
    <row r="288" customFormat="false" ht="14.25" hidden="false" customHeight="false" outlineLevel="0" collapsed="false">
      <c r="B288" s="197" t="n">
        <v>31907533</v>
      </c>
      <c r="C288" s="197" t="s">
        <v>1484</v>
      </c>
      <c r="D288" s="197" t="s">
        <v>1298</v>
      </c>
      <c r="E288" s="198" t="s">
        <v>944</v>
      </c>
      <c r="F288" s="198" t="s">
        <v>948</v>
      </c>
      <c r="G288" s="225" t="n">
        <v>4000000</v>
      </c>
      <c r="H288" s="225" t="n">
        <v>630000</v>
      </c>
      <c r="I288" s="225"/>
      <c r="J288" s="198" t="n">
        <v>61</v>
      </c>
      <c r="K288" s="198" t="n">
        <v>2</v>
      </c>
      <c r="L288" s="226" t="n">
        <v>45383</v>
      </c>
      <c r="M288" s="226" t="n">
        <v>43424</v>
      </c>
      <c r="N288" s="227" t="n">
        <v>0</v>
      </c>
      <c r="O288" s="227" t="s">
        <v>158</v>
      </c>
      <c r="P288" s="228" t="e">
        <f aca="false">VLOOKUP(B288,'NIVEL ENERO'!A:D,3,0)</f>
        <v>#N/A</v>
      </c>
      <c r="Q288" s="229" t="e">
        <f aca="false">VLOOKUP(B288,'NIVEL ENERO'!A:D,4,0)</f>
        <v>#N/A</v>
      </c>
      <c r="R288" s="186" t="str">
        <f aca="false">+PROPER(C288&amp;" "&amp;D288)</f>
        <v>Raffal Villegas Monica</v>
      </c>
      <c r="S288" s="230" t="n">
        <f aca="false">+YEARFRAC(L288,$S$1)</f>
        <v>2.11388888888889</v>
      </c>
      <c r="T288" s="230" t="n">
        <f aca="false">+YEARFRAC(M288,$S$1)</f>
        <v>7.47777777777778</v>
      </c>
      <c r="U288" s="231" t="n">
        <f aca="false">+$I288</f>
        <v>0</v>
      </c>
      <c r="V288" s="232" t="str">
        <f aca="false">+PROPER(F288)</f>
        <v>Casado(A)</v>
      </c>
    </row>
    <row r="289" customFormat="false" ht="14.25" hidden="false" customHeight="false" outlineLevel="0" collapsed="false">
      <c r="B289" s="197" t="n">
        <v>31925606</v>
      </c>
      <c r="C289" s="197" t="s">
        <v>1485</v>
      </c>
      <c r="D289" s="197" t="s">
        <v>1486</v>
      </c>
      <c r="E289" s="198" t="s">
        <v>944</v>
      </c>
      <c r="F289" s="198" t="s">
        <v>1282</v>
      </c>
      <c r="G289" s="225" t="n">
        <v>1630000</v>
      </c>
      <c r="H289" s="225" t="n">
        <v>16389318</v>
      </c>
      <c r="I289" s="225" t="n">
        <v>2503015</v>
      </c>
      <c r="J289" s="198" t="n">
        <v>60</v>
      </c>
      <c r="K289" s="198" t="n">
        <v>2</v>
      </c>
      <c r="L289" s="226" t="n">
        <v>36433</v>
      </c>
      <c r="M289" s="226" t="n">
        <v>35688</v>
      </c>
      <c r="N289" s="227" t="n">
        <v>3</v>
      </c>
      <c r="O289" s="227" t="s">
        <v>445</v>
      </c>
      <c r="P289" s="228" t="e">
        <f aca="false">VLOOKUP(B289,'NIVEL ENERO'!A:D,3,0)</f>
        <v>#N/A</v>
      </c>
      <c r="Q289" s="229" t="e">
        <f aca="false">VLOOKUP(B289,'NIVEL ENERO'!A:D,4,0)</f>
        <v>#N/A</v>
      </c>
      <c r="R289" s="186" t="str">
        <f aca="false">+PROPER(C289&amp;" "&amp;D289)</f>
        <v>Diaz Mendoza Trinidad</v>
      </c>
      <c r="S289" s="230" t="n">
        <f aca="false">+YEARFRAC(L289,$S$1)</f>
        <v>26.6166666666667</v>
      </c>
      <c r="T289" s="230" t="n">
        <f aca="false">+YEARFRAC(M289,$S$1)</f>
        <v>28.6583333333333</v>
      </c>
      <c r="U289" s="231" t="n">
        <f aca="false">+$I289</f>
        <v>2503015</v>
      </c>
      <c r="V289" s="232" t="str">
        <f aca="false">+PROPER(F289)</f>
        <v>Divorciado</v>
      </c>
    </row>
    <row r="290" customFormat="false" ht="14.25" hidden="false" customHeight="false" outlineLevel="0" collapsed="false">
      <c r="B290" s="197" t="n">
        <v>31929082</v>
      </c>
      <c r="C290" s="197" t="s">
        <v>1487</v>
      </c>
      <c r="D290" s="197" t="s">
        <v>1488</v>
      </c>
      <c r="E290" s="198" t="s">
        <v>981</v>
      </c>
      <c r="F290" s="198" t="s">
        <v>948</v>
      </c>
      <c r="G290" s="225" t="n">
        <v>3400000</v>
      </c>
      <c r="H290" s="225" t="n">
        <v>2809524</v>
      </c>
      <c r="I290" s="225" t="n">
        <v>6398877</v>
      </c>
      <c r="J290" s="198" t="n">
        <v>59</v>
      </c>
      <c r="K290" s="198" t="n">
        <v>2</v>
      </c>
      <c r="L290" s="226" t="n">
        <v>44790</v>
      </c>
      <c r="M290" s="226" t="n">
        <v>44895</v>
      </c>
      <c r="N290" s="227" t="n">
        <v>3</v>
      </c>
      <c r="O290" s="227" t="s">
        <v>445</v>
      </c>
      <c r="P290" s="228" t="e">
        <f aca="false">VLOOKUP(B290,'NIVEL ENERO'!A:D,3,0)</f>
        <v>#N/A</v>
      </c>
      <c r="Q290" s="229" t="e">
        <f aca="false">VLOOKUP(B290,'NIVEL ENERO'!A:D,4,0)</f>
        <v>#N/A</v>
      </c>
      <c r="R290" s="186" t="str">
        <f aca="false">+PROPER(C290&amp;" "&amp;D290)</f>
        <v>Paz Monje Martha Ivonne</v>
      </c>
      <c r="S290" s="230" t="n">
        <f aca="false">+YEARFRAC(L290,$S$1)</f>
        <v>3.73611111111111</v>
      </c>
      <c r="T290" s="230" t="n">
        <f aca="false">+YEARFRAC(M290,$S$1)</f>
        <v>3.45</v>
      </c>
      <c r="U290" s="231" t="n">
        <f aca="false">+$I290</f>
        <v>6398877</v>
      </c>
      <c r="V290" s="232" t="str">
        <f aca="false">+PROPER(F290)</f>
        <v>Casado(A)</v>
      </c>
    </row>
    <row r="291" customFormat="false" ht="14.25" hidden="false" customHeight="false" outlineLevel="0" collapsed="false">
      <c r="B291" s="197" t="n">
        <v>31940944</v>
      </c>
      <c r="C291" s="197" t="s">
        <v>1489</v>
      </c>
      <c r="D291" s="197" t="s">
        <v>1490</v>
      </c>
      <c r="E291" s="198" t="s">
        <v>944</v>
      </c>
      <c r="F291" s="198" t="s">
        <v>953</v>
      </c>
      <c r="G291" s="225" t="n">
        <v>1500000</v>
      </c>
      <c r="H291" s="225" t="n">
        <v>1557402</v>
      </c>
      <c r="I291" s="225" t="n">
        <v>0</v>
      </c>
      <c r="J291" s="198" t="n">
        <v>58</v>
      </c>
      <c r="K291" s="198" t="n">
        <v>2</v>
      </c>
      <c r="L291" s="226" t="n">
        <v>44866</v>
      </c>
      <c r="M291" s="226" t="n">
        <v>35447</v>
      </c>
      <c r="N291" s="227" t="n">
        <v>2</v>
      </c>
      <c r="O291" s="227" t="s">
        <v>445</v>
      </c>
      <c r="P291" s="228" t="e">
        <f aca="false">VLOOKUP(B291,'NIVEL ENERO'!A:D,3,0)</f>
        <v>#N/A</v>
      </c>
      <c r="Q291" s="229" t="e">
        <f aca="false">VLOOKUP(B291,'NIVEL ENERO'!A:D,4,0)</f>
        <v>#N/A</v>
      </c>
      <c r="R291" s="186" t="str">
        <f aca="false">+PROPER(C291&amp;" "&amp;D291)</f>
        <v>Herrera Morales Guiselle</v>
      </c>
      <c r="S291" s="230" t="n">
        <f aca="false">+YEARFRAC(L291,$S$1)</f>
        <v>3.53055555555556</v>
      </c>
      <c r="T291" s="230" t="n">
        <f aca="false">+YEARFRAC(M291,$S$1)</f>
        <v>29.3194444444444</v>
      </c>
      <c r="U291" s="231" t="n">
        <f aca="false">+$I291</f>
        <v>0</v>
      </c>
      <c r="V291" s="232" t="str">
        <f aca="false">+PROPER(F291)</f>
        <v>Soltero(A)</v>
      </c>
    </row>
    <row r="292" customFormat="false" ht="14.25" hidden="false" customHeight="false" outlineLevel="0" collapsed="false">
      <c r="B292" s="197" t="n">
        <v>31941404</v>
      </c>
      <c r="C292" s="197" t="s">
        <v>1491</v>
      </c>
      <c r="D292" s="197" t="s">
        <v>1447</v>
      </c>
      <c r="E292" s="198" t="s">
        <v>981</v>
      </c>
      <c r="F292" s="198" t="s">
        <v>948</v>
      </c>
      <c r="G292" s="225" t="n">
        <v>2000000</v>
      </c>
      <c r="H292" s="225" t="n">
        <v>2035745</v>
      </c>
      <c r="I292" s="225" t="n">
        <v>58479</v>
      </c>
      <c r="J292" s="198" t="n">
        <v>59</v>
      </c>
      <c r="K292" s="198" t="n">
        <v>2</v>
      </c>
      <c r="L292" s="226" t="n">
        <v>44866</v>
      </c>
      <c r="M292" s="226" t="n">
        <v>35123</v>
      </c>
      <c r="N292" s="227" t="n">
        <v>4</v>
      </c>
      <c r="O292" s="227" t="s">
        <v>445</v>
      </c>
      <c r="P292" s="228" t="e">
        <f aca="false">VLOOKUP(B292,'NIVEL ENERO'!A:D,3,0)</f>
        <v>#N/A</v>
      </c>
      <c r="Q292" s="229" t="e">
        <f aca="false">VLOOKUP(B292,'NIVEL ENERO'!A:D,4,0)</f>
        <v>#N/A</v>
      </c>
      <c r="R292" s="186" t="str">
        <f aca="false">+PROPER(C292&amp;" "&amp;D292)</f>
        <v>Munoz Gomez Martha Lucia</v>
      </c>
      <c r="S292" s="230" t="n">
        <f aca="false">+YEARFRAC(L292,$S$1)</f>
        <v>3.53055555555556</v>
      </c>
      <c r="T292" s="230" t="n">
        <f aca="false">+YEARFRAC(M292,$S$1)</f>
        <v>30.2055555555556</v>
      </c>
      <c r="U292" s="231" t="n">
        <f aca="false">+$I292</f>
        <v>58479</v>
      </c>
      <c r="V292" s="232" t="str">
        <f aca="false">+PROPER(F292)</f>
        <v>Casado(A)</v>
      </c>
    </row>
    <row r="293" customFormat="false" ht="14.25" hidden="false" customHeight="false" outlineLevel="0" collapsed="false">
      <c r="B293" s="197" t="n">
        <v>31942712</v>
      </c>
      <c r="C293" s="197" t="s">
        <v>1492</v>
      </c>
      <c r="D293" s="197" t="s">
        <v>1493</v>
      </c>
      <c r="E293" s="198" t="s">
        <v>944</v>
      </c>
      <c r="F293" s="198" t="s">
        <v>998</v>
      </c>
      <c r="G293" s="225" t="n">
        <v>2018100</v>
      </c>
      <c r="H293" s="225" t="n">
        <v>1961390</v>
      </c>
      <c r="I293" s="225" t="n">
        <v>0</v>
      </c>
      <c r="J293" s="198" t="n">
        <v>59</v>
      </c>
      <c r="K293" s="198" t="n">
        <v>1</v>
      </c>
      <c r="L293" s="226" t="n">
        <v>37939</v>
      </c>
      <c r="M293" s="226" t="n">
        <v>36683</v>
      </c>
      <c r="N293" s="227" t="n">
        <v>2</v>
      </c>
      <c r="O293" s="227" t="s">
        <v>445</v>
      </c>
      <c r="P293" s="228" t="e">
        <f aca="false">VLOOKUP(B293,'NIVEL ENERO'!A:D,3,0)</f>
        <v>#N/A</v>
      </c>
      <c r="Q293" s="229" t="e">
        <f aca="false">VLOOKUP(B293,'NIVEL ENERO'!A:D,4,0)</f>
        <v>#N/A</v>
      </c>
      <c r="R293" s="186" t="str">
        <f aca="false">+PROPER(C293&amp;" "&amp;D293)</f>
        <v>Castano Bolanos Margoire Evelin</v>
      </c>
      <c r="S293" s="230" t="n">
        <f aca="false">+YEARFRAC(L293,$S$1)</f>
        <v>22.4944444444444</v>
      </c>
      <c r="T293" s="230" t="n">
        <f aca="false">+YEARFRAC(M293,$S$1)</f>
        <v>25.9333333333333</v>
      </c>
      <c r="U293" s="231" t="n">
        <f aca="false">+$I293</f>
        <v>0</v>
      </c>
      <c r="V293" s="232" t="str">
        <f aca="false">+PROPER(F293)</f>
        <v>Separado(A)</v>
      </c>
    </row>
    <row r="294" customFormat="false" ht="14.25" hidden="false" customHeight="false" outlineLevel="0" collapsed="false">
      <c r="B294" s="197" t="n">
        <v>31948469</v>
      </c>
      <c r="C294" s="197" t="s">
        <v>1494</v>
      </c>
      <c r="D294" s="197" t="s">
        <v>1495</v>
      </c>
      <c r="E294" s="198" t="s">
        <v>944</v>
      </c>
      <c r="F294" s="198" t="s">
        <v>953</v>
      </c>
      <c r="G294" s="225" t="n">
        <v>3480000</v>
      </c>
      <c r="H294" s="225" t="n">
        <v>2028230</v>
      </c>
      <c r="I294" s="225" t="n">
        <v>0</v>
      </c>
      <c r="J294" s="198" t="n">
        <v>58</v>
      </c>
      <c r="K294" s="198" t="n">
        <v>2</v>
      </c>
      <c r="L294" s="226" t="n">
        <v>45020</v>
      </c>
      <c r="M294" s="226" t="n">
        <v>34551</v>
      </c>
      <c r="N294" s="227" t="n">
        <v>1</v>
      </c>
      <c r="O294" s="227" t="s">
        <v>445</v>
      </c>
      <c r="P294" s="228" t="e">
        <f aca="false">VLOOKUP(B294,'NIVEL ENERO'!A:D,3,0)</f>
        <v>#N/A</v>
      </c>
      <c r="Q294" s="229" t="e">
        <f aca="false">VLOOKUP(B294,'NIVEL ENERO'!A:D,4,0)</f>
        <v>#N/A</v>
      </c>
      <c r="R294" s="186" t="str">
        <f aca="false">+PROPER(C294&amp;" "&amp;D294)</f>
        <v>Banguera Hinestroza Marlene</v>
      </c>
      <c r="S294" s="230" t="n">
        <f aca="false">+YEARFRAC(L294,$S$1)</f>
        <v>3.10555555555556</v>
      </c>
      <c r="T294" s="230" t="n">
        <f aca="false">+YEARFRAC(M294,$S$1)</f>
        <v>31.7694444444444</v>
      </c>
      <c r="U294" s="231" t="n">
        <f aca="false">+$I294</f>
        <v>0</v>
      </c>
      <c r="V294" s="232" t="str">
        <f aca="false">+PROPER(F294)</f>
        <v>Soltero(A)</v>
      </c>
    </row>
    <row r="295" customFormat="false" ht="14.25" hidden="false" customHeight="false" outlineLevel="0" collapsed="false">
      <c r="B295" s="197" t="n">
        <v>31955414</v>
      </c>
      <c r="C295" s="197" t="s">
        <v>1496</v>
      </c>
      <c r="D295" s="197" t="s">
        <v>1497</v>
      </c>
      <c r="E295" s="198" t="s">
        <v>944</v>
      </c>
      <c r="F295" s="198" t="s">
        <v>953</v>
      </c>
      <c r="G295" s="225" t="n">
        <v>1717900</v>
      </c>
      <c r="H295" s="225" t="n">
        <v>400000</v>
      </c>
      <c r="I295" s="225" t="n">
        <v>0</v>
      </c>
      <c r="J295" s="198" t="n">
        <v>58</v>
      </c>
      <c r="K295" s="198" t="n">
        <v>1</v>
      </c>
      <c r="L295" s="226" t="n">
        <v>45555</v>
      </c>
      <c r="M295" s="226" t="n">
        <v>39387</v>
      </c>
      <c r="N295" s="227" t="n">
        <v>2</v>
      </c>
      <c r="O295" s="227" t="s">
        <v>135</v>
      </c>
      <c r="P295" s="228" t="n">
        <f aca="false">VLOOKUP(B295,'NIVEL ENERO'!A:D,3,0)</f>
        <v>0.26879193789719</v>
      </c>
      <c r="Q295" s="229" t="n">
        <f aca="false">VLOOKUP(B295,'NIVEL ENERO'!A:D,4,0)</f>
        <v>319712.26</v>
      </c>
      <c r="R295" s="186" t="str">
        <f aca="false">+PROPER(C295&amp;" "&amp;D295)</f>
        <v>Calvo Ocampo Orfeny</v>
      </c>
      <c r="S295" s="230" t="n">
        <f aca="false">+YEARFRAC(L295,$S$1)</f>
        <v>1.64444444444444</v>
      </c>
      <c r="T295" s="230" t="n">
        <f aca="false">+YEARFRAC(M295,$S$1)</f>
        <v>18.5305555555556</v>
      </c>
      <c r="U295" s="231" t="n">
        <f aca="false">+$I295</f>
        <v>0</v>
      </c>
      <c r="V295" s="232" t="str">
        <f aca="false">+PROPER(F295)</f>
        <v>Soltero(A)</v>
      </c>
    </row>
    <row r="296" customFormat="false" ht="14.25" hidden="false" customHeight="false" outlineLevel="0" collapsed="false">
      <c r="B296" s="197" t="n">
        <v>31958544</v>
      </c>
      <c r="C296" s="197" t="s">
        <v>1498</v>
      </c>
      <c r="D296" s="197" t="s">
        <v>1499</v>
      </c>
      <c r="E296" s="198" t="s">
        <v>944</v>
      </c>
      <c r="F296" s="198" t="s">
        <v>953</v>
      </c>
      <c r="G296" s="225" t="n">
        <v>2600900</v>
      </c>
      <c r="H296" s="225" t="n">
        <v>9420514</v>
      </c>
      <c r="I296" s="225" t="n">
        <v>18249460</v>
      </c>
      <c r="J296" s="198" t="n">
        <v>57</v>
      </c>
      <c r="K296" s="198" t="n">
        <v>1</v>
      </c>
      <c r="L296" s="226" t="n">
        <v>39030</v>
      </c>
      <c r="M296" s="226" t="n">
        <v>36850</v>
      </c>
      <c r="N296" s="227" t="n">
        <v>2</v>
      </c>
      <c r="O296" s="227" t="s">
        <v>135</v>
      </c>
      <c r="P296" s="228" t="n">
        <f aca="false">VLOOKUP(B296,'NIVEL ENERO'!A:D,3,0)</f>
        <v>0.392888615479257</v>
      </c>
      <c r="Q296" s="229" t="n">
        <f aca="false">VLOOKUP(B296,'NIVEL ENERO'!A:D,4,0)</f>
        <v>70514</v>
      </c>
      <c r="R296" s="186" t="str">
        <f aca="false">+PROPER(C296&amp;" "&amp;D296)</f>
        <v>Jaramillo Ramirez Gloria Patricia</v>
      </c>
      <c r="S296" s="230" t="n">
        <f aca="false">+YEARFRAC(L296,$S$1)</f>
        <v>19.5083333333333</v>
      </c>
      <c r="T296" s="230" t="n">
        <f aca="false">+YEARFRAC(M296,$S$1)</f>
        <v>25.4777777777778</v>
      </c>
      <c r="U296" s="231" t="n">
        <f aca="false">+$I296</f>
        <v>18249460</v>
      </c>
      <c r="V296" s="232" t="str">
        <f aca="false">+PROPER(F296)</f>
        <v>Soltero(A)</v>
      </c>
    </row>
    <row r="297" customFormat="false" ht="14.25" hidden="false" customHeight="false" outlineLevel="0" collapsed="false">
      <c r="B297" s="197" t="n">
        <v>31970568</v>
      </c>
      <c r="C297" s="197" t="s">
        <v>1500</v>
      </c>
      <c r="D297" s="197" t="s">
        <v>1501</v>
      </c>
      <c r="E297" s="198" t="s">
        <v>944</v>
      </c>
      <c r="F297" s="198" t="s">
        <v>1282</v>
      </c>
      <c r="G297" s="225" t="n">
        <v>19690900</v>
      </c>
      <c r="H297" s="225" t="n">
        <v>18444950</v>
      </c>
      <c r="I297" s="225" t="n">
        <v>0</v>
      </c>
      <c r="J297" s="198" t="n">
        <v>57</v>
      </c>
      <c r="K297" s="198" t="n">
        <v>1</v>
      </c>
      <c r="L297" s="226" t="n">
        <v>42900</v>
      </c>
      <c r="M297" s="226" t="n">
        <v>33077</v>
      </c>
      <c r="N297" s="227" t="n">
        <v>1</v>
      </c>
      <c r="O297" s="227" t="s">
        <v>135</v>
      </c>
      <c r="P297" s="228" t="n">
        <f aca="false">VLOOKUP(B297,'NIVEL ENERO'!A:D,3,0)</f>
        <v>0.335955390561122</v>
      </c>
      <c r="Q297" s="229" t="n">
        <f aca="false">VLOOKUP(B297,'NIVEL ENERO'!A:D,4,0)</f>
        <v>1654914</v>
      </c>
      <c r="R297" s="186" t="str">
        <f aca="false">+PROPER(C297&amp;" "&amp;D297)</f>
        <v>Moreno Narvaez Luz Helena</v>
      </c>
      <c r="S297" s="230" t="n">
        <f aca="false">+YEARFRAC(L297,$S$1)</f>
        <v>8.91111111111111</v>
      </c>
      <c r="T297" s="230" t="n">
        <f aca="false">+YEARFRAC(M297,$S$1)</f>
        <v>35.8027777777778</v>
      </c>
      <c r="U297" s="231" t="n">
        <f aca="false">+$I297</f>
        <v>0</v>
      </c>
      <c r="V297" s="232" t="str">
        <f aca="false">+PROPER(F297)</f>
        <v>Divorciado</v>
      </c>
    </row>
    <row r="298" customFormat="false" ht="14.25" hidden="false" customHeight="false" outlineLevel="0" collapsed="false">
      <c r="B298" s="197" t="n">
        <v>31974020</v>
      </c>
      <c r="C298" s="197" t="s">
        <v>1502</v>
      </c>
      <c r="D298" s="197" t="s">
        <v>1503</v>
      </c>
      <c r="E298" s="198" t="s">
        <v>944</v>
      </c>
      <c r="F298" s="198" t="s">
        <v>948</v>
      </c>
      <c r="G298" s="225" t="n">
        <v>2600900</v>
      </c>
      <c r="H298" s="225" t="n">
        <v>652629</v>
      </c>
      <c r="I298" s="225" t="n">
        <v>547907</v>
      </c>
      <c r="J298" s="198" t="n">
        <v>56</v>
      </c>
      <c r="K298" s="198" t="n">
        <v>2</v>
      </c>
      <c r="L298" s="226" t="n">
        <v>45370</v>
      </c>
      <c r="M298" s="226" t="n">
        <v>40851</v>
      </c>
      <c r="N298" s="227" t="n">
        <v>4</v>
      </c>
      <c r="O298" s="227" t="s">
        <v>135</v>
      </c>
      <c r="P298" s="228" t="n">
        <f aca="false">VLOOKUP(B298,'NIVEL ENERO'!A:D,3,0)</f>
        <v>0.248451084354926</v>
      </c>
      <c r="Q298" s="229" t="n">
        <f aca="false">VLOOKUP(B298,'NIVEL ENERO'!A:D,4,0)</f>
        <v>639688.58</v>
      </c>
      <c r="R298" s="186" t="str">
        <f aca="false">+PROPER(C298&amp;" "&amp;D298)</f>
        <v>Mosquera Mosquera Beatriz</v>
      </c>
      <c r="S298" s="230" t="n">
        <f aca="false">+YEARFRAC(L298,$S$1)</f>
        <v>2.14722222222222</v>
      </c>
      <c r="T298" s="230" t="n">
        <f aca="false">+YEARFRAC(M298,$S$1)</f>
        <v>14.5222222222222</v>
      </c>
      <c r="U298" s="231" t="n">
        <f aca="false">+$I298</f>
        <v>547907</v>
      </c>
      <c r="V298" s="232" t="str">
        <f aca="false">+PROPER(F298)</f>
        <v>Casado(A)</v>
      </c>
    </row>
    <row r="299" customFormat="false" ht="14.25" hidden="false" customHeight="false" outlineLevel="0" collapsed="false">
      <c r="B299" s="197" t="n">
        <v>31980650</v>
      </c>
      <c r="C299" s="197" t="s">
        <v>1504</v>
      </c>
      <c r="D299" s="197" t="s">
        <v>1505</v>
      </c>
      <c r="E299" s="198" t="s">
        <v>944</v>
      </c>
      <c r="F299" s="198" t="s">
        <v>948</v>
      </c>
      <c r="G299" s="225" t="n">
        <v>1900000</v>
      </c>
      <c r="H299" s="225" t="n">
        <v>325000</v>
      </c>
      <c r="I299" s="225" t="n">
        <v>0</v>
      </c>
      <c r="J299" s="198" t="n">
        <v>57</v>
      </c>
      <c r="K299" s="198" t="n">
        <v>1</v>
      </c>
      <c r="L299" s="226" t="n">
        <v>45517</v>
      </c>
      <c r="M299" s="226" t="n">
        <v>40108</v>
      </c>
      <c r="N299" s="227" t="n">
        <v>3</v>
      </c>
      <c r="O299" s="227" t="s">
        <v>445</v>
      </c>
      <c r="P299" s="228" t="e">
        <f aca="false">VLOOKUP(B299,'NIVEL ENERO'!A:D,3,0)</f>
        <v>#N/A</v>
      </c>
      <c r="Q299" s="229" t="e">
        <f aca="false">VLOOKUP(B299,'NIVEL ENERO'!A:D,4,0)</f>
        <v>#N/A</v>
      </c>
      <c r="R299" s="186" t="str">
        <f aca="false">+PROPER(C299&amp;" "&amp;D299)</f>
        <v>Cuellar Martinez Gloria Nelfy</v>
      </c>
      <c r="S299" s="230" t="n">
        <f aca="false">+YEARFRAC(L299,$S$1)</f>
        <v>1.74722222222222</v>
      </c>
      <c r="T299" s="230" t="n">
        <f aca="false">+YEARFRAC(M299,$S$1)</f>
        <v>16.5555555555556</v>
      </c>
      <c r="U299" s="231" t="n">
        <f aca="false">+$I299</f>
        <v>0</v>
      </c>
      <c r="V299" s="232" t="str">
        <f aca="false">+PROPER(F299)</f>
        <v>Casado(A)</v>
      </c>
    </row>
    <row r="300" customFormat="false" ht="14.25" hidden="false" customHeight="false" outlineLevel="0" collapsed="false">
      <c r="B300" s="197" t="n">
        <v>31982746</v>
      </c>
      <c r="C300" s="197" t="s">
        <v>1506</v>
      </c>
      <c r="D300" s="197" t="s">
        <v>1507</v>
      </c>
      <c r="E300" s="198" t="s">
        <v>944</v>
      </c>
      <c r="F300" s="198" t="s">
        <v>953</v>
      </c>
      <c r="G300" s="225" t="n">
        <v>23971900</v>
      </c>
      <c r="H300" s="225" t="n">
        <v>2053000</v>
      </c>
      <c r="I300" s="225" t="n">
        <v>7849140</v>
      </c>
      <c r="J300" s="198" t="n">
        <v>56</v>
      </c>
      <c r="K300" s="198" t="n">
        <v>1</v>
      </c>
      <c r="L300" s="226" t="n">
        <v>45310</v>
      </c>
      <c r="M300" s="226" t="n">
        <v>40941</v>
      </c>
      <c r="N300" s="227" t="n">
        <v>0</v>
      </c>
      <c r="O300" s="227" t="s">
        <v>135</v>
      </c>
      <c r="P300" s="228" t="n">
        <f aca="false">VLOOKUP(B300,'NIVEL ENERO'!A:D,3,0)</f>
        <v>0.502647899646583</v>
      </c>
      <c r="Q300" s="229" t="n">
        <f aca="false">VLOOKUP(B300,'NIVEL ENERO'!A:D,4,0)</f>
        <v>-2153796</v>
      </c>
      <c r="R300" s="186" t="str">
        <f aca="false">+PROPER(C300&amp;" "&amp;D300)</f>
        <v>Bermudez Galvez Martha Cecilia</v>
      </c>
      <c r="S300" s="230" t="n">
        <f aca="false">+YEARFRAC(L300,$S$1)</f>
        <v>2.31388888888889</v>
      </c>
      <c r="T300" s="230" t="n">
        <f aca="false">+YEARFRAC(M300,$S$1)</f>
        <v>14.2777777777778</v>
      </c>
      <c r="U300" s="231" t="n">
        <f aca="false">+$I300</f>
        <v>7849140</v>
      </c>
      <c r="V300" s="232" t="str">
        <f aca="false">+PROPER(F300)</f>
        <v>Soltero(A)</v>
      </c>
    </row>
    <row r="301" customFormat="false" ht="14.25" hidden="false" customHeight="false" outlineLevel="0" collapsed="false">
      <c r="B301" s="197" t="n">
        <v>31986152</v>
      </c>
      <c r="C301" s="197" t="s">
        <v>1508</v>
      </c>
      <c r="D301" s="197" t="s">
        <v>1509</v>
      </c>
      <c r="E301" s="198" t="s">
        <v>944</v>
      </c>
      <c r="F301" s="198" t="s">
        <v>953</v>
      </c>
      <c r="G301" s="225" t="n">
        <v>1670000</v>
      </c>
      <c r="H301" s="225" t="n">
        <v>3007705</v>
      </c>
      <c r="I301" s="225"/>
      <c r="J301" s="198" t="n">
        <v>56</v>
      </c>
      <c r="K301" s="198" t="n">
        <v>4</v>
      </c>
      <c r="L301" s="226" t="n">
        <v>44886</v>
      </c>
      <c r="M301" s="226" t="n">
        <v>40959</v>
      </c>
      <c r="N301" s="227" t="n">
        <v>0</v>
      </c>
      <c r="O301" s="227" t="s">
        <v>135</v>
      </c>
      <c r="P301" s="228" t="n">
        <f aca="false">VLOOKUP(B301,'NIVEL ENERO'!A:D,3,0)</f>
        <v>0.438969935587546</v>
      </c>
      <c r="Q301" s="229" t="n">
        <f aca="false">VLOOKUP(B301,'NIVEL ENERO'!A:D,4,0)</f>
        <v>-74314</v>
      </c>
      <c r="R301" s="186" t="str">
        <f aca="false">+PROPER(C301&amp;" "&amp;D301)</f>
        <v>Belalcazar Angola Patricia</v>
      </c>
      <c r="S301" s="230" t="n">
        <f aca="false">+YEARFRAC(L301,$S$1)</f>
        <v>3.475</v>
      </c>
      <c r="T301" s="230" t="n">
        <f aca="false">+YEARFRAC(M301,$S$1)</f>
        <v>14.2277777777778</v>
      </c>
      <c r="U301" s="231" t="n">
        <f aca="false">+$I301</f>
        <v>0</v>
      </c>
      <c r="V301" s="232" t="str">
        <f aca="false">+PROPER(F301)</f>
        <v>Soltero(A)</v>
      </c>
    </row>
    <row r="302" customFormat="false" ht="14.25" hidden="false" customHeight="false" outlineLevel="0" collapsed="false">
      <c r="B302" s="197" t="n">
        <v>31987244</v>
      </c>
      <c r="C302" s="197" t="s">
        <v>1510</v>
      </c>
      <c r="D302" s="197" t="s">
        <v>1511</v>
      </c>
      <c r="E302" s="198" t="s">
        <v>944</v>
      </c>
      <c r="F302" s="198" t="s">
        <v>953</v>
      </c>
      <c r="G302" s="225" t="n">
        <v>1665000</v>
      </c>
      <c r="H302" s="225" t="n">
        <v>10273827</v>
      </c>
      <c r="I302" s="225" t="n">
        <v>0</v>
      </c>
      <c r="J302" s="198" t="n">
        <v>58</v>
      </c>
      <c r="K302" s="198" t="n">
        <v>2</v>
      </c>
      <c r="L302" s="226" t="n">
        <v>42020</v>
      </c>
      <c r="M302" s="226" t="n">
        <v>35828</v>
      </c>
      <c r="N302" s="227" t="n">
        <v>3</v>
      </c>
      <c r="O302" s="227" t="s">
        <v>445</v>
      </c>
      <c r="P302" s="228" t="e">
        <f aca="false">VLOOKUP(B302,'NIVEL ENERO'!A:D,3,0)</f>
        <v>#N/A</v>
      </c>
      <c r="Q302" s="229" t="e">
        <f aca="false">VLOOKUP(B302,'NIVEL ENERO'!A:D,4,0)</f>
        <v>#N/A</v>
      </c>
      <c r="R302" s="186" t="str">
        <f aca="false">+PROPER(C302&amp;" "&amp;D302)</f>
        <v>Ordonez Cardona Maria Solanyi</v>
      </c>
      <c r="S302" s="230" t="n">
        <f aca="false">+YEARFRAC(L302,$S$1)</f>
        <v>11.3222222222222</v>
      </c>
      <c r="T302" s="230" t="n">
        <f aca="false">+YEARFRAC(M302,$S$1)</f>
        <v>28.2777777777778</v>
      </c>
      <c r="U302" s="231" t="n">
        <f aca="false">+$I302</f>
        <v>0</v>
      </c>
      <c r="V302" s="232" t="str">
        <f aca="false">+PROPER(F302)</f>
        <v>Soltero(A)</v>
      </c>
    </row>
    <row r="303" customFormat="false" ht="14.25" hidden="false" customHeight="false" outlineLevel="0" collapsed="false">
      <c r="B303" s="197" t="n">
        <v>31988600</v>
      </c>
      <c r="C303" s="197" t="s">
        <v>1512</v>
      </c>
      <c r="D303" s="197" t="s">
        <v>1513</v>
      </c>
      <c r="E303" s="198" t="s">
        <v>944</v>
      </c>
      <c r="F303" s="198" t="s">
        <v>948</v>
      </c>
      <c r="G303" s="225" t="n">
        <v>2016000</v>
      </c>
      <c r="H303" s="225" t="n">
        <v>9679293</v>
      </c>
      <c r="I303" s="225" t="n">
        <v>25106415</v>
      </c>
      <c r="J303" s="198" t="n">
        <v>58</v>
      </c>
      <c r="K303" s="198" t="n">
        <v>1</v>
      </c>
      <c r="L303" s="226" t="n">
        <v>40603</v>
      </c>
      <c r="M303" s="226" t="n">
        <v>38610</v>
      </c>
      <c r="N303" s="227" t="n">
        <v>4</v>
      </c>
      <c r="O303" s="227" t="s">
        <v>185</v>
      </c>
      <c r="P303" s="228" t="e">
        <f aca="false">VLOOKUP(B303,'NIVEL ENERO'!A:D,3,0)</f>
        <v>#N/A</v>
      </c>
      <c r="Q303" s="229" t="e">
        <f aca="false">VLOOKUP(B303,'NIVEL ENERO'!A:D,4,0)</f>
        <v>#N/A</v>
      </c>
      <c r="R303" s="186" t="str">
        <f aca="false">+PROPER(C303&amp;" "&amp;D303)</f>
        <v>Prieto Alzate Constanza</v>
      </c>
      <c r="S303" s="230" t="n">
        <f aca="false">+YEARFRAC(L303,$S$1)</f>
        <v>15.1972222222222</v>
      </c>
      <c r="T303" s="230" t="n">
        <f aca="false">+YEARFRAC(M303,$S$1)</f>
        <v>20.6583333333333</v>
      </c>
      <c r="U303" s="231" t="n">
        <f aca="false">+$I303</f>
        <v>25106415</v>
      </c>
      <c r="V303" s="232" t="str">
        <f aca="false">+PROPER(F303)</f>
        <v>Casado(A)</v>
      </c>
    </row>
    <row r="304" customFormat="false" ht="14.25" hidden="false" customHeight="false" outlineLevel="0" collapsed="false">
      <c r="B304" s="197" t="n">
        <v>31991267</v>
      </c>
      <c r="C304" s="197" t="s">
        <v>1514</v>
      </c>
      <c r="D304" s="197" t="s">
        <v>1515</v>
      </c>
      <c r="E304" s="198" t="s">
        <v>944</v>
      </c>
      <c r="F304" s="198" t="s">
        <v>948</v>
      </c>
      <c r="G304" s="225" t="n">
        <v>1670000</v>
      </c>
      <c r="H304" s="225" t="n">
        <v>7512800</v>
      </c>
      <c r="I304" s="225" t="n">
        <v>1270971</v>
      </c>
      <c r="J304" s="198" t="n">
        <v>56</v>
      </c>
      <c r="K304" s="198" t="n">
        <v>1</v>
      </c>
      <c r="L304" s="226" t="n">
        <v>40514</v>
      </c>
      <c r="M304" s="226" t="n">
        <v>40467</v>
      </c>
      <c r="N304" s="227" t="n">
        <v>3</v>
      </c>
      <c r="O304" s="227" t="s">
        <v>135</v>
      </c>
      <c r="P304" s="228" t="n">
        <f aca="false">VLOOKUP(B304,'NIVEL ENERO'!A:D,3,0)</f>
        <v>0.379734421666279</v>
      </c>
      <c r="Q304" s="229" t="n">
        <f aca="false">VLOOKUP(B304,'NIVEL ENERO'!A:D,4,0)</f>
        <v>84005.66</v>
      </c>
      <c r="R304" s="186" t="str">
        <f aca="false">+PROPER(C304&amp;" "&amp;D304)</f>
        <v>Orejuela Caravali Maria Yaneth</v>
      </c>
      <c r="S304" s="230" t="n">
        <f aca="false">+YEARFRAC(L304,$S$1)</f>
        <v>15.4444444444444</v>
      </c>
      <c r="T304" s="230" t="n">
        <f aca="false">+YEARFRAC(M304,$S$1)</f>
        <v>15.5722222222222</v>
      </c>
      <c r="U304" s="231" t="n">
        <f aca="false">+$I304</f>
        <v>1270971</v>
      </c>
      <c r="V304" s="232" t="str">
        <f aca="false">+PROPER(F304)</f>
        <v>Casado(A)</v>
      </c>
    </row>
    <row r="305" customFormat="false" ht="14.25" hidden="false" customHeight="false" outlineLevel="0" collapsed="false">
      <c r="B305" s="197" t="n">
        <v>31992697</v>
      </c>
      <c r="C305" s="197" t="s">
        <v>1516</v>
      </c>
      <c r="D305" s="197" t="s">
        <v>1517</v>
      </c>
      <c r="E305" s="198" t="s">
        <v>944</v>
      </c>
      <c r="F305" s="198" t="s">
        <v>948</v>
      </c>
      <c r="G305" s="225" t="n">
        <v>2893800</v>
      </c>
      <c r="H305" s="225" t="n">
        <v>3007597</v>
      </c>
      <c r="I305" s="225" t="n">
        <v>0</v>
      </c>
      <c r="J305" s="198" t="n">
        <v>55</v>
      </c>
      <c r="K305" s="198" t="n">
        <v>1</v>
      </c>
      <c r="L305" s="226" t="n">
        <v>44866</v>
      </c>
      <c r="M305" s="226" t="n">
        <v>34773</v>
      </c>
      <c r="N305" s="227" t="n">
        <v>3</v>
      </c>
      <c r="O305" s="227" t="s">
        <v>135</v>
      </c>
      <c r="P305" s="228" t="n">
        <f aca="false">VLOOKUP(B305,'NIVEL ENERO'!A:D,3,0)</f>
        <v>0.312680450364526</v>
      </c>
      <c r="Q305" s="229" t="n">
        <f aca="false">VLOOKUP(B305,'NIVEL ENERO'!A:D,4,0)</f>
        <v>419335.4</v>
      </c>
      <c r="R305" s="186" t="str">
        <f aca="false">+PROPER(C305&amp;" "&amp;D305)</f>
        <v>Larrahondo Mahecha Carmen Elisa</v>
      </c>
      <c r="S305" s="230" t="n">
        <f aca="false">+YEARFRAC(L305,$S$1)</f>
        <v>3.53055555555556</v>
      </c>
      <c r="T305" s="230" t="n">
        <f aca="false">+YEARFRAC(M305,$S$1)</f>
        <v>31.1583333333333</v>
      </c>
      <c r="U305" s="231" t="n">
        <f aca="false">+$I305</f>
        <v>0</v>
      </c>
      <c r="V305" s="232" t="str">
        <f aca="false">+PROPER(F305)</f>
        <v>Casado(A)</v>
      </c>
    </row>
    <row r="306" customFormat="false" ht="14.25" hidden="false" customHeight="false" outlineLevel="0" collapsed="false">
      <c r="B306" s="197" t="n">
        <v>31997137</v>
      </c>
      <c r="C306" s="197" t="s">
        <v>1518</v>
      </c>
      <c r="D306" s="197" t="s">
        <v>1186</v>
      </c>
      <c r="E306" s="198" t="s">
        <v>944</v>
      </c>
      <c r="F306" s="198" t="s">
        <v>1107</v>
      </c>
      <c r="G306" s="225" t="n">
        <v>2893800</v>
      </c>
      <c r="H306" s="225" t="n">
        <v>4793109</v>
      </c>
      <c r="I306" s="225" t="n">
        <v>0</v>
      </c>
      <c r="J306" s="198" t="n">
        <v>55</v>
      </c>
      <c r="K306" s="198" t="n">
        <v>1</v>
      </c>
      <c r="L306" s="226" t="n">
        <v>44298</v>
      </c>
      <c r="M306" s="226" t="n">
        <v>44105</v>
      </c>
      <c r="N306" s="227" t="n">
        <v>2</v>
      </c>
      <c r="O306" s="227" t="s">
        <v>135</v>
      </c>
      <c r="P306" s="228" t="n">
        <f aca="false">VLOOKUP(B306,'NIVEL ENERO'!A:D,3,0)</f>
        <v>0.435784016690856</v>
      </c>
      <c r="Q306" s="229" t="n">
        <f aca="false">VLOOKUP(B306,'NIVEL ENERO'!A:D,4,0)</f>
        <v>-58001</v>
      </c>
      <c r="R306" s="186" t="str">
        <f aca="false">+PROPER(C306&amp;" "&amp;D306)</f>
        <v>Arango Franco Liliana</v>
      </c>
      <c r="S306" s="230" t="n">
        <f aca="false">+YEARFRAC(L306,$S$1)</f>
        <v>5.08333333333333</v>
      </c>
      <c r="T306" s="230" t="n">
        <f aca="false">+YEARFRAC(M306,$S$1)</f>
        <v>5.61388888888889</v>
      </c>
      <c r="U306" s="231" t="n">
        <f aca="false">+$I306</f>
        <v>0</v>
      </c>
      <c r="V306" s="232" t="str">
        <f aca="false">+PROPER(F306)</f>
        <v>Viudo(A)</v>
      </c>
    </row>
    <row r="307" customFormat="false" ht="14.25" hidden="false" customHeight="false" outlineLevel="0" collapsed="false">
      <c r="B307" s="197" t="n">
        <v>31998651</v>
      </c>
      <c r="C307" s="197" t="s">
        <v>1519</v>
      </c>
      <c r="D307" s="197" t="s">
        <v>1520</v>
      </c>
      <c r="E307" s="198" t="s">
        <v>944</v>
      </c>
      <c r="F307" s="198" t="s">
        <v>948</v>
      </c>
      <c r="G307" s="225" t="n">
        <v>2600900</v>
      </c>
      <c r="H307" s="225" t="n">
        <v>3819885</v>
      </c>
      <c r="I307" s="225" t="n">
        <v>20261</v>
      </c>
      <c r="J307" s="198" t="n">
        <v>55</v>
      </c>
      <c r="K307" s="198" t="n">
        <v>4</v>
      </c>
      <c r="L307" s="226" t="n">
        <v>44488</v>
      </c>
      <c r="M307" s="226" t="n">
        <v>39995</v>
      </c>
      <c r="N307" s="227" t="n">
        <v>2</v>
      </c>
      <c r="O307" s="227" t="s">
        <v>135</v>
      </c>
      <c r="P307" s="228" t="n">
        <f aca="false">VLOOKUP(B307,'NIVEL ENERO'!A:D,3,0)</f>
        <v>0.147986419605018</v>
      </c>
      <c r="Q307" s="229" t="n">
        <f aca="false">VLOOKUP(B307,'NIVEL ENERO'!A:D,4,0)</f>
        <v>847477.26</v>
      </c>
      <c r="R307" s="186" t="str">
        <f aca="false">+PROPER(C307&amp;" "&amp;D307)</f>
        <v>Fernandez Correa Janeth Patricia</v>
      </c>
      <c r="S307" s="230" t="n">
        <f aca="false">+YEARFRAC(L307,$S$1)</f>
        <v>4.56388888888889</v>
      </c>
      <c r="T307" s="230" t="n">
        <f aca="false">+YEARFRAC(M307,$S$1)</f>
        <v>16.8638888888889</v>
      </c>
      <c r="U307" s="231" t="n">
        <f aca="false">+$I307</f>
        <v>20261</v>
      </c>
      <c r="V307" s="232" t="str">
        <f aca="false">+PROPER(F307)</f>
        <v>Casado(A)</v>
      </c>
    </row>
    <row r="308" customFormat="false" ht="14.25" hidden="false" customHeight="false" outlineLevel="0" collapsed="false">
      <c r="B308" s="197" t="n">
        <v>31998677</v>
      </c>
      <c r="C308" s="197" t="s">
        <v>1521</v>
      </c>
      <c r="D308" s="197" t="s">
        <v>1522</v>
      </c>
      <c r="E308" s="198" t="s">
        <v>1523</v>
      </c>
      <c r="F308" s="198" t="s">
        <v>953</v>
      </c>
      <c r="G308" s="225" t="n">
        <v>1625000</v>
      </c>
      <c r="H308" s="225" t="n">
        <v>2920866</v>
      </c>
      <c r="I308" s="225" t="n">
        <v>5556662</v>
      </c>
      <c r="J308" s="198" t="n">
        <v>55</v>
      </c>
      <c r="K308" s="198" t="n">
        <v>4</v>
      </c>
      <c r="L308" s="226" t="n">
        <v>43962</v>
      </c>
      <c r="M308" s="226" t="n">
        <v>38540</v>
      </c>
      <c r="N308" s="227" t="n">
        <v>4</v>
      </c>
      <c r="O308" s="227" t="s">
        <v>135</v>
      </c>
      <c r="P308" s="228" t="n">
        <f aca="false">VLOOKUP(B308,'NIVEL ENERO'!A:D,3,0)</f>
        <v>0.292891587718398</v>
      </c>
      <c r="Q308" s="229" t="n">
        <f aca="false">VLOOKUP(B308,'NIVEL ENERO'!A:D,4,0)</f>
        <v>267214.38</v>
      </c>
      <c r="R308" s="186" t="str">
        <f aca="false">+PROPER(C308&amp;" "&amp;D308)</f>
        <v>Miranda Gomez Margot</v>
      </c>
      <c r="S308" s="230" t="n">
        <f aca="false">+YEARFRAC(L308,$S$1)</f>
        <v>6.00277777777778</v>
      </c>
      <c r="T308" s="230" t="n">
        <f aca="false">+YEARFRAC(M308,$S$1)</f>
        <v>20.8472222222222</v>
      </c>
      <c r="U308" s="231" t="n">
        <f aca="false">+$I308</f>
        <v>5556662</v>
      </c>
      <c r="V308" s="232" t="str">
        <f aca="false">+PROPER(F308)</f>
        <v>Soltero(A)</v>
      </c>
    </row>
    <row r="309" customFormat="false" ht="14.25" hidden="false" customHeight="false" outlineLevel="0" collapsed="false">
      <c r="B309" s="197" t="n">
        <v>31998747</v>
      </c>
      <c r="C309" s="197" t="s">
        <v>1524</v>
      </c>
      <c r="D309" s="197" t="s">
        <v>1525</v>
      </c>
      <c r="E309" s="198" t="s">
        <v>944</v>
      </c>
      <c r="F309" s="198" t="s">
        <v>1282</v>
      </c>
      <c r="G309" s="225" t="n">
        <v>2893800</v>
      </c>
      <c r="H309" s="225" t="n">
        <v>1600537</v>
      </c>
      <c r="I309" s="225" t="n">
        <v>0</v>
      </c>
      <c r="J309" s="198" t="n">
        <v>55</v>
      </c>
      <c r="K309" s="198" t="n">
        <v>1</v>
      </c>
      <c r="L309" s="226" t="n">
        <v>45161</v>
      </c>
      <c r="M309" s="226" t="n">
        <v>36407</v>
      </c>
      <c r="N309" s="227" t="n">
        <v>1</v>
      </c>
      <c r="O309" s="227" t="s">
        <v>135</v>
      </c>
      <c r="P309" s="228" t="n">
        <f aca="false">VLOOKUP(B309,'NIVEL ENERO'!A:D,3,0)</f>
        <v>0.238578685465478</v>
      </c>
      <c r="Q309" s="229" t="n">
        <f aca="false">VLOOKUP(B309,'NIVEL ENERO'!A:D,4,0)</f>
        <v>524997</v>
      </c>
      <c r="R309" s="186" t="str">
        <f aca="false">+PROPER(C309&amp;" "&amp;D309)</f>
        <v>Delgado Lozano Nayibe</v>
      </c>
      <c r="S309" s="230" t="n">
        <f aca="false">+YEARFRAC(L309,$S$1)</f>
        <v>2.71944444444444</v>
      </c>
      <c r="T309" s="230" t="n">
        <f aca="false">+YEARFRAC(M309,$S$1)</f>
        <v>26.6888888888889</v>
      </c>
      <c r="U309" s="231" t="n">
        <f aca="false">+$I309</f>
        <v>0</v>
      </c>
      <c r="V309" s="232" t="str">
        <f aca="false">+PROPER(F309)</f>
        <v>Divorciado</v>
      </c>
    </row>
    <row r="310" customFormat="false" ht="14.25" hidden="false" customHeight="false" outlineLevel="0" collapsed="false">
      <c r="B310" s="197" t="n">
        <v>32350689</v>
      </c>
      <c r="C310" s="197" t="s">
        <v>1526</v>
      </c>
      <c r="D310" s="197" t="s">
        <v>1527</v>
      </c>
      <c r="E310" s="198" t="s">
        <v>944</v>
      </c>
      <c r="F310" s="198" t="s">
        <v>1282</v>
      </c>
      <c r="G310" s="225" t="n">
        <v>8245400</v>
      </c>
      <c r="H310" s="225" t="n">
        <v>7966500</v>
      </c>
      <c r="I310" s="225" t="n">
        <v>0</v>
      </c>
      <c r="J310" s="198" t="n">
        <v>43</v>
      </c>
      <c r="K310" s="198" t="n">
        <v>6</v>
      </c>
      <c r="L310" s="226" t="n">
        <v>44886</v>
      </c>
      <c r="M310" s="226" t="n">
        <v>38454</v>
      </c>
      <c r="N310" s="227" t="n">
        <v>1</v>
      </c>
      <c r="O310" s="227" t="s">
        <v>135</v>
      </c>
      <c r="P310" s="228" t="n">
        <f aca="false">VLOOKUP(B310,'NIVEL ENERO'!A:D,3,0)</f>
        <v>0.169188881157473</v>
      </c>
      <c r="Q310" s="229" t="n">
        <f aca="false">VLOOKUP(B310,'NIVEL ENERO'!A:D,4,0)</f>
        <v>2090611</v>
      </c>
      <c r="R310" s="186" t="str">
        <f aca="false">+PROPER(C310&amp;" "&amp;D310)</f>
        <v>Villegas Villegas Alejandra</v>
      </c>
      <c r="S310" s="230" t="n">
        <f aca="false">+YEARFRAC(L310,$S$1)</f>
        <v>3.475</v>
      </c>
      <c r="T310" s="230" t="n">
        <f aca="false">+YEARFRAC(M310,$S$1)</f>
        <v>21.0833333333333</v>
      </c>
      <c r="U310" s="231" t="n">
        <f aca="false">+$I310</f>
        <v>0</v>
      </c>
      <c r="V310" s="232" t="str">
        <f aca="false">+PROPER(F310)</f>
        <v>Divorciado</v>
      </c>
    </row>
    <row r="311" customFormat="false" ht="14.25" hidden="false" customHeight="false" outlineLevel="0" collapsed="false">
      <c r="B311" s="197" t="n">
        <v>34315645</v>
      </c>
      <c r="C311" s="197" t="s">
        <v>1528</v>
      </c>
      <c r="D311" s="197" t="s">
        <v>1158</v>
      </c>
      <c r="E311" s="198" t="s">
        <v>944</v>
      </c>
      <c r="F311" s="198" t="s">
        <v>953</v>
      </c>
      <c r="G311" s="225" t="n">
        <v>9087800</v>
      </c>
      <c r="H311" s="225" t="n">
        <v>2108705</v>
      </c>
      <c r="I311" s="225" t="n">
        <v>2188507</v>
      </c>
      <c r="J311" s="198" t="n">
        <v>43</v>
      </c>
      <c r="K311" s="198" t="n">
        <v>2</v>
      </c>
      <c r="L311" s="226" t="n">
        <v>44460</v>
      </c>
      <c r="M311" s="226" t="n">
        <v>44105</v>
      </c>
      <c r="N311" s="227" t="n">
        <v>0</v>
      </c>
      <c r="O311" s="227" t="s">
        <v>135</v>
      </c>
      <c r="P311" s="228" t="n">
        <f aca="false">VLOOKUP(B311,'NIVEL ENERO'!A:D,3,0)</f>
        <v>0.345146761274573</v>
      </c>
      <c r="Q311" s="229" t="n">
        <f aca="false">VLOOKUP(B311,'NIVEL ENERO'!A:D,4,0)</f>
        <v>738975.5</v>
      </c>
      <c r="R311" s="186" t="str">
        <f aca="false">+PROPER(C311&amp;" "&amp;D311)</f>
        <v>Carabali Isajar Eliana</v>
      </c>
      <c r="S311" s="230" t="n">
        <f aca="false">+YEARFRAC(L311,$S$1)</f>
        <v>4.64166666666667</v>
      </c>
      <c r="T311" s="230" t="n">
        <f aca="false">+YEARFRAC(M311,$S$1)</f>
        <v>5.61388888888889</v>
      </c>
      <c r="U311" s="231" t="n">
        <f aca="false">+$I311</f>
        <v>2188507</v>
      </c>
      <c r="V311" s="232" t="str">
        <f aca="false">+PROPER(F311)</f>
        <v>Soltero(A)</v>
      </c>
    </row>
    <row r="312" customFormat="false" ht="14.25" hidden="false" customHeight="false" outlineLevel="0" collapsed="false">
      <c r="B312" s="197" t="n">
        <v>34317987</v>
      </c>
      <c r="C312" s="197" t="s">
        <v>1529</v>
      </c>
      <c r="D312" s="197" t="s">
        <v>1184</v>
      </c>
      <c r="E312" s="198" t="s">
        <v>944</v>
      </c>
      <c r="F312" s="198" t="s">
        <v>945</v>
      </c>
      <c r="G312" s="225" t="n">
        <v>3394800</v>
      </c>
      <c r="H312" s="225" t="n">
        <v>3911558</v>
      </c>
      <c r="I312" s="225" t="n">
        <v>4437281</v>
      </c>
      <c r="J312" s="198" t="n">
        <v>42</v>
      </c>
      <c r="K312" s="198" t="n">
        <v>2</v>
      </c>
      <c r="L312" s="226" t="n">
        <v>44866</v>
      </c>
      <c r="M312" s="226" t="n">
        <v>37931</v>
      </c>
      <c r="N312" s="227" t="n">
        <v>4</v>
      </c>
      <c r="O312" s="227" t="s">
        <v>135</v>
      </c>
      <c r="P312" s="228" t="n">
        <f aca="false">VLOOKUP(B312,'NIVEL ENERO'!A:D,3,0)</f>
        <v>0.381454524365313</v>
      </c>
      <c r="Q312" s="229" t="n">
        <f aca="false">VLOOKUP(B312,'NIVEL ENERO'!A:D,4,0)</f>
        <v>132926</v>
      </c>
      <c r="R312" s="186" t="str">
        <f aca="false">+PROPER(C312&amp;" "&amp;D312)</f>
        <v>Fandino Piamba Paola Andrea</v>
      </c>
      <c r="S312" s="230" t="n">
        <f aca="false">+YEARFRAC(L312,$S$1)</f>
        <v>3.53055555555556</v>
      </c>
      <c r="T312" s="230" t="n">
        <f aca="false">+YEARFRAC(M312,$S$1)</f>
        <v>22.5166666666667</v>
      </c>
      <c r="U312" s="231" t="n">
        <f aca="false">+$I312</f>
        <v>4437281</v>
      </c>
      <c r="V312" s="232" t="str">
        <f aca="false">+PROPER(F312)</f>
        <v>Union Libre</v>
      </c>
    </row>
    <row r="313" customFormat="false" ht="14.25" hidden="false" customHeight="false" outlineLevel="0" collapsed="false">
      <c r="B313" s="197" t="n">
        <v>34318934</v>
      </c>
      <c r="C313" s="197" t="s">
        <v>1530</v>
      </c>
      <c r="D313" s="197" t="s">
        <v>1434</v>
      </c>
      <c r="E313" s="198" t="s">
        <v>944</v>
      </c>
      <c r="F313" s="198" t="s">
        <v>945</v>
      </c>
      <c r="G313" s="225" t="n">
        <v>5842800</v>
      </c>
      <c r="H313" s="225" t="n">
        <v>831016</v>
      </c>
      <c r="I313" s="225" t="n">
        <v>8957826</v>
      </c>
      <c r="J313" s="198" t="n">
        <v>42</v>
      </c>
      <c r="K313" s="198" t="n">
        <v>2</v>
      </c>
      <c r="L313" s="226" t="n">
        <v>45279</v>
      </c>
      <c r="M313" s="226" t="n">
        <v>39182</v>
      </c>
      <c r="N313" s="227" t="n">
        <v>0</v>
      </c>
      <c r="O313" s="227" t="s">
        <v>135</v>
      </c>
      <c r="P313" s="228" t="n">
        <f aca="false">VLOOKUP(B313,'NIVEL ENERO'!A:D,3,0)</f>
        <v>0.284697656984105</v>
      </c>
      <c r="Q313" s="229" t="n">
        <f aca="false">VLOOKUP(B313,'NIVEL ENERO'!A:D,4,0)</f>
        <v>822624.58</v>
      </c>
      <c r="R313" s="186" t="str">
        <f aca="false">+PROPER(C313&amp;" "&amp;D313)</f>
        <v>Fernandez Martinez Diana Marcela</v>
      </c>
      <c r="S313" s="230" t="n">
        <f aca="false">+YEARFRAC(L313,$S$1)</f>
        <v>2.39722222222222</v>
      </c>
      <c r="T313" s="230" t="n">
        <f aca="false">+YEARFRAC(M313,$S$1)</f>
        <v>19.0888888888889</v>
      </c>
      <c r="U313" s="231" t="n">
        <f aca="false">+$I313</f>
        <v>8957826</v>
      </c>
      <c r="V313" s="232" t="str">
        <f aca="false">+PROPER(F313)</f>
        <v>Union Libre</v>
      </c>
    </row>
    <row r="314" customFormat="false" ht="14.25" hidden="false" customHeight="false" outlineLevel="0" collapsed="false">
      <c r="B314" s="197" t="n">
        <v>34319092</v>
      </c>
      <c r="C314" s="197" t="s">
        <v>1531</v>
      </c>
      <c r="D314" s="197" t="s">
        <v>1532</v>
      </c>
      <c r="E314" s="198" t="s">
        <v>944</v>
      </c>
      <c r="F314" s="198" t="s">
        <v>998</v>
      </c>
      <c r="G314" s="225" t="n">
        <v>5374700</v>
      </c>
      <c r="H314" s="225" t="n">
        <v>2112746</v>
      </c>
      <c r="I314" s="225" t="n">
        <v>227309</v>
      </c>
      <c r="J314" s="198" t="n">
        <v>42</v>
      </c>
      <c r="K314" s="198" t="s">
        <v>1533</v>
      </c>
      <c r="L314" s="226" t="n">
        <v>44523</v>
      </c>
      <c r="M314" s="226" t="n">
        <v>39709</v>
      </c>
      <c r="N314" s="227" t="n">
        <v>3</v>
      </c>
      <c r="O314" s="227" t="s">
        <v>135</v>
      </c>
      <c r="P314" s="228" t="n">
        <f aca="false">VLOOKUP(B314,'NIVEL ENERO'!A:D,3,0)</f>
        <v>0.15293711918943</v>
      </c>
      <c r="Q314" s="229" t="n">
        <f aca="false">VLOOKUP(B314,'NIVEL ENERO'!A:D,4,0)</f>
        <v>1560395</v>
      </c>
      <c r="R314" s="186" t="str">
        <f aca="false">+PROPER(C314&amp;" "&amp;D314)</f>
        <v>Pabon Fernandez Erika Milena</v>
      </c>
      <c r="S314" s="230" t="n">
        <f aca="false">+YEARFRAC(L314,$S$1)</f>
        <v>4.46944444444444</v>
      </c>
      <c r="T314" s="230" t="n">
        <f aca="false">+YEARFRAC(M314,$S$1)</f>
        <v>17.65</v>
      </c>
      <c r="U314" s="231" t="n">
        <f aca="false">+$I314</f>
        <v>227309</v>
      </c>
      <c r="V314" s="232" t="str">
        <f aca="false">+PROPER(F314)</f>
        <v>Separado(A)</v>
      </c>
    </row>
    <row r="315" customFormat="false" ht="14.25" hidden="false" customHeight="false" outlineLevel="0" collapsed="false">
      <c r="B315" s="197" t="n">
        <v>34319217</v>
      </c>
      <c r="C315" s="197" t="s">
        <v>1534</v>
      </c>
      <c r="D315" s="197" t="s">
        <v>1535</v>
      </c>
      <c r="E315" s="198" t="s">
        <v>944</v>
      </c>
      <c r="F315" s="198" t="s">
        <v>948</v>
      </c>
      <c r="G315" s="225" t="n">
        <v>9999400</v>
      </c>
      <c r="H315" s="225" t="n">
        <v>4095555</v>
      </c>
      <c r="I315" s="225" t="n">
        <v>0</v>
      </c>
      <c r="J315" s="198" t="n">
        <v>42</v>
      </c>
      <c r="K315" s="198" t="n">
        <v>3</v>
      </c>
      <c r="L315" s="226" t="n">
        <v>44432</v>
      </c>
      <c r="M315" s="226" t="n">
        <v>43150</v>
      </c>
      <c r="N315" s="227" t="n">
        <v>2</v>
      </c>
      <c r="O315" s="227" t="s">
        <v>135</v>
      </c>
      <c r="P315" s="228" t="n">
        <f aca="false">VLOOKUP(B315,'NIVEL ENERO'!A:D,3,0)</f>
        <v>0.343306755217484</v>
      </c>
      <c r="Q315" s="229" t="n">
        <f aca="false">VLOOKUP(B315,'NIVEL ENERO'!A:D,4,0)</f>
        <v>794496</v>
      </c>
      <c r="R315" s="186" t="str">
        <f aca="false">+PROPER(C315&amp;" "&amp;D315)</f>
        <v>Huertas Canizares Karol Juliana</v>
      </c>
      <c r="S315" s="230" t="n">
        <f aca="false">+YEARFRAC(L315,$S$1)</f>
        <v>4.71666666666667</v>
      </c>
      <c r="T315" s="230" t="n">
        <f aca="false">+YEARFRAC(M315,$S$1)</f>
        <v>8.23055555555556</v>
      </c>
      <c r="U315" s="231" t="n">
        <f aca="false">+$I315</f>
        <v>0</v>
      </c>
      <c r="V315" s="232" t="str">
        <f aca="false">+PROPER(F315)</f>
        <v>Casado(A)</v>
      </c>
    </row>
    <row r="316" customFormat="false" ht="14.25" hidden="false" customHeight="false" outlineLevel="0" collapsed="false">
      <c r="B316" s="197" t="n">
        <v>34320998</v>
      </c>
      <c r="C316" s="197" t="s">
        <v>1536</v>
      </c>
      <c r="D316" s="197" t="s">
        <v>1537</v>
      </c>
      <c r="E316" s="198" t="s">
        <v>944</v>
      </c>
      <c r="F316" s="198" t="s">
        <v>948</v>
      </c>
      <c r="G316" s="225" t="n">
        <v>5000000</v>
      </c>
      <c r="H316" s="225" t="n">
        <v>650000</v>
      </c>
      <c r="I316" s="225"/>
      <c r="J316" s="198" t="n">
        <v>41</v>
      </c>
      <c r="K316" s="198" t="n">
        <v>3</v>
      </c>
      <c r="L316" s="226" t="n">
        <v>45352</v>
      </c>
      <c r="M316" s="226" t="n">
        <v>44425</v>
      </c>
      <c r="N316" s="227" t="n">
        <v>0</v>
      </c>
      <c r="O316" s="227" t="s">
        <v>158</v>
      </c>
      <c r="P316" s="228" t="e">
        <f aca="false">VLOOKUP(B316,'NIVEL ENERO'!A:D,3,0)</f>
        <v>#N/A</v>
      </c>
      <c r="Q316" s="229" t="e">
        <f aca="false">VLOOKUP(B316,'NIVEL ENERO'!A:D,4,0)</f>
        <v>#N/A</v>
      </c>
      <c r="R316" s="186" t="str">
        <f aca="false">+PROPER(C316&amp;" "&amp;D316)</f>
        <v>Villaquiran Londono Sara Viviana</v>
      </c>
      <c r="S316" s="230" t="n">
        <f aca="false">+YEARFRAC(L316,$S$1)</f>
        <v>2.19722222222222</v>
      </c>
      <c r="T316" s="230" t="n">
        <f aca="false">+YEARFRAC(M316,$S$1)</f>
        <v>4.73611111111111</v>
      </c>
      <c r="U316" s="231" t="n">
        <f aca="false">+$I316</f>
        <v>0</v>
      </c>
      <c r="V316" s="232" t="str">
        <f aca="false">+PROPER(F316)</f>
        <v>Casado(A)</v>
      </c>
    </row>
    <row r="317" customFormat="false" ht="14.25" hidden="false" customHeight="false" outlineLevel="0" collapsed="false">
      <c r="B317" s="197" t="n">
        <v>34322592</v>
      </c>
      <c r="C317" s="197" t="s">
        <v>1538</v>
      </c>
      <c r="D317" s="197" t="s">
        <v>1539</v>
      </c>
      <c r="E317" s="198" t="s">
        <v>944</v>
      </c>
      <c r="F317" s="198" t="s">
        <v>948</v>
      </c>
      <c r="G317" s="225" t="n">
        <v>2600900</v>
      </c>
      <c r="H317" s="225" t="n">
        <v>3213795</v>
      </c>
      <c r="I317" s="225" t="n">
        <v>0</v>
      </c>
      <c r="J317" s="198" t="n">
        <v>41</v>
      </c>
      <c r="K317" s="198" t="n">
        <v>1</v>
      </c>
      <c r="L317" s="226" t="n">
        <v>44669</v>
      </c>
      <c r="M317" s="226" t="n">
        <v>42415</v>
      </c>
      <c r="N317" s="227" t="n">
        <v>3</v>
      </c>
      <c r="O317" s="227" t="s">
        <v>135</v>
      </c>
      <c r="P317" s="228" t="n">
        <f aca="false">VLOOKUP(B317,'NIVEL ENERO'!A:D,3,0)</f>
        <v>0.310729921423997</v>
      </c>
      <c r="Q317" s="229" t="n">
        <f aca="false">VLOOKUP(B317,'NIVEL ENERO'!A:D,4,0)</f>
        <v>339990.28</v>
      </c>
      <c r="R317" s="186" t="str">
        <f aca="false">+PROPER(C317&amp;" "&amp;D317)</f>
        <v>Caicedo Vargas Magaly</v>
      </c>
      <c r="S317" s="230" t="n">
        <f aca="false">+YEARFRAC(L317,$S$1)</f>
        <v>4.06666666666667</v>
      </c>
      <c r="T317" s="230" t="n">
        <f aca="false">+YEARFRAC(M317,$S$1)</f>
        <v>10.2416666666667</v>
      </c>
      <c r="U317" s="231" t="n">
        <f aca="false">+$I317</f>
        <v>0</v>
      </c>
      <c r="V317" s="232" t="str">
        <f aca="false">+PROPER(F317)</f>
        <v>Casado(A)</v>
      </c>
    </row>
    <row r="318" customFormat="false" ht="14.25" hidden="false" customHeight="false" outlineLevel="0" collapsed="false">
      <c r="B318" s="197" t="n">
        <v>34322996</v>
      </c>
      <c r="C318" s="197" t="s">
        <v>1540</v>
      </c>
      <c r="D318" s="197" t="s">
        <v>1541</v>
      </c>
      <c r="E318" s="198" t="s">
        <v>944</v>
      </c>
      <c r="F318" s="198" t="s">
        <v>953</v>
      </c>
      <c r="G318" s="225" t="n">
        <v>5418800</v>
      </c>
      <c r="H318" s="225" t="n">
        <v>9366366</v>
      </c>
      <c r="I318" s="225" t="n">
        <v>0</v>
      </c>
      <c r="J318" s="198" t="n">
        <v>41</v>
      </c>
      <c r="K318" s="198" t="n">
        <v>1</v>
      </c>
      <c r="L318" s="226" t="n">
        <v>43654</v>
      </c>
      <c r="M318" s="226" t="n">
        <v>39378</v>
      </c>
      <c r="N318" s="227" t="n">
        <v>3</v>
      </c>
      <c r="O318" s="227" t="s">
        <v>135</v>
      </c>
      <c r="P318" s="228" t="n">
        <f aca="false">VLOOKUP(B318,'NIVEL ENERO'!A:D,3,0)</f>
        <v>0.189261416746585</v>
      </c>
      <c r="Q318" s="229" t="n">
        <f aca="false">VLOOKUP(B318,'NIVEL ENERO'!A:D,4,0)</f>
        <v>1596612.24</v>
      </c>
      <c r="R318" s="186" t="str">
        <f aca="false">+PROPER(C318&amp;" "&amp;D318)</f>
        <v>Vivas Mendez Jackeline</v>
      </c>
      <c r="S318" s="230" t="n">
        <f aca="false">+YEARFRAC(L318,$S$1)</f>
        <v>6.84444444444444</v>
      </c>
      <c r="T318" s="230" t="n">
        <f aca="false">+YEARFRAC(M318,$S$1)</f>
        <v>18.5527777777778</v>
      </c>
      <c r="U318" s="231" t="n">
        <f aca="false">+$I318</f>
        <v>0</v>
      </c>
      <c r="V318" s="232" t="str">
        <f aca="false">+PROPER(F318)</f>
        <v>Soltero(A)</v>
      </c>
    </row>
    <row r="319" customFormat="false" ht="14.25" hidden="false" customHeight="false" outlineLevel="0" collapsed="false">
      <c r="B319" s="197" t="n">
        <v>34328720</v>
      </c>
      <c r="C319" s="197" t="s">
        <v>1542</v>
      </c>
      <c r="D319" s="197" t="s">
        <v>1543</v>
      </c>
      <c r="E319" s="198" t="s">
        <v>944</v>
      </c>
      <c r="F319" s="198" t="s">
        <v>953</v>
      </c>
      <c r="G319" s="225" t="n">
        <v>2893800</v>
      </c>
      <c r="H319" s="225" t="n">
        <v>1607671</v>
      </c>
      <c r="I319" s="225" t="n">
        <v>74321</v>
      </c>
      <c r="J319" s="198" t="n">
        <v>40</v>
      </c>
      <c r="K319" s="198" t="n">
        <v>2</v>
      </c>
      <c r="L319" s="226" t="n">
        <v>44848</v>
      </c>
      <c r="M319" s="226" t="n">
        <v>44342</v>
      </c>
      <c r="N319" s="227" t="n">
        <v>0</v>
      </c>
      <c r="O319" s="227" t="s">
        <v>135</v>
      </c>
      <c r="P319" s="228" t="n">
        <f aca="false">VLOOKUP(B319,'NIVEL ENERO'!A:D,3,0)</f>
        <v>0.18385410187297</v>
      </c>
      <c r="Q319" s="229" t="n">
        <f aca="false">VLOOKUP(B319,'NIVEL ENERO'!A:D,4,0)</f>
        <v>683359</v>
      </c>
      <c r="R319" s="186" t="str">
        <f aca="false">+PROPER(C319&amp;" "&amp;D319)</f>
        <v>Segura Idrobo Azucena</v>
      </c>
      <c r="S319" s="230" t="n">
        <f aca="false">+YEARFRAC(L319,$S$1)</f>
        <v>3.57777777777778</v>
      </c>
      <c r="T319" s="230" t="n">
        <f aca="false">+YEARFRAC(M319,$S$1)</f>
        <v>4.96111111111111</v>
      </c>
      <c r="U319" s="231" t="n">
        <f aca="false">+$I319</f>
        <v>74321</v>
      </c>
      <c r="V319" s="232" t="str">
        <f aca="false">+PROPER(F319)</f>
        <v>Soltero(A)</v>
      </c>
    </row>
    <row r="320" customFormat="false" ht="14.25" hidden="false" customHeight="false" outlineLevel="0" collapsed="false">
      <c r="B320" s="197" t="n">
        <v>34370826</v>
      </c>
      <c r="C320" s="197" t="s">
        <v>1544</v>
      </c>
      <c r="D320" s="197" t="s">
        <v>1186</v>
      </c>
      <c r="E320" s="198" t="s">
        <v>944</v>
      </c>
      <c r="F320" s="198" t="s">
        <v>945</v>
      </c>
      <c r="G320" s="225" t="n">
        <v>2893800</v>
      </c>
      <c r="H320" s="225" t="n">
        <v>5133080</v>
      </c>
      <c r="I320" s="225" t="n">
        <v>0</v>
      </c>
      <c r="J320" s="198" t="n">
        <v>51</v>
      </c>
      <c r="K320" s="198" t="n">
        <v>1</v>
      </c>
      <c r="L320" s="226" t="n">
        <v>44064</v>
      </c>
      <c r="M320" s="226" t="n">
        <v>34724</v>
      </c>
      <c r="N320" s="227" t="n">
        <v>3</v>
      </c>
      <c r="O320" s="227" t="s">
        <v>135</v>
      </c>
      <c r="P320" s="228" t="n">
        <f aca="false">VLOOKUP(B320,'NIVEL ENERO'!A:D,3,0)</f>
        <v>0.224782177047294</v>
      </c>
      <c r="Q320" s="229" t="n">
        <f aca="false">VLOOKUP(B320,'NIVEL ENERO'!A:D,4,0)</f>
        <v>685274.1</v>
      </c>
      <c r="R320" s="186" t="str">
        <f aca="false">+PROPER(C320&amp;" "&amp;D320)</f>
        <v>Mina Mazuera Liliana</v>
      </c>
      <c r="S320" s="230" t="n">
        <f aca="false">+YEARFRAC(L320,$S$1)</f>
        <v>5.725</v>
      </c>
      <c r="T320" s="230" t="n">
        <f aca="false">+YEARFRAC(M320,$S$1)</f>
        <v>31.2972222222222</v>
      </c>
      <c r="U320" s="231" t="n">
        <f aca="false">+$I320</f>
        <v>0</v>
      </c>
      <c r="V320" s="232" t="str">
        <f aca="false">+PROPER(F320)</f>
        <v>Union Libre</v>
      </c>
    </row>
    <row r="321" customFormat="false" ht="14.25" hidden="false" customHeight="false" outlineLevel="0" collapsed="false">
      <c r="B321" s="197" t="n">
        <v>34374143</v>
      </c>
      <c r="C321" s="197" t="s">
        <v>1195</v>
      </c>
      <c r="D321" s="197" t="s">
        <v>1545</v>
      </c>
      <c r="E321" s="198" t="s">
        <v>944</v>
      </c>
      <c r="F321" s="198" t="s">
        <v>948</v>
      </c>
      <c r="G321" s="225" t="n">
        <v>5418800</v>
      </c>
      <c r="H321" s="225" t="n">
        <v>4593306</v>
      </c>
      <c r="I321" s="225" t="n">
        <v>7076040</v>
      </c>
      <c r="J321" s="198" t="n">
        <v>45</v>
      </c>
      <c r="K321" s="198" t="n">
        <v>1</v>
      </c>
      <c r="L321" s="226" t="n">
        <v>43419</v>
      </c>
      <c r="M321" s="226" t="n">
        <v>40238</v>
      </c>
      <c r="N321" s="227" t="n">
        <v>4</v>
      </c>
      <c r="O321" s="227" t="s">
        <v>135</v>
      </c>
      <c r="P321" s="228" t="n">
        <f aca="false">VLOOKUP(B321,'NIVEL ENERO'!A:D,3,0)</f>
        <v>0.423700139517387</v>
      </c>
      <c r="Q321" s="229" t="n">
        <f aca="false">VLOOKUP(B321,'NIVEL ENERO'!A:D,4,0)</f>
        <v>-28868.1000000001</v>
      </c>
      <c r="R321" s="186" t="str">
        <f aca="false">+PROPER(C321&amp;" "&amp;D321)</f>
        <v>Lasso Ramos Vibian  Liceth</v>
      </c>
      <c r="S321" s="230" t="n">
        <f aca="false">+YEARFRAC(L321,$S$1)</f>
        <v>7.49166666666667</v>
      </c>
      <c r="T321" s="230" t="n">
        <f aca="false">+YEARFRAC(M321,$S$1)</f>
        <v>16.1972222222222</v>
      </c>
      <c r="U321" s="231" t="n">
        <f aca="false">+$I321</f>
        <v>7076040</v>
      </c>
      <c r="V321" s="232" t="str">
        <f aca="false">+PROPER(F321)</f>
        <v>Casado(A)</v>
      </c>
    </row>
    <row r="322" customFormat="false" ht="14.25" hidden="false" customHeight="false" outlineLevel="0" collapsed="false">
      <c r="B322" s="197" t="n">
        <v>34513804</v>
      </c>
      <c r="C322" s="197" t="s">
        <v>1546</v>
      </c>
      <c r="D322" s="197" t="s">
        <v>1547</v>
      </c>
      <c r="E322" s="198" t="s">
        <v>944</v>
      </c>
      <c r="F322" s="198" t="s">
        <v>953</v>
      </c>
      <c r="G322" s="225" t="n">
        <v>2648100</v>
      </c>
      <c r="H322" s="225" t="n">
        <v>6771801</v>
      </c>
      <c r="I322" s="225"/>
      <c r="J322" s="198" t="n">
        <v>57</v>
      </c>
      <c r="K322" s="198" t="n">
        <v>2</v>
      </c>
      <c r="L322" s="226" t="n">
        <v>44848</v>
      </c>
      <c r="M322" s="226" t="n">
        <v>44105</v>
      </c>
      <c r="N322" s="227" t="n">
        <v>0</v>
      </c>
      <c r="O322" s="227" t="s">
        <v>135</v>
      </c>
      <c r="P322" s="228" t="n">
        <f aca="false">VLOOKUP(B322,'NIVEL ENERO'!A:D,3,0)</f>
        <v>0.347097767360634</v>
      </c>
      <c r="Q322" s="229" t="n">
        <f aca="false">VLOOKUP(B322,'NIVEL ENERO'!A:D,4,0)</f>
        <v>308912.333333334</v>
      </c>
      <c r="R322" s="186" t="str">
        <f aca="false">+PROPER(C322&amp;" "&amp;D322)</f>
        <v>Aponza Yamilet</v>
      </c>
      <c r="S322" s="230" t="n">
        <f aca="false">+YEARFRAC(L322,$S$1)</f>
        <v>3.57777777777778</v>
      </c>
      <c r="T322" s="230" t="n">
        <f aca="false">+YEARFRAC(M322,$S$1)</f>
        <v>5.61388888888889</v>
      </c>
      <c r="U322" s="231" t="n">
        <f aca="false">+$I322</f>
        <v>0</v>
      </c>
      <c r="V322" s="232" t="str">
        <f aca="false">+PROPER(F322)</f>
        <v>Soltero(A)</v>
      </c>
    </row>
    <row r="323" customFormat="false" ht="14.25" hidden="false" customHeight="false" outlineLevel="0" collapsed="false">
      <c r="B323" s="197" t="n">
        <v>34515070</v>
      </c>
      <c r="C323" s="197" t="s">
        <v>1548</v>
      </c>
      <c r="D323" s="197" t="s">
        <v>1549</v>
      </c>
      <c r="E323" s="198" t="s">
        <v>1550</v>
      </c>
      <c r="F323" s="198" t="s">
        <v>953</v>
      </c>
      <c r="G323" s="225" t="n">
        <v>2893800</v>
      </c>
      <c r="H323" s="225" t="n">
        <v>1754683</v>
      </c>
      <c r="I323" s="225" t="n">
        <v>629280</v>
      </c>
      <c r="J323" s="198" t="n">
        <v>54</v>
      </c>
      <c r="K323" s="198" t="n">
        <v>1</v>
      </c>
      <c r="L323" s="226" t="n">
        <v>44875</v>
      </c>
      <c r="M323" s="226" t="n">
        <v>44135</v>
      </c>
      <c r="N323" s="227" t="n">
        <v>0</v>
      </c>
      <c r="O323" s="227" t="s">
        <v>135</v>
      </c>
      <c r="P323" s="228" t="n">
        <f aca="false">VLOOKUP(B323,'NIVEL ENERO'!A:D,3,0)</f>
        <v>0.471165515439982</v>
      </c>
      <c r="Q323" s="229" t="n">
        <f aca="false">VLOOKUP(B323,'NIVEL ENERO'!A:D,4,0)</f>
        <v>-195884.333333334</v>
      </c>
      <c r="R323" s="186" t="str">
        <f aca="false">+PROPER(C323&amp;" "&amp;D323)</f>
        <v>Orejuela Alvarez Sandra Patricia</v>
      </c>
      <c r="S323" s="230" t="n">
        <f aca="false">+YEARFRAC(L323,$S$1)</f>
        <v>3.50555555555556</v>
      </c>
      <c r="T323" s="230" t="n">
        <f aca="false">+YEARFRAC(M323,$S$1)</f>
        <v>5.53333333333333</v>
      </c>
      <c r="U323" s="231" t="n">
        <f aca="false">+$I323</f>
        <v>629280</v>
      </c>
      <c r="V323" s="232" t="str">
        <f aca="false">+PROPER(F323)</f>
        <v>Soltero(A)</v>
      </c>
    </row>
    <row r="324" customFormat="false" ht="14.25" hidden="false" customHeight="false" outlineLevel="0" collapsed="false">
      <c r="B324" s="197" t="n">
        <v>34515352</v>
      </c>
      <c r="C324" s="197" t="s">
        <v>1551</v>
      </c>
      <c r="D324" s="197" t="s">
        <v>1552</v>
      </c>
      <c r="E324" s="198" t="s">
        <v>944</v>
      </c>
      <c r="F324" s="198" t="s">
        <v>998</v>
      </c>
      <c r="G324" s="225" t="n">
        <v>2893800</v>
      </c>
      <c r="H324" s="225" t="n">
        <v>25190039</v>
      </c>
      <c r="I324" s="225" t="n">
        <v>32036968</v>
      </c>
      <c r="J324" s="198" t="n">
        <v>54</v>
      </c>
      <c r="K324" s="198" t="n">
        <v>2</v>
      </c>
      <c r="L324" s="226" t="n">
        <v>40376</v>
      </c>
      <c r="M324" s="226" t="n">
        <v>33649</v>
      </c>
      <c r="N324" s="227" t="n">
        <v>2</v>
      </c>
      <c r="O324" s="227" t="s">
        <v>135</v>
      </c>
      <c r="P324" s="228" t="n">
        <f aca="false">VLOOKUP(B324,'NIVEL ENERO'!A:D,3,0)</f>
        <v>0.469128606831355</v>
      </c>
      <c r="Q324" s="229" t="n">
        <f aca="false">VLOOKUP(B324,'NIVEL ENERO'!A:D,4,0)</f>
        <v>-190412.9</v>
      </c>
      <c r="R324" s="186" t="str">
        <f aca="false">+PROPER(C324&amp;" "&amp;D324)</f>
        <v>Vega Valencia Aura Stella</v>
      </c>
      <c r="S324" s="230" t="n">
        <f aca="false">+YEARFRAC(L324,$S$1)</f>
        <v>15.8194444444444</v>
      </c>
      <c r="T324" s="230" t="n">
        <f aca="false">+YEARFRAC(M324,$S$1)</f>
        <v>34.2416666666667</v>
      </c>
      <c r="U324" s="231" t="n">
        <f aca="false">+$I324</f>
        <v>32036968</v>
      </c>
      <c r="V324" s="232" t="str">
        <f aca="false">+PROPER(F324)</f>
        <v>Separado(A)</v>
      </c>
    </row>
    <row r="325" customFormat="false" ht="14.25" hidden="false" customHeight="false" outlineLevel="0" collapsed="false">
      <c r="B325" s="197" t="n">
        <v>34516193</v>
      </c>
      <c r="C325" s="197" t="s">
        <v>1553</v>
      </c>
      <c r="D325" s="197" t="s">
        <v>1554</v>
      </c>
      <c r="E325" s="198" t="s">
        <v>944</v>
      </c>
      <c r="F325" s="198" t="s">
        <v>948</v>
      </c>
      <c r="G325" s="225" t="n">
        <v>2893800</v>
      </c>
      <c r="H325" s="225" t="n">
        <v>2612314</v>
      </c>
      <c r="I325" s="225" t="n">
        <v>5765284</v>
      </c>
      <c r="J325" s="198" t="n">
        <v>52</v>
      </c>
      <c r="K325" s="198" t="n">
        <v>1</v>
      </c>
      <c r="L325" s="226" t="n">
        <v>45051</v>
      </c>
      <c r="M325" s="226" t="n">
        <v>34724</v>
      </c>
      <c r="N325" s="227" t="n">
        <v>3</v>
      </c>
      <c r="O325" s="227" t="s">
        <v>135</v>
      </c>
      <c r="P325" s="228" t="n">
        <f aca="false">VLOOKUP(B325,'NIVEL ENERO'!A:D,3,0)</f>
        <v>0.461716381527702</v>
      </c>
      <c r="Q325" s="229" t="n">
        <f aca="false">VLOOKUP(B325,'NIVEL ENERO'!A:D,4,0)</f>
        <v>-148886.6</v>
      </c>
      <c r="R325" s="186" t="str">
        <f aca="false">+PROPER(C325&amp;" "&amp;D325)</f>
        <v>Guaza Mejia Zuleima</v>
      </c>
      <c r="S325" s="230" t="n">
        <f aca="false">+YEARFRAC(L325,$S$1)</f>
        <v>3.01944444444444</v>
      </c>
      <c r="T325" s="230" t="n">
        <f aca="false">+YEARFRAC(M325,$S$1)</f>
        <v>31.2972222222222</v>
      </c>
      <c r="U325" s="231" t="n">
        <f aca="false">+$I325</f>
        <v>5765284</v>
      </c>
      <c r="V325" s="232" t="str">
        <f aca="false">+PROPER(F325)</f>
        <v>Casado(A)</v>
      </c>
    </row>
    <row r="326" customFormat="false" ht="14.25" hidden="false" customHeight="false" outlineLevel="0" collapsed="false">
      <c r="B326" s="197" t="n">
        <v>34516353</v>
      </c>
      <c r="C326" s="197" t="s">
        <v>1555</v>
      </c>
      <c r="D326" s="197" t="s">
        <v>1556</v>
      </c>
      <c r="E326" s="198" t="s">
        <v>944</v>
      </c>
      <c r="F326" s="198" t="s">
        <v>945</v>
      </c>
      <c r="G326" s="225" t="n">
        <v>1991000</v>
      </c>
      <c r="H326" s="225" t="n">
        <v>1722382</v>
      </c>
      <c r="I326" s="225" t="n">
        <v>532151</v>
      </c>
      <c r="J326" s="198" t="n">
        <v>52</v>
      </c>
      <c r="K326" s="198" t="n">
        <v>4</v>
      </c>
      <c r="L326" s="226" t="n">
        <v>45142</v>
      </c>
      <c r="M326" s="226" t="n">
        <v>38906</v>
      </c>
      <c r="N326" s="227" t="n">
        <v>4</v>
      </c>
      <c r="O326" s="227" t="s">
        <v>135</v>
      </c>
      <c r="P326" s="228" t="str">
        <f aca="false">VLOOKUP(B326,'NIVEL ENERO'!A:D,3,0)</f>
        <v>0</v>
      </c>
      <c r="Q326" s="229" t="n">
        <f aca="false">VLOOKUP(B326,'NIVEL ENERO'!A:D,4,0)</f>
        <v>0</v>
      </c>
      <c r="R326" s="186" t="str">
        <f aca="false">+PROPER(C326&amp;" "&amp;D326)</f>
        <v>Otalora Palomino Ilieana</v>
      </c>
      <c r="S326" s="230" t="n">
        <f aca="false">+YEARFRAC(L326,$S$1)</f>
        <v>2.77222222222222</v>
      </c>
      <c r="T326" s="230" t="n">
        <f aca="false">+YEARFRAC(M326,$S$1)</f>
        <v>19.8444444444444</v>
      </c>
      <c r="U326" s="231" t="n">
        <f aca="false">+$I326</f>
        <v>532151</v>
      </c>
      <c r="V326" s="232" t="str">
        <f aca="false">+PROPER(F326)</f>
        <v>Union Libre</v>
      </c>
    </row>
    <row r="327" customFormat="false" ht="14.25" hidden="false" customHeight="false" outlineLevel="0" collapsed="false">
      <c r="B327" s="197" t="n">
        <v>34533175</v>
      </c>
      <c r="C327" s="197" t="s">
        <v>1557</v>
      </c>
      <c r="D327" s="197" t="s">
        <v>1558</v>
      </c>
      <c r="E327" s="198" t="s">
        <v>944</v>
      </c>
      <c r="F327" s="198" t="s">
        <v>948</v>
      </c>
      <c r="G327" s="225" t="n">
        <v>3500000</v>
      </c>
      <c r="H327" s="225" t="n">
        <v>9710983</v>
      </c>
      <c r="I327" s="225" t="n">
        <v>6682885</v>
      </c>
      <c r="J327" s="198" t="n">
        <v>65</v>
      </c>
      <c r="K327" s="198" t="n">
        <v>2</v>
      </c>
      <c r="L327" s="226" t="n">
        <v>38831</v>
      </c>
      <c r="M327" s="226" t="n">
        <v>34369</v>
      </c>
      <c r="N327" s="227" t="n">
        <v>2</v>
      </c>
      <c r="O327" s="227" t="s">
        <v>445</v>
      </c>
      <c r="P327" s="228" t="e">
        <f aca="false">VLOOKUP(B327,'NIVEL ENERO'!A:D,3,0)</f>
        <v>#N/A</v>
      </c>
      <c r="Q327" s="229" t="e">
        <f aca="false">VLOOKUP(B327,'NIVEL ENERO'!A:D,4,0)</f>
        <v>#N/A</v>
      </c>
      <c r="R327" s="186" t="str">
        <f aca="false">+PROPER(C327&amp;" "&amp;D327)</f>
        <v>Mosquera Barragan Maria Elena</v>
      </c>
      <c r="S327" s="230" t="n">
        <f aca="false">+YEARFRAC(L327,$S$1)</f>
        <v>20.05</v>
      </c>
      <c r="T327" s="230" t="n">
        <f aca="false">+YEARFRAC(M327,$S$1)</f>
        <v>32.2722222222222</v>
      </c>
      <c r="U327" s="231" t="n">
        <f aca="false">+$I327</f>
        <v>6682885</v>
      </c>
      <c r="V327" s="232" t="str">
        <f aca="false">+PROPER(F327)</f>
        <v>Casado(A)</v>
      </c>
    </row>
    <row r="328" customFormat="false" ht="14.25" hidden="false" customHeight="false" outlineLevel="0" collapsed="false">
      <c r="B328" s="197" t="n">
        <v>34555438</v>
      </c>
      <c r="C328" s="197" t="s">
        <v>1559</v>
      </c>
      <c r="D328" s="197" t="s">
        <v>1549</v>
      </c>
      <c r="E328" s="198" t="s">
        <v>944</v>
      </c>
      <c r="F328" s="198" t="s">
        <v>948</v>
      </c>
      <c r="G328" s="225" t="n">
        <v>9087800</v>
      </c>
      <c r="H328" s="225" t="n">
        <v>2809735</v>
      </c>
      <c r="I328" s="225"/>
      <c r="J328" s="198" t="n">
        <v>55</v>
      </c>
      <c r="K328" s="198" t="n">
        <v>1</v>
      </c>
      <c r="L328" s="226" t="n">
        <v>44825</v>
      </c>
      <c r="M328" s="226" t="n">
        <v>41012</v>
      </c>
      <c r="N328" s="227" t="n">
        <v>2</v>
      </c>
      <c r="O328" s="227" t="s">
        <v>135</v>
      </c>
      <c r="P328" s="228" t="n">
        <f aca="false">VLOOKUP(B328,'NIVEL ENERO'!A:D,3,0)</f>
        <v>0.176050203096745</v>
      </c>
      <c r="Q328" s="229" t="n">
        <f aca="false">VLOOKUP(B328,'NIVEL ENERO'!A:D,4,0)</f>
        <v>2477133.08</v>
      </c>
      <c r="R328" s="186" t="str">
        <f aca="false">+PROPER(C328&amp;" "&amp;D328)</f>
        <v>Mera Urbano Sandra Patricia</v>
      </c>
      <c r="S328" s="230" t="n">
        <f aca="false">+YEARFRAC(L328,$S$1)</f>
        <v>3.64166666666667</v>
      </c>
      <c r="T328" s="230" t="n">
        <f aca="false">+YEARFRAC(M328,$S$1)</f>
        <v>14.0805555555556</v>
      </c>
      <c r="U328" s="231" t="n">
        <f aca="false">+$I328</f>
        <v>0</v>
      </c>
      <c r="V328" s="232" t="str">
        <f aca="false">+PROPER(F328)</f>
        <v>Casado(A)</v>
      </c>
    </row>
    <row r="329" customFormat="false" ht="14.25" hidden="false" customHeight="false" outlineLevel="0" collapsed="false">
      <c r="B329" s="197" t="n">
        <v>34558931</v>
      </c>
      <c r="C329" s="197" t="s">
        <v>1560</v>
      </c>
      <c r="D329" s="197" t="s">
        <v>1515</v>
      </c>
      <c r="E329" s="198" t="s">
        <v>944</v>
      </c>
      <c r="F329" s="198" t="s">
        <v>945</v>
      </c>
      <c r="G329" s="225" t="n">
        <v>1878500</v>
      </c>
      <c r="H329" s="225" t="n">
        <v>12041112</v>
      </c>
      <c r="I329" s="225" t="n">
        <v>2381036</v>
      </c>
      <c r="J329" s="198" t="n">
        <v>56</v>
      </c>
      <c r="K329" s="198" t="n">
        <v>1</v>
      </c>
      <c r="L329" s="226" t="n">
        <v>36753</v>
      </c>
      <c r="M329" s="226" t="n">
        <v>34690</v>
      </c>
      <c r="N329" s="227" t="n">
        <v>3</v>
      </c>
      <c r="O329" s="227" t="s">
        <v>135</v>
      </c>
      <c r="P329" s="228" t="n">
        <f aca="false">VLOOKUP(B329,'NIVEL ENERO'!A:D,3,0)</f>
        <v>0.31439015271928</v>
      </c>
      <c r="Q329" s="229" t="n">
        <f aca="false">VLOOKUP(B329,'NIVEL ENERO'!A:D,4,0)</f>
        <v>226464.3</v>
      </c>
      <c r="R329" s="186" t="str">
        <f aca="false">+PROPER(C329&amp;" "&amp;D329)</f>
        <v>Sanchez Hurtado Maria Yaneth</v>
      </c>
      <c r="S329" s="230" t="n">
        <f aca="false">+YEARFRAC(L329,$S$1)</f>
        <v>25.7416666666667</v>
      </c>
      <c r="T329" s="230" t="n">
        <f aca="false">+YEARFRAC(M329,$S$1)</f>
        <v>31.3888888888889</v>
      </c>
      <c r="U329" s="231" t="n">
        <f aca="false">+$I329</f>
        <v>2381036</v>
      </c>
      <c r="V329" s="232" t="str">
        <f aca="false">+PROPER(F329)</f>
        <v>Union Libre</v>
      </c>
    </row>
    <row r="330" customFormat="false" ht="14.25" hidden="false" customHeight="false" outlineLevel="0" collapsed="false">
      <c r="B330" s="197" t="n">
        <v>34564166</v>
      </c>
      <c r="C330" s="197" t="s">
        <v>1561</v>
      </c>
      <c r="D330" s="197" t="s">
        <v>1562</v>
      </c>
      <c r="E330" s="198" t="s">
        <v>944</v>
      </c>
      <c r="F330" s="198" t="s">
        <v>948</v>
      </c>
      <c r="G330" s="225" t="n">
        <v>2893800</v>
      </c>
      <c r="H330" s="225" t="n">
        <v>3433613</v>
      </c>
      <c r="I330" s="225" t="n">
        <v>6084169</v>
      </c>
      <c r="J330" s="198" t="n">
        <v>51</v>
      </c>
      <c r="K330" s="198" t="n">
        <v>1</v>
      </c>
      <c r="L330" s="226" t="n">
        <v>44053</v>
      </c>
      <c r="M330" s="226" t="n">
        <v>36566</v>
      </c>
      <c r="N330" s="227" t="n">
        <v>3</v>
      </c>
      <c r="O330" s="227" t="s">
        <v>135</v>
      </c>
      <c r="P330" s="228" t="n">
        <f aca="false">VLOOKUP(B330,'NIVEL ENERO'!A:D,3,0)</f>
        <v>0.474970468993181</v>
      </c>
      <c r="Q330" s="229" t="n">
        <f aca="false">VLOOKUP(B330,'NIVEL ENERO'!A:D,4,0)</f>
        <v>-167545.94</v>
      </c>
      <c r="R330" s="186" t="str">
        <f aca="false">+PROPER(C330&amp;" "&amp;D330)</f>
        <v>Erira Ceballos Edit Margot</v>
      </c>
      <c r="S330" s="230" t="n">
        <f aca="false">+YEARFRAC(L330,$S$1)</f>
        <v>5.75555555555556</v>
      </c>
      <c r="T330" s="230" t="n">
        <f aca="false">+YEARFRAC(M330,$S$1)</f>
        <v>26.2555555555556</v>
      </c>
      <c r="U330" s="231" t="n">
        <f aca="false">+$I330</f>
        <v>6084169</v>
      </c>
      <c r="V330" s="232" t="str">
        <f aca="false">+PROPER(F330)</f>
        <v>Casado(A)</v>
      </c>
    </row>
    <row r="331" customFormat="false" ht="14.25" hidden="false" customHeight="false" outlineLevel="0" collapsed="false">
      <c r="B331" s="197" t="n">
        <v>34564544</v>
      </c>
      <c r="C331" s="197" t="s">
        <v>1563</v>
      </c>
      <c r="D331" s="197" t="s">
        <v>1564</v>
      </c>
      <c r="E331" s="198" t="s">
        <v>981</v>
      </c>
      <c r="F331" s="198" t="s">
        <v>998</v>
      </c>
      <c r="G331" s="225" t="n">
        <v>4870200</v>
      </c>
      <c r="H331" s="225" t="n">
        <v>700000</v>
      </c>
      <c r="I331" s="225" t="n">
        <v>15133767</v>
      </c>
      <c r="J331" s="198" t="n">
        <v>51</v>
      </c>
      <c r="K331" s="198" t="n">
        <v>2</v>
      </c>
      <c r="L331" s="226" t="n">
        <v>45369</v>
      </c>
      <c r="M331" s="226" t="n">
        <v>39944</v>
      </c>
      <c r="N331" s="227" t="n">
        <v>2</v>
      </c>
      <c r="O331" s="227" t="s">
        <v>135</v>
      </c>
      <c r="P331" s="228" t="n">
        <f aca="false">VLOOKUP(B331,'NIVEL ENERO'!A:D,3,0)</f>
        <v>0.427092521867685</v>
      </c>
      <c r="Q331" s="229" t="n">
        <f aca="false">VLOOKUP(B331,'NIVEL ENERO'!A:D,4,0)</f>
        <v>-34542</v>
      </c>
      <c r="R331" s="186" t="str">
        <f aca="false">+PROPER(C331&amp;" "&amp;D331)</f>
        <v>Mosquera Arteaga Nilsa Yazmin</v>
      </c>
      <c r="S331" s="230" t="n">
        <f aca="false">+YEARFRAC(L331,$S$1)</f>
        <v>2.15</v>
      </c>
      <c r="T331" s="230" t="n">
        <f aca="false">+YEARFRAC(M331,$S$1)</f>
        <v>17.0027777777778</v>
      </c>
      <c r="U331" s="231" t="n">
        <f aca="false">+$I331</f>
        <v>15133767</v>
      </c>
      <c r="V331" s="232" t="str">
        <f aca="false">+PROPER(F331)</f>
        <v>Separado(A)</v>
      </c>
    </row>
    <row r="332" customFormat="false" ht="14.25" hidden="false" customHeight="false" outlineLevel="0" collapsed="false">
      <c r="B332" s="197" t="n">
        <v>34611636</v>
      </c>
      <c r="C332" s="197" t="s">
        <v>1565</v>
      </c>
      <c r="D332" s="197" t="s">
        <v>1566</v>
      </c>
      <c r="E332" s="198" t="s">
        <v>944</v>
      </c>
      <c r="F332" s="198" t="s">
        <v>953</v>
      </c>
      <c r="G332" s="225" t="n">
        <v>2893800</v>
      </c>
      <c r="H332" s="225" t="n">
        <v>4664266</v>
      </c>
      <c r="I332" s="225" t="n">
        <v>0</v>
      </c>
      <c r="J332" s="198" t="n">
        <v>43</v>
      </c>
      <c r="K332" s="198" t="n">
        <v>1</v>
      </c>
      <c r="L332" s="226" t="n">
        <v>42626</v>
      </c>
      <c r="M332" s="226" t="n">
        <v>42558</v>
      </c>
      <c r="N332" s="227" t="n">
        <v>3</v>
      </c>
      <c r="O332" s="227" t="s">
        <v>135</v>
      </c>
      <c r="P332" s="228" t="n">
        <f aca="false">VLOOKUP(B332,'NIVEL ENERO'!A:D,3,0)</f>
        <v>0.287797849296676</v>
      </c>
      <c r="Q332" s="229" t="n">
        <f aca="false">VLOOKUP(B332,'NIVEL ENERO'!A:D,4,0)</f>
        <v>374065.06</v>
      </c>
      <c r="R332" s="186" t="str">
        <f aca="false">+PROPER(C332&amp;" "&amp;D332)</f>
        <v>Zapata Mulato Nurleyi</v>
      </c>
      <c r="S332" s="230" t="n">
        <f aca="false">+YEARFRAC(L332,$S$1)</f>
        <v>9.66388888888889</v>
      </c>
      <c r="T332" s="230" t="n">
        <f aca="false">+YEARFRAC(M332,$S$1)</f>
        <v>9.84722222222222</v>
      </c>
      <c r="U332" s="231" t="n">
        <f aca="false">+$I332</f>
        <v>0</v>
      </c>
      <c r="V332" s="232" t="str">
        <f aca="false">+PROPER(F332)</f>
        <v>Soltero(A)</v>
      </c>
    </row>
    <row r="333" customFormat="false" ht="14.25" hidden="false" customHeight="false" outlineLevel="0" collapsed="false">
      <c r="B333" s="197" t="n">
        <v>34613050</v>
      </c>
      <c r="C333" s="197" t="s">
        <v>1567</v>
      </c>
      <c r="D333" s="197" t="s">
        <v>1257</v>
      </c>
      <c r="E333" s="198" t="s">
        <v>944</v>
      </c>
      <c r="F333" s="198" t="s">
        <v>948</v>
      </c>
      <c r="G333" s="225" t="n">
        <v>2648100</v>
      </c>
      <c r="H333" s="225" t="n">
        <v>8664572</v>
      </c>
      <c r="I333" s="225" t="n">
        <v>24522608</v>
      </c>
      <c r="J333" s="198" t="n">
        <v>46</v>
      </c>
      <c r="K333" s="198" t="n">
        <v>1</v>
      </c>
      <c r="L333" s="226" t="n">
        <v>40678</v>
      </c>
      <c r="M333" s="226" t="n">
        <v>40678</v>
      </c>
      <c r="N333" s="227" t="n">
        <v>3</v>
      </c>
      <c r="O333" s="227" t="s">
        <v>135</v>
      </c>
      <c r="P333" s="228" t="n">
        <f aca="false">VLOOKUP(B333,'NIVEL ENERO'!A:D,3,0)</f>
        <v>0.345683855830023</v>
      </c>
      <c r="Q333" s="229" t="n">
        <f aca="false">VLOOKUP(B333,'NIVEL ENERO'!A:D,4,0)</f>
        <v>404867.12</v>
      </c>
      <c r="R333" s="186" t="str">
        <f aca="false">+PROPER(C333&amp;" "&amp;D333)</f>
        <v>Ortiz Nino Luz Marina</v>
      </c>
      <c r="S333" s="230" t="n">
        <f aca="false">+YEARFRAC(L333,$S$1)</f>
        <v>14.9916666666667</v>
      </c>
      <c r="T333" s="230" t="n">
        <f aca="false">+YEARFRAC(M333,$S$1)</f>
        <v>14.9916666666667</v>
      </c>
      <c r="U333" s="231" t="n">
        <f aca="false">+$I333</f>
        <v>24522608</v>
      </c>
      <c r="V333" s="232" t="str">
        <f aca="false">+PROPER(F333)</f>
        <v>Casado(A)</v>
      </c>
    </row>
    <row r="334" customFormat="false" ht="14.25" hidden="false" customHeight="false" outlineLevel="0" collapsed="false">
      <c r="B334" s="197" t="n">
        <v>34613504</v>
      </c>
      <c r="C334" s="197" t="s">
        <v>1568</v>
      </c>
      <c r="D334" s="197" t="s">
        <v>1569</v>
      </c>
      <c r="E334" s="198" t="s">
        <v>944</v>
      </c>
      <c r="F334" s="198" t="s">
        <v>953</v>
      </c>
      <c r="G334" s="225" t="n">
        <v>4486200</v>
      </c>
      <c r="H334" s="225" t="n">
        <v>2708720</v>
      </c>
      <c r="I334" s="225" t="n">
        <v>8455516</v>
      </c>
      <c r="J334" s="198" t="n">
        <v>42</v>
      </c>
      <c r="K334" s="198" t="n">
        <v>4</v>
      </c>
      <c r="L334" s="226" t="n">
        <v>44846</v>
      </c>
      <c r="M334" s="226" t="n">
        <v>44693</v>
      </c>
      <c r="N334" s="227" t="n">
        <v>0</v>
      </c>
      <c r="O334" s="227" t="s">
        <v>135</v>
      </c>
      <c r="P334" s="228" t="n">
        <f aca="false">VLOOKUP(B334,'NIVEL ENERO'!A:D,3,0)</f>
        <v>0.392474563583899</v>
      </c>
      <c r="Q334" s="229" t="n">
        <f aca="false">VLOOKUP(B334,'NIVEL ENERO'!A:D,4,0)</f>
        <v>206215.56</v>
      </c>
      <c r="R334" s="186" t="str">
        <f aca="false">+PROPER(C334&amp;" "&amp;D334)</f>
        <v>Ospina Bermudez Leidy Diana</v>
      </c>
      <c r="S334" s="230" t="n">
        <f aca="false">+YEARFRAC(L334,$S$1)</f>
        <v>3.58333333333333</v>
      </c>
      <c r="T334" s="230" t="n">
        <f aca="false">+YEARFRAC(M334,$S$1)</f>
        <v>4</v>
      </c>
      <c r="U334" s="231" t="n">
        <f aca="false">+$I334</f>
        <v>8455516</v>
      </c>
      <c r="V334" s="232" t="str">
        <f aca="false">+PROPER(F334)</f>
        <v>Soltero(A)</v>
      </c>
    </row>
    <row r="335" customFormat="false" ht="14.25" hidden="false" customHeight="false" outlineLevel="0" collapsed="false">
      <c r="B335" s="197" t="n">
        <v>34614231</v>
      </c>
      <c r="C335" s="197" t="s">
        <v>1570</v>
      </c>
      <c r="D335" s="197" t="s">
        <v>1306</v>
      </c>
      <c r="E335" s="198" t="s">
        <v>944</v>
      </c>
      <c r="F335" s="198" t="s">
        <v>953</v>
      </c>
      <c r="G335" s="225" t="n">
        <v>4500000</v>
      </c>
      <c r="H335" s="225" t="n">
        <v>5897436</v>
      </c>
      <c r="I335" s="225" t="n">
        <v>9670972</v>
      </c>
      <c r="J335" s="198" t="n">
        <v>41</v>
      </c>
      <c r="K335" s="198" t="n">
        <v>2</v>
      </c>
      <c r="L335" s="226" t="n">
        <v>42412</v>
      </c>
      <c r="M335" s="226" t="n">
        <v>41122</v>
      </c>
      <c r="N335" s="227" t="n">
        <v>4</v>
      </c>
      <c r="O335" s="227" t="s">
        <v>158</v>
      </c>
      <c r="P335" s="228" t="e">
        <f aca="false">VLOOKUP(B335,'NIVEL ENERO'!A:D,3,0)</f>
        <v>#N/A</v>
      </c>
      <c r="Q335" s="229" t="e">
        <f aca="false">VLOOKUP(B335,'NIVEL ENERO'!A:D,4,0)</f>
        <v>#N/A</v>
      </c>
      <c r="R335" s="186" t="str">
        <f aca="false">+PROPER(C335&amp;" "&amp;D335)</f>
        <v>Escobar Lopez Giovanna</v>
      </c>
      <c r="S335" s="230" t="n">
        <f aca="false">+YEARFRAC(L335,$S$1)</f>
        <v>10.25</v>
      </c>
      <c r="T335" s="230" t="n">
        <f aca="false">+YEARFRAC(M335,$S$1)</f>
        <v>13.7805555555556</v>
      </c>
      <c r="U335" s="231" t="n">
        <f aca="false">+$I335</f>
        <v>9670972</v>
      </c>
      <c r="V335" s="232" t="str">
        <f aca="false">+PROPER(F335)</f>
        <v>Soltero(A)</v>
      </c>
    </row>
    <row r="336" customFormat="false" ht="14.25" hidden="false" customHeight="false" outlineLevel="0" collapsed="false">
      <c r="B336" s="197" t="n">
        <v>34614313</v>
      </c>
      <c r="C336" s="197" t="s">
        <v>1571</v>
      </c>
      <c r="D336" s="197" t="s">
        <v>1572</v>
      </c>
      <c r="E336" s="198" t="s">
        <v>944</v>
      </c>
      <c r="F336" s="198" t="s">
        <v>948</v>
      </c>
      <c r="G336" s="225" t="n">
        <v>4000000</v>
      </c>
      <c r="H336" s="225" t="n">
        <v>2718400</v>
      </c>
      <c r="I336" s="225" t="n">
        <v>170548</v>
      </c>
      <c r="J336" s="198" t="n">
        <v>41</v>
      </c>
      <c r="K336" s="198" t="n">
        <v>2</v>
      </c>
      <c r="L336" s="226" t="n">
        <v>45106</v>
      </c>
      <c r="M336" s="226" t="n">
        <v>42156</v>
      </c>
      <c r="N336" s="227" t="n">
        <v>3</v>
      </c>
      <c r="O336" s="227" t="s">
        <v>158</v>
      </c>
      <c r="P336" s="228" t="e">
        <f aca="false">VLOOKUP(B336,'NIVEL ENERO'!A:D,3,0)</f>
        <v>#N/A</v>
      </c>
      <c r="Q336" s="229" t="e">
        <f aca="false">VLOOKUP(B336,'NIVEL ENERO'!A:D,4,0)</f>
        <v>#N/A</v>
      </c>
      <c r="R336" s="186" t="str">
        <f aca="false">+PROPER(C336&amp;" "&amp;D336)</f>
        <v>Cobo Gonzalez Nasly Marleni</v>
      </c>
      <c r="S336" s="230" t="n">
        <f aca="false">+YEARFRAC(L336,$S$1)</f>
        <v>2.86944444444444</v>
      </c>
      <c r="T336" s="230" t="n">
        <f aca="false">+YEARFRAC(M336,$S$1)</f>
        <v>10.9472222222222</v>
      </c>
      <c r="U336" s="231" t="n">
        <f aca="false">+$I336</f>
        <v>170548</v>
      </c>
      <c r="V336" s="232" t="str">
        <f aca="false">+PROPER(F336)</f>
        <v>Casado(A)</v>
      </c>
    </row>
    <row r="337" customFormat="false" ht="14.25" hidden="false" customHeight="false" outlineLevel="0" collapsed="false">
      <c r="B337" s="197" t="n">
        <v>34615367</v>
      </c>
      <c r="C337" s="197" t="s">
        <v>1573</v>
      </c>
      <c r="D337" s="197" t="s">
        <v>1574</v>
      </c>
      <c r="E337" s="198" t="s">
        <v>944</v>
      </c>
      <c r="F337" s="198" t="s">
        <v>945</v>
      </c>
      <c r="G337" s="225" t="n">
        <v>5418800</v>
      </c>
      <c r="H337" s="225" t="n">
        <v>7437740</v>
      </c>
      <c r="I337" s="225"/>
      <c r="J337" s="198" t="n">
        <v>40</v>
      </c>
      <c r="K337" s="198" t="n">
        <v>2</v>
      </c>
      <c r="L337" s="226" t="n">
        <v>44552</v>
      </c>
      <c r="M337" s="226" t="n">
        <v>39756</v>
      </c>
      <c r="N337" s="227" t="n">
        <v>5</v>
      </c>
      <c r="O337" s="227" t="s">
        <v>135</v>
      </c>
      <c r="P337" s="228" t="n">
        <f aca="false">VLOOKUP(B337,'NIVEL ENERO'!A:D,3,0)</f>
        <v>0.408856627319787</v>
      </c>
      <c r="Q337" s="229" t="n">
        <f aca="false">VLOOKUP(B337,'NIVEL ENERO'!A:D,4,0)</f>
        <v>101646.38</v>
      </c>
      <c r="R337" s="186" t="str">
        <f aca="false">+PROPER(C337&amp;" "&amp;D337)</f>
        <v>Bolanoz Paz Leidy Johanna</v>
      </c>
      <c r="S337" s="230" t="n">
        <f aca="false">+YEARFRAC(L337,$S$1)</f>
        <v>4.38888888888889</v>
      </c>
      <c r="T337" s="230" t="n">
        <f aca="false">+YEARFRAC(M337,$S$1)</f>
        <v>17.5222222222222</v>
      </c>
      <c r="U337" s="231" t="n">
        <f aca="false">+$I337</f>
        <v>0</v>
      </c>
      <c r="V337" s="232" t="str">
        <f aca="false">+PROPER(F337)</f>
        <v>Union Libre</v>
      </c>
    </row>
    <row r="338" customFormat="false" ht="14.25" hidden="false" customHeight="false" outlineLevel="0" collapsed="false">
      <c r="B338" s="197" t="n">
        <v>34616482</v>
      </c>
      <c r="C338" s="197" t="s">
        <v>1575</v>
      </c>
      <c r="D338" s="197" t="s">
        <v>1576</v>
      </c>
      <c r="E338" s="198" t="s">
        <v>944</v>
      </c>
      <c r="F338" s="198" t="s">
        <v>998</v>
      </c>
      <c r="G338" s="225" t="n">
        <v>9999400</v>
      </c>
      <c r="H338" s="225" t="n">
        <v>10729286</v>
      </c>
      <c r="I338" s="225" t="n">
        <v>0</v>
      </c>
      <c r="J338" s="198" t="n">
        <v>40</v>
      </c>
      <c r="K338" s="198" t="n">
        <v>6</v>
      </c>
      <c r="L338" s="226" t="n">
        <v>43082</v>
      </c>
      <c r="M338" s="226" t="n">
        <v>38913</v>
      </c>
      <c r="N338" s="227" t="n">
        <v>4</v>
      </c>
      <c r="O338" s="227" t="s">
        <v>135</v>
      </c>
      <c r="P338" s="228" t="n">
        <f aca="false">VLOOKUP(B338,'NIVEL ENERO'!A:D,3,0)</f>
        <v>0.417521751305078</v>
      </c>
      <c r="Q338" s="229" t="n">
        <f aca="false">VLOOKUP(B338,'NIVEL ENERO'!A:D,4,0)</f>
        <v>24781</v>
      </c>
      <c r="R338" s="186" t="str">
        <f aca="false">+PROPER(C338&amp;" "&amp;D338)</f>
        <v>Plaza Ramirez Bibian Mayeli</v>
      </c>
      <c r="S338" s="230" t="n">
        <f aca="false">+YEARFRAC(L338,$S$1)</f>
        <v>8.41388888888889</v>
      </c>
      <c r="T338" s="230" t="n">
        <f aca="false">+YEARFRAC(M338,$S$1)</f>
        <v>19.825</v>
      </c>
      <c r="U338" s="231" t="n">
        <f aca="false">+$I338</f>
        <v>0</v>
      </c>
      <c r="V338" s="232" t="str">
        <f aca="false">+PROPER(F338)</f>
        <v>Separado(A)</v>
      </c>
    </row>
    <row r="339" customFormat="false" ht="14.25" hidden="false" customHeight="false" outlineLevel="0" collapsed="false">
      <c r="B339" s="197" t="n">
        <v>34674541</v>
      </c>
      <c r="C339" s="197" t="s">
        <v>1577</v>
      </c>
      <c r="D339" s="197" t="s">
        <v>1578</v>
      </c>
      <c r="E339" s="198" t="s">
        <v>944</v>
      </c>
      <c r="F339" s="198" t="s">
        <v>948</v>
      </c>
      <c r="G339" s="225" t="n">
        <v>2893800</v>
      </c>
      <c r="H339" s="225" t="n">
        <v>1860209</v>
      </c>
      <c r="I339" s="225" t="n">
        <v>4271546</v>
      </c>
      <c r="J339" s="198" t="n">
        <v>46</v>
      </c>
      <c r="K339" s="198" t="n">
        <v>1</v>
      </c>
      <c r="L339" s="226" t="n">
        <v>44671</v>
      </c>
      <c r="M339" s="226" t="n">
        <v>41075</v>
      </c>
      <c r="N339" s="227" t="n">
        <v>3</v>
      </c>
      <c r="O339" s="227" t="s">
        <v>135</v>
      </c>
      <c r="P339" s="228" t="n">
        <f aca="false">VLOOKUP(B339,'NIVEL ENERO'!A:D,3,0)</f>
        <v>0.401529765153848</v>
      </c>
      <c r="Q339" s="229" t="n">
        <f aca="false">VLOOKUP(B339,'NIVEL ENERO'!A:D,4,0)</f>
        <v>67089.0399999998</v>
      </c>
      <c r="R339" s="186" t="str">
        <f aca="false">+PROPER(C339&amp;" "&amp;D339)</f>
        <v>Lopez Tobar Floresneida</v>
      </c>
      <c r="S339" s="230" t="n">
        <f aca="false">+YEARFRAC(L339,$S$1)</f>
        <v>4.06111111111111</v>
      </c>
      <c r="T339" s="230" t="n">
        <f aca="false">+YEARFRAC(M339,$S$1)</f>
        <v>13.9083333333333</v>
      </c>
      <c r="U339" s="231" t="n">
        <f aca="false">+$I339</f>
        <v>4271546</v>
      </c>
      <c r="V339" s="232" t="str">
        <f aca="false">+PROPER(F339)</f>
        <v>Casado(A)</v>
      </c>
    </row>
    <row r="340" customFormat="false" ht="14.25" hidden="false" customHeight="false" outlineLevel="0" collapsed="false">
      <c r="B340" s="197" t="n">
        <v>34679469</v>
      </c>
      <c r="C340" s="197" t="s">
        <v>1579</v>
      </c>
      <c r="D340" s="197" t="s">
        <v>1580</v>
      </c>
      <c r="E340" s="198" t="s">
        <v>944</v>
      </c>
      <c r="F340" s="198" t="s">
        <v>953</v>
      </c>
      <c r="G340" s="225" t="n">
        <v>4469100</v>
      </c>
      <c r="H340" s="225" t="n">
        <v>9729352</v>
      </c>
      <c r="I340" s="225" t="n">
        <v>6790399</v>
      </c>
      <c r="J340" s="198" t="n">
        <v>43</v>
      </c>
      <c r="K340" s="198" t="n">
        <v>4</v>
      </c>
      <c r="L340" s="226" t="n">
        <v>43419</v>
      </c>
      <c r="M340" s="226" t="n">
        <v>43227</v>
      </c>
      <c r="N340" s="227" t="n">
        <v>3</v>
      </c>
      <c r="O340" s="227" t="s">
        <v>135</v>
      </c>
      <c r="P340" s="228" t="n">
        <f aca="false">VLOOKUP(B340,'NIVEL ENERO'!A:D,3,0)</f>
        <v>0.151417664160634</v>
      </c>
      <c r="Q340" s="229" t="n">
        <f aca="false">VLOOKUP(B340,'NIVEL ENERO'!A:D,4,0)</f>
        <v>1603994.48</v>
      </c>
      <c r="R340" s="186" t="str">
        <f aca="false">+PROPER(C340&amp;" "&amp;D340)</f>
        <v>Garcia Vente Marlyn Socorro</v>
      </c>
      <c r="S340" s="230" t="n">
        <f aca="false">+YEARFRAC(L340,$S$1)</f>
        <v>7.49166666666667</v>
      </c>
      <c r="T340" s="230" t="n">
        <f aca="false">+YEARFRAC(M340,$S$1)</f>
        <v>8.01388888888889</v>
      </c>
      <c r="U340" s="231" t="n">
        <f aca="false">+$I340</f>
        <v>6790399</v>
      </c>
      <c r="V340" s="232" t="str">
        <f aca="false">+PROPER(F340)</f>
        <v>Soltero(A)</v>
      </c>
    </row>
    <row r="341" customFormat="false" ht="14.25" hidden="false" customHeight="false" outlineLevel="0" collapsed="false">
      <c r="B341" s="197" t="n">
        <v>35424880</v>
      </c>
      <c r="C341" s="197" t="s">
        <v>1581</v>
      </c>
      <c r="D341" s="197" t="s">
        <v>1582</v>
      </c>
      <c r="E341" s="198" t="s">
        <v>944</v>
      </c>
      <c r="F341" s="198" t="s">
        <v>953</v>
      </c>
      <c r="G341" s="225" t="n">
        <v>4327600</v>
      </c>
      <c r="H341" s="225" t="n">
        <v>2256021</v>
      </c>
      <c r="I341" s="225" t="n">
        <v>4756121</v>
      </c>
      <c r="J341" s="198" t="n">
        <v>43</v>
      </c>
      <c r="K341" s="198" t="n">
        <v>2</v>
      </c>
      <c r="L341" s="226" t="n">
        <v>44866</v>
      </c>
      <c r="M341" s="226" t="n">
        <v>41673</v>
      </c>
      <c r="N341" s="227" t="n">
        <v>4</v>
      </c>
      <c r="O341" s="227" t="s">
        <v>135</v>
      </c>
      <c r="P341" s="228" t="n">
        <f aca="false">VLOOKUP(B341,'NIVEL ENERO'!A:D,3,0)</f>
        <v>0.236740478575688</v>
      </c>
      <c r="Q341" s="229" t="n">
        <f aca="false">VLOOKUP(B341,'NIVEL ENERO'!A:D,4,0)</f>
        <v>775450.02</v>
      </c>
      <c r="R341" s="186" t="str">
        <f aca="false">+PROPER(C341&amp;" "&amp;D341)</f>
        <v>Navas Guzman Llady Cecilia</v>
      </c>
      <c r="S341" s="230" t="n">
        <f aca="false">+YEARFRAC(L341,$S$1)</f>
        <v>3.53055555555556</v>
      </c>
      <c r="T341" s="230" t="n">
        <f aca="false">+YEARFRAC(M341,$S$1)</f>
        <v>12.275</v>
      </c>
      <c r="U341" s="231" t="n">
        <f aca="false">+$I341</f>
        <v>4756121</v>
      </c>
      <c r="V341" s="232" t="str">
        <f aca="false">+PROPER(F341)</f>
        <v>Soltero(A)</v>
      </c>
    </row>
    <row r="342" customFormat="false" ht="14.25" hidden="false" customHeight="false" outlineLevel="0" collapsed="false">
      <c r="B342" s="197" t="n">
        <v>35850665</v>
      </c>
      <c r="C342" s="197" t="s">
        <v>1583</v>
      </c>
      <c r="D342" s="197" t="s">
        <v>1584</v>
      </c>
      <c r="E342" s="198" t="s">
        <v>944</v>
      </c>
      <c r="F342" s="198" t="s">
        <v>948</v>
      </c>
      <c r="G342" s="225" t="n">
        <v>2893800</v>
      </c>
      <c r="H342" s="225" t="n">
        <v>3011765</v>
      </c>
      <c r="I342" s="225" t="n">
        <v>0</v>
      </c>
      <c r="J342" s="198" t="n">
        <v>54</v>
      </c>
      <c r="K342" s="198" t="n">
        <v>1</v>
      </c>
      <c r="L342" s="226" t="n">
        <v>44757</v>
      </c>
      <c r="M342" s="226" t="n">
        <v>44105</v>
      </c>
      <c r="N342" s="227" t="n">
        <v>3</v>
      </c>
      <c r="O342" s="227" t="s">
        <v>135</v>
      </c>
      <c r="P342" s="228" t="n">
        <f aca="false">VLOOKUP(B342,'NIVEL ENERO'!A:D,3,0)</f>
        <v>0.111008724764846</v>
      </c>
      <c r="Q342" s="229" t="n">
        <f aca="false">VLOOKUP(B342,'NIVEL ENERO'!A:D,4,0)</f>
        <v>1351346.46</v>
      </c>
      <c r="R342" s="186" t="str">
        <f aca="false">+PROPER(C342&amp;" "&amp;D342)</f>
        <v>Murillo Benitez Maria Rubiela</v>
      </c>
      <c r="S342" s="230" t="n">
        <f aca="false">+YEARFRAC(L342,$S$1)</f>
        <v>3.825</v>
      </c>
      <c r="T342" s="230" t="n">
        <f aca="false">+YEARFRAC(M342,$S$1)</f>
        <v>5.61388888888889</v>
      </c>
      <c r="U342" s="231" t="n">
        <f aca="false">+$I342</f>
        <v>0</v>
      </c>
      <c r="V342" s="232" t="str">
        <f aca="false">+PROPER(F342)</f>
        <v>Casado(A)</v>
      </c>
    </row>
    <row r="343" customFormat="false" ht="14.25" hidden="false" customHeight="false" outlineLevel="0" collapsed="false">
      <c r="B343" s="197" t="n">
        <v>36175046</v>
      </c>
      <c r="C343" s="197" t="s">
        <v>1585</v>
      </c>
      <c r="D343" s="197" t="s">
        <v>1586</v>
      </c>
      <c r="E343" s="198" t="s">
        <v>944</v>
      </c>
      <c r="F343" s="198" t="s">
        <v>948</v>
      </c>
      <c r="G343" s="225" t="n">
        <v>5418800</v>
      </c>
      <c r="H343" s="225" t="n">
        <v>23422565</v>
      </c>
      <c r="I343" s="225" t="n">
        <v>9915924</v>
      </c>
      <c r="J343" s="198" t="n">
        <v>60</v>
      </c>
      <c r="K343" s="198" t="n">
        <v>1</v>
      </c>
      <c r="L343" s="226" t="n">
        <v>40065</v>
      </c>
      <c r="M343" s="226" t="n">
        <v>31057</v>
      </c>
      <c r="N343" s="227" t="n">
        <v>4</v>
      </c>
      <c r="O343" s="227" t="s">
        <v>135</v>
      </c>
      <c r="P343" s="228" t="n">
        <f aca="false">VLOOKUP(B343,'NIVEL ENERO'!A:D,3,0)</f>
        <v>0.175437071312684</v>
      </c>
      <c r="Q343" s="229" t="n">
        <f aca="false">VLOOKUP(B343,'NIVEL ENERO'!A:D,4,0)</f>
        <v>1817304.08</v>
      </c>
      <c r="R343" s="186" t="str">
        <f aca="false">+PROPER(C343&amp;" "&amp;D343)</f>
        <v>Almario Perdomo Amparo</v>
      </c>
      <c r="S343" s="230" t="n">
        <f aca="false">+YEARFRAC(L343,$S$1)</f>
        <v>16.675</v>
      </c>
      <c r="T343" s="230" t="n">
        <f aca="false">+YEARFRAC(M343,$S$1)</f>
        <v>41.3388888888889</v>
      </c>
      <c r="U343" s="231" t="n">
        <f aca="false">+$I343</f>
        <v>9915924</v>
      </c>
      <c r="V343" s="232" t="str">
        <f aca="false">+PROPER(F343)</f>
        <v>Casado(A)</v>
      </c>
    </row>
    <row r="344" customFormat="false" ht="14.25" hidden="false" customHeight="false" outlineLevel="0" collapsed="false">
      <c r="B344" s="197" t="n">
        <v>37081443</v>
      </c>
      <c r="C344" s="197" t="s">
        <v>1587</v>
      </c>
      <c r="D344" s="197" t="s">
        <v>1588</v>
      </c>
      <c r="E344" s="198" t="s">
        <v>944</v>
      </c>
      <c r="F344" s="198" t="s">
        <v>953</v>
      </c>
      <c r="G344" s="225" t="n">
        <v>4194600</v>
      </c>
      <c r="H344" s="225" t="n">
        <v>5275260</v>
      </c>
      <c r="I344" s="225" t="n">
        <v>0</v>
      </c>
      <c r="J344" s="198" t="n">
        <v>42</v>
      </c>
      <c r="K344" s="198" t="n">
        <v>2</v>
      </c>
      <c r="L344" s="226" t="n">
        <v>44552</v>
      </c>
      <c r="M344" s="226" t="n">
        <v>44515</v>
      </c>
      <c r="N344" s="227" t="n">
        <v>2</v>
      </c>
      <c r="O344" s="227" t="s">
        <v>135</v>
      </c>
      <c r="P344" s="228" t="n">
        <f aca="false">VLOOKUP(B344,'NIVEL ENERO'!A:D,3,0)</f>
        <v>0.139852059431788</v>
      </c>
      <c r="Q344" s="229" t="n">
        <f aca="false">VLOOKUP(B344,'NIVEL ENERO'!A:D,4,0)</f>
        <v>1056746.14</v>
      </c>
      <c r="R344" s="186" t="str">
        <f aca="false">+PROPER(C344&amp;" "&amp;D344)</f>
        <v>Lopez Trujillo Genny Vanessa</v>
      </c>
      <c r="S344" s="230" t="n">
        <f aca="false">+YEARFRAC(L344,$S$1)</f>
        <v>4.38888888888889</v>
      </c>
      <c r="T344" s="230" t="n">
        <f aca="false">+YEARFRAC(M344,$S$1)</f>
        <v>4.49166666666667</v>
      </c>
      <c r="U344" s="231" t="n">
        <f aca="false">+$I344</f>
        <v>0</v>
      </c>
      <c r="V344" s="232" t="str">
        <f aca="false">+PROPER(F344)</f>
        <v>Soltero(A)</v>
      </c>
    </row>
    <row r="345" customFormat="false" ht="14.25" hidden="false" customHeight="false" outlineLevel="0" collapsed="false">
      <c r="B345" s="197" t="n">
        <v>37317417</v>
      </c>
      <c r="C345" s="197" t="s">
        <v>1589</v>
      </c>
      <c r="D345" s="197" t="s">
        <v>1194</v>
      </c>
      <c r="E345" s="198" t="s">
        <v>944</v>
      </c>
      <c r="F345" s="198" t="s">
        <v>948</v>
      </c>
      <c r="G345" s="225" t="n">
        <v>8137694</v>
      </c>
      <c r="H345" s="225" t="n">
        <v>900000</v>
      </c>
      <c r="I345" s="225"/>
      <c r="J345" s="198" t="n">
        <v>60</v>
      </c>
      <c r="K345" s="198" t="n">
        <v>1</v>
      </c>
      <c r="L345" s="226" t="n">
        <v>45383</v>
      </c>
      <c r="M345" s="226" t="n">
        <v>37636</v>
      </c>
      <c r="N345" s="227" t="n">
        <v>0</v>
      </c>
      <c r="O345" s="227" t="s">
        <v>158</v>
      </c>
      <c r="P345" s="228" t="e">
        <f aca="false">VLOOKUP(B345,'NIVEL ENERO'!A:D,3,0)</f>
        <v>#N/A</v>
      </c>
      <c r="Q345" s="229" t="e">
        <f aca="false">VLOOKUP(B345,'NIVEL ENERO'!A:D,4,0)</f>
        <v>#N/A</v>
      </c>
      <c r="R345" s="186" t="str">
        <f aca="false">+PROPER(C345&amp;" "&amp;D345)</f>
        <v>Alvernia Lobo Claudia</v>
      </c>
      <c r="S345" s="230" t="n">
        <f aca="false">+YEARFRAC(L345,$S$1)</f>
        <v>2.11388888888889</v>
      </c>
      <c r="T345" s="230" t="n">
        <f aca="false">+YEARFRAC(M345,$S$1)</f>
        <v>23.325</v>
      </c>
      <c r="U345" s="231" t="n">
        <f aca="false">+$I345</f>
        <v>0</v>
      </c>
      <c r="V345" s="232" t="str">
        <f aca="false">+PROPER(F345)</f>
        <v>Casado(A)</v>
      </c>
    </row>
    <row r="346" customFormat="false" ht="14.25" hidden="false" customHeight="false" outlineLevel="0" collapsed="false">
      <c r="B346" s="197" t="n">
        <v>38210639</v>
      </c>
      <c r="C346" s="197" t="s">
        <v>1590</v>
      </c>
      <c r="D346" s="197" t="s">
        <v>1591</v>
      </c>
      <c r="E346" s="198" t="s">
        <v>944</v>
      </c>
      <c r="F346" s="198" t="s">
        <v>945</v>
      </c>
      <c r="G346" s="225" t="n">
        <v>1670000</v>
      </c>
      <c r="H346" s="225" t="n">
        <v>3264303</v>
      </c>
      <c r="I346" s="225" t="n">
        <v>5523992</v>
      </c>
      <c r="J346" s="198" t="n">
        <v>39</v>
      </c>
      <c r="K346" s="198" t="n">
        <v>1</v>
      </c>
      <c r="L346" s="226" t="n">
        <v>44606</v>
      </c>
      <c r="M346" s="226" t="n">
        <v>40859</v>
      </c>
      <c r="N346" s="227" t="n">
        <v>3</v>
      </c>
      <c r="O346" s="227" t="s">
        <v>135</v>
      </c>
      <c r="P346" s="228" t="n">
        <f aca="false">VLOOKUP(B346,'NIVEL ENERO'!A:D,3,0)</f>
        <v>0.421338284486841</v>
      </c>
      <c r="Q346" s="229" t="n">
        <f aca="false">VLOOKUP(B346,'NIVEL ENERO'!A:D,4,0)</f>
        <v>-2870.92000000004</v>
      </c>
      <c r="R346" s="186" t="str">
        <f aca="false">+PROPER(C346&amp;" "&amp;D346)</f>
        <v>Suache Avendano Paula Andrea</v>
      </c>
      <c r="S346" s="230" t="n">
        <f aca="false">+YEARFRAC(L346,$S$1)</f>
        <v>4.24444444444444</v>
      </c>
      <c r="T346" s="230" t="n">
        <f aca="false">+YEARFRAC(M346,$S$1)</f>
        <v>14.5</v>
      </c>
      <c r="U346" s="231" t="n">
        <f aca="false">+$I346</f>
        <v>5523992</v>
      </c>
      <c r="V346" s="232" t="str">
        <f aca="false">+PROPER(F346)</f>
        <v>Union Libre</v>
      </c>
    </row>
    <row r="347" customFormat="false" ht="14.25" hidden="false" customHeight="false" outlineLevel="0" collapsed="false">
      <c r="B347" s="197" t="n">
        <v>38287868</v>
      </c>
      <c r="C347" s="197" t="s">
        <v>1592</v>
      </c>
      <c r="D347" s="197" t="s">
        <v>1593</v>
      </c>
      <c r="E347" s="198" t="s">
        <v>944</v>
      </c>
      <c r="F347" s="198" t="s">
        <v>945</v>
      </c>
      <c r="G347" s="225" t="n">
        <v>2893800</v>
      </c>
      <c r="H347" s="225" t="n">
        <v>1600000</v>
      </c>
      <c r="I347" s="225" t="n">
        <v>0</v>
      </c>
      <c r="J347" s="198" t="n">
        <v>48</v>
      </c>
      <c r="K347" s="198" t="n">
        <v>3</v>
      </c>
      <c r="L347" s="226" t="n">
        <v>45414</v>
      </c>
      <c r="M347" s="226" t="n">
        <v>39528</v>
      </c>
      <c r="N347" s="227" t="n">
        <v>4</v>
      </c>
      <c r="O347" s="227" t="s">
        <v>135</v>
      </c>
      <c r="P347" s="228" t="n">
        <f aca="false">VLOOKUP(B347,'NIVEL ENERO'!A:D,3,0)</f>
        <v>0.14807780988146</v>
      </c>
      <c r="Q347" s="229" t="n">
        <f aca="false">VLOOKUP(B347,'NIVEL ENERO'!A:D,4,0)</f>
        <v>1120973.94</v>
      </c>
      <c r="R347" s="186" t="str">
        <f aca="false">+PROPER(C347&amp;" "&amp;D347)</f>
        <v>Triana Trivino Martha Isabel</v>
      </c>
      <c r="S347" s="230" t="n">
        <f aca="false">+YEARFRAC(L347,$S$1)</f>
        <v>2.02777777777778</v>
      </c>
      <c r="T347" s="230" t="n">
        <f aca="false">+YEARFRAC(M347,$S$1)</f>
        <v>18.1416666666667</v>
      </c>
      <c r="U347" s="231" t="n">
        <f aca="false">+$I347</f>
        <v>0</v>
      </c>
      <c r="V347" s="232" t="str">
        <f aca="false">+PROPER(F347)</f>
        <v>Union Libre</v>
      </c>
    </row>
    <row r="348" customFormat="false" ht="14.25" hidden="false" customHeight="false" outlineLevel="0" collapsed="false">
      <c r="B348" s="197" t="n">
        <v>38462107</v>
      </c>
      <c r="C348" s="197" t="s">
        <v>1594</v>
      </c>
      <c r="D348" s="197" t="s">
        <v>1595</v>
      </c>
      <c r="E348" s="198" t="s">
        <v>944</v>
      </c>
      <c r="F348" s="198" t="s">
        <v>945</v>
      </c>
      <c r="G348" s="225" t="n">
        <v>6544600</v>
      </c>
      <c r="H348" s="225" t="n">
        <v>1180060</v>
      </c>
      <c r="I348" s="225" t="n">
        <v>178847</v>
      </c>
      <c r="J348" s="198" t="n">
        <v>43</v>
      </c>
      <c r="K348" s="198" t="n">
        <v>1</v>
      </c>
      <c r="L348" s="226" t="n">
        <v>45099</v>
      </c>
      <c r="M348" s="226" t="n">
        <v>39356</v>
      </c>
      <c r="N348" s="227" t="n">
        <v>0</v>
      </c>
      <c r="O348" s="227" t="s">
        <v>135</v>
      </c>
      <c r="P348" s="228" t="n">
        <f aca="false">VLOOKUP(B348,'NIVEL ENERO'!A:D,3,0)</f>
        <v>0.29733519804346</v>
      </c>
      <c r="Q348" s="229" t="n">
        <f aca="false">VLOOKUP(B348,'NIVEL ENERO'!A:D,4,0)</f>
        <v>872711</v>
      </c>
      <c r="R348" s="186" t="str">
        <f aca="false">+PROPER(C348&amp;" "&amp;D348)</f>
        <v>Orrego Florez Marly Suleydi</v>
      </c>
      <c r="S348" s="230" t="n">
        <f aca="false">+YEARFRAC(L348,$S$1)</f>
        <v>2.88888888888889</v>
      </c>
      <c r="T348" s="230" t="n">
        <f aca="false">+YEARFRAC(M348,$S$1)</f>
        <v>18.6138888888889</v>
      </c>
      <c r="U348" s="231" t="n">
        <f aca="false">+$I348</f>
        <v>178847</v>
      </c>
      <c r="V348" s="232" t="str">
        <f aca="false">+PROPER(F348)</f>
        <v>Union Libre</v>
      </c>
    </row>
    <row r="349" customFormat="false" ht="14.25" hidden="false" customHeight="false" outlineLevel="0" collapsed="false">
      <c r="B349" s="197" t="n">
        <v>38462926</v>
      </c>
      <c r="C349" s="197" t="s">
        <v>1596</v>
      </c>
      <c r="D349" s="197" t="s">
        <v>1597</v>
      </c>
      <c r="E349" s="198" t="s">
        <v>944</v>
      </c>
      <c r="F349" s="198" t="s">
        <v>953</v>
      </c>
      <c r="G349" s="225" t="n">
        <v>2893800</v>
      </c>
      <c r="H349" s="225" t="n">
        <v>2053147</v>
      </c>
      <c r="I349" s="225" t="n">
        <v>0</v>
      </c>
      <c r="J349" s="198" t="n">
        <v>42</v>
      </c>
      <c r="K349" s="198" t="n">
        <v>4</v>
      </c>
      <c r="L349" s="226" t="n">
        <v>44523</v>
      </c>
      <c r="M349" s="226" t="n">
        <v>44105</v>
      </c>
      <c r="N349" s="227" t="n">
        <v>0</v>
      </c>
      <c r="O349" s="227" t="s">
        <v>135</v>
      </c>
      <c r="P349" s="228" t="n">
        <f aca="false">VLOOKUP(B349,'NIVEL ENERO'!A:D,3,0)</f>
        <v>0.410346901422501</v>
      </c>
      <c r="Q349" s="229" t="n">
        <f aca="false">VLOOKUP(B349,'NIVEL ENERO'!A:D,4,0)</f>
        <v>33867</v>
      </c>
      <c r="R349" s="186" t="str">
        <f aca="false">+PROPER(C349&amp;" "&amp;D349)</f>
        <v>Cabezas Torres Luz Aydee</v>
      </c>
      <c r="S349" s="230" t="n">
        <f aca="false">+YEARFRAC(L349,$S$1)</f>
        <v>4.46944444444444</v>
      </c>
      <c r="T349" s="230" t="n">
        <f aca="false">+YEARFRAC(M349,$S$1)</f>
        <v>5.61388888888889</v>
      </c>
      <c r="U349" s="231" t="n">
        <f aca="false">+$I349</f>
        <v>0</v>
      </c>
      <c r="V349" s="232" t="str">
        <f aca="false">+PROPER(F349)</f>
        <v>Soltero(A)</v>
      </c>
    </row>
    <row r="350" customFormat="false" ht="14.25" hidden="false" customHeight="false" outlineLevel="0" collapsed="false">
      <c r="B350" s="197" t="n">
        <v>38463310</v>
      </c>
      <c r="C350" s="197" t="s">
        <v>1598</v>
      </c>
      <c r="D350" s="197" t="s">
        <v>1599</v>
      </c>
      <c r="E350" s="198" t="s">
        <v>944</v>
      </c>
      <c r="F350" s="198" t="s">
        <v>948</v>
      </c>
      <c r="G350" s="225" t="n">
        <v>1717900</v>
      </c>
      <c r="H350" s="225" t="n">
        <v>1860209</v>
      </c>
      <c r="I350" s="225" t="n">
        <v>0</v>
      </c>
      <c r="J350" s="198" t="n">
        <v>42</v>
      </c>
      <c r="K350" s="198" t="n">
        <v>2</v>
      </c>
      <c r="L350" s="226" t="n">
        <v>44671</v>
      </c>
      <c r="M350" s="226" t="n">
        <v>43961</v>
      </c>
      <c r="N350" s="227" t="n">
        <v>3</v>
      </c>
      <c r="O350" s="227" t="s">
        <v>135</v>
      </c>
      <c r="P350" s="228" t="n">
        <f aca="false">VLOOKUP(B350,'NIVEL ENERO'!A:D,3,0)</f>
        <v>0.134994711736547</v>
      </c>
      <c r="Q350" s="229" t="n">
        <f aca="false">VLOOKUP(B350,'NIVEL ENERO'!A:D,4,0)</f>
        <v>559149.5</v>
      </c>
      <c r="R350" s="186" t="str">
        <f aca="false">+PROPER(C350&amp;" "&amp;D350)</f>
        <v>Valencia Ome Yudy Patricia</v>
      </c>
      <c r="S350" s="230" t="n">
        <f aca="false">+YEARFRAC(L350,$S$1)</f>
        <v>4.06111111111111</v>
      </c>
      <c r="T350" s="230" t="n">
        <f aca="false">+YEARFRAC(M350,$S$1)</f>
        <v>6.00555555555556</v>
      </c>
      <c r="U350" s="231" t="n">
        <f aca="false">+$I350</f>
        <v>0</v>
      </c>
      <c r="V350" s="232" t="str">
        <f aca="false">+PROPER(F350)</f>
        <v>Casado(A)</v>
      </c>
    </row>
    <row r="351" customFormat="false" ht="14.25" hidden="false" customHeight="false" outlineLevel="0" collapsed="false">
      <c r="B351" s="197" t="n">
        <v>38464115</v>
      </c>
      <c r="C351" s="197" t="s">
        <v>1600</v>
      </c>
      <c r="D351" s="197" t="s">
        <v>1267</v>
      </c>
      <c r="E351" s="198" t="s">
        <v>944</v>
      </c>
      <c r="F351" s="198" t="s">
        <v>948</v>
      </c>
      <c r="G351" s="225" t="n">
        <v>2893800</v>
      </c>
      <c r="H351" s="225" t="n">
        <v>1843793</v>
      </c>
      <c r="I351" s="225" t="n">
        <v>3926458</v>
      </c>
      <c r="J351" s="198" t="n">
        <v>43</v>
      </c>
      <c r="K351" s="198" t="n">
        <v>3</v>
      </c>
      <c r="L351" s="226" t="n">
        <v>44974</v>
      </c>
      <c r="M351" s="226" t="n">
        <v>40896</v>
      </c>
      <c r="N351" s="227" t="n">
        <v>2</v>
      </c>
      <c r="O351" s="227" t="s">
        <v>135</v>
      </c>
      <c r="P351" s="228" t="n">
        <f aca="false">VLOOKUP(B351,'NIVEL ENERO'!A:D,3,0)</f>
        <v>0.349791387920653</v>
      </c>
      <c r="Q351" s="229" t="n">
        <f aca="false">VLOOKUP(B351,'NIVEL ENERO'!A:D,4,0)</f>
        <v>297157.74</v>
      </c>
      <c r="R351" s="186" t="str">
        <f aca="false">+PROPER(C351&amp;" "&amp;D351)</f>
        <v>Lozano Valderrama Ana Maria</v>
      </c>
      <c r="S351" s="230" t="n">
        <f aca="false">+YEARFRAC(L351,$S$1)</f>
        <v>3.23611111111111</v>
      </c>
      <c r="T351" s="230" t="n">
        <f aca="false">+YEARFRAC(M351,$S$1)</f>
        <v>14.3972222222222</v>
      </c>
      <c r="U351" s="231" t="n">
        <f aca="false">+$I351</f>
        <v>3926458</v>
      </c>
      <c r="V351" s="232" t="str">
        <f aca="false">+PROPER(F351)</f>
        <v>Casado(A)</v>
      </c>
    </row>
    <row r="352" customFormat="false" ht="14.25" hidden="false" customHeight="false" outlineLevel="0" collapsed="false">
      <c r="B352" s="197" t="n">
        <v>38551019</v>
      </c>
      <c r="C352" s="197" t="s">
        <v>1601</v>
      </c>
      <c r="D352" s="197" t="s">
        <v>1602</v>
      </c>
      <c r="E352" s="198" t="s">
        <v>944</v>
      </c>
      <c r="F352" s="198" t="s">
        <v>948</v>
      </c>
      <c r="G352" s="225" t="n">
        <v>2600900</v>
      </c>
      <c r="H352" s="225" t="n">
        <v>1658179</v>
      </c>
      <c r="I352" s="225" t="n">
        <v>3736324</v>
      </c>
      <c r="J352" s="198" t="n">
        <v>42</v>
      </c>
      <c r="K352" s="198" t="n">
        <v>4</v>
      </c>
      <c r="L352" s="226" t="n">
        <v>44792</v>
      </c>
      <c r="M352" s="226" t="n">
        <v>44396</v>
      </c>
      <c r="N352" s="227" t="n">
        <v>1</v>
      </c>
      <c r="O352" s="227" t="s">
        <v>135</v>
      </c>
      <c r="P352" s="228" t="n">
        <f aca="false">VLOOKUP(B352,'NIVEL ENERO'!A:D,3,0)</f>
        <v>0.344244161282048</v>
      </c>
      <c r="Q352" s="229" t="n">
        <f aca="false">VLOOKUP(B352,'NIVEL ENERO'!A:D,4,0)</f>
        <v>236068.88</v>
      </c>
      <c r="R352" s="186" t="str">
        <f aca="false">+PROPER(C352&amp;" "&amp;D352)</f>
        <v>Villa Ramirez Heidy</v>
      </c>
      <c r="S352" s="230" t="n">
        <f aca="false">+YEARFRAC(L352,$S$1)</f>
        <v>3.73055555555556</v>
      </c>
      <c r="T352" s="230" t="n">
        <f aca="false">+YEARFRAC(M352,$S$1)</f>
        <v>4.81388888888889</v>
      </c>
      <c r="U352" s="231" t="n">
        <f aca="false">+$I352</f>
        <v>3736324</v>
      </c>
      <c r="V352" s="232" t="str">
        <f aca="false">+PROPER(F352)</f>
        <v>Casado(A)</v>
      </c>
    </row>
    <row r="353" customFormat="false" ht="14.25" hidden="false" customHeight="false" outlineLevel="0" collapsed="false">
      <c r="B353" s="197" t="n">
        <v>38551037</v>
      </c>
      <c r="C353" s="197" t="s">
        <v>1603</v>
      </c>
      <c r="D353" s="197" t="s">
        <v>1604</v>
      </c>
      <c r="E353" s="198" t="s">
        <v>1288</v>
      </c>
      <c r="F353" s="198" t="s">
        <v>945</v>
      </c>
      <c r="G353" s="225" t="n">
        <v>2600900</v>
      </c>
      <c r="H353" s="225" t="n">
        <v>2289926</v>
      </c>
      <c r="I353" s="225" t="n">
        <v>28333</v>
      </c>
      <c r="J353" s="198" t="n">
        <v>44</v>
      </c>
      <c r="K353" s="198" t="n">
        <v>2</v>
      </c>
      <c r="L353" s="226" t="n">
        <v>44396</v>
      </c>
      <c r="M353" s="226" t="n">
        <v>44105</v>
      </c>
      <c r="N353" s="227" t="n">
        <v>3</v>
      </c>
      <c r="O353" s="227" t="s">
        <v>135</v>
      </c>
      <c r="P353" s="228" t="n">
        <f aca="false">VLOOKUP(B353,'NIVEL ENERO'!A:D,3,0)</f>
        <v>0.112370511295629</v>
      </c>
      <c r="Q353" s="229" t="n">
        <f aca="false">VLOOKUP(B353,'NIVEL ENERO'!A:D,4,0)</f>
        <v>982748.14</v>
      </c>
      <c r="R353" s="186" t="str">
        <f aca="false">+PROPER(C353&amp;" "&amp;D353)</f>
        <v>Delgado Ospina Luz Delby</v>
      </c>
      <c r="S353" s="230" t="n">
        <f aca="false">+YEARFRAC(L353,$S$1)</f>
        <v>4.81388888888889</v>
      </c>
      <c r="T353" s="230" t="n">
        <f aca="false">+YEARFRAC(M353,$S$1)</f>
        <v>5.61388888888889</v>
      </c>
      <c r="U353" s="231" t="n">
        <f aca="false">+$I353</f>
        <v>28333</v>
      </c>
      <c r="V353" s="232" t="str">
        <f aca="false">+PROPER(F353)</f>
        <v>Union Libre</v>
      </c>
    </row>
    <row r="354" customFormat="false" ht="14.25" hidden="false" customHeight="false" outlineLevel="0" collapsed="false">
      <c r="B354" s="197" t="n">
        <v>38551369</v>
      </c>
      <c r="C354" s="197" t="s">
        <v>1605</v>
      </c>
      <c r="D354" s="197" t="s">
        <v>1606</v>
      </c>
      <c r="E354" s="198" t="s">
        <v>944</v>
      </c>
      <c r="F354" s="198" t="s">
        <v>948</v>
      </c>
      <c r="G354" s="225" t="n">
        <v>5418800</v>
      </c>
      <c r="H354" s="225" t="n">
        <v>1237596</v>
      </c>
      <c r="I354" s="225" t="n">
        <v>32522</v>
      </c>
      <c r="J354" s="198" t="n">
        <v>43</v>
      </c>
      <c r="K354" s="198" t="n">
        <v>3</v>
      </c>
      <c r="L354" s="226" t="n">
        <v>45279</v>
      </c>
      <c r="M354" s="226" t="n">
        <v>44099</v>
      </c>
      <c r="N354" s="227" t="n">
        <v>4</v>
      </c>
      <c r="O354" s="227" t="s">
        <v>135</v>
      </c>
      <c r="P354" s="228" t="n">
        <f aca="false">VLOOKUP(B354,'NIVEL ENERO'!A:D,3,0)</f>
        <v>0.403844070903928</v>
      </c>
      <c r="Q354" s="229" t="n">
        <f aca="false">VLOOKUP(B354,'NIVEL ENERO'!A:D,4,0)</f>
        <v>121117.64</v>
      </c>
      <c r="R354" s="186" t="str">
        <f aca="false">+PROPER(C354&amp;" "&amp;D354)</f>
        <v>Valencia Moreno Alba Lucia</v>
      </c>
      <c r="S354" s="230" t="n">
        <f aca="false">+YEARFRAC(L354,$S$1)</f>
        <v>2.39722222222222</v>
      </c>
      <c r="T354" s="230" t="n">
        <f aca="false">+YEARFRAC(M354,$S$1)</f>
        <v>5.63055555555556</v>
      </c>
      <c r="U354" s="231" t="n">
        <f aca="false">+$I354</f>
        <v>32522</v>
      </c>
      <c r="V354" s="232" t="str">
        <f aca="false">+PROPER(F354)</f>
        <v>Casado(A)</v>
      </c>
    </row>
    <row r="355" customFormat="false" ht="14.25" hidden="false" customHeight="false" outlineLevel="0" collapsed="false">
      <c r="B355" s="197" t="n">
        <v>38552196</v>
      </c>
      <c r="C355" s="197" t="s">
        <v>1607</v>
      </c>
      <c r="D355" s="197" t="s">
        <v>1608</v>
      </c>
      <c r="E355" s="198" t="s">
        <v>944</v>
      </c>
      <c r="F355" s="198" t="s">
        <v>953</v>
      </c>
      <c r="G355" s="225" t="n">
        <v>2600900</v>
      </c>
      <c r="H355" s="225" t="n">
        <v>5331953</v>
      </c>
      <c r="I355" s="225" t="n">
        <v>7472747</v>
      </c>
      <c r="J355" s="198" t="n">
        <v>43</v>
      </c>
      <c r="K355" s="198" t="n">
        <v>4</v>
      </c>
      <c r="L355" s="226" t="n">
        <v>42074</v>
      </c>
      <c r="M355" s="226" t="n">
        <v>41957</v>
      </c>
      <c r="N355" s="227" t="n">
        <v>2</v>
      </c>
      <c r="O355" s="227" t="s">
        <v>135</v>
      </c>
      <c r="P355" s="228" t="n">
        <f aca="false">VLOOKUP(B355,'NIVEL ENERO'!A:D,3,0)</f>
        <v>0.237494811685289</v>
      </c>
      <c r="Q355" s="229" t="n">
        <f aca="false">VLOOKUP(B355,'NIVEL ENERO'!A:D,4,0)</f>
        <v>659114.02</v>
      </c>
      <c r="R355" s="186" t="str">
        <f aca="false">+PROPER(C355&amp;" "&amp;D355)</f>
        <v>Velez Castillo Yohana Patricia</v>
      </c>
      <c r="S355" s="230" t="n">
        <f aca="false">+YEARFRAC(L355,$S$1)</f>
        <v>11.1694444444444</v>
      </c>
      <c r="T355" s="230" t="n">
        <f aca="false">+YEARFRAC(M355,$S$1)</f>
        <v>11.4944444444444</v>
      </c>
      <c r="U355" s="231" t="n">
        <f aca="false">+$I355</f>
        <v>7472747</v>
      </c>
      <c r="V355" s="232" t="str">
        <f aca="false">+PROPER(F355)</f>
        <v>Soltero(A)</v>
      </c>
    </row>
    <row r="356" customFormat="false" ht="14.25" hidden="false" customHeight="false" outlineLevel="0" collapsed="false">
      <c r="B356" s="197" t="n">
        <v>38553183</v>
      </c>
      <c r="C356" s="197" t="s">
        <v>1609</v>
      </c>
      <c r="D356" s="197" t="s">
        <v>1610</v>
      </c>
      <c r="E356" s="198" t="s">
        <v>944</v>
      </c>
      <c r="F356" s="198" t="s">
        <v>953</v>
      </c>
      <c r="G356" s="225" t="n">
        <v>4000000</v>
      </c>
      <c r="H356" s="225" t="n">
        <v>2108236</v>
      </c>
      <c r="I356" s="225" t="n">
        <v>8599548</v>
      </c>
      <c r="J356" s="198" t="n">
        <v>43</v>
      </c>
      <c r="K356" s="198" t="n">
        <v>1</v>
      </c>
      <c r="L356" s="226" t="n">
        <v>44743</v>
      </c>
      <c r="M356" s="226" t="n">
        <v>41339</v>
      </c>
      <c r="N356" s="227" t="n">
        <v>1</v>
      </c>
      <c r="O356" s="227" t="s">
        <v>158</v>
      </c>
      <c r="P356" s="228" t="e">
        <f aca="false">VLOOKUP(B356,'NIVEL ENERO'!A:D,3,0)</f>
        <v>#N/A</v>
      </c>
      <c r="Q356" s="229" t="e">
        <f aca="false">VLOOKUP(B356,'NIVEL ENERO'!A:D,4,0)</f>
        <v>#N/A</v>
      </c>
      <c r="R356" s="186" t="str">
        <f aca="false">+PROPER(C356&amp;" "&amp;D356)</f>
        <v>Marin Montoya Alba Milena</v>
      </c>
      <c r="S356" s="230" t="n">
        <f aca="false">+YEARFRAC(L356,$S$1)</f>
        <v>3.86388888888889</v>
      </c>
      <c r="T356" s="230" t="n">
        <f aca="false">+YEARFRAC(M356,$S$1)</f>
        <v>13.1833333333333</v>
      </c>
      <c r="U356" s="231" t="n">
        <f aca="false">+$I356</f>
        <v>8599548</v>
      </c>
      <c r="V356" s="232" t="str">
        <f aca="false">+PROPER(F356)</f>
        <v>Soltero(A)</v>
      </c>
    </row>
    <row r="357" customFormat="false" ht="14.25" hidden="false" customHeight="false" outlineLevel="0" collapsed="false">
      <c r="B357" s="197" t="n">
        <v>38554243</v>
      </c>
      <c r="C357" s="197" t="s">
        <v>1611</v>
      </c>
      <c r="D357" s="197" t="s">
        <v>1612</v>
      </c>
      <c r="E357" s="198" t="s">
        <v>944</v>
      </c>
      <c r="F357" s="198" t="s">
        <v>945</v>
      </c>
      <c r="G357" s="225" t="n">
        <v>2600900</v>
      </c>
      <c r="H357" s="225" t="n">
        <v>2103117</v>
      </c>
      <c r="I357" s="225" t="n">
        <v>3773191</v>
      </c>
      <c r="J357" s="198" t="n">
        <v>43</v>
      </c>
      <c r="K357" s="198" t="n">
        <v>2</v>
      </c>
      <c r="L357" s="226" t="n">
        <v>45027</v>
      </c>
      <c r="M357" s="226" t="n">
        <v>44699</v>
      </c>
      <c r="N357" s="227" t="n">
        <v>0</v>
      </c>
      <c r="O357" s="227" t="s">
        <v>135</v>
      </c>
      <c r="P357" s="228" t="n">
        <f aca="false">VLOOKUP(B357,'NIVEL ENERO'!A:D,3,0)</f>
        <v>0.23248993211099</v>
      </c>
      <c r="Q357" s="229" t="n">
        <f aca="false">VLOOKUP(B357,'NIVEL ENERO'!A:D,4,0)</f>
        <v>587884.44</v>
      </c>
      <c r="R357" s="186" t="str">
        <f aca="false">+PROPER(C357&amp;" "&amp;D357)</f>
        <v>Correa Loaiza Neyla Lorena</v>
      </c>
      <c r="S357" s="230" t="n">
        <f aca="false">+YEARFRAC(L357,$S$1)</f>
        <v>3.08611111111111</v>
      </c>
      <c r="T357" s="230" t="n">
        <f aca="false">+YEARFRAC(M357,$S$1)</f>
        <v>3.98333333333333</v>
      </c>
      <c r="U357" s="231" t="n">
        <f aca="false">+$I357</f>
        <v>3773191</v>
      </c>
      <c r="V357" s="232" t="str">
        <f aca="false">+PROPER(F357)</f>
        <v>Union Libre</v>
      </c>
    </row>
    <row r="358" customFormat="false" ht="14.25" hidden="false" customHeight="false" outlineLevel="0" collapsed="false">
      <c r="B358" s="197" t="n">
        <v>38554945</v>
      </c>
      <c r="C358" s="197" t="s">
        <v>1613</v>
      </c>
      <c r="D358" s="197" t="s">
        <v>1186</v>
      </c>
      <c r="E358" s="198" t="s">
        <v>944</v>
      </c>
      <c r="F358" s="198" t="s">
        <v>948</v>
      </c>
      <c r="G358" s="225" t="n">
        <v>4469100</v>
      </c>
      <c r="H358" s="225" t="n">
        <v>1809661</v>
      </c>
      <c r="I358" s="225" t="n">
        <v>4834312</v>
      </c>
      <c r="J358" s="198" t="n">
        <v>43</v>
      </c>
      <c r="K358" s="198" t="n">
        <v>2</v>
      </c>
      <c r="L358" s="226" t="n">
        <v>44854</v>
      </c>
      <c r="M358" s="226" t="n">
        <v>44090</v>
      </c>
      <c r="N358" s="227" t="n">
        <v>0</v>
      </c>
      <c r="O358" s="227" t="s">
        <v>135</v>
      </c>
      <c r="P358" s="228" t="n">
        <f aca="false">VLOOKUP(B358,'NIVEL ENERO'!A:D,3,0)</f>
        <v>0.551589872955785</v>
      </c>
      <c r="Q358" s="229" t="n">
        <f aca="false">VLOOKUP(B358,'NIVEL ENERO'!A:D,4,0)</f>
        <v>-600020.52</v>
      </c>
      <c r="R358" s="186" t="str">
        <f aca="false">+PROPER(C358&amp;" "&amp;D358)</f>
        <v>Cespedes Zamora Liliana</v>
      </c>
      <c r="S358" s="230" t="n">
        <f aca="false">+YEARFRAC(L358,$S$1)</f>
        <v>3.56111111111111</v>
      </c>
      <c r="T358" s="230" t="n">
        <f aca="false">+YEARFRAC(M358,$S$1)</f>
        <v>5.65555555555556</v>
      </c>
      <c r="U358" s="231" t="n">
        <f aca="false">+$I358</f>
        <v>4834312</v>
      </c>
      <c r="V358" s="232" t="str">
        <f aca="false">+PROPER(F358)</f>
        <v>Casado(A)</v>
      </c>
    </row>
    <row r="359" customFormat="false" ht="14.25" hidden="false" customHeight="false" outlineLevel="0" collapsed="false">
      <c r="B359" s="197" t="n">
        <v>38555605</v>
      </c>
      <c r="C359" s="197" t="s">
        <v>1614</v>
      </c>
      <c r="D359" s="197" t="s">
        <v>1615</v>
      </c>
      <c r="E359" s="198" t="s">
        <v>944</v>
      </c>
      <c r="F359" s="198" t="s">
        <v>948</v>
      </c>
      <c r="G359" s="225" t="n">
        <v>3629200</v>
      </c>
      <c r="H359" s="225" t="n">
        <v>0</v>
      </c>
      <c r="I359" s="225" t="n">
        <v>0</v>
      </c>
      <c r="J359" s="198" t="n">
        <v>43</v>
      </c>
      <c r="K359" s="198" t="n">
        <v>2</v>
      </c>
      <c r="L359" s="226" t="n">
        <v>45639</v>
      </c>
      <c r="M359" s="226" t="n">
        <v>38903</v>
      </c>
      <c r="N359" s="227" t="n">
        <v>4</v>
      </c>
      <c r="O359" s="227" t="s">
        <v>135</v>
      </c>
      <c r="P359" s="228" t="e">
        <f aca="false">VLOOKUP(B359,'NIVEL ENERO'!A:D,3,0)</f>
        <v>#N/A</v>
      </c>
      <c r="Q359" s="229" t="e">
        <f aca="false">VLOOKUP(B359,'NIVEL ENERO'!A:D,4,0)</f>
        <v>#N/A</v>
      </c>
      <c r="R359" s="186" t="str">
        <f aca="false">+PROPER(C359&amp;" "&amp;D359)</f>
        <v>Garcia Gomez Neidy Johana</v>
      </c>
      <c r="S359" s="230" t="n">
        <f aca="false">+YEARFRAC(L359,$S$1)</f>
        <v>1.41388888888889</v>
      </c>
      <c r="T359" s="230" t="n">
        <f aca="false">+YEARFRAC(M359,$S$1)</f>
        <v>19.8527777777778</v>
      </c>
      <c r="U359" s="231" t="n">
        <f aca="false">+$I359</f>
        <v>0</v>
      </c>
      <c r="V359" s="232" t="str">
        <f aca="false">+PROPER(F359)</f>
        <v>Casado(A)</v>
      </c>
    </row>
    <row r="360" customFormat="false" ht="14.25" hidden="false" customHeight="false" outlineLevel="0" collapsed="false">
      <c r="B360" s="197" t="n">
        <v>38556029</v>
      </c>
      <c r="C360" s="197" t="s">
        <v>1616</v>
      </c>
      <c r="D360" s="197" t="s">
        <v>1617</v>
      </c>
      <c r="E360" s="198" t="s">
        <v>944</v>
      </c>
      <c r="F360" s="198" t="s">
        <v>953</v>
      </c>
      <c r="G360" s="225" t="n">
        <v>5418800</v>
      </c>
      <c r="H360" s="225" t="n">
        <v>5010360</v>
      </c>
      <c r="I360" s="225" t="n">
        <v>22496477</v>
      </c>
      <c r="J360" s="198" t="n">
        <v>43</v>
      </c>
      <c r="K360" s="198" t="n">
        <v>2</v>
      </c>
      <c r="L360" s="226" t="n">
        <v>44053</v>
      </c>
      <c r="M360" s="226" t="n">
        <v>40007</v>
      </c>
      <c r="N360" s="227" t="n">
        <v>1</v>
      </c>
      <c r="O360" s="227" t="s">
        <v>135</v>
      </c>
      <c r="P360" s="228" t="n">
        <f aca="false">VLOOKUP(B360,'NIVEL ENERO'!A:D,3,0)</f>
        <v>0.304262231936572</v>
      </c>
      <c r="Q360" s="229" t="n">
        <f aca="false">VLOOKUP(B360,'NIVEL ENERO'!A:D,4,0)</f>
        <v>950692.48</v>
      </c>
      <c r="R360" s="186" t="str">
        <f aca="false">+PROPER(C360&amp;" "&amp;D360)</f>
        <v>Lombana Espinosa Charlene Alejandra</v>
      </c>
      <c r="S360" s="230" t="n">
        <f aca="false">+YEARFRAC(L360,$S$1)</f>
        <v>5.75555555555556</v>
      </c>
      <c r="T360" s="230" t="n">
        <f aca="false">+YEARFRAC(M360,$S$1)</f>
        <v>16.8305555555556</v>
      </c>
      <c r="U360" s="231" t="n">
        <f aca="false">+$I360</f>
        <v>22496477</v>
      </c>
      <c r="V360" s="232" t="str">
        <f aca="false">+PROPER(F360)</f>
        <v>Soltero(A)</v>
      </c>
    </row>
    <row r="361" customFormat="false" ht="14.25" hidden="false" customHeight="false" outlineLevel="0" collapsed="false">
      <c r="B361" s="197" t="n">
        <v>38557612</v>
      </c>
      <c r="C361" s="197" t="s">
        <v>1618</v>
      </c>
      <c r="D361" s="197" t="s">
        <v>1619</v>
      </c>
      <c r="E361" s="198" t="s">
        <v>944</v>
      </c>
      <c r="F361" s="198" t="s">
        <v>945</v>
      </c>
      <c r="G361" s="225" t="n">
        <v>5679200</v>
      </c>
      <c r="H361" s="225" t="n">
        <v>3963340</v>
      </c>
      <c r="I361" s="225" t="n">
        <v>17540916</v>
      </c>
      <c r="J361" s="198" t="n">
        <v>43</v>
      </c>
      <c r="K361" s="198" t="n">
        <v>2</v>
      </c>
      <c r="L361" s="226" t="n">
        <v>43928</v>
      </c>
      <c r="M361" s="226" t="n">
        <v>41708</v>
      </c>
      <c r="N361" s="227" t="n">
        <v>2</v>
      </c>
      <c r="O361" s="227" t="s">
        <v>135</v>
      </c>
      <c r="P361" s="228" t="n">
        <f aca="false">VLOOKUP(B361,'NIVEL ENERO'!A:D,3,0)</f>
        <v>0.417442995868997</v>
      </c>
      <c r="Q361" s="229" t="n">
        <f aca="false">VLOOKUP(B361,'NIVEL ENERO'!A:D,4,0)</f>
        <v>15221.52</v>
      </c>
      <c r="R361" s="186" t="str">
        <f aca="false">+PROPER(C361&amp;" "&amp;D361)</f>
        <v>Lopez Moreno Leydyjhoana</v>
      </c>
      <c r="S361" s="230" t="n">
        <f aca="false">+YEARFRAC(L361,$S$1)</f>
        <v>6.09722222222222</v>
      </c>
      <c r="T361" s="230" t="n">
        <f aca="false">+YEARFRAC(M361,$S$1)</f>
        <v>12.1722222222222</v>
      </c>
      <c r="U361" s="231" t="n">
        <f aca="false">+$I361</f>
        <v>17540916</v>
      </c>
      <c r="V361" s="232" t="str">
        <f aca="false">+PROPER(F361)</f>
        <v>Union Libre</v>
      </c>
    </row>
    <row r="362" customFormat="false" ht="14.25" hidden="false" customHeight="false" outlineLevel="0" collapsed="false">
      <c r="B362" s="197" t="n">
        <v>38557635</v>
      </c>
      <c r="C362" s="197" t="s">
        <v>1620</v>
      </c>
      <c r="D362" s="197" t="s">
        <v>1621</v>
      </c>
      <c r="E362" s="198" t="s">
        <v>944</v>
      </c>
      <c r="F362" s="198" t="s">
        <v>948</v>
      </c>
      <c r="G362" s="225" t="n">
        <v>2893800</v>
      </c>
      <c r="H362" s="225" t="n">
        <v>1961224</v>
      </c>
      <c r="I362" s="225" t="n">
        <v>3121639</v>
      </c>
      <c r="J362" s="198" t="n">
        <v>43</v>
      </c>
      <c r="K362" s="198" t="n">
        <v>1</v>
      </c>
      <c r="L362" s="226" t="n">
        <v>44606</v>
      </c>
      <c r="M362" s="226" t="n">
        <v>38579</v>
      </c>
      <c r="N362" s="227" t="n">
        <v>4</v>
      </c>
      <c r="O362" s="227" t="s">
        <v>135</v>
      </c>
      <c r="P362" s="228" t="n">
        <f aca="false">VLOOKUP(B362,'NIVEL ENERO'!A:D,3,0)</f>
        <v>0.531854558240634</v>
      </c>
      <c r="Q362" s="229" t="n">
        <f aca="false">VLOOKUP(B362,'NIVEL ENERO'!A:D,4,0)</f>
        <v>-499894</v>
      </c>
      <c r="R362" s="186" t="str">
        <f aca="false">+PROPER(C362&amp;" "&amp;D362)</f>
        <v>Anacona Hernandez Yolanda Liria</v>
      </c>
      <c r="S362" s="230" t="n">
        <f aca="false">+YEARFRAC(L362,$S$1)</f>
        <v>4.24444444444444</v>
      </c>
      <c r="T362" s="230" t="n">
        <f aca="false">+YEARFRAC(M362,$S$1)</f>
        <v>20.7416666666667</v>
      </c>
      <c r="U362" s="231" t="n">
        <f aca="false">+$I362</f>
        <v>3121639</v>
      </c>
      <c r="V362" s="232" t="str">
        <f aca="false">+PROPER(F362)</f>
        <v>Casado(A)</v>
      </c>
    </row>
    <row r="363" customFormat="false" ht="14.25" hidden="false" customHeight="false" outlineLevel="0" collapsed="false">
      <c r="B363" s="197" t="n">
        <v>38558372</v>
      </c>
      <c r="C363" s="197" t="s">
        <v>1622</v>
      </c>
      <c r="D363" s="197" t="s">
        <v>1623</v>
      </c>
      <c r="E363" s="198" t="s">
        <v>944</v>
      </c>
      <c r="F363" s="198" t="s">
        <v>945</v>
      </c>
      <c r="G363" s="225" t="n">
        <v>2893800</v>
      </c>
      <c r="H363" s="225" t="n">
        <v>2359209</v>
      </c>
      <c r="I363" s="225" t="n">
        <v>6825407</v>
      </c>
      <c r="J363" s="198" t="n">
        <v>44</v>
      </c>
      <c r="K363" s="198" t="n">
        <v>4</v>
      </c>
      <c r="L363" s="226" t="n">
        <v>44337</v>
      </c>
      <c r="M363" s="226" t="n">
        <v>43064</v>
      </c>
      <c r="N363" s="227" t="n">
        <v>5</v>
      </c>
      <c r="O363" s="227" t="s">
        <v>135</v>
      </c>
      <c r="P363" s="228" t="n">
        <f aca="false">VLOOKUP(B363,'NIVEL ENERO'!A:D,3,0)</f>
        <v>0.435259306772162</v>
      </c>
      <c r="Q363" s="229" t="n">
        <f aca="false">VLOOKUP(B363,'NIVEL ENERO'!A:D,4,0)</f>
        <v>-59410.8799999999</v>
      </c>
      <c r="R363" s="186" t="str">
        <f aca="false">+PROPER(C363&amp;" "&amp;D363)</f>
        <v>Orejuela Gonzalez Yohana</v>
      </c>
      <c r="S363" s="230" t="n">
        <f aca="false">+YEARFRAC(L363,$S$1)</f>
        <v>4.975</v>
      </c>
      <c r="T363" s="230" t="n">
        <f aca="false">+YEARFRAC(M363,$S$1)</f>
        <v>8.46388888888889</v>
      </c>
      <c r="U363" s="231" t="n">
        <f aca="false">+$I363</f>
        <v>6825407</v>
      </c>
      <c r="V363" s="232" t="str">
        <f aca="false">+PROPER(F363)</f>
        <v>Union Libre</v>
      </c>
    </row>
    <row r="364" customFormat="false" ht="14.25" hidden="false" customHeight="false" outlineLevel="0" collapsed="false">
      <c r="B364" s="197" t="n">
        <v>38559970</v>
      </c>
      <c r="C364" s="197" t="s">
        <v>1624</v>
      </c>
      <c r="D364" s="197" t="s">
        <v>1625</v>
      </c>
      <c r="E364" s="198" t="s">
        <v>944</v>
      </c>
      <c r="F364" s="198" t="s">
        <v>945</v>
      </c>
      <c r="G364" s="225" t="n">
        <v>2600900</v>
      </c>
      <c r="H364" s="225" t="n">
        <v>3752334</v>
      </c>
      <c r="I364" s="225" t="n">
        <v>7875972</v>
      </c>
      <c r="J364" s="198" t="n">
        <v>43</v>
      </c>
      <c r="K364" s="198" t="n">
        <v>2</v>
      </c>
      <c r="L364" s="226" t="n">
        <v>43269</v>
      </c>
      <c r="M364" s="226" t="n">
        <v>38904</v>
      </c>
      <c r="N364" s="227" t="n">
        <v>4</v>
      </c>
      <c r="O364" s="227" t="s">
        <v>135</v>
      </c>
      <c r="P364" s="228" t="n">
        <f aca="false">VLOOKUP(B364,'NIVEL ENERO'!A:D,3,0)</f>
        <v>0.418030491837932</v>
      </c>
      <c r="Q364" s="229" t="n">
        <f aca="false">VLOOKUP(B364,'NIVEL ENERO'!A:D,4,0)</f>
        <v>6161.83999999985</v>
      </c>
      <c r="R364" s="186" t="str">
        <f aca="false">+PROPER(C364&amp;" "&amp;D364)</f>
        <v>Correa Munoz Lindelia</v>
      </c>
      <c r="S364" s="230" t="n">
        <f aca="false">+YEARFRAC(L364,$S$1)</f>
        <v>7.9</v>
      </c>
      <c r="T364" s="230" t="n">
        <f aca="false">+YEARFRAC(M364,$S$1)</f>
        <v>19.85</v>
      </c>
      <c r="U364" s="231" t="n">
        <f aca="false">+$I364</f>
        <v>7875972</v>
      </c>
      <c r="V364" s="232" t="str">
        <f aca="false">+PROPER(F364)</f>
        <v>Union Libre</v>
      </c>
    </row>
    <row r="365" customFormat="false" ht="14.25" hidden="false" customHeight="false" outlineLevel="0" collapsed="false">
      <c r="B365" s="197" t="n">
        <v>38560478</v>
      </c>
      <c r="C365" s="197" t="s">
        <v>1626</v>
      </c>
      <c r="D365" s="197" t="s">
        <v>1277</v>
      </c>
      <c r="E365" s="198" t="s">
        <v>944</v>
      </c>
      <c r="F365" s="198" t="s">
        <v>948</v>
      </c>
      <c r="G365" s="225" t="n">
        <v>9999400</v>
      </c>
      <c r="H365" s="225" t="n">
        <v>16379684</v>
      </c>
      <c r="I365" s="225" t="n">
        <v>0</v>
      </c>
      <c r="J365" s="198" t="n">
        <v>42</v>
      </c>
      <c r="K365" s="198" t="n">
        <v>1</v>
      </c>
      <c r="L365" s="226" t="n">
        <v>40952</v>
      </c>
      <c r="M365" s="226" t="n">
        <v>36724</v>
      </c>
      <c r="N365" s="227" t="n">
        <v>4</v>
      </c>
      <c r="O365" s="227" t="s">
        <v>135</v>
      </c>
      <c r="P365" s="228" t="n">
        <f aca="false">VLOOKUP(B365,'NIVEL ENERO'!A:D,3,0)</f>
        <v>0.166541092465548</v>
      </c>
      <c r="Q365" s="229" t="n">
        <f aca="false">VLOOKUP(B365,'NIVEL ENERO'!A:D,4,0)</f>
        <v>2534437</v>
      </c>
      <c r="R365" s="186" t="str">
        <f aca="false">+PROPER(C365&amp;" "&amp;D365)</f>
        <v>Bonilla Vargas Maria Delpilar</v>
      </c>
      <c r="S365" s="230" t="n">
        <f aca="false">+YEARFRAC(L365,$S$1)</f>
        <v>14.2472222222222</v>
      </c>
      <c r="T365" s="230" t="n">
        <f aca="false">+YEARFRAC(M365,$S$1)</f>
        <v>25.8194444444444</v>
      </c>
      <c r="U365" s="231" t="n">
        <f aca="false">+$I365</f>
        <v>0</v>
      </c>
      <c r="V365" s="232" t="str">
        <f aca="false">+PROPER(F365)</f>
        <v>Casado(A)</v>
      </c>
    </row>
    <row r="366" customFormat="false" ht="14.25" hidden="false" customHeight="false" outlineLevel="0" collapsed="false">
      <c r="B366" s="197" t="n">
        <v>38561292</v>
      </c>
      <c r="C366" s="197" t="s">
        <v>1627</v>
      </c>
      <c r="D366" s="197" t="s">
        <v>1202</v>
      </c>
      <c r="E366" s="198" t="s">
        <v>944</v>
      </c>
      <c r="F366" s="198" t="s">
        <v>953</v>
      </c>
      <c r="G366" s="225" t="n">
        <v>4469100</v>
      </c>
      <c r="H366" s="225" t="n">
        <v>3011765</v>
      </c>
      <c r="I366" s="225" t="n">
        <v>110632</v>
      </c>
      <c r="J366" s="198" t="n">
        <v>43</v>
      </c>
      <c r="K366" s="198" t="n">
        <v>4</v>
      </c>
      <c r="L366" s="226" t="n">
        <v>44757</v>
      </c>
      <c r="M366" s="226" t="n">
        <v>44180</v>
      </c>
      <c r="N366" s="227" t="n">
        <v>2</v>
      </c>
      <c r="O366" s="227" t="s">
        <v>135</v>
      </c>
      <c r="P366" s="228" t="n">
        <f aca="false">VLOOKUP(B366,'NIVEL ENERO'!A:D,3,0)</f>
        <v>0.127283679044234</v>
      </c>
      <c r="Q366" s="229" t="n">
        <f aca="false">VLOOKUP(B366,'NIVEL ENERO'!A:D,4,0)</f>
        <v>1467435.02</v>
      </c>
      <c r="R366" s="186" t="str">
        <f aca="false">+PROPER(C366&amp;" "&amp;D366)</f>
        <v>Escamilla Franco Carolina</v>
      </c>
      <c r="S366" s="230" t="n">
        <f aca="false">+YEARFRAC(L366,$S$1)</f>
        <v>3.825</v>
      </c>
      <c r="T366" s="230" t="n">
        <f aca="false">+YEARFRAC(M366,$S$1)</f>
        <v>5.40833333333333</v>
      </c>
      <c r="U366" s="231" t="n">
        <f aca="false">+$I366</f>
        <v>110632</v>
      </c>
      <c r="V366" s="232" t="str">
        <f aca="false">+PROPER(F366)</f>
        <v>Soltero(A)</v>
      </c>
    </row>
    <row r="367" customFormat="false" ht="14.25" hidden="false" customHeight="false" outlineLevel="0" collapsed="false">
      <c r="B367" s="197" t="n">
        <v>38561313</v>
      </c>
      <c r="C367" s="197" t="s">
        <v>1628</v>
      </c>
      <c r="D367" s="197" t="s">
        <v>1629</v>
      </c>
      <c r="E367" s="198" t="s">
        <v>944</v>
      </c>
      <c r="F367" s="198" t="s">
        <v>1107</v>
      </c>
      <c r="G367" s="225" t="n">
        <v>2893800</v>
      </c>
      <c r="H367" s="225" t="n">
        <v>2466298</v>
      </c>
      <c r="I367" s="225" t="n">
        <v>0</v>
      </c>
      <c r="J367" s="198" t="n">
        <v>43</v>
      </c>
      <c r="K367" s="198" t="n">
        <v>1</v>
      </c>
      <c r="L367" s="226" t="n">
        <v>44302</v>
      </c>
      <c r="M367" s="226" t="n">
        <v>36497</v>
      </c>
      <c r="N367" s="227" t="n">
        <v>3</v>
      </c>
      <c r="O367" s="227" t="s">
        <v>135</v>
      </c>
      <c r="P367" s="228" t="n">
        <f aca="false">VLOOKUP(B367,'NIVEL ENERO'!A:D,3,0)</f>
        <v>0.134184949704444</v>
      </c>
      <c r="Q367" s="229" t="n">
        <f aca="false">VLOOKUP(B367,'NIVEL ENERO'!A:D,4,0)</f>
        <v>1078815.1</v>
      </c>
      <c r="R367" s="186" t="str">
        <f aca="false">+PROPER(C367&amp;" "&amp;D367)</f>
        <v>Fernandez Ramirez Marly Andrea</v>
      </c>
      <c r="S367" s="230" t="n">
        <f aca="false">+YEARFRAC(L367,$S$1)</f>
        <v>5.07222222222222</v>
      </c>
      <c r="T367" s="230" t="n">
        <f aca="false">+YEARFRAC(M367,$S$1)</f>
        <v>26.4416666666667</v>
      </c>
      <c r="U367" s="231" t="n">
        <f aca="false">+$I367</f>
        <v>0</v>
      </c>
      <c r="V367" s="232" t="str">
        <f aca="false">+PROPER(F367)</f>
        <v>Viudo(A)</v>
      </c>
    </row>
    <row r="368" customFormat="false" ht="14.25" hidden="false" customHeight="false" outlineLevel="0" collapsed="false">
      <c r="B368" s="197" t="n">
        <v>38561807</v>
      </c>
      <c r="C368" s="197" t="s">
        <v>1630</v>
      </c>
      <c r="D368" s="197" t="s">
        <v>1631</v>
      </c>
      <c r="E368" s="198" t="s">
        <v>944</v>
      </c>
      <c r="F368" s="198" t="s">
        <v>948</v>
      </c>
      <c r="G368" s="225" t="n">
        <v>2893800</v>
      </c>
      <c r="H368" s="225" t="n">
        <v>1759194</v>
      </c>
      <c r="I368" s="225" t="n">
        <v>11996095</v>
      </c>
      <c r="J368" s="198" t="n">
        <v>42</v>
      </c>
      <c r="K368" s="198" t="n">
        <v>2</v>
      </c>
      <c r="L368" s="226" t="n">
        <v>44733</v>
      </c>
      <c r="M368" s="226" t="n">
        <v>39639</v>
      </c>
      <c r="N368" s="227" t="n">
        <v>4</v>
      </c>
      <c r="O368" s="227" t="s">
        <v>135</v>
      </c>
      <c r="P368" s="228" t="n">
        <f aca="false">VLOOKUP(B368,'NIVEL ENERO'!A:D,3,0)</f>
        <v>0.328612550971042</v>
      </c>
      <c r="Q368" s="229" t="n">
        <f aca="false">VLOOKUP(B368,'NIVEL ENERO'!A:D,4,0)</f>
        <v>264457</v>
      </c>
      <c r="R368" s="186" t="str">
        <f aca="false">+PROPER(C368&amp;" "&amp;D368)</f>
        <v>Urbano Cayapu Nuria Angelica</v>
      </c>
      <c r="S368" s="230" t="n">
        <f aca="false">+YEARFRAC(L368,$S$1)</f>
        <v>3.89166666666667</v>
      </c>
      <c r="T368" s="230" t="n">
        <f aca="false">+YEARFRAC(M368,$S$1)</f>
        <v>17.8388888888889</v>
      </c>
      <c r="U368" s="231" t="n">
        <f aca="false">+$I368</f>
        <v>11996095</v>
      </c>
      <c r="V368" s="232" t="str">
        <f aca="false">+PROPER(F368)</f>
        <v>Casado(A)</v>
      </c>
    </row>
    <row r="369" customFormat="false" ht="14.25" hidden="false" customHeight="false" outlineLevel="0" collapsed="false">
      <c r="B369" s="197" t="n">
        <v>38561848</v>
      </c>
      <c r="C369" s="197" t="s">
        <v>1632</v>
      </c>
      <c r="D369" s="197" t="s">
        <v>1499</v>
      </c>
      <c r="E369" s="198" t="s">
        <v>944</v>
      </c>
      <c r="F369" s="198" t="s">
        <v>953</v>
      </c>
      <c r="G369" s="225" t="n">
        <v>2916600</v>
      </c>
      <c r="H369" s="225" t="n">
        <v>4053222</v>
      </c>
      <c r="I369" s="225" t="n">
        <v>8440828</v>
      </c>
      <c r="J369" s="198" t="n">
        <v>42</v>
      </c>
      <c r="K369" s="198" t="n">
        <v>1</v>
      </c>
      <c r="L369" s="226" t="n">
        <v>44516</v>
      </c>
      <c r="M369" s="226" t="n">
        <v>42531</v>
      </c>
      <c r="N369" s="227" t="n">
        <v>1</v>
      </c>
      <c r="O369" s="227" t="s">
        <v>135</v>
      </c>
      <c r="P369" s="228" t="n">
        <f aca="false">VLOOKUP(B369,'NIVEL ENERO'!A:D,3,0)</f>
        <v>0.467222507986909</v>
      </c>
      <c r="Q369" s="229" t="n">
        <f aca="false">VLOOKUP(B369,'NIVEL ENERO'!A:D,4,0)</f>
        <v>-173359.1</v>
      </c>
      <c r="R369" s="186" t="str">
        <f aca="false">+PROPER(C369&amp;" "&amp;D369)</f>
        <v>Sanchez Avellaneda Gloria Patricia</v>
      </c>
      <c r="S369" s="230" t="n">
        <f aca="false">+YEARFRAC(L369,$S$1)</f>
        <v>4.48888888888889</v>
      </c>
      <c r="T369" s="230" t="n">
        <f aca="false">+YEARFRAC(M369,$S$1)</f>
        <v>9.92222222222222</v>
      </c>
      <c r="U369" s="231" t="n">
        <f aca="false">+$I369</f>
        <v>8440828</v>
      </c>
      <c r="V369" s="232" t="str">
        <f aca="false">+PROPER(F369)</f>
        <v>Soltero(A)</v>
      </c>
    </row>
    <row r="370" customFormat="false" ht="14.25" hidden="false" customHeight="false" outlineLevel="0" collapsed="false">
      <c r="B370" s="197" t="n">
        <v>38562452</v>
      </c>
      <c r="C370" s="197" t="s">
        <v>1633</v>
      </c>
      <c r="D370" s="197" t="s">
        <v>1202</v>
      </c>
      <c r="E370" s="198" t="s">
        <v>944</v>
      </c>
      <c r="F370" s="198" t="s">
        <v>948</v>
      </c>
      <c r="G370" s="225" t="n">
        <v>2893000</v>
      </c>
      <c r="H370" s="225" t="n">
        <v>1896104</v>
      </c>
      <c r="I370" s="225"/>
      <c r="J370" s="198" t="n">
        <v>42</v>
      </c>
      <c r="K370" s="198" t="n">
        <v>2</v>
      </c>
      <c r="L370" s="226" t="n">
        <v>44823</v>
      </c>
      <c r="M370" s="226" t="n">
        <v>37165</v>
      </c>
      <c r="N370" s="227" t="n">
        <v>2</v>
      </c>
      <c r="O370" s="227" t="s">
        <v>135</v>
      </c>
      <c r="P370" s="228" t="n">
        <f aca="false">VLOOKUP(B370,'NIVEL ENERO'!A:D,3,0)</f>
        <v>0.325445785219271</v>
      </c>
      <c r="Q370" s="229" t="n">
        <f aca="false">VLOOKUP(B370,'NIVEL ENERO'!A:D,4,0)</f>
        <v>340658.16</v>
      </c>
      <c r="R370" s="186" t="str">
        <f aca="false">+PROPER(C370&amp;" "&amp;D370)</f>
        <v>Alban Rivera Carolina</v>
      </c>
      <c r="S370" s="230" t="n">
        <f aca="false">+YEARFRAC(L370,$S$1)</f>
        <v>3.64722222222222</v>
      </c>
      <c r="T370" s="230" t="n">
        <f aca="false">+YEARFRAC(M370,$S$1)</f>
        <v>24.6138888888889</v>
      </c>
      <c r="U370" s="231" t="n">
        <f aca="false">+$I370</f>
        <v>0</v>
      </c>
      <c r="V370" s="232" t="str">
        <f aca="false">+PROPER(F370)</f>
        <v>Casado(A)</v>
      </c>
    </row>
    <row r="371" customFormat="false" ht="14.25" hidden="false" customHeight="false" outlineLevel="0" collapsed="false">
      <c r="B371" s="197" t="n">
        <v>38562907</v>
      </c>
      <c r="C371" s="197" t="s">
        <v>1634</v>
      </c>
      <c r="D371" s="197" t="s">
        <v>1635</v>
      </c>
      <c r="E371" s="198" t="s">
        <v>944</v>
      </c>
      <c r="F371" s="198" t="s">
        <v>953</v>
      </c>
      <c r="G371" s="225" t="n">
        <v>4480000</v>
      </c>
      <c r="H371" s="225" t="n">
        <v>2320367</v>
      </c>
      <c r="I371" s="225"/>
      <c r="J371" s="198" t="n">
        <v>42</v>
      </c>
      <c r="K371" s="198" t="n">
        <v>1</v>
      </c>
      <c r="L371" s="226" t="n">
        <v>38527</v>
      </c>
      <c r="M371" s="226" t="n">
        <v>37978</v>
      </c>
      <c r="N371" s="227" t="n">
        <v>1</v>
      </c>
      <c r="O371" s="227" t="s">
        <v>135</v>
      </c>
      <c r="P371" s="228" t="n">
        <f aca="false">VLOOKUP(B371,'NIVEL ENERO'!A:D,3,0)</f>
        <v>0.198110562537355</v>
      </c>
      <c r="Q371" s="229" t="n">
        <f aca="false">VLOOKUP(B371,'NIVEL ENERO'!A:D,4,0)</f>
        <v>1381808.04</v>
      </c>
      <c r="R371" s="186" t="str">
        <f aca="false">+PROPER(C371&amp;" "&amp;D371)</f>
        <v>Oliveros Ortiz Sara Julieth</v>
      </c>
      <c r="S371" s="230" t="n">
        <f aca="false">+YEARFRAC(L371,$S$1)</f>
        <v>20.8833333333333</v>
      </c>
      <c r="T371" s="230" t="n">
        <f aca="false">+YEARFRAC(M371,$S$1)</f>
        <v>22.3861111111111</v>
      </c>
      <c r="U371" s="231" t="n">
        <f aca="false">+$I371</f>
        <v>0</v>
      </c>
      <c r="V371" s="232" t="str">
        <f aca="false">+PROPER(F371)</f>
        <v>Soltero(A)</v>
      </c>
    </row>
    <row r="372" customFormat="false" ht="14.25" hidden="false" customHeight="false" outlineLevel="0" collapsed="false">
      <c r="B372" s="197" t="n">
        <v>38563552</v>
      </c>
      <c r="C372" s="197" t="s">
        <v>1636</v>
      </c>
      <c r="D372" s="197" t="s">
        <v>1637</v>
      </c>
      <c r="E372" s="198" t="s">
        <v>944</v>
      </c>
      <c r="F372" s="198" t="s">
        <v>945</v>
      </c>
      <c r="G372" s="225" t="n">
        <v>1717900</v>
      </c>
      <c r="H372" s="225" t="n">
        <v>2011731</v>
      </c>
      <c r="I372" s="225" t="n">
        <v>1182129</v>
      </c>
      <c r="J372" s="198" t="n">
        <v>42</v>
      </c>
      <c r="K372" s="198" t="n">
        <v>1</v>
      </c>
      <c r="L372" s="226" t="n">
        <v>44579</v>
      </c>
      <c r="M372" s="226" t="n">
        <v>38723</v>
      </c>
      <c r="N372" s="227" t="n">
        <v>3</v>
      </c>
      <c r="O372" s="227" t="s">
        <v>135</v>
      </c>
      <c r="P372" s="228" t="n">
        <f aca="false">VLOOKUP(B372,'NIVEL ENERO'!A:D,3,0)</f>
        <v>0.345091855125594</v>
      </c>
      <c r="Q372" s="229" t="n">
        <f aca="false">VLOOKUP(B372,'NIVEL ENERO'!A:D,4,0)</f>
        <v>162758.12</v>
      </c>
      <c r="R372" s="186" t="str">
        <f aca="false">+PROPER(C372&amp;" "&amp;D372)</f>
        <v>Munoz Valencia Yorladis</v>
      </c>
      <c r="S372" s="230" t="n">
        <f aca="false">+YEARFRAC(L372,$S$1)</f>
        <v>4.31666666666667</v>
      </c>
      <c r="T372" s="230" t="n">
        <f aca="false">+YEARFRAC(M372,$S$1)</f>
        <v>20.35</v>
      </c>
      <c r="U372" s="231" t="n">
        <f aca="false">+$I372</f>
        <v>1182129</v>
      </c>
      <c r="V372" s="232" t="str">
        <f aca="false">+PROPER(F372)</f>
        <v>Union Libre</v>
      </c>
    </row>
    <row r="373" customFormat="false" ht="14.25" hidden="false" customHeight="false" outlineLevel="0" collapsed="false">
      <c r="B373" s="197" t="n">
        <v>38566191</v>
      </c>
      <c r="C373" s="197" t="s">
        <v>1638</v>
      </c>
      <c r="D373" s="197" t="s">
        <v>1390</v>
      </c>
      <c r="E373" s="198" t="s">
        <v>944</v>
      </c>
      <c r="F373" s="198" t="s">
        <v>945</v>
      </c>
      <c r="G373" s="225" t="n">
        <v>3500000</v>
      </c>
      <c r="H373" s="225" t="n">
        <v>12028377</v>
      </c>
      <c r="I373" s="225" t="n">
        <v>11904847</v>
      </c>
      <c r="J373" s="198" t="n">
        <v>42</v>
      </c>
      <c r="K373" s="198" t="n">
        <v>1</v>
      </c>
      <c r="L373" s="226" t="n">
        <v>44928</v>
      </c>
      <c r="M373" s="226" t="n">
        <v>44448</v>
      </c>
      <c r="N373" s="227" t="n">
        <v>0</v>
      </c>
      <c r="O373" s="227" t="s">
        <v>158</v>
      </c>
      <c r="P373" s="228" t="e">
        <f aca="false">VLOOKUP(B373,'NIVEL ENERO'!A:D,3,0)</f>
        <v>#N/A</v>
      </c>
      <c r="Q373" s="229" t="e">
        <f aca="false">VLOOKUP(B373,'NIVEL ENERO'!A:D,4,0)</f>
        <v>#N/A</v>
      </c>
      <c r="R373" s="186" t="str">
        <f aca="false">+PROPER(C373&amp;" "&amp;D373)</f>
        <v>Perez Taquez Angelica</v>
      </c>
      <c r="S373" s="230" t="n">
        <f aca="false">+YEARFRAC(L373,$S$1)</f>
        <v>3.36111111111111</v>
      </c>
      <c r="T373" s="230" t="n">
        <f aca="false">+YEARFRAC(M373,$S$1)</f>
        <v>4.675</v>
      </c>
      <c r="U373" s="231" t="n">
        <f aca="false">+$I373</f>
        <v>11904847</v>
      </c>
      <c r="V373" s="232" t="str">
        <f aca="false">+PROPER(F373)</f>
        <v>Union Libre</v>
      </c>
    </row>
    <row r="374" customFormat="false" ht="14.25" hidden="false" customHeight="false" outlineLevel="0" collapsed="false">
      <c r="B374" s="197" t="n">
        <v>38566344</v>
      </c>
      <c r="C374" s="197" t="s">
        <v>1639</v>
      </c>
      <c r="D374" s="197" t="s">
        <v>1355</v>
      </c>
      <c r="E374" s="198" t="s">
        <v>944</v>
      </c>
      <c r="F374" s="198" t="s">
        <v>948</v>
      </c>
      <c r="G374" s="225" t="n">
        <v>10000000</v>
      </c>
      <c r="H374" s="225" t="n">
        <v>1200000</v>
      </c>
      <c r="I374" s="225" t="n">
        <v>1409938</v>
      </c>
      <c r="J374" s="198" t="n">
        <v>42</v>
      </c>
      <c r="K374" s="198" t="n">
        <v>2</v>
      </c>
      <c r="L374" s="226" t="n">
        <v>45352</v>
      </c>
      <c r="M374" s="226" t="n">
        <v>39680</v>
      </c>
      <c r="N374" s="227" t="n">
        <v>0</v>
      </c>
      <c r="O374" s="227" t="s">
        <v>158</v>
      </c>
      <c r="P374" s="228" t="e">
        <f aca="false">VLOOKUP(B374,'NIVEL ENERO'!A:D,3,0)</f>
        <v>#N/A</v>
      </c>
      <c r="Q374" s="229" t="e">
        <f aca="false">VLOOKUP(B374,'NIVEL ENERO'!A:D,4,0)</f>
        <v>#N/A</v>
      </c>
      <c r="R374" s="186" t="str">
        <f aca="false">+PROPER(C374&amp;" "&amp;D374)</f>
        <v>Restrepo Rivera Angelica Maria</v>
      </c>
      <c r="S374" s="230" t="n">
        <f aca="false">+YEARFRAC(L374,$S$1)</f>
        <v>2.19722222222222</v>
      </c>
      <c r="T374" s="230" t="n">
        <f aca="false">+YEARFRAC(M374,$S$1)</f>
        <v>17.7277777777778</v>
      </c>
      <c r="U374" s="231" t="n">
        <f aca="false">+$I374</f>
        <v>1409938</v>
      </c>
      <c r="V374" s="232" t="str">
        <f aca="false">+PROPER(F374)</f>
        <v>Casado(A)</v>
      </c>
    </row>
    <row r="375" customFormat="false" ht="14.25" hidden="false" customHeight="false" outlineLevel="0" collapsed="false">
      <c r="B375" s="197" t="n">
        <v>38568611</v>
      </c>
      <c r="C375" s="197" t="s">
        <v>1640</v>
      </c>
      <c r="D375" s="197" t="s">
        <v>1641</v>
      </c>
      <c r="E375" s="198" t="s">
        <v>944</v>
      </c>
      <c r="F375" s="198" t="s">
        <v>953</v>
      </c>
      <c r="G375" s="225" t="n">
        <v>2893800</v>
      </c>
      <c r="H375" s="225" t="n">
        <v>1759194</v>
      </c>
      <c r="I375" s="225" t="n">
        <v>5332182</v>
      </c>
      <c r="J375" s="198" t="n">
        <v>42</v>
      </c>
      <c r="K375" s="198" t="n">
        <v>4</v>
      </c>
      <c r="L375" s="226" t="n">
        <v>44757</v>
      </c>
      <c r="M375" s="226" t="n">
        <v>44105</v>
      </c>
      <c r="N375" s="227" t="n">
        <v>2</v>
      </c>
      <c r="O375" s="227" t="s">
        <v>135</v>
      </c>
      <c r="P375" s="228" t="n">
        <f aca="false">VLOOKUP(B375,'NIVEL ENERO'!A:D,3,0)</f>
        <v>0.370043023481482</v>
      </c>
      <c r="Q375" s="229" t="n">
        <f aca="false">VLOOKUP(B375,'NIVEL ENERO'!A:D,4,0)</f>
        <v>268737.96</v>
      </c>
      <c r="R375" s="186" t="str">
        <f aca="false">+PROPER(C375&amp;" "&amp;D375)</f>
        <v>Lerma Caicedo Diana Fernanda</v>
      </c>
      <c r="S375" s="230" t="n">
        <f aca="false">+YEARFRAC(L375,$S$1)</f>
        <v>3.825</v>
      </c>
      <c r="T375" s="230" t="n">
        <f aca="false">+YEARFRAC(M375,$S$1)</f>
        <v>5.61388888888889</v>
      </c>
      <c r="U375" s="231" t="n">
        <f aca="false">+$I375</f>
        <v>5332182</v>
      </c>
      <c r="V375" s="232" t="str">
        <f aca="false">+PROPER(F375)</f>
        <v>Soltero(A)</v>
      </c>
    </row>
    <row r="376" customFormat="false" ht="14.25" hidden="false" customHeight="false" outlineLevel="0" collapsed="false">
      <c r="B376" s="197" t="n">
        <v>38569313</v>
      </c>
      <c r="C376" s="197" t="s">
        <v>1642</v>
      </c>
      <c r="D376" s="197" t="s">
        <v>1352</v>
      </c>
      <c r="E376" s="198" t="s">
        <v>1288</v>
      </c>
      <c r="F376" s="198" t="s">
        <v>953</v>
      </c>
      <c r="G376" s="225" t="n">
        <v>3412227</v>
      </c>
      <c r="H376" s="225" t="n">
        <v>3223911</v>
      </c>
      <c r="I376" s="225" t="n">
        <v>0</v>
      </c>
      <c r="J376" s="198" t="n">
        <v>40</v>
      </c>
      <c r="K376" s="198" t="n">
        <v>2</v>
      </c>
      <c r="L376" s="226" t="n">
        <v>43817</v>
      </c>
      <c r="M376" s="226" t="n">
        <v>41560</v>
      </c>
      <c r="N376" s="227" t="n">
        <v>2</v>
      </c>
      <c r="O376" s="227" t="s">
        <v>158</v>
      </c>
      <c r="P376" s="228" t="e">
        <f aca="false">VLOOKUP(B376,'NIVEL ENERO'!A:D,3,0)</f>
        <v>#N/A</v>
      </c>
      <c r="Q376" s="229" t="e">
        <f aca="false">VLOOKUP(B376,'NIVEL ENERO'!A:D,4,0)</f>
        <v>#N/A</v>
      </c>
      <c r="R376" s="186" t="str">
        <f aca="false">+PROPER(C376&amp;" "&amp;D376)</f>
        <v>Castañeda Betancur Monica Andrea</v>
      </c>
      <c r="S376" s="230" t="n">
        <f aca="false">+YEARFRAC(L376,$S$1)</f>
        <v>6.4</v>
      </c>
      <c r="T376" s="230" t="n">
        <f aca="false">+YEARFRAC(M376,$S$1)</f>
        <v>12.5805555555556</v>
      </c>
      <c r="U376" s="231" t="n">
        <f aca="false">+$I376</f>
        <v>0</v>
      </c>
      <c r="V376" s="232" t="str">
        <f aca="false">+PROPER(F376)</f>
        <v>Soltero(A)</v>
      </c>
    </row>
    <row r="377" customFormat="false" ht="14.25" hidden="false" customHeight="false" outlineLevel="0" collapsed="false">
      <c r="B377" s="197" t="n">
        <v>38595275</v>
      </c>
      <c r="C377" s="197" t="s">
        <v>1643</v>
      </c>
      <c r="D377" s="197" t="s">
        <v>1644</v>
      </c>
      <c r="E377" s="198" t="s">
        <v>944</v>
      </c>
      <c r="F377" s="198" t="s">
        <v>998</v>
      </c>
      <c r="G377" s="225" t="n">
        <v>2648100</v>
      </c>
      <c r="H377" s="225" t="n">
        <v>2053147</v>
      </c>
      <c r="I377" s="225" t="n">
        <v>312279</v>
      </c>
      <c r="J377" s="198" t="n">
        <v>43</v>
      </c>
      <c r="K377" s="198" t="n">
        <v>1</v>
      </c>
      <c r="L377" s="226" t="n">
        <v>44552</v>
      </c>
      <c r="M377" s="226" t="n">
        <v>44105</v>
      </c>
      <c r="N377" s="227" t="n">
        <v>3</v>
      </c>
      <c r="O377" s="227" t="s">
        <v>135</v>
      </c>
      <c r="P377" s="228" t="n">
        <f aca="false">VLOOKUP(B377,'NIVEL ENERO'!A:D,3,0)</f>
        <v>0.247770881146402</v>
      </c>
      <c r="Q377" s="229" t="n">
        <f aca="false">VLOOKUP(B377,'NIVEL ENERO'!A:D,4,0)</f>
        <v>662217.46</v>
      </c>
      <c r="R377" s="186" t="str">
        <f aca="false">+PROPER(C377&amp;" "&amp;D377)</f>
        <v>Espana Tatiana Andrea</v>
      </c>
      <c r="S377" s="230" t="n">
        <f aca="false">+YEARFRAC(L377,$S$1)</f>
        <v>4.38888888888889</v>
      </c>
      <c r="T377" s="230" t="n">
        <f aca="false">+YEARFRAC(M377,$S$1)</f>
        <v>5.61388888888889</v>
      </c>
      <c r="U377" s="231" t="n">
        <f aca="false">+$I377</f>
        <v>312279</v>
      </c>
      <c r="V377" s="232" t="str">
        <f aca="false">+PROPER(F377)</f>
        <v>Separado(A)</v>
      </c>
    </row>
    <row r="378" customFormat="false" ht="14.25" hidden="false" customHeight="false" outlineLevel="0" collapsed="false">
      <c r="B378" s="197" t="n">
        <v>38595744</v>
      </c>
      <c r="C378" s="197" t="s">
        <v>1645</v>
      </c>
      <c r="D378" s="197" t="s">
        <v>1646</v>
      </c>
      <c r="E378" s="198" t="s">
        <v>944</v>
      </c>
      <c r="F378" s="198" t="s">
        <v>948</v>
      </c>
      <c r="G378" s="225" t="n">
        <v>5418800</v>
      </c>
      <c r="H378" s="225" t="n">
        <v>1557164</v>
      </c>
      <c r="I378" s="225"/>
      <c r="J378" s="198" t="n">
        <v>42</v>
      </c>
      <c r="K378" s="198" t="n">
        <v>1</v>
      </c>
      <c r="L378" s="226" t="n">
        <v>39338</v>
      </c>
      <c r="M378" s="226" t="n">
        <v>38657</v>
      </c>
      <c r="N378" s="227" t="n">
        <v>0</v>
      </c>
      <c r="O378" s="227" t="s">
        <v>135</v>
      </c>
      <c r="P378" s="228" t="n">
        <f aca="false">VLOOKUP(B378,'NIVEL ENERO'!A:D,3,0)</f>
        <v>0.4049384725514</v>
      </c>
      <c r="Q378" s="229" t="n">
        <f aca="false">VLOOKUP(B378,'NIVEL ENERO'!A:D,4,0)</f>
        <v>81615.4199999999</v>
      </c>
      <c r="R378" s="186" t="str">
        <f aca="false">+PROPER(C378&amp;" "&amp;D378)</f>
        <v>Guzman Beatriz Elena</v>
      </c>
      <c r="S378" s="230" t="n">
        <f aca="false">+YEARFRAC(L378,$S$1)</f>
        <v>18.6638888888889</v>
      </c>
      <c r="T378" s="230" t="n">
        <f aca="false">+YEARFRAC(M378,$S$1)</f>
        <v>20.5305555555556</v>
      </c>
      <c r="U378" s="231" t="n">
        <f aca="false">+$I378</f>
        <v>0</v>
      </c>
      <c r="V378" s="232" t="str">
        <f aca="false">+PROPER(F378)</f>
        <v>Casado(A)</v>
      </c>
    </row>
    <row r="379" customFormat="false" ht="14.25" hidden="false" customHeight="false" outlineLevel="0" collapsed="false">
      <c r="B379" s="197" t="n">
        <v>38600399</v>
      </c>
      <c r="C379" s="197" t="s">
        <v>1647</v>
      </c>
      <c r="D379" s="197" t="s">
        <v>1265</v>
      </c>
      <c r="E379" s="198" t="s">
        <v>944</v>
      </c>
      <c r="F379" s="198" t="s">
        <v>953</v>
      </c>
      <c r="G379" s="225" t="n">
        <v>2893800</v>
      </c>
      <c r="H379" s="225" t="n">
        <v>2287502</v>
      </c>
      <c r="I379" s="225"/>
      <c r="J379" s="198" t="n">
        <v>42</v>
      </c>
      <c r="K379" s="198" t="n">
        <v>4</v>
      </c>
      <c r="L379" s="226" t="n">
        <v>44399</v>
      </c>
      <c r="M379" s="226" t="n">
        <v>45566</v>
      </c>
      <c r="N379" s="227" t="n">
        <v>1</v>
      </c>
      <c r="O379" s="227" t="s">
        <v>135</v>
      </c>
      <c r="P379" s="228" t="n">
        <f aca="false">VLOOKUP(B379,'NIVEL ENERO'!A:D,3,0)</f>
        <v>0.397670662979458</v>
      </c>
      <c r="Q379" s="229" t="n">
        <f aca="false">VLOOKUP(B379,'NIVEL ENERO'!A:D,4,0)</f>
        <v>86445.8399999999</v>
      </c>
      <c r="R379" s="186" t="str">
        <f aca="false">+PROPER(C379&amp;" "&amp;D379)</f>
        <v>Torres Nieto Adriana</v>
      </c>
      <c r="S379" s="230" t="n">
        <f aca="false">+YEARFRAC(L379,$S$1)</f>
        <v>4.80555555555556</v>
      </c>
      <c r="T379" s="230" t="n">
        <f aca="false">+YEARFRAC(M379,$S$1)</f>
        <v>1.61388888888889</v>
      </c>
      <c r="U379" s="231" t="n">
        <f aca="false">+$I379</f>
        <v>0</v>
      </c>
      <c r="V379" s="232" t="str">
        <f aca="false">+PROPER(F379)</f>
        <v>Soltero(A)</v>
      </c>
    </row>
    <row r="380" customFormat="false" ht="14.25" hidden="false" customHeight="false" outlineLevel="0" collapsed="false">
      <c r="B380" s="197" t="n">
        <v>38600460</v>
      </c>
      <c r="C380" s="197" t="s">
        <v>1648</v>
      </c>
      <c r="D380" s="197" t="s">
        <v>1649</v>
      </c>
      <c r="E380" s="198" t="s">
        <v>944</v>
      </c>
      <c r="F380" s="198" t="s">
        <v>948</v>
      </c>
      <c r="G380" s="225" t="n">
        <v>6588500</v>
      </c>
      <c r="H380" s="225" t="n">
        <v>6850334</v>
      </c>
      <c r="I380" s="225" t="n">
        <v>0</v>
      </c>
      <c r="J380" s="198" t="n">
        <v>42</v>
      </c>
      <c r="K380" s="198" t="n">
        <v>4</v>
      </c>
      <c r="L380" s="226" t="n">
        <v>43476</v>
      </c>
      <c r="M380" s="226" t="n">
        <v>40105</v>
      </c>
      <c r="N380" s="227" t="n">
        <v>4</v>
      </c>
      <c r="O380" s="227" t="s">
        <v>135</v>
      </c>
      <c r="P380" s="228" t="n">
        <f aca="false">VLOOKUP(B380,'NIVEL ENERO'!A:D,3,0)</f>
        <v>0.215752902785156</v>
      </c>
      <c r="Q380" s="229" t="n">
        <f aca="false">VLOOKUP(B380,'NIVEL ENERO'!A:D,4,0)</f>
        <v>1345682</v>
      </c>
      <c r="R380" s="186" t="str">
        <f aca="false">+PROPER(C380&amp;" "&amp;D380)</f>
        <v>Gutierrez Cortes Angela Maria</v>
      </c>
      <c r="S380" s="230" t="n">
        <f aca="false">+YEARFRAC(L380,$S$1)</f>
        <v>7.33611111111111</v>
      </c>
      <c r="T380" s="230" t="n">
        <f aca="false">+YEARFRAC(M380,$S$1)</f>
        <v>16.5638888888889</v>
      </c>
      <c r="U380" s="231" t="n">
        <f aca="false">+$I380</f>
        <v>0</v>
      </c>
      <c r="V380" s="232" t="str">
        <f aca="false">+PROPER(F380)</f>
        <v>Casado(A)</v>
      </c>
    </row>
    <row r="381" customFormat="false" ht="14.25" hidden="false" customHeight="false" outlineLevel="0" collapsed="false">
      <c r="B381" s="197" t="n">
        <v>38600890</v>
      </c>
      <c r="C381" s="197" t="s">
        <v>1650</v>
      </c>
      <c r="D381" s="197" t="s">
        <v>1298</v>
      </c>
      <c r="E381" s="198" t="s">
        <v>944</v>
      </c>
      <c r="F381" s="198" t="s">
        <v>948</v>
      </c>
      <c r="G381" s="225" t="n">
        <v>2380600</v>
      </c>
      <c r="H381" s="225" t="n">
        <v>3983373</v>
      </c>
      <c r="I381" s="225" t="n">
        <v>5440968</v>
      </c>
      <c r="J381" s="198" t="n">
        <v>32</v>
      </c>
      <c r="K381" s="198" t="n">
        <v>2</v>
      </c>
      <c r="L381" s="226" t="n">
        <v>43598</v>
      </c>
      <c r="M381" s="226" t="n">
        <v>38600</v>
      </c>
      <c r="N381" s="227" t="n">
        <v>4</v>
      </c>
      <c r="O381" s="227" t="s">
        <v>135</v>
      </c>
      <c r="P381" s="228" t="n">
        <f aca="false">VLOOKUP(B381,'NIVEL ENERO'!A:D,3,0)</f>
        <v>0.448905780552332</v>
      </c>
      <c r="Q381" s="229" t="n">
        <f aca="false">VLOOKUP(B381,'NIVEL ENERO'!A:D,4,0)</f>
        <v>-78131.6600000002</v>
      </c>
      <c r="R381" s="186" t="str">
        <f aca="false">+PROPER(C381&amp;" "&amp;D381)</f>
        <v>Trujillo Rodriguez Monica</v>
      </c>
      <c r="S381" s="230" t="n">
        <f aca="false">+YEARFRAC(L381,$S$1)</f>
        <v>6.99722222222222</v>
      </c>
      <c r="T381" s="230" t="n">
        <f aca="false">+YEARFRAC(M381,$S$1)</f>
        <v>20.6861111111111</v>
      </c>
      <c r="U381" s="231" t="n">
        <f aca="false">+$I381</f>
        <v>5440968</v>
      </c>
      <c r="V381" s="232" t="str">
        <f aca="false">+PROPER(F381)</f>
        <v>Casado(A)</v>
      </c>
    </row>
    <row r="382" customFormat="false" ht="14.25" hidden="false" customHeight="false" outlineLevel="0" collapsed="false">
      <c r="B382" s="197" t="n">
        <v>38601336</v>
      </c>
      <c r="C382" s="197" t="s">
        <v>1651</v>
      </c>
      <c r="D382" s="197" t="s">
        <v>1652</v>
      </c>
      <c r="E382" s="198" t="s">
        <v>944</v>
      </c>
      <c r="F382" s="198" t="s">
        <v>998</v>
      </c>
      <c r="G382" s="225" t="n">
        <v>2893800</v>
      </c>
      <c r="H382" s="225" t="n">
        <v>1588860</v>
      </c>
      <c r="I382" s="225" t="n">
        <v>1305339</v>
      </c>
      <c r="J382" s="198" t="n">
        <v>44</v>
      </c>
      <c r="K382" s="198" t="n">
        <v>2</v>
      </c>
      <c r="L382" s="226" t="n">
        <v>45303</v>
      </c>
      <c r="M382" s="226" t="n">
        <v>44105</v>
      </c>
      <c r="N382" s="227" t="n">
        <v>0</v>
      </c>
      <c r="O382" s="227" t="s">
        <v>135</v>
      </c>
      <c r="P382" s="228" t="n">
        <f aca="false">VLOOKUP(B382,'NIVEL ENERO'!A:D,3,0)</f>
        <v>0.24594694953254</v>
      </c>
      <c r="Q382" s="229" t="n">
        <f aca="false">VLOOKUP(B382,'NIVEL ENERO'!A:D,4,0)</f>
        <v>641382.3</v>
      </c>
      <c r="R382" s="186" t="str">
        <f aca="false">+PROPER(C382&amp;" "&amp;D382)</f>
        <v>Gomez Carabali Yeni Alejandra</v>
      </c>
      <c r="S382" s="230" t="n">
        <f aca="false">+YEARFRAC(L382,$S$1)</f>
        <v>2.33333333333333</v>
      </c>
      <c r="T382" s="230" t="n">
        <f aca="false">+YEARFRAC(M382,$S$1)</f>
        <v>5.61388888888889</v>
      </c>
      <c r="U382" s="231" t="n">
        <f aca="false">+$I382</f>
        <v>1305339</v>
      </c>
      <c r="V382" s="232" t="str">
        <f aca="false">+PROPER(F382)</f>
        <v>Separado(A)</v>
      </c>
    </row>
    <row r="383" customFormat="false" ht="14.25" hidden="false" customHeight="false" outlineLevel="0" collapsed="false">
      <c r="B383" s="197" t="n">
        <v>38601357</v>
      </c>
      <c r="C383" s="197" t="s">
        <v>1653</v>
      </c>
      <c r="D383" s="197" t="s">
        <v>1654</v>
      </c>
      <c r="E383" s="198" t="s">
        <v>981</v>
      </c>
      <c r="F383" s="198" t="s">
        <v>953</v>
      </c>
      <c r="G383" s="225" t="n">
        <v>2600900</v>
      </c>
      <c r="H383" s="225" t="n">
        <v>800000</v>
      </c>
      <c r="I383" s="225" t="n">
        <v>0</v>
      </c>
      <c r="J383" s="198" t="n">
        <v>42</v>
      </c>
      <c r="K383" s="198" t="n">
        <v>3</v>
      </c>
      <c r="L383" s="226" t="n">
        <v>45414</v>
      </c>
      <c r="M383" s="226" t="n">
        <v>41804</v>
      </c>
      <c r="N383" s="227" t="n">
        <v>1</v>
      </c>
      <c r="O383" s="227" t="s">
        <v>135</v>
      </c>
      <c r="P383" s="228" t="n">
        <f aca="false">VLOOKUP(B383,'NIVEL ENERO'!A:D,3,0)</f>
        <v>0.414325317289766</v>
      </c>
      <c r="Q383" s="229" t="n">
        <f aca="false">VLOOKUP(B383,'NIVEL ENERO'!A:D,4,0)</f>
        <v>20321.8199999998</v>
      </c>
      <c r="R383" s="186" t="str">
        <f aca="false">+PROPER(C383&amp;" "&amp;D383)</f>
        <v>Vanegas Motoa Deyvi Marcela</v>
      </c>
      <c r="S383" s="230" t="n">
        <f aca="false">+YEARFRAC(L383,$S$1)</f>
        <v>2.02777777777778</v>
      </c>
      <c r="T383" s="230" t="n">
        <f aca="false">+YEARFRAC(M383,$S$1)</f>
        <v>11.9111111111111</v>
      </c>
      <c r="U383" s="231" t="n">
        <f aca="false">+$I383</f>
        <v>0</v>
      </c>
      <c r="V383" s="232" t="str">
        <f aca="false">+PROPER(F383)</f>
        <v>Soltero(A)</v>
      </c>
    </row>
    <row r="384" customFormat="false" ht="14.25" hidden="false" customHeight="false" outlineLevel="0" collapsed="false">
      <c r="B384" s="197" t="n">
        <v>38601463</v>
      </c>
      <c r="C384" s="197" t="s">
        <v>1655</v>
      </c>
      <c r="D384" s="197" t="s">
        <v>1656</v>
      </c>
      <c r="E384" s="198" t="s">
        <v>944</v>
      </c>
      <c r="F384" s="198" t="s">
        <v>945</v>
      </c>
      <c r="G384" s="225" t="n">
        <v>2600900</v>
      </c>
      <c r="H384" s="225" t="n">
        <v>1607671</v>
      </c>
      <c r="I384" s="225" t="n">
        <v>6160141</v>
      </c>
      <c r="J384" s="198" t="n">
        <v>43</v>
      </c>
      <c r="K384" s="198" t="n">
        <v>1</v>
      </c>
      <c r="L384" s="226" t="n">
        <v>44854</v>
      </c>
      <c r="M384" s="226" t="n">
        <v>42170</v>
      </c>
      <c r="N384" s="227" t="n">
        <v>0</v>
      </c>
      <c r="O384" s="227" t="s">
        <v>135</v>
      </c>
      <c r="P384" s="228" t="n">
        <f aca="false">VLOOKUP(B384,'NIVEL ENERO'!A:D,3,0)</f>
        <v>0.395320771290228</v>
      </c>
      <c r="Q384" s="229" t="n">
        <f aca="false">VLOOKUP(B384,'NIVEL ENERO'!A:D,4,0)</f>
        <v>87435.48</v>
      </c>
      <c r="R384" s="186" t="str">
        <f aca="false">+PROPER(C384&amp;" "&amp;D384)</f>
        <v>Montoya Barreto Lisbeth</v>
      </c>
      <c r="S384" s="230" t="n">
        <f aca="false">+YEARFRAC(L384,$S$1)</f>
        <v>3.56111111111111</v>
      </c>
      <c r="T384" s="230" t="n">
        <f aca="false">+YEARFRAC(M384,$S$1)</f>
        <v>10.9083333333333</v>
      </c>
      <c r="U384" s="231" t="n">
        <f aca="false">+$I384</f>
        <v>6160141</v>
      </c>
      <c r="V384" s="232" t="str">
        <f aca="false">+PROPER(F384)</f>
        <v>Union Libre</v>
      </c>
    </row>
    <row r="385" customFormat="false" ht="14.25" hidden="false" customHeight="false" outlineLevel="0" collapsed="false">
      <c r="B385" s="197" t="n">
        <v>38601635</v>
      </c>
      <c r="C385" s="197" t="s">
        <v>1657</v>
      </c>
      <c r="D385" s="197" t="s">
        <v>1658</v>
      </c>
      <c r="E385" s="198" t="s">
        <v>944</v>
      </c>
      <c r="F385" s="198" t="s">
        <v>953</v>
      </c>
      <c r="G385" s="225" t="n">
        <v>5000000</v>
      </c>
      <c r="H385" s="225" t="n">
        <v>700000</v>
      </c>
      <c r="I385" s="225" t="n">
        <v>3056484</v>
      </c>
      <c r="J385" s="198" t="n">
        <v>42</v>
      </c>
      <c r="K385" s="198" t="n">
        <v>2</v>
      </c>
      <c r="L385" s="226" t="n">
        <v>45352</v>
      </c>
      <c r="M385" s="226" t="n">
        <v>45173</v>
      </c>
      <c r="N385" s="227" t="n">
        <v>0</v>
      </c>
      <c r="O385" s="227" t="s">
        <v>158</v>
      </c>
      <c r="P385" s="228" t="e">
        <f aca="false">VLOOKUP(B385,'NIVEL ENERO'!A:D,3,0)</f>
        <v>#N/A</v>
      </c>
      <c r="Q385" s="229" t="e">
        <f aca="false">VLOOKUP(B385,'NIVEL ENERO'!A:D,4,0)</f>
        <v>#N/A</v>
      </c>
      <c r="R385" s="186" t="str">
        <f aca="false">+PROPER(C385&amp;" "&amp;D385)</f>
        <v>Morales Ortiz Johanna Andrea</v>
      </c>
      <c r="S385" s="230" t="n">
        <f aca="false">+YEARFRAC(L385,$S$1)</f>
        <v>2.19722222222222</v>
      </c>
      <c r="T385" s="230" t="n">
        <f aca="false">+YEARFRAC(M385,$S$1)</f>
        <v>2.68888888888889</v>
      </c>
      <c r="U385" s="231" t="n">
        <f aca="false">+$I385</f>
        <v>3056484</v>
      </c>
      <c r="V385" s="232" t="str">
        <f aca="false">+PROPER(F385)</f>
        <v>Soltero(A)</v>
      </c>
    </row>
    <row r="386" customFormat="false" ht="14.25" hidden="false" customHeight="false" outlineLevel="0" collapsed="false">
      <c r="B386" s="197" t="n">
        <v>38602057</v>
      </c>
      <c r="C386" s="197" t="s">
        <v>1659</v>
      </c>
      <c r="D386" s="197" t="s">
        <v>1241</v>
      </c>
      <c r="E386" s="198" t="s">
        <v>944</v>
      </c>
      <c r="F386" s="198" t="s">
        <v>953</v>
      </c>
      <c r="G386" s="225" t="n">
        <v>2320800</v>
      </c>
      <c r="H386" s="225" t="n">
        <v>1708686</v>
      </c>
      <c r="I386" s="225" t="n">
        <v>552142</v>
      </c>
      <c r="J386" s="198" t="n">
        <v>42</v>
      </c>
      <c r="K386" s="198" t="n">
        <v>2</v>
      </c>
      <c r="L386" s="226" t="n">
        <v>44792</v>
      </c>
      <c r="M386" s="226" t="n">
        <v>44105</v>
      </c>
      <c r="N386" s="227" t="n">
        <v>0</v>
      </c>
      <c r="O386" s="227" t="s">
        <v>135</v>
      </c>
      <c r="P386" s="228" t="n">
        <f aca="false">VLOOKUP(B386,'NIVEL ENERO'!A:D,3,0)</f>
        <v>0.150453826165191</v>
      </c>
      <c r="Q386" s="229" t="n">
        <f aca="false">VLOOKUP(B386,'NIVEL ENERO'!A:D,4,0)</f>
        <v>829082.88</v>
      </c>
      <c r="R386" s="186" t="str">
        <f aca="false">+PROPER(C386&amp;" "&amp;D386)</f>
        <v>Gonzalez Cortes Diana Carolina</v>
      </c>
      <c r="S386" s="230" t="n">
        <f aca="false">+YEARFRAC(L386,$S$1)</f>
        <v>3.73055555555556</v>
      </c>
      <c r="T386" s="230" t="n">
        <f aca="false">+YEARFRAC(M386,$S$1)</f>
        <v>5.61388888888889</v>
      </c>
      <c r="U386" s="231" t="n">
        <f aca="false">+$I386</f>
        <v>552142</v>
      </c>
      <c r="V386" s="232" t="str">
        <f aca="false">+PROPER(F386)</f>
        <v>Soltero(A)</v>
      </c>
    </row>
    <row r="387" customFormat="false" ht="14.25" hidden="false" customHeight="false" outlineLevel="0" collapsed="false">
      <c r="B387" s="197" t="n">
        <v>38604103</v>
      </c>
      <c r="C387" s="197" t="s">
        <v>1660</v>
      </c>
      <c r="D387" s="197" t="s">
        <v>1661</v>
      </c>
      <c r="E387" s="198" t="s">
        <v>944</v>
      </c>
      <c r="F387" s="198" t="s">
        <v>948</v>
      </c>
      <c r="G387" s="225" t="n">
        <v>9087800</v>
      </c>
      <c r="H387" s="225" t="n">
        <v>2218459</v>
      </c>
      <c r="I387" s="225" t="n">
        <v>42505</v>
      </c>
      <c r="J387" s="198" t="n">
        <v>41</v>
      </c>
      <c r="K387" s="198" t="n">
        <v>3</v>
      </c>
      <c r="L387" s="226" t="n">
        <v>45344</v>
      </c>
      <c r="M387" s="226" t="n">
        <v>44013</v>
      </c>
      <c r="N387" s="227" t="n">
        <v>2</v>
      </c>
      <c r="O387" s="227" t="s">
        <v>135</v>
      </c>
      <c r="P387" s="228" t="n">
        <f aca="false">VLOOKUP(B387,'NIVEL ENERO'!A:D,3,0)</f>
        <v>0.265647852110742</v>
      </c>
      <c r="Q387" s="229" t="n">
        <f aca="false">VLOOKUP(B387,'NIVEL ENERO'!A:D,4,0)</f>
        <v>1466758.76</v>
      </c>
      <c r="R387" s="186" t="str">
        <f aca="false">+PROPER(C387&amp;" "&amp;D387)</f>
        <v>Saavedra Trujillo Maria Alejandra</v>
      </c>
      <c r="S387" s="230" t="n">
        <f aca="false">+YEARFRAC(L387,$S$1)</f>
        <v>2.22222222222222</v>
      </c>
      <c r="T387" s="230" t="n">
        <f aca="false">+YEARFRAC(M387,$S$1)</f>
        <v>5.86388888888889</v>
      </c>
      <c r="U387" s="231" t="n">
        <f aca="false">+$I387</f>
        <v>42505</v>
      </c>
      <c r="V387" s="232" t="str">
        <f aca="false">+PROPER(F387)</f>
        <v>Casado(A)</v>
      </c>
    </row>
    <row r="388" customFormat="false" ht="14.25" hidden="false" customHeight="false" outlineLevel="0" collapsed="false">
      <c r="B388" s="197" t="n">
        <v>38604655</v>
      </c>
      <c r="C388" s="197" t="s">
        <v>1662</v>
      </c>
      <c r="D388" s="197" t="s">
        <v>1663</v>
      </c>
      <c r="E388" s="198" t="s">
        <v>944</v>
      </c>
      <c r="F388" s="198" t="s">
        <v>953</v>
      </c>
      <c r="G388" s="225" t="n">
        <v>2916600</v>
      </c>
      <c r="H388" s="225" t="n">
        <v>2241684</v>
      </c>
      <c r="I388" s="225" t="n">
        <v>72228</v>
      </c>
      <c r="J388" s="198" t="n">
        <v>41</v>
      </c>
      <c r="K388" s="198" t="n">
        <v>3</v>
      </c>
      <c r="L388" s="226" t="n">
        <v>45020</v>
      </c>
      <c r="M388" s="226" t="n">
        <v>41804</v>
      </c>
      <c r="N388" s="227" t="n">
        <v>1</v>
      </c>
      <c r="O388" s="227" t="s">
        <v>135</v>
      </c>
      <c r="P388" s="228" t="n">
        <f aca="false">VLOOKUP(B388,'NIVEL ENERO'!A:D,3,0)</f>
        <v>0.147779119993896</v>
      </c>
      <c r="Q388" s="229" t="n">
        <f aca="false">VLOOKUP(B388,'NIVEL ENERO'!A:D,4,0)</f>
        <v>1075067.04</v>
      </c>
      <c r="R388" s="186" t="str">
        <f aca="false">+PROPER(C388&amp;" "&amp;D388)</f>
        <v>Burbano Quintero Ingrith Carola</v>
      </c>
      <c r="S388" s="230" t="n">
        <f aca="false">+YEARFRAC(L388,$S$1)</f>
        <v>3.10555555555556</v>
      </c>
      <c r="T388" s="230" t="n">
        <f aca="false">+YEARFRAC(M388,$S$1)</f>
        <v>11.9111111111111</v>
      </c>
      <c r="U388" s="231" t="n">
        <f aca="false">+$I388</f>
        <v>72228</v>
      </c>
      <c r="V388" s="232" t="str">
        <f aca="false">+PROPER(F388)</f>
        <v>Soltero(A)</v>
      </c>
    </row>
    <row r="389" customFormat="false" ht="14.25" hidden="false" customHeight="false" outlineLevel="0" collapsed="false">
      <c r="B389" s="197" t="n">
        <v>38610903</v>
      </c>
      <c r="C389" s="197" t="s">
        <v>1664</v>
      </c>
      <c r="D389" s="197" t="s">
        <v>1665</v>
      </c>
      <c r="E389" s="198" t="s">
        <v>944</v>
      </c>
      <c r="F389" s="198" t="s">
        <v>998</v>
      </c>
      <c r="G389" s="225" t="n">
        <v>5418800</v>
      </c>
      <c r="H389" s="225" t="n">
        <v>2532499</v>
      </c>
      <c r="I389" s="225" t="n">
        <v>0</v>
      </c>
      <c r="J389" s="198" t="n">
        <v>42</v>
      </c>
      <c r="K389" s="198" t="n">
        <v>2</v>
      </c>
      <c r="L389" s="226" t="n">
        <v>44523</v>
      </c>
      <c r="M389" s="226" t="n">
        <v>44105</v>
      </c>
      <c r="N389" s="227" t="n">
        <v>5</v>
      </c>
      <c r="O389" s="227" t="s">
        <v>135</v>
      </c>
      <c r="P389" s="228" t="n">
        <f aca="false">VLOOKUP(B389,'NIVEL ENERO'!A:D,3,0)</f>
        <v>0.350691076314818</v>
      </c>
      <c r="Q389" s="229" t="n">
        <f aca="false">VLOOKUP(B389,'NIVEL ENERO'!A:D,4,0)</f>
        <v>542455.44</v>
      </c>
      <c r="R389" s="186" t="str">
        <f aca="false">+PROPER(C389&amp;" "&amp;D389)</f>
        <v>Arcos Arcos Yuli Deicy Andrea</v>
      </c>
      <c r="S389" s="230" t="n">
        <f aca="false">+YEARFRAC(L389,$S$1)</f>
        <v>4.46944444444444</v>
      </c>
      <c r="T389" s="230" t="n">
        <f aca="false">+YEARFRAC(M389,$S$1)</f>
        <v>5.61388888888889</v>
      </c>
      <c r="U389" s="231" t="n">
        <f aca="false">+$I389</f>
        <v>0</v>
      </c>
      <c r="V389" s="232" t="str">
        <f aca="false">+PROPER(F389)</f>
        <v>Separado(A)</v>
      </c>
    </row>
    <row r="390" customFormat="false" ht="14.25" hidden="false" customHeight="false" outlineLevel="0" collapsed="false">
      <c r="B390" s="197" t="n">
        <v>38611423</v>
      </c>
      <c r="C390" s="197" t="s">
        <v>1666</v>
      </c>
      <c r="D390" s="197" t="s">
        <v>1667</v>
      </c>
      <c r="E390" s="198" t="s">
        <v>944</v>
      </c>
      <c r="F390" s="198" t="s">
        <v>948</v>
      </c>
      <c r="G390" s="225" t="n">
        <v>2893800</v>
      </c>
      <c r="H390" s="225" t="n">
        <v>2607705</v>
      </c>
      <c r="I390" s="225" t="n">
        <v>3420410</v>
      </c>
      <c r="J390" s="198" t="n">
        <v>42</v>
      </c>
      <c r="K390" s="198" t="n">
        <v>4</v>
      </c>
      <c r="L390" s="226" t="n">
        <v>44888</v>
      </c>
      <c r="M390" s="226" t="n">
        <v>38223</v>
      </c>
      <c r="N390" s="227" t="n">
        <v>4</v>
      </c>
      <c r="O390" s="227" t="s">
        <v>135</v>
      </c>
      <c r="P390" s="228" t="n">
        <f aca="false">VLOOKUP(B390,'NIVEL ENERO'!A:D,3,0)</f>
        <v>0.278750431957979</v>
      </c>
      <c r="Q390" s="229" t="n">
        <f aca="false">VLOOKUP(B390,'NIVEL ENERO'!A:D,4,0)</f>
        <v>408748</v>
      </c>
      <c r="R390" s="186" t="str">
        <f aca="false">+PROPER(C390&amp;" "&amp;D390)</f>
        <v>Garcia Fajardo Ledy Nayibe</v>
      </c>
      <c r="S390" s="230" t="n">
        <f aca="false">+YEARFRAC(L390,$S$1)</f>
        <v>3.46944444444444</v>
      </c>
      <c r="T390" s="230" t="n">
        <f aca="false">+YEARFRAC(M390,$S$1)</f>
        <v>21.7166666666667</v>
      </c>
      <c r="U390" s="231" t="n">
        <f aca="false">+$I390</f>
        <v>3420410</v>
      </c>
      <c r="V390" s="232" t="str">
        <f aca="false">+PROPER(F390)</f>
        <v>Casado(A)</v>
      </c>
    </row>
    <row r="391" customFormat="false" ht="14.25" hidden="false" customHeight="false" outlineLevel="0" collapsed="false">
      <c r="B391" s="197" t="n">
        <v>38612512</v>
      </c>
      <c r="C391" s="197" t="s">
        <v>1668</v>
      </c>
      <c r="D391" s="197" t="s">
        <v>1669</v>
      </c>
      <c r="E391" s="198" t="s">
        <v>944</v>
      </c>
      <c r="F391" s="198" t="s">
        <v>953</v>
      </c>
      <c r="G391" s="225" t="n">
        <v>1625000</v>
      </c>
      <c r="H391" s="225" t="n">
        <v>475098</v>
      </c>
      <c r="I391" s="225"/>
      <c r="J391" s="198" t="n">
        <v>41</v>
      </c>
      <c r="K391" s="198" t="n">
        <v>1</v>
      </c>
      <c r="L391" s="226" t="n">
        <v>45476</v>
      </c>
      <c r="M391" s="226" t="n">
        <v>44915</v>
      </c>
      <c r="N391" s="227" t="n">
        <v>0</v>
      </c>
      <c r="O391" s="227" t="s">
        <v>135</v>
      </c>
      <c r="P391" s="228" t="n">
        <f aca="false">VLOOKUP(B391,'NIVEL ENERO'!A:D,3,0)</f>
        <v>0.143150909392815</v>
      </c>
      <c r="Q391" s="229" t="n">
        <f aca="false">VLOOKUP(B391,'NIVEL ENERO'!A:D,4,0)</f>
        <v>568543.66</v>
      </c>
      <c r="R391" s="186" t="str">
        <f aca="false">+PROPER(C391&amp;" "&amp;D391)</f>
        <v>Montano Hurtado Martha Liliana</v>
      </c>
      <c r="S391" s="230" t="n">
        <f aca="false">+YEARFRAC(L391,$S$1)</f>
        <v>1.85833333333333</v>
      </c>
      <c r="T391" s="230" t="n">
        <f aca="false">+YEARFRAC(M391,$S$1)</f>
        <v>3.39444444444444</v>
      </c>
      <c r="U391" s="231" t="n">
        <f aca="false">+$I391</f>
        <v>0</v>
      </c>
      <c r="V391" s="232" t="str">
        <f aca="false">+PROPER(F391)</f>
        <v>Soltero(A)</v>
      </c>
    </row>
    <row r="392" customFormat="false" ht="14.25" hidden="false" customHeight="false" outlineLevel="0" collapsed="false">
      <c r="B392" s="197" t="n">
        <v>38613128</v>
      </c>
      <c r="C392" s="197" t="s">
        <v>1670</v>
      </c>
      <c r="D392" s="197" t="s">
        <v>1671</v>
      </c>
      <c r="E392" s="198" t="s">
        <v>944</v>
      </c>
      <c r="F392" s="198" t="s">
        <v>948</v>
      </c>
      <c r="G392" s="225" t="n">
        <v>2600900</v>
      </c>
      <c r="H392" s="225" t="n">
        <v>500000</v>
      </c>
      <c r="I392" s="225" t="n">
        <v>0</v>
      </c>
      <c r="J392" s="198" t="n">
        <v>41</v>
      </c>
      <c r="K392" s="198" t="n">
        <v>2</v>
      </c>
      <c r="L392" s="226" t="n">
        <v>45517</v>
      </c>
      <c r="M392" s="226" t="n">
        <v>41671</v>
      </c>
      <c r="N392" s="227" t="n">
        <v>2</v>
      </c>
      <c r="O392" s="227" t="s">
        <v>135</v>
      </c>
      <c r="P392" s="228" t="n">
        <f aca="false">VLOOKUP(B392,'NIVEL ENERO'!A:D,3,0)</f>
        <v>0.380320658233688</v>
      </c>
      <c r="Q392" s="229" t="n">
        <f aca="false">VLOOKUP(B392,'NIVEL ENERO'!A:D,4,0)</f>
        <v>103202</v>
      </c>
      <c r="R392" s="186" t="str">
        <f aca="false">+PROPER(C392&amp;" "&amp;D392)</f>
        <v>Rengifo Valencia Yurany</v>
      </c>
      <c r="S392" s="230" t="n">
        <f aca="false">+YEARFRAC(L392,$S$1)</f>
        <v>1.74722222222222</v>
      </c>
      <c r="T392" s="230" t="n">
        <f aca="false">+YEARFRAC(M392,$S$1)</f>
        <v>12.2805555555556</v>
      </c>
      <c r="U392" s="231" t="n">
        <f aca="false">+$I392</f>
        <v>0</v>
      </c>
      <c r="V392" s="232" t="str">
        <f aca="false">+PROPER(F392)</f>
        <v>Casado(A)</v>
      </c>
    </row>
    <row r="393" customFormat="false" ht="14.25" hidden="false" customHeight="false" outlineLevel="0" collapsed="false">
      <c r="B393" s="197" t="n">
        <v>38613192</v>
      </c>
      <c r="C393" s="197" t="s">
        <v>1672</v>
      </c>
      <c r="D393" s="197" t="s">
        <v>1673</v>
      </c>
      <c r="E393" s="198" t="s">
        <v>944</v>
      </c>
      <c r="F393" s="198" t="s">
        <v>953</v>
      </c>
      <c r="G393" s="225" t="n">
        <v>2648100</v>
      </c>
      <c r="H393" s="225" t="n">
        <v>2708720</v>
      </c>
      <c r="I393" s="225" t="n">
        <v>2250490</v>
      </c>
      <c r="J393" s="198" t="n">
        <v>41</v>
      </c>
      <c r="K393" s="198" t="n">
        <v>2</v>
      </c>
      <c r="L393" s="226" t="n">
        <v>44839</v>
      </c>
      <c r="M393" s="226" t="n">
        <v>44105</v>
      </c>
      <c r="N393" s="227" t="n">
        <v>2</v>
      </c>
      <c r="O393" s="227" t="s">
        <v>135</v>
      </c>
      <c r="P393" s="228" t="n">
        <f aca="false">VLOOKUP(B393,'NIVEL ENERO'!A:D,3,0)</f>
        <v>0.329989125571107</v>
      </c>
      <c r="Q393" s="229" t="n">
        <f aca="false">VLOOKUP(B393,'NIVEL ENERO'!A:D,4,0)</f>
        <v>338955.3</v>
      </c>
      <c r="R393" s="186" t="str">
        <f aca="false">+PROPER(C393&amp;" "&amp;D393)</f>
        <v>Pareja Gonzalez Madely</v>
      </c>
      <c r="S393" s="230" t="n">
        <f aca="false">+YEARFRAC(L393,$S$1)</f>
        <v>3.60277777777778</v>
      </c>
      <c r="T393" s="230" t="n">
        <f aca="false">+YEARFRAC(M393,$S$1)</f>
        <v>5.61388888888889</v>
      </c>
      <c r="U393" s="231" t="n">
        <f aca="false">+$I393</f>
        <v>2250490</v>
      </c>
      <c r="V393" s="232" t="str">
        <f aca="false">+PROPER(F393)</f>
        <v>Soltero(A)</v>
      </c>
    </row>
    <row r="394" customFormat="false" ht="14.25" hidden="false" customHeight="false" outlineLevel="0" collapsed="false">
      <c r="B394" s="197" t="n">
        <v>38613482</v>
      </c>
      <c r="C394" s="197" t="s">
        <v>1674</v>
      </c>
      <c r="D394" s="197" t="s">
        <v>1137</v>
      </c>
      <c r="E394" s="198" t="s">
        <v>944</v>
      </c>
      <c r="F394" s="198" t="s">
        <v>953</v>
      </c>
      <c r="G394" s="225" t="n">
        <v>1625000</v>
      </c>
      <c r="H394" s="225" t="n">
        <v>1456149</v>
      </c>
      <c r="I394" s="225" t="n">
        <v>3235017</v>
      </c>
      <c r="J394" s="198" t="n">
        <v>41</v>
      </c>
      <c r="K394" s="198" t="n">
        <v>2</v>
      </c>
      <c r="L394" s="226" t="n">
        <v>44938</v>
      </c>
      <c r="M394" s="226" t="n">
        <v>43484</v>
      </c>
      <c r="N394" s="227" t="n">
        <v>2</v>
      </c>
      <c r="O394" s="227" t="s">
        <v>135</v>
      </c>
      <c r="P394" s="228" t="n">
        <f aca="false">VLOOKUP(B394,'NIVEL ENERO'!A:D,3,0)</f>
        <v>0.459773729212936</v>
      </c>
      <c r="Q394" s="229" t="n">
        <f aca="false">VLOOKUP(B394,'NIVEL ENERO'!A:D,4,0)</f>
        <v>-83441.2799999999</v>
      </c>
      <c r="R394" s="186" t="str">
        <f aca="false">+PROPER(C394&amp;" "&amp;D394)</f>
        <v>Papamija Delgado Luz Adriana</v>
      </c>
      <c r="S394" s="230" t="n">
        <f aca="false">+YEARFRAC(L394,$S$1)</f>
        <v>3.33333333333333</v>
      </c>
      <c r="T394" s="230" t="n">
        <f aca="false">+YEARFRAC(M394,$S$1)</f>
        <v>7.31388888888889</v>
      </c>
      <c r="U394" s="231" t="n">
        <f aca="false">+$I394</f>
        <v>3235017</v>
      </c>
      <c r="V394" s="232" t="str">
        <f aca="false">+PROPER(F394)</f>
        <v>Soltero(A)</v>
      </c>
    </row>
    <row r="395" customFormat="false" ht="14.25" hidden="false" customHeight="false" outlineLevel="0" collapsed="false">
      <c r="B395" s="197" t="n">
        <v>38614218</v>
      </c>
      <c r="C395" s="197" t="s">
        <v>1675</v>
      </c>
      <c r="D395" s="197" t="s">
        <v>1477</v>
      </c>
      <c r="E395" s="198" t="s">
        <v>944</v>
      </c>
      <c r="F395" s="198" t="s">
        <v>945</v>
      </c>
      <c r="G395" s="225" t="n">
        <v>2893800</v>
      </c>
      <c r="H395" s="225" t="n">
        <v>1557164</v>
      </c>
      <c r="I395" s="225" t="n">
        <v>2072876</v>
      </c>
      <c r="J395" s="198" t="n">
        <v>41</v>
      </c>
      <c r="K395" s="198" t="n">
        <v>2</v>
      </c>
      <c r="L395" s="226" t="n">
        <v>44876</v>
      </c>
      <c r="M395" s="226" t="n">
        <v>44805</v>
      </c>
      <c r="N395" s="227" t="n">
        <v>0</v>
      </c>
      <c r="O395" s="227" t="s">
        <v>135</v>
      </c>
      <c r="P395" s="228" t="n">
        <f aca="false">VLOOKUP(B395,'NIVEL ENERO'!A:D,3,0)</f>
        <v>0.381233751114471</v>
      </c>
      <c r="Q395" s="229" t="n">
        <f aca="false">VLOOKUP(B395,'NIVEL ENERO'!A:D,4,0)</f>
        <v>133862.08</v>
      </c>
      <c r="R395" s="186" t="str">
        <f aca="false">+PROPER(C395&amp;" "&amp;D395)</f>
        <v>Chavarro Perea Clara Ines</v>
      </c>
      <c r="S395" s="230" t="n">
        <f aca="false">+YEARFRAC(L395,$S$1)</f>
        <v>3.50277777777778</v>
      </c>
      <c r="T395" s="230" t="n">
        <f aca="false">+YEARFRAC(M395,$S$1)</f>
        <v>3.69722222222222</v>
      </c>
      <c r="U395" s="231" t="n">
        <f aca="false">+$I395</f>
        <v>2072876</v>
      </c>
      <c r="V395" s="232" t="str">
        <f aca="false">+PROPER(F395)</f>
        <v>Union Libre</v>
      </c>
    </row>
    <row r="396" customFormat="false" ht="14.25" hidden="false" customHeight="false" outlineLevel="0" collapsed="false">
      <c r="B396" s="197" t="n">
        <v>38640081</v>
      </c>
      <c r="C396" s="197" t="s">
        <v>1676</v>
      </c>
      <c r="D396" s="197" t="s">
        <v>1677</v>
      </c>
      <c r="E396" s="198" t="s">
        <v>944</v>
      </c>
      <c r="F396" s="198" t="s">
        <v>948</v>
      </c>
      <c r="G396" s="225" t="n">
        <v>4469100</v>
      </c>
      <c r="H396" s="225" t="n">
        <v>1860209</v>
      </c>
      <c r="I396" s="225" t="n">
        <v>1213055</v>
      </c>
      <c r="J396" s="198" t="n">
        <v>41</v>
      </c>
      <c r="K396" s="198" t="n">
        <v>4</v>
      </c>
      <c r="L396" s="226" t="n">
        <v>44672</v>
      </c>
      <c r="M396" s="226" t="n">
        <v>42491</v>
      </c>
      <c r="N396" s="227" t="n">
        <v>4</v>
      </c>
      <c r="O396" s="227" t="s">
        <v>135</v>
      </c>
      <c r="P396" s="228" t="n">
        <f aca="false">VLOOKUP(B396,'NIVEL ENERO'!A:D,3,0)</f>
        <v>0.143337804793845</v>
      </c>
      <c r="Q396" s="229" t="n">
        <f aca="false">VLOOKUP(B396,'NIVEL ENERO'!A:D,4,0)</f>
        <v>1767021.06</v>
      </c>
      <c r="R396" s="186" t="str">
        <f aca="false">+PROPER(C396&amp;" "&amp;D396)</f>
        <v>Meza Muneton Maria Cecilia</v>
      </c>
      <c r="S396" s="230" t="n">
        <f aca="false">+YEARFRAC(L396,$S$1)</f>
        <v>4.05833333333333</v>
      </c>
      <c r="T396" s="230" t="n">
        <f aca="false">+YEARFRAC(M396,$S$1)</f>
        <v>10.0305555555556</v>
      </c>
      <c r="U396" s="231" t="n">
        <f aca="false">+$I396</f>
        <v>1213055</v>
      </c>
      <c r="V396" s="232" t="str">
        <f aca="false">+PROPER(F396)</f>
        <v>Casado(A)</v>
      </c>
    </row>
    <row r="397" customFormat="false" ht="14.25" hidden="false" customHeight="false" outlineLevel="0" collapsed="false">
      <c r="B397" s="197" t="n">
        <v>38640849</v>
      </c>
      <c r="C397" s="197" t="s">
        <v>1678</v>
      </c>
      <c r="D397" s="197" t="s">
        <v>1679</v>
      </c>
      <c r="E397" s="198" t="s">
        <v>944</v>
      </c>
      <c r="F397" s="198" t="s">
        <v>953</v>
      </c>
      <c r="G397" s="225" t="n">
        <v>5418800</v>
      </c>
      <c r="H397" s="225" t="n">
        <v>3518164</v>
      </c>
      <c r="I397" s="225" t="n">
        <v>6283605</v>
      </c>
      <c r="J397" s="198" t="n">
        <v>42</v>
      </c>
      <c r="K397" s="198" t="n">
        <v>1</v>
      </c>
      <c r="L397" s="226" t="n">
        <v>44701</v>
      </c>
      <c r="M397" s="226" t="n">
        <v>44105</v>
      </c>
      <c r="N397" s="227" t="n">
        <v>3</v>
      </c>
      <c r="O397" s="227" t="s">
        <v>135</v>
      </c>
      <c r="P397" s="228" t="n">
        <f aca="false">VLOOKUP(B397,'NIVEL ENERO'!A:D,3,0)</f>
        <v>0.153189701541057</v>
      </c>
      <c r="Q397" s="229" t="n">
        <f aca="false">VLOOKUP(B397,'NIVEL ENERO'!A:D,4,0)</f>
        <v>1176120.34</v>
      </c>
      <c r="R397" s="186" t="str">
        <f aca="false">+PROPER(C397&amp;" "&amp;D397)</f>
        <v>Quimbaya Falla Simena Del Pilar</v>
      </c>
      <c r="S397" s="230" t="n">
        <f aca="false">+YEARFRAC(L397,$S$1)</f>
        <v>3.97777777777778</v>
      </c>
      <c r="T397" s="230" t="n">
        <f aca="false">+YEARFRAC(M397,$S$1)</f>
        <v>5.61388888888889</v>
      </c>
      <c r="U397" s="231" t="n">
        <f aca="false">+$I397</f>
        <v>6283605</v>
      </c>
      <c r="V397" s="232" t="str">
        <f aca="false">+PROPER(F397)</f>
        <v>Soltero(A)</v>
      </c>
    </row>
    <row r="398" customFormat="false" ht="14.25" hidden="false" customHeight="false" outlineLevel="0" collapsed="false">
      <c r="B398" s="197" t="n">
        <v>38641418</v>
      </c>
      <c r="C398" s="197" t="s">
        <v>1680</v>
      </c>
      <c r="D398" s="197" t="s">
        <v>1681</v>
      </c>
      <c r="E398" s="198" t="s">
        <v>944</v>
      </c>
      <c r="F398" s="198" t="s">
        <v>953</v>
      </c>
      <c r="G398" s="225" t="n">
        <v>2600900</v>
      </c>
      <c r="H398" s="225" t="n">
        <v>5054783</v>
      </c>
      <c r="I398" s="225" t="n">
        <v>7294056</v>
      </c>
      <c r="J398" s="198" t="n">
        <v>41</v>
      </c>
      <c r="K398" s="198" t="n">
        <v>6</v>
      </c>
      <c r="L398" s="226" t="n">
        <v>42535</v>
      </c>
      <c r="M398" s="226" t="n">
        <v>41956</v>
      </c>
      <c r="N398" s="227" t="n">
        <v>4</v>
      </c>
      <c r="O398" s="227" t="s">
        <v>135</v>
      </c>
      <c r="P398" s="228" t="n">
        <f aca="false">VLOOKUP(B398,'NIVEL ENERO'!A:D,3,0)</f>
        <v>0.430301818601253</v>
      </c>
      <c r="Q398" s="229" t="n">
        <f aca="false">VLOOKUP(B398,'NIVEL ENERO'!A:D,4,0)</f>
        <v>-26794</v>
      </c>
      <c r="R398" s="186" t="str">
        <f aca="false">+PROPER(C398&amp;" "&amp;D398)</f>
        <v>Valencia Oyola Tara Mabel</v>
      </c>
      <c r="S398" s="230" t="n">
        <f aca="false">+YEARFRAC(L398,$S$1)</f>
        <v>9.91111111111111</v>
      </c>
      <c r="T398" s="230" t="n">
        <f aca="false">+YEARFRAC(M398,$S$1)</f>
        <v>11.4972222222222</v>
      </c>
      <c r="U398" s="231" t="n">
        <f aca="false">+$I398</f>
        <v>7294056</v>
      </c>
      <c r="V398" s="232" t="str">
        <f aca="false">+PROPER(F398)</f>
        <v>Soltero(A)</v>
      </c>
    </row>
    <row r="399" customFormat="false" ht="14.25" hidden="false" customHeight="false" outlineLevel="0" collapsed="false">
      <c r="B399" s="197" t="n">
        <v>38642212</v>
      </c>
      <c r="C399" s="197" t="s">
        <v>1682</v>
      </c>
      <c r="D399" s="197" t="s">
        <v>1683</v>
      </c>
      <c r="E399" s="198" t="s">
        <v>944</v>
      </c>
      <c r="F399" s="198" t="s">
        <v>948</v>
      </c>
      <c r="G399" s="225" t="n">
        <v>5842800</v>
      </c>
      <c r="H399" s="225" t="n">
        <v>3029558</v>
      </c>
      <c r="I399" s="225" t="n">
        <v>0</v>
      </c>
      <c r="J399" s="198" t="n">
        <v>40</v>
      </c>
      <c r="K399" s="198" t="n">
        <v>3</v>
      </c>
      <c r="L399" s="226" t="n">
        <v>44579</v>
      </c>
      <c r="M399" s="226" t="n">
        <v>41800</v>
      </c>
      <c r="N399" s="227" t="n">
        <v>4</v>
      </c>
      <c r="O399" s="227" t="s">
        <v>135</v>
      </c>
      <c r="P399" s="228" t="n">
        <f aca="false">VLOOKUP(B399,'NIVEL ENERO'!A:D,3,0)</f>
        <v>0.259961833367564</v>
      </c>
      <c r="Q399" s="229" t="n">
        <f aca="false">VLOOKUP(B399,'NIVEL ENERO'!A:D,4,0)</f>
        <v>935071</v>
      </c>
      <c r="R399" s="186" t="str">
        <f aca="false">+PROPER(C399&amp;" "&amp;D399)</f>
        <v>Suarez Prieto Vilma Katerine</v>
      </c>
      <c r="S399" s="230" t="n">
        <f aca="false">+YEARFRAC(L399,$S$1)</f>
        <v>4.31666666666667</v>
      </c>
      <c r="T399" s="230" t="n">
        <f aca="false">+YEARFRAC(M399,$S$1)</f>
        <v>11.9222222222222</v>
      </c>
      <c r="U399" s="231" t="n">
        <f aca="false">+$I399</f>
        <v>0</v>
      </c>
      <c r="V399" s="232" t="str">
        <f aca="false">+PROPER(F399)</f>
        <v>Casado(A)</v>
      </c>
    </row>
    <row r="400" customFormat="false" ht="14.25" hidden="false" customHeight="false" outlineLevel="0" collapsed="false">
      <c r="B400" s="197" t="n">
        <v>38642747</v>
      </c>
      <c r="C400" s="197" t="s">
        <v>1684</v>
      </c>
      <c r="D400" s="197" t="s">
        <v>1685</v>
      </c>
      <c r="E400" s="198" t="s">
        <v>944</v>
      </c>
      <c r="F400" s="198" t="s">
        <v>948</v>
      </c>
      <c r="G400" s="225" t="n">
        <v>5842800</v>
      </c>
      <c r="H400" s="225" t="n">
        <v>1063511</v>
      </c>
      <c r="I400" s="225" t="n">
        <v>0</v>
      </c>
      <c r="J400" s="198" t="n">
        <v>40</v>
      </c>
      <c r="K400" s="198" t="n">
        <v>1</v>
      </c>
      <c r="L400" s="226" t="n">
        <v>45148</v>
      </c>
      <c r="M400" s="226" t="n">
        <v>40339</v>
      </c>
      <c r="N400" s="227" t="n">
        <v>0</v>
      </c>
      <c r="O400" s="227" t="s">
        <v>135</v>
      </c>
      <c r="P400" s="228" t="n">
        <f aca="false">VLOOKUP(B400,'NIVEL ENERO'!A:D,3,0)</f>
        <v>0.152508899842541</v>
      </c>
      <c r="Q400" s="229" t="n">
        <f aca="false">VLOOKUP(B400,'NIVEL ENERO'!A:D,4,0)</f>
        <v>1562897</v>
      </c>
      <c r="R400" s="186" t="str">
        <f aca="false">+PROPER(C400&amp;" "&amp;D400)</f>
        <v>Gallego Paz Sonia Yurany</v>
      </c>
      <c r="S400" s="230" t="n">
        <f aca="false">+YEARFRAC(L400,$S$1)</f>
        <v>2.75555555555556</v>
      </c>
      <c r="T400" s="230" t="n">
        <f aca="false">+YEARFRAC(M400,$S$1)</f>
        <v>15.9222222222222</v>
      </c>
      <c r="U400" s="231" t="n">
        <f aca="false">+$I400</f>
        <v>0</v>
      </c>
      <c r="V400" s="232" t="str">
        <f aca="false">+PROPER(F400)</f>
        <v>Casado(A)</v>
      </c>
    </row>
    <row r="401" customFormat="false" ht="14.25" hidden="false" customHeight="false" outlineLevel="0" collapsed="false">
      <c r="B401" s="197" t="n">
        <v>38643849</v>
      </c>
      <c r="C401" s="197" t="s">
        <v>1686</v>
      </c>
      <c r="D401" s="197" t="s">
        <v>1687</v>
      </c>
      <c r="E401" s="198" t="s">
        <v>944</v>
      </c>
      <c r="F401" s="198" t="s">
        <v>953</v>
      </c>
      <c r="G401" s="225" t="n">
        <v>2893800</v>
      </c>
      <c r="H401" s="225" t="n">
        <v>500000</v>
      </c>
      <c r="I401" s="225" t="n">
        <v>2267679</v>
      </c>
      <c r="J401" s="198" t="n">
        <v>40</v>
      </c>
      <c r="K401" s="198" t="n">
        <v>2</v>
      </c>
      <c r="L401" s="226" t="n">
        <v>45517</v>
      </c>
      <c r="M401" s="226" t="n">
        <v>38777</v>
      </c>
      <c r="N401" s="227" t="n">
        <v>2</v>
      </c>
      <c r="O401" s="227" t="s">
        <v>135</v>
      </c>
      <c r="P401" s="228" t="n">
        <f aca="false">VLOOKUP(B401,'NIVEL ENERO'!A:D,3,0)</f>
        <v>0.379279923846742</v>
      </c>
      <c r="Q401" s="229" t="n">
        <f aca="false">VLOOKUP(B401,'NIVEL ENERO'!A:D,4,0)</f>
        <v>174858.02</v>
      </c>
      <c r="R401" s="186" t="str">
        <f aca="false">+PROPER(C401&amp;" "&amp;D401)</f>
        <v>Cortes Cardona Diana Constanza</v>
      </c>
      <c r="S401" s="230" t="n">
        <f aca="false">+YEARFRAC(L401,$S$1)</f>
        <v>1.74722222222222</v>
      </c>
      <c r="T401" s="230" t="n">
        <f aca="false">+YEARFRAC(M401,$S$1)</f>
        <v>20.1972222222222</v>
      </c>
      <c r="U401" s="231" t="n">
        <f aca="false">+$I401</f>
        <v>2267679</v>
      </c>
      <c r="V401" s="232" t="str">
        <f aca="false">+PROPER(F401)</f>
        <v>Soltero(A)</v>
      </c>
    </row>
    <row r="402" customFormat="false" ht="14.25" hidden="false" customHeight="false" outlineLevel="0" collapsed="false">
      <c r="B402" s="197" t="n">
        <v>38644539</v>
      </c>
      <c r="C402" s="197" t="s">
        <v>1688</v>
      </c>
      <c r="D402" s="197" t="s">
        <v>1689</v>
      </c>
      <c r="E402" s="198" t="s">
        <v>944</v>
      </c>
      <c r="F402" s="198" t="s">
        <v>948</v>
      </c>
      <c r="G402" s="225" t="n">
        <v>2600900</v>
      </c>
      <c r="H402" s="225" t="n">
        <v>4163594</v>
      </c>
      <c r="I402" s="225" t="n">
        <v>2666998</v>
      </c>
      <c r="J402" s="198" t="n">
        <v>39</v>
      </c>
      <c r="K402" s="198" t="n">
        <v>2</v>
      </c>
      <c r="L402" s="226" t="n">
        <v>43300</v>
      </c>
      <c r="M402" s="226" t="n">
        <v>43174</v>
      </c>
      <c r="N402" s="227" t="n">
        <v>2</v>
      </c>
      <c r="O402" s="227" t="s">
        <v>135</v>
      </c>
      <c r="P402" s="228" t="n">
        <f aca="false">VLOOKUP(B402,'NIVEL ENERO'!A:D,3,0)</f>
        <v>0.235862586027913</v>
      </c>
      <c r="Q402" s="229" t="n">
        <f aca="false">VLOOKUP(B402,'NIVEL ENERO'!A:D,4,0)</f>
        <v>478923</v>
      </c>
      <c r="R402" s="186" t="str">
        <f aca="false">+PROPER(C402&amp;" "&amp;D402)</f>
        <v>Quintero Valdez Lizeth</v>
      </c>
      <c r="S402" s="230" t="n">
        <f aca="false">+YEARFRAC(L402,$S$1)</f>
        <v>7.81388888888889</v>
      </c>
      <c r="T402" s="230" t="n">
        <f aca="false">+YEARFRAC(M402,$S$1)</f>
        <v>8.15833333333333</v>
      </c>
      <c r="U402" s="231" t="n">
        <f aca="false">+$I402</f>
        <v>2666998</v>
      </c>
      <c r="V402" s="232" t="str">
        <f aca="false">+PROPER(F402)</f>
        <v>Casado(A)</v>
      </c>
    </row>
    <row r="403" customFormat="false" ht="14.25" hidden="false" customHeight="false" outlineLevel="0" collapsed="false">
      <c r="B403" s="197" t="n">
        <v>38644679</v>
      </c>
      <c r="C403" s="197" t="s">
        <v>1690</v>
      </c>
      <c r="D403" s="197" t="s">
        <v>1691</v>
      </c>
      <c r="E403" s="198" t="s">
        <v>944</v>
      </c>
      <c r="F403" s="198" t="s">
        <v>948</v>
      </c>
      <c r="G403" s="225" t="n">
        <v>4500000</v>
      </c>
      <c r="H403" s="225" t="n">
        <v>4840150</v>
      </c>
      <c r="I403" s="225" t="n">
        <v>288936</v>
      </c>
      <c r="J403" s="198" t="n">
        <v>39</v>
      </c>
      <c r="K403" s="198" t="n">
        <v>1</v>
      </c>
      <c r="L403" s="226" t="n">
        <v>42871</v>
      </c>
      <c r="M403" s="226" t="n">
        <v>40403</v>
      </c>
      <c r="N403" s="227" t="n">
        <v>3</v>
      </c>
      <c r="O403" s="227" t="s">
        <v>158</v>
      </c>
      <c r="P403" s="228" t="e">
        <f aca="false">VLOOKUP(B403,'NIVEL ENERO'!A:D,3,0)</f>
        <v>#N/A</v>
      </c>
      <c r="Q403" s="229" t="e">
        <f aca="false">VLOOKUP(B403,'NIVEL ENERO'!A:D,4,0)</f>
        <v>#N/A</v>
      </c>
      <c r="R403" s="186" t="str">
        <f aca="false">+PROPER(C403&amp;" "&amp;D403)</f>
        <v>Payan Velez Vanessa</v>
      </c>
      <c r="S403" s="230" t="n">
        <f aca="false">+YEARFRAC(L403,$S$1)</f>
        <v>8.98888888888889</v>
      </c>
      <c r="T403" s="230" t="n">
        <f aca="false">+YEARFRAC(M403,$S$1)</f>
        <v>15.7472222222222</v>
      </c>
      <c r="U403" s="231" t="n">
        <f aca="false">+$I403</f>
        <v>288936</v>
      </c>
      <c r="V403" s="232" t="str">
        <f aca="false">+PROPER(F403)</f>
        <v>Casado(A)</v>
      </c>
    </row>
    <row r="404" customFormat="false" ht="14.25" hidden="false" customHeight="false" outlineLevel="0" collapsed="false">
      <c r="B404" s="197" t="n">
        <v>38656658</v>
      </c>
      <c r="C404" s="197" t="s">
        <v>1692</v>
      </c>
      <c r="D404" s="197" t="s">
        <v>1267</v>
      </c>
      <c r="E404" s="198" t="s">
        <v>944</v>
      </c>
      <c r="F404" s="198" t="s">
        <v>948</v>
      </c>
      <c r="G404" s="225" t="n">
        <v>2648100</v>
      </c>
      <c r="H404" s="225" t="n">
        <v>2809662</v>
      </c>
      <c r="I404" s="225" t="n">
        <v>232928</v>
      </c>
      <c r="J404" s="198" t="n">
        <v>44</v>
      </c>
      <c r="K404" s="198" t="n">
        <v>4</v>
      </c>
      <c r="L404" s="226" t="n">
        <v>44825</v>
      </c>
      <c r="M404" s="226" t="n">
        <v>36800</v>
      </c>
      <c r="N404" s="227" t="n">
        <v>2</v>
      </c>
      <c r="O404" s="227" t="s">
        <v>135</v>
      </c>
      <c r="P404" s="228" t="n">
        <f aca="false">VLOOKUP(B404,'NIVEL ENERO'!A:D,3,0)</f>
        <v>0.420521572134799</v>
      </c>
      <c r="Q404" s="229" t="n">
        <f aca="false">VLOOKUP(B404,'NIVEL ENERO'!A:D,4,0)</f>
        <v>-1969.56000000006</v>
      </c>
      <c r="R404" s="186" t="str">
        <f aca="false">+PROPER(C404&amp;" "&amp;D404)</f>
        <v>Murillas Gonzalez Ana Maria</v>
      </c>
      <c r="S404" s="230" t="n">
        <f aca="false">+YEARFRAC(L404,$S$1)</f>
        <v>3.64166666666667</v>
      </c>
      <c r="T404" s="230" t="n">
        <f aca="false">+YEARFRAC(M404,$S$1)</f>
        <v>25.6138888888889</v>
      </c>
      <c r="U404" s="231" t="n">
        <f aca="false">+$I404</f>
        <v>232928</v>
      </c>
      <c r="V404" s="232" t="str">
        <f aca="false">+PROPER(F404)</f>
        <v>Casado(A)</v>
      </c>
    </row>
    <row r="405" customFormat="false" ht="14.25" hidden="false" customHeight="false" outlineLevel="0" collapsed="false">
      <c r="B405" s="197" t="n">
        <v>38657055</v>
      </c>
      <c r="C405" s="197" t="s">
        <v>1693</v>
      </c>
      <c r="D405" s="197" t="s">
        <v>1641</v>
      </c>
      <c r="E405" s="198" t="s">
        <v>944</v>
      </c>
      <c r="F405" s="198" t="s">
        <v>948</v>
      </c>
      <c r="G405" s="225" t="n">
        <v>4327600</v>
      </c>
      <c r="H405" s="225" t="n">
        <v>2103655</v>
      </c>
      <c r="I405" s="225" t="n">
        <v>2443638</v>
      </c>
      <c r="J405" s="198" t="n">
        <v>41</v>
      </c>
      <c r="K405" s="198" t="n">
        <v>3</v>
      </c>
      <c r="L405" s="226" t="n">
        <v>44552</v>
      </c>
      <c r="M405" s="226" t="n">
        <v>44489</v>
      </c>
      <c r="N405" s="227" t="n">
        <v>5</v>
      </c>
      <c r="O405" s="227" t="s">
        <v>135</v>
      </c>
      <c r="P405" s="228" t="n">
        <f aca="false">VLOOKUP(B405,'NIVEL ENERO'!A:D,3,0)</f>
        <v>0.12865329512894</v>
      </c>
      <c r="Q405" s="229" t="n">
        <f aca="false">VLOOKUP(B405,'NIVEL ENERO'!A:D,4,0)</f>
        <v>1260832</v>
      </c>
      <c r="R405" s="186" t="str">
        <f aca="false">+PROPER(C405&amp;" "&amp;D405)</f>
        <v>Hurtado Tenorio Diana Fernanda</v>
      </c>
      <c r="S405" s="230" t="n">
        <f aca="false">+YEARFRAC(L405,$S$1)</f>
        <v>4.38888888888889</v>
      </c>
      <c r="T405" s="230" t="n">
        <f aca="false">+YEARFRAC(M405,$S$1)</f>
        <v>4.56111111111111</v>
      </c>
      <c r="U405" s="231" t="n">
        <f aca="false">+$I405</f>
        <v>2443638</v>
      </c>
      <c r="V405" s="232" t="str">
        <f aca="false">+PROPER(F405)</f>
        <v>Casado(A)</v>
      </c>
    </row>
    <row r="406" customFormat="false" ht="14.25" hidden="false" customHeight="false" outlineLevel="0" collapsed="false">
      <c r="B406" s="197" t="n">
        <v>38665738</v>
      </c>
      <c r="C406" s="197" t="s">
        <v>1694</v>
      </c>
      <c r="D406" s="197" t="s">
        <v>1695</v>
      </c>
      <c r="E406" s="198" t="s">
        <v>1696</v>
      </c>
      <c r="F406" s="198" t="s">
        <v>953</v>
      </c>
      <c r="G406" s="225" t="n">
        <v>3945300</v>
      </c>
      <c r="H406" s="225" t="n">
        <v>1456149</v>
      </c>
      <c r="I406" s="225" t="n">
        <v>0</v>
      </c>
      <c r="J406" s="198" t="n">
        <v>42</v>
      </c>
      <c r="K406" s="198" t="n">
        <v>2</v>
      </c>
      <c r="L406" s="226" t="n">
        <v>44938</v>
      </c>
      <c r="M406" s="226" t="n">
        <v>44809</v>
      </c>
      <c r="N406" s="227" t="n">
        <v>0</v>
      </c>
      <c r="O406" s="227" t="s">
        <v>135</v>
      </c>
      <c r="P406" s="228" t="n">
        <f aca="false">VLOOKUP(B406,'NIVEL ENERO'!A:D,3,0)</f>
        <v>0.111643800955731</v>
      </c>
      <c r="Q406" s="229" t="n">
        <f aca="false">VLOOKUP(B406,'NIVEL ENERO'!A:D,4,0)</f>
        <v>1328369.52</v>
      </c>
      <c r="R406" s="186" t="str">
        <f aca="false">+PROPER(C406&amp;" "&amp;D406)</f>
        <v>Rodriguez Herrera Lorena</v>
      </c>
      <c r="S406" s="230" t="n">
        <f aca="false">+YEARFRAC(L406,$S$1)</f>
        <v>3.33333333333333</v>
      </c>
      <c r="T406" s="230" t="n">
        <f aca="false">+YEARFRAC(M406,$S$1)</f>
        <v>3.68611111111111</v>
      </c>
      <c r="U406" s="231" t="n">
        <f aca="false">+$I406</f>
        <v>0</v>
      </c>
      <c r="V406" s="232" t="str">
        <f aca="false">+PROPER(F406)</f>
        <v>Soltero(A)</v>
      </c>
    </row>
    <row r="407" customFormat="false" ht="14.25" hidden="false" customHeight="false" outlineLevel="0" collapsed="false">
      <c r="B407" s="197" t="n">
        <v>38668565</v>
      </c>
      <c r="C407" s="197" t="s">
        <v>1697</v>
      </c>
      <c r="D407" s="197" t="s">
        <v>1698</v>
      </c>
      <c r="E407" s="198" t="s">
        <v>944</v>
      </c>
      <c r="F407" s="198" t="s">
        <v>948</v>
      </c>
      <c r="G407" s="225" t="n">
        <v>2600900</v>
      </c>
      <c r="H407" s="225" t="n">
        <v>2953021</v>
      </c>
      <c r="I407" s="225" t="n">
        <v>1425417</v>
      </c>
      <c r="J407" s="198" t="n">
        <v>40</v>
      </c>
      <c r="K407" s="198" t="n">
        <v>2</v>
      </c>
      <c r="L407" s="226" t="n">
        <v>39926</v>
      </c>
      <c r="M407" s="226" t="n">
        <v>39398</v>
      </c>
      <c r="N407" s="227" t="n">
        <v>2</v>
      </c>
      <c r="O407" s="227" t="s">
        <v>135</v>
      </c>
      <c r="P407" s="228" t="n">
        <f aca="false">VLOOKUP(B407,'NIVEL ENERO'!A:D,3,0)</f>
        <v>0.383589142220001</v>
      </c>
      <c r="Q407" s="229" t="n">
        <f aca="false">VLOOKUP(B407,'NIVEL ENERO'!A:D,4,0)</f>
        <v>94701</v>
      </c>
      <c r="R407" s="186" t="str">
        <f aca="false">+PROPER(C407&amp;" "&amp;D407)</f>
        <v>Beltran Lopez Cristel Johana</v>
      </c>
      <c r="S407" s="230" t="n">
        <f aca="false">+YEARFRAC(L407,$S$1)</f>
        <v>17.0527777777778</v>
      </c>
      <c r="T407" s="230" t="n">
        <f aca="false">+YEARFRAC(M407,$S$1)</f>
        <v>18.5</v>
      </c>
      <c r="U407" s="231" t="n">
        <f aca="false">+$I407</f>
        <v>1425417</v>
      </c>
      <c r="V407" s="232" t="str">
        <f aca="false">+PROPER(F407)</f>
        <v>Casado(A)</v>
      </c>
    </row>
    <row r="408" customFormat="false" ht="14.25" hidden="false" customHeight="false" outlineLevel="0" collapsed="false">
      <c r="B408" s="197" t="n">
        <v>38669398</v>
      </c>
      <c r="C408" s="197" t="s">
        <v>1699</v>
      </c>
      <c r="D408" s="197" t="s">
        <v>1369</v>
      </c>
      <c r="E408" s="198" t="s">
        <v>981</v>
      </c>
      <c r="F408" s="198" t="s">
        <v>953</v>
      </c>
      <c r="G408" s="225" t="n">
        <v>1625000</v>
      </c>
      <c r="H408" s="225" t="n">
        <v>1506656</v>
      </c>
      <c r="I408" s="225" t="n">
        <v>1231986</v>
      </c>
      <c r="J408" s="198" t="n">
        <v>40</v>
      </c>
      <c r="K408" s="198" t="n">
        <v>1</v>
      </c>
      <c r="L408" s="226" t="n">
        <v>44904</v>
      </c>
      <c r="M408" s="226" t="n">
        <v>44797</v>
      </c>
      <c r="N408" s="227" t="n">
        <v>0</v>
      </c>
      <c r="O408" s="227" t="s">
        <v>135</v>
      </c>
      <c r="P408" s="228" t="n">
        <f aca="false">VLOOKUP(B408,'NIVEL ENERO'!A:D,3,0)</f>
        <v>0.187574914810792</v>
      </c>
      <c r="Q408" s="229" t="n">
        <f aca="false">VLOOKUP(B408,'NIVEL ENERO'!A:D,4,0)</f>
        <v>454132.12</v>
      </c>
      <c r="R408" s="186" t="str">
        <f aca="false">+PROPER(C408&amp;" "&amp;D408)</f>
        <v>Nuvan Rivera Diana Maria</v>
      </c>
      <c r="S408" s="230" t="n">
        <f aca="false">+YEARFRAC(L408,$S$1)</f>
        <v>3.425</v>
      </c>
      <c r="T408" s="230" t="n">
        <f aca="false">+YEARFRAC(M408,$S$1)</f>
        <v>3.71666666666667</v>
      </c>
      <c r="U408" s="231" t="n">
        <f aca="false">+$I408</f>
        <v>1231986</v>
      </c>
      <c r="V408" s="232" t="str">
        <f aca="false">+PROPER(F408)</f>
        <v>Soltero(A)</v>
      </c>
    </row>
    <row r="409" customFormat="false" ht="14.25" hidden="false" customHeight="false" outlineLevel="0" collapsed="false">
      <c r="B409" s="197" t="n">
        <v>38670313</v>
      </c>
      <c r="C409" s="197" t="s">
        <v>1700</v>
      </c>
      <c r="D409" s="197" t="s">
        <v>1135</v>
      </c>
      <c r="E409" s="198" t="s">
        <v>944</v>
      </c>
      <c r="F409" s="198" t="s">
        <v>948</v>
      </c>
      <c r="G409" s="225" t="n">
        <v>5418800</v>
      </c>
      <c r="H409" s="225" t="n">
        <v>2809735</v>
      </c>
      <c r="I409" s="225" t="n">
        <v>0</v>
      </c>
      <c r="J409" s="198" t="n">
        <v>40</v>
      </c>
      <c r="K409" s="198" t="n">
        <v>4</v>
      </c>
      <c r="L409" s="226" t="n">
        <v>44825</v>
      </c>
      <c r="M409" s="226" t="n">
        <v>44105</v>
      </c>
      <c r="N409" s="227" t="n">
        <v>2</v>
      </c>
      <c r="O409" s="227" t="s">
        <v>135</v>
      </c>
      <c r="P409" s="228" t="n">
        <f aca="false">VLOOKUP(B409,'NIVEL ENERO'!A:D,3,0)</f>
        <v>0.305828594156268</v>
      </c>
      <c r="Q409" s="229" t="n">
        <f aca="false">VLOOKUP(B409,'NIVEL ENERO'!A:D,4,0)</f>
        <v>769305.2</v>
      </c>
      <c r="R409" s="186" t="str">
        <f aca="false">+PROPER(C409&amp;" "&amp;D409)</f>
        <v>Gonzalez Abonia Sandra Milena</v>
      </c>
      <c r="S409" s="230" t="n">
        <f aca="false">+YEARFRAC(L409,$S$1)</f>
        <v>3.64166666666667</v>
      </c>
      <c r="T409" s="230" t="n">
        <f aca="false">+YEARFRAC(M409,$S$1)</f>
        <v>5.61388888888889</v>
      </c>
      <c r="U409" s="231" t="n">
        <f aca="false">+$I409</f>
        <v>0</v>
      </c>
      <c r="V409" s="232" t="str">
        <f aca="false">+PROPER(F409)</f>
        <v>Casado(A)</v>
      </c>
    </row>
    <row r="410" customFormat="false" ht="14.25" hidden="false" customHeight="false" outlineLevel="0" collapsed="false">
      <c r="B410" s="197" t="n">
        <v>38670692</v>
      </c>
      <c r="C410" s="197" t="s">
        <v>1701</v>
      </c>
      <c r="D410" s="197" t="s">
        <v>1702</v>
      </c>
      <c r="E410" s="198" t="s">
        <v>944</v>
      </c>
      <c r="F410" s="198" t="s">
        <v>948</v>
      </c>
      <c r="G410" s="225" t="n">
        <v>2600900</v>
      </c>
      <c r="H410" s="225" t="n">
        <v>5839944</v>
      </c>
      <c r="I410" s="225" t="n">
        <v>1104408</v>
      </c>
      <c r="J410" s="198" t="n">
        <v>39</v>
      </c>
      <c r="K410" s="198" t="n">
        <v>1</v>
      </c>
      <c r="L410" s="226" t="n">
        <v>43481</v>
      </c>
      <c r="M410" s="226" t="n">
        <v>40032</v>
      </c>
      <c r="N410" s="227" t="n">
        <v>2</v>
      </c>
      <c r="O410" s="227" t="s">
        <v>135</v>
      </c>
      <c r="P410" s="228" t="n">
        <f aca="false">VLOOKUP(B410,'NIVEL ENERO'!A:D,3,0)</f>
        <v>0.205800956328568</v>
      </c>
      <c r="Q410" s="229" t="n">
        <f aca="false">VLOOKUP(B410,'NIVEL ENERO'!A:D,4,0)</f>
        <v>756337.68</v>
      </c>
      <c r="R410" s="186" t="str">
        <f aca="false">+PROPER(C410&amp;" "&amp;D410)</f>
        <v>Cortes Tovar Jennifer Tatiana</v>
      </c>
      <c r="S410" s="230" t="n">
        <f aca="false">+YEARFRAC(L410,$S$1)</f>
        <v>7.32222222222222</v>
      </c>
      <c r="T410" s="230" t="n">
        <f aca="false">+YEARFRAC(M410,$S$1)</f>
        <v>16.7638888888889</v>
      </c>
      <c r="U410" s="231" t="n">
        <f aca="false">+$I410</f>
        <v>1104408</v>
      </c>
      <c r="V410" s="232" t="str">
        <f aca="false">+PROPER(F410)</f>
        <v>Casado(A)</v>
      </c>
    </row>
    <row r="411" customFormat="false" ht="14.25" hidden="false" customHeight="false" outlineLevel="0" collapsed="false">
      <c r="B411" s="197" t="n">
        <v>38671608</v>
      </c>
      <c r="C411" s="197" t="s">
        <v>1703</v>
      </c>
      <c r="D411" s="197" t="s">
        <v>1704</v>
      </c>
      <c r="E411" s="198" t="s">
        <v>944</v>
      </c>
      <c r="F411" s="198" t="s">
        <v>953</v>
      </c>
      <c r="G411" s="225" t="n">
        <v>2893800</v>
      </c>
      <c r="H411" s="225" t="n">
        <v>1500275</v>
      </c>
      <c r="I411" s="225" t="n">
        <v>1038588</v>
      </c>
      <c r="J411" s="198" t="n">
        <v>39</v>
      </c>
      <c r="K411" s="198" t="n">
        <v>1</v>
      </c>
      <c r="L411" s="226" t="n">
        <v>45222</v>
      </c>
      <c r="M411" s="226" t="n">
        <v>44470</v>
      </c>
      <c r="N411" s="227" t="n">
        <v>0</v>
      </c>
      <c r="O411" s="227" t="s">
        <v>135</v>
      </c>
      <c r="P411" s="228" t="n">
        <f aca="false">VLOOKUP(B411,'NIVEL ENERO'!A:D,3,0)</f>
        <v>0.254251962486662</v>
      </c>
      <c r="Q411" s="229" t="n">
        <f aca="false">VLOOKUP(B411,'NIVEL ENERO'!A:D,4,0)</f>
        <v>675982.1</v>
      </c>
      <c r="R411" s="186" t="str">
        <f aca="false">+PROPER(C411&amp;" "&amp;D411)</f>
        <v>Cisneros Solarte Yeny Liseth</v>
      </c>
      <c r="S411" s="230" t="n">
        <f aca="false">+YEARFRAC(L411,$S$1)</f>
        <v>2.55277777777778</v>
      </c>
      <c r="T411" s="230" t="n">
        <f aca="false">+YEARFRAC(M411,$S$1)</f>
        <v>4.61388888888889</v>
      </c>
      <c r="U411" s="231" t="n">
        <f aca="false">+$I411</f>
        <v>1038588</v>
      </c>
      <c r="V411" s="232" t="str">
        <f aca="false">+PROPER(F411)</f>
        <v>Soltero(A)</v>
      </c>
    </row>
    <row r="412" customFormat="false" ht="14.25" hidden="false" customHeight="false" outlineLevel="0" collapsed="false">
      <c r="B412" s="197" t="n">
        <v>38681087</v>
      </c>
      <c r="C412" s="197" t="s">
        <v>1705</v>
      </c>
      <c r="D412" s="197" t="s">
        <v>1706</v>
      </c>
      <c r="E412" s="198" t="s">
        <v>944</v>
      </c>
      <c r="F412" s="198" t="s">
        <v>945</v>
      </c>
      <c r="G412" s="225" t="n">
        <v>4383200</v>
      </c>
      <c r="H412" s="225" t="n">
        <v>2732660</v>
      </c>
      <c r="I412" s="225" t="n">
        <v>3995289</v>
      </c>
      <c r="J412" s="198" t="n">
        <v>41</v>
      </c>
      <c r="K412" s="198" t="n">
        <v>2</v>
      </c>
      <c r="L412" s="226" t="n">
        <v>44636</v>
      </c>
      <c r="M412" s="226" t="n">
        <v>43770</v>
      </c>
      <c r="N412" s="227" t="n">
        <v>3</v>
      </c>
      <c r="O412" s="227" t="s">
        <v>135</v>
      </c>
      <c r="P412" s="228" t="n">
        <f aca="false">VLOOKUP(B412,'NIVEL ENERO'!A:D,3,0)</f>
        <v>0.169379134669349</v>
      </c>
      <c r="Q412" s="229" t="n">
        <f aca="false">VLOOKUP(B412,'NIVEL ENERO'!A:D,4,0)</f>
        <v>1152571.86</v>
      </c>
      <c r="R412" s="186" t="str">
        <f aca="false">+PROPER(C412&amp;" "&amp;D412)</f>
        <v>Ibarguen Ibarguen Liliam</v>
      </c>
      <c r="S412" s="230" t="n">
        <f aca="false">+YEARFRAC(L412,$S$1)</f>
        <v>4.15555555555556</v>
      </c>
      <c r="T412" s="230" t="n">
        <f aca="false">+YEARFRAC(M412,$S$1)</f>
        <v>6.53055555555556</v>
      </c>
      <c r="U412" s="231" t="n">
        <f aca="false">+$I412</f>
        <v>3995289</v>
      </c>
      <c r="V412" s="232" t="str">
        <f aca="false">+PROPER(F412)</f>
        <v>Union Libre</v>
      </c>
    </row>
    <row r="413" customFormat="false" ht="14.25" hidden="false" customHeight="false" outlineLevel="0" collapsed="false">
      <c r="B413" s="197" t="n">
        <v>38681207</v>
      </c>
      <c r="C413" s="197" t="s">
        <v>1707</v>
      </c>
      <c r="D413" s="197" t="s">
        <v>1708</v>
      </c>
      <c r="E413" s="198" t="s">
        <v>944</v>
      </c>
      <c r="F413" s="198" t="s">
        <v>945</v>
      </c>
      <c r="G413" s="225" t="n">
        <v>2893800</v>
      </c>
      <c r="H413" s="225" t="n">
        <v>4863067</v>
      </c>
      <c r="I413" s="225"/>
      <c r="J413" s="198" t="n">
        <v>40</v>
      </c>
      <c r="K413" s="198" t="n">
        <v>4</v>
      </c>
      <c r="L413" s="226" t="n">
        <v>44757</v>
      </c>
      <c r="M413" s="226" t="n">
        <v>44105</v>
      </c>
      <c r="N413" s="227" t="n">
        <v>4</v>
      </c>
      <c r="O413" s="227" t="s">
        <v>135</v>
      </c>
      <c r="P413" s="228" t="n">
        <f aca="false">VLOOKUP(B413,'NIVEL ENERO'!A:D,3,0)</f>
        <v>0.299373881383774</v>
      </c>
      <c r="Q413" s="229" t="n">
        <f aca="false">VLOOKUP(B413,'NIVEL ENERO'!A:D,4,0)</f>
        <v>288638.68</v>
      </c>
      <c r="R413" s="186" t="str">
        <f aca="false">+PROPER(C413&amp;" "&amp;D413)</f>
        <v>Espinosa Guerrero Monica Viviana</v>
      </c>
      <c r="S413" s="230" t="n">
        <f aca="false">+YEARFRAC(L413,$S$1)</f>
        <v>3.825</v>
      </c>
      <c r="T413" s="230" t="n">
        <f aca="false">+YEARFRAC(M413,$S$1)</f>
        <v>5.61388888888889</v>
      </c>
      <c r="U413" s="231" t="n">
        <f aca="false">+$I413</f>
        <v>0</v>
      </c>
      <c r="V413" s="232" t="str">
        <f aca="false">+PROPER(F413)</f>
        <v>Union Libre</v>
      </c>
    </row>
    <row r="414" customFormat="false" ht="14.25" hidden="false" customHeight="false" outlineLevel="0" collapsed="false">
      <c r="B414" s="197" t="n">
        <v>38681350</v>
      </c>
      <c r="C414" s="197" t="s">
        <v>1709</v>
      </c>
      <c r="D414" s="197" t="s">
        <v>1710</v>
      </c>
      <c r="E414" s="198" t="s">
        <v>944</v>
      </c>
      <c r="F414" s="198" t="s">
        <v>953</v>
      </c>
      <c r="G414" s="225" t="n">
        <v>2893800</v>
      </c>
      <c r="H414" s="225" t="n">
        <v>1658132</v>
      </c>
      <c r="I414" s="225" t="n">
        <v>4425717</v>
      </c>
      <c r="J414" s="198" t="n">
        <v>40</v>
      </c>
      <c r="K414" s="198" t="n">
        <v>2</v>
      </c>
      <c r="L414" s="226" t="n">
        <v>44790</v>
      </c>
      <c r="M414" s="226" t="n">
        <v>38874</v>
      </c>
      <c r="N414" s="227" t="n">
        <v>2</v>
      </c>
      <c r="O414" s="227" t="s">
        <v>135</v>
      </c>
      <c r="P414" s="228" t="n">
        <f aca="false">VLOOKUP(B414,'NIVEL ENERO'!A:D,3,0)</f>
        <v>0.312105190407077</v>
      </c>
      <c r="Q414" s="229" t="n">
        <f aca="false">VLOOKUP(B414,'NIVEL ENERO'!A:D,4,0)</f>
        <v>312226</v>
      </c>
      <c r="R414" s="186" t="str">
        <f aca="false">+PROPER(C414&amp;" "&amp;D414)</f>
        <v>Cruz Vasco Maria Luisa</v>
      </c>
      <c r="S414" s="230" t="n">
        <f aca="false">+YEARFRAC(L414,$S$1)</f>
        <v>3.73611111111111</v>
      </c>
      <c r="T414" s="230" t="n">
        <f aca="false">+YEARFRAC(M414,$S$1)</f>
        <v>19.9333333333333</v>
      </c>
      <c r="U414" s="231" t="n">
        <f aca="false">+$I414</f>
        <v>4425717</v>
      </c>
      <c r="V414" s="232" t="str">
        <f aca="false">+PROPER(F414)</f>
        <v>Soltero(A)</v>
      </c>
    </row>
    <row r="415" customFormat="false" ht="14.25" hidden="false" customHeight="false" outlineLevel="0" collapsed="false">
      <c r="B415" s="197" t="n">
        <v>38683545</v>
      </c>
      <c r="C415" s="197" t="s">
        <v>1711</v>
      </c>
      <c r="D415" s="197" t="s">
        <v>1712</v>
      </c>
      <c r="E415" s="198" t="s">
        <v>944</v>
      </c>
      <c r="F415" s="198" t="s">
        <v>953</v>
      </c>
      <c r="G415" s="225" t="n">
        <v>1918500</v>
      </c>
      <c r="H415" s="225" t="n">
        <v>2379377</v>
      </c>
      <c r="I415" s="225" t="n">
        <v>2044245</v>
      </c>
      <c r="J415" s="198" t="n">
        <v>40</v>
      </c>
      <c r="K415" s="198" t="n">
        <v>2</v>
      </c>
      <c r="L415" s="226" t="n">
        <v>44335</v>
      </c>
      <c r="M415" s="226" t="n">
        <v>40422</v>
      </c>
      <c r="N415" s="227" t="n">
        <v>4</v>
      </c>
      <c r="O415" s="227" t="s">
        <v>135</v>
      </c>
      <c r="P415" s="228" t="n">
        <f aca="false">VLOOKUP(B415,'NIVEL ENERO'!A:D,3,0)</f>
        <v>0.439026623219239</v>
      </c>
      <c r="Q415" s="229" t="n">
        <f aca="false">VLOOKUP(B415,'NIVEL ENERO'!A:D,4,0)</f>
        <v>-84109</v>
      </c>
      <c r="R415" s="186" t="str">
        <f aca="false">+PROPER(C415&amp;" "&amp;D415)</f>
        <v>Ordonez Ordonez Dolly Margoth</v>
      </c>
      <c r="S415" s="230" t="n">
        <f aca="false">+YEARFRAC(L415,$S$1)</f>
        <v>4.98055555555556</v>
      </c>
      <c r="T415" s="230" t="n">
        <f aca="false">+YEARFRAC(M415,$S$1)</f>
        <v>15.6972222222222</v>
      </c>
      <c r="U415" s="231" t="n">
        <f aca="false">+$I415</f>
        <v>2044245</v>
      </c>
      <c r="V415" s="232" t="str">
        <f aca="false">+PROPER(F415)</f>
        <v>Soltero(A)</v>
      </c>
    </row>
    <row r="416" customFormat="false" ht="14.25" hidden="false" customHeight="false" outlineLevel="0" collapsed="false">
      <c r="B416" s="197" t="n">
        <v>38683726</v>
      </c>
      <c r="C416" s="197" t="s">
        <v>1713</v>
      </c>
      <c r="D416" s="197" t="s">
        <v>1549</v>
      </c>
      <c r="E416" s="198" t="s">
        <v>944</v>
      </c>
      <c r="F416" s="198" t="s">
        <v>945</v>
      </c>
      <c r="G416" s="225" t="n">
        <v>2600900</v>
      </c>
      <c r="H416" s="225" t="n">
        <v>1355255</v>
      </c>
      <c r="I416" s="225" t="n">
        <v>3503216</v>
      </c>
      <c r="J416" s="198" t="n">
        <v>40</v>
      </c>
      <c r="K416" s="198" t="n">
        <v>1</v>
      </c>
      <c r="L416" s="226" t="n">
        <v>45001</v>
      </c>
      <c r="M416" s="226" t="n">
        <v>44759</v>
      </c>
      <c r="N416" s="227" t="n">
        <v>0</v>
      </c>
      <c r="O416" s="227" t="s">
        <v>135</v>
      </c>
      <c r="P416" s="228" t="n">
        <f aca="false">VLOOKUP(B416,'NIVEL ENERO'!A:D,3,0)</f>
        <v>0.236642920006422</v>
      </c>
      <c r="Q416" s="229" t="n">
        <f aca="false">VLOOKUP(B416,'NIVEL ENERO'!A:D,4,0)</f>
        <v>550431.72</v>
      </c>
      <c r="R416" s="186" t="str">
        <f aca="false">+PROPER(C416&amp;" "&amp;D416)</f>
        <v>Orozco Guerrero Sandra Patricia</v>
      </c>
      <c r="S416" s="230" t="n">
        <f aca="false">+YEARFRAC(L416,$S$1)</f>
        <v>3.15555555555556</v>
      </c>
      <c r="T416" s="230" t="n">
        <f aca="false">+YEARFRAC(M416,$S$1)</f>
        <v>3.81944444444444</v>
      </c>
      <c r="U416" s="231" t="n">
        <f aca="false">+$I416</f>
        <v>3503216</v>
      </c>
      <c r="V416" s="232" t="str">
        <f aca="false">+PROPER(F416)</f>
        <v>Union Libre</v>
      </c>
    </row>
    <row r="417" customFormat="false" ht="14.25" hidden="false" customHeight="false" outlineLevel="0" collapsed="false">
      <c r="B417" s="197" t="n">
        <v>38683813</v>
      </c>
      <c r="C417" s="197" t="s">
        <v>1714</v>
      </c>
      <c r="D417" s="197" t="s">
        <v>1715</v>
      </c>
      <c r="E417" s="198" t="s">
        <v>944</v>
      </c>
      <c r="F417" s="198" t="s">
        <v>948</v>
      </c>
      <c r="G417" s="225" t="n">
        <v>4327600</v>
      </c>
      <c r="H417" s="225" t="n">
        <v>4839269</v>
      </c>
      <c r="I417" s="225" t="n">
        <v>0</v>
      </c>
      <c r="J417" s="198" t="n">
        <v>40</v>
      </c>
      <c r="K417" s="198" t="n">
        <v>2</v>
      </c>
      <c r="L417" s="226" t="n">
        <v>42930</v>
      </c>
      <c r="M417" s="226" t="n">
        <v>42234</v>
      </c>
      <c r="N417" s="227" t="n">
        <v>2</v>
      </c>
      <c r="O417" s="227" t="s">
        <v>135</v>
      </c>
      <c r="P417" s="228" t="n">
        <f aca="false">VLOOKUP(B417,'NIVEL ENERO'!A:D,3,0)</f>
        <v>0.160169377946206</v>
      </c>
      <c r="Q417" s="229" t="n">
        <f aca="false">VLOOKUP(B417,'NIVEL ENERO'!A:D,4,0)</f>
        <v>1124443</v>
      </c>
      <c r="R417" s="186" t="str">
        <f aca="false">+PROPER(C417&amp;" "&amp;D417)</f>
        <v>Burgos Casanova Patricia Lucia</v>
      </c>
      <c r="S417" s="230" t="n">
        <f aca="false">+YEARFRAC(L417,$S$1)</f>
        <v>8.82777777777778</v>
      </c>
      <c r="T417" s="230" t="n">
        <f aca="false">+YEARFRAC(M417,$S$1)</f>
        <v>10.7333333333333</v>
      </c>
      <c r="U417" s="231" t="n">
        <f aca="false">+$I417</f>
        <v>0</v>
      </c>
      <c r="V417" s="232" t="str">
        <f aca="false">+PROPER(F417)</f>
        <v>Casado(A)</v>
      </c>
    </row>
    <row r="418" customFormat="false" ht="14.25" hidden="false" customHeight="false" outlineLevel="0" collapsed="false">
      <c r="B418" s="197" t="n">
        <v>38684312</v>
      </c>
      <c r="C418" s="197" t="s">
        <v>1716</v>
      </c>
      <c r="D418" s="197" t="s">
        <v>1324</v>
      </c>
      <c r="E418" s="198" t="s">
        <v>944</v>
      </c>
      <c r="F418" s="198" t="s">
        <v>945</v>
      </c>
      <c r="G418" s="225" t="n">
        <v>1501435</v>
      </c>
      <c r="H418" s="225" t="n">
        <v>880000</v>
      </c>
      <c r="I418" s="225"/>
      <c r="J418" s="198" t="n">
        <v>40</v>
      </c>
      <c r="K418" s="198" t="n">
        <v>1</v>
      </c>
      <c r="L418" s="226" t="n">
        <v>45342</v>
      </c>
      <c r="M418" s="226" t="n">
        <v>44428</v>
      </c>
      <c r="N418" s="227" t="n">
        <v>0</v>
      </c>
      <c r="O418" s="227" t="s">
        <v>135</v>
      </c>
      <c r="P418" s="228" t="n">
        <f aca="false">VLOOKUP(B418,'NIVEL ENERO'!A:D,3,0)</f>
        <v>0.377519175990729</v>
      </c>
      <c r="Q418" s="229" t="n">
        <f aca="false">VLOOKUP(B418,'NIVEL ENERO'!A:D,4,0)</f>
        <v>177080</v>
      </c>
      <c r="R418" s="186" t="str">
        <f aca="false">+PROPER(C418&amp;" "&amp;D418)</f>
        <v>Rincon Villarreal Luz Stella</v>
      </c>
      <c r="S418" s="230" t="n">
        <f aca="false">+YEARFRAC(L418,$S$1)</f>
        <v>2.22777777777778</v>
      </c>
      <c r="T418" s="230" t="n">
        <f aca="false">+YEARFRAC(M418,$S$1)</f>
        <v>4.72777777777778</v>
      </c>
      <c r="U418" s="231" t="n">
        <f aca="false">+$I418</f>
        <v>0</v>
      </c>
      <c r="V418" s="232" t="str">
        <f aca="false">+PROPER(F418)</f>
        <v>Union Libre</v>
      </c>
    </row>
    <row r="419" customFormat="false" ht="14.25" hidden="false" customHeight="false" outlineLevel="0" collapsed="false">
      <c r="B419" s="197" t="n">
        <v>38684944</v>
      </c>
      <c r="C419" s="197" t="s">
        <v>1717</v>
      </c>
      <c r="D419" s="197" t="s">
        <v>1695</v>
      </c>
      <c r="E419" s="198" t="s">
        <v>944</v>
      </c>
      <c r="F419" s="198" t="s">
        <v>945</v>
      </c>
      <c r="G419" s="225" t="n">
        <v>2600900</v>
      </c>
      <c r="H419" s="225" t="n">
        <v>2672897</v>
      </c>
      <c r="I419" s="225" t="n">
        <v>17829731</v>
      </c>
      <c r="J419" s="198" t="n">
        <v>39</v>
      </c>
      <c r="K419" s="198" t="n">
        <v>3</v>
      </c>
      <c r="L419" s="226" t="n">
        <v>44636</v>
      </c>
      <c r="M419" s="226" t="n">
        <v>41543</v>
      </c>
      <c r="N419" s="227" t="n">
        <v>0</v>
      </c>
      <c r="O419" s="227" t="s">
        <v>153</v>
      </c>
      <c r="P419" s="228" t="e">
        <f aca="false">VLOOKUP(B419,'NIVEL ENERO'!A:D,3,0)</f>
        <v>#N/A</v>
      </c>
      <c r="Q419" s="229" t="e">
        <f aca="false">VLOOKUP(B419,'NIVEL ENERO'!A:D,4,0)</f>
        <v>#N/A</v>
      </c>
      <c r="R419" s="186" t="str">
        <f aca="false">+PROPER(C419&amp;" "&amp;D419)</f>
        <v>Jimenez Caicedo Lorena</v>
      </c>
      <c r="S419" s="230" t="n">
        <f aca="false">+YEARFRAC(L419,$S$1)</f>
        <v>4.15555555555556</v>
      </c>
      <c r="T419" s="230" t="n">
        <f aca="false">+YEARFRAC(M419,$S$1)</f>
        <v>12.6277777777778</v>
      </c>
      <c r="U419" s="231" t="n">
        <f aca="false">+$I419</f>
        <v>17829731</v>
      </c>
      <c r="V419" s="232" t="str">
        <f aca="false">+PROPER(F419)</f>
        <v>Union Libre</v>
      </c>
    </row>
    <row r="420" customFormat="false" ht="14.25" hidden="false" customHeight="false" outlineLevel="0" collapsed="false">
      <c r="B420" s="197" t="n">
        <v>38790124</v>
      </c>
      <c r="C420" s="197" t="s">
        <v>1718</v>
      </c>
      <c r="D420" s="197" t="s">
        <v>1719</v>
      </c>
      <c r="E420" s="198" t="s">
        <v>944</v>
      </c>
      <c r="F420" s="198" t="s">
        <v>945</v>
      </c>
      <c r="G420" s="225" t="n">
        <v>5842800</v>
      </c>
      <c r="H420" s="225" t="n">
        <v>1238408</v>
      </c>
      <c r="I420" s="225" t="n">
        <v>1249074</v>
      </c>
      <c r="J420" s="198" t="n">
        <v>43</v>
      </c>
      <c r="K420" s="198" t="n">
        <v>2</v>
      </c>
      <c r="L420" s="226" t="n">
        <v>45064</v>
      </c>
      <c r="M420" s="226" t="n">
        <v>38789</v>
      </c>
      <c r="N420" s="227" t="n">
        <v>0</v>
      </c>
      <c r="O420" s="227" t="s">
        <v>135</v>
      </c>
      <c r="P420" s="228" t="n">
        <f aca="false">VLOOKUP(B420,'NIVEL ENERO'!A:D,3,0)</f>
        <v>0.166570149827884</v>
      </c>
      <c r="Q420" s="229" t="n">
        <f aca="false">VLOOKUP(B420,'NIVEL ENERO'!A:D,4,0)</f>
        <v>1870560.74</v>
      </c>
      <c r="R420" s="186" t="str">
        <f aca="false">+PROPER(C420&amp;" "&amp;D420)</f>
        <v>Giraldo Fernandez Juliet Marcela</v>
      </c>
      <c r="S420" s="230" t="n">
        <f aca="false">+YEARFRAC(L420,$S$1)</f>
        <v>2.98333333333333</v>
      </c>
      <c r="T420" s="230" t="n">
        <f aca="false">+YEARFRAC(M420,$S$1)</f>
        <v>20.1638888888889</v>
      </c>
      <c r="U420" s="231" t="n">
        <f aca="false">+$I420</f>
        <v>1249074</v>
      </c>
      <c r="V420" s="232" t="str">
        <f aca="false">+PROPER(F420)</f>
        <v>Union Libre</v>
      </c>
    </row>
    <row r="421" customFormat="false" ht="14.25" hidden="false" customHeight="false" outlineLevel="0" collapsed="false">
      <c r="B421" s="197" t="n">
        <v>38790788</v>
      </c>
      <c r="C421" s="197" t="s">
        <v>1720</v>
      </c>
      <c r="D421" s="197" t="s">
        <v>1721</v>
      </c>
      <c r="E421" s="198" t="s">
        <v>944</v>
      </c>
      <c r="F421" s="198" t="s">
        <v>948</v>
      </c>
      <c r="G421" s="225" t="n">
        <v>5842800</v>
      </c>
      <c r="H421" s="225" t="n">
        <v>4931050</v>
      </c>
      <c r="I421" s="225" t="n">
        <v>12964607</v>
      </c>
      <c r="J421" s="198" t="n">
        <v>42</v>
      </c>
      <c r="K421" s="198" t="n">
        <v>1</v>
      </c>
      <c r="L421" s="226" t="n">
        <v>44488</v>
      </c>
      <c r="M421" s="226" t="n">
        <v>43527</v>
      </c>
      <c r="N421" s="227" t="n">
        <v>2</v>
      </c>
      <c r="O421" s="227" t="s">
        <v>135</v>
      </c>
      <c r="P421" s="228" t="n">
        <f aca="false">VLOOKUP(B421,'NIVEL ENERO'!A:D,3,0)</f>
        <v>0.311781508865612</v>
      </c>
      <c r="Q421" s="229" t="n">
        <f aca="false">VLOOKUP(B421,'NIVEL ENERO'!A:D,4,0)</f>
        <v>632299</v>
      </c>
      <c r="R421" s="186" t="str">
        <f aca="false">+PROPER(C421&amp;" "&amp;D421)</f>
        <v>Espinosa Reyes Diana Cristina</v>
      </c>
      <c r="S421" s="230" t="n">
        <f aca="false">+YEARFRAC(L421,$S$1)</f>
        <v>4.56388888888889</v>
      </c>
      <c r="T421" s="230" t="n">
        <f aca="false">+YEARFRAC(M421,$S$1)</f>
        <v>7.19166666666667</v>
      </c>
      <c r="U421" s="231" t="n">
        <f aca="false">+$I421</f>
        <v>12964607</v>
      </c>
      <c r="V421" s="232" t="str">
        <f aca="false">+PROPER(F421)</f>
        <v>Casado(A)</v>
      </c>
    </row>
    <row r="422" customFormat="false" ht="14.25" hidden="false" customHeight="false" outlineLevel="0" collapsed="false">
      <c r="B422" s="197" t="n">
        <v>38867456</v>
      </c>
      <c r="C422" s="197" t="s">
        <v>1722</v>
      </c>
      <c r="D422" s="197" t="s">
        <v>1723</v>
      </c>
      <c r="E422" s="198" t="s">
        <v>944</v>
      </c>
      <c r="F422" s="198" t="s">
        <v>945</v>
      </c>
      <c r="G422" s="225" t="n">
        <v>2893800</v>
      </c>
      <c r="H422" s="225" t="n">
        <v>7851331</v>
      </c>
      <c r="I422" s="225" t="n">
        <v>4086794</v>
      </c>
      <c r="J422" s="198" t="n">
        <v>57</v>
      </c>
      <c r="K422" s="198" t="n">
        <v>1</v>
      </c>
      <c r="L422" s="226" t="n">
        <v>43150</v>
      </c>
      <c r="M422" s="226" t="n">
        <v>40863</v>
      </c>
      <c r="N422" s="227" t="n">
        <v>3</v>
      </c>
      <c r="O422" s="227" t="s">
        <v>135</v>
      </c>
      <c r="P422" s="228" t="n">
        <f aca="false">VLOOKUP(B422,'NIVEL ENERO'!A:D,3,0)</f>
        <v>0.230255301458691</v>
      </c>
      <c r="Q422" s="229" t="n">
        <f aca="false">VLOOKUP(B422,'NIVEL ENERO'!A:D,4,0)</f>
        <v>744883.04</v>
      </c>
      <c r="R422" s="186" t="str">
        <f aca="false">+PROPER(C422&amp;" "&amp;D422)</f>
        <v>Arango Lotero Consuelo</v>
      </c>
      <c r="S422" s="230" t="n">
        <f aca="false">+YEARFRAC(L422,$S$1)</f>
        <v>8.23055555555556</v>
      </c>
      <c r="T422" s="230" t="n">
        <f aca="false">+YEARFRAC(M422,$S$1)</f>
        <v>14.4888888888889</v>
      </c>
      <c r="U422" s="231" t="n">
        <f aca="false">+$I422</f>
        <v>4086794</v>
      </c>
      <c r="V422" s="232" t="str">
        <f aca="false">+PROPER(F422)</f>
        <v>Union Libre</v>
      </c>
    </row>
    <row r="423" customFormat="false" ht="14.25" hidden="false" customHeight="false" outlineLevel="0" collapsed="false">
      <c r="B423" s="197" t="n">
        <v>38872813</v>
      </c>
      <c r="C423" s="197" t="s">
        <v>1724</v>
      </c>
      <c r="D423" s="197" t="s">
        <v>1326</v>
      </c>
      <c r="E423" s="198" t="s">
        <v>944</v>
      </c>
      <c r="F423" s="198" t="s">
        <v>1282</v>
      </c>
      <c r="G423" s="225" t="n">
        <v>1991000</v>
      </c>
      <c r="H423" s="225" t="n">
        <v>5883695</v>
      </c>
      <c r="I423" s="225" t="n">
        <v>1692698</v>
      </c>
      <c r="J423" s="198" t="n">
        <v>53</v>
      </c>
      <c r="K423" s="198" t="n">
        <v>1</v>
      </c>
      <c r="L423" s="226" t="n">
        <v>41373</v>
      </c>
      <c r="M423" s="226" t="n">
        <v>39099</v>
      </c>
      <c r="N423" s="227" t="n">
        <v>5</v>
      </c>
      <c r="O423" s="227" t="s">
        <v>135</v>
      </c>
      <c r="P423" s="228" t="n">
        <f aca="false">VLOOKUP(B423,'NIVEL ENERO'!A:D,3,0)</f>
        <v>0.44211414270715</v>
      </c>
      <c r="Q423" s="229" t="n">
        <f aca="false">VLOOKUP(B423,'NIVEL ENERO'!A:D,4,0)</f>
        <v>-102502</v>
      </c>
      <c r="R423" s="186" t="str">
        <f aca="false">+PROPER(C423&amp;" "&amp;D423)</f>
        <v>Azcarate Velez Beatriz Eugenia</v>
      </c>
      <c r="S423" s="230" t="n">
        <f aca="false">+YEARFRAC(L423,$S$1)</f>
        <v>13.0916666666667</v>
      </c>
      <c r="T423" s="230" t="n">
        <f aca="false">+YEARFRAC(M423,$S$1)</f>
        <v>19.3194444444444</v>
      </c>
      <c r="U423" s="231" t="n">
        <f aca="false">+$I423</f>
        <v>1692698</v>
      </c>
      <c r="V423" s="232" t="str">
        <f aca="false">+PROPER(F423)</f>
        <v>Divorciado</v>
      </c>
    </row>
    <row r="424" customFormat="false" ht="14.25" hidden="false" customHeight="false" outlineLevel="0" collapsed="false">
      <c r="B424" s="197" t="n">
        <v>38873740</v>
      </c>
      <c r="C424" s="197" t="s">
        <v>1725</v>
      </c>
      <c r="D424" s="197" t="s">
        <v>1726</v>
      </c>
      <c r="E424" s="198" t="s">
        <v>944</v>
      </c>
      <c r="F424" s="198" t="s">
        <v>998</v>
      </c>
      <c r="G424" s="225" t="n">
        <v>2893800</v>
      </c>
      <c r="H424" s="225" t="n">
        <v>10328873</v>
      </c>
      <c r="I424" s="225" t="n">
        <v>9354393</v>
      </c>
      <c r="J424" s="198" t="n">
        <v>53</v>
      </c>
      <c r="K424" s="198" t="n">
        <v>4</v>
      </c>
      <c r="L424" s="226" t="n">
        <v>39582</v>
      </c>
      <c r="M424" s="226" t="n">
        <v>35069</v>
      </c>
      <c r="N424" s="227" t="n">
        <v>4</v>
      </c>
      <c r="O424" s="227" t="s">
        <v>135</v>
      </c>
      <c r="P424" s="228" t="n">
        <f aca="false">VLOOKUP(B424,'NIVEL ENERO'!A:D,3,0)</f>
        <v>0.344490207862976</v>
      </c>
      <c r="Q424" s="229" t="n">
        <f aca="false">VLOOKUP(B424,'NIVEL ENERO'!A:D,4,0)</f>
        <v>235822.14</v>
      </c>
      <c r="R424" s="186" t="str">
        <f aca="false">+PROPER(C424&amp;" "&amp;D424)</f>
        <v>Hernandez Yusti Maria Cristina</v>
      </c>
      <c r="S424" s="230" t="n">
        <f aca="false">+YEARFRAC(L424,$S$1)</f>
        <v>17.9944444444444</v>
      </c>
      <c r="T424" s="230" t="n">
        <f aca="false">+YEARFRAC(M424,$S$1)</f>
        <v>30.3527777777778</v>
      </c>
      <c r="U424" s="231" t="n">
        <f aca="false">+$I424</f>
        <v>9354393</v>
      </c>
      <c r="V424" s="232" t="str">
        <f aca="false">+PROPER(F424)</f>
        <v>Separado(A)</v>
      </c>
    </row>
    <row r="425" customFormat="false" ht="14.25" hidden="false" customHeight="false" outlineLevel="0" collapsed="false">
      <c r="B425" s="197" t="n">
        <v>38879179</v>
      </c>
      <c r="C425" s="197" t="s">
        <v>1727</v>
      </c>
      <c r="D425" s="197" t="s">
        <v>1728</v>
      </c>
      <c r="E425" s="198" t="s">
        <v>944</v>
      </c>
      <c r="F425" s="198" t="s">
        <v>953</v>
      </c>
      <c r="G425" s="225" t="n">
        <v>2893800</v>
      </c>
      <c r="H425" s="225" t="n">
        <v>4676264</v>
      </c>
      <c r="I425" s="225" t="n">
        <v>4527448</v>
      </c>
      <c r="J425" s="198" t="n">
        <v>48</v>
      </c>
      <c r="K425" s="198" t="n">
        <v>2</v>
      </c>
      <c r="L425" s="226" t="n">
        <v>44245</v>
      </c>
      <c r="M425" s="226" t="n">
        <v>44114</v>
      </c>
      <c r="N425" s="227" t="n">
        <v>1</v>
      </c>
      <c r="O425" s="227" t="s">
        <v>135</v>
      </c>
      <c r="P425" s="228" t="n">
        <f aca="false">VLOOKUP(B425,'NIVEL ENERO'!A:D,3,0)</f>
        <v>0.210992253885059</v>
      </c>
      <c r="Q425" s="229" t="n">
        <f aca="false">VLOOKUP(B425,'NIVEL ENERO'!A:D,4,0)</f>
        <v>740123.6</v>
      </c>
      <c r="R425" s="186" t="str">
        <f aca="false">+PROPER(C425&amp;" "&amp;D425)</f>
        <v>Henao Aguilar Alexa Vivian</v>
      </c>
      <c r="S425" s="230" t="n">
        <f aca="false">+YEARFRAC(L425,$S$1)</f>
        <v>5.23333333333333</v>
      </c>
      <c r="T425" s="230" t="n">
        <f aca="false">+YEARFRAC(M425,$S$1)</f>
        <v>5.58888888888889</v>
      </c>
      <c r="U425" s="231" t="n">
        <f aca="false">+$I425</f>
        <v>4527448</v>
      </c>
      <c r="V425" s="232" t="str">
        <f aca="false">+PROPER(F425)</f>
        <v>Soltero(A)</v>
      </c>
    </row>
    <row r="426" customFormat="false" ht="14.25" hidden="false" customHeight="false" outlineLevel="0" collapsed="false">
      <c r="B426" s="197" t="n">
        <v>38886733</v>
      </c>
      <c r="C426" s="197" t="s">
        <v>1729</v>
      </c>
      <c r="D426" s="197" t="s">
        <v>1730</v>
      </c>
      <c r="E426" s="198" t="s">
        <v>981</v>
      </c>
      <c r="F426" s="198" t="s">
        <v>945</v>
      </c>
      <c r="G426" s="225" t="n">
        <v>5291000</v>
      </c>
      <c r="H426" s="225" t="n">
        <v>1456149</v>
      </c>
      <c r="I426" s="225" t="n">
        <v>12459901</v>
      </c>
      <c r="J426" s="198" t="n">
        <v>44</v>
      </c>
      <c r="K426" s="198" t="n">
        <v>2</v>
      </c>
      <c r="L426" s="226" t="n">
        <v>44939</v>
      </c>
      <c r="M426" s="226" t="n">
        <v>41379</v>
      </c>
      <c r="N426" s="227" t="n">
        <v>4</v>
      </c>
      <c r="O426" s="227" t="s">
        <v>135</v>
      </c>
      <c r="P426" s="228" t="n">
        <f aca="false">VLOOKUP(B426,'NIVEL ENERO'!A:D,3,0)</f>
        <v>0.525596106596107</v>
      </c>
      <c r="Q426" s="229" t="n">
        <f aca="false">VLOOKUP(B426,'NIVEL ENERO'!A:D,4,0)</f>
        <v>-558709</v>
      </c>
      <c r="R426" s="186" t="str">
        <f aca="false">+PROPER(C426&amp;" "&amp;D426)</f>
        <v>Vela Zambrano Jakeline</v>
      </c>
      <c r="S426" s="230" t="n">
        <f aca="false">+YEARFRAC(L426,$S$1)</f>
        <v>3.33055555555556</v>
      </c>
      <c r="T426" s="230" t="n">
        <f aca="false">+YEARFRAC(M426,$S$1)</f>
        <v>13.075</v>
      </c>
      <c r="U426" s="231" t="n">
        <f aca="false">+$I426</f>
        <v>12459901</v>
      </c>
      <c r="V426" s="232" t="str">
        <f aca="false">+PROPER(F426)</f>
        <v>Union Libre</v>
      </c>
    </row>
    <row r="427" customFormat="false" ht="14.25" hidden="false" customHeight="false" outlineLevel="0" collapsed="false">
      <c r="B427" s="197" t="n">
        <v>38888433</v>
      </c>
      <c r="C427" s="197" t="s">
        <v>1731</v>
      </c>
      <c r="D427" s="197" t="s">
        <v>1732</v>
      </c>
      <c r="E427" s="198" t="s">
        <v>944</v>
      </c>
      <c r="F427" s="198" t="s">
        <v>953</v>
      </c>
      <c r="G427" s="225" t="n">
        <v>6130300</v>
      </c>
      <c r="H427" s="225" t="n">
        <v>2043515</v>
      </c>
      <c r="I427" s="225" t="n">
        <v>2231911</v>
      </c>
      <c r="J427" s="198" t="n">
        <v>44</v>
      </c>
      <c r="K427" s="198" t="n">
        <v>2</v>
      </c>
      <c r="L427" s="226" t="n">
        <v>45114</v>
      </c>
      <c r="M427" s="226" t="n">
        <v>36619</v>
      </c>
      <c r="N427" s="227" t="n">
        <v>3</v>
      </c>
      <c r="O427" s="227" t="s">
        <v>135</v>
      </c>
      <c r="P427" s="228" t="n">
        <f aca="false">VLOOKUP(B427,'NIVEL ENERO'!A:D,3,0)</f>
        <v>0.43598323083699</v>
      </c>
      <c r="Q427" s="229" t="n">
        <f aca="false">VLOOKUP(B427,'NIVEL ENERO'!A:D,4,0)</f>
        <v>-97982</v>
      </c>
      <c r="R427" s="186" t="str">
        <f aca="false">+PROPER(C427&amp;" "&amp;D427)</f>
        <v>Loboa Ortiz Dahiana</v>
      </c>
      <c r="S427" s="230" t="n">
        <f aca="false">+YEARFRAC(L427,$S$1)</f>
        <v>2.84722222222222</v>
      </c>
      <c r="T427" s="230" t="n">
        <f aca="false">+YEARFRAC(M427,$S$1)</f>
        <v>26.1083333333333</v>
      </c>
      <c r="U427" s="231" t="n">
        <f aca="false">+$I427</f>
        <v>2231911</v>
      </c>
      <c r="V427" s="232" t="str">
        <f aca="false">+PROPER(F427)</f>
        <v>Soltero(A)</v>
      </c>
    </row>
    <row r="428" customFormat="false" ht="14.25" hidden="false" customHeight="false" outlineLevel="0" collapsed="false">
      <c r="B428" s="197" t="n">
        <v>38888798</v>
      </c>
      <c r="C428" s="197" t="s">
        <v>1733</v>
      </c>
      <c r="D428" s="197" t="s">
        <v>1734</v>
      </c>
      <c r="E428" s="198" t="s">
        <v>944</v>
      </c>
      <c r="F428" s="198" t="s">
        <v>945</v>
      </c>
      <c r="G428" s="225" t="n">
        <v>1670000</v>
      </c>
      <c r="H428" s="225" t="n">
        <v>4308181</v>
      </c>
      <c r="I428" s="225" t="n">
        <v>4150478</v>
      </c>
      <c r="J428" s="198" t="n">
        <v>46</v>
      </c>
      <c r="K428" s="198" t="n">
        <v>1</v>
      </c>
      <c r="L428" s="226" t="n">
        <v>43117</v>
      </c>
      <c r="M428" s="226" t="n">
        <v>40461</v>
      </c>
      <c r="N428" s="227" t="n">
        <v>4</v>
      </c>
      <c r="O428" s="227" t="s">
        <v>135</v>
      </c>
      <c r="P428" s="228" t="n">
        <f aca="false">VLOOKUP(B428,'NIVEL ENERO'!A:D,3,0)</f>
        <v>0.421482983194355</v>
      </c>
      <c r="Q428" s="229" t="n">
        <f aca="false">VLOOKUP(B428,'NIVEL ENERO'!A:D,4,0)</f>
        <v>-6883.66666666674</v>
      </c>
      <c r="R428" s="186" t="str">
        <f aca="false">+PROPER(C428&amp;" "&amp;D428)</f>
        <v>Parra Castrillon Maria Victoria</v>
      </c>
      <c r="S428" s="230" t="n">
        <f aca="false">+YEARFRAC(L428,$S$1)</f>
        <v>8.31944444444445</v>
      </c>
      <c r="T428" s="230" t="n">
        <f aca="false">+YEARFRAC(M428,$S$1)</f>
        <v>15.5888888888889</v>
      </c>
      <c r="U428" s="231" t="n">
        <f aca="false">+$I428</f>
        <v>4150478</v>
      </c>
      <c r="V428" s="232" t="str">
        <f aca="false">+PROPER(F428)</f>
        <v>Union Libre</v>
      </c>
    </row>
    <row r="429" customFormat="false" ht="14.25" hidden="false" customHeight="false" outlineLevel="0" collapsed="false">
      <c r="B429" s="197" t="n">
        <v>38889968</v>
      </c>
      <c r="C429" s="197" t="s">
        <v>1735</v>
      </c>
      <c r="D429" s="197" t="s">
        <v>1736</v>
      </c>
      <c r="E429" s="198" t="s">
        <v>944</v>
      </c>
      <c r="F429" s="198" t="s">
        <v>948</v>
      </c>
      <c r="G429" s="225" t="n">
        <v>4383200</v>
      </c>
      <c r="H429" s="225" t="n">
        <v>2247788</v>
      </c>
      <c r="I429" s="225" t="n">
        <v>0</v>
      </c>
      <c r="J429" s="198" t="n">
        <v>44</v>
      </c>
      <c r="K429" s="198" t="n">
        <v>2</v>
      </c>
      <c r="L429" s="226" t="n">
        <v>44825</v>
      </c>
      <c r="M429" s="226" t="n">
        <v>45565</v>
      </c>
      <c r="N429" s="227" t="n">
        <v>3</v>
      </c>
      <c r="O429" s="227" t="s">
        <v>135</v>
      </c>
      <c r="P429" s="228" t="n">
        <f aca="false">VLOOKUP(B429,'NIVEL ENERO'!A:D,3,0)</f>
        <v>0.0968163499935789</v>
      </c>
      <c r="Q429" s="229" t="n">
        <f aca="false">VLOOKUP(B429,'NIVEL ENERO'!A:D,4,0)</f>
        <v>1585438.8</v>
      </c>
      <c r="R429" s="186" t="str">
        <f aca="false">+PROPER(C429&amp;" "&amp;D429)</f>
        <v>Garcia Arteaga Erika Maria</v>
      </c>
      <c r="S429" s="230" t="n">
        <f aca="false">+YEARFRAC(L429,$S$1)</f>
        <v>3.64166666666667</v>
      </c>
      <c r="T429" s="230" t="n">
        <f aca="false">+YEARFRAC(M429,$S$1)</f>
        <v>1.61666666666667</v>
      </c>
      <c r="U429" s="231" t="n">
        <f aca="false">+$I429</f>
        <v>0</v>
      </c>
      <c r="V429" s="232" t="str">
        <f aca="false">+PROPER(F429)</f>
        <v>Casado(A)</v>
      </c>
    </row>
    <row r="430" customFormat="false" ht="14.25" hidden="false" customHeight="false" outlineLevel="0" collapsed="false">
      <c r="B430" s="197" t="n">
        <v>38889981</v>
      </c>
      <c r="C430" s="197" t="s">
        <v>1737</v>
      </c>
      <c r="D430" s="197" t="s">
        <v>1738</v>
      </c>
      <c r="E430" s="198" t="s">
        <v>944</v>
      </c>
      <c r="F430" s="198" t="s">
        <v>953</v>
      </c>
      <c r="G430" s="225" t="n">
        <v>2893800</v>
      </c>
      <c r="H430" s="225" t="n">
        <v>3920900</v>
      </c>
      <c r="I430" s="225" t="n">
        <v>295170</v>
      </c>
      <c r="J430" s="198" t="n">
        <v>44</v>
      </c>
      <c r="K430" s="198" t="n">
        <v>2</v>
      </c>
      <c r="L430" s="226" t="n">
        <v>44460</v>
      </c>
      <c r="M430" s="226" t="n">
        <v>44105</v>
      </c>
      <c r="N430" s="227" t="n">
        <v>2</v>
      </c>
      <c r="O430" s="227" t="s">
        <v>135</v>
      </c>
      <c r="P430" s="228" t="n">
        <f aca="false">VLOOKUP(B430,'NIVEL ENERO'!A:D,3,0)</f>
        <v>0.260986997707079</v>
      </c>
      <c r="Q430" s="229" t="n">
        <f aca="false">VLOOKUP(B430,'NIVEL ENERO'!A:D,4,0)</f>
        <v>506367.1</v>
      </c>
      <c r="R430" s="186" t="str">
        <f aca="false">+PROPER(C430&amp;" "&amp;D430)</f>
        <v>Ramirez Sierra Dora Estelia</v>
      </c>
      <c r="S430" s="230" t="n">
        <f aca="false">+YEARFRAC(L430,$S$1)</f>
        <v>4.64166666666667</v>
      </c>
      <c r="T430" s="230" t="n">
        <f aca="false">+YEARFRAC(M430,$S$1)</f>
        <v>5.61388888888889</v>
      </c>
      <c r="U430" s="231" t="n">
        <f aca="false">+$I430</f>
        <v>295170</v>
      </c>
      <c r="V430" s="232" t="str">
        <f aca="false">+PROPER(F430)</f>
        <v>Soltero(A)</v>
      </c>
    </row>
    <row r="431" customFormat="false" ht="14.25" hidden="false" customHeight="false" outlineLevel="0" collapsed="false">
      <c r="B431" s="197" t="n">
        <v>38940022</v>
      </c>
      <c r="C431" s="197" t="s">
        <v>1739</v>
      </c>
      <c r="D431" s="197" t="s">
        <v>1740</v>
      </c>
      <c r="E431" s="198" t="s">
        <v>944</v>
      </c>
      <c r="F431" s="198" t="s">
        <v>948</v>
      </c>
      <c r="G431" s="225" t="n">
        <v>1382315</v>
      </c>
      <c r="H431" s="225" t="n">
        <v>12213984</v>
      </c>
      <c r="I431" s="225" t="n">
        <v>0</v>
      </c>
      <c r="J431" s="198" t="n">
        <v>67</v>
      </c>
      <c r="K431" s="198" t="n">
        <v>1</v>
      </c>
      <c r="L431" s="226" t="n">
        <v>39030</v>
      </c>
      <c r="M431" s="226" t="n">
        <v>32175</v>
      </c>
      <c r="N431" s="227" t="n">
        <v>4</v>
      </c>
      <c r="O431" s="227" t="s">
        <v>445</v>
      </c>
      <c r="P431" s="228" t="e">
        <f aca="false">VLOOKUP(B431,'NIVEL ENERO'!A:D,3,0)</f>
        <v>#N/A</v>
      </c>
      <c r="Q431" s="229" t="e">
        <f aca="false">VLOOKUP(B431,'NIVEL ENERO'!A:D,4,0)</f>
        <v>#N/A</v>
      </c>
      <c r="R431" s="186" t="str">
        <f aca="false">+PROPER(C431&amp;" "&amp;D431)</f>
        <v>Arevalo Mery</v>
      </c>
      <c r="S431" s="230" t="n">
        <f aca="false">+YEARFRAC(L431,$S$1)</f>
        <v>19.5083333333333</v>
      </c>
      <c r="T431" s="230" t="n">
        <f aca="false">+YEARFRAC(M431,$S$1)</f>
        <v>38.2777777777778</v>
      </c>
      <c r="U431" s="231" t="n">
        <f aca="false">+$I431</f>
        <v>0</v>
      </c>
      <c r="V431" s="232" t="str">
        <f aca="false">+PROPER(F431)</f>
        <v>Casado(A)</v>
      </c>
    </row>
    <row r="432" customFormat="false" ht="14.25" hidden="false" customHeight="false" outlineLevel="0" collapsed="false">
      <c r="B432" s="197" t="n">
        <v>40087405</v>
      </c>
      <c r="C432" s="197" t="s">
        <v>1741</v>
      </c>
      <c r="D432" s="197" t="s">
        <v>1742</v>
      </c>
      <c r="E432" s="198" t="s">
        <v>944</v>
      </c>
      <c r="F432" s="198" t="s">
        <v>948</v>
      </c>
      <c r="G432" s="225" t="n">
        <v>2893800</v>
      </c>
      <c r="H432" s="225" t="n">
        <v>2425387</v>
      </c>
      <c r="I432" s="225" t="n">
        <v>3288396</v>
      </c>
      <c r="J432" s="198" t="n">
        <v>55</v>
      </c>
      <c r="K432" s="198" t="n">
        <v>1</v>
      </c>
      <c r="L432" s="226" t="n">
        <v>44300</v>
      </c>
      <c r="M432" s="226" t="n">
        <v>34885</v>
      </c>
      <c r="N432" s="227" t="n">
        <v>2</v>
      </c>
      <c r="O432" s="227" t="s">
        <v>135</v>
      </c>
      <c r="P432" s="228" t="n">
        <f aca="false">VLOOKUP(B432,'NIVEL ENERO'!A:D,3,0)</f>
        <v>0.422169952178286</v>
      </c>
      <c r="Q432" s="229" t="n">
        <f aca="false">VLOOKUP(B432,'NIVEL ENERO'!A:D,4,0)</f>
        <v>-8610.97999999998</v>
      </c>
      <c r="R432" s="186" t="str">
        <f aca="false">+PROPER(C432&amp;" "&amp;D432)</f>
        <v>Munoz Gaitan Ana Matilde</v>
      </c>
      <c r="S432" s="230" t="n">
        <f aca="false">+YEARFRAC(L432,$S$1)</f>
        <v>5.07777777777778</v>
      </c>
      <c r="T432" s="230" t="n">
        <f aca="false">+YEARFRAC(M432,$S$1)</f>
        <v>30.8527777777778</v>
      </c>
      <c r="U432" s="231" t="n">
        <f aca="false">+$I432</f>
        <v>3288396</v>
      </c>
      <c r="V432" s="232" t="str">
        <f aca="false">+PROPER(F432)</f>
        <v>Casado(A)</v>
      </c>
    </row>
    <row r="433" customFormat="false" ht="14.25" hidden="false" customHeight="false" outlineLevel="0" collapsed="false">
      <c r="B433" s="197" t="n">
        <v>41119590</v>
      </c>
      <c r="C433" s="197" t="s">
        <v>1743</v>
      </c>
      <c r="D433" s="197" t="s">
        <v>1744</v>
      </c>
      <c r="E433" s="198" t="s">
        <v>944</v>
      </c>
      <c r="F433" s="198" t="s">
        <v>945</v>
      </c>
      <c r="G433" s="225" t="n">
        <v>2893800</v>
      </c>
      <c r="H433" s="225" t="n">
        <v>1456149</v>
      </c>
      <c r="I433" s="225" t="n">
        <v>5707354</v>
      </c>
      <c r="J433" s="198" t="n">
        <v>42</v>
      </c>
      <c r="K433" s="198" t="n">
        <v>1</v>
      </c>
      <c r="L433" s="226" t="n">
        <v>44938</v>
      </c>
      <c r="M433" s="226" t="n">
        <v>40369</v>
      </c>
      <c r="N433" s="227" t="n">
        <v>4</v>
      </c>
      <c r="O433" s="227" t="s">
        <v>135</v>
      </c>
      <c r="P433" s="228" t="n">
        <f aca="false">VLOOKUP(B433,'NIVEL ENERO'!A:D,3,0)</f>
        <v>0.362923617141545</v>
      </c>
      <c r="Q433" s="229" t="n">
        <f aca="false">VLOOKUP(B433,'NIVEL ENERO'!A:D,4,0)</f>
        <v>271146.76</v>
      </c>
      <c r="R433" s="186" t="str">
        <f aca="false">+PROPER(C433&amp;" "&amp;D433)</f>
        <v>Paz Enilce</v>
      </c>
      <c r="S433" s="230" t="n">
        <f aca="false">+YEARFRAC(L433,$S$1)</f>
        <v>3.33333333333333</v>
      </c>
      <c r="T433" s="230" t="n">
        <f aca="false">+YEARFRAC(M433,$S$1)</f>
        <v>15.8388888888889</v>
      </c>
      <c r="U433" s="231" t="n">
        <f aca="false">+$I433</f>
        <v>5707354</v>
      </c>
      <c r="V433" s="232" t="str">
        <f aca="false">+PROPER(F433)</f>
        <v>Union Libre</v>
      </c>
    </row>
    <row r="434" customFormat="false" ht="14.25" hidden="false" customHeight="false" outlineLevel="0" collapsed="false">
      <c r="B434" s="197" t="n">
        <v>41745058</v>
      </c>
      <c r="C434" s="197" t="s">
        <v>1745</v>
      </c>
      <c r="D434" s="197" t="s">
        <v>1746</v>
      </c>
      <c r="E434" s="198" t="s">
        <v>944</v>
      </c>
      <c r="F434" s="198" t="s">
        <v>953</v>
      </c>
      <c r="G434" s="225" t="n">
        <v>1248000</v>
      </c>
      <c r="H434" s="225" t="n">
        <v>10106813</v>
      </c>
      <c r="I434" s="225" t="n">
        <v>3182694</v>
      </c>
      <c r="J434" s="198" t="n">
        <v>66</v>
      </c>
      <c r="K434" s="198" t="n">
        <v>2</v>
      </c>
      <c r="L434" s="226" t="n">
        <v>38665</v>
      </c>
      <c r="M434" s="226" t="n">
        <v>30987</v>
      </c>
      <c r="N434" s="227" t="n">
        <v>1</v>
      </c>
      <c r="O434" s="227" t="s">
        <v>445</v>
      </c>
      <c r="P434" s="228" t="e">
        <f aca="false">VLOOKUP(B434,'NIVEL ENERO'!A:D,3,0)</f>
        <v>#N/A</v>
      </c>
      <c r="Q434" s="229" t="e">
        <f aca="false">VLOOKUP(B434,'NIVEL ENERO'!A:D,4,0)</f>
        <v>#N/A</v>
      </c>
      <c r="R434" s="186" t="str">
        <f aca="false">+PROPER(C434&amp;" "&amp;D434)</f>
        <v>Vargas Montejo Florinda</v>
      </c>
      <c r="S434" s="230" t="n">
        <f aca="false">+YEARFRAC(L434,$S$1)</f>
        <v>20.5083333333333</v>
      </c>
      <c r="T434" s="230" t="n">
        <f aca="false">+YEARFRAC(M434,$S$1)</f>
        <v>41.5305555555556</v>
      </c>
      <c r="U434" s="231" t="n">
        <f aca="false">+$I434</f>
        <v>3182694</v>
      </c>
      <c r="V434" s="232" t="str">
        <f aca="false">+PROPER(F434)</f>
        <v>Soltero(A)</v>
      </c>
    </row>
    <row r="435" customFormat="false" ht="14.25" hidden="false" customHeight="false" outlineLevel="0" collapsed="false">
      <c r="B435" s="197" t="n">
        <v>41904817</v>
      </c>
      <c r="C435" s="197" t="s">
        <v>1356</v>
      </c>
      <c r="D435" s="197" t="s">
        <v>1606</v>
      </c>
      <c r="E435" s="198" t="s">
        <v>944</v>
      </c>
      <c r="F435" s="198" t="s">
        <v>948</v>
      </c>
      <c r="G435" s="225" t="n">
        <v>1700000</v>
      </c>
      <c r="H435" s="225" t="n">
        <v>5331435</v>
      </c>
      <c r="I435" s="225" t="n">
        <v>1017784</v>
      </c>
      <c r="J435" s="198" t="n">
        <v>60</v>
      </c>
      <c r="K435" s="198" t="n">
        <v>2</v>
      </c>
      <c r="L435" s="226" t="n">
        <v>42321</v>
      </c>
      <c r="M435" s="226" t="n">
        <v>34486</v>
      </c>
      <c r="N435" s="227" t="n">
        <v>2</v>
      </c>
      <c r="O435" s="227" t="s">
        <v>445</v>
      </c>
      <c r="P435" s="228" t="e">
        <f aca="false">VLOOKUP(B435,'NIVEL ENERO'!A:D,3,0)</f>
        <v>#N/A</v>
      </c>
      <c r="Q435" s="229" t="e">
        <f aca="false">VLOOKUP(B435,'NIVEL ENERO'!A:D,4,0)</f>
        <v>#N/A</v>
      </c>
      <c r="R435" s="186" t="str">
        <f aca="false">+PROPER(C435&amp;" "&amp;D435)</f>
        <v>Hurtado Garcia Alba Lucia</v>
      </c>
      <c r="S435" s="230" t="n">
        <f aca="false">+YEARFRAC(L435,$S$1)</f>
        <v>10.4972222222222</v>
      </c>
      <c r="T435" s="230" t="n">
        <f aca="false">+YEARFRAC(M435,$S$1)</f>
        <v>31.9472222222222</v>
      </c>
      <c r="U435" s="231" t="n">
        <f aca="false">+$I435</f>
        <v>1017784</v>
      </c>
      <c r="V435" s="232" t="str">
        <f aca="false">+PROPER(F435)</f>
        <v>Casado(A)</v>
      </c>
    </row>
    <row r="436" customFormat="false" ht="14.25" hidden="false" customHeight="false" outlineLevel="0" collapsed="false">
      <c r="B436" s="197" t="n">
        <v>41924675</v>
      </c>
      <c r="C436" s="197" t="s">
        <v>1747</v>
      </c>
      <c r="D436" s="197" t="s">
        <v>1324</v>
      </c>
      <c r="E436" s="198" t="s">
        <v>1550</v>
      </c>
      <c r="F436" s="198" t="s">
        <v>953</v>
      </c>
      <c r="G436" s="225" t="n">
        <v>2893800</v>
      </c>
      <c r="H436" s="225" t="n">
        <v>800000</v>
      </c>
      <c r="I436" s="225" t="n">
        <v>0</v>
      </c>
      <c r="J436" s="198" t="n">
        <v>53</v>
      </c>
      <c r="K436" s="198" t="n">
        <v>2</v>
      </c>
      <c r="L436" s="226" t="n">
        <v>45414</v>
      </c>
      <c r="M436" s="226" t="n">
        <v>36397</v>
      </c>
      <c r="N436" s="227" t="n">
        <v>2</v>
      </c>
      <c r="O436" s="227" t="s">
        <v>135</v>
      </c>
      <c r="P436" s="228" t="n">
        <f aca="false">VLOOKUP(B436,'NIVEL ENERO'!A:D,3,0)</f>
        <v>0.416654223533684</v>
      </c>
      <c r="Q436" s="229" t="n">
        <f aca="false">VLOOKUP(B436,'NIVEL ENERO'!A:D,4,0)</f>
        <v>14676.6599999999</v>
      </c>
      <c r="R436" s="186" t="str">
        <f aca="false">+PROPER(C436&amp;" "&amp;D436)</f>
        <v>Martinez Giraldo Luz Stella</v>
      </c>
      <c r="S436" s="230" t="n">
        <f aca="false">+YEARFRAC(L436,$S$1)</f>
        <v>2.02777777777778</v>
      </c>
      <c r="T436" s="230" t="n">
        <f aca="false">+YEARFRAC(M436,$S$1)</f>
        <v>26.7138888888889</v>
      </c>
      <c r="U436" s="231" t="n">
        <f aca="false">+$I436</f>
        <v>0</v>
      </c>
      <c r="V436" s="232" t="str">
        <f aca="false">+PROPER(F436)</f>
        <v>Soltero(A)</v>
      </c>
    </row>
    <row r="437" customFormat="false" ht="14.25" hidden="false" customHeight="false" outlineLevel="0" collapsed="false">
      <c r="B437" s="197" t="n">
        <v>41957474</v>
      </c>
      <c r="C437" s="197" t="s">
        <v>1748</v>
      </c>
      <c r="D437" s="197" t="s">
        <v>1749</v>
      </c>
      <c r="E437" s="198" t="s">
        <v>944</v>
      </c>
      <c r="F437" s="198" t="s">
        <v>948</v>
      </c>
      <c r="G437" s="225" t="n">
        <v>4469100</v>
      </c>
      <c r="H437" s="225" t="n">
        <v>1000000</v>
      </c>
      <c r="I437" s="225"/>
      <c r="J437" s="198" t="n">
        <v>41</v>
      </c>
      <c r="K437" s="198" t="n">
        <v>1</v>
      </c>
      <c r="L437" s="226" t="n">
        <v>45366</v>
      </c>
      <c r="M437" s="226" t="n">
        <v>40179</v>
      </c>
      <c r="N437" s="227" t="n">
        <v>0</v>
      </c>
      <c r="O437" s="227" t="s">
        <v>135</v>
      </c>
      <c r="P437" s="228" t="n">
        <f aca="false">VLOOKUP(B437,'NIVEL ENERO'!A:D,3,0)</f>
        <v>0.118390979761016</v>
      </c>
      <c r="Q437" s="229" t="n">
        <f aca="false">VLOOKUP(B437,'NIVEL ENERO'!A:D,4,0)</f>
        <v>1758157.9</v>
      </c>
      <c r="R437" s="186" t="str">
        <f aca="false">+PROPER(C437&amp;" "&amp;D437)</f>
        <v>Gomez Carmona Angela Marcela</v>
      </c>
      <c r="S437" s="230" t="n">
        <f aca="false">+YEARFRAC(L437,$S$1)</f>
        <v>2.15833333333333</v>
      </c>
      <c r="T437" s="230" t="n">
        <f aca="false">+YEARFRAC(M437,$S$1)</f>
        <v>16.3638888888889</v>
      </c>
      <c r="U437" s="231" t="n">
        <f aca="false">+$I437</f>
        <v>0</v>
      </c>
      <c r="V437" s="232" t="str">
        <f aca="false">+PROPER(F437)</f>
        <v>Casado(A)</v>
      </c>
    </row>
    <row r="438" customFormat="false" ht="14.25" hidden="false" customHeight="false" outlineLevel="0" collapsed="false">
      <c r="B438" s="197" t="n">
        <v>42089913</v>
      </c>
      <c r="C438" s="197" t="s">
        <v>1750</v>
      </c>
      <c r="D438" s="197" t="s">
        <v>1751</v>
      </c>
      <c r="E438" s="198" t="s">
        <v>944</v>
      </c>
      <c r="F438" s="198" t="s">
        <v>953</v>
      </c>
      <c r="G438" s="225" t="n">
        <v>4705400</v>
      </c>
      <c r="H438" s="225" t="n">
        <v>4715377</v>
      </c>
      <c r="I438" s="225" t="n">
        <v>4916370</v>
      </c>
      <c r="J438" s="198" t="n">
        <v>56</v>
      </c>
      <c r="K438" s="198" t="n">
        <v>2</v>
      </c>
      <c r="L438" s="226" t="n">
        <v>42473</v>
      </c>
      <c r="M438" s="226" t="n">
        <v>37982</v>
      </c>
      <c r="N438" s="227" t="n">
        <v>1</v>
      </c>
      <c r="O438" s="227" t="s">
        <v>135</v>
      </c>
      <c r="P438" s="228" t="n">
        <f aca="false">VLOOKUP(B438,'NIVEL ENERO'!A:D,3,0)</f>
        <v>0.418336799686856</v>
      </c>
      <c r="Q438" s="229" t="n">
        <f aca="false">VLOOKUP(B438,'NIVEL ENERO'!A:D,4,0)</f>
        <v>9220.39999999991</v>
      </c>
      <c r="R438" s="186" t="str">
        <f aca="false">+PROPER(C438&amp;" "&amp;D438)</f>
        <v>Jimenez Alvarez Maria Teresa</v>
      </c>
      <c r="S438" s="230" t="n">
        <f aca="false">+YEARFRAC(L438,$S$1)</f>
        <v>10.0805555555556</v>
      </c>
      <c r="T438" s="230" t="n">
        <f aca="false">+YEARFRAC(M438,$S$1)</f>
        <v>22.375</v>
      </c>
      <c r="U438" s="231" t="n">
        <f aca="false">+$I438</f>
        <v>4916370</v>
      </c>
      <c r="V438" s="232" t="str">
        <f aca="false">+PROPER(F438)</f>
        <v>Soltero(A)</v>
      </c>
    </row>
    <row r="439" customFormat="false" ht="14.25" hidden="false" customHeight="false" outlineLevel="0" collapsed="false">
      <c r="B439" s="197" t="n">
        <v>42130016</v>
      </c>
      <c r="C439" s="197" t="s">
        <v>1752</v>
      </c>
      <c r="D439" s="197" t="s">
        <v>1753</v>
      </c>
      <c r="E439" s="198" t="s">
        <v>944</v>
      </c>
      <c r="F439" s="198" t="s">
        <v>945</v>
      </c>
      <c r="G439" s="225" t="n">
        <v>7551500</v>
      </c>
      <c r="H439" s="225" t="n">
        <v>11046466</v>
      </c>
      <c r="I439" s="225" t="n">
        <v>0</v>
      </c>
      <c r="J439" s="198" t="n">
        <v>46</v>
      </c>
      <c r="K439" s="198" t="n">
        <v>6</v>
      </c>
      <c r="L439" s="226" t="n">
        <v>43784</v>
      </c>
      <c r="M439" s="226" t="n">
        <v>35834</v>
      </c>
      <c r="N439" s="227" t="n">
        <v>2</v>
      </c>
      <c r="O439" s="227" t="s">
        <v>135</v>
      </c>
      <c r="P439" s="228" t="n">
        <f aca="false">VLOOKUP(B439,'NIVEL ENERO'!A:D,3,0)</f>
        <v>0.373552671654638</v>
      </c>
      <c r="Q439" s="229" t="n">
        <f aca="false">VLOOKUP(B439,'NIVEL ENERO'!A:D,4,0)</f>
        <v>350747</v>
      </c>
      <c r="R439" s="186" t="str">
        <f aca="false">+PROPER(C439&amp;" "&amp;D439)</f>
        <v>Hincapie Zapata Lina Constanza</v>
      </c>
      <c r="S439" s="230" t="n">
        <f aca="false">+YEARFRAC(L439,$S$1)</f>
        <v>6.49166666666667</v>
      </c>
      <c r="T439" s="230" t="n">
        <f aca="false">+YEARFRAC(M439,$S$1)</f>
        <v>28.2611111111111</v>
      </c>
      <c r="U439" s="231" t="n">
        <f aca="false">+$I439</f>
        <v>0</v>
      </c>
      <c r="V439" s="232" t="str">
        <f aca="false">+PROPER(F439)</f>
        <v>Union Libre</v>
      </c>
    </row>
    <row r="440" customFormat="false" ht="14.25" hidden="false" customHeight="false" outlineLevel="0" collapsed="false">
      <c r="B440" s="197" t="n">
        <v>42772603</v>
      </c>
      <c r="C440" s="197" t="s">
        <v>1754</v>
      </c>
      <c r="D440" s="197" t="s">
        <v>1265</v>
      </c>
      <c r="E440" s="198" t="s">
        <v>944</v>
      </c>
      <c r="F440" s="198" t="s">
        <v>1282</v>
      </c>
      <c r="G440" s="225" t="n">
        <v>3800000</v>
      </c>
      <c r="H440" s="225" t="n">
        <v>165000</v>
      </c>
      <c r="I440" s="225" t="n">
        <v>0</v>
      </c>
      <c r="J440" s="198" t="n">
        <v>57</v>
      </c>
      <c r="K440" s="198" t="n">
        <v>2</v>
      </c>
      <c r="L440" s="226" t="n">
        <v>45555</v>
      </c>
      <c r="M440" s="226" t="n">
        <v>39169</v>
      </c>
      <c r="N440" s="227" t="n">
        <v>2</v>
      </c>
      <c r="O440" s="227" t="s">
        <v>445</v>
      </c>
      <c r="P440" s="228" t="e">
        <f aca="false">VLOOKUP(B440,'NIVEL ENERO'!A:D,3,0)</f>
        <v>#N/A</v>
      </c>
      <c r="Q440" s="229" t="e">
        <f aca="false">VLOOKUP(B440,'NIVEL ENERO'!A:D,4,0)</f>
        <v>#N/A</v>
      </c>
      <c r="R440" s="186" t="str">
        <f aca="false">+PROPER(C440&amp;" "&amp;D440)</f>
        <v>Coral Hernandez Adriana</v>
      </c>
      <c r="S440" s="230" t="n">
        <f aca="false">+YEARFRAC(L440,$S$1)</f>
        <v>1.64444444444444</v>
      </c>
      <c r="T440" s="230" t="n">
        <f aca="false">+YEARFRAC(M440,$S$1)</f>
        <v>19.1222222222222</v>
      </c>
      <c r="U440" s="231" t="n">
        <f aca="false">+$I440</f>
        <v>0</v>
      </c>
      <c r="V440" s="232" t="str">
        <f aca="false">+PROPER(F440)</f>
        <v>Divorciado</v>
      </c>
    </row>
    <row r="441" customFormat="false" ht="14.25" hidden="false" customHeight="false" outlineLevel="0" collapsed="false">
      <c r="B441" s="197" t="n">
        <v>43055996</v>
      </c>
      <c r="C441" s="197" t="s">
        <v>1755</v>
      </c>
      <c r="D441" s="197" t="s">
        <v>1756</v>
      </c>
      <c r="E441" s="198" t="s">
        <v>944</v>
      </c>
      <c r="F441" s="198" t="s">
        <v>953</v>
      </c>
      <c r="G441" s="225" t="n">
        <v>7000000</v>
      </c>
      <c r="H441" s="225" t="n">
        <v>1701348</v>
      </c>
      <c r="I441" s="225" t="n">
        <v>0</v>
      </c>
      <c r="J441" s="198" t="n">
        <v>62</v>
      </c>
      <c r="K441" s="198" t="n">
        <v>2</v>
      </c>
      <c r="L441" s="226" t="n">
        <v>44819</v>
      </c>
      <c r="M441" s="226" t="n">
        <v>34438</v>
      </c>
      <c r="N441" s="227" t="n">
        <v>0</v>
      </c>
      <c r="O441" s="227" t="s">
        <v>445</v>
      </c>
      <c r="P441" s="228" t="e">
        <f aca="false">VLOOKUP(B441,'NIVEL ENERO'!A:D,3,0)</f>
        <v>#N/A</v>
      </c>
      <c r="Q441" s="229" t="e">
        <f aca="false">VLOOKUP(B441,'NIVEL ENERO'!A:D,4,0)</f>
        <v>#N/A</v>
      </c>
      <c r="R441" s="186" t="str">
        <f aca="false">+PROPER(C441&amp;" "&amp;D441)</f>
        <v>Madrid Madrid Miryam Dejesus</v>
      </c>
      <c r="S441" s="230" t="n">
        <f aca="false">+YEARFRAC(L441,$S$1)</f>
        <v>3.65833333333333</v>
      </c>
      <c r="T441" s="230" t="n">
        <f aca="false">+YEARFRAC(M441,$S$1)</f>
        <v>32.0777777777778</v>
      </c>
      <c r="U441" s="231" t="n">
        <f aca="false">+$I441</f>
        <v>0</v>
      </c>
      <c r="V441" s="232" t="str">
        <f aca="false">+PROPER(F441)</f>
        <v>Soltero(A)</v>
      </c>
    </row>
    <row r="442" customFormat="false" ht="14.25" hidden="false" customHeight="false" outlineLevel="0" collapsed="false">
      <c r="B442" s="197" t="n">
        <v>43190151</v>
      </c>
      <c r="C442" s="197" t="s">
        <v>1757</v>
      </c>
      <c r="D442" s="197" t="s">
        <v>1328</v>
      </c>
      <c r="E442" s="198" t="s">
        <v>944</v>
      </c>
      <c r="F442" s="198" t="s">
        <v>948</v>
      </c>
      <c r="G442" s="225" t="n">
        <v>2916600</v>
      </c>
      <c r="H442" s="225" t="n">
        <v>2320367</v>
      </c>
      <c r="I442" s="225" t="n">
        <v>0</v>
      </c>
      <c r="J442" s="198" t="n">
        <v>39</v>
      </c>
      <c r="K442" s="198" t="n">
        <v>4</v>
      </c>
      <c r="L442" s="226" t="n">
        <v>44642</v>
      </c>
      <c r="M442" s="226" t="n">
        <v>41561</v>
      </c>
      <c r="N442" s="227" t="n">
        <v>4</v>
      </c>
      <c r="O442" s="227" t="s">
        <v>135</v>
      </c>
      <c r="P442" s="228" t="n">
        <f aca="false">VLOOKUP(B442,'NIVEL ENERO'!A:D,3,0)</f>
        <v>0.318066710552318</v>
      </c>
      <c r="Q442" s="229" t="n">
        <f aca="false">VLOOKUP(B442,'NIVEL ENERO'!A:D,4,0)</f>
        <v>389439.7</v>
      </c>
      <c r="R442" s="186" t="str">
        <f aca="false">+PROPER(C442&amp;" "&amp;D442)</f>
        <v>Castrillon Osorio Lina Marcela</v>
      </c>
      <c r="S442" s="230" t="n">
        <f aca="false">+YEARFRAC(L442,$S$1)</f>
        <v>4.13888888888889</v>
      </c>
      <c r="T442" s="230" t="n">
        <f aca="false">+YEARFRAC(M442,$S$1)</f>
        <v>12.5777777777778</v>
      </c>
      <c r="U442" s="231" t="n">
        <f aca="false">+$I442</f>
        <v>0</v>
      </c>
      <c r="V442" s="232" t="str">
        <f aca="false">+PROPER(F442)</f>
        <v>Casado(A)</v>
      </c>
    </row>
    <row r="443" customFormat="false" ht="14.25" hidden="false" customHeight="false" outlineLevel="0" collapsed="false">
      <c r="B443" s="197" t="n">
        <v>43400374</v>
      </c>
      <c r="C443" s="197" t="s">
        <v>1758</v>
      </c>
      <c r="D443" s="197" t="s">
        <v>1144</v>
      </c>
      <c r="E443" s="198" t="s">
        <v>944</v>
      </c>
      <c r="F443" s="198" t="s">
        <v>948</v>
      </c>
      <c r="G443" s="225" t="n">
        <v>5418800</v>
      </c>
      <c r="H443" s="225" t="n">
        <v>3600551</v>
      </c>
      <c r="I443" s="225" t="n">
        <v>5175948</v>
      </c>
      <c r="J443" s="198" t="n">
        <v>44</v>
      </c>
      <c r="K443" s="198" t="n">
        <v>2</v>
      </c>
      <c r="L443" s="226" t="n">
        <v>45220</v>
      </c>
      <c r="M443" s="226" t="n">
        <v>41592</v>
      </c>
      <c r="N443" s="227" t="n">
        <v>0</v>
      </c>
      <c r="O443" s="227" t="s">
        <v>135</v>
      </c>
      <c r="P443" s="228" t="n">
        <f aca="false">VLOOKUP(B443,'NIVEL ENERO'!A:D,3,0)</f>
        <v>0.356710384304051</v>
      </c>
      <c r="Q443" s="229" t="n">
        <f aca="false">VLOOKUP(B443,'NIVEL ENERO'!A:D,4,0)</f>
        <v>262707.6</v>
      </c>
      <c r="R443" s="186" t="str">
        <f aca="false">+PROPER(C443&amp;" "&amp;D443)</f>
        <v>Vargas Betancur Monica Alejandra</v>
      </c>
      <c r="S443" s="230" t="n">
        <f aca="false">+YEARFRAC(L443,$S$1)</f>
        <v>2.55833333333333</v>
      </c>
      <c r="T443" s="230" t="n">
        <f aca="false">+YEARFRAC(M443,$S$1)</f>
        <v>12.4944444444444</v>
      </c>
      <c r="U443" s="231" t="n">
        <f aca="false">+$I443</f>
        <v>5175948</v>
      </c>
      <c r="V443" s="232" t="str">
        <f aca="false">+PROPER(F443)</f>
        <v>Casado(A)</v>
      </c>
    </row>
    <row r="444" customFormat="false" ht="14.25" hidden="false" customHeight="false" outlineLevel="0" collapsed="false">
      <c r="B444" s="197" t="n">
        <v>43976423</v>
      </c>
      <c r="C444" s="197" t="s">
        <v>1759</v>
      </c>
      <c r="D444" s="197" t="s">
        <v>1760</v>
      </c>
      <c r="E444" s="198" t="s">
        <v>944</v>
      </c>
      <c r="F444" s="198" t="s">
        <v>948</v>
      </c>
      <c r="G444" s="225" t="n">
        <v>13588800</v>
      </c>
      <c r="H444" s="225" t="n">
        <v>2506690</v>
      </c>
      <c r="I444" s="225" t="n">
        <v>2360095</v>
      </c>
      <c r="J444" s="198" t="n">
        <v>40</v>
      </c>
      <c r="K444" s="198" t="n">
        <v>1</v>
      </c>
      <c r="L444" s="226" t="n">
        <v>44909</v>
      </c>
      <c r="M444" s="226" t="n">
        <v>43055</v>
      </c>
      <c r="N444" s="227" t="n">
        <v>0</v>
      </c>
      <c r="O444" s="227" t="s">
        <v>135</v>
      </c>
      <c r="P444" s="228" t="n">
        <f aca="false">VLOOKUP(B444,'NIVEL ENERO'!A:D,3,0)</f>
        <v>0.346951386435888</v>
      </c>
      <c r="Q444" s="229" t="n">
        <f aca="false">VLOOKUP(B444,'NIVEL ENERO'!A:D,4,0)</f>
        <v>992643</v>
      </c>
      <c r="R444" s="186" t="str">
        <f aca="false">+PROPER(C444&amp;" "&amp;D444)</f>
        <v>Martinez Roldan Maria Paulina</v>
      </c>
      <c r="S444" s="230" t="n">
        <f aca="false">+YEARFRAC(L444,$S$1)</f>
        <v>3.41111111111111</v>
      </c>
      <c r="T444" s="230" t="n">
        <f aca="false">+YEARFRAC(M444,$S$1)</f>
        <v>8.48888888888889</v>
      </c>
      <c r="U444" s="231" t="n">
        <f aca="false">+$I444</f>
        <v>2360095</v>
      </c>
      <c r="V444" s="232" t="str">
        <f aca="false">+PROPER(F444)</f>
        <v>Casado(A)</v>
      </c>
    </row>
    <row r="445" customFormat="false" ht="14.25" hidden="false" customHeight="false" outlineLevel="0" collapsed="false">
      <c r="B445" s="197" t="n">
        <v>44205238</v>
      </c>
      <c r="C445" s="197" t="s">
        <v>1761</v>
      </c>
      <c r="D445" s="197" t="s">
        <v>1762</v>
      </c>
      <c r="E445" s="198" t="s">
        <v>944</v>
      </c>
      <c r="F445" s="198" t="s">
        <v>945</v>
      </c>
      <c r="G445" s="225" t="n">
        <v>8514982</v>
      </c>
      <c r="H445" s="225" t="n">
        <v>600000</v>
      </c>
      <c r="I445" s="225"/>
      <c r="J445" s="198" t="n">
        <v>41</v>
      </c>
      <c r="K445" s="198" t="n">
        <v>1</v>
      </c>
      <c r="L445" s="226" t="n">
        <v>45566</v>
      </c>
      <c r="M445" s="226" t="n">
        <v>41740</v>
      </c>
      <c r="N445" s="227" t="n">
        <v>0</v>
      </c>
      <c r="O445" s="227" t="s">
        <v>158</v>
      </c>
      <c r="P445" s="228" t="e">
        <f aca="false">VLOOKUP(B445,'NIVEL ENERO'!A:D,3,0)</f>
        <v>#N/A</v>
      </c>
      <c r="Q445" s="229" t="e">
        <f aca="false">VLOOKUP(B445,'NIVEL ENERO'!A:D,4,0)</f>
        <v>#N/A</v>
      </c>
      <c r="R445" s="186" t="str">
        <f aca="false">+PROPER(C445&amp;" "&amp;D445)</f>
        <v>Charris Castro Yaselis</v>
      </c>
      <c r="S445" s="230" t="n">
        <f aca="false">+YEARFRAC(L445,$S$1)</f>
        <v>1.61388888888889</v>
      </c>
      <c r="T445" s="230" t="n">
        <f aca="false">+YEARFRAC(M445,$S$1)</f>
        <v>12.0861111111111</v>
      </c>
      <c r="U445" s="231" t="n">
        <f aca="false">+$I445</f>
        <v>0</v>
      </c>
      <c r="V445" s="232" t="str">
        <f aca="false">+PROPER(F445)</f>
        <v>Union Libre</v>
      </c>
    </row>
    <row r="446" customFormat="false" ht="14.25" hidden="false" customHeight="false" outlineLevel="0" collapsed="false">
      <c r="B446" s="197" t="n">
        <v>45556004</v>
      </c>
      <c r="C446" s="197" t="s">
        <v>1763</v>
      </c>
      <c r="D446" s="197" t="s">
        <v>1764</v>
      </c>
      <c r="E446" s="198" t="s">
        <v>944</v>
      </c>
      <c r="F446" s="198" t="s">
        <v>948</v>
      </c>
      <c r="G446" s="225" t="n">
        <v>5842800</v>
      </c>
      <c r="H446" s="225" t="n">
        <v>1500275</v>
      </c>
      <c r="I446" s="225" t="n">
        <v>7526721</v>
      </c>
      <c r="J446" s="198" t="n">
        <v>41</v>
      </c>
      <c r="K446" s="198" t="n">
        <v>1</v>
      </c>
      <c r="L446" s="226" t="n">
        <v>45220</v>
      </c>
      <c r="M446" s="226" t="n">
        <v>43543</v>
      </c>
      <c r="N446" s="227" t="n">
        <v>0</v>
      </c>
      <c r="O446" s="227" t="s">
        <v>135</v>
      </c>
      <c r="P446" s="228" t="n">
        <f aca="false">VLOOKUP(B446,'NIVEL ENERO'!A:D,3,0)</f>
        <v>0.254345176969946</v>
      </c>
      <c r="Q446" s="229" t="n">
        <f aca="false">VLOOKUP(B446,'NIVEL ENERO'!A:D,4,0)</f>
        <v>967888</v>
      </c>
      <c r="R446" s="186" t="str">
        <f aca="false">+PROPER(C446&amp;" "&amp;D446)</f>
        <v>Rios Vergara Dina Liris</v>
      </c>
      <c r="S446" s="230" t="n">
        <f aca="false">+YEARFRAC(L446,$S$1)</f>
        <v>2.55833333333333</v>
      </c>
      <c r="T446" s="230" t="n">
        <f aca="false">+YEARFRAC(M446,$S$1)</f>
        <v>7.14722222222222</v>
      </c>
      <c r="U446" s="231" t="n">
        <f aca="false">+$I446</f>
        <v>7526721</v>
      </c>
      <c r="V446" s="232" t="str">
        <f aca="false">+PROPER(F446)</f>
        <v>Casado(A)</v>
      </c>
    </row>
    <row r="447" customFormat="false" ht="14.25" hidden="false" customHeight="false" outlineLevel="0" collapsed="false">
      <c r="B447" s="197" t="n">
        <v>45558893</v>
      </c>
      <c r="C447" s="197" t="s">
        <v>1765</v>
      </c>
      <c r="D447" s="197" t="s">
        <v>1766</v>
      </c>
      <c r="E447" s="198" t="s">
        <v>944</v>
      </c>
      <c r="F447" s="198" t="s">
        <v>953</v>
      </c>
      <c r="G447" s="225" t="n">
        <v>4870200</v>
      </c>
      <c r="H447" s="225" t="n">
        <v>3314810</v>
      </c>
      <c r="I447" s="225" t="n">
        <v>1341152</v>
      </c>
      <c r="J447" s="198" t="n">
        <v>42</v>
      </c>
      <c r="K447" s="198" t="n">
        <v>3</v>
      </c>
      <c r="L447" s="226" t="n">
        <v>44642</v>
      </c>
      <c r="M447" s="226" t="n">
        <v>43545</v>
      </c>
      <c r="N447" s="227" t="n">
        <v>0</v>
      </c>
      <c r="O447" s="227" t="s">
        <v>135</v>
      </c>
      <c r="P447" s="228" t="n">
        <f aca="false">VLOOKUP(B447,'NIVEL ENERO'!A:D,3,0)</f>
        <v>0.250758339896233</v>
      </c>
      <c r="Q447" s="229" t="n">
        <f aca="false">VLOOKUP(B447,'NIVEL ENERO'!A:D,4,0)</f>
        <v>1132793.44</v>
      </c>
      <c r="R447" s="186" t="str">
        <f aca="false">+PROPER(C447&amp;" "&amp;D447)</f>
        <v>Garces Polo Signey Del Pilar</v>
      </c>
      <c r="S447" s="230" t="n">
        <f aca="false">+YEARFRAC(L447,$S$1)</f>
        <v>4.13888888888889</v>
      </c>
      <c r="T447" s="230" t="n">
        <f aca="false">+YEARFRAC(M447,$S$1)</f>
        <v>7.14166666666667</v>
      </c>
      <c r="U447" s="231" t="n">
        <f aca="false">+$I447</f>
        <v>1341152</v>
      </c>
      <c r="V447" s="232" t="str">
        <f aca="false">+PROPER(F447)</f>
        <v>Soltero(A)</v>
      </c>
    </row>
    <row r="448" customFormat="false" ht="14.25" hidden="false" customHeight="false" outlineLevel="0" collapsed="false">
      <c r="B448" s="197" t="n">
        <v>48657507</v>
      </c>
      <c r="C448" s="197" t="s">
        <v>1767</v>
      </c>
      <c r="D448" s="197" t="s">
        <v>1768</v>
      </c>
      <c r="E448" s="198" t="s">
        <v>944</v>
      </c>
      <c r="F448" s="198" t="s">
        <v>948</v>
      </c>
      <c r="G448" s="225" t="n">
        <v>2648100</v>
      </c>
      <c r="H448" s="225" t="n">
        <v>7658635</v>
      </c>
      <c r="I448" s="225" t="n">
        <v>6926514</v>
      </c>
      <c r="J448" s="198" t="n">
        <v>51</v>
      </c>
      <c r="K448" s="198" t="n">
        <v>1</v>
      </c>
      <c r="L448" s="226" t="n">
        <v>43206</v>
      </c>
      <c r="M448" s="226" t="n">
        <v>37274</v>
      </c>
      <c r="N448" s="227" t="n">
        <v>3</v>
      </c>
      <c r="O448" s="227" t="s">
        <v>135</v>
      </c>
      <c r="P448" s="228" t="n">
        <f aca="false">VLOOKUP(B448,'NIVEL ENERO'!A:D,3,0)</f>
        <v>0.145020412062096</v>
      </c>
      <c r="Q448" s="229" t="n">
        <f aca="false">VLOOKUP(B448,'NIVEL ENERO'!A:D,4,0)</f>
        <v>1099672.52</v>
      </c>
      <c r="R448" s="186" t="str">
        <f aca="false">+PROPER(C448&amp;" "&amp;D448)</f>
        <v>Balanta Yelen Astrid</v>
      </c>
      <c r="S448" s="230" t="n">
        <f aca="false">+YEARFRAC(L448,$S$1)</f>
        <v>8.07222222222222</v>
      </c>
      <c r="T448" s="230" t="n">
        <f aca="false">+YEARFRAC(M448,$S$1)</f>
        <v>24.3166666666667</v>
      </c>
      <c r="U448" s="231" t="n">
        <f aca="false">+$I448</f>
        <v>6926514</v>
      </c>
      <c r="V448" s="232" t="str">
        <f aca="false">+PROPER(F448)</f>
        <v>Casado(A)</v>
      </c>
    </row>
    <row r="449" customFormat="false" ht="14.25" hidden="false" customHeight="false" outlineLevel="0" collapsed="false">
      <c r="B449" s="197" t="n">
        <v>51696063</v>
      </c>
      <c r="C449" s="197" t="s">
        <v>1769</v>
      </c>
      <c r="D449" s="197" t="s">
        <v>1770</v>
      </c>
      <c r="E449" s="198" t="s">
        <v>944</v>
      </c>
      <c r="F449" s="198" t="s">
        <v>948</v>
      </c>
      <c r="G449" s="225" t="n">
        <v>3500000</v>
      </c>
      <c r="H449" s="225" t="n">
        <v>1376866</v>
      </c>
      <c r="I449" s="225" t="n">
        <v>717373</v>
      </c>
      <c r="J449" s="198" t="n">
        <v>61</v>
      </c>
      <c r="K449" s="198" t="n">
        <v>2</v>
      </c>
      <c r="L449" s="226" t="n">
        <v>45020</v>
      </c>
      <c r="M449" s="226" t="n">
        <v>38081</v>
      </c>
      <c r="N449" s="227" t="n">
        <v>4</v>
      </c>
      <c r="O449" s="227" t="s">
        <v>445</v>
      </c>
      <c r="P449" s="228" t="e">
        <f aca="false">VLOOKUP(B449,'NIVEL ENERO'!A:D,3,0)</f>
        <v>#N/A</v>
      </c>
      <c r="Q449" s="229" t="e">
        <f aca="false">VLOOKUP(B449,'NIVEL ENERO'!A:D,4,0)</f>
        <v>#N/A</v>
      </c>
      <c r="R449" s="186" t="str">
        <f aca="false">+PROPER(C449&amp;" "&amp;D449)</f>
        <v>Obando Arana Jannet</v>
      </c>
      <c r="S449" s="230" t="n">
        <f aca="false">+YEARFRAC(L449,$S$1)</f>
        <v>3.10555555555556</v>
      </c>
      <c r="T449" s="230" t="n">
        <f aca="false">+YEARFRAC(M449,$S$1)</f>
        <v>22.1055555555556</v>
      </c>
      <c r="U449" s="231" t="n">
        <f aca="false">+$I449</f>
        <v>717373</v>
      </c>
      <c r="V449" s="232" t="str">
        <f aca="false">+PROPER(F449)</f>
        <v>Casado(A)</v>
      </c>
    </row>
    <row r="450" customFormat="false" ht="14.25" hidden="false" customHeight="false" outlineLevel="0" collapsed="false">
      <c r="B450" s="197" t="n">
        <v>51825981</v>
      </c>
      <c r="C450" s="197" t="s">
        <v>1771</v>
      </c>
      <c r="D450" s="197" t="s">
        <v>1772</v>
      </c>
      <c r="E450" s="198" t="s">
        <v>944</v>
      </c>
      <c r="F450" s="198" t="s">
        <v>948</v>
      </c>
      <c r="G450" s="225" t="n">
        <v>6946500</v>
      </c>
      <c r="H450" s="225" t="n">
        <v>9436365</v>
      </c>
      <c r="I450" s="225" t="n">
        <v>16318108</v>
      </c>
      <c r="J450" s="198" t="n">
        <v>58</v>
      </c>
      <c r="K450" s="198" t="n">
        <v>1</v>
      </c>
      <c r="L450" s="226" t="n">
        <v>42108</v>
      </c>
      <c r="M450" s="226" t="n">
        <v>39173</v>
      </c>
      <c r="N450" s="227" t="n">
        <v>2</v>
      </c>
      <c r="O450" s="227" t="s">
        <v>445</v>
      </c>
      <c r="P450" s="228" t="e">
        <f aca="false">VLOOKUP(B450,'NIVEL ENERO'!A:D,3,0)</f>
        <v>#N/A</v>
      </c>
      <c r="Q450" s="229" t="e">
        <f aca="false">VLOOKUP(B450,'NIVEL ENERO'!A:D,4,0)</f>
        <v>#N/A</v>
      </c>
      <c r="R450" s="186" t="str">
        <f aca="false">+PROPER(C450&amp;" "&amp;D450)</f>
        <v>Gonzalez Acosta Magda Patricia</v>
      </c>
      <c r="S450" s="230" t="n">
        <f aca="false">+YEARFRAC(L450,$S$1)</f>
        <v>11.0777777777778</v>
      </c>
      <c r="T450" s="230" t="n">
        <f aca="false">+YEARFRAC(M450,$S$1)</f>
        <v>19.1138888888889</v>
      </c>
      <c r="U450" s="231" t="n">
        <f aca="false">+$I450</f>
        <v>16318108</v>
      </c>
      <c r="V450" s="232" t="str">
        <f aca="false">+PROPER(F450)</f>
        <v>Casado(A)</v>
      </c>
    </row>
    <row r="451" customFormat="false" ht="14.25" hidden="false" customHeight="false" outlineLevel="0" collapsed="false">
      <c r="B451" s="197" t="n">
        <v>51968425</v>
      </c>
      <c r="C451" s="197" t="s">
        <v>1773</v>
      </c>
      <c r="D451" s="197" t="s">
        <v>1774</v>
      </c>
      <c r="E451" s="198" t="s">
        <v>944</v>
      </c>
      <c r="F451" s="198" t="s">
        <v>948</v>
      </c>
      <c r="G451" s="225" t="n">
        <v>4700000</v>
      </c>
      <c r="H451" s="225" t="n">
        <v>11754022</v>
      </c>
      <c r="I451" s="225" t="n">
        <v>0</v>
      </c>
      <c r="J451" s="198" t="n">
        <v>55</v>
      </c>
      <c r="K451" s="198" t="n">
        <v>1</v>
      </c>
      <c r="L451" s="226" t="n">
        <v>39910</v>
      </c>
      <c r="M451" s="226" t="n">
        <v>39873</v>
      </c>
      <c r="N451" s="227" t="n">
        <v>3</v>
      </c>
      <c r="O451" s="227" t="s">
        <v>135</v>
      </c>
      <c r="P451" s="228" t="n">
        <f aca="false">VLOOKUP(B451,'NIVEL ENERO'!A:D,3,0)</f>
        <v>0.207265482211927</v>
      </c>
      <c r="Q451" s="229" t="n">
        <f aca="false">VLOOKUP(B451,'NIVEL ENERO'!A:D,4,0)</f>
        <v>1001001</v>
      </c>
      <c r="R451" s="186" t="str">
        <f aca="false">+PROPER(C451&amp;" "&amp;D451)</f>
        <v>Benavides Zamudio Diana Maritza</v>
      </c>
      <c r="S451" s="230" t="n">
        <f aca="false">+YEARFRAC(L451,$S$1)</f>
        <v>17.0972222222222</v>
      </c>
      <c r="T451" s="230" t="n">
        <f aca="false">+YEARFRAC(M451,$S$1)</f>
        <v>17.1972222222222</v>
      </c>
      <c r="U451" s="231" t="n">
        <f aca="false">+$I451</f>
        <v>0</v>
      </c>
      <c r="V451" s="232" t="str">
        <f aca="false">+PROPER(F451)</f>
        <v>Casado(A)</v>
      </c>
    </row>
    <row r="452" customFormat="false" ht="14.25" hidden="false" customHeight="false" outlineLevel="0" collapsed="false">
      <c r="B452" s="197" t="n">
        <v>51997260</v>
      </c>
      <c r="C452" s="197" t="s">
        <v>1775</v>
      </c>
      <c r="D452" s="197" t="s">
        <v>1776</v>
      </c>
      <c r="E452" s="198" t="s">
        <v>944</v>
      </c>
      <c r="F452" s="198" t="s">
        <v>948</v>
      </c>
      <c r="G452" s="225" t="n">
        <v>2893800</v>
      </c>
      <c r="H452" s="225" t="n">
        <v>7749507</v>
      </c>
      <c r="I452" s="225" t="n">
        <v>13066086</v>
      </c>
      <c r="J452" s="198" t="n">
        <v>54</v>
      </c>
      <c r="K452" s="198" t="n">
        <v>1</v>
      </c>
      <c r="L452" s="226" t="n">
        <v>40273</v>
      </c>
      <c r="M452" s="226" t="n">
        <v>38007</v>
      </c>
      <c r="N452" s="227" t="n">
        <v>1</v>
      </c>
      <c r="O452" s="227" t="s">
        <v>135</v>
      </c>
      <c r="P452" s="228" t="n">
        <f aca="false">VLOOKUP(B452,'NIVEL ENERO'!A:D,3,0)</f>
        <v>0.298376101777659</v>
      </c>
      <c r="Q452" s="229" t="n">
        <f aca="false">VLOOKUP(B452,'NIVEL ENERO'!A:D,4,0)</f>
        <v>491207.1</v>
      </c>
      <c r="R452" s="186" t="str">
        <f aca="false">+PROPER(C452&amp;" "&amp;D452)</f>
        <v>Mora Castaneda Yaneth</v>
      </c>
      <c r="S452" s="230" t="n">
        <f aca="false">+YEARFRAC(L452,$S$1)</f>
        <v>16.1027777777778</v>
      </c>
      <c r="T452" s="230" t="n">
        <f aca="false">+YEARFRAC(M452,$S$1)</f>
        <v>22.3083333333333</v>
      </c>
      <c r="U452" s="231" t="n">
        <f aca="false">+$I452</f>
        <v>13066086</v>
      </c>
      <c r="V452" s="232" t="str">
        <f aca="false">+PROPER(F452)</f>
        <v>Casado(A)</v>
      </c>
    </row>
    <row r="453" customFormat="false" ht="14.25" hidden="false" customHeight="false" outlineLevel="0" collapsed="false">
      <c r="B453" s="197" t="n">
        <v>52026283</v>
      </c>
      <c r="C453" s="197" t="s">
        <v>1777</v>
      </c>
      <c r="D453" s="197" t="s">
        <v>1649</v>
      </c>
      <c r="E453" s="198" t="s">
        <v>944</v>
      </c>
      <c r="F453" s="198" t="s">
        <v>948</v>
      </c>
      <c r="G453" s="225" t="n">
        <v>3811461</v>
      </c>
      <c r="H453" s="225" t="n">
        <v>14997700</v>
      </c>
      <c r="I453" s="225" t="n">
        <v>0</v>
      </c>
      <c r="J453" s="198" t="n">
        <v>54</v>
      </c>
      <c r="K453" s="198" t="n">
        <v>1</v>
      </c>
      <c r="L453" s="226" t="n">
        <v>43083</v>
      </c>
      <c r="M453" s="226" t="n">
        <v>37272</v>
      </c>
      <c r="N453" s="227" t="n">
        <v>3</v>
      </c>
      <c r="O453" s="227" t="s">
        <v>135</v>
      </c>
      <c r="P453" s="228" t="n">
        <f aca="false">VLOOKUP(B453,'NIVEL ENERO'!A:D,3,0)</f>
        <v>0.271751960731069</v>
      </c>
      <c r="Q453" s="229" t="n">
        <f aca="false">VLOOKUP(B453,'NIVEL ENERO'!A:D,4,0)</f>
        <v>565041.62</v>
      </c>
      <c r="R453" s="186" t="str">
        <f aca="false">+PROPER(C453&amp;" "&amp;D453)</f>
        <v>Murillo Anzola Angela Maria</v>
      </c>
      <c r="S453" s="230" t="n">
        <f aca="false">+YEARFRAC(L453,$S$1)</f>
        <v>8.41111111111111</v>
      </c>
      <c r="T453" s="230" t="n">
        <f aca="false">+YEARFRAC(M453,$S$1)</f>
        <v>24.3222222222222</v>
      </c>
      <c r="U453" s="231" t="n">
        <f aca="false">+$I453</f>
        <v>0</v>
      </c>
      <c r="V453" s="232" t="str">
        <f aca="false">+PROPER(F453)</f>
        <v>Casado(A)</v>
      </c>
    </row>
    <row r="454" customFormat="false" ht="14.25" hidden="false" customHeight="false" outlineLevel="0" collapsed="false">
      <c r="B454" s="197" t="n">
        <v>52057091</v>
      </c>
      <c r="C454" s="197" t="s">
        <v>1778</v>
      </c>
      <c r="D454" s="197" t="s">
        <v>1779</v>
      </c>
      <c r="E454" s="198" t="s">
        <v>944</v>
      </c>
      <c r="F454" s="198" t="s">
        <v>948</v>
      </c>
      <c r="G454" s="225" t="n">
        <v>5291000</v>
      </c>
      <c r="H454" s="225" t="n">
        <v>4497445</v>
      </c>
      <c r="I454" s="225" t="n">
        <v>12862677</v>
      </c>
      <c r="J454" s="198" t="n">
        <v>53</v>
      </c>
      <c r="K454" s="198" t="n">
        <v>6</v>
      </c>
      <c r="L454" s="226" t="n">
        <v>37901</v>
      </c>
      <c r="M454" s="226" t="n">
        <v>44372</v>
      </c>
      <c r="N454" s="227" t="n">
        <v>5</v>
      </c>
      <c r="O454" s="227" t="s">
        <v>135</v>
      </c>
      <c r="P454" s="228" t="n">
        <f aca="false">VLOOKUP(B454,'NIVEL ENERO'!A:D,3,0)</f>
        <v>0.410632820879514</v>
      </c>
      <c r="Q454" s="229" t="n">
        <f aca="false">VLOOKUP(B454,'NIVEL ENERO'!A:D,4,0)</f>
        <v>62880</v>
      </c>
      <c r="R454" s="186" t="str">
        <f aca="false">+PROPER(C454&amp;" "&amp;D454)</f>
        <v>Mercado Tobias Ana Carolina</v>
      </c>
      <c r="S454" s="230" t="n">
        <f aca="false">+YEARFRAC(L454,$S$1)</f>
        <v>22.5972222222222</v>
      </c>
      <c r="T454" s="230" t="n">
        <f aca="false">+YEARFRAC(M454,$S$1)</f>
        <v>4.88055555555556</v>
      </c>
      <c r="U454" s="231" t="n">
        <f aca="false">+$I454</f>
        <v>12862677</v>
      </c>
      <c r="V454" s="232" t="str">
        <f aca="false">+PROPER(F454)</f>
        <v>Casado(A)</v>
      </c>
    </row>
    <row r="455" customFormat="false" ht="14.25" hidden="false" customHeight="false" outlineLevel="0" collapsed="false">
      <c r="B455" s="197" t="n">
        <v>52066817</v>
      </c>
      <c r="C455" s="197" t="s">
        <v>1780</v>
      </c>
      <c r="D455" s="197" t="s">
        <v>1781</v>
      </c>
      <c r="E455" s="198" t="s">
        <v>944</v>
      </c>
      <c r="F455" s="198" t="s">
        <v>953</v>
      </c>
      <c r="G455" s="225" t="n">
        <v>2893800</v>
      </c>
      <c r="H455" s="225" t="n">
        <v>1456124</v>
      </c>
      <c r="I455" s="225" t="n">
        <v>2853517</v>
      </c>
      <c r="J455" s="198" t="n">
        <v>52</v>
      </c>
      <c r="K455" s="198" t="n">
        <v>1</v>
      </c>
      <c r="L455" s="226" t="n">
        <v>44938</v>
      </c>
      <c r="M455" s="226" t="n">
        <v>41988</v>
      </c>
      <c r="N455" s="227" t="n">
        <v>3</v>
      </c>
      <c r="O455" s="227" t="s">
        <v>135</v>
      </c>
      <c r="P455" s="228" t="n">
        <f aca="false">VLOOKUP(B455,'NIVEL ENERO'!A:D,3,0)</f>
        <v>0.377265170451179</v>
      </c>
      <c r="Q455" s="229" t="n">
        <f aca="false">VLOOKUP(B455,'NIVEL ENERO'!A:D,4,0)</f>
        <v>188967.12</v>
      </c>
      <c r="R455" s="186" t="str">
        <f aca="false">+PROPER(C455&amp;" "&amp;D455)</f>
        <v>Lozano Arteaga Lineth Biviana</v>
      </c>
      <c r="S455" s="230" t="n">
        <f aca="false">+YEARFRAC(L455,$S$1)</f>
        <v>3.33333333333333</v>
      </c>
      <c r="T455" s="230" t="n">
        <f aca="false">+YEARFRAC(M455,$S$1)</f>
        <v>11.4083333333333</v>
      </c>
      <c r="U455" s="231" t="n">
        <f aca="false">+$I455</f>
        <v>2853517</v>
      </c>
      <c r="V455" s="232" t="str">
        <f aca="false">+PROPER(F455)</f>
        <v>Soltero(A)</v>
      </c>
    </row>
    <row r="456" customFormat="false" ht="14.25" hidden="false" customHeight="false" outlineLevel="0" collapsed="false">
      <c r="B456" s="197" t="n">
        <v>52075070</v>
      </c>
      <c r="C456" s="197" t="s">
        <v>1782</v>
      </c>
      <c r="D456" s="197" t="s">
        <v>1783</v>
      </c>
      <c r="E456" s="198" t="s">
        <v>1523</v>
      </c>
      <c r="F456" s="198" t="s">
        <v>953</v>
      </c>
      <c r="G456" s="225" t="n">
        <v>4000000</v>
      </c>
      <c r="H456" s="225" t="n">
        <v>1000000</v>
      </c>
      <c r="I456" s="225"/>
      <c r="J456" s="198" t="n">
        <v>52</v>
      </c>
      <c r="K456" s="198" t="n">
        <v>4</v>
      </c>
      <c r="L456" s="226" t="n">
        <v>45352</v>
      </c>
      <c r="M456" s="226" t="n">
        <v>44846</v>
      </c>
      <c r="N456" s="227" t="n">
        <v>0</v>
      </c>
      <c r="O456" s="227" t="s">
        <v>158</v>
      </c>
      <c r="P456" s="228" t="e">
        <f aca="false">VLOOKUP(B456,'NIVEL ENERO'!A:D,3,0)</f>
        <v>#N/A</v>
      </c>
      <c r="Q456" s="229" t="e">
        <f aca="false">VLOOKUP(B456,'NIVEL ENERO'!A:D,4,0)</f>
        <v>#N/A</v>
      </c>
      <c r="R456" s="186" t="str">
        <f aca="false">+PROPER(C456&amp;" "&amp;D456)</f>
        <v>Idarraga Hincapie Miryam Yolanda</v>
      </c>
      <c r="S456" s="230" t="n">
        <f aca="false">+YEARFRAC(L456,$S$1)</f>
        <v>2.19722222222222</v>
      </c>
      <c r="T456" s="230" t="n">
        <f aca="false">+YEARFRAC(M456,$S$1)</f>
        <v>3.58333333333333</v>
      </c>
      <c r="U456" s="231" t="n">
        <f aca="false">+$I456</f>
        <v>0</v>
      </c>
      <c r="V456" s="232" t="str">
        <f aca="false">+PROPER(F456)</f>
        <v>Soltero(A)</v>
      </c>
    </row>
    <row r="457" customFormat="false" ht="14.25" hidden="false" customHeight="false" outlineLevel="0" collapsed="false">
      <c r="B457" s="197" t="n">
        <v>52290327</v>
      </c>
      <c r="C457" s="197" t="s">
        <v>1784</v>
      </c>
      <c r="D457" s="197" t="s">
        <v>1357</v>
      </c>
      <c r="E457" s="198" t="s">
        <v>944</v>
      </c>
      <c r="F457" s="198" t="s">
        <v>953</v>
      </c>
      <c r="G457" s="225" t="n">
        <v>2600900</v>
      </c>
      <c r="H457" s="225" t="n">
        <v>5220671</v>
      </c>
      <c r="I457" s="225" t="n">
        <v>2331708</v>
      </c>
      <c r="J457" s="198" t="n">
        <v>43</v>
      </c>
      <c r="K457" s="198" t="n">
        <v>1</v>
      </c>
      <c r="L457" s="226" t="n">
        <v>42353</v>
      </c>
      <c r="M457" s="226" t="n">
        <v>41896</v>
      </c>
      <c r="N457" s="227" t="n">
        <v>3</v>
      </c>
      <c r="O457" s="227" t="s">
        <v>135</v>
      </c>
      <c r="P457" s="228" t="n">
        <f aca="false">VLOOKUP(B457,'NIVEL ENERO'!A:D,3,0)</f>
        <v>0.355043638740436</v>
      </c>
      <c r="Q457" s="229" t="n">
        <f aca="false">VLOOKUP(B457,'NIVEL ENERO'!A:D,4,0)</f>
        <v>168945</v>
      </c>
      <c r="R457" s="186" t="str">
        <f aca="false">+PROPER(C457&amp;" "&amp;D457)</f>
        <v>Molina Daza Leidy Viviana</v>
      </c>
      <c r="S457" s="230" t="n">
        <f aca="false">+YEARFRAC(L457,$S$1)</f>
        <v>10.4083333333333</v>
      </c>
      <c r="T457" s="230" t="n">
        <f aca="false">+YEARFRAC(M457,$S$1)</f>
        <v>11.6611111111111</v>
      </c>
      <c r="U457" s="231" t="n">
        <f aca="false">+$I457</f>
        <v>2331708</v>
      </c>
      <c r="V457" s="232" t="str">
        <f aca="false">+PROPER(F457)</f>
        <v>Soltero(A)</v>
      </c>
    </row>
    <row r="458" customFormat="false" ht="14.25" hidden="false" customHeight="false" outlineLevel="0" collapsed="false">
      <c r="B458" s="197" t="n">
        <v>52316905</v>
      </c>
      <c r="C458" s="197" t="s">
        <v>1785</v>
      </c>
      <c r="D458" s="197" t="s">
        <v>1202</v>
      </c>
      <c r="E458" s="198" t="s">
        <v>944</v>
      </c>
      <c r="F458" s="198" t="s">
        <v>948</v>
      </c>
      <c r="G458" s="225" t="n">
        <v>2893800</v>
      </c>
      <c r="H458" s="225" t="n">
        <v>11941810</v>
      </c>
      <c r="I458" s="225" t="n">
        <v>4167317</v>
      </c>
      <c r="J458" s="198" t="n">
        <v>47</v>
      </c>
      <c r="K458" s="198" t="n">
        <v>1</v>
      </c>
      <c r="L458" s="226" t="n">
        <v>37893</v>
      </c>
      <c r="M458" s="226" t="n">
        <v>35366</v>
      </c>
      <c r="N458" s="227" t="n">
        <v>2</v>
      </c>
      <c r="O458" s="227" t="s">
        <v>135</v>
      </c>
      <c r="P458" s="228" t="str">
        <f aca="false">VLOOKUP(B458,'NIVEL ENERO'!A:D,3,0)</f>
        <v>0</v>
      </c>
      <c r="Q458" s="229" t="n">
        <f aca="false">VLOOKUP(B458,'NIVEL ENERO'!A:D,4,0)</f>
        <v>0</v>
      </c>
      <c r="R458" s="186" t="str">
        <f aca="false">+PROPER(C458&amp;" "&amp;D458)</f>
        <v>Gil Ampudia Carolina</v>
      </c>
      <c r="S458" s="230" t="n">
        <f aca="false">+YEARFRAC(L458,$S$1)</f>
        <v>22.6194444444444</v>
      </c>
      <c r="T458" s="230" t="n">
        <f aca="false">+YEARFRAC(M458,$S$1)</f>
        <v>29.5388888888889</v>
      </c>
      <c r="U458" s="231" t="n">
        <f aca="false">+$I458</f>
        <v>4167317</v>
      </c>
      <c r="V458" s="232" t="str">
        <f aca="false">+PROPER(F458)</f>
        <v>Casado(A)</v>
      </c>
    </row>
    <row r="459" customFormat="false" ht="14.25" hidden="false" customHeight="false" outlineLevel="0" collapsed="false">
      <c r="B459" s="197" t="n">
        <v>52318074</v>
      </c>
      <c r="C459" s="197" t="s">
        <v>1786</v>
      </c>
      <c r="D459" s="197" t="s">
        <v>1787</v>
      </c>
      <c r="E459" s="198" t="s">
        <v>944</v>
      </c>
      <c r="F459" s="198" t="s">
        <v>948</v>
      </c>
      <c r="G459" s="225" t="n">
        <v>4870200</v>
      </c>
      <c r="H459" s="225" t="n">
        <v>3021881</v>
      </c>
      <c r="I459" s="225" t="n">
        <v>0</v>
      </c>
      <c r="J459" s="198" t="n">
        <v>50</v>
      </c>
      <c r="K459" s="198" t="n">
        <v>1</v>
      </c>
      <c r="L459" s="226" t="n">
        <v>43909</v>
      </c>
      <c r="M459" s="226" t="n">
        <v>45943</v>
      </c>
      <c r="N459" s="227" t="n">
        <v>5</v>
      </c>
      <c r="O459" s="227" t="s">
        <v>135</v>
      </c>
      <c r="P459" s="228" t="n">
        <f aca="false">VLOOKUP(B459,'NIVEL ENERO'!A:D,3,0)</f>
        <v>0.279889305685952</v>
      </c>
      <c r="Q459" s="229" t="n">
        <f aca="false">VLOOKUP(B459,'NIVEL ENERO'!A:D,4,0)</f>
        <v>659621.533333333</v>
      </c>
      <c r="R459" s="186" t="str">
        <f aca="false">+PROPER(C459&amp;" "&amp;D459)</f>
        <v>Campos Saldarriaga Aida Marcela</v>
      </c>
      <c r="S459" s="230" t="n">
        <f aca="false">+YEARFRAC(L459,$S$1)</f>
        <v>6.14722222222222</v>
      </c>
      <c r="T459" s="230" t="n">
        <f aca="false">+YEARFRAC(M459,$S$1)</f>
        <v>0.580555555555556</v>
      </c>
      <c r="U459" s="231" t="n">
        <f aca="false">+$I459</f>
        <v>0</v>
      </c>
      <c r="V459" s="232" t="str">
        <f aca="false">+PROPER(F459)</f>
        <v>Casado(A)</v>
      </c>
    </row>
    <row r="460" customFormat="false" ht="14.25" hidden="false" customHeight="false" outlineLevel="0" collapsed="false">
      <c r="B460" s="197" t="n">
        <v>52708735</v>
      </c>
      <c r="C460" s="197" t="s">
        <v>1788</v>
      </c>
      <c r="D460" s="197" t="s">
        <v>1789</v>
      </c>
      <c r="E460" s="198" t="s">
        <v>944</v>
      </c>
      <c r="F460" s="198" t="s">
        <v>948</v>
      </c>
      <c r="G460" s="225" t="n">
        <v>6000000</v>
      </c>
      <c r="H460" s="225" t="n">
        <v>700000</v>
      </c>
      <c r="I460" s="225" t="n">
        <v>2799220</v>
      </c>
      <c r="J460" s="198" t="n">
        <v>44</v>
      </c>
      <c r="K460" s="198" t="n">
        <v>2</v>
      </c>
      <c r="L460" s="226" t="n">
        <v>45352</v>
      </c>
      <c r="M460" s="226" t="n">
        <v>42716</v>
      </c>
      <c r="N460" s="227" t="n">
        <v>0</v>
      </c>
      <c r="O460" s="227" t="s">
        <v>158</v>
      </c>
      <c r="P460" s="228" t="e">
        <f aca="false">VLOOKUP(B460,'NIVEL ENERO'!A:D,3,0)</f>
        <v>#N/A</v>
      </c>
      <c r="Q460" s="229" t="e">
        <f aca="false">VLOOKUP(B460,'NIVEL ENERO'!A:D,4,0)</f>
        <v>#N/A</v>
      </c>
      <c r="R460" s="186" t="str">
        <f aca="false">+PROPER(C460&amp;" "&amp;D460)</f>
        <v>Vargas Escobar Lina Maria</v>
      </c>
      <c r="S460" s="230" t="n">
        <f aca="false">+YEARFRAC(L460,$S$1)</f>
        <v>2.19722222222222</v>
      </c>
      <c r="T460" s="230" t="n">
        <f aca="false">+YEARFRAC(M460,$S$1)</f>
        <v>9.41666666666667</v>
      </c>
      <c r="U460" s="231" t="n">
        <f aca="false">+$I460</f>
        <v>2799220</v>
      </c>
      <c r="V460" s="232" t="str">
        <f aca="false">+PROPER(F460)</f>
        <v>Casado(A)</v>
      </c>
    </row>
    <row r="461" customFormat="false" ht="14.25" hidden="false" customHeight="false" outlineLevel="0" collapsed="false">
      <c r="B461" s="197" t="n">
        <v>52899917</v>
      </c>
      <c r="C461" s="197" t="s">
        <v>1790</v>
      </c>
      <c r="D461" s="197" t="s">
        <v>1791</v>
      </c>
      <c r="E461" s="198" t="s">
        <v>944</v>
      </c>
      <c r="F461" s="198" t="s">
        <v>953</v>
      </c>
      <c r="G461" s="225" t="n">
        <v>2600900</v>
      </c>
      <c r="H461" s="225" t="n">
        <v>1297616</v>
      </c>
      <c r="I461" s="225" t="n">
        <v>3273203</v>
      </c>
      <c r="J461" s="198" t="n">
        <v>43</v>
      </c>
      <c r="K461" s="198" t="n">
        <v>2</v>
      </c>
      <c r="L461" s="226" t="n">
        <v>45027</v>
      </c>
      <c r="M461" s="226" t="n">
        <v>42750</v>
      </c>
      <c r="N461" s="227" t="n">
        <v>3</v>
      </c>
      <c r="O461" s="227" t="s">
        <v>135</v>
      </c>
      <c r="P461" s="228" t="n">
        <f aca="false">VLOOKUP(B461,'NIVEL ENERO'!A:D,3,0)</f>
        <v>0.42117053235054</v>
      </c>
      <c r="Q461" s="229" t="n">
        <f aca="false">VLOOKUP(B461,'NIVEL ENERO'!A:D,4,0)</f>
        <v>-4012.69999999995</v>
      </c>
      <c r="R461" s="186" t="str">
        <f aca="false">+PROPER(C461&amp;" "&amp;D461)</f>
        <v>Nustes Aragon Ana Mercedes</v>
      </c>
      <c r="S461" s="230" t="n">
        <f aca="false">+YEARFRAC(L461,$S$1)</f>
        <v>3.08611111111111</v>
      </c>
      <c r="T461" s="230" t="n">
        <f aca="false">+YEARFRAC(M461,$S$1)</f>
        <v>9.325</v>
      </c>
      <c r="U461" s="231" t="n">
        <f aca="false">+$I461</f>
        <v>3273203</v>
      </c>
      <c r="V461" s="232" t="str">
        <f aca="false">+PROPER(F461)</f>
        <v>Soltero(A)</v>
      </c>
    </row>
    <row r="462" customFormat="false" ht="14.25" hidden="false" customHeight="false" outlineLevel="0" collapsed="false">
      <c r="B462" s="197" t="n">
        <v>52932360</v>
      </c>
      <c r="C462" s="197" t="s">
        <v>1792</v>
      </c>
      <c r="D462" s="197" t="s">
        <v>1793</v>
      </c>
      <c r="E462" s="198" t="s">
        <v>944</v>
      </c>
      <c r="F462" s="198" t="s">
        <v>998</v>
      </c>
      <c r="G462" s="225" t="n">
        <v>4870200</v>
      </c>
      <c r="H462" s="225" t="n">
        <v>2053147</v>
      </c>
      <c r="I462" s="225" t="n">
        <v>7964533</v>
      </c>
      <c r="J462" s="198" t="n">
        <v>42</v>
      </c>
      <c r="K462" s="198" t="n">
        <v>6</v>
      </c>
      <c r="L462" s="226" t="n">
        <v>44550</v>
      </c>
      <c r="M462" s="226" t="n">
        <v>43287</v>
      </c>
      <c r="N462" s="227" t="n">
        <v>2</v>
      </c>
      <c r="O462" s="227" t="s">
        <v>135</v>
      </c>
      <c r="P462" s="228" t="n">
        <f aca="false">VLOOKUP(B462,'NIVEL ENERO'!A:D,3,0)</f>
        <v>0.404573244901699</v>
      </c>
      <c r="Q462" s="229" t="n">
        <f aca="false">VLOOKUP(B462,'NIVEL ENERO'!A:D,4,0)</f>
        <v>79857.04</v>
      </c>
      <c r="R462" s="186" t="str">
        <f aca="false">+PROPER(C462&amp;" "&amp;D462)</f>
        <v>Taborda Carrilo Diana Alexandra</v>
      </c>
      <c r="S462" s="230" t="n">
        <f aca="false">+YEARFRAC(L462,$S$1)</f>
        <v>4.39444444444445</v>
      </c>
      <c r="T462" s="230" t="n">
        <f aca="false">+YEARFRAC(M462,$S$1)</f>
        <v>7.85</v>
      </c>
      <c r="U462" s="231" t="n">
        <f aca="false">+$I462</f>
        <v>7964533</v>
      </c>
      <c r="V462" s="232" t="str">
        <f aca="false">+PROPER(F462)</f>
        <v>Separado(A)</v>
      </c>
    </row>
    <row r="463" customFormat="false" ht="14.25" hidden="false" customHeight="false" outlineLevel="0" collapsed="false">
      <c r="B463" s="197" t="n">
        <v>52959038</v>
      </c>
      <c r="C463" s="197" t="s">
        <v>1794</v>
      </c>
      <c r="D463" s="197" t="s">
        <v>1734</v>
      </c>
      <c r="E463" s="198" t="s">
        <v>944</v>
      </c>
      <c r="F463" s="198" t="s">
        <v>953</v>
      </c>
      <c r="G463" s="225" t="n">
        <v>8000000</v>
      </c>
      <c r="H463" s="225" t="n">
        <v>7217026</v>
      </c>
      <c r="I463" s="225" t="n">
        <v>7732274</v>
      </c>
      <c r="J463" s="198" t="n">
        <v>40</v>
      </c>
      <c r="K463" s="198" t="n">
        <v>2</v>
      </c>
      <c r="L463" s="226" t="n">
        <v>44909</v>
      </c>
      <c r="M463" s="226" t="n">
        <v>44774</v>
      </c>
      <c r="N463" s="227" t="n">
        <v>0</v>
      </c>
      <c r="O463" s="227" t="s">
        <v>158</v>
      </c>
      <c r="P463" s="228" t="e">
        <f aca="false">VLOOKUP(B463,'NIVEL ENERO'!A:D,3,0)</f>
        <v>#N/A</v>
      </c>
      <c r="Q463" s="229" t="e">
        <f aca="false">VLOOKUP(B463,'NIVEL ENERO'!A:D,4,0)</f>
        <v>#N/A</v>
      </c>
      <c r="R463" s="186" t="str">
        <f aca="false">+PROPER(C463&amp;" "&amp;D463)</f>
        <v>Benavides Guerrero Maria Victoria</v>
      </c>
      <c r="S463" s="230" t="n">
        <f aca="false">+YEARFRAC(L463,$S$1)</f>
        <v>3.41111111111111</v>
      </c>
      <c r="T463" s="230" t="n">
        <f aca="false">+YEARFRAC(M463,$S$1)</f>
        <v>3.78055555555556</v>
      </c>
      <c r="U463" s="231" t="n">
        <f aca="false">+$I463</f>
        <v>7732274</v>
      </c>
      <c r="V463" s="232" t="str">
        <f aca="false">+PROPER(F463)</f>
        <v>Soltero(A)</v>
      </c>
    </row>
    <row r="464" customFormat="false" ht="14.25" hidden="false" customHeight="false" outlineLevel="0" collapsed="false">
      <c r="B464" s="197" t="n">
        <v>52968326</v>
      </c>
      <c r="C464" s="197" t="s">
        <v>1795</v>
      </c>
      <c r="D464" s="197" t="s">
        <v>1796</v>
      </c>
      <c r="E464" s="198" t="s">
        <v>944</v>
      </c>
      <c r="F464" s="198" t="s">
        <v>948</v>
      </c>
      <c r="G464" s="225" t="n">
        <v>4870200</v>
      </c>
      <c r="H464" s="225" t="n">
        <v>5381955</v>
      </c>
      <c r="I464" s="225" t="n">
        <v>8863775</v>
      </c>
      <c r="J464" s="198" t="n">
        <v>40</v>
      </c>
      <c r="K464" s="198" t="n">
        <v>1</v>
      </c>
      <c r="L464" s="226" t="n">
        <v>44636</v>
      </c>
      <c r="M464" s="226" t="n">
        <v>41894</v>
      </c>
      <c r="N464" s="227" t="n">
        <v>3</v>
      </c>
      <c r="O464" s="227" t="s">
        <v>135</v>
      </c>
      <c r="P464" s="228" t="n">
        <f aca="false">VLOOKUP(B464,'NIVEL ENERO'!A:D,3,0)</f>
        <v>0.425018541303817</v>
      </c>
      <c r="Q464" s="229" t="n">
        <f aca="false">VLOOKUP(B464,'NIVEL ENERO'!A:D,4,0)</f>
        <v>-27484.1000000001</v>
      </c>
      <c r="R464" s="186" t="str">
        <f aca="false">+PROPER(C464&amp;" "&amp;D464)</f>
        <v>Torres Torres Jerlyn Tarin</v>
      </c>
      <c r="S464" s="230" t="n">
        <f aca="false">+YEARFRAC(L464,$S$1)</f>
        <v>4.15555555555556</v>
      </c>
      <c r="T464" s="230" t="n">
        <f aca="false">+YEARFRAC(M464,$S$1)</f>
        <v>11.6666666666667</v>
      </c>
      <c r="U464" s="231" t="n">
        <f aca="false">+$I464</f>
        <v>8863775</v>
      </c>
      <c r="V464" s="232" t="str">
        <f aca="false">+PROPER(F464)</f>
        <v>Casado(A)</v>
      </c>
    </row>
    <row r="465" customFormat="false" ht="14.25" hidden="false" customHeight="false" outlineLevel="0" collapsed="false">
      <c r="B465" s="197" t="n">
        <v>53006632</v>
      </c>
      <c r="C465" s="197" t="s">
        <v>1797</v>
      </c>
      <c r="D465" s="197" t="s">
        <v>1798</v>
      </c>
      <c r="E465" s="198" t="s">
        <v>944</v>
      </c>
      <c r="F465" s="198" t="s">
        <v>948</v>
      </c>
      <c r="G465" s="225" t="n">
        <v>5679200</v>
      </c>
      <c r="H465" s="225" t="n">
        <v>2553878</v>
      </c>
      <c r="I465" s="225" t="n">
        <v>13618999</v>
      </c>
      <c r="J465" s="198" t="n">
        <v>41</v>
      </c>
      <c r="K465" s="198" t="n">
        <v>3</v>
      </c>
      <c r="L465" s="226" t="n">
        <v>44155</v>
      </c>
      <c r="M465" s="226" t="n">
        <v>41652</v>
      </c>
      <c r="N465" s="227" t="n">
        <v>2</v>
      </c>
      <c r="O465" s="227" t="s">
        <v>135</v>
      </c>
      <c r="P465" s="228" t="n">
        <f aca="false">VLOOKUP(B465,'NIVEL ENERO'!A:D,3,0)</f>
        <v>0.424441979233698</v>
      </c>
      <c r="Q465" s="229" t="n">
        <f aca="false">VLOOKUP(B465,'NIVEL ENERO'!A:D,4,0)</f>
        <v>-25802.7200000002</v>
      </c>
      <c r="R465" s="186" t="str">
        <f aca="false">+PROPER(C465&amp;" "&amp;D465)</f>
        <v>Bonilla Angulo Lady Viviana</v>
      </c>
      <c r="S465" s="230" t="n">
        <f aca="false">+YEARFRAC(L465,$S$1)</f>
        <v>5.47777777777778</v>
      </c>
      <c r="T465" s="230" t="n">
        <f aca="false">+YEARFRAC(M465,$S$1)</f>
        <v>12.3305555555556</v>
      </c>
      <c r="U465" s="231" t="n">
        <f aca="false">+$I465</f>
        <v>13618999</v>
      </c>
      <c r="V465" s="232" t="str">
        <f aca="false">+PROPER(F465)</f>
        <v>Casado(A)</v>
      </c>
    </row>
    <row r="466" customFormat="false" ht="14.25" hidden="false" customHeight="false" outlineLevel="0" collapsed="false">
      <c r="B466" s="197" t="n">
        <v>53098371</v>
      </c>
      <c r="C466" s="197" t="s">
        <v>1799</v>
      </c>
      <c r="D466" s="197" t="s">
        <v>1800</v>
      </c>
      <c r="E466" s="198" t="s">
        <v>981</v>
      </c>
      <c r="F466" s="198" t="s">
        <v>953</v>
      </c>
      <c r="G466" s="225" t="n">
        <v>5418800</v>
      </c>
      <c r="H466" s="225" t="n">
        <v>2759228</v>
      </c>
      <c r="I466" s="225" t="n">
        <v>1018927</v>
      </c>
      <c r="J466" s="198" t="n">
        <v>40</v>
      </c>
      <c r="K466" s="198" t="n">
        <v>2</v>
      </c>
      <c r="L466" s="226" t="n">
        <v>44722</v>
      </c>
      <c r="M466" s="226" t="n">
        <v>44105</v>
      </c>
      <c r="N466" s="227" t="n">
        <v>0</v>
      </c>
      <c r="O466" s="227" t="s">
        <v>135</v>
      </c>
      <c r="P466" s="228" t="n">
        <f aca="false">VLOOKUP(B466,'NIVEL ENERO'!A:D,3,0)</f>
        <v>0.29512286365497</v>
      </c>
      <c r="Q466" s="229" t="n">
        <f aca="false">VLOOKUP(B466,'NIVEL ENERO'!A:D,4,0)</f>
        <v>1041592.66</v>
      </c>
      <c r="R466" s="186" t="str">
        <f aca="false">+PROPER(C466&amp;" "&amp;D466)</f>
        <v>Menendez Guerrero Leidy Yasmin</v>
      </c>
      <c r="S466" s="230" t="n">
        <f aca="false">+YEARFRAC(L466,$S$1)</f>
        <v>3.92222222222222</v>
      </c>
      <c r="T466" s="230" t="n">
        <f aca="false">+YEARFRAC(M466,$S$1)</f>
        <v>5.61388888888889</v>
      </c>
      <c r="U466" s="231" t="n">
        <f aca="false">+$I466</f>
        <v>1018927</v>
      </c>
      <c r="V466" s="232" t="str">
        <f aca="false">+PROPER(F466)</f>
        <v>Soltero(A)</v>
      </c>
    </row>
    <row r="467" customFormat="false" ht="14.25" hidden="false" customHeight="false" outlineLevel="0" collapsed="false">
      <c r="B467" s="197" t="n">
        <v>55113244</v>
      </c>
      <c r="C467" s="197" t="s">
        <v>1801</v>
      </c>
      <c r="D467" s="197" t="s">
        <v>1802</v>
      </c>
      <c r="E467" s="198" t="s">
        <v>944</v>
      </c>
      <c r="F467" s="198" t="s">
        <v>945</v>
      </c>
      <c r="G467" s="225" t="n">
        <v>6474400</v>
      </c>
      <c r="H467" s="225" t="n">
        <v>1557164</v>
      </c>
      <c r="I467" s="225" t="n">
        <v>128228</v>
      </c>
      <c r="J467" s="198" t="n">
        <v>46</v>
      </c>
      <c r="K467" s="198" t="n">
        <v>6</v>
      </c>
      <c r="L467" s="226" t="n">
        <v>44875</v>
      </c>
      <c r="M467" s="226" t="n">
        <v>40288</v>
      </c>
      <c r="N467" s="227" t="n">
        <v>2</v>
      </c>
      <c r="O467" s="227" t="s">
        <v>135</v>
      </c>
      <c r="P467" s="228" t="n">
        <f aca="false">VLOOKUP(B467,'NIVEL ENERO'!A:D,3,0)</f>
        <v>0.124709162238972</v>
      </c>
      <c r="Q467" s="229" t="n">
        <f aca="false">VLOOKUP(B467,'NIVEL ENERO'!A:D,4,0)</f>
        <v>1911831</v>
      </c>
      <c r="R467" s="186" t="str">
        <f aca="false">+PROPER(C467&amp;" "&amp;D467)</f>
        <v>Diaz Montealegre Silvia Lorena</v>
      </c>
      <c r="S467" s="230" t="n">
        <f aca="false">+YEARFRAC(L467,$S$1)</f>
        <v>3.50555555555556</v>
      </c>
      <c r="T467" s="230" t="n">
        <f aca="false">+YEARFRAC(M467,$S$1)</f>
        <v>16.0611111111111</v>
      </c>
      <c r="U467" s="231" t="n">
        <f aca="false">+$I467</f>
        <v>128228</v>
      </c>
      <c r="V467" s="232" t="str">
        <f aca="false">+PROPER(F467)</f>
        <v>Union Libre</v>
      </c>
    </row>
    <row r="468" customFormat="false" ht="14.25" hidden="false" customHeight="false" outlineLevel="0" collapsed="false">
      <c r="B468" s="197" t="n">
        <v>55151378</v>
      </c>
      <c r="C468" s="197" t="s">
        <v>1803</v>
      </c>
      <c r="D468" s="197" t="s">
        <v>1265</v>
      </c>
      <c r="E468" s="198" t="s">
        <v>944</v>
      </c>
      <c r="F468" s="198" t="s">
        <v>948</v>
      </c>
      <c r="G468" s="225" t="n">
        <v>4870200</v>
      </c>
      <c r="H468" s="225" t="n">
        <v>7919794</v>
      </c>
      <c r="I468" s="225" t="n">
        <v>21330371</v>
      </c>
      <c r="J468" s="198" t="n">
        <v>57</v>
      </c>
      <c r="K468" s="198" t="n">
        <v>1</v>
      </c>
      <c r="L468" s="226" t="n">
        <v>35065</v>
      </c>
      <c r="M468" s="226" t="n">
        <v>35093</v>
      </c>
      <c r="N468" s="227" t="n">
        <v>3</v>
      </c>
      <c r="O468" s="227" t="s">
        <v>445</v>
      </c>
      <c r="P468" s="228" t="e">
        <f aca="false">VLOOKUP(B468,'NIVEL ENERO'!A:D,3,0)</f>
        <v>#N/A</v>
      </c>
      <c r="Q468" s="229" t="e">
        <f aca="false">VLOOKUP(B468,'NIVEL ENERO'!A:D,4,0)</f>
        <v>#N/A</v>
      </c>
      <c r="R468" s="186" t="str">
        <f aca="false">+PROPER(C468&amp;" "&amp;D468)</f>
        <v>Charry Castano Adriana</v>
      </c>
      <c r="S468" s="230" t="n">
        <f aca="false">+YEARFRAC(L468,$S$1)</f>
        <v>30.3638888888889</v>
      </c>
      <c r="T468" s="230" t="n">
        <f aca="false">+YEARFRAC(M468,$S$1)</f>
        <v>30.2861111111111</v>
      </c>
      <c r="U468" s="231" t="n">
        <f aca="false">+$I468</f>
        <v>21330371</v>
      </c>
      <c r="V468" s="232" t="str">
        <f aca="false">+PROPER(F468)</f>
        <v>Casado(A)</v>
      </c>
    </row>
    <row r="469" customFormat="false" ht="14.25" hidden="false" customHeight="false" outlineLevel="0" collapsed="false">
      <c r="B469" s="197" t="n">
        <v>55232585</v>
      </c>
      <c r="C469" s="197" t="s">
        <v>1804</v>
      </c>
      <c r="D469" s="197" t="s">
        <v>1805</v>
      </c>
      <c r="E469" s="198" t="s">
        <v>944</v>
      </c>
      <c r="F469" s="198" t="s">
        <v>953</v>
      </c>
      <c r="G469" s="225" t="n">
        <v>5679200</v>
      </c>
      <c r="H469" s="225" t="n">
        <v>1356767</v>
      </c>
      <c r="I469" s="225" t="n">
        <v>0</v>
      </c>
      <c r="J469" s="198" t="n">
        <v>39</v>
      </c>
      <c r="K469" s="198" t="n">
        <v>1</v>
      </c>
      <c r="L469" s="226" t="n">
        <v>44999</v>
      </c>
      <c r="M469" s="226" t="n">
        <v>42745</v>
      </c>
      <c r="N469" s="227" t="n">
        <v>0</v>
      </c>
      <c r="O469" s="227" t="s">
        <v>135</v>
      </c>
      <c r="P469" s="228" t="n">
        <f aca="false">VLOOKUP(B469,'NIVEL ENERO'!A:D,3,0)</f>
        <v>0.292546741580167</v>
      </c>
      <c r="Q469" s="229" t="n">
        <f aca="false">VLOOKUP(B469,'NIVEL ENERO'!A:D,4,0)</f>
        <v>642425.6</v>
      </c>
      <c r="R469" s="186" t="str">
        <f aca="false">+PROPER(C469&amp;" "&amp;D469)</f>
        <v>Vasquez Romero Yasury</v>
      </c>
      <c r="S469" s="230" t="n">
        <f aca="false">+YEARFRAC(L469,$S$1)</f>
        <v>3.16111111111111</v>
      </c>
      <c r="T469" s="230" t="n">
        <f aca="false">+YEARFRAC(M469,$S$1)</f>
        <v>9.33888888888889</v>
      </c>
      <c r="U469" s="231" t="n">
        <f aca="false">+$I469</f>
        <v>0</v>
      </c>
      <c r="V469" s="232" t="str">
        <f aca="false">+PROPER(F469)</f>
        <v>Soltero(A)</v>
      </c>
    </row>
    <row r="470" customFormat="false" ht="14.25" hidden="false" customHeight="false" outlineLevel="0" collapsed="false">
      <c r="B470" s="197" t="n">
        <v>59666004</v>
      </c>
      <c r="C470" s="197" t="s">
        <v>1806</v>
      </c>
      <c r="D470" s="197" t="s">
        <v>1807</v>
      </c>
      <c r="E470" s="198" t="s">
        <v>944</v>
      </c>
      <c r="F470" s="198" t="s">
        <v>948</v>
      </c>
      <c r="G470" s="225" t="n">
        <v>4870200</v>
      </c>
      <c r="H470" s="225" t="n">
        <v>4050829</v>
      </c>
      <c r="I470" s="225" t="n">
        <v>0</v>
      </c>
      <c r="J470" s="198" t="n">
        <v>56</v>
      </c>
      <c r="K470" s="198" t="n">
        <v>1</v>
      </c>
      <c r="L470" s="226" t="n">
        <v>38167</v>
      </c>
      <c r="M470" s="226" t="n">
        <v>38987</v>
      </c>
      <c r="N470" s="227" t="n">
        <v>4</v>
      </c>
      <c r="O470" s="227" t="s">
        <v>135</v>
      </c>
      <c r="P470" s="228" t="n">
        <f aca="false">VLOOKUP(B470,'NIVEL ENERO'!A:D,3,0)</f>
        <v>0.168131288242783</v>
      </c>
      <c r="Q470" s="229" t="n">
        <f aca="false">VLOOKUP(B470,'NIVEL ENERO'!A:D,4,0)</f>
        <v>1226651</v>
      </c>
      <c r="R470" s="186" t="str">
        <f aca="false">+PROPER(C470&amp;" "&amp;D470)</f>
        <v>Castillo Valentiera Carmen Manuela</v>
      </c>
      <c r="S470" s="230" t="n">
        <f aca="false">+YEARFRAC(L470,$S$1)</f>
        <v>21.8694444444444</v>
      </c>
      <c r="T470" s="230" t="n">
        <f aca="false">+YEARFRAC(M470,$S$1)</f>
        <v>19.625</v>
      </c>
      <c r="U470" s="231" t="n">
        <f aca="false">+$I470</f>
        <v>0</v>
      </c>
      <c r="V470" s="232" t="str">
        <f aca="false">+PROPER(F470)</f>
        <v>Casado(A)</v>
      </c>
    </row>
    <row r="471" customFormat="false" ht="14.25" hidden="false" customHeight="false" outlineLevel="0" collapsed="false">
      <c r="B471" s="197" t="n">
        <v>59801808</v>
      </c>
      <c r="C471" s="197" t="s">
        <v>1808</v>
      </c>
      <c r="D471" s="197" t="s">
        <v>1809</v>
      </c>
      <c r="E471" s="198" t="s">
        <v>944</v>
      </c>
      <c r="F471" s="198" t="s">
        <v>948</v>
      </c>
      <c r="G471" s="225" t="n">
        <v>2916600</v>
      </c>
      <c r="H471" s="225" t="n">
        <v>2475829</v>
      </c>
      <c r="I471" s="225" t="n">
        <v>0</v>
      </c>
      <c r="J471" s="198" t="n">
        <v>44</v>
      </c>
      <c r="K471" s="198" t="n">
        <v>3</v>
      </c>
      <c r="L471" s="226" t="n">
        <v>45079</v>
      </c>
      <c r="M471" s="226" t="n">
        <v>39980</v>
      </c>
      <c r="N471" s="227" t="n">
        <v>3</v>
      </c>
      <c r="O471" s="227" t="s">
        <v>135</v>
      </c>
      <c r="P471" s="228" t="n">
        <f aca="false">VLOOKUP(B471,'NIVEL ENERO'!A:D,3,0)</f>
        <v>0.304460830455523</v>
      </c>
      <c r="Q471" s="229" t="n">
        <f aca="false">VLOOKUP(B471,'NIVEL ENERO'!A:D,4,0)</f>
        <v>391679.98</v>
      </c>
      <c r="R471" s="186" t="str">
        <f aca="false">+PROPER(C471&amp;" "&amp;D471)</f>
        <v>Trejo Rojas Dayra Yamile</v>
      </c>
      <c r="S471" s="230" t="n">
        <f aca="false">+YEARFRAC(L471,$S$1)</f>
        <v>2.94444444444444</v>
      </c>
      <c r="T471" s="230" t="n">
        <f aca="false">+YEARFRAC(M471,$S$1)</f>
        <v>16.9055555555556</v>
      </c>
      <c r="U471" s="231" t="n">
        <f aca="false">+$I471</f>
        <v>0</v>
      </c>
      <c r="V471" s="232" t="str">
        <f aca="false">+PROPER(F471)</f>
        <v>Casado(A)</v>
      </c>
    </row>
    <row r="472" customFormat="false" ht="14.25" hidden="false" customHeight="false" outlineLevel="0" collapsed="false">
      <c r="B472" s="197" t="n">
        <v>59816941</v>
      </c>
      <c r="C472" s="197" t="s">
        <v>1810</v>
      </c>
      <c r="D472" s="197" t="s">
        <v>1811</v>
      </c>
      <c r="E472" s="198" t="s">
        <v>944</v>
      </c>
      <c r="F472" s="198" t="s">
        <v>948</v>
      </c>
      <c r="G472" s="225" t="n">
        <v>5418800</v>
      </c>
      <c r="H472" s="225" t="n">
        <v>7094259</v>
      </c>
      <c r="I472" s="225" t="n">
        <v>0</v>
      </c>
      <c r="J472" s="198" t="n">
        <v>52</v>
      </c>
      <c r="K472" s="198" t="n">
        <v>1</v>
      </c>
      <c r="L472" s="226" t="n">
        <v>42501</v>
      </c>
      <c r="M472" s="226" t="n">
        <v>35682</v>
      </c>
      <c r="N472" s="227" t="n">
        <v>5</v>
      </c>
      <c r="O472" s="227" t="s">
        <v>135</v>
      </c>
      <c r="P472" s="228" t="n">
        <f aca="false">VLOOKUP(B472,'NIVEL ENERO'!A:D,3,0)</f>
        <v>0.20556673064147</v>
      </c>
      <c r="Q472" s="229" t="n">
        <f aca="false">VLOOKUP(B472,'NIVEL ENERO'!A:D,4,0)</f>
        <v>1161971</v>
      </c>
      <c r="R472" s="186" t="str">
        <f aca="false">+PROPER(C472&amp;" "&amp;D472)</f>
        <v>Vasquez Munos Daly Riguey</v>
      </c>
      <c r="S472" s="230" t="n">
        <f aca="false">+YEARFRAC(L472,$S$1)</f>
        <v>10.0027777777778</v>
      </c>
      <c r="T472" s="230" t="n">
        <f aca="false">+YEARFRAC(M472,$S$1)</f>
        <v>28.675</v>
      </c>
      <c r="U472" s="231" t="n">
        <f aca="false">+$I472</f>
        <v>0</v>
      </c>
      <c r="V472" s="232" t="str">
        <f aca="false">+PROPER(F472)</f>
        <v>Casado(A)</v>
      </c>
    </row>
    <row r="473" customFormat="false" ht="14.25" hidden="false" customHeight="false" outlineLevel="0" collapsed="false">
      <c r="B473" s="197" t="n">
        <v>59834435</v>
      </c>
      <c r="C473" s="197" t="s">
        <v>1812</v>
      </c>
      <c r="D473" s="197" t="s">
        <v>1593</v>
      </c>
      <c r="E473" s="198" t="s">
        <v>944</v>
      </c>
      <c r="F473" s="198" t="s">
        <v>953</v>
      </c>
      <c r="G473" s="225" t="n">
        <v>4327600</v>
      </c>
      <c r="H473" s="225" t="n">
        <v>4223945</v>
      </c>
      <c r="I473" s="225" t="n">
        <v>2667448</v>
      </c>
      <c r="J473" s="198" t="n">
        <v>48</v>
      </c>
      <c r="K473" s="198" t="n">
        <v>2</v>
      </c>
      <c r="L473" s="226" t="n">
        <v>44364</v>
      </c>
      <c r="M473" s="226" t="n">
        <v>44138</v>
      </c>
      <c r="N473" s="227" t="n">
        <v>3</v>
      </c>
      <c r="O473" s="227" t="s">
        <v>135</v>
      </c>
      <c r="P473" s="228" t="n">
        <f aca="false">VLOOKUP(B473,'NIVEL ENERO'!A:D,3,0)</f>
        <v>0.339265181624919</v>
      </c>
      <c r="Q473" s="229" t="n">
        <f aca="false">VLOOKUP(B473,'NIVEL ENERO'!A:D,4,0)</f>
        <v>349388</v>
      </c>
      <c r="R473" s="186" t="str">
        <f aca="false">+PROPER(C473&amp;" "&amp;D473)</f>
        <v>Parra Benavides Martha Isabel</v>
      </c>
      <c r="S473" s="230" t="n">
        <f aca="false">+YEARFRAC(L473,$S$1)</f>
        <v>4.90277777777778</v>
      </c>
      <c r="T473" s="230" t="n">
        <f aca="false">+YEARFRAC(M473,$S$1)</f>
        <v>5.525</v>
      </c>
      <c r="U473" s="231" t="n">
        <f aca="false">+$I473</f>
        <v>2667448</v>
      </c>
      <c r="V473" s="232" t="str">
        <f aca="false">+PROPER(F473)</f>
        <v>Soltero(A)</v>
      </c>
    </row>
    <row r="474" customFormat="false" ht="14.25" hidden="false" customHeight="false" outlineLevel="0" collapsed="false">
      <c r="B474" s="197" t="n">
        <v>59856422</v>
      </c>
      <c r="C474" s="197" t="s">
        <v>1813</v>
      </c>
      <c r="D474" s="197" t="s">
        <v>1814</v>
      </c>
      <c r="E474" s="198" t="s">
        <v>944</v>
      </c>
      <c r="F474" s="198" t="s">
        <v>945</v>
      </c>
      <c r="G474" s="225" t="n">
        <v>5842800</v>
      </c>
      <c r="H474" s="225" t="n">
        <v>1809701</v>
      </c>
      <c r="I474" s="225" t="n">
        <v>0</v>
      </c>
      <c r="J474" s="198" t="n">
        <v>42</v>
      </c>
      <c r="K474" s="198" t="n">
        <v>2</v>
      </c>
      <c r="L474" s="226" t="n">
        <v>44825</v>
      </c>
      <c r="M474" s="226" t="n">
        <v>43437</v>
      </c>
      <c r="N474" s="227" t="n">
        <v>2</v>
      </c>
      <c r="O474" s="227" t="s">
        <v>135</v>
      </c>
      <c r="P474" s="228" t="n">
        <f aca="false">VLOOKUP(B474,'NIVEL ENERO'!A:D,3,0)</f>
        <v>0.363743924145957</v>
      </c>
      <c r="Q474" s="229" t="n">
        <f aca="false">VLOOKUP(B474,'NIVEL ENERO'!A:D,4,0)</f>
        <v>328693</v>
      </c>
      <c r="R474" s="186" t="str">
        <f aca="false">+PROPER(C474&amp;" "&amp;D474)</f>
        <v>Basante Erazo Sandra Irene</v>
      </c>
      <c r="S474" s="230" t="n">
        <f aca="false">+YEARFRAC(L474,$S$1)</f>
        <v>3.64166666666667</v>
      </c>
      <c r="T474" s="230" t="n">
        <f aca="false">+YEARFRAC(M474,$S$1)</f>
        <v>7.44166666666667</v>
      </c>
      <c r="U474" s="231" t="n">
        <f aca="false">+$I474</f>
        <v>0</v>
      </c>
      <c r="V474" s="232" t="str">
        <f aca="false">+PROPER(F474)</f>
        <v>Union Libre</v>
      </c>
    </row>
    <row r="475" customFormat="false" ht="14.25" hidden="false" customHeight="false" outlineLevel="0" collapsed="false">
      <c r="B475" s="197" t="n">
        <v>60328704</v>
      </c>
      <c r="C475" s="197" t="s">
        <v>1815</v>
      </c>
      <c r="D475" s="197" t="s">
        <v>1816</v>
      </c>
      <c r="E475" s="198" t="s">
        <v>944</v>
      </c>
      <c r="F475" s="198" t="s">
        <v>945</v>
      </c>
      <c r="G475" s="225" t="n">
        <v>1717900</v>
      </c>
      <c r="H475" s="225" t="n">
        <v>1961224</v>
      </c>
      <c r="I475" s="225" t="n">
        <v>987948</v>
      </c>
      <c r="J475" s="198" t="n">
        <v>55</v>
      </c>
      <c r="K475" s="198" t="n">
        <v>1</v>
      </c>
      <c r="L475" s="226" t="n">
        <v>44613</v>
      </c>
      <c r="M475" s="226" t="n">
        <v>37773</v>
      </c>
      <c r="N475" s="227" t="n">
        <v>0</v>
      </c>
      <c r="O475" s="227" t="s">
        <v>135</v>
      </c>
      <c r="P475" s="228" t="n">
        <f aca="false">VLOOKUP(B475,'NIVEL ENERO'!A:D,3,0)</f>
        <v>0.406113884617079</v>
      </c>
      <c r="Q475" s="229" t="n">
        <f aca="false">VLOOKUP(B475,'NIVEL ENERO'!A:D,4,0)</f>
        <v>28792.24</v>
      </c>
      <c r="R475" s="186" t="str">
        <f aca="false">+PROPER(C475&amp;" "&amp;D475)</f>
        <v>Gomez Hernandez Maria Elvira</v>
      </c>
      <c r="S475" s="230" t="n">
        <f aca="false">+YEARFRAC(L475,$S$1)</f>
        <v>4.225</v>
      </c>
      <c r="T475" s="230" t="n">
        <f aca="false">+YEARFRAC(M475,$S$1)</f>
        <v>22.9472222222222</v>
      </c>
      <c r="U475" s="231" t="n">
        <f aca="false">+$I475</f>
        <v>987948</v>
      </c>
      <c r="V475" s="232" t="str">
        <f aca="false">+PROPER(F475)</f>
        <v>Union Libre</v>
      </c>
    </row>
    <row r="476" customFormat="false" ht="14.25" hidden="false" customHeight="false" outlineLevel="0" collapsed="false">
      <c r="B476" s="197" t="n">
        <v>60337190</v>
      </c>
      <c r="C476" s="197" t="s">
        <v>1817</v>
      </c>
      <c r="D476" s="197" t="s">
        <v>1818</v>
      </c>
      <c r="E476" s="198" t="s">
        <v>944</v>
      </c>
      <c r="F476" s="198" t="s">
        <v>948</v>
      </c>
      <c r="G476" s="225" t="n">
        <v>6225200</v>
      </c>
      <c r="H476" s="225" t="n">
        <v>2099109</v>
      </c>
      <c r="I476" s="225" t="n">
        <v>8896728</v>
      </c>
      <c r="J476" s="198" t="n">
        <v>54</v>
      </c>
      <c r="K476" s="198" t="n">
        <v>6</v>
      </c>
      <c r="L476" s="226" t="n">
        <v>44516</v>
      </c>
      <c r="M476" s="226" t="n">
        <v>34982</v>
      </c>
      <c r="N476" s="227" t="n">
        <v>3</v>
      </c>
      <c r="O476" s="227" t="s">
        <v>135</v>
      </c>
      <c r="P476" s="228" t="n">
        <f aca="false">VLOOKUP(B476,'NIVEL ENERO'!A:D,3,0)</f>
        <v>0.231620670821821</v>
      </c>
      <c r="Q476" s="229" t="n">
        <f aca="false">VLOOKUP(B476,'NIVEL ENERO'!A:D,4,0)</f>
        <v>1172699</v>
      </c>
      <c r="R476" s="186" t="str">
        <f aca="false">+PROPER(C476&amp;" "&amp;D476)</f>
        <v>Patino Betancourt Ana Josefa</v>
      </c>
      <c r="S476" s="230" t="n">
        <f aca="false">+YEARFRAC(L476,$S$1)</f>
        <v>4.48888888888889</v>
      </c>
      <c r="T476" s="230" t="n">
        <f aca="false">+YEARFRAC(M476,$S$1)</f>
        <v>30.5888888888889</v>
      </c>
      <c r="U476" s="231" t="n">
        <f aca="false">+$I476</f>
        <v>8896728</v>
      </c>
      <c r="V476" s="232" t="str">
        <f aca="false">+PROPER(F476)</f>
        <v>Casado(A)</v>
      </c>
    </row>
    <row r="477" customFormat="false" ht="14.25" hidden="false" customHeight="false" outlineLevel="0" collapsed="false">
      <c r="B477" s="197" t="n">
        <v>60406095</v>
      </c>
      <c r="C477" s="197" t="s">
        <v>1819</v>
      </c>
      <c r="D477" s="197" t="s">
        <v>1820</v>
      </c>
      <c r="E477" s="198" t="s">
        <v>944</v>
      </c>
      <c r="F477" s="198" t="s">
        <v>948</v>
      </c>
      <c r="G477" s="225" t="n">
        <v>5842800</v>
      </c>
      <c r="H477" s="225" t="n">
        <v>2718836</v>
      </c>
      <c r="I477" s="225" t="n">
        <v>5402821</v>
      </c>
      <c r="J477" s="198" t="n">
        <v>52</v>
      </c>
      <c r="K477" s="198" t="n">
        <v>1</v>
      </c>
      <c r="L477" s="226" t="n">
        <v>44084</v>
      </c>
      <c r="M477" s="226" t="n">
        <v>36593</v>
      </c>
      <c r="N477" s="227" t="n">
        <v>4</v>
      </c>
      <c r="O477" s="227" t="s">
        <v>135</v>
      </c>
      <c r="P477" s="228" t="n">
        <f aca="false">VLOOKUP(B477,'NIVEL ENERO'!A:D,3,0)</f>
        <v>0.42961251454782</v>
      </c>
      <c r="Q477" s="229" t="n">
        <f aca="false">VLOOKUP(B477,'NIVEL ENERO'!A:D,4,0)</f>
        <v>-56164</v>
      </c>
      <c r="R477" s="186" t="str">
        <f aca="false">+PROPER(C477&amp;" "&amp;D477)</f>
        <v>Prato Hernandez Rosa Margarita</v>
      </c>
      <c r="S477" s="230" t="n">
        <f aca="false">+YEARFRAC(L477,$S$1)</f>
        <v>5.67222222222222</v>
      </c>
      <c r="T477" s="230" t="n">
        <f aca="false">+YEARFRAC(M477,$S$1)</f>
        <v>26.1777777777778</v>
      </c>
      <c r="U477" s="231" t="n">
        <f aca="false">+$I477</f>
        <v>5402821</v>
      </c>
      <c r="V477" s="232" t="str">
        <f aca="false">+PROPER(F477)</f>
        <v>Casado(A)</v>
      </c>
    </row>
    <row r="478" customFormat="false" ht="14.25" hidden="false" customHeight="false" outlineLevel="0" collapsed="false">
      <c r="B478" s="197" t="n">
        <v>65706563</v>
      </c>
      <c r="C478" s="197" t="s">
        <v>1821</v>
      </c>
      <c r="D478" s="197" t="s">
        <v>1822</v>
      </c>
      <c r="E478" s="198" t="s">
        <v>944</v>
      </c>
      <c r="F478" s="198" t="s">
        <v>945</v>
      </c>
      <c r="G478" s="225" t="n">
        <v>2893800</v>
      </c>
      <c r="H478" s="225" t="n">
        <v>3556548</v>
      </c>
      <c r="I478" s="225" t="n">
        <v>5048744</v>
      </c>
      <c r="J478" s="198" t="n">
        <v>44</v>
      </c>
      <c r="K478" s="198" t="n">
        <v>1</v>
      </c>
      <c r="L478" s="226" t="n">
        <v>43801</v>
      </c>
      <c r="M478" s="226" t="n">
        <v>42661</v>
      </c>
      <c r="N478" s="227" t="n">
        <v>3</v>
      </c>
      <c r="O478" s="227" t="s">
        <v>135</v>
      </c>
      <c r="P478" s="228" t="n">
        <f aca="false">VLOOKUP(B478,'NIVEL ENERO'!A:D,3,0)</f>
        <v>0.473280993876923</v>
      </c>
      <c r="Q478" s="229" t="n">
        <f aca="false">VLOOKUP(B478,'NIVEL ENERO'!A:D,4,0)</f>
        <v>-185069.333333333</v>
      </c>
      <c r="R478" s="186" t="str">
        <f aca="false">+PROPER(C478&amp;" "&amp;D478)</f>
        <v>Leal Reyes Francy Elena</v>
      </c>
      <c r="S478" s="230" t="n">
        <f aca="false">+YEARFRAC(L478,$S$1)</f>
        <v>6.44444444444445</v>
      </c>
      <c r="T478" s="230" t="n">
        <f aca="false">+YEARFRAC(M478,$S$1)</f>
        <v>9.56666666666667</v>
      </c>
      <c r="U478" s="231" t="n">
        <f aca="false">+$I478</f>
        <v>5048744</v>
      </c>
      <c r="V478" s="232" t="str">
        <f aca="false">+PROPER(F478)</f>
        <v>Union Libre</v>
      </c>
    </row>
    <row r="479" customFormat="false" ht="14.25" hidden="false" customHeight="false" outlineLevel="0" collapsed="false">
      <c r="B479" s="197" t="n">
        <v>66654939</v>
      </c>
      <c r="C479" s="197" t="s">
        <v>1823</v>
      </c>
      <c r="D479" s="197" t="s">
        <v>1824</v>
      </c>
      <c r="E479" s="198" t="s">
        <v>944</v>
      </c>
      <c r="F479" s="198" t="s">
        <v>948</v>
      </c>
      <c r="G479" s="225" t="n">
        <v>9087800</v>
      </c>
      <c r="H479" s="225" t="n">
        <v>2163254</v>
      </c>
      <c r="I479" s="225" t="n">
        <v>168836</v>
      </c>
      <c r="J479" s="198" t="n">
        <v>52</v>
      </c>
      <c r="K479" s="198" t="n">
        <v>1</v>
      </c>
      <c r="L479" s="226" t="n">
        <v>44490</v>
      </c>
      <c r="M479" s="226" t="n">
        <v>41194</v>
      </c>
      <c r="N479" s="227" t="n">
        <v>4</v>
      </c>
      <c r="O479" s="227" t="s">
        <v>135</v>
      </c>
      <c r="P479" s="228" t="n">
        <f aca="false">VLOOKUP(B479,'NIVEL ENERO'!A:D,3,0)</f>
        <v>0.174625014972992</v>
      </c>
      <c r="Q479" s="229" t="n">
        <f aca="false">VLOOKUP(B479,'NIVEL ENERO'!A:D,4,0)</f>
        <v>1560941.68</v>
      </c>
      <c r="R479" s="186" t="str">
        <f aca="false">+PROPER(C479&amp;" "&amp;D479)</f>
        <v>Martinez Lopez Ana Marcela</v>
      </c>
      <c r="S479" s="230" t="n">
        <f aca="false">+YEARFRAC(L479,$S$1)</f>
        <v>4.55833333333333</v>
      </c>
      <c r="T479" s="230" t="n">
        <f aca="false">+YEARFRAC(M479,$S$1)</f>
        <v>13.5833333333333</v>
      </c>
      <c r="U479" s="231" t="n">
        <f aca="false">+$I479</f>
        <v>168836</v>
      </c>
      <c r="V479" s="232" t="str">
        <f aca="false">+PROPER(F479)</f>
        <v>Casado(A)</v>
      </c>
    </row>
    <row r="480" customFormat="false" ht="14.25" hidden="false" customHeight="false" outlineLevel="0" collapsed="false">
      <c r="B480" s="197" t="n">
        <v>66656118</v>
      </c>
      <c r="C480" s="197" t="s">
        <v>1825</v>
      </c>
      <c r="D480" s="197" t="s">
        <v>1826</v>
      </c>
      <c r="E480" s="198" t="s">
        <v>944</v>
      </c>
      <c r="F480" s="198" t="s">
        <v>953</v>
      </c>
      <c r="G480" s="225" t="n">
        <v>5418800</v>
      </c>
      <c r="H480" s="225" t="n">
        <v>400000</v>
      </c>
      <c r="I480" s="225"/>
      <c r="J480" s="198" t="n">
        <v>49</v>
      </c>
      <c r="K480" s="198" t="n">
        <v>1</v>
      </c>
      <c r="L480" s="226" t="n">
        <v>45615</v>
      </c>
      <c r="M480" s="226" t="n">
        <v>44105</v>
      </c>
      <c r="N480" s="227" t="n">
        <v>0</v>
      </c>
      <c r="O480" s="227" t="s">
        <v>135</v>
      </c>
      <c r="P480" s="228" t="n">
        <f aca="false">VLOOKUP(B480,'NIVEL ENERO'!A:D,3,0)</f>
        <v>0.143900174759171</v>
      </c>
      <c r="Q480" s="229" t="n">
        <f aca="false">VLOOKUP(B480,'NIVEL ENERO'!A:D,4,0)</f>
        <v>2616609.64</v>
      </c>
      <c r="R480" s="186" t="str">
        <f aca="false">+PROPER(C480&amp;" "&amp;D480)</f>
        <v>Cepeda Lopez Aura Milena</v>
      </c>
      <c r="S480" s="230" t="n">
        <f aca="false">+YEARFRAC(L480,$S$1)</f>
        <v>1.48055555555556</v>
      </c>
      <c r="T480" s="230" t="n">
        <f aca="false">+YEARFRAC(M480,$S$1)</f>
        <v>5.61388888888889</v>
      </c>
      <c r="U480" s="231" t="n">
        <f aca="false">+$I480</f>
        <v>0</v>
      </c>
      <c r="V480" s="232" t="str">
        <f aca="false">+PROPER(F480)</f>
        <v>Soltero(A)</v>
      </c>
    </row>
    <row r="481" customFormat="false" ht="14.25" hidden="false" customHeight="false" outlineLevel="0" collapsed="false">
      <c r="B481" s="197" t="n">
        <v>66656138</v>
      </c>
      <c r="C481" s="197" t="s">
        <v>1827</v>
      </c>
      <c r="D481" s="197" t="s">
        <v>1828</v>
      </c>
      <c r="E481" s="198" t="s">
        <v>944</v>
      </c>
      <c r="F481" s="198" t="s">
        <v>953</v>
      </c>
      <c r="G481" s="225" t="n">
        <v>2893800</v>
      </c>
      <c r="H481" s="225" t="n">
        <v>1031271</v>
      </c>
      <c r="I481" s="225" t="n">
        <v>1368027</v>
      </c>
      <c r="J481" s="198" t="n">
        <v>49</v>
      </c>
      <c r="K481" s="198" t="n">
        <v>4</v>
      </c>
      <c r="L481" s="226" t="n">
        <v>45220</v>
      </c>
      <c r="M481" s="226" t="n">
        <v>35628</v>
      </c>
      <c r="N481" s="227" t="n">
        <v>1</v>
      </c>
      <c r="O481" s="227" t="s">
        <v>135</v>
      </c>
      <c r="P481" s="228" t="n">
        <f aca="false">VLOOKUP(B481,'NIVEL ENERO'!A:D,3,0)</f>
        <v>0.502544818766994</v>
      </c>
      <c r="Q481" s="229" t="n">
        <f aca="false">VLOOKUP(B481,'NIVEL ENERO'!A:D,4,0)</f>
        <v>-330105.48</v>
      </c>
      <c r="R481" s="186" t="str">
        <f aca="false">+PROPER(C481&amp;" "&amp;D481)</f>
        <v>Martinez Gutierrez Luzbeira</v>
      </c>
      <c r="S481" s="230" t="n">
        <f aca="false">+YEARFRAC(L481,$S$1)</f>
        <v>2.55833333333333</v>
      </c>
      <c r="T481" s="230" t="n">
        <f aca="false">+YEARFRAC(M481,$S$1)</f>
        <v>28.8194444444444</v>
      </c>
      <c r="U481" s="231" t="n">
        <f aca="false">+$I481</f>
        <v>1368027</v>
      </c>
      <c r="V481" s="232" t="str">
        <f aca="false">+PROPER(F481)</f>
        <v>Soltero(A)</v>
      </c>
    </row>
    <row r="482" customFormat="false" ht="14.25" hidden="false" customHeight="false" outlineLevel="0" collapsed="false">
      <c r="B482" s="197" t="n">
        <v>66656378</v>
      </c>
      <c r="C482" s="197" t="s">
        <v>1829</v>
      </c>
      <c r="D482" s="197" t="s">
        <v>1830</v>
      </c>
      <c r="E482" s="198" t="s">
        <v>944</v>
      </c>
      <c r="F482" s="198" t="s">
        <v>945</v>
      </c>
      <c r="G482" s="225" t="n">
        <v>5418800</v>
      </c>
      <c r="H482" s="225" t="n">
        <v>22943228</v>
      </c>
      <c r="I482" s="225" t="n">
        <v>0</v>
      </c>
      <c r="J482" s="198" t="n">
        <v>49</v>
      </c>
      <c r="K482" s="198" t="n">
        <v>1</v>
      </c>
      <c r="L482" s="226" t="n">
        <v>38625</v>
      </c>
      <c r="M482" s="226" t="n">
        <v>38264</v>
      </c>
      <c r="N482" s="227" t="n">
        <v>0</v>
      </c>
      <c r="O482" s="227" t="s">
        <v>135</v>
      </c>
      <c r="P482" s="228" t="n">
        <f aca="false">VLOOKUP(B482,'NIVEL ENERO'!A:D,3,0)</f>
        <v>0.267446384260702</v>
      </c>
      <c r="Q482" s="229" t="n">
        <f aca="false">VLOOKUP(B482,'NIVEL ENERO'!A:D,4,0)</f>
        <v>682292.08</v>
      </c>
      <c r="R482" s="186" t="str">
        <f aca="false">+PROPER(C482&amp;" "&amp;D482)</f>
        <v>Cifuentes Posada Dorhie Zuleny</v>
      </c>
      <c r="S482" s="230" t="n">
        <f aca="false">+YEARFRAC(L482,$S$1)</f>
        <v>20.6166666666667</v>
      </c>
      <c r="T482" s="230" t="n">
        <f aca="false">+YEARFRAC(M482,$S$1)</f>
        <v>21.6055555555556</v>
      </c>
      <c r="U482" s="231" t="n">
        <f aca="false">+$I482</f>
        <v>0</v>
      </c>
      <c r="V482" s="232" t="str">
        <f aca="false">+PROPER(F482)</f>
        <v>Union Libre</v>
      </c>
    </row>
    <row r="483" customFormat="false" ht="14.25" hidden="false" customHeight="false" outlineLevel="0" collapsed="false">
      <c r="B483" s="197" t="n">
        <v>66656655</v>
      </c>
      <c r="C483" s="197" t="s">
        <v>1831</v>
      </c>
      <c r="D483" s="197" t="s">
        <v>1832</v>
      </c>
      <c r="E483" s="198" t="s">
        <v>944</v>
      </c>
      <c r="F483" s="198" t="s">
        <v>953</v>
      </c>
      <c r="G483" s="225" t="n">
        <v>4870200</v>
      </c>
      <c r="H483" s="225" t="n">
        <v>8299434</v>
      </c>
      <c r="I483" s="225" t="n">
        <v>0</v>
      </c>
      <c r="J483" s="198" t="n">
        <v>48</v>
      </c>
      <c r="K483" s="198" t="n">
        <v>3</v>
      </c>
      <c r="L483" s="226" t="n">
        <v>42690</v>
      </c>
      <c r="M483" s="226" t="n">
        <v>39863</v>
      </c>
      <c r="N483" s="227" t="n">
        <v>2</v>
      </c>
      <c r="O483" s="227" t="s">
        <v>135</v>
      </c>
      <c r="P483" s="228" t="n">
        <f aca="false">VLOOKUP(B483,'NIVEL ENERO'!A:D,3,0)</f>
        <v>0.112134193117013</v>
      </c>
      <c r="Q483" s="229" t="n">
        <f aca="false">VLOOKUP(B483,'NIVEL ENERO'!A:D,4,0)</f>
        <v>1466048.66</v>
      </c>
      <c r="R483" s="186" t="str">
        <f aca="false">+PROPER(C483&amp;" "&amp;D483)</f>
        <v>Imbago Valenzuela Rosa Angelica</v>
      </c>
      <c r="S483" s="230" t="n">
        <f aca="false">+YEARFRAC(L483,$S$1)</f>
        <v>9.48888888888889</v>
      </c>
      <c r="T483" s="230" t="n">
        <f aca="false">+YEARFRAC(M483,$S$1)</f>
        <v>17.2305555555556</v>
      </c>
      <c r="U483" s="231" t="n">
        <f aca="false">+$I483</f>
        <v>0</v>
      </c>
      <c r="V483" s="232" t="str">
        <f aca="false">+PROPER(F483)</f>
        <v>Soltero(A)</v>
      </c>
    </row>
    <row r="484" customFormat="false" ht="14.25" hidden="false" customHeight="false" outlineLevel="0" collapsed="false">
      <c r="B484" s="197" t="n">
        <v>66661771</v>
      </c>
      <c r="C484" s="197" t="s">
        <v>1833</v>
      </c>
      <c r="D484" s="197" t="s">
        <v>1834</v>
      </c>
      <c r="E484" s="198" t="s">
        <v>944</v>
      </c>
      <c r="F484" s="198" t="s">
        <v>953</v>
      </c>
      <c r="G484" s="225" t="n">
        <v>2893800</v>
      </c>
      <c r="H484" s="225" t="n">
        <v>5316628</v>
      </c>
      <c r="I484" s="225" t="n">
        <v>0</v>
      </c>
      <c r="J484" s="198" t="n">
        <v>39</v>
      </c>
      <c r="K484" s="198" t="n">
        <v>2</v>
      </c>
      <c r="L484" s="226" t="n">
        <v>44090</v>
      </c>
      <c r="M484" s="226" t="n">
        <v>40522</v>
      </c>
      <c r="N484" s="227" t="n">
        <v>2</v>
      </c>
      <c r="O484" s="227" t="s">
        <v>135</v>
      </c>
      <c r="P484" s="228" t="n">
        <f aca="false">VLOOKUP(B484,'NIVEL ENERO'!A:D,3,0)</f>
        <v>0.293206306911237</v>
      </c>
      <c r="Q484" s="229" t="n">
        <f aca="false">VLOOKUP(B484,'NIVEL ENERO'!A:D,4,0)</f>
        <v>523811.88</v>
      </c>
      <c r="R484" s="186" t="str">
        <f aca="false">+PROPER(C484&amp;" "&amp;D484)</f>
        <v>Moreno Velasco Delcy Liliana</v>
      </c>
      <c r="S484" s="230" t="n">
        <f aca="false">+YEARFRAC(L484,$S$1)</f>
        <v>5.65555555555556</v>
      </c>
      <c r="T484" s="230" t="n">
        <f aca="false">+YEARFRAC(M484,$S$1)</f>
        <v>15.4222222222222</v>
      </c>
      <c r="U484" s="231" t="n">
        <f aca="false">+$I484</f>
        <v>0</v>
      </c>
      <c r="V484" s="232" t="str">
        <f aca="false">+PROPER(F484)</f>
        <v>Soltero(A)</v>
      </c>
    </row>
    <row r="485" customFormat="false" ht="14.25" hidden="false" customHeight="false" outlineLevel="0" collapsed="false">
      <c r="B485" s="197" t="n">
        <v>66702591</v>
      </c>
      <c r="C485" s="197" t="s">
        <v>1835</v>
      </c>
      <c r="D485" s="197" t="s">
        <v>1186</v>
      </c>
      <c r="E485" s="198" t="s">
        <v>944</v>
      </c>
      <c r="F485" s="198" t="s">
        <v>948</v>
      </c>
      <c r="G485" s="225" t="n">
        <v>4870200</v>
      </c>
      <c r="H485" s="225" t="n">
        <v>19461615</v>
      </c>
      <c r="I485" s="225" t="n">
        <v>11703775</v>
      </c>
      <c r="J485" s="198" t="n">
        <v>55</v>
      </c>
      <c r="K485" s="198" t="n">
        <v>1</v>
      </c>
      <c r="L485" s="226" t="n">
        <v>41736</v>
      </c>
      <c r="M485" s="226" t="n">
        <v>36649</v>
      </c>
      <c r="N485" s="227" t="n">
        <v>5</v>
      </c>
      <c r="O485" s="227" t="s">
        <v>135</v>
      </c>
      <c r="P485" s="228" t="n">
        <f aca="false">VLOOKUP(B485,'NIVEL ENERO'!A:D,3,0)</f>
        <v>0.319335901312557</v>
      </c>
      <c r="Q485" s="229" t="n">
        <f aca="false">VLOOKUP(B485,'NIVEL ENERO'!A:D,4,0)</f>
        <v>453662.86</v>
      </c>
      <c r="R485" s="186" t="str">
        <f aca="false">+PROPER(C485&amp;" "&amp;D485)</f>
        <v>Leon Rios Liliana</v>
      </c>
      <c r="S485" s="230" t="n">
        <f aca="false">+YEARFRAC(L485,$S$1)</f>
        <v>12.0972222222222</v>
      </c>
      <c r="T485" s="230" t="n">
        <f aca="false">+YEARFRAC(M485,$S$1)</f>
        <v>26.025</v>
      </c>
      <c r="U485" s="231" t="n">
        <f aca="false">+$I485</f>
        <v>11703775</v>
      </c>
      <c r="V485" s="232" t="str">
        <f aca="false">+PROPER(F485)</f>
        <v>Casado(A)</v>
      </c>
    </row>
    <row r="486" customFormat="false" ht="14.25" hidden="false" customHeight="false" outlineLevel="0" collapsed="false">
      <c r="B486" s="197" t="n">
        <v>66704767</v>
      </c>
      <c r="C486" s="197" t="s">
        <v>1836</v>
      </c>
      <c r="D486" s="197" t="s">
        <v>1265</v>
      </c>
      <c r="E486" s="198" t="s">
        <v>944</v>
      </c>
      <c r="F486" s="198" t="s">
        <v>948</v>
      </c>
      <c r="G486" s="225" t="n">
        <v>1900000</v>
      </c>
      <c r="H486" s="225" t="n">
        <v>5687422</v>
      </c>
      <c r="I486" s="225" t="n">
        <v>4633481</v>
      </c>
      <c r="J486" s="198" t="n">
        <v>58</v>
      </c>
      <c r="K486" s="198" t="n">
        <v>2</v>
      </c>
      <c r="L486" s="226" t="n">
        <v>41320</v>
      </c>
      <c r="M486" s="226" t="n">
        <v>35139</v>
      </c>
      <c r="N486" s="227" t="n">
        <v>3</v>
      </c>
      <c r="O486" s="227" t="s">
        <v>445</v>
      </c>
      <c r="P486" s="228" t="e">
        <f aca="false">VLOOKUP(B486,'NIVEL ENERO'!A:D,3,0)</f>
        <v>#N/A</v>
      </c>
      <c r="Q486" s="229" t="e">
        <f aca="false">VLOOKUP(B486,'NIVEL ENERO'!A:D,4,0)</f>
        <v>#N/A</v>
      </c>
      <c r="R486" s="186" t="str">
        <f aca="false">+PROPER(C486&amp;" "&amp;D486)</f>
        <v>Garzon Osorio Adriana</v>
      </c>
      <c r="S486" s="230" t="n">
        <f aca="false">+YEARFRAC(L486,$S$1)</f>
        <v>13.2416666666667</v>
      </c>
      <c r="T486" s="230" t="n">
        <f aca="false">+YEARFRAC(M486,$S$1)</f>
        <v>30.1583333333333</v>
      </c>
      <c r="U486" s="231" t="n">
        <f aca="false">+$I486</f>
        <v>4633481</v>
      </c>
      <c r="V486" s="232" t="str">
        <f aca="false">+PROPER(F486)</f>
        <v>Casado(A)</v>
      </c>
    </row>
    <row r="487" customFormat="false" ht="14.25" hidden="false" customHeight="false" outlineLevel="0" collapsed="false">
      <c r="B487" s="197" t="n">
        <v>66717580</v>
      </c>
      <c r="C487" s="197" t="s">
        <v>1837</v>
      </c>
      <c r="D487" s="197" t="s">
        <v>1838</v>
      </c>
      <c r="E487" s="198" t="s">
        <v>944</v>
      </c>
      <c r="F487" s="198" t="s">
        <v>948</v>
      </c>
      <c r="G487" s="225" t="n">
        <v>2916600</v>
      </c>
      <c r="H487" s="225" t="n">
        <v>2512765</v>
      </c>
      <c r="I487" s="225" t="n">
        <v>8479729</v>
      </c>
      <c r="J487" s="198" t="n">
        <v>54</v>
      </c>
      <c r="K487" s="198" t="n">
        <v>1</v>
      </c>
      <c r="L487" s="226" t="n">
        <v>44238</v>
      </c>
      <c r="M487" s="226" t="n">
        <v>40527</v>
      </c>
      <c r="N487" s="227" t="n">
        <v>4</v>
      </c>
      <c r="O487" s="227" t="s">
        <v>135</v>
      </c>
      <c r="P487" s="228" t="n">
        <f aca="false">VLOOKUP(B487,'NIVEL ENERO'!A:D,3,0)</f>
        <v>0.4200262619555</v>
      </c>
      <c r="Q487" s="229" t="n">
        <f aca="false">VLOOKUP(B487,'NIVEL ENERO'!A:D,4,0)</f>
        <v>-88.6400000001304</v>
      </c>
      <c r="R487" s="186" t="str">
        <f aca="false">+PROPER(C487&amp;" "&amp;D487)</f>
        <v>Montenegro Pardo Sandra Cecilia</v>
      </c>
      <c r="S487" s="230" t="n">
        <f aca="false">+YEARFRAC(L487,$S$1)</f>
        <v>5.25277777777778</v>
      </c>
      <c r="T487" s="230" t="n">
        <f aca="false">+YEARFRAC(M487,$S$1)</f>
        <v>15.4083333333333</v>
      </c>
      <c r="U487" s="231" t="n">
        <f aca="false">+$I487</f>
        <v>8479729</v>
      </c>
      <c r="V487" s="232" t="str">
        <f aca="false">+PROPER(F487)</f>
        <v>Casado(A)</v>
      </c>
    </row>
    <row r="488" customFormat="false" ht="14.25" hidden="false" customHeight="false" outlineLevel="0" collapsed="false">
      <c r="B488" s="197" t="n">
        <v>66718924</v>
      </c>
      <c r="C488" s="197" t="s">
        <v>1839</v>
      </c>
      <c r="D488" s="197" t="s">
        <v>1840</v>
      </c>
      <c r="E488" s="198" t="s">
        <v>944</v>
      </c>
      <c r="F488" s="198" t="s">
        <v>948</v>
      </c>
      <c r="G488" s="225" t="n">
        <v>3394800</v>
      </c>
      <c r="H488" s="225" t="n">
        <v>3680279</v>
      </c>
      <c r="I488" s="225" t="n">
        <v>9835289</v>
      </c>
      <c r="J488" s="198" t="n">
        <v>53</v>
      </c>
      <c r="K488" s="198" t="n">
        <v>1</v>
      </c>
      <c r="L488" s="226" t="n">
        <v>43754</v>
      </c>
      <c r="M488" s="226" t="n">
        <v>40309</v>
      </c>
      <c r="N488" s="227" t="n">
        <v>2</v>
      </c>
      <c r="O488" s="227" t="s">
        <v>135</v>
      </c>
      <c r="P488" s="228" t="n">
        <f aca="false">VLOOKUP(B488,'NIVEL ENERO'!A:D,3,0)</f>
        <v>0.428538352774832</v>
      </c>
      <c r="Q488" s="229" t="n">
        <f aca="false">VLOOKUP(B488,'NIVEL ENERO'!A:D,4,0)</f>
        <v>-28986</v>
      </c>
      <c r="R488" s="186" t="str">
        <f aca="false">+PROPER(C488&amp;" "&amp;D488)</f>
        <v>Lopez Arana Gisela</v>
      </c>
      <c r="S488" s="230" t="n">
        <f aca="false">+YEARFRAC(L488,$S$1)</f>
        <v>6.57222222222222</v>
      </c>
      <c r="T488" s="230" t="n">
        <f aca="false">+YEARFRAC(M488,$S$1)</f>
        <v>16.0027777777778</v>
      </c>
      <c r="U488" s="231" t="n">
        <f aca="false">+$I488</f>
        <v>9835289</v>
      </c>
      <c r="V488" s="232" t="str">
        <f aca="false">+PROPER(F488)</f>
        <v>Casado(A)</v>
      </c>
    </row>
    <row r="489" customFormat="false" ht="14.25" hidden="false" customHeight="false" outlineLevel="0" collapsed="false">
      <c r="B489" s="197" t="n">
        <v>66727385</v>
      </c>
      <c r="C489" s="197" t="s">
        <v>1841</v>
      </c>
      <c r="D489" s="197" t="s">
        <v>1158</v>
      </c>
      <c r="E489" s="198" t="s">
        <v>1288</v>
      </c>
      <c r="F489" s="198" t="s">
        <v>945</v>
      </c>
      <c r="G489" s="225" t="n">
        <v>4870200</v>
      </c>
      <c r="H489" s="225" t="n">
        <v>3314810</v>
      </c>
      <c r="I489" s="225" t="n">
        <v>2181387</v>
      </c>
      <c r="J489" s="198" t="n">
        <v>48</v>
      </c>
      <c r="K489" s="198" t="n">
        <v>1</v>
      </c>
      <c r="L489" s="226" t="n">
        <v>44642</v>
      </c>
      <c r="M489" s="226" t="n">
        <v>43467</v>
      </c>
      <c r="N489" s="227" t="n">
        <v>1</v>
      </c>
      <c r="O489" s="227" t="s">
        <v>135</v>
      </c>
      <c r="P489" s="228" t="n">
        <f aca="false">VLOOKUP(B489,'NIVEL ENERO'!A:D,3,0)</f>
        <v>0.22958720136742</v>
      </c>
      <c r="Q489" s="229" t="n">
        <f aca="false">VLOOKUP(B489,'NIVEL ENERO'!A:D,4,0)</f>
        <v>1091717.5</v>
      </c>
      <c r="R489" s="186" t="str">
        <f aca="false">+PROPER(C489&amp;" "&amp;D489)</f>
        <v>Aguirre Torres Eliana</v>
      </c>
      <c r="S489" s="230" t="n">
        <f aca="false">+YEARFRAC(L489,$S$1)</f>
        <v>4.13888888888889</v>
      </c>
      <c r="T489" s="230" t="n">
        <f aca="false">+YEARFRAC(M489,$S$1)</f>
        <v>7.36111111111111</v>
      </c>
      <c r="U489" s="231" t="n">
        <f aca="false">+$I489</f>
        <v>2181387</v>
      </c>
      <c r="V489" s="232" t="str">
        <f aca="false">+PROPER(F489)</f>
        <v>Union Libre</v>
      </c>
    </row>
    <row r="490" customFormat="false" ht="14.25" hidden="false" customHeight="false" outlineLevel="0" collapsed="false">
      <c r="B490" s="197" t="n">
        <v>66764802</v>
      </c>
      <c r="C490" s="197" t="s">
        <v>1842</v>
      </c>
      <c r="D490" s="197" t="s">
        <v>1843</v>
      </c>
      <c r="E490" s="198" t="s">
        <v>1844</v>
      </c>
      <c r="F490" s="198" t="s">
        <v>945</v>
      </c>
      <c r="G490" s="225" t="n">
        <v>1991000</v>
      </c>
      <c r="H490" s="225" t="n">
        <v>3939904</v>
      </c>
      <c r="I490" s="225" t="n">
        <v>0</v>
      </c>
      <c r="J490" s="198" t="n">
        <v>53</v>
      </c>
      <c r="K490" s="198" t="n">
        <v>1</v>
      </c>
      <c r="L490" s="226" t="n">
        <v>43357</v>
      </c>
      <c r="M490" s="226" t="n">
        <v>45383</v>
      </c>
      <c r="N490" s="227" t="n">
        <v>3</v>
      </c>
      <c r="O490" s="227" t="s">
        <v>135</v>
      </c>
      <c r="P490" s="228" t="n">
        <f aca="false">VLOOKUP(B490,'NIVEL ENERO'!A:D,3,0)</f>
        <v>0.532983213321813</v>
      </c>
      <c r="Q490" s="229" t="n">
        <f aca="false">VLOOKUP(B490,'NIVEL ENERO'!A:D,4,0)</f>
        <v>-352241.666666667</v>
      </c>
      <c r="R490" s="186" t="str">
        <f aca="false">+PROPER(C490&amp;" "&amp;D490)</f>
        <v>Ortega Rojas Gladys</v>
      </c>
      <c r="S490" s="230" t="n">
        <f aca="false">+YEARFRAC(L490,$S$1)</f>
        <v>7.66111111111111</v>
      </c>
      <c r="T490" s="230" t="n">
        <f aca="false">+YEARFRAC(M490,$S$1)</f>
        <v>2.11388888888889</v>
      </c>
      <c r="U490" s="231" t="n">
        <f aca="false">+$I490</f>
        <v>0</v>
      </c>
      <c r="V490" s="232" t="str">
        <f aca="false">+PROPER(F490)</f>
        <v>Union Libre</v>
      </c>
    </row>
    <row r="491" customFormat="false" ht="14.25" hidden="false" customHeight="false" outlineLevel="0" collapsed="false">
      <c r="B491" s="197" t="n">
        <v>66769609</v>
      </c>
      <c r="C491" s="197" t="s">
        <v>1845</v>
      </c>
      <c r="D491" s="197" t="s">
        <v>1162</v>
      </c>
      <c r="E491" s="198" t="s">
        <v>944</v>
      </c>
      <c r="F491" s="198" t="s">
        <v>948</v>
      </c>
      <c r="G491" s="225" t="n">
        <v>2893800</v>
      </c>
      <c r="H491" s="225" t="n">
        <v>13657998</v>
      </c>
      <c r="I491" s="225" t="n">
        <v>6796852</v>
      </c>
      <c r="J491" s="198" t="n">
        <v>51</v>
      </c>
      <c r="K491" s="198" t="n">
        <v>2</v>
      </c>
      <c r="L491" s="226" t="n">
        <v>38506</v>
      </c>
      <c r="M491" s="226" t="n">
        <v>37109</v>
      </c>
      <c r="N491" s="227" t="n">
        <v>3</v>
      </c>
      <c r="O491" s="227" t="s">
        <v>135</v>
      </c>
      <c r="P491" s="228" t="n">
        <f aca="false">VLOOKUP(B491,'NIVEL ENERO'!A:D,3,0)</f>
        <v>0.254881816296911</v>
      </c>
      <c r="Q491" s="229" t="n">
        <f aca="false">VLOOKUP(B491,'NIVEL ENERO'!A:D,4,0)</f>
        <v>477819</v>
      </c>
      <c r="R491" s="186" t="str">
        <f aca="false">+PROPER(C491&amp;" "&amp;D491)</f>
        <v>Tolosa Barrera Maria Isabel</v>
      </c>
      <c r="S491" s="230" t="n">
        <f aca="false">+YEARFRAC(L491,$S$1)</f>
        <v>20.9416666666667</v>
      </c>
      <c r="T491" s="230" t="n">
        <f aca="false">+YEARFRAC(M491,$S$1)</f>
        <v>24.7666666666667</v>
      </c>
      <c r="U491" s="231" t="n">
        <f aca="false">+$I491</f>
        <v>6796852</v>
      </c>
      <c r="V491" s="232" t="str">
        <f aca="false">+PROPER(F491)</f>
        <v>Casado(A)</v>
      </c>
    </row>
    <row r="492" customFormat="false" ht="14.25" hidden="false" customHeight="false" outlineLevel="0" collapsed="false">
      <c r="B492" s="197" t="n">
        <v>66771259</v>
      </c>
      <c r="C492" s="197" t="s">
        <v>1846</v>
      </c>
      <c r="D492" s="197" t="s">
        <v>1847</v>
      </c>
      <c r="E492" s="198" t="s">
        <v>944</v>
      </c>
      <c r="F492" s="198" t="s">
        <v>953</v>
      </c>
      <c r="G492" s="225" t="n">
        <v>1991000</v>
      </c>
      <c r="H492" s="225" t="n">
        <v>7269683</v>
      </c>
      <c r="I492" s="225" t="n">
        <v>15649761</v>
      </c>
      <c r="J492" s="198" t="n">
        <v>51</v>
      </c>
      <c r="K492" s="198" t="n">
        <v>1</v>
      </c>
      <c r="L492" s="226" t="n">
        <v>40238</v>
      </c>
      <c r="M492" s="226" t="n">
        <v>40603</v>
      </c>
      <c r="N492" s="227" t="n">
        <v>2</v>
      </c>
      <c r="O492" s="227" t="s">
        <v>135</v>
      </c>
      <c r="P492" s="228" t="n">
        <f aca="false">VLOOKUP(B492,'NIVEL ENERO'!A:D,3,0)</f>
        <v>0.457935208437971</v>
      </c>
      <c r="Q492" s="229" t="n">
        <f aca="false">VLOOKUP(B492,'NIVEL ENERO'!A:D,4,0)</f>
        <v>-75529</v>
      </c>
      <c r="R492" s="186" t="str">
        <f aca="false">+PROPER(C492&amp;" "&amp;D492)</f>
        <v>Reyes Madrinan Maria Ximena</v>
      </c>
      <c r="S492" s="230" t="n">
        <f aca="false">+YEARFRAC(L492,$S$1)</f>
        <v>16.1972222222222</v>
      </c>
      <c r="T492" s="230" t="n">
        <f aca="false">+YEARFRAC(M492,$S$1)</f>
        <v>15.1972222222222</v>
      </c>
      <c r="U492" s="231" t="n">
        <f aca="false">+$I492</f>
        <v>15649761</v>
      </c>
      <c r="V492" s="232" t="str">
        <f aca="false">+PROPER(F492)</f>
        <v>Soltero(A)</v>
      </c>
    </row>
    <row r="493" customFormat="false" ht="14.25" hidden="false" customHeight="false" outlineLevel="0" collapsed="false">
      <c r="B493" s="197" t="n">
        <v>66772628</v>
      </c>
      <c r="C493" s="197" t="s">
        <v>1848</v>
      </c>
      <c r="D493" s="197" t="s">
        <v>1849</v>
      </c>
      <c r="E493" s="198" t="s">
        <v>944</v>
      </c>
      <c r="F493" s="198" t="s">
        <v>953</v>
      </c>
      <c r="G493" s="225" t="n">
        <v>5418800</v>
      </c>
      <c r="H493" s="225" t="n">
        <v>8779681</v>
      </c>
      <c r="I493" s="225" t="n">
        <v>1288598</v>
      </c>
      <c r="J493" s="198" t="n">
        <v>50</v>
      </c>
      <c r="K493" s="198" t="n">
        <v>3</v>
      </c>
      <c r="L493" s="226" t="n">
        <v>44364</v>
      </c>
      <c r="M493" s="226" t="n">
        <v>44105</v>
      </c>
      <c r="N493" s="227" t="n">
        <v>1</v>
      </c>
      <c r="O493" s="227" t="s">
        <v>135</v>
      </c>
      <c r="P493" s="228" t="n">
        <f aca="false">VLOOKUP(B493,'NIVEL ENERO'!A:D,3,0)</f>
        <v>0.353518652089245</v>
      </c>
      <c r="Q493" s="229" t="n">
        <f aca="false">VLOOKUP(B493,'NIVEL ENERO'!A:D,4,0)</f>
        <v>403740.14</v>
      </c>
      <c r="R493" s="186" t="str">
        <f aca="false">+PROPER(C493&amp;" "&amp;D493)</f>
        <v>Sanchez Orejuela Lida Constanza</v>
      </c>
      <c r="S493" s="230" t="n">
        <f aca="false">+YEARFRAC(L493,$S$1)</f>
        <v>4.90277777777778</v>
      </c>
      <c r="T493" s="230" t="n">
        <f aca="false">+YEARFRAC(M493,$S$1)</f>
        <v>5.61388888888889</v>
      </c>
      <c r="U493" s="231" t="n">
        <f aca="false">+$I493</f>
        <v>1288598</v>
      </c>
      <c r="V493" s="232" t="str">
        <f aca="false">+PROPER(F493)</f>
        <v>Soltero(A)</v>
      </c>
    </row>
    <row r="494" customFormat="false" ht="14.25" hidden="false" customHeight="false" outlineLevel="0" collapsed="false">
      <c r="B494" s="197" t="n">
        <v>66773669</v>
      </c>
      <c r="C494" s="197" t="s">
        <v>1850</v>
      </c>
      <c r="D494" s="197" t="s">
        <v>1851</v>
      </c>
      <c r="E494" s="198" t="s">
        <v>944</v>
      </c>
      <c r="F494" s="198" t="s">
        <v>945</v>
      </c>
      <c r="G494" s="225" t="n">
        <v>2893800</v>
      </c>
      <c r="H494" s="225" t="n">
        <v>2617821</v>
      </c>
      <c r="I494" s="225" t="n">
        <v>934881</v>
      </c>
      <c r="J494" s="198" t="n">
        <v>50</v>
      </c>
      <c r="K494" s="198" t="n">
        <v>3</v>
      </c>
      <c r="L494" s="226" t="n">
        <v>44218</v>
      </c>
      <c r="M494" s="226" t="n">
        <v>44106</v>
      </c>
      <c r="N494" s="227" t="n">
        <v>1</v>
      </c>
      <c r="O494" s="227" t="s">
        <v>135</v>
      </c>
      <c r="P494" s="228" t="n">
        <f aca="false">VLOOKUP(B494,'NIVEL ENERO'!A:D,3,0)</f>
        <v>0.155056789576566</v>
      </c>
      <c r="Q494" s="229" t="n">
        <f aca="false">VLOOKUP(B494,'NIVEL ENERO'!A:D,4,0)</f>
        <v>874807.42</v>
      </c>
      <c r="R494" s="186" t="str">
        <f aca="false">+PROPER(C494&amp;" "&amp;D494)</f>
        <v>Figueroa Escobar Nayda Iomaira</v>
      </c>
      <c r="S494" s="230" t="n">
        <f aca="false">+YEARFRAC(L494,$S$1)</f>
        <v>5.30555555555556</v>
      </c>
      <c r="T494" s="230" t="n">
        <f aca="false">+YEARFRAC(M494,$S$1)</f>
        <v>5.61111111111111</v>
      </c>
      <c r="U494" s="231" t="n">
        <f aca="false">+$I494</f>
        <v>934881</v>
      </c>
      <c r="V494" s="232" t="str">
        <f aca="false">+PROPER(F494)</f>
        <v>Union Libre</v>
      </c>
    </row>
    <row r="495" customFormat="false" ht="14.25" hidden="false" customHeight="false" outlineLevel="0" collapsed="false">
      <c r="B495" s="197" t="n">
        <v>66783733</v>
      </c>
      <c r="C495" s="197" t="s">
        <v>1852</v>
      </c>
      <c r="D495" s="197" t="s">
        <v>1355</v>
      </c>
      <c r="E495" s="198" t="s">
        <v>944</v>
      </c>
      <c r="F495" s="198" t="s">
        <v>953</v>
      </c>
      <c r="G495" s="225" t="n">
        <v>2893800</v>
      </c>
      <c r="H495" s="225" t="n">
        <v>13006135</v>
      </c>
      <c r="I495" s="225" t="n">
        <v>16527080</v>
      </c>
      <c r="J495" s="198" t="n">
        <v>47</v>
      </c>
      <c r="K495" s="198" t="n">
        <v>2</v>
      </c>
      <c r="L495" s="226" t="n">
        <v>39610</v>
      </c>
      <c r="M495" s="226" t="n">
        <v>39517</v>
      </c>
      <c r="N495" s="227" t="n">
        <v>3</v>
      </c>
      <c r="O495" s="227" t="s">
        <v>135</v>
      </c>
      <c r="P495" s="228" t="n">
        <f aca="false">VLOOKUP(B495,'NIVEL ENERO'!A:D,3,0)</f>
        <v>0.384190481012212</v>
      </c>
      <c r="Q495" s="229" t="n">
        <f aca="false">VLOOKUP(B495,'NIVEL ENERO'!A:D,4,0)</f>
        <v>138159.94</v>
      </c>
      <c r="R495" s="186" t="str">
        <f aca="false">+PROPER(C495&amp;" "&amp;D495)</f>
        <v>Serrano Lopez Angelica Maria</v>
      </c>
      <c r="S495" s="230" t="n">
        <f aca="false">+YEARFRAC(L495,$S$1)</f>
        <v>17.9194444444444</v>
      </c>
      <c r="T495" s="230" t="n">
        <f aca="false">+YEARFRAC(M495,$S$1)</f>
        <v>18.1722222222222</v>
      </c>
      <c r="U495" s="231" t="n">
        <f aca="false">+$I495</f>
        <v>16527080</v>
      </c>
      <c r="V495" s="232" t="str">
        <f aca="false">+PROPER(F495)</f>
        <v>Soltero(A)</v>
      </c>
    </row>
    <row r="496" customFormat="false" ht="14.25" hidden="false" customHeight="false" outlineLevel="0" collapsed="false">
      <c r="B496" s="197" t="n">
        <v>66809436</v>
      </c>
      <c r="C496" s="197" t="s">
        <v>1853</v>
      </c>
      <c r="D496" s="197" t="s">
        <v>1263</v>
      </c>
      <c r="E496" s="198" t="s">
        <v>981</v>
      </c>
      <c r="F496" s="198" t="s">
        <v>948</v>
      </c>
      <c r="G496" s="225" t="n">
        <v>2893800</v>
      </c>
      <c r="H496" s="225" t="n">
        <v>3616840</v>
      </c>
      <c r="I496" s="225" t="n">
        <v>0</v>
      </c>
      <c r="J496" s="198" t="n">
        <v>54</v>
      </c>
      <c r="K496" s="198" t="n">
        <v>1</v>
      </c>
      <c r="L496" s="226" t="n">
        <v>44579</v>
      </c>
      <c r="M496" s="226" t="n">
        <v>35303</v>
      </c>
      <c r="N496" s="227" t="n">
        <v>3</v>
      </c>
      <c r="O496" s="227" t="s">
        <v>135</v>
      </c>
      <c r="P496" s="228" t="n">
        <f aca="false">VLOOKUP(B496,'NIVEL ENERO'!A:D,3,0)</f>
        <v>0.290937176031516</v>
      </c>
      <c r="Q496" s="229" t="n">
        <f aca="false">VLOOKUP(B496,'NIVEL ENERO'!A:D,4,0)</f>
        <v>373482</v>
      </c>
      <c r="R496" s="186" t="str">
        <f aca="false">+PROPER(C496&amp;" "&amp;D496)</f>
        <v>Cuellar Ibanez Nubia</v>
      </c>
      <c r="S496" s="230" t="n">
        <f aca="false">+YEARFRAC(L496,$S$1)</f>
        <v>4.31666666666667</v>
      </c>
      <c r="T496" s="230" t="n">
        <f aca="false">+YEARFRAC(M496,$S$1)</f>
        <v>29.7111111111111</v>
      </c>
      <c r="U496" s="231" t="n">
        <f aca="false">+$I496</f>
        <v>0</v>
      </c>
      <c r="V496" s="232" t="str">
        <f aca="false">+PROPER(F496)</f>
        <v>Casado(A)</v>
      </c>
    </row>
    <row r="497" customFormat="false" ht="14.25" hidden="false" customHeight="false" outlineLevel="0" collapsed="false">
      <c r="B497" s="197" t="n">
        <v>66810126</v>
      </c>
      <c r="C497" s="197" t="s">
        <v>1854</v>
      </c>
      <c r="D497" s="197" t="s">
        <v>1855</v>
      </c>
      <c r="E497" s="198" t="s">
        <v>944</v>
      </c>
      <c r="F497" s="198" t="s">
        <v>948</v>
      </c>
      <c r="G497" s="225" t="n">
        <v>19690900</v>
      </c>
      <c r="H497" s="225" t="n">
        <v>12628623</v>
      </c>
      <c r="I497" s="225" t="n">
        <v>0</v>
      </c>
      <c r="J497" s="198" t="n">
        <v>54</v>
      </c>
      <c r="K497" s="198" t="n">
        <v>1</v>
      </c>
      <c r="L497" s="226" t="n">
        <v>43056</v>
      </c>
      <c r="M497" s="226" t="n">
        <v>34876</v>
      </c>
      <c r="N497" s="227" t="n">
        <v>4</v>
      </c>
      <c r="O497" s="227" t="s">
        <v>135</v>
      </c>
      <c r="P497" s="228" t="n">
        <f aca="false">VLOOKUP(B497,'NIVEL ENERO'!A:D,3,0)</f>
        <v>0.253946950114012</v>
      </c>
      <c r="Q497" s="229" t="n">
        <f aca="false">VLOOKUP(B497,'NIVEL ENERO'!A:D,4,0)</f>
        <v>3269734</v>
      </c>
      <c r="R497" s="186" t="str">
        <f aca="false">+PROPER(C497&amp;" "&amp;D497)</f>
        <v>Moreno Sanclemente Silvia Liliana</v>
      </c>
      <c r="S497" s="230" t="n">
        <f aca="false">+YEARFRAC(L497,$S$1)</f>
        <v>8.48611111111111</v>
      </c>
      <c r="T497" s="230" t="n">
        <f aca="false">+YEARFRAC(M497,$S$1)</f>
        <v>30.8777777777778</v>
      </c>
      <c r="U497" s="231" t="n">
        <f aca="false">+$I497</f>
        <v>0</v>
      </c>
      <c r="V497" s="232" t="str">
        <f aca="false">+PROPER(F497)</f>
        <v>Casado(A)</v>
      </c>
    </row>
    <row r="498" customFormat="false" ht="14.25" hidden="false" customHeight="false" outlineLevel="0" collapsed="false">
      <c r="B498" s="197" t="n">
        <v>66813752</v>
      </c>
      <c r="C498" s="197" t="s">
        <v>1856</v>
      </c>
      <c r="D498" s="197" t="s">
        <v>1139</v>
      </c>
      <c r="E498" s="198" t="s">
        <v>944</v>
      </c>
      <c r="F498" s="198" t="s">
        <v>948</v>
      </c>
      <c r="G498" s="225" t="n">
        <v>2893800</v>
      </c>
      <c r="H498" s="225" t="n">
        <v>9617366</v>
      </c>
      <c r="I498" s="225" t="n">
        <v>227969</v>
      </c>
      <c r="J498" s="198" t="n">
        <v>54</v>
      </c>
      <c r="K498" s="198" t="n">
        <v>1</v>
      </c>
      <c r="L498" s="226" t="n">
        <v>39188</v>
      </c>
      <c r="M498" s="226" t="n">
        <v>34761</v>
      </c>
      <c r="N498" s="227" t="n">
        <v>4</v>
      </c>
      <c r="O498" s="227" t="s">
        <v>135</v>
      </c>
      <c r="P498" s="228" t="n">
        <f aca="false">VLOOKUP(B498,'NIVEL ENERO'!A:D,3,0)</f>
        <v>0.297360274652947</v>
      </c>
      <c r="Q498" s="229" t="n">
        <f aca="false">VLOOKUP(B498,'NIVEL ENERO'!A:D,4,0)</f>
        <v>508682.6</v>
      </c>
      <c r="R498" s="186" t="str">
        <f aca="false">+PROPER(C498&amp;" "&amp;D498)</f>
        <v>Avila Jimenez Sandra Liliana</v>
      </c>
      <c r="S498" s="230" t="n">
        <f aca="false">+YEARFRAC(L498,$S$1)</f>
        <v>19.0722222222222</v>
      </c>
      <c r="T498" s="230" t="n">
        <f aca="false">+YEARFRAC(M498,$S$1)</f>
        <v>31.1916666666667</v>
      </c>
      <c r="U498" s="231" t="n">
        <f aca="false">+$I498</f>
        <v>227969</v>
      </c>
      <c r="V498" s="232" t="str">
        <f aca="false">+PROPER(F498)</f>
        <v>Casado(A)</v>
      </c>
    </row>
    <row r="499" customFormat="false" ht="14.25" hidden="false" customHeight="false" outlineLevel="0" collapsed="false">
      <c r="B499" s="197" t="n">
        <v>66815650</v>
      </c>
      <c r="C499" s="197" t="s">
        <v>1857</v>
      </c>
      <c r="D499" s="197" t="s">
        <v>1858</v>
      </c>
      <c r="E499" s="198" t="s">
        <v>944</v>
      </c>
      <c r="F499" s="198" t="s">
        <v>945</v>
      </c>
      <c r="G499" s="225" t="n">
        <v>2600900</v>
      </c>
      <c r="H499" s="225" t="n">
        <v>5739169</v>
      </c>
      <c r="I499" s="225" t="n">
        <v>7039229</v>
      </c>
      <c r="J499" s="198" t="n">
        <v>55</v>
      </c>
      <c r="K499" s="198" t="n">
        <v>1</v>
      </c>
      <c r="L499" s="226" t="n">
        <v>43844</v>
      </c>
      <c r="M499" s="226" t="n">
        <v>35438</v>
      </c>
      <c r="N499" s="227" t="n">
        <v>4</v>
      </c>
      <c r="O499" s="227" t="s">
        <v>135</v>
      </c>
      <c r="P499" s="228" t="n">
        <f aca="false">VLOOKUP(B499,'NIVEL ENERO'!A:D,3,0)</f>
        <v>0.255520406927146</v>
      </c>
      <c r="Q499" s="229" t="n">
        <f aca="false">VLOOKUP(B499,'NIVEL ENERO'!A:D,4,0)</f>
        <v>514593.98</v>
      </c>
      <c r="R499" s="186" t="str">
        <f aca="false">+PROPER(C499&amp;" "&amp;D499)</f>
        <v>Jaramillo Moncada Leibnis</v>
      </c>
      <c r="S499" s="230" t="n">
        <f aca="false">+YEARFRAC(L499,$S$1)</f>
        <v>6.32777777777778</v>
      </c>
      <c r="T499" s="230" t="n">
        <f aca="false">+YEARFRAC(M499,$S$1)</f>
        <v>29.3444444444444</v>
      </c>
      <c r="U499" s="231" t="n">
        <f aca="false">+$I499</f>
        <v>7039229</v>
      </c>
      <c r="V499" s="232" t="str">
        <f aca="false">+PROPER(F499)</f>
        <v>Union Libre</v>
      </c>
    </row>
    <row r="500" customFormat="false" ht="14.25" hidden="false" customHeight="false" outlineLevel="0" collapsed="false">
      <c r="B500" s="197" t="n">
        <v>66816184</v>
      </c>
      <c r="C500" s="197" t="s">
        <v>1859</v>
      </c>
      <c r="D500" s="197" t="s">
        <v>1860</v>
      </c>
      <c r="E500" s="198" t="s">
        <v>944</v>
      </c>
      <c r="F500" s="198" t="s">
        <v>945</v>
      </c>
      <c r="G500" s="225" t="n">
        <v>2893800</v>
      </c>
      <c r="H500" s="225" t="n">
        <v>2100000</v>
      </c>
      <c r="I500" s="225"/>
      <c r="J500" s="198" t="n">
        <v>54</v>
      </c>
      <c r="K500" s="198" t="n">
        <v>2</v>
      </c>
      <c r="L500" s="226" t="n">
        <v>45447</v>
      </c>
      <c r="M500" s="226" t="n">
        <v>44105</v>
      </c>
      <c r="N500" s="227" t="n">
        <v>1</v>
      </c>
      <c r="O500" s="227" t="s">
        <v>135</v>
      </c>
      <c r="P500" s="228" t="n">
        <f aca="false">VLOOKUP(B500,'NIVEL ENERO'!A:D,3,0)</f>
        <v>0.403952340706844</v>
      </c>
      <c r="Q500" s="229" t="n">
        <f aca="false">VLOOKUP(B500,'NIVEL ENERO'!A:D,4,0)</f>
        <v>36703.4199999999</v>
      </c>
      <c r="R500" s="186" t="str">
        <f aca="false">+PROPER(C500&amp;" "&amp;D500)</f>
        <v>Mera Zapata Zulma</v>
      </c>
      <c r="S500" s="230" t="n">
        <f aca="false">+YEARFRAC(L500,$S$1)</f>
        <v>1.93888888888889</v>
      </c>
      <c r="T500" s="230" t="n">
        <f aca="false">+YEARFRAC(M500,$S$1)</f>
        <v>5.61388888888889</v>
      </c>
      <c r="U500" s="231" t="n">
        <f aca="false">+$I500</f>
        <v>0</v>
      </c>
      <c r="V500" s="232" t="str">
        <f aca="false">+PROPER(F500)</f>
        <v>Union Libre</v>
      </c>
    </row>
    <row r="501" customFormat="false" ht="14.25" hidden="false" customHeight="false" outlineLevel="0" collapsed="false">
      <c r="B501" s="197" t="n">
        <v>66820844</v>
      </c>
      <c r="C501" s="197" t="s">
        <v>1861</v>
      </c>
      <c r="D501" s="197" t="s">
        <v>1862</v>
      </c>
      <c r="E501" s="198" t="s">
        <v>944</v>
      </c>
      <c r="F501" s="198" t="s">
        <v>1282</v>
      </c>
      <c r="G501" s="225" t="n">
        <v>2600900</v>
      </c>
      <c r="H501" s="225" t="n">
        <v>1914373</v>
      </c>
      <c r="I501" s="225" t="n">
        <v>7749803</v>
      </c>
      <c r="J501" s="198" t="n">
        <v>55</v>
      </c>
      <c r="K501" s="198" t="n">
        <v>2</v>
      </c>
      <c r="L501" s="226" t="n">
        <v>44790</v>
      </c>
      <c r="M501" s="226" t="n">
        <v>36573</v>
      </c>
      <c r="N501" s="227" t="n">
        <v>2</v>
      </c>
      <c r="O501" s="227" t="s">
        <v>135</v>
      </c>
      <c r="P501" s="228" t="n">
        <f aca="false">VLOOKUP(B501,'NIVEL ENERO'!A:D,3,0)</f>
        <v>0.457456117524498</v>
      </c>
      <c r="Q501" s="229" t="n">
        <f aca="false">VLOOKUP(B501,'NIVEL ENERO'!A:D,4,0)</f>
        <v>-113232.64</v>
      </c>
      <c r="R501" s="186" t="str">
        <f aca="false">+PROPER(C501&amp;" "&amp;D501)</f>
        <v>Holguin Pineda Claribeth</v>
      </c>
      <c r="S501" s="230" t="n">
        <f aca="false">+YEARFRAC(L501,$S$1)</f>
        <v>3.73611111111111</v>
      </c>
      <c r="T501" s="230" t="n">
        <f aca="false">+YEARFRAC(M501,$S$1)</f>
        <v>26.2361111111111</v>
      </c>
      <c r="U501" s="231" t="n">
        <f aca="false">+$I501</f>
        <v>7749803</v>
      </c>
      <c r="V501" s="232" t="str">
        <f aca="false">+PROPER(F501)</f>
        <v>Divorciado</v>
      </c>
    </row>
    <row r="502" customFormat="false" ht="14.25" hidden="false" customHeight="false" outlineLevel="0" collapsed="false">
      <c r="B502" s="197" t="n">
        <v>66822359</v>
      </c>
      <c r="C502" s="197" t="s">
        <v>1863</v>
      </c>
      <c r="D502" s="197" t="s">
        <v>1864</v>
      </c>
      <c r="E502" s="198" t="s">
        <v>944</v>
      </c>
      <c r="F502" s="198" t="s">
        <v>953</v>
      </c>
      <c r="G502" s="225" t="n">
        <v>2600900</v>
      </c>
      <c r="H502" s="225" t="n">
        <v>2304741</v>
      </c>
      <c r="I502" s="225" t="n">
        <v>4089544</v>
      </c>
      <c r="J502" s="198" t="n">
        <v>53</v>
      </c>
      <c r="K502" s="198" t="n">
        <v>1</v>
      </c>
      <c r="L502" s="226" t="n">
        <v>44973</v>
      </c>
      <c r="M502" s="226" t="n">
        <v>39158</v>
      </c>
      <c r="N502" s="227" t="n">
        <v>0</v>
      </c>
      <c r="O502" s="227" t="s">
        <v>135</v>
      </c>
      <c r="P502" s="228" t="n">
        <f aca="false">VLOOKUP(B502,'NIVEL ENERO'!A:D,3,0)</f>
        <v>0.475188588565497</v>
      </c>
      <c r="Q502" s="229" t="n">
        <f aca="false">VLOOKUP(B502,'NIVEL ENERO'!A:D,4,0)</f>
        <v>-143540</v>
      </c>
      <c r="R502" s="186" t="str">
        <f aca="false">+PROPER(C502&amp;" "&amp;D502)</f>
        <v>Trochez Realpe Briceida</v>
      </c>
      <c r="S502" s="230" t="n">
        <f aca="false">+YEARFRAC(L502,$S$1)</f>
        <v>3.23888888888889</v>
      </c>
      <c r="T502" s="230" t="n">
        <f aca="false">+YEARFRAC(M502,$S$1)</f>
        <v>19.1527777777778</v>
      </c>
      <c r="U502" s="231" t="n">
        <f aca="false">+$I502</f>
        <v>4089544</v>
      </c>
      <c r="V502" s="232" t="str">
        <f aca="false">+PROPER(F502)</f>
        <v>Soltero(A)</v>
      </c>
    </row>
    <row r="503" customFormat="false" ht="14.25" hidden="false" customHeight="false" outlineLevel="0" collapsed="false">
      <c r="B503" s="197" t="n">
        <v>66828711</v>
      </c>
      <c r="C503" s="197" t="s">
        <v>1865</v>
      </c>
      <c r="D503" s="197" t="s">
        <v>1549</v>
      </c>
      <c r="E503" s="198" t="s">
        <v>1288</v>
      </c>
      <c r="F503" s="198" t="s">
        <v>948</v>
      </c>
      <c r="G503" s="225" t="n">
        <v>2600900</v>
      </c>
      <c r="H503" s="225" t="n">
        <v>8834967</v>
      </c>
      <c r="I503" s="225" t="n">
        <v>9587152</v>
      </c>
      <c r="J503" s="198" t="n">
        <v>54</v>
      </c>
      <c r="K503" s="198" t="n">
        <v>2</v>
      </c>
      <c r="L503" s="226" t="n">
        <v>40514</v>
      </c>
      <c r="M503" s="226" t="n">
        <v>38904</v>
      </c>
      <c r="N503" s="227" t="n">
        <v>4</v>
      </c>
      <c r="O503" s="227" t="s">
        <v>135</v>
      </c>
      <c r="P503" s="228" t="n">
        <f aca="false">VLOOKUP(B503,'NIVEL ENERO'!A:D,3,0)</f>
        <v>0.341927409742781</v>
      </c>
      <c r="Q503" s="229" t="n">
        <f aca="false">VLOOKUP(B503,'NIVEL ENERO'!A:D,4,0)</f>
        <v>203059</v>
      </c>
      <c r="R503" s="186" t="str">
        <f aca="false">+PROPER(C503&amp;" "&amp;D503)</f>
        <v>Narvaez Garcia Sandra Patricia</v>
      </c>
      <c r="S503" s="230" t="n">
        <f aca="false">+YEARFRAC(L503,$S$1)</f>
        <v>15.4444444444444</v>
      </c>
      <c r="T503" s="230" t="n">
        <f aca="false">+YEARFRAC(M503,$S$1)</f>
        <v>19.85</v>
      </c>
      <c r="U503" s="231" t="n">
        <f aca="false">+$I503</f>
        <v>9587152</v>
      </c>
      <c r="V503" s="232" t="str">
        <f aca="false">+PROPER(F503)</f>
        <v>Casado(A)</v>
      </c>
    </row>
    <row r="504" customFormat="false" ht="14.25" hidden="false" customHeight="false" outlineLevel="0" collapsed="false">
      <c r="B504" s="197" t="n">
        <v>66828792</v>
      </c>
      <c r="C504" s="197" t="s">
        <v>1866</v>
      </c>
      <c r="D504" s="197" t="s">
        <v>1867</v>
      </c>
      <c r="E504" s="198" t="s">
        <v>981</v>
      </c>
      <c r="F504" s="198" t="s">
        <v>945</v>
      </c>
      <c r="G504" s="225" t="n">
        <v>2600900</v>
      </c>
      <c r="H504" s="225" t="n">
        <v>5911280</v>
      </c>
      <c r="I504" s="225" t="n">
        <v>8276624</v>
      </c>
      <c r="J504" s="198" t="n">
        <v>53</v>
      </c>
      <c r="K504" s="198" t="n">
        <v>1</v>
      </c>
      <c r="L504" s="226" t="n">
        <v>41984</v>
      </c>
      <c r="M504" s="226" t="n">
        <v>38264</v>
      </c>
      <c r="N504" s="227" t="n">
        <v>3</v>
      </c>
      <c r="O504" s="227" t="s">
        <v>135</v>
      </c>
      <c r="P504" s="228" t="n">
        <f aca="false">VLOOKUP(B504,'NIVEL ENERO'!A:D,3,0)</f>
        <v>0.333632064894997</v>
      </c>
      <c r="Q504" s="229" t="n">
        <f aca="false">VLOOKUP(B504,'NIVEL ENERO'!A:D,4,0)</f>
        <v>243435.28</v>
      </c>
      <c r="R504" s="186" t="str">
        <f aca="false">+PROPER(C504&amp;" "&amp;D504)</f>
        <v>Cifuentes Castro Dora Ines</v>
      </c>
      <c r="S504" s="230" t="n">
        <f aca="false">+YEARFRAC(L504,$S$1)</f>
        <v>11.4194444444444</v>
      </c>
      <c r="T504" s="230" t="n">
        <f aca="false">+YEARFRAC(M504,$S$1)</f>
        <v>21.6055555555556</v>
      </c>
      <c r="U504" s="231" t="n">
        <f aca="false">+$I504</f>
        <v>8276624</v>
      </c>
      <c r="V504" s="232" t="str">
        <f aca="false">+PROPER(F504)</f>
        <v>Union Libre</v>
      </c>
    </row>
    <row r="505" customFormat="false" ht="14.25" hidden="false" customHeight="false" outlineLevel="0" collapsed="false">
      <c r="B505" s="197" t="n">
        <v>66829967</v>
      </c>
      <c r="C505" s="197" t="s">
        <v>1868</v>
      </c>
      <c r="D505" s="197" t="s">
        <v>1869</v>
      </c>
      <c r="E505" s="198" t="s">
        <v>944</v>
      </c>
      <c r="F505" s="198" t="s">
        <v>945</v>
      </c>
      <c r="G505" s="225" t="n">
        <v>1991000</v>
      </c>
      <c r="H505" s="225" t="n">
        <v>1607671</v>
      </c>
      <c r="I505" s="225" t="n">
        <v>206844</v>
      </c>
      <c r="J505" s="198" t="n">
        <v>53</v>
      </c>
      <c r="K505" s="198" t="n">
        <v>2</v>
      </c>
      <c r="L505" s="226" t="n">
        <v>44845</v>
      </c>
      <c r="M505" s="226" t="n">
        <v>44657</v>
      </c>
      <c r="N505" s="227" t="n">
        <v>4</v>
      </c>
      <c r="O505" s="227" t="s">
        <v>135</v>
      </c>
      <c r="P505" s="228" t="n">
        <f aca="false">VLOOKUP(B505,'NIVEL ENERO'!A:D,3,0)</f>
        <v>0.231382219989955</v>
      </c>
      <c r="Q505" s="229" t="n">
        <f aca="false">VLOOKUP(B505,'NIVEL ENERO'!A:D,4,0)</f>
        <v>375538</v>
      </c>
      <c r="R505" s="186" t="str">
        <f aca="false">+PROPER(C505&amp;" "&amp;D505)</f>
        <v>Cardona Escobar Sonia Liliana</v>
      </c>
      <c r="S505" s="230" t="n">
        <f aca="false">+YEARFRAC(L505,$S$1)</f>
        <v>3.58611111111111</v>
      </c>
      <c r="T505" s="230" t="n">
        <f aca="false">+YEARFRAC(M505,$S$1)</f>
        <v>4.1</v>
      </c>
      <c r="U505" s="231" t="n">
        <f aca="false">+$I505</f>
        <v>206844</v>
      </c>
      <c r="V505" s="232" t="str">
        <f aca="false">+PROPER(F505)</f>
        <v>Union Libre</v>
      </c>
    </row>
    <row r="506" customFormat="false" ht="14.25" hidden="false" customHeight="false" outlineLevel="0" collapsed="false">
      <c r="B506" s="197" t="n">
        <v>66833280</v>
      </c>
      <c r="C506" s="197" t="s">
        <v>1870</v>
      </c>
      <c r="D506" s="197" t="s">
        <v>1527</v>
      </c>
      <c r="E506" s="198" t="s">
        <v>944</v>
      </c>
      <c r="F506" s="198" t="s">
        <v>948</v>
      </c>
      <c r="G506" s="225" t="n">
        <v>2600900</v>
      </c>
      <c r="H506" s="225" t="n">
        <v>4407663</v>
      </c>
      <c r="I506" s="225" t="n">
        <v>3629675</v>
      </c>
      <c r="J506" s="198" t="n">
        <v>53</v>
      </c>
      <c r="K506" s="198" t="n">
        <v>4</v>
      </c>
      <c r="L506" s="226" t="n">
        <v>42656</v>
      </c>
      <c r="M506" s="226" t="n">
        <v>40339</v>
      </c>
      <c r="N506" s="227" t="n">
        <v>3</v>
      </c>
      <c r="O506" s="227" t="s">
        <v>135</v>
      </c>
      <c r="P506" s="228" t="n">
        <f aca="false">VLOOKUP(B506,'NIVEL ENERO'!A:D,3,0)</f>
        <v>0.437273251566765</v>
      </c>
      <c r="Q506" s="229" t="n">
        <f aca="false">VLOOKUP(B506,'NIVEL ENERO'!A:D,4,0)</f>
        <v>-44926</v>
      </c>
      <c r="R506" s="186" t="str">
        <f aca="false">+PROPER(C506&amp;" "&amp;D506)</f>
        <v>Jordan Rengifo Alejandra</v>
      </c>
      <c r="S506" s="230" t="n">
        <f aca="false">+YEARFRAC(L506,$S$1)</f>
        <v>9.58055555555556</v>
      </c>
      <c r="T506" s="230" t="n">
        <f aca="false">+YEARFRAC(M506,$S$1)</f>
        <v>15.9222222222222</v>
      </c>
      <c r="U506" s="231" t="n">
        <f aca="false">+$I506</f>
        <v>3629675</v>
      </c>
      <c r="V506" s="232" t="str">
        <f aca="false">+PROPER(F506)</f>
        <v>Casado(A)</v>
      </c>
    </row>
    <row r="507" customFormat="false" ht="14.25" hidden="false" customHeight="false" outlineLevel="0" collapsed="false">
      <c r="B507" s="197" t="n">
        <v>66834463</v>
      </c>
      <c r="C507" s="197" t="s">
        <v>1871</v>
      </c>
      <c r="D507" s="197" t="s">
        <v>1872</v>
      </c>
      <c r="E507" s="198" t="s">
        <v>944</v>
      </c>
      <c r="F507" s="198" t="s">
        <v>945</v>
      </c>
      <c r="G507" s="225" t="n">
        <v>2255900</v>
      </c>
      <c r="H507" s="225" t="n">
        <v>3911558</v>
      </c>
      <c r="I507" s="225" t="n">
        <v>3776220</v>
      </c>
      <c r="J507" s="198" t="n">
        <v>52</v>
      </c>
      <c r="K507" s="198" t="n">
        <v>4</v>
      </c>
      <c r="L507" s="226" t="n">
        <v>44839</v>
      </c>
      <c r="M507" s="226" t="n">
        <v>38504</v>
      </c>
      <c r="N507" s="227" t="n">
        <v>3</v>
      </c>
      <c r="O507" s="227" t="s">
        <v>135</v>
      </c>
      <c r="P507" s="228" t="n">
        <f aca="false">VLOOKUP(B507,'NIVEL ENERO'!A:D,3,0)</f>
        <v>0.273571569287522</v>
      </c>
      <c r="Q507" s="229" t="n">
        <f aca="false">VLOOKUP(B507,'NIVEL ENERO'!A:D,4,0)</f>
        <v>338193.3</v>
      </c>
      <c r="R507" s="186" t="str">
        <f aca="false">+PROPER(C507&amp;" "&amp;D507)</f>
        <v>Reyes Pineros Clara Elisa</v>
      </c>
      <c r="S507" s="230" t="n">
        <f aca="false">+YEARFRAC(L507,$S$1)</f>
        <v>3.60277777777778</v>
      </c>
      <c r="T507" s="230" t="n">
        <f aca="false">+YEARFRAC(M507,$S$1)</f>
        <v>20.9472222222222</v>
      </c>
      <c r="U507" s="231" t="n">
        <f aca="false">+$I507</f>
        <v>3776220</v>
      </c>
      <c r="V507" s="232" t="str">
        <f aca="false">+PROPER(F507)</f>
        <v>Union Libre</v>
      </c>
    </row>
    <row r="508" customFormat="false" ht="14.25" hidden="false" customHeight="false" outlineLevel="0" collapsed="false">
      <c r="B508" s="197" t="n">
        <v>66841915</v>
      </c>
      <c r="C508" s="197" t="s">
        <v>1873</v>
      </c>
      <c r="D508" s="197" t="s">
        <v>1874</v>
      </c>
      <c r="E508" s="198" t="s">
        <v>944</v>
      </c>
      <c r="F508" s="198" t="s">
        <v>948</v>
      </c>
      <c r="G508" s="225" t="n">
        <v>1800000</v>
      </c>
      <c r="H508" s="225" t="n">
        <v>650000</v>
      </c>
      <c r="I508" s="225"/>
      <c r="J508" s="198" t="n">
        <v>52</v>
      </c>
      <c r="K508" s="198" t="n">
        <v>1</v>
      </c>
      <c r="L508" s="226" t="n">
        <v>45352</v>
      </c>
      <c r="M508" s="226" t="n">
        <v>42585</v>
      </c>
      <c r="N508" s="227" t="n">
        <v>0</v>
      </c>
      <c r="O508" s="227" t="s">
        <v>158</v>
      </c>
      <c r="P508" s="228" t="e">
        <f aca="false">VLOOKUP(B508,'NIVEL ENERO'!A:D,3,0)</f>
        <v>#N/A</v>
      </c>
      <c r="Q508" s="229" t="e">
        <f aca="false">VLOOKUP(B508,'NIVEL ENERO'!A:D,4,0)</f>
        <v>#N/A</v>
      </c>
      <c r="R508" s="186" t="str">
        <f aca="false">+PROPER(C508&amp;" "&amp;D508)</f>
        <v>Silva Romero Viviana</v>
      </c>
      <c r="S508" s="230" t="n">
        <f aca="false">+YEARFRAC(L508,$S$1)</f>
        <v>2.19722222222222</v>
      </c>
      <c r="T508" s="230" t="n">
        <f aca="false">+YEARFRAC(M508,$S$1)</f>
        <v>9.775</v>
      </c>
      <c r="U508" s="231" t="n">
        <f aca="false">+$I508</f>
        <v>0</v>
      </c>
      <c r="V508" s="232" t="str">
        <f aca="false">+PROPER(F508)</f>
        <v>Casado(A)</v>
      </c>
    </row>
    <row r="509" customFormat="false" ht="14.25" hidden="false" customHeight="false" outlineLevel="0" collapsed="false">
      <c r="B509" s="197" t="n">
        <v>66846381</v>
      </c>
      <c r="C509" s="197" t="s">
        <v>1875</v>
      </c>
      <c r="D509" s="197" t="s">
        <v>1876</v>
      </c>
      <c r="E509" s="198" t="s">
        <v>944</v>
      </c>
      <c r="F509" s="198" t="s">
        <v>953</v>
      </c>
      <c r="G509" s="225" t="n">
        <v>2600900</v>
      </c>
      <c r="H509" s="225" t="n">
        <v>1809701</v>
      </c>
      <c r="I509" s="225" t="n">
        <v>1553788</v>
      </c>
      <c r="J509" s="198" t="n">
        <v>52</v>
      </c>
      <c r="K509" s="198" t="n">
        <v>1</v>
      </c>
      <c r="L509" s="226" t="n">
        <v>44701</v>
      </c>
      <c r="M509" s="226" t="n">
        <v>44105</v>
      </c>
      <c r="N509" s="227" t="n">
        <v>2</v>
      </c>
      <c r="O509" s="227" t="s">
        <v>135</v>
      </c>
      <c r="P509" s="228" t="n">
        <f aca="false">VLOOKUP(B509,'NIVEL ENERO'!A:D,3,0)</f>
        <v>0.187516330717669</v>
      </c>
      <c r="Q509" s="229" t="n">
        <f aca="false">VLOOKUP(B509,'NIVEL ENERO'!A:D,4,0)</f>
        <v>723365.42</v>
      </c>
      <c r="R509" s="186" t="str">
        <f aca="false">+PROPER(C509&amp;" "&amp;D509)</f>
        <v>Barajas Carbonell Amanda Eugenia</v>
      </c>
      <c r="S509" s="230" t="n">
        <f aca="false">+YEARFRAC(L509,$S$1)</f>
        <v>3.97777777777778</v>
      </c>
      <c r="T509" s="230" t="n">
        <f aca="false">+YEARFRAC(M509,$S$1)</f>
        <v>5.61388888888889</v>
      </c>
      <c r="U509" s="231" t="n">
        <f aca="false">+$I509</f>
        <v>1553788</v>
      </c>
      <c r="V509" s="232" t="str">
        <f aca="false">+PROPER(F509)</f>
        <v>Soltero(A)</v>
      </c>
    </row>
    <row r="510" customFormat="false" ht="14.25" hidden="false" customHeight="false" outlineLevel="0" collapsed="false">
      <c r="B510" s="197" t="n">
        <v>66847351</v>
      </c>
      <c r="C510" s="197" t="s">
        <v>1877</v>
      </c>
      <c r="D510" s="197" t="s">
        <v>1162</v>
      </c>
      <c r="E510" s="198" t="s">
        <v>944</v>
      </c>
      <c r="F510" s="198" t="s">
        <v>953</v>
      </c>
      <c r="G510" s="225" t="n">
        <v>10237200</v>
      </c>
      <c r="H510" s="225" t="n">
        <v>3401763</v>
      </c>
      <c r="I510" s="225" t="n">
        <v>32081977</v>
      </c>
      <c r="J510" s="198" t="n">
        <v>52</v>
      </c>
      <c r="K510" s="198" t="n">
        <v>2</v>
      </c>
      <c r="L510" s="226" t="n">
        <v>45160</v>
      </c>
      <c r="M510" s="226" t="n">
        <v>42768</v>
      </c>
      <c r="N510" s="227" t="n">
        <v>0</v>
      </c>
      <c r="O510" s="227" t="s">
        <v>135</v>
      </c>
      <c r="P510" s="228" t="n">
        <f aca="false">VLOOKUP(B510,'NIVEL ENERO'!A:D,3,0)</f>
        <v>0.273820202729211</v>
      </c>
      <c r="Q510" s="229" t="n">
        <f aca="false">VLOOKUP(B510,'NIVEL ENERO'!A:D,4,0)</f>
        <v>1463216.94</v>
      </c>
      <c r="R510" s="186" t="str">
        <f aca="false">+PROPER(C510&amp;" "&amp;D510)</f>
        <v>Sanchez Velez Maria Isabel</v>
      </c>
      <c r="S510" s="230" t="n">
        <f aca="false">+YEARFRAC(L510,$S$1)</f>
        <v>2.72222222222222</v>
      </c>
      <c r="T510" s="230" t="n">
        <f aca="false">+YEARFRAC(M510,$S$1)</f>
        <v>9.27777777777778</v>
      </c>
      <c r="U510" s="231" t="n">
        <f aca="false">+$I510</f>
        <v>32081977</v>
      </c>
      <c r="V510" s="232" t="str">
        <f aca="false">+PROPER(F510)</f>
        <v>Soltero(A)</v>
      </c>
    </row>
    <row r="511" customFormat="false" ht="14.25" hidden="false" customHeight="false" outlineLevel="0" collapsed="false">
      <c r="B511" s="197" t="n">
        <v>66847778</v>
      </c>
      <c r="C511" s="197" t="s">
        <v>1878</v>
      </c>
      <c r="D511" s="197" t="s">
        <v>1879</v>
      </c>
      <c r="E511" s="198" t="s">
        <v>944</v>
      </c>
      <c r="F511" s="198" t="s">
        <v>945</v>
      </c>
      <c r="G511" s="225" t="n">
        <v>5291000</v>
      </c>
      <c r="H511" s="225" t="n">
        <v>4580178</v>
      </c>
      <c r="I511" s="225" t="n">
        <v>36333731</v>
      </c>
      <c r="J511" s="198" t="n">
        <v>52</v>
      </c>
      <c r="K511" s="198" t="n">
        <v>3</v>
      </c>
      <c r="L511" s="226" t="n">
        <v>42501</v>
      </c>
      <c r="M511" s="226" t="n">
        <v>35037</v>
      </c>
      <c r="N511" s="227" t="n">
        <v>4</v>
      </c>
      <c r="O511" s="227" t="s">
        <v>135</v>
      </c>
      <c r="P511" s="228" t="n">
        <f aca="false">VLOOKUP(B511,'NIVEL ENERO'!A:D,3,0)</f>
        <v>0.544954914958436</v>
      </c>
      <c r="Q511" s="229" t="n">
        <f aca="false">VLOOKUP(B511,'NIVEL ENERO'!A:D,4,0)</f>
        <v>-661136.58</v>
      </c>
      <c r="R511" s="186" t="str">
        <f aca="false">+PROPER(C511&amp;" "&amp;D511)</f>
        <v>Vallecilla Bolivar Maria Claudia</v>
      </c>
      <c r="S511" s="230" t="n">
        <f aca="false">+YEARFRAC(L511,$S$1)</f>
        <v>10.0027777777778</v>
      </c>
      <c r="T511" s="230" t="n">
        <f aca="false">+YEARFRAC(M511,$S$1)</f>
        <v>30.4388888888889</v>
      </c>
      <c r="U511" s="231" t="n">
        <f aca="false">+$I511</f>
        <v>36333731</v>
      </c>
      <c r="V511" s="232" t="str">
        <f aca="false">+PROPER(F511)</f>
        <v>Union Libre</v>
      </c>
    </row>
    <row r="512" customFormat="false" ht="14.25" hidden="false" customHeight="false" outlineLevel="0" collapsed="false">
      <c r="B512" s="197" t="n">
        <v>66848167</v>
      </c>
      <c r="C512" s="197" t="s">
        <v>1880</v>
      </c>
      <c r="D512" s="197" t="s">
        <v>1479</v>
      </c>
      <c r="E512" s="198" t="s">
        <v>944</v>
      </c>
      <c r="F512" s="198" t="s">
        <v>998</v>
      </c>
      <c r="G512" s="225" t="n">
        <v>2893800</v>
      </c>
      <c r="H512" s="225" t="n">
        <v>2178946</v>
      </c>
      <c r="I512" s="225" t="n">
        <v>0</v>
      </c>
      <c r="J512" s="198" t="n">
        <v>52</v>
      </c>
      <c r="K512" s="198" t="n">
        <v>2</v>
      </c>
      <c r="L512" s="226" t="n">
        <v>44700</v>
      </c>
      <c r="M512" s="226" t="n">
        <v>44105</v>
      </c>
      <c r="N512" s="227" t="n">
        <v>2</v>
      </c>
      <c r="O512" s="227" t="s">
        <v>135</v>
      </c>
      <c r="P512" s="228" t="n">
        <f aca="false">VLOOKUP(B512,'NIVEL ENERO'!A:D,3,0)</f>
        <v>0.23351699175548</v>
      </c>
      <c r="Q512" s="229" t="n">
        <f aca="false">VLOOKUP(B512,'NIVEL ENERO'!A:D,4,0)</f>
        <v>556428</v>
      </c>
      <c r="R512" s="186" t="str">
        <f aca="false">+PROPER(C512&amp;" "&amp;D512)</f>
        <v>Lizcano Arana Maria Fernanda</v>
      </c>
      <c r="S512" s="230" t="n">
        <f aca="false">+YEARFRAC(L512,$S$1)</f>
        <v>3.98055555555556</v>
      </c>
      <c r="T512" s="230" t="n">
        <f aca="false">+YEARFRAC(M512,$S$1)</f>
        <v>5.61388888888889</v>
      </c>
      <c r="U512" s="231" t="n">
        <f aca="false">+$I512</f>
        <v>0</v>
      </c>
      <c r="V512" s="232" t="str">
        <f aca="false">+PROPER(F512)</f>
        <v>Separado(A)</v>
      </c>
    </row>
    <row r="513" customFormat="false" ht="14.25" hidden="false" customHeight="false" outlineLevel="0" collapsed="false">
      <c r="B513" s="197" t="n">
        <v>66848316</v>
      </c>
      <c r="C513" s="197" t="s">
        <v>1881</v>
      </c>
      <c r="D513" s="197" t="s">
        <v>1882</v>
      </c>
      <c r="E513" s="198" t="s">
        <v>944</v>
      </c>
      <c r="F513" s="198" t="s">
        <v>948</v>
      </c>
      <c r="G513" s="225" t="n">
        <v>6775800</v>
      </c>
      <c r="H513" s="225" t="n">
        <v>17083099</v>
      </c>
      <c r="I513" s="225" t="n">
        <v>65717535</v>
      </c>
      <c r="J513" s="198" t="n">
        <v>51</v>
      </c>
      <c r="K513" s="198" t="n">
        <v>1</v>
      </c>
      <c r="L513" s="226" t="n">
        <v>41501</v>
      </c>
      <c r="M513" s="226" t="n">
        <v>41440</v>
      </c>
      <c r="N513" s="227" t="n">
        <v>1</v>
      </c>
      <c r="O513" s="227" t="s">
        <v>135</v>
      </c>
      <c r="P513" s="228" t="n">
        <f aca="false">VLOOKUP(B513,'NIVEL ENERO'!A:D,3,0)</f>
        <v>0.481883615218867</v>
      </c>
      <c r="Q513" s="229" t="n">
        <f aca="false">VLOOKUP(B513,'NIVEL ENERO'!A:D,4,0)</f>
        <v>-419311</v>
      </c>
      <c r="R513" s="186" t="str">
        <f aca="false">+PROPER(C513&amp;" "&amp;D513)</f>
        <v>Guerrero Jimenez Alba Liliana</v>
      </c>
      <c r="S513" s="230" t="n">
        <f aca="false">+YEARFRAC(L513,$S$1)</f>
        <v>12.7416666666667</v>
      </c>
      <c r="T513" s="230" t="n">
        <f aca="false">+YEARFRAC(M513,$S$1)</f>
        <v>12.9083333333333</v>
      </c>
      <c r="U513" s="231" t="n">
        <f aca="false">+$I513</f>
        <v>65717535</v>
      </c>
      <c r="V513" s="232" t="str">
        <f aca="false">+PROPER(F513)</f>
        <v>Casado(A)</v>
      </c>
    </row>
    <row r="514" customFormat="false" ht="14.25" hidden="false" customHeight="false" outlineLevel="0" collapsed="false">
      <c r="B514" s="197" t="n">
        <v>66851685</v>
      </c>
      <c r="C514" s="197" t="s">
        <v>1883</v>
      </c>
      <c r="D514" s="197" t="s">
        <v>1884</v>
      </c>
      <c r="E514" s="198" t="s">
        <v>944</v>
      </c>
      <c r="F514" s="198" t="s">
        <v>948</v>
      </c>
      <c r="G514" s="225" t="n">
        <v>1600000</v>
      </c>
      <c r="H514" s="225" t="n">
        <v>6749283</v>
      </c>
      <c r="I514" s="225" t="n">
        <v>8617894</v>
      </c>
      <c r="J514" s="198" t="n">
        <v>52</v>
      </c>
      <c r="K514" s="198" t="n">
        <v>2</v>
      </c>
      <c r="L514" s="226" t="n">
        <v>41501</v>
      </c>
      <c r="M514" s="226" t="n">
        <v>38601</v>
      </c>
      <c r="N514" s="227" t="n">
        <v>3</v>
      </c>
      <c r="O514" s="227" t="s">
        <v>185</v>
      </c>
      <c r="P514" s="228" t="e">
        <f aca="false">VLOOKUP(B514,'NIVEL ENERO'!A:D,3,0)</f>
        <v>#N/A</v>
      </c>
      <c r="Q514" s="229" t="e">
        <f aca="false">VLOOKUP(B514,'NIVEL ENERO'!A:D,4,0)</f>
        <v>#N/A</v>
      </c>
      <c r="R514" s="186" t="str">
        <f aca="false">+PROPER(C514&amp;" "&amp;D514)</f>
        <v>Cardenas Hernandez Maria Esmeralda</v>
      </c>
      <c r="S514" s="230" t="n">
        <f aca="false">+YEARFRAC(L514,$S$1)</f>
        <v>12.7416666666667</v>
      </c>
      <c r="T514" s="230" t="n">
        <f aca="false">+YEARFRAC(M514,$S$1)</f>
        <v>20.6833333333333</v>
      </c>
      <c r="U514" s="231" t="n">
        <f aca="false">+$I514</f>
        <v>8617894</v>
      </c>
      <c r="V514" s="232" t="str">
        <f aca="false">+PROPER(F514)</f>
        <v>Casado(A)</v>
      </c>
    </row>
    <row r="515" customFormat="false" ht="14.25" hidden="false" customHeight="false" outlineLevel="0" collapsed="false">
      <c r="B515" s="197" t="n">
        <v>66852676</v>
      </c>
      <c r="C515" s="197" t="s">
        <v>1885</v>
      </c>
      <c r="D515" s="197" t="s">
        <v>1822</v>
      </c>
      <c r="E515" s="198" t="s">
        <v>944</v>
      </c>
      <c r="F515" s="198" t="s">
        <v>948</v>
      </c>
      <c r="G515" s="225" t="n">
        <v>5418800</v>
      </c>
      <c r="H515" s="225" t="n">
        <v>3314810</v>
      </c>
      <c r="I515" s="225" t="n">
        <v>2008325</v>
      </c>
      <c r="J515" s="198" t="n">
        <v>51</v>
      </c>
      <c r="K515" s="198" t="n">
        <v>2</v>
      </c>
      <c r="L515" s="226" t="n">
        <v>44635</v>
      </c>
      <c r="M515" s="226" t="n">
        <v>35455</v>
      </c>
      <c r="N515" s="227" t="n">
        <v>3</v>
      </c>
      <c r="O515" s="227" t="s">
        <v>135</v>
      </c>
      <c r="P515" s="228" t="n">
        <f aca="false">VLOOKUP(B515,'NIVEL ENERO'!A:D,3,0)</f>
        <v>0.370907919988606</v>
      </c>
      <c r="Q515" s="229" t="n">
        <f aca="false">VLOOKUP(B515,'NIVEL ENERO'!A:D,4,0)</f>
        <v>426731.04</v>
      </c>
      <c r="R515" s="186" t="str">
        <f aca="false">+PROPER(C515&amp;" "&amp;D515)</f>
        <v>Bueno Cruz Francy Elena</v>
      </c>
      <c r="S515" s="230" t="n">
        <f aca="false">+YEARFRAC(L515,$S$1)</f>
        <v>4.15833333333333</v>
      </c>
      <c r="T515" s="230" t="n">
        <f aca="false">+YEARFRAC(M515,$S$1)</f>
        <v>29.2972222222222</v>
      </c>
      <c r="U515" s="231" t="n">
        <f aca="false">+$I515</f>
        <v>2008325</v>
      </c>
      <c r="V515" s="232" t="str">
        <f aca="false">+PROPER(F515)</f>
        <v>Casado(A)</v>
      </c>
    </row>
    <row r="516" customFormat="false" ht="14.25" hidden="false" customHeight="false" outlineLevel="0" collapsed="false">
      <c r="B516" s="197" t="n">
        <v>66852905</v>
      </c>
      <c r="C516" s="197" t="s">
        <v>1886</v>
      </c>
      <c r="D516" s="197" t="s">
        <v>1887</v>
      </c>
      <c r="E516" s="198" t="s">
        <v>944</v>
      </c>
      <c r="F516" s="198" t="s">
        <v>953</v>
      </c>
      <c r="G516" s="225" t="n">
        <v>5291000</v>
      </c>
      <c r="H516" s="225" t="n">
        <v>16878738</v>
      </c>
      <c r="I516" s="225" t="n">
        <v>9790116</v>
      </c>
      <c r="J516" s="198" t="n">
        <v>52</v>
      </c>
      <c r="K516" s="198" t="n">
        <v>2</v>
      </c>
      <c r="L516" s="226" t="n">
        <v>39699</v>
      </c>
      <c r="M516" s="226" t="n">
        <v>36466</v>
      </c>
      <c r="N516" s="227" t="n">
        <v>0</v>
      </c>
      <c r="O516" s="227" t="s">
        <v>135</v>
      </c>
      <c r="P516" s="228" t="n">
        <f aca="false">VLOOKUP(B516,'NIVEL ENERO'!A:D,3,0)</f>
        <v>0.27880910980911</v>
      </c>
      <c r="Q516" s="229" t="n">
        <f aca="false">VLOOKUP(B516,'NIVEL ENERO'!A:D,4,0)</f>
        <v>747041</v>
      </c>
      <c r="R516" s="186" t="str">
        <f aca="false">+PROPER(C516&amp;" "&amp;D516)</f>
        <v>Mosquera Trujillo Liliana Jamileth</v>
      </c>
      <c r="S516" s="230" t="n">
        <f aca="false">+YEARFRAC(L516,$S$1)</f>
        <v>17.6777777777778</v>
      </c>
      <c r="T516" s="230" t="n">
        <f aca="false">+YEARFRAC(M516,$S$1)</f>
        <v>26.5277777777778</v>
      </c>
      <c r="U516" s="231" t="n">
        <f aca="false">+$I516</f>
        <v>9790116</v>
      </c>
      <c r="V516" s="232" t="str">
        <f aca="false">+PROPER(F516)</f>
        <v>Soltero(A)</v>
      </c>
    </row>
    <row r="517" customFormat="false" ht="14.25" hidden="false" customHeight="false" outlineLevel="0" collapsed="false">
      <c r="B517" s="197" t="n">
        <v>66856977</v>
      </c>
      <c r="C517" s="197" t="s">
        <v>1888</v>
      </c>
      <c r="D517" s="197" t="s">
        <v>1889</v>
      </c>
      <c r="E517" s="198" t="s">
        <v>944</v>
      </c>
      <c r="F517" s="198" t="s">
        <v>953</v>
      </c>
      <c r="G517" s="225" t="n">
        <v>8245400</v>
      </c>
      <c r="H517" s="225" t="n">
        <v>19256903</v>
      </c>
      <c r="I517" s="225" t="n">
        <v>23267521</v>
      </c>
      <c r="J517" s="198" t="n">
        <v>52</v>
      </c>
      <c r="K517" s="198" t="n">
        <v>2</v>
      </c>
      <c r="L517" s="226" t="n">
        <v>38084</v>
      </c>
      <c r="M517" s="226" t="n">
        <v>36586</v>
      </c>
      <c r="N517" s="227" t="n">
        <v>4</v>
      </c>
      <c r="O517" s="227" t="s">
        <v>135</v>
      </c>
      <c r="P517" s="228" t="n">
        <f aca="false">VLOOKUP(B517,'NIVEL ENERO'!A:D,3,0)</f>
        <v>0.42329614087855</v>
      </c>
      <c r="Q517" s="229" t="n">
        <f aca="false">VLOOKUP(B517,'NIVEL ENERO'!A:D,4,0)</f>
        <v>-27178</v>
      </c>
      <c r="R517" s="186" t="str">
        <f aca="false">+PROPER(C517&amp;" "&amp;D517)</f>
        <v>Sanchez Morales Alba Lucy</v>
      </c>
      <c r="S517" s="230" t="n">
        <f aca="false">+YEARFRAC(L517,$S$1)</f>
        <v>22.0972222222222</v>
      </c>
      <c r="T517" s="230" t="n">
        <f aca="false">+YEARFRAC(M517,$S$1)</f>
        <v>26.1972222222222</v>
      </c>
      <c r="U517" s="231" t="n">
        <f aca="false">+$I517</f>
        <v>23267521</v>
      </c>
      <c r="V517" s="232" t="str">
        <f aca="false">+PROPER(F517)</f>
        <v>Soltero(A)</v>
      </c>
    </row>
    <row r="518" customFormat="false" ht="14.25" hidden="false" customHeight="false" outlineLevel="0" collapsed="false">
      <c r="B518" s="197" t="n">
        <v>66857765</v>
      </c>
      <c r="C518" s="197" t="s">
        <v>1890</v>
      </c>
      <c r="D518" s="197" t="s">
        <v>1891</v>
      </c>
      <c r="E518" s="198" t="s">
        <v>944</v>
      </c>
      <c r="F518" s="198" t="s">
        <v>953</v>
      </c>
      <c r="G518" s="225" t="n">
        <v>1670000</v>
      </c>
      <c r="H518" s="225" t="n">
        <v>2865914</v>
      </c>
      <c r="I518" s="225" t="n">
        <v>1088218</v>
      </c>
      <c r="J518" s="198" t="n">
        <v>51</v>
      </c>
      <c r="K518" s="198" t="n">
        <v>2</v>
      </c>
      <c r="L518" s="226" t="n">
        <v>43928</v>
      </c>
      <c r="M518" s="226" t="n">
        <v>40238</v>
      </c>
      <c r="N518" s="227" t="n">
        <v>2</v>
      </c>
      <c r="O518" s="227" t="s">
        <v>135</v>
      </c>
      <c r="P518" s="228" t="n">
        <f aca="false">VLOOKUP(B518,'NIVEL ENERO'!A:D,3,0)</f>
        <v>0.445872435116573</v>
      </c>
      <c r="Q518" s="229" t="n">
        <f aca="false">VLOOKUP(B518,'NIVEL ENERO'!A:D,4,0)</f>
        <v>-113832</v>
      </c>
      <c r="R518" s="186" t="str">
        <f aca="false">+PROPER(C518&amp;" "&amp;D518)</f>
        <v>Sanchez Villanira</v>
      </c>
      <c r="S518" s="230" t="n">
        <f aca="false">+YEARFRAC(L518,$S$1)</f>
        <v>6.09722222222222</v>
      </c>
      <c r="T518" s="230" t="n">
        <f aca="false">+YEARFRAC(M518,$S$1)</f>
        <v>16.1972222222222</v>
      </c>
      <c r="U518" s="231" t="n">
        <f aca="false">+$I518</f>
        <v>1088218</v>
      </c>
      <c r="V518" s="232" t="str">
        <f aca="false">+PROPER(F518)</f>
        <v>Soltero(A)</v>
      </c>
    </row>
    <row r="519" customFormat="false" ht="14.25" hidden="false" customHeight="false" outlineLevel="0" collapsed="false">
      <c r="B519" s="197" t="n">
        <v>66858279</v>
      </c>
      <c r="C519" s="197" t="s">
        <v>1892</v>
      </c>
      <c r="D519" s="197" t="s">
        <v>1893</v>
      </c>
      <c r="E519" s="198" t="s">
        <v>944</v>
      </c>
      <c r="F519" s="198" t="s">
        <v>953</v>
      </c>
      <c r="G519" s="225" t="n">
        <v>1670000</v>
      </c>
      <c r="H519" s="225" t="n">
        <v>7556211</v>
      </c>
      <c r="I519" s="225" t="n">
        <v>631345</v>
      </c>
      <c r="J519" s="198" t="n">
        <v>55</v>
      </c>
      <c r="K519" s="198" t="n">
        <v>2</v>
      </c>
      <c r="L519" s="226" t="n">
        <v>40462</v>
      </c>
      <c r="M519" s="226" t="n">
        <v>44480</v>
      </c>
      <c r="N519" s="227" t="n">
        <v>4</v>
      </c>
      <c r="O519" s="227" t="s">
        <v>135</v>
      </c>
      <c r="P519" s="228" t="n">
        <f aca="false">VLOOKUP(B519,'NIVEL ENERO'!A:D,3,0)</f>
        <v>0.284380204640229</v>
      </c>
      <c r="Q519" s="229" t="n">
        <f aca="false">VLOOKUP(B519,'NIVEL ENERO'!A:D,4,0)</f>
        <v>329545.66</v>
      </c>
      <c r="R519" s="186" t="str">
        <f aca="false">+PROPER(C519&amp;" "&amp;D519)</f>
        <v>Montezuma Garcia Inocencia</v>
      </c>
      <c r="S519" s="230" t="n">
        <f aca="false">+YEARFRAC(L519,$S$1)</f>
        <v>15.5861111111111</v>
      </c>
      <c r="T519" s="230" t="n">
        <f aca="false">+YEARFRAC(M519,$S$1)</f>
        <v>4.58611111111111</v>
      </c>
      <c r="U519" s="231" t="n">
        <f aca="false">+$I519</f>
        <v>631345</v>
      </c>
      <c r="V519" s="232" t="str">
        <f aca="false">+PROPER(F519)</f>
        <v>Soltero(A)</v>
      </c>
    </row>
    <row r="520" customFormat="false" ht="14.25" hidden="false" customHeight="false" outlineLevel="0" collapsed="false">
      <c r="B520" s="197" t="n">
        <v>66859571</v>
      </c>
      <c r="C520" s="197" t="s">
        <v>1894</v>
      </c>
      <c r="D520" s="197" t="s">
        <v>1186</v>
      </c>
      <c r="E520" s="198" t="s">
        <v>944</v>
      </c>
      <c r="F520" s="198" t="s">
        <v>948</v>
      </c>
      <c r="G520" s="225" t="n">
        <v>2600900</v>
      </c>
      <c r="H520" s="225" t="n">
        <v>4291929</v>
      </c>
      <c r="I520" s="225" t="n">
        <v>11831171</v>
      </c>
      <c r="J520" s="198" t="n">
        <v>51</v>
      </c>
      <c r="K520" s="198" t="n">
        <v>1</v>
      </c>
      <c r="L520" s="226" t="n">
        <v>43654</v>
      </c>
      <c r="M520" s="226" t="n">
        <v>43630</v>
      </c>
      <c r="N520" s="227" t="n">
        <v>4</v>
      </c>
      <c r="O520" s="227" t="s">
        <v>135</v>
      </c>
      <c r="P520" s="228" t="n">
        <f aca="false">VLOOKUP(B520,'NIVEL ENERO'!A:D,3,0)</f>
        <v>0.35769079933869</v>
      </c>
      <c r="Q520" s="229" t="n">
        <f aca="false">VLOOKUP(B520,'NIVEL ENERO'!A:D,4,0)</f>
        <v>162060</v>
      </c>
      <c r="R520" s="186" t="str">
        <f aca="false">+PROPER(C520&amp;" "&amp;D520)</f>
        <v>Gonzalez Escobar Liliana</v>
      </c>
      <c r="S520" s="230" t="n">
        <f aca="false">+YEARFRAC(L520,$S$1)</f>
        <v>6.84444444444444</v>
      </c>
      <c r="T520" s="230" t="n">
        <f aca="false">+YEARFRAC(M520,$S$1)</f>
        <v>6.91111111111111</v>
      </c>
      <c r="U520" s="231" t="n">
        <f aca="false">+$I520</f>
        <v>11831171</v>
      </c>
      <c r="V520" s="232" t="str">
        <f aca="false">+PROPER(F520)</f>
        <v>Casado(A)</v>
      </c>
    </row>
    <row r="521" customFormat="false" ht="14.25" hidden="false" customHeight="false" outlineLevel="0" collapsed="false">
      <c r="B521" s="197" t="n">
        <v>66866459</v>
      </c>
      <c r="C521" s="197" t="s">
        <v>1895</v>
      </c>
      <c r="D521" s="197" t="s">
        <v>1896</v>
      </c>
      <c r="E521" s="198" t="s">
        <v>944</v>
      </c>
      <c r="F521" s="198" t="s">
        <v>953</v>
      </c>
      <c r="G521" s="225" t="n">
        <v>2600900</v>
      </c>
      <c r="H521" s="225" t="n">
        <v>1283675</v>
      </c>
      <c r="I521" s="225" t="n">
        <v>4140046</v>
      </c>
      <c r="J521" s="198" t="n">
        <v>50</v>
      </c>
      <c r="K521" s="198" t="n">
        <v>1</v>
      </c>
      <c r="L521" s="226" t="n">
        <v>45249</v>
      </c>
      <c r="M521" s="226" t="n">
        <v>40148</v>
      </c>
      <c r="N521" s="227" t="n">
        <v>2</v>
      </c>
      <c r="O521" s="227" t="s">
        <v>135</v>
      </c>
      <c r="P521" s="228" t="n">
        <f aca="false">VLOOKUP(B521,'NIVEL ENERO'!A:D,3,0)</f>
        <v>0.230508670075743</v>
      </c>
      <c r="Q521" s="229" t="n">
        <f aca="false">VLOOKUP(B521,'NIVEL ENERO'!A:D,4,0)</f>
        <v>492848</v>
      </c>
      <c r="R521" s="186" t="str">
        <f aca="false">+PROPER(C521&amp;" "&amp;D521)</f>
        <v>Valencia Restrepo Maribell</v>
      </c>
      <c r="S521" s="230" t="n">
        <f aca="false">+YEARFRAC(L521,$S$1)</f>
        <v>2.48055555555556</v>
      </c>
      <c r="T521" s="230" t="n">
        <f aca="false">+YEARFRAC(M521,$S$1)</f>
        <v>16.4472222222222</v>
      </c>
      <c r="U521" s="231" t="n">
        <f aca="false">+$I521</f>
        <v>4140046</v>
      </c>
      <c r="V521" s="232" t="str">
        <f aca="false">+PROPER(F521)</f>
        <v>Soltero(A)</v>
      </c>
    </row>
    <row r="522" customFormat="false" ht="14.25" hidden="false" customHeight="false" outlineLevel="0" collapsed="false">
      <c r="B522" s="197" t="n">
        <v>66872117</v>
      </c>
      <c r="C522" s="197" t="s">
        <v>1897</v>
      </c>
      <c r="D522" s="197" t="s">
        <v>1137</v>
      </c>
      <c r="E522" s="198" t="s">
        <v>944</v>
      </c>
      <c r="F522" s="198" t="s">
        <v>953</v>
      </c>
      <c r="G522" s="225" t="n">
        <v>5679200</v>
      </c>
      <c r="H522" s="225" t="n">
        <v>8228575</v>
      </c>
      <c r="I522" s="225" t="n">
        <v>1168101</v>
      </c>
      <c r="J522" s="198" t="n">
        <v>47</v>
      </c>
      <c r="K522" s="198" t="n">
        <v>6</v>
      </c>
      <c r="L522" s="226" t="n">
        <v>41557</v>
      </c>
      <c r="M522" s="226" t="n">
        <v>41317</v>
      </c>
      <c r="N522" s="227" t="n">
        <v>2</v>
      </c>
      <c r="O522" s="227" t="s">
        <v>135</v>
      </c>
      <c r="P522" s="228" t="n">
        <f aca="false">VLOOKUP(B522,'NIVEL ENERO'!A:D,3,0)</f>
        <v>0.183799302718693</v>
      </c>
      <c r="Q522" s="229" t="n">
        <f aca="false">VLOOKUP(B522,'NIVEL ENERO'!A:D,4,0)</f>
        <v>1341431</v>
      </c>
      <c r="R522" s="186" t="str">
        <f aca="false">+PROPER(C522&amp;" "&amp;D522)</f>
        <v>Arredondo Luz Adriana</v>
      </c>
      <c r="S522" s="230" t="n">
        <f aca="false">+YEARFRAC(L522,$S$1)</f>
        <v>12.5888888888889</v>
      </c>
      <c r="T522" s="230" t="n">
        <f aca="false">+YEARFRAC(M522,$S$1)</f>
        <v>13.25</v>
      </c>
      <c r="U522" s="231" t="n">
        <f aca="false">+$I522</f>
        <v>1168101</v>
      </c>
      <c r="V522" s="232" t="str">
        <f aca="false">+PROPER(F522)</f>
        <v>Soltero(A)</v>
      </c>
    </row>
    <row r="523" customFormat="false" ht="14.25" hidden="false" customHeight="false" outlineLevel="0" collapsed="false">
      <c r="B523" s="197" t="n">
        <v>66873270</v>
      </c>
      <c r="C523" s="197" t="s">
        <v>1898</v>
      </c>
      <c r="D523" s="197" t="s">
        <v>1202</v>
      </c>
      <c r="E523" s="198" t="s">
        <v>944</v>
      </c>
      <c r="F523" s="198" t="s">
        <v>953</v>
      </c>
      <c r="G523" s="225" t="n">
        <v>2600900</v>
      </c>
      <c r="H523" s="225" t="n">
        <v>1296797</v>
      </c>
      <c r="I523" s="225" t="n">
        <v>3066191</v>
      </c>
      <c r="J523" s="198" t="n">
        <v>45</v>
      </c>
      <c r="K523" s="198" t="n">
        <v>2</v>
      </c>
      <c r="L523" s="226" t="n">
        <v>45064</v>
      </c>
      <c r="M523" s="226" t="n">
        <v>41137</v>
      </c>
      <c r="N523" s="227" t="n">
        <v>0</v>
      </c>
      <c r="O523" s="227" t="s">
        <v>135</v>
      </c>
      <c r="P523" s="228" t="n">
        <f aca="false">VLOOKUP(B523,'NIVEL ENERO'!A:D,3,0)</f>
        <v>0.461833323428736</v>
      </c>
      <c r="Q523" s="229" t="n">
        <f aca="false">VLOOKUP(B523,'NIVEL ENERO'!A:D,4,0)</f>
        <v>-166833.26</v>
      </c>
      <c r="R523" s="186" t="str">
        <f aca="false">+PROPER(C523&amp;" "&amp;D523)</f>
        <v>Saldarriaga Zuluaga Carolina</v>
      </c>
      <c r="S523" s="230" t="n">
        <f aca="false">+YEARFRAC(L523,$S$1)</f>
        <v>2.98333333333333</v>
      </c>
      <c r="T523" s="230" t="n">
        <f aca="false">+YEARFRAC(M523,$S$1)</f>
        <v>13.7388888888889</v>
      </c>
      <c r="U523" s="231" t="n">
        <f aca="false">+$I523</f>
        <v>3066191</v>
      </c>
      <c r="V523" s="232" t="str">
        <f aca="false">+PROPER(F523)</f>
        <v>Soltero(A)</v>
      </c>
    </row>
    <row r="524" customFormat="false" ht="14.25" hidden="false" customHeight="false" outlineLevel="0" collapsed="false">
      <c r="B524" s="197" t="n">
        <v>66875234</v>
      </c>
      <c r="C524" s="197" t="s">
        <v>1899</v>
      </c>
      <c r="D524" s="197" t="s">
        <v>1900</v>
      </c>
      <c r="E524" s="198" t="s">
        <v>944</v>
      </c>
      <c r="F524" s="198" t="s">
        <v>948</v>
      </c>
      <c r="G524" s="225" t="n">
        <v>2240000</v>
      </c>
      <c r="H524" s="225" t="n">
        <v>9525557</v>
      </c>
      <c r="I524" s="225" t="n">
        <v>31554912</v>
      </c>
      <c r="J524" s="198" t="n">
        <v>52</v>
      </c>
      <c r="K524" s="198" t="n">
        <v>1</v>
      </c>
      <c r="L524" s="226" t="n">
        <v>38982</v>
      </c>
      <c r="M524" s="226" t="n">
        <v>38986</v>
      </c>
      <c r="N524" s="227" t="n">
        <v>2</v>
      </c>
      <c r="O524" s="227" t="s">
        <v>185</v>
      </c>
      <c r="P524" s="228" t="e">
        <f aca="false">VLOOKUP(B524,'NIVEL ENERO'!A:D,3,0)</f>
        <v>#N/A</v>
      </c>
      <c r="Q524" s="229" t="e">
        <f aca="false">VLOOKUP(B524,'NIVEL ENERO'!A:D,4,0)</f>
        <v>#N/A</v>
      </c>
      <c r="R524" s="186" t="str">
        <f aca="false">+PROPER(C524&amp;" "&amp;D524)</f>
        <v>Diaz Carabali Maria Ines</v>
      </c>
      <c r="S524" s="230" t="n">
        <f aca="false">+YEARFRAC(L524,$S$1)</f>
        <v>19.6388888888889</v>
      </c>
      <c r="T524" s="230" t="n">
        <f aca="false">+YEARFRAC(M524,$S$1)</f>
        <v>19.6277777777778</v>
      </c>
      <c r="U524" s="231" t="n">
        <f aca="false">+$I524</f>
        <v>31554912</v>
      </c>
      <c r="V524" s="232" t="str">
        <f aca="false">+PROPER(F524)</f>
        <v>Casado(A)</v>
      </c>
    </row>
    <row r="525" customFormat="false" ht="14.25" hidden="false" customHeight="false" outlineLevel="0" collapsed="false">
      <c r="B525" s="197" t="n">
        <v>66877948</v>
      </c>
      <c r="C525" s="197" t="s">
        <v>1901</v>
      </c>
      <c r="D525" s="197" t="s">
        <v>1902</v>
      </c>
      <c r="E525" s="198" t="s">
        <v>944</v>
      </c>
      <c r="F525" s="198" t="s">
        <v>945</v>
      </c>
      <c r="G525" s="225" t="n">
        <v>1509809</v>
      </c>
      <c r="H525" s="225" t="n">
        <v>1005311</v>
      </c>
      <c r="I525" s="225" t="n">
        <v>424510</v>
      </c>
      <c r="J525" s="198" t="n">
        <v>49</v>
      </c>
      <c r="K525" s="198" t="n">
        <v>4</v>
      </c>
      <c r="L525" s="226" t="n">
        <v>45189</v>
      </c>
      <c r="M525" s="226" t="n">
        <v>36016</v>
      </c>
      <c r="N525" s="227" t="n">
        <v>3</v>
      </c>
      <c r="O525" s="227" t="s">
        <v>135</v>
      </c>
      <c r="P525" s="228" t="n">
        <f aca="false">VLOOKUP(B525,'NIVEL ENERO'!A:D,3,0)</f>
        <v>0.542142259692644</v>
      </c>
      <c r="Q525" s="229" t="n">
        <f aca="false">VLOOKUP(B525,'NIVEL ENERO'!A:D,4,0)</f>
        <v>-437041</v>
      </c>
      <c r="R525" s="186" t="str">
        <f aca="false">+PROPER(C525&amp;" "&amp;D525)</f>
        <v>Ruiz Montalvo Marlen</v>
      </c>
      <c r="S525" s="230" t="n">
        <f aca="false">+YEARFRAC(L525,$S$1)</f>
        <v>2.64444444444444</v>
      </c>
      <c r="T525" s="230" t="n">
        <f aca="false">+YEARFRAC(M525,$S$1)</f>
        <v>27.7583333333333</v>
      </c>
      <c r="U525" s="231" t="n">
        <f aca="false">+$I525</f>
        <v>424510</v>
      </c>
      <c r="V525" s="232" t="str">
        <f aca="false">+PROPER(F525)</f>
        <v>Union Libre</v>
      </c>
    </row>
    <row r="526" customFormat="false" ht="14.25" hidden="false" customHeight="false" outlineLevel="0" collapsed="false">
      <c r="B526" s="197" t="n">
        <v>66899264</v>
      </c>
      <c r="C526" s="197" t="s">
        <v>1903</v>
      </c>
      <c r="D526" s="197" t="s">
        <v>1904</v>
      </c>
      <c r="E526" s="198" t="s">
        <v>944</v>
      </c>
      <c r="F526" s="198" t="s">
        <v>948</v>
      </c>
      <c r="G526" s="225" t="n">
        <v>2600900</v>
      </c>
      <c r="H526" s="225" t="n">
        <v>3577150</v>
      </c>
      <c r="I526" s="225" t="n">
        <v>13802770</v>
      </c>
      <c r="J526" s="198" t="n">
        <v>51</v>
      </c>
      <c r="K526" s="198" t="n">
        <v>1</v>
      </c>
      <c r="L526" s="226" t="n">
        <v>43627</v>
      </c>
      <c r="M526" s="226" t="n">
        <v>40896</v>
      </c>
      <c r="N526" s="227" t="n">
        <v>3</v>
      </c>
      <c r="O526" s="227" t="s">
        <v>135</v>
      </c>
      <c r="P526" s="228" t="n">
        <f aca="false">VLOOKUP(B526,'NIVEL ENERO'!A:D,3,0)</f>
        <v>0.390205313545311</v>
      </c>
      <c r="Q526" s="229" t="n">
        <f aca="false">VLOOKUP(B526,'NIVEL ENERO'!A:D,4,0)</f>
        <v>77493</v>
      </c>
      <c r="R526" s="186" t="str">
        <f aca="false">+PROPER(C526&amp;" "&amp;D526)</f>
        <v>Trejos Apradez Yackeline</v>
      </c>
      <c r="S526" s="230" t="n">
        <f aca="false">+YEARFRAC(L526,$S$1)</f>
        <v>6.91944444444444</v>
      </c>
      <c r="T526" s="230" t="n">
        <f aca="false">+YEARFRAC(M526,$S$1)</f>
        <v>14.3972222222222</v>
      </c>
      <c r="U526" s="231" t="n">
        <f aca="false">+$I526</f>
        <v>13802770</v>
      </c>
      <c r="V526" s="232" t="str">
        <f aca="false">+PROPER(F526)</f>
        <v>Casado(A)</v>
      </c>
    </row>
    <row r="527" customFormat="false" ht="14.25" hidden="false" customHeight="false" outlineLevel="0" collapsed="false">
      <c r="B527" s="197" t="n">
        <v>66899613</v>
      </c>
      <c r="C527" s="197" t="s">
        <v>1905</v>
      </c>
      <c r="D527" s="197" t="s">
        <v>1906</v>
      </c>
      <c r="E527" s="198" t="s">
        <v>944</v>
      </c>
      <c r="F527" s="198" t="s">
        <v>948</v>
      </c>
      <c r="G527" s="225" t="n">
        <v>2916600</v>
      </c>
      <c r="H527" s="225" t="n">
        <v>10500453</v>
      </c>
      <c r="I527" s="225" t="n">
        <v>0</v>
      </c>
      <c r="J527" s="198" t="n">
        <v>51</v>
      </c>
      <c r="K527" s="198" t="n">
        <v>4</v>
      </c>
      <c r="L527" s="226" t="n">
        <v>42157</v>
      </c>
      <c r="M527" s="226" t="n">
        <v>40544</v>
      </c>
      <c r="N527" s="227" t="n">
        <v>3</v>
      </c>
      <c r="O527" s="227" t="s">
        <v>135</v>
      </c>
      <c r="P527" s="228" t="n">
        <f aca="false">VLOOKUP(B527,'NIVEL ENERO'!A:D,3,0)</f>
        <v>0.388883974490846</v>
      </c>
      <c r="Q527" s="229" t="n">
        <f aca="false">VLOOKUP(B527,'NIVEL ENERO'!A:D,4,0)</f>
        <v>90753</v>
      </c>
      <c r="R527" s="186" t="str">
        <f aca="false">+PROPER(C527&amp;" "&amp;D527)</f>
        <v>Salazar Orozco Zulma Ofir</v>
      </c>
      <c r="S527" s="230" t="n">
        <f aca="false">+YEARFRAC(L527,$S$1)</f>
        <v>10.9444444444444</v>
      </c>
      <c r="T527" s="230" t="n">
        <f aca="false">+YEARFRAC(M527,$S$1)</f>
        <v>15.3638888888889</v>
      </c>
      <c r="U527" s="231" t="n">
        <f aca="false">+$I527</f>
        <v>0</v>
      </c>
      <c r="V527" s="232" t="str">
        <f aca="false">+PROPER(F527)</f>
        <v>Casado(A)</v>
      </c>
    </row>
    <row r="528" customFormat="false" ht="14.25" hidden="false" customHeight="false" outlineLevel="0" collapsed="false">
      <c r="B528" s="197" t="n">
        <v>66900071</v>
      </c>
      <c r="C528" s="197" t="s">
        <v>1907</v>
      </c>
      <c r="D528" s="197" t="s">
        <v>1908</v>
      </c>
      <c r="E528" s="198" t="s">
        <v>944</v>
      </c>
      <c r="F528" s="198" t="s">
        <v>948</v>
      </c>
      <c r="G528" s="225" t="n">
        <v>5418800</v>
      </c>
      <c r="H528" s="225" t="n">
        <v>6309807</v>
      </c>
      <c r="I528" s="225" t="n">
        <v>11134330</v>
      </c>
      <c r="J528" s="198" t="n">
        <v>50</v>
      </c>
      <c r="K528" s="198" t="n">
        <v>2</v>
      </c>
      <c r="L528" s="226" t="n">
        <v>43872</v>
      </c>
      <c r="M528" s="226" t="n">
        <v>38637</v>
      </c>
      <c r="N528" s="227" t="n">
        <v>3</v>
      </c>
      <c r="O528" s="227" t="s">
        <v>135</v>
      </c>
      <c r="P528" s="228" t="n">
        <f aca="false">VLOOKUP(B528,'NIVEL ENERO'!A:D,3,0)</f>
        <v>0.320743554392017</v>
      </c>
      <c r="Q528" s="229" t="n">
        <f aca="false">VLOOKUP(B528,'NIVEL ENERO'!A:D,4,0)</f>
        <v>861170.56</v>
      </c>
      <c r="R528" s="186" t="str">
        <f aca="false">+PROPER(C528&amp;" "&amp;D528)</f>
        <v>Caicedo Diaz Yaneth Alexandra</v>
      </c>
      <c r="S528" s="230" t="n">
        <f aca="false">+YEARFRAC(L528,$S$1)</f>
        <v>6.25277777777778</v>
      </c>
      <c r="T528" s="230" t="n">
        <f aca="false">+YEARFRAC(M528,$S$1)</f>
        <v>20.5833333333333</v>
      </c>
      <c r="U528" s="231" t="n">
        <f aca="false">+$I528</f>
        <v>11134330</v>
      </c>
      <c r="V528" s="232" t="str">
        <f aca="false">+PROPER(F528)</f>
        <v>Casado(A)</v>
      </c>
    </row>
    <row r="529" customFormat="false" ht="14.25" hidden="false" customHeight="false" outlineLevel="0" collapsed="false">
      <c r="B529" s="197" t="n">
        <v>66900521</v>
      </c>
      <c r="C529" s="197" t="s">
        <v>1909</v>
      </c>
      <c r="D529" s="197" t="s">
        <v>1139</v>
      </c>
      <c r="E529" s="198" t="s">
        <v>944</v>
      </c>
      <c r="F529" s="198" t="s">
        <v>945</v>
      </c>
      <c r="G529" s="225" t="n">
        <v>2600900</v>
      </c>
      <c r="H529" s="225" t="n">
        <v>3123401</v>
      </c>
      <c r="I529" s="225" t="n">
        <v>3593812</v>
      </c>
      <c r="J529" s="198" t="n">
        <v>51</v>
      </c>
      <c r="K529" s="198" t="n">
        <v>2</v>
      </c>
      <c r="L529" s="226" t="n">
        <v>43718</v>
      </c>
      <c r="M529" s="226" t="n">
        <v>38455</v>
      </c>
      <c r="N529" s="227" t="n">
        <v>3</v>
      </c>
      <c r="O529" s="227" t="s">
        <v>135</v>
      </c>
      <c r="P529" s="228" t="n">
        <f aca="false">VLOOKUP(B529,'NIVEL ENERO'!A:D,3,0)</f>
        <v>0.381060786650775</v>
      </c>
      <c r="Q529" s="229" t="n">
        <f aca="false">VLOOKUP(B529,'NIVEL ENERO'!A:D,4,0)</f>
        <v>101277</v>
      </c>
      <c r="R529" s="186" t="str">
        <f aca="false">+PROPER(C529&amp;" "&amp;D529)</f>
        <v>Franco Cuellar Sandra Liliana</v>
      </c>
      <c r="S529" s="230" t="n">
        <f aca="false">+YEARFRAC(L529,$S$1)</f>
        <v>6.67222222222222</v>
      </c>
      <c r="T529" s="230" t="n">
        <f aca="false">+YEARFRAC(M529,$S$1)</f>
        <v>21.0805555555556</v>
      </c>
      <c r="U529" s="231" t="n">
        <f aca="false">+$I529</f>
        <v>3593812</v>
      </c>
      <c r="V529" s="232" t="str">
        <f aca="false">+PROPER(F529)</f>
        <v>Union Libre</v>
      </c>
    </row>
    <row r="530" customFormat="false" ht="14.25" hidden="false" customHeight="false" outlineLevel="0" collapsed="false">
      <c r="B530" s="197" t="n">
        <v>66901991</v>
      </c>
      <c r="C530" s="197" t="s">
        <v>1910</v>
      </c>
      <c r="D530" s="197" t="s">
        <v>1436</v>
      </c>
      <c r="E530" s="198" t="s">
        <v>944</v>
      </c>
      <c r="F530" s="198" t="s">
        <v>953</v>
      </c>
      <c r="G530" s="225" t="n">
        <v>12000000</v>
      </c>
      <c r="H530" s="225" t="n">
        <v>650000</v>
      </c>
      <c r="I530" s="225"/>
      <c r="J530" s="198" t="n">
        <v>50</v>
      </c>
      <c r="K530" s="198" t="n">
        <v>1</v>
      </c>
      <c r="L530" s="226" t="n">
        <v>45352</v>
      </c>
      <c r="M530" s="226" t="n">
        <v>39309</v>
      </c>
      <c r="N530" s="227" t="n">
        <v>0</v>
      </c>
      <c r="O530" s="227" t="s">
        <v>158</v>
      </c>
      <c r="P530" s="228" t="e">
        <f aca="false">VLOOKUP(B530,'NIVEL ENERO'!A:D,3,0)</f>
        <v>#N/A</v>
      </c>
      <c r="Q530" s="229" t="e">
        <f aca="false">VLOOKUP(B530,'NIVEL ENERO'!A:D,4,0)</f>
        <v>#N/A</v>
      </c>
      <c r="R530" s="186" t="str">
        <f aca="false">+PROPER(C530&amp;" "&amp;D530)</f>
        <v>Navas Garcia Claudia Ximena</v>
      </c>
      <c r="S530" s="230" t="n">
        <f aca="false">+YEARFRAC(L530,$S$1)</f>
        <v>2.19722222222222</v>
      </c>
      <c r="T530" s="230" t="n">
        <f aca="false">+YEARFRAC(M530,$S$1)</f>
        <v>18.7416666666667</v>
      </c>
      <c r="U530" s="231" t="n">
        <f aca="false">+$I530</f>
        <v>0</v>
      </c>
      <c r="V530" s="232" t="str">
        <f aca="false">+PROPER(F530)</f>
        <v>Soltero(A)</v>
      </c>
    </row>
    <row r="531" customFormat="false" ht="14.25" hidden="false" customHeight="false" outlineLevel="0" collapsed="false">
      <c r="B531" s="197" t="n">
        <v>66902081</v>
      </c>
      <c r="C531" s="197" t="s">
        <v>1911</v>
      </c>
      <c r="D531" s="197" t="s">
        <v>1912</v>
      </c>
      <c r="E531" s="198" t="s">
        <v>944</v>
      </c>
      <c r="F531" s="198" t="s">
        <v>948</v>
      </c>
      <c r="G531" s="225" t="n">
        <v>4870200</v>
      </c>
      <c r="H531" s="225" t="n">
        <v>5380035</v>
      </c>
      <c r="I531" s="225" t="n">
        <v>0</v>
      </c>
      <c r="J531" s="198" t="n">
        <v>50</v>
      </c>
      <c r="K531" s="198" t="n">
        <v>1</v>
      </c>
      <c r="L531" s="226" t="n">
        <v>44155</v>
      </c>
      <c r="M531" s="226" t="n">
        <v>42170</v>
      </c>
      <c r="N531" s="227" t="n">
        <v>4</v>
      </c>
      <c r="O531" s="227" t="s">
        <v>135</v>
      </c>
      <c r="P531" s="228" t="n">
        <f aca="false">VLOOKUP(B531,'NIVEL ENERO'!A:D,3,0)</f>
        <v>0.125762010180547</v>
      </c>
      <c r="Q531" s="229" t="n">
        <f aca="false">VLOOKUP(B531,'NIVEL ENERO'!A:D,4,0)</f>
        <v>1837144.82</v>
      </c>
      <c r="R531" s="186" t="str">
        <f aca="false">+PROPER(C531&amp;" "&amp;D531)</f>
        <v>Morales Moncada Lina Beth</v>
      </c>
      <c r="S531" s="230" t="n">
        <f aca="false">+YEARFRAC(L531,$S$1)</f>
        <v>5.47777777777778</v>
      </c>
      <c r="T531" s="230" t="n">
        <f aca="false">+YEARFRAC(M531,$S$1)</f>
        <v>10.9083333333333</v>
      </c>
      <c r="U531" s="231" t="n">
        <f aca="false">+$I531</f>
        <v>0</v>
      </c>
      <c r="V531" s="232" t="str">
        <f aca="false">+PROPER(F531)</f>
        <v>Casado(A)</v>
      </c>
    </row>
    <row r="532" customFormat="false" ht="14.25" hidden="false" customHeight="false" outlineLevel="0" collapsed="false">
      <c r="B532" s="197" t="n">
        <v>66904285</v>
      </c>
      <c r="C532" s="197" t="s">
        <v>1913</v>
      </c>
      <c r="D532" s="197" t="s">
        <v>1135</v>
      </c>
      <c r="E532" s="198" t="s">
        <v>944</v>
      </c>
      <c r="F532" s="198" t="s">
        <v>1107</v>
      </c>
      <c r="G532" s="225" t="n">
        <v>3945300</v>
      </c>
      <c r="H532" s="225" t="n">
        <v>2690148</v>
      </c>
      <c r="I532" s="225" t="n">
        <v>0</v>
      </c>
      <c r="J532" s="198" t="n">
        <v>50</v>
      </c>
      <c r="K532" s="198" t="n">
        <v>2</v>
      </c>
      <c r="L532" s="226" t="n">
        <v>44120</v>
      </c>
      <c r="M532" s="226" t="n">
        <v>38343</v>
      </c>
      <c r="N532" s="227" t="n">
        <v>1</v>
      </c>
      <c r="O532" s="227" t="s">
        <v>135</v>
      </c>
      <c r="P532" s="228" t="n">
        <f aca="false">VLOOKUP(B532,'NIVEL ENERO'!A:D,3,0)</f>
        <v>0.118099510810331</v>
      </c>
      <c r="Q532" s="229" t="n">
        <f aca="false">VLOOKUP(B532,'NIVEL ENERO'!A:D,4,0)</f>
        <v>1191088</v>
      </c>
      <c r="R532" s="186" t="str">
        <f aca="false">+PROPER(C532&amp;" "&amp;D532)</f>
        <v>Aldana Bedoya Sandra Milena</v>
      </c>
      <c r="S532" s="230" t="n">
        <f aca="false">+YEARFRAC(L532,$S$1)</f>
        <v>5.57222222222222</v>
      </c>
      <c r="T532" s="230" t="n">
        <f aca="false">+YEARFRAC(M532,$S$1)</f>
        <v>21.3888888888889</v>
      </c>
      <c r="U532" s="231" t="n">
        <f aca="false">+$I532</f>
        <v>0</v>
      </c>
      <c r="V532" s="232" t="str">
        <f aca="false">+PROPER(F532)</f>
        <v>Viudo(A)</v>
      </c>
    </row>
    <row r="533" customFormat="false" ht="14.25" hidden="false" customHeight="false" outlineLevel="0" collapsed="false">
      <c r="B533" s="197" t="n">
        <v>66905882</v>
      </c>
      <c r="C533" s="197" t="s">
        <v>1914</v>
      </c>
      <c r="D533" s="197" t="s">
        <v>1308</v>
      </c>
      <c r="E533" s="198" t="s">
        <v>944</v>
      </c>
      <c r="F533" s="198" t="s">
        <v>953</v>
      </c>
      <c r="G533" s="225" t="n">
        <v>2893800</v>
      </c>
      <c r="H533" s="225" t="n">
        <v>1809701</v>
      </c>
      <c r="I533" s="225" t="n">
        <v>647415</v>
      </c>
      <c r="J533" s="198" t="n">
        <v>50</v>
      </c>
      <c r="K533" s="198" t="n">
        <v>1</v>
      </c>
      <c r="L533" s="226" t="n">
        <v>44725</v>
      </c>
      <c r="M533" s="226" t="n">
        <v>44136</v>
      </c>
      <c r="N533" s="227" t="n">
        <v>2</v>
      </c>
      <c r="O533" s="227" t="s">
        <v>135</v>
      </c>
      <c r="P533" s="228" t="n">
        <f aca="false">VLOOKUP(B533,'NIVEL ENERO'!A:D,3,0)</f>
        <v>0.320389328136183</v>
      </c>
      <c r="Q533" s="229" t="n">
        <f aca="false">VLOOKUP(B533,'NIVEL ENERO'!A:D,4,0)</f>
        <v>391335.3</v>
      </c>
      <c r="R533" s="186" t="str">
        <f aca="false">+PROPER(C533&amp;" "&amp;D533)</f>
        <v>Serna Martinez Maria Del Pilar</v>
      </c>
      <c r="S533" s="230" t="n">
        <f aca="false">+YEARFRAC(L533,$S$1)</f>
        <v>3.91388888888889</v>
      </c>
      <c r="T533" s="230" t="n">
        <f aca="false">+YEARFRAC(M533,$S$1)</f>
        <v>5.53055555555556</v>
      </c>
      <c r="U533" s="231" t="n">
        <f aca="false">+$I533</f>
        <v>647415</v>
      </c>
      <c r="V533" s="232" t="str">
        <f aca="false">+PROPER(F533)</f>
        <v>Soltero(A)</v>
      </c>
    </row>
    <row r="534" customFormat="false" ht="14.25" hidden="false" customHeight="false" outlineLevel="0" collapsed="false">
      <c r="B534" s="197" t="n">
        <v>66907772</v>
      </c>
      <c r="C534" s="197" t="s">
        <v>1915</v>
      </c>
      <c r="D534" s="197" t="s">
        <v>1137</v>
      </c>
      <c r="E534" s="198" t="s">
        <v>944</v>
      </c>
      <c r="F534" s="198" t="s">
        <v>945</v>
      </c>
      <c r="G534" s="225" t="n">
        <v>8245400</v>
      </c>
      <c r="H534" s="225" t="n">
        <v>11744279</v>
      </c>
      <c r="I534" s="225" t="n">
        <v>1433109</v>
      </c>
      <c r="J534" s="198" t="n">
        <v>50</v>
      </c>
      <c r="K534" s="198" t="n">
        <v>1</v>
      </c>
      <c r="L534" s="226" t="n">
        <v>40952</v>
      </c>
      <c r="M534" s="226" t="n">
        <v>36061</v>
      </c>
      <c r="N534" s="227" t="n">
        <v>3</v>
      </c>
      <c r="O534" s="227" t="s">
        <v>135</v>
      </c>
      <c r="P534" s="228" t="n">
        <f aca="false">VLOOKUP(B534,'NIVEL ENERO'!A:D,3,0)</f>
        <v>0.241242291911606</v>
      </c>
      <c r="Q534" s="229" t="n">
        <f aca="false">VLOOKUP(B534,'NIVEL ENERO'!A:D,4,0)</f>
        <v>1490017</v>
      </c>
      <c r="R534" s="186" t="str">
        <f aca="false">+PROPER(C534&amp;" "&amp;D534)</f>
        <v>Chica Grisales Luz Adriana</v>
      </c>
      <c r="S534" s="230" t="n">
        <f aca="false">+YEARFRAC(L534,$S$1)</f>
        <v>14.2472222222222</v>
      </c>
      <c r="T534" s="230" t="n">
        <f aca="false">+YEARFRAC(M534,$S$1)</f>
        <v>27.6361111111111</v>
      </c>
      <c r="U534" s="231" t="n">
        <f aca="false">+$I534</f>
        <v>1433109</v>
      </c>
      <c r="V534" s="232" t="str">
        <f aca="false">+PROPER(F534)</f>
        <v>Union Libre</v>
      </c>
    </row>
    <row r="535" customFormat="false" ht="14.25" hidden="false" customHeight="false" outlineLevel="0" collapsed="false">
      <c r="B535" s="197" t="n">
        <v>66915635</v>
      </c>
      <c r="C535" s="197" t="s">
        <v>1916</v>
      </c>
      <c r="D535" s="197" t="s">
        <v>1917</v>
      </c>
      <c r="E535" s="198" t="s">
        <v>1288</v>
      </c>
      <c r="F535" s="198" t="s">
        <v>998</v>
      </c>
      <c r="G535" s="225" t="n">
        <v>8245400</v>
      </c>
      <c r="H535" s="225" t="n">
        <v>1759194</v>
      </c>
      <c r="I535" s="225" t="n">
        <v>13357324</v>
      </c>
      <c r="J535" s="198" t="n">
        <v>50</v>
      </c>
      <c r="K535" s="198" t="n">
        <v>2</v>
      </c>
      <c r="L535" s="226" t="n">
        <v>44853</v>
      </c>
      <c r="M535" s="226" t="n">
        <v>38203</v>
      </c>
      <c r="N535" s="227" t="n">
        <v>3</v>
      </c>
      <c r="O535" s="227" t="s">
        <v>135</v>
      </c>
      <c r="P535" s="228" t="n">
        <f aca="false">VLOOKUP(B535,'NIVEL ENERO'!A:D,3,0)</f>
        <v>0.468588070158601</v>
      </c>
      <c r="Q535" s="229" t="n">
        <f aca="false">VLOOKUP(B535,'NIVEL ENERO'!A:D,4,0)</f>
        <v>-405001</v>
      </c>
      <c r="R535" s="186" t="str">
        <f aca="false">+PROPER(C535&amp;" "&amp;D535)</f>
        <v>Florez Alzate Luz Elena</v>
      </c>
      <c r="S535" s="230" t="n">
        <f aca="false">+YEARFRAC(L535,$S$1)</f>
        <v>3.56388888888889</v>
      </c>
      <c r="T535" s="230" t="n">
        <f aca="false">+YEARFRAC(M535,$S$1)</f>
        <v>21.7722222222222</v>
      </c>
      <c r="U535" s="231" t="n">
        <f aca="false">+$I535</f>
        <v>13357324</v>
      </c>
      <c r="V535" s="232" t="str">
        <f aca="false">+PROPER(F535)</f>
        <v>Separado(A)</v>
      </c>
    </row>
    <row r="536" customFormat="false" ht="14.25" hidden="false" customHeight="false" outlineLevel="0" collapsed="false">
      <c r="B536" s="197" t="n">
        <v>66918633</v>
      </c>
      <c r="C536" s="197" t="s">
        <v>1918</v>
      </c>
      <c r="D536" s="197" t="s">
        <v>1919</v>
      </c>
      <c r="E536" s="198" t="s">
        <v>944</v>
      </c>
      <c r="F536" s="198" t="s">
        <v>948</v>
      </c>
      <c r="G536" s="225" t="n">
        <v>9087800</v>
      </c>
      <c r="H536" s="225" t="n">
        <v>1607671</v>
      </c>
      <c r="I536" s="225"/>
      <c r="J536" s="198" t="n">
        <v>50</v>
      </c>
      <c r="K536" s="198" t="n">
        <v>1</v>
      </c>
      <c r="L536" s="226" t="n">
        <v>44853</v>
      </c>
      <c r="M536" s="226" t="n">
        <v>40389</v>
      </c>
      <c r="N536" s="227" t="n">
        <v>0</v>
      </c>
      <c r="O536" s="227" t="s">
        <v>135</v>
      </c>
      <c r="P536" s="228" t="n">
        <f aca="false">VLOOKUP(B536,'NIVEL ENERO'!A:D,3,0)</f>
        <v>0.295321509671533</v>
      </c>
      <c r="Q536" s="229" t="n">
        <f aca="false">VLOOKUP(B536,'NIVEL ENERO'!A:D,4,0)</f>
        <v>1144275.62</v>
      </c>
      <c r="R536" s="186" t="str">
        <f aca="false">+PROPER(C536&amp;" "&amp;D536)</f>
        <v>Otero Mora Claudia Cristina</v>
      </c>
      <c r="S536" s="230" t="n">
        <f aca="false">+YEARFRAC(L536,$S$1)</f>
        <v>3.56388888888889</v>
      </c>
      <c r="T536" s="230" t="n">
        <f aca="false">+YEARFRAC(M536,$S$1)</f>
        <v>15.7833333333333</v>
      </c>
      <c r="U536" s="231" t="n">
        <f aca="false">+$I536</f>
        <v>0</v>
      </c>
      <c r="V536" s="232" t="str">
        <f aca="false">+PROPER(F536)</f>
        <v>Casado(A)</v>
      </c>
    </row>
    <row r="537" customFormat="false" ht="14.25" hidden="false" customHeight="false" outlineLevel="0" collapsed="false">
      <c r="B537" s="197" t="n">
        <v>66919261</v>
      </c>
      <c r="C537" s="197" t="s">
        <v>1920</v>
      </c>
      <c r="D537" s="197" t="s">
        <v>1549</v>
      </c>
      <c r="E537" s="198" t="s">
        <v>944</v>
      </c>
      <c r="F537" s="198" t="s">
        <v>945</v>
      </c>
      <c r="G537" s="225" t="n">
        <v>4000000</v>
      </c>
      <c r="H537" s="225" t="n">
        <v>650000</v>
      </c>
      <c r="I537" s="225"/>
      <c r="J537" s="198" t="n">
        <v>50</v>
      </c>
      <c r="K537" s="198" t="n">
        <v>6</v>
      </c>
      <c r="L537" s="226" t="n">
        <v>45352</v>
      </c>
      <c r="M537" s="226" t="n">
        <v>44516</v>
      </c>
      <c r="N537" s="227" t="n">
        <v>0</v>
      </c>
      <c r="O537" s="227" t="s">
        <v>158</v>
      </c>
      <c r="P537" s="228" t="e">
        <f aca="false">VLOOKUP(B537,'NIVEL ENERO'!A:D,3,0)</f>
        <v>#N/A</v>
      </c>
      <c r="Q537" s="229" t="e">
        <f aca="false">VLOOKUP(B537,'NIVEL ENERO'!A:D,4,0)</f>
        <v>#N/A</v>
      </c>
      <c r="R537" s="186" t="str">
        <f aca="false">+PROPER(C537&amp;" "&amp;D537)</f>
        <v>Cortes Barbosa Sandra Patricia</v>
      </c>
      <c r="S537" s="230" t="n">
        <f aca="false">+YEARFRAC(L537,$S$1)</f>
        <v>2.19722222222222</v>
      </c>
      <c r="T537" s="230" t="n">
        <f aca="false">+YEARFRAC(M537,$S$1)</f>
        <v>4.48888888888889</v>
      </c>
      <c r="U537" s="231" t="n">
        <f aca="false">+$I537</f>
        <v>0</v>
      </c>
      <c r="V537" s="232" t="str">
        <f aca="false">+PROPER(F537)</f>
        <v>Union Libre</v>
      </c>
    </row>
    <row r="538" customFormat="false" ht="14.25" hidden="false" customHeight="false" outlineLevel="0" collapsed="false">
      <c r="B538" s="197" t="n">
        <v>66922338</v>
      </c>
      <c r="C538" s="197" t="s">
        <v>1191</v>
      </c>
      <c r="D538" s="197" t="s">
        <v>1921</v>
      </c>
      <c r="E538" s="198" t="s">
        <v>944</v>
      </c>
      <c r="F538" s="198" t="s">
        <v>953</v>
      </c>
      <c r="G538" s="225" t="n">
        <v>1717900</v>
      </c>
      <c r="H538" s="225" t="n">
        <v>3544744</v>
      </c>
      <c r="I538" s="225" t="n">
        <v>9117282</v>
      </c>
      <c r="J538" s="198" t="n">
        <v>50</v>
      </c>
      <c r="K538" s="198" t="n">
        <v>2</v>
      </c>
      <c r="L538" s="226" t="n">
        <v>43420</v>
      </c>
      <c r="M538" s="226" t="n">
        <v>38174</v>
      </c>
      <c r="N538" s="227" t="n">
        <v>4</v>
      </c>
      <c r="O538" s="227" t="s">
        <v>135</v>
      </c>
      <c r="P538" s="228" t="n">
        <f aca="false">VLOOKUP(B538,'NIVEL ENERO'!A:D,3,0)</f>
        <v>0.473070315362025</v>
      </c>
      <c r="Q538" s="229" t="n">
        <f aca="false">VLOOKUP(B538,'NIVEL ENERO'!A:D,4,0)</f>
        <v>-245698.333333333</v>
      </c>
      <c r="R538" s="186" t="str">
        <f aca="false">+PROPER(C538&amp;" "&amp;D538)</f>
        <v>Molina Francia</v>
      </c>
      <c r="S538" s="230" t="n">
        <f aca="false">+YEARFRAC(L538,$S$1)</f>
        <v>7.48888888888889</v>
      </c>
      <c r="T538" s="230" t="n">
        <f aca="false">+YEARFRAC(M538,$S$1)</f>
        <v>21.85</v>
      </c>
      <c r="U538" s="231" t="n">
        <f aca="false">+$I538</f>
        <v>9117282</v>
      </c>
      <c r="V538" s="232" t="str">
        <f aca="false">+PROPER(F538)</f>
        <v>Soltero(A)</v>
      </c>
    </row>
    <row r="539" customFormat="false" ht="14.25" hidden="false" customHeight="false" outlineLevel="0" collapsed="false">
      <c r="B539" s="197" t="n">
        <v>66926738</v>
      </c>
      <c r="C539" s="197" t="s">
        <v>1922</v>
      </c>
      <c r="D539" s="197" t="s">
        <v>1923</v>
      </c>
      <c r="E539" s="198" t="s">
        <v>944</v>
      </c>
      <c r="F539" s="198" t="s">
        <v>998</v>
      </c>
      <c r="G539" s="225" t="n">
        <v>5000000</v>
      </c>
      <c r="H539" s="225" t="n">
        <v>585000</v>
      </c>
      <c r="I539" s="225" t="n">
        <v>1129124</v>
      </c>
      <c r="J539" s="198" t="n">
        <v>49</v>
      </c>
      <c r="K539" s="198" t="n">
        <v>4</v>
      </c>
      <c r="L539" s="226" t="n">
        <v>45383</v>
      </c>
      <c r="M539" s="226" t="n">
        <v>44844</v>
      </c>
      <c r="N539" s="227" t="n">
        <v>0</v>
      </c>
      <c r="O539" s="227" t="s">
        <v>158</v>
      </c>
      <c r="P539" s="228" t="e">
        <f aca="false">VLOOKUP(B539,'NIVEL ENERO'!A:D,3,0)</f>
        <v>#N/A</v>
      </c>
      <c r="Q539" s="229" t="e">
        <f aca="false">VLOOKUP(B539,'NIVEL ENERO'!A:D,4,0)</f>
        <v>#N/A</v>
      </c>
      <c r="R539" s="186" t="str">
        <f aca="false">+PROPER(C539&amp;" "&amp;D539)</f>
        <v>Mendoza  Escobar Juliana Andrea</v>
      </c>
      <c r="S539" s="230" t="n">
        <f aca="false">+YEARFRAC(L539,$S$1)</f>
        <v>2.11388888888889</v>
      </c>
      <c r="T539" s="230" t="n">
        <f aca="false">+YEARFRAC(M539,$S$1)</f>
        <v>3.58888888888889</v>
      </c>
      <c r="U539" s="231" t="n">
        <f aca="false">+$I539</f>
        <v>1129124</v>
      </c>
      <c r="V539" s="232" t="str">
        <f aca="false">+PROPER(F539)</f>
        <v>Separado(A)</v>
      </c>
    </row>
    <row r="540" customFormat="false" ht="14.25" hidden="false" customHeight="false" outlineLevel="0" collapsed="false">
      <c r="B540" s="197" t="n">
        <v>66927392</v>
      </c>
      <c r="C540" s="197" t="s">
        <v>1924</v>
      </c>
      <c r="D540" s="197" t="s">
        <v>1925</v>
      </c>
      <c r="E540" s="198" t="s">
        <v>944</v>
      </c>
      <c r="F540" s="198" t="s">
        <v>998</v>
      </c>
      <c r="G540" s="225" t="n">
        <v>3055300</v>
      </c>
      <c r="H540" s="225" t="n">
        <v>959029</v>
      </c>
      <c r="I540" s="225" t="n">
        <v>0</v>
      </c>
      <c r="J540" s="198" t="n">
        <v>49</v>
      </c>
      <c r="K540" s="198" t="n">
        <v>1</v>
      </c>
      <c r="L540" s="226" t="n">
        <v>45249</v>
      </c>
      <c r="M540" s="226" t="n">
        <v>37222</v>
      </c>
      <c r="N540" s="227" t="n">
        <v>2</v>
      </c>
      <c r="O540" s="227" t="s">
        <v>135</v>
      </c>
      <c r="P540" s="228" t="n">
        <f aca="false">VLOOKUP(B540,'NIVEL ENERO'!A:D,3,0)</f>
        <v>0.279921120675547</v>
      </c>
      <c r="Q540" s="229" t="n">
        <f aca="false">VLOOKUP(B540,'NIVEL ENERO'!A:D,4,0)</f>
        <v>427983</v>
      </c>
      <c r="R540" s="186" t="str">
        <f aca="false">+PROPER(C540&amp;" "&amp;D540)</f>
        <v>Moreno Beltran Siria Ibony</v>
      </c>
      <c r="S540" s="230" t="n">
        <f aca="false">+YEARFRAC(L540,$S$1)</f>
        <v>2.48055555555556</v>
      </c>
      <c r="T540" s="230" t="n">
        <f aca="false">+YEARFRAC(M540,$S$1)</f>
        <v>24.4583333333333</v>
      </c>
      <c r="U540" s="231" t="n">
        <f aca="false">+$I540</f>
        <v>0</v>
      </c>
      <c r="V540" s="232" t="str">
        <f aca="false">+PROPER(F540)</f>
        <v>Separado(A)</v>
      </c>
    </row>
    <row r="541" customFormat="false" ht="14.25" hidden="false" customHeight="false" outlineLevel="0" collapsed="false">
      <c r="B541" s="197" t="n">
        <v>66929175</v>
      </c>
      <c r="C541" s="197" t="s">
        <v>1926</v>
      </c>
      <c r="D541" s="197" t="s">
        <v>1927</v>
      </c>
      <c r="E541" s="198" t="s">
        <v>944</v>
      </c>
      <c r="F541" s="198" t="s">
        <v>948</v>
      </c>
      <c r="G541" s="225" t="n">
        <v>7551500</v>
      </c>
      <c r="H541" s="225" t="n">
        <v>7437740</v>
      </c>
      <c r="I541" s="225"/>
      <c r="J541" s="198" t="n">
        <v>49</v>
      </c>
      <c r="K541" s="198" t="n">
        <v>3</v>
      </c>
      <c r="L541" s="226" t="n">
        <v>44523</v>
      </c>
      <c r="M541" s="226" t="n">
        <v>41805</v>
      </c>
      <c r="N541" s="227" t="n">
        <v>4</v>
      </c>
      <c r="O541" s="227" t="s">
        <v>135</v>
      </c>
      <c r="P541" s="228" t="n">
        <f aca="false">VLOOKUP(B541,'NIVEL ENERO'!A:D,3,0)</f>
        <v>0.203082433953519</v>
      </c>
      <c r="Q541" s="229" t="n">
        <f aca="false">VLOOKUP(B541,'NIVEL ENERO'!A:D,4,0)</f>
        <v>1638053</v>
      </c>
      <c r="R541" s="186" t="str">
        <f aca="false">+PROPER(C541&amp;" "&amp;D541)</f>
        <v>Vivas Cardona Sonia Isabel</v>
      </c>
      <c r="S541" s="230" t="n">
        <f aca="false">+YEARFRAC(L541,$S$1)</f>
        <v>4.46944444444444</v>
      </c>
      <c r="T541" s="230" t="n">
        <f aca="false">+YEARFRAC(M541,$S$1)</f>
        <v>11.9083333333333</v>
      </c>
      <c r="U541" s="231" t="n">
        <f aca="false">+$I541</f>
        <v>0</v>
      </c>
      <c r="V541" s="232" t="str">
        <f aca="false">+PROPER(F541)</f>
        <v>Casado(A)</v>
      </c>
    </row>
    <row r="542" customFormat="false" ht="14.25" hidden="false" customHeight="false" outlineLevel="0" collapsed="false">
      <c r="B542" s="197" t="n">
        <v>66933857</v>
      </c>
      <c r="C542" s="197" t="s">
        <v>1928</v>
      </c>
      <c r="D542" s="197" t="s">
        <v>1929</v>
      </c>
      <c r="E542" s="198" t="s">
        <v>944</v>
      </c>
      <c r="F542" s="198" t="s">
        <v>953</v>
      </c>
      <c r="G542" s="225" t="n">
        <v>2893800</v>
      </c>
      <c r="H542" s="225" t="n">
        <v>1708686</v>
      </c>
      <c r="I542" s="225" t="n">
        <v>1609754</v>
      </c>
      <c r="J542" s="198" t="n">
        <v>41</v>
      </c>
      <c r="K542" s="198" t="n">
        <v>3</v>
      </c>
      <c r="L542" s="226" t="n">
        <v>44797</v>
      </c>
      <c r="M542" s="226" t="n">
        <v>38439</v>
      </c>
      <c r="N542" s="227" t="n">
        <v>3</v>
      </c>
      <c r="O542" s="227" t="s">
        <v>135</v>
      </c>
      <c r="P542" s="228" t="n">
        <f aca="false">VLOOKUP(B542,'NIVEL ENERO'!A:D,3,0)</f>
        <v>0.454029304029304</v>
      </c>
      <c r="Q542" s="229" t="n">
        <f aca="false">VLOOKUP(B542,'NIVEL ENERO'!A:D,4,0)</f>
        <v>-98474</v>
      </c>
      <c r="R542" s="186" t="str">
        <f aca="false">+PROPER(C542&amp;" "&amp;D542)</f>
        <v>Martinez Benitez Lina Johanna</v>
      </c>
      <c r="S542" s="230" t="n">
        <f aca="false">+YEARFRAC(L542,$S$1)</f>
        <v>3.71666666666667</v>
      </c>
      <c r="T542" s="230" t="n">
        <f aca="false">+YEARFRAC(M542,$S$1)</f>
        <v>21.1222222222222</v>
      </c>
      <c r="U542" s="231" t="n">
        <f aca="false">+$I542</f>
        <v>1609754</v>
      </c>
      <c r="V542" s="232" t="str">
        <f aca="false">+PROPER(F542)</f>
        <v>Soltero(A)</v>
      </c>
    </row>
    <row r="543" customFormat="false" ht="14.25" hidden="false" customHeight="false" outlineLevel="0" collapsed="false">
      <c r="B543" s="197" t="n">
        <v>66939312</v>
      </c>
      <c r="C543" s="197" t="s">
        <v>1930</v>
      </c>
      <c r="D543" s="197" t="s">
        <v>1931</v>
      </c>
      <c r="E543" s="198" t="s">
        <v>944</v>
      </c>
      <c r="F543" s="198" t="s">
        <v>1107</v>
      </c>
      <c r="G543" s="225" t="n">
        <v>5418800</v>
      </c>
      <c r="H543" s="225" t="n">
        <v>3011765</v>
      </c>
      <c r="I543" s="225"/>
      <c r="J543" s="198" t="n">
        <v>49</v>
      </c>
      <c r="K543" s="198" t="n">
        <v>2</v>
      </c>
      <c r="L543" s="226" t="n">
        <v>44725</v>
      </c>
      <c r="M543" s="226" t="n">
        <v>44322</v>
      </c>
      <c r="N543" s="227" t="n">
        <v>2</v>
      </c>
      <c r="O543" s="227" t="s">
        <v>135</v>
      </c>
      <c r="P543" s="228" t="n">
        <f aca="false">VLOOKUP(B543,'NIVEL ENERO'!A:D,3,0)</f>
        <v>0.127111111449334</v>
      </c>
      <c r="Q543" s="229" t="n">
        <f aca="false">VLOOKUP(B543,'NIVEL ENERO'!A:D,4,0)</f>
        <v>2309239.68</v>
      </c>
      <c r="R543" s="186" t="str">
        <f aca="false">+PROPER(C543&amp;" "&amp;D543)</f>
        <v>Rosero Echeverri Suleny Margarita</v>
      </c>
      <c r="S543" s="230" t="n">
        <f aca="false">+YEARFRAC(L543,$S$1)</f>
        <v>3.91388888888889</v>
      </c>
      <c r="T543" s="230" t="n">
        <f aca="false">+YEARFRAC(M543,$S$1)</f>
        <v>5.01666666666667</v>
      </c>
      <c r="U543" s="231" t="n">
        <f aca="false">+$I543</f>
        <v>0</v>
      </c>
      <c r="V543" s="232" t="str">
        <f aca="false">+PROPER(F543)</f>
        <v>Viudo(A)</v>
      </c>
    </row>
    <row r="544" customFormat="false" ht="14.25" hidden="false" customHeight="false" outlineLevel="0" collapsed="false">
      <c r="B544" s="197" t="n">
        <v>66948369</v>
      </c>
      <c r="C544" s="197" t="s">
        <v>1932</v>
      </c>
      <c r="D544" s="197" t="s">
        <v>1933</v>
      </c>
      <c r="E544" s="198" t="s">
        <v>944</v>
      </c>
      <c r="F544" s="198" t="s">
        <v>953</v>
      </c>
      <c r="G544" s="225" t="n">
        <v>2893800</v>
      </c>
      <c r="H544" s="225" t="n">
        <v>4337316</v>
      </c>
      <c r="I544" s="225" t="n">
        <v>265275</v>
      </c>
      <c r="J544" s="198" t="n">
        <v>49</v>
      </c>
      <c r="K544" s="198" t="n">
        <v>1</v>
      </c>
      <c r="L544" s="226" t="n">
        <v>42646</v>
      </c>
      <c r="M544" s="226" t="n">
        <v>39990</v>
      </c>
      <c r="N544" s="227" t="n">
        <v>2</v>
      </c>
      <c r="O544" s="227" t="s">
        <v>135</v>
      </c>
      <c r="P544" s="228" t="n">
        <f aca="false">VLOOKUP(B544,'NIVEL ENERO'!A:D,3,0)</f>
        <v>0.291093418085922</v>
      </c>
      <c r="Q544" s="229" t="n">
        <f aca="false">VLOOKUP(B544,'NIVEL ENERO'!A:D,4,0)</f>
        <v>521755.32</v>
      </c>
      <c r="R544" s="186" t="str">
        <f aca="false">+PROPER(C544&amp;" "&amp;D544)</f>
        <v>Volveras Volveras Carmen Elvira</v>
      </c>
      <c r="S544" s="230" t="n">
        <f aca="false">+YEARFRAC(L544,$S$1)</f>
        <v>9.60833333333333</v>
      </c>
      <c r="T544" s="230" t="n">
        <f aca="false">+YEARFRAC(M544,$S$1)</f>
        <v>16.8777777777778</v>
      </c>
      <c r="U544" s="231" t="n">
        <f aca="false">+$I544</f>
        <v>265275</v>
      </c>
      <c r="V544" s="232" t="str">
        <f aca="false">+PROPER(F544)</f>
        <v>Soltero(A)</v>
      </c>
    </row>
    <row r="545" customFormat="false" ht="14.25" hidden="false" customHeight="false" outlineLevel="0" collapsed="false">
      <c r="B545" s="197" t="n">
        <v>66949976</v>
      </c>
      <c r="C545" s="197" t="s">
        <v>1934</v>
      </c>
      <c r="D545" s="197" t="s">
        <v>1935</v>
      </c>
      <c r="E545" s="198" t="s">
        <v>944</v>
      </c>
      <c r="F545" s="198" t="s">
        <v>945</v>
      </c>
      <c r="G545" s="225" t="n">
        <v>2893800</v>
      </c>
      <c r="H545" s="225" t="n">
        <v>5167588</v>
      </c>
      <c r="I545" s="225" t="n">
        <v>3994913</v>
      </c>
      <c r="J545" s="198" t="n">
        <v>49</v>
      </c>
      <c r="K545" s="198" t="n">
        <v>1</v>
      </c>
      <c r="L545" s="226" t="n">
        <v>42412</v>
      </c>
      <c r="M545" s="226" t="n">
        <v>37460</v>
      </c>
      <c r="N545" s="227" t="n">
        <v>4</v>
      </c>
      <c r="O545" s="227" t="s">
        <v>135</v>
      </c>
      <c r="P545" s="228" t="n">
        <f aca="false">VLOOKUP(B545,'NIVEL ENERO'!A:D,3,0)</f>
        <v>0.436976294146105</v>
      </c>
      <c r="Q545" s="229" t="n">
        <f aca="false">VLOOKUP(B545,'NIVEL ENERO'!A:D,4,0)</f>
        <v>-49126</v>
      </c>
      <c r="R545" s="186" t="str">
        <f aca="false">+PROPER(C545&amp;" "&amp;D545)</f>
        <v>Quimbaya Gaviria Sandra Lucia</v>
      </c>
      <c r="S545" s="230" t="n">
        <f aca="false">+YEARFRAC(L545,$S$1)</f>
        <v>10.25</v>
      </c>
      <c r="T545" s="230" t="n">
        <f aca="false">+YEARFRAC(M545,$S$1)</f>
        <v>23.8027777777778</v>
      </c>
      <c r="U545" s="231" t="n">
        <f aca="false">+$I545</f>
        <v>3994913</v>
      </c>
      <c r="V545" s="232" t="str">
        <f aca="false">+PROPER(F545)</f>
        <v>Union Libre</v>
      </c>
    </row>
    <row r="546" customFormat="false" ht="14.25" hidden="false" customHeight="false" outlineLevel="0" collapsed="false">
      <c r="B546" s="197" t="n">
        <v>66951294</v>
      </c>
      <c r="C546" s="197" t="s">
        <v>1936</v>
      </c>
      <c r="D546" s="197" t="s">
        <v>1135</v>
      </c>
      <c r="E546" s="198" t="s">
        <v>944</v>
      </c>
      <c r="F546" s="198" t="s">
        <v>945</v>
      </c>
      <c r="G546" s="225" t="n">
        <v>5842800</v>
      </c>
      <c r="H546" s="225" t="n">
        <v>4729020</v>
      </c>
      <c r="I546" s="225"/>
      <c r="J546" s="198" t="n">
        <v>49</v>
      </c>
      <c r="K546" s="198" t="n">
        <v>4</v>
      </c>
      <c r="L546" s="226" t="n">
        <v>37206</v>
      </c>
      <c r="M546" s="226" t="n">
        <v>35766</v>
      </c>
      <c r="N546" s="227" t="n">
        <v>2</v>
      </c>
      <c r="O546" s="227" t="s">
        <v>135</v>
      </c>
      <c r="P546" s="228" t="n">
        <f aca="false">VLOOKUP(B546,'NIVEL ENERO'!A:D,3,0)</f>
        <v>0.154139282535771</v>
      </c>
      <c r="Q546" s="229" t="n">
        <f aca="false">VLOOKUP(B546,'NIVEL ENERO'!A:D,4,0)</f>
        <v>1553371</v>
      </c>
      <c r="R546" s="186" t="str">
        <f aca="false">+PROPER(C546&amp;" "&amp;D546)</f>
        <v>Sandoval Viveros Sandra Milena</v>
      </c>
      <c r="S546" s="230" t="n">
        <f aca="false">+YEARFRAC(L546,$S$1)</f>
        <v>24.5027777777778</v>
      </c>
      <c r="T546" s="230" t="n">
        <f aca="false">+YEARFRAC(M546,$S$1)</f>
        <v>28.4444444444444</v>
      </c>
      <c r="U546" s="231" t="n">
        <f aca="false">+$I546</f>
        <v>0</v>
      </c>
      <c r="V546" s="232" t="str">
        <f aca="false">+PROPER(F546)</f>
        <v>Union Libre</v>
      </c>
    </row>
    <row r="547" customFormat="false" ht="14.25" hidden="false" customHeight="false" outlineLevel="0" collapsed="false">
      <c r="B547" s="197" t="n">
        <v>66952393</v>
      </c>
      <c r="C547" s="197" t="s">
        <v>1937</v>
      </c>
      <c r="D547" s="197" t="s">
        <v>1265</v>
      </c>
      <c r="E547" s="198" t="s">
        <v>944</v>
      </c>
      <c r="F547" s="198" t="s">
        <v>948</v>
      </c>
      <c r="G547" s="225" t="n">
        <v>1509809</v>
      </c>
      <c r="H547" s="225" t="n">
        <v>1619623</v>
      </c>
      <c r="I547" s="225" t="n">
        <v>63483</v>
      </c>
      <c r="J547" s="198" t="n">
        <v>50</v>
      </c>
      <c r="K547" s="198" t="n">
        <v>2</v>
      </c>
      <c r="L547" s="226" t="n">
        <v>44887</v>
      </c>
      <c r="M547" s="226" t="n">
        <v>35045</v>
      </c>
      <c r="N547" s="227" t="n">
        <v>0</v>
      </c>
      <c r="O547" s="227" t="s">
        <v>135</v>
      </c>
      <c r="P547" s="228" t="n">
        <f aca="false">VLOOKUP(B547,'NIVEL ENERO'!A:D,3,0)</f>
        <v>0.433573658637311</v>
      </c>
      <c r="Q547" s="229" t="n">
        <f aca="false">VLOOKUP(B547,'NIVEL ENERO'!A:D,4,0)</f>
        <v>-49980.3333333333</v>
      </c>
      <c r="R547" s="186" t="str">
        <f aca="false">+PROPER(C547&amp;" "&amp;D547)</f>
        <v>Munoz Castano Adriana</v>
      </c>
      <c r="S547" s="230" t="n">
        <f aca="false">+YEARFRAC(L547,$S$1)</f>
        <v>3.47222222222222</v>
      </c>
      <c r="T547" s="230" t="n">
        <f aca="false">+YEARFRAC(M547,$S$1)</f>
        <v>30.4166666666667</v>
      </c>
      <c r="U547" s="231" t="n">
        <f aca="false">+$I547</f>
        <v>63483</v>
      </c>
      <c r="V547" s="232" t="str">
        <f aca="false">+PROPER(F547)</f>
        <v>Casado(A)</v>
      </c>
    </row>
    <row r="548" customFormat="false" ht="14.25" hidden="false" customHeight="false" outlineLevel="0" collapsed="false">
      <c r="B548" s="197" t="n">
        <v>66953774</v>
      </c>
      <c r="C548" s="197" t="s">
        <v>1938</v>
      </c>
      <c r="D548" s="197" t="s">
        <v>1447</v>
      </c>
      <c r="E548" s="198" t="s">
        <v>944</v>
      </c>
      <c r="F548" s="198" t="s">
        <v>953</v>
      </c>
      <c r="G548" s="225" t="n">
        <v>7114600</v>
      </c>
      <c r="H548" s="225" t="n">
        <v>6374357</v>
      </c>
      <c r="I548" s="225" t="n">
        <v>1551175</v>
      </c>
      <c r="J548" s="198" t="n">
        <v>49</v>
      </c>
      <c r="K548" s="198" t="n">
        <v>1</v>
      </c>
      <c r="L548" s="226" t="n">
        <v>43349</v>
      </c>
      <c r="M548" s="226" t="n">
        <v>36509</v>
      </c>
      <c r="N548" s="227" t="n">
        <v>2</v>
      </c>
      <c r="O548" s="227" t="s">
        <v>135</v>
      </c>
      <c r="P548" s="228" t="n">
        <f aca="false">VLOOKUP(B548,'NIVEL ENERO'!A:D,3,0)</f>
        <v>0.44311837629663</v>
      </c>
      <c r="Q548" s="229" t="n">
        <f aca="false">VLOOKUP(B548,'NIVEL ENERO'!A:D,4,0)</f>
        <v>-164478</v>
      </c>
      <c r="R548" s="186" t="str">
        <f aca="false">+PROPER(C548&amp;" "&amp;D548)</f>
        <v>Rincon Soto Martha Lucia</v>
      </c>
      <c r="S548" s="230" t="n">
        <f aca="false">+YEARFRAC(L548,$S$1)</f>
        <v>7.68333333333333</v>
      </c>
      <c r="T548" s="230" t="n">
        <f aca="false">+YEARFRAC(M548,$S$1)</f>
        <v>26.4083333333333</v>
      </c>
      <c r="U548" s="231" t="n">
        <f aca="false">+$I548</f>
        <v>1551175</v>
      </c>
      <c r="V548" s="232" t="str">
        <f aca="false">+PROPER(F548)</f>
        <v>Soltero(A)</v>
      </c>
    </row>
    <row r="549" customFormat="false" ht="14.25" hidden="false" customHeight="false" outlineLevel="0" collapsed="false">
      <c r="B549" s="197" t="n">
        <v>66959438</v>
      </c>
      <c r="C549" s="197" t="s">
        <v>1939</v>
      </c>
      <c r="D549" s="197" t="s">
        <v>1436</v>
      </c>
      <c r="E549" s="198" t="s">
        <v>944</v>
      </c>
      <c r="F549" s="198" t="s">
        <v>945</v>
      </c>
      <c r="G549" s="225" t="n">
        <v>2600900</v>
      </c>
      <c r="H549" s="225" t="n">
        <v>1910716</v>
      </c>
      <c r="I549" s="225" t="n">
        <v>0</v>
      </c>
      <c r="J549" s="198" t="n">
        <v>50</v>
      </c>
      <c r="K549" s="198" t="n">
        <v>4</v>
      </c>
      <c r="L549" s="226" t="n">
        <v>44635</v>
      </c>
      <c r="M549" s="226" t="n">
        <v>44105</v>
      </c>
      <c r="N549" s="227" t="n">
        <v>3</v>
      </c>
      <c r="O549" s="227" t="s">
        <v>135</v>
      </c>
      <c r="P549" s="228" t="str">
        <f aca="false">VLOOKUP(B549,'NIVEL ENERO'!A:D,3,0)</f>
        <v>0</v>
      </c>
      <c r="Q549" s="229" t="n">
        <f aca="false">VLOOKUP(B549,'NIVEL ENERO'!A:D,4,0)</f>
        <v>0</v>
      </c>
      <c r="R549" s="186" t="str">
        <f aca="false">+PROPER(C549&amp;" "&amp;D549)</f>
        <v>Roldan Tenorio Claudia Ximena</v>
      </c>
      <c r="S549" s="230" t="n">
        <f aca="false">+YEARFRAC(L549,$S$1)</f>
        <v>4.15833333333333</v>
      </c>
      <c r="T549" s="230" t="n">
        <f aca="false">+YEARFRAC(M549,$S$1)</f>
        <v>5.61388888888889</v>
      </c>
      <c r="U549" s="231" t="n">
        <f aca="false">+$I549</f>
        <v>0</v>
      </c>
      <c r="V549" s="232" t="str">
        <f aca="false">+PROPER(F549)</f>
        <v>Union Libre</v>
      </c>
    </row>
    <row r="550" customFormat="false" ht="14.25" hidden="false" customHeight="false" outlineLevel="0" collapsed="false">
      <c r="B550" s="197" t="n">
        <v>66960048</v>
      </c>
      <c r="C550" s="197" t="s">
        <v>1940</v>
      </c>
      <c r="D550" s="197" t="s">
        <v>1941</v>
      </c>
      <c r="E550" s="198" t="s">
        <v>944</v>
      </c>
      <c r="F550" s="198" t="s">
        <v>945</v>
      </c>
      <c r="G550" s="225" t="n">
        <v>2600900</v>
      </c>
      <c r="H550" s="225" t="n">
        <v>4770939</v>
      </c>
      <c r="I550" s="225" t="n">
        <v>10776703</v>
      </c>
      <c r="J550" s="198" t="n">
        <v>49</v>
      </c>
      <c r="K550" s="198" t="n">
        <v>1</v>
      </c>
      <c r="L550" s="226" t="n">
        <v>42535</v>
      </c>
      <c r="M550" s="226" t="n">
        <v>37235</v>
      </c>
      <c r="N550" s="227" t="n">
        <v>2</v>
      </c>
      <c r="O550" s="227" t="s">
        <v>135</v>
      </c>
      <c r="P550" s="228" t="n">
        <f aca="false">VLOOKUP(B550,'NIVEL ENERO'!A:D,3,0)</f>
        <v>0.471116108679459</v>
      </c>
      <c r="Q550" s="229" t="n">
        <f aca="false">VLOOKUP(B550,'NIVEL ENERO'!A:D,4,0)</f>
        <v>-166666.56</v>
      </c>
      <c r="R550" s="186" t="str">
        <f aca="false">+PROPER(C550&amp;" "&amp;D550)</f>
        <v>Saavedra Andrade Marleny</v>
      </c>
      <c r="S550" s="230" t="n">
        <f aca="false">+YEARFRAC(L550,$S$1)</f>
        <v>9.91111111111111</v>
      </c>
      <c r="T550" s="230" t="n">
        <f aca="false">+YEARFRAC(M550,$S$1)</f>
        <v>24.4222222222222</v>
      </c>
      <c r="U550" s="231" t="n">
        <f aca="false">+$I550</f>
        <v>10776703</v>
      </c>
      <c r="V550" s="232" t="str">
        <f aca="false">+PROPER(F550)</f>
        <v>Union Libre</v>
      </c>
    </row>
    <row r="551" customFormat="false" ht="14.25" hidden="false" customHeight="false" outlineLevel="0" collapsed="false">
      <c r="B551" s="197" t="n">
        <v>66960289</v>
      </c>
      <c r="C551" s="197" t="s">
        <v>1942</v>
      </c>
      <c r="D551" s="197" t="s">
        <v>1943</v>
      </c>
      <c r="E551" s="198" t="s">
        <v>944</v>
      </c>
      <c r="F551" s="198" t="s">
        <v>953</v>
      </c>
      <c r="G551" s="225" t="n">
        <v>5842800</v>
      </c>
      <c r="H551" s="225" t="n">
        <v>2184530</v>
      </c>
      <c r="I551" s="225" t="n">
        <v>0</v>
      </c>
      <c r="J551" s="198" t="n">
        <v>49</v>
      </c>
      <c r="K551" s="198" t="n">
        <v>1</v>
      </c>
      <c r="L551" s="226" t="n">
        <v>45114</v>
      </c>
      <c r="M551" s="226" t="n">
        <v>37193</v>
      </c>
      <c r="N551" s="227" t="n">
        <v>2</v>
      </c>
      <c r="O551" s="227" t="s">
        <v>135</v>
      </c>
      <c r="P551" s="228" t="n">
        <f aca="false">VLOOKUP(B551,'NIVEL ENERO'!A:D,3,0)</f>
        <v>0.326630724994865</v>
      </c>
      <c r="Q551" s="229" t="n">
        <f aca="false">VLOOKUP(B551,'NIVEL ENERO'!A:D,4,0)</f>
        <v>545538</v>
      </c>
      <c r="R551" s="186" t="str">
        <f aca="false">+PROPER(C551&amp;" "&amp;D551)</f>
        <v>Ramirez Gil Yatsby</v>
      </c>
      <c r="S551" s="230" t="n">
        <f aca="false">+YEARFRAC(L551,$S$1)</f>
        <v>2.84722222222222</v>
      </c>
      <c r="T551" s="230" t="n">
        <f aca="false">+YEARFRAC(M551,$S$1)</f>
        <v>24.5361111111111</v>
      </c>
      <c r="U551" s="231" t="n">
        <f aca="false">+$I551</f>
        <v>0</v>
      </c>
      <c r="V551" s="232" t="str">
        <f aca="false">+PROPER(F551)</f>
        <v>Soltero(A)</v>
      </c>
    </row>
    <row r="552" customFormat="false" ht="14.25" hidden="false" customHeight="false" outlineLevel="0" collapsed="false">
      <c r="B552" s="197" t="n">
        <v>66968191</v>
      </c>
      <c r="C552" s="197" t="s">
        <v>1944</v>
      </c>
      <c r="D552" s="197" t="s">
        <v>1945</v>
      </c>
      <c r="E552" s="198" t="s">
        <v>944</v>
      </c>
      <c r="F552" s="198" t="s">
        <v>953</v>
      </c>
      <c r="G552" s="225" t="n">
        <v>2320800</v>
      </c>
      <c r="H552" s="225" t="n">
        <v>895712</v>
      </c>
      <c r="I552" s="225" t="n">
        <v>2821346</v>
      </c>
      <c r="J552" s="198" t="n">
        <v>44</v>
      </c>
      <c r="K552" s="198" t="n">
        <v>2</v>
      </c>
      <c r="L552" s="226" t="n">
        <v>45249</v>
      </c>
      <c r="M552" s="226" t="n">
        <v>44353</v>
      </c>
      <c r="N552" s="227" t="n">
        <v>1</v>
      </c>
      <c r="O552" s="227" t="s">
        <v>135</v>
      </c>
      <c r="P552" s="228" t="n">
        <f aca="false">VLOOKUP(B552,'NIVEL ENERO'!A:D,3,0)</f>
        <v>0.518324426160175</v>
      </c>
      <c r="Q552" s="229" t="n">
        <f aca="false">VLOOKUP(B552,'NIVEL ENERO'!A:D,4,0)</f>
        <v>-255732</v>
      </c>
      <c r="R552" s="186" t="str">
        <f aca="false">+PROPER(C552&amp;" "&amp;D552)</f>
        <v>Ramirez Mejia Marycel</v>
      </c>
      <c r="S552" s="230" t="n">
        <f aca="false">+YEARFRAC(L552,$S$1)</f>
        <v>2.48055555555556</v>
      </c>
      <c r="T552" s="230" t="n">
        <f aca="false">+YEARFRAC(M552,$S$1)</f>
        <v>4.93333333333333</v>
      </c>
      <c r="U552" s="231" t="n">
        <f aca="false">+$I552</f>
        <v>2821346</v>
      </c>
      <c r="V552" s="232" t="str">
        <f aca="false">+PROPER(F552)</f>
        <v>Soltero(A)</v>
      </c>
    </row>
    <row r="553" customFormat="false" ht="14.25" hidden="false" customHeight="false" outlineLevel="0" collapsed="false">
      <c r="B553" s="197" t="n">
        <v>66974012</v>
      </c>
      <c r="C553" s="197" t="s">
        <v>1946</v>
      </c>
      <c r="D553" s="197" t="s">
        <v>1135</v>
      </c>
      <c r="E553" s="198" t="s">
        <v>944</v>
      </c>
      <c r="F553" s="198" t="s">
        <v>948</v>
      </c>
      <c r="G553" s="225" t="n">
        <v>1991000</v>
      </c>
      <c r="H553" s="225" t="n">
        <v>2558384</v>
      </c>
      <c r="I553" s="225" t="n">
        <v>0</v>
      </c>
      <c r="J553" s="198" t="n">
        <v>48</v>
      </c>
      <c r="K553" s="198" t="n">
        <v>1</v>
      </c>
      <c r="L553" s="226" t="n">
        <v>44183</v>
      </c>
      <c r="M553" s="226" t="n">
        <v>44109</v>
      </c>
      <c r="N553" s="227" t="n">
        <v>3</v>
      </c>
      <c r="O553" s="227" t="s">
        <v>135</v>
      </c>
      <c r="P553" s="228" t="n">
        <f aca="false">VLOOKUP(B553,'NIVEL ENERO'!A:D,3,0)</f>
        <v>0.133128578603717</v>
      </c>
      <c r="Q553" s="229" t="n">
        <f aca="false">VLOOKUP(B553,'NIVEL ENERO'!A:D,4,0)</f>
        <v>571161</v>
      </c>
      <c r="R553" s="186" t="str">
        <f aca="false">+PROPER(C553&amp;" "&amp;D553)</f>
        <v>Castro Torres Sandra Milena</v>
      </c>
      <c r="S553" s="230" t="n">
        <f aca="false">+YEARFRAC(L553,$S$1)</f>
        <v>5.4</v>
      </c>
      <c r="T553" s="230" t="n">
        <f aca="false">+YEARFRAC(M553,$S$1)</f>
        <v>5.60277777777778</v>
      </c>
      <c r="U553" s="231" t="n">
        <f aca="false">+$I553</f>
        <v>0</v>
      </c>
      <c r="V553" s="232" t="str">
        <f aca="false">+PROPER(F553)</f>
        <v>Casado(A)</v>
      </c>
    </row>
    <row r="554" customFormat="false" ht="14.25" hidden="false" customHeight="false" outlineLevel="0" collapsed="false">
      <c r="B554" s="197" t="n">
        <v>66974150</v>
      </c>
      <c r="C554" s="197" t="s">
        <v>1947</v>
      </c>
      <c r="D554" s="197" t="s">
        <v>1948</v>
      </c>
      <c r="E554" s="198" t="s">
        <v>944</v>
      </c>
      <c r="F554" s="198" t="s">
        <v>948</v>
      </c>
      <c r="G554" s="225" t="n">
        <v>2893800</v>
      </c>
      <c r="H554" s="225" t="n">
        <v>1126371</v>
      </c>
      <c r="I554" s="225" t="n">
        <v>5767737</v>
      </c>
      <c r="J554" s="198" t="n">
        <v>48</v>
      </c>
      <c r="K554" s="198" t="n">
        <v>4</v>
      </c>
      <c r="L554" s="226" t="n">
        <v>45114</v>
      </c>
      <c r="M554" s="226" t="n">
        <v>35899</v>
      </c>
      <c r="N554" s="227" t="n">
        <v>3</v>
      </c>
      <c r="O554" s="227" t="s">
        <v>135</v>
      </c>
      <c r="P554" s="228" t="n">
        <f aca="false">VLOOKUP(B554,'NIVEL ENERO'!A:D,3,0)</f>
        <v>0.414040848319586</v>
      </c>
      <c r="Q554" s="229" t="n">
        <f aca="false">VLOOKUP(B554,'NIVEL ENERO'!A:D,4,0)</f>
        <v>17019.7066666668</v>
      </c>
      <c r="R554" s="186" t="str">
        <f aca="false">+PROPER(C554&amp;" "&amp;D554)</f>
        <v>Vaca Viteri Edis Rubira</v>
      </c>
      <c r="S554" s="230" t="n">
        <f aca="false">+YEARFRAC(L554,$S$1)</f>
        <v>2.84722222222222</v>
      </c>
      <c r="T554" s="230" t="n">
        <f aca="false">+YEARFRAC(M554,$S$1)</f>
        <v>28.0777777777778</v>
      </c>
      <c r="U554" s="231" t="n">
        <f aca="false">+$I554</f>
        <v>5767737</v>
      </c>
      <c r="V554" s="232" t="str">
        <f aca="false">+PROPER(F554)</f>
        <v>Casado(A)</v>
      </c>
    </row>
    <row r="555" customFormat="false" ht="14.25" hidden="false" customHeight="false" outlineLevel="0" collapsed="false">
      <c r="B555" s="197" t="n">
        <v>66974280</v>
      </c>
      <c r="C555" s="197" t="s">
        <v>1949</v>
      </c>
      <c r="D555" s="197" t="s">
        <v>1950</v>
      </c>
      <c r="E555" s="198" t="s">
        <v>944</v>
      </c>
      <c r="F555" s="198" t="s">
        <v>948</v>
      </c>
      <c r="G555" s="225" t="n">
        <v>1991000</v>
      </c>
      <c r="H555" s="225" t="n">
        <v>4734693</v>
      </c>
      <c r="I555" s="225" t="n">
        <v>8917295</v>
      </c>
      <c r="J555" s="198" t="n">
        <v>48</v>
      </c>
      <c r="K555" s="198" t="n">
        <v>1</v>
      </c>
      <c r="L555" s="226" t="n">
        <v>42198</v>
      </c>
      <c r="M555" s="226" t="n">
        <v>39515</v>
      </c>
      <c r="N555" s="227" t="n">
        <v>4</v>
      </c>
      <c r="O555" s="227" t="s">
        <v>135</v>
      </c>
      <c r="P555" s="228" t="n">
        <f aca="false">VLOOKUP(B555,'NIVEL ENERO'!A:D,3,0)</f>
        <v>0.302029261845924</v>
      </c>
      <c r="Q555" s="229" t="n">
        <f aca="false">VLOOKUP(B555,'NIVEL ENERO'!A:D,4,0)</f>
        <v>275529.9</v>
      </c>
      <c r="R555" s="186" t="str">
        <f aca="false">+PROPER(C555&amp;" "&amp;D555)</f>
        <v>Zuniga Marroquin Maryuri</v>
      </c>
      <c r="S555" s="230" t="n">
        <f aca="false">+YEARFRAC(L555,$S$1)</f>
        <v>10.8305555555556</v>
      </c>
      <c r="T555" s="230" t="n">
        <f aca="false">+YEARFRAC(M555,$S$1)</f>
        <v>18.1777777777778</v>
      </c>
      <c r="U555" s="231" t="n">
        <f aca="false">+$I555</f>
        <v>8917295</v>
      </c>
      <c r="V555" s="232" t="str">
        <f aca="false">+PROPER(F555)</f>
        <v>Casado(A)</v>
      </c>
    </row>
    <row r="556" customFormat="false" ht="14.25" hidden="false" customHeight="false" outlineLevel="0" collapsed="false">
      <c r="B556" s="197" t="n">
        <v>66977276</v>
      </c>
      <c r="C556" s="197" t="s">
        <v>1951</v>
      </c>
      <c r="D556" s="197" t="s">
        <v>1549</v>
      </c>
      <c r="E556" s="198" t="s">
        <v>944</v>
      </c>
      <c r="F556" s="198" t="s">
        <v>948</v>
      </c>
      <c r="G556" s="225" t="n">
        <v>5291000</v>
      </c>
      <c r="H556" s="225" t="n">
        <v>5136480</v>
      </c>
      <c r="I556" s="225" t="n">
        <v>1259822</v>
      </c>
      <c r="J556" s="198" t="n">
        <v>48</v>
      </c>
      <c r="K556" s="198" t="n">
        <v>2</v>
      </c>
      <c r="L556" s="226" t="n">
        <v>37662</v>
      </c>
      <c r="M556" s="226" t="n">
        <v>37662</v>
      </c>
      <c r="N556" s="227" t="n">
        <v>3</v>
      </c>
      <c r="O556" s="227" t="s">
        <v>135</v>
      </c>
      <c r="P556" s="228" t="n">
        <f aca="false">VLOOKUP(B556,'NIVEL ENERO'!A:D,3,0)</f>
        <v>0.136192591192591</v>
      </c>
      <c r="Q556" s="229" t="n">
        <f aca="false">VLOOKUP(B556,'NIVEL ENERO'!A:D,4,0)</f>
        <v>1501625</v>
      </c>
      <c r="R556" s="186" t="str">
        <f aca="false">+PROPER(C556&amp;" "&amp;D556)</f>
        <v>Cuellar Ortiz Sandra Patricia</v>
      </c>
      <c r="S556" s="230" t="n">
        <f aca="false">+YEARFRAC(L556,$S$1)</f>
        <v>23.2555555555556</v>
      </c>
      <c r="T556" s="230" t="n">
        <f aca="false">+YEARFRAC(M556,$S$1)</f>
        <v>23.2555555555556</v>
      </c>
      <c r="U556" s="231" t="n">
        <f aca="false">+$I556</f>
        <v>1259822</v>
      </c>
      <c r="V556" s="232" t="str">
        <f aca="false">+PROPER(F556)</f>
        <v>Casado(A)</v>
      </c>
    </row>
    <row r="557" customFormat="false" ht="14.25" hidden="false" customHeight="false" outlineLevel="0" collapsed="false">
      <c r="B557" s="197" t="n">
        <v>66980789</v>
      </c>
      <c r="C557" s="197" t="s">
        <v>1952</v>
      </c>
      <c r="D557" s="197" t="s">
        <v>1953</v>
      </c>
      <c r="E557" s="198" t="s">
        <v>944</v>
      </c>
      <c r="F557" s="198" t="s">
        <v>945</v>
      </c>
      <c r="G557" s="225" t="n">
        <v>1918500</v>
      </c>
      <c r="H557" s="225" t="n">
        <v>1613319</v>
      </c>
      <c r="I557" s="225" t="n">
        <v>0</v>
      </c>
      <c r="J557" s="198" t="n">
        <v>48</v>
      </c>
      <c r="K557" s="198" t="n">
        <v>1</v>
      </c>
      <c r="L557" s="226" t="n">
        <v>44973</v>
      </c>
      <c r="M557" s="226" t="n">
        <v>44267</v>
      </c>
      <c r="N557" s="227" t="n">
        <v>0</v>
      </c>
      <c r="O557" s="227" t="s">
        <v>135</v>
      </c>
      <c r="P557" s="228" t="n">
        <f aca="false">VLOOKUP(B557,'NIVEL ENERO'!A:D,3,0)</f>
        <v>0.462591086786552</v>
      </c>
      <c r="Q557" s="229" t="n">
        <f aca="false">VLOOKUP(B557,'NIVEL ENERO'!A:D,4,0)</f>
        <v>-194550</v>
      </c>
      <c r="R557" s="186" t="str">
        <f aca="false">+PROPER(C557&amp;" "&amp;D557)</f>
        <v>Alvarado Callejas Nancy Angelica</v>
      </c>
      <c r="S557" s="230" t="n">
        <f aca="false">+YEARFRAC(L557,$S$1)</f>
        <v>3.23888888888889</v>
      </c>
      <c r="T557" s="230" t="n">
        <f aca="false">+YEARFRAC(M557,$S$1)</f>
        <v>5.16666666666667</v>
      </c>
      <c r="U557" s="231" t="n">
        <f aca="false">+$I557</f>
        <v>0</v>
      </c>
      <c r="V557" s="232" t="str">
        <f aca="false">+PROPER(F557)</f>
        <v>Union Libre</v>
      </c>
    </row>
    <row r="558" customFormat="false" ht="14.25" hidden="false" customHeight="false" outlineLevel="0" collapsed="false">
      <c r="B558" s="197" t="n">
        <v>66981726</v>
      </c>
      <c r="C558" s="197" t="s">
        <v>1954</v>
      </c>
      <c r="D558" s="197" t="s">
        <v>1955</v>
      </c>
      <c r="E558" s="198" t="s">
        <v>944</v>
      </c>
      <c r="F558" s="198" t="s">
        <v>945</v>
      </c>
      <c r="G558" s="225" t="n">
        <v>2600900</v>
      </c>
      <c r="H558" s="225" t="n">
        <v>662405</v>
      </c>
      <c r="I558" s="225" t="n">
        <v>171958</v>
      </c>
      <c r="J558" s="198" t="n">
        <v>48</v>
      </c>
      <c r="K558" s="198" t="n">
        <v>3</v>
      </c>
      <c r="L558" s="226" t="n">
        <v>45369</v>
      </c>
      <c r="M558" s="226" t="n">
        <v>44105</v>
      </c>
      <c r="N558" s="227" t="n">
        <v>1</v>
      </c>
      <c r="O558" s="227" t="s">
        <v>135</v>
      </c>
      <c r="P558" s="228" t="n">
        <f aca="false">VLOOKUP(B558,'NIVEL ENERO'!A:D,3,0)</f>
        <v>0.253988041987306</v>
      </c>
      <c r="Q558" s="229" t="n">
        <f aca="false">VLOOKUP(B558,'NIVEL ENERO'!A:D,4,0)</f>
        <v>359817.14</v>
      </c>
      <c r="R558" s="186" t="str">
        <f aca="false">+PROPER(C558&amp;" "&amp;D558)</f>
        <v>Guerrero Herrera Maria Antonella</v>
      </c>
      <c r="S558" s="230" t="n">
        <f aca="false">+YEARFRAC(L558,$S$1)</f>
        <v>2.15</v>
      </c>
      <c r="T558" s="230" t="n">
        <f aca="false">+YEARFRAC(M558,$S$1)</f>
        <v>5.61388888888889</v>
      </c>
      <c r="U558" s="231" t="n">
        <f aca="false">+$I558</f>
        <v>171958</v>
      </c>
      <c r="V558" s="232" t="str">
        <f aca="false">+PROPER(F558)</f>
        <v>Union Libre</v>
      </c>
    </row>
    <row r="559" customFormat="false" ht="14.25" hidden="false" customHeight="false" outlineLevel="0" collapsed="false">
      <c r="B559" s="197" t="n">
        <v>66983355</v>
      </c>
      <c r="C559" s="197" t="s">
        <v>1956</v>
      </c>
      <c r="D559" s="197" t="s">
        <v>1957</v>
      </c>
      <c r="E559" s="198" t="s">
        <v>944</v>
      </c>
      <c r="F559" s="198" t="s">
        <v>945</v>
      </c>
      <c r="G559" s="225" t="n">
        <v>5637200</v>
      </c>
      <c r="H559" s="225" t="n">
        <v>1050000</v>
      </c>
      <c r="I559" s="225" t="n">
        <v>0</v>
      </c>
      <c r="J559" s="198" t="n">
        <v>48</v>
      </c>
      <c r="K559" s="198" t="n">
        <v>1</v>
      </c>
      <c r="L559" s="226" t="n">
        <v>45448</v>
      </c>
      <c r="M559" s="226" t="n">
        <v>37080</v>
      </c>
      <c r="N559" s="227" t="n">
        <v>3</v>
      </c>
      <c r="O559" s="227" t="s">
        <v>135</v>
      </c>
      <c r="P559" s="228" t="n">
        <f aca="false">VLOOKUP(B559,'NIVEL ENERO'!A:D,3,0)</f>
        <v>0.274697190094373</v>
      </c>
      <c r="Q559" s="229" t="n">
        <f aca="false">VLOOKUP(B559,'NIVEL ENERO'!A:D,4,0)</f>
        <v>819101</v>
      </c>
      <c r="R559" s="186" t="str">
        <f aca="false">+PROPER(C559&amp;" "&amp;D559)</f>
        <v>Moreno Zuleta Maria Piedad</v>
      </c>
      <c r="S559" s="230" t="n">
        <f aca="false">+YEARFRAC(L559,$S$1)</f>
        <v>1.93611111111111</v>
      </c>
      <c r="T559" s="230" t="n">
        <f aca="false">+YEARFRAC(M559,$S$1)</f>
        <v>24.8444444444444</v>
      </c>
      <c r="U559" s="231" t="n">
        <f aca="false">+$I559</f>
        <v>0</v>
      </c>
      <c r="V559" s="232" t="str">
        <f aca="false">+PROPER(F559)</f>
        <v>Union Libre</v>
      </c>
    </row>
    <row r="560" customFormat="false" ht="14.25" hidden="false" customHeight="false" outlineLevel="0" collapsed="false">
      <c r="B560" s="197" t="n">
        <v>66986213</v>
      </c>
      <c r="C560" s="197" t="s">
        <v>1958</v>
      </c>
      <c r="D560" s="197" t="s">
        <v>1935</v>
      </c>
      <c r="E560" s="198" t="s">
        <v>944</v>
      </c>
      <c r="F560" s="198" t="s">
        <v>948</v>
      </c>
      <c r="G560" s="225" t="n">
        <v>1490100</v>
      </c>
      <c r="H560" s="225" t="n">
        <v>2026168</v>
      </c>
      <c r="I560" s="225"/>
      <c r="J560" s="198" t="n">
        <v>48</v>
      </c>
      <c r="K560" s="198" t="n">
        <v>1</v>
      </c>
      <c r="L560" s="226" t="n">
        <v>44669</v>
      </c>
      <c r="M560" s="226" t="n">
        <v>40498</v>
      </c>
      <c r="N560" s="227" t="n">
        <v>2</v>
      </c>
      <c r="O560" s="227" t="s">
        <v>135</v>
      </c>
      <c r="P560" s="228" t="n">
        <f aca="false">VLOOKUP(B560,'NIVEL ENERO'!A:D,3,0)</f>
        <v>0.136561772174888</v>
      </c>
      <c r="Q560" s="229" t="n">
        <f aca="false">VLOOKUP(B560,'NIVEL ENERO'!A:D,4,0)</f>
        <v>885429.94</v>
      </c>
      <c r="R560" s="186" t="str">
        <f aca="false">+PROPER(C560&amp;" "&amp;D560)</f>
        <v>Josa Rosero Sandra Lucia</v>
      </c>
      <c r="S560" s="230" t="n">
        <f aca="false">+YEARFRAC(L560,$S$1)</f>
        <v>4.06666666666667</v>
      </c>
      <c r="T560" s="230" t="n">
        <f aca="false">+YEARFRAC(M560,$S$1)</f>
        <v>15.4888888888889</v>
      </c>
      <c r="U560" s="231" t="n">
        <f aca="false">+$I560</f>
        <v>0</v>
      </c>
      <c r="V560" s="232" t="str">
        <f aca="false">+PROPER(F560)</f>
        <v>Casado(A)</v>
      </c>
    </row>
    <row r="561" customFormat="false" ht="14.25" hidden="false" customHeight="false" outlineLevel="0" collapsed="false">
      <c r="B561" s="197" t="n">
        <v>66988874</v>
      </c>
      <c r="C561" s="197" t="s">
        <v>1959</v>
      </c>
      <c r="D561" s="197" t="s">
        <v>1960</v>
      </c>
      <c r="E561" s="198" t="s">
        <v>944</v>
      </c>
      <c r="F561" s="198" t="s">
        <v>998</v>
      </c>
      <c r="G561" s="225" t="n">
        <v>1380000</v>
      </c>
      <c r="H561" s="225" t="n">
        <v>490000</v>
      </c>
      <c r="I561" s="225"/>
      <c r="J561" s="198" t="n">
        <v>49</v>
      </c>
      <c r="K561" s="198" t="n">
        <v>2</v>
      </c>
      <c r="L561" s="226" t="n">
        <v>45447</v>
      </c>
      <c r="M561" s="226" t="n">
        <v>45200</v>
      </c>
      <c r="N561" s="227" t="n">
        <v>0</v>
      </c>
      <c r="O561" s="227" t="s">
        <v>185</v>
      </c>
      <c r="P561" s="228" t="e">
        <f aca="false">VLOOKUP(B561,'NIVEL ENERO'!A:D,3,0)</f>
        <v>#N/A</v>
      </c>
      <c r="Q561" s="229" t="e">
        <f aca="false">VLOOKUP(B561,'NIVEL ENERO'!A:D,4,0)</f>
        <v>#N/A</v>
      </c>
      <c r="R561" s="186" t="str">
        <f aca="false">+PROPER(C561&amp;" "&amp;D561)</f>
        <v>Villada Galvis Eneried Lucero</v>
      </c>
      <c r="S561" s="230" t="n">
        <f aca="false">+YEARFRAC(L561,$S$1)</f>
        <v>1.93888888888889</v>
      </c>
      <c r="T561" s="230" t="n">
        <f aca="false">+YEARFRAC(M561,$S$1)</f>
        <v>2.61388888888889</v>
      </c>
      <c r="U561" s="231" t="n">
        <f aca="false">+$I561</f>
        <v>0</v>
      </c>
      <c r="V561" s="232" t="str">
        <f aca="false">+PROPER(F561)</f>
        <v>Separado(A)</v>
      </c>
    </row>
    <row r="562" customFormat="false" ht="14.25" hidden="false" customHeight="false" outlineLevel="0" collapsed="false">
      <c r="B562" s="197" t="n">
        <v>66991546</v>
      </c>
      <c r="C562" s="197" t="s">
        <v>1961</v>
      </c>
      <c r="D562" s="197" t="s">
        <v>1962</v>
      </c>
      <c r="E562" s="198" t="s">
        <v>944</v>
      </c>
      <c r="F562" s="198" t="s">
        <v>948</v>
      </c>
      <c r="G562" s="225" t="n">
        <v>2893800</v>
      </c>
      <c r="H562" s="225" t="n">
        <v>889341</v>
      </c>
      <c r="I562" s="225" t="n">
        <v>305872</v>
      </c>
      <c r="J562" s="198" t="n">
        <v>48</v>
      </c>
      <c r="K562" s="198" t="n">
        <v>4</v>
      </c>
      <c r="L562" s="226" t="n">
        <v>45250</v>
      </c>
      <c r="M562" s="226" t="n">
        <v>44231</v>
      </c>
      <c r="N562" s="227" t="n">
        <v>4</v>
      </c>
      <c r="O562" s="227" t="s">
        <v>135</v>
      </c>
      <c r="P562" s="228" t="n">
        <f aca="false">VLOOKUP(B562,'NIVEL ENERO'!A:D,3,0)</f>
        <v>0.404479577026747</v>
      </c>
      <c r="Q562" s="229" t="n">
        <f aca="false">VLOOKUP(B562,'NIVEL ENERO'!A:D,4,0)</f>
        <v>44913</v>
      </c>
      <c r="R562" s="186" t="str">
        <f aca="false">+PROPER(C562&amp;" "&amp;D562)</f>
        <v>Sanchez Vernaza Luz Angely</v>
      </c>
      <c r="S562" s="230" t="n">
        <f aca="false">+YEARFRAC(L562,$S$1)</f>
        <v>2.47777777777778</v>
      </c>
      <c r="T562" s="230" t="n">
        <f aca="false">+YEARFRAC(M562,$S$1)</f>
        <v>5.27222222222222</v>
      </c>
      <c r="U562" s="231" t="n">
        <f aca="false">+$I562</f>
        <v>305872</v>
      </c>
      <c r="V562" s="232" t="str">
        <f aca="false">+PROPER(F562)</f>
        <v>Casado(A)</v>
      </c>
    </row>
    <row r="563" customFormat="false" ht="14.25" hidden="false" customHeight="false" outlineLevel="0" collapsed="false">
      <c r="B563" s="197" t="n">
        <v>66993124</v>
      </c>
      <c r="C563" s="197" t="s">
        <v>1963</v>
      </c>
      <c r="D563" s="197" t="s">
        <v>1202</v>
      </c>
      <c r="E563" s="198" t="s">
        <v>944</v>
      </c>
      <c r="F563" s="198" t="s">
        <v>953</v>
      </c>
      <c r="G563" s="225" t="n">
        <v>2320800</v>
      </c>
      <c r="H563" s="225" t="n">
        <v>11941077</v>
      </c>
      <c r="I563" s="225" t="n">
        <v>11248805</v>
      </c>
      <c r="J563" s="198" t="n">
        <v>47</v>
      </c>
      <c r="K563" s="198" t="n">
        <v>1</v>
      </c>
      <c r="L563" s="226" t="n">
        <v>40423</v>
      </c>
      <c r="M563" s="226" t="n">
        <v>40423</v>
      </c>
      <c r="N563" s="227" t="n">
        <v>1</v>
      </c>
      <c r="O563" s="227" t="s">
        <v>135</v>
      </c>
      <c r="P563" s="228" t="n">
        <f aca="false">VLOOKUP(B563,'NIVEL ENERO'!A:D,3,0)</f>
        <v>0.333462936591761</v>
      </c>
      <c r="Q563" s="229" t="n">
        <f aca="false">VLOOKUP(B563,'NIVEL ENERO'!A:D,4,0)</f>
        <v>247793.66</v>
      </c>
      <c r="R563" s="186" t="str">
        <f aca="false">+PROPER(C563&amp;" "&amp;D563)</f>
        <v>Beltran Bonilla Carolina</v>
      </c>
      <c r="S563" s="230" t="n">
        <f aca="false">+YEARFRAC(L563,$S$1)</f>
        <v>15.6944444444444</v>
      </c>
      <c r="T563" s="230" t="n">
        <f aca="false">+YEARFRAC(M563,$S$1)</f>
        <v>15.6944444444444</v>
      </c>
      <c r="U563" s="231" t="n">
        <f aca="false">+$I563</f>
        <v>11248805</v>
      </c>
      <c r="V563" s="232" t="str">
        <f aca="false">+PROPER(F563)</f>
        <v>Soltero(A)</v>
      </c>
    </row>
    <row r="564" customFormat="false" ht="14.25" hidden="false" customHeight="false" outlineLevel="0" collapsed="false">
      <c r="B564" s="197" t="n">
        <v>66993132</v>
      </c>
      <c r="C564" s="197" t="s">
        <v>1964</v>
      </c>
      <c r="D564" s="197" t="s">
        <v>1965</v>
      </c>
      <c r="E564" s="198" t="s">
        <v>944</v>
      </c>
      <c r="F564" s="198" t="s">
        <v>948</v>
      </c>
      <c r="G564" s="225" t="n">
        <v>2893800</v>
      </c>
      <c r="H564" s="225" t="n">
        <v>3808562</v>
      </c>
      <c r="I564" s="225" t="n">
        <v>57402</v>
      </c>
      <c r="J564" s="198" t="n">
        <v>47</v>
      </c>
      <c r="K564" s="198" t="n">
        <v>2</v>
      </c>
      <c r="L564" s="226" t="n">
        <v>44551</v>
      </c>
      <c r="M564" s="226" t="n">
        <v>44105</v>
      </c>
      <c r="N564" s="227" t="n">
        <v>2</v>
      </c>
      <c r="O564" s="227" t="s">
        <v>135</v>
      </c>
      <c r="P564" s="228" t="n">
        <f aca="false">VLOOKUP(B564,'NIVEL ENERO'!A:D,3,0)</f>
        <v>0.414633258825758</v>
      </c>
      <c r="Q564" s="229" t="n">
        <f aca="false">VLOOKUP(B564,'NIVEL ENERO'!A:D,4,0)</f>
        <v>17255.8599999999</v>
      </c>
      <c r="R564" s="186" t="str">
        <f aca="false">+PROPER(C564&amp;" "&amp;D564)</f>
        <v>Arango Paredes Alba Magdaly</v>
      </c>
      <c r="S564" s="230" t="n">
        <f aca="false">+YEARFRAC(L564,$S$1)</f>
        <v>4.39166666666667</v>
      </c>
      <c r="T564" s="230" t="n">
        <f aca="false">+YEARFRAC(M564,$S$1)</f>
        <v>5.61388888888889</v>
      </c>
      <c r="U564" s="231" t="n">
        <f aca="false">+$I564</f>
        <v>57402</v>
      </c>
      <c r="V564" s="232" t="str">
        <f aca="false">+PROPER(F564)</f>
        <v>Casado(A)</v>
      </c>
    </row>
    <row r="565" customFormat="false" ht="14.25" hidden="false" customHeight="false" outlineLevel="0" collapsed="false">
      <c r="B565" s="197" t="n">
        <v>66995724</v>
      </c>
      <c r="C565" s="197" t="s">
        <v>1966</v>
      </c>
      <c r="D565" s="197" t="s">
        <v>1967</v>
      </c>
      <c r="E565" s="198" t="s">
        <v>944</v>
      </c>
      <c r="F565" s="198" t="s">
        <v>953</v>
      </c>
      <c r="G565" s="225" t="n">
        <v>1625000</v>
      </c>
      <c r="H565" s="225" t="n">
        <v>585000</v>
      </c>
      <c r="I565" s="225" t="n">
        <v>2338604</v>
      </c>
      <c r="J565" s="198" t="n">
        <v>48</v>
      </c>
      <c r="K565" s="198" t="n">
        <v>2</v>
      </c>
      <c r="L565" s="226" t="n">
        <v>45390</v>
      </c>
      <c r="M565" s="226" t="n">
        <v>45267</v>
      </c>
      <c r="N565" s="227" t="n">
        <v>0</v>
      </c>
      <c r="O565" s="227" t="s">
        <v>135</v>
      </c>
      <c r="P565" s="228" t="n">
        <f aca="false">VLOOKUP(B565,'NIVEL ENERO'!A:D,3,0)</f>
        <v>0.407988258461538</v>
      </c>
      <c r="Q565" s="229" t="n">
        <f aca="false">VLOOKUP(B565,'NIVEL ENERO'!A:D,4,0)</f>
        <v>46474</v>
      </c>
      <c r="R565" s="186" t="str">
        <f aca="false">+PROPER(C565&amp;" "&amp;D565)</f>
        <v>Jaramillo Ossa Faride</v>
      </c>
      <c r="S565" s="230" t="n">
        <f aca="false">+YEARFRAC(L565,$S$1)</f>
        <v>2.09444444444444</v>
      </c>
      <c r="T565" s="230" t="n">
        <f aca="false">+YEARFRAC(M565,$S$1)</f>
        <v>2.43055555555556</v>
      </c>
      <c r="U565" s="231" t="n">
        <f aca="false">+$I565</f>
        <v>2338604</v>
      </c>
      <c r="V565" s="232" t="str">
        <f aca="false">+PROPER(F565)</f>
        <v>Soltero(A)</v>
      </c>
    </row>
    <row r="566" customFormat="false" ht="14.25" hidden="false" customHeight="false" outlineLevel="0" collapsed="false">
      <c r="B566" s="197" t="n">
        <v>66997637</v>
      </c>
      <c r="C566" s="197" t="s">
        <v>1968</v>
      </c>
      <c r="D566" s="197" t="s">
        <v>1969</v>
      </c>
      <c r="E566" s="198" t="s">
        <v>944</v>
      </c>
      <c r="F566" s="198" t="s">
        <v>953</v>
      </c>
      <c r="G566" s="225" t="n">
        <v>2600900</v>
      </c>
      <c r="H566" s="225" t="n">
        <v>2950564</v>
      </c>
      <c r="I566" s="225" t="n">
        <v>7875374</v>
      </c>
      <c r="J566" s="198" t="n">
        <v>49</v>
      </c>
      <c r="K566" s="198" t="n">
        <v>3</v>
      </c>
      <c r="L566" s="226" t="n">
        <v>43962</v>
      </c>
      <c r="M566" s="226" t="n">
        <v>41228</v>
      </c>
      <c r="N566" s="227" t="n">
        <v>3</v>
      </c>
      <c r="O566" s="227" t="s">
        <v>135</v>
      </c>
      <c r="P566" s="228" t="n">
        <f aca="false">VLOOKUP(B566,'NIVEL ENERO'!A:D,3,0)</f>
        <v>0.441295320850475</v>
      </c>
      <c r="Q566" s="229" t="n">
        <f aca="false">VLOOKUP(B566,'NIVEL ENERO'!A:D,4,0)</f>
        <v>-55387</v>
      </c>
      <c r="R566" s="186" t="str">
        <f aca="false">+PROPER(C566&amp;" "&amp;D566)</f>
        <v>Moreno Mindinero Betty</v>
      </c>
      <c r="S566" s="230" t="n">
        <f aca="false">+YEARFRAC(L566,$S$1)</f>
        <v>6.00277777777778</v>
      </c>
      <c r="T566" s="230" t="n">
        <f aca="false">+YEARFRAC(M566,$S$1)</f>
        <v>13.4916666666667</v>
      </c>
      <c r="U566" s="231" t="n">
        <f aca="false">+$I566</f>
        <v>7875374</v>
      </c>
      <c r="V566" s="232" t="str">
        <f aca="false">+PROPER(F566)</f>
        <v>Soltero(A)</v>
      </c>
    </row>
    <row r="567" customFormat="false" ht="14.25" hidden="false" customHeight="false" outlineLevel="0" collapsed="false">
      <c r="B567" s="197" t="n">
        <v>66997808</v>
      </c>
      <c r="C567" s="197" t="s">
        <v>1970</v>
      </c>
      <c r="D567" s="197" t="s">
        <v>1971</v>
      </c>
      <c r="E567" s="198" t="s">
        <v>944</v>
      </c>
      <c r="F567" s="198" t="s">
        <v>945</v>
      </c>
      <c r="G567" s="225" t="n">
        <v>9087800</v>
      </c>
      <c r="H567" s="225" t="n">
        <v>1000000</v>
      </c>
      <c r="I567" s="225"/>
      <c r="J567" s="198" t="n">
        <v>47</v>
      </c>
      <c r="K567" s="198" t="n">
        <v>6</v>
      </c>
      <c r="L567" s="226" t="n">
        <v>45519</v>
      </c>
      <c r="M567" s="226" t="n">
        <v>45195</v>
      </c>
      <c r="N567" s="227" t="n">
        <v>0</v>
      </c>
      <c r="O567" s="227" t="s">
        <v>135</v>
      </c>
      <c r="P567" s="228" t="n">
        <f aca="false">VLOOKUP(B567,'NIVEL ENERO'!A:D,3,0)</f>
        <v>0.147758753493695</v>
      </c>
      <c r="Q567" s="229" t="n">
        <f aca="false">VLOOKUP(B567,'NIVEL ENERO'!A:D,4,0)</f>
        <v>2474074</v>
      </c>
      <c r="R567" s="186" t="str">
        <f aca="false">+PROPER(C567&amp;" "&amp;D567)</f>
        <v>Saavedra Mayorca Diana Katerine</v>
      </c>
      <c r="S567" s="230" t="n">
        <f aca="false">+YEARFRAC(L567,$S$1)</f>
        <v>1.74166666666667</v>
      </c>
      <c r="T567" s="230" t="n">
        <f aca="false">+YEARFRAC(M567,$S$1)</f>
        <v>2.62777777777778</v>
      </c>
      <c r="U567" s="231" t="n">
        <f aca="false">+$I567</f>
        <v>0</v>
      </c>
      <c r="V567" s="232" t="str">
        <f aca="false">+PROPER(F567)</f>
        <v>Union Libre</v>
      </c>
    </row>
    <row r="568" customFormat="false" ht="14.25" hidden="false" customHeight="false" outlineLevel="0" collapsed="false">
      <c r="B568" s="197" t="n">
        <v>66999723</v>
      </c>
      <c r="C568" s="197" t="s">
        <v>1972</v>
      </c>
      <c r="D568" s="197" t="s">
        <v>1365</v>
      </c>
      <c r="E568" s="198" t="s">
        <v>944</v>
      </c>
      <c r="F568" s="198" t="s">
        <v>948</v>
      </c>
      <c r="G568" s="225" t="n">
        <v>2893800</v>
      </c>
      <c r="H568" s="225" t="n">
        <v>2236994</v>
      </c>
      <c r="I568" s="225" t="n">
        <v>6108020</v>
      </c>
      <c r="J568" s="198" t="n">
        <v>47</v>
      </c>
      <c r="K568" s="198" t="n">
        <v>2</v>
      </c>
      <c r="L568" s="226" t="n">
        <v>44417</v>
      </c>
      <c r="M568" s="226" t="n">
        <v>42177</v>
      </c>
      <c r="N568" s="227" t="n">
        <v>4</v>
      </c>
      <c r="O568" s="227" t="s">
        <v>135</v>
      </c>
      <c r="P568" s="228" t="n">
        <f aca="false">VLOOKUP(B568,'NIVEL ENERO'!A:D,3,0)</f>
        <v>0.483944296734433</v>
      </c>
      <c r="Q568" s="229" t="n">
        <f aca="false">VLOOKUP(B568,'NIVEL ENERO'!A:D,4,0)</f>
        <v>-180929.94</v>
      </c>
      <c r="R568" s="186" t="str">
        <f aca="false">+PROPER(C568&amp;" "&amp;D568)</f>
        <v>Caraballo Bolanos Jimena</v>
      </c>
      <c r="S568" s="230" t="n">
        <f aca="false">+YEARFRAC(L568,$S$1)</f>
        <v>4.75833333333333</v>
      </c>
      <c r="T568" s="230" t="n">
        <f aca="false">+YEARFRAC(M568,$S$1)</f>
        <v>10.8888888888889</v>
      </c>
      <c r="U568" s="231" t="n">
        <f aca="false">+$I568</f>
        <v>6108020</v>
      </c>
      <c r="V568" s="232" t="str">
        <f aca="false">+PROPER(F568)</f>
        <v>Casado(A)</v>
      </c>
    </row>
    <row r="569" customFormat="false" ht="14.25" hidden="false" customHeight="false" outlineLevel="0" collapsed="false">
      <c r="B569" s="197" t="n">
        <v>67000068</v>
      </c>
      <c r="C569" s="197" t="s">
        <v>1973</v>
      </c>
      <c r="D569" s="197" t="s">
        <v>1974</v>
      </c>
      <c r="E569" s="198" t="s">
        <v>944</v>
      </c>
      <c r="F569" s="198" t="s">
        <v>953</v>
      </c>
      <c r="G569" s="225" t="n">
        <v>6225200</v>
      </c>
      <c r="H569" s="225" t="n">
        <v>19321814</v>
      </c>
      <c r="I569" s="225" t="n">
        <v>1171189</v>
      </c>
      <c r="J569" s="198" t="n">
        <v>47</v>
      </c>
      <c r="K569" s="198" t="n">
        <v>1</v>
      </c>
      <c r="L569" s="226" t="n">
        <v>39821</v>
      </c>
      <c r="M569" s="226" t="n">
        <v>37782</v>
      </c>
      <c r="N569" s="227" t="n">
        <v>2</v>
      </c>
      <c r="O569" s="227" t="s">
        <v>135</v>
      </c>
      <c r="P569" s="228" t="n">
        <f aca="false">VLOOKUP(B569,'NIVEL ENERO'!A:D,3,0)</f>
        <v>0.201710949045814</v>
      </c>
      <c r="Q569" s="229" t="n">
        <f aca="false">VLOOKUP(B569,'NIVEL ENERO'!A:D,4,0)</f>
        <v>1358893</v>
      </c>
      <c r="R569" s="186" t="str">
        <f aca="false">+PROPER(C569&amp;" "&amp;D569)</f>
        <v>Jurado Vaquiro Yajaira</v>
      </c>
      <c r="S569" s="230" t="n">
        <f aca="false">+YEARFRAC(L569,$S$1)</f>
        <v>17.3444444444444</v>
      </c>
      <c r="T569" s="230" t="n">
        <f aca="false">+YEARFRAC(M569,$S$1)</f>
        <v>22.9222222222222</v>
      </c>
      <c r="U569" s="231" t="n">
        <f aca="false">+$I569</f>
        <v>1171189</v>
      </c>
      <c r="V569" s="232" t="str">
        <f aca="false">+PROPER(F569)</f>
        <v>Soltero(A)</v>
      </c>
    </row>
    <row r="570" customFormat="false" ht="14.25" hidden="false" customHeight="false" outlineLevel="0" collapsed="false">
      <c r="B570" s="197" t="n">
        <v>67000591</v>
      </c>
      <c r="C570" s="197" t="s">
        <v>1975</v>
      </c>
      <c r="D570" s="197" t="s">
        <v>1976</v>
      </c>
      <c r="E570" s="198" t="s">
        <v>944</v>
      </c>
      <c r="F570" s="198" t="s">
        <v>945</v>
      </c>
      <c r="G570" s="225" t="n">
        <v>2893800</v>
      </c>
      <c r="H570" s="225" t="n">
        <v>10611682</v>
      </c>
      <c r="I570" s="225" t="n">
        <v>15346894</v>
      </c>
      <c r="J570" s="198" t="n">
        <v>47</v>
      </c>
      <c r="K570" s="198" t="n">
        <v>2</v>
      </c>
      <c r="L570" s="226" t="n">
        <v>39364</v>
      </c>
      <c r="M570" s="226" t="n">
        <v>36437</v>
      </c>
      <c r="N570" s="227" t="n">
        <v>3</v>
      </c>
      <c r="O570" s="227" t="s">
        <v>135</v>
      </c>
      <c r="P570" s="228" t="n">
        <f aca="false">VLOOKUP(B570,'NIVEL ENERO'!A:D,3,0)</f>
        <v>0.426110995922317</v>
      </c>
      <c r="Q570" s="229" t="n">
        <f aca="false">VLOOKUP(B570,'NIVEL ENERO'!A:D,4,0)</f>
        <v>-21220.8</v>
      </c>
      <c r="R570" s="186" t="str">
        <f aca="false">+PROPER(C570&amp;" "&amp;D570)</f>
        <v>Castano Diana Consuelo</v>
      </c>
      <c r="S570" s="230" t="n">
        <f aca="false">+YEARFRAC(L570,$S$1)</f>
        <v>18.5916666666667</v>
      </c>
      <c r="T570" s="230" t="n">
        <f aca="false">+YEARFRAC(M570,$S$1)</f>
        <v>26.6055555555556</v>
      </c>
      <c r="U570" s="231" t="n">
        <f aca="false">+$I570</f>
        <v>15346894</v>
      </c>
      <c r="V570" s="232" t="str">
        <f aca="false">+PROPER(F570)</f>
        <v>Union Libre</v>
      </c>
    </row>
    <row r="571" customFormat="false" ht="14.25" hidden="false" customHeight="false" outlineLevel="0" collapsed="false">
      <c r="B571" s="197" t="n">
        <v>67000840</v>
      </c>
      <c r="C571" s="197" t="s">
        <v>1977</v>
      </c>
      <c r="D571" s="197" t="s">
        <v>1978</v>
      </c>
      <c r="E571" s="198" t="s">
        <v>944</v>
      </c>
      <c r="F571" s="198" t="s">
        <v>945</v>
      </c>
      <c r="G571" s="225" t="n">
        <v>4327600</v>
      </c>
      <c r="H571" s="225" t="n">
        <v>2387625</v>
      </c>
      <c r="I571" s="225" t="n">
        <v>4309346</v>
      </c>
      <c r="J571" s="198" t="n">
        <v>48</v>
      </c>
      <c r="K571" s="198" t="n">
        <v>1</v>
      </c>
      <c r="L571" s="226" t="n">
        <v>45121</v>
      </c>
      <c r="M571" s="226" t="n">
        <v>41114</v>
      </c>
      <c r="N571" s="227" t="n">
        <v>2</v>
      </c>
      <c r="O571" s="227" t="s">
        <v>135</v>
      </c>
      <c r="P571" s="228" t="n">
        <f aca="false">VLOOKUP(B571,'NIVEL ENERO'!A:D,3,0)</f>
        <v>0.41647147020383</v>
      </c>
      <c r="Q571" s="229" t="n">
        <f aca="false">VLOOKUP(B571,'NIVEL ENERO'!A:D,4,0)</f>
        <v>14252.0599999998</v>
      </c>
      <c r="R571" s="186" t="str">
        <f aca="false">+PROPER(C571&amp;" "&amp;D571)</f>
        <v>Clavijo Margarita</v>
      </c>
      <c r="S571" s="230" t="n">
        <f aca="false">+YEARFRAC(L571,$S$1)</f>
        <v>2.82777777777778</v>
      </c>
      <c r="T571" s="230" t="n">
        <f aca="false">+YEARFRAC(M571,$S$1)</f>
        <v>13.8</v>
      </c>
      <c r="U571" s="231" t="n">
        <f aca="false">+$I571</f>
        <v>4309346</v>
      </c>
      <c r="V571" s="232" t="str">
        <f aca="false">+PROPER(F571)</f>
        <v>Union Libre</v>
      </c>
    </row>
    <row r="572" customFormat="false" ht="14.25" hidden="false" customHeight="false" outlineLevel="0" collapsed="false">
      <c r="B572" s="197" t="n">
        <v>67002023</v>
      </c>
      <c r="C572" s="197" t="s">
        <v>1979</v>
      </c>
      <c r="D572" s="197" t="s">
        <v>1980</v>
      </c>
      <c r="E572" s="198" t="s">
        <v>944</v>
      </c>
      <c r="F572" s="198" t="s">
        <v>953</v>
      </c>
      <c r="G572" s="225" t="n">
        <v>2893800</v>
      </c>
      <c r="H572" s="225" t="n">
        <v>4278784</v>
      </c>
      <c r="I572" s="225" t="n">
        <v>6322077</v>
      </c>
      <c r="J572" s="198" t="n">
        <v>47</v>
      </c>
      <c r="K572" s="198" t="n">
        <v>4</v>
      </c>
      <c r="L572" s="226" t="n">
        <v>43179</v>
      </c>
      <c r="M572" s="226" t="n">
        <v>42649</v>
      </c>
      <c r="N572" s="227" t="n">
        <v>2</v>
      </c>
      <c r="O572" s="227" t="s">
        <v>135</v>
      </c>
      <c r="P572" s="228" t="n">
        <f aca="false">VLOOKUP(B572,'NIVEL ENERO'!A:D,3,0)</f>
        <v>0.400894007417529</v>
      </c>
      <c r="Q572" s="229" t="n">
        <f aca="false">VLOOKUP(B572,'NIVEL ENERO'!A:D,4,0)</f>
        <v>58728</v>
      </c>
      <c r="R572" s="186" t="str">
        <f aca="false">+PROPER(C572&amp;" "&amp;D572)</f>
        <v>Villa Galban Jaqueline</v>
      </c>
      <c r="S572" s="230" t="n">
        <f aca="false">+YEARFRAC(L572,$S$1)</f>
        <v>8.14444444444444</v>
      </c>
      <c r="T572" s="230" t="n">
        <f aca="false">+YEARFRAC(M572,$S$1)</f>
        <v>9.6</v>
      </c>
      <c r="U572" s="231" t="n">
        <f aca="false">+$I572</f>
        <v>6322077</v>
      </c>
      <c r="V572" s="232" t="str">
        <f aca="false">+PROPER(F572)</f>
        <v>Soltero(A)</v>
      </c>
    </row>
    <row r="573" customFormat="false" ht="14.25" hidden="false" customHeight="false" outlineLevel="0" collapsed="false">
      <c r="B573" s="197" t="n">
        <v>67002983</v>
      </c>
      <c r="C573" s="197" t="s">
        <v>1981</v>
      </c>
      <c r="D573" s="197" t="s">
        <v>1982</v>
      </c>
      <c r="E573" s="198" t="s">
        <v>944</v>
      </c>
      <c r="F573" s="198" t="s">
        <v>948</v>
      </c>
      <c r="G573" s="225" t="n">
        <v>5156000</v>
      </c>
      <c r="H573" s="225" t="n">
        <v>2415791</v>
      </c>
      <c r="I573" s="225" t="n">
        <v>0</v>
      </c>
      <c r="J573" s="198" t="n">
        <v>47</v>
      </c>
      <c r="K573" s="198" t="n">
        <v>1</v>
      </c>
      <c r="L573" s="226" t="n">
        <v>44335</v>
      </c>
      <c r="M573" s="226" t="n">
        <v>44105</v>
      </c>
      <c r="N573" s="227" t="n">
        <v>2</v>
      </c>
      <c r="O573" s="227" t="s">
        <v>135</v>
      </c>
      <c r="P573" s="228" t="n">
        <f aca="false">VLOOKUP(B573,'NIVEL ENERO'!A:D,3,0)</f>
        <v>0.10967256296866</v>
      </c>
      <c r="Q573" s="229" t="n">
        <f aca="false">VLOOKUP(B573,'NIVEL ENERO'!A:D,4,0)</f>
        <v>1614013</v>
      </c>
      <c r="R573" s="186" t="str">
        <f aca="false">+PROPER(C573&amp;" "&amp;D573)</f>
        <v>Coral Gutierrez Mirdza</v>
      </c>
      <c r="S573" s="230" t="n">
        <f aca="false">+YEARFRAC(L573,$S$1)</f>
        <v>4.98055555555556</v>
      </c>
      <c r="T573" s="230" t="n">
        <f aca="false">+YEARFRAC(M573,$S$1)</f>
        <v>5.61388888888889</v>
      </c>
      <c r="U573" s="231" t="n">
        <f aca="false">+$I573</f>
        <v>0</v>
      </c>
      <c r="V573" s="232" t="str">
        <f aca="false">+PROPER(F573)</f>
        <v>Casado(A)</v>
      </c>
    </row>
    <row r="574" customFormat="false" ht="14.25" hidden="false" customHeight="false" outlineLevel="0" collapsed="false">
      <c r="B574" s="197" t="n">
        <v>67004195</v>
      </c>
      <c r="C574" s="197" t="s">
        <v>1983</v>
      </c>
      <c r="D574" s="197" t="s">
        <v>1984</v>
      </c>
      <c r="E574" s="198" t="s">
        <v>944</v>
      </c>
      <c r="F574" s="198" t="s">
        <v>948</v>
      </c>
      <c r="G574" s="225" t="n">
        <v>2600900</v>
      </c>
      <c r="H574" s="225" t="n">
        <v>1607671</v>
      </c>
      <c r="I574" s="225" t="n">
        <v>1707909</v>
      </c>
      <c r="J574" s="198" t="n">
        <v>47</v>
      </c>
      <c r="K574" s="198" t="n">
        <v>2</v>
      </c>
      <c r="L574" s="226" t="n">
        <v>44852</v>
      </c>
      <c r="M574" s="226" t="n">
        <v>41164</v>
      </c>
      <c r="N574" s="227" t="n">
        <v>4</v>
      </c>
      <c r="O574" s="227" t="s">
        <v>135</v>
      </c>
      <c r="P574" s="228" t="n">
        <f aca="false">VLOOKUP(B574,'NIVEL ENERO'!A:D,3,0)</f>
        <v>0.395085215463489</v>
      </c>
      <c r="Q574" s="229" t="n">
        <f aca="false">VLOOKUP(B574,'NIVEL ENERO'!A:D,4,0)</f>
        <v>71924</v>
      </c>
      <c r="R574" s="186" t="str">
        <f aca="false">+PROPER(C574&amp;" "&amp;D574)</f>
        <v>Monroy Marulanda Jenny</v>
      </c>
      <c r="S574" s="230" t="n">
        <f aca="false">+YEARFRAC(L574,$S$1)</f>
        <v>3.56666666666667</v>
      </c>
      <c r="T574" s="230" t="n">
        <f aca="false">+YEARFRAC(M574,$S$1)</f>
        <v>13.6666666666667</v>
      </c>
      <c r="U574" s="231" t="n">
        <f aca="false">+$I574</f>
        <v>1707909</v>
      </c>
      <c r="V574" s="232" t="str">
        <f aca="false">+PROPER(F574)</f>
        <v>Casado(A)</v>
      </c>
    </row>
    <row r="575" customFormat="false" ht="14.25" hidden="false" customHeight="false" outlineLevel="0" collapsed="false">
      <c r="B575" s="197" t="n">
        <v>67004483</v>
      </c>
      <c r="C575" s="197" t="s">
        <v>1985</v>
      </c>
      <c r="D575" s="197" t="s">
        <v>1986</v>
      </c>
      <c r="E575" s="198" t="s">
        <v>944</v>
      </c>
      <c r="F575" s="198" t="s">
        <v>948</v>
      </c>
      <c r="G575" s="225" t="n">
        <v>9999400</v>
      </c>
      <c r="H575" s="225" t="n">
        <v>11204376</v>
      </c>
      <c r="I575" s="225" t="n">
        <v>0</v>
      </c>
      <c r="J575" s="198" t="n">
        <v>47</v>
      </c>
      <c r="K575" s="198" t="n">
        <v>1</v>
      </c>
      <c r="L575" s="226" t="n">
        <v>38904</v>
      </c>
      <c r="M575" s="226" t="n">
        <v>36593</v>
      </c>
      <c r="N575" s="227" t="n">
        <v>5</v>
      </c>
      <c r="O575" s="227" t="s">
        <v>135</v>
      </c>
      <c r="P575" s="228" t="n">
        <f aca="false">VLOOKUP(B575,'NIVEL ENERO'!A:D,3,0)</f>
        <v>0.236834510070604</v>
      </c>
      <c r="Q575" s="229" t="n">
        <f aca="false">VLOOKUP(B575,'NIVEL ENERO'!A:D,4,0)</f>
        <v>1831545</v>
      </c>
      <c r="R575" s="186" t="str">
        <f aca="false">+PROPER(C575&amp;" "&amp;D575)</f>
        <v>Vasquez Alban Yohanna Paola</v>
      </c>
      <c r="S575" s="230" t="n">
        <f aca="false">+YEARFRAC(L575,$S$1)</f>
        <v>19.85</v>
      </c>
      <c r="T575" s="230" t="n">
        <f aca="false">+YEARFRAC(M575,$S$1)</f>
        <v>26.1777777777778</v>
      </c>
      <c r="U575" s="231" t="n">
        <f aca="false">+$I575</f>
        <v>0</v>
      </c>
      <c r="V575" s="232" t="str">
        <f aca="false">+PROPER(F575)</f>
        <v>Casado(A)</v>
      </c>
    </row>
    <row r="576" customFormat="false" ht="14.25" hidden="false" customHeight="false" outlineLevel="0" collapsed="false">
      <c r="B576" s="197" t="n">
        <v>67005575</v>
      </c>
      <c r="C576" s="197" t="s">
        <v>1987</v>
      </c>
      <c r="D576" s="197" t="s">
        <v>1988</v>
      </c>
      <c r="E576" s="198" t="s">
        <v>944</v>
      </c>
      <c r="F576" s="198" t="s">
        <v>945</v>
      </c>
      <c r="G576" s="225" t="n">
        <v>4480000</v>
      </c>
      <c r="H576" s="225" t="n">
        <v>1910716</v>
      </c>
      <c r="I576" s="225" t="n">
        <v>3842295</v>
      </c>
      <c r="J576" s="198" t="n">
        <v>47</v>
      </c>
      <c r="K576" s="198" t="n">
        <v>2</v>
      </c>
      <c r="L576" s="226" t="n">
        <v>44642</v>
      </c>
      <c r="M576" s="226" t="n">
        <v>38847</v>
      </c>
      <c r="N576" s="227" t="n">
        <v>3</v>
      </c>
      <c r="O576" s="227" t="s">
        <v>135</v>
      </c>
      <c r="P576" s="228" t="n">
        <f aca="false">VLOOKUP(B576,'NIVEL ENERO'!A:D,3,0)</f>
        <v>0.397794026224783</v>
      </c>
      <c r="Q576" s="229" t="n">
        <f aca="false">VLOOKUP(B576,'NIVEL ENERO'!A:D,4,0)</f>
        <v>144188.88</v>
      </c>
      <c r="R576" s="186" t="str">
        <f aca="false">+PROPER(C576&amp;" "&amp;D576)</f>
        <v>Ortega Castro Emilsen</v>
      </c>
      <c r="S576" s="230" t="n">
        <f aca="false">+YEARFRAC(L576,$S$1)</f>
        <v>4.13888888888889</v>
      </c>
      <c r="T576" s="230" t="n">
        <f aca="false">+YEARFRAC(M576,$S$1)</f>
        <v>20.0055555555556</v>
      </c>
      <c r="U576" s="231" t="n">
        <f aca="false">+$I576</f>
        <v>3842295</v>
      </c>
      <c r="V576" s="232" t="str">
        <f aca="false">+PROPER(F576)</f>
        <v>Union Libre</v>
      </c>
    </row>
    <row r="577" customFormat="false" ht="14.25" hidden="false" customHeight="false" outlineLevel="0" collapsed="false">
      <c r="B577" s="197" t="n">
        <v>67006115</v>
      </c>
      <c r="C577" s="197" t="s">
        <v>1989</v>
      </c>
      <c r="D577" s="197" t="s">
        <v>1990</v>
      </c>
      <c r="E577" s="198" t="s">
        <v>944</v>
      </c>
      <c r="F577" s="198" t="s">
        <v>953</v>
      </c>
      <c r="G577" s="225" t="n">
        <v>7551500</v>
      </c>
      <c r="H577" s="225" t="n">
        <v>3718870</v>
      </c>
      <c r="I577" s="225" t="n">
        <v>5410214</v>
      </c>
      <c r="J577" s="198" t="n">
        <v>47</v>
      </c>
      <c r="K577" s="198" t="n">
        <v>4</v>
      </c>
      <c r="L577" s="226" t="n">
        <v>44552</v>
      </c>
      <c r="M577" s="226" t="n">
        <v>44389</v>
      </c>
      <c r="N577" s="227" t="n">
        <v>1</v>
      </c>
      <c r="O577" s="227" t="s">
        <v>135</v>
      </c>
      <c r="P577" s="228" t="n">
        <f aca="false">VLOOKUP(B577,'NIVEL ENERO'!A:D,3,0)</f>
        <v>0.264782361120307</v>
      </c>
      <c r="Q577" s="229" t="n">
        <f aca="false">VLOOKUP(B577,'NIVEL ENERO'!A:D,4,0)</f>
        <v>1172126</v>
      </c>
      <c r="R577" s="186" t="str">
        <f aca="false">+PROPER(C577&amp;" "&amp;D577)</f>
        <v>Arias Rivas Viridiana</v>
      </c>
      <c r="S577" s="230" t="n">
        <f aca="false">+YEARFRAC(L577,$S$1)</f>
        <v>4.38888888888889</v>
      </c>
      <c r="T577" s="230" t="n">
        <f aca="false">+YEARFRAC(M577,$S$1)</f>
        <v>4.83333333333333</v>
      </c>
      <c r="U577" s="231" t="n">
        <f aca="false">+$I577</f>
        <v>5410214</v>
      </c>
      <c r="V577" s="232" t="str">
        <f aca="false">+PROPER(F577)</f>
        <v>Soltero(A)</v>
      </c>
    </row>
    <row r="578" customFormat="false" ht="14.25" hidden="false" customHeight="false" outlineLevel="0" collapsed="false">
      <c r="B578" s="197" t="n">
        <v>67007157</v>
      </c>
      <c r="C578" s="197" t="s">
        <v>1991</v>
      </c>
      <c r="D578" s="197" t="s">
        <v>1992</v>
      </c>
      <c r="E578" s="198" t="s">
        <v>944</v>
      </c>
      <c r="F578" s="198" t="s">
        <v>953</v>
      </c>
      <c r="G578" s="225" t="n">
        <v>9087800</v>
      </c>
      <c r="H578" s="225" t="n">
        <v>4731621</v>
      </c>
      <c r="I578" s="225" t="n">
        <v>0</v>
      </c>
      <c r="J578" s="198" t="n">
        <v>47</v>
      </c>
      <c r="K578" s="198" t="n">
        <v>1</v>
      </c>
      <c r="L578" s="226" t="n">
        <v>42293</v>
      </c>
      <c r="M578" s="226" t="n">
        <v>36301</v>
      </c>
      <c r="N578" s="227" t="n">
        <v>1</v>
      </c>
      <c r="O578" s="227" t="s">
        <v>135</v>
      </c>
      <c r="P578" s="228" t="n">
        <f aca="false">VLOOKUP(B578,'NIVEL ENERO'!A:D,3,0)</f>
        <v>0.422359247311682</v>
      </c>
      <c r="Q578" s="229" t="n">
        <f aca="false">VLOOKUP(B578,'NIVEL ENERO'!A:D,4,0)</f>
        <v>-22628.9399999999</v>
      </c>
      <c r="R578" s="186" t="str">
        <f aca="false">+PROPER(C578&amp;" "&amp;D578)</f>
        <v>Camacho Marmolejo Amy Patricia</v>
      </c>
      <c r="S578" s="230" t="n">
        <f aca="false">+YEARFRAC(L578,$S$1)</f>
        <v>10.5722222222222</v>
      </c>
      <c r="T578" s="230" t="n">
        <f aca="false">+YEARFRAC(M578,$S$1)</f>
        <v>26.975</v>
      </c>
      <c r="U578" s="231" t="n">
        <f aca="false">+$I578</f>
        <v>0</v>
      </c>
      <c r="V578" s="232" t="str">
        <f aca="false">+PROPER(F578)</f>
        <v>Soltero(A)</v>
      </c>
    </row>
    <row r="579" customFormat="false" ht="14.25" hidden="false" customHeight="false" outlineLevel="0" collapsed="false">
      <c r="B579" s="197" t="n">
        <v>67007578</v>
      </c>
      <c r="C579" s="197" t="s">
        <v>1993</v>
      </c>
      <c r="D579" s="197" t="s">
        <v>1225</v>
      </c>
      <c r="E579" s="198" t="s">
        <v>944</v>
      </c>
      <c r="F579" s="198" t="s">
        <v>948</v>
      </c>
      <c r="G579" s="225" t="n">
        <v>6544600</v>
      </c>
      <c r="H579" s="225" t="n">
        <v>33106688</v>
      </c>
      <c r="I579" s="225" t="n">
        <v>0</v>
      </c>
      <c r="J579" s="198" t="n">
        <v>46</v>
      </c>
      <c r="K579" s="198" t="n">
        <v>1</v>
      </c>
      <c r="L579" s="226" t="n">
        <v>37863</v>
      </c>
      <c r="M579" s="226" t="n">
        <v>36851</v>
      </c>
      <c r="N579" s="227" t="n">
        <v>6</v>
      </c>
      <c r="O579" s="227" t="s">
        <v>135</v>
      </c>
      <c r="P579" s="228" t="n">
        <f aca="false">VLOOKUP(B579,'NIVEL ENERO'!A:D,3,0)</f>
        <v>0.208110813167092</v>
      </c>
      <c r="Q579" s="229" t="n">
        <f aca="false">VLOOKUP(B579,'NIVEL ENERO'!A:D,4,0)</f>
        <v>1835690.74</v>
      </c>
      <c r="R579" s="186" t="str">
        <f aca="false">+PROPER(C579&amp;" "&amp;D579)</f>
        <v>Cardenas Cespedes Susana</v>
      </c>
      <c r="S579" s="230" t="n">
        <f aca="false">+YEARFRAC(L579,$S$1)</f>
        <v>22.7</v>
      </c>
      <c r="T579" s="230" t="n">
        <f aca="false">+YEARFRAC(M579,$S$1)</f>
        <v>25.475</v>
      </c>
      <c r="U579" s="231" t="n">
        <f aca="false">+$I579</f>
        <v>0</v>
      </c>
      <c r="V579" s="232" t="str">
        <f aca="false">+PROPER(F579)</f>
        <v>Casado(A)</v>
      </c>
    </row>
    <row r="580" customFormat="false" ht="14.25" hidden="false" customHeight="false" outlineLevel="0" collapsed="false">
      <c r="B580" s="197" t="n">
        <v>67010687</v>
      </c>
      <c r="C580" s="197" t="s">
        <v>1994</v>
      </c>
      <c r="D580" s="197" t="s">
        <v>1995</v>
      </c>
      <c r="E580" s="198" t="s">
        <v>981</v>
      </c>
      <c r="F580" s="198" t="s">
        <v>953</v>
      </c>
      <c r="G580" s="225" t="n">
        <v>3945300</v>
      </c>
      <c r="H580" s="225" t="n">
        <v>7236194</v>
      </c>
      <c r="I580" s="225" t="n">
        <v>0</v>
      </c>
      <c r="J580" s="198" t="n">
        <v>46</v>
      </c>
      <c r="K580" s="198" t="n">
        <v>1</v>
      </c>
      <c r="L580" s="226" t="n">
        <v>40792</v>
      </c>
      <c r="M580" s="226" t="n">
        <v>40792</v>
      </c>
      <c r="N580" s="227" t="n">
        <v>1</v>
      </c>
      <c r="O580" s="227" t="s">
        <v>135</v>
      </c>
      <c r="P580" s="228" t="n">
        <f aca="false">VLOOKUP(B580,'NIVEL ENERO'!A:D,3,0)</f>
        <v>0.293912858337769</v>
      </c>
      <c r="Q580" s="229" t="n">
        <f aca="false">VLOOKUP(B580,'NIVEL ENERO'!A:D,4,0)</f>
        <v>414543</v>
      </c>
      <c r="R580" s="186" t="str">
        <f aca="false">+PROPER(C580&amp;" "&amp;D580)</f>
        <v>Vera Cortes Lizeth Patricia</v>
      </c>
      <c r="S580" s="230" t="n">
        <f aca="false">+YEARFRAC(L580,$S$1)</f>
        <v>14.6833333333333</v>
      </c>
      <c r="T580" s="230" t="n">
        <f aca="false">+YEARFRAC(M580,$S$1)</f>
        <v>14.6833333333333</v>
      </c>
      <c r="U580" s="231" t="n">
        <f aca="false">+$I580</f>
        <v>0</v>
      </c>
      <c r="V580" s="232" t="str">
        <f aca="false">+PROPER(F580)</f>
        <v>Soltero(A)</v>
      </c>
    </row>
    <row r="581" customFormat="false" ht="14.25" hidden="false" customHeight="false" outlineLevel="0" collapsed="false">
      <c r="B581" s="197" t="n">
        <v>67011371</v>
      </c>
      <c r="C581" s="197" t="s">
        <v>1996</v>
      </c>
      <c r="D581" s="197" t="s">
        <v>1549</v>
      </c>
      <c r="E581" s="198" t="s">
        <v>944</v>
      </c>
      <c r="F581" s="198" t="s">
        <v>948</v>
      </c>
      <c r="G581" s="225" t="n">
        <v>2600900</v>
      </c>
      <c r="H581" s="225" t="n">
        <v>2011731</v>
      </c>
      <c r="I581" s="225" t="n">
        <v>425001</v>
      </c>
      <c r="J581" s="198" t="n">
        <v>46</v>
      </c>
      <c r="K581" s="198" t="n">
        <v>1</v>
      </c>
      <c r="L581" s="226" t="n">
        <v>44606</v>
      </c>
      <c r="M581" s="226" t="n">
        <v>39995</v>
      </c>
      <c r="N581" s="227" t="n">
        <v>4</v>
      </c>
      <c r="O581" s="227" t="s">
        <v>135</v>
      </c>
      <c r="P581" s="228" t="n">
        <f aca="false">VLOOKUP(B581,'NIVEL ENERO'!A:D,3,0)</f>
        <v>0.356150178784267</v>
      </c>
      <c r="Q581" s="229" t="n">
        <f aca="false">VLOOKUP(B581,'NIVEL ENERO'!A:D,4,0)</f>
        <v>166067</v>
      </c>
      <c r="R581" s="186" t="str">
        <f aca="false">+PROPER(C581&amp;" "&amp;D581)</f>
        <v>Ospina Carmona Sandra Patricia</v>
      </c>
      <c r="S581" s="230" t="n">
        <f aca="false">+YEARFRAC(L581,$S$1)</f>
        <v>4.24444444444444</v>
      </c>
      <c r="T581" s="230" t="n">
        <f aca="false">+YEARFRAC(M581,$S$1)</f>
        <v>16.8638888888889</v>
      </c>
      <c r="U581" s="231" t="n">
        <f aca="false">+$I581</f>
        <v>425001</v>
      </c>
      <c r="V581" s="232" t="str">
        <f aca="false">+PROPER(F581)</f>
        <v>Casado(A)</v>
      </c>
    </row>
    <row r="582" customFormat="false" ht="14.25" hidden="false" customHeight="false" outlineLevel="0" collapsed="false">
      <c r="B582" s="197" t="n">
        <v>67011839</v>
      </c>
      <c r="C582" s="197" t="s">
        <v>1997</v>
      </c>
      <c r="D582" s="197" t="s">
        <v>1139</v>
      </c>
      <c r="E582" s="198" t="s">
        <v>944</v>
      </c>
      <c r="F582" s="198" t="s">
        <v>945</v>
      </c>
      <c r="G582" s="225" t="n">
        <v>15000000</v>
      </c>
      <c r="H582" s="225" t="n">
        <v>16529087</v>
      </c>
      <c r="I582" s="225" t="n">
        <v>3058547</v>
      </c>
      <c r="J582" s="198" t="n">
        <v>46</v>
      </c>
      <c r="K582" s="198" t="n">
        <v>6</v>
      </c>
      <c r="L582" s="226" t="n">
        <v>43150</v>
      </c>
      <c r="M582" s="226" t="n">
        <v>39413</v>
      </c>
      <c r="N582" s="227" t="n">
        <v>2</v>
      </c>
      <c r="O582" s="227" t="s">
        <v>158</v>
      </c>
      <c r="P582" s="228" t="e">
        <f aca="false">VLOOKUP(B582,'NIVEL ENERO'!A:D,3,0)</f>
        <v>#N/A</v>
      </c>
      <c r="Q582" s="229" t="e">
        <f aca="false">VLOOKUP(B582,'NIVEL ENERO'!A:D,4,0)</f>
        <v>#N/A</v>
      </c>
      <c r="R582" s="186" t="str">
        <f aca="false">+PROPER(C582&amp;" "&amp;D582)</f>
        <v>Gonzalez Florez Sandra Liliana</v>
      </c>
      <c r="S582" s="230" t="n">
        <f aca="false">+YEARFRAC(L582,$S$1)</f>
        <v>8.23055555555556</v>
      </c>
      <c r="T582" s="230" t="n">
        <f aca="false">+YEARFRAC(M582,$S$1)</f>
        <v>18.4583333333333</v>
      </c>
      <c r="U582" s="231" t="n">
        <f aca="false">+$I582</f>
        <v>3058547</v>
      </c>
      <c r="V582" s="232" t="str">
        <f aca="false">+PROPER(F582)</f>
        <v>Union Libre</v>
      </c>
    </row>
    <row r="583" customFormat="false" ht="14.25" hidden="false" customHeight="false" outlineLevel="0" collapsed="false">
      <c r="B583" s="197" t="n">
        <v>67012661</v>
      </c>
      <c r="C583" s="197" t="s">
        <v>1998</v>
      </c>
      <c r="D583" s="197" t="s">
        <v>1265</v>
      </c>
      <c r="E583" s="198" t="s">
        <v>944</v>
      </c>
      <c r="F583" s="198" t="s">
        <v>953</v>
      </c>
      <c r="G583" s="225" t="n">
        <v>2255900</v>
      </c>
      <c r="H583" s="225" t="n">
        <v>3047033</v>
      </c>
      <c r="I583" s="225" t="n">
        <v>24195</v>
      </c>
      <c r="J583" s="198" t="n">
        <v>46</v>
      </c>
      <c r="K583" s="198" t="n">
        <v>4</v>
      </c>
      <c r="L583" s="226" t="n">
        <v>43801</v>
      </c>
      <c r="M583" s="226" t="n">
        <v>35248</v>
      </c>
      <c r="N583" s="227" t="n">
        <v>3</v>
      </c>
      <c r="O583" s="227" t="s">
        <v>135</v>
      </c>
      <c r="P583" s="228" t="n">
        <f aca="false">VLOOKUP(B583,'NIVEL ENERO'!A:D,3,0)</f>
        <v>0.142329447227271</v>
      </c>
      <c r="Q583" s="229" t="n">
        <f aca="false">VLOOKUP(B583,'NIVEL ENERO'!A:D,4,0)</f>
        <v>626397</v>
      </c>
      <c r="R583" s="186" t="str">
        <f aca="false">+PROPER(C583&amp;" "&amp;D583)</f>
        <v>Hurtado Barrios Adriana</v>
      </c>
      <c r="S583" s="230" t="n">
        <f aca="false">+YEARFRAC(L583,$S$1)</f>
        <v>6.44444444444445</v>
      </c>
      <c r="T583" s="230" t="n">
        <f aca="false">+YEARFRAC(M583,$S$1)</f>
        <v>29.8611111111111</v>
      </c>
      <c r="U583" s="231" t="n">
        <f aca="false">+$I583</f>
        <v>24195</v>
      </c>
      <c r="V583" s="232" t="str">
        <f aca="false">+PROPER(F583)</f>
        <v>Soltero(A)</v>
      </c>
    </row>
    <row r="584" customFormat="false" ht="14.25" hidden="false" customHeight="false" outlineLevel="0" collapsed="false">
      <c r="B584" s="197" t="n">
        <v>67015173</v>
      </c>
      <c r="C584" s="197" t="s">
        <v>1999</v>
      </c>
      <c r="D584" s="197" t="s">
        <v>2000</v>
      </c>
      <c r="E584" s="198" t="s">
        <v>944</v>
      </c>
      <c r="F584" s="198" t="s">
        <v>998</v>
      </c>
      <c r="G584" s="225" t="n">
        <v>2893800</v>
      </c>
      <c r="H584" s="225" t="n">
        <v>3112780</v>
      </c>
      <c r="I584" s="225" t="n">
        <v>308806</v>
      </c>
      <c r="J584" s="198" t="n">
        <v>46</v>
      </c>
      <c r="K584" s="198" t="n">
        <v>1</v>
      </c>
      <c r="L584" s="226" t="n">
        <v>44700</v>
      </c>
      <c r="M584" s="226" t="n">
        <v>44105</v>
      </c>
      <c r="N584" s="227" t="n">
        <v>1</v>
      </c>
      <c r="O584" s="227" t="s">
        <v>135</v>
      </c>
      <c r="P584" s="228" t="n">
        <f aca="false">VLOOKUP(B584,'NIVEL ENERO'!A:D,3,0)</f>
        <v>0.138714899146104</v>
      </c>
      <c r="Q584" s="229" t="n">
        <f aca="false">VLOOKUP(B584,'NIVEL ENERO'!A:D,4,0)</f>
        <v>1001022.04</v>
      </c>
      <c r="R584" s="186" t="str">
        <f aca="false">+PROPER(C584&amp;" "&amp;D584)</f>
        <v>Gonzalez Quinones Yuli</v>
      </c>
      <c r="S584" s="230" t="n">
        <f aca="false">+YEARFRAC(L584,$S$1)</f>
        <v>3.98055555555556</v>
      </c>
      <c r="T584" s="230" t="n">
        <f aca="false">+YEARFRAC(M584,$S$1)</f>
        <v>5.61388888888889</v>
      </c>
      <c r="U584" s="231" t="n">
        <f aca="false">+$I584</f>
        <v>308806</v>
      </c>
      <c r="V584" s="232" t="str">
        <f aca="false">+PROPER(F584)</f>
        <v>Separado(A)</v>
      </c>
    </row>
    <row r="585" customFormat="false" ht="14.25" hidden="false" customHeight="false" outlineLevel="0" collapsed="false">
      <c r="B585" s="197" t="n">
        <v>67019745</v>
      </c>
      <c r="C585" s="197" t="s">
        <v>2001</v>
      </c>
      <c r="D585" s="197" t="s">
        <v>1689</v>
      </c>
      <c r="E585" s="198" t="s">
        <v>944</v>
      </c>
      <c r="F585" s="198" t="s">
        <v>948</v>
      </c>
      <c r="G585" s="225" t="n">
        <v>1442000</v>
      </c>
      <c r="H585" s="225" t="n">
        <v>260000</v>
      </c>
      <c r="I585" s="225" t="n">
        <v>0</v>
      </c>
      <c r="J585" s="198" t="n">
        <v>46</v>
      </c>
      <c r="K585" s="198" t="n">
        <v>4</v>
      </c>
      <c r="L585" s="226" t="n">
        <v>45555</v>
      </c>
      <c r="M585" s="226" t="n">
        <v>37165</v>
      </c>
      <c r="N585" s="227" t="n">
        <v>3</v>
      </c>
      <c r="O585" s="227" t="s">
        <v>135</v>
      </c>
      <c r="P585" s="228" t="n">
        <f aca="false">VLOOKUP(B585,'NIVEL ENERO'!A:D,3,0)</f>
        <v>0.277059921210865</v>
      </c>
      <c r="Q585" s="229" t="n">
        <f aca="false">VLOOKUP(B585,'NIVEL ENERO'!A:D,4,0)</f>
        <v>413640</v>
      </c>
      <c r="R585" s="186" t="str">
        <f aca="false">+PROPER(C585&amp;" "&amp;D585)</f>
        <v>Aguilar Muñoz Lizeth</v>
      </c>
      <c r="S585" s="230" t="n">
        <f aca="false">+YEARFRAC(L585,$S$1)</f>
        <v>1.64444444444444</v>
      </c>
      <c r="T585" s="230" t="n">
        <f aca="false">+YEARFRAC(M585,$S$1)</f>
        <v>24.6138888888889</v>
      </c>
      <c r="U585" s="231" t="n">
        <f aca="false">+$I585</f>
        <v>0</v>
      </c>
      <c r="V585" s="232" t="str">
        <f aca="false">+PROPER(F585)</f>
        <v>Casado(A)</v>
      </c>
    </row>
    <row r="586" customFormat="false" ht="14.25" hidden="false" customHeight="false" outlineLevel="0" collapsed="false">
      <c r="B586" s="197" t="n">
        <v>67020375</v>
      </c>
      <c r="C586" s="197" t="s">
        <v>2002</v>
      </c>
      <c r="D586" s="197" t="s">
        <v>1273</v>
      </c>
      <c r="E586" s="198" t="s">
        <v>944</v>
      </c>
      <c r="F586" s="198" t="s">
        <v>948</v>
      </c>
      <c r="G586" s="225" t="n">
        <v>3945300</v>
      </c>
      <c r="H586" s="225" t="n">
        <v>1911081</v>
      </c>
      <c r="I586" s="225" t="n">
        <v>0</v>
      </c>
      <c r="J586" s="198" t="n">
        <v>46</v>
      </c>
      <c r="K586" s="198" t="n">
        <v>4</v>
      </c>
      <c r="L586" s="226" t="n">
        <v>45020</v>
      </c>
      <c r="M586" s="226" t="n">
        <v>42191</v>
      </c>
      <c r="N586" s="227" t="n">
        <v>4</v>
      </c>
      <c r="O586" s="227" t="s">
        <v>135</v>
      </c>
      <c r="P586" s="228" t="n">
        <f aca="false">VLOOKUP(B586,'NIVEL ENERO'!A:D,3,0)</f>
        <v>0.118239677591058</v>
      </c>
      <c r="Q586" s="229" t="n">
        <f aca="false">VLOOKUP(B586,'NIVEL ENERO'!A:D,4,0)</f>
        <v>1190535</v>
      </c>
      <c r="R586" s="186" t="str">
        <f aca="false">+PROPER(C586&amp;" "&amp;D586)</f>
        <v>Escobar Valencia Myriam</v>
      </c>
      <c r="S586" s="230" t="n">
        <f aca="false">+YEARFRAC(L586,$S$1)</f>
        <v>3.10555555555556</v>
      </c>
      <c r="T586" s="230" t="n">
        <f aca="false">+YEARFRAC(M586,$S$1)</f>
        <v>10.85</v>
      </c>
      <c r="U586" s="231" t="n">
        <f aca="false">+$I586</f>
        <v>0</v>
      </c>
      <c r="V586" s="232" t="str">
        <f aca="false">+PROPER(F586)</f>
        <v>Casado(A)</v>
      </c>
    </row>
    <row r="587" customFormat="false" ht="14.25" hidden="false" customHeight="false" outlineLevel="0" collapsed="false">
      <c r="B587" s="197" t="n">
        <v>67021850</v>
      </c>
      <c r="C587" s="197" t="s">
        <v>2003</v>
      </c>
      <c r="D587" s="197" t="s">
        <v>2004</v>
      </c>
      <c r="E587" s="198" t="s">
        <v>944</v>
      </c>
      <c r="F587" s="198" t="s">
        <v>953</v>
      </c>
      <c r="G587" s="225" t="n">
        <v>2893800</v>
      </c>
      <c r="H587" s="225" t="n">
        <v>2555495</v>
      </c>
      <c r="I587" s="225" t="n">
        <v>7763546</v>
      </c>
      <c r="J587" s="198" t="n">
        <v>40</v>
      </c>
      <c r="K587" s="198" t="n">
        <v>2</v>
      </c>
      <c r="L587" s="226" t="n">
        <v>44169</v>
      </c>
      <c r="M587" s="226" t="n">
        <v>40519</v>
      </c>
      <c r="N587" s="227" t="n">
        <v>3</v>
      </c>
      <c r="O587" s="227" t="s">
        <v>135</v>
      </c>
      <c r="P587" s="228" t="n">
        <f aca="false">VLOOKUP(B587,'NIVEL ENERO'!A:D,3,0)</f>
        <v>0.302984348268208</v>
      </c>
      <c r="Q587" s="229" t="n">
        <f aca="false">VLOOKUP(B587,'NIVEL ENERO'!A:D,4,0)</f>
        <v>394011.28</v>
      </c>
      <c r="R587" s="186" t="str">
        <f aca="false">+PROPER(C587&amp;" "&amp;D587)</f>
        <v>Lemos Orejuela Laura Maria</v>
      </c>
      <c r="S587" s="230" t="n">
        <f aca="false">+YEARFRAC(L587,$S$1)</f>
        <v>5.43888888888889</v>
      </c>
      <c r="T587" s="230" t="n">
        <f aca="false">+YEARFRAC(M587,$S$1)</f>
        <v>15.4305555555556</v>
      </c>
      <c r="U587" s="231" t="n">
        <f aca="false">+$I587</f>
        <v>7763546</v>
      </c>
      <c r="V587" s="232" t="str">
        <f aca="false">+PROPER(F587)</f>
        <v>Soltero(A)</v>
      </c>
    </row>
    <row r="588" customFormat="false" ht="14.25" hidden="false" customHeight="false" outlineLevel="0" collapsed="false">
      <c r="B588" s="197" t="n">
        <v>67022295</v>
      </c>
      <c r="C588" s="197" t="s">
        <v>2005</v>
      </c>
      <c r="D588" s="197" t="s">
        <v>1377</v>
      </c>
      <c r="E588" s="198" t="s">
        <v>944</v>
      </c>
      <c r="F588" s="198" t="s">
        <v>953</v>
      </c>
      <c r="G588" s="225" t="n">
        <v>2600000</v>
      </c>
      <c r="H588" s="225" t="n">
        <v>130000</v>
      </c>
      <c r="I588" s="225" t="n">
        <v>0</v>
      </c>
      <c r="J588" s="198" t="n">
        <v>41</v>
      </c>
      <c r="K588" s="198" t="n">
        <v>1</v>
      </c>
      <c r="L588" s="226" t="n">
        <v>45615</v>
      </c>
      <c r="M588" s="226" t="n">
        <v>42516</v>
      </c>
      <c r="N588" s="227" t="n">
        <v>3</v>
      </c>
      <c r="O588" s="227" t="s">
        <v>135</v>
      </c>
      <c r="P588" s="228" t="n">
        <f aca="false">VLOOKUP(B588,'NIVEL ENERO'!A:D,3,0)</f>
        <v>0.287624922966517</v>
      </c>
      <c r="Q588" s="229" t="n">
        <f aca="false">VLOOKUP(B588,'NIVEL ENERO'!A:D,4,0)</f>
        <v>493613.16</v>
      </c>
      <c r="R588" s="186" t="str">
        <f aca="false">+PROPER(C588&amp;" "&amp;D588)</f>
        <v>Anchico Paz Carmenza</v>
      </c>
      <c r="S588" s="230" t="n">
        <f aca="false">+YEARFRAC(L588,$S$1)</f>
        <v>1.48055555555556</v>
      </c>
      <c r="T588" s="230" t="n">
        <f aca="false">+YEARFRAC(M588,$S$1)</f>
        <v>9.96111111111111</v>
      </c>
      <c r="U588" s="231" t="n">
        <f aca="false">+$I588</f>
        <v>0</v>
      </c>
      <c r="V588" s="232" t="str">
        <f aca="false">+PROPER(F588)</f>
        <v>Soltero(A)</v>
      </c>
    </row>
    <row r="589" customFormat="false" ht="14.25" hidden="false" customHeight="false" outlineLevel="0" collapsed="false">
      <c r="B589" s="197" t="n">
        <v>67022946</v>
      </c>
      <c r="C589" s="197" t="s">
        <v>2006</v>
      </c>
      <c r="D589" s="197" t="s">
        <v>1259</v>
      </c>
      <c r="E589" s="198" t="s">
        <v>944</v>
      </c>
      <c r="F589" s="198" t="s">
        <v>948</v>
      </c>
      <c r="G589" s="225" t="n">
        <v>6225200</v>
      </c>
      <c r="H589" s="225" t="n">
        <v>1658179</v>
      </c>
      <c r="I589" s="225" t="n">
        <v>8402163</v>
      </c>
      <c r="J589" s="198" t="n">
        <v>40</v>
      </c>
      <c r="K589" s="198" t="n">
        <v>2</v>
      </c>
      <c r="L589" s="226" t="n">
        <v>39052</v>
      </c>
      <c r="M589" s="226" t="n">
        <v>38904</v>
      </c>
      <c r="N589" s="227" t="n">
        <v>2</v>
      </c>
      <c r="O589" s="227" t="s">
        <v>135</v>
      </c>
      <c r="P589" s="228" t="n">
        <f aca="false">VLOOKUP(B589,'NIVEL ENERO'!A:D,3,0)</f>
        <v>0.379841772151899</v>
      </c>
      <c r="Q589" s="229" t="n">
        <f aca="false">VLOOKUP(B589,'NIVEL ENERO'!A:D,4,0)</f>
        <v>249993</v>
      </c>
      <c r="R589" s="186" t="str">
        <f aca="false">+PROPER(C589&amp;" "&amp;D589)</f>
        <v>Herrera Palacios Claudia Jimena</v>
      </c>
      <c r="S589" s="230" t="n">
        <f aca="false">+YEARFRAC(L589,$S$1)</f>
        <v>19.4472222222222</v>
      </c>
      <c r="T589" s="230" t="n">
        <f aca="false">+YEARFRAC(M589,$S$1)</f>
        <v>19.85</v>
      </c>
      <c r="U589" s="231" t="n">
        <f aca="false">+$I589</f>
        <v>8402163</v>
      </c>
      <c r="V589" s="232" t="str">
        <f aca="false">+PROPER(F589)</f>
        <v>Casado(A)</v>
      </c>
    </row>
    <row r="590" customFormat="false" ht="14.25" hidden="false" customHeight="false" outlineLevel="0" collapsed="false">
      <c r="B590" s="197" t="n">
        <v>67023070</v>
      </c>
      <c r="C590" s="197" t="s">
        <v>2007</v>
      </c>
      <c r="D590" s="197" t="s">
        <v>2008</v>
      </c>
      <c r="E590" s="198" t="s">
        <v>944</v>
      </c>
      <c r="F590" s="198" t="s">
        <v>948</v>
      </c>
      <c r="G590" s="225" t="n">
        <v>2893800</v>
      </c>
      <c r="H590" s="225" t="n">
        <v>1700881</v>
      </c>
      <c r="I590" s="225"/>
      <c r="J590" s="198" t="n">
        <v>40</v>
      </c>
      <c r="K590" s="198" t="n">
        <v>2</v>
      </c>
      <c r="L590" s="226" t="n">
        <v>45160</v>
      </c>
      <c r="M590" s="226" t="n">
        <v>42095</v>
      </c>
      <c r="N590" s="227" t="n">
        <v>0</v>
      </c>
      <c r="O590" s="227" t="s">
        <v>135</v>
      </c>
      <c r="P590" s="228" t="n">
        <f aca="false">VLOOKUP(B590,'NIVEL ENERO'!A:D,3,0)</f>
        <v>0.23400069013727</v>
      </c>
      <c r="Q590" s="229" t="n">
        <f aca="false">VLOOKUP(B590,'NIVEL ENERO'!A:D,4,0)</f>
        <v>682400.84</v>
      </c>
      <c r="R590" s="186" t="str">
        <f aca="false">+PROPER(C590&amp;" "&amp;D590)</f>
        <v>Campo Daza Delia Lucia</v>
      </c>
      <c r="S590" s="230" t="n">
        <f aca="false">+YEARFRAC(L590,$S$1)</f>
        <v>2.72222222222222</v>
      </c>
      <c r="T590" s="230" t="n">
        <f aca="false">+YEARFRAC(M590,$S$1)</f>
        <v>11.1138888888889</v>
      </c>
      <c r="U590" s="231" t="n">
        <f aca="false">+$I590</f>
        <v>0</v>
      </c>
      <c r="V590" s="232" t="str">
        <f aca="false">+PROPER(F590)</f>
        <v>Casado(A)</v>
      </c>
    </row>
    <row r="591" customFormat="false" ht="14.25" hidden="false" customHeight="false" outlineLevel="0" collapsed="false">
      <c r="B591" s="197" t="n">
        <v>67023387</v>
      </c>
      <c r="C591" s="197" t="s">
        <v>2009</v>
      </c>
      <c r="D591" s="197" t="s">
        <v>2010</v>
      </c>
      <c r="E591" s="198" t="s">
        <v>944</v>
      </c>
      <c r="F591" s="198" t="s">
        <v>948</v>
      </c>
      <c r="G591" s="225" t="n">
        <v>3394800</v>
      </c>
      <c r="H591" s="225" t="n">
        <v>325000</v>
      </c>
      <c r="I591" s="225"/>
      <c r="J591" s="198" t="n">
        <v>40</v>
      </c>
      <c r="K591" s="198" t="n">
        <v>1</v>
      </c>
      <c r="L591" s="226" t="n">
        <v>45519</v>
      </c>
      <c r="M591" s="226" t="n">
        <v>42019</v>
      </c>
      <c r="N591" s="227" t="n">
        <v>0</v>
      </c>
      <c r="O591" s="227" t="s">
        <v>135</v>
      </c>
      <c r="P591" s="228" t="n">
        <f aca="false">VLOOKUP(B591,'NIVEL ENERO'!A:D,3,0)</f>
        <v>0.101171068697507</v>
      </c>
      <c r="Q591" s="229" t="n">
        <f aca="false">VLOOKUP(B591,'NIVEL ENERO'!A:D,4,0)</f>
        <v>1343195.68</v>
      </c>
      <c r="R591" s="186" t="str">
        <f aca="false">+PROPER(C591&amp;" "&amp;D591)</f>
        <v>Pinzon Largacha Lady Yolive</v>
      </c>
      <c r="S591" s="230" t="n">
        <f aca="false">+YEARFRAC(L591,$S$1)</f>
        <v>1.74166666666667</v>
      </c>
      <c r="T591" s="230" t="n">
        <f aca="false">+YEARFRAC(M591,$S$1)</f>
        <v>11.325</v>
      </c>
      <c r="U591" s="231" t="n">
        <f aca="false">+$I591</f>
        <v>0</v>
      </c>
      <c r="V591" s="232" t="str">
        <f aca="false">+PROPER(F591)</f>
        <v>Casado(A)</v>
      </c>
    </row>
    <row r="592" customFormat="false" ht="14.25" hidden="false" customHeight="false" outlineLevel="0" collapsed="false">
      <c r="B592" s="197" t="n">
        <v>67023981</v>
      </c>
      <c r="C592" s="197" t="s">
        <v>2011</v>
      </c>
      <c r="D592" s="197" t="s">
        <v>2012</v>
      </c>
      <c r="E592" s="198" t="s">
        <v>944</v>
      </c>
      <c r="F592" s="198" t="s">
        <v>953</v>
      </c>
      <c r="G592" s="225" t="n">
        <v>5418800</v>
      </c>
      <c r="H592" s="225" t="n">
        <v>7460455</v>
      </c>
      <c r="I592" s="225" t="n">
        <v>8023698</v>
      </c>
      <c r="J592" s="198" t="n">
        <v>40</v>
      </c>
      <c r="K592" s="198" t="n">
        <v>2</v>
      </c>
      <c r="L592" s="226" t="n">
        <v>43395</v>
      </c>
      <c r="M592" s="226" t="n">
        <v>40005</v>
      </c>
      <c r="N592" s="227" t="n">
        <v>3</v>
      </c>
      <c r="O592" s="227" t="s">
        <v>135</v>
      </c>
      <c r="P592" s="228" t="n">
        <f aca="false">VLOOKUP(B592,'NIVEL ENERO'!A:D,3,0)</f>
        <v>0.452874580303353</v>
      </c>
      <c r="Q592" s="229" t="n">
        <f aca="false">VLOOKUP(B592,'NIVEL ENERO'!A:D,4,0)</f>
        <v>-117846.56</v>
      </c>
      <c r="R592" s="186" t="str">
        <f aca="false">+PROPER(C592&amp;" "&amp;D592)</f>
        <v>Chantre Cortes Sirley Maryuri</v>
      </c>
      <c r="S592" s="230" t="n">
        <f aca="false">+YEARFRAC(L592,$S$1)</f>
        <v>7.55555555555556</v>
      </c>
      <c r="T592" s="230" t="n">
        <f aca="false">+YEARFRAC(M592,$S$1)</f>
        <v>16.8361111111111</v>
      </c>
      <c r="U592" s="231" t="n">
        <f aca="false">+$I592</f>
        <v>8023698</v>
      </c>
      <c r="V592" s="232" t="str">
        <f aca="false">+PROPER(F592)</f>
        <v>Soltero(A)</v>
      </c>
    </row>
    <row r="593" customFormat="false" ht="14.25" hidden="false" customHeight="false" outlineLevel="0" collapsed="false">
      <c r="B593" s="197" t="n">
        <v>67024289</v>
      </c>
      <c r="C593" s="197" t="s">
        <v>1640</v>
      </c>
      <c r="D593" s="197" t="s">
        <v>1148</v>
      </c>
      <c r="E593" s="198" t="s">
        <v>944</v>
      </c>
      <c r="F593" s="198" t="s">
        <v>948</v>
      </c>
      <c r="G593" s="225" t="n">
        <v>2893800</v>
      </c>
      <c r="H593" s="225" t="n">
        <v>5573346</v>
      </c>
      <c r="I593" s="225" t="n">
        <v>1196440</v>
      </c>
      <c r="J593" s="198" t="n">
        <v>40</v>
      </c>
      <c r="K593" s="198" t="n">
        <v>4</v>
      </c>
      <c r="L593" s="226" t="n">
        <v>42384</v>
      </c>
      <c r="M593" s="226" t="n">
        <v>42311</v>
      </c>
      <c r="N593" s="227" t="n">
        <v>4</v>
      </c>
      <c r="O593" s="227" t="s">
        <v>135</v>
      </c>
      <c r="P593" s="228" t="n">
        <f aca="false">VLOOKUP(B593,'NIVEL ENERO'!A:D,3,0)</f>
        <v>0.486740963439077</v>
      </c>
      <c r="Q593" s="229" t="n">
        <f aca="false">VLOOKUP(B593,'NIVEL ENERO'!A:D,4,0)</f>
        <v>-193135</v>
      </c>
      <c r="R593" s="186" t="str">
        <f aca="false">+PROPER(C593&amp;" "&amp;D593)</f>
        <v>Lerma Caicedo Claudia Maritza</v>
      </c>
      <c r="S593" s="230" t="n">
        <f aca="false">+YEARFRAC(L593,$S$1)</f>
        <v>10.325</v>
      </c>
      <c r="T593" s="230" t="n">
        <f aca="false">+YEARFRAC(M593,$S$1)</f>
        <v>10.525</v>
      </c>
      <c r="U593" s="231" t="n">
        <f aca="false">+$I593</f>
        <v>1196440</v>
      </c>
      <c r="V593" s="232" t="str">
        <f aca="false">+PROPER(F593)</f>
        <v>Casado(A)</v>
      </c>
    </row>
    <row r="594" customFormat="false" ht="14.25" hidden="false" customHeight="false" outlineLevel="0" collapsed="false">
      <c r="B594" s="197" t="n">
        <v>67024309</v>
      </c>
      <c r="C594" s="197" t="s">
        <v>2013</v>
      </c>
      <c r="D594" s="197" t="s">
        <v>2014</v>
      </c>
      <c r="E594" s="198" t="s">
        <v>944</v>
      </c>
      <c r="F594" s="198" t="s">
        <v>953</v>
      </c>
      <c r="G594" s="225" t="n">
        <v>5291000</v>
      </c>
      <c r="H594" s="225" t="n">
        <v>9272425</v>
      </c>
      <c r="I594" s="225" t="n">
        <v>10180235</v>
      </c>
      <c r="J594" s="198" t="n">
        <v>40</v>
      </c>
      <c r="K594" s="198" t="n">
        <v>2</v>
      </c>
      <c r="L594" s="226" t="n">
        <v>43333</v>
      </c>
      <c r="M594" s="226" t="n">
        <v>40238</v>
      </c>
      <c r="N594" s="227" t="n">
        <v>2</v>
      </c>
      <c r="O594" s="227" t="s">
        <v>135</v>
      </c>
      <c r="P594" s="228" t="n">
        <f aca="false">VLOOKUP(B594,'NIVEL ENERO'!A:D,3,0)</f>
        <v>0.320579901051582</v>
      </c>
      <c r="Q594" s="229" t="n">
        <f aca="false">VLOOKUP(B594,'NIVEL ENERO'!A:D,4,0)</f>
        <v>438359.72</v>
      </c>
      <c r="R594" s="186" t="str">
        <f aca="false">+PROPER(C594&amp;" "&amp;D594)</f>
        <v>Diago Gonzalez Jennifer</v>
      </c>
      <c r="S594" s="230" t="n">
        <f aca="false">+YEARFRAC(L594,$S$1)</f>
        <v>7.725</v>
      </c>
      <c r="T594" s="230" t="n">
        <f aca="false">+YEARFRAC(M594,$S$1)</f>
        <v>16.1972222222222</v>
      </c>
      <c r="U594" s="231" t="n">
        <f aca="false">+$I594</f>
        <v>10180235</v>
      </c>
      <c r="V594" s="232" t="str">
        <f aca="false">+PROPER(F594)</f>
        <v>Soltero(A)</v>
      </c>
    </row>
    <row r="595" customFormat="false" ht="14.25" hidden="false" customHeight="false" outlineLevel="0" collapsed="false">
      <c r="B595" s="197" t="n">
        <v>67025009</v>
      </c>
      <c r="C595" s="197" t="s">
        <v>2015</v>
      </c>
      <c r="D595" s="197" t="s">
        <v>2016</v>
      </c>
      <c r="E595" s="198" t="s">
        <v>944</v>
      </c>
      <c r="F595" s="198" t="s">
        <v>953</v>
      </c>
      <c r="G595" s="225" t="n">
        <v>2600900</v>
      </c>
      <c r="H595" s="225" t="n">
        <v>13843163</v>
      </c>
      <c r="I595" s="225" t="n">
        <v>12904527</v>
      </c>
      <c r="J595" s="198" t="n">
        <v>40</v>
      </c>
      <c r="K595" s="198" t="n">
        <v>4</v>
      </c>
      <c r="L595" s="226" t="n">
        <v>44579</v>
      </c>
      <c r="M595" s="226" t="n">
        <v>42522</v>
      </c>
      <c r="N595" s="227" t="n">
        <v>1</v>
      </c>
      <c r="O595" s="227" t="s">
        <v>135</v>
      </c>
      <c r="P595" s="228" t="n">
        <f aca="false">VLOOKUP(B595,'NIVEL ENERO'!A:D,3,0)</f>
        <v>0.38027170860986</v>
      </c>
      <c r="Q595" s="229" t="n">
        <f aca="false">VLOOKUP(B595,'NIVEL ENERO'!A:D,4,0)</f>
        <v>136559.42</v>
      </c>
      <c r="R595" s="186" t="str">
        <f aca="false">+PROPER(C595&amp;" "&amp;D595)</f>
        <v>Cisneros Munoz Leidi Johanna</v>
      </c>
      <c r="S595" s="230" t="n">
        <f aca="false">+YEARFRAC(L595,$S$1)</f>
        <v>4.31666666666667</v>
      </c>
      <c r="T595" s="230" t="n">
        <f aca="false">+YEARFRAC(M595,$S$1)</f>
        <v>9.94722222222222</v>
      </c>
      <c r="U595" s="231" t="n">
        <f aca="false">+$I595</f>
        <v>12904527</v>
      </c>
      <c r="V595" s="232" t="str">
        <f aca="false">+PROPER(F595)</f>
        <v>Soltero(A)</v>
      </c>
    </row>
    <row r="596" customFormat="false" ht="14.25" hidden="false" customHeight="false" outlineLevel="0" collapsed="false">
      <c r="B596" s="197" t="n">
        <v>67025059</v>
      </c>
      <c r="C596" s="197" t="s">
        <v>2017</v>
      </c>
      <c r="D596" s="197" t="s">
        <v>2018</v>
      </c>
      <c r="E596" s="198" t="s">
        <v>944</v>
      </c>
      <c r="F596" s="198" t="s">
        <v>948</v>
      </c>
      <c r="G596" s="225" t="n">
        <v>4469100</v>
      </c>
      <c r="H596" s="225" t="n">
        <v>1306527</v>
      </c>
      <c r="I596" s="225" t="n">
        <v>0</v>
      </c>
      <c r="J596" s="198" t="n">
        <v>40</v>
      </c>
      <c r="K596" s="198" t="n">
        <v>1</v>
      </c>
      <c r="L596" s="226" t="n">
        <v>45279</v>
      </c>
      <c r="M596" s="226" t="n">
        <v>39853</v>
      </c>
      <c r="N596" s="227" t="n">
        <v>3</v>
      </c>
      <c r="O596" s="227" t="s">
        <v>135</v>
      </c>
      <c r="P596" s="228" t="n">
        <f aca="false">VLOOKUP(B596,'NIVEL ENERO'!A:D,3,0)</f>
        <v>0.216024003259597</v>
      </c>
      <c r="Q596" s="229" t="n">
        <f aca="false">VLOOKUP(B596,'NIVEL ENERO'!A:D,4,0)</f>
        <v>1147413.12</v>
      </c>
      <c r="R596" s="186" t="str">
        <f aca="false">+PROPER(C596&amp;" "&amp;D596)</f>
        <v>Lopez Lozada Leidy Katherine</v>
      </c>
      <c r="S596" s="230" t="n">
        <f aca="false">+YEARFRAC(L596,$S$1)</f>
        <v>2.39722222222222</v>
      </c>
      <c r="T596" s="230" t="n">
        <f aca="false">+YEARFRAC(M596,$S$1)</f>
        <v>17.2583333333333</v>
      </c>
      <c r="U596" s="231" t="n">
        <f aca="false">+$I596</f>
        <v>0</v>
      </c>
      <c r="V596" s="232" t="str">
        <f aca="false">+PROPER(F596)</f>
        <v>Casado(A)</v>
      </c>
    </row>
    <row r="597" customFormat="false" ht="14.25" hidden="false" customHeight="false" outlineLevel="0" collapsed="false">
      <c r="B597" s="197" t="n">
        <v>67025218</v>
      </c>
      <c r="C597" s="197" t="s">
        <v>2019</v>
      </c>
      <c r="D597" s="197" t="s">
        <v>2020</v>
      </c>
      <c r="E597" s="198" t="s">
        <v>944</v>
      </c>
      <c r="F597" s="198" t="s">
        <v>945</v>
      </c>
      <c r="G597" s="225" t="n">
        <v>1991000</v>
      </c>
      <c r="H597" s="225" t="n">
        <v>8598646</v>
      </c>
      <c r="I597" s="225" t="n">
        <v>0</v>
      </c>
      <c r="J597" s="198" t="n">
        <v>40</v>
      </c>
      <c r="K597" s="198" t="n">
        <v>4</v>
      </c>
      <c r="L597" s="226" t="n">
        <v>43083</v>
      </c>
      <c r="M597" s="226" t="n">
        <v>41865</v>
      </c>
      <c r="N597" s="227" t="n">
        <v>2</v>
      </c>
      <c r="O597" s="227" t="s">
        <v>135</v>
      </c>
      <c r="P597" s="228" t="n">
        <f aca="false">VLOOKUP(B597,'NIVEL ENERO'!A:D,3,0)</f>
        <v>0.206427423405324</v>
      </c>
      <c r="Q597" s="229" t="n">
        <f aca="false">VLOOKUP(B597,'NIVEL ENERO'!A:D,4,0)</f>
        <v>425223</v>
      </c>
      <c r="R597" s="186" t="str">
        <f aca="false">+PROPER(C597&amp;" "&amp;D597)</f>
        <v>Ortiz Narvaez Derly Janeth</v>
      </c>
      <c r="S597" s="230" t="n">
        <f aca="false">+YEARFRAC(L597,$S$1)</f>
        <v>8.41111111111111</v>
      </c>
      <c r="T597" s="230" t="n">
        <f aca="false">+YEARFRAC(M597,$S$1)</f>
        <v>11.7444444444444</v>
      </c>
      <c r="U597" s="231" t="n">
        <f aca="false">+$I597</f>
        <v>0</v>
      </c>
      <c r="V597" s="232" t="str">
        <f aca="false">+PROPER(F597)</f>
        <v>Union Libre</v>
      </c>
    </row>
    <row r="598" customFormat="false" ht="14.25" hidden="false" customHeight="false" outlineLevel="0" collapsed="false">
      <c r="B598" s="197" t="n">
        <v>67025436</v>
      </c>
      <c r="C598" s="197" t="s">
        <v>2021</v>
      </c>
      <c r="D598" s="197" t="s">
        <v>2022</v>
      </c>
      <c r="E598" s="198" t="s">
        <v>944</v>
      </c>
      <c r="F598" s="198" t="s">
        <v>953</v>
      </c>
      <c r="G598" s="225" t="n">
        <v>2600900</v>
      </c>
      <c r="H598" s="225" t="n">
        <v>2760252</v>
      </c>
      <c r="I598" s="225" t="n">
        <v>1418286</v>
      </c>
      <c r="J598" s="198" t="n">
        <v>40</v>
      </c>
      <c r="K598" s="198" t="n">
        <v>1</v>
      </c>
      <c r="L598" s="226" t="n">
        <v>44328</v>
      </c>
      <c r="M598" s="226" t="n">
        <v>41258</v>
      </c>
      <c r="N598" s="227" t="n">
        <v>3</v>
      </c>
      <c r="O598" s="227" t="s">
        <v>135</v>
      </c>
      <c r="P598" s="228" t="n">
        <f aca="false">VLOOKUP(B598,'NIVEL ENERO'!A:D,3,0)</f>
        <v>0.371241512397999</v>
      </c>
      <c r="Q598" s="229" t="n">
        <f aca="false">VLOOKUP(B598,'NIVEL ENERO'!A:D,4,0)</f>
        <v>164189.9</v>
      </c>
      <c r="R598" s="186" t="str">
        <f aca="false">+PROPER(C598&amp;" "&amp;D598)</f>
        <v>Garcia Ortiz Yurani</v>
      </c>
      <c r="S598" s="230" t="n">
        <f aca="false">+YEARFRAC(L598,$S$1)</f>
        <v>5</v>
      </c>
      <c r="T598" s="230" t="n">
        <f aca="false">+YEARFRAC(M598,$S$1)</f>
        <v>13.4083333333333</v>
      </c>
      <c r="U598" s="231" t="n">
        <f aca="false">+$I598</f>
        <v>1418286</v>
      </c>
      <c r="V598" s="232" t="str">
        <f aca="false">+PROPER(F598)</f>
        <v>Soltero(A)</v>
      </c>
    </row>
    <row r="599" customFormat="false" ht="14.25" hidden="false" customHeight="false" outlineLevel="0" collapsed="false">
      <c r="B599" s="197" t="n">
        <v>67026475</v>
      </c>
      <c r="C599" s="197" t="s">
        <v>2023</v>
      </c>
      <c r="D599" s="197" t="s">
        <v>2024</v>
      </c>
      <c r="E599" s="198" t="s">
        <v>944</v>
      </c>
      <c r="F599" s="198" t="s">
        <v>998</v>
      </c>
      <c r="G599" s="225" t="n">
        <v>2893800</v>
      </c>
      <c r="H599" s="225" t="n">
        <v>1658179</v>
      </c>
      <c r="I599" s="225" t="n">
        <v>333294</v>
      </c>
      <c r="J599" s="198" t="n">
        <v>39</v>
      </c>
      <c r="K599" s="198" t="n">
        <v>2</v>
      </c>
      <c r="L599" s="226" t="n">
        <v>44827</v>
      </c>
      <c r="M599" s="226" t="n">
        <v>44727</v>
      </c>
      <c r="N599" s="227" t="n">
        <v>3</v>
      </c>
      <c r="O599" s="227" t="s">
        <v>135</v>
      </c>
      <c r="P599" s="228" t="n">
        <f aca="false">VLOOKUP(B599,'NIVEL ENERO'!A:D,3,0)</f>
        <v>0.311312449911305</v>
      </c>
      <c r="Q599" s="229" t="n">
        <f aca="false">VLOOKUP(B599,'NIVEL ENERO'!A:D,4,0)</f>
        <v>286562.66</v>
      </c>
      <c r="R599" s="186" t="str">
        <f aca="false">+PROPER(C599&amp;" "&amp;D599)</f>
        <v>Aragon Ibarra Diana Patricia</v>
      </c>
      <c r="S599" s="230" t="n">
        <f aca="false">+YEARFRAC(L599,$S$1)</f>
        <v>3.63611111111111</v>
      </c>
      <c r="T599" s="230" t="n">
        <f aca="false">+YEARFRAC(M599,$S$1)</f>
        <v>3.90833333333333</v>
      </c>
      <c r="U599" s="231" t="n">
        <f aca="false">+$I599</f>
        <v>333294</v>
      </c>
      <c r="V599" s="232" t="str">
        <f aca="false">+PROPER(F599)</f>
        <v>Separado(A)</v>
      </c>
    </row>
    <row r="600" customFormat="false" ht="14.25" hidden="false" customHeight="false" outlineLevel="0" collapsed="false">
      <c r="B600" s="197" t="n">
        <v>67026638</v>
      </c>
      <c r="C600" s="197" t="s">
        <v>2025</v>
      </c>
      <c r="D600" s="197" t="s">
        <v>1135</v>
      </c>
      <c r="E600" s="198" t="s">
        <v>944</v>
      </c>
      <c r="F600" s="198" t="s">
        <v>953</v>
      </c>
      <c r="G600" s="225" t="n">
        <v>5418800</v>
      </c>
      <c r="H600" s="225" t="n">
        <v>1961224</v>
      </c>
      <c r="I600" s="225" t="n">
        <v>7493093</v>
      </c>
      <c r="J600" s="198" t="n">
        <v>39</v>
      </c>
      <c r="K600" s="198" t="n">
        <v>1</v>
      </c>
      <c r="L600" s="226" t="n">
        <v>44613</v>
      </c>
      <c r="M600" s="226" t="n">
        <v>43144</v>
      </c>
      <c r="N600" s="227" t="n">
        <v>2</v>
      </c>
      <c r="O600" s="227" t="s">
        <v>135</v>
      </c>
      <c r="P600" s="228" t="n">
        <f aca="false">VLOOKUP(B600,'NIVEL ENERO'!A:D,3,0)</f>
        <v>0.369956632464752</v>
      </c>
      <c r="Q600" s="229" t="n">
        <f aca="false">VLOOKUP(B600,'NIVEL ENERO'!A:D,4,0)</f>
        <v>271175</v>
      </c>
      <c r="R600" s="186" t="str">
        <f aca="false">+PROPER(C600&amp;" "&amp;D600)</f>
        <v>Valois Cruz Sandra Milena</v>
      </c>
      <c r="S600" s="230" t="n">
        <f aca="false">+YEARFRAC(L600,$S$1)</f>
        <v>4.225</v>
      </c>
      <c r="T600" s="230" t="n">
        <f aca="false">+YEARFRAC(M600,$S$1)</f>
        <v>8.24722222222222</v>
      </c>
      <c r="U600" s="231" t="n">
        <f aca="false">+$I600</f>
        <v>7493093</v>
      </c>
      <c r="V600" s="232" t="str">
        <f aca="false">+PROPER(F600)</f>
        <v>Soltero(A)</v>
      </c>
    </row>
    <row r="601" customFormat="false" ht="14.25" hidden="false" customHeight="false" outlineLevel="0" collapsed="false">
      <c r="B601" s="197" t="n">
        <v>67026757</v>
      </c>
      <c r="C601" s="197" t="s">
        <v>2026</v>
      </c>
      <c r="D601" s="197" t="s">
        <v>2027</v>
      </c>
      <c r="E601" s="198" t="s">
        <v>944</v>
      </c>
      <c r="F601" s="198" t="s">
        <v>948</v>
      </c>
      <c r="G601" s="225" t="n">
        <v>2893800</v>
      </c>
      <c r="H601" s="225" t="n">
        <v>2656766</v>
      </c>
      <c r="I601" s="225" t="n">
        <v>137401</v>
      </c>
      <c r="J601" s="198" t="n">
        <v>40</v>
      </c>
      <c r="K601" s="198" t="n">
        <v>3</v>
      </c>
      <c r="L601" s="226" t="n">
        <v>45051</v>
      </c>
      <c r="M601" s="226" t="n">
        <v>40909</v>
      </c>
      <c r="N601" s="227" t="n">
        <v>4</v>
      </c>
      <c r="O601" s="227" t="s">
        <v>135</v>
      </c>
      <c r="P601" s="228" t="n">
        <f aca="false">VLOOKUP(B601,'NIVEL ENERO'!A:D,3,0)</f>
        <v>0.458605985209759</v>
      </c>
      <c r="Q601" s="229" t="n">
        <f aca="false">VLOOKUP(B601,'NIVEL ENERO'!A:D,4,0)</f>
        <v>-111718</v>
      </c>
      <c r="R601" s="186" t="str">
        <f aca="false">+PROPER(C601&amp;" "&amp;D601)</f>
        <v>Otero Garcia Gina Fernanda</v>
      </c>
      <c r="S601" s="230" t="n">
        <f aca="false">+YEARFRAC(L601,$S$1)</f>
        <v>3.01944444444444</v>
      </c>
      <c r="T601" s="230" t="n">
        <f aca="false">+YEARFRAC(M601,$S$1)</f>
        <v>14.3638888888889</v>
      </c>
      <c r="U601" s="231" t="n">
        <f aca="false">+$I601</f>
        <v>137401</v>
      </c>
      <c r="V601" s="232" t="str">
        <f aca="false">+PROPER(F601)</f>
        <v>Casado(A)</v>
      </c>
    </row>
    <row r="602" customFormat="false" ht="14.25" hidden="false" customHeight="false" outlineLevel="0" collapsed="false">
      <c r="B602" s="197" t="n">
        <v>67026976</v>
      </c>
      <c r="C602" s="197" t="s">
        <v>2028</v>
      </c>
      <c r="D602" s="197" t="s">
        <v>2029</v>
      </c>
      <c r="E602" s="198" t="s">
        <v>944</v>
      </c>
      <c r="F602" s="198" t="s">
        <v>945</v>
      </c>
      <c r="G602" s="225" t="n">
        <v>5418800</v>
      </c>
      <c r="H602" s="225" t="n">
        <v>2415791</v>
      </c>
      <c r="I602" s="225" t="n">
        <v>8249149</v>
      </c>
      <c r="J602" s="198" t="n">
        <v>40</v>
      </c>
      <c r="K602" s="198" t="n">
        <v>2</v>
      </c>
      <c r="L602" s="226" t="n">
        <v>44825</v>
      </c>
      <c r="M602" s="226" t="n">
        <v>42985</v>
      </c>
      <c r="N602" s="227" t="n">
        <v>3</v>
      </c>
      <c r="O602" s="227" t="s">
        <v>135</v>
      </c>
      <c r="P602" s="228" t="n">
        <f aca="false">VLOOKUP(B602,'NIVEL ENERO'!A:D,3,0)</f>
        <v>0.353266130309947</v>
      </c>
      <c r="Q602" s="229" t="n">
        <f aca="false">VLOOKUP(B602,'NIVEL ENERO'!A:D,4,0)</f>
        <v>522301.44</v>
      </c>
      <c r="R602" s="186" t="str">
        <f aca="false">+PROPER(C602&amp;" "&amp;D602)</f>
        <v>Aguado Catano Ilce Veronica</v>
      </c>
      <c r="S602" s="230" t="n">
        <f aca="false">+YEARFRAC(L602,$S$1)</f>
        <v>3.64166666666667</v>
      </c>
      <c r="T602" s="230" t="n">
        <f aca="false">+YEARFRAC(M602,$S$1)</f>
        <v>8.68055555555556</v>
      </c>
      <c r="U602" s="231" t="n">
        <f aca="false">+$I602</f>
        <v>8249149</v>
      </c>
      <c r="V602" s="232" t="str">
        <f aca="false">+PROPER(F602)</f>
        <v>Union Libre</v>
      </c>
    </row>
    <row r="603" customFormat="false" ht="14.25" hidden="false" customHeight="false" outlineLevel="0" collapsed="false">
      <c r="B603" s="197" t="n">
        <v>67027986</v>
      </c>
      <c r="C603" s="197" t="s">
        <v>2030</v>
      </c>
      <c r="D603" s="197" t="s">
        <v>1695</v>
      </c>
      <c r="E603" s="198" t="s">
        <v>944</v>
      </c>
      <c r="F603" s="198" t="s">
        <v>945</v>
      </c>
      <c r="G603" s="225" t="n">
        <v>5418800</v>
      </c>
      <c r="H603" s="225" t="n">
        <v>325000</v>
      </c>
      <c r="I603" s="225"/>
      <c r="J603" s="198" t="n">
        <v>39</v>
      </c>
      <c r="K603" s="198" t="n">
        <v>2</v>
      </c>
      <c r="L603" s="226" t="n">
        <v>45517</v>
      </c>
      <c r="M603" s="226" t="n">
        <v>37439</v>
      </c>
      <c r="N603" s="227" t="n">
        <v>0</v>
      </c>
      <c r="O603" s="227" t="s">
        <v>135</v>
      </c>
      <c r="P603" s="228" t="n">
        <f aca="false">VLOOKUP(B603,'NIVEL ENERO'!A:D,3,0)</f>
        <v>0.249293994637124</v>
      </c>
      <c r="Q603" s="229" t="n">
        <f aca="false">VLOOKUP(B603,'NIVEL ENERO'!A:D,4,0)</f>
        <v>1387197.4</v>
      </c>
      <c r="R603" s="186" t="str">
        <f aca="false">+PROPER(C603&amp;" "&amp;D603)</f>
        <v>Palacio Trujillo Lorena</v>
      </c>
      <c r="S603" s="230" t="n">
        <f aca="false">+YEARFRAC(L603,$S$1)</f>
        <v>1.74722222222222</v>
      </c>
      <c r="T603" s="230" t="n">
        <f aca="false">+YEARFRAC(M603,$S$1)</f>
        <v>23.8611111111111</v>
      </c>
      <c r="U603" s="231" t="n">
        <f aca="false">+$I603</f>
        <v>0</v>
      </c>
      <c r="V603" s="232" t="str">
        <f aca="false">+PROPER(F603)</f>
        <v>Union Libre</v>
      </c>
    </row>
    <row r="604" customFormat="false" ht="14.25" hidden="false" customHeight="false" outlineLevel="0" collapsed="false">
      <c r="B604" s="197" t="n">
        <v>67028441</v>
      </c>
      <c r="C604" s="197" t="s">
        <v>2031</v>
      </c>
      <c r="D604" s="197" t="s">
        <v>1649</v>
      </c>
      <c r="E604" s="198" t="s">
        <v>944</v>
      </c>
      <c r="F604" s="198" t="s">
        <v>948</v>
      </c>
      <c r="G604" s="225" t="n">
        <v>2600900</v>
      </c>
      <c r="H604" s="225" t="n">
        <v>2954605</v>
      </c>
      <c r="I604" s="225" t="n">
        <v>0</v>
      </c>
      <c r="J604" s="198" t="n">
        <v>39</v>
      </c>
      <c r="K604" s="198" t="n">
        <v>2</v>
      </c>
      <c r="L604" s="226" t="n">
        <v>43879</v>
      </c>
      <c r="M604" s="226" t="n">
        <v>43635</v>
      </c>
      <c r="N604" s="227" t="n">
        <v>4</v>
      </c>
      <c r="O604" s="227" t="s">
        <v>135</v>
      </c>
      <c r="P604" s="228" t="n">
        <f aca="false">VLOOKUP(B604,'NIVEL ENERO'!A:D,3,0)</f>
        <v>0.302475493781044</v>
      </c>
      <c r="Q604" s="229" t="n">
        <f aca="false">VLOOKUP(B604,'NIVEL ENERO'!A:D,4,0)</f>
        <v>358091.02</v>
      </c>
      <c r="R604" s="186" t="str">
        <f aca="false">+PROPER(C604&amp;" "&amp;D604)</f>
        <v>Valencia Gomez Angela Maria</v>
      </c>
      <c r="S604" s="230" t="n">
        <f aca="false">+YEARFRAC(L604,$S$1)</f>
        <v>6.23333333333333</v>
      </c>
      <c r="T604" s="230" t="n">
        <f aca="false">+YEARFRAC(M604,$S$1)</f>
        <v>6.89722222222222</v>
      </c>
      <c r="U604" s="231" t="n">
        <f aca="false">+$I604</f>
        <v>0</v>
      </c>
      <c r="V604" s="232" t="str">
        <f aca="false">+PROPER(F604)</f>
        <v>Casado(A)</v>
      </c>
    </row>
    <row r="605" customFormat="false" ht="14.25" hidden="false" customHeight="false" outlineLevel="0" collapsed="false">
      <c r="B605" s="197" t="n">
        <v>67028594</v>
      </c>
      <c r="C605" s="197" t="s">
        <v>2032</v>
      </c>
      <c r="D605" s="197" t="s">
        <v>1695</v>
      </c>
      <c r="E605" s="198" t="s">
        <v>944</v>
      </c>
      <c r="F605" s="198" t="s">
        <v>953</v>
      </c>
      <c r="G605" s="225" t="n">
        <v>3394800</v>
      </c>
      <c r="H605" s="225" t="n">
        <v>1084306</v>
      </c>
      <c r="I605" s="225" t="n">
        <v>3216688</v>
      </c>
      <c r="J605" s="198" t="n">
        <v>39</v>
      </c>
      <c r="K605" s="198" t="n">
        <v>2</v>
      </c>
      <c r="L605" s="226" t="n">
        <v>45142</v>
      </c>
      <c r="M605" s="226" t="n">
        <v>38213</v>
      </c>
      <c r="N605" s="227" t="n">
        <v>2</v>
      </c>
      <c r="O605" s="227" t="s">
        <v>135</v>
      </c>
      <c r="P605" s="228" t="n">
        <f aca="false">VLOOKUP(B605,'NIVEL ENERO'!A:D,3,0)</f>
        <v>0.370904618828797</v>
      </c>
      <c r="Q605" s="229" t="n">
        <f aca="false">VLOOKUP(B605,'NIVEL ENERO'!A:D,4,0)</f>
        <v>166669</v>
      </c>
      <c r="R605" s="186" t="str">
        <f aca="false">+PROPER(C605&amp;" "&amp;D605)</f>
        <v>Davila Herrera Lorena</v>
      </c>
      <c r="S605" s="230" t="n">
        <f aca="false">+YEARFRAC(L605,$S$1)</f>
        <v>2.77222222222222</v>
      </c>
      <c r="T605" s="230" t="n">
        <f aca="false">+YEARFRAC(M605,$S$1)</f>
        <v>21.7444444444444</v>
      </c>
      <c r="U605" s="231" t="n">
        <f aca="false">+$I605</f>
        <v>3216688</v>
      </c>
      <c r="V605" s="232" t="str">
        <f aca="false">+PROPER(F605)</f>
        <v>Soltero(A)</v>
      </c>
    </row>
    <row r="606" customFormat="false" ht="14.25" hidden="false" customHeight="false" outlineLevel="0" collapsed="false">
      <c r="B606" s="197" t="n">
        <v>67028910</v>
      </c>
      <c r="C606" s="197" t="s">
        <v>2033</v>
      </c>
      <c r="D606" s="197" t="s">
        <v>1243</v>
      </c>
      <c r="E606" s="198" t="s">
        <v>944</v>
      </c>
      <c r="F606" s="198" t="s">
        <v>953</v>
      </c>
      <c r="G606" s="225" t="n">
        <v>2893800</v>
      </c>
      <c r="H606" s="225" t="n">
        <v>1910716</v>
      </c>
      <c r="I606" s="225" t="n">
        <v>0</v>
      </c>
      <c r="J606" s="198" t="n">
        <v>39</v>
      </c>
      <c r="K606" s="198" t="n">
        <v>1</v>
      </c>
      <c r="L606" s="226" t="n">
        <v>44636</v>
      </c>
      <c r="M606" s="226" t="n">
        <v>40004</v>
      </c>
      <c r="N606" s="227" t="n">
        <v>1</v>
      </c>
      <c r="O606" s="227" t="s">
        <v>135</v>
      </c>
      <c r="P606" s="228" t="n">
        <f aca="false">VLOOKUP(B606,'NIVEL ENERO'!A:D,3,0)</f>
        <v>0.112503959971151</v>
      </c>
      <c r="Q606" s="229" t="n">
        <f aca="false">VLOOKUP(B606,'NIVEL ENERO'!A:D,4,0)</f>
        <v>912400.2</v>
      </c>
      <c r="R606" s="186" t="str">
        <f aca="false">+PROPER(C606&amp;" "&amp;D606)</f>
        <v>Perez Vega Lady Johanna</v>
      </c>
      <c r="S606" s="230" t="n">
        <f aca="false">+YEARFRAC(L606,$S$1)</f>
        <v>4.15555555555556</v>
      </c>
      <c r="T606" s="230" t="n">
        <f aca="false">+YEARFRAC(M606,$S$1)</f>
        <v>16.8388888888889</v>
      </c>
      <c r="U606" s="231" t="n">
        <f aca="false">+$I606</f>
        <v>0</v>
      </c>
      <c r="V606" s="232" t="str">
        <f aca="false">+PROPER(F606)</f>
        <v>Soltero(A)</v>
      </c>
    </row>
    <row r="607" customFormat="false" ht="14.25" hidden="false" customHeight="false" outlineLevel="0" collapsed="false">
      <c r="B607" s="197" t="n">
        <v>67030084</v>
      </c>
      <c r="C607" s="197" t="s">
        <v>2034</v>
      </c>
      <c r="D607" s="197" t="s">
        <v>1434</v>
      </c>
      <c r="E607" s="198" t="s">
        <v>944</v>
      </c>
      <c r="F607" s="198" t="s">
        <v>948</v>
      </c>
      <c r="G607" s="225" t="n">
        <v>2600900</v>
      </c>
      <c r="H607" s="225" t="n">
        <v>2089108</v>
      </c>
      <c r="I607" s="225" t="n">
        <v>8929992</v>
      </c>
      <c r="J607" s="198" t="n">
        <v>39</v>
      </c>
      <c r="K607" s="198" t="n">
        <v>2</v>
      </c>
      <c r="L607" s="226" t="n">
        <v>45051</v>
      </c>
      <c r="M607" s="226" t="n">
        <v>42506</v>
      </c>
      <c r="N607" s="227" t="n">
        <v>4</v>
      </c>
      <c r="O607" s="227" t="s">
        <v>135</v>
      </c>
      <c r="P607" s="228" t="n">
        <f aca="false">VLOOKUP(B607,'NIVEL ENERO'!A:D,3,0)</f>
        <v>0.403412664846784</v>
      </c>
      <c r="Q607" s="229" t="n">
        <f aca="false">VLOOKUP(B607,'NIVEL ENERO'!A:D,4,0)</f>
        <v>43142</v>
      </c>
      <c r="R607" s="186" t="str">
        <f aca="false">+PROPER(C607&amp;" "&amp;D607)</f>
        <v>Martinez Torres Diana Marcela</v>
      </c>
      <c r="S607" s="230" t="n">
        <f aca="false">+YEARFRAC(L607,$S$1)</f>
        <v>3.01944444444444</v>
      </c>
      <c r="T607" s="230" t="n">
        <f aca="false">+YEARFRAC(M607,$S$1)</f>
        <v>9.98888888888889</v>
      </c>
      <c r="U607" s="231" t="n">
        <f aca="false">+$I607</f>
        <v>8929992</v>
      </c>
      <c r="V607" s="232" t="str">
        <f aca="false">+PROPER(F607)</f>
        <v>Casado(A)</v>
      </c>
    </row>
    <row r="608" customFormat="false" ht="14.25" hidden="false" customHeight="false" outlineLevel="0" collapsed="false">
      <c r="B608" s="197" t="n">
        <v>67030093</v>
      </c>
      <c r="C608" s="197" t="s">
        <v>2035</v>
      </c>
      <c r="D608" s="197" t="s">
        <v>2036</v>
      </c>
      <c r="E608" s="198" t="s">
        <v>944</v>
      </c>
      <c r="F608" s="198" t="s">
        <v>953</v>
      </c>
      <c r="G608" s="225" t="n">
        <v>9087800</v>
      </c>
      <c r="H608" s="225" t="n">
        <v>2213761</v>
      </c>
      <c r="I608" s="225" t="n">
        <v>120249</v>
      </c>
      <c r="J608" s="198" t="n">
        <v>39</v>
      </c>
      <c r="K608" s="198" t="n">
        <v>2</v>
      </c>
      <c r="L608" s="226" t="n">
        <v>44460</v>
      </c>
      <c r="M608" s="226" t="n">
        <v>43922</v>
      </c>
      <c r="N608" s="227" t="n">
        <v>2</v>
      </c>
      <c r="O608" s="227" t="s">
        <v>135</v>
      </c>
      <c r="P608" s="228" t="n">
        <f aca="false">VLOOKUP(B608,'NIVEL ENERO'!A:D,3,0)</f>
        <v>0.131063129109247</v>
      </c>
      <c r="Q608" s="229" t="n">
        <f aca="false">VLOOKUP(B608,'NIVEL ENERO'!A:D,4,0)</f>
        <v>2770057.14</v>
      </c>
      <c r="R608" s="186" t="str">
        <f aca="false">+PROPER(C608&amp;" "&amp;D608)</f>
        <v>Escobar Cordoba Ingrid Yohana</v>
      </c>
      <c r="S608" s="230" t="n">
        <f aca="false">+YEARFRAC(L608,$S$1)</f>
        <v>4.64166666666667</v>
      </c>
      <c r="T608" s="230" t="n">
        <f aca="false">+YEARFRAC(M608,$S$1)</f>
        <v>6.11388888888889</v>
      </c>
      <c r="U608" s="231" t="n">
        <f aca="false">+$I608</f>
        <v>120249</v>
      </c>
      <c r="V608" s="232" t="str">
        <f aca="false">+PROPER(F608)</f>
        <v>Soltero(A)</v>
      </c>
    </row>
    <row r="609" customFormat="false" ht="14.25" hidden="false" customHeight="false" outlineLevel="0" collapsed="false">
      <c r="B609" s="197" t="n">
        <v>67030192</v>
      </c>
      <c r="C609" s="197" t="s">
        <v>2037</v>
      </c>
      <c r="D609" s="197" t="s">
        <v>2038</v>
      </c>
      <c r="E609" s="198" t="s">
        <v>944</v>
      </c>
      <c r="F609" s="198" t="s">
        <v>953</v>
      </c>
      <c r="G609" s="225" t="n">
        <v>2600900</v>
      </c>
      <c r="H609" s="225" t="n">
        <v>1456149</v>
      </c>
      <c r="I609" s="225" t="n">
        <v>346172</v>
      </c>
      <c r="J609" s="198" t="n">
        <v>39</v>
      </c>
      <c r="K609" s="198" t="n">
        <v>2</v>
      </c>
      <c r="L609" s="226" t="n">
        <v>44938</v>
      </c>
      <c r="M609" s="226" t="n">
        <v>40247</v>
      </c>
      <c r="N609" s="227" t="n">
        <v>3</v>
      </c>
      <c r="O609" s="227" t="s">
        <v>135</v>
      </c>
      <c r="P609" s="228" t="n">
        <f aca="false">VLOOKUP(B609,'NIVEL ENERO'!A:D,3,0)</f>
        <v>0.403450532007892</v>
      </c>
      <c r="Q609" s="229" t="n">
        <f aca="false">VLOOKUP(B609,'NIVEL ENERO'!A:D,4,0)</f>
        <v>51776.98</v>
      </c>
      <c r="R609" s="186" t="str">
        <f aca="false">+PROPER(C609&amp;" "&amp;D609)</f>
        <v>Ramirez Garces Claudia Carolina</v>
      </c>
      <c r="S609" s="230" t="n">
        <f aca="false">+YEARFRAC(L609,$S$1)</f>
        <v>3.33333333333333</v>
      </c>
      <c r="T609" s="230" t="n">
        <f aca="false">+YEARFRAC(M609,$S$1)</f>
        <v>16.1722222222222</v>
      </c>
      <c r="U609" s="231" t="n">
        <f aca="false">+$I609</f>
        <v>346172</v>
      </c>
      <c r="V609" s="232" t="str">
        <f aca="false">+PROPER(F609)</f>
        <v>Soltero(A)</v>
      </c>
    </row>
    <row r="610" customFormat="false" ht="14.25" hidden="false" customHeight="false" outlineLevel="0" collapsed="false">
      <c r="B610" s="197" t="n">
        <v>67030243</v>
      </c>
      <c r="C610" s="197" t="s">
        <v>2039</v>
      </c>
      <c r="D610" s="197" t="s">
        <v>2040</v>
      </c>
      <c r="E610" s="198" t="s">
        <v>944</v>
      </c>
      <c r="F610" s="198" t="s">
        <v>953</v>
      </c>
      <c r="G610" s="225" t="n">
        <v>2600900</v>
      </c>
      <c r="H610" s="225" t="n">
        <v>260090</v>
      </c>
      <c r="I610" s="225" t="n">
        <v>0</v>
      </c>
      <c r="J610" s="198" t="n">
        <v>39</v>
      </c>
      <c r="K610" s="198" t="n">
        <v>2</v>
      </c>
      <c r="L610" s="226" t="n">
        <v>45615</v>
      </c>
      <c r="M610" s="226" t="n">
        <v>42486</v>
      </c>
      <c r="N610" s="227" t="n">
        <v>2</v>
      </c>
      <c r="O610" s="227" t="s">
        <v>135</v>
      </c>
      <c r="P610" s="228" t="n">
        <f aca="false">VLOOKUP(B610,'NIVEL ENERO'!A:D,3,0)</f>
        <v>0.263063863722067</v>
      </c>
      <c r="Q610" s="229" t="n">
        <f aca="false">VLOOKUP(B610,'NIVEL ENERO'!A:D,4,0)</f>
        <v>556005.48</v>
      </c>
      <c r="R610" s="186" t="str">
        <f aca="false">+PROPER(C610&amp;" "&amp;D610)</f>
        <v>Chicaiza Gallardo Yuleidy Mileth</v>
      </c>
      <c r="S610" s="230" t="n">
        <f aca="false">+YEARFRAC(L610,$S$1)</f>
        <v>1.48055555555556</v>
      </c>
      <c r="T610" s="230" t="n">
        <f aca="false">+YEARFRAC(M610,$S$1)</f>
        <v>10.0444444444444</v>
      </c>
      <c r="U610" s="231" t="n">
        <f aca="false">+$I610</f>
        <v>0</v>
      </c>
      <c r="V610" s="232" t="str">
        <f aca="false">+PROPER(F610)</f>
        <v>Soltero(A)</v>
      </c>
    </row>
    <row r="611" customFormat="false" ht="14.25" hidden="false" customHeight="false" outlineLevel="0" collapsed="false">
      <c r="B611" s="197" t="n">
        <v>67030956</v>
      </c>
      <c r="C611" s="197" t="s">
        <v>2041</v>
      </c>
      <c r="D611" s="197" t="s">
        <v>1434</v>
      </c>
      <c r="E611" s="198" t="s">
        <v>944</v>
      </c>
      <c r="F611" s="198" t="s">
        <v>945</v>
      </c>
      <c r="G611" s="225" t="n">
        <v>3000000</v>
      </c>
      <c r="H611" s="225" t="n">
        <v>4840150</v>
      </c>
      <c r="I611" s="225" t="n">
        <v>5963826</v>
      </c>
      <c r="J611" s="198" t="n">
        <v>39</v>
      </c>
      <c r="K611" s="198" t="n">
        <v>2</v>
      </c>
      <c r="L611" s="226" t="n">
        <v>42899</v>
      </c>
      <c r="M611" s="226" t="n">
        <v>41806</v>
      </c>
      <c r="N611" s="227" t="n">
        <v>3</v>
      </c>
      <c r="O611" s="227" t="s">
        <v>158</v>
      </c>
      <c r="P611" s="228" t="e">
        <f aca="false">VLOOKUP(B611,'NIVEL ENERO'!A:D,3,0)</f>
        <v>#N/A</v>
      </c>
      <c r="Q611" s="229" t="e">
        <f aca="false">VLOOKUP(B611,'NIVEL ENERO'!A:D,4,0)</f>
        <v>#N/A</v>
      </c>
      <c r="R611" s="186" t="str">
        <f aca="false">+PROPER(C611&amp;" "&amp;D611)</f>
        <v>Ramirez Vargas Diana Marcela</v>
      </c>
      <c r="S611" s="230" t="n">
        <f aca="false">+YEARFRAC(L611,$S$1)</f>
        <v>8.91388888888889</v>
      </c>
      <c r="T611" s="230" t="n">
        <f aca="false">+YEARFRAC(M611,$S$1)</f>
        <v>11.9055555555556</v>
      </c>
      <c r="U611" s="231" t="n">
        <f aca="false">+$I611</f>
        <v>5963826</v>
      </c>
      <c r="V611" s="232" t="str">
        <f aca="false">+PROPER(F611)</f>
        <v>Union Libre</v>
      </c>
    </row>
    <row r="612" customFormat="false" ht="14.25" hidden="false" customHeight="false" outlineLevel="0" collapsed="false">
      <c r="B612" s="197" t="n">
        <v>67030981</v>
      </c>
      <c r="C612" s="197" t="s">
        <v>2042</v>
      </c>
      <c r="D612" s="197" t="s">
        <v>1137</v>
      </c>
      <c r="E612" s="198" t="s">
        <v>944</v>
      </c>
      <c r="F612" s="198" t="s">
        <v>945</v>
      </c>
      <c r="G612" s="225" t="n">
        <v>4469100</v>
      </c>
      <c r="H612" s="225" t="n">
        <v>2710585</v>
      </c>
      <c r="I612" s="225" t="n">
        <v>73917</v>
      </c>
      <c r="J612" s="198" t="n">
        <v>39</v>
      </c>
      <c r="K612" s="198" t="n">
        <v>1</v>
      </c>
      <c r="L612" s="226" t="n">
        <v>44271</v>
      </c>
      <c r="M612" s="226" t="n">
        <v>40909</v>
      </c>
      <c r="N612" s="227" t="n">
        <v>4</v>
      </c>
      <c r="O612" s="227" t="s">
        <v>135</v>
      </c>
      <c r="P612" s="228" t="n">
        <f aca="false">VLOOKUP(B612,'NIVEL ENERO'!A:D,3,0)</f>
        <v>0.407365698775272</v>
      </c>
      <c r="Q612" s="229" t="n">
        <f aca="false">VLOOKUP(B612,'NIVEL ENERO'!A:D,4,0)</f>
        <v>69005.5</v>
      </c>
      <c r="R612" s="186" t="str">
        <f aca="false">+PROPER(C612&amp;" "&amp;D612)</f>
        <v>Gutierrez Mejia Luz Adriana</v>
      </c>
      <c r="S612" s="230" t="n">
        <f aca="false">+YEARFRAC(L612,$S$1)</f>
        <v>5.15555555555556</v>
      </c>
      <c r="T612" s="230" t="n">
        <f aca="false">+YEARFRAC(M612,$S$1)</f>
        <v>14.3638888888889</v>
      </c>
      <c r="U612" s="231" t="n">
        <f aca="false">+$I612</f>
        <v>73917</v>
      </c>
      <c r="V612" s="232" t="str">
        <f aca="false">+PROPER(F612)</f>
        <v>Union Libre</v>
      </c>
    </row>
    <row r="613" customFormat="false" ht="14.25" hidden="false" customHeight="false" outlineLevel="0" collapsed="false">
      <c r="B613" s="197" t="n">
        <v>67031135</v>
      </c>
      <c r="C613" s="197" t="s">
        <v>2043</v>
      </c>
      <c r="D613" s="197" t="s">
        <v>2044</v>
      </c>
      <c r="E613" s="198" t="s">
        <v>944</v>
      </c>
      <c r="F613" s="198" t="s">
        <v>948</v>
      </c>
      <c r="G613" s="225" t="n">
        <v>7551500</v>
      </c>
      <c r="H613" s="225" t="n">
        <v>350000</v>
      </c>
      <c r="I613" s="225" t="n">
        <v>0</v>
      </c>
      <c r="J613" s="198" t="n">
        <v>39</v>
      </c>
      <c r="K613" s="198" t="n">
        <v>6</v>
      </c>
      <c r="L613" s="226" t="n">
        <v>45524</v>
      </c>
      <c r="M613" s="226" t="n">
        <v>44105</v>
      </c>
      <c r="N613" s="227" t="n">
        <v>0</v>
      </c>
      <c r="O613" s="227" t="s">
        <v>135</v>
      </c>
      <c r="P613" s="228" t="n">
        <f aca="false">VLOOKUP(B613,'NIVEL ENERO'!A:D,3,0)</f>
        <v>0.329835744224994</v>
      </c>
      <c r="Q613" s="229" t="n">
        <f aca="false">VLOOKUP(B613,'NIVEL ENERO'!A:D,4,0)</f>
        <v>935759.54</v>
      </c>
      <c r="R613" s="186" t="str">
        <f aca="false">+PROPER(C613&amp;" "&amp;D613)</f>
        <v>Alvarez Valdes Isabela</v>
      </c>
      <c r="S613" s="230" t="n">
        <f aca="false">+YEARFRAC(L613,$S$1)</f>
        <v>1.72777777777778</v>
      </c>
      <c r="T613" s="230" t="n">
        <f aca="false">+YEARFRAC(M613,$S$1)</f>
        <v>5.61388888888889</v>
      </c>
      <c r="U613" s="231" t="n">
        <f aca="false">+$I613</f>
        <v>0</v>
      </c>
      <c r="V613" s="232" t="str">
        <f aca="false">+PROPER(F613)</f>
        <v>Casado(A)</v>
      </c>
    </row>
    <row r="614" customFormat="false" ht="14.25" hidden="false" customHeight="false" outlineLevel="0" collapsed="false">
      <c r="B614" s="197" t="n">
        <v>67031395</v>
      </c>
      <c r="C614" s="197" t="s">
        <v>2045</v>
      </c>
      <c r="D614" s="197" t="s">
        <v>2046</v>
      </c>
      <c r="E614" s="198" t="s">
        <v>944</v>
      </c>
      <c r="F614" s="198" t="s">
        <v>948</v>
      </c>
      <c r="G614" s="225" t="n">
        <v>2340800</v>
      </c>
      <c r="H614" s="225" t="n">
        <v>1256457</v>
      </c>
      <c r="I614" s="225" t="n">
        <v>5358339</v>
      </c>
      <c r="J614" s="198" t="n">
        <v>39</v>
      </c>
      <c r="K614" s="198" t="n">
        <v>4</v>
      </c>
      <c r="L614" s="226" t="n">
        <v>45051</v>
      </c>
      <c r="M614" s="226" t="n">
        <v>44908</v>
      </c>
      <c r="N614" s="227" t="n">
        <v>0</v>
      </c>
      <c r="O614" s="227" t="s">
        <v>135</v>
      </c>
      <c r="P614" s="228" t="n">
        <f aca="false">VLOOKUP(B614,'NIVEL ENERO'!A:D,3,0)</f>
        <v>0.208497341862951</v>
      </c>
      <c r="Q614" s="229" t="n">
        <f aca="false">VLOOKUP(B614,'NIVEL ENERO'!A:D,4,0)</f>
        <v>630695.78</v>
      </c>
      <c r="R614" s="186" t="str">
        <f aca="false">+PROPER(C614&amp;" "&amp;D614)</f>
        <v>Mosquera Bermudez Darly Nayibi</v>
      </c>
      <c r="S614" s="230" t="n">
        <f aca="false">+YEARFRAC(L614,$S$1)</f>
        <v>3.01944444444444</v>
      </c>
      <c r="T614" s="230" t="n">
        <f aca="false">+YEARFRAC(M614,$S$1)</f>
        <v>3.41388888888889</v>
      </c>
      <c r="U614" s="231" t="n">
        <f aca="false">+$I614</f>
        <v>5358339</v>
      </c>
      <c r="V614" s="232" t="str">
        <f aca="false">+PROPER(F614)</f>
        <v>Casado(A)</v>
      </c>
    </row>
    <row r="615" customFormat="false" ht="14.25" hidden="false" customHeight="false" outlineLevel="0" collapsed="false">
      <c r="B615" s="197" t="n">
        <v>67031447</v>
      </c>
      <c r="C615" s="197" t="s">
        <v>2047</v>
      </c>
      <c r="D615" s="197" t="s">
        <v>2048</v>
      </c>
      <c r="E615" s="198" t="s">
        <v>944</v>
      </c>
      <c r="F615" s="198" t="s">
        <v>953</v>
      </c>
      <c r="G615" s="225" t="n">
        <v>2600900</v>
      </c>
      <c r="H615" s="225" t="n">
        <v>1658179</v>
      </c>
      <c r="I615" s="225" t="n">
        <v>0</v>
      </c>
      <c r="J615" s="198" t="n">
        <v>39</v>
      </c>
      <c r="K615" s="198" t="n">
        <v>4</v>
      </c>
      <c r="L615" s="226" t="n">
        <v>44818</v>
      </c>
      <c r="M615" s="226" t="n">
        <v>42353</v>
      </c>
      <c r="N615" s="227" t="n">
        <v>2</v>
      </c>
      <c r="O615" s="227" t="s">
        <v>135</v>
      </c>
      <c r="P615" s="228" t="n">
        <f aca="false">VLOOKUP(B615,'NIVEL ENERO'!A:D,3,0)</f>
        <v>0.289003421892422</v>
      </c>
      <c r="Q615" s="229" t="n">
        <f aca="false">VLOOKUP(B615,'NIVEL ENERO'!A:D,4,0)</f>
        <v>340709</v>
      </c>
      <c r="R615" s="186" t="str">
        <f aca="false">+PROPER(C615&amp;" "&amp;D615)</f>
        <v>Tenorio Montealegre Shirley Iberica</v>
      </c>
      <c r="S615" s="230" t="n">
        <f aca="false">+YEARFRAC(L615,$S$1)</f>
        <v>3.66111111111111</v>
      </c>
      <c r="T615" s="230" t="n">
        <f aca="false">+YEARFRAC(M615,$S$1)</f>
        <v>10.4083333333333</v>
      </c>
      <c r="U615" s="231" t="n">
        <f aca="false">+$I615</f>
        <v>0</v>
      </c>
      <c r="V615" s="232" t="str">
        <f aca="false">+PROPER(F615)</f>
        <v>Soltero(A)</v>
      </c>
    </row>
    <row r="616" customFormat="false" ht="14.25" hidden="false" customHeight="false" outlineLevel="0" collapsed="false">
      <c r="B616" s="197" t="n">
        <v>67031598</v>
      </c>
      <c r="C616" s="197" t="s">
        <v>2049</v>
      </c>
      <c r="D616" s="197" t="s">
        <v>2050</v>
      </c>
      <c r="E616" s="198" t="s">
        <v>944</v>
      </c>
      <c r="F616" s="198" t="s">
        <v>948</v>
      </c>
      <c r="G616" s="225" t="n">
        <v>6225200</v>
      </c>
      <c r="H616" s="225" t="n">
        <v>2000000</v>
      </c>
      <c r="I616" s="225" t="n">
        <v>255295</v>
      </c>
      <c r="J616" s="198" t="n">
        <v>39</v>
      </c>
      <c r="K616" s="198" t="n">
        <v>1</v>
      </c>
      <c r="L616" s="226" t="n">
        <v>45555</v>
      </c>
      <c r="M616" s="226" t="n">
        <v>41197</v>
      </c>
      <c r="N616" s="227" t="n">
        <v>1</v>
      </c>
      <c r="O616" s="227" t="s">
        <v>135</v>
      </c>
      <c r="P616" s="228" t="n">
        <f aca="false">VLOOKUP(B616,'NIVEL ENERO'!A:D,3,0)</f>
        <v>0.293642774529332</v>
      </c>
      <c r="Q616" s="229" t="n">
        <f aca="false">VLOOKUP(B616,'NIVEL ENERO'!A:D,4,0)</f>
        <v>786599</v>
      </c>
      <c r="R616" s="186" t="str">
        <f aca="false">+PROPER(C616&amp;" "&amp;D616)</f>
        <v>Betancourt Marin Leidy Andrea</v>
      </c>
      <c r="S616" s="230" t="n">
        <f aca="false">+YEARFRAC(L616,$S$1)</f>
        <v>1.64444444444444</v>
      </c>
      <c r="T616" s="230" t="n">
        <f aca="false">+YEARFRAC(M616,$S$1)</f>
        <v>13.575</v>
      </c>
      <c r="U616" s="231" t="n">
        <f aca="false">+$I616</f>
        <v>255295</v>
      </c>
      <c r="V616" s="232" t="str">
        <f aca="false">+PROPER(F616)</f>
        <v>Casado(A)</v>
      </c>
    </row>
    <row r="617" customFormat="false" ht="14.25" hidden="false" customHeight="false" outlineLevel="0" collapsed="false">
      <c r="B617" s="197" t="n">
        <v>67032503</v>
      </c>
      <c r="C617" s="197" t="s">
        <v>2051</v>
      </c>
      <c r="D617" s="197" t="s">
        <v>2052</v>
      </c>
      <c r="E617" s="198" t="s">
        <v>944</v>
      </c>
      <c r="F617" s="198" t="s">
        <v>945</v>
      </c>
      <c r="G617" s="225" t="n">
        <v>5291000</v>
      </c>
      <c r="H617" s="225" t="n">
        <v>6654709</v>
      </c>
      <c r="I617" s="225"/>
      <c r="J617" s="198" t="n">
        <v>39</v>
      </c>
      <c r="K617" s="198" t="n">
        <v>6</v>
      </c>
      <c r="L617" s="226" t="n">
        <v>44636</v>
      </c>
      <c r="M617" s="226" t="n">
        <v>42100</v>
      </c>
      <c r="N617" s="227" t="n">
        <v>2</v>
      </c>
      <c r="O617" s="227" t="s">
        <v>135</v>
      </c>
      <c r="P617" s="228" t="n">
        <f aca="false">VLOOKUP(B617,'NIVEL ENERO'!A:D,3,0)</f>
        <v>0.274379022502251</v>
      </c>
      <c r="Q617" s="229" t="n">
        <f aca="false">VLOOKUP(B617,'NIVEL ENERO'!A:D,4,0)</f>
        <v>888613.28</v>
      </c>
      <c r="R617" s="186" t="str">
        <f aca="false">+PROPER(C617&amp;" "&amp;D617)</f>
        <v>Quevedo Vega Kelly Johanna</v>
      </c>
      <c r="S617" s="230" t="n">
        <f aca="false">+YEARFRAC(L617,$S$1)</f>
        <v>4.15555555555556</v>
      </c>
      <c r="T617" s="230" t="n">
        <f aca="false">+YEARFRAC(M617,$S$1)</f>
        <v>11.1</v>
      </c>
      <c r="U617" s="231" t="n">
        <f aca="false">+$I617</f>
        <v>0</v>
      </c>
      <c r="V617" s="232" t="str">
        <f aca="false">+PROPER(F617)</f>
        <v>Union Libre</v>
      </c>
    </row>
    <row r="618" customFormat="false" ht="14.25" hidden="false" customHeight="false" outlineLevel="0" collapsed="false">
      <c r="B618" s="197" t="n">
        <v>67032665</v>
      </c>
      <c r="C618" s="197" t="s">
        <v>2053</v>
      </c>
      <c r="D618" s="197" t="s">
        <v>2054</v>
      </c>
      <c r="E618" s="198" t="s">
        <v>944</v>
      </c>
      <c r="F618" s="198" t="s">
        <v>953</v>
      </c>
      <c r="G618" s="225" t="n">
        <v>4870200</v>
      </c>
      <c r="H618" s="225" t="n">
        <v>5711445</v>
      </c>
      <c r="I618" s="225" t="n">
        <v>10355176</v>
      </c>
      <c r="J618" s="198" t="n">
        <v>39</v>
      </c>
      <c r="K618" s="198" t="n">
        <v>3</v>
      </c>
      <c r="L618" s="226" t="n">
        <v>42899</v>
      </c>
      <c r="M618" s="226" t="n">
        <v>40308</v>
      </c>
      <c r="N618" s="227" t="n">
        <v>3</v>
      </c>
      <c r="O618" s="227" t="s">
        <v>135</v>
      </c>
      <c r="P618" s="228" t="n">
        <f aca="false">VLOOKUP(B618,'NIVEL ENERO'!A:D,3,0)</f>
        <v>0.359250387897595</v>
      </c>
      <c r="Q618" s="229" t="n">
        <f aca="false">VLOOKUP(B618,'NIVEL ENERO'!A:D,4,0)</f>
        <v>313225</v>
      </c>
      <c r="R618" s="186" t="str">
        <f aca="false">+PROPER(C618&amp;" "&amp;D618)</f>
        <v>Alcala Flores Mercedes Del Pilar</v>
      </c>
      <c r="S618" s="230" t="n">
        <f aca="false">+YEARFRAC(L618,$S$1)</f>
        <v>8.91388888888889</v>
      </c>
      <c r="T618" s="230" t="n">
        <f aca="false">+YEARFRAC(M618,$S$1)</f>
        <v>16.0055555555556</v>
      </c>
      <c r="U618" s="231" t="n">
        <f aca="false">+$I618</f>
        <v>10355176</v>
      </c>
      <c r="V618" s="232" t="str">
        <f aca="false">+PROPER(F618)</f>
        <v>Soltero(A)</v>
      </c>
    </row>
    <row r="619" customFormat="false" ht="14.25" hidden="false" customHeight="false" outlineLevel="0" collapsed="false">
      <c r="B619" s="197" t="n">
        <v>67032722</v>
      </c>
      <c r="C619" s="197" t="s">
        <v>2055</v>
      </c>
      <c r="D619" s="197" t="s">
        <v>2056</v>
      </c>
      <c r="E619" s="198" t="s">
        <v>944</v>
      </c>
      <c r="F619" s="198" t="s">
        <v>953</v>
      </c>
      <c r="G619" s="225" t="n">
        <v>4383200</v>
      </c>
      <c r="H619" s="225" t="n">
        <v>1445749</v>
      </c>
      <c r="I619" s="225" t="n">
        <v>781562</v>
      </c>
      <c r="J619" s="198" t="n">
        <v>41</v>
      </c>
      <c r="K619" s="198" t="n">
        <v>2</v>
      </c>
      <c r="L619" s="226" t="n">
        <v>45161</v>
      </c>
      <c r="M619" s="226" t="n">
        <v>44470</v>
      </c>
      <c r="N619" s="227" t="n">
        <v>0</v>
      </c>
      <c r="O619" s="227" t="s">
        <v>135</v>
      </c>
      <c r="P619" s="228" t="n">
        <f aca="false">VLOOKUP(B619,'NIVEL ENERO'!A:D,3,0)</f>
        <v>0.20444880251865</v>
      </c>
      <c r="Q619" s="229" t="n">
        <f aca="false">VLOOKUP(B619,'NIVEL ENERO'!A:D,4,0)</f>
        <v>1000488.14</v>
      </c>
      <c r="R619" s="186" t="str">
        <f aca="false">+PROPER(C619&amp;" "&amp;D619)</f>
        <v>Benitez Santana Nazly Caterinne</v>
      </c>
      <c r="S619" s="230" t="n">
        <f aca="false">+YEARFRAC(L619,$S$1)</f>
        <v>2.71944444444444</v>
      </c>
      <c r="T619" s="230" t="n">
        <f aca="false">+YEARFRAC(M619,$S$1)</f>
        <v>4.61388888888889</v>
      </c>
      <c r="U619" s="231" t="n">
        <f aca="false">+$I619</f>
        <v>781562</v>
      </c>
      <c r="V619" s="232" t="str">
        <f aca="false">+PROPER(F619)</f>
        <v>Soltero(A)</v>
      </c>
    </row>
    <row r="620" customFormat="false" ht="14.25" hidden="false" customHeight="false" outlineLevel="0" collapsed="false">
      <c r="B620" s="197" t="n">
        <v>67032841</v>
      </c>
      <c r="C620" s="197" t="s">
        <v>2057</v>
      </c>
      <c r="D620" s="197" t="s">
        <v>2058</v>
      </c>
      <c r="E620" s="198" t="s">
        <v>944</v>
      </c>
      <c r="F620" s="198" t="s">
        <v>948</v>
      </c>
      <c r="G620" s="225" t="n">
        <v>2893800</v>
      </c>
      <c r="H620" s="225" t="n">
        <v>1658179</v>
      </c>
      <c r="I620" s="225" t="n">
        <v>3718017</v>
      </c>
      <c r="J620" s="198" t="n">
        <v>39</v>
      </c>
      <c r="K620" s="198" t="n">
        <v>2</v>
      </c>
      <c r="L620" s="226" t="n">
        <v>44826</v>
      </c>
      <c r="M620" s="226" t="n">
        <v>39119</v>
      </c>
      <c r="N620" s="227" t="n">
        <v>2</v>
      </c>
      <c r="O620" s="227" t="s">
        <v>135</v>
      </c>
      <c r="P620" s="228" t="n">
        <f aca="false">VLOOKUP(B620,'NIVEL ENERO'!A:D,3,0)</f>
        <v>0.409560093994056</v>
      </c>
      <c r="Q620" s="229" t="n">
        <f aca="false">VLOOKUP(B620,'NIVEL ENERO'!A:D,4,0)</f>
        <v>30211</v>
      </c>
      <c r="R620" s="186" t="str">
        <f aca="false">+PROPER(C620&amp;" "&amp;D620)</f>
        <v>Ospina Betancourt Jennifer Jhoanna</v>
      </c>
      <c r="S620" s="230" t="n">
        <f aca="false">+YEARFRAC(L620,$S$1)</f>
        <v>3.63888888888889</v>
      </c>
      <c r="T620" s="230" t="n">
        <f aca="false">+YEARFRAC(M620,$S$1)</f>
        <v>19.2666666666667</v>
      </c>
      <c r="U620" s="231" t="n">
        <f aca="false">+$I620</f>
        <v>3718017</v>
      </c>
      <c r="V620" s="232" t="str">
        <f aca="false">+PROPER(F620)</f>
        <v>Casado(A)</v>
      </c>
    </row>
    <row r="621" customFormat="false" ht="14.25" hidden="false" customHeight="false" outlineLevel="0" collapsed="false">
      <c r="B621" s="197" t="n">
        <v>67033351</v>
      </c>
      <c r="C621" s="197" t="s">
        <v>2059</v>
      </c>
      <c r="D621" s="197" t="s">
        <v>1695</v>
      </c>
      <c r="E621" s="198" t="s">
        <v>944</v>
      </c>
      <c r="F621" s="198" t="s">
        <v>998</v>
      </c>
      <c r="G621" s="225" t="n">
        <v>1625000</v>
      </c>
      <c r="H621" s="225" t="n">
        <v>1005311</v>
      </c>
      <c r="I621" s="225" t="n">
        <v>3171909</v>
      </c>
      <c r="J621" s="198" t="n">
        <v>39</v>
      </c>
      <c r="K621" s="198" t="n">
        <v>4</v>
      </c>
      <c r="L621" s="226" t="n">
        <v>45191</v>
      </c>
      <c r="M621" s="226" t="n">
        <v>44907</v>
      </c>
      <c r="N621" s="227" t="n">
        <v>0</v>
      </c>
      <c r="O621" s="227" t="s">
        <v>135</v>
      </c>
      <c r="P621" s="228" t="n">
        <f aca="false">VLOOKUP(B621,'NIVEL ENERO'!A:D,3,0)</f>
        <v>0.462380003670286</v>
      </c>
      <c r="Q621" s="229" t="n">
        <f aca="false">VLOOKUP(B621,'NIVEL ENERO'!A:D,4,0)</f>
        <v>-193912.666666667</v>
      </c>
      <c r="R621" s="186" t="str">
        <f aca="false">+PROPER(C621&amp;" "&amp;D621)</f>
        <v>Hernandez Martinez Lorena</v>
      </c>
      <c r="S621" s="230" t="n">
        <f aca="false">+YEARFRAC(L621,$S$1)</f>
        <v>2.63888888888889</v>
      </c>
      <c r="T621" s="230" t="n">
        <f aca="false">+YEARFRAC(M621,$S$1)</f>
        <v>3.41666666666667</v>
      </c>
      <c r="U621" s="231" t="n">
        <f aca="false">+$I621</f>
        <v>3171909</v>
      </c>
      <c r="V621" s="232" t="str">
        <f aca="false">+PROPER(F621)</f>
        <v>Separado(A)</v>
      </c>
    </row>
    <row r="622" customFormat="false" ht="14.25" hidden="false" customHeight="false" outlineLevel="0" collapsed="false">
      <c r="B622" s="197" t="n">
        <v>67037333</v>
      </c>
      <c r="C622" s="197" t="s">
        <v>2060</v>
      </c>
      <c r="D622" s="197" t="s">
        <v>2061</v>
      </c>
      <c r="E622" s="198" t="s">
        <v>944</v>
      </c>
      <c r="F622" s="198" t="s">
        <v>945</v>
      </c>
      <c r="G622" s="225" t="n">
        <v>2600900</v>
      </c>
      <c r="H622" s="225" t="n">
        <v>2555495</v>
      </c>
      <c r="I622" s="225" t="n">
        <v>3398635</v>
      </c>
      <c r="J622" s="198" t="n">
        <v>39</v>
      </c>
      <c r="K622" s="198" t="n">
        <v>2</v>
      </c>
      <c r="L622" s="226" t="n">
        <v>44147</v>
      </c>
      <c r="M622" s="226" t="n">
        <v>41896</v>
      </c>
      <c r="N622" s="227" t="n">
        <v>5</v>
      </c>
      <c r="O622" s="227" t="s">
        <v>135</v>
      </c>
      <c r="P622" s="228" t="n">
        <f aca="false">VLOOKUP(B622,'NIVEL ENERO'!A:D,3,0)</f>
        <v>0.396785945880758</v>
      </c>
      <c r="Q622" s="229" t="n">
        <f aca="false">VLOOKUP(B622,'NIVEL ENERO'!A:D,4,0)</f>
        <v>75200.52</v>
      </c>
      <c r="R622" s="186" t="str">
        <f aca="false">+PROPER(C622&amp;" "&amp;D622)</f>
        <v>Ibarguen Asprilla Leydy Yisel</v>
      </c>
      <c r="S622" s="230" t="n">
        <f aca="false">+YEARFRAC(L622,$S$1)</f>
        <v>5.5</v>
      </c>
      <c r="T622" s="230" t="n">
        <f aca="false">+YEARFRAC(M622,$S$1)</f>
        <v>11.6611111111111</v>
      </c>
      <c r="U622" s="231" t="n">
        <f aca="false">+$I622</f>
        <v>3398635</v>
      </c>
      <c r="V622" s="232" t="str">
        <f aca="false">+PROPER(F622)</f>
        <v>Union Libre</v>
      </c>
    </row>
    <row r="623" customFormat="false" ht="14.25" hidden="false" customHeight="false" outlineLevel="0" collapsed="false">
      <c r="B623" s="197" t="n">
        <v>67037654</v>
      </c>
      <c r="C623" s="197" t="s">
        <v>2062</v>
      </c>
      <c r="D623" s="197" t="s">
        <v>2063</v>
      </c>
      <c r="E623" s="198" t="s">
        <v>1288</v>
      </c>
      <c r="F623" s="198" t="s">
        <v>948</v>
      </c>
      <c r="G623" s="225" t="n">
        <v>2600900</v>
      </c>
      <c r="H623" s="225" t="n">
        <v>7226001</v>
      </c>
      <c r="I623" s="225" t="n">
        <v>9005670</v>
      </c>
      <c r="J623" s="198" t="n">
        <v>40</v>
      </c>
      <c r="K623" s="198" t="n">
        <v>3</v>
      </c>
      <c r="L623" s="226" t="n">
        <v>44824</v>
      </c>
      <c r="M623" s="226" t="n">
        <v>42323</v>
      </c>
      <c r="N623" s="227" t="n">
        <v>3</v>
      </c>
      <c r="O623" s="227" t="s">
        <v>135</v>
      </c>
      <c r="P623" s="228" t="n">
        <f aca="false">VLOOKUP(B623,'NIVEL ENERO'!A:D,3,0)</f>
        <v>0.474799876965666</v>
      </c>
      <c r="Q623" s="229" t="n">
        <f aca="false">VLOOKUP(B623,'NIVEL ENERO'!A:D,4,0)</f>
        <v>-142529</v>
      </c>
      <c r="R623" s="186" t="str">
        <f aca="false">+PROPER(C623&amp;" "&amp;D623)</f>
        <v>Chamizo Londono Ana Lorena</v>
      </c>
      <c r="S623" s="230" t="n">
        <f aca="false">+YEARFRAC(L623,$S$1)</f>
        <v>3.64444444444444</v>
      </c>
      <c r="T623" s="230" t="n">
        <f aca="false">+YEARFRAC(M623,$S$1)</f>
        <v>10.4916666666667</v>
      </c>
      <c r="U623" s="231" t="n">
        <f aca="false">+$I623</f>
        <v>9005670</v>
      </c>
      <c r="V623" s="232" t="str">
        <f aca="false">+PROPER(F623)</f>
        <v>Casado(A)</v>
      </c>
    </row>
    <row r="624" customFormat="false" ht="14.25" hidden="false" customHeight="false" outlineLevel="0" collapsed="false">
      <c r="B624" s="197" t="n">
        <v>67038777</v>
      </c>
      <c r="C624" s="197" t="s">
        <v>2064</v>
      </c>
      <c r="D624" s="197" t="s">
        <v>2065</v>
      </c>
      <c r="E624" s="198" t="s">
        <v>944</v>
      </c>
      <c r="F624" s="198" t="s">
        <v>953</v>
      </c>
      <c r="G624" s="225" t="n">
        <v>2088700</v>
      </c>
      <c r="H624" s="225" t="n">
        <v>1100000</v>
      </c>
      <c r="I624" s="225" t="n">
        <v>19590</v>
      </c>
      <c r="J624" s="198" t="n">
        <v>39</v>
      </c>
      <c r="K624" s="198" t="n">
        <v>4</v>
      </c>
      <c r="L624" s="226" t="n">
        <v>45344</v>
      </c>
      <c r="M624" s="226" t="n">
        <v>44409</v>
      </c>
      <c r="N624" s="227" t="n">
        <v>0</v>
      </c>
      <c r="O624" s="227" t="s">
        <v>135</v>
      </c>
      <c r="P624" s="228" t="n">
        <f aca="false">VLOOKUP(B624,'NIVEL ENERO'!A:D,3,0)</f>
        <v>0.141913842682272</v>
      </c>
      <c r="Q624" s="229" t="n">
        <f aca="false">VLOOKUP(B624,'NIVEL ENERO'!A:D,4,0)</f>
        <v>756179.48</v>
      </c>
      <c r="R624" s="186" t="str">
        <f aca="false">+PROPER(C624&amp;" "&amp;D624)</f>
        <v>Ruiz Heidy Johana</v>
      </c>
      <c r="S624" s="230" t="n">
        <f aca="false">+YEARFRAC(L624,$S$1)</f>
        <v>2.22222222222222</v>
      </c>
      <c r="T624" s="230" t="n">
        <f aca="false">+YEARFRAC(M624,$S$1)</f>
        <v>4.78055555555556</v>
      </c>
      <c r="U624" s="231" t="n">
        <f aca="false">+$I624</f>
        <v>19590</v>
      </c>
      <c r="V624" s="232" t="str">
        <f aca="false">+PROPER(F624)</f>
        <v>Soltero(A)</v>
      </c>
    </row>
    <row r="625" customFormat="false" ht="14.25" hidden="false" customHeight="false" outlineLevel="0" collapsed="false">
      <c r="B625" s="197" t="n">
        <v>67039044</v>
      </c>
      <c r="C625" s="197" t="s">
        <v>2066</v>
      </c>
      <c r="D625" s="197" t="s">
        <v>1367</v>
      </c>
      <c r="E625" s="198" t="s">
        <v>981</v>
      </c>
      <c r="F625" s="198" t="s">
        <v>998</v>
      </c>
      <c r="G625" s="225" t="n">
        <v>2893800</v>
      </c>
      <c r="H625" s="225" t="n">
        <v>260000</v>
      </c>
      <c r="I625" s="225" t="n">
        <v>2931946</v>
      </c>
      <c r="J625" s="198" t="n">
        <v>39</v>
      </c>
      <c r="K625" s="198" t="n">
        <v>2</v>
      </c>
      <c r="L625" s="226" t="n">
        <v>45554</v>
      </c>
      <c r="M625" s="226" t="n">
        <v>45641</v>
      </c>
      <c r="N625" s="227" t="n">
        <v>0</v>
      </c>
      <c r="O625" s="227" t="s">
        <v>135</v>
      </c>
      <c r="P625" s="228" t="n">
        <f aca="false">VLOOKUP(B625,'NIVEL ENERO'!A:D,3,0)</f>
        <v>0.327888421247393</v>
      </c>
      <c r="Q625" s="229" t="n">
        <f aca="false">VLOOKUP(B625,'NIVEL ENERO'!A:D,4,0)</f>
        <v>370392.08</v>
      </c>
      <c r="R625" s="186" t="str">
        <f aca="false">+PROPER(C625&amp;" "&amp;D625)</f>
        <v>Lopez Marin Diana Catalina</v>
      </c>
      <c r="S625" s="230" t="n">
        <f aca="false">+YEARFRAC(L625,$S$1)</f>
        <v>1.64722222222222</v>
      </c>
      <c r="T625" s="230" t="n">
        <f aca="false">+YEARFRAC(M625,$S$1)</f>
        <v>1.40833333333333</v>
      </c>
      <c r="U625" s="231" t="n">
        <f aca="false">+$I625</f>
        <v>2931946</v>
      </c>
      <c r="V625" s="232" t="str">
        <f aca="false">+PROPER(F625)</f>
        <v>Separado(A)</v>
      </c>
    </row>
    <row r="626" customFormat="false" ht="14.25" hidden="false" customHeight="false" outlineLevel="0" collapsed="false">
      <c r="B626" s="197" t="n">
        <v>67039425</v>
      </c>
      <c r="C626" s="197" t="s">
        <v>2067</v>
      </c>
      <c r="D626" s="197" t="s">
        <v>2068</v>
      </c>
      <c r="E626" s="198" t="s">
        <v>944</v>
      </c>
      <c r="F626" s="198" t="s">
        <v>953</v>
      </c>
      <c r="G626" s="225" t="n">
        <v>4870200</v>
      </c>
      <c r="H626" s="225" t="n">
        <v>3617855</v>
      </c>
      <c r="I626" s="225" t="n">
        <v>5716230</v>
      </c>
      <c r="J626" s="198" t="n">
        <v>39</v>
      </c>
      <c r="K626" s="198" t="n">
        <v>2</v>
      </c>
      <c r="L626" s="226" t="n">
        <v>44299</v>
      </c>
      <c r="M626" s="226" t="n">
        <v>44511</v>
      </c>
      <c r="N626" s="227" t="n">
        <v>3</v>
      </c>
      <c r="O626" s="227" t="s">
        <v>135</v>
      </c>
      <c r="P626" s="228" t="n">
        <f aca="false">VLOOKUP(B626,'NIVEL ENERO'!A:D,3,0)</f>
        <v>0.219296106084306</v>
      </c>
      <c r="Q626" s="229" t="n">
        <f aca="false">VLOOKUP(B626,'NIVEL ENERO'!A:D,4,0)</f>
        <v>1094694.9</v>
      </c>
      <c r="R626" s="186" t="str">
        <f aca="false">+PROPER(C626&amp;" "&amp;D626)</f>
        <v>Villalobos Hurtado Victoria Eugenia</v>
      </c>
      <c r="S626" s="230" t="n">
        <f aca="false">+YEARFRAC(L626,$S$1)</f>
        <v>5.08055555555556</v>
      </c>
      <c r="T626" s="230" t="n">
        <f aca="false">+YEARFRAC(M626,$S$1)</f>
        <v>4.50277777777778</v>
      </c>
      <c r="U626" s="231" t="n">
        <f aca="false">+$I626</f>
        <v>5716230</v>
      </c>
      <c r="V626" s="232" t="str">
        <f aca="false">+PROPER(F626)</f>
        <v>Soltero(A)</v>
      </c>
    </row>
    <row r="627" customFormat="false" ht="14.25" hidden="false" customHeight="false" outlineLevel="0" collapsed="false">
      <c r="B627" s="197" t="n">
        <v>67039508</v>
      </c>
      <c r="C627" s="197" t="s">
        <v>2069</v>
      </c>
      <c r="D627" s="197" t="s">
        <v>1261</v>
      </c>
      <c r="E627" s="198" t="s">
        <v>944</v>
      </c>
      <c r="F627" s="198" t="s">
        <v>948</v>
      </c>
      <c r="G627" s="225" t="n">
        <v>8245400</v>
      </c>
      <c r="H627" s="225" t="n">
        <v>2607705</v>
      </c>
      <c r="I627" s="225" t="n">
        <v>1396735</v>
      </c>
      <c r="J627" s="198" t="n">
        <v>40</v>
      </c>
      <c r="K627" s="198" t="n">
        <v>3</v>
      </c>
      <c r="L627" s="226" t="n">
        <v>44883</v>
      </c>
      <c r="M627" s="226" t="n">
        <v>42871</v>
      </c>
      <c r="N627" s="227" t="n">
        <v>2</v>
      </c>
      <c r="O627" s="227" t="s">
        <v>135</v>
      </c>
      <c r="P627" s="228" t="n">
        <f aca="false">VLOOKUP(B627,'NIVEL ENERO'!A:D,3,0)</f>
        <v>0.14694945060276</v>
      </c>
      <c r="Q627" s="229" t="n">
        <f aca="false">VLOOKUP(B627,'NIVEL ENERO'!A:D,4,0)</f>
        <v>2251411</v>
      </c>
      <c r="R627" s="186" t="str">
        <f aca="false">+PROPER(C627&amp;" "&amp;D627)</f>
        <v>Manrique Molina Jessica</v>
      </c>
      <c r="S627" s="230" t="n">
        <f aca="false">+YEARFRAC(L627,$S$1)</f>
        <v>3.48333333333333</v>
      </c>
      <c r="T627" s="230" t="n">
        <f aca="false">+YEARFRAC(M627,$S$1)</f>
        <v>8.98888888888889</v>
      </c>
      <c r="U627" s="231" t="n">
        <f aca="false">+$I627</f>
        <v>1396735</v>
      </c>
      <c r="V627" s="232" t="str">
        <f aca="false">+PROPER(F627)</f>
        <v>Casado(A)</v>
      </c>
    </row>
    <row r="628" customFormat="false" ht="14.25" hidden="false" customHeight="false" outlineLevel="0" collapsed="false">
      <c r="B628" s="197" t="n">
        <v>67039923</v>
      </c>
      <c r="C628" s="197" t="s">
        <v>2070</v>
      </c>
      <c r="D628" s="197" t="s">
        <v>2071</v>
      </c>
      <c r="E628" s="198" t="s">
        <v>944</v>
      </c>
      <c r="F628" s="198" t="s">
        <v>948</v>
      </c>
      <c r="G628" s="225" t="n">
        <v>7551500</v>
      </c>
      <c r="H628" s="225" t="n">
        <v>9557480</v>
      </c>
      <c r="I628" s="225" t="n">
        <v>48631</v>
      </c>
      <c r="J628" s="198" t="n">
        <v>39</v>
      </c>
      <c r="K628" s="198" t="n">
        <v>1</v>
      </c>
      <c r="L628" s="226" t="n">
        <v>44692</v>
      </c>
      <c r="M628" s="226" t="n">
        <v>43570</v>
      </c>
      <c r="N628" s="227" t="n">
        <v>1</v>
      </c>
      <c r="O628" s="227" t="s">
        <v>135</v>
      </c>
      <c r="P628" s="228" t="n">
        <f aca="false">VLOOKUP(B628,'NIVEL ENERO'!A:D,3,0)</f>
        <v>0.392502284314375</v>
      </c>
      <c r="Q628" s="229" t="n">
        <f aca="false">VLOOKUP(B628,'NIVEL ENERO'!A:D,4,0)</f>
        <v>207649</v>
      </c>
      <c r="R628" s="186" t="str">
        <f aca="false">+PROPER(C628&amp;" "&amp;D628)</f>
        <v>Gutierrez Garcia Diana Zuleima</v>
      </c>
      <c r="S628" s="230" t="n">
        <f aca="false">+YEARFRAC(L628,$S$1)</f>
        <v>4.00277777777778</v>
      </c>
      <c r="T628" s="230" t="n">
        <f aca="false">+YEARFRAC(M628,$S$1)</f>
        <v>7.075</v>
      </c>
      <c r="U628" s="231" t="n">
        <f aca="false">+$I628</f>
        <v>48631</v>
      </c>
      <c r="V628" s="232" t="str">
        <f aca="false">+PROPER(F628)</f>
        <v>Casado(A)</v>
      </c>
    </row>
    <row r="629" customFormat="false" ht="14.25" hidden="false" customHeight="false" outlineLevel="0" collapsed="false">
      <c r="B629" s="197" t="n">
        <v>67040256</v>
      </c>
      <c r="C629" s="197" t="s">
        <v>2072</v>
      </c>
      <c r="D629" s="197" t="s">
        <v>2073</v>
      </c>
      <c r="E629" s="198" t="s">
        <v>944</v>
      </c>
      <c r="F629" s="198" t="s">
        <v>948</v>
      </c>
      <c r="G629" s="225" t="n">
        <v>2893800</v>
      </c>
      <c r="H629" s="225" t="n">
        <v>6437501</v>
      </c>
      <c r="I629" s="225" t="n">
        <v>8772356</v>
      </c>
      <c r="J629" s="198" t="n">
        <v>39</v>
      </c>
      <c r="K629" s="198" t="n">
        <v>2</v>
      </c>
      <c r="L629" s="226" t="n">
        <v>43509</v>
      </c>
      <c r="M629" s="226" t="n">
        <v>39973</v>
      </c>
      <c r="N629" s="227" t="n">
        <v>3</v>
      </c>
      <c r="O629" s="227" t="s">
        <v>135</v>
      </c>
      <c r="P629" s="228" t="n">
        <f aca="false">VLOOKUP(B629,'NIVEL ENERO'!A:D,3,0)</f>
        <v>0.278480756520317</v>
      </c>
      <c r="Q629" s="229" t="n">
        <f aca="false">VLOOKUP(B629,'NIVEL ENERO'!A:D,4,0)</f>
        <v>498892.6</v>
      </c>
      <c r="R629" s="186" t="str">
        <f aca="false">+PROPER(C629&amp;" "&amp;D629)</f>
        <v>Guerrero Ingrid Yiset</v>
      </c>
      <c r="S629" s="230" t="n">
        <f aca="false">+YEARFRAC(L629,$S$1)</f>
        <v>7.24722222222222</v>
      </c>
      <c r="T629" s="230" t="n">
        <f aca="false">+YEARFRAC(M629,$S$1)</f>
        <v>16.925</v>
      </c>
      <c r="U629" s="231" t="n">
        <f aca="false">+$I629</f>
        <v>8772356</v>
      </c>
      <c r="V629" s="232" t="str">
        <f aca="false">+PROPER(F629)</f>
        <v>Casado(A)</v>
      </c>
    </row>
    <row r="630" customFormat="false" ht="14.25" hidden="false" customHeight="false" outlineLevel="0" collapsed="false">
      <c r="B630" s="197" t="n">
        <v>67040296</v>
      </c>
      <c r="C630" s="197" t="s">
        <v>2074</v>
      </c>
      <c r="D630" s="197" t="s">
        <v>1298</v>
      </c>
      <c r="E630" s="198" t="s">
        <v>944</v>
      </c>
      <c r="F630" s="198" t="s">
        <v>953</v>
      </c>
      <c r="G630" s="225" t="n">
        <v>5418800</v>
      </c>
      <c r="H630" s="225" t="n">
        <v>1619623</v>
      </c>
      <c r="I630" s="225" t="n">
        <v>1317263</v>
      </c>
      <c r="J630" s="198" t="n">
        <v>39</v>
      </c>
      <c r="K630" s="198" t="n">
        <v>1</v>
      </c>
      <c r="L630" s="226" t="n">
        <v>44880</v>
      </c>
      <c r="M630" s="226" t="n">
        <v>41796</v>
      </c>
      <c r="N630" s="227" t="n">
        <v>0</v>
      </c>
      <c r="O630" s="227" t="s">
        <v>135</v>
      </c>
      <c r="P630" s="228" t="n">
        <f aca="false">VLOOKUP(B630,'NIVEL ENERO'!A:D,3,0)</f>
        <v>0.348860326283488</v>
      </c>
      <c r="Q630" s="229" t="n">
        <f aca="false">VLOOKUP(B630,'NIVEL ENERO'!A:D,4,0)</f>
        <v>467618.22</v>
      </c>
      <c r="R630" s="186" t="str">
        <f aca="false">+PROPER(C630&amp;" "&amp;D630)</f>
        <v>Lopez Arboleda Monica</v>
      </c>
      <c r="S630" s="230" t="n">
        <f aca="false">+YEARFRAC(L630,$S$1)</f>
        <v>3.49166666666667</v>
      </c>
      <c r="T630" s="230" t="n">
        <f aca="false">+YEARFRAC(M630,$S$1)</f>
        <v>11.9333333333333</v>
      </c>
      <c r="U630" s="231" t="n">
        <f aca="false">+$I630</f>
        <v>1317263</v>
      </c>
      <c r="V630" s="232" t="str">
        <f aca="false">+PROPER(F630)</f>
        <v>Soltero(A)</v>
      </c>
    </row>
    <row r="631" customFormat="false" ht="14.25" hidden="false" customHeight="false" outlineLevel="0" collapsed="false">
      <c r="B631" s="197" t="n">
        <v>67040484</v>
      </c>
      <c r="C631" s="197" t="s">
        <v>2075</v>
      </c>
      <c r="D631" s="197" t="s">
        <v>2076</v>
      </c>
      <c r="E631" s="198" t="s">
        <v>944</v>
      </c>
      <c r="F631" s="198" t="s">
        <v>945</v>
      </c>
      <c r="G631" s="225" t="n">
        <v>2893800</v>
      </c>
      <c r="H631" s="225" t="n">
        <v>3424239</v>
      </c>
      <c r="I631" s="225" t="n">
        <v>6532424</v>
      </c>
      <c r="J631" s="198" t="n">
        <v>39</v>
      </c>
      <c r="K631" s="198" t="n">
        <v>2</v>
      </c>
      <c r="L631" s="226" t="n">
        <v>44091</v>
      </c>
      <c r="M631" s="226" t="n">
        <v>40240</v>
      </c>
      <c r="N631" s="227" t="n">
        <v>3</v>
      </c>
      <c r="O631" s="227" t="s">
        <v>135</v>
      </c>
      <c r="P631" s="228" t="n">
        <f aca="false">VLOOKUP(B631,'NIVEL ENERO'!A:D,3,0)</f>
        <v>0.313290904138085</v>
      </c>
      <c r="Q631" s="229" t="n">
        <f aca="false">VLOOKUP(B631,'NIVEL ENERO'!A:D,4,0)</f>
        <v>284395.32</v>
      </c>
      <c r="R631" s="186" t="str">
        <f aca="false">+PROPER(C631&amp;" "&amp;D631)</f>
        <v>Patino Leivi Yoana</v>
      </c>
      <c r="S631" s="230" t="n">
        <f aca="false">+YEARFRAC(L631,$S$1)</f>
        <v>5.65277777777778</v>
      </c>
      <c r="T631" s="230" t="n">
        <f aca="false">+YEARFRAC(M631,$S$1)</f>
        <v>16.1916666666667</v>
      </c>
      <c r="U631" s="231" t="n">
        <f aca="false">+$I631</f>
        <v>6532424</v>
      </c>
      <c r="V631" s="232" t="str">
        <f aca="false">+PROPER(F631)</f>
        <v>Union Libre</v>
      </c>
    </row>
    <row r="632" customFormat="false" ht="14.25" hidden="false" customHeight="false" outlineLevel="0" collapsed="false">
      <c r="B632" s="197" t="n">
        <v>67041428</v>
      </c>
      <c r="C632" s="197" t="s">
        <v>2077</v>
      </c>
      <c r="D632" s="197" t="s">
        <v>2078</v>
      </c>
      <c r="E632" s="198" t="s">
        <v>944</v>
      </c>
      <c r="F632" s="198" t="s">
        <v>945</v>
      </c>
      <c r="G632" s="225" t="n">
        <v>2893800</v>
      </c>
      <c r="H632" s="225" t="n">
        <v>3590125</v>
      </c>
      <c r="I632" s="225" t="n">
        <v>3362009</v>
      </c>
      <c r="J632" s="198" t="n">
        <v>39</v>
      </c>
      <c r="K632" s="198" t="n">
        <v>2</v>
      </c>
      <c r="L632" s="226" t="n">
        <v>44700</v>
      </c>
      <c r="M632" s="226" t="n">
        <v>44105</v>
      </c>
      <c r="N632" s="227" t="n">
        <v>3</v>
      </c>
      <c r="O632" s="227" t="s">
        <v>135</v>
      </c>
      <c r="P632" s="228" t="n">
        <f aca="false">VLOOKUP(B632,'NIVEL ENERO'!A:D,3,0)</f>
        <v>0.342063169140555</v>
      </c>
      <c r="Q632" s="229" t="n">
        <f aca="false">VLOOKUP(B632,'NIVEL ENERO'!A:D,4,0)</f>
        <v>307559.18</v>
      </c>
      <c r="R632" s="186" t="str">
        <f aca="false">+PROPER(C632&amp;" "&amp;D632)</f>
        <v>Guerrero Zamora Nancy Viviana</v>
      </c>
      <c r="S632" s="230" t="n">
        <f aca="false">+YEARFRAC(L632,$S$1)</f>
        <v>3.98055555555556</v>
      </c>
      <c r="T632" s="230" t="n">
        <f aca="false">+YEARFRAC(M632,$S$1)</f>
        <v>5.61388888888889</v>
      </c>
      <c r="U632" s="231" t="n">
        <f aca="false">+$I632</f>
        <v>3362009</v>
      </c>
      <c r="V632" s="232" t="str">
        <f aca="false">+PROPER(F632)</f>
        <v>Union Libre</v>
      </c>
    </row>
    <row r="633" customFormat="false" ht="14.25" hidden="false" customHeight="false" outlineLevel="0" collapsed="false">
      <c r="B633" s="197" t="n">
        <v>67041560</v>
      </c>
      <c r="C633" s="197" t="s">
        <v>2079</v>
      </c>
      <c r="D633" s="197" t="s">
        <v>2080</v>
      </c>
      <c r="E633" s="198" t="s">
        <v>944</v>
      </c>
      <c r="F633" s="198" t="s">
        <v>948</v>
      </c>
      <c r="G633" s="225" t="n">
        <v>2916600</v>
      </c>
      <c r="H633" s="225" t="n">
        <v>1506656</v>
      </c>
      <c r="I633" s="225" t="n">
        <v>3626254</v>
      </c>
      <c r="J633" s="198" t="n">
        <v>39</v>
      </c>
      <c r="K633" s="198" t="n">
        <v>1</v>
      </c>
      <c r="L633" s="226" t="n">
        <v>44909</v>
      </c>
      <c r="M633" s="226" t="n">
        <v>40578</v>
      </c>
      <c r="N633" s="227" t="n">
        <v>0</v>
      </c>
      <c r="O633" s="227" t="s">
        <v>135</v>
      </c>
      <c r="P633" s="228" t="n">
        <f aca="false">VLOOKUP(B633,'NIVEL ENERO'!A:D,3,0)</f>
        <v>0.351737817031132</v>
      </c>
      <c r="Q633" s="229" t="n">
        <f aca="false">VLOOKUP(B633,'NIVEL ENERO'!A:D,4,0)</f>
        <v>231410.12</v>
      </c>
      <c r="R633" s="186" t="str">
        <f aca="false">+PROPER(C633&amp;" "&amp;D633)</f>
        <v>Guacan Uchima Ayda Nelly</v>
      </c>
      <c r="S633" s="230" t="n">
        <f aca="false">+YEARFRAC(L633,$S$1)</f>
        <v>3.41111111111111</v>
      </c>
      <c r="T633" s="230" t="n">
        <f aca="false">+YEARFRAC(M633,$S$1)</f>
        <v>15.2722222222222</v>
      </c>
      <c r="U633" s="231" t="n">
        <f aca="false">+$I633</f>
        <v>3626254</v>
      </c>
      <c r="V633" s="232" t="str">
        <f aca="false">+PROPER(F633)</f>
        <v>Casado(A)</v>
      </c>
    </row>
    <row r="634" customFormat="false" ht="14.25" hidden="false" customHeight="false" outlineLevel="0" collapsed="false">
      <c r="B634" s="197" t="n">
        <v>67041595</v>
      </c>
      <c r="C634" s="197" t="s">
        <v>2081</v>
      </c>
      <c r="D634" s="197" t="s">
        <v>1460</v>
      </c>
      <c r="E634" s="198" t="s">
        <v>944</v>
      </c>
      <c r="F634" s="198" t="s">
        <v>948</v>
      </c>
      <c r="G634" s="225" t="n">
        <v>8245400</v>
      </c>
      <c r="H634" s="225" t="n">
        <v>7144037</v>
      </c>
      <c r="I634" s="225" t="n">
        <v>0</v>
      </c>
      <c r="J634" s="198" t="n">
        <v>39</v>
      </c>
      <c r="K634" s="198" t="n">
        <v>1</v>
      </c>
      <c r="L634" s="226" t="n">
        <v>43483</v>
      </c>
      <c r="M634" s="226" t="n">
        <v>37982</v>
      </c>
      <c r="N634" s="227" t="n">
        <v>3</v>
      </c>
      <c r="O634" s="227" t="s">
        <v>135</v>
      </c>
      <c r="P634" s="228" t="n">
        <f aca="false">VLOOKUP(B634,'NIVEL ENERO'!A:D,3,0)</f>
        <v>0.148025444490261</v>
      </c>
      <c r="Q634" s="229" t="n">
        <f aca="false">VLOOKUP(B634,'NIVEL ENERO'!A:D,4,0)</f>
        <v>2242539</v>
      </c>
      <c r="R634" s="186" t="str">
        <f aca="false">+PROPER(C634&amp;" "&amp;D634)</f>
        <v>Rojas Montoya Diana Lorena</v>
      </c>
      <c r="S634" s="230" t="n">
        <f aca="false">+YEARFRAC(L634,$S$1)</f>
        <v>7.31666666666667</v>
      </c>
      <c r="T634" s="230" t="n">
        <f aca="false">+YEARFRAC(M634,$S$1)</f>
        <v>22.375</v>
      </c>
      <c r="U634" s="231" t="n">
        <f aca="false">+$I634</f>
        <v>0</v>
      </c>
      <c r="V634" s="232" t="str">
        <f aca="false">+PROPER(F634)</f>
        <v>Casado(A)</v>
      </c>
    </row>
    <row r="635" customFormat="false" ht="14.25" hidden="false" customHeight="false" outlineLevel="0" collapsed="false">
      <c r="B635" s="197" t="n">
        <v>67041835</v>
      </c>
      <c r="C635" s="197" t="s">
        <v>2082</v>
      </c>
      <c r="D635" s="197" t="s">
        <v>1355</v>
      </c>
      <c r="E635" s="198" t="s">
        <v>944</v>
      </c>
      <c r="F635" s="198" t="s">
        <v>945</v>
      </c>
      <c r="G635" s="225" t="n">
        <v>2893800</v>
      </c>
      <c r="H635" s="225" t="n">
        <v>1063511</v>
      </c>
      <c r="I635" s="225" t="n">
        <v>839495</v>
      </c>
      <c r="J635" s="198" t="n">
        <v>39</v>
      </c>
      <c r="K635" s="198" t="n">
        <v>1</v>
      </c>
      <c r="L635" s="226" t="n">
        <v>39933</v>
      </c>
      <c r="M635" s="226" t="n">
        <v>39387</v>
      </c>
      <c r="N635" s="227" t="n">
        <v>0</v>
      </c>
      <c r="O635" s="227" t="s">
        <v>135</v>
      </c>
      <c r="P635" s="228" t="n">
        <f aca="false">VLOOKUP(B635,'NIVEL ENERO'!A:D,3,0)</f>
        <v>0.372034694864884</v>
      </c>
      <c r="Q635" s="229" t="n">
        <f aca="false">VLOOKUP(B635,'NIVEL ENERO'!A:D,4,0)</f>
        <v>138802</v>
      </c>
      <c r="R635" s="186" t="str">
        <f aca="false">+PROPER(C635&amp;" "&amp;D635)</f>
        <v>Triana Cubillos Angelica Maria</v>
      </c>
      <c r="S635" s="230" t="n">
        <f aca="false">+YEARFRAC(L635,$S$1)</f>
        <v>17.0333333333333</v>
      </c>
      <c r="T635" s="230" t="n">
        <f aca="false">+YEARFRAC(M635,$S$1)</f>
        <v>18.5305555555556</v>
      </c>
      <c r="U635" s="231" t="n">
        <f aca="false">+$I635</f>
        <v>839495</v>
      </c>
      <c r="V635" s="232" t="str">
        <f aca="false">+PROPER(F635)</f>
        <v>Union Libre</v>
      </c>
    </row>
    <row r="636" customFormat="false" ht="14.25" hidden="false" customHeight="false" outlineLevel="0" collapsed="false">
      <c r="B636" s="197" t="n">
        <v>67041989</v>
      </c>
      <c r="C636" s="197" t="s">
        <v>2083</v>
      </c>
      <c r="D636" s="197" t="s">
        <v>2084</v>
      </c>
      <c r="E636" s="198" t="s">
        <v>944</v>
      </c>
      <c r="F636" s="198" t="s">
        <v>948</v>
      </c>
      <c r="G636" s="225" t="n">
        <v>2600900</v>
      </c>
      <c r="H636" s="225" t="n">
        <v>6917636</v>
      </c>
      <c r="I636" s="225" t="n">
        <v>8943832</v>
      </c>
      <c r="J636" s="198" t="n">
        <v>39</v>
      </c>
      <c r="K636" s="198" t="n">
        <v>1</v>
      </c>
      <c r="L636" s="226" t="n">
        <v>41099</v>
      </c>
      <c r="M636" s="226" t="n">
        <v>45485</v>
      </c>
      <c r="N636" s="227" t="n">
        <v>4</v>
      </c>
      <c r="O636" s="227" t="s">
        <v>135</v>
      </c>
      <c r="P636" s="228" t="n">
        <f aca="false">VLOOKUP(B636,'NIVEL ENERO'!A:D,3,0)</f>
        <v>0.483034334268907</v>
      </c>
      <c r="Q636" s="229" t="n">
        <f aca="false">VLOOKUP(B636,'NIVEL ENERO'!A:D,4,0)</f>
        <v>-163946</v>
      </c>
      <c r="R636" s="186" t="str">
        <f aca="false">+PROPER(C636&amp;" "&amp;D636)</f>
        <v>Amezquita Restrepo Yuly Andrea</v>
      </c>
      <c r="S636" s="230" t="n">
        <f aca="false">+YEARFRAC(L636,$S$1)</f>
        <v>13.8416666666667</v>
      </c>
      <c r="T636" s="230" t="n">
        <f aca="false">+YEARFRAC(M636,$S$1)</f>
        <v>1.83333333333333</v>
      </c>
      <c r="U636" s="231" t="n">
        <f aca="false">+$I636</f>
        <v>8943832</v>
      </c>
      <c r="V636" s="232" t="str">
        <f aca="false">+PROPER(F636)</f>
        <v>Casado(A)</v>
      </c>
    </row>
    <row r="637" customFormat="false" ht="14.25" hidden="false" customHeight="false" outlineLevel="0" collapsed="false">
      <c r="B637" s="197" t="n">
        <v>67043166</v>
      </c>
      <c r="C637" s="197" t="s">
        <v>2085</v>
      </c>
      <c r="D637" s="197" t="s">
        <v>2086</v>
      </c>
      <c r="E637" s="198" t="s">
        <v>944</v>
      </c>
      <c r="F637" s="198" t="s">
        <v>1107</v>
      </c>
      <c r="G637" s="225" t="n">
        <v>1670000</v>
      </c>
      <c r="H637" s="225" t="n">
        <v>1647099</v>
      </c>
      <c r="I637" s="225" t="n">
        <v>1409552</v>
      </c>
      <c r="J637" s="198" t="n">
        <v>38</v>
      </c>
      <c r="K637" s="198" t="n">
        <v>1</v>
      </c>
      <c r="L637" s="226" t="n">
        <v>44852</v>
      </c>
      <c r="M637" s="226" t="n">
        <v>44547</v>
      </c>
      <c r="N637" s="227" t="n">
        <v>0</v>
      </c>
      <c r="O637" s="227" t="s">
        <v>135</v>
      </c>
      <c r="P637" s="228" t="n">
        <f aca="false">VLOOKUP(B637,'NIVEL ENERO'!A:D,3,0)</f>
        <v>0.415412597134099</v>
      </c>
      <c r="Q637" s="229" t="n">
        <f aca="false">VLOOKUP(B637,'NIVEL ENERO'!A:D,4,0)</f>
        <v>18385</v>
      </c>
      <c r="R637" s="186" t="str">
        <f aca="false">+PROPER(C637&amp;" "&amp;D637)</f>
        <v>Paz Quinonez Deisy Veronica</v>
      </c>
      <c r="S637" s="230" t="n">
        <f aca="false">+YEARFRAC(L637,$S$1)</f>
        <v>3.56666666666667</v>
      </c>
      <c r="T637" s="230" t="n">
        <f aca="false">+YEARFRAC(M637,$S$1)</f>
        <v>4.40277777777778</v>
      </c>
      <c r="U637" s="231" t="n">
        <f aca="false">+$I637</f>
        <v>1409552</v>
      </c>
      <c r="V637" s="232" t="str">
        <f aca="false">+PROPER(F637)</f>
        <v>Viudo(A)</v>
      </c>
    </row>
    <row r="638" customFormat="false" ht="14.25" hidden="false" customHeight="false" outlineLevel="0" collapsed="false">
      <c r="B638" s="197" t="n">
        <v>67043234</v>
      </c>
      <c r="C638" s="197" t="s">
        <v>2087</v>
      </c>
      <c r="D638" s="197" t="s">
        <v>2088</v>
      </c>
      <c r="E638" s="198" t="s">
        <v>944</v>
      </c>
      <c r="F638" s="198" t="s">
        <v>953</v>
      </c>
      <c r="G638" s="225" t="n">
        <v>4870200</v>
      </c>
      <c r="H638" s="225" t="n">
        <v>831006</v>
      </c>
      <c r="I638" s="225" t="n">
        <v>4324796</v>
      </c>
      <c r="J638" s="198" t="n">
        <v>39</v>
      </c>
      <c r="K638" s="198" t="n">
        <v>1</v>
      </c>
      <c r="L638" s="226" t="n">
        <v>45279</v>
      </c>
      <c r="M638" s="226" t="n">
        <v>41409</v>
      </c>
      <c r="N638" s="227" t="n">
        <v>0</v>
      </c>
      <c r="O638" s="227" t="s">
        <v>135</v>
      </c>
      <c r="P638" s="228" t="n">
        <f aca="false">VLOOKUP(B638,'NIVEL ENERO'!A:D,3,0)</f>
        <v>0.325668639294483</v>
      </c>
      <c r="Q638" s="229" t="n">
        <f aca="false">VLOOKUP(B638,'NIVEL ENERO'!A:D,4,0)</f>
        <v>610865.24</v>
      </c>
      <c r="R638" s="186" t="str">
        <f aca="false">+PROPER(C638&amp;" "&amp;D638)</f>
        <v>Cardozo Agudelo Claudia Milena</v>
      </c>
      <c r="S638" s="230" t="n">
        <f aca="false">+YEARFRAC(L638,$S$1)</f>
        <v>2.39722222222222</v>
      </c>
      <c r="T638" s="230" t="n">
        <f aca="false">+YEARFRAC(M638,$S$1)</f>
        <v>12.9916666666667</v>
      </c>
      <c r="U638" s="231" t="n">
        <f aca="false">+$I638</f>
        <v>4324796</v>
      </c>
      <c r="V638" s="232" t="str">
        <f aca="false">+PROPER(F638)</f>
        <v>Soltero(A)</v>
      </c>
    </row>
    <row r="639" customFormat="false" ht="14.25" hidden="false" customHeight="false" outlineLevel="0" collapsed="false">
      <c r="B639" s="197" t="n">
        <v>70094763</v>
      </c>
      <c r="C639" s="197" t="s">
        <v>2089</v>
      </c>
      <c r="D639" s="197" t="s">
        <v>2090</v>
      </c>
      <c r="E639" s="198" t="s">
        <v>944</v>
      </c>
      <c r="F639" s="198" t="s">
        <v>948</v>
      </c>
      <c r="G639" s="225" t="n">
        <v>24627700</v>
      </c>
      <c r="H639" s="225" t="n">
        <v>28097353</v>
      </c>
      <c r="I639" s="225" t="n">
        <v>0</v>
      </c>
      <c r="J639" s="198" t="n">
        <v>66</v>
      </c>
      <c r="K639" s="198" t="n">
        <v>1</v>
      </c>
      <c r="L639" s="226" t="n">
        <v>44819</v>
      </c>
      <c r="M639" s="226" t="n">
        <v>40071</v>
      </c>
      <c r="N639" s="227" t="n">
        <v>2</v>
      </c>
      <c r="O639" s="227" t="s">
        <v>135</v>
      </c>
      <c r="P639" s="228" t="n">
        <f aca="false">VLOOKUP(B639,'NIVEL ENERO'!A:D,3,0)</f>
        <v>0.297880394839957</v>
      </c>
      <c r="Q639" s="229" t="n">
        <f aca="false">VLOOKUP(B639,'NIVEL ENERO'!A:D,4,0)</f>
        <v>3007525</v>
      </c>
      <c r="R639" s="186" t="str">
        <f aca="false">+PROPER(C639&amp;" "&amp;D639)</f>
        <v>Garcia Pava Jaime Hernando</v>
      </c>
      <c r="S639" s="230" t="n">
        <f aca="false">+YEARFRAC(L639,$S$1)</f>
        <v>3.65833333333333</v>
      </c>
      <c r="T639" s="230" t="n">
        <f aca="false">+YEARFRAC(M639,$S$1)</f>
        <v>16.6583333333333</v>
      </c>
      <c r="U639" s="231" t="n">
        <f aca="false">+$I639</f>
        <v>0</v>
      </c>
      <c r="V639" s="232" t="str">
        <f aca="false">+PROPER(F639)</f>
        <v>Casado(A)</v>
      </c>
    </row>
    <row r="640" customFormat="false" ht="14.25" hidden="false" customHeight="false" outlineLevel="0" collapsed="false">
      <c r="B640" s="197" t="n">
        <v>71738242</v>
      </c>
      <c r="C640" s="197" t="s">
        <v>2091</v>
      </c>
      <c r="D640" s="197" t="s">
        <v>2092</v>
      </c>
      <c r="E640" s="198" t="s">
        <v>944</v>
      </c>
      <c r="F640" s="198" t="s">
        <v>945</v>
      </c>
      <c r="G640" s="225" t="n">
        <v>30273500</v>
      </c>
      <c r="H640" s="225" t="n">
        <v>73131345</v>
      </c>
      <c r="I640" s="225" t="n">
        <v>1426495</v>
      </c>
      <c r="J640" s="198" t="n">
        <v>51</v>
      </c>
      <c r="K640" s="198" t="n">
        <v>6</v>
      </c>
      <c r="L640" s="226" t="n">
        <v>43563</v>
      </c>
      <c r="M640" s="226" t="n">
        <v>43556</v>
      </c>
      <c r="N640" s="227" t="n">
        <v>3</v>
      </c>
      <c r="O640" s="227" t="s">
        <v>135</v>
      </c>
      <c r="P640" s="228" t="n">
        <f aca="false">VLOOKUP(B640,'NIVEL ENERO'!A:D,3,0)</f>
        <v>0.438145092715989</v>
      </c>
      <c r="Q640" s="229" t="n">
        <f aca="false">VLOOKUP(B640,'NIVEL ENERO'!A:D,4,0)</f>
        <v>-586825</v>
      </c>
      <c r="R640" s="186" t="str">
        <f aca="false">+PROPER(C640&amp;" "&amp;D640)</f>
        <v>Prada Rios Sergio Ivan</v>
      </c>
      <c r="S640" s="230" t="n">
        <f aca="false">+YEARFRAC(L640,$S$1)</f>
        <v>7.09444444444444</v>
      </c>
      <c r="T640" s="230" t="n">
        <f aca="false">+YEARFRAC(M640,$S$1)</f>
        <v>7.11388888888889</v>
      </c>
      <c r="U640" s="231" t="n">
        <f aca="false">+$I640</f>
        <v>1426495</v>
      </c>
      <c r="V640" s="232" t="str">
        <f aca="false">+PROPER(F640)</f>
        <v>Union Libre</v>
      </c>
    </row>
    <row r="641" customFormat="false" ht="14.25" hidden="false" customHeight="false" outlineLevel="0" collapsed="false">
      <c r="B641" s="197" t="n">
        <v>73432460</v>
      </c>
      <c r="C641" s="197" t="s">
        <v>2093</v>
      </c>
      <c r="D641" s="197" t="s">
        <v>2094</v>
      </c>
      <c r="E641" s="198" t="s">
        <v>944</v>
      </c>
      <c r="F641" s="198" t="s">
        <v>948</v>
      </c>
      <c r="G641" s="225" t="n">
        <v>19690900</v>
      </c>
      <c r="H641" s="225" t="n">
        <v>2340020</v>
      </c>
      <c r="I641" s="225" t="n">
        <v>64512154</v>
      </c>
      <c r="J641" s="198" t="n">
        <v>43</v>
      </c>
      <c r="K641" s="198" t="n">
        <v>6</v>
      </c>
      <c r="L641" s="226" t="n">
        <v>45279</v>
      </c>
      <c r="M641" s="226" t="n">
        <v>41927</v>
      </c>
      <c r="N641" s="227" t="n">
        <v>0</v>
      </c>
      <c r="O641" s="227" t="s">
        <v>135</v>
      </c>
      <c r="P641" s="228" t="n">
        <f aca="false">VLOOKUP(B641,'NIVEL ENERO'!A:D,3,0)</f>
        <v>0.326980560170632</v>
      </c>
      <c r="Q641" s="229" t="n">
        <f aca="false">VLOOKUP(B641,'NIVEL ENERO'!A:D,4,0)</f>
        <v>1343200.06</v>
      </c>
      <c r="R641" s="186" t="str">
        <f aca="false">+PROPER(C641&amp;" "&amp;D641)</f>
        <v>Falcon Perez Pedro Fabian</v>
      </c>
      <c r="S641" s="230" t="n">
        <f aca="false">+YEARFRAC(L641,$S$1)</f>
        <v>2.39722222222222</v>
      </c>
      <c r="T641" s="230" t="n">
        <f aca="false">+YEARFRAC(M641,$S$1)</f>
        <v>11.575</v>
      </c>
      <c r="U641" s="231" t="n">
        <f aca="false">+$I641</f>
        <v>64512154</v>
      </c>
      <c r="V641" s="232" t="str">
        <f aca="false">+PROPER(F641)</f>
        <v>Casado(A)</v>
      </c>
    </row>
    <row r="642" customFormat="false" ht="14.25" hidden="false" customHeight="false" outlineLevel="0" collapsed="false">
      <c r="B642" s="197" t="n">
        <v>75063638</v>
      </c>
      <c r="C642" s="197" t="s">
        <v>2095</v>
      </c>
      <c r="D642" s="197" t="s">
        <v>2096</v>
      </c>
      <c r="E642" s="198" t="s">
        <v>944</v>
      </c>
      <c r="F642" s="198" t="s">
        <v>948</v>
      </c>
      <c r="G642" s="225" t="n">
        <v>5418800</v>
      </c>
      <c r="H642" s="225" t="n">
        <v>7217026</v>
      </c>
      <c r="I642" s="225" t="n">
        <v>0</v>
      </c>
      <c r="J642" s="198" t="n">
        <v>53</v>
      </c>
      <c r="K642" s="198" t="n">
        <v>1</v>
      </c>
      <c r="L642" s="226" t="n">
        <v>44938</v>
      </c>
      <c r="M642" s="226" t="n">
        <v>36327</v>
      </c>
      <c r="N642" s="227" t="n">
        <v>2</v>
      </c>
      <c r="O642" s="227" t="s">
        <v>135</v>
      </c>
      <c r="P642" s="228" t="n">
        <f aca="false">VLOOKUP(B642,'NIVEL ENERO'!A:D,3,0)</f>
        <v>0.19618769753167</v>
      </c>
      <c r="Q642" s="229" t="n">
        <f aca="false">VLOOKUP(B642,'NIVEL ENERO'!A:D,4,0)</f>
        <v>1428109</v>
      </c>
      <c r="R642" s="186" t="str">
        <f aca="false">+PROPER(C642&amp;" "&amp;D642)</f>
        <v>Aristizabal Franco Carlos Arturo</v>
      </c>
      <c r="S642" s="230" t="n">
        <f aca="false">+YEARFRAC(L642,$S$1)</f>
        <v>3.33333333333333</v>
      </c>
      <c r="T642" s="230" t="n">
        <f aca="false">+YEARFRAC(M642,$S$1)</f>
        <v>26.9055555555556</v>
      </c>
      <c r="U642" s="231" t="n">
        <f aca="false">+$I642</f>
        <v>0</v>
      </c>
      <c r="V642" s="232" t="str">
        <f aca="false">+PROPER(F642)</f>
        <v>Casado(A)</v>
      </c>
    </row>
    <row r="643" customFormat="false" ht="14.25" hidden="false" customHeight="false" outlineLevel="0" collapsed="false">
      <c r="B643" s="197" t="n">
        <v>75073905</v>
      </c>
      <c r="C643" s="197" t="s">
        <v>2097</v>
      </c>
      <c r="D643" s="197" t="s">
        <v>2098</v>
      </c>
      <c r="E643" s="198" t="s">
        <v>944</v>
      </c>
      <c r="F643" s="198" t="s">
        <v>948</v>
      </c>
      <c r="G643" s="225" t="n">
        <v>9999400</v>
      </c>
      <c r="H643" s="225" t="n">
        <v>8900380</v>
      </c>
      <c r="I643" s="225" t="n">
        <v>31331706</v>
      </c>
      <c r="J643" s="198" t="n">
        <v>50</v>
      </c>
      <c r="K643" s="198" t="n">
        <v>4</v>
      </c>
      <c r="L643" s="226" t="n">
        <v>41008</v>
      </c>
      <c r="M643" s="226" t="n">
        <v>36886</v>
      </c>
      <c r="N643" s="227" t="n">
        <v>3</v>
      </c>
      <c r="O643" s="227" t="s">
        <v>135</v>
      </c>
      <c r="P643" s="228" t="n">
        <f aca="false">VLOOKUP(B643,'NIVEL ENERO'!A:D,3,0)</f>
        <v>0.395486429185751</v>
      </c>
      <c r="Q643" s="229" t="n">
        <f aca="false">VLOOKUP(B643,'NIVEL ENERO'!A:D,4,0)</f>
        <v>245121</v>
      </c>
      <c r="R643" s="186" t="str">
        <f aca="false">+PROPER(C643&amp;" "&amp;D643)</f>
        <v>Loaiza Naranjo Johnsonfrey</v>
      </c>
      <c r="S643" s="230" t="n">
        <f aca="false">+YEARFRAC(L643,$S$1)</f>
        <v>14.0916666666667</v>
      </c>
      <c r="T643" s="230" t="n">
        <f aca="false">+YEARFRAC(M643,$S$1)</f>
        <v>25.3777777777778</v>
      </c>
      <c r="U643" s="231" t="n">
        <f aca="false">+$I643</f>
        <v>31331706</v>
      </c>
      <c r="V643" s="232" t="str">
        <f aca="false">+PROPER(F643)</f>
        <v>Casado(A)</v>
      </c>
    </row>
    <row r="644" customFormat="false" ht="14.25" hidden="false" customHeight="false" outlineLevel="0" collapsed="false">
      <c r="B644" s="197" t="n">
        <v>76140409</v>
      </c>
      <c r="C644" s="197" t="s">
        <v>2099</v>
      </c>
      <c r="D644" s="197" t="s">
        <v>2100</v>
      </c>
      <c r="E644" s="198" t="s">
        <v>944</v>
      </c>
      <c r="F644" s="198" t="s">
        <v>948</v>
      </c>
      <c r="G644" s="225" t="n">
        <v>2893800</v>
      </c>
      <c r="H644" s="225" t="n">
        <v>2264268</v>
      </c>
      <c r="I644" s="225" t="n">
        <v>822263</v>
      </c>
      <c r="J644" s="198" t="n">
        <v>47</v>
      </c>
      <c r="K644" s="198" t="n">
        <v>1</v>
      </c>
      <c r="L644" s="226" t="n">
        <v>44579</v>
      </c>
      <c r="M644" s="226" t="n">
        <v>44105</v>
      </c>
      <c r="N644" s="227" t="n">
        <v>3</v>
      </c>
      <c r="O644" s="227" t="s">
        <v>135</v>
      </c>
      <c r="P644" s="228" t="n">
        <f aca="false">VLOOKUP(B644,'NIVEL ENERO'!A:D,3,0)</f>
        <v>0.368082597452624</v>
      </c>
      <c r="Q644" s="229" t="n">
        <f aca="false">VLOOKUP(B644,'NIVEL ENERO'!A:D,4,0)</f>
        <v>214209.68</v>
      </c>
      <c r="R644" s="186" t="str">
        <f aca="false">+PROPER(C644&amp;" "&amp;D644)</f>
        <v>Medina Salazar Jose Luis</v>
      </c>
      <c r="S644" s="230" t="n">
        <f aca="false">+YEARFRAC(L644,$S$1)</f>
        <v>4.31666666666667</v>
      </c>
      <c r="T644" s="230" t="n">
        <f aca="false">+YEARFRAC(M644,$S$1)</f>
        <v>5.61388888888889</v>
      </c>
      <c r="U644" s="231" t="n">
        <f aca="false">+$I644</f>
        <v>822263</v>
      </c>
      <c r="V644" s="232" t="str">
        <f aca="false">+PROPER(F644)</f>
        <v>Casado(A)</v>
      </c>
    </row>
    <row r="645" customFormat="false" ht="14.25" hidden="false" customHeight="false" outlineLevel="0" collapsed="false">
      <c r="B645" s="197" t="n">
        <v>76330389</v>
      </c>
      <c r="C645" s="197" t="s">
        <v>2101</v>
      </c>
      <c r="D645" s="197" t="s">
        <v>2102</v>
      </c>
      <c r="E645" s="198" t="s">
        <v>944</v>
      </c>
      <c r="F645" s="198" t="s">
        <v>945</v>
      </c>
      <c r="G645" s="225" t="n">
        <v>5842800</v>
      </c>
      <c r="H645" s="225" t="n">
        <v>1809701</v>
      </c>
      <c r="I645" s="225"/>
      <c r="J645" s="198" t="n">
        <v>46</v>
      </c>
      <c r="K645" s="198" t="n">
        <v>4</v>
      </c>
      <c r="L645" s="226" t="n">
        <v>44701</v>
      </c>
      <c r="M645" s="226" t="n">
        <v>44413</v>
      </c>
      <c r="N645" s="227" t="n">
        <v>3</v>
      </c>
      <c r="O645" s="227" t="s">
        <v>135</v>
      </c>
      <c r="P645" s="228" t="n">
        <f aca="false">VLOOKUP(B645,'NIVEL ENERO'!A:D,3,0)</f>
        <v>0.104355950349627</v>
      </c>
      <c r="Q645" s="229" t="n">
        <f aca="false">VLOOKUP(B645,'NIVEL ENERO'!A:D,4,0)</f>
        <v>1886857</v>
      </c>
      <c r="R645" s="186" t="str">
        <f aca="false">+PROPER(C645&amp;" "&amp;D645)</f>
        <v>Iles Dorado Edilson</v>
      </c>
      <c r="S645" s="230" t="n">
        <f aca="false">+YEARFRAC(L645,$S$1)</f>
        <v>3.97777777777778</v>
      </c>
      <c r="T645" s="230" t="n">
        <f aca="false">+YEARFRAC(M645,$S$1)</f>
        <v>4.76944444444445</v>
      </c>
      <c r="U645" s="231" t="n">
        <f aca="false">+$I645</f>
        <v>0</v>
      </c>
      <c r="V645" s="232" t="str">
        <f aca="false">+PROPER(F645)</f>
        <v>Union Libre</v>
      </c>
    </row>
    <row r="646" customFormat="false" ht="14.25" hidden="false" customHeight="false" outlineLevel="0" collapsed="false">
      <c r="B646" s="197" t="n">
        <v>77167995</v>
      </c>
      <c r="C646" s="197" t="s">
        <v>2103</v>
      </c>
      <c r="D646" s="197" t="s">
        <v>2104</v>
      </c>
      <c r="E646" s="198" t="s">
        <v>944</v>
      </c>
      <c r="F646" s="198" t="s">
        <v>948</v>
      </c>
      <c r="G646" s="225" t="n">
        <v>3945300</v>
      </c>
      <c r="H646" s="225" t="n">
        <v>1877548</v>
      </c>
      <c r="I646" s="225" t="n">
        <v>118201</v>
      </c>
      <c r="J646" s="198" t="n">
        <v>43</v>
      </c>
      <c r="K646" s="198" t="n">
        <v>4</v>
      </c>
      <c r="L646" s="226" t="n">
        <v>44886</v>
      </c>
      <c r="M646" s="226" t="n">
        <v>40008</v>
      </c>
      <c r="N646" s="227" t="n">
        <v>3</v>
      </c>
      <c r="O646" s="227" t="s">
        <v>135</v>
      </c>
      <c r="P646" s="228" t="n">
        <f aca="false">VLOOKUP(B646,'NIVEL ENERO'!A:D,3,0)</f>
        <v>0.118603654981877</v>
      </c>
      <c r="Q646" s="229" t="n">
        <f aca="false">VLOOKUP(B646,'NIVEL ENERO'!A:D,4,0)</f>
        <v>1189099</v>
      </c>
      <c r="R646" s="186" t="str">
        <f aca="false">+PROPER(C646&amp;" "&amp;D646)</f>
        <v>Ovalle Pineda Jose Fernando</v>
      </c>
      <c r="S646" s="230" t="n">
        <f aca="false">+YEARFRAC(L646,$S$1)</f>
        <v>3.475</v>
      </c>
      <c r="T646" s="230" t="n">
        <f aca="false">+YEARFRAC(M646,$S$1)</f>
        <v>16.8277777777778</v>
      </c>
      <c r="U646" s="231" t="n">
        <f aca="false">+$I646</f>
        <v>118201</v>
      </c>
      <c r="V646" s="232" t="str">
        <f aca="false">+PROPER(F646)</f>
        <v>Casado(A)</v>
      </c>
    </row>
    <row r="647" customFormat="false" ht="14.25" hidden="false" customHeight="false" outlineLevel="0" collapsed="false">
      <c r="B647" s="197" t="n">
        <v>79486359</v>
      </c>
      <c r="C647" s="197" t="s">
        <v>2105</v>
      </c>
      <c r="D647" s="197" t="s">
        <v>2106</v>
      </c>
      <c r="E647" s="198" t="s">
        <v>1288</v>
      </c>
      <c r="F647" s="198" t="s">
        <v>953</v>
      </c>
      <c r="G647" s="225" t="n">
        <v>2600900</v>
      </c>
      <c r="H647" s="225" t="n">
        <v>3112780</v>
      </c>
      <c r="I647" s="225" t="n">
        <v>7768332</v>
      </c>
      <c r="J647" s="198" t="n">
        <v>56</v>
      </c>
      <c r="K647" s="198" t="n">
        <v>2</v>
      </c>
      <c r="L647" s="226" t="n">
        <v>44699</v>
      </c>
      <c r="M647" s="226" t="n">
        <v>45361</v>
      </c>
      <c r="N647" s="227" t="n">
        <v>2</v>
      </c>
      <c r="O647" s="227" t="s">
        <v>135</v>
      </c>
      <c r="P647" s="228" t="n">
        <f aca="false">VLOOKUP(B647,'NIVEL ENERO'!A:D,3,0)</f>
        <v>0.287595063247337</v>
      </c>
      <c r="Q647" s="229" t="n">
        <f aca="false">VLOOKUP(B647,'NIVEL ENERO'!A:D,4,0)</f>
        <v>344372</v>
      </c>
      <c r="R647" s="186" t="str">
        <f aca="false">+PROPER(C647&amp;" "&amp;D647)</f>
        <v>Carranza Cohecha William</v>
      </c>
      <c r="S647" s="230" t="n">
        <f aca="false">+YEARFRAC(L647,$S$1)</f>
        <v>3.98333333333333</v>
      </c>
      <c r="T647" s="230" t="n">
        <f aca="false">+YEARFRAC(M647,$S$1)</f>
        <v>2.17222222222222</v>
      </c>
      <c r="U647" s="231" t="n">
        <f aca="false">+$I647</f>
        <v>7768332</v>
      </c>
      <c r="V647" s="232" t="str">
        <f aca="false">+PROPER(F647)</f>
        <v>Soltero(A)</v>
      </c>
    </row>
    <row r="648" customFormat="false" ht="14.25" hidden="false" customHeight="false" outlineLevel="0" collapsed="false">
      <c r="B648" s="197" t="n">
        <v>91493134</v>
      </c>
      <c r="C648" s="197" t="s">
        <v>2107</v>
      </c>
      <c r="D648" s="197" t="s">
        <v>2108</v>
      </c>
      <c r="E648" s="198" t="s">
        <v>944</v>
      </c>
      <c r="F648" s="198" t="s">
        <v>953</v>
      </c>
      <c r="G648" s="225" t="n">
        <v>3945300</v>
      </c>
      <c r="H648" s="225" t="n">
        <v>2910259</v>
      </c>
      <c r="I648" s="225" t="n">
        <v>5556496</v>
      </c>
      <c r="J648" s="198" t="n">
        <v>48</v>
      </c>
      <c r="K648" s="198" t="n">
        <v>2</v>
      </c>
      <c r="L648" s="226" t="n">
        <v>43901</v>
      </c>
      <c r="M648" s="226" t="n">
        <v>38847</v>
      </c>
      <c r="N648" s="227" t="n">
        <v>1</v>
      </c>
      <c r="O648" s="227" t="s">
        <v>135</v>
      </c>
      <c r="P648" s="228" t="n">
        <f aca="false">VLOOKUP(B648,'NIVEL ENERO'!A:D,3,0)</f>
        <v>0.433606186777518</v>
      </c>
      <c r="Q648" s="229" t="n">
        <f aca="false">VLOOKUP(B648,'NIVEL ENERO'!A:D,4,0)</f>
        <v>-60487.8000000001</v>
      </c>
      <c r="R648" s="186" t="str">
        <f aca="false">+PROPER(C648&amp;" "&amp;D648)</f>
        <v>Coronell Martinez Aldemir Jose</v>
      </c>
      <c r="S648" s="230" t="n">
        <f aca="false">+YEARFRAC(L648,$S$1)</f>
        <v>6.16944444444444</v>
      </c>
      <c r="T648" s="230" t="n">
        <f aca="false">+YEARFRAC(M648,$S$1)</f>
        <v>20.0055555555556</v>
      </c>
      <c r="U648" s="231" t="n">
        <f aca="false">+$I648</f>
        <v>5556496</v>
      </c>
      <c r="V648" s="232" t="str">
        <f aca="false">+PROPER(F648)</f>
        <v>Soltero(A)</v>
      </c>
    </row>
    <row r="649" customFormat="false" ht="14.25" hidden="false" customHeight="false" outlineLevel="0" collapsed="false">
      <c r="B649" s="197" t="n">
        <v>94041607</v>
      </c>
      <c r="C649" s="197" t="s">
        <v>2109</v>
      </c>
      <c r="D649" s="197" t="s">
        <v>2110</v>
      </c>
      <c r="E649" s="198" t="s">
        <v>944</v>
      </c>
      <c r="F649" s="198" t="s">
        <v>945</v>
      </c>
      <c r="G649" s="225" t="n">
        <v>3945300</v>
      </c>
      <c r="H649" s="225" t="n">
        <v>7781951</v>
      </c>
      <c r="I649" s="225" t="n">
        <v>615963</v>
      </c>
      <c r="J649" s="198" t="n">
        <v>41</v>
      </c>
      <c r="K649" s="198" t="n">
        <v>2</v>
      </c>
      <c r="L649" s="226" t="n">
        <v>44699</v>
      </c>
      <c r="M649" s="226" t="n">
        <v>40035</v>
      </c>
      <c r="N649" s="227" t="n">
        <v>5</v>
      </c>
      <c r="O649" s="227" t="s">
        <v>135</v>
      </c>
      <c r="P649" s="228" t="n">
        <f aca="false">VLOOKUP(B649,'NIVEL ENERO'!A:D,3,0)</f>
        <v>0.422552565242236</v>
      </c>
      <c r="Q649" s="229" t="n">
        <f aca="false">VLOOKUP(B649,'NIVEL ENERO'!A:D,4,0)</f>
        <v>-10836.8800000001</v>
      </c>
      <c r="R649" s="186" t="str">
        <f aca="false">+PROPER(C649&amp;" "&amp;D649)</f>
        <v>Gonzalez Solarte Edwin Javier</v>
      </c>
      <c r="S649" s="230" t="n">
        <f aca="false">+YEARFRAC(L649,$S$1)</f>
        <v>3.98333333333333</v>
      </c>
      <c r="T649" s="230" t="n">
        <f aca="false">+YEARFRAC(M649,$S$1)</f>
        <v>16.7555555555556</v>
      </c>
      <c r="U649" s="231" t="n">
        <f aca="false">+$I649</f>
        <v>615963</v>
      </c>
      <c r="V649" s="232" t="str">
        <f aca="false">+PROPER(F649)</f>
        <v>Union Libre</v>
      </c>
    </row>
    <row r="650" customFormat="false" ht="14.25" hidden="false" customHeight="false" outlineLevel="0" collapsed="false">
      <c r="B650" s="197" t="n">
        <v>94043124</v>
      </c>
      <c r="C650" s="197" t="s">
        <v>2111</v>
      </c>
      <c r="D650" s="197" t="s">
        <v>2112</v>
      </c>
      <c r="E650" s="198" t="s">
        <v>944</v>
      </c>
      <c r="F650" s="198" t="s">
        <v>945</v>
      </c>
      <c r="G650" s="225" t="n">
        <v>5418800</v>
      </c>
      <c r="H650" s="225" t="n">
        <v>2112746</v>
      </c>
      <c r="I650" s="225" t="n">
        <v>6446821</v>
      </c>
      <c r="J650" s="198" t="n">
        <v>39</v>
      </c>
      <c r="K650" s="198" t="n">
        <v>1</v>
      </c>
      <c r="L650" s="226" t="n">
        <v>44523</v>
      </c>
      <c r="M650" s="226" t="n">
        <v>43780</v>
      </c>
      <c r="N650" s="227" t="n">
        <v>2</v>
      </c>
      <c r="O650" s="227" t="s">
        <v>135</v>
      </c>
      <c r="P650" s="228" t="n">
        <f aca="false">VLOOKUP(B650,'NIVEL ENERO'!A:D,3,0)</f>
        <v>0.421841872607073</v>
      </c>
      <c r="Q650" s="229" t="n">
        <f aca="false">VLOOKUP(B650,'NIVEL ENERO'!A:D,4,0)</f>
        <v>-12350.0800000001</v>
      </c>
      <c r="R650" s="186" t="str">
        <f aca="false">+PROPER(C650&amp;" "&amp;D650)</f>
        <v>Velez Valencia Pablo Alejandro</v>
      </c>
      <c r="S650" s="230" t="n">
        <f aca="false">+YEARFRAC(L650,$S$1)</f>
        <v>4.46944444444444</v>
      </c>
      <c r="T650" s="230" t="n">
        <f aca="false">+YEARFRAC(M650,$S$1)</f>
        <v>6.50277777777778</v>
      </c>
      <c r="U650" s="231" t="n">
        <f aca="false">+$I650</f>
        <v>6446821</v>
      </c>
      <c r="V650" s="232" t="str">
        <f aca="false">+PROPER(F650)</f>
        <v>Union Libre</v>
      </c>
    </row>
    <row r="651" customFormat="false" ht="14.25" hidden="false" customHeight="false" outlineLevel="0" collapsed="false">
      <c r="B651" s="197" t="n">
        <v>94043207</v>
      </c>
      <c r="C651" s="197" t="s">
        <v>2113</v>
      </c>
      <c r="D651" s="197" t="s">
        <v>2114</v>
      </c>
      <c r="E651" s="198" t="s">
        <v>944</v>
      </c>
      <c r="F651" s="198" t="s">
        <v>953</v>
      </c>
      <c r="G651" s="225" t="n">
        <v>2600900</v>
      </c>
      <c r="H651" s="225" t="n">
        <v>1658179</v>
      </c>
      <c r="I651" s="225" t="n">
        <v>6076257</v>
      </c>
      <c r="J651" s="198" t="n">
        <v>39</v>
      </c>
      <c r="K651" s="198" t="n">
        <v>2</v>
      </c>
      <c r="L651" s="226" t="n">
        <v>44825</v>
      </c>
      <c r="M651" s="226" t="n">
        <v>40960</v>
      </c>
      <c r="N651" s="227" t="n">
        <v>3</v>
      </c>
      <c r="O651" s="227" t="s">
        <v>135</v>
      </c>
      <c r="P651" s="228" t="n">
        <f aca="false">VLOOKUP(B651,'NIVEL ENERO'!A:D,3,0)</f>
        <v>0.394836738037723</v>
      </c>
      <c r="Q651" s="229" t="n">
        <f aca="false">VLOOKUP(B651,'NIVEL ENERO'!A:D,4,0)</f>
        <v>74945.3199999998</v>
      </c>
      <c r="R651" s="186" t="str">
        <f aca="false">+PROPER(C651&amp;" "&amp;D651)</f>
        <v>Villota Guerrero Eduardo</v>
      </c>
      <c r="S651" s="230" t="n">
        <f aca="false">+YEARFRAC(L651,$S$1)</f>
        <v>3.64166666666667</v>
      </c>
      <c r="T651" s="230" t="n">
        <f aca="false">+YEARFRAC(M651,$S$1)</f>
        <v>14.225</v>
      </c>
      <c r="U651" s="231" t="n">
        <f aca="false">+$I651</f>
        <v>6076257</v>
      </c>
      <c r="V651" s="232" t="str">
        <f aca="false">+PROPER(F651)</f>
        <v>Soltero(A)</v>
      </c>
    </row>
    <row r="652" customFormat="false" ht="14.25" hidden="false" customHeight="false" outlineLevel="0" collapsed="false">
      <c r="B652" s="197" t="n">
        <v>94062275</v>
      </c>
      <c r="C652" s="197" t="s">
        <v>2115</v>
      </c>
      <c r="D652" s="197" t="s">
        <v>2116</v>
      </c>
      <c r="E652" s="198" t="s">
        <v>944</v>
      </c>
      <c r="F652" s="198" t="s">
        <v>948</v>
      </c>
      <c r="G652" s="225" t="n">
        <v>5842800</v>
      </c>
      <c r="H652" s="225" t="n">
        <v>1200000</v>
      </c>
      <c r="I652" s="225" t="n">
        <v>0</v>
      </c>
      <c r="J652" s="198" t="n">
        <v>41</v>
      </c>
      <c r="K652" s="198" t="n">
        <v>3</v>
      </c>
      <c r="L652" s="226" t="n">
        <v>45310</v>
      </c>
      <c r="M652" s="226" t="n">
        <v>43510</v>
      </c>
      <c r="N652" s="227" t="n">
        <v>0</v>
      </c>
      <c r="O652" s="227" t="s">
        <v>135</v>
      </c>
      <c r="P652" s="228" t="n">
        <f aca="false">VLOOKUP(B652,'NIVEL ENERO'!A:D,3,0)</f>
        <v>0.151900458684193</v>
      </c>
      <c r="Q652" s="229" t="n">
        <f aca="false">VLOOKUP(B652,'NIVEL ENERO'!A:D,4,0)</f>
        <v>1566452</v>
      </c>
      <c r="R652" s="186" t="str">
        <f aca="false">+PROPER(C652&amp;" "&amp;D652)</f>
        <v>Martinez Guzman Diego Andres</v>
      </c>
      <c r="S652" s="230" t="n">
        <f aca="false">+YEARFRAC(L652,$S$1)</f>
        <v>2.31388888888889</v>
      </c>
      <c r="T652" s="230" t="n">
        <f aca="false">+YEARFRAC(M652,$S$1)</f>
        <v>7.24444444444444</v>
      </c>
      <c r="U652" s="231" t="n">
        <f aca="false">+$I652</f>
        <v>0</v>
      </c>
      <c r="V652" s="232" t="str">
        <f aca="false">+PROPER(F652)</f>
        <v>Casado(A)</v>
      </c>
    </row>
    <row r="653" customFormat="false" ht="14.25" hidden="false" customHeight="false" outlineLevel="0" collapsed="false">
      <c r="B653" s="197" t="n">
        <v>94064042</v>
      </c>
      <c r="C653" s="197" t="s">
        <v>2117</v>
      </c>
      <c r="D653" s="197" t="s">
        <v>2118</v>
      </c>
      <c r="E653" s="198" t="s">
        <v>944</v>
      </c>
      <c r="F653" s="198" t="s">
        <v>948</v>
      </c>
      <c r="G653" s="225" t="n">
        <v>2600900</v>
      </c>
      <c r="H653" s="225" t="n">
        <v>3082793</v>
      </c>
      <c r="I653" s="225" t="n">
        <v>4918559</v>
      </c>
      <c r="J653" s="198" t="n">
        <v>41</v>
      </c>
      <c r="K653" s="198" t="n">
        <v>1</v>
      </c>
      <c r="L653" s="226" t="n">
        <v>43801</v>
      </c>
      <c r="M653" s="226" t="n">
        <v>38792</v>
      </c>
      <c r="N653" s="227" t="n">
        <v>4</v>
      </c>
      <c r="O653" s="227" t="s">
        <v>135</v>
      </c>
      <c r="P653" s="228" t="n">
        <f aca="false">VLOOKUP(B653,'NIVEL ENERO'!A:D,3,0)</f>
        <v>0.426086825117179</v>
      </c>
      <c r="Q653" s="229" t="n">
        <f aca="false">VLOOKUP(B653,'NIVEL ENERO'!A:D,4,0)</f>
        <v>-21348.0600000001</v>
      </c>
      <c r="R653" s="186" t="str">
        <f aca="false">+PROPER(C653&amp;" "&amp;D653)</f>
        <v>Morales Rojas Cristhian David</v>
      </c>
      <c r="S653" s="230" t="n">
        <f aca="false">+YEARFRAC(L653,$S$1)</f>
        <v>6.44444444444445</v>
      </c>
      <c r="T653" s="230" t="n">
        <f aca="false">+YEARFRAC(M653,$S$1)</f>
        <v>20.1555555555556</v>
      </c>
      <c r="U653" s="231" t="n">
        <f aca="false">+$I653</f>
        <v>4918559</v>
      </c>
      <c r="V653" s="232" t="str">
        <f aca="false">+PROPER(F653)</f>
        <v>Casado(A)</v>
      </c>
    </row>
    <row r="654" customFormat="false" ht="14.25" hidden="false" customHeight="false" outlineLevel="0" collapsed="false">
      <c r="B654" s="197" t="n">
        <v>94064181</v>
      </c>
      <c r="C654" s="197" t="s">
        <v>2119</v>
      </c>
      <c r="D654" s="197" t="s">
        <v>2120</v>
      </c>
      <c r="E654" s="198" t="s">
        <v>944</v>
      </c>
      <c r="F654" s="198" t="s">
        <v>948</v>
      </c>
      <c r="G654" s="225" t="n">
        <v>1670000</v>
      </c>
      <c r="H654" s="225" t="n">
        <v>1658179</v>
      </c>
      <c r="I654" s="225" t="n">
        <v>4489183</v>
      </c>
      <c r="J654" s="198" t="n">
        <v>41</v>
      </c>
      <c r="K654" s="198" t="n">
        <v>2</v>
      </c>
      <c r="L654" s="226" t="n">
        <v>44812</v>
      </c>
      <c r="M654" s="226" t="n">
        <v>44753</v>
      </c>
      <c r="N654" s="227" t="n">
        <v>2</v>
      </c>
      <c r="O654" s="227" t="s">
        <v>135</v>
      </c>
      <c r="P654" s="228" t="n">
        <f aca="false">VLOOKUP(B654,'NIVEL ENERO'!A:D,3,0)</f>
        <v>0.286224874862283</v>
      </c>
      <c r="Q654" s="229" t="n">
        <f aca="false">VLOOKUP(B654,'NIVEL ENERO'!A:D,4,0)</f>
        <v>277571.88</v>
      </c>
      <c r="R654" s="186" t="str">
        <f aca="false">+PROPER(C654&amp;" "&amp;D654)</f>
        <v>Caceres Wilson</v>
      </c>
      <c r="S654" s="230" t="n">
        <f aca="false">+YEARFRAC(L654,$S$1)</f>
        <v>3.67777777777778</v>
      </c>
      <c r="T654" s="230" t="n">
        <f aca="false">+YEARFRAC(M654,$S$1)</f>
        <v>3.83611111111111</v>
      </c>
      <c r="U654" s="231" t="n">
        <f aca="false">+$I654</f>
        <v>4489183</v>
      </c>
      <c r="V654" s="232" t="str">
        <f aca="false">+PROPER(F654)</f>
        <v>Casado(A)</v>
      </c>
    </row>
    <row r="655" customFormat="false" ht="14.25" hidden="false" customHeight="false" outlineLevel="0" collapsed="false">
      <c r="B655" s="197" t="n">
        <v>94070686</v>
      </c>
      <c r="C655" s="197" t="s">
        <v>2121</v>
      </c>
      <c r="D655" s="197" t="s">
        <v>1043</v>
      </c>
      <c r="E655" s="198" t="s">
        <v>944</v>
      </c>
      <c r="F655" s="198" t="s">
        <v>948</v>
      </c>
      <c r="G655" s="225" t="n">
        <v>5000000</v>
      </c>
      <c r="H655" s="225" t="n">
        <v>2000000</v>
      </c>
      <c r="I655" s="225"/>
      <c r="J655" s="198" t="n">
        <v>42</v>
      </c>
      <c r="K655" s="198" t="n">
        <v>4</v>
      </c>
      <c r="L655" s="226" t="n">
        <v>45352</v>
      </c>
      <c r="M655" s="226" t="n">
        <v>44788</v>
      </c>
      <c r="N655" s="227" t="n">
        <v>0</v>
      </c>
      <c r="O655" s="227" t="s">
        <v>158</v>
      </c>
      <c r="P655" s="228" t="e">
        <f aca="false">VLOOKUP(B655,'NIVEL ENERO'!A:D,3,0)</f>
        <v>#N/A</v>
      </c>
      <c r="Q655" s="229" t="e">
        <f aca="false">VLOOKUP(B655,'NIVEL ENERO'!A:D,4,0)</f>
        <v>#N/A</v>
      </c>
      <c r="R655" s="186" t="str">
        <f aca="false">+PROPER(C655&amp;" "&amp;D655)</f>
        <v>Dorado Ramirez Carlos Alberto</v>
      </c>
      <c r="S655" s="230" t="n">
        <f aca="false">+YEARFRAC(L655,$S$1)</f>
        <v>2.19722222222222</v>
      </c>
      <c r="T655" s="230" t="n">
        <f aca="false">+YEARFRAC(M655,$S$1)</f>
        <v>3.74166666666667</v>
      </c>
      <c r="U655" s="231" t="n">
        <f aca="false">+$I655</f>
        <v>0</v>
      </c>
      <c r="V655" s="232" t="str">
        <f aca="false">+PROPER(F655)</f>
        <v>Casado(A)</v>
      </c>
    </row>
    <row r="656" customFormat="false" ht="14.25" hidden="false" customHeight="false" outlineLevel="0" collapsed="false">
      <c r="B656" s="197" t="n">
        <v>94071305</v>
      </c>
      <c r="C656" s="197" t="s">
        <v>2122</v>
      </c>
      <c r="D656" s="197" t="s">
        <v>2123</v>
      </c>
      <c r="E656" s="198" t="s">
        <v>944</v>
      </c>
      <c r="F656" s="198" t="s">
        <v>998</v>
      </c>
      <c r="G656" s="225" t="n">
        <v>5418800</v>
      </c>
      <c r="H656" s="225" t="n">
        <v>900000</v>
      </c>
      <c r="I656" s="225"/>
      <c r="J656" s="198" t="n">
        <v>41</v>
      </c>
      <c r="K656" s="198" t="n">
        <v>1</v>
      </c>
      <c r="L656" s="226" t="n">
        <v>45390</v>
      </c>
      <c r="M656" s="226" t="n">
        <v>39967</v>
      </c>
      <c r="N656" s="227" t="n">
        <v>0</v>
      </c>
      <c r="O656" s="227" t="s">
        <v>135</v>
      </c>
      <c r="P656" s="228" t="n">
        <f aca="false">VLOOKUP(B656,'NIVEL ENERO'!A:D,3,0)</f>
        <v>0.379626485568761</v>
      </c>
      <c r="Q656" s="229" t="n">
        <f aca="false">VLOOKUP(B656,'NIVEL ENERO'!A:D,4,0)</f>
        <v>313658.2</v>
      </c>
      <c r="R656" s="186" t="str">
        <f aca="false">+PROPER(C656&amp;" "&amp;D656)</f>
        <v>Mondol Mora Cristian</v>
      </c>
      <c r="S656" s="230" t="n">
        <f aca="false">+YEARFRAC(L656,$S$1)</f>
        <v>2.09444444444444</v>
      </c>
      <c r="T656" s="230" t="n">
        <f aca="false">+YEARFRAC(M656,$S$1)</f>
        <v>16.9416666666667</v>
      </c>
      <c r="U656" s="231" t="n">
        <f aca="false">+$I656</f>
        <v>0</v>
      </c>
      <c r="V656" s="232" t="str">
        <f aca="false">+PROPER(F656)</f>
        <v>Separado(A)</v>
      </c>
    </row>
    <row r="657" customFormat="false" ht="14.25" hidden="false" customHeight="false" outlineLevel="0" collapsed="false">
      <c r="B657" s="197" t="n">
        <v>94071991</v>
      </c>
      <c r="C657" s="197" t="s">
        <v>2124</v>
      </c>
      <c r="D657" s="197" t="s">
        <v>2125</v>
      </c>
      <c r="E657" s="198" t="s">
        <v>944</v>
      </c>
      <c r="F657" s="198" t="s">
        <v>948</v>
      </c>
      <c r="G657" s="225" t="n">
        <v>4327600</v>
      </c>
      <c r="H657" s="225" t="n">
        <v>455000</v>
      </c>
      <c r="I657" s="225" t="n">
        <v>1474577</v>
      </c>
      <c r="J657" s="198" t="n">
        <v>42</v>
      </c>
      <c r="K657" s="198" t="n">
        <v>1</v>
      </c>
      <c r="L657" s="226" t="n">
        <v>45448</v>
      </c>
      <c r="M657" s="226" t="n">
        <v>45139</v>
      </c>
      <c r="N657" s="227" t="n">
        <v>0</v>
      </c>
      <c r="O657" s="227" t="s">
        <v>135</v>
      </c>
      <c r="P657" s="228" t="n">
        <f aca="false">VLOOKUP(B657,'NIVEL ENERO'!A:D,3,0)</f>
        <v>0.144356918384324</v>
      </c>
      <c r="Q657" s="229" t="n">
        <f aca="false">VLOOKUP(B657,'NIVEL ENERO'!A:D,4,0)</f>
        <v>1192873</v>
      </c>
      <c r="R657" s="186" t="str">
        <f aca="false">+PROPER(C657&amp;" "&amp;D657)</f>
        <v>Ceron Castillo David Daniel</v>
      </c>
      <c r="S657" s="230" t="n">
        <f aca="false">+YEARFRAC(L657,$S$1)</f>
        <v>1.93611111111111</v>
      </c>
      <c r="T657" s="230" t="n">
        <f aca="false">+YEARFRAC(M657,$S$1)</f>
        <v>2.78055555555556</v>
      </c>
      <c r="U657" s="231" t="n">
        <f aca="false">+$I657</f>
        <v>1474577</v>
      </c>
      <c r="V657" s="232" t="str">
        <f aca="false">+PROPER(F657)</f>
        <v>Casado(A)</v>
      </c>
    </row>
    <row r="658" customFormat="false" ht="14.25" hidden="false" customHeight="false" outlineLevel="0" collapsed="false">
      <c r="B658" s="197" t="n">
        <v>94072107</v>
      </c>
      <c r="C658" s="197" t="s">
        <v>2126</v>
      </c>
      <c r="D658" s="197" t="s">
        <v>2127</v>
      </c>
      <c r="E658" s="198" t="s">
        <v>944</v>
      </c>
      <c r="F658" s="198" t="s">
        <v>953</v>
      </c>
      <c r="G658" s="225" t="n">
        <v>1991000</v>
      </c>
      <c r="H658" s="225" t="n">
        <v>2286322</v>
      </c>
      <c r="I658" s="225" t="n">
        <v>4768498</v>
      </c>
      <c r="J658" s="198" t="n">
        <v>41</v>
      </c>
      <c r="K658" s="198" t="n">
        <v>1</v>
      </c>
      <c r="L658" s="226" t="n">
        <v>44523</v>
      </c>
      <c r="M658" s="226" t="n">
        <v>44186</v>
      </c>
      <c r="N658" s="227" t="n">
        <v>3</v>
      </c>
      <c r="O658" s="227" t="s">
        <v>135</v>
      </c>
      <c r="P658" s="228" t="n">
        <f aca="false">VLOOKUP(B658,'NIVEL ENERO'!A:D,3,0)</f>
        <v>0.247539427423405</v>
      </c>
      <c r="Q658" s="229" t="n">
        <f aca="false">VLOOKUP(B658,'NIVEL ENERO'!A:D,4,0)</f>
        <v>343369</v>
      </c>
      <c r="R658" s="186" t="str">
        <f aca="false">+PROPER(C658&amp;" "&amp;D658)</f>
        <v>Rodriguez Correa Jhonny</v>
      </c>
      <c r="S658" s="230" t="n">
        <f aca="false">+YEARFRAC(L658,$S$1)</f>
        <v>4.46944444444444</v>
      </c>
      <c r="T658" s="230" t="n">
        <f aca="false">+YEARFRAC(M658,$S$1)</f>
        <v>5.39166666666667</v>
      </c>
      <c r="U658" s="231" t="n">
        <f aca="false">+$I658</f>
        <v>4768498</v>
      </c>
      <c r="V658" s="232" t="str">
        <f aca="false">+PROPER(F658)</f>
        <v>Soltero(A)</v>
      </c>
    </row>
    <row r="659" customFormat="false" ht="14.25" hidden="false" customHeight="false" outlineLevel="0" collapsed="false">
      <c r="B659" s="197" t="n">
        <v>94073310</v>
      </c>
      <c r="C659" s="197" t="s">
        <v>2128</v>
      </c>
      <c r="D659" s="197" t="s">
        <v>2129</v>
      </c>
      <c r="E659" s="198" t="s">
        <v>944</v>
      </c>
      <c r="F659" s="198" t="s">
        <v>948</v>
      </c>
      <c r="G659" s="225" t="n">
        <v>4870200</v>
      </c>
      <c r="H659" s="225" t="n">
        <v>6172784</v>
      </c>
      <c r="I659" s="225" t="n">
        <v>1421950</v>
      </c>
      <c r="J659" s="198" t="n">
        <v>41</v>
      </c>
      <c r="K659" s="198" t="n">
        <v>2</v>
      </c>
      <c r="L659" s="226" t="n">
        <v>44523</v>
      </c>
      <c r="M659" s="226" t="n">
        <v>40506</v>
      </c>
      <c r="N659" s="227" t="n">
        <v>1</v>
      </c>
      <c r="O659" s="227" t="s">
        <v>135</v>
      </c>
      <c r="P659" s="228" t="n">
        <f aca="false">VLOOKUP(B659,'NIVEL ENERO'!A:D,3,0)</f>
        <v>0.145619266435716</v>
      </c>
      <c r="Q659" s="229" t="n">
        <f aca="false">VLOOKUP(B659,'NIVEL ENERO'!A:D,4,0)</f>
        <v>1801956.78</v>
      </c>
      <c r="R659" s="186" t="str">
        <f aca="false">+PROPER(C659&amp;" "&amp;D659)</f>
        <v>Sinisterra Rosero Andres Fernando</v>
      </c>
      <c r="S659" s="230" t="n">
        <f aca="false">+YEARFRAC(L659,$S$1)</f>
        <v>4.46944444444444</v>
      </c>
      <c r="T659" s="230" t="n">
        <f aca="false">+YEARFRAC(M659,$S$1)</f>
        <v>15.4666666666667</v>
      </c>
      <c r="U659" s="231" t="n">
        <f aca="false">+$I659</f>
        <v>1421950</v>
      </c>
      <c r="V659" s="232" t="str">
        <f aca="false">+PROPER(F659)</f>
        <v>Casado(A)</v>
      </c>
    </row>
    <row r="660" customFormat="false" ht="14.25" hidden="false" customHeight="false" outlineLevel="0" collapsed="false">
      <c r="B660" s="197" t="n">
        <v>94074218</v>
      </c>
      <c r="C660" s="197" t="s">
        <v>2130</v>
      </c>
      <c r="D660" s="197" t="s">
        <v>2131</v>
      </c>
      <c r="E660" s="198" t="s">
        <v>944</v>
      </c>
      <c r="F660" s="198" t="s">
        <v>945</v>
      </c>
      <c r="G660" s="225" t="n">
        <v>2089800</v>
      </c>
      <c r="H660" s="225" t="n">
        <v>835007</v>
      </c>
      <c r="I660" s="225" t="n">
        <v>10934687</v>
      </c>
      <c r="J660" s="198" t="n">
        <v>41</v>
      </c>
      <c r="K660" s="198" t="n">
        <v>2</v>
      </c>
      <c r="L660" s="226" t="n">
        <v>43901</v>
      </c>
      <c r="M660" s="226" t="n">
        <v>40238</v>
      </c>
      <c r="N660" s="227" t="n">
        <v>4</v>
      </c>
      <c r="O660" s="227" t="s">
        <v>135</v>
      </c>
      <c r="P660" s="228" t="n">
        <f aca="false">VLOOKUP(B660,'NIVEL ENERO'!A:D,3,0)</f>
        <v>0.492014164295873</v>
      </c>
      <c r="Q660" s="229" t="n">
        <f aca="false">VLOOKUP(B660,'NIVEL ENERO'!A:D,4,0)</f>
        <v>-188969.68</v>
      </c>
      <c r="R660" s="186" t="str">
        <f aca="false">+PROPER(C660&amp;" "&amp;D660)</f>
        <v>Ortiz Grisales Telmo</v>
      </c>
      <c r="S660" s="230" t="n">
        <f aca="false">+YEARFRAC(L660,$S$1)</f>
        <v>6.16944444444444</v>
      </c>
      <c r="T660" s="230" t="n">
        <f aca="false">+YEARFRAC(M660,$S$1)</f>
        <v>16.1972222222222</v>
      </c>
      <c r="U660" s="231" t="n">
        <f aca="false">+$I660</f>
        <v>10934687</v>
      </c>
      <c r="V660" s="232" t="str">
        <f aca="false">+PROPER(F660)</f>
        <v>Union Libre</v>
      </c>
    </row>
    <row r="661" customFormat="false" ht="14.25" hidden="false" customHeight="false" outlineLevel="0" collapsed="false">
      <c r="B661" s="197" t="n">
        <v>94074257</v>
      </c>
      <c r="C661" s="197" t="s">
        <v>2132</v>
      </c>
      <c r="D661" s="197" t="s">
        <v>2133</v>
      </c>
      <c r="E661" s="198" t="s">
        <v>944</v>
      </c>
      <c r="F661" s="198" t="s">
        <v>948</v>
      </c>
      <c r="G661" s="225" t="n">
        <v>4500000</v>
      </c>
      <c r="H661" s="225" t="n">
        <v>8000000</v>
      </c>
      <c r="I661" s="225" t="n">
        <v>15600343</v>
      </c>
      <c r="J661" s="198" t="n">
        <v>41</v>
      </c>
      <c r="K661" s="198" t="n">
        <v>2</v>
      </c>
      <c r="L661" s="226" t="n">
        <v>45414</v>
      </c>
      <c r="M661" s="226" t="n">
        <v>43971</v>
      </c>
      <c r="N661" s="227" t="n">
        <v>0</v>
      </c>
      <c r="O661" s="227" t="s">
        <v>158</v>
      </c>
      <c r="P661" s="228" t="e">
        <f aca="false">VLOOKUP(B661,'NIVEL ENERO'!A:D,3,0)</f>
        <v>#N/A</v>
      </c>
      <c r="Q661" s="229" t="e">
        <f aca="false">VLOOKUP(B661,'NIVEL ENERO'!A:D,4,0)</f>
        <v>#N/A</v>
      </c>
      <c r="R661" s="186" t="str">
        <f aca="false">+PROPER(C661&amp;" "&amp;D661)</f>
        <v>Velasquez Quintero Jhonathan</v>
      </c>
      <c r="S661" s="230" t="n">
        <f aca="false">+YEARFRAC(L661,$S$1)</f>
        <v>2.02777777777778</v>
      </c>
      <c r="T661" s="230" t="n">
        <f aca="false">+YEARFRAC(M661,$S$1)</f>
        <v>5.97777777777778</v>
      </c>
      <c r="U661" s="231" t="n">
        <f aca="false">+$I661</f>
        <v>15600343</v>
      </c>
      <c r="V661" s="232" t="str">
        <f aca="false">+PROPER(F661)</f>
        <v>Casado(A)</v>
      </c>
    </row>
    <row r="662" customFormat="false" ht="14.25" hidden="false" customHeight="false" outlineLevel="0" collapsed="false">
      <c r="B662" s="197" t="n">
        <v>94154735</v>
      </c>
      <c r="C662" s="197" t="s">
        <v>2134</v>
      </c>
      <c r="D662" s="197" t="s">
        <v>2135</v>
      </c>
      <c r="E662" s="198" t="s">
        <v>944</v>
      </c>
      <c r="F662" s="198" t="s">
        <v>948</v>
      </c>
      <c r="G662" s="225" t="n">
        <v>2916600</v>
      </c>
      <c r="H662" s="225" t="n">
        <v>1500000</v>
      </c>
      <c r="I662" s="225" t="n">
        <v>0</v>
      </c>
      <c r="J662" s="198" t="n">
        <v>43</v>
      </c>
      <c r="K662" s="198" t="n">
        <v>2</v>
      </c>
      <c r="L662" s="226" t="n">
        <v>45475</v>
      </c>
      <c r="M662" s="226" t="n">
        <v>42716</v>
      </c>
      <c r="N662" s="227" t="n">
        <v>1</v>
      </c>
      <c r="O662" s="227" t="s">
        <v>135</v>
      </c>
      <c r="P662" s="228" t="n">
        <f aca="false">VLOOKUP(B662,'NIVEL ENERO'!A:D,3,0)</f>
        <v>0.164003294711212</v>
      </c>
      <c r="Q662" s="229" t="n">
        <f aca="false">VLOOKUP(B662,'NIVEL ENERO'!A:D,4,0)</f>
        <v>967097.1</v>
      </c>
      <c r="R662" s="186" t="str">
        <f aca="false">+PROPER(C662&amp;" "&amp;D662)</f>
        <v>Alvarez Bedoya Wilson Fabian</v>
      </c>
      <c r="S662" s="230" t="n">
        <f aca="false">+YEARFRAC(L662,$S$1)</f>
        <v>1.86111111111111</v>
      </c>
      <c r="T662" s="230" t="n">
        <f aca="false">+YEARFRAC(M662,$S$1)</f>
        <v>9.41666666666667</v>
      </c>
      <c r="U662" s="231" t="n">
        <f aca="false">+$I662</f>
        <v>0</v>
      </c>
      <c r="V662" s="232" t="str">
        <f aca="false">+PROPER(F662)</f>
        <v>Casado(A)</v>
      </c>
    </row>
    <row r="663" customFormat="false" ht="14.25" hidden="false" customHeight="false" outlineLevel="0" collapsed="false">
      <c r="B663" s="197" t="n">
        <v>94193459</v>
      </c>
      <c r="C663" s="197" t="s">
        <v>2136</v>
      </c>
      <c r="D663" s="197" t="s">
        <v>2137</v>
      </c>
      <c r="E663" s="198" t="s">
        <v>944</v>
      </c>
      <c r="F663" s="198" t="s">
        <v>953</v>
      </c>
      <c r="G663" s="225" t="n">
        <v>2893800</v>
      </c>
      <c r="H663" s="225" t="n">
        <v>520000</v>
      </c>
      <c r="I663" s="225" t="n">
        <v>702305</v>
      </c>
      <c r="J663" s="198" t="n">
        <v>44</v>
      </c>
      <c r="K663" s="198" t="n">
        <v>1</v>
      </c>
      <c r="L663" s="226" t="n">
        <v>45414</v>
      </c>
      <c r="M663" s="226" t="n">
        <v>38244</v>
      </c>
      <c r="N663" s="227" t="n">
        <v>0</v>
      </c>
      <c r="O663" s="227" t="s">
        <v>135</v>
      </c>
      <c r="P663" s="228" t="n">
        <f aca="false">VLOOKUP(B663,'NIVEL ENERO'!A:D,3,0)</f>
        <v>0.357350110617122</v>
      </c>
      <c r="Q663" s="229" t="n">
        <f aca="false">VLOOKUP(B663,'NIVEL ENERO'!A:D,4,0)</f>
        <v>177197.36</v>
      </c>
      <c r="R663" s="186" t="str">
        <f aca="false">+PROPER(C663&amp;" "&amp;D663)</f>
        <v>Florez Ceballos Jose Over</v>
      </c>
      <c r="S663" s="230" t="n">
        <f aca="false">+YEARFRAC(L663,$S$1)</f>
        <v>2.02777777777778</v>
      </c>
      <c r="T663" s="230" t="n">
        <f aca="false">+YEARFRAC(M663,$S$1)</f>
        <v>21.6611111111111</v>
      </c>
      <c r="U663" s="231" t="n">
        <f aca="false">+$I663</f>
        <v>702305</v>
      </c>
      <c r="V663" s="232" t="str">
        <f aca="false">+PROPER(F663)</f>
        <v>Soltero(A)</v>
      </c>
    </row>
    <row r="664" customFormat="false" ht="14.25" hidden="false" customHeight="false" outlineLevel="0" collapsed="false">
      <c r="B664" s="197" t="n">
        <v>94268470</v>
      </c>
      <c r="C664" s="197" t="s">
        <v>1999</v>
      </c>
      <c r="D664" s="197" t="s">
        <v>957</v>
      </c>
      <c r="E664" s="198" t="s">
        <v>944</v>
      </c>
      <c r="F664" s="198" t="s">
        <v>953</v>
      </c>
      <c r="G664" s="225" t="n">
        <v>2064300</v>
      </c>
      <c r="H664" s="225" t="n">
        <v>1637867</v>
      </c>
      <c r="I664" s="225" t="n">
        <v>0</v>
      </c>
      <c r="J664" s="198" t="n">
        <v>49</v>
      </c>
      <c r="K664" s="198" t="n">
        <v>4</v>
      </c>
      <c r="L664" s="226" t="n">
        <v>45114</v>
      </c>
      <c r="M664" s="226" t="n">
        <v>38875</v>
      </c>
      <c r="N664" s="227" t="n">
        <v>2</v>
      </c>
      <c r="O664" s="227" t="s">
        <v>135</v>
      </c>
      <c r="P664" s="228" t="n">
        <f aca="false">VLOOKUP(B664,'NIVEL ENERO'!A:D,3,0)</f>
        <v>0.161545739197052</v>
      </c>
      <c r="Q664" s="229" t="n">
        <f aca="false">VLOOKUP(B664,'NIVEL ENERO'!A:D,4,0)</f>
        <v>739497.86</v>
      </c>
      <c r="R664" s="186" t="str">
        <f aca="false">+PROPER(C664&amp;" "&amp;D664)</f>
        <v>Gonzalez Quinones Alexander</v>
      </c>
      <c r="S664" s="230" t="n">
        <f aca="false">+YEARFRAC(L664,$S$1)</f>
        <v>2.84722222222222</v>
      </c>
      <c r="T664" s="230" t="n">
        <f aca="false">+YEARFRAC(M664,$S$1)</f>
        <v>19.9305555555556</v>
      </c>
      <c r="U664" s="231" t="n">
        <f aca="false">+$I664</f>
        <v>0</v>
      </c>
      <c r="V664" s="232" t="str">
        <f aca="false">+PROPER(F664)</f>
        <v>Soltero(A)</v>
      </c>
    </row>
    <row r="665" customFormat="false" ht="14.25" hidden="false" customHeight="false" outlineLevel="0" collapsed="false">
      <c r="B665" s="197" t="n">
        <v>94270032</v>
      </c>
      <c r="C665" s="197" t="s">
        <v>2138</v>
      </c>
      <c r="D665" s="197" t="s">
        <v>2139</v>
      </c>
      <c r="E665" s="198" t="s">
        <v>944</v>
      </c>
      <c r="F665" s="198" t="s">
        <v>945</v>
      </c>
      <c r="G665" s="225" t="n">
        <v>2600900</v>
      </c>
      <c r="H665" s="225" t="n">
        <v>2819952</v>
      </c>
      <c r="I665" s="225" t="n">
        <v>996853</v>
      </c>
      <c r="J665" s="198" t="n">
        <v>41</v>
      </c>
      <c r="K665" s="198" t="n">
        <v>6</v>
      </c>
      <c r="L665" s="226" t="n">
        <v>43962</v>
      </c>
      <c r="M665" s="226" t="n">
        <v>41883</v>
      </c>
      <c r="N665" s="227" t="n">
        <v>4</v>
      </c>
      <c r="O665" s="227" t="s">
        <v>135</v>
      </c>
      <c r="P665" s="228" t="n">
        <f aca="false">VLOOKUP(B665,'NIVEL ENERO'!A:D,3,0)</f>
        <v>0.460217694682441</v>
      </c>
      <c r="Q665" s="229" t="n">
        <f aca="false">VLOOKUP(B665,'NIVEL ENERO'!A:D,4,0)</f>
        <v>-102277.74</v>
      </c>
      <c r="R665" s="186" t="str">
        <f aca="false">+PROPER(C665&amp;" "&amp;D665)</f>
        <v>Arcila Ceron Francisco Javier</v>
      </c>
      <c r="S665" s="230" t="n">
        <f aca="false">+YEARFRAC(L665,$S$1)</f>
        <v>6.00277777777778</v>
      </c>
      <c r="T665" s="230" t="n">
        <f aca="false">+YEARFRAC(M665,$S$1)</f>
        <v>11.6972222222222</v>
      </c>
      <c r="U665" s="231" t="n">
        <f aca="false">+$I665</f>
        <v>996853</v>
      </c>
      <c r="V665" s="232" t="str">
        <f aca="false">+PROPER(F665)</f>
        <v>Union Libre</v>
      </c>
    </row>
    <row r="666" customFormat="false" ht="14.25" hidden="false" customHeight="false" outlineLevel="0" collapsed="false">
      <c r="B666" s="197" t="n">
        <v>94282910</v>
      </c>
      <c r="C666" s="197" t="s">
        <v>2140</v>
      </c>
      <c r="D666" s="197" t="s">
        <v>2141</v>
      </c>
      <c r="E666" s="198" t="s">
        <v>944</v>
      </c>
      <c r="F666" s="198" t="s">
        <v>953</v>
      </c>
      <c r="G666" s="225" t="n">
        <v>2893800</v>
      </c>
      <c r="H666" s="225" t="n">
        <v>1355255</v>
      </c>
      <c r="I666" s="225" t="n">
        <v>4215067</v>
      </c>
      <c r="J666" s="198" t="n">
        <v>51</v>
      </c>
      <c r="K666" s="198" t="n">
        <v>1</v>
      </c>
      <c r="L666" s="226" t="n">
        <v>44938</v>
      </c>
      <c r="M666" s="226" t="n">
        <v>38608</v>
      </c>
      <c r="N666" s="227" t="n">
        <v>3</v>
      </c>
      <c r="O666" s="227" t="s">
        <v>135</v>
      </c>
      <c r="P666" s="228" t="n">
        <f aca="false">VLOOKUP(B666,'NIVEL ENERO'!A:D,3,0)</f>
        <v>0.257058363091397</v>
      </c>
      <c r="Q666" s="229" t="n">
        <f aca="false">VLOOKUP(B666,'NIVEL ENERO'!A:D,4,0)</f>
        <v>635117.66</v>
      </c>
      <c r="R666" s="186" t="str">
        <f aca="false">+PROPER(C666&amp;" "&amp;D666)</f>
        <v>Avila Prado Dorian Alberto</v>
      </c>
      <c r="S666" s="230" t="n">
        <f aca="false">+YEARFRAC(L666,$S$1)</f>
        <v>3.33333333333333</v>
      </c>
      <c r="T666" s="230" t="n">
        <f aca="false">+YEARFRAC(M666,$S$1)</f>
        <v>20.6638888888889</v>
      </c>
      <c r="U666" s="231" t="n">
        <f aca="false">+$I666</f>
        <v>4215067</v>
      </c>
      <c r="V666" s="232" t="str">
        <f aca="false">+PROPER(F666)</f>
        <v>Soltero(A)</v>
      </c>
    </row>
    <row r="667" customFormat="false" ht="14.25" hidden="false" customHeight="false" outlineLevel="0" collapsed="false">
      <c r="B667" s="197" t="n">
        <v>94322572</v>
      </c>
      <c r="C667" s="197" t="s">
        <v>2142</v>
      </c>
      <c r="D667" s="197" t="s">
        <v>2143</v>
      </c>
      <c r="E667" s="198" t="s">
        <v>944</v>
      </c>
      <c r="F667" s="198" t="s">
        <v>945</v>
      </c>
      <c r="G667" s="225" t="n">
        <v>5291000</v>
      </c>
      <c r="H667" s="225" t="n">
        <v>8101624</v>
      </c>
      <c r="I667" s="225" t="n">
        <v>9856225</v>
      </c>
      <c r="J667" s="198" t="n">
        <v>49</v>
      </c>
      <c r="K667" s="198" t="n">
        <v>1</v>
      </c>
      <c r="L667" s="226" t="n">
        <v>44053</v>
      </c>
      <c r="M667" s="226" t="n">
        <v>35591</v>
      </c>
      <c r="N667" s="227" t="n">
        <v>2</v>
      </c>
      <c r="O667" s="227" t="s">
        <v>135</v>
      </c>
      <c r="P667" s="228" t="n">
        <f aca="false">VLOOKUP(B667,'NIVEL ENERO'!A:D,3,0)</f>
        <v>0.223621243621244</v>
      </c>
      <c r="Q667" s="229" t="n">
        <f aca="false">VLOOKUP(B667,'NIVEL ENERO'!A:D,4,0)</f>
        <v>1039040</v>
      </c>
      <c r="R667" s="186" t="str">
        <f aca="false">+PROPER(C667&amp;" "&amp;D667)</f>
        <v>Gonzalez Usma Oscar Mauricio</v>
      </c>
      <c r="S667" s="230" t="n">
        <f aca="false">+YEARFRAC(L667,$S$1)</f>
        <v>5.75555555555556</v>
      </c>
      <c r="T667" s="230" t="n">
        <f aca="false">+YEARFRAC(M667,$S$1)</f>
        <v>28.9222222222222</v>
      </c>
      <c r="U667" s="231" t="n">
        <f aca="false">+$I667</f>
        <v>9856225</v>
      </c>
      <c r="V667" s="232" t="str">
        <f aca="false">+PROPER(F667)</f>
        <v>Union Libre</v>
      </c>
    </row>
    <row r="668" customFormat="false" ht="14.25" hidden="false" customHeight="false" outlineLevel="0" collapsed="false">
      <c r="B668" s="197" t="n">
        <v>94326822</v>
      </c>
      <c r="C668" s="197" t="s">
        <v>2144</v>
      </c>
      <c r="D668" s="197" t="s">
        <v>2145</v>
      </c>
      <c r="E668" s="198" t="s">
        <v>944</v>
      </c>
      <c r="F668" s="198" t="s">
        <v>953</v>
      </c>
      <c r="G668" s="225" t="n">
        <v>6474400</v>
      </c>
      <c r="H668" s="225" t="n">
        <v>2682218</v>
      </c>
      <c r="I668" s="225" t="n">
        <v>0</v>
      </c>
      <c r="J668" s="198" t="n">
        <v>48</v>
      </c>
      <c r="K668" s="198" t="n">
        <v>1</v>
      </c>
      <c r="L668" s="226" t="n">
        <v>45079</v>
      </c>
      <c r="M668" s="226" t="n">
        <v>39668</v>
      </c>
      <c r="N668" s="227" t="n">
        <v>1</v>
      </c>
      <c r="O668" s="227" t="s">
        <v>135</v>
      </c>
      <c r="P668" s="228" t="n">
        <f aca="false">VLOOKUP(B668,'NIVEL ENERO'!A:D,3,0)</f>
        <v>0.330653342394662</v>
      </c>
      <c r="Q668" s="229" t="n">
        <f aca="false">VLOOKUP(B668,'NIVEL ENERO'!A:D,4,0)</f>
        <v>578466</v>
      </c>
      <c r="R668" s="186" t="str">
        <f aca="false">+PROPER(C668&amp;" "&amp;D668)</f>
        <v>Casanova Villamarin Andres</v>
      </c>
      <c r="S668" s="230" t="n">
        <f aca="false">+YEARFRAC(L668,$S$1)</f>
        <v>2.94444444444444</v>
      </c>
      <c r="T668" s="230" t="n">
        <f aca="false">+YEARFRAC(M668,$S$1)</f>
        <v>17.7611111111111</v>
      </c>
      <c r="U668" s="231" t="n">
        <f aca="false">+$I668</f>
        <v>0</v>
      </c>
      <c r="V668" s="232" t="str">
        <f aca="false">+PROPER(F668)</f>
        <v>Soltero(A)</v>
      </c>
    </row>
    <row r="669" customFormat="false" ht="14.25" hidden="false" customHeight="false" outlineLevel="0" collapsed="false">
      <c r="B669" s="197" t="n">
        <v>94371222</v>
      </c>
      <c r="C669" s="197" t="s">
        <v>2146</v>
      </c>
      <c r="D669" s="197" t="s">
        <v>2147</v>
      </c>
      <c r="E669" s="198" t="s">
        <v>944</v>
      </c>
      <c r="F669" s="198" t="s">
        <v>948</v>
      </c>
      <c r="G669" s="225" t="n">
        <v>2893800</v>
      </c>
      <c r="H669" s="225" t="n">
        <v>4758576</v>
      </c>
      <c r="I669" s="225" t="n">
        <v>2303166</v>
      </c>
      <c r="J669" s="198" t="n">
        <v>52</v>
      </c>
      <c r="K669" s="198" t="n">
        <v>4</v>
      </c>
      <c r="L669" s="226" t="n">
        <v>44169</v>
      </c>
      <c r="M669" s="226" t="n">
        <v>38883</v>
      </c>
      <c r="N669" s="227" t="n">
        <v>2</v>
      </c>
      <c r="O669" s="227" t="s">
        <v>135</v>
      </c>
      <c r="P669" s="228" t="n">
        <f aca="false">VLOOKUP(B669,'NIVEL ENERO'!A:D,3,0)</f>
        <v>0.299333798739714</v>
      </c>
      <c r="Q669" s="229" t="n">
        <f aca="false">VLOOKUP(B669,'NIVEL ENERO'!A:D,4,0)</f>
        <v>436150.8</v>
      </c>
      <c r="R669" s="186" t="str">
        <f aca="false">+PROPER(C669&amp;" "&amp;D669)</f>
        <v>Rodriguez Castrillon Nelson Alberto</v>
      </c>
      <c r="S669" s="230" t="n">
        <f aca="false">+YEARFRAC(L669,$S$1)</f>
        <v>5.43888888888889</v>
      </c>
      <c r="T669" s="230" t="n">
        <f aca="false">+YEARFRAC(M669,$S$1)</f>
        <v>19.9083333333333</v>
      </c>
      <c r="U669" s="231" t="n">
        <f aca="false">+$I669</f>
        <v>2303166</v>
      </c>
      <c r="V669" s="232" t="str">
        <f aca="false">+PROPER(F669)</f>
        <v>Casado(A)</v>
      </c>
    </row>
    <row r="670" customFormat="false" ht="14.25" hidden="false" customHeight="false" outlineLevel="0" collapsed="false">
      <c r="B670" s="197" t="n">
        <v>94371756</v>
      </c>
      <c r="C670" s="197" t="s">
        <v>2148</v>
      </c>
      <c r="D670" s="197" t="s">
        <v>2149</v>
      </c>
      <c r="E670" s="198" t="s">
        <v>944</v>
      </c>
      <c r="F670" s="198" t="s">
        <v>953</v>
      </c>
      <c r="G670" s="225" t="n">
        <v>1630000</v>
      </c>
      <c r="H670" s="225" t="n">
        <v>480000</v>
      </c>
      <c r="I670" s="225"/>
      <c r="J670" s="198" t="n">
        <v>53</v>
      </c>
      <c r="K670" s="198" t="n">
        <v>2</v>
      </c>
      <c r="L670" s="226" t="n">
        <v>45475</v>
      </c>
      <c r="M670" s="226" t="n">
        <v>44938</v>
      </c>
      <c r="N670" s="227" t="n">
        <v>0</v>
      </c>
      <c r="O670" s="227" t="s">
        <v>135</v>
      </c>
      <c r="P670" s="228" t="n">
        <f aca="false">VLOOKUP(B670,'NIVEL ENERO'!A:D,3,0)</f>
        <v>0.125190460066873</v>
      </c>
      <c r="Q670" s="229" t="n">
        <f aca="false">VLOOKUP(B670,'NIVEL ENERO'!A:D,4,0)</f>
        <v>612960.92</v>
      </c>
      <c r="R670" s="186" t="str">
        <f aca="false">+PROPER(C670&amp;" "&amp;D670)</f>
        <v>Henao Acosta Ferney</v>
      </c>
      <c r="S670" s="230" t="n">
        <f aca="false">+YEARFRAC(L670,$S$1)</f>
        <v>1.86111111111111</v>
      </c>
      <c r="T670" s="230" t="n">
        <f aca="false">+YEARFRAC(M670,$S$1)</f>
        <v>3.33333333333333</v>
      </c>
      <c r="U670" s="231" t="n">
        <f aca="false">+$I670</f>
        <v>0</v>
      </c>
      <c r="V670" s="232" t="str">
        <f aca="false">+PROPER(F670)</f>
        <v>Soltero(A)</v>
      </c>
    </row>
    <row r="671" customFormat="false" ht="14.25" hidden="false" customHeight="false" outlineLevel="0" collapsed="false">
      <c r="B671" s="197" t="n">
        <v>94378217</v>
      </c>
      <c r="C671" s="197" t="s">
        <v>2150</v>
      </c>
      <c r="D671" s="197" t="s">
        <v>2100</v>
      </c>
      <c r="E671" s="198" t="s">
        <v>944</v>
      </c>
      <c r="F671" s="198" t="s">
        <v>945</v>
      </c>
      <c r="G671" s="225" t="n">
        <v>2893800</v>
      </c>
      <c r="H671" s="225" t="n">
        <v>800000</v>
      </c>
      <c r="I671" s="225" t="n">
        <v>647022</v>
      </c>
      <c r="J671" s="198" t="n">
        <v>52</v>
      </c>
      <c r="K671" s="198" t="n">
        <v>1</v>
      </c>
      <c r="L671" s="226" t="n">
        <v>45414</v>
      </c>
      <c r="M671" s="226" t="n">
        <v>35457</v>
      </c>
      <c r="N671" s="227" t="n">
        <v>4</v>
      </c>
      <c r="O671" s="227" t="s">
        <v>135</v>
      </c>
      <c r="P671" s="228" t="n">
        <f aca="false">VLOOKUP(B671,'NIVEL ENERO'!A:D,3,0)</f>
        <v>0.344253928058048</v>
      </c>
      <c r="Q671" s="229" t="n">
        <f aca="false">VLOOKUP(B671,'NIVEL ENERO'!A:D,4,0)</f>
        <v>282124.88</v>
      </c>
      <c r="R671" s="186" t="str">
        <f aca="false">+PROPER(C671&amp;" "&amp;D671)</f>
        <v>Caicedo Sanchez Jose Luis</v>
      </c>
      <c r="S671" s="230" t="n">
        <f aca="false">+YEARFRAC(L671,$S$1)</f>
        <v>2.02777777777778</v>
      </c>
      <c r="T671" s="230" t="n">
        <f aca="false">+YEARFRAC(M671,$S$1)</f>
        <v>29.2916666666667</v>
      </c>
      <c r="U671" s="231" t="n">
        <f aca="false">+$I671</f>
        <v>647022</v>
      </c>
      <c r="V671" s="232" t="str">
        <f aca="false">+PROPER(F671)</f>
        <v>Union Libre</v>
      </c>
    </row>
    <row r="672" customFormat="false" ht="14.25" hidden="false" customHeight="false" outlineLevel="0" collapsed="false">
      <c r="B672" s="197" t="n">
        <v>94400085</v>
      </c>
      <c r="C672" s="197" t="s">
        <v>2151</v>
      </c>
      <c r="D672" s="197" t="s">
        <v>2152</v>
      </c>
      <c r="E672" s="198" t="s">
        <v>944</v>
      </c>
      <c r="F672" s="198" t="s">
        <v>953</v>
      </c>
      <c r="G672" s="225" t="n">
        <v>2893800</v>
      </c>
      <c r="H672" s="225" t="n">
        <v>130000</v>
      </c>
      <c r="I672" s="225"/>
      <c r="J672" s="198" t="n">
        <v>51</v>
      </c>
      <c r="K672" s="198" t="n">
        <v>1</v>
      </c>
      <c r="L672" s="226" t="n">
        <v>45615</v>
      </c>
      <c r="M672" s="226" t="n">
        <v>44105</v>
      </c>
      <c r="N672" s="227" t="n">
        <v>0</v>
      </c>
      <c r="O672" s="227" t="s">
        <v>135</v>
      </c>
      <c r="P672" s="228" t="str">
        <f aca="false">VLOOKUP(B672,'NIVEL ENERO'!A:D,3,0)</f>
        <v>0</v>
      </c>
      <c r="Q672" s="229" t="n">
        <f aca="false">VLOOKUP(B672,'NIVEL ENERO'!A:D,4,0)</f>
        <v>0</v>
      </c>
      <c r="R672" s="186" t="str">
        <f aca="false">+PROPER(C672&amp;" "&amp;D672)</f>
        <v>Velasco Gutierrez Carlos Antonio</v>
      </c>
      <c r="S672" s="230" t="n">
        <f aca="false">+YEARFRAC(L672,$S$1)</f>
        <v>1.48055555555556</v>
      </c>
      <c r="T672" s="230" t="n">
        <f aca="false">+YEARFRAC(M672,$S$1)</f>
        <v>5.61388888888889</v>
      </c>
      <c r="U672" s="231" t="n">
        <f aca="false">+$I672</f>
        <v>0</v>
      </c>
      <c r="V672" s="232" t="str">
        <f aca="false">+PROPER(F672)</f>
        <v>Soltero(A)</v>
      </c>
    </row>
    <row r="673" customFormat="false" ht="14.25" hidden="false" customHeight="false" outlineLevel="0" collapsed="false">
      <c r="B673" s="197" t="n">
        <v>94405422</v>
      </c>
      <c r="C673" s="197" t="s">
        <v>2153</v>
      </c>
      <c r="D673" s="197" t="s">
        <v>2154</v>
      </c>
      <c r="E673" s="198" t="s">
        <v>944</v>
      </c>
      <c r="F673" s="198" t="s">
        <v>948</v>
      </c>
      <c r="G673" s="225" t="n">
        <v>3496700</v>
      </c>
      <c r="H673" s="225" t="n">
        <v>4815994</v>
      </c>
      <c r="I673" s="225" t="n">
        <v>4585810</v>
      </c>
      <c r="J673" s="198" t="n">
        <v>51</v>
      </c>
      <c r="K673" s="198" t="n">
        <v>1</v>
      </c>
      <c r="L673" s="226" t="n">
        <v>43844</v>
      </c>
      <c r="M673" s="226" t="n">
        <v>34898</v>
      </c>
      <c r="N673" s="227" t="n">
        <v>1</v>
      </c>
      <c r="O673" s="227" t="s">
        <v>135</v>
      </c>
      <c r="P673" s="228" t="n">
        <f aca="false">VLOOKUP(B673,'NIVEL ENERO'!A:D,3,0)</f>
        <v>0.508261967599695</v>
      </c>
      <c r="Q673" s="229" t="n">
        <f aca="false">VLOOKUP(B673,'NIVEL ENERO'!A:D,4,0)</f>
        <v>-237522.34</v>
      </c>
      <c r="R673" s="186" t="str">
        <f aca="false">+PROPER(C673&amp;" "&amp;D673)</f>
        <v>Salcedo Espinal Fernando</v>
      </c>
      <c r="S673" s="230" t="n">
        <f aca="false">+YEARFRAC(L673,$S$1)</f>
        <v>6.32777777777778</v>
      </c>
      <c r="T673" s="230" t="n">
        <f aca="false">+YEARFRAC(M673,$S$1)</f>
        <v>30.8166666666667</v>
      </c>
      <c r="U673" s="231" t="n">
        <f aca="false">+$I673</f>
        <v>4585810</v>
      </c>
      <c r="V673" s="232" t="str">
        <f aca="false">+PROPER(F673)</f>
        <v>Casado(A)</v>
      </c>
    </row>
    <row r="674" customFormat="false" ht="14.25" hidden="false" customHeight="false" outlineLevel="0" collapsed="false">
      <c r="B674" s="197" t="n">
        <v>94409720</v>
      </c>
      <c r="C674" s="197" t="s">
        <v>2155</v>
      </c>
      <c r="D674" s="197" t="s">
        <v>2156</v>
      </c>
      <c r="E674" s="198" t="s">
        <v>944</v>
      </c>
      <c r="F674" s="198" t="s">
        <v>945</v>
      </c>
      <c r="G674" s="225" t="n">
        <v>2600900</v>
      </c>
      <c r="H674" s="225" t="n">
        <v>2624228</v>
      </c>
      <c r="I674" s="225" t="n">
        <v>2116397</v>
      </c>
      <c r="J674" s="198" t="n">
        <v>51</v>
      </c>
      <c r="K674" s="198" t="n">
        <v>1</v>
      </c>
      <c r="L674" s="226" t="n">
        <v>44669</v>
      </c>
      <c r="M674" s="226" t="n">
        <v>42122</v>
      </c>
      <c r="N674" s="227" t="n">
        <v>2</v>
      </c>
      <c r="O674" s="227" t="s">
        <v>135</v>
      </c>
      <c r="P674" s="228" t="n">
        <f aca="false">VLOOKUP(B674,'NIVEL ENERO'!A:D,3,0)</f>
        <v>0.450635348542452</v>
      </c>
      <c r="Q674" s="229" t="n">
        <f aca="false">VLOOKUP(B674,'NIVEL ENERO'!A:D,4,0)</f>
        <v>-92976.7</v>
      </c>
      <c r="R674" s="186" t="str">
        <f aca="false">+PROPER(C674&amp;" "&amp;D674)</f>
        <v>Vicent Galvis Edgar Julian</v>
      </c>
      <c r="S674" s="230" t="n">
        <f aca="false">+YEARFRAC(L674,$S$1)</f>
        <v>4.06666666666667</v>
      </c>
      <c r="T674" s="230" t="n">
        <f aca="false">+YEARFRAC(M674,$S$1)</f>
        <v>11.0388888888889</v>
      </c>
      <c r="U674" s="231" t="n">
        <f aca="false">+$I674</f>
        <v>2116397</v>
      </c>
      <c r="V674" s="232" t="str">
        <f aca="false">+PROPER(F674)</f>
        <v>Union Libre</v>
      </c>
    </row>
    <row r="675" customFormat="false" ht="14.25" hidden="false" customHeight="false" outlineLevel="0" collapsed="false">
      <c r="B675" s="197" t="n">
        <v>94410958</v>
      </c>
      <c r="C675" s="197" t="s">
        <v>2157</v>
      </c>
      <c r="D675" s="197" t="s">
        <v>2158</v>
      </c>
      <c r="E675" s="198" t="s">
        <v>944</v>
      </c>
      <c r="F675" s="198" t="s">
        <v>953</v>
      </c>
      <c r="G675" s="225" t="n">
        <v>1918500</v>
      </c>
      <c r="H675" s="225" t="n">
        <v>889058</v>
      </c>
      <c r="I675" s="225" t="n">
        <v>2499371</v>
      </c>
      <c r="J675" s="198" t="n">
        <v>50</v>
      </c>
      <c r="K675" s="198" t="n">
        <v>1</v>
      </c>
      <c r="L675" s="226" t="n">
        <v>45251</v>
      </c>
      <c r="M675" s="226" t="n">
        <v>45019</v>
      </c>
      <c r="N675" s="227" t="n">
        <v>0</v>
      </c>
      <c r="O675" s="227" t="s">
        <v>135</v>
      </c>
      <c r="P675" s="228" t="n">
        <f aca="false">VLOOKUP(B675,'NIVEL ENERO'!A:D,3,0)</f>
        <v>0.419903382851186</v>
      </c>
      <c r="Q675" s="229" t="n">
        <f aca="false">VLOOKUP(B675,'NIVEL ENERO'!A:D,4,0)</f>
        <v>441.333333333372</v>
      </c>
      <c r="R675" s="186" t="str">
        <f aca="false">+PROPER(C675&amp;" "&amp;D675)</f>
        <v>Alvarado Zapata Javier Mauricio</v>
      </c>
      <c r="S675" s="230" t="n">
        <f aca="false">+YEARFRAC(L675,$S$1)</f>
        <v>2.475</v>
      </c>
      <c r="T675" s="230" t="n">
        <f aca="false">+YEARFRAC(M675,$S$1)</f>
        <v>3.10833333333333</v>
      </c>
      <c r="U675" s="231" t="n">
        <f aca="false">+$I675</f>
        <v>2499371</v>
      </c>
      <c r="V675" s="232" t="str">
        <f aca="false">+PROPER(F675)</f>
        <v>Soltero(A)</v>
      </c>
    </row>
    <row r="676" customFormat="false" ht="14.25" hidden="false" customHeight="false" outlineLevel="0" collapsed="false">
      <c r="B676" s="197" t="n">
        <v>94412295</v>
      </c>
      <c r="C676" s="197" t="s">
        <v>2159</v>
      </c>
      <c r="D676" s="197" t="s">
        <v>2160</v>
      </c>
      <c r="E676" s="198" t="s">
        <v>944</v>
      </c>
      <c r="F676" s="198" t="s">
        <v>948</v>
      </c>
      <c r="G676" s="225" t="n">
        <v>2600900</v>
      </c>
      <c r="H676" s="225" t="n">
        <v>4616840</v>
      </c>
      <c r="I676" s="225" t="n">
        <v>0</v>
      </c>
      <c r="J676" s="198" t="n">
        <v>50</v>
      </c>
      <c r="K676" s="198" t="n">
        <v>2</v>
      </c>
      <c r="L676" s="226" t="n">
        <v>44579</v>
      </c>
      <c r="M676" s="226" t="n">
        <v>34914</v>
      </c>
      <c r="N676" s="227" t="n">
        <v>4</v>
      </c>
      <c r="O676" s="227" t="s">
        <v>135</v>
      </c>
      <c r="P676" s="228" t="n">
        <f aca="false">VLOOKUP(B676,'NIVEL ENERO'!A:D,3,0)</f>
        <v>0.158499989947719</v>
      </c>
      <c r="Q676" s="229" t="n">
        <f aca="false">VLOOKUP(B676,'NIVEL ENERO'!A:D,4,0)</f>
        <v>897482.94</v>
      </c>
      <c r="R676" s="186" t="str">
        <f aca="false">+PROPER(C676&amp;" "&amp;D676)</f>
        <v>Agudelo Ortiz Lubin</v>
      </c>
      <c r="S676" s="230" t="n">
        <f aca="false">+YEARFRAC(L676,$S$1)</f>
        <v>4.31666666666667</v>
      </c>
      <c r="T676" s="230" t="n">
        <f aca="false">+YEARFRAC(M676,$S$1)</f>
        <v>30.775</v>
      </c>
      <c r="U676" s="231" t="n">
        <f aca="false">+$I676</f>
        <v>0</v>
      </c>
      <c r="V676" s="232" t="str">
        <f aca="false">+PROPER(F676)</f>
        <v>Casado(A)</v>
      </c>
    </row>
    <row r="677" customFormat="false" ht="14.25" hidden="false" customHeight="false" outlineLevel="0" collapsed="false">
      <c r="B677" s="197" t="n">
        <v>94412423</v>
      </c>
      <c r="C677" s="197" t="s">
        <v>2161</v>
      </c>
      <c r="D677" s="197" t="s">
        <v>2162</v>
      </c>
      <c r="E677" s="198" t="s">
        <v>944</v>
      </c>
      <c r="F677" s="198" t="s">
        <v>953</v>
      </c>
      <c r="G677" s="225" t="n">
        <v>2893800</v>
      </c>
      <c r="H677" s="225" t="n">
        <v>9044792</v>
      </c>
      <c r="I677" s="225" t="n">
        <v>1469982</v>
      </c>
      <c r="J677" s="198" t="n">
        <v>51</v>
      </c>
      <c r="K677" s="198" t="n">
        <v>2</v>
      </c>
      <c r="L677" s="226" t="n">
        <v>40126</v>
      </c>
      <c r="M677" s="226" t="n">
        <v>37663</v>
      </c>
      <c r="N677" s="227" t="n">
        <v>4</v>
      </c>
      <c r="O677" s="227" t="s">
        <v>135</v>
      </c>
      <c r="P677" s="228" t="n">
        <f aca="false">VLOOKUP(B677,'NIVEL ENERO'!A:D,3,0)</f>
        <v>0.473243345616215</v>
      </c>
      <c r="Q677" s="229" t="n">
        <f aca="false">VLOOKUP(B677,'NIVEL ENERO'!A:D,4,0)</f>
        <v>-192761.96</v>
      </c>
      <c r="R677" s="186" t="str">
        <f aca="false">+PROPER(C677&amp;" "&amp;D677)</f>
        <v>Borja Yepez Ricardo</v>
      </c>
      <c r="S677" s="230" t="n">
        <f aca="false">+YEARFRAC(L677,$S$1)</f>
        <v>16.5083333333333</v>
      </c>
      <c r="T677" s="230" t="n">
        <f aca="false">+YEARFRAC(M677,$S$1)</f>
        <v>23.2527777777778</v>
      </c>
      <c r="U677" s="231" t="n">
        <f aca="false">+$I677</f>
        <v>1469982</v>
      </c>
      <c r="V677" s="232" t="str">
        <f aca="false">+PROPER(F677)</f>
        <v>Soltero(A)</v>
      </c>
    </row>
    <row r="678" customFormat="false" ht="14.25" hidden="false" customHeight="false" outlineLevel="0" collapsed="false">
      <c r="B678" s="197" t="n">
        <v>94413398</v>
      </c>
      <c r="C678" s="197" t="s">
        <v>2163</v>
      </c>
      <c r="D678" s="197" t="s">
        <v>1065</v>
      </c>
      <c r="E678" s="198" t="s">
        <v>944</v>
      </c>
      <c r="F678" s="198" t="s">
        <v>948</v>
      </c>
      <c r="G678" s="225" t="n">
        <v>2893800</v>
      </c>
      <c r="H678" s="225" t="n">
        <v>8178152</v>
      </c>
      <c r="I678" s="225" t="n">
        <v>9279337</v>
      </c>
      <c r="J678" s="198" t="n">
        <v>50</v>
      </c>
      <c r="K678" s="198" t="n">
        <v>1</v>
      </c>
      <c r="L678" s="226" t="n">
        <v>42783</v>
      </c>
      <c r="M678" s="226" t="n">
        <v>38637</v>
      </c>
      <c r="N678" s="227" t="n">
        <v>1</v>
      </c>
      <c r="O678" s="227" t="s">
        <v>135</v>
      </c>
      <c r="P678" s="228" t="n">
        <f aca="false">VLOOKUP(B678,'NIVEL ENERO'!A:D,3,0)</f>
        <v>0.338748127441421</v>
      </c>
      <c r="Q678" s="229" t="n">
        <f aca="false">VLOOKUP(B678,'NIVEL ENERO'!A:D,4,0)</f>
        <v>240493.68</v>
      </c>
      <c r="R678" s="186" t="str">
        <f aca="false">+PROPER(C678&amp;" "&amp;D678)</f>
        <v>Quintero Londono Diego Fernando</v>
      </c>
      <c r="S678" s="230" t="n">
        <f aca="false">+YEARFRAC(L678,$S$1)</f>
        <v>9.23611111111111</v>
      </c>
      <c r="T678" s="230" t="n">
        <f aca="false">+YEARFRAC(M678,$S$1)</f>
        <v>20.5833333333333</v>
      </c>
      <c r="U678" s="231" t="n">
        <f aca="false">+$I678</f>
        <v>9279337</v>
      </c>
      <c r="V678" s="232" t="str">
        <f aca="false">+PROPER(F678)</f>
        <v>Casado(A)</v>
      </c>
    </row>
    <row r="679" customFormat="false" ht="14.25" hidden="false" customHeight="false" outlineLevel="0" collapsed="false">
      <c r="B679" s="197" t="n">
        <v>94423089</v>
      </c>
      <c r="C679" s="197" t="s">
        <v>2164</v>
      </c>
      <c r="D679" s="197" t="s">
        <v>2165</v>
      </c>
      <c r="E679" s="198" t="s">
        <v>944</v>
      </c>
      <c r="F679" s="198" t="s">
        <v>945</v>
      </c>
      <c r="G679" s="225" t="n">
        <v>4194600</v>
      </c>
      <c r="H679" s="225" t="n">
        <v>2391078</v>
      </c>
      <c r="I679" s="225"/>
      <c r="J679" s="198" t="n">
        <v>39</v>
      </c>
      <c r="K679" s="198" t="n">
        <v>2</v>
      </c>
      <c r="L679" s="226" t="n">
        <v>44575</v>
      </c>
      <c r="M679" s="226" t="n">
        <v>44470</v>
      </c>
      <c r="N679" s="227" t="n">
        <v>0</v>
      </c>
      <c r="O679" s="227" t="s">
        <v>135</v>
      </c>
      <c r="P679" s="228" t="n">
        <f aca="false">VLOOKUP(B679,'NIVEL ENERO'!A:D,3,0)</f>
        <v>0.111720877476012</v>
      </c>
      <c r="Q679" s="229" t="n">
        <f aca="false">VLOOKUP(B679,'NIVEL ENERO'!A:D,4,0)</f>
        <v>860478.86</v>
      </c>
      <c r="R679" s="186" t="str">
        <f aca="false">+PROPER(C679&amp;" "&amp;D679)</f>
        <v>Dorado Caicedo Jerson Andres</v>
      </c>
      <c r="S679" s="230" t="n">
        <f aca="false">+YEARFRAC(L679,$S$1)</f>
        <v>4.32777777777778</v>
      </c>
      <c r="T679" s="230" t="n">
        <f aca="false">+YEARFRAC(M679,$S$1)</f>
        <v>4.61388888888889</v>
      </c>
      <c r="U679" s="231" t="n">
        <f aca="false">+$I679</f>
        <v>0</v>
      </c>
      <c r="V679" s="232" t="str">
        <f aca="false">+PROPER(F679)</f>
        <v>Union Libre</v>
      </c>
    </row>
    <row r="680" customFormat="false" ht="14.25" hidden="false" customHeight="false" outlineLevel="0" collapsed="false">
      <c r="B680" s="197" t="n">
        <v>94426762</v>
      </c>
      <c r="C680" s="197" t="s">
        <v>2166</v>
      </c>
      <c r="D680" s="197" t="s">
        <v>2167</v>
      </c>
      <c r="E680" s="198" t="s">
        <v>1696</v>
      </c>
      <c r="F680" s="198" t="s">
        <v>945</v>
      </c>
      <c r="G680" s="225" t="n">
        <v>2925100</v>
      </c>
      <c r="H680" s="225" t="n">
        <v>5855248</v>
      </c>
      <c r="I680" s="225" t="n">
        <v>7492060</v>
      </c>
      <c r="J680" s="198" t="n">
        <v>50</v>
      </c>
      <c r="K680" s="198" t="n">
        <v>4</v>
      </c>
      <c r="L680" s="226" t="n">
        <v>42020</v>
      </c>
      <c r="M680" s="226" t="n">
        <v>35693</v>
      </c>
      <c r="N680" s="227" t="n">
        <v>5</v>
      </c>
      <c r="O680" s="227" t="s">
        <v>135</v>
      </c>
      <c r="P680" s="228" t="n">
        <f aca="false">VLOOKUP(B680,'NIVEL ENERO'!A:D,3,0)</f>
        <v>0.367710467627529</v>
      </c>
      <c r="Q680" s="229" t="n">
        <f aca="false">VLOOKUP(B680,'NIVEL ENERO'!A:D,4,0)</f>
        <v>166189.52</v>
      </c>
      <c r="R680" s="186" t="str">
        <f aca="false">+PROPER(C680&amp;" "&amp;D680)</f>
        <v>Lopez Cadena Ancizar</v>
      </c>
      <c r="S680" s="230" t="n">
        <f aca="false">+YEARFRAC(L680,$S$1)</f>
        <v>11.3222222222222</v>
      </c>
      <c r="T680" s="230" t="n">
        <f aca="false">+YEARFRAC(M680,$S$1)</f>
        <v>28.6444444444444</v>
      </c>
      <c r="U680" s="231" t="n">
        <f aca="false">+$I680</f>
        <v>7492060</v>
      </c>
      <c r="V680" s="232" t="str">
        <f aca="false">+PROPER(F680)</f>
        <v>Union Libre</v>
      </c>
    </row>
    <row r="681" customFormat="false" ht="14.25" hidden="false" customHeight="false" outlineLevel="0" collapsed="false">
      <c r="B681" s="197" t="n">
        <v>94433993</v>
      </c>
      <c r="C681" s="197" t="s">
        <v>2168</v>
      </c>
      <c r="D681" s="197" t="s">
        <v>952</v>
      </c>
      <c r="E681" s="198" t="s">
        <v>944</v>
      </c>
      <c r="F681" s="198" t="s">
        <v>998</v>
      </c>
      <c r="G681" s="225" t="n">
        <v>3945300</v>
      </c>
      <c r="H681" s="225" t="n">
        <v>3100468</v>
      </c>
      <c r="I681" s="225" t="n">
        <v>180632</v>
      </c>
      <c r="J681" s="198" t="n">
        <v>50</v>
      </c>
      <c r="K681" s="198" t="n">
        <v>2</v>
      </c>
      <c r="L681" s="226" t="n">
        <v>45142</v>
      </c>
      <c r="M681" s="226" t="n">
        <v>37653</v>
      </c>
      <c r="N681" s="227" t="n">
        <v>0</v>
      </c>
      <c r="O681" s="227" t="s">
        <v>135</v>
      </c>
      <c r="P681" s="228" t="n">
        <f aca="false">VLOOKUP(B681,'NIVEL ENERO'!A:D,3,0)</f>
        <v>0.213492418036382</v>
      </c>
      <c r="Q681" s="229" t="n">
        <f aca="false">VLOOKUP(B681,'NIVEL ENERO'!A:D,4,0)</f>
        <v>859358.38</v>
      </c>
      <c r="R681" s="186" t="str">
        <f aca="false">+PROPER(C681&amp;" "&amp;D681)</f>
        <v>Valdes Garrido Carlos Andres</v>
      </c>
      <c r="S681" s="230" t="n">
        <f aca="false">+YEARFRAC(L681,$S$1)</f>
        <v>2.77222222222222</v>
      </c>
      <c r="T681" s="230" t="n">
        <f aca="false">+YEARFRAC(M681,$S$1)</f>
        <v>23.2805555555556</v>
      </c>
      <c r="U681" s="231" t="n">
        <f aca="false">+$I681</f>
        <v>180632</v>
      </c>
      <c r="V681" s="232" t="str">
        <f aca="false">+PROPER(F681)</f>
        <v>Separado(A)</v>
      </c>
    </row>
    <row r="682" customFormat="false" ht="14.25" hidden="false" customHeight="false" outlineLevel="0" collapsed="false">
      <c r="B682" s="197" t="n">
        <v>94457631</v>
      </c>
      <c r="C682" s="197" t="s">
        <v>2169</v>
      </c>
      <c r="D682" s="197" t="s">
        <v>1063</v>
      </c>
      <c r="E682" s="198" t="s">
        <v>944</v>
      </c>
      <c r="F682" s="198" t="s">
        <v>948</v>
      </c>
      <c r="G682" s="225" t="n">
        <v>2893800</v>
      </c>
      <c r="H682" s="225" t="n">
        <v>2989859</v>
      </c>
      <c r="I682" s="225" t="n">
        <v>0</v>
      </c>
      <c r="J682" s="198" t="n">
        <v>48</v>
      </c>
      <c r="K682" s="198" t="n">
        <v>1</v>
      </c>
      <c r="L682" s="226" t="n">
        <v>44300</v>
      </c>
      <c r="M682" s="226" t="n">
        <v>40126</v>
      </c>
      <c r="N682" s="227" t="n">
        <v>4</v>
      </c>
      <c r="O682" s="227" t="s">
        <v>135</v>
      </c>
      <c r="P682" s="228" t="n">
        <f aca="false">VLOOKUP(B682,'NIVEL ENERO'!A:D,3,0)</f>
        <v>0.32166493883475</v>
      </c>
      <c r="Q682" s="229" t="n">
        <f aca="false">VLOOKUP(B682,'NIVEL ENERO'!A:D,4,0)</f>
        <v>284562</v>
      </c>
      <c r="R682" s="186" t="str">
        <f aca="false">+PROPER(C682&amp;" "&amp;D682)</f>
        <v>Ballesteros Garcia Juan Carlos</v>
      </c>
      <c r="S682" s="230" t="n">
        <f aca="false">+YEARFRAC(L682,$S$1)</f>
        <v>5.07777777777778</v>
      </c>
      <c r="T682" s="230" t="n">
        <f aca="false">+YEARFRAC(M682,$S$1)</f>
        <v>16.5083333333333</v>
      </c>
      <c r="U682" s="231" t="n">
        <f aca="false">+$I682</f>
        <v>0</v>
      </c>
      <c r="V682" s="232" t="str">
        <f aca="false">+PROPER(F682)</f>
        <v>Casado(A)</v>
      </c>
    </row>
    <row r="683" customFormat="false" ht="14.25" hidden="false" customHeight="false" outlineLevel="0" collapsed="false">
      <c r="B683" s="197" t="n">
        <v>94459046</v>
      </c>
      <c r="C683" s="197" t="s">
        <v>2170</v>
      </c>
      <c r="D683" s="197" t="s">
        <v>2171</v>
      </c>
      <c r="E683" s="198" t="s">
        <v>1288</v>
      </c>
      <c r="F683" s="198" t="s">
        <v>998</v>
      </c>
      <c r="G683" s="225" t="n">
        <v>3945300</v>
      </c>
      <c r="H683" s="225" t="n">
        <v>3477307</v>
      </c>
      <c r="I683" s="225" t="n">
        <v>16930377</v>
      </c>
      <c r="J683" s="198" t="n">
        <v>48</v>
      </c>
      <c r="K683" s="198" t="n">
        <v>4</v>
      </c>
      <c r="L683" s="226" t="n">
        <v>43564</v>
      </c>
      <c r="M683" s="226" t="n">
        <v>34895</v>
      </c>
      <c r="N683" s="227" t="n">
        <v>3</v>
      </c>
      <c r="O683" s="227" t="s">
        <v>135</v>
      </c>
      <c r="P683" s="228" t="n">
        <f aca="false">VLOOKUP(B683,'NIVEL ENERO'!A:D,3,0)</f>
        <v>0.327571145441913</v>
      </c>
      <c r="Q683" s="229" t="n">
        <f aca="false">VLOOKUP(B683,'NIVEL ENERO'!A:D,4,0)</f>
        <v>387781.1</v>
      </c>
      <c r="R683" s="186" t="str">
        <f aca="false">+PROPER(C683&amp;" "&amp;D683)</f>
        <v>Martinez Carrera Hector Porfirio</v>
      </c>
      <c r="S683" s="230" t="n">
        <f aca="false">+YEARFRAC(L683,$S$1)</f>
        <v>7.09166666666667</v>
      </c>
      <c r="T683" s="230" t="n">
        <f aca="false">+YEARFRAC(M683,$S$1)</f>
        <v>30.825</v>
      </c>
      <c r="U683" s="231" t="n">
        <f aca="false">+$I683</f>
        <v>16930377</v>
      </c>
      <c r="V683" s="232" t="str">
        <f aca="false">+PROPER(F683)</f>
        <v>Separado(A)</v>
      </c>
    </row>
    <row r="684" customFormat="false" ht="14.25" hidden="false" customHeight="false" outlineLevel="0" collapsed="false">
      <c r="B684" s="197" t="n">
        <v>94460501</v>
      </c>
      <c r="C684" s="197" t="s">
        <v>2172</v>
      </c>
      <c r="D684" s="197" t="s">
        <v>2173</v>
      </c>
      <c r="E684" s="198" t="s">
        <v>944</v>
      </c>
      <c r="F684" s="198" t="s">
        <v>948</v>
      </c>
      <c r="G684" s="225" t="n">
        <v>4870200</v>
      </c>
      <c r="H684" s="225" t="n">
        <v>14591421</v>
      </c>
      <c r="I684" s="225" t="n">
        <v>20471512</v>
      </c>
      <c r="J684" s="198" t="n">
        <v>48</v>
      </c>
      <c r="K684" s="198" t="n">
        <v>6</v>
      </c>
      <c r="L684" s="226" t="n">
        <v>42964</v>
      </c>
      <c r="M684" s="226" t="n">
        <v>39146</v>
      </c>
      <c r="N684" s="227" t="n">
        <v>2</v>
      </c>
      <c r="O684" s="227" t="s">
        <v>135</v>
      </c>
      <c r="P684" s="228" t="n">
        <f aca="false">VLOOKUP(B684,'NIVEL ENERO'!A:D,3,0)</f>
        <v>0.443682600303889</v>
      </c>
      <c r="Q684" s="229" t="n">
        <f aca="false">VLOOKUP(B684,'NIVEL ENERO'!A:D,4,0)</f>
        <v>-115339</v>
      </c>
      <c r="R684" s="186" t="str">
        <f aca="false">+PROPER(C684&amp;" "&amp;D684)</f>
        <v>Bolanos Ceballos John Marlon</v>
      </c>
      <c r="S684" s="230" t="n">
        <f aca="false">+YEARFRAC(L684,$S$1)</f>
        <v>8.73611111111111</v>
      </c>
      <c r="T684" s="230" t="n">
        <f aca="false">+YEARFRAC(M684,$S$1)</f>
        <v>19.1861111111111</v>
      </c>
      <c r="U684" s="231" t="n">
        <f aca="false">+$I684</f>
        <v>20471512</v>
      </c>
      <c r="V684" s="232" t="str">
        <f aca="false">+PROPER(F684)</f>
        <v>Casado(A)</v>
      </c>
    </row>
    <row r="685" customFormat="false" ht="14.25" hidden="false" customHeight="false" outlineLevel="0" collapsed="false">
      <c r="B685" s="197" t="n">
        <v>94475821</v>
      </c>
      <c r="C685" s="197" t="s">
        <v>2174</v>
      </c>
      <c r="D685" s="197" t="s">
        <v>2175</v>
      </c>
      <c r="E685" s="198" t="s">
        <v>944</v>
      </c>
      <c r="F685" s="198" t="s">
        <v>945</v>
      </c>
      <c r="G685" s="225" t="n">
        <v>2893800</v>
      </c>
      <c r="H685" s="225" t="n">
        <v>1983277</v>
      </c>
      <c r="I685" s="225" t="n">
        <v>1023248</v>
      </c>
      <c r="J685" s="198" t="n">
        <v>44</v>
      </c>
      <c r="K685" s="198" t="n">
        <v>4</v>
      </c>
      <c r="L685" s="226" t="n">
        <v>44635</v>
      </c>
      <c r="M685" s="226" t="n">
        <v>44105</v>
      </c>
      <c r="N685" s="227" t="n">
        <v>3</v>
      </c>
      <c r="O685" s="227" t="s">
        <v>135</v>
      </c>
      <c r="P685" s="228" t="n">
        <f aca="false">VLOOKUP(B685,'NIVEL ENERO'!A:D,3,0)</f>
        <v>0.140388357316852</v>
      </c>
      <c r="Q685" s="229" t="n">
        <f aca="false">VLOOKUP(B685,'NIVEL ENERO'!A:D,4,0)</f>
        <v>1315187.94</v>
      </c>
      <c r="R685" s="186" t="str">
        <f aca="false">+PROPER(C685&amp;" "&amp;D685)</f>
        <v>Moncada Rojas Victor Manuel</v>
      </c>
      <c r="S685" s="230" t="n">
        <f aca="false">+YEARFRAC(L685,$S$1)</f>
        <v>4.15833333333333</v>
      </c>
      <c r="T685" s="230" t="n">
        <f aca="false">+YEARFRAC(M685,$S$1)</f>
        <v>5.61388888888889</v>
      </c>
      <c r="U685" s="231" t="n">
        <f aca="false">+$I685</f>
        <v>1023248</v>
      </c>
      <c r="V685" s="232" t="str">
        <f aca="false">+PROPER(F685)</f>
        <v>Union Libre</v>
      </c>
    </row>
    <row r="686" customFormat="false" ht="14.25" hidden="false" customHeight="false" outlineLevel="0" collapsed="false">
      <c r="B686" s="197" t="n">
        <v>94489748</v>
      </c>
      <c r="C686" s="197" t="s">
        <v>2176</v>
      </c>
      <c r="D686" s="197" t="s">
        <v>2177</v>
      </c>
      <c r="E686" s="198" t="s">
        <v>944</v>
      </c>
      <c r="F686" s="198" t="s">
        <v>948</v>
      </c>
      <c r="G686" s="225" t="n">
        <v>2893800</v>
      </c>
      <c r="H686" s="225" t="n">
        <v>5872703</v>
      </c>
      <c r="I686" s="225" t="n">
        <v>4746024</v>
      </c>
      <c r="J686" s="198" t="n">
        <v>48</v>
      </c>
      <c r="K686" s="198" t="n">
        <v>1</v>
      </c>
      <c r="L686" s="226" t="n">
        <v>42473</v>
      </c>
      <c r="M686" s="226" t="n">
        <v>37956</v>
      </c>
      <c r="N686" s="227" t="n">
        <v>5</v>
      </c>
      <c r="O686" s="227" t="s">
        <v>135</v>
      </c>
      <c r="P686" s="228" t="n">
        <f aca="false">VLOOKUP(B686,'NIVEL ENERO'!A:D,3,0)</f>
        <v>0.311301819470371</v>
      </c>
      <c r="Q686" s="229" t="n">
        <f aca="false">VLOOKUP(B686,'NIVEL ENERO'!A:D,4,0)</f>
        <v>422090.76</v>
      </c>
      <c r="R686" s="186" t="str">
        <f aca="false">+PROPER(C686&amp;" "&amp;D686)</f>
        <v>Munoz Cachimbo Heiner.</v>
      </c>
      <c r="S686" s="230" t="n">
        <f aca="false">+YEARFRAC(L686,$S$1)</f>
        <v>10.0805555555556</v>
      </c>
      <c r="T686" s="230" t="n">
        <f aca="false">+YEARFRAC(M686,$S$1)</f>
        <v>22.4472222222222</v>
      </c>
      <c r="U686" s="231" t="n">
        <f aca="false">+$I686</f>
        <v>4746024</v>
      </c>
      <c r="V686" s="232" t="str">
        <f aca="false">+PROPER(F686)</f>
        <v>Casado(A)</v>
      </c>
    </row>
    <row r="687" customFormat="false" ht="14.25" hidden="false" customHeight="false" outlineLevel="0" collapsed="false">
      <c r="B687" s="197" t="n">
        <v>94491699</v>
      </c>
      <c r="C687" s="197" t="s">
        <v>2178</v>
      </c>
      <c r="D687" s="197" t="s">
        <v>2179</v>
      </c>
      <c r="E687" s="198" t="s">
        <v>944</v>
      </c>
      <c r="F687" s="198" t="s">
        <v>948</v>
      </c>
      <c r="G687" s="225" t="n">
        <v>10237200</v>
      </c>
      <c r="H687" s="225" t="n">
        <v>11627589</v>
      </c>
      <c r="I687" s="225" t="n">
        <v>1089269</v>
      </c>
      <c r="J687" s="198" t="n">
        <v>48</v>
      </c>
      <c r="K687" s="198" t="n">
        <v>1</v>
      </c>
      <c r="L687" s="226" t="n">
        <v>42412</v>
      </c>
      <c r="M687" s="226" t="n">
        <v>37354</v>
      </c>
      <c r="N687" s="227" t="n">
        <v>2</v>
      </c>
      <c r="O687" s="227" t="s">
        <v>135</v>
      </c>
      <c r="P687" s="228" t="n">
        <f aca="false">VLOOKUP(B687,'NIVEL ENERO'!A:D,3,0)</f>
        <v>0.234773766264213</v>
      </c>
      <c r="Q687" s="229" t="n">
        <f aca="false">VLOOKUP(B687,'NIVEL ENERO'!A:D,4,0)</f>
        <v>1896198</v>
      </c>
      <c r="R687" s="186" t="str">
        <f aca="false">+PROPER(C687&amp;" "&amp;D687)</f>
        <v>Collazos Carvajal Miguel Andres</v>
      </c>
      <c r="S687" s="230" t="n">
        <f aca="false">+YEARFRAC(L687,$S$1)</f>
        <v>10.25</v>
      </c>
      <c r="T687" s="230" t="n">
        <f aca="false">+YEARFRAC(M687,$S$1)</f>
        <v>24.0944444444444</v>
      </c>
      <c r="U687" s="231" t="n">
        <f aca="false">+$I687</f>
        <v>1089269</v>
      </c>
      <c r="V687" s="232" t="str">
        <f aca="false">+PROPER(F687)</f>
        <v>Casado(A)</v>
      </c>
    </row>
    <row r="688" customFormat="false" ht="14.25" hidden="false" customHeight="false" outlineLevel="0" collapsed="false">
      <c r="B688" s="197" t="n">
        <v>94492338</v>
      </c>
      <c r="C688" s="197" t="s">
        <v>2180</v>
      </c>
      <c r="D688" s="197" t="s">
        <v>2181</v>
      </c>
      <c r="E688" s="198" t="s">
        <v>944</v>
      </c>
      <c r="F688" s="198" t="s">
        <v>945</v>
      </c>
      <c r="G688" s="225" t="n">
        <v>10237200</v>
      </c>
      <c r="H688" s="225" t="n">
        <v>6645671</v>
      </c>
      <c r="I688" s="225" t="n">
        <v>25291137</v>
      </c>
      <c r="J688" s="198" t="n">
        <v>47</v>
      </c>
      <c r="K688" s="198" t="n">
        <v>1</v>
      </c>
      <c r="L688" s="226" t="n">
        <v>41043</v>
      </c>
      <c r="M688" s="226" t="n">
        <v>39216</v>
      </c>
      <c r="N688" s="227" t="n">
        <v>5</v>
      </c>
      <c r="O688" s="227" t="s">
        <v>135</v>
      </c>
      <c r="P688" s="228" t="n">
        <f aca="false">VLOOKUP(B688,'NIVEL ENERO'!A:D,3,0)</f>
        <v>0.298933692806627</v>
      </c>
      <c r="Q688" s="229" t="n">
        <f aca="false">VLOOKUP(B688,'NIVEL ENERO'!A:D,4,0)</f>
        <v>1239380</v>
      </c>
      <c r="R688" s="186" t="str">
        <f aca="false">+PROPER(C688&amp;" "&amp;D688)</f>
        <v>Millan Taguado Wilmer Jose</v>
      </c>
      <c r="S688" s="230" t="n">
        <f aca="false">+YEARFRAC(L688,$S$1)</f>
        <v>13.9944444444444</v>
      </c>
      <c r="T688" s="230" t="n">
        <f aca="false">+YEARFRAC(M688,$S$1)</f>
        <v>18.9944444444444</v>
      </c>
      <c r="U688" s="231" t="n">
        <f aca="false">+$I688</f>
        <v>25291137</v>
      </c>
      <c r="V688" s="232" t="str">
        <f aca="false">+PROPER(F688)</f>
        <v>Union Libre</v>
      </c>
    </row>
    <row r="689" customFormat="false" ht="14.25" hidden="false" customHeight="false" outlineLevel="0" collapsed="false">
      <c r="B689" s="197" t="n">
        <v>94493424</v>
      </c>
      <c r="C689" s="197" t="s">
        <v>2182</v>
      </c>
      <c r="D689" s="197" t="s">
        <v>2183</v>
      </c>
      <c r="E689" s="198" t="s">
        <v>944</v>
      </c>
      <c r="F689" s="198" t="s">
        <v>953</v>
      </c>
      <c r="G689" s="225" t="n">
        <v>7523500</v>
      </c>
      <c r="H689" s="225" t="n">
        <v>34387421</v>
      </c>
      <c r="I689" s="225" t="n">
        <v>29282906</v>
      </c>
      <c r="J689" s="198" t="n">
        <v>48</v>
      </c>
      <c r="K689" s="198" t="n">
        <v>4</v>
      </c>
      <c r="L689" s="226" t="n">
        <v>42899</v>
      </c>
      <c r="M689" s="226" t="n">
        <v>42309</v>
      </c>
      <c r="N689" s="227" t="n">
        <v>3</v>
      </c>
      <c r="O689" s="227" t="s">
        <v>135</v>
      </c>
      <c r="P689" s="228" t="n">
        <f aca="false">VLOOKUP(B689,'NIVEL ENERO'!A:D,3,0)</f>
        <v>0.314725227265725</v>
      </c>
      <c r="Q689" s="229" t="n">
        <f aca="false">VLOOKUP(B689,'NIVEL ENERO'!A:D,4,0)</f>
        <v>1910089.58</v>
      </c>
      <c r="R689" s="186" t="str">
        <f aca="false">+PROPER(C689&amp;" "&amp;D689)</f>
        <v>Ortiz Micolta Jhon Bernardo</v>
      </c>
      <c r="S689" s="230" t="n">
        <f aca="false">+YEARFRAC(L689,$S$1)</f>
        <v>8.91388888888889</v>
      </c>
      <c r="T689" s="230" t="n">
        <f aca="false">+YEARFRAC(M689,$S$1)</f>
        <v>10.5305555555556</v>
      </c>
      <c r="U689" s="231" t="n">
        <f aca="false">+$I689</f>
        <v>29282906</v>
      </c>
      <c r="V689" s="232" t="str">
        <f aca="false">+PROPER(F689)</f>
        <v>Soltero(A)</v>
      </c>
    </row>
    <row r="690" customFormat="false" ht="14.25" hidden="false" customHeight="false" outlineLevel="0" collapsed="false">
      <c r="B690" s="197" t="n">
        <v>94494552</v>
      </c>
      <c r="C690" s="197" t="s">
        <v>2184</v>
      </c>
      <c r="D690" s="197" t="s">
        <v>957</v>
      </c>
      <c r="E690" s="198" t="s">
        <v>944</v>
      </c>
      <c r="F690" s="198" t="s">
        <v>953</v>
      </c>
      <c r="G690" s="225" t="n">
        <v>2893800</v>
      </c>
      <c r="H690" s="225" t="n">
        <v>4348803</v>
      </c>
      <c r="I690" s="225" t="n">
        <v>4580495</v>
      </c>
      <c r="J690" s="198" t="n">
        <v>47</v>
      </c>
      <c r="K690" s="198" t="n">
        <v>1</v>
      </c>
      <c r="L690" s="226" t="n">
        <v>44669</v>
      </c>
      <c r="M690" s="226" t="n">
        <v>35828</v>
      </c>
      <c r="N690" s="227" t="n">
        <v>1</v>
      </c>
      <c r="O690" s="227" t="s">
        <v>135</v>
      </c>
      <c r="P690" s="228" t="n">
        <f aca="false">VLOOKUP(B690,'NIVEL ENERO'!A:D,3,0)</f>
        <v>0.49270778906628</v>
      </c>
      <c r="Q690" s="229" t="n">
        <f aca="false">VLOOKUP(B690,'NIVEL ENERO'!A:D,4,0)</f>
        <v>-300574</v>
      </c>
      <c r="R690" s="186" t="str">
        <f aca="false">+PROPER(C690&amp;" "&amp;D690)</f>
        <v>Montero Ramirez Alexander</v>
      </c>
      <c r="S690" s="230" t="n">
        <f aca="false">+YEARFRAC(L690,$S$1)</f>
        <v>4.06666666666667</v>
      </c>
      <c r="T690" s="230" t="n">
        <f aca="false">+YEARFRAC(M690,$S$1)</f>
        <v>28.2777777777778</v>
      </c>
      <c r="U690" s="231" t="n">
        <f aca="false">+$I690</f>
        <v>4580495</v>
      </c>
      <c r="V690" s="232" t="str">
        <f aca="false">+PROPER(F690)</f>
        <v>Soltero(A)</v>
      </c>
    </row>
    <row r="691" customFormat="false" ht="14.25" hidden="false" customHeight="false" outlineLevel="0" collapsed="false">
      <c r="B691" s="197" t="n">
        <v>94501835</v>
      </c>
      <c r="C691" s="197" t="s">
        <v>2185</v>
      </c>
      <c r="D691" s="197" t="s">
        <v>1069</v>
      </c>
      <c r="E691" s="198" t="s">
        <v>944</v>
      </c>
      <c r="F691" s="198" t="s">
        <v>948</v>
      </c>
      <c r="G691" s="225" t="n">
        <v>2841300</v>
      </c>
      <c r="H691" s="225" t="n">
        <v>3706369</v>
      </c>
      <c r="I691" s="225" t="n">
        <v>2398750</v>
      </c>
      <c r="J691" s="198" t="n">
        <v>47</v>
      </c>
      <c r="K691" s="198" t="n">
        <v>4</v>
      </c>
      <c r="L691" s="226" t="n">
        <v>43300</v>
      </c>
      <c r="M691" s="226" t="n">
        <v>38904</v>
      </c>
      <c r="N691" s="227" t="n">
        <v>2</v>
      </c>
      <c r="O691" s="227" t="s">
        <v>135</v>
      </c>
      <c r="P691" s="228" t="n">
        <f aca="false">VLOOKUP(B691,'NIVEL ENERO'!A:D,3,0)</f>
        <v>0.400305493964031</v>
      </c>
      <c r="Q691" s="229" t="n">
        <f aca="false">VLOOKUP(B691,'NIVEL ENERO'!A:D,4,0)</f>
        <v>55958</v>
      </c>
      <c r="R691" s="186" t="str">
        <f aca="false">+PROPER(C691&amp;" "&amp;D691)</f>
        <v>Ceron Rengifo Mauricio</v>
      </c>
      <c r="S691" s="230" t="n">
        <f aca="false">+YEARFRAC(L691,$S$1)</f>
        <v>7.81388888888889</v>
      </c>
      <c r="T691" s="230" t="n">
        <f aca="false">+YEARFRAC(M691,$S$1)</f>
        <v>19.85</v>
      </c>
      <c r="U691" s="231" t="n">
        <f aca="false">+$I691</f>
        <v>2398750</v>
      </c>
      <c r="V691" s="232" t="str">
        <f aca="false">+PROPER(F691)</f>
        <v>Casado(A)</v>
      </c>
    </row>
    <row r="692" customFormat="false" ht="14.25" hidden="false" customHeight="false" outlineLevel="0" collapsed="false">
      <c r="B692" s="197" t="n">
        <v>94506736</v>
      </c>
      <c r="C692" s="197" t="s">
        <v>2186</v>
      </c>
      <c r="D692" s="197" t="s">
        <v>2187</v>
      </c>
      <c r="E692" s="198" t="s">
        <v>944</v>
      </c>
      <c r="F692" s="198" t="s">
        <v>953</v>
      </c>
      <c r="G692" s="225" t="n">
        <v>13588800</v>
      </c>
      <c r="H692" s="225" t="n">
        <v>3401763</v>
      </c>
      <c r="I692" s="225"/>
      <c r="J692" s="198" t="n">
        <v>47</v>
      </c>
      <c r="K692" s="198" t="n">
        <v>2</v>
      </c>
      <c r="L692" s="226" t="n">
        <v>45148</v>
      </c>
      <c r="M692" s="226" t="n">
        <v>42983</v>
      </c>
      <c r="N692" s="227" t="n">
        <v>0</v>
      </c>
      <c r="O692" s="227" t="s">
        <v>135</v>
      </c>
      <c r="P692" s="228" t="n">
        <f aca="false">VLOOKUP(B692,'NIVEL ENERO'!A:D,3,0)</f>
        <v>0.235314670905452</v>
      </c>
      <c r="Q692" s="229" t="n">
        <f aca="false">VLOOKUP(B692,'NIVEL ENERO'!A:D,4,0)</f>
        <v>2509652</v>
      </c>
      <c r="R692" s="186" t="str">
        <f aca="false">+PROPER(C692&amp;" "&amp;D692)</f>
        <v>Garcia Castano Jorge Andres</v>
      </c>
      <c r="S692" s="230" t="n">
        <f aca="false">+YEARFRAC(L692,$S$1)</f>
        <v>2.75555555555556</v>
      </c>
      <c r="T692" s="230" t="n">
        <f aca="false">+YEARFRAC(M692,$S$1)</f>
        <v>8.68611111111111</v>
      </c>
      <c r="U692" s="231" t="n">
        <f aca="false">+$I692</f>
        <v>0</v>
      </c>
      <c r="V692" s="232" t="str">
        <f aca="false">+PROPER(F692)</f>
        <v>Soltero(A)</v>
      </c>
    </row>
    <row r="693" customFormat="false" ht="14.25" hidden="false" customHeight="false" outlineLevel="0" collapsed="false">
      <c r="B693" s="197" t="n">
        <v>94506781</v>
      </c>
      <c r="C693" s="197" t="s">
        <v>2188</v>
      </c>
      <c r="D693" s="197" t="s">
        <v>2189</v>
      </c>
      <c r="E693" s="198" t="s">
        <v>944</v>
      </c>
      <c r="F693" s="198" t="s">
        <v>948</v>
      </c>
      <c r="G693" s="225" t="n">
        <v>6247700</v>
      </c>
      <c r="H693" s="225" t="n">
        <v>11292621</v>
      </c>
      <c r="I693" s="225" t="n">
        <v>15166629</v>
      </c>
      <c r="J693" s="198" t="n">
        <v>47</v>
      </c>
      <c r="K693" s="198" t="n">
        <v>1</v>
      </c>
      <c r="L693" s="226" t="n">
        <v>44123</v>
      </c>
      <c r="M693" s="226" t="n">
        <v>44105</v>
      </c>
      <c r="N693" s="227" t="n">
        <v>3</v>
      </c>
      <c r="O693" s="227" t="s">
        <v>135</v>
      </c>
      <c r="P693" s="228" t="n">
        <f aca="false">VLOOKUP(B693,'NIVEL ENERO'!A:D,3,0)</f>
        <v>0.311330331795817</v>
      </c>
      <c r="Q693" s="229" t="n">
        <f aca="false">VLOOKUP(B693,'NIVEL ENERO'!A:D,4,0)</f>
        <v>837204.78</v>
      </c>
      <c r="R693" s="186" t="str">
        <f aca="false">+PROPER(C693&amp;" "&amp;D693)</f>
        <v>Jurado Garcia Eider</v>
      </c>
      <c r="S693" s="230" t="n">
        <f aca="false">+YEARFRAC(L693,$S$1)</f>
        <v>5.56388888888889</v>
      </c>
      <c r="T693" s="230" t="n">
        <f aca="false">+YEARFRAC(M693,$S$1)</f>
        <v>5.61388888888889</v>
      </c>
      <c r="U693" s="231" t="n">
        <f aca="false">+$I693</f>
        <v>15166629</v>
      </c>
      <c r="V693" s="232" t="str">
        <f aca="false">+PROPER(F693)</f>
        <v>Casado(A)</v>
      </c>
    </row>
    <row r="694" customFormat="false" ht="14.25" hidden="false" customHeight="false" outlineLevel="0" collapsed="false">
      <c r="B694" s="197" t="n">
        <v>94512277</v>
      </c>
      <c r="C694" s="197" t="s">
        <v>2190</v>
      </c>
      <c r="D694" s="197" t="s">
        <v>2162</v>
      </c>
      <c r="E694" s="198" t="s">
        <v>944</v>
      </c>
      <c r="F694" s="198" t="s">
        <v>945</v>
      </c>
      <c r="G694" s="225" t="n">
        <v>5679200</v>
      </c>
      <c r="H694" s="225" t="n">
        <v>1005311</v>
      </c>
      <c r="I694" s="225" t="n">
        <v>3874816</v>
      </c>
      <c r="J694" s="198" t="n">
        <v>47</v>
      </c>
      <c r="K694" s="198" t="n">
        <v>2</v>
      </c>
      <c r="L694" s="226" t="n">
        <v>45180</v>
      </c>
      <c r="M694" s="226" t="n">
        <v>38742</v>
      </c>
      <c r="N694" s="227" t="n">
        <v>3</v>
      </c>
      <c r="O694" s="227" t="s">
        <v>135</v>
      </c>
      <c r="P694" s="228" t="n">
        <f aca="false">VLOOKUP(B694,'NIVEL ENERO'!A:D,3,0)</f>
        <v>0.352338809074302</v>
      </c>
      <c r="Q694" s="229" t="n">
        <f aca="false">VLOOKUP(B694,'NIVEL ENERO'!A:D,4,0)</f>
        <v>391467.42</v>
      </c>
      <c r="R694" s="186" t="str">
        <f aca="false">+PROPER(C694&amp;" "&amp;D694)</f>
        <v>Ruiz Saenz Ricardo</v>
      </c>
      <c r="S694" s="230" t="n">
        <f aca="false">+YEARFRAC(L694,$S$1)</f>
        <v>2.66944444444444</v>
      </c>
      <c r="T694" s="230" t="n">
        <f aca="false">+YEARFRAC(M694,$S$1)</f>
        <v>20.2972222222222</v>
      </c>
      <c r="U694" s="231" t="n">
        <f aca="false">+$I694</f>
        <v>3874816</v>
      </c>
      <c r="V694" s="232" t="str">
        <f aca="false">+PROPER(F694)</f>
        <v>Union Libre</v>
      </c>
    </row>
    <row r="695" customFormat="false" ht="14.25" hidden="false" customHeight="false" outlineLevel="0" collapsed="false">
      <c r="B695" s="197" t="n">
        <v>94516656</v>
      </c>
      <c r="C695" s="197" t="s">
        <v>2191</v>
      </c>
      <c r="D695" s="197" t="s">
        <v>2192</v>
      </c>
      <c r="E695" s="198" t="s">
        <v>944</v>
      </c>
      <c r="F695" s="198" t="s">
        <v>948</v>
      </c>
      <c r="G695" s="225" t="n">
        <v>5679200</v>
      </c>
      <c r="H695" s="225" t="n">
        <v>11743068</v>
      </c>
      <c r="I695" s="225" t="n">
        <v>10994212</v>
      </c>
      <c r="J695" s="198" t="n">
        <v>47</v>
      </c>
      <c r="K695" s="198" t="n">
        <v>4</v>
      </c>
      <c r="L695" s="226" t="n">
        <v>43206</v>
      </c>
      <c r="M695" s="226" t="n">
        <v>37972</v>
      </c>
      <c r="N695" s="227" t="n">
        <v>1</v>
      </c>
      <c r="O695" s="227" t="s">
        <v>135</v>
      </c>
      <c r="P695" s="228" t="n">
        <f aca="false">VLOOKUP(B695,'NIVEL ENERO'!A:D,3,0)</f>
        <v>0.365401954937563</v>
      </c>
      <c r="Q695" s="229" t="n">
        <f aca="false">VLOOKUP(B695,'NIVEL ENERO'!A:D,4,0)</f>
        <v>299737.48</v>
      </c>
      <c r="R695" s="186" t="str">
        <f aca="false">+PROPER(C695&amp;" "&amp;D695)</f>
        <v>Herrera Rolon Wilman</v>
      </c>
      <c r="S695" s="230" t="n">
        <f aca="false">+YEARFRAC(L695,$S$1)</f>
        <v>8.07222222222222</v>
      </c>
      <c r="T695" s="230" t="n">
        <f aca="false">+YEARFRAC(M695,$S$1)</f>
        <v>22.4027777777778</v>
      </c>
      <c r="U695" s="231" t="n">
        <f aca="false">+$I695</f>
        <v>10994212</v>
      </c>
      <c r="V695" s="232" t="str">
        <f aca="false">+PROPER(F695)</f>
        <v>Casado(A)</v>
      </c>
    </row>
    <row r="696" customFormat="false" ht="14.25" hidden="false" customHeight="false" outlineLevel="0" collapsed="false">
      <c r="B696" s="197" t="n">
        <v>94521503</v>
      </c>
      <c r="C696" s="197" t="s">
        <v>2193</v>
      </c>
      <c r="D696" s="197" t="s">
        <v>1063</v>
      </c>
      <c r="E696" s="198" t="s">
        <v>944</v>
      </c>
      <c r="F696" s="198" t="s">
        <v>953</v>
      </c>
      <c r="G696" s="225" t="n">
        <v>2089800</v>
      </c>
      <c r="H696" s="225" t="n">
        <v>2107804</v>
      </c>
      <c r="I696" s="225" t="n">
        <v>306231</v>
      </c>
      <c r="J696" s="198" t="n">
        <v>46</v>
      </c>
      <c r="K696" s="198" t="n">
        <v>4</v>
      </c>
      <c r="L696" s="226" t="n">
        <v>45020</v>
      </c>
      <c r="M696" s="226" t="n">
        <v>38810</v>
      </c>
      <c r="N696" s="227" t="n">
        <v>1</v>
      </c>
      <c r="O696" s="227" t="s">
        <v>135</v>
      </c>
      <c r="P696" s="228" t="n">
        <f aca="false">VLOOKUP(B696,'NIVEL ENERO'!A:D,3,0)</f>
        <v>0.242137362394009</v>
      </c>
      <c r="Q696" s="229" t="n">
        <f aca="false">VLOOKUP(B696,'NIVEL ENERO'!A:D,4,0)</f>
        <v>448434.1</v>
      </c>
      <c r="R696" s="186" t="str">
        <f aca="false">+PROPER(C696&amp;" "&amp;D696)</f>
        <v>Montoya Juan Carlos</v>
      </c>
      <c r="S696" s="230" t="n">
        <f aca="false">+YEARFRAC(L696,$S$1)</f>
        <v>3.10555555555556</v>
      </c>
      <c r="T696" s="230" t="n">
        <f aca="false">+YEARFRAC(M696,$S$1)</f>
        <v>20.1083333333333</v>
      </c>
      <c r="U696" s="231" t="n">
        <f aca="false">+$I696</f>
        <v>306231</v>
      </c>
      <c r="V696" s="232" t="str">
        <f aca="false">+PROPER(F696)</f>
        <v>Soltero(A)</v>
      </c>
    </row>
    <row r="697" customFormat="false" ht="14.25" hidden="false" customHeight="false" outlineLevel="0" collapsed="false">
      <c r="B697" s="197" t="n">
        <v>94522827</v>
      </c>
      <c r="C697" s="197" t="s">
        <v>2194</v>
      </c>
      <c r="D697" s="197" t="s">
        <v>2195</v>
      </c>
      <c r="E697" s="198" t="s">
        <v>944</v>
      </c>
      <c r="F697" s="198" t="s">
        <v>953</v>
      </c>
      <c r="G697" s="225" t="n">
        <v>2600900</v>
      </c>
      <c r="H697" s="225" t="n">
        <v>10884912</v>
      </c>
      <c r="I697" s="225" t="n">
        <v>0</v>
      </c>
      <c r="J697" s="198" t="n">
        <v>46</v>
      </c>
      <c r="K697" s="198" t="n">
        <v>2</v>
      </c>
      <c r="L697" s="226" t="n">
        <v>40309</v>
      </c>
      <c r="M697" s="226" t="n">
        <v>40309</v>
      </c>
      <c r="N697" s="227" t="n">
        <v>1</v>
      </c>
      <c r="O697" s="227" t="s">
        <v>135</v>
      </c>
      <c r="P697" s="228" t="n">
        <f aca="false">VLOOKUP(B697,'NIVEL ENERO'!A:D,3,0)</f>
        <v>0.125002499134915</v>
      </c>
      <c r="Q697" s="229" t="n">
        <f aca="false">VLOOKUP(B697,'NIVEL ENERO'!A:D,4,0)</f>
        <v>767259</v>
      </c>
      <c r="R697" s="186" t="str">
        <f aca="false">+PROPER(C697&amp;" "&amp;D697)</f>
        <v>Otero Vidal Carlos Saul</v>
      </c>
      <c r="S697" s="230" t="n">
        <f aca="false">+YEARFRAC(L697,$S$1)</f>
        <v>16.0027777777778</v>
      </c>
      <c r="T697" s="230" t="n">
        <f aca="false">+YEARFRAC(M697,$S$1)</f>
        <v>16.0027777777778</v>
      </c>
      <c r="U697" s="231" t="n">
        <f aca="false">+$I697</f>
        <v>0</v>
      </c>
      <c r="V697" s="232" t="str">
        <f aca="false">+PROPER(F697)</f>
        <v>Soltero(A)</v>
      </c>
    </row>
    <row r="698" customFormat="false" ht="14.25" hidden="false" customHeight="false" outlineLevel="0" collapsed="false">
      <c r="B698" s="197" t="n">
        <v>94525897</v>
      </c>
      <c r="C698" s="197" t="s">
        <v>2196</v>
      </c>
      <c r="D698" s="197" t="s">
        <v>2197</v>
      </c>
      <c r="E698" s="198" t="s">
        <v>944</v>
      </c>
      <c r="F698" s="198" t="s">
        <v>945</v>
      </c>
      <c r="G698" s="225" t="n">
        <v>5679200</v>
      </c>
      <c r="H698" s="225" t="n">
        <v>7001092</v>
      </c>
      <c r="I698" s="225" t="n">
        <v>4233013</v>
      </c>
      <c r="J698" s="198" t="n">
        <v>46</v>
      </c>
      <c r="K698" s="198" t="n">
        <v>2</v>
      </c>
      <c r="L698" s="226" t="n">
        <v>44636</v>
      </c>
      <c r="M698" s="226" t="n">
        <v>40484</v>
      </c>
      <c r="N698" s="227" t="n">
        <v>2</v>
      </c>
      <c r="O698" s="227" t="s">
        <v>135</v>
      </c>
      <c r="P698" s="228" t="n">
        <f aca="false">VLOOKUP(B698,'NIVEL ENERO'!A:D,3,0)</f>
        <v>0.37088602578472</v>
      </c>
      <c r="Q698" s="229" t="n">
        <f aca="false">VLOOKUP(B698,'NIVEL ENERO'!A:D,4,0)</f>
        <v>358987.02</v>
      </c>
      <c r="R698" s="186" t="str">
        <f aca="false">+PROPER(C698&amp;" "&amp;D698)</f>
        <v>Herrera Alvarez Jorge Mario</v>
      </c>
      <c r="S698" s="230" t="n">
        <f aca="false">+YEARFRAC(L698,$S$1)</f>
        <v>4.15555555555556</v>
      </c>
      <c r="T698" s="230" t="n">
        <f aca="false">+YEARFRAC(M698,$S$1)</f>
        <v>15.5277777777778</v>
      </c>
      <c r="U698" s="231" t="n">
        <f aca="false">+$I698</f>
        <v>4233013</v>
      </c>
      <c r="V698" s="232" t="str">
        <f aca="false">+PROPER(F698)</f>
        <v>Union Libre</v>
      </c>
    </row>
    <row r="699" customFormat="false" ht="14.25" hidden="false" customHeight="false" outlineLevel="0" collapsed="false">
      <c r="B699" s="197" t="n">
        <v>94526922</v>
      </c>
      <c r="C699" s="197" t="s">
        <v>2198</v>
      </c>
      <c r="D699" s="197" t="s">
        <v>2199</v>
      </c>
      <c r="E699" s="198" t="s">
        <v>944</v>
      </c>
      <c r="F699" s="198" t="s">
        <v>945</v>
      </c>
      <c r="G699" s="225" t="n">
        <v>8245400</v>
      </c>
      <c r="H699" s="225" t="n">
        <v>3920900</v>
      </c>
      <c r="I699" s="225" t="n">
        <v>149966</v>
      </c>
      <c r="J699" s="198" t="n">
        <v>46</v>
      </c>
      <c r="K699" s="198" t="n">
        <v>1</v>
      </c>
      <c r="L699" s="226" t="n">
        <v>44448</v>
      </c>
      <c r="M699" s="226" t="n">
        <v>44323</v>
      </c>
      <c r="N699" s="227" t="n">
        <v>2</v>
      </c>
      <c r="O699" s="227" t="s">
        <v>135</v>
      </c>
      <c r="P699" s="228" t="n">
        <f aca="false">VLOOKUP(B699,'NIVEL ENERO'!A:D,3,0)</f>
        <v>0.144964848717518</v>
      </c>
      <c r="Q699" s="229" t="n">
        <f aca="false">VLOOKUP(B699,'NIVEL ENERO'!A:D,4,0)</f>
        <v>2292528</v>
      </c>
      <c r="R699" s="186" t="str">
        <f aca="false">+PROPER(C699&amp;" "&amp;D699)</f>
        <v>Zemanate Carlos Guillermo</v>
      </c>
      <c r="S699" s="230" t="n">
        <f aca="false">+YEARFRAC(L699,$S$1)</f>
        <v>4.675</v>
      </c>
      <c r="T699" s="230" t="n">
        <f aca="false">+YEARFRAC(M699,$S$1)</f>
        <v>5.01388888888889</v>
      </c>
      <c r="U699" s="231" t="n">
        <f aca="false">+$I699</f>
        <v>149966</v>
      </c>
      <c r="V699" s="232" t="str">
        <f aca="false">+PROPER(F699)</f>
        <v>Union Libre</v>
      </c>
    </row>
    <row r="700" customFormat="false" ht="14.25" hidden="false" customHeight="false" outlineLevel="0" collapsed="false">
      <c r="B700" s="197" t="n">
        <v>94527022</v>
      </c>
      <c r="C700" s="197" t="s">
        <v>2200</v>
      </c>
      <c r="D700" s="197" t="s">
        <v>2201</v>
      </c>
      <c r="E700" s="198" t="s">
        <v>944</v>
      </c>
      <c r="F700" s="198" t="s">
        <v>945</v>
      </c>
      <c r="G700" s="225" t="n">
        <v>6474400</v>
      </c>
      <c r="H700" s="225" t="n">
        <v>4573350</v>
      </c>
      <c r="I700" s="225" t="n">
        <v>8488992</v>
      </c>
      <c r="J700" s="198" t="n">
        <v>46</v>
      </c>
      <c r="K700" s="198" t="n">
        <v>1</v>
      </c>
      <c r="L700" s="226" t="n">
        <v>44148</v>
      </c>
      <c r="M700" s="226" t="n">
        <v>40238</v>
      </c>
      <c r="N700" s="227" t="n">
        <v>5</v>
      </c>
      <c r="O700" s="227" t="s">
        <v>135</v>
      </c>
      <c r="P700" s="228" t="n">
        <f aca="false">VLOOKUP(B700,'NIVEL ENERO'!A:D,3,0)</f>
        <v>0.40564809094279</v>
      </c>
      <c r="Q700" s="229" t="n">
        <f aca="false">VLOOKUP(B700,'NIVEL ENERO'!A:D,4,0)</f>
        <v>92920</v>
      </c>
      <c r="R700" s="186" t="str">
        <f aca="false">+PROPER(C700&amp;" "&amp;D700)</f>
        <v>Lemos Martinez David Alexander</v>
      </c>
      <c r="S700" s="230" t="n">
        <f aca="false">+YEARFRAC(L700,$S$1)</f>
        <v>5.49722222222222</v>
      </c>
      <c r="T700" s="230" t="n">
        <f aca="false">+YEARFRAC(M700,$S$1)</f>
        <v>16.1972222222222</v>
      </c>
      <c r="U700" s="231" t="n">
        <f aca="false">+$I700</f>
        <v>8488992</v>
      </c>
      <c r="V700" s="232" t="str">
        <f aca="false">+PROPER(F700)</f>
        <v>Union Libre</v>
      </c>
    </row>
    <row r="701" customFormat="false" ht="14.25" hidden="false" customHeight="false" outlineLevel="0" collapsed="false">
      <c r="B701" s="197" t="n">
        <v>94529453</v>
      </c>
      <c r="C701" s="197" t="s">
        <v>2202</v>
      </c>
      <c r="D701" s="197" t="s">
        <v>2203</v>
      </c>
      <c r="E701" s="198" t="s">
        <v>944</v>
      </c>
      <c r="F701" s="198" t="s">
        <v>948</v>
      </c>
      <c r="G701" s="225" t="n">
        <v>2841300</v>
      </c>
      <c r="H701" s="225" t="n">
        <v>1121761</v>
      </c>
      <c r="I701" s="225" t="n">
        <v>3363989</v>
      </c>
      <c r="J701" s="198" t="n">
        <v>46</v>
      </c>
      <c r="K701" s="198" t="n">
        <v>1</v>
      </c>
      <c r="L701" s="226" t="n">
        <v>45117</v>
      </c>
      <c r="M701" s="226" t="n">
        <v>45599</v>
      </c>
      <c r="N701" s="227" t="n">
        <v>0</v>
      </c>
      <c r="O701" s="227" t="s">
        <v>135</v>
      </c>
      <c r="P701" s="228" t="n">
        <f aca="false">VLOOKUP(B701,'NIVEL ENERO'!A:D,3,0)</f>
        <v>0.257619131070505</v>
      </c>
      <c r="Q701" s="229" t="n">
        <f aca="false">VLOOKUP(B701,'NIVEL ENERO'!A:D,4,0)</f>
        <v>543283.14</v>
      </c>
      <c r="R701" s="186" t="str">
        <f aca="false">+PROPER(C701&amp;" "&amp;D701)</f>
        <v>Taborda Arevalo Carlos Ariel</v>
      </c>
      <c r="S701" s="230" t="n">
        <f aca="false">+YEARFRAC(L701,$S$1)</f>
        <v>2.83888888888889</v>
      </c>
      <c r="T701" s="230" t="n">
        <f aca="false">+YEARFRAC(M701,$S$1)</f>
        <v>1.525</v>
      </c>
      <c r="U701" s="231" t="n">
        <f aca="false">+$I701</f>
        <v>3363989</v>
      </c>
      <c r="V701" s="232" t="str">
        <f aca="false">+PROPER(F701)</f>
        <v>Casado(A)</v>
      </c>
    </row>
    <row r="702" customFormat="false" ht="14.25" hidden="false" customHeight="false" outlineLevel="0" collapsed="false">
      <c r="B702" s="197" t="n">
        <v>94531289</v>
      </c>
      <c r="C702" s="197" t="s">
        <v>2204</v>
      </c>
      <c r="D702" s="197" t="s">
        <v>1043</v>
      </c>
      <c r="E702" s="198" t="s">
        <v>944</v>
      </c>
      <c r="F702" s="198" t="s">
        <v>945</v>
      </c>
      <c r="G702" s="225" t="n">
        <v>5291000</v>
      </c>
      <c r="H702" s="225" t="n">
        <v>4737475</v>
      </c>
      <c r="I702" s="225" t="n">
        <v>8271889</v>
      </c>
      <c r="J702" s="198" t="n">
        <v>45</v>
      </c>
      <c r="K702" s="198" t="n">
        <v>2</v>
      </c>
      <c r="L702" s="226" t="n">
        <v>44158</v>
      </c>
      <c r="M702" s="226" t="n">
        <v>40909</v>
      </c>
      <c r="N702" s="227" t="n">
        <v>4</v>
      </c>
      <c r="O702" s="227" t="s">
        <v>135</v>
      </c>
      <c r="P702" s="228" t="n">
        <f aca="false">VLOOKUP(B702,'NIVEL ENERO'!A:D,3,0)</f>
        <v>0.255195420837068</v>
      </c>
      <c r="Q702" s="229" t="n">
        <f aca="false">VLOOKUP(B702,'NIVEL ENERO'!A:D,4,0)</f>
        <v>1161693.58</v>
      </c>
      <c r="R702" s="186" t="str">
        <f aca="false">+PROPER(C702&amp;" "&amp;D702)</f>
        <v>Poveda Clavijo Carlos Alberto</v>
      </c>
      <c r="S702" s="230" t="n">
        <f aca="false">+YEARFRAC(L702,$S$1)</f>
        <v>5.46944444444444</v>
      </c>
      <c r="T702" s="230" t="n">
        <f aca="false">+YEARFRAC(M702,$S$1)</f>
        <v>14.3638888888889</v>
      </c>
      <c r="U702" s="231" t="n">
        <f aca="false">+$I702</f>
        <v>8271889</v>
      </c>
      <c r="V702" s="232" t="str">
        <f aca="false">+PROPER(F702)</f>
        <v>Union Libre</v>
      </c>
    </row>
    <row r="703" customFormat="false" ht="14.25" hidden="false" customHeight="false" outlineLevel="0" collapsed="false">
      <c r="B703" s="197" t="n">
        <v>94533696</v>
      </c>
      <c r="C703" s="197" t="s">
        <v>2205</v>
      </c>
      <c r="D703" s="197" t="s">
        <v>2206</v>
      </c>
      <c r="E703" s="198" t="s">
        <v>944</v>
      </c>
      <c r="F703" s="198" t="s">
        <v>945</v>
      </c>
      <c r="G703" s="225" t="n">
        <v>5291000</v>
      </c>
      <c r="H703" s="225" t="n">
        <v>8435801</v>
      </c>
      <c r="I703" s="225" t="n">
        <v>20495819</v>
      </c>
      <c r="J703" s="198" t="n">
        <v>47</v>
      </c>
      <c r="K703" s="198" t="n">
        <v>2</v>
      </c>
      <c r="L703" s="226" t="n">
        <v>37894</v>
      </c>
      <c r="M703" s="226" t="n">
        <v>36641</v>
      </c>
      <c r="N703" s="227" t="n">
        <v>3</v>
      </c>
      <c r="O703" s="227" t="s">
        <v>135</v>
      </c>
      <c r="P703" s="228" t="n">
        <f aca="false">VLOOKUP(B703,'NIVEL ENERO'!A:D,3,0)</f>
        <v>0.458139820510732</v>
      </c>
      <c r="Q703" s="229" t="n">
        <f aca="false">VLOOKUP(B703,'NIVEL ENERO'!A:D,4,0)</f>
        <v>-212095.58</v>
      </c>
      <c r="R703" s="186" t="str">
        <f aca="false">+PROPER(C703&amp;" "&amp;D703)</f>
        <v>Balanta Morales Juan Fernando</v>
      </c>
      <c r="S703" s="230" t="n">
        <f aca="false">+YEARFRAC(L703,$S$1)</f>
        <v>22.6166666666667</v>
      </c>
      <c r="T703" s="230" t="n">
        <f aca="false">+YEARFRAC(M703,$S$1)</f>
        <v>26.0472222222222</v>
      </c>
      <c r="U703" s="231" t="n">
        <f aca="false">+$I703</f>
        <v>20495819</v>
      </c>
      <c r="V703" s="232" t="str">
        <f aca="false">+PROPER(F703)</f>
        <v>Union Libre</v>
      </c>
    </row>
    <row r="704" customFormat="false" ht="14.25" hidden="false" customHeight="false" outlineLevel="0" collapsed="false">
      <c r="B704" s="197" t="n">
        <v>94537451</v>
      </c>
      <c r="C704" s="197" t="s">
        <v>2207</v>
      </c>
      <c r="D704" s="197" t="s">
        <v>957</v>
      </c>
      <c r="E704" s="198" t="s">
        <v>944</v>
      </c>
      <c r="F704" s="198" t="s">
        <v>998</v>
      </c>
      <c r="G704" s="225" t="n">
        <v>8245400</v>
      </c>
      <c r="H704" s="225" t="n">
        <v>4530351</v>
      </c>
      <c r="I704" s="225" t="n">
        <v>1958053</v>
      </c>
      <c r="J704" s="198" t="n">
        <v>40</v>
      </c>
      <c r="K704" s="198" t="n">
        <v>1</v>
      </c>
      <c r="L704" s="226" t="n">
        <v>43083</v>
      </c>
      <c r="M704" s="226" t="n">
        <v>42018</v>
      </c>
      <c r="N704" s="227" t="n">
        <v>2</v>
      </c>
      <c r="O704" s="227" t="s">
        <v>135</v>
      </c>
      <c r="P704" s="228" t="n">
        <f aca="false">VLOOKUP(B704,'NIVEL ENERO'!A:D,3,0)</f>
        <v>0.163447753481927</v>
      </c>
      <c r="Q704" s="229" t="n">
        <f aca="false">VLOOKUP(B704,'NIVEL ENERO'!A:D,4,0)</f>
        <v>2184645</v>
      </c>
      <c r="R704" s="186" t="str">
        <f aca="false">+PROPER(C704&amp;" "&amp;D704)</f>
        <v>Cuenca Trujillo Alexander</v>
      </c>
      <c r="S704" s="230" t="n">
        <f aca="false">+YEARFRAC(L704,$S$1)</f>
        <v>8.41111111111111</v>
      </c>
      <c r="T704" s="230" t="n">
        <f aca="false">+YEARFRAC(M704,$S$1)</f>
        <v>11.3277777777778</v>
      </c>
      <c r="U704" s="231" t="n">
        <f aca="false">+$I704</f>
        <v>1958053</v>
      </c>
      <c r="V704" s="232" t="str">
        <f aca="false">+PROPER(F704)</f>
        <v>Separado(A)</v>
      </c>
    </row>
    <row r="705" customFormat="false" ht="14.25" hidden="false" customHeight="false" outlineLevel="0" collapsed="false">
      <c r="B705" s="197" t="n">
        <v>94556574</v>
      </c>
      <c r="C705" s="197" t="s">
        <v>2208</v>
      </c>
      <c r="D705" s="197" t="s">
        <v>1063</v>
      </c>
      <c r="E705" s="198" t="s">
        <v>944</v>
      </c>
      <c r="F705" s="198" t="s">
        <v>953</v>
      </c>
      <c r="G705" s="225" t="n">
        <v>2255900</v>
      </c>
      <c r="H705" s="225" t="n">
        <v>2105435</v>
      </c>
      <c r="I705" s="225" t="n">
        <v>510792</v>
      </c>
      <c r="J705" s="198" t="n">
        <v>39</v>
      </c>
      <c r="K705" s="198" t="n">
        <v>2</v>
      </c>
      <c r="L705" s="226" t="n">
        <v>45020</v>
      </c>
      <c r="M705" s="226" t="n">
        <v>41167</v>
      </c>
      <c r="N705" s="227" t="n">
        <v>2</v>
      </c>
      <c r="O705" s="227" t="s">
        <v>135</v>
      </c>
      <c r="P705" s="228" t="n">
        <f aca="false">VLOOKUP(B705,'NIVEL ENERO'!A:D,3,0)</f>
        <v>0.387636633830043</v>
      </c>
      <c r="Q705" s="229" t="n">
        <f aca="false">VLOOKUP(B705,'NIVEL ENERO'!A:D,4,0)</f>
        <v>96635.76</v>
      </c>
      <c r="R705" s="186" t="str">
        <f aca="false">+PROPER(C705&amp;" "&amp;D705)</f>
        <v>Miramag Munoz Juan Carlos</v>
      </c>
      <c r="S705" s="230" t="n">
        <f aca="false">+YEARFRAC(L705,$S$1)</f>
        <v>3.10555555555556</v>
      </c>
      <c r="T705" s="230" t="n">
        <f aca="false">+YEARFRAC(M705,$S$1)</f>
        <v>13.6583333333333</v>
      </c>
      <c r="U705" s="231" t="n">
        <f aca="false">+$I705</f>
        <v>510792</v>
      </c>
      <c r="V705" s="232" t="str">
        <f aca="false">+PROPER(F705)</f>
        <v>Soltero(A)</v>
      </c>
    </row>
    <row r="706" customFormat="false" ht="14.25" hidden="false" customHeight="false" outlineLevel="0" collapsed="false">
      <c r="B706" s="197" t="n">
        <v>800165030</v>
      </c>
      <c r="C706" s="197" t="s">
        <v>2209</v>
      </c>
      <c r="D706" s="197" t="s">
        <v>2210</v>
      </c>
      <c r="E706" s="198" t="s">
        <v>944</v>
      </c>
      <c r="F706" s="198" t="s">
        <v>948</v>
      </c>
      <c r="G706" s="225" t="n">
        <v>0</v>
      </c>
      <c r="H706" s="225" t="n">
        <v>204840225.33</v>
      </c>
      <c r="I706" s="225"/>
      <c r="J706" s="198" t="n">
        <v>27</v>
      </c>
      <c r="K706" s="198" t="n">
        <v>5</v>
      </c>
      <c r="L706" s="226" t="n">
        <v>44335</v>
      </c>
      <c r="M706" s="226" t="n">
        <v>35466</v>
      </c>
      <c r="N706" s="227" t="n">
        <v>0</v>
      </c>
      <c r="O706" s="227" t="s">
        <v>153</v>
      </c>
      <c r="P706" s="228" t="e">
        <f aca="false">VLOOKUP(B706,'NIVEL ENERO'!A:D,3,0)</f>
        <v>#N/A</v>
      </c>
      <c r="Q706" s="229" t="e">
        <f aca="false">VLOOKUP(B706,'NIVEL ENERO'!A:D,4,0)</f>
        <v>#N/A</v>
      </c>
      <c r="R706" s="186" t="str">
        <f aca="false">+PROPER(C706&amp;" "&amp;D706)</f>
        <v>Cooperativa De Trabajadores De La Fundacion Valle Del Lili</v>
      </c>
      <c r="S706" s="230" t="n">
        <f aca="false">+YEARFRAC(L706,$S$1)</f>
        <v>4.98055555555556</v>
      </c>
      <c r="T706" s="230" t="n">
        <f aca="false">+YEARFRAC(M706,$S$1)</f>
        <v>29.2694444444444</v>
      </c>
      <c r="U706" s="231" t="n">
        <f aca="false">+$I706</f>
        <v>0</v>
      </c>
      <c r="V706" s="232" t="str">
        <f aca="false">+PROPER(F706)</f>
        <v>Casado(A)</v>
      </c>
    </row>
    <row r="707" customFormat="false" ht="14.25" hidden="false" customHeight="false" outlineLevel="0" collapsed="false">
      <c r="B707" s="197" t="n">
        <v>1001349725</v>
      </c>
      <c r="C707" s="197" t="s">
        <v>2211</v>
      </c>
      <c r="D707" s="197" t="s">
        <v>2212</v>
      </c>
      <c r="E707" s="198" t="s">
        <v>944</v>
      </c>
      <c r="F707" s="198" t="s">
        <v>953</v>
      </c>
      <c r="G707" s="225" t="n">
        <v>3489600</v>
      </c>
      <c r="H707" s="225" t="n">
        <v>520000</v>
      </c>
      <c r="I707" s="225"/>
      <c r="J707" s="198" t="n">
        <v>23</v>
      </c>
      <c r="K707" s="198" t="n">
        <v>2</v>
      </c>
      <c r="L707" s="226" t="n">
        <v>45414</v>
      </c>
      <c r="M707" s="226" t="n">
        <v>45392</v>
      </c>
      <c r="N707" s="227" t="n">
        <v>0</v>
      </c>
      <c r="O707" s="227" t="s">
        <v>135</v>
      </c>
      <c r="P707" s="228" t="n">
        <f aca="false">VLOOKUP(B707,'NIVEL ENERO'!A:D,3,0)</f>
        <v>0.104592216872994</v>
      </c>
      <c r="Q707" s="229" t="n">
        <f aca="false">VLOOKUP(B707,'NIVEL ENERO'!A:D,4,0)</f>
        <v>1100647</v>
      </c>
      <c r="R707" s="186" t="str">
        <f aca="false">+PROPER(C707&amp;" "&amp;D707)</f>
        <v>Lopez Garcia Santiago</v>
      </c>
      <c r="S707" s="230" t="n">
        <f aca="false">+YEARFRAC(L707,$S$1)</f>
        <v>2.02777777777778</v>
      </c>
      <c r="T707" s="230" t="n">
        <f aca="false">+YEARFRAC(M707,$S$1)</f>
        <v>2.08888888888889</v>
      </c>
      <c r="U707" s="231" t="n">
        <f aca="false">+$I707</f>
        <v>0</v>
      </c>
      <c r="V707" s="232" t="str">
        <f aca="false">+PROPER(F707)</f>
        <v>Soltero(A)</v>
      </c>
    </row>
    <row r="708" customFormat="false" ht="14.25" hidden="false" customHeight="false" outlineLevel="0" collapsed="false">
      <c r="B708" s="197" t="n">
        <v>1002806316</v>
      </c>
      <c r="C708" s="197" t="s">
        <v>2213</v>
      </c>
      <c r="D708" s="197" t="s">
        <v>2214</v>
      </c>
      <c r="E708" s="198" t="s">
        <v>944</v>
      </c>
      <c r="F708" s="198" t="s">
        <v>953</v>
      </c>
      <c r="G708" s="225" t="n">
        <v>2600900</v>
      </c>
      <c r="H708" s="225" t="n">
        <v>1860209</v>
      </c>
      <c r="I708" s="225" t="n">
        <v>0</v>
      </c>
      <c r="J708" s="198" t="n">
        <v>23</v>
      </c>
      <c r="K708" s="198" t="n">
        <v>1</v>
      </c>
      <c r="L708" s="226" t="n">
        <v>44672</v>
      </c>
      <c r="M708" s="226" t="n">
        <v>44228</v>
      </c>
      <c r="N708" s="227" t="n">
        <v>1</v>
      </c>
      <c r="O708" s="227" t="s">
        <v>135</v>
      </c>
      <c r="P708" s="228" t="n">
        <f aca="false">VLOOKUP(B708,'NIVEL ENERO'!A:D,3,0)</f>
        <v>0.114369634497761</v>
      </c>
      <c r="Q708" s="229" t="n">
        <f aca="false">VLOOKUP(B708,'NIVEL ENERO'!A:D,4,0)</f>
        <v>1077972.46</v>
      </c>
      <c r="R708" s="186" t="str">
        <f aca="false">+PROPER(C708&amp;" "&amp;D708)</f>
        <v>Timana Imbachi Gelen Yojana</v>
      </c>
      <c r="S708" s="230" t="n">
        <f aca="false">+YEARFRAC(L708,$S$1)</f>
        <v>4.05833333333333</v>
      </c>
      <c r="T708" s="230" t="n">
        <f aca="false">+YEARFRAC(M708,$S$1)</f>
        <v>5.28055555555556</v>
      </c>
      <c r="U708" s="231" t="n">
        <f aca="false">+$I708</f>
        <v>0</v>
      </c>
      <c r="V708" s="232" t="str">
        <f aca="false">+PROPER(F708)</f>
        <v>Soltero(A)</v>
      </c>
    </row>
    <row r="709" customFormat="false" ht="14.25" hidden="false" customHeight="false" outlineLevel="0" collapsed="false">
      <c r="B709" s="197" t="n">
        <v>1002839691</v>
      </c>
      <c r="C709" s="197" t="s">
        <v>2215</v>
      </c>
      <c r="D709" s="197" t="s">
        <v>2216</v>
      </c>
      <c r="E709" s="198" t="s">
        <v>944</v>
      </c>
      <c r="F709" s="198" t="s">
        <v>945</v>
      </c>
      <c r="G709" s="225" t="n">
        <v>1991000</v>
      </c>
      <c r="H709" s="225" t="n">
        <v>1506656</v>
      </c>
      <c r="I709" s="225" t="n">
        <v>2012184</v>
      </c>
      <c r="J709" s="198" t="n">
        <v>30</v>
      </c>
      <c r="K709" s="198" t="n">
        <v>2</v>
      </c>
      <c r="L709" s="226" t="n">
        <v>44876</v>
      </c>
      <c r="M709" s="226" t="n">
        <v>44041</v>
      </c>
      <c r="N709" s="227" t="n">
        <v>2</v>
      </c>
      <c r="O709" s="227" t="s">
        <v>135</v>
      </c>
      <c r="P709" s="228" t="n">
        <f aca="false">VLOOKUP(B709,'NIVEL ENERO'!A:D,3,0)</f>
        <v>0.323446103787752</v>
      </c>
      <c r="Q709" s="229" t="n">
        <f aca="false">VLOOKUP(B709,'NIVEL ENERO'!A:D,4,0)</f>
        <v>231459</v>
      </c>
      <c r="R709" s="186" t="str">
        <f aca="false">+PROPER(C709&amp;" "&amp;D709)</f>
        <v>Mancilla Lerma Yendy Rocio</v>
      </c>
      <c r="S709" s="230" t="n">
        <f aca="false">+YEARFRAC(L709,$S$1)</f>
        <v>3.50277777777778</v>
      </c>
      <c r="T709" s="230" t="n">
        <f aca="false">+YEARFRAC(M709,$S$1)</f>
        <v>5.78611111111111</v>
      </c>
      <c r="U709" s="231" t="n">
        <f aca="false">+$I709</f>
        <v>2012184</v>
      </c>
      <c r="V709" s="232" t="str">
        <f aca="false">+PROPER(F709)</f>
        <v>Union Libre</v>
      </c>
    </row>
    <row r="710" customFormat="false" ht="14.25" hidden="false" customHeight="false" outlineLevel="0" collapsed="false">
      <c r="B710" s="197" t="n">
        <v>1002839789</v>
      </c>
      <c r="C710" s="197" t="s">
        <v>2217</v>
      </c>
      <c r="D710" s="197" t="s">
        <v>2218</v>
      </c>
      <c r="E710" s="198" t="s">
        <v>944</v>
      </c>
      <c r="F710" s="198" t="s">
        <v>953</v>
      </c>
      <c r="G710" s="225" t="n">
        <v>1918500</v>
      </c>
      <c r="H710" s="225" t="n">
        <v>1708686</v>
      </c>
      <c r="I710" s="225" t="n">
        <v>0</v>
      </c>
      <c r="J710" s="198" t="n">
        <v>29</v>
      </c>
      <c r="K710" s="198" t="n">
        <v>2</v>
      </c>
      <c r="L710" s="226" t="n">
        <v>44757</v>
      </c>
      <c r="M710" s="226" t="n">
        <v>44410</v>
      </c>
      <c r="N710" s="227" t="n">
        <v>2</v>
      </c>
      <c r="O710" s="227" t="s">
        <v>135</v>
      </c>
      <c r="P710" s="228" t="n">
        <f aca="false">VLOOKUP(B710,'NIVEL ENERO'!A:D,3,0)</f>
        <v>0.377360969507428</v>
      </c>
      <c r="Q710" s="229" t="n">
        <f aca="false">VLOOKUP(B710,'NIVEL ENERO'!A:D,4,0)</f>
        <v>194769</v>
      </c>
      <c r="R710" s="186" t="str">
        <f aca="false">+PROPER(C710&amp;" "&amp;D710)</f>
        <v>Caicedo Sinisterra Clarivel</v>
      </c>
      <c r="S710" s="230" t="n">
        <f aca="false">+YEARFRAC(L710,$S$1)</f>
        <v>3.825</v>
      </c>
      <c r="T710" s="230" t="n">
        <f aca="false">+YEARFRAC(M710,$S$1)</f>
        <v>4.77777777777778</v>
      </c>
      <c r="U710" s="231" t="n">
        <f aca="false">+$I710</f>
        <v>0</v>
      </c>
      <c r="V710" s="232" t="str">
        <f aca="false">+PROPER(F710)</f>
        <v>Soltero(A)</v>
      </c>
    </row>
    <row r="711" customFormat="false" ht="14.25" hidden="false" customHeight="false" outlineLevel="0" collapsed="false">
      <c r="B711" s="197" t="n">
        <v>1002858305</v>
      </c>
      <c r="C711" s="197" t="s">
        <v>2219</v>
      </c>
      <c r="D711" s="197" t="s">
        <v>2220</v>
      </c>
      <c r="E711" s="198" t="s">
        <v>944</v>
      </c>
      <c r="F711" s="198" t="s">
        <v>945</v>
      </c>
      <c r="G711" s="225" t="n">
        <v>2893800</v>
      </c>
      <c r="H711" s="225" t="n">
        <v>1456149</v>
      </c>
      <c r="I711" s="225" t="n">
        <v>0</v>
      </c>
      <c r="J711" s="198" t="n">
        <v>26</v>
      </c>
      <c r="K711" s="198" t="n">
        <v>2</v>
      </c>
      <c r="L711" s="226" t="n">
        <v>44936</v>
      </c>
      <c r="M711" s="226" t="n">
        <v>43355</v>
      </c>
      <c r="N711" s="227" t="n">
        <v>0</v>
      </c>
      <c r="O711" s="227" t="s">
        <v>135</v>
      </c>
      <c r="P711" s="228" t="n">
        <f aca="false">VLOOKUP(B711,'NIVEL ENERO'!A:D,3,0)</f>
        <v>0.319517297696445</v>
      </c>
      <c r="Q711" s="229" t="n">
        <f aca="false">VLOOKUP(B711,'NIVEL ENERO'!A:D,4,0)</f>
        <v>394171.2</v>
      </c>
      <c r="R711" s="186" t="str">
        <f aca="false">+PROPER(C711&amp;" "&amp;D711)</f>
        <v>Ulabarry Kevin Alexander</v>
      </c>
      <c r="S711" s="230" t="n">
        <f aca="false">+YEARFRAC(L711,$S$1)</f>
        <v>3.33888888888889</v>
      </c>
      <c r="T711" s="230" t="n">
        <f aca="false">+YEARFRAC(M711,$S$1)</f>
        <v>7.66666666666667</v>
      </c>
      <c r="U711" s="231" t="n">
        <f aca="false">+$I711</f>
        <v>0</v>
      </c>
      <c r="V711" s="232" t="str">
        <f aca="false">+PROPER(F711)</f>
        <v>Union Libre</v>
      </c>
    </row>
    <row r="712" customFormat="false" ht="14.25" hidden="false" customHeight="false" outlineLevel="0" collapsed="false">
      <c r="B712" s="197" t="n">
        <v>1002917636</v>
      </c>
      <c r="C712" s="197" t="s">
        <v>2221</v>
      </c>
      <c r="D712" s="197" t="s">
        <v>2222</v>
      </c>
      <c r="E712" s="198" t="s">
        <v>944</v>
      </c>
      <c r="F712" s="198" t="s">
        <v>953</v>
      </c>
      <c r="G712" s="225" t="n">
        <v>2604400</v>
      </c>
      <c r="H712" s="225" t="n">
        <v>100000</v>
      </c>
      <c r="I712" s="225"/>
      <c r="J712" s="198" t="n">
        <v>28</v>
      </c>
      <c r="K712" s="198" t="n">
        <v>2</v>
      </c>
      <c r="L712" s="226" t="n">
        <v>45644</v>
      </c>
      <c r="M712" s="226" t="n">
        <v>45203</v>
      </c>
      <c r="N712" s="227" t="n">
        <v>0</v>
      </c>
      <c r="O712" s="227" t="s">
        <v>135</v>
      </c>
      <c r="P712" s="228" t="e">
        <f aca="false">VLOOKUP(B712,'NIVEL ENERO'!A:D,3,0)</f>
        <v>#N/A</v>
      </c>
      <c r="Q712" s="229" t="e">
        <f aca="false">VLOOKUP(B712,'NIVEL ENERO'!A:D,4,0)</f>
        <v>#N/A</v>
      </c>
      <c r="R712" s="186" t="str">
        <f aca="false">+PROPER(C712&amp;" "&amp;D712)</f>
        <v>Rengifo Flor Harold Alexis</v>
      </c>
      <c r="S712" s="230" t="n">
        <f aca="false">+YEARFRAC(L712,$S$1)</f>
        <v>1.4</v>
      </c>
      <c r="T712" s="230" t="n">
        <f aca="false">+YEARFRAC(M712,$S$1)</f>
        <v>2.60555555555556</v>
      </c>
      <c r="U712" s="231" t="n">
        <f aca="false">+$I712</f>
        <v>0</v>
      </c>
      <c r="V712" s="232" t="str">
        <f aca="false">+PROPER(F712)</f>
        <v>Soltero(A)</v>
      </c>
    </row>
    <row r="713" customFormat="false" ht="14.25" hidden="false" customHeight="false" outlineLevel="0" collapsed="false">
      <c r="B713" s="197" t="n">
        <v>1002924623</v>
      </c>
      <c r="C713" s="197" t="s">
        <v>2223</v>
      </c>
      <c r="D713" s="197" t="s">
        <v>2224</v>
      </c>
      <c r="E713" s="198" t="s">
        <v>944</v>
      </c>
      <c r="F713" s="198" t="s">
        <v>953</v>
      </c>
      <c r="G713" s="225" t="n">
        <v>2600900</v>
      </c>
      <c r="H713" s="225" t="n">
        <v>2105070</v>
      </c>
      <c r="I713" s="225" t="n">
        <v>502187</v>
      </c>
      <c r="J713" s="198" t="n">
        <v>29</v>
      </c>
      <c r="K713" s="198" t="n">
        <v>2</v>
      </c>
      <c r="L713" s="226" t="n">
        <v>44886</v>
      </c>
      <c r="M713" s="226" t="n">
        <v>44330</v>
      </c>
      <c r="N713" s="227" t="n">
        <v>0</v>
      </c>
      <c r="O713" s="227" t="s">
        <v>135</v>
      </c>
      <c r="P713" s="228" t="n">
        <f aca="false">VLOOKUP(B713,'NIVEL ENERO'!A:D,3,0)</f>
        <v>0.274583797916106</v>
      </c>
      <c r="Q713" s="229" t="n">
        <f aca="false">VLOOKUP(B713,'NIVEL ENERO'!A:D,4,0)</f>
        <v>378213</v>
      </c>
      <c r="R713" s="186" t="str">
        <f aca="false">+PROPER(C713&amp;" "&amp;D713)</f>
        <v>Vidal Caicedo Cristian Andres</v>
      </c>
      <c r="S713" s="230" t="n">
        <f aca="false">+YEARFRAC(L713,$S$1)</f>
        <v>3.475</v>
      </c>
      <c r="T713" s="230" t="n">
        <f aca="false">+YEARFRAC(M713,$S$1)</f>
        <v>4.99444444444444</v>
      </c>
      <c r="U713" s="231" t="n">
        <f aca="false">+$I713</f>
        <v>502187</v>
      </c>
      <c r="V713" s="232" t="str">
        <f aca="false">+PROPER(F713)</f>
        <v>Soltero(A)</v>
      </c>
    </row>
    <row r="714" customFormat="false" ht="14.25" hidden="false" customHeight="false" outlineLevel="0" collapsed="false">
      <c r="B714" s="197" t="n">
        <v>1002927469</v>
      </c>
      <c r="C714" s="197" t="s">
        <v>2225</v>
      </c>
      <c r="D714" s="197" t="s">
        <v>2226</v>
      </c>
      <c r="E714" s="198" t="s">
        <v>944</v>
      </c>
      <c r="F714" s="198" t="s">
        <v>953</v>
      </c>
      <c r="G714" s="225" t="n">
        <v>2893800</v>
      </c>
      <c r="H714" s="225" t="n">
        <v>1506656</v>
      </c>
      <c r="I714" s="225"/>
      <c r="J714" s="198" t="n">
        <v>22</v>
      </c>
      <c r="K714" s="198" t="n">
        <v>2</v>
      </c>
      <c r="L714" s="226" t="n">
        <v>44909</v>
      </c>
      <c r="M714" s="226" t="n">
        <v>44805</v>
      </c>
      <c r="N714" s="227" t="n">
        <v>0</v>
      </c>
      <c r="O714" s="227" t="s">
        <v>135</v>
      </c>
      <c r="P714" s="228" t="n">
        <f aca="false">VLOOKUP(B714,'NIVEL ENERO'!A:D,3,0)</f>
        <v>0.11319665009874</v>
      </c>
      <c r="Q714" s="229" t="n">
        <f aca="false">VLOOKUP(B714,'NIVEL ENERO'!A:D,4,0)</f>
        <v>1299895.42</v>
      </c>
      <c r="R714" s="186" t="str">
        <f aca="false">+PROPER(C714&amp;" "&amp;D714)</f>
        <v>Fajardo Valdes Maritza Yuliana</v>
      </c>
      <c r="S714" s="230" t="n">
        <f aca="false">+YEARFRAC(L714,$S$1)</f>
        <v>3.41111111111111</v>
      </c>
      <c r="T714" s="230" t="n">
        <f aca="false">+YEARFRAC(M714,$S$1)</f>
        <v>3.69722222222222</v>
      </c>
      <c r="U714" s="231" t="n">
        <f aca="false">+$I714</f>
        <v>0</v>
      </c>
      <c r="V714" s="232" t="str">
        <f aca="false">+PROPER(F714)</f>
        <v>Soltero(A)</v>
      </c>
    </row>
    <row r="715" customFormat="false" ht="14.25" hidden="false" customHeight="false" outlineLevel="0" collapsed="false">
      <c r="B715" s="197" t="n">
        <v>1002936067</v>
      </c>
      <c r="C715" s="197" t="s">
        <v>2227</v>
      </c>
      <c r="D715" s="197" t="s">
        <v>2228</v>
      </c>
      <c r="E715" s="198" t="s">
        <v>944</v>
      </c>
      <c r="F715" s="198" t="s">
        <v>953</v>
      </c>
      <c r="G715" s="225" t="n">
        <v>1670000</v>
      </c>
      <c r="H715" s="225" t="n">
        <v>2607705</v>
      </c>
      <c r="I715" s="225" t="n">
        <v>721286</v>
      </c>
      <c r="J715" s="198" t="n">
        <v>24</v>
      </c>
      <c r="K715" s="198" t="n">
        <v>4</v>
      </c>
      <c r="L715" s="226" t="n">
        <v>44886</v>
      </c>
      <c r="M715" s="226" t="n">
        <v>44691</v>
      </c>
      <c r="N715" s="227" t="n">
        <v>0</v>
      </c>
      <c r="O715" s="227" t="s">
        <v>135</v>
      </c>
      <c r="P715" s="228" t="n">
        <f aca="false">VLOOKUP(B715,'NIVEL ENERO'!A:D,3,0)</f>
        <v>0.422881757131538</v>
      </c>
      <c r="Q715" s="229" t="n">
        <f aca="false">VLOOKUP(B715,'NIVEL ENERO'!A:D,4,0)</f>
        <v>-13318.3333333333</v>
      </c>
      <c r="R715" s="186" t="str">
        <f aca="false">+PROPER(C715&amp;" "&amp;D715)</f>
        <v>Ledezma Cuero Limka Mary</v>
      </c>
      <c r="S715" s="230" t="n">
        <f aca="false">+YEARFRAC(L715,$S$1)</f>
        <v>3.475</v>
      </c>
      <c r="T715" s="230" t="n">
        <f aca="false">+YEARFRAC(M715,$S$1)</f>
        <v>4.00555555555556</v>
      </c>
      <c r="U715" s="231" t="n">
        <f aca="false">+$I715</f>
        <v>721286</v>
      </c>
      <c r="V715" s="232" t="str">
        <f aca="false">+PROPER(F715)</f>
        <v>Soltero(A)</v>
      </c>
    </row>
    <row r="716" customFormat="false" ht="14.25" hidden="false" customHeight="false" outlineLevel="0" collapsed="false">
      <c r="B716" s="197" t="n">
        <v>1002954062</v>
      </c>
      <c r="C716" s="197" t="s">
        <v>2229</v>
      </c>
      <c r="D716" s="197" t="s">
        <v>2230</v>
      </c>
      <c r="E716" s="198" t="s">
        <v>944</v>
      </c>
      <c r="F716" s="198" t="s">
        <v>953</v>
      </c>
      <c r="G716" s="225" t="n">
        <v>2255900</v>
      </c>
      <c r="H716" s="225" t="n">
        <v>4172329</v>
      </c>
      <c r="I716" s="225"/>
      <c r="J716" s="198" t="n">
        <v>24</v>
      </c>
      <c r="K716" s="198" t="n">
        <v>2</v>
      </c>
      <c r="L716" s="226" t="n">
        <v>44853</v>
      </c>
      <c r="M716" s="226" t="n">
        <v>44454</v>
      </c>
      <c r="N716" s="227" t="n">
        <v>0</v>
      </c>
      <c r="O716" s="227" t="s">
        <v>135</v>
      </c>
      <c r="P716" s="228" t="n">
        <f aca="false">VLOOKUP(B716,'NIVEL ENERO'!A:D,3,0)</f>
        <v>0.161573642484822</v>
      </c>
      <c r="Q716" s="229" t="n">
        <f aca="false">VLOOKUP(B716,'NIVEL ENERO'!A:D,4,0)</f>
        <v>1047769.94</v>
      </c>
      <c r="R716" s="186" t="str">
        <f aca="false">+PROPER(C716&amp;" "&amp;D716)</f>
        <v>Hernandez Salazar Ingrid Paola</v>
      </c>
      <c r="S716" s="230" t="n">
        <f aca="false">+YEARFRAC(L716,$S$1)</f>
        <v>3.56388888888889</v>
      </c>
      <c r="T716" s="230" t="n">
        <f aca="false">+YEARFRAC(M716,$S$1)</f>
        <v>4.65833333333333</v>
      </c>
      <c r="U716" s="231" t="n">
        <f aca="false">+$I716</f>
        <v>0</v>
      </c>
      <c r="V716" s="232" t="str">
        <f aca="false">+PROPER(F716)</f>
        <v>Soltero(A)</v>
      </c>
    </row>
    <row r="717" customFormat="false" ht="14.25" hidden="false" customHeight="false" outlineLevel="0" collapsed="false">
      <c r="B717" s="197" t="n">
        <v>1002956858</v>
      </c>
      <c r="C717" s="197" t="s">
        <v>2231</v>
      </c>
      <c r="D717" s="197" t="s">
        <v>2232</v>
      </c>
      <c r="E717" s="198" t="s">
        <v>944</v>
      </c>
      <c r="F717" s="198" t="s">
        <v>953</v>
      </c>
      <c r="G717" s="225" t="n">
        <v>1991000</v>
      </c>
      <c r="H717" s="225" t="n">
        <v>2296465</v>
      </c>
      <c r="I717" s="225" t="n">
        <v>63483</v>
      </c>
      <c r="J717" s="198" t="n">
        <v>27</v>
      </c>
      <c r="K717" s="198" t="n">
        <v>1</v>
      </c>
      <c r="L717" s="226" t="n">
        <v>44908</v>
      </c>
      <c r="M717" s="226" t="n">
        <v>44489</v>
      </c>
      <c r="N717" s="227" t="n">
        <v>0</v>
      </c>
      <c r="O717" s="227" t="s">
        <v>135</v>
      </c>
      <c r="P717" s="228" t="n">
        <f aca="false">VLOOKUP(B717,'NIVEL ENERO'!A:D,3,0)</f>
        <v>0.275871421396283</v>
      </c>
      <c r="Q717" s="229" t="n">
        <f aca="false">VLOOKUP(B717,'NIVEL ENERO'!A:D,4,0)</f>
        <v>286960</v>
      </c>
      <c r="R717" s="186" t="str">
        <f aca="false">+PROPER(C717&amp;" "&amp;D717)</f>
        <v>Villaquiran Jaramillo Linda Valeria</v>
      </c>
      <c r="S717" s="230" t="n">
        <f aca="false">+YEARFRAC(L717,$S$1)</f>
        <v>3.41388888888889</v>
      </c>
      <c r="T717" s="230" t="n">
        <f aca="false">+YEARFRAC(M717,$S$1)</f>
        <v>4.56111111111111</v>
      </c>
      <c r="U717" s="231" t="n">
        <f aca="false">+$I717</f>
        <v>63483</v>
      </c>
      <c r="V717" s="232" t="str">
        <f aca="false">+PROPER(F717)</f>
        <v>Soltero(A)</v>
      </c>
    </row>
    <row r="718" customFormat="false" ht="14.25" hidden="false" customHeight="false" outlineLevel="0" collapsed="false">
      <c r="B718" s="197" t="n">
        <v>1002993980</v>
      </c>
      <c r="C718" s="197" t="s">
        <v>2233</v>
      </c>
      <c r="D718" s="197" t="s">
        <v>2234</v>
      </c>
      <c r="E718" s="198" t="s">
        <v>944</v>
      </c>
      <c r="F718" s="198" t="s">
        <v>953</v>
      </c>
      <c r="G718" s="225" t="n">
        <v>1670000</v>
      </c>
      <c r="H718" s="225" t="n">
        <v>2099109</v>
      </c>
      <c r="I718" s="225" t="n">
        <v>455382</v>
      </c>
      <c r="J718" s="198" t="n">
        <v>30</v>
      </c>
      <c r="K718" s="198" t="n">
        <v>2</v>
      </c>
      <c r="L718" s="226" t="n">
        <v>44522</v>
      </c>
      <c r="M718" s="226" t="n">
        <v>44491</v>
      </c>
      <c r="N718" s="227" t="n">
        <v>1</v>
      </c>
      <c r="O718" s="227" t="s">
        <v>135</v>
      </c>
      <c r="P718" s="228" t="str">
        <f aca="false">VLOOKUP(B718,'NIVEL ENERO'!A:D,3,0)</f>
        <v>0</v>
      </c>
      <c r="Q718" s="229" t="n">
        <f aca="false">VLOOKUP(B718,'NIVEL ENERO'!A:D,4,0)</f>
        <v>0</v>
      </c>
      <c r="R718" s="186" t="str">
        <f aca="false">+PROPER(C718&amp;" "&amp;D718)</f>
        <v>Soscue Grijalva Cristian Albeiro</v>
      </c>
      <c r="S718" s="230" t="n">
        <f aca="false">+YEARFRAC(L718,$S$1)</f>
        <v>4.47222222222222</v>
      </c>
      <c r="T718" s="230" t="n">
        <f aca="false">+YEARFRAC(M718,$S$1)</f>
        <v>4.55555555555556</v>
      </c>
      <c r="U718" s="231" t="n">
        <f aca="false">+$I718</f>
        <v>455382</v>
      </c>
      <c r="V718" s="232" t="str">
        <f aca="false">+PROPER(F718)</f>
        <v>Soltero(A)</v>
      </c>
    </row>
    <row r="719" customFormat="false" ht="14.25" hidden="false" customHeight="false" outlineLevel="0" collapsed="false">
      <c r="B719" s="197" t="n">
        <v>1002994011</v>
      </c>
      <c r="C719" s="197" t="s">
        <v>2235</v>
      </c>
      <c r="D719" s="197" t="s">
        <v>2236</v>
      </c>
      <c r="E719" s="198" t="s">
        <v>944</v>
      </c>
      <c r="F719" s="198" t="s">
        <v>953</v>
      </c>
      <c r="G719" s="225" t="n">
        <v>2893800</v>
      </c>
      <c r="H719" s="225" t="n">
        <v>1441050</v>
      </c>
      <c r="I719" s="225" t="n">
        <v>867366</v>
      </c>
      <c r="J719" s="198" t="n">
        <v>34</v>
      </c>
      <c r="K719" s="198" t="n">
        <v>2</v>
      </c>
      <c r="L719" s="226" t="n">
        <v>45117</v>
      </c>
      <c r="M719" s="226" t="n">
        <v>41320</v>
      </c>
      <c r="N719" s="227" t="n">
        <v>0</v>
      </c>
      <c r="O719" s="227" t="s">
        <v>135</v>
      </c>
      <c r="P719" s="228" t="n">
        <f aca="false">VLOOKUP(B719,'NIVEL ENERO'!A:D,3,0)</f>
        <v>0.338120048993213</v>
      </c>
      <c r="Q719" s="229" t="n">
        <f aca="false">VLOOKUP(B719,'NIVEL ENERO'!A:D,4,0)</f>
        <v>335453.48</v>
      </c>
      <c r="R719" s="186" t="str">
        <f aca="false">+PROPER(C719&amp;" "&amp;D719)</f>
        <v>Fory Solis Gisela Andrea</v>
      </c>
      <c r="S719" s="230" t="n">
        <f aca="false">+YEARFRAC(L719,$S$1)</f>
        <v>2.83888888888889</v>
      </c>
      <c r="T719" s="230" t="n">
        <f aca="false">+YEARFRAC(M719,$S$1)</f>
        <v>13.2416666666667</v>
      </c>
      <c r="U719" s="231" t="n">
        <f aca="false">+$I719</f>
        <v>867366</v>
      </c>
      <c r="V719" s="232" t="str">
        <f aca="false">+PROPER(F719)</f>
        <v>Soltero(A)</v>
      </c>
    </row>
    <row r="720" customFormat="false" ht="14.25" hidden="false" customHeight="false" outlineLevel="0" collapsed="false">
      <c r="B720" s="197" t="n">
        <v>1003336271</v>
      </c>
      <c r="C720" s="197" t="s">
        <v>2237</v>
      </c>
      <c r="D720" s="197" t="s">
        <v>2238</v>
      </c>
      <c r="E720" s="198" t="s">
        <v>944</v>
      </c>
      <c r="F720" s="198" t="s">
        <v>953</v>
      </c>
      <c r="G720" s="225" t="n">
        <v>1991000</v>
      </c>
      <c r="H720" s="225" t="n">
        <v>1542721</v>
      </c>
      <c r="I720" s="225" t="n">
        <v>2221494</v>
      </c>
      <c r="J720" s="198" t="n">
        <v>25</v>
      </c>
      <c r="K720" s="198" t="n">
        <v>2</v>
      </c>
      <c r="L720" s="226" t="n">
        <v>44995</v>
      </c>
      <c r="M720" s="226" t="n">
        <v>44757</v>
      </c>
      <c r="N720" s="227" t="n">
        <v>0</v>
      </c>
      <c r="O720" s="227" t="s">
        <v>135</v>
      </c>
      <c r="P720" s="228" t="n">
        <f aca="false">VLOOKUP(B720,'NIVEL ENERO'!A:D,3,0)</f>
        <v>0.267873932697137</v>
      </c>
      <c r="Q720" s="229" t="n">
        <f aca="false">VLOOKUP(B720,'NIVEL ENERO'!A:D,4,0)</f>
        <v>302883</v>
      </c>
      <c r="R720" s="186" t="str">
        <f aca="false">+PROPER(C720&amp;" "&amp;D720)</f>
        <v>Moreno Rivera Angie Del Carmen</v>
      </c>
      <c r="S720" s="230" t="n">
        <f aca="false">+YEARFRAC(L720,$S$1)</f>
        <v>3.17222222222222</v>
      </c>
      <c r="T720" s="230" t="n">
        <f aca="false">+YEARFRAC(M720,$S$1)</f>
        <v>3.825</v>
      </c>
      <c r="U720" s="231" t="n">
        <f aca="false">+$I720</f>
        <v>2221494</v>
      </c>
      <c r="V720" s="232" t="str">
        <f aca="false">+PROPER(F720)</f>
        <v>Soltero(A)</v>
      </c>
    </row>
    <row r="721" customFormat="false" ht="14.25" hidden="false" customHeight="false" outlineLevel="0" collapsed="false">
      <c r="B721" s="197" t="n">
        <v>1003864478</v>
      </c>
      <c r="C721" s="197" t="s">
        <v>2239</v>
      </c>
      <c r="D721" s="197" t="s">
        <v>2240</v>
      </c>
      <c r="E721" s="198" t="s">
        <v>944</v>
      </c>
      <c r="F721" s="198" t="s">
        <v>953</v>
      </c>
      <c r="G721" s="225" t="n">
        <v>1625000</v>
      </c>
      <c r="H721" s="225" t="n">
        <v>160000</v>
      </c>
      <c r="I721" s="225"/>
      <c r="J721" s="198" t="n">
        <v>25</v>
      </c>
      <c r="K721" s="198" t="n">
        <v>1</v>
      </c>
      <c r="L721" s="226" t="n">
        <v>45615</v>
      </c>
      <c r="M721" s="226" t="n">
        <v>45432</v>
      </c>
      <c r="N721" s="227" t="n">
        <v>0</v>
      </c>
      <c r="O721" s="227" t="s">
        <v>135</v>
      </c>
      <c r="P721" s="228" t="n">
        <f aca="false">VLOOKUP(B721,'NIVEL ENERO'!A:D,3,0)</f>
        <v>0.411122113567521</v>
      </c>
      <c r="Q721" s="229" t="n">
        <f aca="false">VLOOKUP(B721,'NIVEL ENERO'!A:D,4,0)</f>
        <v>33433</v>
      </c>
      <c r="R721" s="186" t="str">
        <f aca="false">+PROPER(C721&amp;" "&amp;D721)</f>
        <v>Rios Avila Yandry Lorena</v>
      </c>
      <c r="S721" s="230" t="n">
        <f aca="false">+YEARFRAC(L721,$S$1)</f>
        <v>1.48055555555556</v>
      </c>
      <c r="T721" s="230" t="n">
        <f aca="false">+YEARFRAC(M721,$S$1)</f>
        <v>1.97777777777778</v>
      </c>
      <c r="U721" s="231" t="n">
        <f aca="false">+$I721</f>
        <v>0</v>
      </c>
      <c r="V721" s="232" t="str">
        <f aca="false">+PROPER(F721)</f>
        <v>Soltero(A)</v>
      </c>
    </row>
    <row r="722" customFormat="false" ht="14.25" hidden="false" customHeight="false" outlineLevel="0" collapsed="false">
      <c r="B722" s="197" t="n">
        <v>1004063412</v>
      </c>
      <c r="C722" s="197" t="s">
        <v>2241</v>
      </c>
      <c r="D722" s="197" t="s">
        <v>2242</v>
      </c>
      <c r="E722" s="198" t="s">
        <v>944</v>
      </c>
      <c r="F722" s="198" t="s">
        <v>948</v>
      </c>
      <c r="G722" s="225" t="n">
        <v>2893800</v>
      </c>
      <c r="H722" s="225" t="n">
        <v>3129246</v>
      </c>
      <c r="I722" s="225"/>
      <c r="J722" s="198" t="n">
        <v>31</v>
      </c>
      <c r="K722" s="198" t="n">
        <v>2</v>
      </c>
      <c r="L722" s="226" t="n">
        <v>44886</v>
      </c>
      <c r="M722" s="226" t="n">
        <v>43678</v>
      </c>
      <c r="N722" s="227" t="n">
        <v>0</v>
      </c>
      <c r="O722" s="227" t="s">
        <v>135</v>
      </c>
      <c r="P722" s="228" t="n">
        <f aca="false">VLOOKUP(B722,'NIVEL ENERO'!A:D,3,0)</f>
        <v>0.303857557536803</v>
      </c>
      <c r="Q722" s="229" t="n">
        <f aca="false">VLOOKUP(B722,'NIVEL ENERO'!A:D,4,0)</f>
        <v>336093</v>
      </c>
      <c r="R722" s="186" t="str">
        <f aca="false">+PROPER(C722&amp;" "&amp;D722)</f>
        <v>Olaya Trujillo Nancy Yirlei</v>
      </c>
      <c r="S722" s="230" t="n">
        <f aca="false">+YEARFRAC(L722,$S$1)</f>
        <v>3.475</v>
      </c>
      <c r="T722" s="230" t="n">
        <f aca="false">+YEARFRAC(M722,$S$1)</f>
        <v>6.78055555555556</v>
      </c>
      <c r="U722" s="231" t="n">
        <f aca="false">+$I722</f>
        <v>0</v>
      </c>
      <c r="V722" s="232" t="str">
        <f aca="false">+PROPER(F722)</f>
        <v>Casado(A)</v>
      </c>
    </row>
    <row r="723" customFormat="false" ht="14.25" hidden="false" customHeight="false" outlineLevel="0" collapsed="false">
      <c r="B723" s="197" t="n">
        <v>1004342204</v>
      </c>
      <c r="C723" s="197" t="s">
        <v>2243</v>
      </c>
      <c r="D723" s="197" t="s">
        <v>2244</v>
      </c>
      <c r="E723" s="198" t="s">
        <v>944</v>
      </c>
      <c r="F723" s="198" t="s">
        <v>945</v>
      </c>
      <c r="G723" s="225" t="n">
        <v>1625000</v>
      </c>
      <c r="H723" s="225" t="n">
        <v>1759142</v>
      </c>
      <c r="I723" s="225" t="n">
        <v>1951882</v>
      </c>
      <c r="J723" s="198" t="n">
        <v>37</v>
      </c>
      <c r="K723" s="198" t="n">
        <v>2</v>
      </c>
      <c r="L723" s="226" t="n">
        <v>43693</v>
      </c>
      <c r="M723" s="226" t="n">
        <v>43595</v>
      </c>
      <c r="N723" s="227" t="n">
        <v>1</v>
      </c>
      <c r="O723" s="227" t="s">
        <v>135</v>
      </c>
      <c r="P723" s="228" t="n">
        <f aca="false">VLOOKUP(B723,'NIVEL ENERO'!A:D,3,0)</f>
        <v>0.529805417960325</v>
      </c>
      <c r="Q723" s="229" t="n">
        <f aca="false">VLOOKUP(B723,'NIVEL ENERO'!A:D,4,0)</f>
        <v>-419178</v>
      </c>
      <c r="R723" s="186" t="str">
        <f aca="false">+PROPER(C723&amp;" "&amp;D723)</f>
        <v>Ortiz Castillo Washington Alexander</v>
      </c>
      <c r="S723" s="230" t="n">
        <f aca="false">+YEARFRAC(L723,$S$1)</f>
        <v>6.73888888888889</v>
      </c>
      <c r="T723" s="230" t="n">
        <f aca="false">+YEARFRAC(M723,$S$1)</f>
        <v>7.00555555555556</v>
      </c>
      <c r="U723" s="231" t="n">
        <f aca="false">+$I723</f>
        <v>1951882</v>
      </c>
      <c r="V723" s="232" t="str">
        <f aca="false">+PROPER(F723)</f>
        <v>Union Libre</v>
      </c>
    </row>
    <row r="724" customFormat="false" ht="14.25" hidden="false" customHeight="false" outlineLevel="0" collapsed="false">
      <c r="B724" s="197" t="n">
        <v>1004629086</v>
      </c>
      <c r="C724" s="197" t="s">
        <v>2245</v>
      </c>
      <c r="D724" s="197" t="s">
        <v>2246</v>
      </c>
      <c r="E724" s="198" t="s">
        <v>944</v>
      </c>
      <c r="F724" s="198" t="s">
        <v>953</v>
      </c>
      <c r="G724" s="225" t="n">
        <v>1670000</v>
      </c>
      <c r="H724" s="225" t="n">
        <v>2809735</v>
      </c>
      <c r="I724" s="225" t="n">
        <v>1951871</v>
      </c>
      <c r="J724" s="198" t="n">
        <v>24</v>
      </c>
      <c r="K724" s="198" t="n">
        <v>2</v>
      </c>
      <c r="L724" s="226" t="n">
        <v>44825</v>
      </c>
      <c r="M724" s="226" t="n">
        <v>44522</v>
      </c>
      <c r="N724" s="227" t="n">
        <v>2</v>
      </c>
      <c r="O724" s="227" t="s">
        <v>135</v>
      </c>
      <c r="P724" s="228" t="n">
        <f aca="false">VLOOKUP(B724,'NIVEL ENERO'!A:D,3,0)</f>
        <v>0.40769621636738</v>
      </c>
      <c r="Q724" s="229" t="n">
        <f aca="false">VLOOKUP(B724,'NIVEL ENERO'!A:D,4,0)</f>
        <v>26925.9199999999</v>
      </c>
      <c r="R724" s="186" t="str">
        <f aca="false">+PROPER(C724&amp;" "&amp;D724)</f>
        <v>Rendon Moncada Angie Lorena</v>
      </c>
      <c r="S724" s="230" t="n">
        <f aca="false">+YEARFRAC(L724,$S$1)</f>
        <v>3.64166666666667</v>
      </c>
      <c r="T724" s="230" t="n">
        <f aca="false">+YEARFRAC(M724,$S$1)</f>
        <v>4.47222222222222</v>
      </c>
      <c r="U724" s="231" t="n">
        <f aca="false">+$I724</f>
        <v>1951871</v>
      </c>
      <c r="V724" s="232" t="str">
        <f aca="false">+PROPER(F724)</f>
        <v>Soltero(A)</v>
      </c>
    </row>
    <row r="725" customFormat="false" ht="14.25" hidden="false" customHeight="false" outlineLevel="0" collapsed="false">
      <c r="B725" s="197" t="n">
        <v>1005024520</v>
      </c>
      <c r="C725" s="197" t="s">
        <v>2247</v>
      </c>
      <c r="D725" s="197" t="s">
        <v>2248</v>
      </c>
      <c r="E725" s="198" t="s">
        <v>944</v>
      </c>
      <c r="F725" s="198" t="s">
        <v>953</v>
      </c>
      <c r="G725" s="225" t="n">
        <v>2893800</v>
      </c>
      <c r="H725" s="225" t="n">
        <v>1658179</v>
      </c>
      <c r="I725" s="225" t="n">
        <v>6901692</v>
      </c>
      <c r="J725" s="198" t="n">
        <v>30</v>
      </c>
      <c r="K725" s="198" t="n">
        <v>3</v>
      </c>
      <c r="L725" s="226" t="n">
        <v>44790</v>
      </c>
      <c r="M725" s="226" t="n">
        <v>42993</v>
      </c>
      <c r="N725" s="227" t="n">
        <v>3</v>
      </c>
      <c r="O725" s="227" t="s">
        <v>135</v>
      </c>
      <c r="P725" s="228" t="n">
        <f aca="false">VLOOKUP(B725,'NIVEL ENERO'!A:D,3,0)</f>
        <v>0.360565787176316</v>
      </c>
      <c r="Q725" s="229" t="n">
        <f aca="false">VLOOKUP(B725,'NIVEL ENERO'!A:D,4,0)</f>
        <v>228523.32</v>
      </c>
      <c r="R725" s="186" t="str">
        <f aca="false">+PROPER(C725&amp;" "&amp;D725)</f>
        <v>Ramos Lizarazo Jorge Eliecer</v>
      </c>
      <c r="S725" s="230" t="n">
        <f aca="false">+YEARFRAC(L725,$S$1)</f>
        <v>3.73611111111111</v>
      </c>
      <c r="T725" s="230" t="n">
        <f aca="false">+YEARFRAC(M725,$S$1)</f>
        <v>8.65833333333333</v>
      </c>
      <c r="U725" s="231" t="n">
        <f aca="false">+$I725</f>
        <v>6901692</v>
      </c>
      <c r="V725" s="232" t="str">
        <f aca="false">+PROPER(F725)</f>
        <v>Soltero(A)</v>
      </c>
    </row>
    <row r="726" customFormat="false" ht="14.25" hidden="false" customHeight="false" outlineLevel="0" collapsed="false">
      <c r="B726" s="197" t="n">
        <v>1005707315</v>
      </c>
      <c r="C726" s="197" t="s">
        <v>2249</v>
      </c>
      <c r="D726" s="197" t="s">
        <v>2250</v>
      </c>
      <c r="E726" s="198" t="s">
        <v>944</v>
      </c>
      <c r="F726" s="198" t="s">
        <v>953</v>
      </c>
      <c r="G726" s="225" t="n">
        <v>2893800</v>
      </c>
      <c r="H726" s="225" t="n">
        <v>1650000</v>
      </c>
      <c r="I726" s="225" t="n">
        <v>3984190</v>
      </c>
      <c r="J726" s="198" t="n">
        <v>21</v>
      </c>
      <c r="K726" s="198" t="n">
        <v>1</v>
      </c>
      <c r="L726" s="226" t="n">
        <v>45342</v>
      </c>
      <c r="M726" s="226" t="n">
        <v>44400</v>
      </c>
      <c r="N726" s="227" t="n">
        <v>0</v>
      </c>
      <c r="O726" s="227" t="s">
        <v>135</v>
      </c>
      <c r="P726" s="228" t="n">
        <f aca="false">VLOOKUP(B726,'NIVEL ENERO'!A:D,3,0)</f>
        <v>0.137368251256951</v>
      </c>
      <c r="Q726" s="229" t="n">
        <f aca="false">VLOOKUP(B726,'NIVEL ENERO'!A:D,4,0)</f>
        <v>1132763.46</v>
      </c>
      <c r="R726" s="186" t="str">
        <f aca="false">+PROPER(C726&amp;" "&amp;D726)</f>
        <v>Criollo Sanchez Nicole Pamela</v>
      </c>
      <c r="S726" s="230" t="n">
        <f aca="false">+YEARFRAC(L726,$S$1)</f>
        <v>2.22777777777778</v>
      </c>
      <c r="T726" s="230" t="n">
        <f aca="false">+YEARFRAC(M726,$S$1)</f>
        <v>4.80277777777778</v>
      </c>
      <c r="U726" s="231" t="n">
        <f aca="false">+$I726</f>
        <v>3984190</v>
      </c>
      <c r="V726" s="232" t="str">
        <f aca="false">+PROPER(F726)</f>
        <v>Soltero(A)</v>
      </c>
    </row>
    <row r="727" customFormat="false" ht="14.25" hidden="false" customHeight="false" outlineLevel="0" collapsed="false">
      <c r="B727" s="197" t="n">
        <v>1005744285</v>
      </c>
      <c r="C727" s="197" t="s">
        <v>2251</v>
      </c>
      <c r="D727" s="197" t="s">
        <v>2252</v>
      </c>
      <c r="E727" s="198" t="s">
        <v>944</v>
      </c>
      <c r="F727" s="198" t="s">
        <v>953</v>
      </c>
      <c r="G727" s="225" t="n">
        <v>3489600</v>
      </c>
      <c r="H727" s="225" t="n">
        <v>100000</v>
      </c>
      <c r="I727" s="225"/>
      <c r="J727" s="198" t="n">
        <v>24</v>
      </c>
      <c r="K727" s="198" t="n">
        <v>4</v>
      </c>
      <c r="L727" s="226" t="n">
        <v>45642</v>
      </c>
      <c r="M727" s="226" t="n">
        <v>45566</v>
      </c>
      <c r="N727" s="227" t="n">
        <v>0</v>
      </c>
      <c r="O727" s="227" t="s">
        <v>135</v>
      </c>
      <c r="P727" s="228" t="e">
        <f aca="false">VLOOKUP(B727,'NIVEL ENERO'!A:D,3,0)</f>
        <v>#N/A</v>
      </c>
      <c r="Q727" s="229" t="e">
        <f aca="false">VLOOKUP(B727,'NIVEL ENERO'!A:D,4,0)</f>
        <v>#N/A</v>
      </c>
      <c r="R727" s="186" t="str">
        <f aca="false">+PROPER(C727&amp;" "&amp;D727)</f>
        <v>Plata Ayala Natalia</v>
      </c>
      <c r="S727" s="230" t="n">
        <f aca="false">+YEARFRAC(L727,$S$1)</f>
        <v>1.40555555555556</v>
      </c>
      <c r="T727" s="230" t="n">
        <f aca="false">+YEARFRAC(M727,$S$1)</f>
        <v>1.61388888888889</v>
      </c>
      <c r="U727" s="231" t="n">
        <f aca="false">+$I727</f>
        <v>0</v>
      </c>
      <c r="V727" s="232" t="str">
        <f aca="false">+PROPER(F727)</f>
        <v>Soltero(A)</v>
      </c>
    </row>
    <row r="728" customFormat="false" ht="14.25" hidden="false" customHeight="false" outlineLevel="0" collapsed="false">
      <c r="B728" s="197" t="n">
        <v>1005784128</v>
      </c>
      <c r="C728" s="197" t="s">
        <v>2253</v>
      </c>
      <c r="D728" s="197" t="s">
        <v>2254</v>
      </c>
      <c r="E728" s="198" t="s">
        <v>944</v>
      </c>
      <c r="F728" s="198" t="s">
        <v>953</v>
      </c>
      <c r="G728" s="225" t="n">
        <v>2383300</v>
      </c>
      <c r="H728" s="225" t="n">
        <v>2103117</v>
      </c>
      <c r="I728" s="225" t="n">
        <v>1339607</v>
      </c>
      <c r="J728" s="198" t="n">
        <v>23</v>
      </c>
      <c r="K728" s="198" t="n">
        <v>1</v>
      </c>
      <c r="L728" s="226" t="n">
        <v>45027</v>
      </c>
      <c r="M728" s="226" t="n">
        <v>44743</v>
      </c>
      <c r="N728" s="227" t="n">
        <v>0</v>
      </c>
      <c r="O728" s="227" t="s">
        <v>135</v>
      </c>
      <c r="P728" s="228" t="n">
        <f aca="false">VLOOKUP(B728,'NIVEL ENERO'!A:D,3,0)</f>
        <v>0.385276020318866</v>
      </c>
      <c r="Q728" s="229" t="n">
        <f aca="false">VLOOKUP(B728,'NIVEL ENERO'!A:D,4,0)</f>
        <v>137488.66</v>
      </c>
      <c r="R728" s="186" t="str">
        <f aca="false">+PROPER(C728&amp;" "&amp;D728)</f>
        <v>Lerna Escobar Stiguar</v>
      </c>
      <c r="S728" s="230" t="n">
        <f aca="false">+YEARFRAC(L728,$S$1)</f>
        <v>3.08611111111111</v>
      </c>
      <c r="T728" s="230" t="n">
        <f aca="false">+YEARFRAC(M728,$S$1)</f>
        <v>3.86388888888889</v>
      </c>
      <c r="U728" s="231" t="n">
        <f aca="false">+$I728</f>
        <v>1339607</v>
      </c>
      <c r="V728" s="232" t="str">
        <f aca="false">+PROPER(F728)</f>
        <v>Soltero(A)</v>
      </c>
    </row>
    <row r="729" customFormat="false" ht="14.25" hidden="false" customHeight="false" outlineLevel="0" collapsed="false">
      <c r="B729" s="197" t="n">
        <v>1005785010</v>
      </c>
      <c r="C729" s="197" t="s">
        <v>2255</v>
      </c>
      <c r="D729" s="197" t="s">
        <v>2212</v>
      </c>
      <c r="E729" s="198" t="s">
        <v>944</v>
      </c>
      <c r="F729" s="198" t="s">
        <v>948</v>
      </c>
      <c r="G729" s="225" t="n">
        <v>2893800</v>
      </c>
      <c r="H729" s="225" t="n">
        <v>3415825</v>
      </c>
      <c r="I729" s="225"/>
      <c r="J729" s="198" t="n">
        <v>22</v>
      </c>
      <c r="K729" s="198" t="n">
        <v>2</v>
      </c>
      <c r="L729" s="226" t="n">
        <v>44609</v>
      </c>
      <c r="M729" s="226" t="n">
        <v>44090</v>
      </c>
      <c r="N729" s="227" t="n">
        <v>1</v>
      </c>
      <c r="O729" s="227" t="s">
        <v>135</v>
      </c>
      <c r="P729" s="228" t="n">
        <f aca="false">VLOOKUP(B729,'NIVEL ENERO'!A:D,3,0)</f>
        <v>0.202540848767454</v>
      </c>
      <c r="Q729" s="229" t="n">
        <f aca="false">VLOOKUP(B729,'NIVEL ENERO'!A:D,4,0)</f>
        <v>776754.52</v>
      </c>
      <c r="R729" s="186" t="str">
        <f aca="false">+PROPER(C729&amp;" "&amp;D729)</f>
        <v>Rodriguez Nicholls Santiago</v>
      </c>
      <c r="S729" s="230" t="n">
        <f aca="false">+YEARFRAC(L729,$S$1)</f>
        <v>4.23611111111111</v>
      </c>
      <c r="T729" s="230" t="n">
        <f aca="false">+YEARFRAC(M729,$S$1)</f>
        <v>5.65555555555556</v>
      </c>
      <c r="U729" s="231" t="n">
        <f aca="false">+$I729</f>
        <v>0</v>
      </c>
      <c r="V729" s="232" t="str">
        <f aca="false">+PROPER(F729)</f>
        <v>Casado(A)</v>
      </c>
    </row>
    <row r="730" customFormat="false" ht="14.25" hidden="false" customHeight="false" outlineLevel="0" collapsed="false">
      <c r="B730" s="197" t="n">
        <v>1005828550</v>
      </c>
      <c r="C730" s="197" t="s">
        <v>2256</v>
      </c>
      <c r="D730" s="197" t="s">
        <v>2257</v>
      </c>
      <c r="E730" s="198" t="s">
        <v>944</v>
      </c>
      <c r="F730" s="198" t="s">
        <v>953</v>
      </c>
      <c r="G730" s="225" t="n">
        <v>2604400</v>
      </c>
      <c r="H730" s="225" t="n">
        <v>831006</v>
      </c>
      <c r="I730" s="225"/>
      <c r="J730" s="198" t="n">
        <v>24</v>
      </c>
      <c r="K730" s="198" t="n">
        <v>4</v>
      </c>
      <c r="L730" s="226" t="n">
        <v>45279</v>
      </c>
      <c r="M730" s="226" t="n">
        <v>45187</v>
      </c>
      <c r="N730" s="227" t="n">
        <v>0</v>
      </c>
      <c r="O730" s="227" t="s">
        <v>135</v>
      </c>
      <c r="P730" s="228" t="n">
        <f aca="false">VLOOKUP(B730,'NIVEL ENERO'!A:D,3,0)</f>
        <v>0.123452242321463</v>
      </c>
      <c r="Q730" s="229" t="n">
        <f aca="false">VLOOKUP(B730,'NIVEL ENERO'!A:D,4,0)</f>
        <v>925507.66</v>
      </c>
      <c r="R730" s="186" t="str">
        <f aca="false">+PROPER(C730&amp;" "&amp;D730)</f>
        <v>Franco Roldan German Camilo</v>
      </c>
      <c r="S730" s="230" t="n">
        <f aca="false">+YEARFRAC(L730,$S$1)</f>
        <v>2.39722222222222</v>
      </c>
      <c r="T730" s="230" t="n">
        <f aca="false">+YEARFRAC(M730,$S$1)</f>
        <v>2.65</v>
      </c>
      <c r="U730" s="231" t="n">
        <f aca="false">+$I730</f>
        <v>0</v>
      </c>
      <c r="V730" s="232" t="str">
        <f aca="false">+PROPER(F730)</f>
        <v>Soltero(A)</v>
      </c>
    </row>
    <row r="731" customFormat="false" ht="14.25" hidden="false" customHeight="false" outlineLevel="0" collapsed="false">
      <c r="B731" s="197" t="n">
        <v>1005830283</v>
      </c>
      <c r="C731" s="197" t="s">
        <v>2258</v>
      </c>
      <c r="D731" s="197" t="s">
        <v>1120</v>
      </c>
      <c r="E731" s="198" t="s">
        <v>944</v>
      </c>
      <c r="F731" s="198" t="s">
        <v>953</v>
      </c>
      <c r="G731" s="225" t="n">
        <v>2604400</v>
      </c>
      <c r="H731" s="225" t="n">
        <v>1300000</v>
      </c>
      <c r="I731" s="225" t="n">
        <v>265459</v>
      </c>
      <c r="J731" s="198" t="n">
        <v>29</v>
      </c>
      <c r="K731" s="198" t="n">
        <v>1</v>
      </c>
      <c r="L731" s="226" t="n">
        <v>45370</v>
      </c>
      <c r="M731" s="226" t="n">
        <v>45636</v>
      </c>
      <c r="N731" s="227" t="n">
        <v>0</v>
      </c>
      <c r="O731" s="227" t="s">
        <v>135</v>
      </c>
      <c r="P731" s="228" t="n">
        <f aca="false">VLOOKUP(B731,'NIVEL ENERO'!A:D,3,0)</f>
        <v>0.23494920160187</v>
      </c>
      <c r="Q731" s="229" t="n">
        <f aca="false">VLOOKUP(B731,'NIVEL ENERO'!A:D,4,0)</f>
        <v>691697.74</v>
      </c>
      <c r="R731" s="186" t="str">
        <f aca="false">+PROPER(C731&amp;" "&amp;D731)</f>
        <v>Gonzalez Perez Edwin</v>
      </c>
      <c r="S731" s="230" t="n">
        <f aca="false">+YEARFRAC(L731,$S$1)</f>
        <v>2.14722222222222</v>
      </c>
      <c r="T731" s="230" t="n">
        <f aca="false">+YEARFRAC(M731,$S$1)</f>
        <v>1.42222222222222</v>
      </c>
      <c r="U731" s="231" t="n">
        <f aca="false">+$I731</f>
        <v>265459</v>
      </c>
      <c r="V731" s="232" t="str">
        <f aca="false">+PROPER(F731)</f>
        <v>Soltero(A)</v>
      </c>
    </row>
    <row r="732" customFormat="false" ht="14.25" hidden="false" customHeight="false" outlineLevel="0" collapsed="false">
      <c r="B732" s="197" t="n">
        <v>1005830733</v>
      </c>
      <c r="C732" s="197" t="s">
        <v>2259</v>
      </c>
      <c r="D732" s="197" t="s">
        <v>993</v>
      </c>
      <c r="E732" s="198" t="s">
        <v>944</v>
      </c>
      <c r="F732" s="198" t="s">
        <v>953</v>
      </c>
      <c r="G732" s="225" t="n">
        <v>2080700</v>
      </c>
      <c r="H732" s="225" t="n">
        <v>130000</v>
      </c>
      <c r="I732" s="225"/>
      <c r="J732" s="198" t="n">
        <v>22</v>
      </c>
      <c r="K732" s="198" t="n">
        <v>4</v>
      </c>
      <c r="L732" s="226" t="n">
        <v>45615</v>
      </c>
      <c r="M732" s="226" t="n">
        <v>45331</v>
      </c>
      <c r="N732" s="227" t="n">
        <v>0</v>
      </c>
      <c r="O732" s="227" t="s">
        <v>135</v>
      </c>
      <c r="P732" s="228" t="n">
        <f aca="false">VLOOKUP(B732,'NIVEL ENERO'!A:D,3,0)</f>
        <v>0.131280818955159</v>
      </c>
      <c r="Q732" s="229" t="n">
        <f aca="false">VLOOKUP(B732,'NIVEL ENERO'!A:D,4,0)</f>
        <v>600738</v>
      </c>
      <c r="R732" s="186" t="str">
        <f aca="false">+PROPER(C732&amp;" "&amp;D732)</f>
        <v>Murillo Enriquez Juan Pablo</v>
      </c>
      <c r="S732" s="230" t="n">
        <f aca="false">+YEARFRAC(L732,$S$1)</f>
        <v>1.48055555555556</v>
      </c>
      <c r="T732" s="230" t="n">
        <f aca="false">+YEARFRAC(M732,$S$1)</f>
        <v>2.25833333333333</v>
      </c>
      <c r="U732" s="231" t="n">
        <f aca="false">+$I732</f>
        <v>0</v>
      </c>
      <c r="V732" s="232" t="str">
        <f aca="false">+PROPER(F732)</f>
        <v>Soltero(A)</v>
      </c>
    </row>
    <row r="733" customFormat="false" ht="14.25" hidden="false" customHeight="false" outlineLevel="0" collapsed="false">
      <c r="B733" s="197" t="n">
        <v>1005863887</v>
      </c>
      <c r="C733" s="197" t="s">
        <v>2260</v>
      </c>
      <c r="D733" s="197" t="s">
        <v>2261</v>
      </c>
      <c r="E733" s="198" t="s">
        <v>944</v>
      </c>
      <c r="F733" s="198" t="s">
        <v>953</v>
      </c>
      <c r="G733" s="225" t="n">
        <v>2315000</v>
      </c>
      <c r="H733" s="225" t="n">
        <v>1500275</v>
      </c>
      <c r="I733" s="225" t="n">
        <v>0</v>
      </c>
      <c r="J733" s="198" t="n">
        <v>22</v>
      </c>
      <c r="K733" s="198" t="n">
        <v>2</v>
      </c>
      <c r="L733" s="226" t="n">
        <v>45222</v>
      </c>
      <c r="M733" s="226" t="n">
        <v>44660</v>
      </c>
      <c r="N733" s="227" t="n">
        <v>0</v>
      </c>
      <c r="O733" s="227" t="s">
        <v>135</v>
      </c>
      <c r="P733" s="228" t="n">
        <f aca="false">VLOOKUP(B733,'NIVEL ENERO'!A:D,3,0)</f>
        <v>0.17433503799831</v>
      </c>
      <c r="Q733" s="229" t="n">
        <f aca="false">VLOOKUP(B733,'NIVEL ENERO'!A:D,4,0)</f>
        <v>728989.32</v>
      </c>
      <c r="R733" s="186" t="str">
        <f aca="false">+PROPER(C733&amp;" "&amp;D733)</f>
        <v>Espinosa Alvarez Hugo Armando</v>
      </c>
      <c r="S733" s="230" t="n">
        <f aca="false">+YEARFRAC(L733,$S$1)</f>
        <v>2.55277777777778</v>
      </c>
      <c r="T733" s="230" t="n">
        <f aca="false">+YEARFRAC(M733,$S$1)</f>
        <v>4.09166666666667</v>
      </c>
      <c r="U733" s="231" t="n">
        <f aca="false">+$I733</f>
        <v>0</v>
      </c>
      <c r="V733" s="232" t="str">
        <f aca="false">+PROPER(F733)</f>
        <v>Soltero(A)</v>
      </c>
    </row>
    <row r="734" customFormat="false" ht="14.25" hidden="false" customHeight="false" outlineLevel="0" collapsed="false">
      <c r="B734" s="197" t="n">
        <v>1005866675</v>
      </c>
      <c r="C734" s="197" t="s">
        <v>2262</v>
      </c>
      <c r="D734" s="197" t="s">
        <v>2263</v>
      </c>
      <c r="E734" s="198" t="s">
        <v>944</v>
      </c>
      <c r="F734" s="198" t="s">
        <v>953</v>
      </c>
      <c r="G734" s="225" t="n">
        <v>1918500</v>
      </c>
      <c r="H734" s="225" t="n">
        <v>390000</v>
      </c>
      <c r="I734" s="225"/>
      <c r="J734" s="198" t="n">
        <v>34</v>
      </c>
      <c r="K734" s="198" t="n">
        <v>2</v>
      </c>
      <c r="L734" s="226" t="n">
        <v>45475</v>
      </c>
      <c r="M734" s="226" t="n">
        <v>45057</v>
      </c>
      <c r="N734" s="227" t="n">
        <v>0</v>
      </c>
      <c r="O734" s="227" t="s">
        <v>135</v>
      </c>
      <c r="P734" s="228" t="n">
        <f aca="false">VLOOKUP(B734,'NIVEL ENERO'!A:D,3,0)</f>
        <v>0.336984487881157</v>
      </c>
      <c r="Q734" s="229" t="n">
        <f aca="false">VLOOKUP(B734,'NIVEL ENERO'!A:D,4,0)</f>
        <v>379203</v>
      </c>
      <c r="R734" s="186" t="str">
        <f aca="false">+PROPER(C734&amp;" "&amp;D734)</f>
        <v>Delgado Agualimpia Brayan Junior</v>
      </c>
      <c r="S734" s="230" t="n">
        <f aca="false">+YEARFRAC(L734,$S$1)</f>
        <v>1.86111111111111</v>
      </c>
      <c r="T734" s="230" t="n">
        <f aca="false">+YEARFRAC(M734,$S$1)</f>
        <v>3.00277777777778</v>
      </c>
      <c r="U734" s="231" t="n">
        <f aca="false">+$I734</f>
        <v>0</v>
      </c>
      <c r="V734" s="232" t="str">
        <f aca="false">+PROPER(F734)</f>
        <v>Soltero(A)</v>
      </c>
    </row>
    <row r="735" customFormat="false" ht="14.25" hidden="false" customHeight="false" outlineLevel="0" collapsed="false">
      <c r="B735" s="197" t="n">
        <v>1005868325</v>
      </c>
      <c r="C735" s="197" t="s">
        <v>2264</v>
      </c>
      <c r="D735" s="197" t="s">
        <v>2265</v>
      </c>
      <c r="E735" s="198" t="s">
        <v>944</v>
      </c>
      <c r="F735" s="198" t="s">
        <v>953</v>
      </c>
      <c r="G735" s="225" t="n">
        <v>2893800</v>
      </c>
      <c r="H735" s="225" t="n">
        <v>1405682</v>
      </c>
      <c r="I735" s="225" t="n">
        <v>137401</v>
      </c>
      <c r="J735" s="198" t="n">
        <v>24</v>
      </c>
      <c r="K735" s="198" t="n">
        <v>2</v>
      </c>
      <c r="L735" s="226" t="n">
        <v>44977</v>
      </c>
      <c r="M735" s="226" t="n">
        <v>44476</v>
      </c>
      <c r="N735" s="227" t="n">
        <v>0</v>
      </c>
      <c r="O735" s="227" t="s">
        <v>135</v>
      </c>
      <c r="P735" s="228" t="n">
        <f aca="false">VLOOKUP(B735,'NIVEL ENERO'!A:D,3,0)</f>
        <v>0.114270509364849</v>
      </c>
      <c r="Q735" s="229" t="n">
        <f aca="false">VLOOKUP(B735,'NIVEL ENERO'!A:D,4,0)</f>
        <v>884720</v>
      </c>
      <c r="R735" s="186" t="str">
        <f aca="false">+PROPER(C735&amp;" "&amp;D735)</f>
        <v>Cuspian Gonzalez Nathalie Carolina</v>
      </c>
      <c r="S735" s="230" t="n">
        <f aca="false">+YEARFRAC(L735,$S$1)</f>
        <v>3.22777777777778</v>
      </c>
      <c r="T735" s="230" t="n">
        <f aca="false">+YEARFRAC(M735,$S$1)</f>
        <v>4.59722222222222</v>
      </c>
      <c r="U735" s="231" t="n">
        <f aca="false">+$I735</f>
        <v>137401</v>
      </c>
      <c r="V735" s="232" t="str">
        <f aca="false">+PROPER(F735)</f>
        <v>Soltero(A)</v>
      </c>
    </row>
    <row r="736" customFormat="false" ht="14.25" hidden="false" customHeight="false" outlineLevel="0" collapsed="false">
      <c r="B736" s="197" t="n">
        <v>1005873030</v>
      </c>
      <c r="C736" s="197" t="s">
        <v>2266</v>
      </c>
      <c r="D736" s="197" t="s">
        <v>2224</v>
      </c>
      <c r="E736" s="198" t="s">
        <v>944</v>
      </c>
      <c r="F736" s="198" t="s">
        <v>953</v>
      </c>
      <c r="G736" s="225" t="n">
        <v>2383300</v>
      </c>
      <c r="H736" s="225" t="n">
        <v>2044619</v>
      </c>
      <c r="I736" s="225" t="n">
        <v>1951111</v>
      </c>
      <c r="J736" s="198" t="n">
        <v>24</v>
      </c>
      <c r="K736" s="198" t="n">
        <v>4</v>
      </c>
      <c r="L736" s="226" t="n">
        <v>44936</v>
      </c>
      <c r="M736" s="226" t="n">
        <v>44609</v>
      </c>
      <c r="N736" s="227" t="n">
        <v>0</v>
      </c>
      <c r="O736" s="227" t="s">
        <v>135</v>
      </c>
      <c r="P736" s="228" t="n">
        <f aca="false">VLOOKUP(B736,'NIVEL ENERO'!A:D,3,0)</f>
        <v>0.35686965687125</v>
      </c>
      <c r="Q736" s="229" t="n">
        <f aca="false">VLOOKUP(B736,'NIVEL ENERO'!A:D,4,0)</f>
        <v>213944.44</v>
      </c>
      <c r="R736" s="186" t="str">
        <f aca="false">+PROPER(C736&amp;" "&amp;D736)</f>
        <v>Revelo Velez Cristian Andres</v>
      </c>
      <c r="S736" s="230" t="n">
        <f aca="false">+YEARFRAC(L736,$S$1)</f>
        <v>3.33888888888889</v>
      </c>
      <c r="T736" s="230" t="n">
        <f aca="false">+YEARFRAC(M736,$S$1)</f>
        <v>4.23611111111111</v>
      </c>
      <c r="U736" s="231" t="n">
        <f aca="false">+$I736</f>
        <v>1951111</v>
      </c>
      <c r="V736" s="232" t="str">
        <f aca="false">+PROPER(F736)</f>
        <v>Soltero(A)</v>
      </c>
    </row>
    <row r="737" customFormat="false" ht="14.25" hidden="false" customHeight="false" outlineLevel="0" collapsed="false">
      <c r="B737" s="197" t="n">
        <v>1005877422</v>
      </c>
      <c r="C737" s="197" t="s">
        <v>2267</v>
      </c>
      <c r="D737" s="197" t="s">
        <v>2268</v>
      </c>
      <c r="E737" s="198" t="s">
        <v>944</v>
      </c>
      <c r="F737" s="198" t="s">
        <v>945</v>
      </c>
      <c r="G737" s="225" t="n">
        <v>1625000</v>
      </c>
      <c r="H737" s="225" t="n">
        <v>715000</v>
      </c>
      <c r="I737" s="225" t="n">
        <v>1613270</v>
      </c>
      <c r="J737" s="198" t="n">
        <v>23</v>
      </c>
      <c r="K737" s="198" t="n">
        <v>2</v>
      </c>
      <c r="L737" s="226" t="n">
        <v>45342</v>
      </c>
      <c r="M737" s="226" t="n">
        <v>45085</v>
      </c>
      <c r="N737" s="227" t="n">
        <v>0</v>
      </c>
      <c r="O737" s="227" t="s">
        <v>135</v>
      </c>
      <c r="P737" s="228" t="str">
        <f aca="false">VLOOKUP(B737,'NIVEL ENERO'!A:D,3,0)</f>
        <v>0</v>
      </c>
      <c r="Q737" s="229" t="n">
        <f aca="false">VLOOKUP(B737,'NIVEL ENERO'!A:D,4,0)</f>
        <v>0</v>
      </c>
      <c r="R737" s="186" t="str">
        <f aca="false">+PROPER(C737&amp;" "&amp;D737)</f>
        <v>Cabezas Valencia Ingrid Julieth</v>
      </c>
      <c r="S737" s="230" t="n">
        <f aca="false">+YEARFRAC(L737,$S$1)</f>
        <v>2.22777777777778</v>
      </c>
      <c r="T737" s="230" t="n">
        <f aca="false">+YEARFRAC(M737,$S$1)</f>
        <v>2.92777777777778</v>
      </c>
      <c r="U737" s="231" t="n">
        <f aca="false">+$I737</f>
        <v>1613270</v>
      </c>
      <c r="V737" s="232" t="str">
        <f aca="false">+PROPER(F737)</f>
        <v>Union Libre</v>
      </c>
    </row>
    <row r="738" customFormat="false" ht="14.25" hidden="false" customHeight="false" outlineLevel="0" collapsed="false">
      <c r="B738" s="197" t="n">
        <v>1005891368</v>
      </c>
      <c r="C738" s="197" t="s">
        <v>2269</v>
      </c>
      <c r="D738" s="197" t="s">
        <v>2270</v>
      </c>
      <c r="E738" s="198" t="s">
        <v>944</v>
      </c>
      <c r="F738" s="198" t="s">
        <v>953</v>
      </c>
      <c r="G738" s="225" t="n">
        <v>2893800</v>
      </c>
      <c r="H738" s="225" t="n">
        <v>300000</v>
      </c>
      <c r="I738" s="225"/>
      <c r="J738" s="198" t="n">
        <v>24</v>
      </c>
      <c r="K738" s="198" t="n">
        <v>2</v>
      </c>
      <c r="L738" s="226" t="n">
        <v>45580</v>
      </c>
      <c r="M738" s="226" t="n">
        <v>44237</v>
      </c>
      <c r="N738" s="227" t="n">
        <v>0</v>
      </c>
      <c r="O738" s="227" t="s">
        <v>135</v>
      </c>
      <c r="P738" s="228" t="n">
        <f aca="false">VLOOKUP(B738,'NIVEL ENERO'!A:D,3,0)</f>
        <v>0.335512671923113</v>
      </c>
      <c r="Q738" s="229" t="n">
        <f aca="false">VLOOKUP(B738,'NIVEL ENERO'!A:D,4,0)</f>
        <v>326115.82</v>
      </c>
      <c r="R738" s="186" t="str">
        <f aca="false">+PROPER(C738&amp;" "&amp;D738)</f>
        <v>Velez Blanco Sara</v>
      </c>
      <c r="S738" s="230" t="n">
        <f aca="false">+YEARFRAC(L738,$S$1)</f>
        <v>1.575</v>
      </c>
      <c r="T738" s="230" t="n">
        <f aca="false">+YEARFRAC(M738,$S$1)</f>
        <v>5.25555555555556</v>
      </c>
      <c r="U738" s="231" t="n">
        <f aca="false">+$I738</f>
        <v>0</v>
      </c>
      <c r="V738" s="232" t="str">
        <f aca="false">+PROPER(F738)</f>
        <v>Soltero(A)</v>
      </c>
    </row>
    <row r="739" customFormat="false" ht="14.25" hidden="false" customHeight="false" outlineLevel="0" collapsed="false">
      <c r="B739" s="197" t="n">
        <v>1005894749</v>
      </c>
      <c r="C739" s="197" t="s">
        <v>2271</v>
      </c>
      <c r="D739" s="197" t="s">
        <v>2272</v>
      </c>
      <c r="E739" s="198" t="s">
        <v>944</v>
      </c>
      <c r="F739" s="198" t="s">
        <v>953</v>
      </c>
      <c r="G739" s="225" t="n">
        <v>2648100</v>
      </c>
      <c r="H739" s="225" t="n">
        <v>1355255</v>
      </c>
      <c r="I739" s="225" t="n">
        <v>2105307</v>
      </c>
      <c r="J739" s="198" t="n">
        <v>23</v>
      </c>
      <c r="K739" s="198" t="n">
        <v>1</v>
      </c>
      <c r="L739" s="226" t="n">
        <v>45001</v>
      </c>
      <c r="M739" s="226" t="n">
        <v>43800</v>
      </c>
      <c r="N739" s="227" t="n">
        <v>0</v>
      </c>
      <c r="O739" s="227" t="s">
        <v>135</v>
      </c>
      <c r="P739" s="228" t="n">
        <f aca="false">VLOOKUP(B739,'NIVEL ENERO'!A:D,3,0)</f>
        <v>0.397117658774898</v>
      </c>
      <c r="Q739" s="229" t="n">
        <f aca="false">VLOOKUP(B739,'NIVEL ENERO'!A:D,4,0)</f>
        <v>84058.7</v>
      </c>
      <c r="R739" s="186" t="str">
        <f aca="false">+PROPER(C739&amp;" "&amp;D739)</f>
        <v>Valencia Gallego Sharon Disney</v>
      </c>
      <c r="S739" s="230" t="n">
        <f aca="false">+YEARFRAC(L739,$S$1)</f>
        <v>3.15555555555556</v>
      </c>
      <c r="T739" s="230" t="n">
        <f aca="false">+YEARFRAC(M739,$S$1)</f>
        <v>6.44722222222222</v>
      </c>
      <c r="U739" s="231" t="n">
        <f aca="false">+$I739</f>
        <v>2105307</v>
      </c>
      <c r="V739" s="232" t="str">
        <f aca="false">+PROPER(F739)</f>
        <v>Soltero(A)</v>
      </c>
    </row>
    <row r="740" customFormat="false" ht="14.25" hidden="false" customHeight="false" outlineLevel="0" collapsed="false">
      <c r="B740" s="197" t="n">
        <v>1005895375</v>
      </c>
      <c r="C740" s="197" t="s">
        <v>2273</v>
      </c>
      <c r="D740" s="197" t="s">
        <v>2274</v>
      </c>
      <c r="E740" s="198" t="s">
        <v>944</v>
      </c>
      <c r="F740" s="198" t="s">
        <v>953</v>
      </c>
      <c r="G740" s="225" t="n">
        <v>2893800</v>
      </c>
      <c r="H740" s="225" t="n">
        <v>260000</v>
      </c>
      <c r="I740" s="225"/>
      <c r="J740" s="198" t="n">
        <v>21</v>
      </c>
      <c r="K740" s="198" t="n">
        <v>4</v>
      </c>
      <c r="L740" s="226" t="n">
        <v>45555</v>
      </c>
      <c r="M740" s="226" t="n">
        <v>45311</v>
      </c>
      <c r="N740" s="227" t="n">
        <v>0</v>
      </c>
      <c r="O740" s="227" t="s">
        <v>135</v>
      </c>
      <c r="P740" s="228" t="n">
        <f aca="false">VLOOKUP(B740,'NIVEL ENERO'!A:D,3,0)</f>
        <v>0.0980054905587972</v>
      </c>
      <c r="Q740" s="229" t="n">
        <f aca="false">VLOOKUP(B740,'NIVEL ENERO'!A:D,4,0)</f>
        <v>1308959.2</v>
      </c>
      <c r="R740" s="186" t="str">
        <f aca="false">+PROPER(C740&amp;" "&amp;D740)</f>
        <v>Cuevas Riascos Jhoan Sebastian</v>
      </c>
      <c r="S740" s="230" t="n">
        <f aca="false">+YEARFRAC(L740,$S$1)</f>
        <v>1.64444444444444</v>
      </c>
      <c r="T740" s="230" t="n">
        <f aca="false">+YEARFRAC(M740,$S$1)</f>
        <v>2.31111111111111</v>
      </c>
      <c r="U740" s="231" t="n">
        <f aca="false">+$I740</f>
        <v>0</v>
      </c>
      <c r="V740" s="232" t="str">
        <f aca="false">+PROPER(F740)</f>
        <v>Soltero(A)</v>
      </c>
    </row>
    <row r="741" customFormat="false" ht="14.25" hidden="false" customHeight="false" outlineLevel="0" collapsed="false">
      <c r="B741" s="197" t="n">
        <v>1005934372</v>
      </c>
      <c r="C741" s="197" t="s">
        <v>2275</v>
      </c>
      <c r="D741" s="197" t="s">
        <v>2276</v>
      </c>
      <c r="E741" s="198" t="s">
        <v>944</v>
      </c>
      <c r="F741" s="198" t="s">
        <v>953</v>
      </c>
      <c r="G741" s="225" t="n">
        <v>1670000</v>
      </c>
      <c r="H741" s="225" t="n">
        <v>1405682</v>
      </c>
      <c r="I741" s="225" t="n">
        <v>1792838</v>
      </c>
      <c r="J741" s="198" t="n">
        <v>27</v>
      </c>
      <c r="K741" s="198" t="n">
        <v>4</v>
      </c>
      <c r="L741" s="226" t="n">
        <v>44974</v>
      </c>
      <c r="M741" s="226" t="n">
        <v>44645</v>
      </c>
      <c r="N741" s="227" t="n">
        <v>0</v>
      </c>
      <c r="O741" s="227" t="s">
        <v>135</v>
      </c>
      <c r="P741" s="228" t="n">
        <f aca="false">VLOOKUP(B741,'NIVEL ENERO'!A:D,3,0)</f>
        <v>0.410843497005988</v>
      </c>
      <c r="Q741" s="229" t="n">
        <f aca="false">VLOOKUP(B741,'NIVEL ENERO'!A:D,4,0)</f>
        <v>36408</v>
      </c>
      <c r="R741" s="186" t="str">
        <f aca="false">+PROPER(C741&amp;" "&amp;D741)</f>
        <v>Torres Ordonez Yessica Alexandra</v>
      </c>
      <c r="S741" s="230" t="n">
        <f aca="false">+YEARFRAC(L741,$S$1)</f>
        <v>3.23611111111111</v>
      </c>
      <c r="T741" s="230" t="n">
        <f aca="false">+YEARFRAC(M741,$S$1)</f>
        <v>4.13055555555556</v>
      </c>
      <c r="U741" s="231" t="n">
        <f aca="false">+$I741</f>
        <v>1792838</v>
      </c>
      <c r="V741" s="232" t="str">
        <f aca="false">+PROPER(F741)</f>
        <v>Soltero(A)</v>
      </c>
    </row>
    <row r="742" customFormat="false" ht="14.25" hidden="false" customHeight="false" outlineLevel="0" collapsed="false">
      <c r="B742" s="197" t="n">
        <v>1005935480</v>
      </c>
      <c r="C742" s="197" t="s">
        <v>2277</v>
      </c>
      <c r="D742" s="197" t="s">
        <v>2278</v>
      </c>
      <c r="E742" s="198" t="s">
        <v>944</v>
      </c>
      <c r="F742" s="198" t="s">
        <v>953</v>
      </c>
      <c r="G742" s="225" t="n">
        <v>2600900</v>
      </c>
      <c r="H742" s="225" t="n">
        <v>1238408</v>
      </c>
      <c r="I742" s="225" t="n">
        <v>3386658</v>
      </c>
      <c r="J742" s="198" t="n">
        <v>22</v>
      </c>
      <c r="K742" s="198" t="n">
        <v>2</v>
      </c>
      <c r="L742" s="226" t="n">
        <v>45050</v>
      </c>
      <c r="M742" s="226" t="n">
        <v>44972</v>
      </c>
      <c r="N742" s="227" t="n">
        <v>0</v>
      </c>
      <c r="O742" s="227" t="s">
        <v>135</v>
      </c>
      <c r="P742" s="228" t="n">
        <f aca="false">VLOOKUP(B742,'NIVEL ENERO'!A:D,3,0)</f>
        <v>0.196976956383484</v>
      </c>
      <c r="Q742" s="229" t="n">
        <f aca="false">VLOOKUP(B742,'NIVEL ENERO'!A:D,4,0)</f>
        <v>694811.64</v>
      </c>
      <c r="R742" s="186" t="str">
        <f aca="false">+PROPER(C742&amp;" "&amp;D742)</f>
        <v>Ledesma Ceballos Mayerli</v>
      </c>
      <c r="S742" s="230" t="n">
        <f aca="false">+YEARFRAC(L742,$S$1)</f>
        <v>3.02222222222222</v>
      </c>
      <c r="T742" s="230" t="n">
        <f aca="false">+YEARFRAC(M742,$S$1)</f>
        <v>3.24166666666667</v>
      </c>
      <c r="U742" s="231" t="n">
        <f aca="false">+$I742</f>
        <v>3386658</v>
      </c>
      <c r="V742" s="232" t="str">
        <f aca="false">+PROPER(F742)</f>
        <v>Soltero(A)</v>
      </c>
    </row>
    <row r="743" customFormat="false" ht="14.25" hidden="false" customHeight="false" outlineLevel="0" collapsed="false">
      <c r="B743" s="197" t="n">
        <v>1005945934</v>
      </c>
      <c r="C743" s="197" t="s">
        <v>2279</v>
      </c>
      <c r="D743" s="197" t="s">
        <v>2280</v>
      </c>
      <c r="E743" s="198" t="s">
        <v>944</v>
      </c>
      <c r="F743" s="198" t="s">
        <v>945</v>
      </c>
      <c r="G743" s="225" t="n">
        <v>2315000</v>
      </c>
      <c r="H743" s="225" t="n">
        <v>750000</v>
      </c>
      <c r="I743" s="225"/>
      <c r="J743" s="198" t="n">
        <v>21</v>
      </c>
      <c r="K743" s="198" t="n">
        <v>1</v>
      </c>
      <c r="L743" s="226" t="n">
        <v>45517</v>
      </c>
      <c r="M743" s="226" t="n">
        <v>45442</v>
      </c>
      <c r="N743" s="227" t="n">
        <v>0</v>
      </c>
      <c r="O743" s="227" t="s">
        <v>135</v>
      </c>
      <c r="P743" s="228" t="n">
        <f aca="false">VLOOKUP(B743,'NIVEL ENERO'!A:D,3,0)</f>
        <v>0.143580844009604</v>
      </c>
      <c r="Q743" s="229" t="n">
        <f aca="false">VLOOKUP(B743,'NIVEL ENERO'!A:D,4,0)</f>
        <v>884328.18</v>
      </c>
      <c r="R743" s="186" t="str">
        <f aca="false">+PROPER(C743&amp;" "&amp;D743)</f>
        <v>Lopez Ospina John Esteban</v>
      </c>
      <c r="S743" s="230" t="n">
        <f aca="false">+YEARFRAC(L743,$S$1)</f>
        <v>1.74722222222222</v>
      </c>
      <c r="T743" s="230" t="n">
        <f aca="false">+YEARFRAC(M743,$S$1)</f>
        <v>1.95</v>
      </c>
      <c r="U743" s="231" t="n">
        <f aca="false">+$I743</f>
        <v>0</v>
      </c>
      <c r="V743" s="232" t="str">
        <f aca="false">+PROPER(F743)</f>
        <v>Union Libre</v>
      </c>
    </row>
    <row r="744" customFormat="false" ht="14.25" hidden="false" customHeight="false" outlineLevel="0" collapsed="false">
      <c r="B744" s="197" t="n">
        <v>1005965166</v>
      </c>
      <c r="C744" s="197" t="s">
        <v>2281</v>
      </c>
      <c r="D744" s="197" t="s">
        <v>2282</v>
      </c>
      <c r="E744" s="198" t="s">
        <v>944</v>
      </c>
      <c r="F744" s="198" t="s">
        <v>953</v>
      </c>
      <c r="G744" s="225" t="n">
        <v>2797400</v>
      </c>
      <c r="H744" s="225" t="n">
        <v>65000</v>
      </c>
      <c r="I744" s="225"/>
      <c r="J744" s="198" t="n">
        <v>24</v>
      </c>
      <c r="K744" s="198" t="n">
        <v>2</v>
      </c>
      <c r="L744" s="226" t="n">
        <v>45643</v>
      </c>
      <c r="M744" s="226" t="n">
        <v>45201</v>
      </c>
      <c r="N744" s="227" t="n">
        <v>0</v>
      </c>
      <c r="O744" s="227" t="s">
        <v>135</v>
      </c>
      <c r="P744" s="228" t="e">
        <f aca="false">VLOOKUP(B744,'NIVEL ENERO'!A:D,3,0)</f>
        <v>#N/A</v>
      </c>
      <c r="Q744" s="229" t="e">
        <f aca="false">VLOOKUP(B744,'NIVEL ENERO'!A:D,4,0)</f>
        <v>#N/A</v>
      </c>
      <c r="R744" s="186" t="str">
        <f aca="false">+PROPER(C744&amp;" "&amp;D744)</f>
        <v>Hernandez Sanchez Stefany</v>
      </c>
      <c r="S744" s="230" t="n">
        <f aca="false">+YEARFRAC(L744,$S$1)</f>
        <v>1.40277777777778</v>
      </c>
      <c r="T744" s="230" t="n">
        <f aca="false">+YEARFRAC(M744,$S$1)</f>
        <v>2.61111111111111</v>
      </c>
      <c r="U744" s="231" t="n">
        <f aca="false">+$I744</f>
        <v>0</v>
      </c>
      <c r="V744" s="232" t="str">
        <f aca="false">+PROPER(F744)</f>
        <v>Soltero(A)</v>
      </c>
    </row>
    <row r="745" customFormat="false" ht="14.25" hidden="false" customHeight="false" outlineLevel="0" collapsed="false">
      <c r="B745" s="197" t="n">
        <v>1005965608</v>
      </c>
      <c r="C745" s="197" t="s">
        <v>2283</v>
      </c>
      <c r="D745" s="197" t="s">
        <v>2284</v>
      </c>
      <c r="E745" s="198" t="s">
        <v>944</v>
      </c>
      <c r="F745" s="198" t="s">
        <v>998</v>
      </c>
      <c r="G745" s="225" t="n">
        <v>1625000</v>
      </c>
      <c r="H745" s="225" t="n">
        <v>1500275</v>
      </c>
      <c r="I745" s="225"/>
      <c r="J745" s="198" t="n">
        <v>38</v>
      </c>
      <c r="K745" s="198" t="n">
        <v>2</v>
      </c>
      <c r="L745" s="226" t="n">
        <v>45220</v>
      </c>
      <c r="M745" s="226" t="n">
        <v>45145</v>
      </c>
      <c r="N745" s="227" t="n">
        <v>0</v>
      </c>
      <c r="O745" s="227" t="s">
        <v>135</v>
      </c>
      <c r="P745" s="228" t="n">
        <f aca="false">VLOOKUP(B745,'NIVEL ENERO'!A:D,3,0)</f>
        <v>0.162259184217435</v>
      </c>
      <c r="Q745" s="229" t="n">
        <f aca="false">VLOOKUP(B745,'NIVEL ENERO'!A:D,4,0)</f>
        <v>514431.08</v>
      </c>
      <c r="R745" s="186" t="str">
        <f aca="false">+PROPER(C745&amp;" "&amp;D745)</f>
        <v>Tenorio Kareliz Stephany</v>
      </c>
      <c r="S745" s="230" t="n">
        <f aca="false">+YEARFRAC(L745,$S$1)</f>
        <v>2.55833333333333</v>
      </c>
      <c r="T745" s="230" t="n">
        <f aca="false">+YEARFRAC(M745,$S$1)</f>
        <v>2.76388888888889</v>
      </c>
      <c r="U745" s="231" t="n">
        <f aca="false">+$I745</f>
        <v>0</v>
      </c>
      <c r="V745" s="232" t="str">
        <f aca="false">+PROPER(F745)</f>
        <v>Separado(A)</v>
      </c>
    </row>
    <row r="746" customFormat="false" ht="14.25" hidden="false" customHeight="false" outlineLevel="0" collapsed="false">
      <c r="B746" s="197" t="n">
        <v>1005966057</v>
      </c>
      <c r="C746" s="197" t="s">
        <v>2285</v>
      </c>
      <c r="D746" s="197" t="s">
        <v>2286</v>
      </c>
      <c r="E746" s="198" t="s">
        <v>944</v>
      </c>
      <c r="F746" s="198" t="s">
        <v>953</v>
      </c>
      <c r="G746" s="225" t="n">
        <v>2893800</v>
      </c>
      <c r="H746" s="225" t="n">
        <v>3803654</v>
      </c>
      <c r="I746" s="225" t="n">
        <v>2163070</v>
      </c>
      <c r="J746" s="198" t="n">
        <v>23</v>
      </c>
      <c r="K746" s="198" t="n">
        <v>2</v>
      </c>
      <c r="L746" s="226" t="n">
        <v>45096</v>
      </c>
      <c r="M746" s="226" t="n">
        <v>44713</v>
      </c>
      <c r="N746" s="227" t="n">
        <v>0</v>
      </c>
      <c r="O746" s="227" t="s">
        <v>135</v>
      </c>
      <c r="P746" s="228" t="n">
        <f aca="false">VLOOKUP(B746,'NIVEL ENERO'!A:D,3,0)</f>
        <v>0.256895056643996</v>
      </c>
      <c r="Q746" s="229" t="n">
        <f aca="false">VLOOKUP(B746,'NIVEL ENERO'!A:D,4,0)</f>
        <v>490235.34</v>
      </c>
      <c r="R746" s="186" t="str">
        <f aca="false">+PROPER(C746&amp;" "&amp;D746)</f>
        <v>Carabali Lozano Oriana Yireth</v>
      </c>
      <c r="S746" s="230" t="n">
        <f aca="false">+YEARFRAC(L746,$S$1)</f>
        <v>2.89722222222222</v>
      </c>
      <c r="T746" s="230" t="n">
        <f aca="false">+YEARFRAC(M746,$S$1)</f>
        <v>3.94722222222222</v>
      </c>
      <c r="U746" s="231" t="n">
        <f aca="false">+$I746</f>
        <v>2163070</v>
      </c>
      <c r="V746" s="232" t="str">
        <f aca="false">+PROPER(F746)</f>
        <v>Soltero(A)</v>
      </c>
    </row>
    <row r="747" customFormat="false" ht="14.25" hidden="false" customHeight="false" outlineLevel="0" collapsed="false">
      <c r="B747" s="197" t="n">
        <v>1005966107</v>
      </c>
      <c r="C747" s="197" t="s">
        <v>2287</v>
      </c>
      <c r="D747" s="197" t="s">
        <v>2288</v>
      </c>
      <c r="E747" s="198" t="s">
        <v>944</v>
      </c>
      <c r="F747" s="198" t="s">
        <v>953</v>
      </c>
      <c r="G747" s="225" t="n">
        <v>2383300</v>
      </c>
      <c r="H747" s="225" t="n">
        <v>1456149</v>
      </c>
      <c r="I747" s="225" t="n">
        <v>2553015</v>
      </c>
      <c r="J747" s="198" t="n">
        <v>22</v>
      </c>
      <c r="K747" s="198" t="n">
        <v>4</v>
      </c>
      <c r="L747" s="226" t="n">
        <v>44939</v>
      </c>
      <c r="M747" s="226" t="n">
        <v>44206</v>
      </c>
      <c r="N747" s="227" t="n">
        <v>0</v>
      </c>
      <c r="O747" s="227" t="s">
        <v>135</v>
      </c>
      <c r="P747" s="228" t="n">
        <f aca="false">VLOOKUP(B747,'NIVEL ENERO'!A:D,3,0)</f>
        <v>0.362796988409411</v>
      </c>
      <c r="Q747" s="229" t="n">
        <f aca="false">VLOOKUP(B747,'NIVEL ENERO'!A:D,4,0)</f>
        <v>125909.32</v>
      </c>
      <c r="R747" s="186" t="str">
        <f aca="false">+PROPER(C747&amp;" "&amp;D747)</f>
        <v>Quigua Serna Angie Valentina</v>
      </c>
      <c r="S747" s="230" t="n">
        <f aca="false">+YEARFRAC(L747,$S$1)</f>
        <v>3.33055555555556</v>
      </c>
      <c r="T747" s="230" t="n">
        <f aca="false">+YEARFRAC(M747,$S$1)</f>
        <v>5.33888888888889</v>
      </c>
      <c r="U747" s="231" t="n">
        <f aca="false">+$I747</f>
        <v>2553015</v>
      </c>
      <c r="V747" s="232" t="str">
        <f aca="false">+PROPER(F747)</f>
        <v>Soltero(A)</v>
      </c>
    </row>
    <row r="748" customFormat="false" ht="14.25" hidden="false" customHeight="false" outlineLevel="0" collapsed="false">
      <c r="B748" s="197" t="n">
        <v>1005966722</v>
      </c>
      <c r="C748" s="197" t="s">
        <v>2289</v>
      </c>
      <c r="D748" s="197" t="s">
        <v>2290</v>
      </c>
      <c r="E748" s="198" t="s">
        <v>944</v>
      </c>
      <c r="F748" s="198" t="s">
        <v>945</v>
      </c>
      <c r="G748" s="225" t="n">
        <v>2600000</v>
      </c>
      <c r="H748" s="225" t="n">
        <v>2405675</v>
      </c>
      <c r="I748" s="225" t="n">
        <v>0</v>
      </c>
      <c r="J748" s="198" t="n">
        <v>23</v>
      </c>
      <c r="K748" s="198" t="n">
        <v>2</v>
      </c>
      <c r="L748" s="226" t="n">
        <v>44938</v>
      </c>
      <c r="M748" s="226" t="n">
        <v>45633</v>
      </c>
      <c r="N748" s="227" t="n">
        <v>1</v>
      </c>
      <c r="O748" s="227" t="s">
        <v>135</v>
      </c>
      <c r="P748" s="228" t="n">
        <f aca="false">VLOOKUP(B748,'NIVEL ENERO'!A:D,3,0)</f>
        <v>0.148919502493958</v>
      </c>
      <c r="Q748" s="229" t="n">
        <f aca="false">VLOOKUP(B748,'NIVEL ENERO'!A:D,4,0)</f>
        <v>802693.66</v>
      </c>
      <c r="R748" s="186" t="str">
        <f aca="false">+PROPER(C748&amp;" "&amp;D748)</f>
        <v>Londono Leiton Angie Daniela</v>
      </c>
      <c r="S748" s="230" t="n">
        <f aca="false">+YEARFRAC(L748,$S$1)</f>
        <v>3.33333333333333</v>
      </c>
      <c r="T748" s="230" t="n">
        <f aca="false">+YEARFRAC(M748,$S$1)</f>
        <v>1.43055555555556</v>
      </c>
      <c r="U748" s="231" t="n">
        <f aca="false">+$I748</f>
        <v>0</v>
      </c>
      <c r="V748" s="232" t="str">
        <f aca="false">+PROPER(F748)</f>
        <v>Union Libre</v>
      </c>
    </row>
    <row r="749" customFormat="false" ht="14.25" hidden="false" customHeight="false" outlineLevel="0" collapsed="false">
      <c r="B749" s="197" t="n">
        <v>1005967323</v>
      </c>
      <c r="C749" s="197" t="s">
        <v>2291</v>
      </c>
      <c r="D749" s="197" t="s">
        <v>2292</v>
      </c>
      <c r="E749" s="198" t="s">
        <v>944</v>
      </c>
      <c r="F749" s="198" t="s">
        <v>953</v>
      </c>
      <c r="G749" s="225" t="n">
        <v>1828100</v>
      </c>
      <c r="H749" s="225" t="n">
        <v>650000</v>
      </c>
      <c r="I749" s="225" t="n">
        <v>715510</v>
      </c>
      <c r="J749" s="198" t="n">
        <v>22</v>
      </c>
      <c r="K749" s="198" t="n">
        <v>2</v>
      </c>
      <c r="L749" s="226" t="n">
        <v>45365</v>
      </c>
      <c r="M749" s="226" t="n">
        <v>45071</v>
      </c>
      <c r="N749" s="227" t="n">
        <v>0</v>
      </c>
      <c r="O749" s="227" t="s">
        <v>135</v>
      </c>
      <c r="P749" s="228" t="n">
        <f aca="false">VLOOKUP(B749,'NIVEL ENERO'!A:D,3,0)</f>
        <v>0.396160100650949</v>
      </c>
      <c r="Q749" s="229" t="n">
        <f aca="false">VLOOKUP(B749,'NIVEL ENERO'!A:D,4,0)</f>
        <v>103766</v>
      </c>
      <c r="R749" s="186" t="str">
        <f aca="false">+PROPER(C749&amp;" "&amp;D749)</f>
        <v>Cardona Soto Leidy Manuela</v>
      </c>
      <c r="S749" s="230" t="n">
        <f aca="false">+YEARFRAC(L749,$S$1)</f>
        <v>2.16111111111111</v>
      </c>
      <c r="T749" s="230" t="n">
        <f aca="false">+YEARFRAC(M749,$S$1)</f>
        <v>2.96388888888889</v>
      </c>
      <c r="U749" s="231" t="n">
        <f aca="false">+$I749</f>
        <v>715510</v>
      </c>
      <c r="V749" s="232" t="str">
        <f aca="false">+PROPER(F749)</f>
        <v>Soltero(A)</v>
      </c>
    </row>
    <row r="750" customFormat="false" ht="14.25" hidden="false" customHeight="false" outlineLevel="0" collapsed="false">
      <c r="B750" s="197" t="n">
        <v>1005967595</v>
      </c>
      <c r="C750" s="197" t="s">
        <v>2293</v>
      </c>
      <c r="D750" s="197" t="s">
        <v>2294</v>
      </c>
      <c r="E750" s="198" t="s">
        <v>944</v>
      </c>
      <c r="F750" s="198" t="s">
        <v>953</v>
      </c>
      <c r="G750" s="225" t="n">
        <v>2600900</v>
      </c>
      <c r="H750" s="225" t="n">
        <v>2100150</v>
      </c>
      <c r="I750" s="225"/>
      <c r="J750" s="198" t="n">
        <v>22</v>
      </c>
      <c r="K750" s="198" t="n">
        <v>2</v>
      </c>
      <c r="L750" s="226" t="n">
        <v>45249</v>
      </c>
      <c r="M750" s="226" t="n">
        <v>44490</v>
      </c>
      <c r="N750" s="227" t="n">
        <v>0</v>
      </c>
      <c r="O750" s="227" t="s">
        <v>135</v>
      </c>
      <c r="P750" s="228" t="n">
        <f aca="false">VLOOKUP(B750,'NIVEL ENERO'!A:D,3,0)</f>
        <v>0.429214098953312</v>
      </c>
      <c r="Q750" s="229" t="n">
        <f aca="false">VLOOKUP(B750,'NIVEL ENERO'!A:D,4,0)</f>
        <v>-30952.6666666665</v>
      </c>
      <c r="R750" s="186" t="str">
        <f aca="false">+PROPER(C750&amp;" "&amp;D750)</f>
        <v>Velez Rodriguez Nicol Natalia</v>
      </c>
      <c r="S750" s="230" t="n">
        <f aca="false">+YEARFRAC(L750,$S$1)</f>
        <v>2.48055555555556</v>
      </c>
      <c r="T750" s="230" t="n">
        <f aca="false">+YEARFRAC(M750,$S$1)</f>
        <v>4.55833333333333</v>
      </c>
      <c r="U750" s="231" t="n">
        <f aca="false">+$I750</f>
        <v>0</v>
      </c>
      <c r="V750" s="232" t="str">
        <f aca="false">+PROPER(F750)</f>
        <v>Soltero(A)</v>
      </c>
    </row>
    <row r="751" customFormat="false" ht="14.25" hidden="false" customHeight="false" outlineLevel="0" collapsed="false">
      <c r="B751" s="197" t="n">
        <v>1005975258</v>
      </c>
      <c r="C751" s="197" t="s">
        <v>2295</v>
      </c>
      <c r="D751" s="197" t="s">
        <v>1390</v>
      </c>
      <c r="E751" s="198" t="s">
        <v>944</v>
      </c>
      <c r="F751" s="198" t="s">
        <v>953</v>
      </c>
      <c r="G751" s="225" t="n">
        <v>1918500</v>
      </c>
      <c r="H751" s="225" t="n">
        <v>195000</v>
      </c>
      <c r="I751" s="225" t="n">
        <v>0</v>
      </c>
      <c r="J751" s="198" t="n">
        <v>30</v>
      </c>
      <c r="K751" s="198" t="n">
        <v>2</v>
      </c>
      <c r="L751" s="226" t="n">
        <v>45580</v>
      </c>
      <c r="M751" s="226" t="n">
        <v>44158</v>
      </c>
      <c r="N751" s="227" t="n">
        <v>1</v>
      </c>
      <c r="O751" s="227" t="s">
        <v>135</v>
      </c>
      <c r="P751" s="228" t="n">
        <f aca="false">VLOOKUP(B751,'NIVEL ENERO'!A:D,3,0)</f>
        <v>0.413536356528538</v>
      </c>
      <c r="Q751" s="229" t="n">
        <f aca="false">VLOOKUP(B751,'NIVEL ENERO'!A:D,4,0)</f>
        <v>29525</v>
      </c>
      <c r="R751" s="186" t="str">
        <f aca="false">+PROPER(C751&amp;" "&amp;D751)</f>
        <v>Urbano Bravo Angelica</v>
      </c>
      <c r="S751" s="230" t="n">
        <f aca="false">+YEARFRAC(L751,$S$1)</f>
        <v>1.575</v>
      </c>
      <c r="T751" s="230" t="n">
        <f aca="false">+YEARFRAC(M751,$S$1)</f>
        <v>5.46944444444444</v>
      </c>
      <c r="U751" s="231" t="n">
        <f aca="false">+$I751</f>
        <v>0</v>
      </c>
      <c r="V751" s="232" t="str">
        <f aca="false">+PROPER(F751)</f>
        <v>Soltero(A)</v>
      </c>
    </row>
    <row r="752" customFormat="false" ht="14.25" hidden="false" customHeight="false" outlineLevel="0" collapsed="false">
      <c r="B752" s="197" t="n">
        <v>1005975868</v>
      </c>
      <c r="C752" s="197" t="s">
        <v>2296</v>
      </c>
      <c r="D752" s="197" t="s">
        <v>2297</v>
      </c>
      <c r="E752" s="198" t="s">
        <v>944</v>
      </c>
      <c r="F752" s="198" t="s">
        <v>953</v>
      </c>
      <c r="G752" s="225" t="n">
        <v>2600900</v>
      </c>
      <c r="H752" s="225" t="n">
        <v>350000</v>
      </c>
      <c r="I752" s="225"/>
      <c r="J752" s="198" t="n">
        <v>23</v>
      </c>
      <c r="K752" s="198" t="n">
        <v>1</v>
      </c>
      <c r="L752" s="226" t="n">
        <v>45518</v>
      </c>
      <c r="M752" s="226" t="n">
        <v>44242</v>
      </c>
      <c r="N752" s="227" t="n">
        <v>0</v>
      </c>
      <c r="O752" s="227" t="s">
        <v>135</v>
      </c>
      <c r="P752" s="228" t="n">
        <f aca="false">VLOOKUP(B752,'NIVEL ENERO'!A:D,3,0)</f>
        <v>0.21535800336003</v>
      </c>
      <c r="Q752" s="229" t="n">
        <f aca="false">VLOOKUP(B752,'NIVEL ENERO'!A:D,4,0)</f>
        <v>526339.42</v>
      </c>
      <c r="R752" s="186" t="str">
        <f aca="false">+PROPER(C752&amp;" "&amp;D752)</f>
        <v>Urrea Paja Valentina</v>
      </c>
      <c r="S752" s="230" t="n">
        <f aca="false">+YEARFRAC(L752,$S$1)</f>
        <v>1.74444444444444</v>
      </c>
      <c r="T752" s="230" t="n">
        <f aca="false">+YEARFRAC(M752,$S$1)</f>
        <v>5.24166666666667</v>
      </c>
      <c r="U752" s="231" t="n">
        <f aca="false">+$I752</f>
        <v>0</v>
      </c>
      <c r="V752" s="232" t="str">
        <f aca="false">+PROPER(F752)</f>
        <v>Soltero(A)</v>
      </c>
    </row>
    <row r="753" customFormat="false" ht="14.25" hidden="false" customHeight="false" outlineLevel="0" collapsed="false">
      <c r="B753" s="197" t="n">
        <v>1005976508</v>
      </c>
      <c r="C753" s="197" t="s">
        <v>2298</v>
      </c>
      <c r="D753" s="197" t="s">
        <v>2299</v>
      </c>
      <c r="E753" s="198" t="s">
        <v>944</v>
      </c>
      <c r="F753" s="198" t="s">
        <v>945</v>
      </c>
      <c r="G753" s="225" t="n">
        <v>2600900</v>
      </c>
      <c r="H753" s="225" t="n">
        <v>2062239</v>
      </c>
      <c r="I753" s="225" t="n">
        <v>306058</v>
      </c>
      <c r="J753" s="198" t="n">
        <v>22</v>
      </c>
      <c r="K753" s="198" t="n">
        <v>2</v>
      </c>
      <c r="L753" s="226" t="n">
        <v>44552</v>
      </c>
      <c r="M753" s="226" t="n">
        <v>44491</v>
      </c>
      <c r="N753" s="227" t="n">
        <v>2</v>
      </c>
      <c r="O753" s="227" t="s">
        <v>135</v>
      </c>
      <c r="P753" s="228" t="n">
        <f aca="false">VLOOKUP(B753,'NIVEL ENERO'!A:D,3,0)</f>
        <v>0.43506824560729</v>
      </c>
      <c r="Q753" s="229" t="n">
        <f aca="false">VLOOKUP(B753,'NIVEL ENERO'!A:D,4,0)</f>
        <v>-39191</v>
      </c>
      <c r="R753" s="186" t="str">
        <f aca="false">+PROPER(C753&amp;" "&amp;D753)</f>
        <v>Camino Villamil Maria Jose</v>
      </c>
      <c r="S753" s="230" t="n">
        <f aca="false">+YEARFRAC(L753,$S$1)</f>
        <v>4.38888888888889</v>
      </c>
      <c r="T753" s="230" t="n">
        <f aca="false">+YEARFRAC(M753,$S$1)</f>
        <v>4.55555555555556</v>
      </c>
      <c r="U753" s="231" t="n">
        <f aca="false">+$I753</f>
        <v>306058</v>
      </c>
      <c r="V753" s="232" t="str">
        <f aca="false">+PROPER(F753)</f>
        <v>Union Libre</v>
      </c>
    </row>
    <row r="754" customFormat="false" ht="14.25" hidden="false" customHeight="false" outlineLevel="0" collapsed="false">
      <c r="B754" s="197" t="n">
        <v>1005979495</v>
      </c>
      <c r="C754" s="197" t="s">
        <v>2300</v>
      </c>
      <c r="D754" s="197" t="s">
        <v>2301</v>
      </c>
      <c r="E754" s="198" t="s">
        <v>944</v>
      </c>
      <c r="F754" s="198" t="s">
        <v>953</v>
      </c>
      <c r="G754" s="225" t="n">
        <v>2600900</v>
      </c>
      <c r="H754" s="225" t="n">
        <v>3415825</v>
      </c>
      <c r="I754" s="225" t="n">
        <v>610251</v>
      </c>
      <c r="J754" s="198" t="n">
        <v>22</v>
      </c>
      <c r="K754" s="198" t="n">
        <v>2</v>
      </c>
      <c r="L754" s="226" t="n">
        <v>44613</v>
      </c>
      <c r="M754" s="226" t="n">
        <v>44263</v>
      </c>
      <c r="N754" s="227" t="n">
        <v>2</v>
      </c>
      <c r="O754" s="227" t="s">
        <v>135</v>
      </c>
      <c r="P754" s="228" t="n">
        <f aca="false">VLOOKUP(B754,'NIVEL ENERO'!A:D,3,0)</f>
        <v>0.123977806220228</v>
      </c>
      <c r="Q754" s="229" t="n">
        <f aca="false">VLOOKUP(B754,'NIVEL ENERO'!A:D,4,0)</f>
        <v>1062439.54</v>
      </c>
      <c r="R754" s="186" t="str">
        <f aca="false">+PROPER(C754&amp;" "&amp;D754)</f>
        <v>Castro Restrepo Karolina</v>
      </c>
      <c r="S754" s="230" t="n">
        <f aca="false">+YEARFRAC(L754,$S$1)</f>
        <v>4.225</v>
      </c>
      <c r="T754" s="230" t="n">
        <f aca="false">+YEARFRAC(M754,$S$1)</f>
        <v>5.17777777777778</v>
      </c>
      <c r="U754" s="231" t="n">
        <f aca="false">+$I754</f>
        <v>610251</v>
      </c>
      <c r="V754" s="232" t="str">
        <f aca="false">+PROPER(F754)</f>
        <v>Soltero(A)</v>
      </c>
    </row>
    <row r="755" customFormat="false" ht="14.25" hidden="false" customHeight="false" outlineLevel="0" collapsed="false">
      <c r="B755" s="197" t="n">
        <v>1006008209</v>
      </c>
      <c r="C755" s="197" t="s">
        <v>2302</v>
      </c>
      <c r="D755" s="197" t="s">
        <v>2303</v>
      </c>
      <c r="E755" s="198" t="s">
        <v>944</v>
      </c>
      <c r="F755" s="198" t="s">
        <v>998</v>
      </c>
      <c r="G755" s="225" t="n">
        <v>1828100</v>
      </c>
      <c r="H755" s="225" t="n">
        <v>889058</v>
      </c>
      <c r="I755" s="225" t="n">
        <v>380106</v>
      </c>
      <c r="J755" s="198" t="n">
        <v>25</v>
      </c>
      <c r="K755" s="198" t="n">
        <v>2</v>
      </c>
      <c r="L755" s="226" t="n">
        <v>45249</v>
      </c>
      <c r="M755" s="226" t="n">
        <v>45047</v>
      </c>
      <c r="N755" s="227" t="n">
        <v>0</v>
      </c>
      <c r="O755" s="227" t="s">
        <v>135</v>
      </c>
      <c r="P755" s="228" t="n">
        <f aca="false">VLOOKUP(B755,'NIVEL ENERO'!A:D,3,0)</f>
        <v>0.365708779607242</v>
      </c>
      <c r="Q755" s="229" t="n">
        <f aca="false">VLOOKUP(B755,'NIVEL ENERO'!A:D,4,0)</f>
        <v>236309</v>
      </c>
      <c r="R755" s="186" t="str">
        <f aca="false">+PROPER(C755&amp;" "&amp;D755)</f>
        <v>Zules Mejia Laura Isabel</v>
      </c>
      <c r="S755" s="230" t="n">
        <f aca="false">+YEARFRAC(L755,$S$1)</f>
        <v>2.48055555555556</v>
      </c>
      <c r="T755" s="230" t="n">
        <f aca="false">+YEARFRAC(M755,$S$1)</f>
        <v>3.03055555555556</v>
      </c>
      <c r="U755" s="231" t="n">
        <f aca="false">+$I755</f>
        <v>380106</v>
      </c>
      <c r="V755" s="232" t="str">
        <f aca="false">+PROPER(F755)</f>
        <v>Separado(A)</v>
      </c>
    </row>
    <row r="756" customFormat="false" ht="14.25" hidden="false" customHeight="false" outlineLevel="0" collapsed="false">
      <c r="B756" s="197" t="n">
        <v>1006011753</v>
      </c>
      <c r="C756" s="197" t="s">
        <v>2304</v>
      </c>
      <c r="D756" s="197" t="s">
        <v>2305</v>
      </c>
      <c r="E756" s="198" t="s">
        <v>944</v>
      </c>
      <c r="F756" s="198" t="s">
        <v>953</v>
      </c>
      <c r="G756" s="225" t="n">
        <v>2893800</v>
      </c>
      <c r="H756" s="225" t="n">
        <v>1708686</v>
      </c>
      <c r="I756" s="225" t="n">
        <v>1411756</v>
      </c>
      <c r="J756" s="198" t="n">
        <v>23</v>
      </c>
      <c r="K756" s="198" t="n">
        <v>1</v>
      </c>
      <c r="L756" s="226" t="n">
        <v>44790</v>
      </c>
      <c r="M756" s="226" t="n">
        <v>44228</v>
      </c>
      <c r="N756" s="227" t="n">
        <v>1</v>
      </c>
      <c r="O756" s="227" t="s">
        <v>135</v>
      </c>
      <c r="P756" s="228" t="n">
        <f aca="false">VLOOKUP(B756,'NIVEL ENERO'!A:D,3,0)</f>
        <v>0.135593285867546</v>
      </c>
      <c r="Q756" s="229" t="n">
        <f aca="false">VLOOKUP(B756,'NIVEL ENERO'!A:D,4,0)</f>
        <v>1152481.04</v>
      </c>
      <c r="R756" s="186" t="str">
        <f aca="false">+PROPER(C756&amp;" "&amp;D756)</f>
        <v>Collazos Barrios Isabella</v>
      </c>
      <c r="S756" s="230" t="n">
        <f aca="false">+YEARFRAC(L756,$S$1)</f>
        <v>3.73611111111111</v>
      </c>
      <c r="T756" s="230" t="n">
        <f aca="false">+YEARFRAC(M756,$S$1)</f>
        <v>5.28055555555556</v>
      </c>
      <c r="U756" s="231" t="n">
        <f aca="false">+$I756</f>
        <v>1411756</v>
      </c>
      <c r="V756" s="232" t="str">
        <f aca="false">+PROPER(F756)</f>
        <v>Soltero(A)</v>
      </c>
    </row>
    <row r="757" customFormat="false" ht="14.25" hidden="false" customHeight="false" outlineLevel="0" collapsed="false">
      <c r="B757" s="197" t="n">
        <v>1006035627</v>
      </c>
      <c r="C757" s="197" t="s">
        <v>2306</v>
      </c>
      <c r="D757" s="197" t="s">
        <v>2307</v>
      </c>
      <c r="E757" s="198" t="s">
        <v>944</v>
      </c>
      <c r="F757" s="198" t="s">
        <v>953</v>
      </c>
      <c r="G757" s="225" t="n">
        <v>1670000</v>
      </c>
      <c r="H757" s="225" t="n">
        <v>1316870</v>
      </c>
      <c r="I757" s="225" t="n">
        <v>2091122</v>
      </c>
      <c r="J757" s="198" t="n">
        <v>21</v>
      </c>
      <c r="K757" s="198" t="n">
        <v>4</v>
      </c>
      <c r="L757" s="226" t="n">
        <v>45027</v>
      </c>
      <c r="M757" s="226" t="n">
        <v>44973</v>
      </c>
      <c r="N757" s="227" t="n">
        <v>0</v>
      </c>
      <c r="O757" s="227" t="s">
        <v>135</v>
      </c>
      <c r="P757" s="228" t="n">
        <f aca="false">VLOOKUP(B757,'NIVEL ENERO'!A:D,3,0)</f>
        <v>0.486389928143713</v>
      </c>
      <c r="Q757" s="229" t="n">
        <f aca="false">VLOOKUP(B757,'NIVEL ENERO'!A:D,4,0)</f>
        <v>-263979</v>
      </c>
      <c r="R757" s="186" t="str">
        <f aca="false">+PROPER(C757&amp;" "&amp;D757)</f>
        <v>Marin Macca Daniel Santiago</v>
      </c>
      <c r="S757" s="230" t="n">
        <f aca="false">+YEARFRAC(L757,$S$1)</f>
        <v>3.08611111111111</v>
      </c>
      <c r="T757" s="230" t="n">
        <f aca="false">+YEARFRAC(M757,$S$1)</f>
        <v>3.23888888888889</v>
      </c>
      <c r="U757" s="231" t="n">
        <f aca="false">+$I757</f>
        <v>2091122</v>
      </c>
      <c r="V757" s="232" t="str">
        <f aca="false">+PROPER(F757)</f>
        <v>Soltero(A)</v>
      </c>
    </row>
    <row r="758" customFormat="false" ht="14.25" hidden="false" customHeight="false" outlineLevel="0" collapsed="false">
      <c r="B758" s="197" t="n">
        <v>1006049428</v>
      </c>
      <c r="C758" s="197" t="s">
        <v>2308</v>
      </c>
      <c r="D758" s="197" t="s">
        <v>2309</v>
      </c>
      <c r="E758" s="198" t="s">
        <v>944</v>
      </c>
      <c r="F758" s="198" t="s">
        <v>953</v>
      </c>
      <c r="G758" s="225" t="n">
        <v>1918500</v>
      </c>
      <c r="H758" s="225" t="n">
        <v>2213761</v>
      </c>
      <c r="I758" s="225" t="n">
        <v>2322685</v>
      </c>
      <c r="J758" s="198" t="n">
        <v>23</v>
      </c>
      <c r="K758" s="198" t="n">
        <v>2</v>
      </c>
      <c r="L758" s="226" t="n">
        <v>44432</v>
      </c>
      <c r="M758" s="226" t="n">
        <v>44018</v>
      </c>
      <c r="N758" s="227" t="n">
        <v>2</v>
      </c>
      <c r="O758" s="227" t="s">
        <v>135</v>
      </c>
      <c r="P758" s="228" t="n">
        <f aca="false">VLOOKUP(B758,'NIVEL ENERO'!A:D,3,0)</f>
        <v>0.397259796716185</v>
      </c>
      <c r="Q758" s="229" t="n">
        <f aca="false">VLOOKUP(B758,'NIVEL ENERO'!A:D,4,0)</f>
        <v>103874</v>
      </c>
      <c r="R758" s="186" t="str">
        <f aca="false">+PROPER(C758&amp;" "&amp;D758)</f>
        <v>Arango Mercado Maria Paula</v>
      </c>
      <c r="S758" s="230" t="n">
        <f aca="false">+YEARFRAC(L758,$S$1)</f>
        <v>4.71666666666667</v>
      </c>
      <c r="T758" s="230" t="n">
        <f aca="false">+YEARFRAC(M758,$S$1)</f>
        <v>5.85</v>
      </c>
      <c r="U758" s="231" t="n">
        <f aca="false">+$I758</f>
        <v>2322685</v>
      </c>
      <c r="V758" s="232" t="str">
        <f aca="false">+PROPER(F758)</f>
        <v>Soltero(A)</v>
      </c>
    </row>
    <row r="759" customFormat="false" ht="14.25" hidden="false" customHeight="false" outlineLevel="0" collapsed="false">
      <c r="B759" s="197" t="n">
        <v>1006052439</v>
      </c>
      <c r="C759" s="197" t="s">
        <v>2310</v>
      </c>
      <c r="D759" s="197" t="s">
        <v>2311</v>
      </c>
      <c r="E759" s="198" t="s">
        <v>944</v>
      </c>
      <c r="F759" s="198" t="s">
        <v>953</v>
      </c>
      <c r="G759" s="225" t="n">
        <v>2600900</v>
      </c>
      <c r="H759" s="225" t="n">
        <v>3500250</v>
      </c>
      <c r="I759" s="225"/>
      <c r="J759" s="198" t="n">
        <v>22</v>
      </c>
      <c r="K759" s="198" t="n">
        <v>2</v>
      </c>
      <c r="L759" s="226" t="n">
        <v>45250</v>
      </c>
      <c r="M759" s="226" t="n">
        <v>44778</v>
      </c>
      <c r="N759" s="227" t="n">
        <v>0</v>
      </c>
      <c r="O759" s="227" t="s">
        <v>135</v>
      </c>
      <c r="P759" s="228" t="n">
        <f aca="false">VLOOKUP(B759,'NIVEL ENERO'!A:D,3,0)</f>
        <v>0.233303489404033</v>
      </c>
      <c r="Q759" s="229" t="n">
        <f aca="false">VLOOKUP(B759,'NIVEL ENERO'!A:D,4,0)</f>
        <v>650112.66</v>
      </c>
      <c r="R759" s="186" t="str">
        <f aca="false">+PROPER(C759&amp;" "&amp;D759)</f>
        <v>Forero Villafane Mariana</v>
      </c>
      <c r="S759" s="230" t="n">
        <f aca="false">+YEARFRAC(L759,$S$1)</f>
        <v>2.47777777777778</v>
      </c>
      <c r="T759" s="230" t="n">
        <f aca="false">+YEARFRAC(M759,$S$1)</f>
        <v>3.76944444444444</v>
      </c>
      <c r="U759" s="231" t="n">
        <f aca="false">+$I759</f>
        <v>0</v>
      </c>
      <c r="V759" s="232" t="str">
        <f aca="false">+PROPER(F759)</f>
        <v>Soltero(A)</v>
      </c>
    </row>
    <row r="760" customFormat="false" ht="14.25" hidden="false" customHeight="false" outlineLevel="0" collapsed="false">
      <c r="B760" s="197" t="n">
        <v>1006054314</v>
      </c>
      <c r="C760" s="197" t="s">
        <v>2312</v>
      </c>
      <c r="D760" s="197" t="s">
        <v>2313</v>
      </c>
      <c r="E760" s="198" t="s">
        <v>944</v>
      </c>
      <c r="F760" s="198" t="s">
        <v>945</v>
      </c>
      <c r="G760" s="225" t="n">
        <v>1450000</v>
      </c>
      <c r="H760" s="225" t="n">
        <v>1451703</v>
      </c>
      <c r="I760" s="225" t="n">
        <v>223506</v>
      </c>
      <c r="J760" s="198" t="n">
        <v>23</v>
      </c>
      <c r="K760" s="198" t="n">
        <v>2</v>
      </c>
      <c r="L760" s="226" t="n">
        <v>45063</v>
      </c>
      <c r="M760" s="226" t="n">
        <v>44369</v>
      </c>
      <c r="N760" s="227" t="n">
        <v>0</v>
      </c>
      <c r="O760" s="227" t="s">
        <v>135</v>
      </c>
      <c r="P760" s="228" t="n">
        <f aca="false">VLOOKUP(B760,'NIVEL ENERO'!A:D,3,0)</f>
        <v>0.513265000390552</v>
      </c>
      <c r="Q760" s="229" t="n">
        <f aca="false">VLOOKUP(B760,'NIVEL ENERO'!A:D,4,0)</f>
        <v>-380948</v>
      </c>
      <c r="R760" s="186" t="str">
        <f aca="false">+PROPER(C760&amp;" "&amp;D760)</f>
        <v>Torres Prado Maria Camila</v>
      </c>
      <c r="S760" s="230" t="n">
        <f aca="false">+YEARFRAC(L760,$S$1)</f>
        <v>2.98611111111111</v>
      </c>
      <c r="T760" s="230" t="n">
        <f aca="false">+YEARFRAC(M760,$S$1)</f>
        <v>4.88888888888889</v>
      </c>
      <c r="U760" s="231" t="n">
        <f aca="false">+$I760</f>
        <v>223506</v>
      </c>
      <c r="V760" s="232" t="str">
        <f aca="false">+PROPER(F760)</f>
        <v>Union Libre</v>
      </c>
    </row>
    <row r="761" customFormat="false" ht="14.25" hidden="false" customHeight="false" outlineLevel="0" collapsed="false">
      <c r="B761" s="197" t="n">
        <v>1006098868</v>
      </c>
      <c r="C761" s="197" t="s">
        <v>2314</v>
      </c>
      <c r="D761" s="197" t="s">
        <v>1267</v>
      </c>
      <c r="E761" s="198" t="s">
        <v>944</v>
      </c>
      <c r="F761" s="198" t="s">
        <v>953</v>
      </c>
      <c r="G761" s="225" t="n">
        <v>2893800</v>
      </c>
      <c r="H761" s="225" t="n">
        <v>400000</v>
      </c>
      <c r="I761" s="225"/>
      <c r="J761" s="198" t="n">
        <v>28</v>
      </c>
      <c r="K761" s="198" t="n">
        <v>2</v>
      </c>
      <c r="L761" s="226" t="n">
        <v>45615</v>
      </c>
      <c r="M761" s="226" t="n">
        <v>42719</v>
      </c>
      <c r="N761" s="227" t="n">
        <v>0</v>
      </c>
      <c r="O761" s="227" t="s">
        <v>135</v>
      </c>
      <c r="P761" s="228" t="n">
        <f aca="false">VLOOKUP(B761,'NIVEL ENERO'!A:D,3,0)</f>
        <v>0.13999258133749</v>
      </c>
      <c r="Q761" s="229" t="n">
        <f aca="false">VLOOKUP(B761,'NIVEL ENERO'!A:D,4,0)</f>
        <v>948875.42</v>
      </c>
      <c r="R761" s="186" t="str">
        <f aca="false">+PROPER(C761&amp;" "&amp;D761)</f>
        <v>Prado Rodriguez Ana Maria</v>
      </c>
      <c r="S761" s="230" t="n">
        <f aca="false">+YEARFRAC(L761,$S$1)</f>
        <v>1.48055555555556</v>
      </c>
      <c r="T761" s="230" t="n">
        <f aca="false">+YEARFRAC(M761,$S$1)</f>
        <v>9.40833333333333</v>
      </c>
      <c r="U761" s="231" t="n">
        <f aca="false">+$I761</f>
        <v>0</v>
      </c>
      <c r="V761" s="232" t="str">
        <f aca="false">+PROPER(F761)</f>
        <v>Soltero(A)</v>
      </c>
    </row>
    <row r="762" customFormat="false" ht="14.25" hidden="false" customHeight="false" outlineLevel="0" collapsed="false">
      <c r="B762" s="197" t="n">
        <v>1006099186</v>
      </c>
      <c r="C762" s="197" t="s">
        <v>2315</v>
      </c>
      <c r="D762" s="197" t="s">
        <v>1239</v>
      </c>
      <c r="E762" s="198" t="s">
        <v>944</v>
      </c>
      <c r="F762" s="198" t="s">
        <v>953</v>
      </c>
      <c r="G762" s="225" t="n">
        <v>2604400</v>
      </c>
      <c r="H762" s="225" t="n">
        <v>400000</v>
      </c>
      <c r="I762" s="225"/>
      <c r="J762" s="198" t="n">
        <v>21</v>
      </c>
      <c r="K762" s="198" t="n">
        <v>2</v>
      </c>
      <c r="L762" s="226" t="n">
        <v>45555</v>
      </c>
      <c r="M762" s="226" t="n">
        <v>45237</v>
      </c>
      <c r="N762" s="227" t="n">
        <v>0</v>
      </c>
      <c r="O762" s="227" t="s">
        <v>135</v>
      </c>
      <c r="P762" s="228" t="n">
        <f aca="false">VLOOKUP(B762,'NIVEL ENERO'!A:D,3,0)</f>
        <v>0.131119902330719</v>
      </c>
      <c r="Q762" s="229" t="n">
        <f aca="false">VLOOKUP(B762,'NIVEL ENERO'!A:D,4,0)</f>
        <v>834791.84</v>
      </c>
      <c r="R762" s="186" t="str">
        <f aca="false">+PROPER(C762&amp;" "&amp;D762)</f>
        <v>Devia Monedero Katherine</v>
      </c>
      <c r="S762" s="230" t="n">
        <f aca="false">+YEARFRAC(L762,$S$1)</f>
        <v>1.64444444444444</v>
      </c>
      <c r="T762" s="230" t="n">
        <f aca="false">+YEARFRAC(M762,$S$1)</f>
        <v>2.51388888888889</v>
      </c>
      <c r="U762" s="231" t="n">
        <f aca="false">+$I762</f>
        <v>0</v>
      </c>
      <c r="V762" s="232" t="str">
        <f aca="false">+PROPER(F762)</f>
        <v>Soltero(A)</v>
      </c>
    </row>
    <row r="763" customFormat="false" ht="14.25" hidden="false" customHeight="false" outlineLevel="0" collapsed="false">
      <c r="B763" s="197" t="n">
        <v>1006103549</v>
      </c>
      <c r="C763" s="197" t="s">
        <v>2316</v>
      </c>
      <c r="D763" s="197" t="s">
        <v>2317</v>
      </c>
      <c r="E763" s="198" t="s">
        <v>944</v>
      </c>
      <c r="F763" s="198" t="s">
        <v>953</v>
      </c>
      <c r="G763" s="225" t="n">
        <v>2893800</v>
      </c>
      <c r="H763" s="225" t="n">
        <v>1708686</v>
      </c>
      <c r="I763" s="225" t="n">
        <v>0</v>
      </c>
      <c r="J763" s="198" t="n">
        <v>22</v>
      </c>
      <c r="K763" s="198" t="n">
        <v>4</v>
      </c>
      <c r="L763" s="226" t="n">
        <v>44790</v>
      </c>
      <c r="M763" s="226" t="n">
        <v>44652</v>
      </c>
      <c r="N763" s="227" t="n">
        <v>2</v>
      </c>
      <c r="O763" s="227" t="s">
        <v>135</v>
      </c>
      <c r="P763" s="228" t="n">
        <f aca="false">VLOOKUP(B763,'NIVEL ENERO'!A:D,3,0)</f>
        <v>0.315271902532419</v>
      </c>
      <c r="Q763" s="229" t="n">
        <f aca="false">VLOOKUP(B763,'NIVEL ENERO'!A:D,4,0)</f>
        <v>386074.86</v>
      </c>
      <c r="R763" s="186" t="str">
        <f aca="false">+PROPER(C763&amp;" "&amp;D763)</f>
        <v>Criollo Burgos Cristina</v>
      </c>
      <c r="S763" s="230" t="n">
        <f aca="false">+YEARFRAC(L763,$S$1)</f>
        <v>3.73611111111111</v>
      </c>
      <c r="T763" s="230" t="n">
        <f aca="false">+YEARFRAC(M763,$S$1)</f>
        <v>4.11388888888889</v>
      </c>
      <c r="U763" s="231" t="n">
        <f aca="false">+$I763</f>
        <v>0</v>
      </c>
      <c r="V763" s="232" t="str">
        <f aca="false">+PROPER(F763)</f>
        <v>Soltero(A)</v>
      </c>
    </row>
    <row r="764" customFormat="false" ht="14.25" hidden="false" customHeight="false" outlineLevel="0" collapsed="false">
      <c r="B764" s="197" t="n">
        <v>1006165643</v>
      </c>
      <c r="C764" s="197" t="s">
        <v>2318</v>
      </c>
      <c r="D764" s="197" t="s">
        <v>993</v>
      </c>
      <c r="E764" s="198" t="s">
        <v>944</v>
      </c>
      <c r="F764" s="198" t="s">
        <v>953</v>
      </c>
      <c r="G764" s="225" t="n">
        <v>2893800</v>
      </c>
      <c r="H764" s="225" t="n">
        <v>1350000</v>
      </c>
      <c r="I764" s="225" t="n">
        <v>3274227</v>
      </c>
      <c r="J764" s="198" t="n">
        <v>34</v>
      </c>
      <c r="K764" s="198" t="n">
        <v>2</v>
      </c>
      <c r="L764" s="226" t="n">
        <v>45370</v>
      </c>
      <c r="M764" s="226" t="n">
        <v>40648</v>
      </c>
      <c r="N764" s="227" t="n">
        <v>0</v>
      </c>
      <c r="O764" s="227" t="s">
        <v>135</v>
      </c>
      <c r="P764" s="228" t="n">
        <f aca="false">VLOOKUP(B764,'NIVEL ENERO'!A:D,3,0)</f>
        <v>0.441640921212799</v>
      </c>
      <c r="Q764" s="229" t="n">
        <f aca="false">VLOOKUP(B764,'NIVEL ENERO'!A:D,4,0)</f>
        <v>-90870.5600000003</v>
      </c>
      <c r="R764" s="186" t="str">
        <f aca="false">+PROPER(C764&amp;" "&amp;D764)</f>
        <v>Valencia Ipiales Juan Pablo</v>
      </c>
      <c r="S764" s="230" t="n">
        <f aca="false">+YEARFRAC(L764,$S$1)</f>
        <v>2.14722222222222</v>
      </c>
      <c r="T764" s="230" t="n">
        <f aca="false">+YEARFRAC(M764,$S$1)</f>
        <v>15.075</v>
      </c>
      <c r="U764" s="231" t="n">
        <f aca="false">+$I764</f>
        <v>3274227</v>
      </c>
      <c r="V764" s="232" t="str">
        <f aca="false">+PROPER(F764)</f>
        <v>Soltero(A)</v>
      </c>
    </row>
    <row r="765" customFormat="false" ht="14.25" hidden="false" customHeight="false" outlineLevel="0" collapsed="false">
      <c r="B765" s="197" t="n">
        <v>1006168646</v>
      </c>
      <c r="C765" s="197" t="s">
        <v>2319</v>
      </c>
      <c r="D765" s="197" t="s">
        <v>1204</v>
      </c>
      <c r="E765" s="198" t="s">
        <v>944</v>
      </c>
      <c r="F765" s="198" t="s">
        <v>953</v>
      </c>
      <c r="G765" s="225" t="n">
        <v>2600900</v>
      </c>
      <c r="H765" s="225" t="n">
        <v>2612164</v>
      </c>
      <c r="I765" s="225" t="n">
        <v>0</v>
      </c>
      <c r="J765" s="198" t="n">
        <v>23</v>
      </c>
      <c r="K765" s="198" t="n">
        <v>2</v>
      </c>
      <c r="L765" s="226" t="n">
        <v>44155</v>
      </c>
      <c r="M765" s="226" t="n">
        <v>43766</v>
      </c>
      <c r="N765" s="227" t="n">
        <v>2</v>
      </c>
      <c r="O765" s="227" t="s">
        <v>135</v>
      </c>
      <c r="P765" s="228" t="n">
        <f aca="false">VLOOKUP(B765,'NIVEL ENERO'!A:D,3,0)</f>
        <v>0.120695456693252</v>
      </c>
      <c r="Q765" s="229" t="n">
        <f aca="false">VLOOKUP(B765,'NIVEL ENERO'!A:D,4,0)</f>
        <v>752512.68</v>
      </c>
      <c r="R765" s="186" t="str">
        <f aca="false">+PROPER(C765&amp;" "&amp;D765)</f>
        <v>Capote Rodriguez Alexandra</v>
      </c>
      <c r="S765" s="230" t="n">
        <f aca="false">+YEARFRAC(L765,$S$1)</f>
        <v>5.47777777777778</v>
      </c>
      <c r="T765" s="230" t="n">
        <f aca="false">+YEARFRAC(M765,$S$1)</f>
        <v>6.53888888888889</v>
      </c>
      <c r="U765" s="231" t="n">
        <f aca="false">+$I765</f>
        <v>0</v>
      </c>
      <c r="V765" s="232" t="str">
        <f aca="false">+PROPER(F765)</f>
        <v>Soltero(A)</v>
      </c>
    </row>
    <row r="766" customFormat="false" ht="14.25" hidden="false" customHeight="false" outlineLevel="0" collapsed="false">
      <c r="B766" s="197" t="n">
        <v>1006168795</v>
      </c>
      <c r="C766" s="197" t="s">
        <v>2320</v>
      </c>
      <c r="D766" s="197" t="s">
        <v>2321</v>
      </c>
      <c r="E766" s="198" t="s">
        <v>944</v>
      </c>
      <c r="F766" s="198" t="s">
        <v>945</v>
      </c>
      <c r="G766" s="225" t="n">
        <v>2600900</v>
      </c>
      <c r="H766" s="225" t="n">
        <v>2323617</v>
      </c>
      <c r="I766" s="225" t="n">
        <v>2392857</v>
      </c>
      <c r="J766" s="198" t="n">
        <v>24</v>
      </c>
      <c r="K766" s="198" t="n">
        <v>4</v>
      </c>
      <c r="L766" s="226" t="n">
        <v>45064</v>
      </c>
      <c r="M766" s="226" t="n">
        <v>44235</v>
      </c>
      <c r="N766" s="227" t="n">
        <v>0</v>
      </c>
      <c r="O766" s="227" t="s">
        <v>135</v>
      </c>
      <c r="P766" s="228" t="n">
        <f aca="false">VLOOKUP(B766,'NIVEL ENERO'!A:D,3,0)</f>
        <v>0.387634912121403</v>
      </c>
      <c r="Q766" s="229" t="n">
        <f aca="false">VLOOKUP(B766,'NIVEL ENERO'!A:D,4,0)</f>
        <v>113384.58</v>
      </c>
      <c r="R766" s="186" t="str">
        <f aca="false">+PROPER(C766&amp;" "&amp;D766)</f>
        <v>Lozano Ceballos Brayan Steven</v>
      </c>
      <c r="S766" s="230" t="n">
        <f aca="false">+YEARFRAC(L766,$S$1)</f>
        <v>2.98333333333333</v>
      </c>
      <c r="T766" s="230" t="n">
        <f aca="false">+YEARFRAC(M766,$S$1)</f>
        <v>5.26111111111111</v>
      </c>
      <c r="U766" s="231" t="n">
        <f aca="false">+$I766</f>
        <v>2392857</v>
      </c>
      <c r="V766" s="232" t="str">
        <f aca="false">+PROPER(F766)</f>
        <v>Union Libre</v>
      </c>
    </row>
    <row r="767" customFormat="false" ht="14.25" hidden="false" customHeight="false" outlineLevel="0" collapsed="false">
      <c r="B767" s="197" t="n">
        <v>1006169153</v>
      </c>
      <c r="C767" s="197" t="s">
        <v>2322</v>
      </c>
      <c r="D767" s="197" t="s">
        <v>2323</v>
      </c>
      <c r="E767" s="198" t="s">
        <v>944</v>
      </c>
      <c r="F767" s="198" t="s">
        <v>953</v>
      </c>
      <c r="G767" s="225" t="n">
        <v>2340800</v>
      </c>
      <c r="H767" s="225" t="n">
        <v>775000</v>
      </c>
      <c r="I767" s="225" t="n">
        <v>828849</v>
      </c>
      <c r="J767" s="198" t="n">
        <v>24</v>
      </c>
      <c r="K767" s="198" t="n">
        <v>4</v>
      </c>
      <c r="L767" s="226" t="n">
        <v>45310</v>
      </c>
      <c r="M767" s="226" t="n">
        <v>45064</v>
      </c>
      <c r="N767" s="227" t="n">
        <v>0</v>
      </c>
      <c r="O767" s="227" t="s">
        <v>135</v>
      </c>
      <c r="P767" s="228" t="n">
        <f aca="false">VLOOKUP(B767,'NIVEL ENERO'!A:D,3,0)</f>
        <v>0.430128588516746</v>
      </c>
      <c r="Q767" s="229" t="n">
        <f aca="false">VLOOKUP(B767,'NIVEL ENERO'!A:D,4,0)</f>
        <v>-23709</v>
      </c>
      <c r="R767" s="186" t="str">
        <f aca="false">+PROPER(C767&amp;" "&amp;D767)</f>
        <v>Vivas Rodriguez Maryi Andrea</v>
      </c>
      <c r="S767" s="230" t="n">
        <f aca="false">+YEARFRAC(L767,$S$1)</f>
        <v>2.31388888888889</v>
      </c>
      <c r="T767" s="230" t="n">
        <f aca="false">+YEARFRAC(M767,$S$1)</f>
        <v>2.98333333333333</v>
      </c>
      <c r="U767" s="231" t="n">
        <f aca="false">+$I767</f>
        <v>828849</v>
      </c>
      <c r="V767" s="232" t="str">
        <f aca="false">+PROPER(F767)</f>
        <v>Soltero(A)</v>
      </c>
    </row>
    <row r="768" customFormat="false" ht="14.25" hidden="false" customHeight="false" outlineLevel="0" collapsed="false">
      <c r="B768" s="197" t="n">
        <v>1006170029</v>
      </c>
      <c r="C768" s="197" t="s">
        <v>2324</v>
      </c>
      <c r="D768" s="197" t="s">
        <v>2325</v>
      </c>
      <c r="E768" s="198" t="s">
        <v>944</v>
      </c>
      <c r="F768" s="198" t="s">
        <v>953</v>
      </c>
      <c r="G768" s="225" t="n">
        <v>1918500</v>
      </c>
      <c r="H768" s="225" t="n">
        <v>2112743</v>
      </c>
      <c r="I768" s="225" t="n">
        <v>1715473</v>
      </c>
      <c r="J768" s="198" t="n">
        <v>25</v>
      </c>
      <c r="K768" s="198" t="n">
        <v>1</v>
      </c>
      <c r="L768" s="226" t="n">
        <v>44516</v>
      </c>
      <c r="M768" s="226" t="n">
        <v>42811</v>
      </c>
      <c r="N768" s="227" t="n">
        <v>2</v>
      </c>
      <c r="O768" s="227" t="s">
        <v>135</v>
      </c>
      <c r="P768" s="228" t="n">
        <f aca="false">VLOOKUP(B768,'NIVEL ENERO'!A:D,3,0)</f>
        <v>0.213280502392345</v>
      </c>
      <c r="Q768" s="229" t="n">
        <f aca="false">VLOOKUP(B768,'NIVEL ENERO'!A:D,4,0)</f>
        <v>483889</v>
      </c>
      <c r="R768" s="186" t="str">
        <f aca="false">+PROPER(C768&amp;" "&amp;D768)</f>
        <v>Cortes Cortes Lenis Valentina</v>
      </c>
      <c r="S768" s="230" t="n">
        <f aca="false">+YEARFRAC(L768,$S$1)</f>
        <v>4.48888888888889</v>
      </c>
      <c r="T768" s="230" t="n">
        <f aca="false">+YEARFRAC(M768,$S$1)</f>
        <v>9.15277777777778</v>
      </c>
      <c r="U768" s="231" t="n">
        <f aca="false">+$I768</f>
        <v>1715473</v>
      </c>
      <c r="V768" s="232" t="str">
        <f aca="false">+PROPER(F768)</f>
        <v>Soltero(A)</v>
      </c>
    </row>
    <row r="769" customFormat="false" ht="14.25" hidden="false" customHeight="false" outlineLevel="0" collapsed="false">
      <c r="B769" s="197" t="n">
        <v>1006171145</v>
      </c>
      <c r="C769" s="197" t="s">
        <v>2326</v>
      </c>
      <c r="D769" s="197" t="s">
        <v>2327</v>
      </c>
      <c r="E769" s="198" t="s">
        <v>944</v>
      </c>
      <c r="F769" s="198" t="s">
        <v>953</v>
      </c>
      <c r="G769" s="225" t="n">
        <v>2893800</v>
      </c>
      <c r="H769" s="225" t="n">
        <v>2607705</v>
      </c>
      <c r="I769" s="225" t="n">
        <v>0</v>
      </c>
      <c r="J769" s="198" t="n">
        <v>22</v>
      </c>
      <c r="K769" s="198" t="n">
        <v>2</v>
      </c>
      <c r="L769" s="226" t="n">
        <v>44876</v>
      </c>
      <c r="M769" s="226" t="n">
        <v>44656</v>
      </c>
      <c r="N769" s="227" t="n">
        <v>0</v>
      </c>
      <c r="O769" s="227" t="s">
        <v>135</v>
      </c>
      <c r="P769" s="228" t="n">
        <f aca="false">VLOOKUP(B769,'NIVEL ENERO'!A:D,3,0)</f>
        <v>0.11738181800272</v>
      </c>
      <c r="Q769" s="229" t="n">
        <f aca="false">VLOOKUP(B769,'NIVEL ENERO'!A:D,4,0)</f>
        <v>1228858.8</v>
      </c>
      <c r="R769" s="186" t="str">
        <f aca="false">+PROPER(C769&amp;" "&amp;D769)</f>
        <v>Betancur Acosta Kenlly Viviana</v>
      </c>
      <c r="S769" s="230" t="n">
        <f aca="false">+YEARFRAC(L769,$S$1)</f>
        <v>3.50277777777778</v>
      </c>
      <c r="T769" s="230" t="n">
        <f aca="false">+YEARFRAC(M769,$S$1)</f>
        <v>4.10277777777778</v>
      </c>
      <c r="U769" s="231" t="n">
        <f aca="false">+$I769</f>
        <v>0</v>
      </c>
      <c r="V769" s="232" t="str">
        <f aca="false">+PROPER(F769)</f>
        <v>Soltero(A)</v>
      </c>
    </row>
    <row r="770" customFormat="false" ht="14.25" hidden="false" customHeight="false" outlineLevel="0" collapsed="false">
      <c r="B770" s="197" t="n">
        <v>1006172329</v>
      </c>
      <c r="C770" s="197" t="s">
        <v>2328</v>
      </c>
      <c r="D770" s="197" t="s">
        <v>2329</v>
      </c>
      <c r="E770" s="198" t="s">
        <v>944</v>
      </c>
      <c r="F770" s="198" t="s">
        <v>953</v>
      </c>
      <c r="G770" s="225" t="n">
        <v>2340800</v>
      </c>
      <c r="H770" s="225" t="n">
        <v>831006</v>
      </c>
      <c r="I770" s="225" t="n">
        <v>0</v>
      </c>
      <c r="J770" s="198" t="n">
        <v>21</v>
      </c>
      <c r="K770" s="198" t="n">
        <v>1</v>
      </c>
      <c r="L770" s="226" t="n">
        <v>45279</v>
      </c>
      <c r="M770" s="226" t="n">
        <v>45238</v>
      </c>
      <c r="N770" s="227" t="n">
        <v>0</v>
      </c>
      <c r="O770" s="227" t="s">
        <v>135</v>
      </c>
      <c r="P770" s="228" t="n">
        <f aca="false">VLOOKUP(B770,'NIVEL ENERO'!A:D,3,0)</f>
        <v>0.426699499414083</v>
      </c>
      <c r="Q770" s="229" t="n">
        <f aca="false">VLOOKUP(B770,'NIVEL ENERO'!A:D,4,0)</f>
        <v>-18235.6600000002</v>
      </c>
      <c r="R770" s="186" t="str">
        <f aca="false">+PROPER(C770&amp;" "&amp;D770)</f>
        <v>Montenegro Figueroa Yeferson Stiven</v>
      </c>
      <c r="S770" s="230" t="n">
        <f aca="false">+YEARFRAC(L770,$S$1)</f>
        <v>2.39722222222222</v>
      </c>
      <c r="T770" s="230" t="n">
        <f aca="false">+YEARFRAC(M770,$S$1)</f>
        <v>2.51111111111111</v>
      </c>
      <c r="U770" s="231" t="n">
        <f aca="false">+$I770</f>
        <v>0</v>
      </c>
      <c r="V770" s="232" t="str">
        <f aca="false">+PROPER(F770)</f>
        <v>Soltero(A)</v>
      </c>
    </row>
    <row r="771" customFormat="false" ht="14.25" hidden="false" customHeight="false" outlineLevel="0" collapsed="false">
      <c r="B771" s="197" t="n">
        <v>1006181772</v>
      </c>
      <c r="C771" s="197" t="s">
        <v>2330</v>
      </c>
      <c r="D771" s="197" t="s">
        <v>2331</v>
      </c>
      <c r="E771" s="198" t="s">
        <v>944</v>
      </c>
      <c r="F771" s="198" t="s">
        <v>953</v>
      </c>
      <c r="G771" s="225" t="n">
        <v>2893800</v>
      </c>
      <c r="H771" s="225" t="n">
        <v>1000000</v>
      </c>
      <c r="I771" s="225"/>
      <c r="J771" s="198" t="n">
        <v>23</v>
      </c>
      <c r="K771" s="198" t="n">
        <v>4</v>
      </c>
      <c r="L771" s="226" t="n">
        <v>45520</v>
      </c>
      <c r="M771" s="226" t="n">
        <v>44327</v>
      </c>
      <c r="N771" s="227" t="n">
        <v>0</v>
      </c>
      <c r="O771" s="227" t="s">
        <v>135</v>
      </c>
      <c r="P771" s="228" t="n">
        <f aca="false">VLOOKUP(B771,'NIVEL ENERO'!A:D,3,0)</f>
        <v>0.131539318258522</v>
      </c>
      <c r="Q771" s="229" t="n">
        <f aca="false">VLOOKUP(B771,'NIVEL ENERO'!A:D,4,0)</f>
        <v>1139612</v>
      </c>
      <c r="R771" s="186" t="str">
        <f aca="false">+PROPER(C771&amp;" "&amp;D771)</f>
        <v>Ordonez Gonzalez Yiseth Fernanda</v>
      </c>
      <c r="S771" s="230" t="n">
        <f aca="false">+YEARFRAC(L771,$S$1)</f>
        <v>1.73888888888889</v>
      </c>
      <c r="T771" s="230" t="n">
        <f aca="false">+YEARFRAC(M771,$S$1)</f>
        <v>5.00277777777778</v>
      </c>
      <c r="U771" s="231" t="n">
        <f aca="false">+$I771</f>
        <v>0</v>
      </c>
      <c r="V771" s="232" t="str">
        <f aca="false">+PROPER(F771)</f>
        <v>Soltero(A)</v>
      </c>
    </row>
    <row r="772" customFormat="false" ht="14.25" hidden="false" customHeight="false" outlineLevel="0" collapsed="false">
      <c r="B772" s="197" t="n">
        <v>1006182264</v>
      </c>
      <c r="C772" s="197" t="s">
        <v>2332</v>
      </c>
      <c r="D772" s="197" t="s">
        <v>2333</v>
      </c>
      <c r="E772" s="198" t="s">
        <v>944</v>
      </c>
      <c r="F772" s="198" t="s">
        <v>953</v>
      </c>
      <c r="G772" s="225" t="n">
        <v>1625000</v>
      </c>
      <c r="H772" s="225" t="n">
        <v>1607671</v>
      </c>
      <c r="I772" s="225" t="n">
        <v>3050254</v>
      </c>
      <c r="J772" s="198" t="n">
        <v>23</v>
      </c>
      <c r="K772" s="198" t="n">
        <v>2</v>
      </c>
      <c r="L772" s="226" t="n">
        <v>44812</v>
      </c>
      <c r="M772" s="226" t="n">
        <v>44396</v>
      </c>
      <c r="N772" s="227" t="n">
        <v>2</v>
      </c>
      <c r="O772" s="227" t="s">
        <v>135</v>
      </c>
      <c r="P772" s="228" t="n">
        <f aca="false">VLOOKUP(B772,'NIVEL ENERO'!A:D,3,0)</f>
        <v>0.373295405221448</v>
      </c>
      <c r="Q772" s="229" t="n">
        <f aca="false">VLOOKUP(B772,'NIVEL ENERO'!A:D,4,0)</f>
        <v>98993.4400000001</v>
      </c>
      <c r="R772" s="186" t="str">
        <f aca="false">+PROPER(C772&amp;" "&amp;D772)</f>
        <v>Montoya Laguna Luisa Fernnada</v>
      </c>
      <c r="S772" s="230" t="n">
        <f aca="false">+YEARFRAC(L772,$S$1)</f>
        <v>3.67777777777778</v>
      </c>
      <c r="T772" s="230" t="n">
        <f aca="false">+YEARFRAC(M772,$S$1)</f>
        <v>4.81388888888889</v>
      </c>
      <c r="U772" s="231" t="n">
        <f aca="false">+$I772</f>
        <v>3050254</v>
      </c>
      <c r="V772" s="232" t="str">
        <f aca="false">+PROPER(F772)</f>
        <v>Soltero(A)</v>
      </c>
    </row>
    <row r="773" customFormat="false" ht="14.25" hidden="false" customHeight="false" outlineLevel="0" collapsed="false">
      <c r="B773" s="197" t="n">
        <v>1006184267</v>
      </c>
      <c r="C773" s="197" t="s">
        <v>2334</v>
      </c>
      <c r="D773" s="197" t="s">
        <v>2335</v>
      </c>
      <c r="E773" s="198" t="s">
        <v>944</v>
      </c>
      <c r="F773" s="198" t="s">
        <v>948</v>
      </c>
      <c r="G773" s="225" t="n">
        <v>1670000</v>
      </c>
      <c r="H773" s="225" t="n">
        <v>1597818</v>
      </c>
      <c r="I773" s="225" t="n">
        <v>0</v>
      </c>
      <c r="J773" s="198" t="n">
        <v>27</v>
      </c>
      <c r="K773" s="198" t="n">
        <v>2</v>
      </c>
      <c r="L773" s="226" t="n">
        <v>45001</v>
      </c>
      <c r="M773" s="226" t="n">
        <v>44314</v>
      </c>
      <c r="N773" s="227" t="n">
        <v>0</v>
      </c>
      <c r="O773" s="227" t="s">
        <v>135</v>
      </c>
      <c r="P773" s="228" t="n">
        <f aca="false">VLOOKUP(B773,'NIVEL ENERO'!A:D,3,0)</f>
        <v>0.400170170322853</v>
      </c>
      <c r="Q773" s="229" t="n">
        <f aca="false">VLOOKUP(B773,'NIVEL ENERO'!A:D,4,0)</f>
        <v>39868.5600000001</v>
      </c>
      <c r="R773" s="186" t="str">
        <f aca="false">+PROPER(C773&amp;" "&amp;D773)</f>
        <v>Quintero Reina Linda Yulitza</v>
      </c>
      <c r="S773" s="230" t="n">
        <f aca="false">+YEARFRAC(L773,$S$1)</f>
        <v>3.15555555555556</v>
      </c>
      <c r="T773" s="230" t="n">
        <f aca="false">+YEARFRAC(M773,$S$1)</f>
        <v>5.03888888888889</v>
      </c>
      <c r="U773" s="231" t="n">
        <f aca="false">+$I773</f>
        <v>0</v>
      </c>
      <c r="V773" s="232" t="str">
        <f aca="false">+PROPER(F773)</f>
        <v>Casado(A)</v>
      </c>
    </row>
    <row r="774" customFormat="false" ht="14.25" hidden="false" customHeight="false" outlineLevel="0" collapsed="false">
      <c r="B774" s="197" t="n">
        <v>1006207247</v>
      </c>
      <c r="C774" s="197" t="s">
        <v>2336</v>
      </c>
      <c r="D774" s="197" t="s">
        <v>2337</v>
      </c>
      <c r="E774" s="198" t="s">
        <v>944</v>
      </c>
      <c r="F774" s="198" t="s">
        <v>953</v>
      </c>
      <c r="G774" s="225" t="n">
        <v>1918500</v>
      </c>
      <c r="H774" s="225" t="n">
        <v>955165</v>
      </c>
      <c r="I774" s="225"/>
      <c r="J774" s="198" t="n">
        <v>22</v>
      </c>
      <c r="K774" s="198" t="n">
        <v>1</v>
      </c>
      <c r="L774" s="226" t="n">
        <v>45222</v>
      </c>
      <c r="M774" s="226" t="n">
        <v>44594</v>
      </c>
      <c r="N774" s="227" t="n">
        <v>0</v>
      </c>
      <c r="O774" s="227" t="s">
        <v>135</v>
      </c>
      <c r="P774" s="228" t="n">
        <f aca="false">VLOOKUP(B774,'NIVEL ENERO'!A:D,3,0)</f>
        <v>0.135017053907136</v>
      </c>
      <c r="Q774" s="229" t="n">
        <f aca="false">VLOOKUP(B774,'NIVEL ENERO'!A:D,4,0)</f>
        <v>597491.54</v>
      </c>
      <c r="R774" s="186" t="str">
        <f aca="false">+PROPER(C774&amp;" "&amp;D774)</f>
        <v>Torijano Bonilla Jhon Delvis</v>
      </c>
      <c r="S774" s="230" t="n">
        <f aca="false">+YEARFRAC(L774,$S$1)</f>
        <v>2.55277777777778</v>
      </c>
      <c r="T774" s="230" t="n">
        <f aca="false">+YEARFRAC(M774,$S$1)</f>
        <v>4.27777777777778</v>
      </c>
      <c r="U774" s="231" t="n">
        <f aca="false">+$I774</f>
        <v>0</v>
      </c>
      <c r="V774" s="232" t="str">
        <f aca="false">+PROPER(F774)</f>
        <v>Soltero(A)</v>
      </c>
    </row>
    <row r="775" customFormat="false" ht="14.25" hidden="false" customHeight="false" outlineLevel="0" collapsed="false">
      <c r="B775" s="197" t="n">
        <v>1006208137</v>
      </c>
      <c r="C775" s="197" t="s">
        <v>2338</v>
      </c>
      <c r="D775" s="197" t="s">
        <v>2339</v>
      </c>
      <c r="E775" s="198" t="s">
        <v>944</v>
      </c>
      <c r="F775" s="198" t="s">
        <v>953</v>
      </c>
      <c r="G775" s="225" t="n">
        <v>2893800</v>
      </c>
      <c r="H775" s="225" t="n">
        <v>400000</v>
      </c>
      <c r="I775" s="225"/>
      <c r="J775" s="198" t="n">
        <v>22</v>
      </c>
      <c r="K775" s="198" t="n">
        <v>1</v>
      </c>
      <c r="L775" s="226" t="n">
        <v>45554</v>
      </c>
      <c r="M775" s="226" t="n">
        <v>44596</v>
      </c>
      <c r="N775" s="227" t="n">
        <v>0</v>
      </c>
      <c r="O775" s="227" t="s">
        <v>135</v>
      </c>
      <c r="P775" s="228" t="n">
        <f aca="false">VLOOKUP(B775,'NIVEL ENERO'!A:D,3,0)</f>
        <v>0.115709290112045</v>
      </c>
      <c r="Q775" s="229" t="n">
        <f aca="false">VLOOKUP(B775,'NIVEL ENERO'!A:D,4,0)</f>
        <v>1157931.74</v>
      </c>
      <c r="R775" s="186" t="str">
        <f aca="false">+PROPER(C775&amp;" "&amp;D775)</f>
        <v>Lenis Grueso Vivian Daniela</v>
      </c>
      <c r="S775" s="230" t="n">
        <f aca="false">+YEARFRAC(L775,$S$1)</f>
        <v>1.64722222222222</v>
      </c>
      <c r="T775" s="230" t="n">
        <f aca="false">+YEARFRAC(M775,$S$1)</f>
        <v>4.27222222222222</v>
      </c>
      <c r="U775" s="231" t="n">
        <f aca="false">+$I775</f>
        <v>0</v>
      </c>
      <c r="V775" s="232" t="str">
        <f aca="false">+PROPER(F775)</f>
        <v>Soltero(A)</v>
      </c>
    </row>
    <row r="776" customFormat="false" ht="14.25" hidden="false" customHeight="false" outlineLevel="0" collapsed="false">
      <c r="B776" s="197" t="n">
        <v>1006217412</v>
      </c>
      <c r="C776" s="197" t="s">
        <v>2340</v>
      </c>
      <c r="D776" s="197" t="s">
        <v>2341</v>
      </c>
      <c r="E776" s="198" t="s">
        <v>944</v>
      </c>
      <c r="F776" s="198" t="s">
        <v>953</v>
      </c>
      <c r="G776" s="225" t="n">
        <v>2893800</v>
      </c>
      <c r="H776" s="225" t="n">
        <v>2328600</v>
      </c>
      <c r="I776" s="225"/>
      <c r="J776" s="198" t="n">
        <v>25</v>
      </c>
      <c r="K776" s="198" t="n">
        <v>2</v>
      </c>
      <c r="L776" s="226" t="n">
        <v>44798</v>
      </c>
      <c r="M776" s="226" t="n">
        <v>44260</v>
      </c>
      <c r="N776" s="227" t="n">
        <v>1</v>
      </c>
      <c r="O776" s="227" t="s">
        <v>135</v>
      </c>
      <c r="P776" s="228" t="n">
        <f aca="false">VLOOKUP(B776,'NIVEL ENERO'!A:D,3,0)</f>
        <v>0.104708147124562</v>
      </c>
      <c r="Q776" s="229" t="n">
        <f aca="false">VLOOKUP(B776,'NIVEL ENERO'!A:D,4,0)</f>
        <v>1291430.7</v>
      </c>
      <c r="R776" s="186" t="str">
        <f aca="false">+PROPER(C776&amp;" "&amp;D776)</f>
        <v>Diaz Joaqui Jazmin</v>
      </c>
      <c r="S776" s="230" t="n">
        <f aca="false">+YEARFRAC(L776,$S$1)</f>
        <v>3.71388888888889</v>
      </c>
      <c r="T776" s="230" t="n">
        <f aca="false">+YEARFRAC(M776,$S$1)</f>
        <v>5.18611111111111</v>
      </c>
      <c r="U776" s="231" t="n">
        <f aca="false">+$I776</f>
        <v>0</v>
      </c>
      <c r="V776" s="232" t="str">
        <f aca="false">+PROPER(F776)</f>
        <v>Soltero(A)</v>
      </c>
    </row>
    <row r="777" customFormat="false" ht="14.25" hidden="false" customHeight="false" outlineLevel="0" collapsed="false">
      <c r="B777" s="197" t="n">
        <v>1006233140</v>
      </c>
      <c r="C777" s="197" t="s">
        <v>2342</v>
      </c>
      <c r="D777" s="197" t="s">
        <v>2343</v>
      </c>
      <c r="E777" s="198" t="s">
        <v>944</v>
      </c>
      <c r="F777" s="198" t="s">
        <v>953</v>
      </c>
      <c r="G777" s="225" t="n">
        <v>1670000</v>
      </c>
      <c r="H777" s="225" t="n">
        <v>1000000</v>
      </c>
      <c r="I777" s="225" t="n">
        <v>346533</v>
      </c>
      <c r="J777" s="198" t="n">
        <v>23</v>
      </c>
      <c r="K777" s="198" t="n">
        <v>2</v>
      </c>
      <c r="L777" s="226" t="n">
        <v>45366</v>
      </c>
      <c r="M777" s="226" t="n">
        <v>44623</v>
      </c>
      <c r="N777" s="227" t="n">
        <v>0</v>
      </c>
      <c r="O777" s="227" t="s">
        <v>135</v>
      </c>
      <c r="P777" s="228" t="n">
        <f aca="false">VLOOKUP(B777,'NIVEL ENERO'!A:D,3,0)</f>
        <v>0.456838246155247</v>
      </c>
      <c r="Q777" s="229" t="n">
        <f aca="false">VLOOKUP(B777,'NIVEL ENERO'!A:D,4,0)</f>
        <v>-79307.12</v>
      </c>
      <c r="R777" s="186" t="str">
        <f aca="false">+PROPER(C777&amp;" "&amp;D777)</f>
        <v>Mestizo Cruz Kensy Dahiana</v>
      </c>
      <c r="S777" s="230" t="n">
        <f aca="false">+YEARFRAC(L777,$S$1)</f>
        <v>2.15833333333333</v>
      </c>
      <c r="T777" s="230" t="n">
        <f aca="false">+YEARFRAC(M777,$S$1)</f>
        <v>4.19166666666667</v>
      </c>
      <c r="U777" s="231" t="n">
        <f aca="false">+$I777</f>
        <v>346533</v>
      </c>
      <c r="V777" s="232" t="str">
        <f aca="false">+PROPER(F777)</f>
        <v>Soltero(A)</v>
      </c>
    </row>
    <row r="778" customFormat="false" ht="14.25" hidden="false" customHeight="false" outlineLevel="0" collapsed="false">
      <c r="B778" s="197" t="n">
        <v>1006341887</v>
      </c>
      <c r="C778" s="197" t="s">
        <v>2344</v>
      </c>
      <c r="D778" s="197" t="s">
        <v>1065</v>
      </c>
      <c r="E778" s="198" t="s">
        <v>944</v>
      </c>
      <c r="F778" s="198" t="s">
        <v>945</v>
      </c>
      <c r="G778" s="225" t="n">
        <v>2893800</v>
      </c>
      <c r="H778" s="225" t="n">
        <v>3516840</v>
      </c>
      <c r="I778" s="225" t="n">
        <v>8355036</v>
      </c>
      <c r="J778" s="198" t="n">
        <v>38</v>
      </c>
      <c r="K778" s="198" t="n">
        <v>2</v>
      </c>
      <c r="L778" s="226" t="n">
        <v>44579</v>
      </c>
      <c r="M778" s="226" t="n">
        <v>43906</v>
      </c>
      <c r="N778" s="227" t="n">
        <v>2</v>
      </c>
      <c r="O778" s="227" t="s">
        <v>135</v>
      </c>
      <c r="P778" s="228" t="n">
        <f aca="false">VLOOKUP(B778,'NIVEL ENERO'!A:D,3,0)</f>
        <v>0.48826696597046</v>
      </c>
      <c r="Q778" s="229" t="n">
        <f aca="false">VLOOKUP(B778,'NIVEL ENERO'!A:D,4,0)</f>
        <v>-209839</v>
      </c>
      <c r="R778" s="186" t="str">
        <f aca="false">+PROPER(C778&amp;" "&amp;D778)</f>
        <v>Zuniga Lopez Diego Fernando</v>
      </c>
      <c r="S778" s="230" t="n">
        <f aca="false">+YEARFRAC(L778,$S$1)</f>
        <v>4.31666666666667</v>
      </c>
      <c r="T778" s="230" t="n">
        <f aca="false">+YEARFRAC(M778,$S$1)</f>
        <v>6.15555555555556</v>
      </c>
      <c r="U778" s="231" t="n">
        <f aca="false">+$I778</f>
        <v>8355036</v>
      </c>
      <c r="V778" s="232" t="str">
        <f aca="false">+PROPER(F778)</f>
        <v>Union Libre</v>
      </c>
    </row>
    <row r="779" customFormat="false" ht="14.25" hidden="false" customHeight="false" outlineLevel="0" collapsed="false">
      <c r="B779" s="197" t="n">
        <v>1006344358</v>
      </c>
      <c r="C779" s="197" t="s">
        <v>2345</v>
      </c>
      <c r="D779" s="197" t="s">
        <v>2346</v>
      </c>
      <c r="E779" s="198" t="s">
        <v>944</v>
      </c>
      <c r="F779" s="198" t="s">
        <v>953</v>
      </c>
      <c r="G779" s="225" t="n">
        <v>1918500</v>
      </c>
      <c r="H779" s="225" t="n">
        <v>775000</v>
      </c>
      <c r="I779" s="225" t="n">
        <v>0</v>
      </c>
      <c r="J779" s="198" t="n">
        <v>24</v>
      </c>
      <c r="K779" s="198" t="n">
        <v>6</v>
      </c>
      <c r="L779" s="226" t="n">
        <v>45310</v>
      </c>
      <c r="M779" s="226" t="n">
        <v>44029</v>
      </c>
      <c r="N779" s="227" t="n">
        <v>0</v>
      </c>
      <c r="O779" s="227" t="s">
        <v>135</v>
      </c>
      <c r="P779" s="228" t="n">
        <f aca="false">VLOOKUP(B779,'NIVEL ENERO'!A:D,3,0)</f>
        <v>0.218928559084086</v>
      </c>
      <c r="Q779" s="229" t="n">
        <f aca="false">VLOOKUP(B779,'NIVEL ENERO'!A:D,4,0)</f>
        <v>399452.68</v>
      </c>
      <c r="R779" s="186" t="str">
        <f aca="false">+PROPER(C779&amp;" "&amp;D779)</f>
        <v>Cardona Montoya Tifany Michelee</v>
      </c>
      <c r="S779" s="230" t="n">
        <f aca="false">+YEARFRAC(L779,$S$1)</f>
        <v>2.31388888888889</v>
      </c>
      <c r="T779" s="230" t="n">
        <f aca="false">+YEARFRAC(M779,$S$1)</f>
        <v>5.81944444444445</v>
      </c>
      <c r="U779" s="231" t="n">
        <f aca="false">+$I779</f>
        <v>0</v>
      </c>
      <c r="V779" s="232" t="str">
        <f aca="false">+PROPER(F779)</f>
        <v>Soltero(A)</v>
      </c>
    </row>
    <row r="780" customFormat="false" ht="14.25" hidden="false" customHeight="false" outlineLevel="0" collapsed="false">
      <c r="B780" s="197" t="n">
        <v>1006361753</v>
      </c>
      <c r="C780" s="197" t="s">
        <v>2347</v>
      </c>
      <c r="D780" s="197" t="s">
        <v>2212</v>
      </c>
      <c r="E780" s="198" t="s">
        <v>944</v>
      </c>
      <c r="F780" s="198" t="s">
        <v>953</v>
      </c>
      <c r="G780" s="225" t="n">
        <v>1670000</v>
      </c>
      <c r="H780" s="225" t="n">
        <v>1301366</v>
      </c>
      <c r="I780" s="225" t="n">
        <v>2683863</v>
      </c>
      <c r="J780" s="198" t="n">
        <v>21</v>
      </c>
      <c r="K780" s="198" t="n">
        <v>2</v>
      </c>
      <c r="L780" s="226" t="n">
        <v>45279</v>
      </c>
      <c r="M780" s="226" t="n">
        <v>44819</v>
      </c>
      <c r="N780" s="227" t="n">
        <v>0</v>
      </c>
      <c r="O780" s="227" t="s">
        <v>135</v>
      </c>
      <c r="P780" s="228" t="n">
        <f aca="false">VLOOKUP(B780,'NIVEL ENERO'!A:D,3,0)</f>
        <v>0.506701266967593</v>
      </c>
      <c r="Q780" s="229" t="n">
        <f aca="false">VLOOKUP(B780,'NIVEL ENERO'!A:D,4,0)</f>
        <v>-181954.14</v>
      </c>
      <c r="R780" s="186" t="str">
        <f aca="false">+PROPER(C780&amp;" "&amp;D780)</f>
        <v>Gil Motato Santiago</v>
      </c>
      <c r="S780" s="230" t="n">
        <f aca="false">+YEARFRAC(L780,$S$1)</f>
        <v>2.39722222222222</v>
      </c>
      <c r="T780" s="230" t="n">
        <f aca="false">+YEARFRAC(M780,$S$1)</f>
        <v>3.65833333333333</v>
      </c>
      <c r="U780" s="231" t="n">
        <f aca="false">+$I780</f>
        <v>2683863</v>
      </c>
      <c r="V780" s="232" t="str">
        <f aca="false">+PROPER(F780)</f>
        <v>Soltero(A)</v>
      </c>
    </row>
    <row r="781" customFormat="false" ht="14.25" hidden="false" customHeight="false" outlineLevel="0" collapsed="false">
      <c r="B781" s="197" t="n">
        <v>1006433995</v>
      </c>
      <c r="C781" s="197" t="s">
        <v>2348</v>
      </c>
      <c r="D781" s="197" t="s">
        <v>2349</v>
      </c>
      <c r="E781" s="198" t="s">
        <v>944</v>
      </c>
      <c r="F781" s="198" t="s">
        <v>953</v>
      </c>
      <c r="G781" s="225" t="n">
        <v>2600900</v>
      </c>
      <c r="H781" s="225" t="n">
        <v>2407540</v>
      </c>
      <c r="I781" s="225" t="n">
        <v>0</v>
      </c>
      <c r="J781" s="198" t="n">
        <v>24</v>
      </c>
      <c r="K781" s="198" t="n">
        <v>2</v>
      </c>
      <c r="L781" s="226" t="n">
        <v>44490</v>
      </c>
      <c r="M781" s="226" t="n">
        <v>44341</v>
      </c>
      <c r="N781" s="227" t="n">
        <v>2</v>
      </c>
      <c r="O781" s="227" t="s">
        <v>135</v>
      </c>
      <c r="P781" s="228" t="n">
        <f aca="false">VLOOKUP(B781,'NIVEL ENERO'!A:D,3,0)</f>
        <v>0.17208389403668</v>
      </c>
      <c r="Q781" s="229" t="n">
        <f aca="false">VLOOKUP(B781,'NIVEL ENERO'!A:D,4,0)</f>
        <v>644805</v>
      </c>
      <c r="R781" s="186" t="str">
        <f aca="false">+PROPER(C781&amp;" "&amp;D781)</f>
        <v>Urrego Ospina Anlly Tatiana</v>
      </c>
      <c r="S781" s="230" t="n">
        <f aca="false">+YEARFRAC(L781,$S$1)</f>
        <v>4.55833333333333</v>
      </c>
      <c r="T781" s="230" t="n">
        <f aca="false">+YEARFRAC(M781,$S$1)</f>
        <v>4.96388888888889</v>
      </c>
      <c r="U781" s="231" t="n">
        <f aca="false">+$I781</f>
        <v>0</v>
      </c>
      <c r="V781" s="232" t="str">
        <f aca="false">+PROPER(F781)</f>
        <v>Soltero(A)</v>
      </c>
    </row>
    <row r="782" customFormat="false" ht="14.25" hidden="false" customHeight="false" outlineLevel="0" collapsed="false">
      <c r="B782" s="197" t="n">
        <v>1006537246</v>
      </c>
      <c r="C782" s="197" t="s">
        <v>2350</v>
      </c>
      <c r="D782" s="197" t="s">
        <v>1355</v>
      </c>
      <c r="E782" s="198" t="s">
        <v>944</v>
      </c>
      <c r="F782" s="198" t="s">
        <v>953</v>
      </c>
      <c r="G782" s="225" t="n">
        <v>2320800</v>
      </c>
      <c r="H782" s="225" t="n">
        <v>2806954</v>
      </c>
      <c r="I782" s="225" t="n">
        <v>2477170</v>
      </c>
      <c r="J782" s="198" t="n">
        <v>24</v>
      </c>
      <c r="K782" s="198" t="n">
        <v>1</v>
      </c>
      <c r="L782" s="226" t="n">
        <v>44609</v>
      </c>
      <c r="M782" s="226" t="n">
        <v>44146</v>
      </c>
      <c r="N782" s="227" t="n">
        <v>2</v>
      </c>
      <c r="O782" s="227" t="s">
        <v>135</v>
      </c>
      <c r="P782" s="228" t="n">
        <f aca="false">VLOOKUP(B782,'NIVEL ENERO'!A:D,3,0)</f>
        <v>0.116345725660054</v>
      </c>
      <c r="Q782" s="229" t="n">
        <f aca="false">VLOOKUP(B782,'NIVEL ENERO'!A:D,4,0)</f>
        <v>1057382.08</v>
      </c>
      <c r="R782" s="186" t="str">
        <f aca="false">+PROPER(C782&amp;" "&amp;D782)</f>
        <v>Mera Rosero Angelica Maria</v>
      </c>
      <c r="S782" s="230" t="n">
        <f aca="false">+YEARFRAC(L782,$S$1)</f>
        <v>4.23611111111111</v>
      </c>
      <c r="T782" s="230" t="n">
        <f aca="false">+YEARFRAC(M782,$S$1)</f>
        <v>5.50277777777778</v>
      </c>
      <c r="U782" s="231" t="n">
        <f aca="false">+$I782</f>
        <v>2477170</v>
      </c>
      <c r="V782" s="232" t="str">
        <f aca="false">+PROPER(F782)</f>
        <v>Soltero(A)</v>
      </c>
    </row>
    <row r="783" customFormat="false" ht="14.25" hidden="false" customHeight="false" outlineLevel="0" collapsed="false">
      <c r="B783" s="197" t="n">
        <v>1006814476</v>
      </c>
      <c r="C783" s="197" t="s">
        <v>2351</v>
      </c>
      <c r="D783" s="197" t="s">
        <v>2352</v>
      </c>
      <c r="E783" s="198" t="s">
        <v>944</v>
      </c>
      <c r="F783" s="198" t="s">
        <v>953</v>
      </c>
      <c r="G783" s="225" t="n">
        <v>1918500</v>
      </c>
      <c r="H783" s="225" t="n">
        <v>650000</v>
      </c>
      <c r="I783" s="225" t="n">
        <v>743517</v>
      </c>
      <c r="J783" s="198" t="n">
        <v>21</v>
      </c>
      <c r="K783" s="198" t="n">
        <v>2</v>
      </c>
      <c r="L783" s="226" t="n">
        <v>45370</v>
      </c>
      <c r="M783" s="226" t="n">
        <v>45061</v>
      </c>
      <c r="N783" s="227" t="n">
        <v>0</v>
      </c>
      <c r="O783" s="227" t="s">
        <v>135</v>
      </c>
      <c r="P783" s="228" t="n">
        <f aca="false">VLOOKUP(B783,'NIVEL ENERO'!A:D,3,0)</f>
        <v>0.368049163408913</v>
      </c>
      <c r="Q783" s="229" t="n">
        <f aca="false">VLOOKUP(B783,'NIVEL ENERO'!A:D,4,0)</f>
        <v>237304</v>
      </c>
      <c r="R783" s="186" t="str">
        <f aca="false">+PROPER(C783&amp;" "&amp;D783)</f>
        <v>Arias Bran Yerferson</v>
      </c>
      <c r="S783" s="230" t="n">
        <f aca="false">+YEARFRAC(L783,$S$1)</f>
        <v>2.14722222222222</v>
      </c>
      <c r="T783" s="230" t="n">
        <f aca="false">+YEARFRAC(M783,$S$1)</f>
        <v>2.99166666666667</v>
      </c>
      <c r="U783" s="231" t="n">
        <f aca="false">+$I783</f>
        <v>743517</v>
      </c>
      <c r="V783" s="232" t="str">
        <f aca="false">+PROPER(F783)</f>
        <v>Soltero(A)</v>
      </c>
    </row>
    <row r="784" customFormat="false" ht="14.25" hidden="false" customHeight="false" outlineLevel="0" collapsed="false">
      <c r="B784" s="197" t="n">
        <v>1007145804</v>
      </c>
      <c r="C784" s="197" t="s">
        <v>2353</v>
      </c>
      <c r="D784" s="197" t="s">
        <v>2354</v>
      </c>
      <c r="E784" s="198" t="s">
        <v>944</v>
      </c>
      <c r="F784" s="198" t="s">
        <v>953</v>
      </c>
      <c r="G784" s="225" t="n">
        <v>2893800</v>
      </c>
      <c r="H784" s="225" t="n">
        <v>8668603</v>
      </c>
      <c r="I784" s="225" t="n">
        <v>5017502</v>
      </c>
      <c r="J784" s="198" t="n">
        <v>27</v>
      </c>
      <c r="K784" s="198" t="n">
        <v>2</v>
      </c>
      <c r="L784" s="226" t="n">
        <v>43754</v>
      </c>
      <c r="M784" s="226" t="n">
        <v>43692</v>
      </c>
      <c r="N784" s="227" t="n">
        <v>3</v>
      </c>
      <c r="O784" s="227" t="s">
        <v>135</v>
      </c>
      <c r="P784" s="228" t="n">
        <f aca="false">VLOOKUP(B784,'NIVEL ENERO'!A:D,3,0)</f>
        <v>0.244685175186856</v>
      </c>
      <c r="Q784" s="229" t="n">
        <f aca="false">VLOOKUP(B784,'NIVEL ENERO'!A:D,4,0)</f>
        <v>704190.68</v>
      </c>
      <c r="R784" s="186" t="str">
        <f aca="false">+PROPER(C784&amp;" "&amp;D784)</f>
        <v>Pena Rodriguez Juanita Loren</v>
      </c>
      <c r="S784" s="230" t="n">
        <f aca="false">+YEARFRAC(L784,$S$1)</f>
        <v>6.57222222222222</v>
      </c>
      <c r="T784" s="230" t="n">
        <f aca="false">+YEARFRAC(M784,$S$1)</f>
        <v>6.74166666666667</v>
      </c>
      <c r="U784" s="231" t="n">
        <f aca="false">+$I784</f>
        <v>5017502</v>
      </c>
      <c r="V784" s="232" t="str">
        <f aca="false">+PROPER(F784)</f>
        <v>Soltero(A)</v>
      </c>
    </row>
    <row r="785" customFormat="false" ht="14.25" hidden="false" customHeight="false" outlineLevel="0" collapsed="false">
      <c r="B785" s="197" t="n">
        <v>1007544660</v>
      </c>
      <c r="C785" s="197" t="s">
        <v>2355</v>
      </c>
      <c r="D785" s="197" t="s">
        <v>2356</v>
      </c>
      <c r="E785" s="198" t="s">
        <v>944</v>
      </c>
      <c r="F785" s="198" t="s">
        <v>953</v>
      </c>
      <c r="G785" s="225" t="n">
        <v>2600900</v>
      </c>
      <c r="H785" s="225" t="n">
        <v>500000</v>
      </c>
      <c r="I785" s="225"/>
      <c r="J785" s="198" t="n">
        <v>23</v>
      </c>
      <c r="K785" s="198" t="n">
        <v>2</v>
      </c>
      <c r="L785" s="226" t="n">
        <v>45520</v>
      </c>
      <c r="M785" s="226" t="n">
        <v>44795</v>
      </c>
      <c r="N785" s="227" t="n">
        <v>0</v>
      </c>
      <c r="O785" s="227" t="s">
        <v>135</v>
      </c>
      <c r="P785" s="228" t="n">
        <f aca="false">VLOOKUP(B785,'NIVEL ENERO'!A:D,3,0)</f>
        <v>0.344941302454467</v>
      </c>
      <c r="Q785" s="229" t="n">
        <f aca="false">VLOOKUP(B785,'NIVEL ENERO'!A:D,4,0)</f>
        <v>230274.88</v>
      </c>
      <c r="R785" s="186" t="str">
        <f aca="false">+PROPER(C785&amp;" "&amp;D785)</f>
        <v>Rengifo Rodriguez Laura Valentina</v>
      </c>
      <c r="S785" s="230" t="n">
        <f aca="false">+YEARFRAC(L785,$S$1)</f>
        <v>1.73888888888889</v>
      </c>
      <c r="T785" s="230" t="n">
        <f aca="false">+YEARFRAC(M785,$S$1)</f>
        <v>3.72222222222222</v>
      </c>
      <c r="U785" s="231" t="n">
        <f aca="false">+$I785</f>
        <v>0</v>
      </c>
      <c r="V785" s="232" t="str">
        <f aca="false">+PROPER(F785)</f>
        <v>Soltero(A)</v>
      </c>
    </row>
    <row r="786" customFormat="false" ht="14.25" hidden="false" customHeight="false" outlineLevel="0" collapsed="false">
      <c r="B786" s="197" t="n">
        <v>1007619449</v>
      </c>
      <c r="C786" s="197" t="s">
        <v>2357</v>
      </c>
      <c r="D786" s="197" t="s">
        <v>2358</v>
      </c>
      <c r="E786" s="198" t="s">
        <v>944</v>
      </c>
      <c r="F786" s="198" t="s">
        <v>945</v>
      </c>
      <c r="G786" s="225" t="n">
        <v>1625000</v>
      </c>
      <c r="H786" s="225" t="n">
        <v>325000</v>
      </c>
      <c r="I786" s="225"/>
      <c r="J786" s="198" t="n">
        <v>23</v>
      </c>
      <c r="K786" s="198" t="n">
        <v>2</v>
      </c>
      <c r="L786" s="226" t="n">
        <v>45518</v>
      </c>
      <c r="M786" s="226" t="n">
        <v>45302</v>
      </c>
      <c r="N786" s="227" t="n">
        <v>0</v>
      </c>
      <c r="O786" s="227" t="s">
        <v>135</v>
      </c>
      <c r="P786" s="228" t="n">
        <f aca="false">VLOOKUP(B786,'NIVEL ENERO'!A:D,3,0)</f>
        <v>0.438576406153846</v>
      </c>
      <c r="Q786" s="229" t="n">
        <f aca="false">VLOOKUP(B786,'NIVEL ENERO'!A:D,4,0)</f>
        <v>-71873</v>
      </c>
      <c r="R786" s="186" t="str">
        <f aca="false">+PROPER(C786&amp;" "&amp;D786)</f>
        <v>Gonzalez Moreno Loren Daniela</v>
      </c>
      <c r="S786" s="230" t="n">
        <f aca="false">+YEARFRAC(L786,$S$1)</f>
        <v>1.74444444444444</v>
      </c>
      <c r="T786" s="230" t="n">
        <f aca="false">+YEARFRAC(M786,$S$1)</f>
        <v>2.33611111111111</v>
      </c>
      <c r="U786" s="231" t="n">
        <f aca="false">+$I786</f>
        <v>0</v>
      </c>
      <c r="V786" s="232" t="str">
        <f aca="false">+PROPER(F786)</f>
        <v>Union Libre</v>
      </c>
    </row>
    <row r="787" customFormat="false" ht="14.25" hidden="false" customHeight="false" outlineLevel="0" collapsed="false">
      <c r="B787" s="197" t="n">
        <v>1007854889</v>
      </c>
      <c r="C787" s="197" t="s">
        <v>2359</v>
      </c>
      <c r="D787" s="197" t="s">
        <v>2360</v>
      </c>
      <c r="E787" s="198" t="s">
        <v>944</v>
      </c>
      <c r="F787" s="198" t="s">
        <v>953</v>
      </c>
      <c r="G787" s="225" t="n">
        <v>2893800</v>
      </c>
      <c r="H787" s="225" t="n">
        <v>2809735</v>
      </c>
      <c r="I787" s="225"/>
      <c r="J787" s="198" t="n">
        <v>25</v>
      </c>
      <c r="K787" s="198" t="n">
        <v>1</v>
      </c>
      <c r="L787" s="226" t="n">
        <v>44825</v>
      </c>
      <c r="M787" s="226" t="n">
        <v>44140</v>
      </c>
      <c r="N787" s="227" t="n">
        <v>1</v>
      </c>
      <c r="O787" s="227" t="s">
        <v>135</v>
      </c>
      <c r="P787" s="228" t="n">
        <f aca="false">VLOOKUP(B787,'NIVEL ENERO'!A:D,3,0)</f>
        <v>0.105115900211791</v>
      </c>
      <c r="Q787" s="229" t="n">
        <f aca="false">VLOOKUP(B787,'NIVEL ENERO'!A:D,4,0)</f>
        <v>1342452.52</v>
      </c>
      <c r="R787" s="186" t="str">
        <f aca="false">+PROPER(C787&amp;" "&amp;D787)</f>
        <v>Toro Acosta Angela Yisel</v>
      </c>
      <c r="S787" s="230" t="n">
        <f aca="false">+YEARFRAC(L787,$S$1)</f>
        <v>3.64166666666667</v>
      </c>
      <c r="T787" s="230" t="n">
        <f aca="false">+YEARFRAC(M787,$S$1)</f>
        <v>5.51944444444445</v>
      </c>
      <c r="U787" s="231" t="n">
        <f aca="false">+$I787</f>
        <v>0</v>
      </c>
      <c r="V787" s="232" t="str">
        <f aca="false">+PROPER(F787)</f>
        <v>Soltero(A)</v>
      </c>
    </row>
    <row r="788" customFormat="false" ht="14.25" hidden="false" customHeight="false" outlineLevel="0" collapsed="false">
      <c r="B788" s="197" t="n">
        <v>1010048219</v>
      </c>
      <c r="C788" s="197" t="s">
        <v>2361</v>
      </c>
      <c r="D788" s="197" t="s">
        <v>2362</v>
      </c>
      <c r="E788" s="198" t="s">
        <v>944</v>
      </c>
      <c r="F788" s="198" t="s">
        <v>953</v>
      </c>
      <c r="G788" s="225" t="n">
        <v>1625000</v>
      </c>
      <c r="H788" s="225" t="n">
        <v>895060</v>
      </c>
      <c r="I788" s="225" t="n">
        <v>68928</v>
      </c>
      <c r="J788" s="198" t="n">
        <v>36</v>
      </c>
      <c r="K788" s="198" t="n">
        <v>1</v>
      </c>
      <c r="L788" s="226" t="n">
        <v>45249</v>
      </c>
      <c r="M788" s="226" t="n">
        <v>45176</v>
      </c>
      <c r="N788" s="227" t="n">
        <v>0</v>
      </c>
      <c r="O788" s="227" t="s">
        <v>135</v>
      </c>
      <c r="P788" s="228" t="n">
        <f aca="false">VLOOKUP(B788,'NIVEL ENERO'!A:D,3,0)</f>
        <v>0.400120723990094</v>
      </c>
      <c r="Q788" s="229" t="n">
        <f aca="false">VLOOKUP(B788,'NIVEL ENERO'!A:D,4,0)</f>
        <v>90959</v>
      </c>
      <c r="R788" s="186" t="str">
        <f aca="false">+PROPER(C788&amp;" "&amp;D788)</f>
        <v>Valencia Valencia Betty Francisca</v>
      </c>
      <c r="S788" s="230" t="n">
        <f aca="false">+YEARFRAC(L788,$S$1)</f>
        <v>2.48055555555556</v>
      </c>
      <c r="T788" s="230" t="n">
        <f aca="false">+YEARFRAC(M788,$S$1)</f>
        <v>2.68055555555556</v>
      </c>
      <c r="U788" s="231" t="n">
        <f aca="false">+$I788</f>
        <v>68928</v>
      </c>
      <c r="V788" s="232" t="str">
        <f aca="false">+PROPER(F788)</f>
        <v>Soltero(A)</v>
      </c>
    </row>
    <row r="789" customFormat="false" ht="14.25" hidden="false" customHeight="false" outlineLevel="0" collapsed="false">
      <c r="B789" s="197" t="n">
        <v>1010058542</v>
      </c>
      <c r="C789" s="197" t="s">
        <v>2363</v>
      </c>
      <c r="D789" s="197" t="s">
        <v>2364</v>
      </c>
      <c r="E789" s="198" t="s">
        <v>944</v>
      </c>
      <c r="F789" s="198" t="s">
        <v>953</v>
      </c>
      <c r="G789" s="225" t="n">
        <v>2893800</v>
      </c>
      <c r="H789" s="225" t="n">
        <v>2506690</v>
      </c>
      <c r="I789" s="225"/>
      <c r="J789" s="198" t="n">
        <v>25</v>
      </c>
      <c r="K789" s="198" t="n">
        <v>2</v>
      </c>
      <c r="L789" s="226" t="n">
        <v>44908</v>
      </c>
      <c r="M789" s="226" t="n">
        <v>43507</v>
      </c>
      <c r="N789" s="227" t="n">
        <v>0</v>
      </c>
      <c r="O789" s="227" t="s">
        <v>135</v>
      </c>
      <c r="P789" s="228" t="n">
        <f aca="false">VLOOKUP(B789,'NIVEL ENERO'!A:D,3,0)</f>
        <v>0.105369848565159</v>
      </c>
      <c r="Q789" s="229" t="n">
        <f aca="false">VLOOKUP(B789,'NIVEL ENERO'!A:D,4,0)</f>
        <v>1213485.18</v>
      </c>
      <c r="R789" s="186" t="str">
        <f aca="false">+PROPER(C789&amp;" "&amp;D789)</f>
        <v>Oviedo Rosero Leidy Tatiana</v>
      </c>
      <c r="S789" s="230" t="n">
        <f aca="false">+YEARFRAC(L789,$S$1)</f>
        <v>3.41388888888889</v>
      </c>
      <c r="T789" s="230" t="n">
        <f aca="false">+YEARFRAC(M789,$S$1)</f>
        <v>7.25277777777778</v>
      </c>
      <c r="U789" s="231" t="n">
        <f aca="false">+$I789</f>
        <v>0</v>
      </c>
      <c r="V789" s="232" t="str">
        <f aca="false">+PROPER(F789)</f>
        <v>Soltero(A)</v>
      </c>
    </row>
    <row r="790" customFormat="false" ht="14.25" hidden="false" customHeight="false" outlineLevel="0" collapsed="false">
      <c r="B790" s="197" t="n">
        <v>1010058582</v>
      </c>
      <c r="C790" s="197" t="s">
        <v>2365</v>
      </c>
      <c r="D790" s="197" t="s">
        <v>1434</v>
      </c>
      <c r="E790" s="198" t="s">
        <v>944</v>
      </c>
      <c r="F790" s="198" t="s">
        <v>953</v>
      </c>
      <c r="G790" s="225" t="n">
        <v>1670000</v>
      </c>
      <c r="H790" s="225" t="n">
        <v>947160</v>
      </c>
      <c r="I790" s="225" t="n">
        <v>1272433</v>
      </c>
      <c r="J790" s="198" t="n">
        <v>21</v>
      </c>
      <c r="K790" s="198" t="n">
        <v>2</v>
      </c>
      <c r="L790" s="226" t="n">
        <v>45220</v>
      </c>
      <c r="M790" s="226" t="n">
        <v>44918</v>
      </c>
      <c r="N790" s="227" t="n">
        <v>0</v>
      </c>
      <c r="O790" s="227" t="s">
        <v>135</v>
      </c>
      <c r="P790" s="228" t="n">
        <f aca="false">VLOOKUP(B790,'NIVEL ENERO'!A:D,3,0)</f>
        <v>0.343712140671738</v>
      </c>
      <c r="Q790" s="229" t="n">
        <f aca="false">VLOOKUP(B790,'NIVEL ENERO'!A:D,4,0)</f>
        <v>170375.38</v>
      </c>
      <c r="R790" s="186" t="str">
        <f aca="false">+PROPER(C790&amp;" "&amp;D790)</f>
        <v>Pacheco Benavides Diana Marcela</v>
      </c>
      <c r="S790" s="230" t="n">
        <f aca="false">+YEARFRAC(L790,$S$1)</f>
        <v>2.55833333333333</v>
      </c>
      <c r="T790" s="230" t="n">
        <f aca="false">+YEARFRAC(M790,$S$1)</f>
        <v>3.38611111111111</v>
      </c>
      <c r="U790" s="231" t="n">
        <f aca="false">+$I790</f>
        <v>1272433</v>
      </c>
      <c r="V790" s="232" t="str">
        <f aca="false">+PROPER(F790)</f>
        <v>Soltero(A)</v>
      </c>
    </row>
    <row r="791" customFormat="false" ht="14.25" hidden="false" customHeight="false" outlineLevel="0" collapsed="false">
      <c r="B791" s="197" t="n">
        <v>1010081233</v>
      </c>
      <c r="C791" s="197" t="s">
        <v>2366</v>
      </c>
      <c r="D791" s="197" t="s">
        <v>1730</v>
      </c>
      <c r="E791" s="198" t="s">
        <v>944</v>
      </c>
      <c r="F791" s="198" t="s">
        <v>948</v>
      </c>
      <c r="G791" s="225" t="n">
        <v>5418800</v>
      </c>
      <c r="H791" s="225" t="n">
        <v>750000</v>
      </c>
      <c r="I791" s="225"/>
      <c r="J791" s="198" t="n">
        <v>32</v>
      </c>
      <c r="K791" s="198" t="n">
        <v>6</v>
      </c>
      <c r="L791" s="226" t="n">
        <v>45527</v>
      </c>
      <c r="M791" s="226" t="n">
        <v>44768</v>
      </c>
      <c r="N791" s="227" t="n">
        <v>0</v>
      </c>
      <c r="O791" s="227" t="s">
        <v>135</v>
      </c>
      <c r="P791" s="228" t="n">
        <f aca="false">VLOOKUP(B791,'NIVEL ENERO'!A:D,3,0)</f>
        <v>0.12265380478493</v>
      </c>
      <c r="Q791" s="229" t="n">
        <f aca="false">VLOOKUP(B791,'NIVEL ENERO'!A:D,4,0)</f>
        <v>2332123.08</v>
      </c>
      <c r="R791" s="186" t="str">
        <f aca="false">+PROPER(C791&amp;" "&amp;D791)</f>
        <v>Jave Rivas Jakeline</v>
      </c>
      <c r="S791" s="230" t="n">
        <f aca="false">+YEARFRAC(L791,$S$1)</f>
        <v>1.71944444444444</v>
      </c>
      <c r="T791" s="230" t="n">
        <f aca="false">+YEARFRAC(M791,$S$1)</f>
        <v>3.79444444444444</v>
      </c>
      <c r="U791" s="231" t="n">
        <f aca="false">+$I791</f>
        <v>0</v>
      </c>
      <c r="V791" s="232" t="str">
        <f aca="false">+PROPER(F791)</f>
        <v>Casado(A)</v>
      </c>
    </row>
    <row r="792" customFormat="false" ht="14.25" hidden="false" customHeight="false" outlineLevel="0" collapsed="false">
      <c r="B792" s="197" t="n">
        <v>1010091223</v>
      </c>
      <c r="C792" s="197" t="s">
        <v>2367</v>
      </c>
      <c r="D792" s="197" t="s">
        <v>2368</v>
      </c>
      <c r="E792" s="198" t="s">
        <v>944</v>
      </c>
      <c r="F792" s="198" t="s">
        <v>953</v>
      </c>
      <c r="G792" s="225" t="n">
        <v>2893800</v>
      </c>
      <c r="H792" s="225" t="n">
        <v>1759194</v>
      </c>
      <c r="I792" s="225" t="n">
        <v>5607130</v>
      </c>
      <c r="J792" s="198" t="n">
        <v>24</v>
      </c>
      <c r="K792" s="198" t="n">
        <v>2</v>
      </c>
      <c r="L792" s="226" t="n">
        <v>44725</v>
      </c>
      <c r="M792" s="226" t="n">
        <v>44113</v>
      </c>
      <c r="N792" s="227" t="n">
        <v>2</v>
      </c>
      <c r="O792" s="227" t="s">
        <v>135</v>
      </c>
      <c r="P792" s="228" t="n">
        <f aca="false">VLOOKUP(B792,'NIVEL ENERO'!A:D,3,0)</f>
        <v>0.274900365392877</v>
      </c>
      <c r="Q792" s="229" t="n">
        <f aca="false">VLOOKUP(B792,'NIVEL ENERO'!A:D,4,0)</f>
        <v>525318.04</v>
      </c>
      <c r="R792" s="186" t="str">
        <f aca="false">+PROPER(C792&amp;" "&amp;D792)</f>
        <v>Gonzalez Trivino Karen Yuliana</v>
      </c>
      <c r="S792" s="230" t="n">
        <f aca="false">+YEARFRAC(L792,$S$1)</f>
        <v>3.91388888888889</v>
      </c>
      <c r="T792" s="230" t="n">
        <f aca="false">+YEARFRAC(M792,$S$1)</f>
        <v>5.59166666666667</v>
      </c>
      <c r="U792" s="231" t="n">
        <f aca="false">+$I792</f>
        <v>5607130</v>
      </c>
      <c r="V792" s="232" t="str">
        <f aca="false">+PROPER(F792)</f>
        <v>Soltero(A)</v>
      </c>
    </row>
    <row r="793" customFormat="false" ht="14.25" hidden="false" customHeight="false" outlineLevel="0" collapsed="false">
      <c r="B793" s="197" t="n">
        <v>1010109955</v>
      </c>
      <c r="C793" s="197" t="s">
        <v>2369</v>
      </c>
      <c r="D793" s="197" t="s">
        <v>2370</v>
      </c>
      <c r="E793" s="198" t="s">
        <v>944</v>
      </c>
      <c r="F793" s="198" t="s">
        <v>945</v>
      </c>
      <c r="G793" s="225" t="n">
        <v>2600900</v>
      </c>
      <c r="H793" s="225" t="n">
        <v>5082269</v>
      </c>
      <c r="I793" s="225" t="n">
        <v>364674</v>
      </c>
      <c r="J793" s="198" t="n">
        <v>27</v>
      </c>
      <c r="K793" s="198" t="n">
        <v>2</v>
      </c>
      <c r="L793" s="226" t="n">
        <v>43117</v>
      </c>
      <c r="M793" s="226" t="n">
        <v>42720</v>
      </c>
      <c r="N793" s="227" t="n">
        <v>1</v>
      </c>
      <c r="O793" s="227" t="s">
        <v>135</v>
      </c>
      <c r="P793" s="228" t="n">
        <f aca="false">VLOOKUP(B793,'NIVEL ENERO'!A:D,3,0)</f>
        <v>0.358049625101267</v>
      </c>
      <c r="Q793" s="229" t="n">
        <f aca="false">VLOOKUP(B793,'NIVEL ENERO'!A:D,4,0)</f>
        <v>206160.44</v>
      </c>
      <c r="R793" s="186" t="str">
        <f aca="false">+PROPER(C793&amp;" "&amp;D793)</f>
        <v>Orejuela Arteaga Daniela Fernanda</v>
      </c>
      <c r="S793" s="230" t="n">
        <f aca="false">+YEARFRAC(L793,$S$1)</f>
        <v>8.31944444444445</v>
      </c>
      <c r="T793" s="230" t="n">
        <f aca="false">+YEARFRAC(M793,$S$1)</f>
        <v>9.40555555555556</v>
      </c>
      <c r="U793" s="231" t="n">
        <f aca="false">+$I793</f>
        <v>364674</v>
      </c>
      <c r="V793" s="232" t="str">
        <f aca="false">+PROPER(F793)</f>
        <v>Union Libre</v>
      </c>
    </row>
    <row r="794" customFormat="false" ht="14.25" hidden="false" customHeight="false" outlineLevel="0" collapsed="false">
      <c r="B794" s="197" t="n">
        <v>1010113787</v>
      </c>
      <c r="C794" s="197" t="s">
        <v>2371</v>
      </c>
      <c r="D794" s="197" t="s">
        <v>957</v>
      </c>
      <c r="E794" s="198" t="s">
        <v>944</v>
      </c>
      <c r="F794" s="198" t="s">
        <v>953</v>
      </c>
      <c r="G794" s="225" t="n">
        <v>1828100</v>
      </c>
      <c r="H794" s="225" t="n">
        <v>650000</v>
      </c>
      <c r="I794" s="225" t="n">
        <v>770007</v>
      </c>
      <c r="J794" s="198" t="n">
        <v>24</v>
      </c>
      <c r="K794" s="198" t="n">
        <v>1</v>
      </c>
      <c r="L794" s="226" t="n">
        <v>45369</v>
      </c>
      <c r="M794" s="226" t="n">
        <v>45245</v>
      </c>
      <c r="N794" s="227" t="n">
        <v>0</v>
      </c>
      <c r="O794" s="227" t="s">
        <v>135</v>
      </c>
      <c r="P794" s="228" t="n">
        <f aca="false">VLOOKUP(B794,'NIVEL ENERO'!A:D,3,0)</f>
        <v>0.231851146542432</v>
      </c>
      <c r="Q794" s="229" t="n">
        <f aca="false">VLOOKUP(B794,'NIVEL ENERO'!A:D,4,0)</f>
        <v>389075.46</v>
      </c>
      <c r="R794" s="186" t="str">
        <f aca="false">+PROPER(C794&amp;" "&amp;D794)</f>
        <v>Garcia Sandobal Alexander</v>
      </c>
      <c r="S794" s="230" t="n">
        <f aca="false">+YEARFRAC(L794,$S$1)</f>
        <v>2.15</v>
      </c>
      <c r="T794" s="230" t="n">
        <f aca="false">+YEARFRAC(M794,$S$1)</f>
        <v>2.49166666666667</v>
      </c>
      <c r="U794" s="231" t="n">
        <f aca="false">+$I794</f>
        <v>770007</v>
      </c>
      <c r="V794" s="232" t="str">
        <f aca="false">+PROPER(F794)</f>
        <v>Soltero(A)</v>
      </c>
    </row>
    <row r="795" customFormat="false" ht="14.25" hidden="false" customHeight="false" outlineLevel="0" collapsed="false">
      <c r="B795" s="197" t="n">
        <v>1010130898</v>
      </c>
      <c r="C795" s="197" t="s">
        <v>2372</v>
      </c>
      <c r="D795" s="197" t="s">
        <v>1308</v>
      </c>
      <c r="E795" s="198" t="s">
        <v>944</v>
      </c>
      <c r="F795" s="198" t="s">
        <v>948</v>
      </c>
      <c r="G795" s="225" t="n">
        <v>2893800</v>
      </c>
      <c r="H795" s="225" t="n">
        <v>1200000</v>
      </c>
      <c r="I795" s="225" t="n">
        <v>0</v>
      </c>
      <c r="J795" s="198" t="n">
        <v>24</v>
      </c>
      <c r="K795" s="198" t="n">
        <v>6</v>
      </c>
      <c r="L795" s="226" t="n">
        <v>45414</v>
      </c>
      <c r="M795" s="226" t="n">
        <v>44265</v>
      </c>
      <c r="N795" s="227" t="n">
        <v>0</v>
      </c>
      <c r="O795" s="227" t="s">
        <v>135</v>
      </c>
      <c r="P795" s="228" t="n">
        <f aca="false">VLOOKUP(B795,'NIVEL ENERO'!A:D,3,0)</f>
        <v>0.192563162641153</v>
      </c>
      <c r="Q795" s="229" t="n">
        <f aca="false">VLOOKUP(B795,'NIVEL ENERO'!A:D,4,0)</f>
        <v>821408.38</v>
      </c>
      <c r="R795" s="186" t="str">
        <f aca="false">+PROPER(C795&amp;" "&amp;D795)</f>
        <v>Loaiza Rengifo Maria Del Pilar</v>
      </c>
      <c r="S795" s="230" t="n">
        <f aca="false">+YEARFRAC(L795,$S$1)</f>
        <v>2.02777777777778</v>
      </c>
      <c r="T795" s="230" t="n">
        <f aca="false">+YEARFRAC(M795,$S$1)</f>
        <v>5.17222222222222</v>
      </c>
      <c r="U795" s="231" t="n">
        <f aca="false">+$I795</f>
        <v>0</v>
      </c>
      <c r="V795" s="232" t="str">
        <f aca="false">+PROPER(F795)</f>
        <v>Casado(A)</v>
      </c>
    </row>
    <row r="796" customFormat="false" ht="14.25" hidden="false" customHeight="false" outlineLevel="0" collapsed="false">
      <c r="B796" s="197" t="n">
        <v>1010134134</v>
      </c>
      <c r="C796" s="197" t="s">
        <v>2373</v>
      </c>
      <c r="D796" s="197" t="s">
        <v>2297</v>
      </c>
      <c r="E796" s="198" t="s">
        <v>944</v>
      </c>
      <c r="F796" s="198" t="s">
        <v>953</v>
      </c>
      <c r="G796" s="225" t="n">
        <v>2600900</v>
      </c>
      <c r="H796" s="225" t="n">
        <v>1825394</v>
      </c>
      <c r="I796" s="225" t="n">
        <v>1851868</v>
      </c>
      <c r="J796" s="198" t="n">
        <v>24</v>
      </c>
      <c r="K796" s="198" t="n">
        <v>1</v>
      </c>
      <c r="L796" s="226" t="n">
        <v>44887</v>
      </c>
      <c r="M796" s="226" t="n">
        <v>44242</v>
      </c>
      <c r="N796" s="227" t="n">
        <v>0</v>
      </c>
      <c r="O796" s="227" t="s">
        <v>135</v>
      </c>
      <c r="P796" s="228" t="n">
        <f aca="false">VLOOKUP(B796,'NIVEL ENERO'!A:D,3,0)</f>
        <v>0.192427693709736</v>
      </c>
      <c r="Q796" s="229" t="n">
        <f aca="false">VLOOKUP(B796,'NIVEL ENERO'!A:D,4,0)</f>
        <v>642932.88</v>
      </c>
      <c r="R796" s="186" t="str">
        <f aca="false">+PROPER(C796&amp;" "&amp;D796)</f>
        <v>Carvajal Cardone Valentina</v>
      </c>
      <c r="S796" s="230" t="n">
        <f aca="false">+YEARFRAC(L796,$S$1)</f>
        <v>3.47222222222222</v>
      </c>
      <c r="T796" s="230" t="n">
        <f aca="false">+YEARFRAC(M796,$S$1)</f>
        <v>5.24166666666667</v>
      </c>
      <c r="U796" s="231" t="n">
        <f aca="false">+$I796</f>
        <v>1851868</v>
      </c>
      <c r="V796" s="232" t="str">
        <f aca="false">+PROPER(F796)</f>
        <v>Soltero(A)</v>
      </c>
    </row>
    <row r="797" customFormat="false" ht="14.25" hidden="false" customHeight="false" outlineLevel="0" collapsed="false">
      <c r="B797" s="197" t="n">
        <v>1010149247</v>
      </c>
      <c r="C797" s="197" t="s">
        <v>2374</v>
      </c>
      <c r="D797" s="197" t="s">
        <v>2375</v>
      </c>
      <c r="E797" s="198" t="s">
        <v>944</v>
      </c>
      <c r="F797" s="198" t="s">
        <v>945</v>
      </c>
      <c r="G797" s="225" t="n">
        <v>2893800</v>
      </c>
      <c r="H797" s="225" t="n">
        <v>3962066</v>
      </c>
      <c r="I797" s="225" t="n">
        <v>119473</v>
      </c>
      <c r="J797" s="198" t="n">
        <v>24</v>
      </c>
      <c r="K797" s="198" t="n">
        <v>1</v>
      </c>
      <c r="L797" s="226" t="n">
        <v>44704</v>
      </c>
      <c r="M797" s="226" t="n">
        <v>44305</v>
      </c>
      <c r="N797" s="227" t="n">
        <v>2</v>
      </c>
      <c r="O797" s="227" t="s">
        <v>135</v>
      </c>
      <c r="P797" s="228" t="n">
        <f aca="false">VLOOKUP(B797,'NIVEL ENERO'!A:D,3,0)</f>
        <v>0.458464249031788</v>
      </c>
      <c r="Q797" s="229" t="n">
        <f aca="false">VLOOKUP(B797,'NIVEL ENERO'!A:D,4,0)</f>
        <v>-98940.28</v>
      </c>
      <c r="R797" s="186" t="str">
        <f aca="false">+PROPER(C797&amp;" "&amp;D797)</f>
        <v>Velasco Velasco Nesly Yiseet</v>
      </c>
      <c r="S797" s="230" t="n">
        <f aca="false">+YEARFRAC(L797,$S$1)</f>
        <v>3.96944444444444</v>
      </c>
      <c r="T797" s="230" t="n">
        <f aca="false">+YEARFRAC(M797,$S$1)</f>
        <v>5.06388888888889</v>
      </c>
      <c r="U797" s="231" t="n">
        <f aca="false">+$I797</f>
        <v>119473</v>
      </c>
      <c r="V797" s="232" t="str">
        <f aca="false">+PROPER(F797)</f>
        <v>Union Libre</v>
      </c>
    </row>
    <row r="798" customFormat="false" ht="14.25" hidden="false" customHeight="false" outlineLevel="0" collapsed="false">
      <c r="B798" s="197" t="n">
        <v>1012409708</v>
      </c>
      <c r="C798" s="197" t="s">
        <v>2376</v>
      </c>
      <c r="D798" s="197" t="s">
        <v>1184</v>
      </c>
      <c r="E798" s="198" t="s">
        <v>944</v>
      </c>
      <c r="F798" s="198" t="s">
        <v>945</v>
      </c>
      <c r="G798" s="225" t="n">
        <v>2604400</v>
      </c>
      <c r="H798" s="225" t="n">
        <v>3043296</v>
      </c>
      <c r="I798" s="225" t="n">
        <v>5596105</v>
      </c>
      <c r="J798" s="198" t="n">
        <v>30</v>
      </c>
      <c r="K798" s="198" t="n">
        <v>1</v>
      </c>
      <c r="L798" s="226" t="n">
        <v>43844</v>
      </c>
      <c r="M798" s="226" t="n">
        <v>43808</v>
      </c>
      <c r="N798" s="227" t="n">
        <v>1</v>
      </c>
      <c r="O798" s="227" t="s">
        <v>135</v>
      </c>
      <c r="P798" s="228" t="n">
        <f aca="false">VLOOKUP(B798,'NIVEL ENERO'!A:D,3,0)</f>
        <v>0.199866441536792</v>
      </c>
      <c r="Q798" s="229" t="n">
        <f aca="false">VLOOKUP(B798,'NIVEL ENERO'!A:D,4,0)</f>
        <v>799715.72</v>
      </c>
      <c r="R798" s="186" t="str">
        <f aca="false">+PROPER(C798&amp;" "&amp;D798)</f>
        <v>Rodriguez Gutierrez Paola Andrea</v>
      </c>
      <c r="S798" s="230" t="n">
        <f aca="false">+YEARFRAC(L798,$S$1)</f>
        <v>6.32777777777778</v>
      </c>
      <c r="T798" s="230" t="n">
        <f aca="false">+YEARFRAC(M798,$S$1)</f>
        <v>6.425</v>
      </c>
      <c r="U798" s="231" t="n">
        <f aca="false">+$I798</f>
        <v>5596105</v>
      </c>
      <c r="V798" s="232" t="str">
        <f aca="false">+PROPER(F798)</f>
        <v>Union Libre</v>
      </c>
    </row>
    <row r="799" customFormat="false" ht="14.25" hidden="false" customHeight="false" outlineLevel="0" collapsed="false">
      <c r="B799" s="197" t="n">
        <v>1012413660</v>
      </c>
      <c r="C799" s="197" t="s">
        <v>2377</v>
      </c>
      <c r="D799" s="197" t="s">
        <v>2378</v>
      </c>
      <c r="E799" s="198" t="s">
        <v>944</v>
      </c>
      <c r="F799" s="198" t="s">
        <v>945</v>
      </c>
      <c r="G799" s="225" t="n">
        <v>2893800</v>
      </c>
      <c r="H799" s="225" t="n">
        <v>2607705</v>
      </c>
      <c r="I799" s="225" t="n">
        <v>1059675</v>
      </c>
      <c r="J799" s="198" t="n">
        <v>30</v>
      </c>
      <c r="K799" s="198" t="n">
        <v>2</v>
      </c>
      <c r="L799" s="226" t="n">
        <v>44876</v>
      </c>
      <c r="M799" s="226" t="n">
        <v>44599</v>
      </c>
      <c r="N799" s="227" t="n">
        <v>0</v>
      </c>
      <c r="O799" s="227" t="s">
        <v>135</v>
      </c>
      <c r="P799" s="228" t="n">
        <f aca="false">VLOOKUP(B799,'NIVEL ENERO'!A:D,3,0)</f>
        <v>0.171218987181241</v>
      </c>
      <c r="Q799" s="229" t="n">
        <f aca="false">VLOOKUP(B799,'NIVEL ENERO'!A:D,4,0)</f>
        <v>932456.28</v>
      </c>
      <c r="R799" s="186" t="str">
        <f aca="false">+PROPER(C799&amp;" "&amp;D799)</f>
        <v>Flechas Guzman Jessica Lorena</v>
      </c>
      <c r="S799" s="230" t="n">
        <f aca="false">+YEARFRAC(L799,$S$1)</f>
        <v>3.50277777777778</v>
      </c>
      <c r="T799" s="230" t="n">
        <f aca="false">+YEARFRAC(M799,$S$1)</f>
        <v>4.26388888888889</v>
      </c>
      <c r="U799" s="231" t="n">
        <f aca="false">+$I799</f>
        <v>1059675</v>
      </c>
      <c r="V799" s="232" t="str">
        <f aca="false">+PROPER(F799)</f>
        <v>Union Libre</v>
      </c>
    </row>
    <row r="800" customFormat="false" ht="14.25" hidden="false" customHeight="false" outlineLevel="0" collapsed="false">
      <c r="B800" s="197" t="n">
        <v>1014210301</v>
      </c>
      <c r="C800" s="197" t="s">
        <v>2379</v>
      </c>
      <c r="D800" s="197" t="s">
        <v>2380</v>
      </c>
      <c r="E800" s="198" t="s">
        <v>944</v>
      </c>
      <c r="F800" s="198" t="s">
        <v>948</v>
      </c>
      <c r="G800" s="225" t="n">
        <v>17272800</v>
      </c>
      <c r="H800" s="225" t="n">
        <v>2053147</v>
      </c>
      <c r="I800" s="225"/>
      <c r="J800" s="198" t="n">
        <v>34</v>
      </c>
      <c r="K800" s="198" t="n">
        <v>6</v>
      </c>
      <c r="L800" s="226" t="n">
        <v>44551</v>
      </c>
      <c r="M800" s="226" t="n">
        <v>44410</v>
      </c>
      <c r="N800" s="227" t="n">
        <v>3</v>
      </c>
      <c r="O800" s="227" t="s">
        <v>135</v>
      </c>
      <c r="P800" s="228" t="n">
        <f aca="false">VLOOKUP(B800,'NIVEL ENERO'!A:D,3,0)</f>
        <v>0.335757665230883</v>
      </c>
      <c r="Q800" s="229" t="n">
        <f aca="false">VLOOKUP(B800,'NIVEL ENERO'!A:D,4,0)</f>
        <v>1455101</v>
      </c>
      <c r="R800" s="186" t="str">
        <f aca="false">+PROPER(C800&amp;" "&amp;D800)</f>
        <v>Cuaran Ordonez Felipe Arnoldo</v>
      </c>
      <c r="S800" s="230" t="n">
        <f aca="false">+YEARFRAC(L800,$S$1)</f>
        <v>4.39166666666667</v>
      </c>
      <c r="T800" s="230" t="n">
        <f aca="false">+YEARFRAC(M800,$S$1)</f>
        <v>4.77777777777778</v>
      </c>
      <c r="U800" s="231" t="n">
        <f aca="false">+$I800</f>
        <v>0</v>
      </c>
      <c r="V800" s="232" t="str">
        <f aca="false">+PROPER(F800)</f>
        <v>Casado(A)</v>
      </c>
    </row>
    <row r="801" customFormat="false" ht="14.25" hidden="false" customHeight="false" outlineLevel="0" collapsed="false">
      <c r="B801" s="197" t="n">
        <v>1016024410</v>
      </c>
      <c r="C801" s="197" t="s">
        <v>2381</v>
      </c>
      <c r="D801" s="197" t="s">
        <v>2382</v>
      </c>
      <c r="E801" s="198" t="s">
        <v>944</v>
      </c>
      <c r="F801" s="198" t="s">
        <v>948</v>
      </c>
      <c r="G801" s="225" t="n">
        <v>2893800</v>
      </c>
      <c r="H801" s="225" t="n">
        <v>1355255</v>
      </c>
      <c r="I801" s="225" t="n">
        <v>6243978</v>
      </c>
      <c r="J801" s="198" t="n">
        <v>34</v>
      </c>
      <c r="K801" s="198" t="n">
        <v>2</v>
      </c>
      <c r="L801" s="226" t="n">
        <v>45001</v>
      </c>
      <c r="M801" s="226" t="n">
        <v>41870</v>
      </c>
      <c r="N801" s="227" t="n">
        <v>0</v>
      </c>
      <c r="O801" s="227" t="s">
        <v>135</v>
      </c>
      <c r="P801" s="228" t="n">
        <f aca="false">VLOOKUP(B801,'NIVEL ENERO'!A:D,3,0)</f>
        <v>0.429966681333909</v>
      </c>
      <c r="Q801" s="229" t="n">
        <f aca="false">VLOOKUP(B801,'NIVEL ENERO'!A:D,4,0)</f>
        <v>-30880.3999999999</v>
      </c>
      <c r="R801" s="186" t="str">
        <f aca="false">+PROPER(C801&amp;" "&amp;D801)</f>
        <v>Insandara Ruano Diana Lizetth</v>
      </c>
      <c r="S801" s="230" t="n">
        <f aca="false">+YEARFRAC(L801,$S$1)</f>
        <v>3.15555555555556</v>
      </c>
      <c r="T801" s="230" t="n">
        <f aca="false">+YEARFRAC(M801,$S$1)</f>
        <v>11.7305555555556</v>
      </c>
      <c r="U801" s="231" t="n">
        <f aca="false">+$I801</f>
        <v>6243978</v>
      </c>
      <c r="V801" s="232" t="str">
        <f aca="false">+PROPER(F801)</f>
        <v>Casado(A)</v>
      </c>
    </row>
    <row r="802" customFormat="false" ht="14.25" hidden="false" customHeight="false" outlineLevel="0" collapsed="false">
      <c r="B802" s="197" t="n">
        <v>1016078133</v>
      </c>
      <c r="C802" s="197" t="s">
        <v>2383</v>
      </c>
      <c r="D802" s="197" t="s">
        <v>963</v>
      </c>
      <c r="E802" s="198" t="s">
        <v>944</v>
      </c>
      <c r="F802" s="198" t="s">
        <v>953</v>
      </c>
      <c r="G802" s="225" t="n">
        <v>4383200</v>
      </c>
      <c r="H802" s="225" t="n">
        <v>65000</v>
      </c>
      <c r="I802" s="225"/>
      <c r="J802" s="198" t="n">
        <v>29</v>
      </c>
      <c r="K802" s="198" t="n">
        <v>2</v>
      </c>
      <c r="L802" s="226" t="n">
        <v>45644</v>
      </c>
      <c r="M802" s="226" t="n">
        <v>45356</v>
      </c>
      <c r="N802" s="227" t="n">
        <v>0</v>
      </c>
      <c r="O802" s="227" t="s">
        <v>135</v>
      </c>
      <c r="P802" s="228" t="e">
        <f aca="false">VLOOKUP(B802,'NIVEL ENERO'!A:D,3,0)</f>
        <v>#N/A</v>
      </c>
      <c r="Q802" s="229" t="e">
        <f aca="false">VLOOKUP(B802,'NIVEL ENERO'!A:D,4,0)</f>
        <v>#N/A</v>
      </c>
      <c r="R802" s="186" t="str">
        <f aca="false">+PROPER(C802&amp;" "&amp;D802)</f>
        <v>Acosto Palacio Luis Fernando</v>
      </c>
      <c r="S802" s="230" t="n">
        <f aca="false">+YEARFRAC(L802,$S$1)</f>
        <v>1.4</v>
      </c>
      <c r="T802" s="230" t="n">
        <f aca="false">+YEARFRAC(M802,$S$1)</f>
        <v>2.18611111111111</v>
      </c>
      <c r="U802" s="231" t="n">
        <f aca="false">+$I802</f>
        <v>0</v>
      </c>
      <c r="V802" s="232" t="str">
        <f aca="false">+PROPER(F802)</f>
        <v>Soltero(A)</v>
      </c>
    </row>
    <row r="803" customFormat="false" ht="14.25" hidden="false" customHeight="false" outlineLevel="0" collapsed="false">
      <c r="B803" s="197" t="n">
        <v>1016102174</v>
      </c>
      <c r="C803" s="197" t="s">
        <v>2384</v>
      </c>
      <c r="D803" s="197" t="s">
        <v>2313</v>
      </c>
      <c r="E803" s="198" t="s">
        <v>944</v>
      </c>
      <c r="F803" s="198" t="s">
        <v>945</v>
      </c>
      <c r="G803" s="225" t="n">
        <v>2893800</v>
      </c>
      <c r="H803" s="225" t="n">
        <v>2189241</v>
      </c>
      <c r="I803" s="225" t="n">
        <v>4824135</v>
      </c>
      <c r="J803" s="198" t="n">
        <v>26</v>
      </c>
      <c r="K803" s="198" t="n">
        <v>4</v>
      </c>
      <c r="L803" s="226" t="n">
        <v>44552</v>
      </c>
      <c r="M803" s="226" t="n">
        <v>44475</v>
      </c>
      <c r="N803" s="227" t="n">
        <v>3</v>
      </c>
      <c r="O803" s="227" t="s">
        <v>135</v>
      </c>
      <c r="P803" s="228" t="n">
        <f aca="false">VLOOKUP(B803,'NIVEL ENERO'!A:D,3,0)</f>
        <v>0.201470730527334</v>
      </c>
      <c r="Q803" s="229" t="n">
        <f aca="false">VLOOKUP(B803,'NIVEL ENERO'!A:D,4,0)</f>
        <v>632380</v>
      </c>
      <c r="R803" s="186" t="str">
        <f aca="false">+PROPER(C803&amp;" "&amp;D803)</f>
        <v>Fonseca Mejia Maria Camila</v>
      </c>
      <c r="S803" s="230" t="n">
        <f aca="false">+YEARFRAC(L803,$S$1)</f>
        <v>4.38888888888889</v>
      </c>
      <c r="T803" s="230" t="n">
        <f aca="false">+YEARFRAC(M803,$S$1)</f>
        <v>4.6</v>
      </c>
      <c r="U803" s="231" t="n">
        <f aca="false">+$I803</f>
        <v>4824135</v>
      </c>
      <c r="V803" s="232" t="str">
        <f aca="false">+PROPER(F803)</f>
        <v>Union Libre</v>
      </c>
    </row>
    <row r="804" customFormat="false" ht="14.25" hidden="false" customHeight="false" outlineLevel="0" collapsed="false">
      <c r="B804" s="197" t="n">
        <v>1018504659</v>
      </c>
      <c r="C804" s="197" t="s">
        <v>2385</v>
      </c>
      <c r="D804" s="197" t="s">
        <v>2386</v>
      </c>
      <c r="E804" s="198" t="s">
        <v>944</v>
      </c>
      <c r="F804" s="198" t="s">
        <v>953</v>
      </c>
      <c r="G804" s="225" t="n">
        <v>4870200</v>
      </c>
      <c r="H804" s="225" t="n">
        <v>500000</v>
      </c>
      <c r="I804" s="225" t="n">
        <v>136251</v>
      </c>
      <c r="J804" s="198" t="n">
        <v>26</v>
      </c>
      <c r="K804" s="198" t="n">
        <v>2</v>
      </c>
      <c r="L804" s="226" t="n">
        <v>45524</v>
      </c>
      <c r="M804" s="226" t="n">
        <v>44123</v>
      </c>
      <c r="N804" s="227" t="n">
        <v>1</v>
      </c>
      <c r="O804" s="227" t="s">
        <v>135</v>
      </c>
      <c r="P804" s="228" t="n">
        <f aca="false">VLOOKUP(B804,'NIVEL ENERO'!A:D,3,0)</f>
        <v>0.35283589121497</v>
      </c>
      <c r="Q804" s="229" t="n">
        <f aca="false">VLOOKUP(B804,'NIVEL ENERO'!A:D,4,0)</f>
        <v>360953.04</v>
      </c>
      <c r="R804" s="186" t="str">
        <f aca="false">+PROPER(C804&amp;" "&amp;D804)</f>
        <v>Arcos Monroy Luisa Alejandra</v>
      </c>
      <c r="S804" s="230" t="n">
        <f aca="false">+YEARFRAC(L804,$S$1)</f>
        <v>1.72777777777778</v>
      </c>
      <c r="T804" s="230" t="n">
        <f aca="false">+YEARFRAC(M804,$S$1)</f>
        <v>5.56388888888889</v>
      </c>
      <c r="U804" s="231" t="n">
        <f aca="false">+$I804</f>
        <v>136251</v>
      </c>
      <c r="V804" s="232" t="str">
        <f aca="false">+PROPER(F804)</f>
        <v>Soltero(A)</v>
      </c>
    </row>
    <row r="805" customFormat="false" ht="14.25" hidden="false" customHeight="false" outlineLevel="0" collapsed="false">
      <c r="B805" s="197" t="n">
        <v>1020719516</v>
      </c>
      <c r="C805" s="197" t="s">
        <v>2387</v>
      </c>
      <c r="D805" s="197" t="s">
        <v>2388</v>
      </c>
      <c r="E805" s="198" t="s">
        <v>944</v>
      </c>
      <c r="F805" s="198" t="s">
        <v>948</v>
      </c>
      <c r="G805" s="225" t="n">
        <v>3000000</v>
      </c>
      <c r="H805" s="225" t="n">
        <v>755000</v>
      </c>
      <c r="I805" s="225"/>
      <c r="J805" s="198" t="n">
        <v>38</v>
      </c>
      <c r="K805" s="198" t="n">
        <v>1</v>
      </c>
      <c r="L805" s="226" t="n">
        <v>45352</v>
      </c>
      <c r="M805" s="226" t="n">
        <v>43136</v>
      </c>
      <c r="N805" s="227" t="n">
        <v>0</v>
      </c>
      <c r="O805" s="227" t="s">
        <v>158</v>
      </c>
      <c r="P805" s="228" t="e">
        <f aca="false">VLOOKUP(B805,'NIVEL ENERO'!A:D,3,0)</f>
        <v>#N/A</v>
      </c>
      <c r="Q805" s="229" t="e">
        <f aca="false">VLOOKUP(B805,'NIVEL ENERO'!A:D,4,0)</f>
        <v>#N/A</v>
      </c>
      <c r="R805" s="186" t="str">
        <f aca="false">+PROPER(C805&amp;" "&amp;D805)</f>
        <v>Martinez Santamaria Laura</v>
      </c>
      <c r="S805" s="230" t="n">
        <f aca="false">+YEARFRAC(L805,$S$1)</f>
        <v>2.19722222222222</v>
      </c>
      <c r="T805" s="230" t="n">
        <f aca="false">+YEARFRAC(M805,$S$1)</f>
        <v>8.26944444444444</v>
      </c>
      <c r="U805" s="231" t="n">
        <f aca="false">+$I805</f>
        <v>0</v>
      </c>
      <c r="V805" s="232" t="str">
        <f aca="false">+PROPER(F805)</f>
        <v>Casado(A)</v>
      </c>
    </row>
    <row r="806" customFormat="false" ht="14.25" hidden="false" customHeight="false" outlineLevel="0" collapsed="false">
      <c r="B806" s="197" t="n">
        <v>1026588570</v>
      </c>
      <c r="C806" s="197" t="s">
        <v>2389</v>
      </c>
      <c r="D806" s="197" t="s">
        <v>2390</v>
      </c>
      <c r="E806" s="198" t="s">
        <v>981</v>
      </c>
      <c r="F806" s="198" t="s">
        <v>945</v>
      </c>
      <c r="G806" s="225" t="n">
        <v>2600900</v>
      </c>
      <c r="H806" s="225" t="n">
        <v>1801313</v>
      </c>
      <c r="I806" s="225" t="n">
        <v>1870615</v>
      </c>
      <c r="J806" s="198" t="n">
        <v>28</v>
      </c>
      <c r="K806" s="198" t="n">
        <v>2</v>
      </c>
      <c r="L806" s="226" t="n">
        <v>45124</v>
      </c>
      <c r="M806" s="226" t="n">
        <v>44348</v>
      </c>
      <c r="N806" s="227" t="n">
        <v>0</v>
      </c>
      <c r="O806" s="227" t="s">
        <v>135</v>
      </c>
      <c r="P806" s="228" t="n">
        <f aca="false">VLOOKUP(B806,'NIVEL ENERO'!A:D,3,0)</f>
        <v>0.434067307413215</v>
      </c>
      <c r="Q806" s="229" t="n">
        <f aca="false">VLOOKUP(B806,'NIVEL ENERO'!A:D,4,0)</f>
        <v>-45718.6600000002</v>
      </c>
      <c r="R806" s="186" t="str">
        <f aca="false">+PROPER(C806&amp;" "&amp;D806)</f>
        <v>Ocampo Moreno Sebatian</v>
      </c>
      <c r="S806" s="230" t="n">
        <f aca="false">+YEARFRAC(L806,$S$1)</f>
        <v>2.81944444444444</v>
      </c>
      <c r="T806" s="230" t="n">
        <f aca="false">+YEARFRAC(M806,$S$1)</f>
        <v>4.94722222222222</v>
      </c>
      <c r="U806" s="231" t="n">
        <f aca="false">+$I806</f>
        <v>1870615</v>
      </c>
      <c r="V806" s="232" t="str">
        <f aca="false">+PROPER(F806)</f>
        <v>Union Libre</v>
      </c>
    </row>
    <row r="807" customFormat="false" ht="14.25" hidden="false" customHeight="false" outlineLevel="0" collapsed="false">
      <c r="B807" s="197" t="n">
        <v>1031163412</v>
      </c>
      <c r="C807" s="197" t="s">
        <v>2391</v>
      </c>
      <c r="D807" s="197" t="s">
        <v>1100</v>
      </c>
      <c r="E807" s="198" t="s">
        <v>944</v>
      </c>
      <c r="F807" s="198" t="s">
        <v>948</v>
      </c>
      <c r="G807" s="225" t="n">
        <v>1670000</v>
      </c>
      <c r="H807" s="225" t="n">
        <v>195000</v>
      </c>
      <c r="I807" s="225" t="n">
        <v>1475206</v>
      </c>
      <c r="J807" s="198" t="n">
        <v>28</v>
      </c>
      <c r="K807" s="198" t="n">
        <v>2</v>
      </c>
      <c r="L807" s="226" t="n">
        <v>45580</v>
      </c>
      <c r="M807" s="226" t="n">
        <v>44621</v>
      </c>
      <c r="N807" s="227" t="n">
        <v>1</v>
      </c>
      <c r="O807" s="227" t="s">
        <v>135</v>
      </c>
      <c r="P807" s="228" t="n">
        <f aca="false">VLOOKUP(B807,'NIVEL ENERO'!A:D,3,0)</f>
        <v>0.139473273262161</v>
      </c>
      <c r="Q807" s="229" t="n">
        <f aca="false">VLOOKUP(B807,'NIVEL ENERO'!A:D,4,0)</f>
        <v>631734.5</v>
      </c>
      <c r="R807" s="186" t="str">
        <f aca="false">+PROPER(C807&amp;" "&amp;D807)</f>
        <v>Cardona Rodriguez Cesar Augusto</v>
      </c>
      <c r="S807" s="230" t="n">
        <f aca="false">+YEARFRAC(L807,$S$1)</f>
        <v>1.575</v>
      </c>
      <c r="T807" s="230" t="n">
        <f aca="false">+YEARFRAC(M807,$S$1)</f>
        <v>4.19722222222222</v>
      </c>
      <c r="U807" s="231" t="n">
        <f aca="false">+$I807</f>
        <v>1475206</v>
      </c>
      <c r="V807" s="232" t="str">
        <f aca="false">+PROPER(F807)</f>
        <v>Casado(A)</v>
      </c>
    </row>
    <row r="808" customFormat="false" ht="14.25" hidden="false" customHeight="false" outlineLevel="0" collapsed="false">
      <c r="B808" s="197" t="n">
        <v>1032378479</v>
      </c>
      <c r="C808" s="197" t="s">
        <v>2392</v>
      </c>
      <c r="D808" s="197" t="s">
        <v>2393</v>
      </c>
      <c r="E808" s="198" t="s">
        <v>944</v>
      </c>
      <c r="F808" s="198" t="s">
        <v>945</v>
      </c>
      <c r="G808" s="225" t="n">
        <v>5679200</v>
      </c>
      <c r="H808" s="225" t="n">
        <v>5275260</v>
      </c>
      <c r="I808" s="225" t="n">
        <v>21382208</v>
      </c>
      <c r="J808" s="198" t="n">
        <v>38</v>
      </c>
      <c r="K808" s="198" t="n">
        <v>2</v>
      </c>
      <c r="L808" s="226" t="n">
        <v>44552</v>
      </c>
      <c r="M808" s="226" t="n">
        <v>42445</v>
      </c>
      <c r="N808" s="227" t="n">
        <v>4</v>
      </c>
      <c r="O808" s="227" t="s">
        <v>135</v>
      </c>
      <c r="P808" s="228" t="n">
        <f aca="false">VLOOKUP(B808,'NIVEL ENERO'!A:D,3,0)</f>
        <v>0.250160823604221</v>
      </c>
      <c r="Q808" s="229" t="n">
        <f aca="false">VLOOKUP(B808,'NIVEL ENERO'!A:D,4,0)</f>
        <v>1160256.56</v>
      </c>
      <c r="R808" s="186" t="str">
        <f aca="false">+PROPER(C808&amp;" "&amp;D808)</f>
        <v>Marrugo Machuca Oscar Ivan</v>
      </c>
      <c r="S808" s="230" t="n">
        <f aca="false">+YEARFRAC(L808,$S$1)</f>
        <v>4.38888888888889</v>
      </c>
      <c r="T808" s="230" t="n">
        <f aca="false">+YEARFRAC(M808,$S$1)</f>
        <v>10.1555555555556</v>
      </c>
      <c r="U808" s="231" t="n">
        <f aca="false">+$I808</f>
        <v>21382208</v>
      </c>
      <c r="V808" s="232" t="str">
        <f aca="false">+PROPER(F808)</f>
        <v>Union Libre</v>
      </c>
    </row>
    <row r="809" customFormat="false" ht="14.25" hidden="false" customHeight="false" outlineLevel="0" collapsed="false">
      <c r="B809" s="197" t="n">
        <v>1033654195</v>
      </c>
      <c r="C809" s="197" t="s">
        <v>2394</v>
      </c>
      <c r="D809" s="197" t="s">
        <v>2395</v>
      </c>
      <c r="E809" s="198" t="s">
        <v>944</v>
      </c>
      <c r="F809" s="198" t="s">
        <v>953</v>
      </c>
      <c r="G809" s="225" t="n">
        <v>4870200</v>
      </c>
      <c r="H809" s="225" t="n">
        <v>3441191</v>
      </c>
      <c r="I809" s="225" t="n">
        <v>2865827</v>
      </c>
      <c r="J809" s="198" t="n">
        <v>30</v>
      </c>
      <c r="K809" s="198" t="n">
        <v>2</v>
      </c>
      <c r="L809" s="226" t="n">
        <v>45142</v>
      </c>
      <c r="M809" s="226" t="n">
        <v>43511</v>
      </c>
      <c r="N809" s="227" t="n">
        <v>1</v>
      </c>
      <c r="O809" s="227" t="s">
        <v>135</v>
      </c>
      <c r="P809" s="228" t="n">
        <f aca="false">VLOOKUP(B809,'NIVEL ENERO'!A:D,3,0)</f>
        <v>0.32496143683287</v>
      </c>
      <c r="Q809" s="229" t="n">
        <f aca="false">VLOOKUP(B809,'NIVEL ENERO'!A:D,4,0)</f>
        <v>480801.58</v>
      </c>
      <c r="R809" s="186" t="str">
        <f aca="false">+PROPER(C809&amp;" "&amp;D809)</f>
        <v>Rodas Munoz Luisa Fernanda</v>
      </c>
      <c r="S809" s="230" t="n">
        <f aca="false">+YEARFRAC(L809,$S$1)</f>
        <v>2.77222222222222</v>
      </c>
      <c r="T809" s="230" t="n">
        <f aca="false">+YEARFRAC(M809,$S$1)</f>
        <v>7.24166666666667</v>
      </c>
      <c r="U809" s="231" t="n">
        <f aca="false">+$I809</f>
        <v>2865827</v>
      </c>
      <c r="V809" s="232" t="str">
        <f aca="false">+PROPER(F809)</f>
        <v>Soltero(A)</v>
      </c>
    </row>
    <row r="810" customFormat="false" ht="14.25" hidden="false" customHeight="false" outlineLevel="0" collapsed="false">
      <c r="B810" s="197" t="n">
        <v>1042353451</v>
      </c>
      <c r="C810" s="197" t="s">
        <v>2396</v>
      </c>
      <c r="D810" s="197" t="s">
        <v>2397</v>
      </c>
      <c r="E810" s="198" t="s">
        <v>944</v>
      </c>
      <c r="F810" s="198" t="s">
        <v>945</v>
      </c>
      <c r="G810" s="225" t="n">
        <v>3858500</v>
      </c>
      <c r="H810" s="225" t="n">
        <v>2405675</v>
      </c>
      <c r="I810" s="225" t="n">
        <v>1044767</v>
      </c>
      <c r="J810" s="198" t="n">
        <v>30</v>
      </c>
      <c r="K810" s="198" t="n">
        <v>4</v>
      </c>
      <c r="L810" s="226" t="n">
        <v>44938</v>
      </c>
      <c r="M810" s="226" t="n">
        <v>44835</v>
      </c>
      <c r="N810" s="227" t="n">
        <v>0</v>
      </c>
      <c r="O810" s="227" t="s">
        <v>135</v>
      </c>
      <c r="P810" s="228" t="n">
        <f aca="false">VLOOKUP(B810,'NIVEL ENERO'!A:D,3,0)</f>
        <v>0.141477617513887</v>
      </c>
      <c r="Q810" s="229" t="n">
        <f aca="false">VLOOKUP(B810,'NIVEL ENERO'!A:D,4,0)</f>
        <v>1193357</v>
      </c>
      <c r="R810" s="186" t="str">
        <f aca="false">+PROPER(C810&amp;" "&amp;D810)</f>
        <v>Palmera Ayala Jeferzon Agusto</v>
      </c>
      <c r="S810" s="230" t="n">
        <f aca="false">+YEARFRAC(L810,$S$1)</f>
        <v>3.33333333333333</v>
      </c>
      <c r="T810" s="230" t="n">
        <f aca="false">+YEARFRAC(M810,$S$1)</f>
        <v>3.61388888888889</v>
      </c>
      <c r="U810" s="231" t="n">
        <f aca="false">+$I810</f>
        <v>1044767</v>
      </c>
      <c r="V810" s="232" t="str">
        <f aca="false">+PROPER(F810)</f>
        <v>Union Libre</v>
      </c>
    </row>
    <row r="811" customFormat="false" ht="14.25" hidden="false" customHeight="false" outlineLevel="0" collapsed="false">
      <c r="B811" s="197" t="n">
        <v>1044423154</v>
      </c>
      <c r="C811" s="197" t="s">
        <v>2398</v>
      </c>
      <c r="D811" s="197" t="s">
        <v>2399</v>
      </c>
      <c r="E811" s="198" t="s">
        <v>944</v>
      </c>
      <c r="F811" s="198" t="s">
        <v>953</v>
      </c>
      <c r="G811" s="225" t="n">
        <v>4870200</v>
      </c>
      <c r="H811" s="225" t="n">
        <v>1000000</v>
      </c>
      <c r="I811" s="225" t="n">
        <v>1579064</v>
      </c>
      <c r="J811" s="198" t="n">
        <v>36</v>
      </c>
      <c r="K811" s="198" t="n">
        <v>1</v>
      </c>
      <c r="L811" s="226" t="n">
        <v>45519</v>
      </c>
      <c r="M811" s="226" t="n">
        <v>45306</v>
      </c>
      <c r="N811" s="227" t="n">
        <v>0</v>
      </c>
      <c r="O811" s="227" t="s">
        <v>135</v>
      </c>
      <c r="P811" s="228" t="n">
        <f aca="false">VLOOKUP(B811,'NIVEL ENERO'!A:D,3,0)</f>
        <v>0.365452819693315</v>
      </c>
      <c r="Q811" s="229" t="n">
        <f aca="false">VLOOKUP(B811,'NIVEL ENERO'!A:D,4,0)</f>
        <v>348085.94</v>
      </c>
      <c r="R811" s="186" t="str">
        <f aca="false">+PROPER(C811&amp;" "&amp;D811)</f>
        <v>Leiva Hernandez Joan Manuel</v>
      </c>
      <c r="S811" s="230" t="n">
        <f aca="false">+YEARFRAC(L811,$S$1)</f>
        <v>1.74166666666667</v>
      </c>
      <c r="T811" s="230" t="n">
        <f aca="false">+YEARFRAC(M811,$S$1)</f>
        <v>2.325</v>
      </c>
      <c r="U811" s="231" t="n">
        <f aca="false">+$I811</f>
        <v>1579064</v>
      </c>
      <c r="V811" s="232" t="str">
        <f aca="false">+PROPER(F811)</f>
        <v>Soltero(A)</v>
      </c>
    </row>
    <row r="812" customFormat="false" ht="14.25" hidden="false" customHeight="false" outlineLevel="0" collapsed="false">
      <c r="B812" s="197" t="n">
        <v>1047342178</v>
      </c>
      <c r="C812" s="197" t="s">
        <v>2400</v>
      </c>
      <c r="D812" s="197" t="s">
        <v>2401</v>
      </c>
      <c r="E812" s="198" t="s">
        <v>944</v>
      </c>
      <c r="F812" s="198" t="s">
        <v>948</v>
      </c>
      <c r="G812" s="225" t="n">
        <v>5679200</v>
      </c>
      <c r="H812" s="225" t="n">
        <v>8345222</v>
      </c>
      <c r="I812" s="225" t="n">
        <v>0</v>
      </c>
      <c r="J812" s="198" t="n">
        <v>32</v>
      </c>
      <c r="K812" s="198" t="n">
        <v>6</v>
      </c>
      <c r="L812" s="226" t="n">
        <v>44390</v>
      </c>
      <c r="M812" s="226" t="n">
        <v>42962</v>
      </c>
      <c r="N812" s="227" t="n">
        <v>4</v>
      </c>
      <c r="O812" s="227" t="s">
        <v>135</v>
      </c>
      <c r="P812" s="228" t="n">
        <f aca="false">VLOOKUP(B812,'NIVEL ENERO'!A:D,3,0)</f>
        <v>0.205298280932384</v>
      </c>
      <c r="Q812" s="229" t="n">
        <f aca="false">VLOOKUP(B812,'NIVEL ENERO'!A:D,4,0)</f>
        <v>1577564.68</v>
      </c>
      <c r="R812" s="186" t="str">
        <f aca="false">+PROPER(C812&amp;" "&amp;D812)</f>
        <v>Barros Fontalvo Karina Luz</v>
      </c>
      <c r="S812" s="230" t="n">
        <f aca="false">+YEARFRAC(L812,$S$1)</f>
        <v>4.83055555555556</v>
      </c>
      <c r="T812" s="230" t="n">
        <f aca="false">+YEARFRAC(M812,$S$1)</f>
        <v>8.74166666666667</v>
      </c>
      <c r="U812" s="231" t="n">
        <f aca="false">+$I812</f>
        <v>0</v>
      </c>
      <c r="V812" s="232" t="str">
        <f aca="false">+PROPER(F812)</f>
        <v>Casado(A)</v>
      </c>
    </row>
    <row r="813" customFormat="false" ht="14.25" hidden="false" customHeight="false" outlineLevel="0" collapsed="false">
      <c r="B813" s="197" t="n">
        <v>1047393865</v>
      </c>
      <c r="C813" s="197" t="s">
        <v>2402</v>
      </c>
      <c r="D813" s="197" t="s">
        <v>2403</v>
      </c>
      <c r="E813" s="198" t="s">
        <v>944</v>
      </c>
      <c r="F813" s="198" t="s">
        <v>948</v>
      </c>
      <c r="G813" s="225" t="n">
        <v>8245400</v>
      </c>
      <c r="H813" s="225" t="n">
        <v>2204880</v>
      </c>
      <c r="I813" s="225" t="n">
        <v>1045953</v>
      </c>
      <c r="J813" s="198" t="n">
        <v>36</v>
      </c>
      <c r="K813" s="198" t="n">
        <v>6</v>
      </c>
      <c r="L813" s="226" t="n">
        <v>44987</v>
      </c>
      <c r="M813" s="226" t="n">
        <v>41712</v>
      </c>
      <c r="N813" s="227" t="n">
        <v>2</v>
      </c>
      <c r="O813" s="227" t="s">
        <v>135</v>
      </c>
      <c r="P813" s="228" t="n">
        <f aca="false">VLOOKUP(B813,'NIVEL ENERO'!A:D,3,0)</f>
        <v>0.287676522667184</v>
      </c>
      <c r="Q813" s="229" t="n">
        <f aca="false">VLOOKUP(B813,'NIVEL ENERO'!A:D,4,0)</f>
        <v>1091060</v>
      </c>
      <c r="R813" s="186" t="str">
        <f aca="false">+PROPER(C813&amp;" "&amp;D813)</f>
        <v>Cuello Meza Christian Camilo</v>
      </c>
      <c r="S813" s="230" t="n">
        <f aca="false">+YEARFRAC(L813,$S$1)</f>
        <v>3.19444444444444</v>
      </c>
      <c r="T813" s="230" t="n">
        <f aca="false">+YEARFRAC(M813,$S$1)</f>
        <v>12.1611111111111</v>
      </c>
      <c r="U813" s="231" t="n">
        <f aca="false">+$I813</f>
        <v>1045953</v>
      </c>
      <c r="V813" s="232" t="str">
        <f aca="false">+PROPER(F813)</f>
        <v>Casado(A)</v>
      </c>
    </row>
    <row r="814" customFormat="false" ht="14.25" hidden="false" customHeight="false" outlineLevel="0" collapsed="false">
      <c r="B814" s="197" t="n">
        <v>1047396862</v>
      </c>
      <c r="C814" s="197" t="s">
        <v>2404</v>
      </c>
      <c r="D814" s="197" t="s">
        <v>2405</v>
      </c>
      <c r="E814" s="198" t="s">
        <v>944</v>
      </c>
      <c r="F814" s="198" t="s">
        <v>945</v>
      </c>
      <c r="G814" s="225" t="n">
        <v>4870200</v>
      </c>
      <c r="H814" s="225" t="n">
        <v>390000</v>
      </c>
      <c r="I814" s="225"/>
      <c r="J814" s="198" t="n">
        <v>36</v>
      </c>
      <c r="K814" s="198" t="n">
        <v>4</v>
      </c>
      <c r="L814" s="226" t="n">
        <v>45475</v>
      </c>
      <c r="M814" s="226" t="n">
        <v>44187</v>
      </c>
      <c r="N814" s="227" t="n">
        <v>0</v>
      </c>
      <c r="O814" s="227" t="s">
        <v>135</v>
      </c>
      <c r="P814" s="228" t="n">
        <f aca="false">VLOOKUP(B814,'NIVEL ENERO'!A:D,3,0)</f>
        <v>0.408584724538147</v>
      </c>
      <c r="Q814" s="229" t="n">
        <f aca="false">VLOOKUP(B814,'NIVEL ENERO'!A:D,4,0)</f>
        <v>70907.3799999999</v>
      </c>
      <c r="R814" s="186" t="str">
        <f aca="false">+PROPER(C814&amp;" "&amp;D814)</f>
        <v>Mercado Zabala Omar Jose</v>
      </c>
      <c r="S814" s="230" t="n">
        <f aca="false">+YEARFRAC(L814,$S$1)</f>
        <v>1.86111111111111</v>
      </c>
      <c r="T814" s="230" t="n">
        <f aca="false">+YEARFRAC(M814,$S$1)</f>
        <v>5.38888888888889</v>
      </c>
      <c r="U814" s="231" t="n">
        <f aca="false">+$I814</f>
        <v>0</v>
      </c>
      <c r="V814" s="232" t="str">
        <f aca="false">+PROPER(F814)</f>
        <v>Union Libre</v>
      </c>
    </row>
    <row r="815" customFormat="false" ht="14.25" hidden="false" customHeight="false" outlineLevel="0" collapsed="false">
      <c r="B815" s="197" t="n">
        <v>1052981175</v>
      </c>
      <c r="C815" s="197" t="s">
        <v>2406</v>
      </c>
      <c r="D815" s="197" t="s">
        <v>2407</v>
      </c>
      <c r="E815" s="198" t="s">
        <v>944</v>
      </c>
      <c r="F815" s="198" t="s">
        <v>945</v>
      </c>
      <c r="G815" s="225" t="n">
        <v>4870200</v>
      </c>
      <c r="H815" s="225" t="n">
        <v>6969509</v>
      </c>
      <c r="I815" s="225" t="n">
        <v>1906296</v>
      </c>
      <c r="J815" s="198" t="n">
        <v>33</v>
      </c>
      <c r="K815" s="198" t="n">
        <v>1</v>
      </c>
      <c r="L815" s="226" t="n">
        <v>44335</v>
      </c>
      <c r="M815" s="226" t="n">
        <v>43770</v>
      </c>
      <c r="N815" s="227" t="n">
        <v>5</v>
      </c>
      <c r="O815" s="227" t="s">
        <v>135</v>
      </c>
      <c r="P815" s="228" t="n">
        <f aca="false">VLOOKUP(B815,'NIVEL ENERO'!A:D,3,0)</f>
        <v>0.250920632298715</v>
      </c>
      <c r="Q815" s="229" t="n">
        <f aca="false">VLOOKUP(B815,'NIVEL ENERO'!A:D,4,0)</f>
        <v>1165540.28</v>
      </c>
      <c r="R815" s="186" t="str">
        <f aca="false">+PROPER(C815&amp;" "&amp;D815)</f>
        <v>Solis Sotomayor Yiseth Marcela</v>
      </c>
      <c r="S815" s="230" t="n">
        <f aca="false">+YEARFRAC(L815,$S$1)</f>
        <v>4.98055555555556</v>
      </c>
      <c r="T815" s="230" t="n">
        <f aca="false">+YEARFRAC(M815,$S$1)</f>
        <v>6.53055555555556</v>
      </c>
      <c r="U815" s="231" t="n">
        <f aca="false">+$I815</f>
        <v>1906296</v>
      </c>
      <c r="V815" s="232" t="str">
        <f aca="false">+PROPER(F815)</f>
        <v>Union Libre</v>
      </c>
    </row>
    <row r="816" customFormat="false" ht="14.25" hidden="false" customHeight="false" outlineLevel="0" collapsed="false">
      <c r="B816" s="197" t="n">
        <v>1053788277</v>
      </c>
      <c r="C816" s="197" t="s">
        <v>2408</v>
      </c>
      <c r="D816" s="197" t="s">
        <v>2409</v>
      </c>
      <c r="E816" s="198" t="s">
        <v>944</v>
      </c>
      <c r="F816" s="198" t="s">
        <v>948</v>
      </c>
      <c r="G816" s="225" t="n">
        <v>6225200</v>
      </c>
      <c r="H816" s="225" t="n">
        <v>3415825</v>
      </c>
      <c r="I816" s="225" t="n">
        <v>7912114</v>
      </c>
      <c r="J816" s="198" t="n">
        <v>36</v>
      </c>
      <c r="K816" s="198" t="n">
        <v>2</v>
      </c>
      <c r="L816" s="226" t="n">
        <v>44613</v>
      </c>
      <c r="M816" s="226" t="n">
        <v>41501</v>
      </c>
      <c r="N816" s="227" t="n">
        <v>5</v>
      </c>
      <c r="O816" s="227" t="s">
        <v>135</v>
      </c>
      <c r="P816" s="228" t="n">
        <f aca="false">VLOOKUP(B816,'NIVEL ENERO'!A:D,3,0)</f>
        <v>0.380777325360766</v>
      </c>
      <c r="Q816" s="229" t="n">
        <f aca="false">VLOOKUP(B816,'NIVEL ENERO'!A:D,4,0)</f>
        <v>254950</v>
      </c>
      <c r="R816" s="186" t="str">
        <f aca="false">+PROPER(C816&amp;" "&amp;D816)</f>
        <v>Garcia Bonilla Maria Monica</v>
      </c>
      <c r="S816" s="230" t="n">
        <f aca="false">+YEARFRAC(L816,$S$1)</f>
        <v>4.225</v>
      </c>
      <c r="T816" s="230" t="n">
        <f aca="false">+YEARFRAC(M816,$S$1)</f>
        <v>12.7416666666667</v>
      </c>
      <c r="U816" s="231" t="n">
        <f aca="false">+$I816</f>
        <v>7912114</v>
      </c>
      <c r="V816" s="232" t="str">
        <f aca="false">+PROPER(F816)</f>
        <v>Casado(A)</v>
      </c>
    </row>
    <row r="817" customFormat="false" ht="14.25" hidden="false" customHeight="false" outlineLevel="0" collapsed="false">
      <c r="B817" s="197" t="n">
        <v>1053796916</v>
      </c>
      <c r="C817" s="197" t="s">
        <v>2410</v>
      </c>
      <c r="D817" s="197" t="s">
        <v>2411</v>
      </c>
      <c r="E817" s="198" t="s">
        <v>944</v>
      </c>
      <c r="F817" s="198" t="s">
        <v>945</v>
      </c>
      <c r="G817" s="225" t="n">
        <v>4870200</v>
      </c>
      <c r="H817" s="225" t="n">
        <v>4526990</v>
      </c>
      <c r="I817" s="225" t="n">
        <v>102836</v>
      </c>
      <c r="J817" s="198" t="n">
        <v>35</v>
      </c>
      <c r="K817" s="198" t="n">
        <v>3</v>
      </c>
      <c r="L817" s="226" t="n">
        <v>44246</v>
      </c>
      <c r="M817" s="226" t="n">
        <v>43557</v>
      </c>
      <c r="N817" s="227" t="n">
        <v>2</v>
      </c>
      <c r="O817" s="227" t="s">
        <v>135</v>
      </c>
      <c r="P817" s="228" t="n">
        <f aca="false">VLOOKUP(B817,'NIVEL ENERO'!A:D,3,0)</f>
        <v>0.120999780606301</v>
      </c>
      <c r="Q817" s="229" t="n">
        <f aca="false">VLOOKUP(B817,'NIVEL ENERO'!A:D,4,0)</f>
        <v>1954778.02</v>
      </c>
      <c r="R817" s="186" t="str">
        <f aca="false">+PROPER(C817&amp;" "&amp;D817)</f>
        <v>Castro Saya Yasneira</v>
      </c>
      <c r="S817" s="230" t="n">
        <f aca="false">+YEARFRAC(L817,$S$1)</f>
        <v>5.23055555555556</v>
      </c>
      <c r="T817" s="230" t="n">
        <f aca="false">+YEARFRAC(M817,$S$1)</f>
        <v>7.11111111111111</v>
      </c>
      <c r="U817" s="231" t="n">
        <f aca="false">+$I817</f>
        <v>102836</v>
      </c>
      <c r="V817" s="232" t="str">
        <f aca="false">+PROPER(F817)</f>
        <v>Union Libre</v>
      </c>
    </row>
    <row r="818" customFormat="false" ht="14.25" hidden="false" customHeight="false" outlineLevel="0" collapsed="false">
      <c r="B818" s="197" t="n">
        <v>1053797527</v>
      </c>
      <c r="C818" s="197" t="s">
        <v>2412</v>
      </c>
      <c r="D818" s="197" t="s">
        <v>2413</v>
      </c>
      <c r="E818" s="198" t="s">
        <v>944</v>
      </c>
      <c r="F818" s="198" t="s">
        <v>953</v>
      </c>
      <c r="G818" s="225" t="n">
        <v>4984600</v>
      </c>
      <c r="H818" s="225" t="n">
        <v>3989018</v>
      </c>
      <c r="I818" s="225" t="n">
        <v>0</v>
      </c>
      <c r="J818" s="198" t="n">
        <v>35</v>
      </c>
      <c r="K818" s="198" t="n">
        <v>1</v>
      </c>
      <c r="L818" s="226" t="n">
        <v>45190</v>
      </c>
      <c r="M818" s="226" t="n">
        <v>43273</v>
      </c>
      <c r="N818" s="227" t="n">
        <v>0</v>
      </c>
      <c r="O818" s="227" t="s">
        <v>135</v>
      </c>
      <c r="P818" s="228" t="n">
        <f aca="false">VLOOKUP(B818,'NIVEL ENERO'!A:D,3,0)</f>
        <v>0.376273421294823</v>
      </c>
      <c r="Q818" s="229" t="n">
        <f aca="false">VLOOKUP(B818,'NIVEL ENERO'!A:D,4,0)</f>
        <v>285261.88</v>
      </c>
      <c r="R818" s="186" t="str">
        <f aca="false">+PROPER(C818&amp;" "&amp;D818)</f>
        <v>Giraldo Valencia  Cristhian Fernando</v>
      </c>
      <c r="S818" s="230" t="n">
        <f aca="false">+YEARFRAC(L818,$S$1)</f>
        <v>2.64166666666667</v>
      </c>
      <c r="T818" s="230" t="n">
        <f aca="false">+YEARFRAC(M818,$S$1)</f>
        <v>7.88888888888889</v>
      </c>
      <c r="U818" s="231" t="n">
        <f aca="false">+$I818</f>
        <v>0</v>
      </c>
      <c r="V818" s="232" t="str">
        <f aca="false">+PROPER(F818)</f>
        <v>Soltero(A)</v>
      </c>
    </row>
    <row r="819" customFormat="false" ht="14.25" hidden="false" customHeight="false" outlineLevel="0" collapsed="false">
      <c r="B819" s="197" t="n">
        <v>1053805598</v>
      </c>
      <c r="C819" s="197" t="s">
        <v>2414</v>
      </c>
      <c r="D819" s="197" t="s">
        <v>2415</v>
      </c>
      <c r="E819" s="198" t="s">
        <v>944</v>
      </c>
      <c r="F819" s="198" t="s">
        <v>953</v>
      </c>
      <c r="G819" s="225" t="n">
        <v>5418800</v>
      </c>
      <c r="H819" s="225" t="n">
        <v>3476448</v>
      </c>
      <c r="I819" s="225" t="n">
        <v>0</v>
      </c>
      <c r="J819" s="198" t="n">
        <v>34</v>
      </c>
      <c r="K819" s="198" t="n">
        <v>3</v>
      </c>
      <c r="L819" s="226" t="n">
        <v>43627</v>
      </c>
      <c r="M819" s="226" t="n">
        <v>42719</v>
      </c>
      <c r="N819" s="227" t="n">
        <v>3</v>
      </c>
      <c r="O819" s="227" t="s">
        <v>135</v>
      </c>
      <c r="P819" s="228" t="n">
        <f aca="false">VLOOKUP(B819,'NIVEL ENERO'!A:D,3,0)</f>
        <v>0.29564604324278</v>
      </c>
      <c r="Q819" s="229" t="n">
        <f aca="false">VLOOKUP(B819,'NIVEL ENERO'!A:D,4,0)</f>
        <v>592466.52</v>
      </c>
      <c r="R819" s="186" t="str">
        <f aca="false">+PROPER(C819&amp;" "&amp;D819)</f>
        <v>Ramirez Montoya Paola Alejandra</v>
      </c>
      <c r="S819" s="230" t="n">
        <f aca="false">+YEARFRAC(L819,$S$1)</f>
        <v>6.91944444444444</v>
      </c>
      <c r="T819" s="230" t="n">
        <f aca="false">+YEARFRAC(M819,$S$1)</f>
        <v>9.40833333333333</v>
      </c>
      <c r="U819" s="231" t="n">
        <f aca="false">+$I819</f>
        <v>0</v>
      </c>
      <c r="V819" s="232" t="str">
        <f aca="false">+PROPER(F819)</f>
        <v>Soltero(A)</v>
      </c>
    </row>
    <row r="820" customFormat="false" ht="14.25" hidden="false" customHeight="false" outlineLevel="0" collapsed="false">
      <c r="B820" s="197" t="n">
        <v>1053830288</v>
      </c>
      <c r="C820" s="197" t="s">
        <v>2416</v>
      </c>
      <c r="D820" s="197" t="s">
        <v>2417</v>
      </c>
      <c r="E820" s="198" t="s">
        <v>944</v>
      </c>
      <c r="F820" s="198" t="s">
        <v>945</v>
      </c>
      <c r="G820" s="225" t="n">
        <v>4870200</v>
      </c>
      <c r="H820" s="225" t="n">
        <v>15500254</v>
      </c>
      <c r="I820" s="225" t="n">
        <v>8582072</v>
      </c>
      <c r="J820" s="198" t="n">
        <v>31</v>
      </c>
      <c r="K820" s="198" t="n">
        <v>1</v>
      </c>
      <c r="L820" s="226" t="n">
        <v>43754</v>
      </c>
      <c r="M820" s="226" t="n">
        <v>43605</v>
      </c>
      <c r="N820" s="227" t="n">
        <v>3</v>
      </c>
      <c r="O820" s="227" t="s">
        <v>135</v>
      </c>
      <c r="P820" s="228" t="n">
        <f aca="false">VLOOKUP(B820,'NIVEL ENERO'!A:D,3,0)</f>
        <v>0.360418822929846</v>
      </c>
      <c r="Q820" s="229" t="n">
        <f aca="false">VLOOKUP(B820,'NIVEL ENERO'!A:D,4,0)</f>
        <v>397339.74</v>
      </c>
      <c r="R820" s="186" t="str">
        <f aca="false">+PROPER(C820&amp;" "&amp;D820)</f>
        <v>Casanova Noguera Mabel Ofelia</v>
      </c>
      <c r="S820" s="230" t="n">
        <f aca="false">+YEARFRAC(L820,$S$1)</f>
        <v>6.57222222222222</v>
      </c>
      <c r="T820" s="230" t="n">
        <f aca="false">+YEARFRAC(M820,$S$1)</f>
        <v>6.97777777777778</v>
      </c>
      <c r="U820" s="231" t="n">
        <f aca="false">+$I820</f>
        <v>8582072</v>
      </c>
      <c r="V820" s="232" t="str">
        <f aca="false">+PROPER(F820)</f>
        <v>Union Libre</v>
      </c>
    </row>
    <row r="821" customFormat="false" ht="14.25" hidden="false" customHeight="false" outlineLevel="0" collapsed="false">
      <c r="B821" s="197" t="n">
        <v>1053849731</v>
      </c>
      <c r="C821" s="197" t="s">
        <v>2418</v>
      </c>
      <c r="D821" s="197" t="s">
        <v>2419</v>
      </c>
      <c r="E821" s="198" t="s">
        <v>944</v>
      </c>
      <c r="F821" s="198" t="s">
        <v>953</v>
      </c>
      <c r="G821" s="225" t="n">
        <v>5418800</v>
      </c>
      <c r="H821" s="225" t="n">
        <v>1607671</v>
      </c>
      <c r="I821" s="225" t="n">
        <v>0</v>
      </c>
      <c r="J821" s="198" t="n">
        <v>28</v>
      </c>
      <c r="K821" s="198" t="n">
        <v>2</v>
      </c>
      <c r="L821" s="226" t="n">
        <v>44852</v>
      </c>
      <c r="M821" s="226" t="n">
        <v>43452</v>
      </c>
      <c r="N821" s="227" t="n">
        <v>0</v>
      </c>
      <c r="O821" s="227" t="s">
        <v>135</v>
      </c>
      <c r="P821" s="228" t="n">
        <f aca="false">VLOOKUP(B821,'NIVEL ENERO'!A:D,3,0)</f>
        <v>0.126946527122942</v>
      </c>
      <c r="Q821" s="229" t="n">
        <f aca="false">VLOOKUP(B821,'NIVEL ENERO'!A:D,4,0)</f>
        <v>1660494.02</v>
      </c>
      <c r="R821" s="186" t="str">
        <f aca="false">+PROPER(C821&amp;" "&amp;D821)</f>
        <v>Aguirre Jimenez Windy Julieth</v>
      </c>
      <c r="S821" s="230" t="n">
        <f aca="false">+YEARFRAC(L821,$S$1)</f>
        <v>3.56666666666667</v>
      </c>
      <c r="T821" s="230" t="n">
        <f aca="false">+YEARFRAC(M821,$S$1)</f>
        <v>7.4</v>
      </c>
      <c r="U821" s="231" t="n">
        <f aca="false">+$I821</f>
        <v>0</v>
      </c>
      <c r="V821" s="232" t="str">
        <f aca="false">+PROPER(F821)</f>
        <v>Soltero(A)</v>
      </c>
    </row>
    <row r="822" customFormat="false" ht="14.25" hidden="false" customHeight="false" outlineLevel="0" collapsed="false">
      <c r="B822" s="197" t="n">
        <v>1053863018</v>
      </c>
      <c r="C822" s="197" t="s">
        <v>2420</v>
      </c>
      <c r="D822" s="197" t="s">
        <v>2421</v>
      </c>
      <c r="E822" s="198" t="s">
        <v>944</v>
      </c>
      <c r="F822" s="198" t="s">
        <v>953</v>
      </c>
      <c r="G822" s="225" t="n">
        <v>5291000</v>
      </c>
      <c r="H822" s="225" t="n">
        <v>2809735</v>
      </c>
      <c r="I822" s="225" t="n">
        <v>0</v>
      </c>
      <c r="J822" s="198" t="n">
        <v>26</v>
      </c>
      <c r="K822" s="198" t="n">
        <v>2</v>
      </c>
      <c r="L822" s="226" t="n">
        <v>44818</v>
      </c>
      <c r="M822" s="226" t="n">
        <v>44725</v>
      </c>
      <c r="N822" s="227" t="n">
        <v>1</v>
      </c>
      <c r="O822" s="227" t="s">
        <v>135</v>
      </c>
      <c r="P822" s="228" t="n">
        <f aca="false">VLOOKUP(B822,'NIVEL ENERO'!A:D,3,0)</f>
        <v>0.112834435834436</v>
      </c>
      <c r="Q822" s="229" t="n">
        <f aca="false">VLOOKUP(B822,'NIVEL ENERO'!A:D,4,0)</f>
        <v>1625213</v>
      </c>
      <c r="R822" s="186" t="str">
        <f aca="false">+PROPER(C822&amp;" "&amp;D822)</f>
        <v>Giraldo Nieto Claudia Yineth</v>
      </c>
      <c r="S822" s="230" t="n">
        <f aca="false">+YEARFRAC(L822,$S$1)</f>
        <v>3.66111111111111</v>
      </c>
      <c r="T822" s="230" t="n">
        <f aca="false">+YEARFRAC(M822,$S$1)</f>
        <v>3.91388888888889</v>
      </c>
      <c r="U822" s="231" t="n">
        <f aca="false">+$I822</f>
        <v>0</v>
      </c>
      <c r="V822" s="232" t="str">
        <f aca="false">+PROPER(F822)</f>
        <v>Soltero(A)</v>
      </c>
    </row>
    <row r="823" customFormat="false" ht="14.25" hidden="false" customHeight="false" outlineLevel="0" collapsed="false">
      <c r="B823" s="197" t="n">
        <v>1054986842</v>
      </c>
      <c r="C823" s="197" t="s">
        <v>2422</v>
      </c>
      <c r="D823" s="197" t="s">
        <v>2423</v>
      </c>
      <c r="E823" s="198" t="s">
        <v>944</v>
      </c>
      <c r="F823" s="198" t="s">
        <v>953</v>
      </c>
      <c r="G823" s="225" t="n">
        <v>2600900</v>
      </c>
      <c r="H823" s="225" t="n">
        <v>4425975</v>
      </c>
      <c r="I823" s="225" t="n">
        <v>0</v>
      </c>
      <c r="J823" s="198" t="n">
        <v>38</v>
      </c>
      <c r="K823" s="198" t="n">
        <v>2</v>
      </c>
      <c r="L823" s="226" t="n">
        <v>44274</v>
      </c>
      <c r="M823" s="226" t="n">
        <v>44046</v>
      </c>
      <c r="N823" s="227" t="n">
        <v>3</v>
      </c>
      <c r="O823" s="227" t="s">
        <v>135</v>
      </c>
      <c r="P823" s="228" t="n">
        <f aca="false">VLOOKUP(B823,'NIVEL ENERO'!A:D,3,0)</f>
        <v>0.149096324279774</v>
      </c>
      <c r="Q823" s="229" t="n">
        <f aca="false">VLOOKUP(B823,'NIVEL ENERO'!A:D,4,0)</f>
        <v>919034.76</v>
      </c>
      <c r="R823" s="186" t="str">
        <f aca="false">+PROPER(C823&amp;" "&amp;D823)</f>
        <v>Lopez Hincapie Erika Johana|</v>
      </c>
      <c r="S823" s="230" t="n">
        <f aca="false">+YEARFRAC(L823,$S$1)</f>
        <v>5.14722222222222</v>
      </c>
      <c r="T823" s="230" t="n">
        <f aca="false">+YEARFRAC(M823,$S$1)</f>
        <v>5.775</v>
      </c>
      <c r="U823" s="231" t="n">
        <f aca="false">+$I823</f>
        <v>0</v>
      </c>
      <c r="V823" s="232" t="str">
        <f aca="false">+PROPER(F823)</f>
        <v>Soltero(A)</v>
      </c>
    </row>
    <row r="824" customFormat="false" ht="14.25" hidden="false" customHeight="false" outlineLevel="0" collapsed="false">
      <c r="B824" s="197" t="n">
        <v>1054990766</v>
      </c>
      <c r="C824" s="197" t="s">
        <v>2424</v>
      </c>
      <c r="D824" s="197" t="s">
        <v>2224</v>
      </c>
      <c r="E824" s="198" t="s">
        <v>944</v>
      </c>
      <c r="F824" s="198" t="s">
        <v>953</v>
      </c>
      <c r="G824" s="225" t="n">
        <v>2600900</v>
      </c>
      <c r="H824" s="225" t="n">
        <v>2086164</v>
      </c>
      <c r="I824" s="225" t="n">
        <v>3311785</v>
      </c>
      <c r="J824" s="198" t="n">
        <v>34</v>
      </c>
      <c r="K824" s="198" t="n">
        <v>2</v>
      </c>
      <c r="L824" s="226" t="n">
        <v>44886</v>
      </c>
      <c r="M824" s="226" t="n">
        <v>44837</v>
      </c>
      <c r="N824" s="227" t="n">
        <v>0</v>
      </c>
      <c r="O824" s="227" t="s">
        <v>135</v>
      </c>
      <c r="P824" s="228" t="n">
        <f aca="false">VLOOKUP(B824,'NIVEL ENERO'!A:D,3,0)</f>
        <v>0.477684848893293</v>
      </c>
      <c r="Q824" s="229" t="n">
        <f aca="false">VLOOKUP(B824,'NIVEL ENERO'!A:D,4,0)</f>
        <v>-168906.16</v>
      </c>
      <c r="R824" s="186" t="str">
        <f aca="false">+PROPER(C824&amp;" "&amp;D824)</f>
        <v>Correa Giraldo Cristian Andres</v>
      </c>
      <c r="S824" s="230" t="n">
        <f aca="false">+YEARFRAC(L824,$S$1)</f>
        <v>3.475</v>
      </c>
      <c r="T824" s="230" t="n">
        <f aca="false">+YEARFRAC(M824,$S$1)</f>
        <v>3.60833333333333</v>
      </c>
      <c r="U824" s="231" t="n">
        <f aca="false">+$I824</f>
        <v>3311785</v>
      </c>
      <c r="V824" s="232" t="str">
        <f aca="false">+PROPER(F824)</f>
        <v>Soltero(A)</v>
      </c>
    </row>
    <row r="825" customFormat="false" ht="14.25" hidden="false" customHeight="false" outlineLevel="0" collapsed="false">
      <c r="B825" s="197" t="n">
        <v>1054997916</v>
      </c>
      <c r="C825" s="197" t="s">
        <v>2425</v>
      </c>
      <c r="D825" s="197" t="s">
        <v>2305</v>
      </c>
      <c r="E825" s="198" t="s">
        <v>944</v>
      </c>
      <c r="F825" s="198" t="s">
        <v>953</v>
      </c>
      <c r="G825" s="225" t="n">
        <v>5418800</v>
      </c>
      <c r="H825" s="225" t="n">
        <v>2420793</v>
      </c>
      <c r="I825" s="225" t="n">
        <v>7198709</v>
      </c>
      <c r="J825" s="198" t="n">
        <v>27</v>
      </c>
      <c r="K825" s="198" t="n">
        <v>2</v>
      </c>
      <c r="L825" s="226" t="n">
        <v>44305</v>
      </c>
      <c r="M825" s="226" t="n">
        <v>44214</v>
      </c>
      <c r="N825" s="227" t="n">
        <v>3</v>
      </c>
      <c r="O825" s="227" t="s">
        <v>135</v>
      </c>
      <c r="P825" s="228" t="n">
        <f aca="false">VLOOKUP(B825,'NIVEL ENERO'!A:D,3,0)</f>
        <v>0.374518998951782</v>
      </c>
      <c r="Q825" s="229" t="n">
        <f aca="false">VLOOKUP(B825,'NIVEL ENERO'!A:D,4,0)</f>
        <v>347111</v>
      </c>
      <c r="R825" s="186" t="str">
        <f aca="false">+PROPER(C825&amp;" "&amp;D825)</f>
        <v>Gregory Gomez Isabella</v>
      </c>
      <c r="S825" s="230" t="n">
        <f aca="false">+YEARFRAC(L825,$S$1)</f>
        <v>5.06388888888889</v>
      </c>
      <c r="T825" s="230" t="n">
        <f aca="false">+YEARFRAC(M825,$S$1)</f>
        <v>5.31666666666667</v>
      </c>
      <c r="U825" s="231" t="n">
        <f aca="false">+$I825</f>
        <v>7198709</v>
      </c>
      <c r="V825" s="232" t="str">
        <f aca="false">+PROPER(F825)</f>
        <v>Soltero(A)</v>
      </c>
    </row>
    <row r="826" customFormat="false" ht="14.25" hidden="false" customHeight="false" outlineLevel="0" collapsed="false">
      <c r="B826" s="197" t="n">
        <v>1058967701</v>
      </c>
      <c r="C826" s="197" t="s">
        <v>2426</v>
      </c>
      <c r="D826" s="197" t="s">
        <v>2427</v>
      </c>
      <c r="E826" s="198" t="s">
        <v>944</v>
      </c>
      <c r="F826" s="198" t="s">
        <v>953</v>
      </c>
      <c r="G826" s="225" t="n">
        <v>4486200</v>
      </c>
      <c r="H826" s="225" t="n">
        <v>2920866</v>
      </c>
      <c r="I826" s="225" t="n">
        <v>0</v>
      </c>
      <c r="J826" s="198" t="n">
        <v>35</v>
      </c>
      <c r="K826" s="198" t="n">
        <v>1</v>
      </c>
      <c r="L826" s="226" t="n">
        <v>42607</v>
      </c>
      <c r="M826" s="226" t="n">
        <v>41691</v>
      </c>
      <c r="N826" s="227" t="n">
        <v>2</v>
      </c>
      <c r="O826" s="227" t="s">
        <v>135</v>
      </c>
      <c r="P826" s="228" t="n">
        <f aca="false">VLOOKUP(B826,'NIVEL ENERO'!A:D,3,0)</f>
        <v>0.210199272019374</v>
      </c>
      <c r="Q826" s="229" t="n">
        <f aca="false">VLOOKUP(B826,'NIVEL ENERO'!A:D,4,0)</f>
        <v>1501901.94</v>
      </c>
      <c r="R826" s="186" t="str">
        <f aca="false">+PROPER(C826&amp;" "&amp;D826)</f>
        <v>Quinayas Martinez Deisy Andrea</v>
      </c>
      <c r="S826" s="230" t="n">
        <f aca="false">+YEARFRAC(L826,$S$1)</f>
        <v>9.71388888888889</v>
      </c>
      <c r="T826" s="230" t="n">
        <f aca="false">+YEARFRAC(M826,$S$1)</f>
        <v>12.225</v>
      </c>
      <c r="U826" s="231" t="n">
        <f aca="false">+$I826</f>
        <v>0</v>
      </c>
      <c r="V826" s="232" t="str">
        <f aca="false">+PROPER(F826)</f>
        <v>Soltero(A)</v>
      </c>
    </row>
    <row r="827" customFormat="false" ht="14.25" hidden="false" customHeight="false" outlineLevel="0" collapsed="false">
      <c r="B827" s="197" t="n">
        <v>1059596418</v>
      </c>
      <c r="C827" s="197" t="s">
        <v>2428</v>
      </c>
      <c r="D827" s="197" t="s">
        <v>2429</v>
      </c>
      <c r="E827" s="198" t="s">
        <v>944</v>
      </c>
      <c r="F827" s="198" t="s">
        <v>953</v>
      </c>
      <c r="G827" s="225" t="n">
        <v>5418800</v>
      </c>
      <c r="H827" s="225" t="n">
        <v>23514422</v>
      </c>
      <c r="I827" s="225" t="n">
        <v>571662</v>
      </c>
      <c r="J827" s="198" t="n">
        <v>36</v>
      </c>
      <c r="K827" s="198" t="n">
        <v>1</v>
      </c>
      <c r="L827" s="226" t="n">
        <v>44631</v>
      </c>
      <c r="M827" s="226" t="n">
        <v>44298</v>
      </c>
      <c r="N827" s="227" t="n">
        <v>2</v>
      </c>
      <c r="O827" s="227" t="s">
        <v>135</v>
      </c>
      <c r="P827" s="228" t="n">
        <f aca="false">VLOOKUP(B827,'NIVEL ENERO'!A:D,3,0)</f>
        <v>0.388302606815848</v>
      </c>
      <c r="Q827" s="229" t="n">
        <f aca="false">VLOOKUP(B827,'NIVEL ENERO'!A:D,4,0)</f>
        <v>243204.8</v>
      </c>
      <c r="R827" s="186" t="str">
        <f aca="false">+PROPER(C827&amp;" "&amp;D827)</f>
        <v>Patino Camayo Nayadis</v>
      </c>
      <c r="S827" s="230" t="n">
        <f aca="false">+YEARFRAC(L827,$S$1)</f>
        <v>4.16944444444444</v>
      </c>
      <c r="T827" s="230" t="n">
        <f aca="false">+YEARFRAC(M827,$S$1)</f>
        <v>5.08333333333333</v>
      </c>
      <c r="U827" s="231" t="n">
        <f aca="false">+$I827</f>
        <v>571662</v>
      </c>
      <c r="V827" s="232" t="str">
        <f aca="false">+PROPER(F827)</f>
        <v>Soltero(A)</v>
      </c>
    </row>
    <row r="828" customFormat="false" ht="14.25" hidden="false" customHeight="false" outlineLevel="0" collapsed="false">
      <c r="B828" s="197" t="n">
        <v>1059606598</v>
      </c>
      <c r="C828" s="197" t="s">
        <v>2430</v>
      </c>
      <c r="D828" s="197" t="s">
        <v>2431</v>
      </c>
      <c r="E828" s="198" t="s">
        <v>944</v>
      </c>
      <c r="F828" s="198" t="s">
        <v>953</v>
      </c>
      <c r="G828" s="225" t="n">
        <v>2893800</v>
      </c>
      <c r="H828" s="225" t="n">
        <v>4436090</v>
      </c>
      <c r="I828" s="225" t="n">
        <v>1801526</v>
      </c>
      <c r="J828" s="198" t="n">
        <v>26</v>
      </c>
      <c r="K828" s="198" t="n">
        <v>2</v>
      </c>
      <c r="L828" s="226" t="n">
        <v>44091</v>
      </c>
      <c r="M828" s="226" t="n">
        <v>43508</v>
      </c>
      <c r="N828" s="227" t="n">
        <v>2</v>
      </c>
      <c r="O828" s="227" t="s">
        <v>135</v>
      </c>
      <c r="P828" s="228" t="n">
        <f aca="false">VLOOKUP(B828,'NIVEL ENERO'!A:D,3,0)</f>
        <v>0.235237853845949</v>
      </c>
      <c r="Q828" s="229" t="n">
        <f aca="false">VLOOKUP(B828,'NIVEL ENERO'!A:D,4,0)</f>
        <v>692507</v>
      </c>
      <c r="R828" s="186" t="str">
        <f aca="false">+PROPER(C828&amp;" "&amp;D828)</f>
        <v>Vidal Lopez Yuliana</v>
      </c>
      <c r="S828" s="230" t="n">
        <f aca="false">+YEARFRAC(L828,$S$1)</f>
        <v>5.65277777777778</v>
      </c>
      <c r="T828" s="230" t="n">
        <f aca="false">+YEARFRAC(M828,$S$1)</f>
        <v>7.25</v>
      </c>
      <c r="U828" s="231" t="n">
        <f aca="false">+$I828</f>
        <v>1801526</v>
      </c>
      <c r="V828" s="232" t="str">
        <f aca="false">+PROPER(F828)</f>
        <v>Soltero(A)</v>
      </c>
    </row>
    <row r="829" customFormat="false" ht="14.25" hidden="false" customHeight="false" outlineLevel="0" collapsed="false">
      <c r="B829" s="197" t="n">
        <v>1059710734</v>
      </c>
      <c r="C829" s="197" t="s">
        <v>2432</v>
      </c>
      <c r="D829" s="197" t="s">
        <v>2433</v>
      </c>
      <c r="E829" s="198" t="s">
        <v>944</v>
      </c>
      <c r="F829" s="198" t="s">
        <v>945</v>
      </c>
      <c r="G829" s="225" t="n">
        <v>2893800</v>
      </c>
      <c r="H829" s="225" t="n">
        <v>700000</v>
      </c>
      <c r="I829" s="225" t="n">
        <v>73917</v>
      </c>
      <c r="J829" s="198" t="n">
        <v>27</v>
      </c>
      <c r="K829" s="198" t="n">
        <v>2</v>
      </c>
      <c r="L829" s="226" t="n">
        <v>45448</v>
      </c>
      <c r="M829" s="226" t="n">
        <v>44096</v>
      </c>
      <c r="N829" s="227" t="n">
        <v>0</v>
      </c>
      <c r="O829" s="227" t="s">
        <v>135</v>
      </c>
      <c r="P829" s="228" t="n">
        <f aca="false">VLOOKUP(B829,'NIVEL ENERO'!A:D,3,0)</f>
        <v>0.209118133747911</v>
      </c>
      <c r="Q829" s="229" t="n">
        <f aca="false">VLOOKUP(B829,'NIVEL ENERO'!A:D,4,0)</f>
        <v>483255.76</v>
      </c>
      <c r="R829" s="186" t="str">
        <f aca="false">+PROPER(C829&amp;" "&amp;D829)</f>
        <v>Gonzalez Guapacha Cindy Lorena</v>
      </c>
      <c r="S829" s="230" t="n">
        <f aca="false">+YEARFRAC(L829,$S$1)</f>
        <v>1.93611111111111</v>
      </c>
      <c r="T829" s="230" t="n">
        <f aca="false">+YEARFRAC(M829,$S$1)</f>
        <v>5.63888888888889</v>
      </c>
      <c r="U829" s="231" t="n">
        <f aca="false">+$I829</f>
        <v>73917</v>
      </c>
      <c r="V829" s="232" t="str">
        <f aca="false">+PROPER(F829)</f>
        <v>Union Libre</v>
      </c>
    </row>
    <row r="830" customFormat="false" ht="14.25" hidden="false" customHeight="false" outlineLevel="0" collapsed="false">
      <c r="B830" s="197" t="n">
        <v>1059842557</v>
      </c>
      <c r="C830" s="197" t="s">
        <v>2434</v>
      </c>
      <c r="D830" s="197" t="s">
        <v>2435</v>
      </c>
      <c r="E830" s="198" t="s">
        <v>944</v>
      </c>
      <c r="F830" s="198" t="s">
        <v>945</v>
      </c>
      <c r="G830" s="225" t="n">
        <v>1356991</v>
      </c>
      <c r="H830" s="225" t="n">
        <v>2112746</v>
      </c>
      <c r="I830" s="225" t="n">
        <v>3571801</v>
      </c>
      <c r="J830" s="198" t="n">
        <v>36</v>
      </c>
      <c r="K830" s="198" t="n">
        <v>2</v>
      </c>
      <c r="L830" s="226" t="n">
        <v>44522</v>
      </c>
      <c r="M830" s="226" t="n">
        <v>43997</v>
      </c>
      <c r="N830" s="227" t="n">
        <v>5</v>
      </c>
      <c r="O830" s="227" t="s">
        <v>135</v>
      </c>
      <c r="P830" s="228" t="n">
        <f aca="false">VLOOKUP(B830,'NIVEL ENERO'!A:D,3,0)</f>
        <v>0.496196758345635</v>
      </c>
      <c r="Q830" s="229" t="n">
        <f aca="false">VLOOKUP(B830,'NIVEL ENERO'!A:D,4,0)</f>
        <v>-249595</v>
      </c>
      <c r="R830" s="186" t="str">
        <f aca="false">+PROPER(C830&amp;" "&amp;D830)</f>
        <v>Solorzano Tabares Cindy Johanna</v>
      </c>
      <c r="S830" s="230" t="n">
        <f aca="false">+YEARFRAC(L830,$S$1)</f>
        <v>4.47222222222222</v>
      </c>
      <c r="T830" s="230" t="n">
        <f aca="false">+YEARFRAC(M830,$S$1)</f>
        <v>5.90833333333333</v>
      </c>
      <c r="U830" s="231" t="n">
        <f aca="false">+$I830</f>
        <v>3571801</v>
      </c>
      <c r="V830" s="232" t="str">
        <f aca="false">+PROPER(F830)</f>
        <v>Union Libre</v>
      </c>
    </row>
    <row r="831" customFormat="false" ht="14.25" hidden="false" customHeight="false" outlineLevel="0" collapsed="false">
      <c r="B831" s="197" t="n">
        <v>1059906715</v>
      </c>
      <c r="C831" s="197" t="s">
        <v>2436</v>
      </c>
      <c r="D831" s="197" t="s">
        <v>2437</v>
      </c>
      <c r="E831" s="198" t="s">
        <v>944</v>
      </c>
      <c r="F831" s="198" t="s">
        <v>953</v>
      </c>
      <c r="G831" s="225" t="n">
        <v>1991000</v>
      </c>
      <c r="H831" s="225" t="n">
        <v>1355255</v>
      </c>
      <c r="I831" s="225" t="n">
        <v>183161</v>
      </c>
      <c r="J831" s="198" t="n">
        <v>35</v>
      </c>
      <c r="K831" s="198" t="n">
        <v>3</v>
      </c>
      <c r="L831" s="226" t="n">
        <v>44995</v>
      </c>
      <c r="M831" s="226" t="n">
        <v>43784</v>
      </c>
      <c r="N831" s="227" t="n">
        <v>0</v>
      </c>
      <c r="O831" s="227" t="s">
        <v>135</v>
      </c>
      <c r="P831" s="228" t="n">
        <f aca="false">VLOOKUP(B831,'NIVEL ENERO'!A:D,3,0)</f>
        <v>0.296045905586616</v>
      </c>
      <c r="Q831" s="229" t="n">
        <f aca="false">VLOOKUP(B831,'NIVEL ENERO'!A:D,4,0)</f>
        <v>329056.72</v>
      </c>
      <c r="R831" s="186" t="str">
        <f aca="false">+PROPER(C831&amp;" "&amp;D831)</f>
        <v>Ibarra Carabali Yanely</v>
      </c>
      <c r="S831" s="230" t="n">
        <f aca="false">+YEARFRAC(L831,$S$1)</f>
        <v>3.17222222222222</v>
      </c>
      <c r="T831" s="230" t="n">
        <f aca="false">+YEARFRAC(M831,$S$1)</f>
        <v>6.49166666666667</v>
      </c>
      <c r="U831" s="231" t="n">
        <f aca="false">+$I831</f>
        <v>183161</v>
      </c>
      <c r="V831" s="232" t="str">
        <f aca="false">+PROPER(F831)</f>
        <v>Soltero(A)</v>
      </c>
    </row>
    <row r="832" customFormat="false" ht="14.25" hidden="false" customHeight="false" outlineLevel="0" collapsed="false">
      <c r="B832" s="197" t="n">
        <v>1059913076</v>
      </c>
      <c r="C832" s="197" t="s">
        <v>2438</v>
      </c>
      <c r="D832" s="197" t="s">
        <v>2439</v>
      </c>
      <c r="E832" s="198" t="s">
        <v>1696</v>
      </c>
      <c r="F832" s="198" t="s">
        <v>953</v>
      </c>
      <c r="G832" s="225" t="n">
        <v>2604400</v>
      </c>
      <c r="H832" s="225" t="n">
        <v>1238408</v>
      </c>
      <c r="I832" s="225"/>
      <c r="J832" s="198" t="n">
        <v>30</v>
      </c>
      <c r="K832" s="198" t="n">
        <v>2</v>
      </c>
      <c r="L832" s="226" t="n">
        <v>45064</v>
      </c>
      <c r="M832" s="226" t="n">
        <v>44606</v>
      </c>
      <c r="N832" s="227" t="n">
        <v>0</v>
      </c>
      <c r="O832" s="227" t="s">
        <v>135</v>
      </c>
      <c r="P832" s="228" t="n">
        <f aca="false">VLOOKUP(B832,'NIVEL ENERO'!A:D,3,0)</f>
        <v>0.166040763760851</v>
      </c>
      <c r="Q832" s="229" t="n">
        <f aca="false">VLOOKUP(B832,'NIVEL ENERO'!A:D,4,0)</f>
        <v>908674.02</v>
      </c>
      <c r="R832" s="186" t="str">
        <f aca="false">+PROPER(C832&amp;" "&amp;D832)</f>
        <v>Gomez Velez Karen Sirley</v>
      </c>
      <c r="S832" s="230" t="n">
        <f aca="false">+YEARFRAC(L832,$S$1)</f>
        <v>2.98333333333333</v>
      </c>
      <c r="T832" s="230" t="n">
        <f aca="false">+YEARFRAC(M832,$S$1)</f>
        <v>4.24444444444444</v>
      </c>
      <c r="U832" s="231" t="n">
        <f aca="false">+$I832</f>
        <v>0</v>
      </c>
      <c r="V832" s="232" t="str">
        <f aca="false">+PROPER(F832)</f>
        <v>Soltero(A)</v>
      </c>
    </row>
    <row r="833" customFormat="false" ht="14.25" hidden="false" customHeight="false" outlineLevel="0" collapsed="false">
      <c r="B833" s="197" t="n">
        <v>1059981078</v>
      </c>
      <c r="C833" s="197" t="s">
        <v>2440</v>
      </c>
      <c r="D833" s="197" t="s">
        <v>2441</v>
      </c>
      <c r="E833" s="198" t="s">
        <v>944</v>
      </c>
      <c r="F833" s="198" t="s">
        <v>953</v>
      </c>
      <c r="G833" s="225" t="n">
        <v>1625000</v>
      </c>
      <c r="H833" s="225" t="n">
        <v>2483447</v>
      </c>
      <c r="I833" s="225" t="n">
        <v>0</v>
      </c>
      <c r="J833" s="198" t="n">
        <v>38</v>
      </c>
      <c r="K833" s="198" t="n">
        <v>4</v>
      </c>
      <c r="L833" s="226" t="n">
        <v>44519</v>
      </c>
      <c r="M833" s="226" t="n">
        <v>44084</v>
      </c>
      <c r="N833" s="227" t="n">
        <v>1</v>
      </c>
      <c r="O833" s="227" t="s">
        <v>135</v>
      </c>
      <c r="P833" s="228" t="n">
        <f aca="false">VLOOKUP(B833,'NIVEL ENERO'!A:D,3,0)</f>
        <v>0.446057058431879</v>
      </c>
      <c r="Q833" s="229" t="n">
        <f aca="false">VLOOKUP(B833,'NIVEL ENERO'!A:D,4,0)</f>
        <v>-103804</v>
      </c>
      <c r="R833" s="186" t="str">
        <f aca="false">+PROPER(C833&amp;" "&amp;D833)</f>
        <v>Lucumi Carabali Sindy Lorena</v>
      </c>
      <c r="S833" s="230" t="n">
        <f aca="false">+YEARFRAC(L833,$S$1)</f>
        <v>4.48055555555556</v>
      </c>
      <c r="T833" s="230" t="n">
        <f aca="false">+YEARFRAC(M833,$S$1)</f>
        <v>5.67222222222222</v>
      </c>
      <c r="U833" s="231" t="n">
        <f aca="false">+$I833</f>
        <v>0</v>
      </c>
      <c r="V833" s="232" t="str">
        <f aca="false">+PROPER(F833)</f>
        <v>Soltero(A)</v>
      </c>
    </row>
    <row r="834" customFormat="false" ht="14.25" hidden="false" customHeight="false" outlineLevel="0" collapsed="false">
      <c r="B834" s="197" t="n">
        <v>1059985209</v>
      </c>
      <c r="C834" s="197" t="s">
        <v>2442</v>
      </c>
      <c r="D834" s="197" t="s">
        <v>1689</v>
      </c>
      <c r="E834" s="198" t="s">
        <v>944</v>
      </c>
      <c r="F834" s="198" t="s">
        <v>948</v>
      </c>
      <c r="G834" s="225" t="n">
        <v>2340800</v>
      </c>
      <c r="H834" s="225" t="n">
        <v>1658179</v>
      </c>
      <c r="I834" s="225" t="n">
        <v>551970</v>
      </c>
      <c r="J834" s="198" t="n">
        <v>33</v>
      </c>
      <c r="K834" s="198" t="n">
        <v>1</v>
      </c>
      <c r="L834" s="226" t="n">
        <v>44790</v>
      </c>
      <c r="M834" s="226" t="n">
        <v>44481</v>
      </c>
      <c r="N834" s="227" t="n">
        <v>2</v>
      </c>
      <c r="O834" s="227" t="s">
        <v>135</v>
      </c>
      <c r="P834" s="228" t="n">
        <f aca="false">VLOOKUP(B834,'NIVEL ENERO'!A:D,3,0)</f>
        <v>0.37557810703946</v>
      </c>
      <c r="Q834" s="229" t="n">
        <f aca="false">VLOOKUP(B834,'NIVEL ENERO'!A:D,4,0)</f>
        <v>100516.66</v>
      </c>
      <c r="R834" s="186" t="str">
        <f aca="false">+PROPER(C834&amp;" "&amp;D834)</f>
        <v>Velasco Churi Lizeth</v>
      </c>
      <c r="S834" s="230" t="n">
        <f aca="false">+YEARFRAC(L834,$S$1)</f>
        <v>3.73611111111111</v>
      </c>
      <c r="T834" s="230" t="n">
        <f aca="false">+YEARFRAC(M834,$S$1)</f>
        <v>4.58333333333333</v>
      </c>
      <c r="U834" s="231" t="n">
        <f aca="false">+$I834</f>
        <v>551970</v>
      </c>
      <c r="V834" s="232" t="str">
        <f aca="false">+PROPER(F834)</f>
        <v>Casado(A)</v>
      </c>
    </row>
    <row r="835" customFormat="false" ht="14.25" hidden="false" customHeight="false" outlineLevel="0" collapsed="false">
      <c r="B835" s="197" t="n">
        <v>1059986707</v>
      </c>
      <c r="C835" s="197" t="s">
        <v>2443</v>
      </c>
      <c r="D835" s="197" t="s">
        <v>1355</v>
      </c>
      <c r="E835" s="198" t="s">
        <v>944</v>
      </c>
      <c r="F835" s="198" t="s">
        <v>945</v>
      </c>
      <c r="G835" s="225" t="n">
        <v>1918500</v>
      </c>
      <c r="H835" s="225" t="n">
        <v>1355255</v>
      </c>
      <c r="I835" s="225" t="n">
        <v>641140</v>
      </c>
      <c r="J835" s="198" t="n">
        <v>31</v>
      </c>
      <c r="K835" s="198" t="n">
        <v>3</v>
      </c>
      <c r="L835" s="226" t="n">
        <v>45000</v>
      </c>
      <c r="M835" s="226" t="n">
        <v>43137</v>
      </c>
      <c r="N835" s="227" t="n">
        <v>0</v>
      </c>
      <c r="O835" s="227" t="s">
        <v>135</v>
      </c>
      <c r="P835" s="228" t="n">
        <f aca="false">VLOOKUP(B835,'NIVEL ENERO'!A:D,3,0)</f>
        <v>0.44704287724785</v>
      </c>
      <c r="Q835" s="229" t="n">
        <f aca="false">VLOOKUP(B835,'NIVEL ENERO'!A:D,4,0)</f>
        <v>-123528</v>
      </c>
      <c r="R835" s="186" t="str">
        <f aca="false">+PROPER(C835&amp;" "&amp;D835)</f>
        <v>Hurtado Granja Angelica Maria</v>
      </c>
      <c r="S835" s="230" t="n">
        <f aca="false">+YEARFRAC(L835,$S$1)</f>
        <v>3.15833333333333</v>
      </c>
      <c r="T835" s="230" t="n">
        <f aca="false">+YEARFRAC(M835,$S$1)</f>
        <v>8.26666666666667</v>
      </c>
      <c r="U835" s="231" t="n">
        <f aca="false">+$I835</f>
        <v>641140</v>
      </c>
      <c r="V835" s="232" t="str">
        <f aca="false">+PROPER(F835)</f>
        <v>Union Libre</v>
      </c>
    </row>
    <row r="836" customFormat="false" ht="14.25" hidden="false" customHeight="false" outlineLevel="0" collapsed="false">
      <c r="B836" s="197" t="n">
        <v>1059990405</v>
      </c>
      <c r="C836" s="197" t="s">
        <v>2444</v>
      </c>
      <c r="D836" s="197" t="s">
        <v>2044</v>
      </c>
      <c r="E836" s="198" t="s">
        <v>944</v>
      </c>
      <c r="F836" s="198" t="s">
        <v>953</v>
      </c>
      <c r="G836" s="225" t="n">
        <v>2315000</v>
      </c>
      <c r="H836" s="225" t="n">
        <v>100000</v>
      </c>
      <c r="I836" s="225"/>
      <c r="J836" s="198" t="n">
        <v>26</v>
      </c>
      <c r="K836" s="198" t="n">
        <v>4</v>
      </c>
      <c r="L836" s="226" t="n">
        <v>45643</v>
      </c>
      <c r="M836" s="226" t="n">
        <v>45201</v>
      </c>
      <c r="N836" s="227" t="n">
        <v>0</v>
      </c>
      <c r="O836" s="227" t="s">
        <v>135</v>
      </c>
      <c r="P836" s="228" t="e">
        <f aca="false">VLOOKUP(B836,'NIVEL ENERO'!A:D,3,0)</f>
        <v>#N/A</v>
      </c>
      <c r="Q836" s="229" t="e">
        <f aca="false">VLOOKUP(B836,'NIVEL ENERO'!A:D,4,0)</f>
        <v>#N/A</v>
      </c>
      <c r="R836" s="186" t="str">
        <f aca="false">+PROPER(C836&amp;" "&amp;D836)</f>
        <v>Gutierrez Sanchez Isabela</v>
      </c>
      <c r="S836" s="230" t="n">
        <f aca="false">+YEARFRAC(L836,$S$1)</f>
        <v>1.40277777777778</v>
      </c>
      <c r="T836" s="230" t="n">
        <f aca="false">+YEARFRAC(M836,$S$1)</f>
        <v>2.61111111111111</v>
      </c>
      <c r="U836" s="231" t="n">
        <f aca="false">+$I836</f>
        <v>0</v>
      </c>
      <c r="V836" s="232" t="str">
        <f aca="false">+PROPER(F836)</f>
        <v>Soltero(A)</v>
      </c>
    </row>
    <row r="837" customFormat="false" ht="14.25" hidden="false" customHeight="false" outlineLevel="0" collapsed="false">
      <c r="B837" s="197" t="n">
        <v>1060416900</v>
      </c>
      <c r="C837" s="197" t="s">
        <v>2445</v>
      </c>
      <c r="D837" s="197" t="s">
        <v>1695</v>
      </c>
      <c r="E837" s="198" t="s">
        <v>944</v>
      </c>
      <c r="F837" s="198" t="s">
        <v>953</v>
      </c>
      <c r="G837" s="225" t="n">
        <v>5842800</v>
      </c>
      <c r="H837" s="225" t="n">
        <v>2398184</v>
      </c>
      <c r="I837" s="225" t="n">
        <v>0</v>
      </c>
      <c r="J837" s="198" t="n">
        <v>35</v>
      </c>
      <c r="K837" s="198" t="n">
        <v>1</v>
      </c>
      <c r="L837" s="226" t="n">
        <v>44490</v>
      </c>
      <c r="M837" s="226" t="n">
        <v>44398</v>
      </c>
      <c r="N837" s="227" t="n">
        <v>2</v>
      </c>
      <c r="O837" s="227" t="s">
        <v>135</v>
      </c>
      <c r="P837" s="228" t="n">
        <f aca="false">VLOOKUP(B837,'NIVEL ENERO'!A:D,3,0)</f>
        <v>0.172624768946396</v>
      </c>
      <c r="Q837" s="229" t="n">
        <f aca="false">VLOOKUP(B837,'NIVEL ENERO'!A:D,4,0)</f>
        <v>1445364</v>
      </c>
      <c r="R837" s="186" t="str">
        <f aca="false">+PROPER(C837&amp;" "&amp;D837)</f>
        <v>Medina Gonzalias Lorena</v>
      </c>
      <c r="S837" s="230" t="n">
        <f aca="false">+YEARFRAC(L837,$S$1)</f>
        <v>4.55833333333333</v>
      </c>
      <c r="T837" s="230" t="n">
        <f aca="false">+YEARFRAC(M837,$S$1)</f>
        <v>4.80833333333333</v>
      </c>
      <c r="U837" s="231" t="n">
        <f aca="false">+$I837</f>
        <v>0</v>
      </c>
      <c r="V837" s="232" t="str">
        <f aca="false">+PROPER(F837)</f>
        <v>Soltero(A)</v>
      </c>
    </row>
    <row r="838" customFormat="false" ht="14.25" hidden="false" customHeight="false" outlineLevel="0" collapsed="false">
      <c r="B838" s="197" t="n">
        <v>1060590276</v>
      </c>
      <c r="C838" s="197" t="s">
        <v>2446</v>
      </c>
      <c r="D838" s="197" t="s">
        <v>2447</v>
      </c>
      <c r="E838" s="198" t="s">
        <v>944</v>
      </c>
      <c r="F838" s="198" t="s">
        <v>953</v>
      </c>
      <c r="G838" s="225" t="n">
        <v>4870200</v>
      </c>
      <c r="H838" s="225" t="n">
        <v>1005311</v>
      </c>
      <c r="I838" s="225" t="n">
        <v>1367964</v>
      </c>
      <c r="J838" s="198" t="n">
        <v>34</v>
      </c>
      <c r="K838" s="198" t="n">
        <v>6</v>
      </c>
      <c r="L838" s="226" t="n">
        <v>45190</v>
      </c>
      <c r="M838" s="226" t="n">
        <v>44049</v>
      </c>
      <c r="N838" s="227" t="n">
        <v>0</v>
      </c>
      <c r="O838" s="227" t="s">
        <v>135</v>
      </c>
      <c r="P838" s="228" t="n">
        <f aca="false">VLOOKUP(B838,'NIVEL ENERO'!A:D,3,0)</f>
        <v>0.160249025198533</v>
      </c>
      <c r="Q838" s="229" t="n">
        <f aca="false">VLOOKUP(B838,'NIVEL ENERO'!A:D,4,0)</f>
        <v>1526847.4</v>
      </c>
      <c r="R838" s="186" t="str">
        <f aca="false">+PROPER(C838&amp;" "&amp;D838)</f>
        <v>Mozo Colorado Yenny Yaneth</v>
      </c>
      <c r="S838" s="230" t="n">
        <f aca="false">+YEARFRAC(L838,$S$1)</f>
        <v>2.64166666666667</v>
      </c>
      <c r="T838" s="230" t="n">
        <f aca="false">+YEARFRAC(M838,$S$1)</f>
        <v>5.76666666666667</v>
      </c>
      <c r="U838" s="231" t="n">
        <f aca="false">+$I838</f>
        <v>1367964</v>
      </c>
      <c r="V838" s="232" t="str">
        <f aca="false">+PROPER(F838)</f>
        <v>Soltero(A)</v>
      </c>
    </row>
    <row r="839" customFormat="false" ht="14.25" hidden="false" customHeight="false" outlineLevel="0" collapsed="false">
      <c r="B839" s="197" t="n">
        <v>1060590809</v>
      </c>
      <c r="C839" s="197" t="s">
        <v>2448</v>
      </c>
      <c r="D839" s="197" t="s">
        <v>2449</v>
      </c>
      <c r="E839" s="198" t="s">
        <v>944</v>
      </c>
      <c r="F839" s="198" t="s">
        <v>948</v>
      </c>
      <c r="G839" s="225" t="n">
        <v>1625000</v>
      </c>
      <c r="H839" s="225" t="n">
        <v>2506690</v>
      </c>
      <c r="I839" s="225" t="n">
        <v>112151</v>
      </c>
      <c r="J839" s="198" t="n">
        <v>34</v>
      </c>
      <c r="K839" s="198" t="n">
        <v>3</v>
      </c>
      <c r="L839" s="226" t="n">
        <v>44908</v>
      </c>
      <c r="M839" s="226" t="n">
        <v>44868</v>
      </c>
      <c r="N839" s="227" t="n">
        <v>0</v>
      </c>
      <c r="O839" s="227" t="s">
        <v>135</v>
      </c>
      <c r="P839" s="228" t="n">
        <f aca="false">VLOOKUP(B839,'NIVEL ENERO'!A:D,3,0)</f>
        <v>0.294389604409458</v>
      </c>
      <c r="Q839" s="229" t="n">
        <f aca="false">VLOOKUP(B839,'NIVEL ENERO'!A:D,4,0)</f>
        <v>266239.44</v>
      </c>
      <c r="R839" s="186" t="str">
        <f aca="false">+PROPER(C839&amp;" "&amp;D839)</f>
        <v>Sanchez Sierra Sandra Marcela</v>
      </c>
      <c r="S839" s="230" t="n">
        <f aca="false">+YEARFRAC(L839,$S$1)</f>
        <v>3.41388888888889</v>
      </c>
      <c r="T839" s="230" t="n">
        <f aca="false">+YEARFRAC(M839,$S$1)</f>
        <v>3.525</v>
      </c>
      <c r="U839" s="231" t="n">
        <f aca="false">+$I839</f>
        <v>112151</v>
      </c>
      <c r="V839" s="232" t="str">
        <f aca="false">+PROPER(F839)</f>
        <v>Casado(A)</v>
      </c>
    </row>
    <row r="840" customFormat="false" ht="14.25" hidden="false" customHeight="false" outlineLevel="0" collapsed="false">
      <c r="B840" s="197" t="n">
        <v>1060649843</v>
      </c>
      <c r="C840" s="197" t="s">
        <v>2450</v>
      </c>
      <c r="D840" s="197" t="s">
        <v>2451</v>
      </c>
      <c r="E840" s="198" t="s">
        <v>944</v>
      </c>
      <c r="F840" s="198" t="s">
        <v>948</v>
      </c>
      <c r="G840" s="225" t="n">
        <v>4469100</v>
      </c>
      <c r="H840" s="225" t="n">
        <v>1557164</v>
      </c>
      <c r="I840" s="225"/>
      <c r="J840" s="198" t="n">
        <v>34</v>
      </c>
      <c r="K840" s="198" t="n">
        <v>2</v>
      </c>
      <c r="L840" s="226" t="n">
        <v>44886</v>
      </c>
      <c r="M840" s="226" t="n">
        <v>42750</v>
      </c>
      <c r="N840" s="227" t="n">
        <v>0</v>
      </c>
      <c r="O840" s="227" t="s">
        <v>135</v>
      </c>
      <c r="P840" s="228" t="n">
        <f aca="false">VLOOKUP(B840,'NIVEL ENERO'!A:D,3,0)</f>
        <v>0.294510425315607</v>
      </c>
      <c r="Q840" s="229" t="n">
        <f aca="false">VLOOKUP(B840,'NIVEL ENERO'!A:D,4,0)</f>
        <v>651857.98</v>
      </c>
      <c r="R840" s="186" t="str">
        <f aca="false">+PROPER(C840&amp;" "&amp;D840)</f>
        <v>Granada Ramirez Juan Camilo</v>
      </c>
      <c r="S840" s="230" t="n">
        <f aca="false">+YEARFRAC(L840,$S$1)</f>
        <v>3.475</v>
      </c>
      <c r="T840" s="230" t="n">
        <f aca="false">+YEARFRAC(M840,$S$1)</f>
        <v>9.325</v>
      </c>
      <c r="U840" s="231" t="n">
        <f aca="false">+$I840</f>
        <v>0</v>
      </c>
      <c r="V840" s="232" t="str">
        <f aca="false">+PROPER(F840)</f>
        <v>Casado(A)</v>
      </c>
    </row>
    <row r="841" customFormat="false" ht="14.25" hidden="false" customHeight="false" outlineLevel="0" collapsed="false">
      <c r="B841" s="197" t="n">
        <v>1060804184</v>
      </c>
      <c r="C841" s="197" t="s">
        <v>2452</v>
      </c>
      <c r="D841" s="197" t="s">
        <v>1723</v>
      </c>
      <c r="E841" s="198" t="s">
        <v>944</v>
      </c>
      <c r="F841" s="198" t="s">
        <v>945</v>
      </c>
      <c r="G841" s="225" t="n">
        <v>1625000</v>
      </c>
      <c r="H841" s="225" t="n">
        <v>325000</v>
      </c>
      <c r="I841" s="225"/>
      <c r="J841" s="198" t="n">
        <v>30</v>
      </c>
      <c r="K841" s="198" t="n">
        <v>2</v>
      </c>
      <c r="L841" s="226" t="n">
        <v>45519</v>
      </c>
      <c r="M841" s="226" t="n">
        <v>45261</v>
      </c>
      <c r="N841" s="227" t="n">
        <v>0</v>
      </c>
      <c r="O841" s="227" t="s">
        <v>135</v>
      </c>
      <c r="P841" s="228" t="n">
        <f aca="false">VLOOKUP(B841,'NIVEL ENERO'!A:D,3,0)</f>
        <v>0.503996977656244</v>
      </c>
      <c r="Q841" s="229" t="n">
        <f aca="false">VLOOKUP(B841,'NIVEL ENERO'!A:D,4,0)</f>
        <v>-361296</v>
      </c>
      <c r="R841" s="186" t="str">
        <f aca="false">+PROPER(C841&amp;" "&amp;D841)</f>
        <v>Morales Yalanda Consuelo</v>
      </c>
      <c r="S841" s="230" t="n">
        <f aca="false">+YEARFRAC(L841,$S$1)</f>
        <v>1.74166666666667</v>
      </c>
      <c r="T841" s="230" t="n">
        <f aca="false">+YEARFRAC(M841,$S$1)</f>
        <v>2.44722222222222</v>
      </c>
      <c r="U841" s="231" t="n">
        <f aca="false">+$I841</f>
        <v>0</v>
      </c>
      <c r="V841" s="232" t="str">
        <f aca="false">+PROPER(F841)</f>
        <v>Union Libre</v>
      </c>
    </row>
    <row r="842" customFormat="false" ht="14.25" hidden="false" customHeight="false" outlineLevel="0" collapsed="false">
      <c r="B842" s="197" t="n">
        <v>1061435339</v>
      </c>
      <c r="C842" s="197" t="s">
        <v>2453</v>
      </c>
      <c r="D842" s="197" t="s">
        <v>2454</v>
      </c>
      <c r="E842" s="198" t="s">
        <v>944</v>
      </c>
      <c r="F842" s="198" t="s">
        <v>945</v>
      </c>
      <c r="G842" s="225" t="n">
        <v>2893800</v>
      </c>
      <c r="H842" s="225" t="n">
        <v>3007454</v>
      </c>
      <c r="I842" s="225" t="n">
        <v>3879008</v>
      </c>
      <c r="J842" s="198" t="n">
        <v>32</v>
      </c>
      <c r="K842" s="198" t="n">
        <v>2</v>
      </c>
      <c r="L842" s="226" t="n">
        <v>45051</v>
      </c>
      <c r="M842" s="226" t="n">
        <v>41703</v>
      </c>
      <c r="N842" s="227" t="n">
        <v>3</v>
      </c>
      <c r="O842" s="227" t="s">
        <v>135</v>
      </c>
      <c r="P842" s="228" t="str">
        <f aca="false">VLOOKUP(B842,'NIVEL ENERO'!A:D,3,0)</f>
        <v>0</v>
      </c>
      <c r="Q842" s="229" t="n">
        <f aca="false">VLOOKUP(B842,'NIVEL ENERO'!A:D,4,0)</f>
        <v>0</v>
      </c>
      <c r="R842" s="186" t="str">
        <f aca="false">+PROPER(C842&amp;" "&amp;D842)</f>
        <v>Diaz Villegas Dany Felipe</v>
      </c>
      <c r="S842" s="230" t="n">
        <f aca="false">+YEARFRAC(L842,$S$1)</f>
        <v>3.01944444444444</v>
      </c>
      <c r="T842" s="230" t="n">
        <f aca="false">+YEARFRAC(M842,$S$1)</f>
        <v>12.1861111111111</v>
      </c>
      <c r="U842" s="231" t="n">
        <f aca="false">+$I842</f>
        <v>3879008</v>
      </c>
      <c r="V842" s="232" t="str">
        <f aca="false">+PROPER(F842)</f>
        <v>Union Libre</v>
      </c>
    </row>
    <row r="843" customFormat="false" ht="14.25" hidden="false" customHeight="false" outlineLevel="0" collapsed="false">
      <c r="B843" s="197" t="n">
        <v>1061439749</v>
      </c>
      <c r="C843" s="197" t="s">
        <v>2455</v>
      </c>
      <c r="D843" s="197" t="s">
        <v>2456</v>
      </c>
      <c r="E843" s="198" t="s">
        <v>944</v>
      </c>
      <c r="F843" s="198" t="s">
        <v>945</v>
      </c>
      <c r="G843" s="225" t="n">
        <v>2893800</v>
      </c>
      <c r="H843" s="225" t="n">
        <v>195000</v>
      </c>
      <c r="I843" s="225"/>
      <c r="J843" s="198" t="n">
        <v>25</v>
      </c>
      <c r="K843" s="198" t="n">
        <v>2</v>
      </c>
      <c r="L843" s="226" t="n">
        <v>45580</v>
      </c>
      <c r="M843" s="226" t="n">
        <v>44784</v>
      </c>
      <c r="N843" s="227" t="n">
        <v>0</v>
      </c>
      <c r="O843" s="227" t="s">
        <v>135</v>
      </c>
      <c r="P843" s="228" t="n">
        <f aca="false">VLOOKUP(B843,'NIVEL ENERO'!A:D,3,0)</f>
        <v>0.320212800517777</v>
      </c>
      <c r="Q843" s="229" t="n">
        <f aca="false">VLOOKUP(B843,'NIVEL ENERO'!A:D,4,0)</f>
        <v>370643.52</v>
      </c>
      <c r="R843" s="186" t="str">
        <f aca="false">+PROPER(C843&amp;" "&amp;D843)</f>
        <v>Ruiz Valencia Anyela Marcela</v>
      </c>
      <c r="S843" s="230" t="n">
        <f aca="false">+YEARFRAC(L843,$S$1)</f>
        <v>1.575</v>
      </c>
      <c r="T843" s="230" t="n">
        <f aca="false">+YEARFRAC(M843,$S$1)</f>
        <v>3.75277777777778</v>
      </c>
      <c r="U843" s="231" t="n">
        <f aca="false">+$I843</f>
        <v>0</v>
      </c>
      <c r="V843" s="232" t="str">
        <f aca="false">+PROPER(F843)</f>
        <v>Union Libre</v>
      </c>
    </row>
    <row r="844" customFormat="false" ht="14.25" hidden="false" customHeight="false" outlineLevel="0" collapsed="false">
      <c r="B844" s="197" t="n">
        <v>1061694303</v>
      </c>
      <c r="C844" s="197" t="s">
        <v>2457</v>
      </c>
      <c r="D844" s="197" t="s">
        <v>1460</v>
      </c>
      <c r="E844" s="198" t="s">
        <v>944</v>
      </c>
      <c r="F844" s="198" t="s">
        <v>948</v>
      </c>
      <c r="G844" s="225" t="n">
        <v>4000000</v>
      </c>
      <c r="H844" s="225" t="n">
        <v>2410209</v>
      </c>
      <c r="I844" s="225"/>
      <c r="J844" s="198" t="n">
        <v>37</v>
      </c>
      <c r="K844" s="198" t="n">
        <v>4</v>
      </c>
      <c r="L844" s="226" t="n">
        <v>44642</v>
      </c>
      <c r="M844" s="226" t="n">
        <v>43070</v>
      </c>
      <c r="N844" s="227" t="n">
        <v>2</v>
      </c>
      <c r="O844" s="227" t="s">
        <v>158</v>
      </c>
      <c r="P844" s="228" t="e">
        <f aca="false">VLOOKUP(B844,'NIVEL ENERO'!A:D,3,0)</f>
        <v>#N/A</v>
      </c>
      <c r="Q844" s="229" t="e">
        <f aca="false">VLOOKUP(B844,'NIVEL ENERO'!A:D,4,0)</f>
        <v>#N/A</v>
      </c>
      <c r="R844" s="186" t="str">
        <f aca="false">+PROPER(C844&amp;" "&amp;D844)</f>
        <v>Minayo Vargas Diana Lorena</v>
      </c>
      <c r="S844" s="230" t="n">
        <f aca="false">+YEARFRAC(L844,$S$1)</f>
        <v>4.13888888888889</v>
      </c>
      <c r="T844" s="230" t="n">
        <f aca="false">+YEARFRAC(M844,$S$1)</f>
        <v>8.44722222222222</v>
      </c>
      <c r="U844" s="231" t="n">
        <f aca="false">+$I844</f>
        <v>0</v>
      </c>
      <c r="V844" s="232" t="str">
        <f aca="false">+PROPER(F844)</f>
        <v>Casado(A)</v>
      </c>
    </row>
    <row r="845" customFormat="false" ht="14.25" hidden="false" customHeight="false" outlineLevel="0" collapsed="false">
      <c r="B845" s="197" t="n">
        <v>1061711132</v>
      </c>
      <c r="C845" s="197" t="s">
        <v>2458</v>
      </c>
      <c r="D845" s="197" t="s">
        <v>2459</v>
      </c>
      <c r="E845" s="198" t="s">
        <v>944</v>
      </c>
      <c r="F845" s="198" t="s">
        <v>953</v>
      </c>
      <c r="G845" s="225" t="n">
        <v>4984600</v>
      </c>
      <c r="H845" s="225" t="n">
        <v>4385220</v>
      </c>
      <c r="I845" s="225" t="n">
        <v>7015763</v>
      </c>
      <c r="J845" s="198" t="n">
        <v>36</v>
      </c>
      <c r="K845" s="198" t="n">
        <v>2</v>
      </c>
      <c r="L845" s="226" t="n">
        <v>44522</v>
      </c>
      <c r="M845" s="226" t="n">
        <v>41562</v>
      </c>
      <c r="N845" s="227" t="n">
        <v>1</v>
      </c>
      <c r="O845" s="227" t="s">
        <v>135</v>
      </c>
      <c r="P845" s="228" t="n">
        <f aca="false">VLOOKUP(B845,'NIVEL ENERO'!A:D,3,0)</f>
        <v>0.200479887151782</v>
      </c>
      <c r="Q845" s="229" t="n">
        <f aca="false">VLOOKUP(B845,'NIVEL ENERO'!A:D,4,0)</f>
        <v>1680089.72</v>
      </c>
      <c r="R845" s="186" t="str">
        <f aca="false">+PROPER(C845&amp;" "&amp;D845)</f>
        <v>Castro Escobar Zindy Alexandra</v>
      </c>
      <c r="S845" s="230" t="n">
        <f aca="false">+YEARFRAC(L845,$S$1)</f>
        <v>4.47222222222222</v>
      </c>
      <c r="T845" s="230" t="n">
        <f aca="false">+YEARFRAC(M845,$S$1)</f>
        <v>12.575</v>
      </c>
      <c r="U845" s="231" t="n">
        <f aca="false">+$I845</f>
        <v>7015763</v>
      </c>
      <c r="V845" s="232" t="str">
        <f aca="false">+PROPER(F845)</f>
        <v>Soltero(A)</v>
      </c>
    </row>
    <row r="846" customFormat="false" ht="14.25" hidden="false" customHeight="false" outlineLevel="0" collapsed="false">
      <c r="B846" s="197" t="n">
        <v>1061720192</v>
      </c>
      <c r="C846" s="197" t="s">
        <v>2460</v>
      </c>
      <c r="D846" s="197" t="s">
        <v>2461</v>
      </c>
      <c r="E846" s="198" t="s">
        <v>944</v>
      </c>
      <c r="F846" s="198" t="s">
        <v>953</v>
      </c>
      <c r="G846" s="225" t="n">
        <v>2600900</v>
      </c>
      <c r="H846" s="225" t="n">
        <v>2163254</v>
      </c>
      <c r="I846" s="225" t="n">
        <v>0</v>
      </c>
      <c r="J846" s="198" t="n">
        <v>35</v>
      </c>
      <c r="K846" s="198" t="n">
        <v>2</v>
      </c>
      <c r="L846" s="226" t="n">
        <v>44491</v>
      </c>
      <c r="M846" s="226" t="n">
        <v>44305</v>
      </c>
      <c r="N846" s="227" t="n">
        <v>2</v>
      </c>
      <c r="O846" s="227" t="s">
        <v>135</v>
      </c>
      <c r="P846" s="228" t="n">
        <f aca="false">VLOOKUP(B846,'NIVEL ENERO'!A:D,3,0)</f>
        <v>0.239073486331355</v>
      </c>
      <c r="Q846" s="229" t="n">
        <f aca="false">VLOOKUP(B846,'NIVEL ENERO'!A:D,4,0)</f>
        <v>546954.36</v>
      </c>
      <c r="R846" s="186" t="str">
        <f aca="false">+PROPER(C846&amp;" "&amp;D846)</f>
        <v>Claros Ullune Luis Enrique</v>
      </c>
      <c r="S846" s="230" t="n">
        <f aca="false">+YEARFRAC(L846,$S$1)</f>
        <v>4.55555555555556</v>
      </c>
      <c r="T846" s="230" t="n">
        <f aca="false">+YEARFRAC(M846,$S$1)</f>
        <v>5.06388888888889</v>
      </c>
      <c r="U846" s="231" t="n">
        <f aca="false">+$I846</f>
        <v>0</v>
      </c>
      <c r="V846" s="232" t="str">
        <f aca="false">+PROPER(F846)</f>
        <v>Soltero(A)</v>
      </c>
    </row>
    <row r="847" customFormat="false" ht="14.25" hidden="false" customHeight="false" outlineLevel="0" collapsed="false">
      <c r="B847" s="197" t="n">
        <v>1061738970</v>
      </c>
      <c r="C847" s="197" t="s">
        <v>2462</v>
      </c>
      <c r="D847" s="197" t="s">
        <v>993</v>
      </c>
      <c r="E847" s="198" t="s">
        <v>944</v>
      </c>
      <c r="F847" s="198" t="s">
        <v>953</v>
      </c>
      <c r="G847" s="225" t="n">
        <v>5842800</v>
      </c>
      <c r="H847" s="225" t="n">
        <v>3037470</v>
      </c>
      <c r="I847" s="225" t="n">
        <v>3956607</v>
      </c>
      <c r="J847" s="198" t="n">
        <v>33</v>
      </c>
      <c r="K847" s="198" t="n">
        <v>2</v>
      </c>
      <c r="L847" s="226" t="n">
        <v>45342</v>
      </c>
      <c r="M847" s="226" t="n">
        <v>42156</v>
      </c>
      <c r="N847" s="227" t="n">
        <v>0</v>
      </c>
      <c r="O847" s="227" t="s">
        <v>135</v>
      </c>
      <c r="P847" s="228" t="n">
        <f aca="false">VLOOKUP(B847,'NIVEL ENERO'!A:D,3,0)</f>
        <v>0.429425485186443</v>
      </c>
      <c r="Q847" s="229" t="n">
        <f aca="false">VLOOKUP(B847,'NIVEL ENERO'!A:D,4,0)</f>
        <v>-81218.0800000001</v>
      </c>
      <c r="R847" s="186" t="str">
        <f aca="false">+PROPER(C847&amp;" "&amp;D847)</f>
        <v>Ceron Lubo Juan Pablo</v>
      </c>
      <c r="S847" s="230" t="n">
        <f aca="false">+YEARFRAC(L847,$S$1)</f>
        <v>2.22777777777778</v>
      </c>
      <c r="T847" s="230" t="n">
        <f aca="false">+YEARFRAC(M847,$S$1)</f>
        <v>10.9472222222222</v>
      </c>
      <c r="U847" s="231" t="n">
        <f aca="false">+$I847</f>
        <v>3956607</v>
      </c>
      <c r="V847" s="232" t="str">
        <f aca="false">+PROPER(F847)</f>
        <v>Soltero(A)</v>
      </c>
    </row>
    <row r="848" customFormat="false" ht="14.25" hidden="false" customHeight="false" outlineLevel="0" collapsed="false">
      <c r="B848" s="197" t="n">
        <v>1061755509</v>
      </c>
      <c r="C848" s="197" t="s">
        <v>2463</v>
      </c>
      <c r="D848" s="197" t="s">
        <v>2252</v>
      </c>
      <c r="E848" s="198" t="s">
        <v>944</v>
      </c>
      <c r="F848" s="198" t="s">
        <v>945</v>
      </c>
      <c r="G848" s="225" t="n">
        <v>4469100</v>
      </c>
      <c r="H848" s="225" t="n">
        <v>2800200</v>
      </c>
      <c r="I848" s="225" t="n">
        <v>4838078</v>
      </c>
      <c r="J848" s="198" t="n">
        <v>31</v>
      </c>
      <c r="K848" s="198" t="n">
        <v>2</v>
      </c>
      <c r="L848" s="226" t="n">
        <v>45249</v>
      </c>
      <c r="M848" s="226" t="n">
        <v>44896</v>
      </c>
      <c r="N848" s="227" t="n">
        <v>0</v>
      </c>
      <c r="O848" s="227" t="s">
        <v>135</v>
      </c>
      <c r="P848" s="228" t="n">
        <f aca="false">VLOOKUP(B848,'NIVEL ENERO'!A:D,3,0)</f>
        <v>0.253904438420763</v>
      </c>
      <c r="Q848" s="229" t="n">
        <f aca="false">VLOOKUP(B848,'NIVEL ENERO'!A:D,4,0)</f>
        <v>1033730.22</v>
      </c>
      <c r="R848" s="186" t="str">
        <f aca="false">+PROPER(C848&amp;" "&amp;D848)</f>
        <v>Ceron Campo Natalia</v>
      </c>
      <c r="S848" s="230" t="n">
        <f aca="false">+YEARFRAC(L848,$S$1)</f>
        <v>2.48055555555556</v>
      </c>
      <c r="T848" s="230" t="n">
        <f aca="false">+YEARFRAC(M848,$S$1)</f>
        <v>3.44722222222222</v>
      </c>
      <c r="U848" s="231" t="n">
        <f aca="false">+$I848</f>
        <v>4838078</v>
      </c>
      <c r="V848" s="232" t="str">
        <f aca="false">+PROPER(F848)</f>
        <v>Union Libre</v>
      </c>
    </row>
    <row r="849" customFormat="false" ht="14.25" hidden="false" customHeight="false" outlineLevel="0" collapsed="false">
      <c r="B849" s="197" t="n">
        <v>1061763299</v>
      </c>
      <c r="C849" s="197" t="s">
        <v>2464</v>
      </c>
      <c r="D849" s="197" t="s">
        <v>2309</v>
      </c>
      <c r="E849" s="198" t="s">
        <v>944</v>
      </c>
      <c r="F849" s="198" t="s">
        <v>953</v>
      </c>
      <c r="G849" s="225" t="n">
        <v>1800000</v>
      </c>
      <c r="H849" s="225" t="n">
        <v>650000</v>
      </c>
      <c r="I849" s="225"/>
      <c r="J849" s="198" t="n">
        <v>31</v>
      </c>
      <c r="K849" s="198" t="n">
        <v>1</v>
      </c>
      <c r="L849" s="226" t="n">
        <v>45352</v>
      </c>
      <c r="M849" s="226" t="n">
        <v>43678</v>
      </c>
      <c r="N849" s="227" t="n">
        <v>0</v>
      </c>
      <c r="O849" s="227" t="s">
        <v>158</v>
      </c>
      <c r="P849" s="228" t="e">
        <f aca="false">VLOOKUP(B849,'NIVEL ENERO'!A:D,3,0)</f>
        <v>#N/A</v>
      </c>
      <c r="Q849" s="229" t="e">
        <f aca="false">VLOOKUP(B849,'NIVEL ENERO'!A:D,4,0)</f>
        <v>#N/A</v>
      </c>
      <c r="R849" s="186" t="str">
        <f aca="false">+PROPER(C849&amp;" "&amp;D849)</f>
        <v>Osejo Varona Maria Paula</v>
      </c>
      <c r="S849" s="230" t="n">
        <f aca="false">+YEARFRAC(L849,$S$1)</f>
        <v>2.19722222222222</v>
      </c>
      <c r="T849" s="230" t="n">
        <f aca="false">+YEARFRAC(M849,$S$1)</f>
        <v>6.78055555555556</v>
      </c>
      <c r="U849" s="231" t="n">
        <f aca="false">+$I849</f>
        <v>0</v>
      </c>
      <c r="V849" s="232" t="str">
        <f aca="false">+PROPER(F849)</f>
        <v>Soltero(A)</v>
      </c>
    </row>
    <row r="850" customFormat="false" ht="14.25" hidden="false" customHeight="false" outlineLevel="0" collapsed="false">
      <c r="B850" s="197" t="n">
        <v>1061772801</v>
      </c>
      <c r="C850" s="197" t="s">
        <v>2444</v>
      </c>
      <c r="D850" s="197" t="s">
        <v>2395</v>
      </c>
      <c r="E850" s="198" t="s">
        <v>944</v>
      </c>
      <c r="F850" s="198" t="s">
        <v>953</v>
      </c>
      <c r="G850" s="225" t="n">
        <v>4000000</v>
      </c>
      <c r="H850" s="225" t="n">
        <v>650000</v>
      </c>
      <c r="I850" s="225"/>
      <c r="J850" s="198" t="n">
        <v>30</v>
      </c>
      <c r="K850" s="198" t="n">
        <v>2</v>
      </c>
      <c r="L850" s="226" t="n">
        <v>45352</v>
      </c>
      <c r="M850" s="226" t="n">
        <v>44263</v>
      </c>
      <c r="N850" s="227" t="n">
        <v>0</v>
      </c>
      <c r="O850" s="227" t="s">
        <v>158</v>
      </c>
      <c r="P850" s="228" t="e">
        <f aca="false">VLOOKUP(B850,'NIVEL ENERO'!A:D,3,0)</f>
        <v>#N/A</v>
      </c>
      <c r="Q850" s="229" t="e">
        <f aca="false">VLOOKUP(B850,'NIVEL ENERO'!A:D,4,0)</f>
        <v>#N/A</v>
      </c>
      <c r="R850" s="186" t="str">
        <f aca="false">+PROPER(C850&amp;" "&amp;D850)</f>
        <v>Gutierrez Sanchez Luisa Fernanda</v>
      </c>
      <c r="S850" s="230" t="n">
        <f aca="false">+YEARFRAC(L850,$S$1)</f>
        <v>2.19722222222222</v>
      </c>
      <c r="T850" s="230" t="n">
        <f aca="false">+YEARFRAC(M850,$S$1)</f>
        <v>5.17777777777778</v>
      </c>
      <c r="U850" s="231" t="n">
        <f aca="false">+$I850</f>
        <v>0</v>
      </c>
      <c r="V850" s="232" t="str">
        <f aca="false">+PROPER(F850)</f>
        <v>Soltero(A)</v>
      </c>
    </row>
    <row r="851" customFormat="false" ht="14.25" hidden="false" customHeight="false" outlineLevel="0" collapsed="false">
      <c r="B851" s="197" t="n">
        <v>1061773444</v>
      </c>
      <c r="C851" s="197" t="s">
        <v>2465</v>
      </c>
      <c r="D851" s="197" t="s">
        <v>2466</v>
      </c>
      <c r="E851" s="198" t="s">
        <v>944</v>
      </c>
      <c r="F851" s="198" t="s">
        <v>953</v>
      </c>
      <c r="G851" s="225" t="n">
        <v>5418800</v>
      </c>
      <c r="H851" s="225" t="n">
        <v>3112780</v>
      </c>
      <c r="I851" s="225" t="n">
        <v>8146321</v>
      </c>
      <c r="J851" s="198" t="n">
        <v>30</v>
      </c>
      <c r="K851" s="198" t="n">
        <v>4</v>
      </c>
      <c r="L851" s="226" t="n">
        <v>44720</v>
      </c>
      <c r="M851" s="226" t="n">
        <v>44088</v>
      </c>
      <c r="N851" s="227" t="n">
        <v>1</v>
      </c>
      <c r="O851" s="227" t="s">
        <v>135</v>
      </c>
      <c r="P851" s="228" t="n">
        <f aca="false">VLOOKUP(B851,'NIVEL ENERO'!A:D,3,0)</f>
        <v>0.232453842835717</v>
      </c>
      <c r="Q851" s="229" t="n">
        <f aca="false">VLOOKUP(B851,'NIVEL ENERO'!A:D,4,0)</f>
        <v>1553476.14</v>
      </c>
      <c r="R851" s="186" t="str">
        <f aca="false">+PROPER(C851&amp;" "&amp;D851)</f>
        <v>Colorado Ocoro Mayra Alejandra</v>
      </c>
      <c r="S851" s="230" t="n">
        <f aca="false">+YEARFRAC(L851,$S$1)</f>
        <v>3.92777777777778</v>
      </c>
      <c r="T851" s="230" t="n">
        <f aca="false">+YEARFRAC(M851,$S$1)</f>
        <v>5.66111111111111</v>
      </c>
      <c r="U851" s="231" t="n">
        <f aca="false">+$I851</f>
        <v>8146321</v>
      </c>
      <c r="V851" s="232" t="str">
        <f aca="false">+PROPER(F851)</f>
        <v>Soltero(A)</v>
      </c>
    </row>
    <row r="852" customFormat="false" ht="14.25" hidden="false" customHeight="false" outlineLevel="0" collapsed="false">
      <c r="B852" s="197" t="n">
        <v>1061818745</v>
      </c>
      <c r="C852" s="197" t="s">
        <v>2467</v>
      </c>
      <c r="D852" s="197" t="s">
        <v>2468</v>
      </c>
      <c r="E852" s="198" t="s">
        <v>944</v>
      </c>
      <c r="F852" s="198" t="s">
        <v>953</v>
      </c>
      <c r="G852" s="225" t="n">
        <v>3945300</v>
      </c>
      <c r="H852" s="225" t="n">
        <v>1506656</v>
      </c>
      <c r="I852" s="225" t="n">
        <v>174716</v>
      </c>
      <c r="J852" s="198" t="n">
        <v>25</v>
      </c>
      <c r="K852" s="198" t="n">
        <v>2</v>
      </c>
      <c r="L852" s="226" t="n">
        <v>44909</v>
      </c>
      <c r="M852" s="226" t="n">
        <v>44844</v>
      </c>
      <c r="N852" s="227" t="n">
        <v>0</v>
      </c>
      <c r="O852" s="227" t="s">
        <v>135</v>
      </c>
      <c r="P852" s="228" t="n">
        <f aca="false">VLOOKUP(B852,'NIVEL ENERO'!A:D,3,0)</f>
        <v>0.108926721681164</v>
      </c>
      <c r="Q852" s="229" t="n">
        <f aca="false">VLOOKUP(B852,'NIVEL ENERO'!A:D,4,0)</f>
        <v>1255274</v>
      </c>
      <c r="R852" s="186" t="str">
        <f aca="false">+PROPER(C852&amp;" "&amp;D852)</f>
        <v>Gonzalez Casas Maria Antonia</v>
      </c>
      <c r="S852" s="230" t="n">
        <f aca="false">+YEARFRAC(L852,$S$1)</f>
        <v>3.41111111111111</v>
      </c>
      <c r="T852" s="230" t="n">
        <f aca="false">+YEARFRAC(M852,$S$1)</f>
        <v>3.58888888888889</v>
      </c>
      <c r="U852" s="231" t="n">
        <f aca="false">+$I852</f>
        <v>174716</v>
      </c>
      <c r="V852" s="232" t="str">
        <f aca="false">+PROPER(F852)</f>
        <v>Soltero(A)</v>
      </c>
    </row>
    <row r="853" customFormat="false" ht="14.25" hidden="false" customHeight="false" outlineLevel="0" collapsed="false">
      <c r="B853" s="197" t="n">
        <v>1061986499</v>
      </c>
      <c r="C853" s="197" t="s">
        <v>2469</v>
      </c>
      <c r="D853" s="197" t="s">
        <v>2470</v>
      </c>
      <c r="E853" s="198" t="s">
        <v>944</v>
      </c>
      <c r="F853" s="198" t="s">
        <v>945</v>
      </c>
      <c r="G853" s="225" t="n">
        <v>2600900</v>
      </c>
      <c r="H853" s="225" t="n">
        <v>1040000</v>
      </c>
      <c r="I853" s="225"/>
      <c r="J853" s="198" t="n">
        <v>34</v>
      </c>
      <c r="K853" s="198" t="n">
        <v>1</v>
      </c>
      <c r="L853" s="226" t="n">
        <v>45414</v>
      </c>
      <c r="M853" s="226" t="n">
        <v>44105</v>
      </c>
      <c r="N853" s="227" t="n">
        <v>0</v>
      </c>
      <c r="O853" s="227" t="s">
        <v>135</v>
      </c>
      <c r="P853" s="228" t="n">
        <f aca="false">VLOOKUP(B853,'NIVEL ENERO'!A:D,3,0)</f>
        <v>0.153285861570416</v>
      </c>
      <c r="Q853" s="229" t="n">
        <f aca="false">VLOOKUP(B853,'NIVEL ENERO'!A:D,4,0)</f>
        <v>739440.5</v>
      </c>
      <c r="R853" s="186" t="str">
        <f aca="false">+PROPER(C853&amp;" "&amp;D853)</f>
        <v>Jimenez Navia Didier</v>
      </c>
      <c r="S853" s="230" t="n">
        <f aca="false">+YEARFRAC(L853,$S$1)</f>
        <v>2.02777777777778</v>
      </c>
      <c r="T853" s="230" t="n">
        <f aca="false">+YEARFRAC(M853,$S$1)</f>
        <v>5.61388888888889</v>
      </c>
      <c r="U853" s="231" t="n">
        <f aca="false">+$I853</f>
        <v>0</v>
      </c>
      <c r="V853" s="232" t="str">
        <f aca="false">+PROPER(F853)</f>
        <v>Union Libre</v>
      </c>
    </row>
    <row r="854" customFormat="false" ht="14.25" hidden="false" customHeight="false" outlineLevel="0" collapsed="false">
      <c r="B854" s="197" t="n">
        <v>1062204134</v>
      </c>
      <c r="C854" s="197" t="s">
        <v>2471</v>
      </c>
      <c r="D854" s="197" t="s">
        <v>2472</v>
      </c>
      <c r="E854" s="198" t="s">
        <v>944</v>
      </c>
      <c r="F854" s="198" t="s">
        <v>945</v>
      </c>
      <c r="G854" s="225" t="n">
        <v>2600900</v>
      </c>
      <c r="H854" s="225" t="n">
        <v>2701969</v>
      </c>
      <c r="I854" s="225"/>
      <c r="J854" s="198" t="n">
        <v>35</v>
      </c>
      <c r="K854" s="198" t="n">
        <v>2</v>
      </c>
      <c r="L854" s="226" t="n">
        <v>45121</v>
      </c>
      <c r="M854" s="226" t="n">
        <v>44470</v>
      </c>
      <c r="N854" s="227" t="n">
        <v>0</v>
      </c>
      <c r="O854" s="227" t="s">
        <v>135</v>
      </c>
      <c r="P854" s="228" t="n">
        <f aca="false">VLOOKUP(B854,'NIVEL ENERO'!A:D,3,0)</f>
        <v>0.383158772505899</v>
      </c>
      <c r="Q854" s="229" t="n">
        <f aca="false">VLOOKUP(B854,'NIVEL ENERO'!A:D,4,0)</f>
        <v>188827.28</v>
      </c>
      <c r="R854" s="186" t="str">
        <f aca="false">+PROPER(C854&amp;" "&amp;D854)</f>
        <v>Montano Palomino Yudi Vanessa</v>
      </c>
      <c r="S854" s="230" t="n">
        <f aca="false">+YEARFRAC(L854,$S$1)</f>
        <v>2.82777777777778</v>
      </c>
      <c r="T854" s="230" t="n">
        <f aca="false">+YEARFRAC(M854,$S$1)</f>
        <v>4.61388888888889</v>
      </c>
      <c r="U854" s="231" t="n">
        <f aca="false">+$I854</f>
        <v>0</v>
      </c>
      <c r="V854" s="232" t="str">
        <f aca="false">+PROPER(F854)</f>
        <v>Union Libre</v>
      </c>
    </row>
    <row r="855" customFormat="false" ht="14.25" hidden="false" customHeight="false" outlineLevel="0" collapsed="false">
      <c r="B855" s="197" t="n">
        <v>1062283228</v>
      </c>
      <c r="C855" s="197" t="s">
        <v>2473</v>
      </c>
      <c r="D855" s="197" t="s">
        <v>2474</v>
      </c>
      <c r="E855" s="198" t="s">
        <v>944</v>
      </c>
      <c r="F855" s="198" t="s">
        <v>953</v>
      </c>
      <c r="G855" s="225" t="n">
        <v>5418800</v>
      </c>
      <c r="H855" s="225" t="n">
        <v>4021915</v>
      </c>
      <c r="I855" s="225" t="n">
        <v>0</v>
      </c>
      <c r="J855" s="198" t="n">
        <v>37</v>
      </c>
      <c r="K855" s="198" t="n">
        <v>1</v>
      </c>
      <c r="L855" s="226" t="n">
        <v>44399</v>
      </c>
      <c r="M855" s="226" t="n">
        <v>39973</v>
      </c>
      <c r="N855" s="227" t="n">
        <v>2</v>
      </c>
      <c r="O855" s="227" t="s">
        <v>135</v>
      </c>
      <c r="P855" s="228" t="n">
        <f aca="false">VLOOKUP(B855,'NIVEL ENERO'!A:D,3,0)</f>
        <v>0.368157535554656</v>
      </c>
      <c r="Q855" s="229" t="n">
        <f aca="false">VLOOKUP(B855,'NIVEL ENERO'!A:D,4,0)</f>
        <v>295886.2</v>
      </c>
      <c r="R855" s="186" t="str">
        <f aca="false">+PROPER(C855&amp;" "&amp;D855)</f>
        <v>Angulo Quisobony Deycy Fernanda</v>
      </c>
      <c r="S855" s="230" t="n">
        <f aca="false">+YEARFRAC(L855,$S$1)</f>
        <v>4.80555555555556</v>
      </c>
      <c r="T855" s="230" t="n">
        <f aca="false">+YEARFRAC(M855,$S$1)</f>
        <v>16.925</v>
      </c>
      <c r="U855" s="231" t="n">
        <f aca="false">+$I855</f>
        <v>0</v>
      </c>
      <c r="V855" s="232" t="str">
        <f aca="false">+PROPER(F855)</f>
        <v>Soltero(A)</v>
      </c>
    </row>
    <row r="856" customFormat="false" ht="14.25" hidden="false" customHeight="false" outlineLevel="0" collapsed="false">
      <c r="B856" s="197" t="n">
        <v>1062287599</v>
      </c>
      <c r="C856" s="197" t="s">
        <v>2475</v>
      </c>
      <c r="D856" s="197" t="s">
        <v>2433</v>
      </c>
      <c r="E856" s="198" t="s">
        <v>944</v>
      </c>
      <c r="F856" s="198" t="s">
        <v>945</v>
      </c>
      <c r="G856" s="225" t="n">
        <v>1717900</v>
      </c>
      <c r="H856" s="225" t="n">
        <v>2557111</v>
      </c>
      <c r="I856" s="225" t="n">
        <v>2358447</v>
      </c>
      <c r="J856" s="198" t="n">
        <v>36</v>
      </c>
      <c r="K856" s="198" t="n">
        <v>2</v>
      </c>
      <c r="L856" s="226" t="n">
        <v>44218</v>
      </c>
      <c r="M856" s="226" t="n">
        <v>44039</v>
      </c>
      <c r="N856" s="227" t="n">
        <v>4</v>
      </c>
      <c r="O856" s="227" t="s">
        <v>135</v>
      </c>
      <c r="P856" s="228" t="n">
        <f aca="false">VLOOKUP(B856,'NIVEL ENERO'!A:D,3,0)</f>
        <v>0.228425497504024</v>
      </c>
      <c r="Q856" s="229" t="n">
        <f aca="false">VLOOKUP(B856,'NIVEL ENERO'!A:D,4,0)</f>
        <v>405897.2</v>
      </c>
      <c r="R856" s="186" t="str">
        <f aca="false">+PROPER(C856&amp;" "&amp;D856)</f>
        <v>Velasco Olano Cindy Lorena</v>
      </c>
      <c r="S856" s="230" t="n">
        <f aca="false">+YEARFRAC(L856,$S$1)</f>
        <v>5.30555555555556</v>
      </c>
      <c r="T856" s="230" t="n">
        <f aca="false">+YEARFRAC(M856,$S$1)</f>
        <v>5.79166666666667</v>
      </c>
      <c r="U856" s="231" t="n">
        <f aca="false">+$I856</f>
        <v>2358447</v>
      </c>
      <c r="V856" s="232" t="str">
        <f aca="false">+PROPER(F856)</f>
        <v>Union Libre</v>
      </c>
    </row>
    <row r="857" customFormat="false" ht="14.25" hidden="false" customHeight="false" outlineLevel="0" collapsed="false">
      <c r="B857" s="197" t="n">
        <v>1062289306</v>
      </c>
      <c r="C857" s="197" t="s">
        <v>2476</v>
      </c>
      <c r="D857" s="197" t="s">
        <v>1974</v>
      </c>
      <c r="E857" s="198" t="s">
        <v>944</v>
      </c>
      <c r="F857" s="198" t="s">
        <v>953</v>
      </c>
      <c r="G857" s="225" t="n">
        <v>2893800</v>
      </c>
      <c r="H857" s="225" t="n">
        <v>4355533</v>
      </c>
      <c r="I857" s="225" t="n">
        <v>3705792</v>
      </c>
      <c r="J857" s="198" t="n">
        <v>35</v>
      </c>
      <c r="K857" s="198" t="n">
        <v>4</v>
      </c>
      <c r="L857" s="226" t="n">
        <v>44432</v>
      </c>
      <c r="M857" s="226" t="n">
        <v>40558</v>
      </c>
      <c r="N857" s="227" t="n">
        <v>2</v>
      </c>
      <c r="O857" s="227" t="s">
        <v>135</v>
      </c>
      <c r="P857" s="228" t="n">
        <f aca="false">VLOOKUP(B857,'NIVEL ENERO'!A:D,3,0)</f>
        <v>0.388945742974397</v>
      </c>
      <c r="Q857" s="229" t="n">
        <f aca="false">VLOOKUP(B857,'NIVEL ENERO'!A:D,4,0)</f>
        <v>119255.8</v>
      </c>
      <c r="R857" s="186" t="str">
        <f aca="false">+PROPER(C857&amp;" "&amp;D857)</f>
        <v>Castro Fory Yajaira</v>
      </c>
      <c r="S857" s="230" t="n">
        <f aca="false">+YEARFRAC(L857,$S$1)</f>
        <v>4.71666666666667</v>
      </c>
      <c r="T857" s="230" t="n">
        <f aca="false">+YEARFRAC(M857,$S$1)</f>
        <v>15.325</v>
      </c>
      <c r="U857" s="231" t="n">
        <f aca="false">+$I857</f>
        <v>3705792</v>
      </c>
      <c r="V857" s="232" t="str">
        <f aca="false">+PROPER(F857)</f>
        <v>Soltero(A)</v>
      </c>
    </row>
    <row r="858" customFormat="false" ht="14.25" hidden="false" customHeight="false" outlineLevel="0" collapsed="false">
      <c r="B858" s="197" t="n">
        <v>1062290251</v>
      </c>
      <c r="C858" s="197" t="s">
        <v>2477</v>
      </c>
      <c r="D858" s="197" t="s">
        <v>2478</v>
      </c>
      <c r="E858" s="198" t="s">
        <v>944</v>
      </c>
      <c r="F858" s="198" t="s">
        <v>953</v>
      </c>
      <c r="G858" s="225" t="n">
        <v>2600900</v>
      </c>
      <c r="H858" s="225" t="n">
        <v>1500000</v>
      </c>
      <c r="I858" s="225" t="n">
        <v>2851755</v>
      </c>
      <c r="J858" s="198" t="n">
        <v>35</v>
      </c>
      <c r="K858" s="198" t="n">
        <v>4</v>
      </c>
      <c r="L858" s="226" t="n">
        <v>45369</v>
      </c>
      <c r="M858" s="226" t="n">
        <v>42860</v>
      </c>
      <c r="N858" s="227" t="n">
        <v>0</v>
      </c>
      <c r="O858" s="227" t="s">
        <v>135</v>
      </c>
      <c r="P858" s="228" t="n">
        <f aca="false">VLOOKUP(B858,'NIVEL ENERO'!A:D,3,0)</f>
        <v>0.21396516590411</v>
      </c>
      <c r="Q858" s="229" t="n">
        <f aca="false">VLOOKUP(B858,'NIVEL ENERO'!A:D,4,0)</f>
        <v>535876</v>
      </c>
      <c r="R858" s="186" t="str">
        <f aca="false">+PROPER(C858&amp;" "&amp;D858)</f>
        <v>Mezu Figueroa Vivian Liset</v>
      </c>
      <c r="S858" s="230" t="n">
        <f aca="false">+YEARFRAC(L858,$S$1)</f>
        <v>2.15</v>
      </c>
      <c r="T858" s="230" t="n">
        <f aca="false">+YEARFRAC(M858,$S$1)</f>
        <v>9.01944444444444</v>
      </c>
      <c r="U858" s="231" t="n">
        <f aca="false">+$I858</f>
        <v>2851755</v>
      </c>
      <c r="V858" s="232" t="str">
        <f aca="false">+PROPER(F858)</f>
        <v>Soltero(A)</v>
      </c>
    </row>
    <row r="859" customFormat="false" ht="14.25" hidden="false" customHeight="false" outlineLevel="0" collapsed="false">
      <c r="B859" s="197" t="n">
        <v>1062294892</v>
      </c>
      <c r="C859" s="197" t="s">
        <v>2479</v>
      </c>
      <c r="D859" s="197" t="s">
        <v>2480</v>
      </c>
      <c r="E859" s="198" t="s">
        <v>944</v>
      </c>
      <c r="F859" s="198" t="s">
        <v>953</v>
      </c>
      <c r="G859" s="225" t="n">
        <v>2604400</v>
      </c>
      <c r="H859" s="225" t="n">
        <v>4244837</v>
      </c>
      <c r="I859" s="225" t="n">
        <v>0</v>
      </c>
      <c r="J859" s="198" t="n">
        <v>35</v>
      </c>
      <c r="K859" s="198" t="n">
        <v>2</v>
      </c>
      <c r="L859" s="226" t="n">
        <v>43698</v>
      </c>
      <c r="M859" s="226" t="n">
        <v>43160</v>
      </c>
      <c r="N859" s="227" t="n">
        <v>3</v>
      </c>
      <c r="O859" s="227" t="s">
        <v>135</v>
      </c>
      <c r="P859" s="228" t="n">
        <f aca="false">VLOOKUP(B859,'NIVEL ENERO'!A:D,3,0)</f>
        <v>0.112473182849804</v>
      </c>
      <c r="Q859" s="229" t="n">
        <f aca="false">VLOOKUP(B859,'NIVEL ENERO'!A:D,4,0)</f>
        <v>1081245.94</v>
      </c>
      <c r="R859" s="186" t="str">
        <f aca="false">+PROPER(C859&amp;" "&amp;D859)</f>
        <v>Barney Orozco Hingri Jovana</v>
      </c>
      <c r="S859" s="230" t="n">
        <f aca="false">+YEARFRAC(L859,$S$1)</f>
        <v>6.725</v>
      </c>
      <c r="T859" s="230" t="n">
        <f aca="false">+YEARFRAC(M859,$S$1)</f>
        <v>8.19722222222222</v>
      </c>
      <c r="U859" s="231" t="n">
        <f aca="false">+$I859</f>
        <v>0</v>
      </c>
      <c r="V859" s="232" t="str">
        <f aca="false">+PROPER(F859)</f>
        <v>Soltero(A)</v>
      </c>
    </row>
    <row r="860" customFormat="false" ht="14.25" hidden="false" customHeight="false" outlineLevel="0" collapsed="false">
      <c r="B860" s="197" t="n">
        <v>1062300651</v>
      </c>
      <c r="C860" s="197" t="s">
        <v>2481</v>
      </c>
      <c r="D860" s="197" t="s">
        <v>2482</v>
      </c>
      <c r="E860" s="198" t="s">
        <v>944</v>
      </c>
      <c r="F860" s="198" t="s">
        <v>953</v>
      </c>
      <c r="G860" s="225" t="n">
        <v>2648100</v>
      </c>
      <c r="H860" s="225" t="n">
        <v>2400805</v>
      </c>
      <c r="I860" s="225"/>
      <c r="J860" s="198" t="n">
        <v>33</v>
      </c>
      <c r="K860" s="198" t="n">
        <v>1</v>
      </c>
      <c r="L860" s="226" t="n">
        <v>45180</v>
      </c>
      <c r="M860" s="226" t="n">
        <v>44661</v>
      </c>
      <c r="N860" s="227" t="n">
        <v>0</v>
      </c>
      <c r="O860" s="227" t="s">
        <v>135</v>
      </c>
      <c r="P860" s="228" t="n">
        <f aca="false">VLOOKUP(B860,'NIVEL ENERO'!A:D,3,0)</f>
        <v>0.139028612896537</v>
      </c>
      <c r="Q860" s="229" t="n">
        <f aca="false">VLOOKUP(B860,'NIVEL ENERO'!A:D,4,0)</f>
        <v>813075</v>
      </c>
      <c r="R860" s="186" t="str">
        <f aca="false">+PROPER(C860&amp;" "&amp;D860)</f>
        <v>Velasco Carbonero Andres Felipe</v>
      </c>
      <c r="S860" s="230" t="n">
        <f aca="false">+YEARFRAC(L860,$S$1)</f>
        <v>2.66944444444444</v>
      </c>
      <c r="T860" s="230" t="n">
        <f aca="false">+YEARFRAC(M860,$S$1)</f>
        <v>4.08888888888889</v>
      </c>
      <c r="U860" s="231" t="n">
        <f aca="false">+$I860</f>
        <v>0</v>
      </c>
      <c r="V860" s="232" t="str">
        <f aca="false">+PROPER(F860)</f>
        <v>Soltero(A)</v>
      </c>
    </row>
    <row r="861" customFormat="false" ht="14.25" hidden="false" customHeight="false" outlineLevel="0" collapsed="false">
      <c r="B861" s="197" t="n">
        <v>1062303624</v>
      </c>
      <c r="C861" s="197" t="s">
        <v>2483</v>
      </c>
      <c r="D861" s="197" t="s">
        <v>2484</v>
      </c>
      <c r="E861" s="198" t="s">
        <v>944</v>
      </c>
      <c r="F861" s="198" t="s">
        <v>953</v>
      </c>
      <c r="G861" s="225" t="n">
        <v>1500000</v>
      </c>
      <c r="H861" s="225" t="n">
        <v>4918691</v>
      </c>
      <c r="I861" s="225" t="n">
        <v>8309744</v>
      </c>
      <c r="J861" s="198" t="n">
        <v>32</v>
      </c>
      <c r="K861" s="198" t="n">
        <v>2</v>
      </c>
      <c r="L861" s="226" t="n">
        <v>43622</v>
      </c>
      <c r="M861" s="226" t="n">
        <v>43313</v>
      </c>
      <c r="N861" s="227" t="n">
        <v>2</v>
      </c>
      <c r="O861" s="227" t="s">
        <v>158</v>
      </c>
      <c r="P861" s="228" t="e">
        <f aca="false">VLOOKUP(B861,'NIVEL ENERO'!A:D,3,0)</f>
        <v>#N/A</v>
      </c>
      <c r="Q861" s="229" t="e">
        <f aca="false">VLOOKUP(B861,'NIVEL ENERO'!A:D,4,0)</f>
        <v>#N/A</v>
      </c>
      <c r="R861" s="186" t="str">
        <f aca="false">+PROPER(C861&amp;" "&amp;D861)</f>
        <v>Pomar Herrera Gustavo Adolfo</v>
      </c>
      <c r="S861" s="230" t="n">
        <f aca="false">+YEARFRAC(L861,$S$1)</f>
        <v>6.93333333333333</v>
      </c>
      <c r="T861" s="230" t="n">
        <f aca="false">+YEARFRAC(M861,$S$1)</f>
        <v>7.78055555555556</v>
      </c>
      <c r="U861" s="231" t="n">
        <f aca="false">+$I861</f>
        <v>8309744</v>
      </c>
      <c r="V861" s="232" t="str">
        <f aca="false">+PROPER(F861)</f>
        <v>Soltero(A)</v>
      </c>
    </row>
    <row r="862" customFormat="false" ht="14.25" hidden="false" customHeight="false" outlineLevel="0" collapsed="false">
      <c r="B862" s="197" t="n">
        <v>1062303978</v>
      </c>
      <c r="C862" s="197" t="s">
        <v>2485</v>
      </c>
      <c r="D862" s="197" t="s">
        <v>2486</v>
      </c>
      <c r="E862" s="198" t="s">
        <v>981</v>
      </c>
      <c r="F862" s="198" t="s">
        <v>953</v>
      </c>
      <c r="G862" s="225" t="n">
        <v>4499467</v>
      </c>
      <c r="H862" s="225" t="n">
        <v>2415791</v>
      </c>
      <c r="I862" s="225" t="n">
        <v>4343725</v>
      </c>
      <c r="J862" s="198" t="n">
        <v>32</v>
      </c>
      <c r="K862" s="198" t="n">
        <v>4</v>
      </c>
      <c r="L862" s="226" t="n">
        <v>44335</v>
      </c>
      <c r="M862" s="226" t="n">
        <v>43235</v>
      </c>
      <c r="N862" s="227" t="n">
        <v>2</v>
      </c>
      <c r="O862" s="227" t="s">
        <v>158</v>
      </c>
      <c r="P862" s="228" t="e">
        <f aca="false">VLOOKUP(B862,'NIVEL ENERO'!A:D,3,0)</f>
        <v>#N/A</v>
      </c>
      <c r="Q862" s="229" t="e">
        <f aca="false">VLOOKUP(B862,'NIVEL ENERO'!A:D,4,0)</f>
        <v>#N/A</v>
      </c>
      <c r="R862" s="186" t="str">
        <f aca="false">+PROPER(C862&amp;" "&amp;D862)</f>
        <v>Fajardo Ramirez Jenny Tatiana</v>
      </c>
      <c r="S862" s="230" t="n">
        <f aca="false">+YEARFRAC(L862,$S$1)</f>
        <v>4.98055555555556</v>
      </c>
      <c r="T862" s="230" t="n">
        <f aca="false">+YEARFRAC(M862,$S$1)</f>
        <v>7.99166666666667</v>
      </c>
      <c r="U862" s="231" t="n">
        <f aca="false">+$I862</f>
        <v>4343725</v>
      </c>
      <c r="V862" s="232" t="str">
        <f aca="false">+PROPER(F862)</f>
        <v>Soltero(A)</v>
      </c>
    </row>
    <row r="863" customFormat="false" ht="14.25" hidden="false" customHeight="false" outlineLevel="0" collapsed="false">
      <c r="B863" s="197" t="n">
        <v>1062308316</v>
      </c>
      <c r="C863" s="197" t="s">
        <v>2487</v>
      </c>
      <c r="D863" s="197" t="s">
        <v>2488</v>
      </c>
      <c r="E863" s="198" t="s">
        <v>944</v>
      </c>
      <c r="F863" s="198" t="s">
        <v>945</v>
      </c>
      <c r="G863" s="225" t="n">
        <v>2600900</v>
      </c>
      <c r="H863" s="225" t="n">
        <v>3718870</v>
      </c>
      <c r="I863" s="225" t="n">
        <v>0</v>
      </c>
      <c r="J863" s="198" t="n">
        <v>31</v>
      </c>
      <c r="K863" s="198" t="n">
        <v>2</v>
      </c>
      <c r="L863" s="226" t="n">
        <v>44246</v>
      </c>
      <c r="M863" s="226" t="n">
        <v>42887</v>
      </c>
      <c r="N863" s="227" t="n">
        <v>2</v>
      </c>
      <c r="O863" s="227" t="s">
        <v>135</v>
      </c>
      <c r="P863" s="228" t="n">
        <f aca="false">VLOOKUP(B863,'NIVEL ENERO'!A:D,3,0)</f>
        <v>0.12645199738552</v>
      </c>
      <c r="Q863" s="229" t="n">
        <f aca="false">VLOOKUP(B863,'NIVEL ENERO'!A:D,4,0)</f>
        <v>763489</v>
      </c>
      <c r="R863" s="186" t="str">
        <f aca="false">+PROPER(C863&amp;" "&amp;D863)</f>
        <v>Ramos Tengano Natalia Andrea</v>
      </c>
      <c r="S863" s="230" t="n">
        <f aca="false">+YEARFRAC(L863,$S$1)</f>
        <v>5.23055555555556</v>
      </c>
      <c r="T863" s="230" t="n">
        <f aca="false">+YEARFRAC(M863,$S$1)</f>
        <v>8.94722222222222</v>
      </c>
      <c r="U863" s="231" t="n">
        <f aca="false">+$I863</f>
        <v>0</v>
      </c>
      <c r="V863" s="232" t="str">
        <f aca="false">+PROPER(F863)</f>
        <v>Union Libre</v>
      </c>
    </row>
    <row r="864" customFormat="false" ht="14.25" hidden="false" customHeight="false" outlineLevel="0" collapsed="false">
      <c r="B864" s="197" t="n">
        <v>1062312895</v>
      </c>
      <c r="C864" s="197" t="s">
        <v>2489</v>
      </c>
      <c r="D864" s="197" t="s">
        <v>2482</v>
      </c>
      <c r="E864" s="198" t="s">
        <v>944</v>
      </c>
      <c r="F864" s="198" t="s">
        <v>945</v>
      </c>
      <c r="G864" s="225" t="n">
        <v>2600900</v>
      </c>
      <c r="H864" s="225" t="n">
        <v>2112746</v>
      </c>
      <c r="I864" s="225" t="n">
        <v>45231</v>
      </c>
      <c r="J864" s="198" t="n">
        <v>30</v>
      </c>
      <c r="K864" s="198" t="n">
        <v>2</v>
      </c>
      <c r="L864" s="226" t="n">
        <v>44550</v>
      </c>
      <c r="M864" s="226" t="n">
        <v>44405</v>
      </c>
      <c r="N864" s="227" t="n">
        <v>2</v>
      </c>
      <c r="O864" s="227" t="s">
        <v>135</v>
      </c>
      <c r="P864" s="228" t="n">
        <f aca="false">VLOOKUP(B864,'NIVEL ENERO'!A:D,3,0)</f>
        <v>0.441185041672997</v>
      </c>
      <c r="Q864" s="229" t="n">
        <f aca="false">VLOOKUP(B864,'NIVEL ENERO'!A:D,4,0)</f>
        <v>-73714.4399999999</v>
      </c>
      <c r="R864" s="186" t="str">
        <f aca="false">+PROPER(C864&amp;" "&amp;D864)</f>
        <v>Arrieta Yucuma Andres Felipe</v>
      </c>
      <c r="S864" s="230" t="n">
        <f aca="false">+YEARFRAC(L864,$S$1)</f>
        <v>4.39444444444445</v>
      </c>
      <c r="T864" s="230" t="n">
        <f aca="false">+YEARFRAC(M864,$S$1)</f>
        <v>4.78888888888889</v>
      </c>
      <c r="U864" s="231" t="n">
        <f aca="false">+$I864</f>
        <v>45231</v>
      </c>
      <c r="V864" s="232" t="str">
        <f aca="false">+PROPER(F864)</f>
        <v>Union Libre</v>
      </c>
    </row>
    <row r="865" customFormat="false" ht="14.25" hidden="false" customHeight="false" outlineLevel="0" collapsed="false">
      <c r="B865" s="197" t="n">
        <v>1062312939</v>
      </c>
      <c r="C865" s="197" t="s">
        <v>2490</v>
      </c>
      <c r="D865" s="197" t="s">
        <v>2491</v>
      </c>
      <c r="E865" s="198" t="s">
        <v>944</v>
      </c>
      <c r="F865" s="198" t="s">
        <v>953</v>
      </c>
      <c r="G865" s="225" t="n">
        <v>6796400</v>
      </c>
      <c r="H865" s="225" t="n">
        <v>300000</v>
      </c>
      <c r="I865" s="225"/>
      <c r="J865" s="198" t="n">
        <v>30</v>
      </c>
      <c r="K865" s="198" t="n">
        <v>1</v>
      </c>
      <c r="L865" s="226" t="n">
        <v>45615</v>
      </c>
      <c r="M865" s="226" t="n">
        <v>45149</v>
      </c>
      <c r="N865" s="227" t="n">
        <v>0</v>
      </c>
      <c r="O865" s="227" t="s">
        <v>135</v>
      </c>
      <c r="P865" s="228" t="n">
        <f aca="false">VLOOKUP(B865,'NIVEL ENERO'!A:D,3,0)</f>
        <v>0.144439996850928</v>
      </c>
      <c r="Q865" s="229" t="n">
        <f aca="false">VLOOKUP(B865,'NIVEL ENERO'!A:D,4,0)</f>
        <v>2154959.78</v>
      </c>
      <c r="R865" s="186" t="str">
        <f aca="false">+PROPER(C865&amp;" "&amp;D865)</f>
        <v>Carabali Carabali Laura Marcela</v>
      </c>
      <c r="S865" s="230" t="n">
        <f aca="false">+YEARFRAC(L865,$S$1)</f>
        <v>1.48055555555556</v>
      </c>
      <c r="T865" s="230" t="n">
        <f aca="false">+YEARFRAC(M865,$S$1)</f>
        <v>2.75277777777778</v>
      </c>
      <c r="U865" s="231" t="n">
        <f aca="false">+$I865</f>
        <v>0</v>
      </c>
      <c r="V865" s="232" t="str">
        <f aca="false">+PROPER(F865)</f>
        <v>Soltero(A)</v>
      </c>
    </row>
    <row r="866" customFormat="false" ht="14.25" hidden="false" customHeight="false" outlineLevel="0" collapsed="false">
      <c r="B866" s="197" t="n">
        <v>1062314112</v>
      </c>
      <c r="C866" s="197" t="s">
        <v>2492</v>
      </c>
      <c r="D866" s="197" t="s">
        <v>2493</v>
      </c>
      <c r="E866" s="198" t="s">
        <v>944</v>
      </c>
      <c r="F866" s="198" t="s">
        <v>953</v>
      </c>
      <c r="G866" s="225" t="n">
        <v>2893800</v>
      </c>
      <c r="H866" s="225" t="n">
        <v>1607671</v>
      </c>
      <c r="I866" s="225" t="n">
        <v>1611719</v>
      </c>
      <c r="J866" s="198" t="n">
        <v>30</v>
      </c>
      <c r="K866" s="198" t="n">
        <v>3</v>
      </c>
      <c r="L866" s="226" t="n">
        <v>44852</v>
      </c>
      <c r="M866" s="226" t="n">
        <v>43294</v>
      </c>
      <c r="N866" s="227" t="n">
        <v>0</v>
      </c>
      <c r="O866" s="227" t="s">
        <v>135</v>
      </c>
      <c r="P866" s="228" t="n">
        <f aca="false">VLOOKUP(B866,'NIVEL ENERO'!A:D,3,0)</f>
        <v>0.333950654000745</v>
      </c>
      <c r="Q866" s="229" t="n">
        <f aca="false">VLOOKUP(B866,'NIVEL ENERO'!A:D,4,0)</f>
        <v>352986.12</v>
      </c>
      <c r="R866" s="186" t="str">
        <f aca="false">+PROPER(C866&amp;" "&amp;D866)</f>
        <v>Villanueva Secue Edward Andres</v>
      </c>
      <c r="S866" s="230" t="n">
        <f aca="false">+YEARFRAC(L866,$S$1)</f>
        <v>3.56666666666667</v>
      </c>
      <c r="T866" s="230" t="n">
        <f aca="false">+YEARFRAC(M866,$S$1)</f>
        <v>7.83055555555556</v>
      </c>
      <c r="U866" s="231" t="n">
        <f aca="false">+$I866</f>
        <v>1611719</v>
      </c>
      <c r="V866" s="232" t="str">
        <f aca="false">+PROPER(F866)</f>
        <v>Soltero(A)</v>
      </c>
    </row>
    <row r="867" customFormat="false" ht="14.25" hidden="false" customHeight="false" outlineLevel="0" collapsed="false">
      <c r="B867" s="197" t="n">
        <v>1062317237</v>
      </c>
      <c r="C867" s="197" t="s">
        <v>2494</v>
      </c>
      <c r="D867" s="197" t="s">
        <v>1129</v>
      </c>
      <c r="E867" s="198" t="s">
        <v>944</v>
      </c>
      <c r="F867" s="198" t="s">
        <v>953</v>
      </c>
      <c r="G867" s="225" t="n">
        <v>2893800</v>
      </c>
      <c r="H867" s="225" t="n">
        <v>500000</v>
      </c>
      <c r="I867" s="225" t="n">
        <v>2903067</v>
      </c>
      <c r="J867" s="198" t="n">
        <v>29</v>
      </c>
      <c r="K867" s="198" t="n">
        <v>2</v>
      </c>
      <c r="L867" s="226" t="n">
        <v>45517</v>
      </c>
      <c r="M867" s="226" t="n">
        <v>42933</v>
      </c>
      <c r="N867" s="227" t="n">
        <v>3</v>
      </c>
      <c r="O867" s="227" t="s">
        <v>135</v>
      </c>
      <c r="P867" s="228" t="n">
        <f aca="false">VLOOKUP(B867,'NIVEL ENERO'!A:D,3,0)</f>
        <v>0.407613333195467</v>
      </c>
      <c r="Q867" s="229" t="n">
        <f aca="false">VLOOKUP(B867,'NIVEL ENERO'!A:D,4,0)</f>
        <v>47119.1200000001</v>
      </c>
      <c r="R867" s="186" t="str">
        <f aca="false">+PROPER(C867&amp;" "&amp;D867)</f>
        <v>Casaran Cortes Kelly Johana</v>
      </c>
      <c r="S867" s="230" t="n">
        <f aca="false">+YEARFRAC(L867,$S$1)</f>
        <v>1.74722222222222</v>
      </c>
      <c r="T867" s="230" t="n">
        <f aca="false">+YEARFRAC(M867,$S$1)</f>
        <v>8.81944444444445</v>
      </c>
      <c r="U867" s="231" t="n">
        <f aca="false">+$I867</f>
        <v>2903067</v>
      </c>
      <c r="V867" s="232" t="str">
        <f aca="false">+PROPER(F867)</f>
        <v>Soltero(A)</v>
      </c>
    </row>
    <row r="868" customFormat="false" ht="14.25" hidden="false" customHeight="false" outlineLevel="0" collapsed="false">
      <c r="B868" s="197" t="n">
        <v>1062324690</v>
      </c>
      <c r="C868" s="197" t="s">
        <v>2495</v>
      </c>
      <c r="D868" s="197" t="s">
        <v>2496</v>
      </c>
      <c r="E868" s="198" t="s">
        <v>944</v>
      </c>
      <c r="F868" s="198" t="s">
        <v>948</v>
      </c>
      <c r="G868" s="225" t="n">
        <v>2889000</v>
      </c>
      <c r="H868" s="225" t="n">
        <v>2405634</v>
      </c>
      <c r="I868" s="225" t="n">
        <v>2160212</v>
      </c>
      <c r="J868" s="198" t="n">
        <v>27</v>
      </c>
      <c r="K868" s="198" t="n">
        <v>2</v>
      </c>
      <c r="L868" s="226" t="n">
        <v>44938</v>
      </c>
      <c r="M868" s="226" t="n">
        <v>42933</v>
      </c>
      <c r="N868" s="227" t="n">
        <v>1</v>
      </c>
      <c r="O868" s="227" t="s">
        <v>135</v>
      </c>
      <c r="P868" s="228" t="n">
        <f aca="false">VLOOKUP(B868,'NIVEL ENERO'!A:D,3,0)</f>
        <v>0.392480795749477</v>
      </c>
      <c r="Q868" s="229" t="n">
        <f aca="false">VLOOKUP(B868,'NIVEL ENERO'!A:D,4,0)</f>
        <v>114110.16</v>
      </c>
      <c r="R868" s="186" t="str">
        <f aca="false">+PROPER(C868&amp;" "&amp;D868)</f>
        <v>Balanta Garcia Alvaro Javier</v>
      </c>
      <c r="S868" s="230" t="n">
        <f aca="false">+YEARFRAC(L868,$S$1)</f>
        <v>3.33333333333333</v>
      </c>
      <c r="T868" s="230" t="n">
        <f aca="false">+YEARFRAC(M868,$S$1)</f>
        <v>8.81944444444445</v>
      </c>
      <c r="U868" s="231" t="n">
        <f aca="false">+$I868</f>
        <v>2160212</v>
      </c>
      <c r="V868" s="232" t="str">
        <f aca="false">+PROPER(F868)</f>
        <v>Casado(A)</v>
      </c>
    </row>
    <row r="869" customFormat="false" ht="14.25" hidden="false" customHeight="false" outlineLevel="0" collapsed="false">
      <c r="B869" s="197" t="n">
        <v>1062326783</v>
      </c>
      <c r="C869" s="197" t="s">
        <v>2497</v>
      </c>
      <c r="D869" s="197" t="s">
        <v>2498</v>
      </c>
      <c r="E869" s="198" t="s">
        <v>944</v>
      </c>
      <c r="F869" s="198" t="s">
        <v>953</v>
      </c>
      <c r="G869" s="225" t="n">
        <v>1532900</v>
      </c>
      <c r="H869" s="225" t="n">
        <v>1740841</v>
      </c>
      <c r="I869" s="225" t="n">
        <v>3131047</v>
      </c>
      <c r="J869" s="198" t="n">
        <v>27</v>
      </c>
      <c r="K869" s="198" t="n">
        <v>2</v>
      </c>
      <c r="L869" s="226" t="n">
        <v>44825</v>
      </c>
      <c r="M869" s="226" t="n">
        <v>44495</v>
      </c>
      <c r="N869" s="227" t="n">
        <v>1</v>
      </c>
      <c r="O869" s="227" t="s">
        <v>135</v>
      </c>
      <c r="P869" s="228" t="n">
        <f aca="false">VLOOKUP(B869,'NIVEL ENERO'!A:D,3,0)</f>
        <v>0.355287201552923</v>
      </c>
      <c r="Q869" s="229" t="n">
        <f aca="false">VLOOKUP(B869,'NIVEL ENERO'!A:D,4,0)</f>
        <v>126959.5</v>
      </c>
      <c r="R869" s="186" t="str">
        <f aca="false">+PROPER(C869&amp;" "&amp;D869)</f>
        <v>Mamian Mamian Tania Vanesa</v>
      </c>
      <c r="S869" s="230" t="n">
        <f aca="false">+YEARFRAC(L869,$S$1)</f>
        <v>3.64166666666667</v>
      </c>
      <c r="T869" s="230" t="n">
        <f aca="false">+YEARFRAC(M869,$S$1)</f>
        <v>4.54444444444444</v>
      </c>
      <c r="U869" s="231" t="n">
        <f aca="false">+$I869</f>
        <v>3131047</v>
      </c>
      <c r="V869" s="232" t="str">
        <f aca="false">+PROPER(F869)</f>
        <v>Soltero(A)</v>
      </c>
    </row>
    <row r="870" customFormat="false" ht="14.25" hidden="false" customHeight="false" outlineLevel="0" collapsed="false">
      <c r="B870" s="197" t="n">
        <v>1063813519</v>
      </c>
      <c r="C870" s="197" t="s">
        <v>2499</v>
      </c>
      <c r="D870" s="197" t="s">
        <v>2500</v>
      </c>
      <c r="E870" s="198" t="s">
        <v>944</v>
      </c>
      <c r="F870" s="198" t="s">
        <v>953</v>
      </c>
      <c r="G870" s="225" t="n">
        <v>2255900</v>
      </c>
      <c r="H870" s="225" t="n">
        <v>4343698</v>
      </c>
      <c r="I870" s="225" t="n">
        <v>7144942</v>
      </c>
      <c r="J870" s="198" t="n">
        <v>30</v>
      </c>
      <c r="K870" s="198" t="n">
        <v>2</v>
      </c>
      <c r="L870" s="226" t="n">
        <v>44636</v>
      </c>
      <c r="M870" s="226" t="n">
        <v>44322</v>
      </c>
      <c r="N870" s="227" t="n">
        <v>2</v>
      </c>
      <c r="O870" s="227" t="s">
        <v>135</v>
      </c>
      <c r="P870" s="228" t="n">
        <f aca="false">VLOOKUP(B870,'NIVEL ENERO'!A:D,3,0)</f>
        <v>0.237020048755578</v>
      </c>
      <c r="Q870" s="229" t="n">
        <f aca="false">VLOOKUP(B870,'NIVEL ENERO'!A:D,4,0)</f>
        <v>577987.86</v>
      </c>
      <c r="R870" s="186" t="str">
        <f aca="false">+PROPER(C870&amp;" "&amp;D870)</f>
        <v>Caiza Narvaez Yiner Efrey</v>
      </c>
      <c r="S870" s="230" t="n">
        <f aca="false">+YEARFRAC(L870,$S$1)</f>
        <v>4.15555555555556</v>
      </c>
      <c r="T870" s="230" t="n">
        <f aca="false">+YEARFRAC(M870,$S$1)</f>
        <v>5.01666666666667</v>
      </c>
      <c r="U870" s="231" t="n">
        <f aca="false">+$I870</f>
        <v>7144942</v>
      </c>
      <c r="V870" s="232" t="str">
        <f aca="false">+PROPER(F870)</f>
        <v>Soltero(A)</v>
      </c>
    </row>
    <row r="871" customFormat="false" ht="14.25" hidden="false" customHeight="false" outlineLevel="0" collapsed="false">
      <c r="B871" s="197" t="n">
        <v>1064430974</v>
      </c>
      <c r="C871" s="197" t="s">
        <v>2501</v>
      </c>
      <c r="D871" s="197" t="s">
        <v>2502</v>
      </c>
      <c r="E871" s="198" t="s">
        <v>944</v>
      </c>
      <c r="F871" s="198" t="s">
        <v>953</v>
      </c>
      <c r="G871" s="225" t="n">
        <v>1918500</v>
      </c>
      <c r="H871" s="225" t="n">
        <v>1557164</v>
      </c>
      <c r="I871" s="225" t="n">
        <v>183295</v>
      </c>
      <c r="J871" s="198" t="n">
        <v>34</v>
      </c>
      <c r="K871" s="198" t="n">
        <v>3</v>
      </c>
      <c r="L871" s="226" t="n">
        <v>44886</v>
      </c>
      <c r="M871" s="226" t="n">
        <v>41987</v>
      </c>
      <c r="N871" s="227" t="n">
        <v>2</v>
      </c>
      <c r="O871" s="227" t="s">
        <v>135</v>
      </c>
      <c r="P871" s="228" t="n">
        <f aca="false">VLOOKUP(B871,'NIVEL ENERO'!A:D,3,0)</f>
        <v>0.432615762314308</v>
      </c>
      <c r="Q871" s="229" t="n">
        <f aca="false">VLOOKUP(B871,'NIVEL ENERO'!A:D,4,0)</f>
        <v>-57627</v>
      </c>
      <c r="R871" s="186" t="str">
        <f aca="false">+PROPER(C871&amp;" "&amp;D871)</f>
        <v>Bolanos Hurtado Bertha Alejandra</v>
      </c>
      <c r="S871" s="230" t="n">
        <f aca="false">+YEARFRAC(L871,$S$1)</f>
        <v>3.475</v>
      </c>
      <c r="T871" s="230" t="n">
        <f aca="false">+YEARFRAC(M871,$S$1)</f>
        <v>11.4111111111111</v>
      </c>
      <c r="U871" s="231" t="n">
        <f aca="false">+$I871</f>
        <v>183295</v>
      </c>
      <c r="V871" s="232" t="str">
        <f aca="false">+PROPER(F871)</f>
        <v>Soltero(A)</v>
      </c>
    </row>
    <row r="872" customFormat="false" ht="14.25" hidden="false" customHeight="false" outlineLevel="0" collapsed="false">
      <c r="B872" s="197" t="n">
        <v>1064441803</v>
      </c>
      <c r="C872" s="197" t="s">
        <v>2503</v>
      </c>
      <c r="D872" s="197" t="s">
        <v>2504</v>
      </c>
      <c r="E872" s="198" t="s">
        <v>944</v>
      </c>
      <c r="F872" s="198" t="s">
        <v>953</v>
      </c>
      <c r="G872" s="225" t="n">
        <v>1380000</v>
      </c>
      <c r="H872" s="225" t="n">
        <v>138000</v>
      </c>
      <c r="I872" s="225"/>
      <c r="J872" s="198" t="n">
        <v>25</v>
      </c>
      <c r="K872" s="198" t="n">
        <v>1</v>
      </c>
      <c r="L872" s="226" t="n">
        <v>45609</v>
      </c>
      <c r="M872" s="226" t="n">
        <v>45532</v>
      </c>
      <c r="N872" s="227" t="n">
        <v>0</v>
      </c>
      <c r="O872" s="227" t="s">
        <v>185</v>
      </c>
      <c r="P872" s="228" t="e">
        <f aca="false">VLOOKUP(B872,'NIVEL ENERO'!A:D,3,0)</f>
        <v>#N/A</v>
      </c>
      <c r="Q872" s="229" t="e">
        <f aca="false">VLOOKUP(B872,'NIVEL ENERO'!A:D,4,0)</f>
        <v>#N/A</v>
      </c>
      <c r="R872" s="186" t="str">
        <f aca="false">+PROPER(C872&amp;" "&amp;D872)</f>
        <v>Casso Dicue Lisbeth Lorena</v>
      </c>
      <c r="S872" s="230" t="n">
        <f aca="false">+YEARFRAC(L872,$S$1)</f>
        <v>1.49722222222222</v>
      </c>
      <c r="T872" s="230" t="n">
        <f aca="false">+YEARFRAC(M872,$S$1)</f>
        <v>1.70555555555556</v>
      </c>
      <c r="U872" s="231" t="n">
        <f aca="false">+$I872</f>
        <v>0</v>
      </c>
      <c r="V872" s="232" t="str">
        <f aca="false">+PROPER(F872)</f>
        <v>Soltero(A)</v>
      </c>
    </row>
    <row r="873" customFormat="false" ht="14.25" hidden="false" customHeight="false" outlineLevel="0" collapsed="false">
      <c r="B873" s="197" t="n">
        <v>1065654814</v>
      </c>
      <c r="C873" s="197" t="s">
        <v>2505</v>
      </c>
      <c r="D873" s="197" t="s">
        <v>2506</v>
      </c>
      <c r="E873" s="198" t="s">
        <v>944</v>
      </c>
      <c r="F873" s="198" t="s">
        <v>948</v>
      </c>
      <c r="G873" s="225" t="n">
        <v>4383200</v>
      </c>
      <c r="H873" s="225" t="n">
        <v>1404054</v>
      </c>
      <c r="I873" s="225" t="n">
        <v>2438288</v>
      </c>
      <c r="J873" s="198" t="n">
        <v>31</v>
      </c>
      <c r="K873" s="198" t="n">
        <v>2</v>
      </c>
      <c r="L873" s="226" t="n">
        <v>45251</v>
      </c>
      <c r="M873" s="226" t="n">
        <v>44105</v>
      </c>
      <c r="N873" s="227" t="n">
        <v>4</v>
      </c>
      <c r="O873" s="227" t="s">
        <v>135</v>
      </c>
      <c r="P873" s="228" t="n">
        <f aca="false">VLOOKUP(B873,'NIVEL ENERO'!A:D,3,0)</f>
        <v>0.377942755492624</v>
      </c>
      <c r="Q873" s="229" t="n">
        <f aca="false">VLOOKUP(B873,'NIVEL ENERO'!A:D,4,0)</f>
        <v>222728.62</v>
      </c>
      <c r="R873" s="186" t="str">
        <f aca="false">+PROPER(C873&amp;" "&amp;D873)</f>
        <v>Mendoza Garcia Neyris</v>
      </c>
      <c r="S873" s="230" t="n">
        <f aca="false">+YEARFRAC(L873,$S$1)</f>
        <v>2.475</v>
      </c>
      <c r="T873" s="230" t="n">
        <f aca="false">+YEARFRAC(M873,$S$1)</f>
        <v>5.61388888888889</v>
      </c>
      <c r="U873" s="231" t="n">
        <f aca="false">+$I873</f>
        <v>2438288</v>
      </c>
      <c r="V873" s="232" t="str">
        <f aca="false">+PROPER(F873)</f>
        <v>Casado(A)</v>
      </c>
    </row>
    <row r="874" customFormat="false" ht="14.25" hidden="false" customHeight="false" outlineLevel="0" collapsed="false">
      <c r="B874" s="197" t="n">
        <v>1065664139</v>
      </c>
      <c r="C874" s="197" t="s">
        <v>2507</v>
      </c>
      <c r="D874" s="197" t="s">
        <v>2508</v>
      </c>
      <c r="E874" s="198" t="s">
        <v>944</v>
      </c>
      <c r="F874" s="198" t="s">
        <v>953</v>
      </c>
      <c r="G874" s="225" t="n">
        <v>2340800</v>
      </c>
      <c r="H874" s="225" t="n">
        <v>2551322</v>
      </c>
      <c r="I874" s="225"/>
      <c r="J874" s="198" t="n">
        <v>30</v>
      </c>
      <c r="K874" s="198" t="n">
        <v>2</v>
      </c>
      <c r="L874" s="226" t="n">
        <v>45153</v>
      </c>
      <c r="M874" s="226" t="n">
        <v>45078</v>
      </c>
      <c r="N874" s="227" t="n">
        <v>0</v>
      </c>
      <c r="O874" s="227" t="s">
        <v>135</v>
      </c>
      <c r="P874" s="228" t="n">
        <f aca="false">VLOOKUP(B874,'NIVEL ENERO'!A:D,3,0)</f>
        <v>0.174211095921622</v>
      </c>
      <c r="Q874" s="229" t="n">
        <f aca="false">VLOOKUP(B874,'NIVEL ENERO'!A:D,4,0)</f>
        <v>690411.2</v>
      </c>
      <c r="R874" s="186" t="str">
        <f aca="false">+PROPER(C874&amp;" "&amp;D874)</f>
        <v>Molina Robinson Yolima Andrea</v>
      </c>
      <c r="S874" s="230" t="n">
        <f aca="false">+YEARFRAC(L874,$S$1)</f>
        <v>2.74166666666667</v>
      </c>
      <c r="T874" s="230" t="n">
        <f aca="false">+YEARFRAC(M874,$S$1)</f>
        <v>2.94722222222222</v>
      </c>
      <c r="U874" s="231" t="n">
        <f aca="false">+$I874</f>
        <v>0</v>
      </c>
      <c r="V874" s="232" t="str">
        <f aca="false">+PROPER(F874)</f>
        <v>Soltero(A)</v>
      </c>
    </row>
    <row r="875" customFormat="false" ht="14.25" hidden="false" customHeight="false" outlineLevel="0" collapsed="false">
      <c r="B875" s="197" t="n">
        <v>1065814814</v>
      </c>
      <c r="C875" s="197" t="s">
        <v>2509</v>
      </c>
      <c r="D875" s="197" t="s">
        <v>2510</v>
      </c>
      <c r="E875" s="198" t="s">
        <v>2511</v>
      </c>
      <c r="F875" s="198" t="s">
        <v>948</v>
      </c>
      <c r="G875" s="225" t="n">
        <v>3896200</v>
      </c>
      <c r="H875" s="225" t="n">
        <v>480000</v>
      </c>
      <c r="I875" s="225"/>
      <c r="J875" s="198" t="n">
        <v>29</v>
      </c>
      <c r="K875" s="198" t="n">
        <v>3</v>
      </c>
      <c r="L875" s="226" t="n">
        <v>45476</v>
      </c>
      <c r="M875" s="226" t="n">
        <v>45368</v>
      </c>
      <c r="N875" s="227" t="n">
        <v>0</v>
      </c>
      <c r="O875" s="227" t="s">
        <v>135</v>
      </c>
      <c r="P875" s="228" t="n">
        <f aca="false">VLOOKUP(B875,'NIVEL ENERO'!A:D,3,0)</f>
        <v>0.11168844157143</v>
      </c>
      <c r="Q875" s="229" t="n">
        <f aca="false">VLOOKUP(B875,'NIVEL ENERO'!A:D,4,0)</f>
        <v>1424256.96</v>
      </c>
      <c r="R875" s="186" t="str">
        <f aca="false">+PROPER(C875&amp;" "&amp;D875)</f>
        <v>Jimenez Cogollo Sirly Yarei</v>
      </c>
      <c r="S875" s="230" t="n">
        <f aca="false">+YEARFRAC(L875,$S$1)</f>
        <v>1.85833333333333</v>
      </c>
      <c r="T875" s="230" t="n">
        <f aca="false">+YEARFRAC(M875,$S$1)</f>
        <v>2.15277777777778</v>
      </c>
      <c r="U875" s="231" t="n">
        <f aca="false">+$I875</f>
        <v>0</v>
      </c>
      <c r="V875" s="232" t="str">
        <f aca="false">+PROPER(F875)</f>
        <v>Casado(A)</v>
      </c>
    </row>
    <row r="876" customFormat="false" ht="14.25" hidden="false" customHeight="false" outlineLevel="0" collapsed="false">
      <c r="B876" s="197" t="n">
        <v>1067945423</v>
      </c>
      <c r="C876" s="197" t="s">
        <v>2512</v>
      </c>
      <c r="D876" s="197" t="s">
        <v>2299</v>
      </c>
      <c r="E876" s="198" t="s">
        <v>944</v>
      </c>
      <c r="F876" s="198" t="s">
        <v>945</v>
      </c>
      <c r="G876" s="225" t="n">
        <v>4870200</v>
      </c>
      <c r="H876" s="225" t="n">
        <v>390000</v>
      </c>
      <c r="I876" s="225" t="n">
        <v>1402101</v>
      </c>
      <c r="J876" s="198" t="n">
        <v>29</v>
      </c>
      <c r="K876" s="198" t="n">
        <v>1</v>
      </c>
      <c r="L876" s="226" t="n">
        <v>45475</v>
      </c>
      <c r="M876" s="226" t="n">
        <v>43606</v>
      </c>
      <c r="N876" s="227" t="n">
        <v>0</v>
      </c>
      <c r="O876" s="227" t="s">
        <v>135</v>
      </c>
      <c r="P876" s="228" t="n">
        <f aca="false">VLOOKUP(B876,'NIVEL ENERO'!A:D,3,0)</f>
        <v>0.362431953632478</v>
      </c>
      <c r="Q876" s="229" t="n">
        <f aca="false">VLOOKUP(B876,'NIVEL ENERO'!A:D,4,0)</f>
        <v>368826</v>
      </c>
      <c r="R876" s="186" t="str">
        <f aca="false">+PROPER(C876&amp;" "&amp;D876)</f>
        <v>Ramos Genes Maria Jose</v>
      </c>
      <c r="S876" s="230" t="n">
        <f aca="false">+YEARFRAC(L876,$S$1)</f>
        <v>1.86111111111111</v>
      </c>
      <c r="T876" s="230" t="n">
        <f aca="false">+YEARFRAC(M876,$S$1)</f>
        <v>6.975</v>
      </c>
      <c r="U876" s="231" t="n">
        <f aca="false">+$I876</f>
        <v>1402101</v>
      </c>
      <c r="V876" s="232" t="str">
        <f aca="false">+PROPER(F876)</f>
        <v>Union Libre</v>
      </c>
    </row>
    <row r="877" customFormat="false" ht="14.25" hidden="false" customHeight="false" outlineLevel="0" collapsed="false">
      <c r="B877" s="197" t="n">
        <v>1072524175</v>
      </c>
      <c r="C877" s="197" t="s">
        <v>2513</v>
      </c>
      <c r="D877" s="197" t="s">
        <v>2514</v>
      </c>
      <c r="E877" s="198" t="s">
        <v>944</v>
      </c>
      <c r="F877" s="198" t="s">
        <v>948</v>
      </c>
      <c r="G877" s="225" t="n">
        <v>4870200</v>
      </c>
      <c r="H877" s="225" t="n">
        <v>5387368</v>
      </c>
      <c r="I877" s="225" t="n">
        <v>6913643</v>
      </c>
      <c r="J877" s="198" t="n">
        <v>37</v>
      </c>
      <c r="K877" s="198" t="n">
        <v>4</v>
      </c>
      <c r="L877" s="226" t="n">
        <v>44027</v>
      </c>
      <c r="M877" s="226" t="n">
        <v>43770</v>
      </c>
      <c r="N877" s="227" t="n">
        <v>4</v>
      </c>
      <c r="O877" s="227" t="s">
        <v>135</v>
      </c>
      <c r="P877" s="228" t="n">
        <f aca="false">VLOOKUP(B877,'NIVEL ENERO'!A:D,3,0)</f>
        <v>0.416606569874359</v>
      </c>
      <c r="Q877" s="229" t="n">
        <f aca="false">VLOOKUP(B877,'NIVEL ENERO'!A:D,4,0)</f>
        <v>22252.3399999999</v>
      </c>
      <c r="R877" s="186" t="str">
        <f aca="false">+PROPER(C877&amp;" "&amp;D877)</f>
        <v>Luna Gonzalez Marelvi Maria</v>
      </c>
      <c r="S877" s="230" t="n">
        <f aca="false">+YEARFRAC(L877,$S$1)</f>
        <v>5.825</v>
      </c>
      <c r="T877" s="230" t="n">
        <f aca="false">+YEARFRAC(M877,$S$1)</f>
        <v>6.53055555555556</v>
      </c>
      <c r="U877" s="231" t="n">
        <f aca="false">+$I877</f>
        <v>6913643</v>
      </c>
      <c r="V877" s="232" t="str">
        <f aca="false">+PROPER(F877)</f>
        <v>Casado(A)</v>
      </c>
    </row>
    <row r="878" customFormat="false" ht="14.25" hidden="false" customHeight="false" outlineLevel="0" collapsed="false">
      <c r="B878" s="197" t="n">
        <v>1075239620</v>
      </c>
      <c r="C878" s="197" t="s">
        <v>2515</v>
      </c>
      <c r="D878" s="197" t="s">
        <v>2516</v>
      </c>
      <c r="E878" s="198" t="s">
        <v>944</v>
      </c>
      <c r="F878" s="198" t="s">
        <v>945</v>
      </c>
      <c r="G878" s="225" t="n">
        <v>2600900</v>
      </c>
      <c r="H878" s="225" t="n">
        <v>1300011</v>
      </c>
      <c r="I878" s="225" t="n">
        <v>770454</v>
      </c>
      <c r="J878" s="198" t="n">
        <v>35</v>
      </c>
      <c r="K878" s="198" t="n">
        <v>4</v>
      </c>
      <c r="L878" s="226" t="n">
        <v>45279</v>
      </c>
      <c r="M878" s="226" t="n">
        <v>45363</v>
      </c>
      <c r="N878" s="227" t="n">
        <v>2</v>
      </c>
      <c r="O878" s="227" t="s">
        <v>135</v>
      </c>
      <c r="P878" s="228" t="n">
        <f aca="false">VLOOKUP(B878,'NIVEL ENERO'!A:D,3,0)</f>
        <v>0.355941146652132</v>
      </c>
      <c r="Q878" s="229" t="n">
        <f aca="false">VLOOKUP(B878,'NIVEL ENERO'!A:D,4,0)</f>
        <v>216219.62</v>
      </c>
      <c r="R878" s="186" t="str">
        <f aca="false">+PROPER(C878&amp;" "&amp;D878)</f>
        <v>Florez Chaux John Stiven</v>
      </c>
      <c r="S878" s="230" t="n">
        <f aca="false">+YEARFRAC(L878,$S$1)</f>
        <v>2.39722222222222</v>
      </c>
      <c r="T878" s="230" t="n">
        <f aca="false">+YEARFRAC(M878,$S$1)</f>
        <v>2.16666666666667</v>
      </c>
      <c r="U878" s="231" t="n">
        <f aca="false">+$I878</f>
        <v>770454</v>
      </c>
      <c r="V878" s="232" t="str">
        <f aca="false">+PROPER(F878)</f>
        <v>Union Libre</v>
      </c>
    </row>
    <row r="879" customFormat="false" ht="14.25" hidden="false" customHeight="false" outlineLevel="0" collapsed="false">
      <c r="B879" s="197" t="n">
        <v>1075250228</v>
      </c>
      <c r="C879" s="197" t="s">
        <v>2517</v>
      </c>
      <c r="D879" s="197" t="s">
        <v>2518</v>
      </c>
      <c r="E879" s="198" t="s">
        <v>944</v>
      </c>
      <c r="F879" s="198" t="s">
        <v>945</v>
      </c>
      <c r="G879" s="225" t="n">
        <v>5679200</v>
      </c>
      <c r="H879" s="225" t="n">
        <v>8288592</v>
      </c>
      <c r="I879" s="225" t="n">
        <v>0</v>
      </c>
      <c r="J879" s="198" t="n">
        <v>33</v>
      </c>
      <c r="K879" s="198" t="n">
        <v>3</v>
      </c>
      <c r="L879" s="226" t="n">
        <v>43026</v>
      </c>
      <c r="M879" s="226" t="n">
        <v>41610</v>
      </c>
      <c r="N879" s="227" t="n">
        <v>2</v>
      </c>
      <c r="O879" s="227" t="s">
        <v>135</v>
      </c>
      <c r="P879" s="228" t="n">
        <f aca="false">VLOOKUP(B879,'NIVEL ENERO'!A:D,3,0)</f>
        <v>0.206193359975513</v>
      </c>
      <c r="Q879" s="229" t="n">
        <f aca="false">VLOOKUP(B879,'NIVEL ENERO'!A:D,4,0)</f>
        <v>1241967.28</v>
      </c>
      <c r="R879" s="186" t="str">
        <f aca="false">+PROPER(C879&amp;" "&amp;D879)</f>
        <v>Rojas Jara Wilberto</v>
      </c>
      <c r="S879" s="230" t="n">
        <f aca="false">+YEARFRAC(L879,$S$1)</f>
        <v>8.56666666666667</v>
      </c>
      <c r="T879" s="230" t="n">
        <f aca="false">+YEARFRAC(M879,$S$1)</f>
        <v>12.4444444444444</v>
      </c>
      <c r="U879" s="231" t="n">
        <f aca="false">+$I879</f>
        <v>0</v>
      </c>
      <c r="V879" s="232" t="str">
        <f aca="false">+PROPER(F879)</f>
        <v>Union Libre</v>
      </c>
    </row>
    <row r="880" customFormat="false" ht="14.25" hidden="false" customHeight="false" outlineLevel="0" collapsed="false">
      <c r="B880" s="197" t="n">
        <v>1075289825</v>
      </c>
      <c r="C880" s="197" t="s">
        <v>2519</v>
      </c>
      <c r="D880" s="197" t="s">
        <v>2520</v>
      </c>
      <c r="E880" s="198" t="s">
        <v>944</v>
      </c>
      <c r="F880" s="198" t="s">
        <v>953</v>
      </c>
      <c r="G880" s="225" t="n">
        <v>2600900</v>
      </c>
      <c r="H880" s="225" t="n">
        <v>1632085</v>
      </c>
      <c r="I880" s="225" t="n">
        <v>2348950</v>
      </c>
      <c r="J880" s="198" t="n">
        <v>29</v>
      </c>
      <c r="K880" s="198" t="n">
        <v>2</v>
      </c>
      <c r="L880" s="226" t="n">
        <v>45189</v>
      </c>
      <c r="M880" s="226" t="n">
        <v>44743</v>
      </c>
      <c r="N880" s="227" t="n">
        <v>0</v>
      </c>
      <c r="O880" s="227" t="s">
        <v>135</v>
      </c>
      <c r="P880" s="228" t="n">
        <f aca="false">VLOOKUP(B880,'NIVEL ENERO'!A:D,3,0)</f>
        <v>0.400984995118593</v>
      </c>
      <c r="Q880" s="229" t="n">
        <f aca="false">VLOOKUP(B880,'NIVEL ENERO'!A:D,4,0)</f>
        <v>64884.28</v>
      </c>
      <c r="R880" s="186" t="str">
        <f aca="false">+PROPER(C880&amp;" "&amp;D880)</f>
        <v>Camacho Vanegas Claudia Patricia</v>
      </c>
      <c r="S880" s="230" t="n">
        <f aca="false">+YEARFRAC(L880,$S$1)</f>
        <v>2.64444444444444</v>
      </c>
      <c r="T880" s="230" t="n">
        <f aca="false">+YEARFRAC(M880,$S$1)</f>
        <v>3.86388888888889</v>
      </c>
      <c r="U880" s="231" t="n">
        <f aca="false">+$I880</f>
        <v>2348950</v>
      </c>
      <c r="V880" s="232" t="str">
        <f aca="false">+PROPER(F880)</f>
        <v>Soltero(A)</v>
      </c>
    </row>
    <row r="881" customFormat="false" ht="14.25" hidden="false" customHeight="false" outlineLevel="0" collapsed="false">
      <c r="B881" s="197" t="n">
        <v>1077465702</v>
      </c>
      <c r="C881" s="197" t="s">
        <v>2521</v>
      </c>
      <c r="D881" s="197" t="s">
        <v>2522</v>
      </c>
      <c r="E881" s="198" t="s">
        <v>944</v>
      </c>
      <c r="F881" s="198" t="s">
        <v>953</v>
      </c>
      <c r="G881" s="225" t="n">
        <v>1717900</v>
      </c>
      <c r="H881" s="225" t="n">
        <v>4407775</v>
      </c>
      <c r="I881" s="225" t="n">
        <v>357252</v>
      </c>
      <c r="J881" s="198" t="n">
        <v>30</v>
      </c>
      <c r="K881" s="198" t="n">
        <v>2</v>
      </c>
      <c r="L881" s="226" t="n">
        <v>44998</v>
      </c>
      <c r="M881" s="226" t="n">
        <v>44567</v>
      </c>
      <c r="N881" s="227" t="n">
        <v>0</v>
      </c>
      <c r="O881" s="227" t="s">
        <v>135</v>
      </c>
      <c r="P881" s="228" t="n">
        <f aca="false">VLOOKUP(B881,'NIVEL ENERO'!A:D,3,0)</f>
        <v>0.240223310048952</v>
      </c>
      <c r="Q881" s="229" t="n">
        <f aca="false">VLOOKUP(B881,'NIVEL ENERO'!A:D,4,0)</f>
        <v>398759.44</v>
      </c>
      <c r="R881" s="186" t="str">
        <f aca="false">+PROPER(C881&amp;" "&amp;D881)</f>
        <v>Martinez Moreno Rita Maria</v>
      </c>
      <c r="S881" s="230" t="n">
        <f aca="false">+YEARFRAC(L881,$S$1)</f>
        <v>3.16388888888889</v>
      </c>
      <c r="T881" s="230" t="n">
        <f aca="false">+YEARFRAC(M881,$S$1)</f>
        <v>4.35</v>
      </c>
      <c r="U881" s="231" t="n">
        <f aca="false">+$I881</f>
        <v>357252</v>
      </c>
      <c r="V881" s="232" t="str">
        <f aca="false">+PROPER(F881)</f>
        <v>Soltero(A)</v>
      </c>
    </row>
    <row r="882" customFormat="false" ht="14.25" hidden="false" customHeight="false" outlineLevel="0" collapsed="false">
      <c r="B882" s="197" t="n">
        <v>1079655957</v>
      </c>
      <c r="C882" s="197" t="s">
        <v>2523</v>
      </c>
      <c r="D882" s="197" t="s">
        <v>2524</v>
      </c>
      <c r="E882" s="198" t="s">
        <v>944</v>
      </c>
      <c r="F882" s="198" t="s">
        <v>953</v>
      </c>
      <c r="G882" s="225" t="n">
        <v>5418800</v>
      </c>
      <c r="H882" s="225" t="n">
        <v>15399239</v>
      </c>
      <c r="I882" s="225" t="n">
        <v>0</v>
      </c>
      <c r="J882" s="198" t="n">
        <v>36</v>
      </c>
      <c r="K882" s="198" t="n">
        <v>1</v>
      </c>
      <c r="L882" s="226" t="n">
        <v>44064</v>
      </c>
      <c r="M882" s="226" t="n">
        <v>42109</v>
      </c>
      <c r="N882" s="227" t="n">
        <v>2</v>
      </c>
      <c r="O882" s="227" t="s">
        <v>135</v>
      </c>
      <c r="P882" s="228" t="n">
        <f aca="false">VLOOKUP(B882,'NIVEL ENERO'!A:D,3,0)</f>
        <v>0.159102307611757</v>
      </c>
      <c r="Q882" s="229" t="n">
        <f aca="false">VLOOKUP(B882,'NIVEL ENERO'!A:D,4,0)</f>
        <v>1798846.28</v>
      </c>
      <c r="R882" s="186" t="str">
        <f aca="false">+PROPER(C882&amp;" "&amp;D882)</f>
        <v>Aleman  Ospino Dasneida Danith</v>
      </c>
      <c r="S882" s="230" t="n">
        <f aca="false">+YEARFRAC(L882,$S$1)</f>
        <v>5.725</v>
      </c>
      <c r="T882" s="230" t="n">
        <f aca="false">+YEARFRAC(M882,$S$1)</f>
        <v>11.075</v>
      </c>
      <c r="U882" s="231" t="n">
        <f aca="false">+$I882</f>
        <v>0</v>
      </c>
      <c r="V882" s="232" t="str">
        <f aca="false">+PROPER(F882)</f>
        <v>Soltero(A)</v>
      </c>
    </row>
    <row r="883" customFormat="false" ht="14.25" hidden="false" customHeight="false" outlineLevel="0" collapsed="false">
      <c r="B883" s="197" t="n">
        <v>1081592572</v>
      </c>
      <c r="C883" s="197" t="s">
        <v>2525</v>
      </c>
      <c r="D883" s="197" t="s">
        <v>2526</v>
      </c>
      <c r="E883" s="198" t="s">
        <v>981</v>
      </c>
      <c r="F883" s="198" t="s">
        <v>945</v>
      </c>
      <c r="G883" s="225" t="n">
        <v>1670000</v>
      </c>
      <c r="H883" s="225" t="n">
        <v>1065376</v>
      </c>
      <c r="I883" s="225" t="n">
        <v>2617100</v>
      </c>
      <c r="J883" s="198" t="n">
        <v>37</v>
      </c>
      <c r="K883" s="198" t="n">
        <v>1</v>
      </c>
      <c r="L883" s="226" t="n">
        <v>45191</v>
      </c>
      <c r="M883" s="226" t="n">
        <v>42690</v>
      </c>
      <c r="N883" s="227" t="n">
        <v>0</v>
      </c>
      <c r="O883" s="227" t="s">
        <v>135</v>
      </c>
      <c r="P883" s="228" t="n">
        <f aca="false">VLOOKUP(B883,'NIVEL ENERO'!A:D,3,0)</f>
        <v>0.450898357521253</v>
      </c>
      <c r="Q883" s="229" t="n">
        <f aca="false">VLOOKUP(B883,'NIVEL ENERO'!A:D,4,0)</f>
        <v>-65027.54</v>
      </c>
      <c r="R883" s="186" t="str">
        <f aca="false">+PROPER(C883&amp;" "&amp;D883)</f>
        <v>Ojeda Ordonez Kenedy</v>
      </c>
      <c r="S883" s="230" t="n">
        <f aca="false">+YEARFRAC(L883,$S$1)</f>
        <v>2.63888888888889</v>
      </c>
      <c r="T883" s="230" t="n">
        <f aca="false">+YEARFRAC(M883,$S$1)</f>
        <v>9.48888888888889</v>
      </c>
      <c r="U883" s="231" t="n">
        <f aca="false">+$I883</f>
        <v>2617100</v>
      </c>
      <c r="V883" s="232" t="str">
        <f aca="false">+PROPER(F883)</f>
        <v>Union Libre</v>
      </c>
    </row>
    <row r="884" customFormat="false" ht="14.25" hidden="false" customHeight="false" outlineLevel="0" collapsed="false">
      <c r="B884" s="197" t="n">
        <v>1082689692</v>
      </c>
      <c r="C884" s="197" t="s">
        <v>2527</v>
      </c>
      <c r="D884" s="197" t="s">
        <v>2528</v>
      </c>
      <c r="E884" s="198" t="s">
        <v>944</v>
      </c>
      <c r="F884" s="198" t="s">
        <v>948</v>
      </c>
      <c r="G884" s="225" t="n">
        <v>5418800</v>
      </c>
      <c r="H884" s="225" t="n">
        <v>3314810</v>
      </c>
      <c r="I884" s="225" t="n">
        <v>1439479</v>
      </c>
      <c r="J884" s="198" t="n">
        <v>35</v>
      </c>
      <c r="K884" s="198" t="n">
        <v>3</v>
      </c>
      <c r="L884" s="226" t="n">
        <v>44642</v>
      </c>
      <c r="M884" s="226" t="n">
        <v>42567</v>
      </c>
      <c r="N884" s="227" t="n">
        <v>4</v>
      </c>
      <c r="O884" s="227" t="s">
        <v>135</v>
      </c>
      <c r="P884" s="228" t="n">
        <f aca="false">VLOOKUP(B884,'NIVEL ENERO'!A:D,3,0)</f>
        <v>0.168186299354098</v>
      </c>
      <c r="Q884" s="229" t="n">
        <f aca="false">VLOOKUP(B884,'NIVEL ENERO'!A:D,4,0)</f>
        <v>634307.8</v>
      </c>
      <c r="R884" s="186" t="str">
        <f aca="false">+PROPER(C884&amp;" "&amp;D884)</f>
        <v>Landazury Casanova Cruz Maleida</v>
      </c>
      <c r="S884" s="230" t="n">
        <f aca="false">+YEARFRAC(L884,$S$1)</f>
        <v>4.13888888888889</v>
      </c>
      <c r="T884" s="230" t="n">
        <f aca="false">+YEARFRAC(M884,$S$1)</f>
        <v>9.82222222222222</v>
      </c>
      <c r="U884" s="231" t="n">
        <f aca="false">+$I884</f>
        <v>1439479</v>
      </c>
      <c r="V884" s="232" t="str">
        <f aca="false">+PROPER(F884)</f>
        <v>Casado(A)</v>
      </c>
    </row>
    <row r="885" customFormat="false" ht="14.25" hidden="false" customHeight="false" outlineLevel="0" collapsed="false">
      <c r="B885" s="197" t="n">
        <v>1082844316</v>
      </c>
      <c r="C885" s="197" t="s">
        <v>2529</v>
      </c>
      <c r="D885" s="197" t="s">
        <v>2530</v>
      </c>
      <c r="E885" s="198" t="s">
        <v>944</v>
      </c>
      <c r="F885" s="198" t="s">
        <v>948</v>
      </c>
      <c r="G885" s="225" t="n">
        <v>5418800</v>
      </c>
      <c r="H885" s="225" t="n">
        <v>3025359</v>
      </c>
      <c r="I885" s="225" t="n">
        <v>0</v>
      </c>
      <c r="J885" s="198" t="n">
        <v>38</v>
      </c>
      <c r="K885" s="198" t="n">
        <v>1</v>
      </c>
      <c r="L885" s="226" t="n">
        <v>45051</v>
      </c>
      <c r="M885" s="226" t="n">
        <v>42590</v>
      </c>
      <c r="N885" s="227" t="n">
        <v>1</v>
      </c>
      <c r="O885" s="227" t="s">
        <v>135</v>
      </c>
      <c r="P885" s="228" t="n">
        <f aca="false">VLOOKUP(B885,'NIVEL ENERO'!A:D,3,0)</f>
        <v>0.434699933564627</v>
      </c>
      <c r="Q885" s="229" t="n">
        <f aca="false">VLOOKUP(B885,'NIVEL ENERO'!A:D,4,0)</f>
        <v>-79656</v>
      </c>
      <c r="R885" s="186" t="str">
        <f aca="false">+PROPER(C885&amp;" "&amp;D885)</f>
        <v>Avendano Barranco Yenireth Sastith</v>
      </c>
      <c r="S885" s="230" t="n">
        <f aca="false">+YEARFRAC(L885,$S$1)</f>
        <v>3.01944444444444</v>
      </c>
      <c r="T885" s="230" t="n">
        <f aca="false">+YEARFRAC(M885,$S$1)</f>
        <v>9.76111111111111</v>
      </c>
      <c r="U885" s="231" t="n">
        <f aca="false">+$I885</f>
        <v>0</v>
      </c>
      <c r="V885" s="232" t="str">
        <f aca="false">+PROPER(F885)</f>
        <v>Casado(A)</v>
      </c>
    </row>
    <row r="886" customFormat="false" ht="14.25" hidden="false" customHeight="false" outlineLevel="0" collapsed="false">
      <c r="B886" s="197" t="n">
        <v>1085244836</v>
      </c>
      <c r="C886" s="197" t="s">
        <v>2531</v>
      </c>
      <c r="D886" s="197" t="s">
        <v>1549</v>
      </c>
      <c r="E886" s="198" t="s">
        <v>944</v>
      </c>
      <c r="F886" s="198" t="s">
        <v>948</v>
      </c>
      <c r="G886" s="225" t="n">
        <v>5842800</v>
      </c>
      <c r="H886" s="225" t="n">
        <v>2607705</v>
      </c>
      <c r="I886" s="225" t="n">
        <v>0</v>
      </c>
      <c r="J886" s="198" t="n">
        <v>39</v>
      </c>
      <c r="K886" s="198" t="n">
        <v>1</v>
      </c>
      <c r="L886" s="226" t="n">
        <v>44886</v>
      </c>
      <c r="M886" s="226" t="n">
        <v>44623</v>
      </c>
      <c r="N886" s="227" t="n">
        <v>0</v>
      </c>
      <c r="O886" s="227" t="s">
        <v>135</v>
      </c>
      <c r="P886" s="228" t="n">
        <f aca="false">VLOOKUP(B886,'NIVEL ENERO'!A:D,3,0)</f>
        <v>0.11480266310673</v>
      </c>
      <c r="Q886" s="229" t="n">
        <f aca="false">VLOOKUP(B886,'NIVEL ENERO'!A:D,4,0)</f>
        <v>1783207</v>
      </c>
      <c r="R886" s="186" t="str">
        <f aca="false">+PROPER(C886&amp;" "&amp;D886)</f>
        <v>Fraga Mejia Sandra Patricia</v>
      </c>
      <c r="S886" s="230" t="n">
        <f aca="false">+YEARFRAC(L886,$S$1)</f>
        <v>3.475</v>
      </c>
      <c r="T886" s="230" t="n">
        <f aca="false">+YEARFRAC(M886,$S$1)</f>
        <v>4.19166666666667</v>
      </c>
      <c r="U886" s="231" t="n">
        <f aca="false">+$I886</f>
        <v>0</v>
      </c>
      <c r="V886" s="232" t="str">
        <f aca="false">+PROPER(F886)</f>
        <v>Casado(A)</v>
      </c>
    </row>
    <row r="887" customFormat="false" ht="14.25" hidden="false" customHeight="false" outlineLevel="0" collapsed="false">
      <c r="B887" s="197" t="n">
        <v>1085251971</v>
      </c>
      <c r="C887" s="197" t="s">
        <v>2532</v>
      </c>
      <c r="D887" s="197" t="s">
        <v>2533</v>
      </c>
      <c r="E887" s="198" t="s">
        <v>944</v>
      </c>
      <c r="F887" s="198" t="s">
        <v>945</v>
      </c>
      <c r="G887" s="225" t="n">
        <v>4469100</v>
      </c>
      <c r="H887" s="225" t="n">
        <v>1541908</v>
      </c>
      <c r="I887" s="225"/>
      <c r="J887" s="198" t="n">
        <v>38</v>
      </c>
      <c r="K887" s="198" t="n">
        <v>3</v>
      </c>
      <c r="L887" s="226" t="n">
        <v>45220</v>
      </c>
      <c r="M887" s="226" t="n">
        <v>43206</v>
      </c>
      <c r="N887" s="227" t="n">
        <v>0</v>
      </c>
      <c r="O887" s="227" t="s">
        <v>135</v>
      </c>
      <c r="P887" s="228" t="n">
        <f aca="false">VLOOKUP(B887,'NIVEL ENERO'!A:D,3,0)</f>
        <v>0.160244242012403</v>
      </c>
      <c r="Q887" s="229" t="n">
        <f aca="false">VLOOKUP(B887,'NIVEL ENERO'!A:D,4,0)</f>
        <v>1586612.76</v>
      </c>
      <c r="R887" s="186" t="str">
        <f aca="false">+PROPER(C887&amp;" "&amp;D887)</f>
        <v>Barcenas Enriquez Ingrid Lorena</v>
      </c>
      <c r="S887" s="230" t="n">
        <f aca="false">+YEARFRAC(L887,$S$1)</f>
        <v>2.55833333333333</v>
      </c>
      <c r="T887" s="230" t="n">
        <f aca="false">+YEARFRAC(M887,$S$1)</f>
        <v>8.07222222222222</v>
      </c>
      <c r="U887" s="231" t="n">
        <f aca="false">+$I887</f>
        <v>0</v>
      </c>
      <c r="V887" s="232" t="str">
        <f aca="false">+PROPER(F887)</f>
        <v>Union Libre</v>
      </c>
    </row>
    <row r="888" customFormat="false" ht="14.25" hidden="false" customHeight="false" outlineLevel="0" collapsed="false">
      <c r="B888" s="197" t="n">
        <v>1085252948</v>
      </c>
      <c r="C888" s="197" t="s">
        <v>2534</v>
      </c>
      <c r="D888" s="197" t="s">
        <v>2535</v>
      </c>
      <c r="E888" s="198" t="s">
        <v>944</v>
      </c>
      <c r="F888" s="198" t="s">
        <v>953</v>
      </c>
      <c r="G888" s="225" t="n">
        <v>5291000</v>
      </c>
      <c r="H888" s="225" t="n">
        <v>4657869</v>
      </c>
      <c r="I888" s="225" t="n">
        <v>0</v>
      </c>
      <c r="J888" s="198" t="n">
        <v>39</v>
      </c>
      <c r="K888" s="198" t="n">
        <v>2</v>
      </c>
      <c r="L888" s="226" t="n">
        <v>44936</v>
      </c>
      <c r="M888" s="226" t="n">
        <v>44460</v>
      </c>
      <c r="N888" s="227" t="n">
        <v>0</v>
      </c>
      <c r="O888" s="227" t="s">
        <v>135</v>
      </c>
      <c r="P888" s="228" t="n">
        <f aca="false">VLOOKUP(B888,'NIVEL ENERO'!A:D,3,0)</f>
        <v>0.155937712839181</v>
      </c>
      <c r="Q888" s="229" t="n">
        <f aca="false">VLOOKUP(B888,'NIVEL ENERO'!A:D,4,0)</f>
        <v>804881.92</v>
      </c>
      <c r="R888" s="186" t="str">
        <f aca="false">+PROPER(C888&amp;" "&amp;D888)</f>
        <v>Moran Constain Andrea Nathaly</v>
      </c>
      <c r="S888" s="230" t="n">
        <f aca="false">+YEARFRAC(L888,$S$1)</f>
        <v>3.33888888888889</v>
      </c>
      <c r="T888" s="230" t="n">
        <f aca="false">+YEARFRAC(M888,$S$1)</f>
        <v>4.64166666666667</v>
      </c>
      <c r="U888" s="231" t="n">
        <f aca="false">+$I888</f>
        <v>0</v>
      </c>
      <c r="V888" s="232" t="str">
        <f aca="false">+PROPER(F888)</f>
        <v>Soltero(A)</v>
      </c>
    </row>
    <row r="889" customFormat="false" ht="14.25" hidden="false" customHeight="false" outlineLevel="0" collapsed="false">
      <c r="B889" s="197" t="n">
        <v>1085253482</v>
      </c>
      <c r="C889" s="197" t="s">
        <v>2536</v>
      </c>
      <c r="D889" s="197" t="s">
        <v>2537</v>
      </c>
      <c r="E889" s="198" t="s">
        <v>944</v>
      </c>
      <c r="F889" s="198" t="s">
        <v>948</v>
      </c>
      <c r="G889" s="225" t="n">
        <v>5291000</v>
      </c>
      <c r="H889" s="225" t="n">
        <v>2320367</v>
      </c>
      <c r="I889" s="225" t="n">
        <v>5604407</v>
      </c>
      <c r="J889" s="198" t="n">
        <v>38</v>
      </c>
      <c r="K889" s="198" t="n">
        <v>1</v>
      </c>
      <c r="L889" s="226" t="n">
        <v>44636</v>
      </c>
      <c r="M889" s="226" t="n">
        <v>41703</v>
      </c>
      <c r="N889" s="227" t="n">
        <v>2</v>
      </c>
      <c r="O889" s="227" t="s">
        <v>135</v>
      </c>
      <c r="P889" s="228" t="n">
        <f aca="false">VLOOKUP(B889,'NIVEL ENERO'!A:D,3,0)</f>
        <v>0.315964322665964</v>
      </c>
      <c r="Q889" s="229" t="n">
        <f aca="false">VLOOKUP(B889,'NIVEL ENERO'!A:D,4,0)</f>
        <v>578374.28</v>
      </c>
      <c r="R889" s="186" t="str">
        <f aca="false">+PROPER(C889&amp;" "&amp;D889)</f>
        <v>Arteaga Ibarra Ingrid Karina</v>
      </c>
      <c r="S889" s="230" t="n">
        <f aca="false">+YEARFRAC(L889,$S$1)</f>
        <v>4.15555555555556</v>
      </c>
      <c r="T889" s="230" t="n">
        <f aca="false">+YEARFRAC(M889,$S$1)</f>
        <v>12.1861111111111</v>
      </c>
      <c r="U889" s="231" t="n">
        <f aca="false">+$I889</f>
        <v>5604407</v>
      </c>
      <c r="V889" s="232" t="str">
        <f aca="false">+PROPER(F889)</f>
        <v>Casado(A)</v>
      </c>
    </row>
    <row r="890" customFormat="false" ht="14.25" hidden="false" customHeight="false" outlineLevel="0" collapsed="false">
      <c r="B890" s="197" t="n">
        <v>1085259520</v>
      </c>
      <c r="C890" s="197" t="s">
        <v>2538</v>
      </c>
      <c r="D890" s="197" t="s">
        <v>2539</v>
      </c>
      <c r="E890" s="198" t="s">
        <v>944</v>
      </c>
      <c r="F890" s="198" t="s">
        <v>945</v>
      </c>
      <c r="G890" s="225" t="n">
        <v>3394800</v>
      </c>
      <c r="H890" s="225" t="n">
        <v>2538901</v>
      </c>
      <c r="I890" s="225" t="n">
        <v>661220</v>
      </c>
      <c r="J890" s="198" t="n">
        <v>37</v>
      </c>
      <c r="K890" s="198" t="n">
        <v>3</v>
      </c>
      <c r="L890" s="226" t="n">
        <v>45020</v>
      </c>
      <c r="M890" s="226" t="n">
        <v>39916</v>
      </c>
      <c r="N890" s="227" t="n">
        <v>2</v>
      </c>
      <c r="O890" s="227" t="s">
        <v>135</v>
      </c>
      <c r="P890" s="228" t="n">
        <f aca="false">VLOOKUP(B890,'NIVEL ENERO'!A:D,3,0)</f>
        <v>0.403237598680335</v>
      </c>
      <c r="Q890" s="229" t="n">
        <f aca="false">VLOOKUP(B890,'NIVEL ENERO'!A:D,4,0)</f>
        <v>56905</v>
      </c>
      <c r="R890" s="186" t="str">
        <f aca="false">+PROPER(C890&amp;" "&amp;D890)</f>
        <v>Pianda Labrada Andres Esteban</v>
      </c>
      <c r="S890" s="230" t="n">
        <f aca="false">+YEARFRAC(L890,$S$1)</f>
        <v>3.10555555555556</v>
      </c>
      <c r="T890" s="230" t="n">
        <f aca="false">+YEARFRAC(M890,$S$1)</f>
        <v>17.0805555555556</v>
      </c>
      <c r="U890" s="231" t="n">
        <f aca="false">+$I890</f>
        <v>661220</v>
      </c>
      <c r="V890" s="232" t="str">
        <f aca="false">+PROPER(F890)</f>
        <v>Union Libre</v>
      </c>
    </row>
    <row r="891" customFormat="false" ht="14.25" hidden="false" customHeight="false" outlineLevel="0" collapsed="false">
      <c r="B891" s="197" t="n">
        <v>1085265939</v>
      </c>
      <c r="C891" s="197" t="s">
        <v>2540</v>
      </c>
      <c r="D891" s="197" t="s">
        <v>2541</v>
      </c>
      <c r="E891" s="198" t="s">
        <v>944</v>
      </c>
      <c r="F891" s="198" t="s">
        <v>953</v>
      </c>
      <c r="G891" s="225" t="n">
        <v>6225200</v>
      </c>
      <c r="H891" s="225" t="n">
        <v>5215411</v>
      </c>
      <c r="I891" s="225" t="n">
        <v>0</v>
      </c>
      <c r="J891" s="198" t="n">
        <v>37</v>
      </c>
      <c r="K891" s="198" t="n">
        <v>2</v>
      </c>
      <c r="L891" s="226" t="n">
        <v>44886</v>
      </c>
      <c r="M891" s="226" t="n">
        <v>44389</v>
      </c>
      <c r="N891" s="227" t="n">
        <v>0</v>
      </c>
      <c r="O891" s="227" t="s">
        <v>135</v>
      </c>
      <c r="P891" s="228" t="n">
        <f aca="false">VLOOKUP(B891,'NIVEL ENERO'!A:D,3,0)</f>
        <v>0.257501927648911</v>
      </c>
      <c r="Q891" s="229" t="n">
        <f aca="false">VLOOKUP(B891,'NIVEL ENERO'!A:D,4,0)</f>
        <v>1011583</v>
      </c>
      <c r="R891" s="186" t="str">
        <f aca="false">+PROPER(C891&amp;" "&amp;D891)</f>
        <v>Riascos Moran Leydy Nathalia</v>
      </c>
      <c r="S891" s="230" t="n">
        <f aca="false">+YEARFRAC(L891,$S$1)</f>
        <v>3.475</v>
      </c>
      <c r="T891" s="230" t="n">
        <f aca="false">+YEARFRAC(M891,$S$1)</f>
        <v>4.83333333333333</v>
      </c>
      <c r="U891" s="231" t="n">
        <f aca="false">+$I891</f>
        <v>0</v>
      </c>
      <c r="V891" s="232" t="str">
        <f aca="false">+PROPER(F891)</f>
        <v>Soltero(A)</v>
      </c>
    </row>
    <row r="892" customFormat="false" ht="14.25" hidden="false" customHeight="false" outlineLevel="0" collapsed="false">
      <c r="B892" s="197" t="n">
        <v>1085267594</v>
      </c>
      <c r="C892" s="197" t="s">
        <v>2542</v>
      </c>
      <c r="D892" s="197" t="s">
        <v>2543</v>
      </c>
      <c r="E892" s="198" t="s">
        <v>944</v>
      </c>
      <c r="F892" s="198" t="s">
        <v>948</v>
      </c>
      <c r="G892" s="225" t="n">
        <v>6130300</v>
      </c>
      <c r="H892" s="225" t="n">
        <v>1910716</v>
      </c>
      <c r="I892" s="225" t="n">
        <v>5474940</v>
      </c>
      <c r="J892" s="198" t="n">
        <v>36</v>
      </c>
      <c r="K892" s="198" t="n">
        <v>2</v>
      </c>
      <c r="L892" s="226" t="n">
        <v>44672</v>
      </c>
      <c r="M892" s="226" t="n">
        <v>44575</v>
      </c>
      <c r="N892" s="227" t="n">
        <v>2</v>
      </c>
      <c r="O892" s="227" t="s">
        <v>135</v>
      </c>
      <c r="P892" s="228" t="n">
        <f aca="false">VLOOKUP(B892,'NIVEL ENERO'!A:D,3,0)</f>
        <v>0.190215327382539</v>
      </c>
      <c r="Q892" s="229" t="n">
        <f aca="false">VLOOKUP(B892,'NIVEL ENERO'!A:D,4,0)</f>
        <v>1472956.9</v>
      </c>
      <c r="R892" s="186" t="str">
        <f aca="false">+PROPER(C892&amp;" "&amp;D892)</f>
        <v>Seidel Aguilera Jacqueline</v>
      </c>
      <c r="S892" s="230" t="n">
        <f aca="false">+YEARFRAC(L892,$S$1)</f>
        <v>4.05833333333333</v>
      </c>
      <c r="T892" s="230" t="n">
        <f aca="false">+YEARFRAC(M892,$S$1)</f>
        <v>4.32777777777778</v>
      </c>
      <c r="U892" s="231" t="n">
        <f aca="false">+$I892</f>
        <v>5474940</v>
      </c>
      <c r="V892" s="232" t="str">
        <f aca="false">+PROPER(F892)</f>
        <v>Casado(A)</v>
      </c>
    </row>
    <row r="893" customFormat="false" ht="14.25" hidden="false" customHeight="false" outlineLevel="0" collapsed="false">
      <c r="B893" s="197" t="n">
        <v>1085293834</v>
      </c>
      <c r="C893" s="197" t="s">
        <v>2544</v>
      </c>
      <c r="D893" s="197" t="s">
        <v>2545</v>
      </c>
      <c r="E893" s="198" t="s">
        <v>944</v>
      </c>
      <c r="F893" s="198" t="s">
        <v>945</v>
      </c>
      <c r="G893" s="225" t="n">
        <v>5679200</v>
      </c>
      <c r="H893" s="225" t="n">
        <v>2200000</v>
      </c>
      <c r="I893" s="225"/>
      <c r="J893" s="198" t="n">
        <v>33</v>
      </c>
      <c r="K893" s="198" t="n">
        <v>1</v>
      </c>
      <c r="L893" s="226" t="n">
        <v>45343</v>
      </c>
      <c r="M893" s="226" t="n">
        <v>42842</v>
      </c>
      <c r="N893" s="227" t="n">
        <v>0</v>
      </c>
      <c r="O893" s="227" t="s">
        <v>135</v>
      </c>
      <c r="P893" s="228" t="n">
        <f aca="false">VLOOKUP(B893,'NIVEL ENERO'!A:D,3,0)</f>
        <v>0.164709278026381</v>
      </c>
      <c r="Q893" s="229" t="n">
        <f aca="false">VLOOKUP(B893,'NIVEL ENERO'!A:D,4,0)</f>
        <v>1208205.72</v>
      </c>
      <c r="R893" s="186" t="str">
        <f aca="false">+PROPER(C893&amp;" "&amp;D893)</f>
        <v>Guerrero Bolanos Sarita Julie</v>
      </c>
      <c r="S893" s="230" t="n">
        <f aca="false">+YEARFRAC(L893,$S$1)</f>
        <v>2.225</v>
      </c>
      <c r="T893" s="230" t="n">
        <f aca="false">+YEARFRAC(M893,$S$1)</f>
        <v>9.06944444444445</v>
      </c>
      <c r="U893" s="231" t="n">
        <f aca="false">+$I893</f>
        <v>0</v>
      </c>
      <c r="V893" s="232" t="str">
        <f aca="false">+PROPER(F893)</f>
        <v>Union Libre</v>
      </c>
    </row>
    <row r="894" customFormat="false" ht="14.25" hidden="false" customHeight="false" outlineLevel="0" collapsed="false">
      <c r="B894" s="197" t="n">
        <v>1085297667</v>
      </c>
      <c r="C894" s="197" t="s">
        <v>2546</v>
      </c>
      <c r="D894" s="197" t="s">
        <v>2547</v>
      </c>
      <c r="E894" s="198" t="s">
        <v>944</v>
      </c>
      <c r="F894" s="198" t="s">
        <v>945</v>
      </c>
      <c r="G894" s="225" t="n">
        <v>2600900</v>
      </c>
      <c r="H894" s="225" t="n">
        <v>6711433</v>
      </c>
      <c r="I894" s="225" t="n">
        <v>0</v>
      </c>
      <c r="J894" s="198" t="n">
        <v>32</v>
      </c>
      <c r="K894" s="198" t="n">
        <v>1</v>
      </c>
      <c r="L894" s="226" t="n">
        <v>42689</v>
      </c>
      <c r="M894" s="226" t="n">
        <v>41958</v>
      </c>
      <c r="N894" s="227" t="n">
        <v>4</v>
      </c>
      <c r="O894" s="227" t="s">
        <v>135</v>
      </c>
      <c r="P894" s="228" t="n">
        <f aca="false">VLOOKUP(B894,'NIVEL ENERO'!A:D,3,0)</f>
        <v>0.454406616318588</v>
      </c>
      <c r="Q894" s="229" t="n">
        <f aca="false">VLOOKUP(B894,'NIVEL ENERO'!A:D,4,0)</f>
        <v>-84077.9</v>
      </c>
      <c r="R894" s="186" t="str">
        <f aca="false">+PROPER(C894&amp;" "&amp;D894)</f>
        <v>Daza Maria Jimena</v>
      </c>
      <c r="S894" s="230" t="n">
        <f aca="false">+YEARFRAC(L894,$S$1)</f>
        <v>9.49166666666667</v>
      </c>
      <c r="T894" s="230" t="n">
        <f aca="false">+YEARFRAC(M894,$S$1)</f>
        <v>11.4916666666667</v>
      </c>
      <c r="U894" s="231" t="n">
        <f aca="false">+$I894</f>
        <v>0</v>
      </c>
      <c r="V894" s="232" t="str">
        <f aca="false">+PROPER(F894)</f>
        <v>Union Libre</v>
      </c>
    </row>
    <row r="895" customFormat="false" ht="14.25" hidden="false" customHeight="false" outlineLevel="0" collapsed="false">
      <c r="B895" s="197" t="n">
        <v>1085336173</v>
      </c>
      <c r="C895" s="197" t="s">
        <v>2548</v>
      </c>
      <c r="D895" s="197" t="s">
        <v>2549</v>
      </c>
      <c r="E895" s="198" t="s">
        <v>944</v>
      </c>
      <c r="F895" s="198" t="s">
        <v>953</v>
      </c>
      <c r="G895" s="225" t="n">
        <v>3489600</v>
      </c>
      <c r="H895" s="225" t="n">
        <v>800000</v>
      </c>
      <c r="I895" s="225"/>
      <c r="J895" s="198" t="n">
        <v>27</v>
      </c>
      <c r="K895" s="198" t="n">
        <v>2</v>
      </c>
      <c r="L895" s="226" t="n">
        <v>45414</v>
      </c>
      <c r="M895" s="226" t="n">
        <v>45384</v>
      </c>
      <c r="N895" s="227" t="n">
        <v>0</v>
      </c>
      <c r="O895" s="227" t="s">
        <v>135</v>
      </c>
      <c r="P895" s="228" t="n">
        <f aca="false">VLOOKUP(B895,'NIVEL ENERO'!A:D,3,0)</f>
        <v>0.170251622513033</v>
      </c>
      <c r="Q895" s="229" t="n">
        <f aca="false">VLOOKUP(B895,'NIVEL ENERO'!A:D,4,0)</f>
        <v>938954</v>
      </c>
      <c r="R895" s="186" t="str">
        <f aca="false">+PROPER(C895&amp;" "&amp;D895)</f>
        <v>Montilla Garcia Diana Manyely</v>
      </c>
      <c r="S895" s="230" t="n">
        <f aca="false">+YEARFRAC(L895,$S$1)</f>
        <v>2.02777777777778</v>
      </c>
      <c r="T895" s="230" t="n">
        <f aca="false">+YEARFRAC(M895,$S$1)</f>
        <v>2.11111111111111</v>
      </c>
      <c r="U895" s="231" t="n">
        <f aca="false">+$I895</f>
        <v>0</v>
      </c>
      <c r="V895" s="232" t="str">
        <f aca="false">+PROPER(F895)</f>
        <v>Soltero(A)</v>
      </c>
    </row>
    <row r="896" customFormat="false" ht="14.25" hidden="false" customHeight="false" outlineLevel="0" collapsed="false">
      <c r="B896" s="197" t="n">
        <v>1085661067</v>
      </c>
      <c r="C896" s="197" t="s">
        <v>2550</v>
      </c>
      <c r="D896" s="197" t="s">
        <v>2551</v>
      </c>
      <c r="E896" s="198" t="s">
        <v>944</v>
      </c>
      <c r="F896" s="198" t="s">
        <v>953</v>
      </c>
      <c r="G896" s="225" t="n">
        <v>2893800</v>
      </c>
      <c r="H896" s="225" t="n">
        <v>2809735</v>
      </c>
      <c r="I896" s="225" t="n">
        <v>1307731</v>
      </c>
      <c r="J896" s="198" t="n">
        <v>35</v>
      </c>
      <c r="K896" s="198" t="n">
        <v>2</v>
      </c>
      <c r="L896" s="226" t="n">
        <v>44796</v>
      </c>
      <c r="M896" s="226" t="n">
        <v>45609</v>
      </c>
      <c r="N896" s="227" t="n">
        <v>2</v>
      </c>
      <c r="O896" s="227" t="s">
        <v>135</v>
      </c>
      <c r="P896" s="228" t="n">
        <f aca="false">VLOOKUP(B896,'NIVEL ENERO'!A:D,3,0)</f>
        <v>0.266010502457689</v>
      </c>
      <c r="Q896" s="229" t="n">
        <f aca="false">VLOOKUP(B896,'NIVEL ENERO'!A:D,4,0)</f>
        <v>762954.26</v>
      </c>
      <c r="R896" s="186" t="str">
        <f aca="false">+PROPER(C896&amp;" "&amp;D896)</f>
        <v>Solarte Martinez Yohana Estefany</v>
      </c>
      <c r="S896" s="230" t="n">
        <f aca="false">+YEARFRAC(L896,$S$1)</f>
        <v>3.71944444444444</v>
      </c>
      <c r="T896" s="230" t="n">
        <f aca="false">+YEARFRAC(M896,$S$1)</f>
        <v>1.49722222222222</v>
      </c>
      <c r="U896" s="231" t="n">
        <f aca="false">+$I896</f>
        <v>1307731</v>
      </c>
      <c r="V896" s="232" t="str">
        <f aca="false">+PROPER(F896)</f>
        <v>Soltero(A)</v>
      </c>
    </row>
    <row r="897" customFormat="false" ht="14.25" hidden="false" customHeight="false" outlineLevel="0" collapsed="false">
      <c r="B897" s="197" t="n">
        <v>1085661638</v>
      </c>
      <c r="C897" s="197" t="s">
        <v>2552</v>
      </c>
      <c r="D897" s="197" t="s">
        <v>2553</v>
      </c>
      <c r="E897" s="198" t="s">
        <v>944</v>
      </c>
      <c r="F897" s="198" t="s">
        <v>953</v>
      </c>
      <c r="G897" s="225" t="n">
        <v>5418800</v>
      </c>
      <c r="H897" s="225" t="n">
        <v>1860209</v>
      </c>
      <c r="I897" s="225" t="n">
        <v>7285237</v>
      </c>
      <c r="J897" s="198" t="n">
        <v>33</v>
      </c>
      <c r="K897" s="198" t="n">
        <v>2</v>
      </c>
      <c r="L897" s="226" t="n">
        <v>44642</v>
      </c>
      <c r="M897" s="226" t="n">
        <v>41470</v>
      </c>
      <c r="N897" s="227" t="n">
        <v>1</v>
      </c>
      <c r="O897" s="227" t="s">
        <v>135</v>
      </c>
      <c r="P897" s="228" t="n">
        <f aca="false">VLOOKUP(B897,'NIVEL ENERO'!A:D,3,0)</f>
        <v>0.430288693803746</v>
      </c>
      <c r="Q897" s="229" t="n">
        <f aca="false">VLOOKUP(B897,'NIVEL ENERO'!A:D,4,0)</f>
        <v>-65593.8799999999</v>
      </c>
      <c r="R897" s="186" t="str">
        <f aca="false">+PROPER(C897&amp;" "&amp;D897)</f>
        <v>Oviedo Bolanos Maddely Vanessa</v>
      </c>
      <c r="S897" s="230" t="n">
        <f aca="false">+YEARFRAC(L897,$S$1)</f>
        <v>4.13888888888889</v>
      </c>
      <c r="T897" s="230" t="n">
        <f aca="false">+YEARFRAC(M897,$S$1)</f>
        <v>12.825</v>
      </c>
      <c r="U897" s="231" t="n">
        <f aca="false">+$I897</f>
        <v>7285237</v>
      </c>
      <c r="V897" s="232" t="str">
        <f aca="false">+PROPER(F897)</f>
        <v>Soltero(A)</v>
      </c>
    </row>
    <row r="898" customFormat="false" ht="14.25" hidden="false" customHeight="false" outlineLevel="0" collapsed="false">
      <c r="B898" s="197" t="n">
        <v>1085662084</v>
      </c>
      <c r="C898" s="197" t="s">
        <v>2554</v>
      </c>
      <c r="D898" s="197" t="s">
        <v>2555</v>
      </c>
      <c r="E898" s="198" t="s">
        <v>944</v>
      </c>
      <c r="F898" s="198" t="s">
        <v>953</v>
      </c>
      <c r="G898" s="225" t="n">
        <v>2893800</v>
      </c>
      <c r="H898" s="225" t="n">
        <v>2161575</v>
      </c>
      <c r="I898" s="225" t="n">
        <v>3865237</v>
      </c>
      <c r="J898" s="198" t="n">
        <v>32</v>
      </c>
      <c r="K898" s="198" t="n">
        <v>2</v>
      </c>
      <c r="L898" s="226" t="n">
        <v>45124</v>
      </c>
      <c r="M898" s="226" t="n">
        <v>44750</v>
      </c>
      <c r="N898" s="227" t="n">
        <v>0</v>
      </c>
      <c r="O898" s="227" t="s">
        <v>135</v>
      </c>
      <c r="P898" s="228" t="n">
        <f aca="false">VLOOKUP(B898,'NIVEL ENERO'!A:D,3,0)</f>
        <v>0.281280703904734</v>
      </c>
      <c r="Q898" s="229" t="n">
        <f aca="false">VLOOKUP(B898,'NIVEL ENERO'!A:D,4,0)</f>
        <v>423277.24</v>
      </c>
      <c r="R898" s="186" t="str">
        <f aca="false">+PROPER(C898&amp;" "&amp;D898)</f>
        <v>Ortega Ortega Herson Orlando</v>
      </c>
      <c r="S898" s="230" t="n">
        <f aca="false">+YEARFRAC(L898,$S$1)</f>
        <v>2.81944444444444</v>
      </c>
      <c r="T898" s="230" t="n">
        <f aca="false">+YEARFRAC(M898,$S$1)</f>
        <v>3.84444444444444</v>
      </c>
      <c r="U898" s="231" t="n">
        <f aca="false">+$I898</f>
        <v>3865237</v>
      </c>
      <c r="V898" s="232" t="str">
        <f aca="false">+PROPER(F898)</f>
        <v>Soltero(A)</v>
      </c>
    </row>
    <row r="899" customFormat="false" ht="14.25" hidden="false" customHeight="false" outlineLevel="0" collapsed="false">
      <c r="B899" s="197" t="n">
        <v>1086133211</v>
      </c>
      <c r="C899" s="197" t="s">
        <v>2556</v>
      </c>
      <c r="D899" s="197" t="s">
        <v>2557</v>
      </c>
      <c r="E899" s="198" t="s">
        <v>944</v>
      </c>
      <c r="F899" s="198" t="s">
        <v>945</v>
      </c>
      <c r="G899" s="225" t="n">
        <v>2893800</v>
      </c>
      <c r="H899" s="225" t="n">
        <v>2264268</v>
      </c>
      <c r="I899" s="225" t="n">
        <v>4178305</v>
      </c>
      <c r="J899" s="198" t="n">
        <v>38</v>
      </c>
      <c r="K899" s="198" t="n">
        <v>2</v>
      </c>
      <c r="L899" s="226" t="n">
        <v>44669</v>
      </c>
      <c r="M899" s="226" t="n">
        <v>40308</v>
      </c>
      <c r="N899" s="227" t="n">
        <v>4</v>
      </c>
      <c r="O899" s="227" t="s">
        <v>135</v>
      </c>
      <c r="P899" s="228" t="n">
        <f aca="false">VLOOKUP(B899,'NIVEL ENERO'!A:D,3,0)</f>
        <v>0.392469889158968</v>
      </c>
      <c r="Q899" s="229" t="n">
        <f aca="false">VLOOKUP(B899,'NIVEL ENERO'!A:D,4,0)</f>
        <v>107226.68</v>
      </c>
      <c r="R899" s="186" t="str">
        <f aca="false">+PROPER(C899&amp;" "&amp;D899)</f>
        <v>Delgado Cruz Bibiana Carmenza</v>
      </c>
      <c r="S899" s="230" t="n">
        <f aca="false">+YEARFRAC(L899,$S$1)</f>
        <v>4.06666666666667</v>
      </c>
      <c r="T899" s="230" t="n">
        <f aca="false">+YEARFRAC(M899,$S$1)</f>
        <v>16.0055555555556</v>
      </c>
      <c r="U899" s="231" t="n">
        <f aca="false">+$I899</f>
        <v>4178305</v>
      </c>
      <c r="V899" s="232" t="str">
        <f aca="false">+PROPER(F899)</f>
        <v>Union Libre</v>
      </c>
    </row>
    <row r="900" customFormat="false" ht="14.25" hidden="false" customHeight="false" outlineLevel="0" collapsed="false">
      <c r="B900" s="197" t="n">
        <v>1086753676</v>
      </c>
      <c r="C900" s="197" t="s">
        <v>2558</v>
      </c>
      <c r="D900" s="197" t="s">
        <v>2559</v>
      </c>
      <c r="E900" s="198" t="s">
        <v>944</v>
      </c>
      <c r="F900" s="198" t="s">
        <v>953</v>
      </c>
      <c r="G900" s="225" t="n">
        <v>2893800</v>
      </c>
      <c r="H900" s="225" t="n">
        <v>400000</v>
      </c>
      <c r="I900" s="225"/>
      <c r="J900" s="198" t="n">
        <v>28</v>
      </c>
      <c r="K900" s="198" t="n">
        <v>4</v>
      </c>
      <c r="L900" s="226" t="n">
        <v>45555</v>
      </c>
      <c r="M900" s="226" t="n">
        <v>44750</v>
      </c>
      <c r="N900" s="227" t="n">
        <v>0</v>
      </c>
      <c r="O900" s="227" t="s">
        <v>135</v>
      </c>
      <c r="P900" s="228" t="n">
        <f aca="false">VLOOKUP(B900,'NIVEL ENERO'!A:D,3,0)</f>
        <v>0.349065377073856</v>
      </c>
      <c r="Q900" s="229" t="n">
        <f aca="false">VLOOKUP(B900,'NIVEL ENERO'!A:D,4,0)</f>
        <v>291171.92</v>
      </c>
      <c r="R900" s="186" t="str">
        <f aca="false">+PROPER(C900&amp;" "&amp;D900)</f>
        <v>Ortiz Cuero Pura Zoraida</v>
      </c>
      <c r="S900" s="230" t="n">
        <f aca="false">+YEARFRAC(L900,$S$1)</f>
        <v>1.64444444444444</v>
      </c>
      <c r="T900" s="230" t="n">
        <f aca="false">+YEARFRAC(M900,$S$1)</f>
        <v>3.84444444444444</v>
      </c>
      <c r="U900" s="231" t="n">
        <f aca="false">+$I900</f>
        <v>0</v>
      </c>
      <c r="V900" s="232" t="str">
        <f aca="false">+PROPER(F900)</f>
        <v>Soltero(A)</v>
      </c>
    </row>
    <row r="901" customFormat="false" ht="14.25" hidden="false" customHeight="false" outlineLevel="0" collapsed="false">
      <c r="B901" s="197" t="n">
        <v>1086921055</v>
      </c>
      <c r="C901" s="197" t="s">
        <v>2560</v>
      </c>
      <c r="D901" s="197" t="s">
        <v>2561</v>
      </c>
      <c r="E901" s="198" t="s">
        <v>944</v>
      </c>
      <c r="F901" s="198" t="s">
        <v>953</v>
      </c>
      <c r="G901" s="225" t="n">
        <v>2600900</v>
      </c>
      <c r="H901" s="225" t="n">
        <v>3102082</v>
      </c>
      <c r="I901" s="225"/>
      <c r="J901" s="198" t="n">
        <v>37</v>
      </c>
      <c r="K901" s="198" t="n">
        <v>2</v>
      </c>
      <c r="L901" s="226" t="n">
        <v>44613</v>
      </c>
      <c r="M901" s="226" t="n">
        <v>44105</v>
      </c>
      <c r="N901" s="227" t="n">
        <v>1</v>
      </c>
      <c r="O901" s="227" t="s">
        <v>135</v>
      </c>
      <c r="P901" s="228" t="n">
        <f aca="false">VLOOKUP(B901,'NIVEL ENERO'!A:D,3,0)</f>
        <v>0.301647375954163</v>
      </c>
      <c r="Q901" s="229" t="n">
        <f aca="false">VLOOKUP(B901,'NIVEL ENERO'!A:D,4,0)</f>
        <v>419621.28</v>
      </c>
      <c r="R901" s="186" t="str">
        <f aca="false">+PROPER(C901&amp;" "&amp;D901)</f>
        <v>Eraso Idrobo Yodanci Mabel</v>
      </c>
      <c r="S901" s="230" t="n">
        <f aca="false">+YEARFRAC(L901,$S$1)</f>
        <v>4.225</v>
      </c>
      <c r="T901" s="230" t="n">
        <f aca="false">+YEARFRAC(M901,$S$1)</f>
        <v>5.61388888888889</v>
      </c>
      <c r="U901" s="231" t="n">
        <f aca="false">+$I901</f>
        <v>0</v>
      </c>
      <c r="V901" s="232" t="str">
        <f aca="false">+PROPER(F901)</f>
        <v>Soltero(A)</v>
      </c>
    </row>
    <row r="902" customFormat="false" ht="14.25" hidden="false" customHeight="false" outlineLevel="0" collapsed="false">
      <c r="B902" s="197" t="n">
        <v>1087115616</v>
      </c>
      <c r="C902" s="197" t="s">
        <v>2562</v>
      </c>
      <c r="D902" s="197" t="s">
        <v>2563</v>
      </c>
      <c r="E902" s="198" t="s">
        <v>944</v>
      </c>
      <c r="F902" s="198" t="s">
        <v>953</v>
      </c>
      <c r="G902" s="225" t="n">
        <v>1991000</v>
      </c>
      <c r="H902" s="225" t="n">
        <v>2163254</v>
      </c>
      <c r="I902" s="225" t="n">
        <v>5575407</v>
      </c>
      <c r="J902" s="198" t="n">
        <v>37</v>
      </c>
      <c r="K902" s="198" t="n">
        <v>2</v>
      </c>
      <c r="L902" s="226" t="n">
        <v>44490</v>
      </c>
      <c r="M902" s="226" t="n">
        <v>44279</v>
      </c>
      <c r="N902" s="227" t="n">
        <v>2</v>
      </c>
      <c r="O902" s="227" t="s">
        <v>135</v>
      </c>
      <c r="P902" s="228" t="n">
        <f aca="false">VLOOKUP(B902,'NIVEL ENERO'!A:D,3,0)</f>
        <v>0.273522350577599</v>
      </c>
      <c r="Q902" s="229" t="n">
        <f aca="false">VLOOKUP(B902,'NIVEL ENERO'!A:D,4,0)</f>
        <v>291637</v>
      </c>
      <c r="R902" s="186" t="str">
        <f aca="false">+PROPER(C902&amp;" "&amp;D902)</f>
        <v>Perea Hernandez Francis Betina</v>
      </c>
      <c r="S902" s="230" t="n">
        <f aca="false">+YEARFRAC(L902,$S$1)</f>
        <v>4.55833333333333</v>
      </c>
      <c r="T902" s="230" t="n">
        <f aca="false">+YEARFRAC(M902,$S$1)</f>
        <v>5.13333333333333</v>
      </c>
      <c r="U902" s="231" t="n">
        <f aca="false">+$I902</f>
        <v>5575407</v>
      </c>
      <c r="V902" s="232" t="str">
        <f aca="false">+PROPER(F902)</f>
        <v>Soltero(A)</v>
      </c>
    </row>
    <row r="903" customFormat="false" ht="14.25" hidden="false" customHeight="false" outlineLevel="0" collapsed="false">
      <c r="B903" s="197" t="n">
        <v>1087118163</v>
      </c>
      <c r="C903" s="197" t="s">
        <v>2564</v>
      </c>
      <c r="D903" s="197" t="s">
        <v>2565</v>
      </c>
      <c r="E903" s="198" t="s">
        <v>944</v>
      </c>
      <c r="F903" s="198" t="s">
        <v>945</v>
      </c>
      <c r="G903" s="225" t="n">
        <v>4867100</v>
      </c>
      <c r="H903" s="225" t="n">
        <v>2961379</v>
      </c>
      <c r="I903" s="225" t="n">
        <v>4796217</v>
      </c>
      <c r="J903" s="198" t="n">
        <v>37</v>
      </c>
      <c r="K903" s="198" t="n">
        <v>1</v>
      </c>
      <c r="L903" s="226" t="n">
        <v>44460</v>
      </c>
      <c r="M903" s="226" t="n">
        <v>44105</v>
      </c>
      <c r="N903" s="227" t="n">
        <v>0</v>
      </c>
      <c r="O903" s="227" t="s">
        <v>135</v>
      </c>
      <c r="P903" s="228" t="n">
        <f aca="false">VLOOKUP(B903,'NIVEL ENERO'!A:D,3,0)</f>
        <v>0.155354388736448</v>
      </c>
      <c r="Q903" s="229" t="n">
        <f aca="false">VLOOKUP(B903,'NIVEL ENERO'!A:D,4,0)</f>
        <v>1984789.42</v>
      </c>
      <c r="R903" s="186" t="str">
        <f aca="false">+PROPER(C903&amp;" "&amp;D903)</f>
        <v>Aguino Torres Alex Ruben</v>
      </c>
      <c r="S903" s="230" t="n">
        <f aca="false">+YEARFRAC(L903,$S$1)</f>
        <v>4.64166666666667</v>
      </c>
      <c r="T903" s="230" t="n">
        <f aca="false">+YEARFRAC(M903,$S$1)</f>
        <v>5.61388888888889</v>
      </c>
      <c r="U903" s="231" t="n">
        <f aca="false">+$I903</f>
        <v>4796217</v>
      </c>
      <c r="V903" s="232" t="str">
        <f aca="false">+PROPER(F903)</f>
        <v>Union Libre</v>
      </c>
    </row>
    <row r="904" customFormat="false" ht="14.25" hidden="false" customHeight="false" outlineLevel="0" collapsed="false">
      <c r="B904" s="197" t="n">
        <v>1087129438</v>
      </c>
      <c r="C904" s="197" t="s">
        <v>2566</v>
      </c>
      <c r="D904" s="197" t="s">
        <v>2567</v>
      </c>
      <c r="E904" s="198" t="s">
        <v>944</v>
      </c>
      <c r="F904" s="198" t="s">
        <v>945</v>
      </c>
      <c r="G904" s="225" t="n">
        <v>4870200</v>
      </c>
      <c r="H904" s="225" t="n">
        <v>325000</v>
      </c>
      <c r="I904" s="225" t="n">
        <v>147835</v>
      </c>
      <c r="J904" s="198" t="n">
        <v>34</v>
      </c>
      <c r="K904" s="198" t="n">
        <v>2</v>
      </c>
      <c r="L904" s="226" t="n">
        <v>45519</v>
      </c>
      <c r="M904" s="226" t="n">
        <v>44867</v>
      </c>
      <c r="N904" s="227" t="n">
        <v>0</v>
      </c>
      <c r="O904" s="227" t="s">
        <v>135</v>
      </c>
      <c r="P904" s="228" t="n">
        <f aca="false">VLOOKUP(B904,'NIVEL ENERO'!A:D,3,0)</f>
        <v>0.306024560995182</v>
      </c>
      <c r="Q904" s="229" t="n">
        <f aca="false">VLOOKUP(B904,'NIVEL ENERO'!A:D,4,0)</f>
        <v>676437.24</v>
      </c>
      <c r="R904" s="186" t="str">
        <f aca="false">+PROPER(C904&amp;" "&amp;D904)</f>
        <v>Ortega Torres Merci</v>
      </c>
      <c r="S904" s="230" t="n">
        <f aca="false">+YEARFRAC(L904,$S$1)</f>
        <v>1.74166666666667</v>
      </c>
      <c r="T904" s="230" t="n">
        <f aca="false">+YEARFRAC(M904,$S$1)</f>
        <v>3.52777777777778</v>
      </c>
      <c r="U904" s="231" t="n">
        <f aca="false">+$I904</f>
        <v>147835</v>
      </c>
      <c r="V904" s="232" t="str">
        <f aca="false">+PROPER(F904)</f>
        <v>Union Libre</v>
      </c>
    </row>
    <row r="905" customFormat="false" ht="14.25" hidden="false" customHeight="false" outlineLevel="0" collapsed="false">
      <c r="B905" s="197" t="n">
        <v>1087184710</v>
      </c>
      <c r="C905" s="197" t="s">
        <v>2568</v>
      </c>
      <c r="D905" s="197" t="s">
        <v>2569</v>
      </c>
      <c r="E905" s="198" t="s">
        <v>944</v>
      </c>
      <c r="F905" s="198" t="s">
        <v>945</v>
      </c>
      <c r="G905" s="225" t="n">
        <v>5418800</v>
      </c>
      <c r="H905" s="225" t="n">
        <v>1064409</v>
      </c>
      <c r="I905" s="225" t="n">
        <v>1459231</v>
      </c>
      <c r="J905" s="198" t="n">
        <v>34</v>
      </c>
      <c r="K905" s="198" t="n">
        <v>2</v>
      </c>
      <c r="L905" s="226" t="n">
        <v>45148</v>
      </c>
      <c r="M905" s="226" t="n">
        <v>42445</v>
      </c>
      <c r="N905" s="227" t="n">
        <v>3</v>
      </c>
      <c r="O905" s="227" t="s">
        <v>135</v>
      </c>
      <c r="P905" s="228" t="n">
        <f aca="false">VLOOKUP(B905,'NIVEL ENERO'!A:D,3,0)</f>
        <v>0.328180260438893</v>
      </c>
      <c r="Q905" s="229" t="n">
        <f aca="false">VLOOKUP(B905,'NIVEL ENERO'!A:D,4,0)</f>
        <v>700720.2</v>
      </c>
      <c r="R905" s="186" t="str">
        <f aca="false">+PROPER(C905&amp;" "&amp;D905)</f>
        <v>Cortes Plaza Maryori Carolina</v>
      </c>
      <c r="S905" s="230" t="n">
        <f aca="false">+YEARFRAC(L905,$S$1)</f>
        <v>2.75555555555556</v>
      </c>
      <c r="T905" s="230" t="n">
        <f aca="false">+YEARFRAC(M905,$S$1)</f>
        <v>10.1555555555556</v>
      </c>
      <c r="U905" s="231" t="n">
        <f aca="false">+$I905</f>
        <v>1459231</v>
      </c>
      <c r="V905" s="232" t="str">
        <f aca="false">+PROPER(F905)</f>
        <v>Union Libre</v>
      </c>
    </row>
    <row r="906" customFormat="false" ht="14.25" hidden="false" customHeight="false" outlineLevel="0" collapsed="false">
      <c r="B906" s="197" t="n">
        <v>1087185676</v>
      </c>
      <c r="C906" s="197" t="s">
        <v>2570</v>
      </c>
      <c r="D906" s="197" t="s">
        <v>2571</v>
      </c>
      <c r="E906" s="198" t="s">
        <v>944</v>
      </c>
      <c r="F906" s="198" t="s">
        <v>953</v>
      </c>
      <c r="G906" s="225" t="n">
        <v>4383200</v>
      </c>
      <c r="H906" s="225" t="n">
        <v>4214603</v>
      </c>
      <c r="I906" s="225" t="n">
        <v>2308954</v>
      </c>
      <c r="J906" s="198" t="n">
        <v>33</v>
      </c>
      <c r="K906" s="198" t="n">
        <v>3</v>
      </c>
      <c r="L906" s="226" t="n">
        <v>44791</v>
      </c>
      <c r="M906" s="226" t="n">
        <v>44105</v>
      </c>
      <c r="N906" s="227" t="n">
        <v>2</v>
      </c>
      <c r="O906" s="227" t="s">
        <v>135</v>
      </c>
      <c r="P906" s="228" t="n">
        <f aca="false">VLOOKUP(B906,'NIVEL ENERO'!A:D,3,0)</f>
        <v>0.380333573042577</v>
      </c>
      <c r="Q906" s="229" t="n">
        <f aca="false">VLOOKUP(B906,'NIVEL ENERO'!A:D,4,0)</f>
        <v>207986.52</v>
      </c>
      <c r="R906" s="186" t="str">
        <f aca="false">+PROPER(C906&amp;" "&amp;D906)</f>
        <v>Ordonez Preciado Zuani Vanessa</v>
      </c>
      <c r="S906" s="230" t="n">
        <f aca="false">+YEARFRAC(L906,$S$1)</f>
        <v>3.73333333333333</v>
      </c>
      <c r="T906" s="230" t="n">
        <f aca="false">+YEARFRAC(M906,$S$1)</f>
        <v>5.61388888888889</v>
      </c>
      <c r="U906" s="231" t="n">
        <f aca="false">+$I906</f>
        <v>2308954</v>
      </c>
      <c r="V906" s="232" t="str">
        <f aca="false">+PROPER(F906)</f>
        <v>Soltero(A)</v>
      </c>
    </row>
    <row r="907" customFormat="false" ht="14.25" hidden="false" customHeight="false" outlineLevel="0" collapsed="false">
      <c r="B907" s="197" t="n">
        <v>1087703010</v>
      </c>
      <c r="C907" s="197" t="s">
        <v>2572</v>
      </c>
      <c r="D907" s="197" t="s">
        <v>2573</v>
      </c>
      <c r="E907" s="198" t="s">
        <v>944</v>
      </c>
      <c r="F907" s="198" t="s">
        <v>953</v>
      </c>
      <c r="G907" s="225" t="n">
        <v>1625000</v>
      </c>
      <c r="H907" s="225" t="n">
        <v>200000</v>
      </c>
      <c r="I907" s="225"/>
      <c r="J907" s="198" t="n">
        <v>38</v>
      </c>
      <c r="K907" s="198" t="n">
        <v>4</v>
      </c>
      <c r="L907" s="226" t="n">
        <v>45643</v>
      </c>
      <c r="M907" s="226" t="n">
        <v>45555</v>
      </c>
      <c r="N907" s="227" t="n">
        <v>0</v>
      </c>
      <c r="O907" s="227" t="s">
        <v>135</v>
      </c>
      <c r="P907" s="228" t="e">
        <f aca="false">VLOOKUP(B907,'NIVEL ENERO'!A:D,3,0)</f>
        <v>#N/A</v>
      </c>
      <c r="Q907" s="229" t="e">
        <f aca="false">VLOOKUP(B907,'NIVEL ENERO'!A:D,4,0)</f>
        <v>#N/A</v>
      </c>
      <c r="R907" s="186" t="str">
        <f aca="false">+PROPER(C907&amp;" "&amp;D907)</f>
        <v>Rodriguez Riascos Jose Edinson</v>
      </c>
      <c r="S907" s="230" t="n">
        <f aca="false">+YEARFRAC(L907,$S$1)</f>
        <v>1.40277777777778</v>
      </c>
      <c r="T907" s="230" t="n">
        <f aca="false">+YEARFRAC(M907,$S$1)</f>
        <v>1.64444444444444</v>
      </c>
      <c r="U907" s="231" t="n">
        <f aca="false">+$I907</f>
        <v>0</v>
      </c>
      <c r="V907" s="232" t="str">
        <f aca="false">+PROPER(F907)</f>
        <v>Soltero(A)</v>
      </c>
    </row>
    <row r="908" customFormat="false" ht="14.25" hidden="false" customHeight="false" outlineLevel="0" collapsed="false">
      <c r="B908" s="197" t="n">
        <v>1087800366</v>
      </c>
      <c r="C908" s="197" t="s">
        <v>2574</v>
      </c>
      <c r="D908" s="197" t="s">
        <v>2575</v>
      </c>
      <c r="E908" s="198" t="s">
        <v>944</v>
      </c>
      <c r="F908" s="198" t="s">
        <v>953</v>
      </c>
      <c r="G908" s="225" t="n">
        <v>1625000</v>
      </c>
      <c r="H908" s="225" t="n">
        <v>200000</v>
      </c>
      <c r="I908" s="225" t="n">
        <v>1920929</v>
      </c>
      <c r="J908" s="198" t="n">
        <v>31</v>
      </c>
      <c r="K908" s="198" t="n">
        <v>1</v>
      </c>
      <c r="L908" s="226" t="n">
        <v>45615</v>
      </c>
      <c r="M908" s="226" t="n">
        <v>45505</v>
      </c>
      <c r="N908" s="227" t="n">
        <v>0</v>
      </c>
      <c r="O908" s="227" t="s">
        <v>135</v>
      </c>
      <c r="P908" s="228" t="n">
        <f aca="false">VLOOKUP(B908,'NIVEL ENERO'!A:D,3,0)</f>
        <v>0.346723219824927</v>
      </c>
      <c r="Q908" s="229" t="n">
        <f aca="false">VLOOKUP(B908,'NIVEL ENERO'!A:D,4,0)</f>
        <v>330249.666666667</v>
      </c>
      <c r="R908" s="186" t="str">
        <f aca="false">+PROPER(C908&amp;" "&amp;D908)</f>
        <v>Tenorio Castillo Katherin Barney</v>
      </c>
      <c r="S908" s="230" t="n">
        <f aca="false">+YEARFRAC(L908,$S$1)</f>
        <v>1.48055555555556</v>
      </c>
      <c r="T908" s="230" t="n">
        <f aca="false">+YEARFRAC(M908,$S$1)</f>
        <v>1.78055555555556</v>
      </c>
      <c r="U908" s="231" t="n">
        <f aca="false">+$I908</f>
        <v>1920929</v>
      </c>
      <c r="V908" s="232" t="str">
        <f aca="false">+PROPER(F908)</f>
        <v>Soltero(A)</v>
      </c>
    </row>
    <row r="909" customFormat="false" ht="14.25" hidden="false" customHeight="false" outlineLevel="0" collapsed="false">
      <c r="B909" s="197" t="n">
        <v>1087994232</v>
      </c>
      <c r="C909" s="197" t="s">
        <v>2576</v>
      </c>
      <c r="D909" s="197" t="s">
        <v>1950</v>
      </c>
      <c r="E909" s="198" t="s">
        <v>944</v>
      </c>
      <c r="F909" s="198" t="s">
        <v>953</v>
      </c>
      <c r="G909" s="225" t="n">
        <v>2893800</v>
      </c>
      <c r="H909" s="225" t="n">
        <v>2043886</v>
      </c>
      <c r="I909" s="225" t="n">
        <v>2314835</v>
      </c>
      <c r="J909" s="198" t="n">
        <v>36</v>
      </c>
      <c r="K909" s="198" t="n">
        <v>2</v>
      </c>
      <c r="L909" s="226" t="n">
        <v>44631</v>
      </c>
      <c r="M909" s="226" t="n">
        <v>44105</v>
      </c>
      <c r="N909" s="227" t="n">
        <v>1</v>
      </c>
      <c r="O909" s="227" t="s">
        <v>135</v>
      </c>
      <c r="P909" s="228" t="n">
        <f aca="false">VLOOKUP(B909,'NIVEL ENERO'!A:D,3,0)</f>
        <v>0.18606580025569</v>
      </c>
      <c r="Q909" s="229" t="n">
        <f aca="false">VLOOKUP(B909,'NIVEL ENERO'!A:D,4,0)</f>
        <v>656421.08</v>
      </c>
      <c r="R909" s="186" t="str">
        <f aca="false">+PROPER(C909&amp;" "&amp;D909)</f>
        <v>Rojas Ocampo Maryuri</v>
      </c>
      <c r="S909" s="230" t="n">
        <f aca="false">+YEARFRAC(L909,$S$1)</f>
        <v>4.16944444444444</v>
      </c>
      <c r="T909" s="230" t="n">
        <f aca="false">+YEARFRAC(M909,$S$1)</f>
        <v>5.61388888888889</v>
      </c>
      <c r="U909" s="231" t="n">
        <f aca="false">+$I909</f>
        <v>2314835</v>
      </c>
      <c r="V909" s="232" t="str">
        <f aca="false">+PROPER(F909)</f>
        <v>Soltero(A)</v>
      </c>
    </row>
    <row r="910" customFormat="false" ht="14.25" hidden="false" customHeight="false" outlineLevel="0" collapsed="false">
      <c r="B910" s="197" t="n">
        <v>1087994517</v>
      </c>
      <c r="C910" s="197" t="s">
        <v>2577</v>
      </c>
      <c r="D910" s="197" t="s">
        <v>2578</v>
      </c>
      <c r="E910" s="198" t="s">
        <v>944</v>
      </c>
      <c r="F910" s="198" t="s">
        <v>945</v>
      </c>
      <c r="G910" s="225" t="n">
        <v>1991000</v>
      </c>
      <c r="H910" s="225" t="n">
        <v>5544179</v>
      </c>
      <c r="I910" s="225" t="n">
        <v>14232913</v>
      </c>
      <c r="J910" s="198" t="n">
        <v>36</v>
      </c>
      <c r="K910" s="198" t="n">
        <v>2</v>
      </c>
      <c r="L910" s="226" t="n">
        <v>41772</v>
      </c>
      <c r="M910" s="226" t="n">
        <v>41470</v>
      </c>
      <c r="N910" s="227" t="n">
        <v>4</v>
      </c>
      <c r="O910" s="227" t="s">
        <v>135</v>
      </c>
      <c r="P910" s="228" t="n">
        <f aca="false">VLOOKUP(B910,'NIVEL ENERO'!A:D,3,0)</f>
        <v>0.467793068809643</v>
      </c>
      <c r="Q910" s="229" t="n">
        <f aca="false">VLOOKUP(B910,'NIVEL ENERO'!A:D,4,0)</f>
        <v>-95156</v>
      </c>
      <c r="R910" s="186" t="str">
        <f aca="false">+PROPER(C910&amp;" "&amp;D910)</f>
        <v>Rosero Lemos Linda Lorena</v>
      </c>
      <c r="S910" s="230" t="n">
        <f aca="false">+YEARFRAC(L910,$S$1)</f>
        <v>11.9972222222222</v>
      </c>
      <c r="T910" s="230" t="n">
        <f aca="false">+YEARFRAC(M910,$S$1)</f>
        <v>12.825</v>
      </c>
      <c r="U910" s="231" t="n">
        <f aca="false">+$I910</f>
        <v>14232913</v>
      </c>
      <c r="V910" s="232" t="str">
        <f aca="false">+PROPER(F910)</f>
        <v>Union Libre</v>
      </c>
    </row>
    <row r="911" customFormat="false" ht="14.25" hidden="false" customHeight="false" outlineLevel="0" collapsed="false">
      <c r="B911" s="197" t="n">
        <v>1088281354</v>
      </c>
      <c r="C911" s="197" t="s">
        <v>2579</v>
      </c>
      <c r="D911" s="197" t="s">
        <v>2580</v>
      </c>
      <c r="E911" s="198" t="s">
        <v>944</v>
      </c>
      <c r="F911" s="198" t="s">
        <v>948</v>
      </c>
      <c r="G911" s="225" t="n">
        <v>5842800</v>
      </c>
      <c r="H911" s="225" t="n">
        <v>560000</v>
      </c>
      <c r="I911" s="225" t="n">
        <v>764662</v>
      </c>
      <c r="J911" s="198" t="n">
        <v>34</v>
      </c>
      <c r="K911" s="198" t="n">
        <v>1</v>
      </c>
      <c r="L911" s="226" t="n">
        <v>45447</v>
      </c>
      <c r="M911" s="226" t="n">
        <v>42139</v>
      </c>
      <c r="N911" s="227" t="n">
        <v>2</v>
      </c>
      <c r="O911" s="227" t="s">
        <v>135</v>
      </c>
      <c r="P911" s="228" t="n">
        <f aca="false">VLOOKUP(B911,'NIVEL ENERO'!A:D,3,0)</f>
        <v>0.161475662353666</v>
      </c>
      <c r="Q911" s="229" t="n">
        <f aca="false">VLOOKUP(B911,'NIVEL ENERO'!A:D,4,0)</f>
        <v>1510506</v>
      </c>
      <c r="R911" s="186" t="str">
        <f aca="false">+PROPER(C911&amp;" "&amp;D911)</f>
        <v>Rubio Puerta Maria Estefany</v>
      </c>
      <c r="S911" s="230" t="n">
        <f aca="false">+YEARFRAC(L911,$S$1)</f>
        <v>1.93888888888889</v>
      </c>
      <c r="T911" s="230" t="n">
        <f aca="false">+YEARFRAC(M911,$S$1)</f>
        <v>10.9916666666667</v>
      </c>
      <c r="U911" s="231" t="n">
        <f aca="false">+$I911</f>
        <v>764662</v>
      </c>
      <c r="V911" s="232" t="str">
        <f aca="false">+PROPER(F911)</f>
        <v>Casado(A)</v>
      </c>
    </row>
    <row r="912" customFormat="false" ht="14.25" hidden="false" customHeight="false" outlineLevel="0" collapsed="false">
      <c r="B912" s="197" t="n">
        <v>1088345243</v>
      </c>
      <c r="C912" s="197" t="s">
        <v>2581</v>
      </c>
      <c r="D912" s="197" t="s">
        <v>2582</v>
      </c>
      <c r="E912" s="198" t="s">
        <v>944</v>
      </c>
      <c r="F912" s="198" t="s">
        <v>948</v>
      </c>
      <c r="G912" s="225" t="n">
        <v>5291000</v>
      </c>
      <c r="H912" s="225" t="n">
        <v>2600022</v>
      </c>
      <c r="I912" s="225" t="n">
        <v>69959</v>
      </c>
      <c r="J912" s="198" t="n">
        <v>27</v>
      </c>
      <c r="K912" s="198" t="n">
        <v>2</v>
      </c>
      <c r="L912" s="226" t="n">
        <v>45279</v>
      </c>
      <c r="M912" s="226" t="n">
        <v>43090</v>
      </c>
      <c r="N912" s="227" t="n">
        <v>0</v>
      </c>
      <c r="O912" s="227" t="s">
        <v>135</v>
      </c>
      <c r="P912" s="228" t="n">
        <f aca="false">VLOOKUP(B912,'NIVEL ENERO'!A:D,3,0)</f>
        <v>0.336919571181582</v>
      </c>
      <c r="Q912" s="229" t="n">
        <f aca="false">VLOOKUP(B912,'NIVEL ENERO'!A:D,4,0)</f>
        <v>201983.2</v>
      </c>
      <c r="R912" s="186" t="str">
        <f aca="false">+PROPER(C912&amp;" "&amp;D912)</f>
        <v>Yepes Gonzalez Brenda Vanessa</v>
      </c>
      <c r="S912" s="230" t="n">
        <f aca="false">+YEARFRAC(L912,$S$1)</f>
        <v>2.39722222222222</v>
      </c>
      <c r="T912" s="230" t="n">
        <f aca="false">+YEARFRAC(M912,$S$1)</f>
        <v>8.39166666666667</v>
      </c>
      <c r="U912" s="231" t="n">
        <f aca="false">+$I912</f>
        <v>69959</v>
      </c>
      <c r="V912" s="232" t="str">
        <f aca="false">+PROPER(F912)</f>
        <v>Casado(A)</v>
      </c>
    </row>
    <row r="913" customFormat="false" ht="14.25" hidden="false" customHeight="false" outlineLevel="0" collapsed="false">
      <c r="B913" s="197" t="n">
        <v>1088356182</v>
      </c>
      <c r="C913" s="197" t="s">
        <v>2583</v>
      </c>
      <c r="D913" s="197" t="s">
        <v>2584</v>
      </c>
      <c r="E913" s="198" t="s">
        <v>944</v>
      </c>
      <c r="F913" s="198" t="s">
        <v>953</v>
      </c>
      <c r="G913" s="225" t="n">
        <v>3858500</v>
      </c>
      <c r="H913" s="225" t="n">
        <v>5907465</v>
      </c>
      <c r="I913" s="225" t="n">
        <v>578527</v>
      </c>
      <c r="J913" s="198" t="n">
        <v>25</v>
      </c>
      <c r="K913" s="198" t="n">
        <v>2</v>
      </c>
      <c r="L913" s="226" t="n">
        <v>44575</v>
      </c>
      <c r="M913" s="226" t="n">
        <v>44082</v>
      </c>
      <c r="N913" s="227" t="n">
        <v>2</v>
      </c>
      <c r="O913" s="227" t="s">
        <v>135</v>
      </c>
      <c r="P913" s="228" t="n">
        <f aca="false">VLOOKUP(B913,'NIVEL ENERO'!A:D,3,0)</f>
        <v>0.240482248037437</v>
      </c>
      <c r="Q913" s="229" t="n">
        <f aca="false">VLOOKUP(B913,'NIVEL ENERO'!A:D,4,0)</f>
        <v>1118051.16</v>
      </c>
      <c r="R913" s="186" t="str">
        <f aca="false">+PROPER(C913&amp;" "&amp;D913)</f>
        <v>Gallo Arias Wilder Andredi</v>
      </c>
      <c r="S913" s="230" t="n">
        <f aca="false">+YEARFRAC(L913,$S$1)</f>
        <v>4.32777777777778</v>
      </c>
      <c r="T913" s="230" t="n">
        <f aca="false">+YEARFRAC(M913,$S$1)</f>
        <v>5.67777777777778</v>
      </c>
      <c r="U913" s="231" t="n">
        <f aca="false">+$I913</f>
        <v>578527</v>
      </c>
      <c r="V913" s="232" t="str">
        <f aca="false">+PROPER(F913)</f>
        <v>Soltero(A)</v>
      </c>
    </row>
    <row r="914" customFormat="false" ht="14.25" hidden="false" customHeight="false" outlineLevel="0" collapsed="false">
      <c r="B914" s="197" t="n">
        <v>1089242531</v>
      </c>
      <c r="C914" s="197" t="s">
        <v>2585</v>
      </c>
      <c r="D914" s="197" t="s">
        <v>1447</v>
      </c>
      <c r="E914" s="198" t="s">
        <v>944</v>
      </c>
      <c r="F914" s="198" t="s">
        <v>945</v>
      </c>
      <c r="G914" s="225" t="n">
        <v>4469100</v>
      </c>
      <c r="H914" s="225" t="n">
        <v>4021915</v>
      </c>
      <c r="I914" s="225"/>
      <c r="J914" s="198" t="n">
        <v>37</v>
      </c>
      <c r="K914" s="198" t="n">
        <v>1</v>
      </c>
      <c r="L914" s="226" t="n">
        <v>44432</v>
      </c>
      <c r="M914" s="226" t="n">
        <v>44166</v>
      </c>
      <c r="N914" s="227" t="n">
        <v>4</v>
      </c>
      <c r="O914" s="227" t="s">
        <v>135</v>
      </c>
      <c r="P914" s="228" t="n">
        <f aca="false">VLOOKUP(B914,'NIVEL ENERO'!A:D,3,0)</f>
        <v>0.109412140885242</v>
      </c>
      <c r="Q914" s="229" t="n">
        <f aca="false">VLOOKUP(B914,'NIVEL ENERO'!A:D,4,0)</f>
        <v>1416211.48</v>
      </c>
      <c r="R914" s="186" t="str">
        <f aca="false">+PROPER(C914&amp;" "&amp;D914)</f>
        <v>Betancourt Perez Martha Lucia</v>
      </c>
      <c r="S914" s="230" t="n">
        <f aca="false">+YEARFRAC(L914,$S$1)</f>
        <v>4.71666666666667</v>
      </c>
      <c r="T914" s="230" t="n">
        <f aca="false">+YEARFRAC(M914,$S$1)</f>
        <v>5.44722222222222</v>
      </c>
      <c r="U914" s="231" t="n">
        <f aca="false">+$I914</f>
        <v>0</v>
      </c>
      <c r="V914" s="232" t="str">
        <f aca="false">+PROPER(F914)</f>
        <v>Union Libre</v>
      </c>
    </row>
    <row r="915" customFormat="false" ht="14.25" hidden="false" customHeight="false" outlineLevel="0" collapsed="false">
      <c r="B915" s="197" t="n">
        <v>1089486387</v>
      </c>
      <c r="C915" s="197" t="s">
        <v>2586</v>
      </c>
      <c r="D915" s="197" t="s">
        <v>2587</v>
      </c>
      <c r="E915" s="198" t="s">
        <v>944</v>
      </c>
      <c r="F915" s="198" t="s">
        <v>953</v>
      </c>
      <c r="G915" s="225" t="n">
        <v>4870200</v>
      </c>
      <c r="H915" s="225" t="n">
        <v>4172329</v>
      </c>
      <c r="I915" s="225" t="n">
        <v>4786279</v>
      </c>
      <c r="J915" s="198" t="n">
        <v>28</v>
      </c>
      <c r="K915" s="198" t="n">
        <v>2</v>
      </c>
      <c r="L915" s="226" t="n">
        <v>44875</v>
      </c>
      <c r="M915" s="226" t="n">
        <v>44820</v>
      </c>
      <c r="N915" s="227" t="n">
        <v>0</v>
      </c>
      <c r="O915" s="227" t="s">
        <v>135</v>
      </c>
      <c r="P915" s="228" t="n">
        <f aca="false">VLOOKUP(B915,'NIVEL ENERO'!A:D,3,0)</f>
        <v>0.156396676798309</v>
      </c>
      <c r="Q915" s="229" t="n">
        <f aca="false">VLOOKUP(B915,'NIVEL ENERO'!A:D,4,0)</f>
        <v>820052.98</v>
      </c>
      <c r="R915" s="186" t="str">
        <f aca="false">+PROPER(C915&amp;" "&amp;D915)</f>
        <v>Rivera Coronel Naysha Mishel</v>
      </c>
      <c r="S915" s="230" t="n">
        <f aca="false">+YEARFRAC(L915,$S$1)</f>
        <v>3.50555555555556</v>
      </c>
      <c r="T915" s="230" t="n">
        <f aca="false">+YEARFRAC(M915,$S$1)</f>
        <v>3.65555555555556</v>
      </c>
      <c r="U915" s="231" t="n">
        <f aca="false">+$I915</f>
        <v>4786279</v>
      </c>
      <c r="V915" s="232" t="str">
        <f aca="false">+PROPER(F915)</f>
        <v>Soltero(A)</v>
      </c>
    </row>
    <row r="916" customFormat="false" ht="14.25" hidden="false" customHeight="false" outlineLevel="0" collapsed="false">
      <c r="B916" s="197" t="n">
        <v>1089905168</v>
      </c>
      <c r="C916" s="197" t="s">
        <v>2588</v>
      </c>
      <c r="D916" s="197" t="s">
        <v>2589</v>
      </c>
      <c r="E916" s="198" t="s">
        <v>944</v>
      </c>
      <c r="F916" s="198" t="s">
        <v>953</v>
      </c>
      <c r="G916" s="225" t="n">
        <v>2893800</v>
      </c>
      <c r="H916" s="225" t="n">
        <v>1708686</v>
      </c>
      <c r="I916" s="225" t="n">
        <v>3940660</v>
      </c>
      <c r="J916" s="198" t="n">
        <v>37</v>
      </c>
      <c r="K916" s="198" t="n">
        <v>1</v>
      </c>
      <c r="L916" s="226" t="n">
        <v>44757</v>
      </c>
      <c r="M916" s="226" t="n">
        <v>44165</v>
      </c>
      <c r="N916" s="227" t="n">
        <v>1</v>
      </c>
      <c r="O916" s="227" t="s">
        <v>135</v>
      </c>
      <c r="P916" s="228" t="n">
        <f aca="false">VLOOKUP(B916,'NIVEL ENERO'!A:D,3,0)</f>
        <v>0.11594781676331</v>
      </c>
      <c r="Q916" s="229" t="n">
        <f aca="false">VLOOKUP(B916,'NIVEL ENERO'!A:D,4,0)</f>
        <v>1282883.12</v>
      </c>
      <c r="R916" s="186" t="str">
        <f aca="false">+PROPER(C916&amp;" "&amp;D916)</f>
        <v>Benitez Lopez Ana Miledy</v>
      </c>
      <c r="S916" s="230" t="n">
        <f aca="false">+YEARFRAC(L916,$S$1)</f>
        <v>3.825</v>
      </c>
      <c r="T916" s="230" t="n">
        <f aca="false">+YEARFRAC(M916,$S$1)</f>
        <v>5.45</v>
      </c>
      <c r="U916" s="231" t="n">
        <f aca="false">+$I916</f>
        <v>3940660</v>
      </c>
      <c r="V916" s="232" t="str">
        <f aca="false">+PROPER(F916)</f>
        <v>Soltero(A)</v>
      </c>
    </row>
    <row r="917" customFormat="false" ht="14.25" hidden="false" customHeight="false" outlineLevel="0" collapsed="false">
      <c r="B917" s="197" t="n">
        <v>1090396671</v>
      </c>
      <c r="C917" s="197" t="s">
        <v>2590</v>
      </c>
      <c r="D917" s="197" t="s">
        <v>2591</v>
      </c>
      <c r="E917" s="198" t="s">
        <v>944</v>
      </c>
      <c r="F917" s="198" t="s">
        <v>953</v>
      </c>
      <c r="G917" s="225" t="n">
        <v>4870200</v>
      </c>
      <c r="H917" s="225" t="n">
        <v>1080000</v>
      </c>
      <c r="I917" s="225" t="n">
        <v>1072098</v>
      </c>
      <c r="J917" s="198" t="n">
        <v>36</v>
      </c>
      <c r="K917" s="198" t="n">
        <v>2</v>
      </c>
      <c r="L917" s="226" t="n">
        <v>45306</v>
      </c>
      <c r="M917" s="226" t="n">
        <v>45040</v>
      </c>
      <c r="N917" s="227" t="n">
        <v>0</v>
      </c>
      <c r="O917" s="227" t="s">
        <v>135</v>
      </c>
      <c r="P917" s="228" t="n">
        <f aca="false">VLOOKUP(B917,'NIVEL ENERO'!A:D,3,0)</f>
        <v>0.264540502030629</v>
      </c>
      <c r="Q917" s="229" t="n">
        <f aca="false">VLOOKUP(B917,'NIVEL ENERO'!A:D,4,0)</f>
        <v>853779.78</v>
      </c>
      <c r="R917" s="186" t="str">
        <f aca="false">+PROPER(C917&amp;" "&amp;D917)</f>
        <v>Mejia Cobilla Johnattan David</v>
      </c>
      <c r="S917" s="230" t="n">
        <f aca="false">+YEARFRAC(L917,$S$1)</f>
        <v>2.325</v>
      </c>
      <c r="T917" s="230" t="n">
        <f aca="false">+YEARFRAC(M917,$S$1)</f>
        <v>3.05</v>
      </c>
      <c r="U917" s="231" t="n">
        <f aca="false">+$I917</f>
        <v>1072098</v>
      </c>
      <c r="V917" s="232" t="str">
        <f aca="false">+PROPER(F917)</f>
        <v>Soltero(A)</v>
      </c>
    </row>
    <row r="918" customFormat="false" ht="14.25" hidden="false" customHeight="false" outlineLevel="0" collapsed="false">
      <c r="B918" s="197" t="n">
        <v>1094898445</v>
      </c>
      <c r="C918" s="197" t="s">
        <v>2592</v>
      </c>
      <c r="D918" s="197" t="s">
        <v>2022</v>
      </c>
      <c r="E918" s="198" t="s">
        <v>944</v>
      </c>
      <c r="F918" s="198" t="s">
        <v>948</v>
      </c>
      <c r="G918" s="225" t="n">
        <v>5842800</v>
      </c>
      <c r="H918" s="225" t="n">
        <v>6487393</v>
      </c>
      <c r="I918" s="225" t="n">
        <v>0</v>
      </c>
      <c r="J918" s="198" t="n">
        <v>36</v>
      </c>
      <c r="K918" s="198" t="n">
        <v>1</v>
      </c>
      <c r="L918" s="226" t="n">
        <v>44335</v>
      </c>
      <c r="M918" s="226" t="n">
        <v>41685</v>
      </c>
      <c r="N918" s="227" t="n">
        <v>3</v>
      </c>
      <c r="O918" s="227" t="s">
        <v>135</v>
      </c>
      <c r="P918" s="228" t="n">
        <f aca="false">VLOOKUP(B918,'NIVEL ENERO'!A:D,3,0)</f>
        <v>0.137657122546887</v>
      </c>
      <c r="Q918" s="229" t="n">
        <f aca="false">VLOOKUP(B918,'NIVEL ENERO'!A:D,4,0)</f>
        <v>1858033.82</v>
      </c>
      <c r="R918" s="186" t="str">
        <f aca="false">+PROPER(C918&amp;" "&amp;D918)</f>
        <v>Bermudez Gomez Yurani</v>
      </c>
      <c r="S918" s="230" t="n">
        <f aca="false">+YEARFRAC(L918,$S$1)</f>
        <v>4.98055555555556</v>
      </c>
      <c r="T918" s="230" t="n">
        <f aca="false">+YEARFRAC(M918,$S$1)</f>
        <v>12.2416666666667</v>
      </c>
      <c r="U918" s="231" t="n">
        <f aca="false">+$I918</f>
        <v>0</v>
      </c>
      <c r="V918" s="232" t="str">
        <f aca="false">+PROPER(F918)</f>
        <v>Casado(A)</v>
      </c>
    </row>
    <row r="919" customFormat="false" ht="14.25" hidden="false" customHeight="false" outlineLevel="0" collapsed="false">
      <c r="B919" s="197" t="n">
        <v>1094902945</v>
      </c>
      <c r="C919" s="197" t="s">
        <v>2593</v>
      </c>
      <c r="D919" s="197" t="s">
        <v>2594</v>
      </c>
      <c r="E919" s="198" t="s">
        <v>944</v>
      </c>
      <c r="F919" s="198" t="s">
        <v>953</v>
      </c>
      <c r="G919" s="225" t="n">
        <v>2893800</v>
      </c>
      <c r="H919" s="225" t="n">
        <v>3038447</v>
      </c>
      <c r="I919" s="225" t="n">
        <v>80223</v>
      </c>
      <c r="J919" s="198" t="n">
        <v>35</v>
      </c>
      <c r="K919" s="198" t="n">
        <v>2</v>
      </c>
      <c r="L919" s="226" t="n">
        <v>43817</v>
      </c>
      <c r="M919" s="226" t="n">
        <v>42752</v>
      </c>
      <c r="N919" s="227" t="n">
        <v>2</v>
      </c>
      <c r="O919" s="227" t="s">
        <v>135</v>
      </c>
      <c r="P919" s="228" t="n">
        <f aca="false">VLOOKUP(B919,'NIVEL ENERO'!A:D,3,0)</f>
        <v>0.176213471591079</v>
      </c>
      <c r="Q919" s="229" t="n">
        <f aca="false">VLOOKUP(B919,'NIVEL ENERO'!A:D,4,0)</f>
        <v>987810.58</v>
      </c>
      <c r="R919" s="186" t="str">
        <f aca="false">+PROPER(C919&amp;" "&amp;D919)</f>
        <v>Viteri Quiscualtud Leidy Patricia</v>
      </c>
      <c r="S919" s="230" t="n">
        <f aca="false">+YEARFRAC(L919,$S$1)</f>
        <v>6.4</v>
      </c>
      <c r="T919" s="230" t="n">
        <f aca="false">+YEARFRAC(M919,$S$1)</f>
        <v>9.31944444444445</v>
      </c>
      <c r="U919" s="231" t="n">
        <f aca="false">+$I919</f>
        <v>80223</v>
      </c>
      <c r="V919" s="232" t="str">
        <f aca="false">+PROPER(F919)</f>
        <v>Soltero(A)</v>
      </c>
    </row>
    <row r="920" customFormat="false" ht="14.25" hidden="false" customHeight="false" outlineLevel="0" collapsed="false">
      <c r="B920" s="197" t="n">
        <v>1097389965</v>
      </c>
      <c r="C920" s="197" t="s">
        <v>2595</v>
      </c>
      <c r="D920" s="197" t="s">
        <v>2596</v>
      </c>
      <c r="E920" s="198" t="s">
        <v>944</v>
      </c>
      <c r="F920" s="198" t="s">
        <v>953</v>
      </c>
      <c r="G920" s="225" t="n">
        <v>2600900</v>
      </c>
      <c r="H920" s="225" t="n">
        <v>2402913</v>
      </c>
      <c r="I920" s="225" t="n">
        <v>48003</v>
      </c>
      <c r="J920" s="198" t="n">
        <v>37</v>
      </c>
      <c r="K920" s="198" t="n">
        <v>2</v>
      </c>
      <c r="L920" s="226" t="n">
        <v>45064</v>
      </c>
      <c r="M920" s="226" t="n">
        <v>44460</v>
      </c>
      <c r="N920" s="227" t="n">
        <v>0</v>
      </c>
      <c r="O920" s="227" t="s">
        <v>135</v>
      </c>
      <c r="P920" s="228" t="n">
        <f aca="false">VLOOKUP(B920,'NIVEL ENERO'!A:D,3,0)</f>
        <v>0.365555866901854</v>
      </c>
      <c r="Q920" s="229" t="n">
        <f aca="false">VLOOKUP(B920,'NIVEL ENERO'!A:D,4,0)</f>
        <v>143844.14</v>
      </c>
      <c r="R920" s="186" t="str">
        <f aca="false">+PROPER(C920&amp;" "&amp;D920)</f>
        <v>Alzate Ortiz Viviana Andrea</v>
      </c>
      <c r="S920" s="230" t="n">
        <f aca="false">+YEARFRAC(L920,$S$1)</f>
        <v>2.98333333333333</v>
      </c>
      <c r="T920" s="230" t="n">
        <f aca="false">+YEARFRAC(M920,$S$1)</f>
        <v>4.64166666666667</v>
      </c>
      <c r="U920" s="231" t="n">
        <f aca="false">+$I920</f>
        <v>48003</v>
      </c>
      <c r="V920" s="232" t="str">
        <f aca="false">+PROPER(F920)</f>
        <v>Soltero(A)</v>
      </c>
    </row>
    <row r="921" customFormat="false" ht="14.25" hidden="false" customHeight="false" outlineLevel="0" collapsed="false">
      <c r="B921" s="197" t="n">
        <v>1105787420</v>
      </c>
      <c r="C921" s="197" t="s">
        <v>2597</v>
      </c>
      <c r="D921" s="197" t="s">
        <v>2598</v>
      </c>
      <c r="E921" s="198" t="s">
        <v>944</v>
      </c>
      <c r="F921" s="198" t="s">
        <v>953</v>
      </c>
      <c r="G921" s="225" t="n">
        <v>8000000</v>
      </c>
      <c r="H921" s="225" t="n">
        <v>500000</v>
      </c>
      <c r="I921" s="225"/>
      <c r="J921" s="198" t="n">
        <v>32</v>
      </c>
      <c r="K921" s="198" t="n">
        <v>2</v>
      </c>
      <c r="L921" s="226" t="n">
        <v>45597</v>
      </c>
      <c r="M921" s="226" t="n">
        <v>45216</v>
      </c>
      <c r="N921" s="227" t="n">
        <v>0</v>
      </c>
      <c r="O921" s="227" t="s">
        <v>158</v>
      </c>
      <c r="P921" s="228" t="e">
        <f aca="false">VLOOKUP(B921,'NIVEL ENERO'!A:D,3,0)</f>
        <v>#N/A</v>
      </c>
      <c r="Q921" s="229" t="e">
        <f aca="false">VLOOKUP(B921,'NIVEL ENERO'!A:D,4,0)</f>
        <v>#N/A</v>
      </c>
      <c r="R921" s="186" t="str">
        <f aca="false">+PROPER(C921&amp;" "&amp;D921)</f>
        <v>Diaz Sastoque Cindy Tatiana</v>
      </c>
      <c r="S921" s="230" t="n">
        <f aca="false">+YEARFRAC(L921,$S$1)</f>
        <v>1.53055555555556</v>
      </c>
      <c r="T921" s="230" t="n">
        <f aca="false">+YEARFRAC(M921,$S$1)</f>
        <v>2.56944444444444</v>
      </c>
      <c r="U921" s="231" t="n">
        <f aca="false">+$I921</f>
        <v>0</v>
      </c>
      <c r="V921" s="232" t="str">
        <f aca="false">+PROPER(F921)</f>
        <v>Soltero(A)</v>
      </c>
    </row>
    <row r="922" customFormat="false" ht="14.25" hidden="false" customHeight="false" outlineLevel="0" collapsed="false">
      <c r="B922" s="197" t="n">
        <v>1107034723</v>
      </c>
      <c r="C922" s="197" t="s">
        <v>2599</v>
      </c>
      <c r="D922" s="197" t="s">
        <v>1202</v>
      </c>
      <c r="E922" s="198" t="s">
        <v>944</v>
      </c>
      <c r="F922" s="198" t="s">
        <v>945</v>
      </c>
      <c r="G922" s="225" t="n">
        <v>1991000</v>
      </c>
      <c r="H922" s="225" t="n">
        <v>1607671</v>
      </c>
      <c r="I922" s="225" t="n">
        <v>0</v>
      </c>
      <c r="J922" s="198" t="n">
        <v>40</v>
      </c>
      <c r="K922" s="198" t="n">
        <v>1</v>
      </c>
      <c r="L922" s="226" t="n">
        <v>44854</v>
      </c>
      <c r="M922" s="226" t="n">
        <v>42939</v>
      </c>
      <c r="N922" s="227" t="n">
        <v>0</v>
      </c>
      <c r="O922" s="227" t="s">
        <v>135</v>
      </c>
      <c r="P922" s="228" t="n">
        <f aca="false">VLOOKUP(B922,'NIVEL ENERO'!A:D,3,0)</f>
        <v>0.267276745354093</v>
      </c>
      <c r="Q922" s="229" t="n">
        <f aca="false">VLOOKUP(B922,'NIVEL ENERO'!A:D,4,0)</f>
        <v>304072</v>
      </c>
      <c r="R922" s="186" t="str">
        <f aca="false">+PROPER(C922&amp;" "&amp;D922)</f>
        <v>Zamora Diaz Carolina</v>
      </c>
      <c r="S922" s="230" t="n">
        <f aca="false">+YEARFRAC(L922,$S$1)</f>
        <v>3.56111111111111</v>
      </c>
      <c r="T922" s="230" t="n">
        <f aca="false">+YEARFRAC(M922,$S$1)</f>
        <v>8.80277777777778</v>
      </c>
      <c r="U922" s="231" t="n">
        <f aca="false">+$I922</f>
        <v>0</v>
      </c>
      <c r="V922" s="232" t="str">
        <f aca="false">+PROPER(F922)</f>
        <v>Union Libre</v>
      </c>
    </row>
    <row r="923" customFormat="false" ht="14.25" hidden="false" customHeight="false" outlineLevel="0" collapsed="false">
      <c r="B923" s="197" t="n">
        <v>1107035395</v>
      </c>
      <c r="C923" s="197" t="s">
        <v>2600</v>
      </c>
      <c r="D923" s="197" t="s">
        <v>2601</v>
      </c>
      <c r="E923" s="198" t="s">
        <v>944</v>
      </c>
      <c r="F923" s="198" t="s">
        <v>945</v>
      </c>
      <c r="G923" s="225" t="n">
        <v>2893800</v>
      </c>
      <c r="H923" s="225" t="n">
        <v>1658179</v>
      </c>
      <c r="I923" s="225" t="n">
        <v>2075566</v>
      </c>
      <c r="J923" s="198" t="n">
        <v>27</v>
      </c>
      <c r="K923" s="198" t="n">
        <v>2</v>
      </c>
      <c r="L923" s="226" t="n">
        <v>44792</v>
      </c>
      <c r="M923" s="226" t="n">
        <v>44413</v>
      </c>
      <c r="N923" s="227" t="n">
        <v>1</v>
      </c>
      <c r="O923" s="227" t="s">
        <v>135</v>
      </c>
      <c r="P923" s="228" t="n">
        <f aca="false">VLOOKUP(B923,'NIVEL ENERO'!A:D,3,0)</f>
        <v>0.414408305073076</v>
      </c>
      <c r="Q923" s="229" t="n">
        <f aca="false">VLOOKUP(B923,'NIVEL ENERO'!A:D,4,0)</f>
        <v>20465.76</v>
      </c>
      <c r="R923" s="186" t="str">
        <f aca="false">+PROPER(C923&amp;" "&amp;D923)</f>
        <v>Idrobo Merchancano Angie Carolina</v>
      </c>
      <c r="S923" s="230" t="n">
        <f aca="false">+YEARFRAC(L923,$S$1)</f>
        <v>3.73055555555556</v>
      </c>
      <c r="T923" s="230" t="n">
        <f aca="false">+YEARFRAC(M923,$S$1)</f>
        <v>4.76944444444445</v>
      </c>
      <c r="U923" s="231" t="n">
        <f aca="false">+$I923</f>
        <v>2075566</v>
      </c>
      <c r="V923" s="232" t="str">
        <f aca="false">+PROPER(F923)</f>
        <v>Union Libre</v>
      </c>
    </row>
    <row r="924" customFormat="false" ht="14.25" hidden="false" customHeight="false" outlineLevel="0" collapsed="false">
      <c r="B924" s="197" t="n">
        <v>1107039601</v>
      </c>
      <c r="C924" s="197" t="s">
        <v>2602</v>
      </c>
      <c r="D924" s="197" t="s">
        <v>2603</v>
      </c>
      <c r="E924" s="198" t="s">
        <v>944</v>
      </c>
      <c r="F924" s="198" t="s">
        <v>953</v>
      </c>
      <c r="G924" s="225" t="n">
        <v>1625000</v>
      </c>
      <c r="H924" s="225" t="n">
        <v>630000</v>
      </c>
      <c r="I924" s="225" t="n">
        <v>1307371</v>
      </c>
      <c r="J924" s="198" t="n">
        <v>23</v>
      </c>
      <c r="K924" s="198" t="n">
        <v>2</v>
      </c>
      <c r="L924" s="226" t="n">
        <v>45390</v>
      </c>
      <c r="M924" s="226" t="n">
        <v>45261</v>
      </c>
      <c r="N924" s="227" t="n">
        <v>0</v>
      </c>
      <c r="O924" s="227" t="s">
        <v>135</v>
      </c>
      <c r="P924" s="228" t="n">
        <f aca="false">VLOOKUP(B924,'NIVEL ENERO'!A:D,3,0)</f>
        <v>0.408527596958591</v>
      </c>
      <c r="Q924" s="229" t="n">
        <f aca="false">VLOOKUP(B924,'NIVEL ENERO'!A:D,4,0)</f>
        <v>49935</v>
      </c>
      <c r="R924" s="186" t="str">
        <f aca="false">+PROPER(C924&amp;" "&amp;D924)</f>
        <v>Rodriguez Izquierdo Karol Liceth</v>
      </c>
      <c r="S924" s="230" t="n">
        <f aca="false">+YEARFRAC(L924,$S$1)</f>
        <v>2.09444444444444</v>
      </c>
      <c r="T924" s="230" t="n">
        <f aca="false">+YEARFRAC(M924,$S$1)</f>
        <v>2.44722222222222</v>
      </c>
      <c r="U924" s="231" t="n">
        <f aca="false">+$I924</f>
        <v>1307371</v>
      </c>
      <c r="V924" s="232" t="str">
        <f aca="false">+PROPER(F924)</f>
        <v>Soltero(A)</v>
      </c>
    </row>
    <row r="925" customFormat="false" ht="14.25" hidden="false" customHeight="false" outlineLevel="0" collapsed="false">
      <c r="B925" s="197" t="n">
        <v>1107044508</v>
      </c>
      <c r="C925" s="197" t="s">
        <v>2604</v>
      </c>
      <c r="D925" s="197" t="s">
        <v>2605</v>
      </c>
      <c r="E925" s="198" t="s">
        <v>944</v>
      </c>
      <c r="F925" s="198" t="s">
        <v>945</v>
      </c>
      <c r="G925" s="225" t="n">
        <v>3055300</v>
      </c>
      <c r="H925" s="225" t="n">
        <v>2870358</v>
      </c>
      <c r="I925" s="225" t="n">
        <v>80246</v>
      </c>
      <c r="J925" s="198" t="n">
        <v>37</v>
      </c>
      <c r="K925" s="198" t="n">
        <v>3</v>
      </c>
      <c r="L925" s="226" t="n">
        <v>44027</v>
      </c>
      <c r="M925" s="226" t="n">
        <v>43818</v>
      </c>
      <c r="N925" s="227" t="n">
        <v>3</v>
      </c>
      <c r="O925" s="227" t="s">
        <v>135</v>
      </c>
      <c r="P925" s="228" t="n">
        <f aca="false">VLOOKUP(B925,'NIVEL ENERO'!A:D,3,0)</f>
        <v>0.238776552220731</v>
      </c>
      <c r="Q925" s="229" t="n">
        <f aca="false">VLOOKUP(B925,'NIVEL ENERO'!A:D,4,0)</f>
        <v>553692</v>
      </c>
      <c r="R925" s="186" t="str">
        <f aca="false">+PROPER(C925&amp;" "&amp;D925)</f>
        <v>Herrera Molina Leidy Alexandra</v>
      </c>
      <c r="S925" s="230" t="n">
        <f aca="false">+YEARFRAC(L925,$S$1)</f>
        <v>5.825</v>
      </c>
      <c r="T925" s="230" t="n">
        <f aca="false">+YEARFRAC(M925,$S$1)</f>
        <v>6.39722222222222</v>
      </c>
      <c r="U925" s="231" t="n">
        <f aca="false">+$I925</f>
        <v>80246</v>
      </c>
      <c r="V925" s="232" t="str">
        <f aca="false">+PROPER(F925)</f>
        <v>Union Libre</v>
      </c>
    </row>
    <row r="926" customFormat="false" ht="14.25" hidden="false" customHeight="false" outlineLevel="0" collapsed="false">
      <c r="B926" s="197" t="n">
        <v>1107045080</v>
      </c>
      <c r="C926" s="197" t="s">
        <v>2606</v>
      </c>
      <c r="D926" s="197" t="s">
        <v>2607</v>
      </c>
      <c r="E926" s="198" t="s">
        <v>944</v>
      </c>
      <c r="F926" s="198" t="s">
        <v>948</v>
      </c>
      <c r="G926" s="225" t="n">
        <v>5418800</v>
      </c>
      <c r="H926" s="225" t="n">
        <v>3760036</v>
      </c>
      <c r="I926" s="225" t="n">
        <v>453748</v>
      </c>
      <c r="J926" s="198" t="n">
        <v>37</v>
      </c>
      <c r="K926" s="198" t="n">
        <v>1</v>
      </c>
      <c r="L926" s="226" t="n">
        <v>44886</v>
      </c>
      <c r="M926" s="226" t="n">
        <v>44105</v>
      </c>
      <c r="N926" s="227" t="n">
        <v>0</v>
      </c>
      <c r="O926" s="227" t="s">
        <v>135</v>
      </c>
      <c r="P926" s="228" t="n">
        <f aca="false">VLOOKUP(B926,'NIVEL ENERO'!A:D,3,0)</f>
        <v>0.448246292578826</v>
      </c>
      <c r="Q926" s="229" t="n">
        <f aca="false">VLOOKUP(B926,'NIVEL ENERO'!A:D,4,0)</f>
        <v>-233773.04</v>
      </c>
      <c r="R926" s="186" t="str">
        <f aca="false">+PROPER(C926&amp;" "&amp;D926)</f>
        <v>Ortiz Ordonez Francia Astrid</v>
      </c>
      <c r="S926" s="230" t="n">
        <f aca="false">+YEARFRAC(L926,$S$1)</f>
        <v>3.475</v>
      </c>
      <c r="T926" s="230" t="n">
        <f aca="false">+YEARFRAC(M926,$S$1)</f>
        <v>5.61388888888889</v>
      </c>
      <c r="U926" s="231" t="n">
        <f aca="false">+$I926</f>
        <v>453748</v>
      </c>
      <c r="V926" s="232" t="str">
        <f aca="false">+PROPER(F926)</f>
        <v>Casado(A)</v>
      </c>
    </row>
    <row r="927" customFormat="false" ht="14.25" hidden="false" customHeight="false" outlineLevel="0" collapsed="false">
      <c r="B927" s="197" t="n">
        <v>1107045504</v>
      </c>
      <c r="C927" s="197" t="s">
        <v>2608</v>
      </c>
      <c r="D927" s="197" t="s">
        <v>1063</v>
      </c>
      <c r="E927" s="198" t="s">
        <v>944</v>
      </c>
      <c r="F927" s="198" t="s">
        <v>948</v>
      </c>
      <c r="G927" s="225" t="n">
        <v>4469100</v>
      </c>
      <c r="H927" s="225" t="n">
        <v>1700881</v>
      </c>
      <c r="I927" s="225" t="n">
        <v>3932303</v>
      </c>
      <c r="J927" s="198" t="n">
        <v>37</v>
      </c>
      <c r="K927" s="198" t="n">
        <v>3</v>
      </c>
      <c r="L927" s="226" t="n">
        <v>45153</v>
      </c>
      <c r="M927" s="226" t="n">
        <v>43391</v>
      </c>
      <c r="N927" s="227" t="n">
        <v>0</v>
      </c>
      <c r="O927" s="227" t="s">
        <v>135</v>
      </c>
      <c r="P927" s="228" t="n">
        <f aca="false">VLOOKUP(B927,'NIVEL ENERO'!A:D,3,0)</f>
        <v>0.247138867031523</v>
      </c>
      <c r="Q927" s="229" t="n">
        <f aca="false">VLOOKUP(B927,'NIVEL ENERO'!A:D,4,0)</f>
        <v>1148723.94</v>
      </c>
      <c r="R927" s="186" t="str">
        <f aca="false">+PROPER(C927&amp;" "&amp;D927)</f>
        <v>Narvaez Jimenez Juan Carlos</v>
      </c>
      <c r="S927" s="230" t="n">
        <f aca="false">+YEARFRAC(L927,$S$1)</f>
        <v>2.74166666666667</v>
      </c>
      <c r="T927" s="230" t="n">
        <f aca="false">+YEARFRAC(M927,$S$1)</f>
        <v>7.56666666666667</v>
      </c>
      <c r="U927" s="231" t="n">
        <f aca="false">+$I927</f>
        <v>3932303</v>
      </c>
      <c r="V927" s="232" t="str">
        <f aca="false">+PROPER(F927)</f>
        <v>Casado(A)</v>
      </c>
    </row>
    <row r="928" customFormat="false" ht="14.25" hidden="false" customHeight="false" outlineLevel="0" collapsed="false">
      <c r="B928" s="197" t="n">
        <v>1107048198</v>
      </c>
      <c r="C928" s="197" t="s">
        <v>2609</v>
      </c>
      <c r="D928" s="197" t="s">
        <v>2610</v>
      </c>
      <c r="E928" s="198" t="s">
        <v>944</v>
      </c>
      <c r="F928" s="198" t="s">
        <v>948</v>
      </c>
      <c r="G928" s="225" t="n">
        <v>1991000</v>
      </c>
      <c r="H928" s="225" t="n">
        <v>1708686</v>
      </c>
      <c r="I928" s="225" t="n">
        <v>3488870</v>
      </c>
      <c r="J928" s="198" t="n">
        <v>36</v>
      </c>
      <c r="K928" s="198" t="n">
        <v>2</v>
      </c>
      <c r="L928" s="226" t="n">
        <v>44798</v>
      </c>
      <c r="M928" s="226" t="n">
        <v>44750</v>
      </c>
      <c r="N928" s="227" t="n">
        <v>3</v>
      </c>
      <c r="O928" s="227" t="s">
        <v>135</v>
      </c>
      <c r="P928" s="228" t="n">
        <f aca="false">VLOOKUP(B928,'NIVEL ENERO'!A:D,3,0)</f>
        <v>0.293628829733802</v>
      </c>
      <c r="Q928" s="229" t="n">
        <f aca="false">VLOOKUP(B928,'NIVEL ENERO'!A:D,4,0)</f>
        <v>251605</v>
      </c>
      <c r="R928" s="186" t="str">
        <f aca="false">+PROPER(C928&amp;" "&amp;D928)</f>
        <v>Sanchez Moreno John Alexander</v>
      </c>
      <c r="S928" s="230" t="n">
        <f aca="false">+YEARFRAC(L928,$S$1)</f>
        <v>3.71388888888889</v>
      </c>
      <c r="T928" s="230" t="n">
        <f aca="false">+YEARFRAC(M928,$S$1)</f>
        <v>3.84444444444444</v>
      </c>
      <c r="U928" s="231" t="n">
        <f aca="false">+$I928</f>
        <v>3488870</v>
      </c>
      <c r="V928" s="232" t="str">
        <f aca="false">+PROPER(F928)</f>
        <v>Casado(A)</v>
      </c>
    </row>
    <row r="929" customFormat="false" ht="14.25" hidden="false" customHeight="false" outlineLevel="0" collapsed="false">
      <c r="B929" s="197" t="n">
        <v>1107055122</v>
      </c>
      <c r="C929" s="197" t="s">
        <v>2611</v>
      </c>
      <c r="D929" s="197" t="s">
        <v>2612</v>
      </c>
      <c r="E929" s="198" t="s">
        <v>944</v>
      </c>
      <c r="F929" s="198" t="s">
        <v>945</v>
      </c>
      <c r="G929" s="225" t="n">
        <v>4469100</v>
      </c>
      <c r="H929" s="225" t="n">
        <v>2203887</v>
      </c>
      <c r="I929" s="225" t="n">
        <v>1785998</v>
      </c>
      <c r="J929" s="198" t="n">
        <v>35</v>
      </c>
      <c r="K929" s="198" t="n">
        <v>1</v>
      </c>
      <c r="L929" s="226" t="n">
        <v>45001</v>
      </c>
      <c r="M929" s="226" t="n">
        <v>44758</v>
      </c>
      <c r="N929" s="227" t="n">
        <v>0</v>
      </c>
      <c r="O929" s="227" t="s">
        <v>135</v>
      </c>
      <c r="P929" s="228" t="n">
        <f aca="false">VLOOKUP(B929,'NIVEL ENERO'!A:D,3,0)</f>
        <v>0.154344273774517</v>
      </c>
      <c r="Q929" s="229" t="n">
        <f aca="false">VLOOKUP(B929,'NIVEL ENERO'!A:D,4,0)</f>
        <v>1499796.24</v>
      </c>
      <c r="R929" s="186" t="str">
        <f aca="false">+PROPER(C929&amp;" "&amp;D929)</f>
        <v>Villa Quebrada Katherin</v>
      </c>
      <c r="S929" s="230" t="n">
        <f aca="false">+YEARFRAC(L929,$S$1)</f>
        <v>3.15555555555556</v>
      </c>
      <c r="T929" s="230" t="n">
        <f aca="false">+YEARFRAC(M929,$S$1)</f>
        <v>3.82222222222222</v>
      </c>
      <c r="U929" s="231" t="n">
        <f aca="false">+$I929</f>
        <v>1785998</v>
      </c>
      <c r="V929" s="232" t="str">
        <f aca="false">+PROPER(F929)</f>
        <v>Union Libre</v>
      </c>
    </row>
    <row r="930" customFormat="false" ht="14.25" hidden="false" customHeight="false" outlineLevel="0" collapsed="false">
      <c r="B930" s="197" t="n">
        <v>1107055420</v>
      </c>
      <c r="C930" s="197" t="s">
        <v>2613</v>
      </c>
      <c r="D930" s="197" t="s">
        <v>1434</v>
      </c>
      <c r="E930" s="198" t="s">
        <v>944</v>
      </c>
      <c r="F930" s="198" t="s">
        <v>948</v>
      </c>
      <c r="G930" s="225" t="n">
        <v>5418800</v>
      </c>
      <c r="H930" s="225" t="n">
        <v>6638962</v>
      </c>
      <c r="I930" s="225" t="n">
        <v>839296</v>
      </c>
      <c r="J930" s="198" t="n">
        <v>35</v>
      </c>
      <c r="K930" s="198" t="n">
        <v>1</v>
      </c>
      <c r="L930" s="226" t="n">
        <v>44305</v>
      </c>
      <c r="M930" s="226" t="n">
        <v>44147</v>
      </c>
      <c r="N930" s="227" t="n">
        <v>3</v>
      </c>
      <c r="O930" s="227" t="s">
        <v>135</v>
      </c>
      <c r="P930" s="228" t="n">
        <f aca="false">VLOOKUP(B930,'NIVEL ENERO'!A:D,3,0)</f>
        <v>0.337209737783578</v>
      </c>
      <c r="Q930" s="229" t="n">
        <f aca="false">VLOOKUP(B930,'NIVEL ENERO'!A:D,4,0)</f>
        <v>632267.08</v>
      </c>
      <c r="R930" s="186" t="str">
        <f aca="false">+PROPER(C930&amp;" "&amp;D930)</f>
        <v>Grisales Moreno Diana Marcela</v>
      </c>
      <c r="S930" s="230" t="n">
        <f aca="false">+YEARFRAC(L930,$S$1)</f>
        <v>5.06388888888889</v>
      </c>
      <c r="T930" s="230" t="n">
        <f aca="false">+YEARFRAC(M930,$S$1)</f>
        <v>5.5</v>
      </c>
      <c r="U930" s="231" t="n">
        <f aca="false">+$I930</f>
        <v>839296</v>
      </c>
      <c r="V930" s="232" t="str">
        <f aca="false">+PROPER(F930)</f>
        <v>Casado(A)</v>
      </c>
    </row>
    <row r="931" customFormat="false" ht="14.25" hidden="false" customHeight="false" outlineLevel="0" collapsed="false">
      <c r="B931" s="197" t="n">
        <v>1107055498</v>
      </c>
      <c r="C931" s="197" t="s">
        <v>2614</v>
      </c>
      <c r="D931" s="197" t="s">
        <v>2268</v>
      </c>
      <c r="E931" s="198" t="s">
        <v>944</v>
      </c>
      <c r="F931" s="198" t="s">
        <v>945</v>
      </c>
      <c r="G931" s="225" t="n">
        <v>4870000</v>
      </c>
      <c r="H931" s="225" t="n">
        <v>1557164</v>
      </c>
      <c r="I931" s="225" t="n">
        <v>0</v>
      </c>
      <c r="J931" s="198" t="n">
        <v>35</v>
      </c>
      <c r="K931" s="198" t="n">
        <v>2</v>
      </c>
      <c r="L931" s="226" t="n">
        <v>44886</v>
      </c>
      <c r="M931" s="226" t="n">
        <v>41440</v>
      </c>
      <c r="N931" s="227" t="n">
        <v>0</v>
      </c>
      <c r="O931" s="227" t="s">
        <v>135</v>
      </c>
      <c r="P931" s="228" t="n">
        <f aca="false">VLOOKUP(B931,'NIVEL ENERO'!A:D,3,0)</f>
        <v>0.205810403023051</v>
      </c>
      <c r="Q931" s="229" t="n">
        <f aca="false">VLOOKUP(B931,'NIVEL ENERO'!A:D,4,0)</f>
        <v>1285390.04</v>
      </c>
      <c r="R931" s="186" t="str">
        <f aca="false">+PROPER(C931&amp;" "&amp;D931)</f>
        <v>Lozano Prado Ingrid Julieth</v>
      </c>
      <c r="S931" s="230" t="n">
        <f aca="false">+YEARFRAC(L931,$S$1)</f>
        <v>3.475</v>
      </c>
      <c r="T931" s="230" t="n">
        <f aca="false">+YEARFRAC(M931,$S$1)</f>
        <v>12.9083333333333</v>
      </c>
      <c r="U931" s="231" t="n">
        <f aca="false">+$I931</f>
        <v>0</v>
      </c>
      <c r="V931" s="232" t="str">
        <f aca="false">+PROPER(F931)</f>
        <v>Union Libre</v>
      </c>
    </row>
    <row r="932" customFormat="false" ht="14.25" hidden="false" customHeight="false" outlineLevel="0" collapsed="false">
      <c r="B932" s="197" t="n">
        <v>1107057805</v>
      </c>
      <c r="C932" s="197" t="s">
        <v>2615</v>
      </c>
      <c r="D932" s="197" t="s">
        <v>2616</v>
      </c>
      <c r="E932" s="198" t="s">
        <v>944</v>
      </c>
      <c r="F932" s="198" t="s">
        <v>948</v>
      </c>
      <c r="G932" s="225" t="n">
        <v>1670000</v>
      </c>
      <c r="H932" s="225" t="n">
        <v>1557164</v>
      </c>
      <c r="I932" s="225" t="n">
        <v>4170048</v>
      </c>
      <c r="J932" s="198" t="n">
        <v>35</v>
      </c>
      <c r="K932" s="198" t="n">
        <v>2</v>
      </c>
      <c r="L932" s="226" t="n">
        <v>44876</v>
      </c>
      <c r="M932" s="226" t="n">
        <v>44656</v>
      </c>
      <c r="N932" s="227" t="n">
        <v>0</v>
      </c>
      <c r="O932" s="227" t="s">
        <v>135</v>
      </c>
      <c r="P932" s="228" t="n">
        <f aca="false">VLOOKUP(B932,'NIVEL ENERO'!A:D,3,0)</f>
        <v>0.358993949597666</v>
      </c>
      <c r="Q932" s="229" t="n">
        <f aca="false">VLOOKUP(B932,'NIVEL ENERO'!A:D,4,0)</f>
        <v>129166.26</v>
      </c>
      <c r="R932" s="186" t="str">
        <f aca="false">+PROPER(C932&amp;" "&amp;D932)</f>
        <v>Fernandez Prada Carlos Davinsi</v>
      </c>
      <c r="S932" s="230" t="n">
        <f aca="false">+YEARFRAC(L932,$S$1)</f>
        <v>3.50277777777778</v>
      </c>
      <c r="T932" s="230" t="n">
        <f aca="false">+YEARFRAC(M932,$S$1)</f>
        <v>4.10277777777778</v>
      </c>
      <c r="U932" s="231" t="n">
        <f aca="false">+$I932</f>
        <v>4170048</v>
      </c>
      <c r="V932" s="232" t="str">
        <f aca="false">+PROPER(F932)</f>
        <v>Casado(A)</v>
      </c>
    </row>
    <row r="933" customFormat="false" ht="14.25" hidden="false" customHeight="false" outlineLevel="0" collapsed="false">
      <c r="B933" s="197" t="n">
        <v>1107057969</v>
      </c>
      <c r="C933" s="197" t="s">
        <v>2617</v>
      </c>
      <c r="D933" s="197" t="s">
        <v>1434</v>
      </c>
      <c r="E933" s="198" t="s">
        <v>944</v>
      </c>
      <c r="F933" s="198" t="s">
        <v>945</v>
      </c>
      <c r="G933" s="225" t="n">
        <v>2600900</v>
      </c>
      <c r="H933" s="225" t="n">
        <v>1658179</v>
      </c>
      <c r="I933" s="225" t="n">
        <v>293834</v>
      </c>
      <c r="J933" s="198" t="n">
        <v>35</v>
      </c>
      <c r="K933" s="198" t="n">
        <v>3</v>
      </c>
      <c r="L933" s="226" t="n">
        <v>44790</v>
      </c>
      <c r="M933" s="226" t="n">
        <v>44105</v>
      </c>
      <c r="N933" s="227" t="n">
        <v>1</v>
      </c>
      <c r="O933" s="227" t="s">
        <v>135</v>
      </c>
      <c r="P933" s="228" t="n">
        <f aca="false">VLOOKUP(B933,'NIVEL ENERO'!A:D,3,0)</f>
        <v>0.505318154271478</v>
      </c>
      <c r="Q933" s="229" t="n">
        <f aca="false">VLOOKUP(B933,'NIVEL ENERO'!A:D,4,0)</f>
        <v>-333297.333333333</v>
      </c>
      <c r="R933" s="186" t="str">
        <f aca="false">+PROPER(C933&amp;" "&amp;D933)</f>
        <v>Morales Alvis Diana Marcela</v>
      </c>
      <c r="S933" s="230" t="n">
        <f aca="false">+YEARFRAC(L933,$S$1)</f>
        <v>3.73611111111111</v>
      </c>
      <c r="T933" s="230" t="n">
        <f aca="false">+YEARFRAC(M933,$S$1)</f>
        <v>5.61388888888889</v>
      </c>
      <c r="U933" s="231" t="n">
        <f aca="false">+$I933</f>
        <v>293834</v>
      </c>
      <c r="V933" s="232" t="str">
        <f aca="false">+PROPER(F933)</f>
        <v>Union Libre</v>
      </c>
    </row>
    <row r="934" customFormat="false" ht="14.25" hidden="false" customHeight="false" outlineLevel="0" collapsed="false">
      <c r="B934" s="197" t="n">
        <v>1107058643</v>
      </c>
      <c r="C934" s="197" t="s">
        <v>2618</v>
      </c>
      <c r="D934" s="197" t="s">
        <v>2619</v>
      </c>
      <c r="E934" s="198" t="s">
        <v>944</v>
      </c>
      <c r="F934" s="198" t="s">
        <v>945</v>
      </c>
      <c r="G934" s="225" t="n">
        <v>2893800</v>
      </c>
      <c r="H934" s="225" t="n">
        <v>1658179</v>
      </c>
      <c r="I934" s="225" t="n">
        <v>1629956</v>
      </c>
      <c r="J934" s="198" t="n">
        <v>35</v>
      </c>
      <c r="K934" s="198" t="n">
        <v>1</v>
      </c>
      <c r="L934" s="226" t="n">
        <v>44809</v>
      </c>
      <c r="M934" s="226" t="n">
        <v>44525</v>
      </c>
      <c r="N934" s="227" t="n">
        <v>3</v>
      </c>
      <c r="O934" s="227" t="s">
        <v>135</v>
      </c>
      <c r="P934" s="228" t="n">
        <f aca="false">VLOOKUP(B934,'NIVEL ENERO'!A:D,3,0)</f>
        <v>0.273623610847574</v>
      </c>
      <c r="Q934" s="229" t="n">
        <f aca="false">VLOOKUP(B934,'NIVEL ENERO'!A:D,4,0)</f>
        <v>609171.74</v>
      </c>
      <c r="R934" s="186" t="str">
        <f aca="false">+PROPER(C934&amp;" "&amp;D934)</f>
        <v>Martinez Rojas Stephany</v>
      </c>
      <c r="S934" s="230" t="n">
        <f aca="false">+YEARFRAC(L934,$S$1)</f>
        <v>3.68611111111111</v>
      </c>
      <c r="T934" s="230" t="n">
        <f aca="false">+YEARFRAC(M934,$S$1)</f>
        <v>4.46388888888889</v>
      </c>
      <c r="U934" s="231" t="n">
        <f aca="false">+$I934</f>
        <v>1629956</v>
      </c>
      <c r="V934" s="232" t="str">
        <f aca="false">+PROPER(F934)</f>
        <v>Union Libre</v>
      </c>
    </row>
    <row r="935" customFormat="false" ht="14.25" hidden="false" customHeight="false" outlineLevel="0" collapsed="false">
      <c r="B935" s="197" t="n">
        <v>1107059303</v>
      </c>
      <c r="C935" s="197" t="s">
        <v>2620</v>
      </c>
      <c r="D935" s="197" t="s">
        <v>1574</v>
      </c>
      <c r="E935" s="198" t="s">
        <v>944</v>
      </c>
      <c r="F935" s="198" t="s">
        <v>948</v>
      </c>
      <c r="G935" s="225" t="n">
        <v>2600900</v>
      </c>
      <c r="H935" s="225" t="n">
        <v>2679718</v>
      </c>
      <c r="I935" s="225" t="n">
        <v>0</v>
      </c>
      <c r="J935" s="198" t="n">
        <v>34</v>
      </c>
      <c r="K935" s="198" t="n">
        <v>2</v>
      </c>
      <c r="L935" s="226" t="n">
        <v>44613</v>
      </c>
      <c r="M935" s="226" t="n">
        <v>44105</v>
      </c>
      <c r="N935" s="227" t="n">
        <v>2</v>
      </c>
      <c r="O935" s="227" t="s">
        <v>135</v>
      </c>
      <c r="P935" s="228" t="n">
        <f aca="false">VLOOKUP(B935,'NIVEL ENERO'!A:D,3,0)</f>
        <v>0.4535726966723</v>
      </c>
      <c r="Q935" s="229" t="n">
        <f aca="false">VLOOKUP(B935,'NIVEL ENERO'!A:D,4,0)</f>
        <v>-118191</v>
      </c>
      <c r="R935" s="186" t="str">
        <f aca="false">+PROPER(C935&amp;" "&amp;D935)</f>
        <v>Anturi Zea Leidy Johanna</v>
      </c>
      <c r="S935" s="230" t="n">
        <f aca="false">+YEARFRAC(L935,$S$1)</f>
        <v>4.225</v>
      </c>
      <c r="T935" s="230" t="n">
        <f aca="false">+YEARFRAC(M935,$S$1)</f>
        <v>5.61388888888889</v>
      </c>
      <c r="U935" s="231" t="n">
        <f aca="false">+$I935</f>
        <v>0</v>
      </c>
      <c r="V935" s="232" t="str">
        <f aca="false">+PROPER(F935)</f>
        <v>Casado(A)</v>
      </c>
    </row>
    <row r="936" customFormat="false" ht="14.25" hidden="false" customHeight="false" outlineLevel="0" collapsed="false">
      <c r="B936" s="197" t="n">
        <v>1107060490</v>
      </c>
      <c r="C936" s="197" t="s">
        <v>2621</v>
      </c>
      <c r="D936" s="197" t="s">
        <v>2622</v>
      </c>
      <c r="E936" s="198" t="s">
        <v>944</v>
      </c>
      <c r="F936" s="198" t="s">
        <v>953</v>
      </c>
      <c r="G936" s="225" t="n">
        <v>4327600</v>
      </c>
      <c r="H936" s="225" t="n">
        <v>2506662</v>
      </c>
      <c r="I936" s="225" t="n">
        <v>0</v>
      </c>
      <c r="J936" s="198" t="n">
        <v>35</v>
      </c>
      <c r="K936" s="198" t="n">
        <v>1</v>
      </c>
      <c r="L936" s="226" t="n">
        <v>44733</v>
      </c>
      <c r="M936" s="226" t="n">
        <v>39995</v>
      </c>
      <c r="N936" s="227" t="n">
        <v>3</v>
      </c>
      <c r="O936" s="227" t="s">
        <v>135</v>
      </c>
      <c r="P936" s="228" t="n">
        <f aca="false">VLOOKUP(B936,'NIVEL ENERO'!A:D,3,0)</f>
        <v>0.158129448192994</v>
      </c>
      <c r="Q936" s="229" t="n">
        <f aca="false">VLOOKUP(B936,'NIVEL ENERO'!A:D,4,0)</f>
        <v>1133271</v>
      </c>
      <c r="R936" s="186" t="str">
        <f aca="false">+PROPER(C936&amp;" "&amp;D936)</f>
        <v>Olarte Silva Sebastian</v>
      </c>
      <c r="S936" s="230" t="n">
        <f aca="false">+YEARFRAC(L936,$S$1)</f>
        <v>3.89166666666667</v>
      </c>
      <c r="T936" s="230" t="n">
        <f aca="false">+YEARFRAC(M936,$S$1)</f>
        <v>16.8638888888889</v>
      </c>
      <c r="U936" s="231" t="n">
        <f aca="false">+$I936</f>
        <v>0</v>
      </c>
      <c r="V936" s="232" t="str">
        <f aca="false">+PROPER(F936)</f>
        <v>Soltero(A)</v>
      </c>
    </row>
    <row r="937" customFormat="false" ht="14.25" hidden="false" customHeight="false" outlineLevel="0" collapsed="false">
      <c r="B937" s="197" t="n">
        <v>1107063637</v>
      </c>
      <c r="C937" s="197" t="s">
        <v>2623</v>
      </c>
      <c r="D937" s="197" t="s">
        <v>2624</v>
      </c>
      <c r="E937" s="198" t="s">
        <v>944</v>
      </c>
      <c r="F937" s="198" t="s">
        <v>998</v>
      </c>
      <c r="G937" s="225" t="n">
        <v>1670000</v>
      </c>
      <c r="H937" s="225" t="n">
        <v>1658179</v>
      </c>
      <c r="I937" s="225" t="n">
        <v>188210</v>
      </c>
      <c r="J937" s="198" t="n">
        <v>33</v>
      </c>
      <c r="K937" s="198" t="n">
        <v>2</v>
      </c>
      <c r="L937" s="226" t="n">
        <v>44825</v>
      </c>
      <c r="M937" s="226" t="n">
        <v>44784</v>
      </c>
      <c r="N937" s="227" t="n">
        <v>4</v>
      </c>
      <c r="O937" s="227" t="s">
        <v>135</v>
      </c>
      <c r="P937" s="228" t="n">
        <f aca="false">VLOOKUP(B937,'NIVEL ENERO'!A:D,3,0)</f>
        <v>0.439491144924846</v>
      </c>
      <c r="Q937" s="229" t="n">
        <f aca="false">VLOOKUP(B937,'NIVEL ENERO'!A:D,4,0)</f>
        <v>-83425.3333333333</v>
      </c>
      <c r="R937" s="186" t="str">
        <f aca="false">+PROPER(C937&amp;" "&amp;D937)</f>
        <v>Molina Caicedo Harold Andres</v>
      </c>
      <c r="S937" s="230" t="n">
        <f aca="false">+YEARFRAC(L937,$S$1)</f>
        <v>3.64166666666667</v>
      </c>
      <c r="T937" s="230" t="n">
        <f aca="false">+YEARFRAC(M937,$S$1)</f>
        <v>3.75277777777778</v>
      </c>
      <c r="U937" s="231" t="n">
        <f aca="false">+$I937</f>
        <v>188210</v>
      </c>
      <c r="V937" s="232" t="str">
        <f aca="false">+PROPER(F937)</f>
        <v>Separado(A)</v>
      </c>
    </row>
    <row r="938" customFormat="false" ht="14.25" hidden="false" customHeight="false" outlineLevel="0" collapsed="false">
      <c r="B938" s="197" t="n">
        <v>1107063642</v>
      </c>
      <c r="C938" s="197" t="s">
        <v>2625</v>
      </c>
      <c r="D938" s="197" t="s">
        <v>2626</v>
      </c>
      <c r="E938" s="198" t="s">
        <v>944</v>
      </c>
      <c r="F938" s="198" t="s">
        <v>945</v>
      </c>
      <c r="G938" s="225" t="n">
        <v>1918500</v>
      </c>
      <c r="H938" s="225" t="n">
        <v>1066531</v>
      </c>
      <c r="I938" s="225" t="n">
        <v>4416524</v>
      </c>
      <c r="J938" s="198" t="n">
        <v>33</v>
      </c>
      <c r="K938" s="198" t="n">
        <v>4</v>
      </c>
      <c r="L938" s="226" t="n">
        <v>45160</v>
      </c>
      <c r="M938" s="226" t="n">
        <v>43564</v>
      </c>
      <c r="N938" s="227" t="n">
        <v>4</v>
      </c>
      <c r="O938" s="227" t="s">
        <v>135</v>
      </c>
      <c r="P938" s="228" t="e">
        <f aca="false">VLOOKUP(B938,'NIVEL ENERO'!A:D,3,0)</f>
        <v>#N/A</v>
      </c>
      <c r="Q938" s="229" t="e">
        <f aca="false">VLOOKUP(B938,'NIVEL ENERO'!A:D,4,0)</f>
        <v>#N/A</v>
      </c>
      <c r="R938" s="186" t="str">
        <f aca="false">+PROPER(C938&amp;" "&amp;D938)</f>
        <v>Mulato Olaya Kelly Giovana</v>
      </c>
      <c r="S938" s="230" t="n">
        <f aca="false">+YEARFRAC(L938,$S$1)</f>
        <v>2.72222222222222</v>
      </c>
      <c r="T938" s="230" t="n">
        <f aca="false">+YEARFRAC(M938,$S$1)</f>
        <v>7.09166666666667</v>
      </c>
      <c r="U938" s="231" t="n">
        <f aca="false">+$I938</f>
        <v>4416524</v>
      </c>
      <c r="V938" s="232" t="str">
        <f aca="false">+PROPER(F938)</f>
        <v>Union Libre</v>
      </c>
    </row>
    <row r="939" customFormat="false" ht="14.25" hidden="false" customHeight="false" outlineLevel="0" collapsed="false">
      <c r="B939" s="197" t="n">
        <v>1107064750</v>
      </c>
      <c r="C939" s="197" t="s">
        <v>2627</v>
      </c>
      <c r="D939" s="197" t="s">
        <v>2403</v>
      </c>
      <c r="E939" s="198" t="s">
        <v>981</v>
      </c>
      <c r="F939" s="198" t="s">
        <v>948</v>
      </c>
      <c r="G939" s="225" t="n">
        <v>1918500</v>
      </c>
      <c r="H939" s="225" t="n">
        <v>955165</v>
      </c>
      <c r="I939" s="225" t="n">
        <v>2179533</v>
      </c>
      <c r="J939" s="198" t="n">
        <v>33</v>
      </c>
      <c r="K939" s="198" t="n">
        <v>2</v>
      </c>
      <c r="L939" s="226" t="n">
        <v>45220</v>
      </c>
      <c r="M939" s="226" t="n">
        <v>43723</v>
      </c>
      <c r="N939" s="227" t="n">
        <v>2</v>
      </c>
      <c r="O939" s="227" t="s">
        <v>135</v>
      </c>
      <c r="P939" s="228" t="n">
        <f aca="false">VLOOKUP(B939,'NIVEL ENERO'!A:D,3,0)</f>
        <v>0.424118808622676</v>
      </c>
      <c r="Q939" s="229" t="n">
        <f aca="false">VLOOKUP(B939,'NIVEL ENERO'!A:D,4,0)</f>
        <v>-10012</v>
      </c>
      <c r="R939" s="186" t="str">
        <f aca="false">+PROPER(C939&amp;" "&amp;D939)</f>
        <v>Gomez Leiva Christian Camilo</v>
      </c>
      <c r="S939" s="230" t="n">
        <f aca="false">+YEARFRAC(L939,$S$1)</f>
        <v>2.55833333333333</v>
      </c>
      <c r="T939" s="230" t="n">
        <f aca="false">+YEARFRAC(M939,$S$1)</f>
        <v>6.65833333333333</v>
      </c>
      <c r="U939" s="231" t="n">
        <f aca="false">+$I939</f>
        <v>2179533</v>
      </c>
      <c r="V939" s="232" t="str">
        <f aca="false">+PROPER(F939)</f>
        <v>Casado(A)</v>
      </c>
    </row>
    <row r="940" customFormat="false" ht="14.25" hidden="false" customHeight="false" outlineLevel="0" collapsed="false">
      <c r="B940" s="197" t="n">
        <v>1107064974</v>
      </c>
      <c r="C940" s="197" t="s">
        <v>2628</v>
      </c>
      <c r="D940" s="197" t="s">
        <v>2629</v>
      </c>
      <c r="E940" s="198" t="s">
        <v>944</v>
      </c>
      <c r="F940" s="198" t="s">
        <v>945</v>
      </c>
      <c r="G940" s="225" t="n">
        <v>5418800</v>
      </c>
      <c r="H940" s="225" t="n">
        <v>13925567</v>
      </c>
      <c r="I940" s="225" t="n">
        <v>5608618</v>
      </c>
      <c r="J940" s="198" t="n">
        <v>34</v>
      </c>
      <c r="K940" s="198" t="n">
        <v>2</v>
      </c>
      <c r="L940" s="226" t="n">
        <v>40500</v>
      </c>
      <c r="M940" s="226" t="n">
        <v>40555</v>
      </c>
      <c r="N940" s="227" t="n">
        <v>4</v>
      </c>
      <c r="O940" s="227" t="s">
        <v>135</v>
      </c>
      <c r="P940" s="228" t="n">
        <f aca="false">VLOOKUP(B940,'NIVEL ENERO'!A:D,3,0)</f>
        <v>0.378105171381951</v>
      </c>
      <c r="Q940" s="229" t="n">
        <f aca="false">VLOOKUP(B940,'NIVEL ENERO'!A:D,4,0)</f>
        <v>240578.4</v>
      </c>
      <c r="R940" s="186" t="str">
        <f aca="false">+PROPER(C940&amp;" "&amp;D940)</f>
        <v>Davila Valencia Jackelin</v>
      </c>
      <c r="S940" s="230" t="n">
        <f aca="false">+YEARFRAC(L940,$S$1)</f>
        <v>15.4833333333333</v>
      </c>
      <c r="T940" s="230" t="n">
        <f aca="false">+YEARFRAC(M940,$S$1)</f>
        <v>15.3333333333333</v>
      </c>
      <c r="U940" s="231" t="n">
        <f aca="false">+$I940</f>
        <v>5608618</v>
      </c>
      <c r="V940" s="232" t="str">
        <f aca="false">+PROPER(F940)</f>
        <v>Union Libre</v>
      </c>
    </row>
    <row r="941" customFormat="false" ht="14.25" hidden="false" customHeight="false" outlineLevel="0" collapsed="false">
      <c r="B941" s="197" t="n">
        <v>1107066677</v>
      </c>
      <c r="C941" s="197" t="s">
        <v>2630</v>
      </c>
      <c r="D941" s="197" t="s">
        <v>2631</v>
      </c>
      <c r="E941" s="198" t="s">
        <v>944</v>
      </c>
      <c r="F941" s="198" t="s">
        <v>948</v>
      </c>
      <c r="G941" s="225" t="n">
        <v>2916600</v>
      </c>
      <c r="H941" s="225" t="n">
        <v>3819885</v>
      </c>
      <c r="I941" s="225" t="n">
        <v>5211472</v>
      </c>
      <c r="J941" s="198" t="n">
        <v>33</v>
      </c>
      <c r="K941" s="198" t="n">
        <v>1</v>
      </c>
      <c r="L941" s="226" t="n">
        <v>44399</v>
      </c>
      <c r="M941" s="226" t="n">
        <v>41944</v>
      </c>
      <c r="N941" s="227" t="n">
        <v>3</v>
      </c>
      <c r="O941" s="227" t="s">
        <v>135</v>
      </c>
      <c r="P941" s="228" t="n">
        <f aca="false">VLOOKUP(B941,'NIVEL ENERO'!A:D,3,0)</f>
        <v>0.400699444558733</v>
      </c>
      <c r="Q941" s="229" t="n">
        <f aca="false">VLOOKUP(B941,'NIVEL ENERO'!A:D,4,0)</f>
        <v>60044.8000000001</v>
      </c>
      <c r="R941" s="186" t="str">
        <f aca="false">+PROPER(C941&amp;" "&amp;D941)</f>
        <v>Flor Otero Angie Yulieth</v>
      </c>
      <c r="S941" s="230" t="n">
        <f aca="false">+YEARFRAC(L941,$S$1)</f>
        <v>4.80555555555556</v>
      </c>
      <c r="T941" s="230" t="n">
        <f aca="false">+YEARFRAC(M941,$S$1)</f>
        <v>11.5305555555556</v>
      </c>
      <c r="U941" s="231" t="n">
        <f aca="false">+$I941</f>
        <v>5211472</v>
      </c>
      <c r="V941" s="232" t="str">
        <f aca="false">+PROPER(F941)</f>
        <v>Casado(A)</v>
      </c>
    </row>
    <row r="942" customFormat="false" ht="14.25" hidden="false" customHeight="false" outlineLevel="0" collapsed="false">
      <c r="B942" s="197" t="n">
        <v>1107066742</v>
      </c>
      <c r="C942" s="197" t="s">
        <v>2632</v>
      </c>
      <c r="D942" s="197" t="s">
        <v>1241</v>
      </c>
      <c r="E942" s="198" t="s">
        <v>944</v>
      </c>
      <c r="F942" s="198" t="s">
        <v>953</v>
      </c>
      <c r="G942" s="225" t="n">
        <v>2600900</v>
      </c>
      <c r="H942" s="225" t="n">
        <v>1005311</v>
      </c>
      <c r="I942" s="225" t="n">
        <v>0</v>
      </c>
      <c r="J942" s="198" t="n">
        <v>33</v>
      </c>
      <c r="K942" s="198" t="n">
        <v>2</v>
      </c>
      <c r="L942" s="226" t="n">
        <v>45191</v>
      </c>
      <c r="M942" s="226" t="n">
        <v>42628</v>
      </c>
      <c r="N942" s="227" t="n">
        <v>1</v>
      </c>
      <c r="O942" s="227" t="s">
        <v>135</v>
      </c>
      <c r="P942" s="228" t="n">
        <f aca="false">VLOOKUP(B942,'NIVEL ENERO'!A:D,3,0)</f>
        <v>0.187373727506634</v>
      </c>
      <c r="Q942" s="229" t="n">
        <f aca="false">VLOOKUP(B942,'NIVEL ENERO'!A:D,4,0)</f>
        <v>750143.66</v>
      </c>
      <c r="R942" s="186" t="str">
        <f aca="false">+PROPER(C942&amp;" "&amp;D942)</f>
        <v>Aguirre Cortez Diana Carolina</v>
      </c>
      <c r="S942" s="230" t="n">
        <f aca="false">+YEARFRAC(L942,$S$1)</f>
        <v>2.63888888888889</v>
      </c>
      <c r="T942" s="230" t="n">
        <f aca="false">+YEARFRAC(M942,$S$1)</f>
        <v>9.65833333333333</v>
      </c>
      <c r="U942" s="231" t="n">
        <f aca="false">+$I942</f>
        <v>0</v>
      </c>
      <c r="V942" s="232" t="str">
        <f aca="false">+PROPER(F942)</f>
        <v>Soltero(A)</v>
      </c>
    </row>
    <row r="943" customFormat="false" ht="14.25" hidden="false" customHeight="false" outlineLevel="0" collapsed="false">
      <c r="B943" s="197" t="n">
        <v>1107066883</v>
      </c>
      <c r="C943" s="197" t="s">
        <v>2633</v>
      </c>
      <c r="D943" s="197" t="s">
        <v>1332</v>
      </c>
      <c r="E943" s="198" t="s">
        <v>944</v>
      </c>
      <c r="F943" s="198" t="s">
        <v>945</v>
      </c>
      <c r="G943" s="225" t="n">
        <v>2893800</v>
      </c>
      <c r="H943" s="225" t="n">
        <v>800000</v>
      </c>
      <c r="I943" s="225" t="n">
        <v>275240</v>
      </c>
      <c r="J943" s="198" t="n">
        <v>33</v>
      </c>
      <c r="K943" s="198" t="n">
        <v>2</v>
      </c>
      <c r="L943" s="226" t="n">
        <v>45414</v>
      </c>
      <c r="M943" s="226" t="n">
        <v>41981</v>
      </c>
      <c r="N943" s="227" t="n">
        <v>5</v>
      </c>
      <c r="O943" s="227" t="s">
        <v>135</v>
      </c>
      <c r="P943" s="228" t="n">
        <f aca="false">VLOOKUP(B943,'NIVEL ENERO'!A:D,3,0)</f>
        <v>0.339876389642564</v>
      </c>
      <c r="Q943" s="229" t="n">
        <f aca="false">VLOOKUP(B943,'NIVEL ENERO'!A:D,4,0)</f>
        <v>298899.98</v>
      </c>
      <c r="R943" s="186" t="str">
        <f aca="false">+PROPER(C943&amp;" "&amp;D943)</f>
        <v>Hurtado Canaveral Ana Cristina</v>
      </c>
      <c r="S943" s="230" t="n">
        <f aca="false">+YEARFRAC(L943,$S$1)</f>
        <v>2.02777777777778</v>
      </c>
      <c r="T943" s="230" t="n">
        <f aca="false">+YEARFRAC(M943,$S$1)</f>
        <v>11.4277777777778</v>
      </c>
      <c r="U943" s="231" t="n">
        <f aca="false">+$I943</f>
        <v>275240</v>
      </c>
      <c r="V943" s="232" t="str">
        <f aca="false">+PROPER(F943)</f>
        <v>Union Libre</v>
      </c>
    </row>
    <row r="944" customFormat="false" ht="14.25" hidden="false" customHeight="false" outlineLevel="0" collapsed="false">
      <c r="B944" s="197" t="n">
        <v>1107067602</v>
      </c>
      <c r="C944" s="197" t="s">
        <v>2634</v>
      </c>
      <c r="D944" s="197" t="s">
        <v>1373</v>
      </c>
      <c r="E944" s="198" t="s">
        <v>981</v>
      </c>
      <c r="F944" s="198" t="s">
        <v>953</v>
      </c>
      <c r="G944" s="225" t="n">
        <v>1991000</v>
      </c>
      <c r="H944" s="225" t="n">
        <v>4332853</v>
      </c>
      <c r="I944" s="225" t="n">
        <v>6084872</v>
      </c>
      <c r="J944" s="198" t="n">
        <v>33</v>
      </c>
      <c r="K944" s="198" t="n">
        <v>1</v>
      </c>
      <c r="L944" s="226" t="n">
        <v>43481</v>
      </c>
      <c r="M944" s="226" t="n">
        <v>43385</v>
      </c>
      <c r="N944" s="227" t="n">
        <v>3</v>
      </c>
      <c r="O944" s="227" t="s">
        <v>135</v>
      </c>
      <c r="P944" s="228" t="n">
        <f aca="false">VLOOKUP(B944,'NIVEL ENERO'!A:D,3,0)</f>
        <v>0.488810946555055</v>
      </c>
      <c r="Q944" s="229" t="n">
        <f aca="false">VLOOKUP(B944,'NIVEL ENERO'!A:D,4,0)</f>
        <v>-228993</v>
      </c>
      <c r="R944" s="186" t="str">
        <f aca="false">+PROPER(C944&amp;" "&amp;D944)</f>
        <v>Mejia Montes Claudia Lorena</v>
      </c>
      <c r="S944" s="230" t="n">
        <f aca="false">+YEARFRAC(L944,$S$1)</f>
        <v>7.32222222222222</v>
      </c>
      <c r="T944" s="230" t="n">
        <f aca="false">+YEARFRAC(M944,$S$1)</f>
        <v>7.58333333333333</v>
      </c>
      <c r="U944" s="231" t="n">
        <f aca="false">+$I944</f>
        <v>6084872</v>
      </c>
      <c r="V944" s="232" t="str">
        <f aca="false">+PROPER(F944)</f>
        <v>Soltero(A)</v>
      </c>
    </row>
    <row r="945" customFormat="false" ht="14.25" hidden="false" customHeight="false" outlineLevel="0" collapsed="false">
      <c r="B945" s="197" t="n">
        <v>1107068265</v>
      </c>
      <c r="C945" s="197" t="s">
        <v>2635</v>
      </c>
      <c r="D945" s="197" t="s">
        <v>2636</v>
      </c>
      <c r="E945" s="198" t="s">
        <v>944</v>
      </c>
      <c r="F945" s="198" t="s">
        <v>948</v>
      </c>
      <c r="G945" s="225" t="n">
        <v>2890000</v>
      </c>
      <c r="H945" s="225" t="n">
        <v>1005311</v>
      </c>
      <c r="I945" s="225" t="n">
        <v>0</v>
      </c>
      <c r="J945" s="198" t="n">
        <v>33</v>
      </c>
      <c r="K945" s="198" t="n">
        <v>2</v>
      </c>
      <c r="L945" s="226" t="n">
        <v>45191</v>
      </c>
      <c r="M945" s="226" t="n">
        <v>42551</v>
      </c>
      <c r="N945" s="227" t="n">
        <v>0</v>
      </c>
      <c r="O945" s="227" t="s">
        <v>135</v>
      </c>
      <c r="P945" s="228" t="e">
        <f aca="false">VLOOKUP(B945,'NIVEL ENERO'!A:D,3,0)</f>
        <v>#N/A</v>
      </c>
      <c r="Q945" s="229" t="e">
        <f aca="false">VLOOKUP(B945,'NIVEL ENERO'!A:D,4,0)</f>
        <v>#N/A</v>
      </c>
      <c r="R945" s="186" t="str">
        <f aca="false">+PROPER(C945&amp;" "&amp;D945)</f>
        <v>Gallego Serna Silvana Estefania</v>
      </c>
      <c r="S945" s="230" t="n">
        <f aca="false">+YEARFRAC(L945,$S$1)</f>
        <v>2.63888888888889</v>
      </c>
      <c r="T945" s="230" t="n">
        <f aca="false">+YEARFRAC(M945,$S$1)</f>
        <v>9.86666666666667</v>
      </c>
      <c r="U945" s="231" t="n">
        <f aca="false">+$I945</f>
        <v>0</v>
      </c>
      <c r="V945" s="232" t="str">
        <f aca="false">+PROPER(F945)</f>
        <v>Casado(A)</v>
      </c>
    </row>
    <row r="946" customFormat="false" ht="14.25" hidden="false" customHeight="false" outlineLevel="0" collapsed="false">
      <c r="B946" s="197" t="n">
        <v>1107069840</v>
      </c>
      <c r="C946" s="197" t="s">
        <v>2637</v>
      </c>
      <c r="D946" s="197" t="s">
        <v>1065</v>
      </c>
      <c r="E946" s="198" t="s">
        <v>944</v>
      </c>
      <c r="F946" s="198" t="s">
        <v>953</v>
      </c>
      <c r="G946" s="225" t="n">
        <v>3945300</v>
      </c>
      <c r="H946" s="225" t="n">
        <v>5424259</v>
      </c>
      <c r="I946" s="225" t="n">
        <v>14355290</v>
      </c>
      <c r="J946" s="198" t="n">
        <v>32</v>
      </c>
      <c r="K946" s="198" t="n">
        <v>1</v>
      </c>
      <c r="L946" s="226" t="n">
        <v>43441</v>
      </c>
      <c r="M946" s="226" t="n">
        <v>43418</v>
      </c>
      <c r="N946" s="227" t="n">
        <v>3</v>
      </c>
      <c r="O946" s="227" t="s">
        <v>135</v>
      </c>
      <c r="P946" s="228" t="n">
        <f aca="false">VLOOKUP(B946,'NIVEL ENERO'!A:D,3,0)</f>
        <v>0.528148340891631</v>
      </c>
      <c r="Q946" s="229" t="n">
        <f aca="false">VLOOKUP(B946,'NIVEL ENERO'!A:D,4,0)</f>
        <v>-436411</v>
      </c>
      <c r="R946" s="186" t="str">
        <f aca="false">+PROPER(C946&amp;" "&amp;D946)</f>
        <v>Londono Sanchez Diego Fernando</v>
      </c>
      <c r="S946" s="230" t="n">
        <f aca="false">+YEARFRAC(L946,$S$1)</f>
        <v>7.43055555555556</v>
      </c>
      <c r="T946" s="230" t="n">
        <f aca="false">+YEARFRAC(M946,$S$1)</f>
        <v>7.49444444444444</v>
      </c>
      <c r="U946" s="231" t="n">
        <f aca="false">+$I946</f>
        <v>14355290</v>
      </c>
      <c r="V946" s="232" t="str">
        <f aca="false">+PROPER(F946)</f>
        <v>Soltero(A)</v>
      </c>
    </row>
    <row r="947" customFormat="false" ht="14.25" hidden="false" customHeight="false" outlineLevel="0" collapsed="false">
      <c r="B947" s="197" t="n">
        <v>1107073161</v>
      </c>
      <c r="C947" s="197" t="s">
        <v>2638</v>
      </c>
      <c r="D947" s="197" t="s">
        <v>2639</v>
      </c>
      <c r="E947" s="198" t="s">
        <v>944</v>
      </c>
      <c r="F947" s="198" t="s">
        <v>953</v>
      </c>
      <c r="G947" s="225" t="n">
        <v>1991000</v>
      </c>
      <c r="H947" s="225" t="n">
        <v>2053147</v>
      </c>
      <c r="I947" s="225" t="n">
        <v>1936682</v>
      </c>
      <c r="J947" s="198" t="n">
        <v>32</v>
      </c>
      <c r="K947" s="198" t="n">
        <v>2</v>
      </c>
      <c r="L947" s="226" t="n">
        <v>44552</v>
      </c>
      <c r="M947" s="226" t="n">
        <v>44186</v>
      </c>
      <c r="N947" s="227" t="n">
        <v>2</v>
      </c>
      <c r="O947" s="227" t="s">
        <v>135</v>
      </c>
      <c r="P947" s="228" t="n">
        <f aca="false">VLOOKUP(B947,'NIVEL ENERO'!A:D,3,0)</f>
        <v>0.261187343043697</v>
      </c>
      <c r="Q947" s="229" t="n">
        <f aca="false">VLOOKUP(B947,'NIVEL ENERO'!A:D,4,0)</f>
        <v>316196</v>
      </c>
      <c r="R947" s="186" t="str">
        <f aca="false">+PROPER(C947&amp;" "&amp;D947)</f>
        <v>Serna Becoche Fabio Andres</v>
      </c>
      <c r="S947" s="230" t="n">
        <f aca="false">+YEARFRAC(L947,$S$1)</f>
        <v>4.38888888888889</v>
      </c>
      <c r="T947" s="230" t="n">
        <f aca="false">+YEARFRAC(M947,$S$1)</f>
        <v>5.39166666666667</v>
      </c>
      <c r="U947" s="231" t="n">
        <f aca="false">+$I947</f>
        <v>1936682</v>
      </c>
      <c r="V947" s="232" t="str">
        <f aca="false">+PROPER(F947)</f>
        <v>Soltero(A)</v>
      </c>
    </row>
    <row r="948" customFormat="false" ht="14.25" hidden="false" customHeight="false" outlineLevel="0" collapsed="false">
      <c r="B948" s="197" t="n">
        <v>1107074454</v>
      </c>
      <c r="C948" s="197" t="s">
        <v>2640</v>
      </c>
      <c r="D948" s="197" t="s">
        <v>1302</v>
      </c>
      <c r="E948" s="198" t="s">
        <v>944</v>
      </c>
      <c r="F948" s="198" t="s">
        <v>945</v>
      </c>
      <c r="G948" s="225" t="n">
        <v>1670000</v>
      </c>
      <c r="H948" s="225" t="n">
        <v>773000</v>
      </c>
      <c r="I948" s="225" t="n">
        <v>372339</v>
      </c>
      <c r="J948" s="198" t="n">
        <v>31</v>
      </c>
      <c r="K948" s="198" t="n">
        <v>2</v>
      </c>
      <c r="L948" s="226" t="n">
        <v>45303</v>
      </c>
      <c r="M948" s="226" t="n">
        <v>45020</v>
      </c>
      <c r="N948" s="227" t="n">
        <v>0</v>
      </c>
      <c r="O948" s="227" t="s">
        <v>135</v>
      </c>
      <c r="P948" s="228" t="n">
        <f aca="false">VLOOKUP(B948,'NIVEL ENERO'!A:D,3,0)</f>
        <v>0.404852335329341</v>
      </c>
      <c r="Q948" s="229" t="n">
        <f aca="false">VLOOKUP(B948,'NIVEL ENERO'!A:D,4,0)</f>
        <v>60230</v>
      </c>
      <c r="R948" s="186" t="str">
        <f aca="false">+PROPER(C948&amp;" "&amp;D948)</f>
        <v>Anaya Troyano Luz Viviana</v>
      </c>
      <c r="S948" s="230" t="n">
        <f aca="false">+YEARFRAC(L948,$S$1)</f>
        <v>2.33333333333333</v>
      </c>
      <c r="T948" s="230" t="n">
        <f aca="false">+YEARFRAC(M948,$S$1)</f>
        <v>3.10555555555556</v>
      </c>
      <c r="U948" s="231" t="n">
        <f aca="false">+$I948</f>
        <v>372339</v>
      </c>
      <c r="V948" s="232" t="str">
        <f aca="false">+PROPER(F948)</f>
        <v>Union Libre</v>
      </c>
    </row>
    <row r="949" customFormat="false" ht="14.25" hidden="false" customHeight="false" outlineLevel="0" collapsed="false">
      <c r="B949" s="197" t="n">
        <v>1107075404</v>
      </c>
      <c r="C949" s="197" t="s">
        <v>2641</v>
      </c>
      <c r="D949" s="197" t="s">
        <v>1328</v>
      </c>
      <c r="E949" s="198" t="s">
        <v>944</v>
      </c>
      <c r="F949" s="198" t="s">
        <v>953</v>
      </c>
      <c r="G949" s="225" t="n">
        <v>1625000</v>
      </c>
      <c r="H949" s="225" t="n">
        <v>1200000</v>
      </c>
      <c r="I949" s="225" t="n">
        <v>1455288</v>
      </c>
      <c r="J949" s="198" t="n">
        <v>32</v>
      </c>
      <c r="K949" s="198" t="n">
        <v>2</v>
      </c>
      <c r="L949" s="226" t="n">
        <v>45307</v>
      </c>
      <c r="M949" s="226" t="n">
        <v>45201</v>
      </c>
      <c r="N949" s="227" t="n">
        <v>0</v>
      </c>
      <c r="O949" s="227" t="s">
        <v>135</v>
      </c>
      <c r="P949" s="228" t="n">
        <f aca="false">VLOOKUP(B949,'NIVEL ENERO'!A:D,3,0)</f>
        <v>0.222927755130293</v>
      </c>
      <c r="Q949" s="229" t="n">
        <f aca="false">VLOOKUP(B949,'NIVEL ENERO'!A:D,4,0)</f>
        <v>432765.92</v>
      </c>
      <c r="R949" s="186" t="str">
        <f aca="false">+PROPER(C949&amp;" "&amp;D949)</f>
        <v>Martinez Cuasquen Lina Marcela</v>
      </c>
      <c r="S949" s="230" t="n">
        <f aca="false">+YEARFRAC(L949,$S$1)</f>
        <v>2.32222222222222</v>
      </c>
      <c r="T949" s="230" t="n">
        <f aca="false">+YEARFRAC(M949,$S$1)</f>
        <v>2.61111111111111</v>
      </c>
      <c r="U949" s="231" t="n">
        <f aca="false">+$I949</f>
        <v>1455288</v>
      </c>
      <c r="V949" s="232" t="str">
        <f aca="false">+PROPER(F949)</f>
        <v>Soltero(A)</v>
      </c>
    </row>
    <row r="950" customFormat="false" ht="14.25" hidden="false" customHeight="false" outlineLevel="0" collapsed="false">
      <c r="B950" s="197" t="n">
        <v>1107075855</v>
      </c>
      <c r="C950" s="197" t="s">
        <v>2642</v>
      </c>
      <c r="D950" s="197" t="s">
        <v>2643</v>
      </c>
      <c r="E950" s="198" t="s">
        <v>944</v>
      </c>
      <c r="F950" s="198" t="s">
        <v>953</v>
      </c>
      <c r="G950" s="225" t="n">
        <v>2893800</v>
      </c>
      <c r="H950" s="225" t="n">
        <v>1420150</v>
      </c>
      <c r="I950" s="225" t="n">
        <v>3108444</v>
      </c>
      <c r="J950" s="198" t="n">
        <v>31</v>
      </c>
      <c r="K950" s="198" t="n">
        <v>4</v>
      </c>
      <c r="L950" s="226" t="n">
        <v>45249</v>
      </c>
      <c r="M950" s="226" t="n">
        <v>42416</v>
      </c>
      <c r="N950" s="227" t="n">
        <v>0</v>
      </c>
      <c r="O950" s="227" t="s">
        <v>135</v>
      </c>
      <c r="P950" s="228" t="n">
        <f aca="false">VLOOKUP(B950,'NIVEL ENERO'!A:D,3,0)</f>
        <v>0.206472287306721</v>
      </c>
      <c r="Q950" s="229" t="n">
        <f aca="false">VLOOKUP(B950,'NIVEL ENERO'!A:D,4,0)</f>
        <v>831069.36</v>
      </c>
      <c r="R950" s="186" t="str">
        <f aca="false">+PROPER(C950&amp;" "&amp;D950)</f>
        <v>Osorio Lozano Daniela Andrea</v>
      </c>
      <c r="S950" s="230" t="n">
        <f aca="false">+YEARFRAC(L950,$S$1)</f>
        <v>2.48055555555556</v>
      </c>
      <c r="T950" s="230" t="n">
        <f aca="false">+YEARFRAC(M950,$S$1)</f>
        <v>10.2388888888889</v>
      </c>
      <c r="U950" s="231" t="n">
        <f aca="false">+$I950</f>
        <v>3108444</v>
      </c>
      <c r="V950" s="232" t="str">
        <f aca="false">+PROPER(F950)</f>
        <v>Soltero(A)</v>
      </c>
    </row>
    <row r="951" customFormat="false" ht="14.25" hidden="false" customHeight="false" outlineLevel="0" collapsed="false">
      <c r="B951" s="197" t="n">
        <v>1107078179</v>
      </c>
      <c r="C951" s="197" t="s">
        <v>2644</v>
      </c>
      <c r="D951" s="197" t="s">
        <v>2645</v>
      </c>
      <c r="E951" s="198" t="s">
        <v>944</v>
      </c>
      <c r="F951" s="198" t="s">
        <v>945</v>
      </c>
      <c r="G951" s="225" t="n">
        <v>4335000</v>
      </c>
      <c r="H951" s="225" t="n">
        <v>2781757</v>
      </c>
      <c r="I951" s="225" t="n">
        <v>1492918</v>
      </c>
      <c r="J951" s="198" t="n">
        <v>31</v>
      </c>
      <c r="K951" s="198" t="n">
        <v>2</v>
      </c>
      <c r="L951" s="226" t="n">
        <v>45222</v>
      </c>
      <c r="M951" s="226" t="n">
        <v>44105</v>
      </c>
      <c r="N951" s="227" t="n">
        <v>2</v>
      </c>
      <c r="O951" s="227" t="s">
        <v>135</v>
      </c>
      <c r="P951" s="228" t="n">
        <f aca="false">VLOOKUP(B951,'NIVEL ENERO'!A:D,3,0)</f>
        <v>0.31857544112089</v>
      </c>
      <c r="Q951" s="229" t="n">
        <f aca="false">VLOOKUP(B951,'NIVEL ENERO'!A:D,4,0)</f>
        <v>630813.56</v>
      </c>
      <c r="R951" s="186" t="str">
        <f aca="false">+PROPER(C951&amp;" "&amp;D951)</f>
        <v>Zuniga Fernandez Jeferson</v>
      </c>
      <c r="S951" s="230" t="n">
        <f aca="false">+YEARFRAC(L951,$S$1)</f>
        <v>2.55277777777778</v>
      </c>
      <c r="T951" s="230" t="n">
        <f aca="false">+YEARFRAC(M951,$S$1)</f>
        <v>5.61388888888889</v>
      </c>
      <c r="U951" s="231" t="n">
        <f aca="false">+$I951</f>
        <v>1492918</v>
      </c>
      <c r="V951" s="232" t="str">
        <f aca="false">+PROPER(F951)</f>
        <v>Union Libre</v>
      </c>
    </row>
    <row r="952" customFormat="false" ht="14.25" hidden="false" customHeight="false" outlineLevel="0" collapsed="false">
      <c r="B952" s="197" t="n">
        <v>1107080128</v>
      </c>
      <c r="C952" s="197" t="s">
        <v>2646</v>
      </c>
      <c r="D952" s="197" t="s">
        <v>2647</v>
      </c>
      <c r="E952" s="198" t="s">
        <v>944</v>
      </c>
      <c r="F952" s="198" t="s">
        <v>945</v>
      </c>
      <c r="G952" s="225" t="n">
        <v>5418800</v>
      </c>
      <c r="H952" s="225" t="n">
        <v>4596342</v>
      </c>
      <c r="I952" s="225" t="n">
        <v>0</v>
      </c>
      <c r="J952" s="198" t="n">
        <v>31</v>
      </c>
      <c r="K952" s="198" t="n">
        <v>1</v>
      </c>
      <c r="L952" s="226" t="n">
        <v>44875</v>
      </c>
      <c r="M952" s="226" t="n">
        <v>44845</v>
      </c>
      <c r="N952" s="227" t="n">
        <v>0</v>
      </c>
      <c r="O952" s="227" t="s">
        <v>135</v>
      </c>
      <c r="P952" s="228" t="n">
        <f aca="false">VLOOKUP(B952,'NIVEL ENERO'!A:D,3,0)</f>
        <v>0.268441436706301</v>
      </c>
      <c r="Q952" s="229" t="n">
        <f aca="false">VLOOKUP(B952,'NIVEL ENERO'!A:D,4,0)</f>
        <v>876016.68</v>
      </c>
      <c r="R952" s="186" t="str">
        <f aca="false">+PROPER(C952&amp;" "&amp;D952)</f>
        <v>Vasquez Marin Leydi Tatiana</v>
      </c>
      <c r="S952" s="230" t="n">
        <f aca="false">+YEARFRAC(L952,$S$1)</f>
        <v>3.50555555555556</v>
      </c>
      <c r="T952" s="230" t="n">
        <f aca="false">+YEARFRAC(M952,$S$1)</f>
        <v>3.58611111111111</v>
      </c>
      <c r="U952" s="231" t="n">
        <f aca="false">+$I952</f>
        <v>0</v>
      </c>
      <c r="V952" s="232" t="str">
        <f aca="false">+PROPER(F952)</f>
        <v>Union Libre</v>
      </c>
    </row>
    <row r="953" customFormat="false" ht="14.25" hidden="false" customHeight="false" outlineLevel="0" collapsed="false">
      <c r="B953" s="197" t="n">
        <v>1107081197</v>
      </c>
      <c r="C953" s="197" t="s">
        <v>2648</v>
      </c>
      <c r="D953" s="197" t="s">
        <v>2649</v>
      </c>
      <c r="E953" s="198" t="s">
        <v>944</v>
      </c>
      <c r="F953" s="198" t="s">
        <v>948</v>
      </c>
      <c r="G953" s="225" t="n">
        <v>5418800</v>
      </c>
      <c r="H953" s="225" t="n">
        <v>6351896</v>
      </c>
      <c r="I953" s="225" t="n">
        <v>0</v>
      </c>
      <c r="J953" s="198" t="n">
        <v>30</v>
      </c>
      <c r="K953" s="198" t="n">
        <v>3</v>
      </c>
      <c r="L953" s="226" t="n">
        <v>44490</v>
      </c>
      <c r="M953" s="226" t="n">
        <v>44027</v>
      </c>
      <c r="N953" s="227" t="n">
        <v>4</v>
      </c>
      <c r="O953" s="227" t="s">
        <v>135</v>
      </c>
      <c r="P953" s="228" t="n">
        <f aca="false">VLOOKUP(B953,'NIVEL ENERO'!A:D,3,0)</f>
        <v>0.380171514284044</v>
      </c>
      <c r="Q953" s="229" t="n">
        <f aca="false">VLOOKUP(B953,'NIVEL ENERO'!A:D,4,0)</f>
        <v>294754.24</v>
      </c>
      <c r="R953" s="186" t="str">
        <f aca="false">+PROPER(C953&amp;" "&amp;D953)</f>
        <v>Ramirez Valencia Maria Del Mar</v>
      </c>
      <c r="S953" s="230" t="n">
        <f aca="false">+YEARFRAC(L953,$S$1)</f>
        <v>4.55833333333333</v>
      </c>
      <c r="T953" s="230" t="n">
        <f aca="false">+YEARFRAC(M953,$S$1)</f>
        <v>5.825</v>
      </c>
      <c r="U953" s="231" t="n">
        <f aca="false">+$I953</f>
        <v>0</v>
      </c>
      <c r="V953" s="232" t="str">
        <f aca="false">+PROPER(F953)</f>
        <v>Casado(A)</v>
      </c>
    </row>
    <row r="954" customFormat="false" ht="14.25" hidden="false" customHeight="false" outlineLevel="0" collapsed="false">
      <c r="B954" s="197" t="n">
        <v>1107081228</v>
      </c>
      <c r="C954" s="197" t="s">
        <v>2650</v>
      </c>
      <c r="D954" s="197" t="s">
        <v>2651</v>
      </c>
      <c r="E954" s="198" t="s">
        <v>944</v>
      </c>
      <c r="F954" s="198" t="s">
        <v>948</v>
      </c>
      <c r="G954" s="225" t="n">
        <v>2600900</v>
      </c>
      <c r="H954" s="225" t="n">
        <v>6423945</v>
      </c>
      <c r="I954" s="225" t="n">
        <v>4577452</v>
      </c>
      <c r="J954" s="198" t="n">
        <v>30</v>
      </c>
      <c r="K954" s="198" t="n">
        <v>2</v>
      </c>
      <c r="L954" s="226" t="n">
        <v>44358</v>
      </c>
      <c r="M954" s="226" t="n">
        <v>43269</v>
      </c>
      <c r="N954" s="227" t="n">
        <v>1</v>
      </c>
      <c r="O954" s="227" t="s">
        <v>135</v>
      </c>
      <c r="P954" s="228" t="n">
        <f aca="false">VLOOKUP(B954,'NIVEL ENERO'!A:D,3,0)</f>
        <v>0.424475220018664</v>
      </c>
      <c r="Q954" s="229" t="n">
        <f aca="false">VLOOKUP(B954,'NIVEL ENERO'!A:D,4,0)</f>
        <v>-15288.3600000001</v>
      </c>
      <c r="R954" s="186" t="str">
        <f aca="false">+PROPER(C954&amp;" "&amp;D954)</f>
        <v>Chango Restrepo Brayan Stiven</v>
      </c>
      <c r="S954" s="230" t="n">
        <f aca="false">+YEARFRAC(L954,$S$1)</f>
        <v>4.91944444444444</v>
      </c>
      <c r="T954" s="230" t="n">
        <f aca="false">+YEARFRAC(M954,$S$1)</f>
        <v>7.9</v>
      </c>
      <c r="U954" s="231" t="n">
        <f aca="false">+$I954</f>
        <v>4577452</v>
      </c>
      <c r="V954" s="232" t="str">
        <f aca="false">+PROPER(F954)</f>
        <v>Casado(A)</v>
      </c>
    </row>
    <row r="955" customFormat="false" ht="14.25" hidden="false" customHeight="false" outlineLevel="0" collapsed="false">
      <c r="B955" s="197" t="n">
        <v>1107083078</v>
      </c>
      <c r="C955" s="197" t="s">
        <v>2652</v>
      </c>
      <c r="D955" s="197" t="s">
        <v>1202</v>
      </c>
      <c r="E955" s="198" t="s">
        <v>944</v>
      </c>
      <c r="F955" s="198" t="s">
        <v>948</v>
      </c>
      <c r="G955" s="225" t="n">
        <v>2893800</v>
      </c>
      <c r="H955" s="225" t="n">
        <v>1394521</v>
      </c>
      <c r="I955" s="225" t="n">
        <v>3119509</v>
      </c>
      <c r="J955" s="198" t="n">
        <v>30</v>
      </c>
      <c r="K955" s="198" t="n">
        <v>2</v>
      </c>
      <c r="L955" s="226" t="n">
        <v>45051</v>
      </c>
      <c r="M955" s="226" t="n">
        <v>43579</v>
      </c>
      <c r="N955" s="227" t="n">
        <v>0</v>
      </c>
      <c r="O955" s="227" t="s">
        <v>135</v>
      </c>
      <c r="P955" s="228" t="n">
        <f aca="false">VLOOKUP(B955,'NIVEL ENERO'!A:D,3,0)</f>
        <v>0.198199083758164</v>
      </c>
      <c r="Q955" s="229" t="n">
        <f aca="false">VLOOKUP(B955,'NIVEL ENERO'!A:D,4,0)</f>
        <v>658126.2</v>
      </c>
      <c r="R955" s="186" t="str">
        <f aca="false">+PROPER(C955&amp;" "&amp;D955)</f>
        <v>Garcia Morales Carolina</v>
      </c>
      <c r="S955" s="230" t="n">
        <f aca="false">+YEARFRAC(L955,$S$1)</f>
        <v>3.01944444444444</v>
      </c>
      <c r="T955" s="230" t="n">
        <f aca="false">+YEARFRAC(M955,$S$1)</f>
        <v>7.05</v>
      </c>
      <c r="U955" s="231" t="n">
        <f aca="false">+$I955</f>
        <v>3119509</v>
      </c>
      <c r="V955" s="232" t="str">
        <f aca="false">+PROPER(F955)</f>
        <v>Casado(A)</v>
      </c>
    </row>
    <row r="956" customFormat="false" ht="14.25" hidden="false" customHeight="false" outlineLevel="0" collapsed="false">
      <c r="B956" s="197" t="n">
        <v>1107083585</v>
      </c>
      <c r="C956" s="197" t="s">
        <v>2653</v>
      </c>
      <c r="D956" s="197" t="s">
        <v>2654</v>
      </c>
      <c r="E956" s="198" t="s">
        <v>944</v>
      </c>
      <c r="F956" s="198" t="s">
        <v>953</v>
      </c>
      <c r="G956" s="225" t="n">
        <v>4327600</v>
      </c>
      <c r="H956" s="225" t="n">
        <v>2213761</v>
      </c>
      <c r="I956" s="225" t="n">
        <v>4634560</v>
      </c>
      <c r="J956" s="198" t="n">
        <v>30</v>
      </c>
      <c r="K956" s="198" t="n">
        <v>2</v>
      </c>
      <c r="L956" s="226" t="n">
        <v>44490</v>
      </c>
      <c r="M956" s="226" t="n">
        <v>44440</v>
      </c>
      <c r="N956" s="227" t="n">
        <v>0</v>
      </c>
      <c r="O956" s="227" t="s">
        <v>135</v>
      </c>
      <c r="P956" s="228" t="n">
        <f aca="false">VLOOKUP(B956,'NIVEL ENERO'!A:D,3,0)</f>
        <v>0.326423190683058</v>
      </c>
      <c r="Q956" s="229" t="n">
        <f aca="false">VLOOKUP(B956,'NIVEL ENERO'!A:D,4,0)</f>
        <v>404963</v>
      </c>
      <c r="R956" s="186" t="str">
        <f aca="false">+PROPER(C956&amp;" "&amp;D956)</f>
        <v>Vergara Castano Stefanie</v>
      </c>
      <c r="S956" s="230" t="n">
        <f aca="false">+YEARFRAC(L956,$S$1)</f>
        <v>4.55833333333333</v>
      </c>
      <c r="T956" s="230" t="n">
        <f aca="false">+YEARFRAC(M956,$S$1)</f>
        <v>4.69722222222222</v>
      </c>
      <c r="U956" s="231" t="n">
        <f aca="false">+$I956</f>
        <v>4634560</v>
      </c>
      <c r="V956" s="232" t="str">
        <f aca="false">+PROPER(F956)</f>
        <v>Soltero(A)</v>
      </c>
    </row>
    <row r="957" customFormat="false" ht="14.25" hidden="false" customHeight="false" outlineLevel="0" collapsed="false">
      <c r="B957" s="197" t="n">
        <v>1107083747</v>
      </c>
      <c r="C957" s="197" t="s">
        <v>2655</v>
      </c>
      <c r="D957" s="197" t="s">
        <v>2656</v>
      </c>
      <c r="E957" s="198" t="s">
        <v>944</v>
      </c>
      <c r="F957" s="198" t="s">
        <v>945</v>
      </c>
      <c r="G957" s="225" t="n">
        <v>4194600</v>
      </c>
      <c r="H957" s="225" t="n">
        <v>4069170</v>
      </c>
      <c r="I957" s="225"/>
      <c r="J957" s="198" t="n">
        <v>30</v>
      </c>
      <c r="K957" s="198" t="n">
        <v>1</v>
      </c>
      <c r="L957" s="226" t="n">
        <v>44670</v>
      </c>
      <c r="M957" s="226" t="n">
        <v>44497</v>
      </c>
      <c r="N957" s="227" t="n">
        <v>2</v>
      </c>
      <c r="O957" s="227" t="s">
        <v>135</v>
      </c>
      <c r="P957" s="228" t="n">
        <f aca="false">VLOOKUP(B957,'NIVEL ENERO'!A:D,3,0)</f>
        <v>0.428486478592024</v>
      </c>
      <c r="Q957" s="229" t="n">
        <f aca="false">VLOOKUP(B957,'NIVEL ENERO'!A:D,4,0)</f>
        <v>-43813.1600000002</v>
      </c>
      <c r="R957" s="186" t="str">
        <f aca="false">+PROPER(C957&amp;" "&amp;D957)</f>
        <v>Villegas Grisales Richard Alejandro</v>
      </c>
      <c r="S957" s="230" t="n">
        <f aca="false">+YEARFRAC(L957,$S$1)</f>
        <v>4.06388888888889</v>
      </c>
      <c r="T957" s="230" t="n">
        <f aca="false">+YEARFRAC(M957,$S$1)</f>
        <v>4.53888888888889</v>
      </c>
      <c r="U957" s="231" t="n">
        <f aca="false">+$I957</f>
        <v>0</v>
      </c>
      <c r="V957" s="232" t="str">
        <f aca="false">+PROPER(F957)</f>
        <v>Union Libre</v>
      </c>
    </row>
    <row r="958" customFormat="false" ht="14.25" hidden="false" customHeight="false" outlineLevel="0" collapsed="false">
      <c r="B958" s="197" t="n">
        <v>1107083838</v>
      </c>
      <c r="C958" s="197" t="s">
        <v>2657</v>
      </c>
      <c r="D958" s="197" t="s">
        <v>2658</v>
      </c>
      <c r="E958" s="198" t="s">
        <v>944</v>
      </c>
      <c r="F958" s="198" t="s">
        <v>945</v>
      </c>
      <c r="G958" s="225" t="n">
        <v>2893800</v>
      </c>
      <c r="H958" s="225" t="n">
        <v>4395214</v>
      </c>
      <c r="I958" s="225" t="n">
        <v>463289</v>
      </c>
      <c r="J958" s="198" t="n">
        <v>30</v>
      </c>
      <c r="K958" s="198" t="n">
        <v>1</v>
      </c>
      <c r="L958" s="226" t="n">
        <v>43504</v>
      </c>
      <c r="M958" s="226" t="n">
        <v>43449</v>
      </c>
      <c r="N958" s="227" t="n">
        <v>5</v>
      </c>
      <c r="O958" s="227" t="s">
        <v>135</v>
      </c>
      <c r="P958" s="228" t="n">
        <f aca="false">VLOOKUP(B958,'NIVEL ENERO'!A:D,3,0)</f>
        <v>0.392114520699426</v>
      </c>
      <c r="Q958" s="229" t="n">
        <f aca="false">VLOOKUP(B958,'NIVEL ENERO'!A:D,4,0)</f>
        <v>80695</v>
      </c>
      <c r="R958" s="186" t="str">
        <f aca="false">+PROPER(C958&amp;" "&amp;D958)</f>
        <v>Marquez Silva Daniela</v>
      </c>
      <c r="S958" s="230" t="n">
        <f aca="false">+YEARFRAC(L958,$S$1)</f>
        <v>7.26111111111111</v>
      </c>
      <c r="T958" s="230" t="n">
        <f aca="false">+YEARFRAC(M958,$S$1)</f>
        <v>7.40833333333333</v>
      </c>
      <c r="U958" s="231" t="n">
        <f aca="false">+$I958</f>
        <v>463289</v>
      </c>
      <c r="V958" s="232" t="str">
        <f aca="false">+PROPER(F958)</f>
        <v>Union Libre</v>
      </c>
    </row>
    <row r="959" customFormat="false" ht="14.25" hidden="false" customHeight="false" outlineLevel="0" collapsed="false">
      <c r="B959" s="197" t="n">
        <v>1107084296</v>
      </c>
      <c r="C959" s="197" t="s">
        <v>2659</v>
      </c>
      <c r="D959" s="197" t="s">
        <v>2660</v>
      </c>
      <c r="E959" s="198" t="s">
        <v>944</v>
      </c>
      <c r="F959" s="198" t="s">
        <v>953</v>
      </c>
      <c r="G959" s="225" t="n">
        <v>9087800</v>
      </c>
      <c r="H959" s="225" t="n">
        <v>1910716</v>
      </c>
      <c r="I959" s="225" t="n">
        <v>0</v>
      </c>
      <c r="J959" s="198" t="n">
        <v>30</v>
      </c>
      <c r="K959" s="198" t="n">
        <v>4</v>
      </c>
      <c r="L959" s="226" t="n">
        <v>44672</v>
      </c>
      <c r="M959" s="226" t="n">
        <v>44564</v>
      </c>
      <c r="N959" s="227" t="n">
        <v>3</v>
      </c>
      <c r="O959" s="227" t="s">
        <v>135</v>
      </c>
      <c r="P959" s="228" t="n">
        <f aca="false">VLOOKUP(B959,'NIVEL ENERO'!A:D,3,0)</f>
        <v>0.116706649697741</v>
      </c>
      <c r="Q959" s="229" t="n">
        <f aca="false">VLOOKUP(B959,'NIVEL ENERO'!A:D,4,0)</f>
        <v>2859753</v>
      </c>
      <c r="R959" s="186" t="str">
        <f aca="false">+PROPER(C959&amp;" "&amp;D959)</f>
        <v>Lopez Gonzalez Miryam Fernanda</v>
      </c>
      <c r="S959" s="230" t="n">
        <f aca="false">+YEARFRAC(L959,$S$1)</f>
        <v>4.05833333333333</v>
      </c>
      <c r="T959" s="230" t="n">
        <f aca="false">+YEARFRAC(M959,$S$1)</f>
        <v>4.35833333333333</v>
      </c>
      <c r="U959" s="231" t="n">
        <f aca="false">+$I959</f>
        <v>0</v>
      </c>
      <c r="V959" s="232" t="str">
        <f aca="false">+PROPER(F959)</f>
        <v>Soltero(A)</v>
      </c>
    </row>
    <row r="960" customFormat="false" ht="14.25" hidden="false" customHeight="false" outlineLevel="0" collapsed="false">
      <c r="B960" s="197" t="n">
        <v>1107085530</v>
      </c>
      <c r="C960" s="197" t="s">
        <v>2661</v>
      </c>
      <c r="D960" s="197" t="s">
        <v>2658</v>
      </c>
      <c r="E960" s="198" t="s">
        <v>944</v>
      </c>
      <c r="F960" s="198" t="s">
        <v>953</v>
      </c>
      <c r="G960" s="225" t="n">
        <v>2893800</v>
      </c>
      <c r="H960" s="225" t="n">
        <v>1557164</v>
      </c>
      <c r="I960" s="225" t="n">
        <v>2290886</v>
      </c>
      <c r="J960" s="198" t="n">
        <v>30</v>
      </c>
      <c r="K960" s="198" t="n">
        <v>4</v>
      </c>
      <c r="L960" s="226" t="n">
        <v>44886</v>
      </c>
      <c r="M960" s="226" t="n">
        <v>44662</v>
      </c>
      <c r="N960" s="227" t="n">
        <v>0</v>
      </c>
      <c r="O960" s="227" t="s">
        <v>135</v>
      </c>
      <c r="P960" s="228" t="n">
        <f aca="false">VLOOKUP(B960,'NIVEL ENERO'!A:D,3,0)</f>
        <v>0.228200635842145</v>
      </c>
      <c r="Q960" s="229" t="n">
        <f aca="false">VLOOKUP(B960,'NIVEL ENERO'!A:D,4,0)</f>
        <v>555029</v>
      </c>
      <c r="R960" s="186" t="str">
        <f aca="false">+PROPER(C960&amp;" "&amp;D960)</f>
        <v>Paez Otero Daniela</v>
      </c>
      <c r="S960" s="230" t="n">
        <f aca="false">+YEARFRAC(L960,$S$1)</f>
        <v>3.475</v>
      </c>
      <c r="T960" s="230" t="n">
        <f aca="false">+YEARFRAC(M960,$S$1)</f>
        <v>4.08611111111111</v>
      </c>
      <c r="U960" s="231" t="n">
        <f aca="false">+$I960</f>
        <v>2290886</v>
      </c>
      <c r="V960" s="232" t="str">
        <f aca="false">+PROPER(F960)</f>
        <v>Soltero(A)</v>
      </c>
    </row>
    <row r="961" customFormat="false" ht="14.25" hidden="false" customHeight="false" outlineLevel="0" collapsed="false">
      <c r="B961" s="197" t="n">
        <v>1107085921</v>
      </c>
      <c r="C961" s="197" t="s">
        <v>2662</v>
      </c>
      <c r="D961" s="197" t="s">
        <v>2663</v>
      </c>
      <c r="E961" s="198" t="s">
        <v>944</v>
      </c>
      <c r="F961" s="198" t="s">
        <v>953</v>
      </c>
      <c r="G961" s="225" t="n">
        <v>6251900</v>
      </c>
      <c r="H961" s="225" t="n">
        <v>10430822</v>
      </c>
      <c r="I961" s="225" t="n">
        <v>0</v>
      </c>
      <c r="J961" s="198" t="n">
        <v>30</v>
      </c>
      <c r="K961" s="198" t="n">
        <v>2</v>
      </c>
      <c r="L961" s="226" t="n">
        <v>44875</v>
      </c>
      <c r="M961" s="226" t="n">
        <v>44763</v>
      </c>
      <c r="N961" s="227" t="n">
        <v>0</v>
      </c>
      <c r="O961" s="227" t="s">
        <v>135</v>
      </c>
      <c r="P961" s="228" t="n">
        <f aca="false">VLOOKUP(B961,'NIVEL ENERO'!A:D,3,0)</f>
        <v>0.201872537692386</v>
      </c>
      <c r="Q961" s="229" t="n">
        <f aca="false">VLOOKUP(B961,'NIVEL ENERO'!A:D,4,0)</f>
        <v>1896177.74</v>
      </c>
      <c r="R961" s="186" t="str">
        <f aca="false">+PROPER(C961&amp;" "&amp;D961)</f>
        <v>Madronero Rosero Elkin Arley</v>
      </c>
      <c r="S961" s="230" t="n">
        <f aca="false">+YEARFRAC(L961,$S$1)</f>
        <v>3.50555555555556</v>
      </c>
      <c r="T961" s="230" t="n">
        <f aca="false">+YEARFRAC(M961,$S$1)</f>
        <v>3.80833333333333</v>
      </c>
      <c r="U961" s="231" t="n">
        <f aca="false">+$I961</f>
        <v>0</v>
      </c>
      <c r="V961" s="232" t="str">
        <f aca="false">+PROPER(F961)</f>
        <v>Soltero(A)</v>
      </c>
    </row>
    <row r="962" customFormat="false" ht="14.25" hidden="false" customHeight="false" outlineLevel="0" collapsed="false">
      <c r="B962" s="197" t="n">
        <v>1107087302</v>
      </c>
      <c r="C962" s="197" t="s">
        <v>2664</v>
      </c>
      <c r="D962" s="197" t="s">
        <v>2665</v>
      </c>
      <c r="E962" s="198" t="s">
        <v>944</v>
      </c>
      <c r="F962" s="198" t="s">
        <v>953</v>
      </c>
      <c r="G962" s="225" t="n">
        <v>2893800</v>
      </c>
      <c r="H962" s="225" t="n">
        <v>3528810</v>
      </c>
      <c r="I962" s="225" t="n">
        <v>3779907</v>
      </c>
      <c r="J962" s="198" t="n">
        <v>29</v>
      </c>
      <c r="K962" s="198" t="n">
        <v>2</v>
      </c>
      <c r="L962" s="226" t="n">
        <v>44491</v>
      </c>
      <c r="M962" s="226" t="n">
        <v>44417</v>
      </c>
      <c r="N962" s="227" t="n">
        <v>3</v>
      </c>
      <c r="O962" s="227" t="s">
        <v>135</v>
      </c>
      <c r="P962" s="228" t="n">
        <f aca="false">VLOOKUP(B962,'NIVEL ENERO'!A:D,3,0)</f>
        <v>0.338677567970145</v>
      </c>
      <c r="Q962" s="229" t="n">
        <f aca="false">VLOOKUP(B962,'NIVEL ENERO'!A:D,4,0)</f>
        <v>268993.38</v>
      </c>
      <c r="R962" s="186" t="str">
        <f aca="false">+PROPER(C962&amp;" "&amp;D962)</f>
        <v>Hurtado Pomeo Danna Marcela</v>
      </c>
      <c r="S962" s="230" t="n">
        <f aca="false">+YEARFRAC(L962,$S$1)</f>
        <v>4.55555555555556</v>
      </c>
      <c r="T962" s="230" t="n">
        <f aca="false">+YEARFRAC(M962,$S$1)</f>
        <v>4.75833333333333</v>
      </c>
      <c r="U962" s="231" t="n">
        <f aca="false">+$I962</f>
        <v>3779907</v>
      </c>
      <c r="V962" s="232" t="str">
        <f aca="false">+PROPER(F962)</f>
        <v>Soltero(A)</v>
      </c>
    </row>
    <row r="963" customFormat="false" ht="14.25" hidden="false" customHeight="false" outlineLevel="0" collapsed="false">
      <c r="B963" s="197" t="n">
        <v>1107087915</v>
      </c>
      <c r="C963" s="197" t="s">
        <v>2666</v>
      </c>
      <c r="D963" s="197" t="s">
        <v>2395</v>
      </c>
      <c r="E963" s="198" t="s">
        <v>944</v>
      </c>
      <c r="F963" s="198" t="s">
        <v>945</v>
      </c>
      <c r="G963" s="225" t="n">
        <v>1991000</v>
      </c>
      <c r="H963" s="225" t="n">
        <v>455000</v>
      </c>
      <c r="I963" s="225"/>
      <c r="J963" s="198" t="n">
        <v>29</v>
      </c>
      <c r="K963" s="198" t="n">
        <v>2</v>
      </c>
      <c r="L963" s="226" t="n">
        <v>45448</v>
      </c>
      <c r="M963" s="226" t="n">
        <v>44613</v>
      </c>
      <c r="N963" s="227" t="n">
        <v>0</v>
      </c>
      <c r="O963" s="227" t="s">
        <v>135</v>
      </c>
      <c r="P963" s="228" t="n">
        <f aca="false">VLOOKUP(B963,'NIVEL ENERO'!A:D,3,0)</f>
        <v>0.127015067805123</v>
      </c>
      <c r="Q963" s="229" t="n">
        <f aca="false">VLOOKUP(B963,'NIVEL ENERO'!A:D,4,0)</f>
        <v>583333</v>
      </c>
      <c r="R963" s="186" t="str">
        <f aca="false">+PROPER(C963&amp;" "&amp;D963)</f>
        <v>Urcuqui Millan Luisa Fernanda</v>
      </c>
      <c r="S963" s="230" t="n">
        <f aca="false">+YEARFRAC(L963,$S$1)</f>
        <v>1.93611111111111</v>
      </c>
      <c r="T963" s="230" t="n">
        <f aca="false">+YEARFRAC(M963,$S$1)</f>
        <v>4.225</v>
      </c>
      <c r="U963" s="231" t="n">
        <f aca="false">+$I963</f>
        <v>0</v>
      </c>
      <c r="V963" s="232" t="str">
        <f aca="false">+PROPER(F963)</f>
        <v>Union Libre</v>
      </c>
    </row>
    <row r="964" customFormat="false" ht="14.25" hidden="false" customHeight="false" outlineLevel="0" collapsed="false">
      <c r="B964" s="197" t="n">
        <v>1107089150</v>
      </c>
      <c r="C964" s="197" t="s">
        <v>2667</v>
      </c>
      <c r="D964" s="197" t="s">
        <v>2668</v>
      </c>
      <c r="E964" s="198" t="s">
        <v>944</v>
      </c>
      <c r="F964" s="198" t="s">
        <v>953</v>
      </c>
      <c r="G964" s="225" t="n">
        <v>2600900</v>
      </c>
      <c r="H964" s="225" t="n">
        <v>2913516</v>
      </c>
      <c r="I964" s="225" t="n">
        <v>3086449</v>
      </c>
      <c r="J964" s="198" t="n">
        <v>29</v>
      </c>
      <c r="K964" s="198" t="n">
        <v>4</v>
      </c>
      <c r="L964" s="226" t="n">
        <v>44790</v>
      </c>
      <c r="M964" s="226" t="n">
        <v>43424</v>
      </c>
      <c r="N964" s="227" t="n">
        <v>2</v>
      </c>
      <c r="O964" s="227" t="s">
        <v>135</v>
      </c>
      <c r="P964" s="228" t="n">
        <f aca="false">VLOOKUP(B964,'NIVEL ENERO'!A:D,3,0)</f>
        <v>0.272540274520358</v>
      </c>
      <c r="Q964" s="229" t="n">
        <f aca="false">VLOOKUP(B964,'NIVEL ENERO'!A:D,4,0)</f>
        <v>383528</v>
      </c>
      <c r="R964" s="186" t="str">
        <f aca="false">+PROPER(C964&amp;" "&amp;D964)</f>
        <v>Salinas Rengifo Norma Alexandra</v>
      </c>
      <c r="S964" s="230" t="n">
        <f aca="false">+YEARFRAC(L964,$S$1)</f>
        <v>3.73611111111111</v>
      </c>
      <c r="T964" s="230" t="n">
        <f aca="false">+YEARFRAC(M964,$S$1)</f>
        <v>7.47777777777778</v>
      </c>
      <c r="U964" s="231" t="n">
        <f aca="false">+$I964</f>
        <v>3086449</v>
      </c>
      <c r="V964" s="232" t="str">
        <f aca="false">+PROPER(F964)</f>
        <v>Soltero(A)</v>
      </c>
    </row>
    <row r="965" customFormat="false" ht="14.25" hidden="false" customHeight="false" outlineLevel="0" collapsed="false">
      <c r="B965" s="197" t="n">
        <v>1107090337</v>
      </c>
      <c r="C965" s="197" t="s">
        <v>2669</v>
      </c>
      <c r="D965" s="197" t="s">
        <v>2670</v>
      </c>
      <c r="E965" s="198" t="s">
        <v>944</v>
      </c>
      <c r="F965" s="198" t="s">
        <v>953</v>
      </c>
      <c r="G965" s="225" t="n">
        <v>2600900</v>
      </c>
      <c r="H965" s="225" t="n">
        <v>3324926</v>
      </c>
      <c r="I965" s="225" t="n">
        <v>6988087</v>
      </c>
      <c r="J965" s="198" t="n">
        <v>29</v>
      </c>
      <c r="K965" s="198" t="n">
        <v>2</v>
      </c>
      <c r="L965" s="226" t="n">
        <v>43753</v>
      </c>
      <c r="M965" s="226" t="n">
        <v>43723</v>
      </c>
      <c r="N965" s="227" t="n">
        <v>3</v>
      </c>
      <c r="O965" s="227" t="s">
        <v>135</v>
      </c>
      <c r="P965" s="228" t="n">
        <f aca="false">VLOOKUP(B965,'NIVEL ENERO'!A:D,3,0)</f>
        <v>0.345661117305548</v>
      </c>
      <c r="Q965" s="229" t="n">
        <f aca="false">VLOOKUP(B965,'NIVEL ENERO'!A:D,4,0)</f>
        <v>193348</v>
      </c>
      <c r="R965" s="186" t="str">
        <f aca="false">+PROPER(C965&amp;" "&amp;D965)</f>
        <v>Vidal Castaneda Liceth Adriana</v>
      </c>
      <c r="S965" s="230" t="n">
        <f aca="false">+YEARFRAC(L965,$S$1)</f>
        <v>6.575</v>
      </c>
      <c r="T965" s="230" t="n">
        <f aca="false">+YEARFRAC(M965,$S$1)</f>
        <v>6.65833333333333</v>
      </c>
      <c r="U965" s="231" t="n">
        <f aca="false">+$I965</f>
        <v>6988087</v>
      </c>
      <c r="V965" s="232" t="str">
        <f aca="false">+PROPER(F965)</f>
        <v>Soltero(A)</v>
      </c>
    </row>
    <row r="966" customFormat="false" ht="14.25" hidden="false" customHeight="false" outlineLevel="0" collapsed="false">
      <c r="B966" s="197" t="n">
        <v>1107092398</v>
      </c>
      <c r="C966" s="197" t="s">
        <v>2671</v>
      </c>
      <c r="D966" s="197" t="s">
        <v>2672</v>
      </c>
      <c r="E966" s="198" t="s">
        <v>944</v>
      </c>
      <c r="F966" s="198" t="s">
        <v>948</v>
      </c>
      <c r="G966" s="225" t="n">
        <v>2600900</v>
      </c>
      <c r="H966" s="225" t="n">
        <v>3074239</v>
      </c>
      <c r="I966" s="225" t="n">
        <v>0</v>
      </c>
      <c r="J966" s="198" t="n">
        <v>29</v>
      </c>
      <c r="K966" s="198" t="n">
        <v>2</v>
      </c>
      <c r="L966" s="226" t="n">
        <v>44091</v>
      </c>
      <c r="M966" s="226" t="n">
        <v>41988</v>
      </c>
      <c r="N966" s="227" t="n">
        <v>2</v>
      </c>
      <c r="O966" s="227" t="s">
        <v>135</v>
      </c>
      <c r="P966" s="228" t="n">
        <f aca="false">VLOOKUP(B966,'NIVEL ENERO'!A:D,3,0)</f>
        <v>0.122865033686234</v>
      </c>
      <c r="Q966" s="229" t="n">
        <f aca="false">VLOOKUP(B966,'NIVEL ENERO'!A:D,4,0)</f>
        <v>786538.64</v>
      </c>
      <c r="R966" s="186" t="str">
        <f aca="false">+PROPER(C966&amp;" "&amp;D966)</f>
        <v>Bernal Eraso Maira Alejandra</v>
      </c>
      <c r="S966" s="230" t="n">
        <f aca="false">+YEARFRAC(L966,$S$1)</f>
        <v>5.65277777777778</v>
      </c>
      <c r="T966" s="230" t="n">
        <f aca="false">+YEARFRAC(M966,$S$1)</f>
        <v>11.4083333333333</v>
      </c>
      <c r="U966" s="231" t="n">
        <f aca="false">+$I966</f>
        <v>0</v>
      </c>
      <c r="V966" s="232" t="str">
        <f aca="false">+PROPER(F966)</f>
        <v>Casado(A)</v>
      </c>
    </row>
    <row r="967" customFormat="false" ht="14.25" hidden="false" customHeight="false" outlineLevel="0" collapsed="false">
      <c r="B967" s="197" t="n">
        <v>1107093208</v>
      </c>
      <c r="C967" s="197" t="s">
        <v>2673</v>
      </c>
      <c r="D967" s="197" t="s">
        <v>1328</v>
      </c>
      <c r="E967" s="198" t="s">
        <v>944</v>
      </c>
      <c r="F967" s="198" t="s">
        <v>953</v>
      </c>
      <c r="G967" s="225" t="n">
        <v>3489600</v>
      </c>
      <c r="H967" s="225" t="n">
        <v>600000</v>
      </c>
      <c r="I967" s="225"/>
      <c r="J967" s="198" t="n">
        <v>29</v>
      </c>
      <c r="K967" s="198" t="n">
        <v>1</v>
      </c>
      <c r="L967" s="226" t="n">
        <v>45414</v>
      </c>
      <c r="M967" s="226" t="n">
        <v>45384</v>
      </c>
      <c r="N967" s="227" t="n">
        <v>0</v>
      </c>
      <c r="O967" s="227" t="s">
        <v>135</v>
      </c>
      <c r="P967" s="228" t="n">
        <f aca="false">VLOOKUP(B967,'NIVEL ENERO'!A:D,3,0)</f>
        <v>0.11218621045392</v>
      </c>
      <c r="Q967" s="229" t="n">
        <f aca="false">VLOOKUP(B967,'NIVEL ENERO'!A:D,4,0)</f>
        <v>1074147</v>
      </c>
      <c r="R967" s="186" t="str">
        <f aca="false">+PROPER(C967&amp;" "&amp;D967)</f>
        <v>Galvis Catano Lina Marcela</v>
      </c>
      <c r="S967" s="230" t="n">
        <f aca="false">+YEARFRAC(L967,$S$1)</f>
        <v>2.02777777777778</v>
      </c>
      <c r="T967" s="230" t="n">
        <f aca="false">+YEARFRAC(M967,$S$1)</f>
        <v>2.11111111111111</v>
      </c>
      <c r="U967" s="231" t="n">
        <f aca="false">+$I967</f>
        <v>0</v>
      </c>
      <c r="V967" s="232" t="str">
        <f aca="false">+PROPER(F967)</f>
        <v>Soltero(A)</v>
      </c>
    </row>
    <row r="968" customFormat="false" ht="14.25" hidden="false" customHeight="false" outlineLevel="0" collapsed="false">
      <c r="B968" s="197" t="n">
        <v>1107094442</v>
      </c>
      <c r="C968" s="197" t="s">
        <v>2674</v>
      </c>
      <c r="D968" s="197" t="s">
        <v>2675</v>
      </c>
      <c r="E968" s="198" t="s">
        <v>944</v>
      </c>
      <c r="F968" s="198" t="s">
        <v>953</v>
      </c>
      <c r="G968" s="225" t="n">
        <v>2893800</v>
      </c>
      <c r="H968" s="225" t="n">
        <v>7426499</v>
      </c>
      <c r="I968" s="225" t="n">
        <v>0</v>
      </c>
      <c r="J968" s="198" t="n">
        <v>28</v>
      </c>
      <c r="K968" s="198" t="n">
        <v>2</v>
      </c>
      <c r="L968" s="226" t="n">
        <v>43753</v>
      </c>
      <c r="M968" s="226" t="n">
        <v>42887</v>
      </c>
      <c r="N968" s="227" t="n">
        <v>1</v>
      </c>
      <c r="O968" s="227" t="s">
        <v>135</v>
      </c>
      <c r="P968" s="228" t="n">
        <f aca="false">VLOOKUP(B968,'NIVEL ENERO'!A:D,3,0)</f>
        <v>0.141724030686295</v>
      </c>
      <c r="Q968" s="229" t="n">
        <f aca="false">VLOOKUP(B968,'NIVEL ENERO'!A:D,4,0)</f>
        <v>805275</v>
      </c>
      <c r="R968" s="186" t="str">
        <f aca="false">+PROPER(C968&amp;" "&amp;D968)</f>
        <v>Fernandez Macias Johan Camilo</v>
      </c>
      <c r="S968" s="230" t="n">
        <f aca="false">+YEARFRAC(L968,$S$1)</f>
        <v>6.575</v>
      </c>
      <c r="T968" s="230" t="n">
        <f aca="false">+YEARFRAC(M968,$S$1)</f>
        <v>8.94722222222222</v>
      </c>
      <c r="U968" s="231" t="n">
        <f aca="false">+$I968</f>
        <v>0</v>
      </c>
      <c r="V968" s="232" t="str">
        <f aca="false">+PROPER(F968)</f>
        <v>Soltero(A)</v>
      </c>
    </row>
    <row r="969" customFormat="false" ht="14.25" hidden="false" customHeight="false" outlineLevel="0" collapsed="false">
      <c r="B969" s="197" t="n">
        <v>1107094549</v>
      </c>
      <c r="C969" s="197" t="s">
        <v>2676</v>
      </c>
      <c r="D969" s="197" t="s">
        <v>1355</v>
      </c>
      <c r="E969" s="198" t="s">
        <v>944</v>
      </c>
      <c r="F969" s="198" t="s">
        <v>953</v>
      </c>
      <c r="G969" s="225" t="n">
        <v>1857800</v>
      </c>
      <c r="H969" s="225" t="n">
        <v>0</v>
      </c>
      <c r="I969" s="225" t="n">
        <v>1761420</v>
      </c>
      <c r="J969" s="198" t="n">
        <v>28</v>
      </c>
      <c r="K969" s="198" t="n">
        <v>2</v>
      </c>
      <c r="L969" s="226" t="n">
        <v>44838</v>
      </c>
      <c r="M969" s="226" t="n">
        <v>44669</v>
      </c>
      <c r="N969" s="227" t="n">
        <v>3</v>
      </c>
      <c r="O969" s="227" t="s">
        <v>135</v>
      </c>
      <c r="P969" s="228" t="e">
        <f aca="false">VLOOKUP(B969,'NIVEL ENERO'!A:D,3,0)</f>
        <v>#N/A</v>
      </c>
      <c r="Q969" s="229" t="e">
        <f aca="false">VLOOKUP(B969,'NIVEL ENERO'!A:D,4,0)</f>
        <v>#N/A</v>
      </c>
      <c r="R969" s="186" t="str">
        <f aca="false">+PROPER(C969&amp;" "&amp;D969)</f>
        <v>Ortiz Cordoba Angelica Maria</v>
      </c>
      <c r="S969" s="230" t="n">
        <f aca="false">+YEARFRAC(L969,$S$1)</f>
        <v>3.60555555555556</v>
      </c>
      <c r="T969" s="230" t="n">
        <f aca="false">+YEARFRAC(M969,$S$1)</f>
        <v>4.06666666666667</v>
      </c>
      <c r="U969" s="231" t="n">
        <f aca="false">+$I969</f>
        <v>1761420</v>
      </c>
      <c r="V969" s="232" t="str">
        <f aca="false">+PROPER(F969)</f>
        <v>Soltero(A)</v>
      </c>
    </row>
    <row r="970" customFormat="false" ht="14.25" hidden="false" customHeight="false" outlineLevel="0" collapsed="false">
      <c r="B970" s="197" t="n">
        <v>1107095074</v>
      </c>
      <c r="C970" s="197" t="s">
        <v>2677</v>
      </c>
      <c r="D970" s="197" t="s">
        <v>2678</v>
      </c>
      <c r="E970" s="198" t="s">
        <v>944</v>
      </c>
      <c r="F970" s="198" t="s">
        <v>953</v>
      </c>
      <c r="G970" s="225" t="n">
        <v>2600900</v>
      </c>
      <c r="H970" s="225" t="n">
        <v>2708720</v>
      </c>
      <c r="I970" s="225" t="n">
        <v>2621745</v>
      </c>
      <c r="J970" s="198" t="n">
        <v>28</v>
      </c>
      <c r="K970" s="198" t="n">
        <v>1</v>
      </c>
      <c r="L970" s="226" t="n">
        <v>44846</v>
      </c>
      <c r="M970" s="226" t="n">
        <v>42709</v>
      </c>
      <c r="N970" s="227" t="n">
        <v>2</v>
      </c>
      <c r="O970" s="227" t="s">
        <v>135</v>
      </c>
      <c r="P970" s="228" t="n">
        <f aca="false">VLOOKUP(B970,'NIVEL ENERO'!A:D,3,0)</f>
        <v>0.210001657104994</v>
      </c>
      <c r="Q970" s="229" t="n">
        <f aca="false">VLOOKUP(B970,'NIVEL ENERO'!A:D,4,0)</f>
        <v>605750.44</v>
      </c>
      <c r="R970" s="186" t="str">
        <f aca="false">+PROPER(C970&amp;" "&amp;D970)</f>
        <v>Moreno Brito Valeria</v>
      </c>
      <c r="S970" s="230" t="n">
        <f aca="false">+YEARFRAC(L970,$S$1)</f>
        <v>3.58333333333333</v>
      </c>
      <c r="T970" s="230" t="n">
        <f aca="false">+YEARFRAC(M970,$S$1)</f>
        <v>9.43611111111111</v>
      </c>
      <c r="U970" s="231" t="n">
        <f aca="false">+$I970</f>
        <v>2621745</v>
      </c>
      <c r="V970" s="232" t="str">
        <f aca="false">+PROPER(F970)</f>
        <v>Soltero(A)</v>
      </c>
    </row>
    <row r="971" customFormat="false" ht="14.25" hidden="false" customHeight="false" outlineLevel="0" collapsed="false">
      <c r="B971" s="197" t="n">
        <v>1107096171</v>
      </c>
      <c r="C971" s="197" t="s">
        <v>2679</v>
      </c>
      <c r="D971" s="197" t="s">
        <v>1328</v>
      </c>
      <c r="E971" s="198" t="s">
        <v>944</v>
      </c>
      <c r="F971" s="198" t="s">
        <v>945</v>
      </c>
      <c r="G971" s="225" t="n">
        <v>2600900</v>
      </c>
      <c r="H971" s="225" t="n">
        <v>1557164</v>
      </c>
      <c r="I971" s="225" t="n">
        <v>1037785</v>
      </c>
      <c r="J971" s="198" t="n">
        <v>28</v>
      </c>
      <c r="K971" s="198" t="n">
        <v>2</v>
      </c>
      <c r="L971" s="226" t="n">
        <v>44882</v>
      </c>
      <c r="M971" s="226" t="n">
        <v>44355</v>
      </c>
      <c r="N971" s="227" t="n">
        <v>0</v>
      </c>
      <c r="O971" s="227" t="s">
        <v>135</v>
      </c>
      <c r="P971" s="228" t="n">
        <f aca="false">VLOOKUP(B971,'NIVEL ENERO'!A:D,3,0)</f>
        <v>0.152134527663331</v>
      </c>
      <c r="Q971" s="229" t="n">
        <f aca="false">VLOOKUP(B971,'NIVEL ENERO'!A:D,4,0)</f>
        <v>932051.84</v>
      </c>
      <c r="R971" s="186" t="str">
        <f aca="false">+PROPER(C971&amp;" "&amp;D971)</f>
        <v>Perdomo Chilito Lina Marcela</v>
      </c>
      <c r="S971" s="230" t="n">
        <f aca="false">+YEARFRAC(L971,$S$1)</f>
        <v>3.48611111111111</v>
      </c>
      <c r="T971" s="230" t="n">
        <f aca="false">+YEARFRAC(M971,$S$1)</f>
        <v>4.92777777777778</v>
      </c>
      <c r="U971" s="231" t="n">
        <f aca="false">+$I971</f>
        <v>1037785</v>
      </c>
      <c r="V971" s="232" t="str">
        <f aca="false">+PROPER(F971)</f>
        <v>Union Libre</v>
      </c>
    </row>
    <row r="972" customFormat="false" ht="14.25" hidden="false" customHeight="false" outlineLevel="0" collapsed="false">
      <c r="B972" s="197" t="n">
        <v>1107096680</v>
      </c>
      <c r="C972" s="197" t="s">
        <v>2680</v>
      </c>
      <c r="D972" s="197" t="s">
        <v>2681</v>
      </c>
      <c r="E972" s="198" t="s">
        <v>944</v>
      </c>
      <c r="F972" s="198" t="s">
        <v>953</v>
      </c>
      <c r="G972" s="225" t="n">
        <v>1670000</v>
      </c>
      <c r="H972" s="225" t="n">
        <v>3911558</v>
      </c>
      <c r="I972" s="225" t="n">
        <v>4265459</v>
      </c>
      <c r="J972" s="198" t="n">
        <v>28</v>
      </c>
      <c r="K972" s="198" t="n">
        <v>1</v>
      </c>
      <c r="L972" s="226" t="n">
        <v>44868</v>
      </c>
      <c r="M972" s="226" t="n">
        <v>43467</v>
      </c>
      <c r="N972" s="227" t="n">
        <v>0</v>
      </c>
      <c r="O972" s="227" t="s">
        <v>135</v>
      </c>
      <c r="P972" s="228" t="n">
        <f aca="false">VLOOKUP(B972,'NIVEL ENERO'!A:D,3,0)</f>
        <v>0.473366910179641</v>
      </c>
      <c r="Q972" s="229" t="n">
        <f aca="false">VLOOKUP(B972,'NIVEL ENERO'!A:D,4,0)</f>
        <v>-212197</v>
      </c>
      <c r="R972" s="186" t="str">
        <f aca="false">+PROPER(C972&amp;" "&amp;D972)</f>
        <v>Rojas Hoyos Juan David</v>
      </c>
      <c r="S972" s="230" t="n">
        <f aca="false">+YEARFRAC(L972,$S$1)</f>
        <v>3.525</v>
      </c>
      <c r="T972" s="230" t="n">
        <f aca="false">+YEARFRAC(M972,$S$1)</f>
        <v>7.36111111111111</v>
      </c>
      <c r="U972" s="231" t="n">
        <f aca="false">+$I972</f>
        <v>4265459</v>
      </c>
      <c r="V972" s="232" t="str">
        <f aca="false">+PROPER(F972)</f>
        <v>Soltero(A)</v>
      </c>
    </row>
    <row r="973" customFormat="false" ht="14.25" hidden="false" customHeight="false" outlineLevel="0" collapsed="false">
      <c r="B973" s="197" t="n">
        <v>1107097817</v>
      </c>
      <c r="C973" s="197" t="s">
        <v>2682</v>
      </c>
      <c r="D973" s="197" t="s">
        <v>2683</v>
      </c>
      <c r="E973" s="198" t="s">
        <v>944</v>
      </c>
      <c r="F973" s="198" t="s">
        <v>953</v>
      </c>
      <c r="G973" s="225" t="n">
        <v>1828100</v>
      </c>
      <c r="H973" s="225" t="n">
        <v>1196096</v>
      </c>
      <c r="I973" s="225" t="n">
        <v>0</v>
      </c>
      <c r="J973" s="198" t="n">
        <v>28</v>
      </c>
      <c r="K973" s="198" t="n">
        <v>2</v>
      </c>
      <c r="L973" s="226" t="n">
        <v>45098</v>
      </c>
      <c r="M973" s="226" t="n">
        <v>44683</v>
      </c>
      <c r="N973" s="227" t="n">
        <v>0</v>
      </c>
      <c r="O973" s="227" t="s">
        <v>135</v>
      </c>
      <c r="P973" s="228" t="n">
        <f aca="false">VLOOKUP(B973,'NIVEL ENERO'!A:D,3,0)</f>
        <v>0.354269689841912</v>
      </c>
      <c r="Q973" s="229" t="n">
        <f aca="false">VLOOKUP(B973,'NIVEL ENERO'!A:D,4,0)</f>
        <v>286099</v>
      </c>
      <c r="R973" s="186" t="str">
        <f aca="false">+PROPER(C973&amp;" "&amp;D973)</f>
        <v>Moriones Garces Karen Dayanna</v>
      </c>
      <c r="S973" s="230" t="n">
        <f aca="false">+YEARFRAC(L973,$S$1)</f>
        <v>2.89166666666667</v>
      </c>
      <c r="T973" s="230" t="n">
        <f aca="false">+YEARFRAC(M973,$S$1)</f>
        <v>4.02777777777778</v>
      </c>
      <c r="U973" s="231" t="n">
        <f aca="false">+$I973</f>
        <v>0</v>
      </c>
      <c r="V973" s="232" t="str">
        <f aca="false">+PROPER(F973)</f>
        <v>Soltero(A)</v>
      </c>
    </row>
    <row r="974" customFormat="false" ht="14.25" hidden="false" customHeight="false" outlineLevel="0" collapsed="false">
      <c r="B974" s="197" t="n">
        <v>1107099090</v>
      </c>
      <c r="C974" s="197" t="s">
        <v>2684</v>
      </c>
      <c r="D974" s="197" t="s">
        <v>952</v>
      </c>
      <c r="E974" s="198" t="s">
        <v>944</v>
      </c>
      <c r="F974" s="198" t="s">
        <v>953</v>
      </c>
      <c r="G974" s="225" t="n">
        <v>2893800</v>
      </c>
      <c r="H974" s="225" t="n">
        <v>1300011</v>
      </c>
      <c r="I974" s="225"/>
      <c r="J974" s="198" t="n">
        <v>28</v>
      </c>
      <c r="K974" s="198" t="n">
        <v>4</v>
      </c>
      <c r="L974" s="226" t="n">
        <v>45249</v>
      </c>
      <c r="M974" s="226" t="n">
        <v>44806</v>
      </c>
      <c r="N974" s="227" t="n">
        <v>0</v>
      </c>
      <c r="O974" s="227" t="s">
        <v>135</v>
      </c>
      <c r="P974" s="228" t="n">
        <f aca="false">VLOOKUP(B974,'NIVEL ENERO'!A:D,3,0)</f>
        <v>0.320728750396056</v>
      </c>
      <c r="Q974" s="229" t="n">
        <f aca="false">VLOOKUP(B974,'NIVEL ENERO'!A:D,4,0)</f>
        <v>375138.64</v>
      </c>
      <c r="R974" s="186" t="str">
        <f aca="false">+PROPER(C974&amp;" "&amp;D974)</f>
        <v>Vaca Munoz Carlos Andres</v>
      </c>
      <c r="S974" s="230" t="n">
        <f aca="false">+YEARFRAC(L974,$S$1)</f>
        <v>2.48055555555556</v>
      </c>
      <c r="T974" s="230" t="n">
        <f aca="false">+YEARFRAC(M974,$S$1)</f>
        <v>3.69444444444444</v>
      </c>
      <c r="U974" s="231" t="n">
        <f aca="false">+$I974</f>
        <v>0</v>
      </c>
      <c r="V974" s="232" t="str">
        <f aca="false">+PROPER(F974)</f>
        <v>Soltero(A)</v>
      </c>
    </row>
    <row r="975" customFormat="false" ht="14.25" hidden="false" customHeight="false" outlineLevel="0" collapsed="false">
      <c r="B975" s="197" t="n">
        <v>1107099311</v>
      </c>
      <c r="C975" s="197" t="s">
        <v>2685</v>
      </c>
      <c r="D975" s="197" t="s">
        <v>1591</v>
      </c>
      <c r="E975" s="198" t="s">
        <v>944</v>
      </c>
      <c r="F975" s="198" t="s">
        <v>945</v>
      </c>
      <c r="G975" s="225" t="n">
        <v>4870200</v>
      </c>
      <c r="H975" s="225" t="n">
        <v>2809735</v>
      </c>
      <c r="I975" s="225" t="n">
        <v>4161563</v>
      </c>
      <c r="J975" s="198" t="n">
        <v>28</v>
      </c>
      <c r="K975" s="198" t="n">
        <v>4</v>
      </c>
      <c r="L975" s="226" t="n">
        <v>44827</v>
      </c>
      <c r="M975" s="226" t="n">
        <v>44622</v>
      </c>
      <c r="N975" s="227" t="n">
        <v>1</v>
      </c>
      <c r="O975" s="227" t="s">
        <v>135</v>
      </c>
      <c r="P975" s="228" t="n">
        <f aca="false">VLOOKUP(B975,'NIVEL ENERO'!A:D,3,0)</f>
        <v>0.15144825347339</v>
      </c>
      <c r="Q975" s="229" t="n">
        <f aca="false">VLOOKUP(B975,'NIVEL ENERO'!A:D,4,0)</f>
        <v>1763675.64</v>
      </c>
      <c r="R975" s="186" t="str">
        <f aca="false">+PROPER(C975&amp;" "&amp;D975)</f>
        <v>Benavides Candezano Paula Andrea</v>
      </c>
      <c r="S975" s="230" t="n">
        <f aca="false">+YEARFRAC(L975,$S$1)</f>
        <v>3.63611111111111</v>
      </c>
      <c r="T975" s="230" t="n">
        <f aca="false">+YEARFRAC(M975,$S$1)</f>
        <v>4.19444444444445</v>
      </c>
      <c r="U975" s="231" t="n">
        <f aca="false">+$I975</f>
        <v>4161563</v>
      </c>
      <c r="V975" s="232" t="str">
        <f aca="false">+PROPER(F975)</f>
        <v>Union Libre</v>
      </c>
    </row>
    <row r="976" customFormat="false" ht="14.25" hidden="false" customHeight="false" outlineLevel="0" collapsed="false">
      <c r="B976" s="197" t="n">
        <v>1107100321</v>
      </c>
      <c r="C976" s="197" t="s">
        <v>2686</v>
      </c>
      <c r="D976" s="197" t="s">
        <v>2687</v>
      </c>
      <c r="E976" s="198" t="s">
        <v>944</v>
      </c>
      <c r="F976" s="198" t="s">
        <v>953</v>
      </c>
      <c r="G976" s="225" t="n">
        <v>2893800</v>
      </c>
      <c r="H976" s="225" t="n">
        <v>1456149</v>
      </c>
      <c r="I976" s="225" t="n">
        <v>2711433</v>
      </c>
      <c r="J976" s="198" t="n">
        <v>28</v>
      </c>
      <c r="K976" s="198" t="n">
        <v>2</v>
      </c>
      <c r="L976" s="226" t="n">
        <v>44938</v>
      </c>
      <c r="M976" s="226" t="n">
        <v>44905</v>
      </c>
      <c r="N976" s="227" t="n">
        <v>3</v>
      </c>
      <c r="O976" s="227" t="s">
        <v>135</v>
      </c>
      <c r="P976" s="228" t="n">
        <f aca="false">VLOOKUP(B976,'NIVEL ENERO'!A:D,3,0)</f>
        <v>0.185111694213758</v>
      </c>
      <c r="Q976" s="229" t="n">
        <f aca="false">VLOOKUP(B976,'NIVEL ENERO'!A:D,4,0)</f>
        <v>723593</v>
      </c>
      <c r="R976" s="186" t="str">
        <f aca="false">+PROPER(C976&amp;" "&amp;D976)</f>
        <v>Narvaez Castro Ely Tatiana</v>
      </c>
      <c r="S976" s="230" t="n">
        <f aca="false">+YEARFRAC(L976,$S$1)</f>
        <v>3.33333333333333</v>
      </c>
      <c r="T976" s="230" t="n">
        <f aca="false">+YEARFRAC(M976,$S$1)</f>
        <v>3.42222222222222</v>
      </c>
      <c r="U976" s="231" t="n">
        <f aca="false">+$I976</f>
        <v>2711433</v>
      </c>
      <c r="V976" s="232" t="str">
        <f aca="false">+PROPER(F976)</f>
        <v>Soltero(A)</v>
      </c>
    </row>
    <row r="977" customFormat="false" ht="14.25" hidden="false" customHeight="false" outlineLevel="0" collapsed="false">
      <c r="B977" s="197" t="n">
        <v>1107101151</v>
      </c>
      <c r="C977" s="197" t="s">
        <v>2688</v>
      </c>
      <c r="D977" s="197" t="s">
        <v>2689</v>
      </c>
      <c r="E977" s="198" t="s">
        <v>944</v>
      </c>
      <c r="F977" s="198" t="s">
        <v>953</v>
      </c>
      <c r="G977" s="225" t="n">
        <v>2893800</v>
      </c>
      <c r="H977" s="225" t="n">
        <v>6384917</v>
      </c>
      <c r="I977" s="225" t="n">
        <v>0</v>
      </c>
      <c r="J977" s="198" t="n">
        <v>28</v>
      </c>
      <c r="K977" s="198" t="n">
        <v>1</v>
      </c>
      <c r="L977" s="226" t="n">
        <v>43693</v>
      </c>
      <c r="M977" s="226" t="n">
        <v>42783</v>
      </c>
      <c r="N977" s="227" t="n">
        <v>2</v>
      </c>
      <c r="O977" s="227" t="s">
        <v>135</v>
      </c>
      <c r="P977" s="228" t="n">
        <f aca="false">VLOOKUP(B977,'NIVEL ENERO'!A:D,3,0)</f>
        <v>0.126777580534808</v>
      </c>
      <c r="Q977" s="229" t="n">
        <f aca="false">VLOOKUP(B977,'NIVEL ENERO'!A:D,4,0)</f>
        <v>1010561.16</v>
      </c>
      <c r="R977" s="186" t="str">
        <f aca="false">+PROPER(C977&amp;" "&amp;D977)</f>
        <v>Burbano Bolanos Alexa Yurlieth</v>
      </c>
      <c r="S977" s="230" t="n">
        <f aca="false">+YEARFRAC(L977,$S$1)</f>
        <v>6.73888888888889</v>
      </c>
      <c r="T977" s="230" t="n">
        <f aca="false">+YEARFRAC(M977,$S$1)</f>
        <v>9.23611111111111</v>
      </c>
      <c r="U977" s="231" t="n">
        <f aca="false">+$I977</f>
        <v>0</v>
      </c>
      <c r="V977" s="232" t="str">
        <f aca="false">+PROPER(F977)</f>
        <v>Soltero(A)</v>
      </c>
    </row>
    <row r="978" customFormat="false" ht="14.25" hidden="false" customHeight="false" outlineLevel="0" collapsed="false">
      <c r="B978" s="197" t="n">
        <v>1107101778</v>
      </c>
      <c r="C978" s="197" t="s">
        <v>2690</v>
      </c>
      <c r="D978" s="197" t="s">
        <v>2313</v>
      </c>
      <c r="E978" s="198" t="s">
        <v>944</v>
      </c>
      <c r="F978" s="198" t="s">
        <v>953</v>
      </c>
      <c r="G978" s="225" t="n">
        <v>2648100</v>
      </c>
      <c r="H978" s="225" t="n">
        <v>4811351</v>
      </c>
      <c r="I978" s="225" t="n">
        <v>5432353</v>
      </c>
      <c r="J978" s="198" t="n">
        <v>28</v>
      </c>
      <c r="K978" s="198" t="n">
        <v>4</v>
      </c>
      <c r="L978" s="226" t="n">
        <v>44932</v>
      </c>
      <c r="M978" s="226" t="n">
        <v>43840</v>
      </c>
      <c r="N978" s="227" t="n">
        <v>0</v>
      </c>
      <c r="O978" s="227" t="s">
        <v>135</v>
      </c>
      <c r="P978" s="228" t="n">
        <f aca="false">VLOOKUP(B978,'NIVEL ENERO'!A:D,3,0)</f>
        <v>0.291496791729026</v>
      </c>
      <c r="Q978" s="229" t="n">
        <f aca="false">VLOOKUP(B978,'NIVEL ENERO'!A:D,4,0)</f>
        <v>403381.08</v>
      </c>
      <c r="R978" s="186" t="str">
        <f aca="false">+PROPER(C978&amp;" "&amp;D978)</f>
        <v>Sandoval Calero Maria Camila</v>
      </c>
      <c r="S978" s="230" t="n">
        <f aca="false">+YEARFRAC(L978,$S$1)</f>
        <v>3.35</v>
      </c>
      <c r="T978" s="230" t="n">
        <f aca="false">+YEARFRAC(M978,$S$1)</f>
        <v>6.33888888888889</v>
      </c>
      <c r="U978" s="231" t="n">
        <f aca="false">+$I978</f>
        <v>5432353</v>
      </c>
      <c r="V978" s="232" t="str">
        <f aca="false">+PROPER(F978)</f>
        <v>Soltero(A)</v>
      </c>
    </row>
    <row r="979" customFormat="false" ht="14.25" hidden="false" customHeight="false" outlineLevel="0" collapsed="false">
      <c r="B979" s="197" t="n">
        <v>1107102212</v>
      </c>
      <c r="C979" s="197" t="s">
        <v>2691</v>
      </c>
      <c r="D979" s="197" t="s">
        <v>2692</v>
      </c>
      <c r="E979" s="198" t="s">
        <v>944</v>
      </c>
      <c r="F979" s="198" t="s">
        <v>953</v>
      </c>
      <c r="G979" s="225" t="n">
        <v>2600900</v>
      </c>
      <c r="H979" s="225" t="n">
        <v>4618817</v>
      </c>
      <c r="I979" s="225" t="n">
        <v>2903496</v>
      </c>
      <c r="J979" s="198" t="n">
        <v>28</v>
      </c>
      <c r="K979" s="198" t="n">
        <v>1</v>
      </c>
      <c r="L979" s="226" t="n">
        <v>43529</v>
      </c>
      <c r="M979" s="226" t="n">
        <v>43480</v>
      </c>
      <c r="N979" s="227" t="n">
        <v>2</v>
      </c>
      <c r="O979" s="227" t="s">
        <v>135</v>
      </c>
      <c r="P979" s="228" t="n">
        <f aca="false">VLOOKUP(B979,'NIVEL ENERO'!A:D,3,0)</f>
        <v>0.450190784031972</v>
      </c>
      <c r="Q979" s="229" t="n">
        <f aca="false">VLOOKUP(B979,'NIVEL ENERO'!A:D,4,0)</f>
        <v>-95849.52</v>
      </c>
      <c r="R979" s="186" t="str">
        <f aca="false">+PROPER(C979&amp;" "&amp;D979)</f>
        <v>Morales Carabali Karol Michell</v>
      </c>
      <c r="S979" s="230" t="n">
        <f aca="false">+YEARFRAC(L979,$S$1)</f>
        <v>7.18611111111111</v>
      </c>
      <c r="T979" s="230" t="n">
        <f aca="false">+YEARFRAC(M979,$S$1)</f>
        <v>7.325</v>
      </c>
      <c r="U979" s="231" t="n">
        <f aca="false">+$I979</f>
        <v>2903496</v>
      </c>
      <c r="V979" s="232" t="str">
        <f aca="false">+PROPER(F979)</f>
        <v>Soltero(A)</v>
      </c>
    </row>
    <row r="980" customFormat="false" ht="14.25" hidden="false" customHeight="false" outlineLevel="0" collapsed="false">
      <c r="B980" s="197" t="n">
        <v>1107102260</v>
      </c>
      <c r="C980" s="197" t="s">
        <v>2693</v>
      </c>
      <c r="D980" s="197" t="s">
        <v>2694</v>
      </c>
      <c r="E980" s="198" t="s">
        <v>944</v>
      </c>
      <c r="F980" s="198" t="s">
        <v>953</v>
      </c>
      <c r="G980" s="225" t="n">
        <v>5679200</v>
      </c>
      <c r="H980" s="225" t="n">
        <v>3516840</v>
      </c>
      <c r="I980" s="225" t="n">
        <v>1503259</v>
      </c>
      <c r="J980" s="198" t="n">
        <v>28</v>
      </c>
      <c r="K980" s="198" t="n">
        <v>4</v>
      </c>
      <c r="L980" s="226" t="n">
        <v>44613</v>
      </c>
      <c r="M980" s="226" t="n">
        <v>44544</v>
      </c>
      <c r="N980" s="227" t="n">
        <v>2</v>
      </c>
      <c r="O980" s="227" t="s">
        <v>135</v>
      </c>
      <c r="P980" s="228" t="n">
        <f aca="false">VLOOKUP(B980,'NIVEL ENERO'!A:D,3,0)</f>
        <v>0.409313987885618</v>
      </c>
      <c r="Q980" s="229" t="n">
        <f aca="false">VLOOKUP(B980,'NIVEL ENERO'!A:D,4,0)</f>
        <v>60688</v>
      </c>
      <c r="R980" s="186" t="str">
        <f aca="false">+PROPER(C980&amp;" "&amp;D980)</f>
        <v>Barbosa Cardona Geraldine</v>
      </c>
      <c r="S980" s="230" t="n">
        <f aca="false">+YEARFRAC(L980,$S$1)</f>
        <v>4.225</v>
      </c>
      <c r="T980" s="230" t="n">
        <f aca="false">+YEARFRAC(M980,$S$1)</f>
        <v>4.41111111111111</v>
      </c>
      <c r="U980" s="231" t="n">
        <f aca="false">+$I980</f>
        <v>1503259</v>
      </c>
      <c r="V980" s="232" t="str">
        <f aca="false">+PROPER(F980)</f>
        <v>Soltero(A)</v>
      </c>
    </row>
    <row r="981" customFormat="false" ht="14.25" hidden="false" customHeight="false" outlineLevel="0" collapsed="false">
      <c r="B981" s="197" t="n">
        <v>1107507036</v>
      </c>
      <c r="C981" s="197" t="s">
        <v>2695</v>
      </c>
      <c r="D981" s="197" t="s">
        <v>2696</v>
      </c>
      <c r="E981" s="198" t="s">
        <v>981</v>
      </c>
      <c r="F981" s="198" t="s">
        <v>953</v>
      </c>
      <c r="G981" s="225" t="n">
        <v>2088700</v>
      </c>
      <c r="H981" s="225" t="n">
        <v>1200220</v>
      </c>
      <c r="I981" s="225" t="n">
        <v>4987310</v>
      </c>
      <c r="J981" s="198" t="n">
        <v>27</v>
      </c>
      <c r="K981" s="198" t="n">
        <v>2</v>
      </c>
      <c r="L981" s="226" t="n">
        <v>45220</v>
      </c>
      <c r="M981" s="226" t="n">
        <v>44720</v>
      </c>
      <c r="N981" s="227" t="n">
        <v>0</v>
      </c>
      <c r="O981" s="227" t="s">
        <v>135</v>
      </c>
      <c r="P981" s="228" t="n">
        <f aca="false">VLOOKUP(B981,'NIVEL ENERO'!A:D,3,0)</f>
        <v>0.177038182324712</v>
      </c>
      <c r="Q981" s="229" t="n">
        <f aca="false">VLOOKUP(B981,'NIVEL ENERO'!A:D,4,0)</f>
        <v>796233.74</v>
      </c>
      <c r="R981" s="186" t="str">
        <f aca="false">+PROPER(C981&amp;" "&amp;D981)</f>
        <v>Gaviria Erazo Sergio Enrique</v>
      </c>
      <c r="S981" s="230" t="n">
        <f aca="false">+YEARFRAC(L981,$S$1)</f>
        <v>2.55833333333333</v>
      </c>
      <c r="T981" s="230" t="n">
        <f aca="false">+YEARFRAC(M981,$S$1)</f>
        <v>3.92777777777778</v>
      </c>
      <c r="U981" s="231" t="n">
        <f aca="false">+$I981</f>
        <v>4987310</v>
      </c>
      <c r="V981" s="232" t="str">
        <f aca="false">+PROPER(F981)</f>
        <v>Soltero(A)</v>
      </c>
    </row>
    <row r="982" customFormat="false" ht="14.25" hidden="false" customHeight="false" outlineLevel="0" collapsed="false">
      <c r="B982" s="197" t="n">
        <v>1107509351</v>
      </c>
      <c r="C982" s="197" t="s">
        <v>2697</v>
      </c>
      <c r="D982" s="197" t="s">
        <v>2698</v>
      </c>
      <c r="E982" s="198" t="s">
        <v>944</v>
      </c>
      <c r="F982" s="198" t="s">
        <v>945</v>
      </c>
      <c r="G982" s="225" t="n">
        <v>2893800</v>
      </c>
      <c r="H982" s="225" t="n">
        <v>4050838</v>
      </c>
      <c r="I982" s="225" t="n">
        <v>12081911</v>
      </c>
      <c r="J982" s="198" t="n">
        <v>27</v>
      </c>
      <c r="K982" s="198" t="n">
        <v>2</v>
      </c>
      <c r="L982" s="226" t="n">
        <v>43083</v>
      </c>
      <c r="M982" s="226" t="n">
        <v>42476</v>
      </c>
      <c r="N982" s="227" t="n">
        <v>3</v>
      </c>
      <c r="O982" s="227" t="s">
        <v>135</v>
      </c>
      <c r="P982" s="228" t="n">
        <f aca="false">VLOOKUP(B982,'NIVEL ENERO'!A:D,3,0)</f>
        <v>0.267179832745871</v>
      </c>
      <c r="Q982" s="229" t="n">
        <f aca="false">VLOOKUP(B982,'NIVEL ENERO'!A:D,4,0)</f>
        <v>442231</v>
      </c>
      <c r="R982" s="186" t="str">
        <f aca="false">+PROPER(C982&amp;" "&amp;D982)</f>
        <v>Gomez Nunez Anggie Nathaly</v>
      </c>
      <c r="S982" s="230" t="n">
        <f aca="false">+YEARFRAC(L982,$S$1)</f>
        <v>8.41111111111111</v>
      </c>
      <c r="T982" s="230" t="n">
        <f aca="false">+YEARFRAC(M982,$S$1)</f>
        <v>10.0722222222222</v>
      </c>
      <c r="U982" s="231" t="n">
        <f aca="false">+$I982</f>
        <v>12081911</v>
      </c>
      <c r="V982" s="232" t="str">
        <f aca="false">+PROPER(F982)</f>
        <v>Union Libre</v>
      </c>
    </row>
    <row r="983" customFormat="false" ht="14.25" hidden="false" customHeight="false" outlineLevel="0" collapsed="false">
      <c r="B983" s="197" t="n">
        <v>1107509624</v>
      </c>
      <c r="C983" s="197" t="s">
        <v>2699</v>
      </c>
      <c r="D983" s="197" t="s">
        <v>1239</v>
      </c>
      <c r="E983" s="198" t="s">
        <v>944</v>
      </c>
      <c r="F983" s="198" t="s">
        <v>945</v>
      </c>
      <c r="G983" s="225" t="n">
        <v>2340800</v>
      </c>
      <c r="H983" s="225" t="n">
        <v>1350248</v>
      </c>
      <c r="I983" s="225" t="n">
        <v>3576436</v>
      </c>
      <c r="J983" s="198" t="n">
        <v>27</v>
      </c>
      <c r="K983" s="198" t="n">
        <v>1</v>
      </c>
      <c r="L983" s="226" t="n">
        <v>45222</v>
      </c>
      <c r="M983" s="226" t="n">
        <v>42828</v>
      </c>
      <c r="N983" s="227" t="n">
        <v>1</v>
      </c>
      <c r="O983" s="227" t="s">
        <v>135</v>
      </c>
      <c r="P983" s="228" t="str">
        <f aca="false">VLOOKUP(B983,'NIVEL ENERO'!A:D,3,0)</f>
        <v>0</v>
      </c>
      <c r="Q983" s="229" t="n">
        <f aca="false">VLOOKUP(B983,'NIVEL ENERO'!A:D,4,0)</f>
        <v>0</v>
      </c>
      <c r="R983" s="186" t="str">
        <f aca="false">+PROPER(C983&amp;" "&amp;D983)</f>
        <v>Aguirre Carmona Katherine</v>
      </c>
      <c r="S983" s="230" t="n">
        <f aca="false">+YEARFRAC(L983,$S$1)</f>
        <v>2.55277777777778</v>
      </c>
      <c r="T983" s="230" t="n">
        <f aca="false">+YEARFRAC(M983,$S$1)</f>
        <v>9.10833333333333</v>
      </c>
      <c r="U983" s="231" t="n">
        <f aca="false">+$I983</f>
        <v>3576436</v>
      </c>
      <c r="V983" s="232" t="str">
        <f aca="false">+PROPER(F983)</f>
        <v>Union Libre</v>
      </c>
    </row>
    <row r="984" customFormat="false" ht="14.25" hidden="false" customHeight="false" outlineLevel="0" collapsed="false">
      <c r="B984" s="197" t="n">
        <v>1107509818</v>
      </c>
      <c r="C984" s="197" t="s">
        <v>2700</v>
      </c>
      <c r="D984" s="197" t="s">
        <v>1661</v>
      </c>
      <c r="E984" s="198" t="s">
        <v>944</v>
      </c>
      <c r="F984" s="198" t="s">
        <v>945</v>
      </c>
      <c r="G984" s="225" t="n">
        <v>2893800</v>
      </c>
      <c r="H984" s="225" t="n">
        <v>1607671</v>
      </c>
      <c r="I984" s="225" t="n">
        <v>1140357</v>
      </c>
      <c r="J984" s="198" t="n">
        <v>27</v>
      </c>
      <c r="K984" s="198" t="n">
        <v>3</v>
      </c>
      <c r="L984" s="226" t="n">
        <v>44854</v>
      </c>
      <c r="M984" s="226" t="n">
        <v>43804</v>
      </c>
      <c r="N984" s="227" t="n">
        <v>0</v>
      </c>
      <c r="O984" s="227" t="s">
        <v>135</v>
      </c>
      <c r="P984" s="228" t="n">
        <f aca="false">VLOOKUP(B984,'NIVEL ENERO'!A:D,3,0)</f>
        <v>0.242661731819929</v>
      </c>
      <c r="Q984" s="229" t="n">
        <f aca="false">VLOOKUP(B984,'NIVEL ENERO'!A:D,4,0)</f>
        <v>692014.06</v>
      </c>
      <c r="R984" s="186" t="str">
        <f aca="false">+PROPER(C984&amp;" "&amp;D984)</f>
        <v>Zuniga Olave Maria Alejandra</v>
      </c>
      <c r="S984" s="230" t="n">
        <f aca="false">+YEARFRAC(L984,$S$1)</f>
        <v>3.56111111111111</v>
      </c>
      <c r="T984" s="230" t="n">
        <f aca="false">+YEARFRAC(M984,$S$1)</f>
        <v>6.43611111111111</v>
      </c>
      <c r="U984" s="231" t="n">
        <f aca="false">+$I984</f>
        <v>1140357</v>
      </c>
      <c r="V984" s="232" t="str">
        <f aca="false">+PROPER(F984)</f>
        <v>Union Libre</v>
      </c>
    </row>
    <row r="985" customFormat="false" ht="14.25" hidden="false" customHeight="false" outlineLevel="0" collapsed="false">
      <c r="B985" s="197" t="n">
        <v>1107509891</v>
      </c>
      <c r="C985" s="197" t="s">
        <v>2701</v>
      </c>
      <c r="D985" s="197" t="s">
        <v>2702</v>
      </c>
      <c r="E985" s="198" t="s">
        <v>944</v>
      </c>
      <c r="F985" s="198" t="s">
        <v>945</v>
      </c>
      <c r="G985" s="225" t="n">
        <v>2893800</v>
      </c>
      <c r="H985" s="225" t="n">
        <v>1000000</v>
      </c>
      <c r="I985" s="225"/>
      <c r="J985" s="198" t="n">
        <v>27</v>
      </c>
      <c r="K985" s="198" t="n">
        <v>1</v>
      </c>
      <c r="L985" s="226" t="n">
        <v>45518</v>
      </c>
      <c r="M985" s="226" t="n">
        <v>43146</v>
      </c>
      <c r="N985" s="227" t="n">
        <v>0</v>
      </c>
      <c r="O985" s="227" t="s">
        <v>135</v>
      </c>
      <c r="P985" s="228" t="n">
        <f aca="false">VLOOKUP(B985,'NIVEL ENERO'!A:D,3,0)</f>
        <v>0.197716087367657</v>
      </c>
      <c r="Q985" s="229" t="n">
        <f aca="false">VLOOKUP(B985,'NIVEL ENERO'!A:D,4,0)</f>
        <v>861529.1</v>
      </c>
      <c r="R985" s="186" t="str">
        <f aca="false">+PROPER(C985&amp;" "&amp;D985)</f>
        <v>Padilla Betancourt Carla Jimena</v>
      </c>
      <c r="S985" s="230" t="n">
        <f aca="false">+YEARFRAC(L985,$S$1)</f>
        <v>1.74444444444444</v>
      </c>
      <c r="T985" s="230" t="n">
        <f aca="false">+YEARFRAC(M985,$S$1)</f>
        <v>8.24166666666667</v>
      </c>
      <c r="U985" s="231" t="n">
        <f aca="false">+$I985</f>
        <v>0</v>
      </c>
      <c r="V985" s="232" t="str">
        <f aca="false">+PROPER(F985)</f>
        <v>Union Libre</v>
      </c>
    </row>
    <row r="986" customFormat="false" ht="14.25" hidden="false" customHeight="false" outlineLevel="0" collapsed="false">
      <c r="B986" s="197" t="n">
        <v>1107510180</v>
      </c>
      <c r="C986" s="197" t="s">
        <v>2703</v>
      </c>
      <c r="D986" s="197" t="s">
        <v>1479</v>
      </c>
      <c r="E986" s="198" t="s">
        <v>944</v>
      </c>
      <c r="F986" s="198" t="s">
        <v>953</v>
      </c>
      <c r="G986" s="225" t="n">
        <v>1991000</v>
      </c>
      <c r="H986" s="225" t="n">
        <v>2112746</v>
      </c>
      <c r="I986" s="225" t="n">
        <v>10492438</v>
      </c>
      <c r="J986" s="198" t="n">
        <v>27</v>
      </c>
      <c r="K986" s="198" t="n">
        <v>2</v>
      </c>
      <c r="L986" s="226" t="n">
        <v>44636</v>
      </c>
      <c r="M986" s="226" t="n">
        <v>44601</v>
      </c>
      <c r="N986" s="227" t="n">
        <v>2</v>
      </c>
      <c r="O986" s="227" t="s">
        <v>135</v>
      </c>
      <c r="P986" s="228" t="n">
        <f aca="false">VLOOKUP(B986,'NIVEL ENERO'!A:D,3,0)</f>
        <v>0.362709191361125</v>
      </c>
      <c r="Q986" s="229" t="n">
        <f aca="false">VLOOKUP(B986,'NIVEL ENERO'!A:D,4,0)</f>
        <v>114066</v>
      </c>
      <c r="R986" s="186" t="str">
        <f aca="false">+PROPER(C986&amp;" "&amp;D986)</f>
        <v>Castano Castillo Maria Fernanda</v>
      </c>
      <c r="S986" s="230" t="n">
        <f aca="false">+YEARFRAC(L986,$S$1)</f>
        <v>4.15555555555556</v>
      </c>
      <c r="T986" s="230" t="n">
        <f aca="false">+YEARFRAC(M986,$S$1)</f>
        <v>4.25833333333333</v>
      </c>
      <c r="U986" s="231" t="n">
        <f aca="false">+$I986</f>
        <v>10492438</v>
      </c>
      <c r="V986" s="232" t="str">
        <f aca="false">+PROPER(F986)</f>
        <v>Soltero(A)</v>
      </c>
    </row>
    <row r="987" customFormat="false" ht="14.25" hidden="false" customHeight="false" outlineLevel="0" collapsed="false">
      <c r="B987" s="197" t="n">
        <v>1107510274</v>
      </c>
      <c r="C987" s="197" t="s">
        <v>2704</v>
      </c>
      <c r="D987" s="197" t="s">
        <v>2658</v>
      </c>
      <c r="E987" s="198" t="s">
        <v>944</v>
      </c>
      <c r="F987" s="198" t="s">
        <v>953</v>
      </c>
      <c r="G987" s="225" t="n">
        <v>1828100</v>
      </c>
      <c r="H987" s="225" t="n">
        <v>715000</v>
      </c>
      <c r="I987" s="225" t="n">
        <v>0</v>
      </c>
      <c r="J987" s="198" t="n">
        <v>27</v>
      </c>
      <c r="K987" s="198" t="n">
        <v>4</v>
      </c>
      <c r="L987" s="226" t="n">
        <v>45343</v>
      </c>
      <c r="M987" s="226" t="n">
        <v>45155</v>
      </c>
      <c r="N987" s="227" t="n">
        <v>0</v>
      </c>
      <c r="O987" s="227" t="s">
        <v>135</v>
      </c>
      <c r="P987" s="228" t="n">
        <f aca="false">VLOOKUP(B987,'NIVEL ENERO'!A:D,3,0)</f>
        <v>0.348524569238584</v>
      </c>
      <c r="Q987" s="229" t="n">
        <f aca="false">VLOOKUP(B987,'NIVEL ENERO'!A:D,4,0)</f>
        <v>325308</v>
      </c>
      <c r="R987" s="186" t="str">
        <f aca="false">+PROPER(C987&amp;" "&amp;D987)</f>
        <v>Bocanegra Gonzalez Daniela</v>
      </c>
      <c r="S987" s="230" t="n">
        <f aca="false">+YEARFRAC(L987,$S$1)</f>
        <v>2.225</v>
      </c>
      <c r="T987" s="230" t="n">
        <f aca="false">+YEARFRAC(M987,$S$1)</f>
        <v>2.73611111111111</v>
      </c>
      <c r="U987" s="231" t="n">
        <f aca="false">+$I987</f>
        <v>0</v>
      </c>
      <c r="V987" s="232" t="str">
        <f aca="false">+PROPER(F987)</f>
        <v>Soltero(A)</v>
      </c>
    </row>
    <row r="988" customFormat="false" ht="14.25" hidden="false" customHeight="false" outlineLevel="0" collapsed="false">
      <c r="B988" s="197" t="n">
        <v>1107510749</v>
      </c>
      <c r="C988" s="197" t="s">
        <v>2705</v>
      </c>
      <c r="D988" s="197" t="s">
        <v>2706</v>
      </c>
      <c r="E988" s="198" t="s">
        <v>944</v>
      </c>
      <c r="F988" s="198" t="s">
        <v>953</v>
      </c>
      <c r="G988" s="225" t="n">
        <v>2255900</v>
      </c>
      <c r="H988" s="225" t="n">
        <v>2062239</v>
      </c>
      <c r="I988" s="225"/>
      <c r="J988" s="198" t="n">
        <v>27</v>
      </c>
      <c r="K988" s="198" t="n">
        <v>2</v>
      </c>
      <c r="L988" s="226" t="n">
        <v>44575</v>
      </c>
      <c r="M988" s="226" t="n">
        <v>44449</v>
      </c>
      <c r="N988" s="227" t="n">
        <v>2</v>
      </c>
      <c r="O988" s="227" t="s">
        <v>135</v>
      </c>
      <c r="P988" s="228" t="n">
        <f aca="false">VLOOKUP(B988,'NIVEL ENERO'!A:D,3,0)</f>
        <v>0.137618597629245</v>
      </c>
      <c r="Q988" s="229" t="n">
        <f aca="false">VLOOKUP(B988,'NIVEL ENERO'!A:D,4,0)</f>
        <v>668367.6</v>
      </c>
      <c r="R988" s="186" t="str">
        <f aca="false">+PROPER(C988&amp;" "&amp;D988)</f>
        <v>Galvis Garcia Erika Alejandra</v>
      </c>
      <c r="S988" s="230" t="n">
        <f aca="false">+YEARFRAC(L988,$S$1)</f>
        <v>4.32777777777778</v>
      </c>
      <c r="T988" s="230" t="n">
        <f aca="false">+YEARFRAC(M988,$S$1)</f>
        <v>4.67222222222222</v>
      </c>
      <c r="U988" s="231" t="n">
        <f aca="false">+$I988</f>
        <v>0</v>
      </c>
      <c r="V988" s="232" t="str">
        <f aca="false">+PROPER(F988)</f>
        <v>Soltero(A)</v>
      </c>
    </row>
    <row r="989" customFormat="false" ht="14.25" hidden="false" customHeight="false" outlineLevel="0" collapsed="false">
      <c r="B989" s="197" t="n">
        <v>1107513488</v>
      </c>
      <c r="C989" s="197" t="s">
        <v>2707</v>
      </c>
      <c r="D989" s="197" t="s">
        <v>2116</v>
      </c>
      <c r="E989" s="198" t="s">
        <v>944</v>
      </c>
      <c r="F989" s="198" t="s">
        <v>953</v>
      </c>
      <c r="G989" s="225" t="n">
        <v>5418800</v>
      </c>
      <c r="H989" s="225" t="n">
        <v>2200000</v>
      </c>
      <c r="I989" s="225" t="n">
        <v>2148915</v>
      </c>
      <c r="J989" s="198" t="n">
        <v>27</v>
      </c>
      <c r="K989" s="198" t="n">
        <v>1</v>
      </c>
      <c r="L989" s="226" t="n">
        <v>45344</v>
      </c>
      <c r="M989" s="226" t="n">
        <v>44335</v>
      </c>
      <c r="N989" s="227" t="n">
        <v>0</v>
      </c>
      <c r="O989" s="227" t="s">
        <v>135</v>
      </c>
      <c r="P989" s="228" t="n">
        <f aca="false">VLOOKUP(B989,'NIVEL ENERO'!A:D,3,0)</f>
        <v>0.442482723732829</v>
      </c>
      <c r="Q989" s="229" t="n">
        <f aca="false">VLOOKUP(B989,'NIVEL ENERO'!A:D,4,0)</f>
        <v>-120708.08</v>
      </c>
      <c r="R989" s="186" t="str">
        <f aca="false">+PROPER(C989&amp;" "&amp;D989)</f>
        <v>Vivas Gutierrez Diego Andres</v>
      </c>
      <c r="S989" s="230" t="n">
        <f aca="false">+YEARFRAC(L989,$S$1)</f>
        <v>2.22222222222222</v>
      </c>
      <c r="T989" s="230" t="n">
        <f aca="false">+YEARFRAC(M989,$S$1)</f>
        <v>4.98055555555556</v>
      </c>
      <c r="U989" s="231" t="n">
        <f aca="false">+$I989</f>
        <v>2148915</v>
      </c>
      <c r="V989" s="232" t="str">
        <f aca="false">+PROPER(F989)</f>
        <v>Soltero(A)</v>
      </c>
    </row>
    <row r="990" customFormat="false" ht="14.25" hidden="false" customHeight="false" outlineLevel="0" collapsed="false">
      <c r="B990" s="197" t="n">
        <v>1107513864</v>
      </c>
      <c r="C990" s="197" t="s">
        <v>2708</v>
      </c>
      <c r="D990" s="197" t="s">
        <v>2709</v>
      </c>
      <c r="E990" s="198" t="s">
        <v>944</v>
      </c>
      <c r="F990" s="198" t="s">
        <v>945</v>
      </c>
      <c r="G990" s="225" t="n">
        <v>4469100</v>
      </c>
      <c r="H990" s="225" t="n">
        <v>1256457</v>
      </c>
      <c r="I990" s="225" t="n">
        <v>0</v>
      </c>
      <c r="J990" s="198" t="n">
        <v>27</v>
      </c>
      <c r="K990" s="198" t="n">
        <v>2</v>
      </c>
      <c r="L990" s="226" t="n">
        <v>45064</v>
      </c>
      <c r="M990" s="226" t="n">
        <v>44942</v>
      </c>
      <c r="N990" s="227" t="n">
        <v>0</v>
      </c>
      <c r="O990" s="227" t="s">
        <v>135</v>
      </c>
      <c r="P990" s="228" t="n">
        <f aca="false">VLOOKUP(B990,'NIVEL ENERO'!A:D,3,0)</f>
        <v>0.195294294288796</v>
      </c>
      <c r="Q990" s="229" t="n">
        <f aca="false">VLOOKUP(B990,'NIVEL ENERO'!A:D,4,0)</f>
        <v>1022667.5</v>
      </c>
      <c r="R990" s="186" t="str">
        <f aca="false">+PROPER(C990&amp;" "&amp;D990)</f>
        <v>Riascos Satizabal Melissa</v>
      </c>
      <c r="S990" s="230" t="n">
        <f aca="false">+YEARFRAC(L990,$S$1)</f>
        <v>2.98333333333333</v>
      </c>
      <c r="T990" s="230" t="n">
        <f aca="false">+YEARFRAC(M990,$S$1)</f>
        <v>3.32222222222222</v>
      </c>
      <c r="U990" s="231" t="n">
        <f aca="false">+$I990</f>
        <v>0</v>
      </c>
      <c r="V990" s="232" t="str">
        <f aca="false">+PROPER(F990)</f>
        <v>Union Libre</v>
      </c>
    </row>
    <row r="991" customFormat="false" ht="14.25" hidden="false" customHeight="false" outlineLevel="0" collapsed="false">
      <c r="B991" s="197" t="n">
        <v>1107514466</v>
      </c>
      <c r="C991" s="197" t="s">
        <v>2710</v>
      </c>
      <c r="D991" s="197" t="s">
        <v>2252</v>
      </c>
      <c r="E991" s="198" t="s">
        <v>944</v>
      </c>
      <c r="F991" s="198" t="s">
        <v>953</v>
      </c>
      <c r="G991" s="225" t="n">
        <v>2893800</v>
      </c>
      <c r="H991" s="225" t="n">
        <v>6668416</v>
      </c>
      <c r="I991" s="225" t="n">
        <v>6055095</v>
      </c>
      <c r="J991" s="198" t="n">
        <v>27</v>
      </c>
      <c r="K991" s="198" t="n">
        <v>2</v>
      </c>
      <c r="L991" s="226" t="n">
        <v>43117</v>
      </c>
      <c r="M991" s="226" t="n">
        <v>42772</v>
      </c>
      <c r="N991" s="227" t="n">
        <v>5</v>
      </c>
      <c r="O991" s="227" t="s">
        <v>135</v>
      </c>
      <c r="P991" s="228" t="n">
        <f aca="false">VLOOKUP(B991,'NIVEL ENERO'!A:D,3,0)</f>
        <v>0.198214987416147</v>
      </c>
      <c r="Q991" s="229" t="n">
        <f aca="false">VLOOKUP(B991,'NIVEL ENERO'!A:D,4,0)</f>
        <v>884988.44</v>
      </c>
      <c r="R991" s="186" t="str">
        <f aca="false">+PROPER(C991&amp;" "&amp;D991)</f>
        <v>Bejarano Balanta Natalia</v>
      </c>
      <c r="S991" s="230" t="n">
        <f aca="false">+YEARFRAC(L991,$S$1)</f>
        <v>8.31944444444445</v>
      </c>
      <c r="T991" s="230" t="n">
        <f aca="false">+YEARFRAC(M991,$S$1)</f>
        <v>9.26666666666667</v>
      </c>
      <c r="U991" s="231" t="n">
        <f aca="false">+$I991</f>
        <v>6055095</v>
      </c>
      <c r="V991" s="232" t="str">
        <f aca="false">+PROPER(F991)</f>
        <v>Soltero(A)</v>
      </c>
    </row>
    <row r="992" customFormat="false" ht="14.25" hidden="false" customHeight="false" outlineLevel="0" collapsed="false">
      <c r="B992" s="197" t="n">
        <v>1107516779</v>
      </c>
      <c r="C992" s="197" t="s">
        <v>2711</v>
      </c>
      <c r="D992" s="197" t="s">
        <v>2712</v>
      </c>
      <c r="E992" s="198" t="s">
        <v>944</v>
      </c>
      <c r="F992" s="198" t="s">
        <v>953</v>
      </c>
      <c r="G992" s="225" t="n">
        <v>1918500</v>
      </c>
      <c r="H992" s="225" t="n">
        <v>770000</v>
      </c>
      <c r="I992" s="225" t="n">
        <v>1869179</v>
      </c>
      <c r="J992" s="198" t="n">
        <v>26</v>
      </c>
      <c r="K992" s="198" t="n">
        <v>2</v>
      </c>
      <c r="L992" s="226" t="n">
        <v>45342</v>
      </c>
      <c r="M992" s="226" t="n">
        <v>44146</v>
      </c>
      <c r="N992" s="227" t="n">
        <v>0</v>
      </c>
      <c r="O992" s="227" t="s">
        <v>135</v>
      </c>
      <c r="P992" s="228" t="n">
        <f aca="false">VLOOKUP(B992,'NIVEL ENERO'!A:D,3,0)</f>
        <v>0.457759280688038</v>
      </c>
      <c r="Q992" s="229" t="n">
        <f aca="false">VLOOKUP(B992,'NIVEL ENERO'!A:D,4,0)</f>
        <v>-172479</v>
      </c>
      <c r="R992" s="186" t="str">
        <f aca="false">+PROPER(C992&amp;" "&amp;D992)</f>
        <v>Jimenez Timana Brayan Alejandro</v>
      </c>
      <c r="S992" s="230" t="n">
        <f aca="false">+YEARFRAC(L992,$S$1)</f>
        <v>2.22777777777778</v>
      </c>
      <c r="T992" s="230" t="n">
        <f aca="false">+YEARFRAC(M992,$S$1)</f>
        <v>5.50277777777778</v>
      </c>
      <c r="U992" s="231" t="n">
        <f aca="false">+$I992</f>
        <v>1869179</v>
      </c>
      <c r="V992" s="232" t="str">
        <f aca="false">+PROPER(F992)</f>
        <v>Soltero(A)</v>
      </c>
    </row>
    <row r="993" customFormat="false" ht="14.25" hidden="false" customHeight="false" outlineLevel="0" collapsed="false">
      <c r="B993" s="197" t="n">
        <v>1107519632</v>
      </c>
      <c r="C993" s="197" t="s">
        <v>2713</v>
      </c>
      <c r="D993" s="197" t="s">
        <v>2313</v>
      </c>
      <c r="E993" s="198" t="s">
        <v>944</v>
      </c>
      <c r="F993" s="198" t="s">
        <v>953</v>
      </c>
      <c r="G993" s="225" t="n">
        <v>1625000</v>
      </c>
      <c r="H993" s="225" t="n">
        <v>500000</v>
      </c>
      <c r="I993" s="225" t="n">
        <v>559407</v>
      </c>
      <c r="J993" s="198" t="n">
        <v>26</v>
      </c>
      <c r="K993" s="198" t="n">
        <v>2</v>
      </c>
      <c r="L993" s="226" t="n">
        <v>45519</v>
      </c>
      <c r="M993" s="226" t="n">
        <v>45372</v>
      </c>
      <c r="N993" s="227" t="n">
        <v>0</v>
      </c>
      <c r="O993" s="227" t="s">
        <v>135</v>
      </c>
      <c r="P993" s="228" t="n">
        <f aca="false">VLOOKUP(B993,'NIVEL ENERO'!A:D,3,0)</f>
        <v>0.359028348802829</v>
      </c>
      <c r="Q993" s="229" t="n">
        <f aca="false">VLOOKUP(B993,'NIVEL ENERO'!A:D,4,0)</f>
        <v>278980</v>
      </c>
      <c r="R993" s="186" t="str">
        <f aca="false">+PROPER(C993&amp;" "&amp;D993)</f>
        <v>Pino Munoz Maria Camila</v>
      </c>
      <c r="S993" s="230" t="n">
        <f aca="false">+YEARFRAC(L993,$S$1)</f>
        <v>1.74166666666667</v>
      </c>
      <c r="T993" s="230" t="n">
        <f aca="false">+YEARFRAC(M993,$S$1)</f>
        <v>2.14166666666667</v>
      </c>
      <c r="U993" s="231" t="n">
        <f aca="false">+$I993</f>
        <v>559407</v>
      </c>
      <c r="V993" s="232" t="str">
        <f aca="false">+PROPER(F993)</f>
        <v>Soltero(A)</v>
      </c>
    </row>
    <row r="994" customFormat="false" ht="14.25" hidden="false" customHeight="false" outlineLevel="0" collapsed="false">
      <c r="B994" s="197" t="n">
        <v>1107521462</v>
      </c>
      <c r="C994" s="197" t="s">
        <v>2714</v>
      </c>
      <c r="D994" s="197" t="s">
        <v>2715</v>
      </c>
      <c r="E994" s="198" t="s">
        <v>944</v>
      </c>
      <c r="F994" s="198" t="s">
        <v>945</v>
      </c>
      <c r="G994" s="225" t="n">
        <v>1625000</v>
      </c>
      <c r="H994" s="225" t="n">
        <v>1063511</v>
      </c>
      <c r="I994" s="225" t="n">
        <v>253935</v>
      </c>
      <c r="J994" s="198" t="n">
        <v>26</v>
      </c>
      <c r="K994" s="198" t="n">
        <v>2</v>
      </c>
      <c r="L994" s="226" t="n">
        <v>45153</v>
      </c>
      <c r="M994" s="226" t="n">
        <v>43899</v>
      </c>
      <c r="N994" s="227" t="n">
        <v>0</v>
      </c>
      <c r="O994" s="227" t="s">
        <v>135</v>
      </c>
      <c r="P994" s="228" t="n">
        <f aca="false">VLOOKUP(B994,'NIVEL ENERO'!A:D,3,0)</f>
        <v>0.471997336278492</v>
      </c>
      <c r="Q994" s="229" t="n">
        <f aca="false">VLOOKUP(B994,'NIVEL ENERO'!A:D,4,0)</f>
        <v>-107076.78</v>
      </c>
      <c r="R994" s="186" t="str">
        <f aca="false">+PROPER(C994&amp;" "&amp;D994)</f>
        <v>Angel Gomez Hellen Daniela</v>
      </c>
      <c r="S994" s="230" t="n">
        <f aca="false">+YEARFRAC(L994,$S$1)</f>
        <v>2.74166666666667</v>
      </c>
      <c r="T994" s="230" t="n">
        <f aca="false">+YEARFRAC(M994,$S$1)</f>
        <v>6.175</v>
      </c>
      <c r="U994" s="231" t="n">
        <f aca="false">+$I994</f>
        <v>253935</v>
      </c>
      <c r="V994" s="232" t="str">
        <f aca="false">+PROPER(F994)</f>
        <v>Union Libre</v>
      </c>
    </row>
    <row r="995" customFormat="false" ht="14.25" hidden="false" customHeight="false" outlineLevel="0" collapsed="false">
      <c r="B995" s="197" t="n">
        <v>1107522576</v>
      </c>
      <c r="C995" s="197" t="s">
        <v>2716</v>
      </c>
      <c r="D995" s="197" t="s">
        <v>2717</v>
      </c>
      <c r="E995" s="198" t="s">
        <v>944</v>
      </c>
      <c r="F995" s="198" t="s">
        <v>953</v>
      </c>
      <c r="G995" s="225" t="n">
        <v>1670000</v>
      </c>
      <c r="H995" s="225" t="n">
        <v>1708686</v>
      </c>
      <c r="I995" s="225" t="n">
        <v>2862063</v>
      </c>
      <c r="J995" s="198" t="n">
        <v>26</v>
      </c>
      <c r="K995" s="198" t="n">
        <v>2</v>
      </c>
      <c r="L995" s="226" t="n">
        <v>44789</v>
      </c>
      <c r="M995" s="226" t="n">
        <v>44613</v>
      </c>
      <c r="N995" s="227" t="n">
        <v>3</v>
      </c>
      <c r="O995" s="227" t="s">
        <v>135</v>
      </c>
      <c r="P995" s="228" t="n">
        <f aca="false">VLOOKUP(B995,'NIVEL ENERO'!A:D,3,0)</f>
        <v>0.226435647144553</v>
      </c>
      <c r="Q995" s="229" t="n">
        <f aca="false">VLOOKUP(B995,'NIVEL ENERO'!A:D,4,0)</f>
        <v>387200.26</v>
      </c>
      <c r="R995" s="186" t="str">
        <f aca="false">+PROPER(C995&amp;" "&amp;D995)</f>
        <v>Narvaez Castillo Dayana Andrea</v>
      </c>
      <c r="S995" s="230" t="n">
        <f aca="false">+YEARFRAC(L995,$S$1)</f>
        <v>3.73888888888889</v>
      </c>
      <c r="T995" s="230" t="n">
        <f aca="false">+YEARFRAC(M995,$S$1)</f>
        <v>4.225</v>
      </c>
      <c r="U995" s="231" t="n">
        <f aca="false">+$I995</f>
        <v>2862063</v>
      </c>
      <c r="V995" s="232" t="str">
        <f aca="false">+PROPER(F995)</f>
        <v>Soltero(A)</v>
      </c>
    </row>
    <row r="996" customFormat="false" ht="14.25" hidden="false" customHeight="false" outlineLevel="0" collapsed="false">
      <c r="B996" s="197" t="n">
        <v>1107523319</v>
      </c>
      <c r="C996" s="197" t="s">
        <v>2718</v>
      </c>
      <c r="D996" s="197" t="s">
        <v>2719</v>
      </c>
      <c r="E996" s="198" t="s">
        <v>944</v>
      </c>
      <c r="F996" s="198" t="s">
        <v>945</v>
      </c>
      <c r="G996" s="225" t="n">
        <v>2600900</v>
      </c>
      <c r="H996" s="225" t="n">
        <v>1557164</v>
      </c>
      <c r="I996" s="225" t="n">
        <v>5083326</v>
      </c>
      <c r="J996" s="198" t="n">
        <v>25</v>
      </c>
      <c r="K996" s="198" t="n">
        <v>2</v>
      </c>
      <c r="L996" s="226" t="n">
        <v>44875</v>
      </c>
      <c r="M996" s="226" t="n">
        <v>43264</v>
      </c>
      <c r="N996" s="227" t="n">
        <v>3</v>
      </c>
      <c r="O996" s="227" t="s">
        <v>135</v>
      </c>
      <c r="P996" s="228" t="n">
        <f aca="false">VLOOKUP(B996,'NIVEL ENERO'!A:D,3,0)</f>
        <v>0.344574570341036</v>
      </c>
      <c r="Q996" s="229" t="n">
        <f aca="false">VLOOKUP(B996,'NIVEL ENERO'!A:D,4,0)</f>
        <v>196174</v>
      </c>
      <c r="R996" s="186" t="str">
        <f aca="false">+PROPER(C996&amp;" "&amp;D996)</f>
        <v>Gonzalez Bustamante Veronica</v>
      </c>
      <c r="S996" s="230" t="n">
        <f aca="false">+YEARFRAC(L996,$S$1)</f>
        <v>3.50555555555556</v>
      </c>
      <c r="T996" s="230" t="n">
        <f aca="false">+YEARFRAC(M996,$S$1)</f>
        <v>7.91388888888889</v>
      </c>
      <c r="U996" s="231" t="n">
        <f aca="false">+$I996</f>
        <v>5083326</v>
      </c>
      <c r="V996" s="232" t="str">
        <f aca="false">+PROPER(F996)</f>
        <v>Union Libre</v>
      </c>
    </row>
    <row r="997" customFormat="false" ht="14.25" hidden="false" customHeight="false" outlineLevel="0" collapsed="false">
      <c r="B997" s="197" t="n">
        <v>1107523849</v>
      </c>
      <c r="C997" s="197" t="s">
        <v>2720</v>
      </c>
      <c r="D997" s="197" t="s">
        <v>2709</v>
      </c>
      <c r="E997" s="198" t="s">
        <v>944</v>
      </c>
      <c r="F997" s="198" t="s">
        <v>953</v>
      </c>
      <c r="G997" s="225" t="n">
        <v>2893800</v>
      </c>
      <c r="H997" s="225" t="n">
        <v>800000</v>
      </c>
      <c r="I997" s="225" t="n">
        <v>882158</v>
      </c>
      <c r="J997" s="198" t="n">
        <v>25</v>
      </c>
      <c r="K997" s="198" t="n">
        <v>4</v>
      </c>
      <c r="L997" s="226" t="n">
        <v>45414</v>
      </c>
      <c r="M997" s="226" t="n">
        <v>44280</v>
      </c>
      <c r="N997" s="227" t="n">
        <v>0</v>
      </c>
      <c r="O997" s="227" t="s">
        <v>135</v>
      </c>
      <c r="P997" s="228" t="n">
        <f aca="false">VLOOKUP(B997,'NIVEL ENERO'!A:D,3,0)</f>
        <v>0.392935218156839</v>
      </c>
      <c r="Q997" s="229" t="n">
        <f aca="false">VLOOKUP(B997,'NIVEL ENERO'!A:D,4,0)</f>
        <v>109689.88</v>
      </c>
      <c r="R997" s="186" t="str">
        <f aca="false">+PROPER(C997&amp;" "&amp;D997)</f>
        <v>Soliz Ortiz Melissa</v>
      </c>
      <c r="S997" s="230" t="n">
        <f aca="false">+YEARFRAC(L997,$S$1)</f>
        <v>2.02777777777778</v>
      </c>
      <c r="T997" s="230" t="n">
        <f aca="false">+YEARFRAC(M997,$S$1)</f>
        <v>5.13055555555556</v>
      </c>
      <c r="U997" s="231" t="n">
        <f aca="false">+$I997</f>
        <v>882158</v>
      </c>
      <c r="V997" s="232" t="str">
        <f aca="false">+PROPER(F997)</f>
        <v>Soltero(A)</v>
      </c>
    </row>
    <row r="998" customFormat="false" ht="14.25" hidden="false" customHeight="false" outlineLevel="0" collapsed="false">
      <c r="B998" s="197" t="n">
        <v>1107526099</v>
      </c>
      <c r="C998" s="197" t="s">
        <v>2721</v>
      </c>
      <c r="D998" s="197" t="s">
        <v>2370</v>
      </c>
      <c r="E998" s="198" t="s">
        <v>944</v>
      </c>
      <c r="F998" s="198" t="s">
        <v>953</v>
      </c>
      <c r="G998" s="225" t="n">
        <v>2893800</v>
      </c>
      <c r="H998" s="225" t="n">
        <v>715000</v>
      </c>
      <c r="I998" s="225" t="n">
        <v>381777</v>
      </c>
      <c r="J998" s="198" t="n">
        <v>25</v>
      </c>
      <c r="K998" s="198" t="n">
        <v>2</v>
      </c>
      <c r="L998" s="226" t="n">
        <v>45342</v>
      </c>
      <c r="M998" s="226" t="n">
        <v>43728</v>
      </c>
      <c r="N998" s="227" t="n">
        <v>0</v>
      </c>
      <c r="O998" s="227" t="s">
        <v>135</v>
      </c>
      <c r="P998" s="228" t="n">
        <f aca="false">VLOOKUP(B998,'NIVEL ENERO'!A:D,3,0)</f>
        <v>0.133836661452798</v>
      </c>
      <c r="Q998" s="229" t="n">
        <f aca="false">VLOOKUP(B998,'NIVEL ENERO'!A:D,4,0)</f>
        <v>1363831.96</v>
      </c>
      <c r="R998" s="186" t="str">
        <f aca="false">+PROPER(C998&amp;" "&amp;D998)</f>
        <v>Clavijo Forero Daniela Fernanda</v>
      </c>
      <c r="S998" s="230" t="n">
        <f aca="false">+YEARFRAC(L998,$S$1)</f>
        <v>2.22777777777778</v>
      </c>
      <c r="T998" s="230" t="n">
        <f aca="false">+YEARFRAC(M998,$S$1)</f>
        <v>6.64444444444445</v>
      </c>
      <c r="U998" s="231" t="n">
        <f aca="false">+$I998</f>
        <v>381777</v>
      </c>
      <c r="V998" s="232" t="str">
        <f aca="false">+PROPER(F998)</f>
        <v>Soltero(A)</v>
      </c>
    </row>
    <row r="999" customFormat="false" ht="14.25" hidden="false" customHeight="false" outlineLevel="0" collapsed="false">
      <c r="B999" s="197" t="n">
        <v>1107526302</v>
      </c>
      <c r="C999" s="197" t="s">
        <v>2722</v>
      </c>
      <c r="D999" s="197" t="s">
        <v>2723</v>
      </c>
      <c r="E999" s="198" t="s">
        <v>944</v>
      </c>
      <c r="F999" s="198" t="s">
        <v>953</v>
      </c>
      <c r="G999" s="225" t="n">
        <v>5418800</v>
      </c>
      <c r="H999" s="225" t="n">
        <v>1400000</v>
      </c>
      <c r="I999" s="225"/>
      <c r="J999" s="198" t="n">
        <v>25</v>
      </c>
      <c r="K999" s="198" t="n">
        <v>2</v>
      </c>
      <c r="L999" s="226" t="n">
        <v>45448</v>
      </c>
      <c r="M999" s="226" t="n">
        <v>45048</v>
      </c>
      <c r="N999" s="227" t="n">
        <v>0</v>
      </c>
      <c r="O999" s="227" t="s">
        <v>135</v>
      </c>
      <c r="P999" s="228" t="n">
        <f aca="false">VLOOKUP(B999,'NIVEL ENERO'!A:D,3,0)</f>
        <v>0.153953026855388</v>
      </c>
      <c r="Q999" s="229" t="n">
        <f aca="false">VLOOKUP(B999,'NIVEL ENERO'!A:D,4,0)</f>
        <v>1543667.68</v>
      </c>
      <c r="R999" s="186" t="str">
        <f aca="false">+PROPER(C999&amp;" "&amp;D999)</f>
        <v>Forero Villan Nathalia</v>
      </c>
      <c r="S999" s="230" t="n">
        <f aca="false">+YEARFRAC(L999,$S$1)</f>
        <v>1.93611111111111</v>
      </c>
      <c r="T999" s="230" t="n">
        <f aca="false">+YEARFRAC(M999,$S$1)</f>
        <v>3.02777777777778</v>
      </c>
      <c r="U999" s="231" t="n">
        <f aca="false">+$I999</f>
        <v>0</v>
      </c>
      <c r="V999" s="232" t="str">
        <f aca="false">+PROPER(F999)</f>
        <v>Soltero(A)</v>
      </c>
    </row>
    <row r="1000" customFormat="false" ht="14.25" hidden="false" customHeight="false" outlineLevel="0" collapsed="false">
      <c r="B1000" s="197" t="n">
        <v>1107527319</v>
      </c>
      <c r="C1000" s="197" t="s">
        <v>2724</v>
      </c>
      <c r="D1000" s="197" t="s">
        <v>1661</v>
      </c>
      <c r="E1000" s="198" t="s">
        <v>944</v>
      </c>
      <c r="F1000" s="198" t="s">
        <v>945</v>
      </c>
      <c r="G1000" s="225" t="n">
        <v>2893800</v>
      </c>
      <c r="H1000" s="225" t="n">
        <v>947160</v>
      </c>
      <c r="I1000" s="225" t="n">
        <v>0</v>
      </c>
      <c r="J1000" s="198" t="n">
        <v>25</v>
      </c>
      <c r="K1000" s="198" t="n">
        <v>2</v>
      </c>
      <c r="L1000" s="226" t="n">
        <v>45220</v>
      </c>
      <c r="M1000" s="226" t="n">
        <v>44061</v>
      </c>
      <c r="N1000" s="227" t="n">
        <v>0</v>
      </c>
      <c r="O1000" s="227" t="s">
        <v>135</v>
      </c>
      <c r="P1000" s="228" t="n">
        <f aca="false">VLOOKUP(B1000,'NIVEL ENERO'!A:D,3,0)</f>
        <v>0.11518185631832</v>
      </c>
      <c r="Q1000" s="229" t="n">
        <f aca="false">VLOOKUP(B1000,'NIVEL ENERO'!A:D,4,0)</f>
        <v>1264318.6</v>
      </c>
      <c r="R1000" s="186" t="str">
        <f aca="false">+PROPER(C1000&amp;" "&amp;D1000)</f>
        <v>Munoz Perez Maria Alejandra</v>
      </c>
      <c r="S1000" s="230" t="n">
        <f aca="false">+YEARFRAC(L1000,$S$1)</f>
        <v>2.55833333333333</v>
      </c>
      <c r="T1000" s="230" t="n">
        <f aca="false">+YEARFRAC(M1000,$S$1)</f>
        <v>5.73333333333333</v>
      </c>
      <c r="U1000" s="231" t="n">
        <f aca="false">+$I1000</f>
        <v>0</v>
      </c>
      <c r="V1000" s="232" t="str">
        <f aca="false">+PROPER(F1000)</f>
        <v>Union Libre</v>
      </c>
    </row>
    <row r="1001" customFormat="false" ht="14.25" hidden="false" customHeight="false" outlineLevel="0" collapsed="false">
      <c r="B1001" s="197" t="n">
        <v>1107528932</v>
      </c>
      <c r="C1001" s="197" t="s">
        <v>2725</v>
      </c>
      <c r="D1001" s="197" t="s">
        <v>2681</v>
      </c>
      <c r="E1001" s="198" t="s">
        <v>944</v>
      </c>
      <c r="F1001" s="198" t="s">
        <v>953</v>
      </c>
      <c r="G1001" s="225" t="n">
        <v>2893800</v>
      </c>
      <c r="H1001" s="225" t="n">
        <v>200000</v>
      </c>
      <c r="I1001" s="225"/>
      <c r="J1001" s="198" t="n">
        <v>25</v>
      </c>
      <c r="K1001" s="198" t="n">
        <v>4</v>
      </c>
      <c r="L1001" s="226" t="n">
        <v>45615</v>
      </c>
      <c r="M1001" s="226" t="n">
        <v>44172</v>
      </c>
      <c r="N1001" s="227" t="n">
        <v>0</v>
      </c>
      <c r="O1001" s="227" t="s">
        <v>135</v>
      </c>
      <c r="P1001" s="228" t="n">
        <f aca="false">VLOOKUP(B1001,'NIVEL ENERO'!A:D,3,0)</f>
        <v>0.232247744703893</v>
      </c>
      <c r="Q1001" s="229" t="n">
        <f aca="false">VLOOKUP(B1001,'NIVEL ENERO'!A:D,4,0)</f>
        <v>785014.96</v>
      </c>
      <c r="R1001" s="186" t="str">
        <f aca="false">+PROPER(C1001&amp;" "&amp;D1001)</f>
        <v>Martinez Carmona Juan David</v>
      </c>
      <c r="S1001" s="230" t="n">
        <f aca="false">+YEARFRAC(L1001,$S$1)</f>
        <v>1.48055555555556</v>
      </c>
      <c r="T1001" s="230" t="n">
        <f aca="false">+YEARFRAC(M1001,$S$1)</f>
        <v>5.43055555555556</v>
      </c>
      <c r="U1001" s="231" t="n">
        <f aca="false">+$I1001</f>
        <v>0</v>
      </c>
      <c r="V1001" s="232" t="str">
        <f aca="false">+PROPER(F1001)</f>
        <v>Soltero(A)</v>
      </c>
    </row>
    <row r="1002" customFormat="false" ht="14.25" hidden="false" customHeight="false" outlineLevel="0" collapsed="false">
      <c r="B1002" s="197" t="n">
        <v>1107529610</v>
      </c>
      <c r="C1002" s="197" t="s">
        <v>2726</v>
      </c>
      <c r="D1002" s="197" t="s">
        <v>2727</v>
      </c>
      <c r="E1002" s="198" t="s">
        <v>944</v>
      </c>
      <c r="F1002" s="198" t="s">
        <v>953</v>
      </c>
      <c r="G1002" s="225" t="n">
        <v>2604400</v>
      </c>
      <c r="H1002" s="225" t="n">
        <v>300000</v>
      </c>
      <c r="I1002" s="225"/>
      <c r="J1002" s="198" t="n">
        <v>25</v>
      </c>
      <c r="K1002" s="198" t="n">
        <v>1</v>
      </c>
      <c r="L1002" s="226" t="n">
        <v>45616</v>
      </c>
      <c r="M1002" s="226" t="n">
        <v>44972</v>
      </c>
      <c r="N1002" s="227" t="n">
        <v>0</v>
      </c>
      <c r="O1002" s="227" t="s">
        <v>135</v>
      </c>
      <c r="P1002" s="228" t="n">
        <f aca="false">VLOOKUP(B1002,'NIVEL ENERO'!A:D,3,0)</f>
        <v>0.150543019254546</v>
      </c>
      <c r="Q1002" s="229" t="n">
        <f aca="false">VLOOKUP(B1002,'NIVEL ENERO'!A:D,4,0)</f>
        <v>766560.56</v>
      </c>
      <c r="R1002" s="186" t="str">
        <f aca="false">+PROPER(C1002&amp;" "&amp;D1002)</f>
        <v>Ramirez Gallego Julian David</v>
      </c>
      <c r="S1002" s="230" t="n">
        <f aca="false">+YEARFRAC(L1002,$S$1)</f>
        <v>1.47777777777778</v>
      </c>
      <c r="T1002" s="230" t="n">
        <f aca="false">+YEARFRAC(M1002,$S$1)</f>
        <v>3.24166666666667</v>
      </c>
      <c r="U1002" s="231" t="n">
        <f aca="false">+$I1002</f>
        <v>0</v>
      </c>
      <c r="V1002" s="232" t="str">
        <f aca="false">+PROPER(F1002)</f>
        <v>Soltero(A)</v>
      </c>
    </row>
    <row r="1003" customFormat="false" ht="14.25" hidden="false" customHeight="false" outlineLevel="0" collapsed="false">
      <c r="B1003" s="197" t="n">
        <v>1107530279</v>
      </c>
      <c r="C1003" s="197" t="s">
        <v>2728</v>
      </c>
      <c r="D1003" s="197" t="s">
        <v>2729</v>
      </c>
      <c r="E1003" s="198" t="s">
        <v>944</v>
      </c>
      <c r="F1003" s="198" t="s">
        <v>953</v>
      </c>
      <c r="G1003" s="225" t="n">
        <v>2315000</v>
      </c>
      <c r="H1003" s="225" t="n">
        <v>800000</v>
      </c>
      <c r="I1003" s="225" t="n">
        <v>500865</v>
      </c>
      <c r="J1003" s="198" t="n">
        <v>25</v>
      </c>
      <c r="K1003" s="198" t="n">
        <v>1</v>
      </c>
      <c r="L1003" s="226" t="n">
        <v>45414</v>
      </c>
      <c r="M1003" s="226" t="n">
        <v>45233</v>
      </c>
      <c r="N1003" s="227" t="n">
        <v>0</v>
      </c>
      <c r="O1003" s="227" t="s">
        <v>135</v>
      </c>
      <c r="P1003" s="228" t="n">
        <f aca="false">VLOOKUP(B1003,'NIVEL ENERO'!A:D,3,0)</f>
        <v>0.355986983680004</v>
      </c>
      <c r="Q1003" s="229" t="n">
        <f aca="false">VLOOKUP(B1003,'NIVEL ENERO'!A:D,4,0)</f>
        <v>216833.68</v>
      </c>
      <c r="R1003" s="186" t="str">
        <f aca="false">+PROPER(C1003&amp;" "&amp;D1003)</f>
        <v>Orbes Lasso Angela Daniela</v>
      </c>
      <c r="S1003" s="230" t="n">
        <f aca="false">+YEARFRAC(L1003,$S$1)</f>
        <v>2.02777777777778</v>
      </c>
      <c r="T1003" s="230" t="n">
        <f aca="false">+YEARFRAC(M1003,$S$1)</f>
        <v>2.525</v>
      </c>
      <c r="U1003" s="231" t="n">
        <f aca="false">+$I1003</f>
        <v>500865</v>
      </c>
      <c r="V1003" s="232" t="str">
        <f aca="false">+PROPER(F1003)</f>
        <v>Soltero(A)</v>
      </c>
    </row>
    <row r="1004" customFormat="false" ht="14.25" hidden="false" customHeight="false" outlineLevel="0" collapsed="false">
      <c r="B1004" s="197" t="n">
        <v>1107530583</v>
      </c>
      <c r="C1004" s="197" t="s">
        <v>2730</v>
      </c>
      <c r="D1004" s="197" t="s">
        <v>2297</v>
      </c>
      <c r="E1004" s="198" t="s">
        <v>944</v>
      </c>
      <c r="F1004" s="198" t="s">
        <v>953</v>
      </c>
      <c r="G1004" s="225" t="n">
        <v>4761900</v>
      </c>
      <c r="H1004" s="225" t="n">
        <v>1300011</v>
      </c>
      <c r="I1004" s="225" t="n">
        <v>2354130</v>
      </c>
      <c r="J1004" s="198" t="n">
        <v>25</v>
      </c>
      <c r="K1004" s="198" t="n">
        <v>1</v>
      </c>
      <c r="L1004" s="226" t="n">
        <v>45279</v>
      </c>
      <c r="M1004" s="226" t="n">
        <v>45058</v>
      </c>
      <c r="N1004" s="227" t="n">
        <v>0</v>
      </c>
      <c r="O1004" s="227" t="s">
        <v>135</v>
      </c>
      <c r="P1004" s="228" t="n">
        <f aca="false">VLOOKUP(B1004,'NIVEL ENERO'!A:D,3,0)</f>
        <v>0.390363644342624</v>
      </c>
      <c r="Q1004" s="229" t="n">
        <f aca="false">VLOOKUP(B1004,'NIVEL ENERO'!A:D,4,0)</f>
        <v>145420.48</v>
      </c>
      <c r="R1004" s="186" t="str">
        <f aca="false">+PROPER(C1004&amp;" "&amp;D1004)</f>
        <v>Mondragon Martinez Valentina</v>
      </c>
      <c r="S1004" s="230" t="n">
        <f aca="false">+YEARFRAC(L1004,$S$1)</f>
        <v>2.39722222222222</v>
      </c>
      <c r="T1004" s="230" t="n">
        <f aca="false">+YEARFRAC(M1004,$S$1)</f>
        <v>3</v>
      </c>
      <c r="U1004" s="231" t="n">
        <f aca="false">+$I1004</f>
        <v>2354130</v>
      </c>
      <c r="V1004" s="232" t="str">
        <f aca="false">+PROPER(F1004)</f>
        <v>Soltero(A)</v>
      </c>
    </row>
    <row r="1005" customFormat="false" ht="14.25" hidden="false" customHeight="false" outlineLevel="0" collapsed="false">
      <c r="B1005" s="197" t="n">
        <v>1107531297</v>
      </c>
      <c r="C1005" s="197" t="s">
        <v>2731</v>
      </c>
      <c r="D1005" s="197" t="s">
        <v>2732</v>
      </c>
      <c r="E1005" s="198" t="s">
        <v>944</v>
      </c>
      <c r="F1005" s="198" t="s">
        <v>953</v>
      </c>
      <c r="G1005" s="225" t="n">
        <v>2893800</v>
      </c>
      <c r="H1005" s="225" t="n">
        <v>1708686</v>
      </c>
      <c r="I1005" s="225" t="n">
        <v>2021528</v>
      </c>
      <c r="J1005" s="198" t="n">
        <v>25</v>
      </c>
      <c r="K1005" s="198" t="n">
        <v>2</v>
      </c>
      <c r="L1005" s="226" t="n">
        <v>44790</v>
      </c>
      <c r="M1005" s="226" t="n">
        <v>44288</v>
      </c>
      <c r="N1005" s="227" t="n">
        <v>2</v>
      </c>
      <c r="O1005" s="227" t="s">
        <v>135</v>
      </c>
      <c r="P1005" s="228" t="n">
        <f aca="false">VLOOKUP(B1005,'NIVEL ENERO'!A:D,3,0)</f>
        <v>0.322905533089272</v>
      </c>
      <c r="Q1005" s="229" t="n">
        <f aca="false">VLOOKUP(B1005,'NIVEL ENERO'!A:D,4,0)</f>
        <v>375179.04</v>
      </c>
      <c r="R1005" s="186" t="str">
        <f aca="false">+PROPER(C1005&amp;" "&amp;D1005)</f>
        <v>Mancilla Bedon David Fernando</v>
      </c>
      <c r="S1005" s="230" t="n">
        <f aca="false">+YEARFRAC(L1005,$S$1)</f>
        <v>3.73611111111111</v>
      </c>
      <c r="T1005" s="230" t="n">
        <f aca="false">+YEARFRAC(M1005,$S$1)</f>
        <v>5.11111111111111</v>
      </c>
      <c r="U1005" s="231" t="n">
        <f aca="false">+$I1005</f>
        <v>2021528</v>
      </c>
      <c r="V1005" s="232" t="str">
        <f aca="false">+PROPER(F1005)</f>
        <v>Soltero(A)</v>
      </c>
    </row>
    <row r="1006" customFormat="false" ht="14.25" hidden="false" customHeight="false" outlineLevel="0" collapsed="false">
      <c r="B1006" s="197" t="n">
        <v>1107839628</v>
      </c>
      <c r="C1006" s="197" t="s">
        <v>2733</v>
      </c>
      <c r="D1006" s="197" t="s">
        <v>2734</v>
      </c>
      <c r="E1006" s="198" t="s">
        <v>944</v>
      </c>
      <c r="F1006" s="198" t="s">
        <v>953</v>
      </c>
      <c r="G1006" s="225" t="n">
        <v>2080700</v>
      </c>
      <c r="H1006" s="225" t="n">
        <v>1000000</v>
      </c>
      <c r="I1006" s="225" t="n">
        <v>346533</v>
      </c>
      <c r="J1006" s="198" t="n">
        <v>20</v>
      </c>
      <c r="K1006" s="198" t="n">
        <v>1</v>
      </c>
      <c r="L1006" s="226" t="n">
        <v>45517</v>
      </c>
      <c r="M1006" s="226" t="n">
        <v>45484</v>
      </c>
      <c r="N1006" s="227" t="n">
        <v>0</v>
      </c>
      <c r="O1006" s="227" t="s">
        <v>135</v>
      </c>
      <c r="P1006" s="228" t="n">
        <f aca="false">VLOOKUP(B1006,'NIVEL ENERO'!A:D,3,0)</f>
        <v>0.202412827048849</v>
      </c>
      <c r="Q1006" s="229" t="n">
        <f aca="false">VLOOKUP(B1006,'NIVEL ENERO'!A:D,4,0)</f>
        <v>535406.82</v>
      </c>
      <c r="R1006" s="186" t="str">
        <f aca="false">+PROPER(C1006&amp;" "&amp;D1006)</f>
        <v>Sanchez Martinez Maily Catalina</v>
      </c>
      <c r="S1006" s="230" t="n">
        <f aca="false">+YEARFRAC(L1006,$S$1)</f>
        <v>1.74722222222222</v>
      </c>
      <c r="T1006" s="230" t="n">
        <f aca="false">+YEARFRAC(M1006,$S$1)</f>
        <v>1.83611111111111</v>
      </c>
      <c r="U1006" s="231" t="n">
        <f aca="false">+$I1006</f>
        <v>346533</v>
      </c>
      <c r="V1006" s="232" t="str">
        <f aca="false">+PROPER(F1006)</f>
        <v>Soltero(A)</v>
      </c>
    </row>
    <row r="1007" customFormat="false" ht="14.25" hidden="false" customHeight="false" outlineLevel="0" collapsed="false">
      <c r="B1007" s="197" t="n">
        <v>1108638170</v>
      </c>
      <c r="C1007" s="197" t="s">
        <v>2735</v>
      </c>
      <c r="D1007" s="197" t="s">
        <v>2736</v>
      </c>
      <c r="E1007" s="198" t="s">
        <v>944</v>
      </c>
      <c r="F1007" s="198" t="s">
        <v>953</v>
      </c>
      <c r="G1007" s="225" t="n">
        <v>1450000</v>
      </c>
      <c r="H1007" s="225" t="n">
        <v>947160</v>
      </c>
      <c r="I1007" s="225" t="n">
        <v>2541</v>
      </c>
      <c r="J1007" s="198" t="n">
        <v>21</v>
      </c>
      <c r="K1007" s="198" t="n">
        <v>4</v>
      </c>
      <c r="L1007" s="226" t="n">
        <v>45222</v>
      </c>
      <c r="M1007" s="226" t="n">
        <v>44936</v>
      </c>
      <c r="N1007" s="227" t="n">
        <v>0</v>
      </c>
      <c r="O1007" s="227" t="s">
        <v>135</v>
      </c>
      <c r="P1007" s="228" t="n">
        <f aca="false">VLOOKUP(B1007,'NIVEL ENERO'!A:D,3,0)</f>
        <v>0.15341156431294</v>
      </c>
      <c r="Q1007" s="229" t="n">
        <f aca="false">VLOOKUP(B1007,'NIVEL ENERO'!A:D,4,0)</f>
        <v>562181.16</v>
      </c>
      <c r="R1007" s="186" t="str">
        <f aca="false">+PROPER(C1007&amp;" "&amp;D1007)</f>
        <v>Diaz Bernal Breyner</v>
      </c>
      <c r="S1007" s="230" t="n">
        <f aca="false">+YEARFRAC(L1007,$S$1)</f>
        <v>2.55277777777778</v>
      </c>
      <c r="T1007" s="230" t="n">
        <f aca="false">+YEARFRAC(M1007,$S$1)</f>
        <v>3.33888888888889</v>
      </c>
      <c r="U1007" s="231" t="n">
        <f aca="false">+$I1007</f>
        <v>2541</v>
      </c>
      <c r="V1007" s="232" t="str">
        <f aca="false">+PROPER(F1007)</f>
        <v>Soltero(A)</v>
      </c>
    </row>
    <row r="1008" customFormat="false" ht="14.25" hidden="false" customHeight="false" outlineLevel="0" collapsed="false">
      <c r="B1008" s="197" t="n">
        <v>1109541401</v>
      </c>
      <c r="C1008" s="197" t="s">
        <v>2737</v>
      </c>
      <c r="D1008" s="197" t="s">
        <v>1357</v>
      </c>
      <c r="E1008" s="198" t="s">
        <v>944</v>
      </c>
      <c r="F1008" s="198" t="s">
        <v>945</v>
      </c>
      <c r="G1008" s="225" t="n">
        <v>1918500</v>
      </c>
      <c r="H1008" s="225" t="n">
        <v>1005311</v>
      </c>
      <c r="I1008" s="225" t="n">
        <v>1945840</v>
      </c>
      <c r="J1008" s="198" t="n">
        <v>34</v>
      </c>
      <c r="K1008" s="198" t="n">
        <v>2</v>
      </c>
      <c r="L1008" s="226" t="n">
        <v>45189</v>
      </c>
      <c r="M1008" s="226" t="n">
        <v>44516</v>
      </c>
      <c r="N1008" s="227" t="n">
        <v>0</v>
      </c>
      <c r="O1008" s="227" t="s">
        <v>135</v>
      </c>
      <c r="P1008" s="228" t="n">
        <f aca="false">VLOOKUP(B1008,'NIVEL ENERO'!A:D,3,0)</f>
        <v>0.413371071149335</v>
      </c>
      <c r="Q1008" s="229" t="n">
        <f aca="false">VLOOKUP(B1008,'NIVEL ENERO'!A:D,4,0)</f>
        <v>30280</v>
      </c>
      <c r="R1008" s="186" t="str">
        <f aca="false">+PROPER(C1008&amp;" "&amp;D1008)</f>
        <v>Rodriguez Caicedo Leidy Viviana</v>
      </c>
      <c r="S1008" s="230" t="n">
        <f aca="false">+YEARFRAC(L1008,$S$1)</f>
        <v>2.64444444444444</v>
      </c>
      <c r="T1008" s="230" t="n">
        <f aca="false">+YEARFRAC(M1008,$S$1)</f>
        <v>4.48888888888889</v>
      </c>
      <c r="U1008" s="231" t="n">
        <f aca="false">+$I1008</f>
        <v>1945840</v>
      </c>
      <c r="V1008" s="232" t="str">
        <f aca="false">+PROPER(F1008)</f>
        <v>Union Libre</v>
      </c>
    </row>
    <row r="1009" customFormat="false" ht="14.25" hidden="false" customHeight="false" outlineLevel="0" collapsed="false">
      <c r="B1009" s="197" t="n">
        <v>1110282293</v>
      </c>
      <c r="C1009" s="197" t="s">
        <v>2738</v>
      </c>
      <c r="D1009" s="197" t="s">
        <v>2739</v>
      </c>
      <c r="E1009" s="198" t="s">
        <v>944</v>
      </c>
      <c r="F1009" s="198" t="s">
        <v>953</v>
      </c>
      <c r="G1009" s="225" t="n">
        <v>2604400</v>
      </c>
      <c r="H1009" s="225" t="n">
        <v>2325551</v>
      </c>
      <c r="I1009" s="225" t="n">
        <v>3316596</v>
      </c>
      <c r="J1009" s="198" t="n">
        <v>21</v>
      </c>
      <c r="K1009" s="198" t="n">
        <v>2</v>
      </c>
      <c r="L1009" s="226" t="n">
        <v>45222</v>
      </c>
      <c r="M1009" s="226" t="n">
        <v>44896</v>
      </c>
      <c r="N1009" s="227" t="n">
        <v>0</v>
      </c>
      <c r="O1009" s="227" t="s">
        <v>135</v>
      </c>
      <c r="P1009" s="228" t="n">
        <f aca="false">VLOOKUP(B1009,'NIVEL ENERO'!A:D,3,0)</f>
        <v>0.439907253221027</v>
      </c>
      <c r="Q1009" s="229" t="n">
        <f aca="false">VLOOKUP(B1009,'NIVEL ENERO'!A:D,4,0)</f>
        <v>-67783.6000000001</v>
      </c>
      <c r="R1009" s="186" t="str">
        <f aca="false">+PROPER(C1009&amp;" "&amp;D1009)</f>
        <v>Perez Munoz Dahyana Marcela</v>
      </c>
      <c r="S1009" s="230" t="n">
        <f aca="false">+YEARFRAC(L1009,$S$1)</f>
        <v>2.55277777777778</v>
      </c>
      <c r="T1009" s="230" t="n">
        <f aca="false">+YEARFRAC(M1009,$S$1)</f>
        <v>3.44722222222222</v>
      </c>
      <c r="U1009" s="231" t="n">
        <f aca="false">+$I1009</f>
        <v>3316596</v>
      </c>
      <c r="V1009" s="232" t="str">
        <f aca="false">+PROPER(F1009)</f>
        <v>Soltero(A)</v>
      </c>
    </row>
    <row r="1010" customFormat="false" ht="14.25" hidden="false" customHeight="false" outlineLevel="0" collapsed="false">
      <c r="B1010" s="197" t="n">
        <v>1110282743</v>
      </c>
      <c r="C1010" s="197" t="s">
        <v>2740</v>
      </c>
      <c r="D1010" s="197" t="s">
        <v>2741</v>
      </c>
      <c r="E1010" s="198" t="s">
        <v>944</v>
      </c>
      <c r="F1010" s="198" t="s">
        <v>953</v>
      </c>
      <c r="G1010" s="225" t="n">
        <v>2600900</v>
      </c>
      <c r="H1010" s="225" t="n">
        <v>1121761</v>
      </c>
      <c r="I1010" s="225"/>
      <c r="J1010" s="198" t="n">
        <v>21</v>
      </c>
      <c r="K1010" s="198" t="n">
        <v>2</v>
      </c>
      <c r="L1010" s="226" t="n">
        <v>45118</v>
      </c>
      <c r="M1010" s="226" t="n">
        <v>44278</v>
      </c>
      <c r="N1010" s="227" t="n">
        <v>0</v>
      </c>
      <c r="O1010" s="227" t="s">
        <v>135</v>
      </c>
      <c r="P1010" s="228" t="n">
        <f aca="false">VLOOKUP(B1010,'NIVEL ENERO'!A:D,3,0)</f>
        <v>0.118274410462265</v>
      </c>
      <c r="Q1010" s="229" t="n">
        <f aca="false">VLOOKUP(B1010,'NIVEL ENERO'!A:D,4,0)</f>
        <v>938411.44</v>
      </c>
      <c r="R1010" s="186" t="str">
        <f aca="false">+PROPER(C1010&amp;" "&amp;D1010)</f>
        <v>Mera Mesa Juan Esteban</v>
      </c>
      <c r="S1010" s="230" t="n">
        <f aca="false">+YEARFRAC(L1010,$S$1)</f>
        <v>2.83611111111111</v>
      </c>
      <c r="T1010" s="230" t="n">
        <f aca="false">+YEARFRAC(M1010,$S$1)</f>
        <v>5.13611111111111</v>
      </c>
      <c r="U1010" s="231" t="n">
        <f aca="false">+$I1010</f>
        <v>0</v>
      </c>
      <c r="V1010" s="232" t="str">
        <f aca="false">+PROPER(F1010)</f>
        <v>Soltero(A)</v>
      </c>
    </row>
    <row r="1011" customFormat="false" ht="14.25" hidden="false" customHeight="false" outlineLevel="0" collapsed="false">
      <c r="B1011" s="197" t="n">
        <v>1110363150</v>
      </c>
      <c r="C1011" s="197" t="s">
        <v>2742</v>
      </c>
      <c r="D1011" s="197" t="s">
        <v>2743</v>
      </c>
      <c r="E1011" s="198" t="s">
        <v>944</v>
      </c>
      <c r="F1011" s="198" t="s">
        <v>953</v>
      </c>
      <c r="G1011" s="225" t="n">
        <v>2604400</v>
      </c>
      <c r="H1011" s="225" t="n">
        <v>889058</v>
      </c>
      <c r="I1011" s="225" t="n">
        <v>1387341</v>
      </c>
      <c r="J1011" s="198" t="n">
        <v>20</v>
      </c>
      <c r="K1011" s="198" t="n">
        <v>2</v>
      </c>
      <c r="L1011" s="226" t="n">
        <v>45250</v>
      </c>
      <c r="M1011" s="226" t="n">
        <v>45029</v>
      </c>
      <c r="N1011" s="227" t="n">
        <v>0</v>
      </c>
      <c r="O1011" s="227" t="s">
        <v>135</v>
      </c>
      <c r="P1011" s="228" t="n">
        <f aca="false">VLOOKUP(B1011,'NIVEL ENERO'!A:D,3,0)</f>
        <v>0.116987819529673</v>
      </c>
      <c r="Q1011" s="229" t="n">
        <f aca="false">VLOOKUP(B1011,'NIVEL ENERO'!A:D,4,0)</f>
        <v>987313.88</v>
      </c>
      <c r="R1011" s="186" t="str">
        <f aca="false">+PROPER(C1011&amp;" "&amp;D1011)</f>
        <v>Bedoya Salazar Miguel Eduardo</v>
      </c>
      <c r="S1011" s="230" t="n">
        <f aca="false">+YEARFRAC(L1011,$S$1)</f>
        <v>2.47777777777778</v>
      </c>
      <c r="T1011" s="230" t="n">
        <f aca="false">+YEARFRAC(M1011,$S$1)</f>
        <v>3.08055555555556</v>
      </c>
      <c r="U1011" s="231" t="n">
        <f aca="false">+$I1011</f>
        <v>1387341</v>
      </c>
      <c r="V1011" s="232" t="str">
        <f aca="false">+PROPER(F1011)</f>
        <v>Soltero(A)</v>
      </c>
    </row>
    <row r="1012" customFormat="false" ht="14.25" hidden="false" customHeight="false" outlineLevel="0" collapsed="false">
      <c r="B1012" s="197" t="n">
        <v>1110489892</v>
      </c>
      <c r="C1012" s="197" t="s">
        <v>2744</v>
      </c>
      <c r="D1012" s="197" t="s">
        <v>2745</v>
      </c>
      <c r="E1012" s="198" t="s">
        <v>944</v>
      </c>
      <c r="F1012" s="198" t="s">
        <v>953</v>
      </c>
      <c r="G1012" s="225" t="n">
        <v>2600900</v>
      </c>
      <c r="H1012" s="225" t="n">
        <v>2870358</v>
      </c>
      <c r="I1012" s="225" t="n">
        <v>0</v>
      </c>
      <c r="J1012" s="198" t="n">
        <v>35</v>
      </c>
      <c r="K1012" s="198" t="n">
        <v>2</v>
      </c>
      <c r="L1012" s="226" t="n">
        <v>44026</v>
      </c>
      <c r="M1012" s="226" t="n">
        <v>43958</v>
      </c>
      <c r="N1012" s="227" t="n">
        <v>2</v>
      </c>
      <c r="O1012" s="227" t="s">
        <v>135</v>
      </c>
      <c r="P1012" s="228" t="n">
        <f aca="false">VLOOKUP(B1012,'NIVEL ENERO'!A:D,3,0)</f>
        <v>0.131950094198162</v>
      </c>
      <c r="Q1012" s="229" t="n">
        <f aca="false">VLOOKUP(B1012,'NIVEL ENERO'!A:D,4,0)</f>
        <v>749189</v>
      </c>
      <c r="R1012" s="186" t="str">
        <f aca="false">+PROPER(C1012&amp;" "&amp;D1012)</f>
        <v>Osorio Betancurth Ingrid Marisel</v>
      </c>
      <c r="S1012" s="230" t="n">
        <f aca="false">+YEARFRAC(L1012,$S$1)</f>
        <v>5.82777777777778</v>
      </c>
      <c r="T1012" s="230" t="n">
        <f aca="false">+YEARFRAC(M1012,$S$1)</f>
        <v>6.01388888888889</v>
      </c>
      <c r="U1012" s="231" t="n">
        <f aca="false">+$I1012</f>
        <v>0</v>
      </c>
      <c r="V1012" s="232" t="str">
        <f aca="false">+PROPER(F1012)</f>
        <v>Soltero(A)</v>
      </c>
    </row>
    <row r="1013" customFormat="false" ht="14.25" hidden="false" customHeight="false" outlineLevel="0" collapsed="false">
      <c r="B1013" s="197" t="n">
        <v>1111540042</v>
      </c>
      <c r="C1013" s="197" t="s">
        <v>2746</v>
      </c>
      <c r="D1013" s="197" t="s">
        <v>2747</v>
      </c>
      <c r="E1013" s="198" t="s">
        <v>944</v>
      </c>
      <c r="F1013" s="198" t="s">
        <v>953</v>
      </c>
      <c r="G1013" s="225" t="n">
        <v>1625000</v>
      </c>
      <c r="H1013" s="225" t="n">
        <v>600000</v>
      </c>
      <c r="I1013" s="225" t="n">
        <v>385991</v>
      </c>
      <c r="J1013" s="198" t="n">
        <v>27</v>
      </c>
      <c r="K1013" s="198" t="n">
        <v>2</v>
      </c>
      <c r="L1013" s="226" t="n">
        <v>45476</v>
      </c>
      <c r="M1013" s="226" t="n">
        <v>45261</v>
      </c>
      <c r="N1013" s="227" t="n">
        <v>0</v>
      </c>
      <c r="O1013" s="227" t="s">
        <v>135</v>
      </c>
      <c r="P1013" s="228" t="n">
        <f aca="false">VLOOKUP(B1013,'NIVEL ENERO'!A:D,3,0)</f>
        <v>0.41335056</v>
      </c>
      <c r="Q1013" s="229" t="n">
        <f aca="false">VLOOKUP(B1013,'NIVEL ENERO'!A:D,4,0)</f>
        <v>25727</v>
      </c>
      <c r="R1013" s="186" t="str">
        <f aca="false">+PROPER(C1013&amp;" "&amp;D1013)</f>
        <v>Reyes Hurtado Everlyn Marcela</v>
      </c>
      <c r="S1013" s="230" t="n">
        <f aca="false">+YEARFRAC(L1013,$S$1)</f>
        <v>1.85833333333333</v>
      </c>
      <c r="T1013" s="230" t="n">
        <f aca="false">+YEARFRAC(M1013,$S$1)</f>
        <v>2.44722222222222</v>
      </c>
      <c r="U1013" s="231" t="n">
        <f aca="false">+$I1013</f>
        <v>385991</v>
      </c>
      <c r="V1013" s="232" t="str">
        <f aca="false">+PROPER(F1013)</f>
        <v>Soltero(A)</v>
      </c>
    </row>
    <row r="1014" customFormat="false" ht="14.25" hidden="false" customHeight="false" outlineLevel="0" collapsed="false">
      <c r="B1014" s="197" t="n">
        <v>1111540665</v>
      </c>
      <c r="C1014" s="197" t="s">
        <v>2748</v>
      </c>
      <c r="D1014" s="197" t="s">
        <v>2297</v>
      </c>
      <c r="E1014" s="198" t="s">
        <v>944</v>
      </c>
      <c r="F1014" s="198" t="s">
        <v>953</v>
      </c>
      <c r="G1014" s="225" t="n">
        <v>2080700</v>
      </c>
      <c r="H1014" s="225" t="n">
        <v>560000</v>
      </c>
      <c r="I1014" s="225"/>
      <c r="J1014" s="198" t="n">
        <v>20</v>
      </c>
      <c r="K1014" s="198" t="n">
        <v>1</v>
      </c>
      <c r="L1014" s="226" t="n">
        <v>45448</v>
      </c>
      <c r="M1014" s="226" t="n">
        <v>45250</v>
      </c>
      <c r="N1014" s="227" t="n">
        <v>0</v>
      </c>
      <c r="O1014" s="227" t="s">
        <v>135</v>
      </c>
      <c r="P1014" s="228" t="n">
        <f aca="false">VLOOKUP(B1014,'NIVEL ENERO'!A:D,3,0)</f>
        <v>0.339235450670935</v>
      </c>
      <c r="Q1014" s="229" t="n">
        <f aca="false">VLOOKUP(B1014,'NIVEL ENERO'!A:D,4,0)</f>
        <v>216978</v>
      </c>
      <c r="R1014" s="186" t="str">
        <f aca="false">+PROPER(C1014&amp;" "&amp;D1014)</f>
        <v>Solarte Montoya Valentina</v>
      </c>
      <c r="S1014" s="230" t="n">
        <f aca="false">+YEARFRAC(L1014,$S$1)</f>
        <v>1.93611111111111</v>
      </c>
      <c r="T1014" s="230" t="n">
        <f aca="false">+YEARFRAC(M1014,$S$1)</f>
        <v>2.47777777777778</v>
      </c>
      <c r="U1014" s="231" t="n">
        <f aca="false">+$I1014</f>
        <v>0</v>
      </c>
      <c r="V1014" s="232" t="str">
        <f aca="false">+PROPER(F1014)</f>
        <v>Soltero(A)</v>
      </c>
    </row>
    <row r="1015" customFormat="false" ht="14.25" hidden="false" customHeight="false" outlineLevel="0" collapsed="false">
      <c r="B1015" s="197" t="n">
        <v>1111752015</v>
      </c>
      <c r="C1015" s="197" t="s">
        <v>2749</v>
      </c>
      <c r="D1015" s="197" t="s">
        <v>2750</v>
      </c>
      <c r="E1015" s="198" t="s">
        <v>944</v>
      </c>
      <c r="F1015" s="198" t="s">
        <v>948</v>
      </c>
      <c r="G1015" s="225" t="n">
        <v>5418800</v>
      </c>
      <c r="H1015" s="225" t="n">
        <v>1961224</v>
      </c>
      <c r="I1015" s="225" t="n">
        <v>6488655</v>
      </c>
      <c r="J1015" s="198" t="n">
        <v>37</v>
      </c>
      <c r="K1015" s="198" t="n">
        <v>2</v>
      </c>
      <c r="L1015" s="226" t="n">
        <v>44642</v>
      </c>
      <c r="M1015" s="226" t="n">
        <v>44105</v>
      </c>
      <c r="N1015" s="227" t="n">
        <v>3</v>
      </c>
      <c r="O1015" s="227" t="s">
        <v>135</v>
      </c>
      <c r="P1015" s="228" t="n">
        <f aca="false">VLOOKUP(B1015,'NIVEL ENERO'!A:D,3,0)</f>
        <v>0.4052958219532</v>
      </c>
      <c r="Q1015" s="229" t="n">
        <f aca="false">VLOOKUP(B1015,'NIVEL ENERO'!A:D,4,0)</f>
        <v>79679</v>
      </c>
      <c r="R1015" s="186" t="str">
        <f aca="false">+PROPER(C1015&amp;" "&amp;D1015)</f>
        <v>Alvarez Ortiz Leydy Fernanda</v>
      </c>
      <c r="S1015" s="230" t="n">
        <f aca="false">+YEARFRAC(L1015,$S$1)</f>
        <v>4.13888888888889</v>
      </c>
      <c r="T1015" s="230" t="n">
        <f aca="false">+YEARFRAC(M1015,$S$1)</f>
        <v>5.61388888888889</v>
      </c>
      <c r="U1015" s="231" t="n">
        <f aca="false">+$I1015</f>
        <v>6488655</v>
      </c>
      <c r="V1015" s="232" t="str">
        <f aca="false">+PROPER(F1015)</f>
        <v>Casado(A)</v>
      </c>
    </row>
    <row r="1016" customFormat="false" ht="14.25" hidden="false" customHeight="false" outlineLevel="0" collapsed="false">
      <c r="B1016" s="197" t="n">
        <v>1111786165</v>
      </c>
      <c r="C1016" s="197" t="s">
        <v>2751</v>
      </c>
      <c r="D1016" s="197" t="s">
        <v>2752</v>
      </c>
      <c r="E1016" s="198" t="s">
        <v>944</v>
      </c>
      <c r="F1016" s="198" t="s">
        <v>953</v>
      </c>
      <c r="G1016" s="225" t="n">
        <v>2893800</v>
      </c>
      <c r="H1016" s="225" t="n">
        <v>2923320</v>
      </c>
      <c r="I1016" s="225" t="n">
        <v>462657</v>
      </c>
      <c r="J1016" s="198" t="n">
        <v>33</v>
      </c>
      <c r="K1016" s="198" t="n">
        <v>1</v>
      </c>
      <c r="L1016" s="226" t="n">
        <v>44169</v>
      </c>
      <c r="M1016" s="226" t="n">
        <v>41987</v>
      </c>
      <c r="N1016" s="227" t="n">
        <v>3</v>
      </c>
      <c r="O1016" s="227" t="s">
        <v>135</v>
      </c>
      <c r="P1016" s="228" t="n">
        <f aca="false">VLOOKUP(B1016,'NIVEL ENERO'!A:D,3,0)</f>
        <v>0.473765139498219</v>
      </c>
      <c r="Q1016" s="229" t="n">
        <f aca="false">VLOOKUP(B1016,'NIVEL ENERO'!A:D,4,0)</f>
        <v>-200668.58</v>
      </c>
      <c r="R1016" s="186" t="str">
        <f aca="false">+PROPER(C1016&amp;" "&amp;D1016)</f>
        <v>Valencia Quinonez Erika Pamela</v>
      </c>
      <c r="S1016" s="230" t="n">
        <f aca="false">+YEARFRAC(L1016,$S$1)</f>
        <v>5.43888888888889</v>
      </c>
      <c r="T1016" s="230" t="n">
        <f aca="false">+YEARFRAC(M1016,$S$1)</f>
        <v>11.4111111111111</v>
      </c>
      <c r="U1016" s="231" t="n">
        <f aca="false">+$I1016</f>
        <v>462657</v>
      </c>
      <c r="V1016" s="232" t="str">
        <f aca="false">+PROPER(F1016)</f>
        <v>Soltero(A)</v>
      </c>
    </row>
    <row r="1017" customFormat="false" ht="14.25" hidden="false" customHeight="false" outlineLevel="0" collapsed="false">
      <c r="B1017" s="197" t="n">
        <v>1112100422</v>
      </c>
      <c r="C1017" s="197" t="s">
        <v>2753</v>
      </c>
      <c r="D1017" s="197" t="s">
        <v>2754</v>
      </c>
      <c r="E1017" s="198" t="s">
        <v>944</v>
      </c>
      <c r="F1017" s="198" t="s">
        <v>945</v>
      </c>
      <c r="G1017" s="225" t="n">
        <v>5418800</v>
      </c>
      <c r="H1017" s="225" t="n">
        <v>500000</v>
      </c>
      <c r="I1017" s="225"/>
      <c r="J1017" s="198" t="n">
        <v>35</v>
      </c>
      <c r="K1017" s="198" t="n">
        <v>6</v>
      </c>
      <c r="L1017" s="226" t="n">
        <v>45524</v>
      </c>
      <c r="M1017" s="226" t="n">
        <v>42667</v>
      </c>
      <c r="N1017" s="227" t="n">
        <v>0</v>
      </c>
      <c r="O1017" s="227" t="s">
        <v>135</v>
      </c>
      <c r="P1017" s="228" t="n">
        <f aca="false">VLOOKUP(B1017,'NIVEL ENERO'!A:D,3,0)</f>
        <v>0.351622699056442</v>
      </c>
      <c r="Q1017" s="229" t="n">
        <f aca="false">VLOOKUP(B1017,'NIVEL ENERO'!A:D,4,0)</f>
        <v>514736.8</v>
      </c>
      <c r="R1017" s="186" t="str">
        <f aca="false">+PROPER(C1017&amp;" "&amp;D1017)</f>
        <v>Escobar Leidy Johana</v>
      </c>
      <c r="S1017" s="230" t="n">
        <f aca="false">+YEARFRAC(L1017,$S$1)</f>
        <v>1.72777777777778</v>
      </c>
      <c r="T1017" s="230" t="n">
        <f aca="false">+YEARFRAC(M1017,$S$1)</f>
        <v>9.55</v>
      </c>
      <c r="U1017" s="231" t="n">
        <f aca="false">+$I1017</f>
        <v>0</v>
      </c>
      <c r="V1017" s="232" t="str">
        <f aca="false">+PROPER(F1017)</f>
        <v>Union Libre</v>
      </c>
    </row>
    <row r="1018" customFormat="false" ht="14.25" hidden="false" customHeight="false" outlineLevel="0" collapsed="false">
      <c r="B1018" s="197" t="n">
        <v>1112104835</v>
      </c>
      <c r="C1018" s="197" t="s">
        <v>2755</v>
      </c>
      <c r="D1018" s="197" t="s">
        <v>2212</v>
      </c>
      <c r="E1018" s="198" t="s">
        <v>944</v>
      </c>
      <c r="F1018" s="198" t="s">
        <v>953</v>
      </c>
      <c r="G1018" s="225" t="n">
        <v>2600900</v>
      </c>
      <c r="H1018" s="225" t="n">
        <v>2213761</v>
      </c>
      <c r="I1018" s="225"/>
      <c r="J1018" s="198" t="n">
        <v>30</v>
      </c>
      <c r="K1018" s="198" t="n">
        <v>2</v>
      </c>
      <c r="L1018" s="226" t="n">
        <v>44448</v>
      </c>
      <c r="M1018" s="226" t="n">
        <v>43483</v>
      </c>
      <c r="N1018" s="227" t="n">
        <v>1</v>
      </c>
      <c r="O1018" s="227" t="s">
        <v>135</v>
      </c>
      <c r="P1018" s="228" t="n">
        <f aca="false">VLOOKUP(B1018,'NIVEL ENERO'!A:D,3,0)</f>
        <v>0.397336998731208</v>
      </c>
      <c r="Q1018" s="229" t="n">
        <f aca="false">VLOOKUP(B1018,'NIVEL ENERO'!A:D,4,0)</f>
        <v>84206</v>
      </c>
      <c r="R1018" s="186" t="str">
        <f aca="false">+PROPER(C1018&amp;" "&amp;D1018)</f>
        <v>Jaramillo Cardona Santiago</v>
      </c>
      <c r="S1018" s="230" t="n">
        <f aca="false">+YEARFRAC(L1018,$S$1)</f>
        <v>4.675</v>
      </c>
      <c r="T1018" s="230" t="n">
        <f aca="false">+YEARFRAC(M1018,$S$1)</f>
        <v>7.31666666666667</v>
      </c>
      <c r="U1018" s="231" t="n">
        <f aca="false">+$I1018</f>
        <v>0</v>
      </c>
      <c r="V1018" s="232" t="str">
        <f aca="false">+PROPER(F1018)</f>
        <v>Soltero(A)</v>
      </c>
    </row>
    <row r="1019" customFormat="false" ht="14.25" hidden="false" customHeight="false" outlineLevel="0" collapsed="false">
      <c r="B1019" s="197" t="n">
        <v>1112107715</v>
      </c>
      <c r="C1019" s="197" t="s">
        <v>2756</v>
      </c>
      <c r="D1019" s="197" t="s">
        <v>1241</v>
      </c>
      <c r="E1019" s="198" t="s">
        <v>944</v>
      </c>
      <c r="F1019" s="198" t="s">
        <v>953</v>
      </c>
      <c r="G1019" s="225" t="n">
        <v>2600900</v>
      </c>
      <c r="H1019" s="225" t="n">
        <v>1718405</v>
      </c>
      <c r="I1019" s="225" t="n">
        <v>163084</v>
      </c>
      <c r="J1019" s="198" t="n">
        <v>25</v>
      </c>
      <c r="K1019" s="198" t="n">
        <v>1</v>
      </c>
      <c r="L1019" s="226" t="n">
        <v>44938</v>
      </c>
      <c r="M1019" s="226" t="n">
        <v>43600</v>
      </c>
      <c r="N1019" s="227" t="n">
        <v>0</v>
      </c>
      <c r="O1019" s="227" t="s">
        <v>135</v>
      </c>
      <c r="P1019" s="228" t="n">
        <f aca="false">VLOOKUP(B1019,'NIVEL ENERO'!A:D,3,0)</f>
        <v>0.205922949748164</v>
      </c>
      <c r="Q1019" s="229" t="n">
        <f aca="false">VLOOKUP(B1019,'NIVEL ENERO'!A:D,4,0)</f>
        <v>556793</v>
      </c>
      <c r="R1019" s="186" t="str">
        <f aca="false">+PROPER(C1019&amp;" "&amp;D1019)</f>
        <v>Castaneda Granda Diana Carolina</v>
      </c>
      <c r="S1019" s="230" t="n">
        <f aca="false">+YEARFRAC(L1019,$S$1)</f>
        <v>3.33333333333333</v>
      </c>
      <c r="T1019" s="230" t="n">
        <f aca="false">+YEARFRAC(M1019,$S$1)</f>
        <v>6.99166666666667</v>
      </c>
      <c r="U1019" s="231" t="n">
        <f aca="false">+$I1019</f>
        <v>163084</v>
      </c>
      <c r="V1019" s="232" t="str">
        <f aca="false">+PROPER(F1019)</f>
        <v>Soltero(A)</v>
      </c>
    </row>
    <row r="1020" customFormat="false" ht="14.25" hidden="false" customHeight="false" outlineLevel="0" collapsed="false">
      <c r="B1020" s="197" t="n">
        <v>1112218922</v>
      </c>
      <c r="C1020" s="197" t="s">
        <v>2757</v>
      </c>
      <c r="D1020" s="197" t="s">
        <v>2758</v>
      </c>
      <c r="E1020" s="198" t="s">
        <v>944</v>
      </c>
      <c r="F1020" s="198" t="s">
        <v>948</v>
      </c>
      <c r="G1020" s="225" t="n">
        <v>2893800</v>
      </c>
      <c r="H1020" s="225" t="n">
        <v>1860209</v>
      </c>
      <c r="I1020" s="225" t="n">
        <v>1459289</v>
      </c>
      <c r="J1020" s="198" t="n">
        <v>38</v>
      </c>
      <c r="K1020" s="198" t="n">
        <v>2</v>
      </c>
      <c r="L1020" s="226" t="n">
        <v>44669</v>
      </c>
      <c r="M1020" s="226" t="n">
        <v>39139</v>
      </c>
      <c r="N1020" s="227" t="n">
        <v>1</v>
      </c>
      <c r="O1020" s="227" t="s">
        <v>135</v>
      </c>
      <c r="P1020" s="228" t="n">
        <f aca="false">VLOOKUP(B1020,'NIVEL ENERO'!A:D,3,0)</f>
        <v>0.374970626857419</v>
      </c>
      <c r="Q1020" s="229" t="n">
        <f aca="false">VLOOKUP(B1020,'NIVEL ENERO'!A:D,4,0)</f>
        <v>130306</v>
      </c>
      <c r="R1020" s="186" t="str">
        <f aca="false">+PROPER(C1020&amp;" "&amp;D1020)</f>
        <v>Dominguez Buitron Janeth Lidbelay</v>
      </c>
      <c r="S1020" s="230" t="n">
        <f aca="false">+YEARFRAC(L1020,$S$1)</f>
        <v>4.06666666666667</v>
      </c>
      <c r="T1020" s="230" t="n">
        <f aca="false">+YEARFRAC(M1020,$S$1)</f>
        <v>19.2111111111111</v>
      </c>
      <c r="U1020" s="231" t="n">
        <f aca="false">+$I1020</f>
        <v>1459289</v>
      </c>
      <c r="V1020" s="232" t="str">
        <f aca="false">+PROPER(F1020)</f>
        <v>Casado(A)</v>
      </c>
    </row>
    <row r="1021" customFormat="false" ht="14.25" hidden="false" customHeight="false" outlineLevel="0" collapsed="false">
      <c r="B1021" s="197" t="n">
        <v>1112223503</v>
      </c>
      <c r="C1021" s="197" t="s">
        <v>2759</v>
      </c>
      <c r="D1021" s="197" t="s">
        <v>2482</v>
      </c>
      <c r="E1021" s="198" t="s">
        <v>944</v>
      </c>
      <c r="F1021" s="198" t="s">
        <v>948</v>
      </c>
      <c r="G1021" s="225" t="n">
        <v>2600900</v>
      </c>
      <c r="H1021" s="225" t="n">
        <v>2690148</v>
      </c>
      <c r="I1021" s="225" t="n">
        <v>2430931</v>
      </c>
      <c r="J1021" s="198" t="n">
        <v>37</v>
      </c>
      <c r="K1021" s="198" t="n">
        <v>3</v>
      </c>
      <c r="L1021" s="226" t="n">
        <v>44120</v>
      </c>
      <c r="M1021" s="226" t="n">
        <v>43273</v>
      </c>
      <c r="N1021" s="227" t="n">
        <v>2</v>
      </c>
      <c r="O1021" s="227" t="s">
        <v>135</v>
      </c>
      <c r="P1021" s="228" t="n">
        <f aca="false">VLOOKUP(B1021,'NIVEL ENERO'!A:D,3,0)</f>
        <v>0.271181098576099</v>
      </c>
      <c r="Q1021" s="229" t="n">
        <f aca="false">VLOOKUP(B1021,'NIVEL ENERO'!A:D,4,0)</f>
        <v>544721.18</v>
      </c>
      <c r="R1021" s="186" t="str">
        <f aca="false">+PROPER(C1021&amp;" "&amp;D1021)</f>
        <v>Villano Reyes Andres Felipe</v>
      </c>
      <c r="S1021" s="230" t="n">
        <f aca="false">+YEARFRAC(L1021,$S$1)</f>
        <v>5.57222222222222</v>
      </c>
      <c r="T1021" s="230" t="n">
        <f aca="false">+YEARFRAC(M1021,$S$1)</f>
        <v>7.88888888888889</v>
      </c>
      <c r="U1021" s="231" t="n">
        <f aca="false">+$I1021</f>
        <v>2430931</v>
      </c>
      <c r="V1021" s="232" t="str">
        <f aca="false">+PROPER(F1021)</f>
        <v>Casado(A)</v>
      </c>
    </row>
    <row r="1022" customFormat="false" ht="14.25" hidden="false" customHeight="false" outlineLevel="0" collapsed="false">
      <c r="B1022" s="197" t="n">
        <v>1112300302</v>
      </c>
      <c r="C1022" s="197" t="s">
        <v>2760</v>
      </c>
      <c r="D1022" s="197" t="s">
        <v>2761</v>
      </c>
      <c r="E1022" s="198" t="s">
        <v>944</v>
      </c>
      <c r="F1022" s="198" t="s">
        <v>948</v>
      </c>
      <c r="G1022" s="225" t="n">
        <v>4870200</v>
      </c>
      <c r="H1022" s="225" t="n">
        <v>11273743</v>
      </c>
      <c r="I1022" s="225" t="n">
        <v>0</v>
      </c>
      <c r="J1022" s="198" t="n">
        <v>35</v>
      </c>
      <c r="K1022" s="198" t="n">
        <v>1</v>
      </c>
      <c r="L1022" s="226" t="n">
        <v>41619</v>
      </c>
      <c r="M1022" s="226" t="n">
        <v>41562</v>
      </c>
      <c r="N1022" s="227" t="n">
        <v>4</v>
      </c>
      <c r="O1022" s="227" t="s">
        <v>135</v>
      </c>
      <c r="P1022" s="228" t="n">
        <f aca="false">VLOOKUP(B1022,'NIVEL ENERO'!A:D,3,0)</f>
        <v>0.365786415342286</v>
      </c>
      <c r="Q1022" s="229" t="n">
        <f aca="false">VLOOKUP(B1022,'NIVEL ENERO'!A:D,4,0)</f>
        <v>264031</v>
      </c>
      <c r="R1022" s="186" t="str">
        <f aca="false">+PROPER(C1022&amp;" "&amp;D1022)</f>
        <v>Morales Cifuentes Eliana Andrea</v>
      </c>
      <c r="S1022" s="230" t="n">
        <f aca="false">+YEARFRAC(L1022,$S$1)</f>
        <v>12.4194444444444</v>
      </c>
      <c r="T1022" s="230" t="n">
        <f aca="false">+YEARFRAC(M1022,$S$1)</f>
        <v>12.575</v>
      </c>
      <c r="U1022" s="231" t="n">
        <f aca="false">+$I1022</f>
        <v>0</v>
      </c>
      <c r="V1022" s="232" t="str">
        <f aca="false">+PROPER(F1022)</f>
        <v>Casado(A)</v>
      </c>
    </row>
    <row r="1023" customFormat="false" ht="14.25" hidden="false" customHeight="false" outlineLevel="0" collapsed="false">
      <c r="B1023" s="197" t="n">
        <v>1112461387</v>
      </c>
      <c r="C1023" s="197" t="s">
        <v>2762</v>
      </c>
      <c r="D1023" s="197" t="s">
        <v>2763</v>
      </c>
      <c r="E1023" s="198" t="s">
        <v>944</v>
      </c>
      <c r="F1023" s="198" t="s">
        <v>953</v>
      </c>
      <c r="G1023" s="225" t="n">
        <v>5418800</v>
      </c>
      <c r="H1023" s="225" t="n">
        <v>1607671</v>
      </c>
      <c r="I1023" s="225" t="n">
        <v>2568325</v>
      </c>
      <c r="J1023" s="198" t="n">
        <v>38</v>
      </c>
      <c r="K1023" s="198" t="n">
        <v>2</v>
      </c>
      <c r="L1023" s="226" t="n">
        <v>44827</v>
      </c>
      <c r="M1023" s="226" t="n">
        <v>44199</v>
      </c>
      <c r="N1023" s="227" t="n">
        <v>2</v>
      </c>
      <c r="O1023" s="227" t="s">
        <v>135</v>
      </c>
      <c r="P1023" s="228" t="n">
        <f aca="false">VLOOKUP(B1023,'NIVEL ENERO'!A:D,3,0)</f>
        <v>0.233198214034594</v>
      </c>
      <c r="Q1023" s="229" t="n">
        <f aca="false">VLOOKUP(B1023,'NIVEL ENERO'!A:D,4,0)</f>
        <v>1062678</v>
      </c>
      <c r="R1023" s="186" t="str">
        <f aca="false">+PROPER(C1023&amp;" "&amp;D1023)</f>
        <v>Vivas Pelaez Maritza</v>
      </c>
      <c r="S1023" s="230" t="n">
        <f aca="false">+YEARFRAC(L1023,$S$1)</f>
        <v>3.63611111111111</v>
      </c>
      <c r="T1023" s="230" t="n">
        <f aca="false">+YEARFRAC(M1023,$S$1)</f>
        <v>5.35833333333333</v>
      </c>
      <c r="U1023" s="231" t="n">
        <f aca="false">+$I1023</f>
        <v>2568325</v>
      </c>
      <c r="V1023" s="232" t="str">
        <f aca="false">+PROPER(F1023)</f>
        <v>Soltero(A)</v>
      </c>
    </row>
    <row r="1024" customFormat="false" ht="14.25" hidden="false" customHeight="false" outlineLevel="0" collapsed="false">
      <c r="B1024" s="197" t="n">
        <v>1112465088</v>
      </c>
      <c r="C1024" s="197" t="s">
        <v>2764</v>
      </c>
      <c r="D1024" s="197" t="s">
        <v>2765</v>
      </c>
      <c r="E1024" s="198" t="s">
        <v>944</v>
      </c>
      <c r="F1024" s="198" t="s">
        <v>953</v>
      </c>
      <c r="G1024" s="225" t="n">
        <v>1670000</v>
      </c>
      <c r="H1024" s="225" t="n">
        <v>3008029</v>
      </c>
      <c r="I1024" s="225" t="n">
        <v>2036916</v>
      </c>
      <c r="J1024" s="198" t="n">
        <v>36</v>
      </c>
      <c r="K1024" s="198" t="n">
        <v>1</v>
      </c>
      <c r="L1024" s="226" t="n">
        <v>44908</v>
      </c>
      <c r="M1024" s="226" t="n">
        <v>44794</v>
      </c>
      <c r="N1024" s="227" t="n">
        <v>0</v>
      </c>
      <c r="O1024" s="227" t="s">
        <v>135</v>
      </c>
      <c r="P1024" s="228" t="str">
        <f aca="false">VLOOKUP(B1024,'NIVEL ENERO'!A:D,3,0)</f>
        <v>0</v>
      </c>
      <c r="Q1024" s="229" t="n">
        <f aca="false">VLOOKUP(B1024,'NIVEL ENERO'!A:D,4,0)</f>
        <v>0</v>
      </c>
      <c r="R1024" s="186" t="str">
        <f aca="false">+PROPER(C1024&amp;" "&amp;D1024)</f>
        <v>Londono Ceron James</v>
      </c>
      <c r="S1024" s="230" t="n">
        <f aca="false">+YEARFRAC(L1024,$S$1)</f>
        <v>3.41388888888889</v>
      </c>
      <c r="T1024" s="230" t="n">
        <f aca="false">+YEARFRAC(M1024,$S$1)</f>
        <v>3.725</v>
      </c>
      <c r="U1024" s="231" t="n">
        <f aca="false">+$I1024</f>
        <v>2036916</v>
      </c>
      <c r="V1024" s="232" t="str">
        <f aca="false">+PROPER(F1024)</f>
        <v>Soltero(A)</v>
      </c>
    </row>
    <row r="1025" customFormat="false" ht="14.25" hidden="false" customHeight="false" outlineLevel="0" collapsed="false">
      <c r="B1025" s="197" t="n">
        <v>1112466938</v>
      </c>
      <c r="C1025" s="197" t="s">
        <v>2766</v>
      </c>
      <c r="D1025" s="197" t="s">
        <v>2767</v>
      </c>
      <c r="E1025" s="198" t="s">
        <v>944</v>
      </c>
      <c r="F1025" s="198" t="s">
        <v>945</v>
      </c>
      <c r="G1025" s="225" t="n">
        <v>2893800</v>
      </c>
      <c r="H1025" s="225" t="n">
        <v>5013381</v>
      </c>
      <c r="I1025" s="225" t="n">
        <v>541368</v>
      </c>
      <c r="J1025" s="198" t="n">
        <v>36</v>
      </c>
      <c r="K1025" s="198" t="n">
        <v>1</v>
      </c>
      <c r="L1025" s="226" t="n">
        <v>44883</v>
      </c>
      <c r="M1025" s="226" t="n">
        <v>43413</v>
      </c>
      <c r="N1025" s="227" t="n">
        <v>0</v>
      </c>
      <c r="O1025" s="227" t="s">
        <v>135</v>
      </c>
      <c r="P1025" s="228" t="n">
        <f aca="false">VLOOKUP(B1025,'NIVEL ENERO'!A:D,3,0)</f>
        <v>0.371438314873237</v>
      </c>
      <c r="Q1025" s="229" t="n">
        <f aca="false">VLOOKUP(B1025,'NIVEL ENERO'!A:D,4,0)</f>
        <v>232208.64</v>
      </c>
      <c r="R1025" s="186" t="str">
        <f aca="false">+PROPER(C1025&amp;" "&amp;D1025)</f>
        <v>Ceron Zuniga Deisy Alexandra</v>
      </c>
      <c r="S1025" s="230" t="n">
        <f aca="false">+YEARFRAC(L1025,$S$1)</f>
        <v>3.48333333333333</v>
      </c>
      <c r="T1025" s="230" t="n">
        <f aca="false">+YEARFRAC(M1025,$S$1)</f>
        <v>7.50833333333333</v>
      </c>
      <c r="U1025" s="231" t="n">
        <f aca="false">+$I1025</f>
        <v>541368</v>
      </c>
      <c r="V1025" s="232" t="str">
        <f aca="false">+PROPER(F1025)</f>
        <v>Union Libre</v>
      </c>
    </row>
    <row r="1026" customFormat="false" ht="14.25" hidden="false" customHeight="false" outlineLevel="0" collapsed="false">
      <c r="B1026" s="197" t="n">
        <v>1112469097</v>
      </c>
      <c r="C1026" s="197" t="s">
        <v>2768</v>
      </c>
      <c r="D1026" s="197" t="s">
        <v>1447</v>
      </c>
      <c r="E1026" s="198" t="s">
        <v>944</v>
      </c>
      <c r="F1026" s="198" t="s">
        <v>953</v>
      </c>
      <c r="G1026" s="225" t="n">
        <v>2893800</v>
      </c>
      <c r="H1026" s="225" t="n">
        <v>903403</v>
      </c>
      <c r="I1026" s="225" t="n">
        <v>1282988</v>
      </c>
      <c r="J1026" s="198" t="n">
        <v>34</v>
      </c>
      <c r="K1026" s="198" t="n">
        <v>2</v>
      </c>
      <c r="L1026" s="226" t="n">
        <v>45250</v>
      </c>
      <c r="M1026" s="226" t="n">
        <v>44131</v>
      </c>
      <c r="N1026" s="227" t="n">
        <v>3</v>
      </c>
      <c r="O1026" s="227" t="s">
        <v>135</v>
      </c>
      <c r="P1026" s="228" t="n">
        <f aca="false">VLOOKUP(B1026,'NIVEL ENERO'!A:D,3,0)</f>
        <v>0.492806031178124</v>
      </c>
      <c r="Q1026" s="229" t="n">
        <f aca="false">VLOOKUP(B1026,'NIVEL ENERO'!A:D,4,0)</f>
        <v>-301983.4</v>
      </c>
      <c r="R1026" s="186" t="str">
        <f aca="false">+PROPER(C1026&amp;" "&amp;D1026)</f>
        <v>Moreno Trujillo Martha Lucia</v>
      </c>
      <c r="S1026" s="230" t="n">
        <f aca="false">+YEARFRAC(L1026,$S$1)</f>
        <v>2.47777777777778</v>
      </c>
      <c r="T1026" s="230" t="n">
        <f aca="false">+YEARFRAC(M1026,$S$1)</f>
        <v>5.54166666666667</v>
      </c>
      <c r="U1026" s="231" t="n">
        <f aca="false">+$I1026</f>
        <v>1282988</v>
      </c>
      <c r="V1026" s="232" t="str">
        <f aca="false">+PROPER(F1026)</f>
        <v>Soltero(A)</v>
      </c>
    </row>
    <row r="1027" customFormat="false" ht="14.25" hidden="false" customHeight="false" outlineLevel="0" collapsed="false">
      <c r="B1027" s="197" t="n">
        <v>1112469685</v>
      </c>
      <c r="C1027" s="197" t="s">
        <v>2769</v>
      </c>
      <c r="D1027" s="197" t="s">
        <v>1184</v>
      </c>
      <c r="E1027" s="198" t="s">
        <v>944</v>
      </c>
      <c r="F1027" s="198" t="s">
        <v>945</v>
      </c>
      <c r="G1027" s="225" t="n">
        <v>2600900</v>
      </c>
      <c r="H1027" s="225" t="n">
        <v>2314776</v>
      </c>
      <c r="I1027" s="225" t="n">
        <v>77551</v>
      </c>
      <c r="J1027" s="198" t="n">
        <v>34</v>
      </c>
      <c r="K1027" s="198" t="n">
        <v>2</v>
      </c>
      <c r="L1027" s="226" t="n">
        <v>44398</v>
      </c>
      <c r="M1027" s="226" t="n">
        <v>44249</v>
      </c>
      <c r="N1027" s="227" t="n">
        <v>2</v>
      </c>
      <c r="O1027" s="227" t="s">
        <v>135</v>
      </c>
      <c r="P1027" s="228" t="n">
        <f aca="false">VLOOKUP(B1027,'NIVEL ENERO'!A:D,3,0)</f>
        <v>0.121262639855435</v>
      </c>
      <c r="Q1027" s="229" t="n">
        <f aca="false">VLOOKUP(B1027,'NIVEL ENERO'!A:D,4,0)</f>
        <v>776986</v>
      </c>
      <c r="R1027" s="186" t="str">
        <f aca="false">+PROPER(C1027&amp;" "&amp;D1027)</f>
        <v>Gasca Marin Paola Andrea</v>
      </c>
      <c r="S1027" s="230" t="n">
        <f aca="false">+YEARFRAC(L1027,$S$1)</f>
        <v>4.80833333333333</v>
      </c>
      <c r="T1027" s="230" t="n">
        <f aca="false">+YEARFRAC(M1027,$S$1)</f>
        <v>5.22222222222222</v>
      </c>
      <c r="U1027" s="231" t="n">
        <f aca="false">+$I1027</f>
        <v>77551</v>
      </c>
      <c r="V1027" s="232" t="str">
        <f aca="false">+PROPER(F1027)</f>
        <v>Union Libre</v>
      </c>
    </row>
    <row r="1028" customFormat="false" ht="14.25" hidden="false" customHeight="false" outlineLevel="0" collapsed="false">
      <c r="B1028" s="197" t="n">
        <v>1112470207</v>
      </c>
      <c r="C1028" s="197" t="s">
        <v>2770</v>
      </c>
      <c r="D1028" s="197" t="s">
        <v>2771</v>
      </c>
      <c r="E1028" s="198" t="s">
        <v>944</v>
      </c>
      <c r="F1028" s="198" t="s">
        <v>953</v>
      </c>
      <c r="G1028" s="225" t="n">
        <v>1670000</v>
      </c>
      <c r="H1028" s="225" t="n">
        <v>1703053</v>
      </c>
      <c r="I1028" s="225" t="n">
        <v>12113977</v>
      </c>
      <c r="J1028" s="198" t="n">
        <v>34</v>
      </c>
      <c r="K1028" s="198" t="n">
        <v>2</v>
      </c>
      <c r="L1028" s="226" t="n">
        <v>45142</v>
      </c>
      <c r="M1028" s="226" t="n">
        <v>44691</v>
      </c>
      <c r="N1028" s="227" t="n">
        <v>2</v>
      </c>
      <c r="O1028" s="227" t="s">
        <v>135</v>
      </c>
      <c r="P1028" s="228" t="n">
        <f aca="false">VLOOKUP(B1028,'NIVEL ENERO'!A:D,3,0)</f>
        <v>0.182739459818198</v>
      </c>
      <c r="Q1028" s="229" t="n">
        <f aca="false">VLOOKUP(B1028,'NIVEL ENERO'!A:D,4,0)</f>
        <v>510986.76</v>
      </c>
      <c r="R1028" s="186" t="str">
        <f aca="false">+PROPER(C1028&amp;" "&amp;D1028)</f>
        <v>Quijano Pillimue Antonio Jose</v>
      </c>
      <c r="S1028" s="230" t="n">
        <f aca="false">+YEARFRAC(L1028,$S$1)</f>
        <v>2.77222222222222</v>
      </c>
      <c r="T1028" s="230" t="n">
        <f aca="false">+YEARFRAC(M1028,$S$1)</f>
        <v>4.00555555555556</v>
      </c>
      <c r="U1028" s="231" t="n">
        <f aca="false">+$I1028</f>
        <v>12113977</v>
      </c>
      <c r="V1028" s="232" t="str">
        <f aca="false">+PROPER(F1028)</f>
        <v>Soltero(A)</v>
      </c>
    </row>
    <row r="1029" customFormat="false" ht="14.25" hidden="false" customHeight="false" outlineLevel="0" collapsed="false">
      <c r="B1029" s="197" t="n">
        <v>1112472484</v>
      </c>
      <c r="C1029" s="197" t="s">
        <v>2772</v>
      </c>
      <c r="D1029" s="197" t="s">
        <v>2631</v>
      </c>
      <c r="E1029" s="198" t="s">
        <v>944</v>
      </c>
      <c r="F1029" s="198" t="s">
        <v>948</v>
      </c>
      <c r="G1029" s="225" t="n">
        <v>1670000</v>
      </c>
      <c r="H1029" s="225" t="n">
        <v>1121761</v>
      </c>
      <c r="I1029" s="225" t="n">
        <v>2899813</v>
      </c>
      <c r="J1029" s="198" t="n">
        <v>33</v>
      </c>
      <c r="K1029" s="198" t="n">
        <v>4</v>
      </c>
      <c r="L1029" s="226" t="n">
        <v>45124</v>
      </c>
      <c r="M1029" s="226" t="n">
        <v>43525</v>
      </c>
      <c r="N1029" s="227" t="n">
        <v>0</v>
      </c>
      <c r="O1029" s="227" t="s">
        <v>135</v>
      </c>
      <c r="P1029" s="228" t="n">
        <f aca="false">VLOOKUP(B1029,'NIVEL ENERO'!A:D,3,0)</f>
        <v>0.388902842912867</v>
      </c>
      <c r="Q1029" s="229" t="n">
        <f aca="false">VLOOKUP(B1029,'NIVEL ENERO'!A:D,4,0)</f>
        <v>122735</v>
      </c>
      <c r="R1029" s="186" t="str">
        <f aca="false">+PROPER(C1029&amp;" "&amp;D1029)</f>
        <v>Rivera Florez Angie Yulieth</v>
      </c>
      <c r="S1029" s="230" t="n">
        <f aca="false">+YEARFRAC(L1029,$S$1)</f>
        <v>2.81944444444444</v>
      </c>
      <c r="T1029" s="230" t="n">
        <f aca="false">+YEARFRAC(M1029,$S$1)</f>
        <v>7.19722222222222</v>
      </c>
      <c r="U1029" s="231" t="n">
        <f aca="false">+$I1029</f>
        <v>2899813</v>
      </c>
      <c r="V1029" s="232" t="str">
        <f aca="false">+PROPER(F1029)</f>
        <v>Casado(A)</v>
      </c>
    </row>
    <row r="1030" customFormat="false" ht="14.25" hidden="false" customHeight="false" outlineLevel="0" collapsed="false">
      <c r="B1030" s="197" t="n">
        <v>1112476291</v>
      </c>
      <c r="C1030" s="197" t="s">
        <v>2773</v>
      </c>
      <c r="D1030" s="197" t="s">
        <v>1434</v>
      </c>
      <c r="E1030" s="198" t="s">
        <v>944</v>
      </c>
      <c r="F1030" s="198" t="s">
        <v>948</v>
      </c>
      <c r="G1030" s="225" t="n">
        <v>2604400</v>
      </c>
      <c r="H1030" s="225" t="n">
        <v>2500100</v>
      </c>
      <c r="I1030" s="225" t="n">
        <v>2494472</v>
      </c>
      <c r="J1030" s="198" t="n">
        <v>32</v>
      </c>
      <c r="K1030" s="198" t="n">
        <v>2</v>
      </c>
      <c r="L1030" s="226" t="n">
        <v>45249</v>
      </c>
      <c r="M1030" s="226" t="n">
        <v>45061</v>
      </c>
      <c r="N1030" s="227" t="n">
        <v>0</v>
      </c>
      <c r="O1030" s="227" t="s">
        <v>135</v>
      </c>
      <c r="P1030" s="228" t="n">
        <f aca="false">VLOOKUP(B1030,'NIVEL ENERO'!A:D,3,0)</f>
        <v>0.215310293521106</v>
      </c>
      <c r="Q1030" s="229" t="n">
        <f aca="false">VLOOKUP(B1030,'NIVEL ENERO'!A:D,4,0)</f>
        <v>709130.84</v>
      </c>
      <c r="R1030" s="186" t="str">
        <f aca="false">+PROPER(C1030&amp;" "&amp;D1030)</f>
        <v>Arias Osorio Diana Marcela</v>
      </c>
      <c r="S1030" s="230" t="n">
        <f aca="false">+YEARFRAC(L1030,$S$1)</f>
        <v>2.48055555555556</v>
      </c>
      <c r="T1030" s="230" t="n">
        <f aca="false">+YEARFRAC(M1030,$S$1)</f>
        <v>2.99166666666667</v>
      </c>
      <c r="U1030" s="231" t="n">
        <f aca="false">+$I1030</f>
        <v>2494472</v>
      </c>
      <c r="V1030" s="232" t="str">
        <f aca="false">+PROPER(F1030)</f>
        <v>Casado(A)</v>
      </c>
    </row>
    <row r="1031" customFormat="false" ht="14.25" hidden="false" customHeight="false" outlineLevel="0" collapsed="false">
      <c r="B1031" s="197" t="n">
        <v>1112477211</v>
      </c>
      <c r="C1031" s="197" t="s">
        <v>2774</v>
      </c>
      <c r="D1031" s="197" t="s">
        <v>2278</v>
      </c>
      <c r="E1031" s="198" t="s">
        <v>944</v>
      </c>
      <c r="F1031" s="198" t="s">
        <v>953</v>
      </c>
      <c r="G1031" s="225" t="n">
        <v>1625000</v>
      </c>
      <c r="H1031" s="225" t="n">
        <v>535000</v>
      </c>
      <c r="I1031" s="225" t="n">
        <v>2701738</v>
      </c>
      <c r="J1031" s="198" t="n">
        <v>32</v>
      </c>
      <c r="K1031" s="198" t="n">
        <v>2</v>
      </c>
      <c r="L1031" s="226" t="n">
        <v>45414</v>
      </c>
      <c r="M1031" s="226" t="n">
        <v>45302</v>
      </c>
      <c r="N1031" s="227" t="n">
        <v>0</v>
      </c>
      <c r="O1031" s="227" t="s">
        <v>135</v>
      </c>
      <c r="P1031" s="228" t="n">
        <f aca="false">VLOOKUP(B1031,'NIVEL ENERO'!A:D,3,0)</f>
        <v>0.455684233846154</v>
      </c>
      <c r="Q1031" s="229" t="n">
        <f aca="false">VLOOKUP(B1031,'NIVEL ENERO'!A:D,4,0)</f>
        <v>-138064</v>
      </c>
      <c r="R1031" s="186" t="str">
        <f aca="false">+PROPER(C1031&amp;" "&amp;D1031)</f>
        <v>Cosme Viafara Mayerli</v>
      </c>
      <c r="S1031" s="230" t="n">
        <f aca="false">+YEARFRAC(L1031,$S$1)</f>
        <v>2.02777777777778</v>
      </c>
      <c r="T1031" s="230" t="n">
        <f aca="false">+YEARFRAC(M1031,$S$1)</f>
        <v>2.33611111111111</v>
      </c>
      <c r="U1031" s="231" t="n">
        <f aca="false">+$I1031</f>
        <v>2701738</v>
      </c>
      <c r="V1031" s="232" t="str">
        <f aca="false">+PROPER(F1031)</f>
        <v>Soltero(A)</v>
      </c>
    </row>
    <row r="1032" customFormat="false" ht="14.25" hidden="false" customHeight="false" outlineLevel="0" collapsed="false">
      <c r="B1032" s="197" t="n">
        <v>1112478456</v>
      </c>
      <c r="C1032" s="197" t="s">
        <v>2775</v>
      </c>
      <c r="D1032" s="197" t="s">
        <v>2776</v>
      </c>
      <c r="E1032" s="198" t="s">
        <v>944</v>
      </c>
      <c r="F1032" s="198" t="s">
        <v>948</v>
      </c>
      <c r="G1032" s="225" t="n">
        <v>2893800</v>
      </c>
      <c r="H1032" s="225" t="n">
        <v>2373280</v>
      </c>
      <c r="I1032" s="225" t="n">
        <v>7657172</v>
      </c>
      <c r="J1032" s="198" t="n">
        <v>31</v>
      </c>
      <c r="K1032" s="198" t="n">
        <v>2</v>
      </c>
      <c r="L1032" s="226" t="n">
        <v>44823</v>
      </c>
      <c r="M1032" s="226" t="n">
        <v>42220</v>
      </c>
      <c r="N1032" s="227" t="n">
        <v>2</v>
      </c>
      <c r="O1032" s="227" t="s">
        <v>135</v>
      </c>
      <c r="P1032" s="228" t="n">
        <f aca="false">VLOOKUP(B1032,'NIVEL ENERO'!A:D,3,0)</f>
        <v>0.507026876168402</v>
      </c>
      <c r="Q1032" s="229" t="n">
        <f aca="false">VLOOKUP(B1032,'NIVEL ENERO'!A:D,4,0)</f>
        <v>-348412.94</v>
      </c>
      <c r="R1032" s="186" t="str">
        <f aca="false">+PROPER(C1032&amp;" "&amp;D1032)</f>
        <v>Villegas Leydi Carolina</v>
      </c>
      <c r="S1032" s="230" t="n">
        <f aca="false">+YEARFRAC(L1032,$S$1)</f>
        <v>3.64722222222222</v>
      </c>
      <c r="T1032" s="230" t="n">
        <f aca="false">+YEARFRAC(M1032,$S$1)</f>
        <v>10.7722222222222</v>
      </c>
      <c r="U1032" s="231" t="n">
        <f aca="false">+$I1032</f>
        <v>7657172</v>
      </c>
      <c r="V1032" s="232" t="str">
        <f aca="false">+PROPER(F1032)</f>
        <v>Casado(A)</v>
      </c>
    </row>
    <row r="1033" customFormat="false" ht="14.25" hidden="false" customHeight="false" outlineLevel="0" collapsed="false">
      <c r="B1033" s="197" t="n">
        <v>1112478723</v>
      </c>
      <c r="C1033" s="197" t="s">
        <v>2777</v>
      </c>
      <c r="D1033" s="197" t="s">
        <v>1661</v>
      </c>
      <c r="E1033" s="198" t="s">
        <v>1550</v>
      </c>
      <c r="F1033" s="198" t="s">
        <v>953</v>
      </c>
      <c r="G1033" s="225" t="n">
        <v>2893800</v>
      </c>
      <c r="H1033" s="225" t="n">
        <v>1600537</v>
      </c>
      <c r="I1033" s="225" t="n">
        <v>54535</v>
      </c>
      <c r="J1033" s="198" t="n">
        <v>31</v>
      </c>
      <c r="K1033" s="198" t="n">
        <v>2</v>
      </c>
      <c r="L1033" s="226" t="n">
        <v>45191</v>
      </c>
      <c r="M1033" s="226" t="n">
        <v>41897</v>
      </c>
      <c r="N1033" s="227" t="n">
        <v>0</v>
      </c>
      <c r="O1033" s="227" t="s">
        <v>135</v>
      </c>
      <c r="P1033" s="228" t="n">
        <f aca="false">VLOOKUP(B1033,'NIVEL ENERO'!A:D,3,0)</f>
        <v>0.153976432372659</v>
      </c>
      <c r="Q1033" s="229" t="n">
        <f aca="false">VLOOKUP(B1033,'NIVEL ENERO'!A:D,4,0)</f>
        <v>769819</v>
      </c>
      <c r="R1033" s="186" t="str">
        <f aca="false">+PROPER(C1033&amp;" "&amp;D1033)</f>
        <v>Garcia Buitron Maria Alejandra</v>
      </c>
      <c r="S1033" s="230" t="n">
        <f aca="false">+YEARFRAC(L1033,$S$1)</f>
        <v>2.63888888888889</v>
      </c>
      <c r="T1033" s="230" t="n">
        <f aca="false">+YEARFRAC(M1033,$S$1)</f>
        <v>11.6583333333333</v>
      </c>
      <c r="U1033" s="231" t="n">
        <f aca="false">+$I1033</f>
        <v>54535</v>
      </c>
      <c r="V1033" s="232" t="str">
        <f aca="false">+PROPER(F1033)</f>
        <v>Soltero(A)</v>
      </c>
    </row>
    <row r="1034" customFormat="false" ht="14.25" hidden="false" customHeight="false" outlineLevel="0" collapsed="false">
      <c r="B1034" s="197" t="n">
        <v>1112478961</v>
      </c>
      <c r="C1034" s="197" t="s">
        <v>2778</v>
      </c>
      <c r="D1034" s="197" t="s">
        <v>2779</v>
      </c>
      <c r="E1034" s="198" t="s">
        <v>944</v>
      </c>
      <c r="F1034" s="198" t="s">
        <v>948</v>
      </c>
      <c r="G1034" s="225" t="n">
        <v>2600900</v>
      </c>
      <c r="H1034" s="225" t="n">
        <v>2002428</v>
      </c>
      <c r="I1034" s="225" t="n">
        <v>0</v>
      </c>
      <c r="J1034" s="198" t="n">
        <v>31</v>
      </c>
      <c r="K1034" s="198" t="n">
        <v>2</v>
      </c>
      <c r="L1034" s="226" t="n">
        <v>45064</v>
      </c>
      <c r="M1034" s="226" t="n">
        <v>44816</v>
      </c>
      <c r="N1034" s="227" t="n">
        <v>0</v>
      </c>
      <c r="O1034" s="227" t="s">
        <v>135</v>
      </c>
      <c r="P1034" s="228" t="n">
        <f aca="false">VLOOKUP(B1034,'NIVEL ENERO'!A:D,3,0)</f>
        <v>0.332955731903559</v>
      </c>
      <c r="Q1034" s="229" t="n">
        <f aca="false">VLOOKUP(B1034,'NIVEL ENERO'!A:D,4,0)</f>
        <v>202088.24</v>
      </c>
      <c r="R1034" s="186" t="str">
        <f aca="false">+PROPER(C1034&amp;" "&amp;D1034)</f>
        <v>Segura Ortiz Sol Mayra</v>
      </c>
      <c r="S1034" s="230" t="n">
        <f aca="false">+YEARFRAC(L1034,$S$1)</f>
        <v>2.98333333333333</v>
      </c>
      <c r="T1034" s="230" t="n">
        <f aca="false">+YEARFRAC(M1034,$S$1)</f>
        <v>3.66666666666667</v>
      </c>
      <c r="U1034" s="231" t="n">
        <f aca="false">+$I1034</f>
        <v>0</v>
      </c>
      <c r="V1034" s="232" t="str">
        <f aca="false">+PROPER(F1034)</f>
        <v>Casado(A)</v>
      </c>
    </row>
    <row r="1035" customFormat="false" ht="14.25" hidden="false" customHeight="false" outlineLevel="0" collapsed="false">
      <c r="B1035" s="197" t="n">
        <v>1112479726</v>
      </c>
      <c r="C1035" s="197" t="s">
        <v>2780</v>
      </c>
      <c r="D1035" s="197" t="s">
        <v>2781</v>
      </c>
      <c r="E1035" s="198" t="s">
        <v>944</v>
      </c>
      <c r="F1035" s="198" t="s">
        <v>953</v>
      </c>
      <c r="G1035" s="225" t="n">
        <v>2600900</v>
      </c>
      <c r="H1035" s="225" t="n">
        <v>1658179</v>
      </c>
      <c r="I1035" s="225" t="n">
        <v>2106178</v>
      </c>
      <c r="J1035" s="198" t="n">
        <v>31</v>
      </c>
      <c r="K1035" s="198" t="n">
        <v>4</v>
      </c>
      <c r="L1035" s="226" t="n">
        <v>44790</v>
      </c>
      <c r="M1035" s="226" t="n">
        <v>42856</v>
      </c>
      <c r="N1035" s="227" t="n">
        <v>1</v>
      </c>
      <c r="O1035" s="227" t="s">
        <v>135</v>
      </c>
      <c r="P1035" s="228" t="n">
        <f aca="false">VLOOKUP(B1035,'NIVEL ENERO'!A:D,3,0)</f>
        <v>0.317956204748189</v>
      </c>
      <c r="Q1035" s="229" t="n">
        <f aca="false">VLOOKUP(B1035,'NIVEL ENERO'!A:D,4,0)</f>
        <v>323294.88</v>
      </c>
      <c r="R1035" s="186" t="str">
        <f aca="false">+PROPER(C1035&amp;" "&amp;D1035)</f>
        <v>Avila Piamba Brahyan Mauricio</v>
      </c>
      <c r="S1035" s="230" t="n">
        <f aca="false">+YEARFRAC(L1035,$S$1)</f>
        <v>3.73611111111111</v>
      </c>
      <c r="T1035" s="230" t="n">
        <f aca="false">+YEARFRAC(M1035,$S$1)</f>
        <v>9.03055555555556</v>
      </c>
      <c r="U1035" s="231" t="n">
        <f aca="false">+$I1035</f>
        <v>2106178</v>
      </c>
      <c r="V1035" s="232" t="str">
        <f aca="false">+PROPER(F1035)</f>
        <v>Soltero(A)</v>
      </c>
    </row>
    <row r="1036" customFormat="false" ht="14.25" hidden="false" customHeight="false" outlineLevel="0" collapsed="false">
      <c r="B1036" s="197" t="n">
        <v>1112479971</v>
      </c>
      <c r="C1036" s="197" t="s">
        <v>2782</v>
      </c>
      <c r="D1036" s="197" t="s">
        <v>2783</v>
      </c>
      <c r="E1036" s="198" t="s">
        <v>944</v>
      </c>
      <c r="F1036" s="198" t="s">
        <v>953</v>
      </c>
      <c r="G1036" s="225" t="n">
        <v>1918500</v>
      </c>
      <c r="H1036" s="225" t="n">
        <v>1955779</v>
      </c>
      <c r="I1036" s="225" t="n">
        <v>0</v>
      </c>
      <c r="J1036" s="198" t="n">
        <v>31</v>
      </c>
      <c r="K1036" s="198" t="n">
        <v>4</v>
      </c>
      <c r="L1036" s="226" t="n">
        <v>44866</v>
      </c>
      <c r="M1036" s="226" t="n">
        <v>42809</v>
      </c>
      <c r="N1036" s="227" t="n">
        <v>1</v>
      </c>
      <c r="O1036" s="227" t="s">
        <v>135</v>
      </c>
      <c r="P1036" s="228" t="n">
        <f aca="false">VLOOKUP(B1036,'NIVEL ENERO'!A:D,3,0)</f>
        <v>0.349911774824081</v>
      </c>
      <c r="Q1036" s="229" t="n">
        <f aca="false">VLOOKUP(B1036,'NIVEL ENERO'!A:D,4,0)</f>
        <v>320153</v>
      </c>
      <c r="R1036" s="186" t="str">
        <f aca="false">+PROPER(C1036&amp;" "&amp;D1036)</f>
        <v>Calvo Eliana Fernanda</v>
      </c>
      <c r="S1036" s="230" t="n">
        <f aca="false">+YEARFRAC(L1036,$S$1)</f>
        <v>3.53055555555556</v>
      </c>
      <c r="T1036" s="230" t="n">
        <f aca="false">+YEARFRAC(M1036,$S$1)</f>
        <v>9.15833333333333</v>
      </c>
      <c r="U1036" s="231" t="n">
        <f aca="false">+$I1036</f>
        <v>0</v>
      </c>
      <c r="V1036" s="232" t="str">
        <f aca="false">+PROPER(F1036)</f>
        <v>Soltero(A)</v>
      </c>
    </row>
    <row r="1037" customFormat="false" ht="14.25" hidden="false" customHeight="false" outlineLevel="0" collapsed="false">
      <c r="B1037" s="197" t="n">
        <v>1112480121</v>
      </c>
      <c r="C1037" s="197" t="s">
        <v>2784</v>
      </c>
      <c r="D1037" s="197" t="s">
        <v>2785</v>
      </c>
      <c r="E1037" s="198" t="s">
        <v>944</v>
      </c>
      <c r="F1037" s="198" t="s">
        <v>945</v>
      </c>
      <c r="G1037" s="225" t="n">
        <v>5418800</v>
      </c>
      <c r="H1037" s="225" t="n">
        <v>6244244</v>
      </c>
      <c r="I1037" s="225" t="n">
        <v>1583519</v>
      </c>
      <c r="J1037" s="198" t="n">
        <v>31</v>
      </c>
      <c r="K1037" s="198" t="n">
        <v>1</v>
      </c>
      <c r="L1037" s="226" t="n">
        <v>43697</v>
      </c>
      <c r="M1037" s="226" t="n">
        <v>45566</v>
      </c>
      <c r="N1037" s="227" t="n">
        <v>6</v>
      </c>
      <c r="O1037" s="227" t="s">
        <v>135</v>
      </c>
      <c r="P1037" s="228" t="n">
        <f aca="false">VLOOKUP(B1037,'NIVEL ENERO'!A:D,3,0)</f>
        <v>0.41345242489112</v>
      </c>
      <c r="Q1037" s="229" t="n">
        <f aca="false">VLOOKUP(B1037,'NIVEL ENERO'!A:D,4,0)</f>
        <v>35480</v>
      </c>
      <c r="R1037" s="186" t="str">
        <f aca="false">+PROPER(C1037&amp;" "&amp;D1037)</f>
        <v>Rodriguez Garcia Adriana Marcela</v>
      </c>
      <c r="S1037" s="230" t="n">
        <f aca="false">+YEARFRAC(L1037,$S$1)</f>
        <v>6.72777777777778</v>
      </c>
      <c r="T1037" s="230" t="n">
        <f aca="false">+YEARFRAC(M1037,$S$1)</f>
        <v>1.61388888888889</v>
      </c>
      <c r="U1037" s="231" t="n">
        <f aca="false">+$I1037</f>
        <v>1583519</v>
      </c>
      <c r="V1037" s="232" t="str">
        <f aca="false">+PROPER(F1037)</f>
        <v>Union Libre</v>
      </c>
    </row>
    <row r="1038" customFormat="false" ht="14.25" hidden="false" customHeight="false" outlineLevel="0" collapsed="false">
      <c r="B1038" s="197" t="n">
        <v>1112480962</v>
      </c>
      <c r="C1038" s="197" t="s">
        <v>2786</v>
      </c>
      <c r="D1038" s="197" t="s">
        <v>2787</v>
      </c>
      <c r="E1038" s="198" t="s">
        <v>944</v>
      </c>
      <c r="F1038" s="198" t="s">
        <v>953</v>
      </c>
      <c r="G1038" s="225" t="n">
        <v>2893800</v>
      </c>
      <c r="H1038" s="225" t="n">
        <v>2708720</v>
      </c>
      <c r="I1038" s="225" t="n">
        <v>4469222</v>
      </c>
      <c r="J1038" s="198" t="n">
        <v>30</v>
      </c>
      <c r="K1038" s="198" t="n">
        <v>2</v>
      </c>
      <c r="L1038" s="226" t="n">
        <v>44853</v>
      </c>
      <c r="M1038" s="226" t="n">
        <v>42863</v>
      </c>
      <c r="N1038" s="227" t="n">
        <v>3</v>
      </c>
      <c r="O1038" s="227" t="s">
        <v>135</v>
      </c>
      <c r="P1038" s="228" t="n">
        <f aca="false">VLOOKUP(B1038,'NIVEL ENERO'!A:D,3,0)</f>
        <v>0.454024687681878</v>
      </c>
      <c r="Q1038" s="229" t="n">
        <f aca="false">VLOOKUP(B1038,'NIVEL ENERO'!A:D,4,0)</f>
        <v>-145041.38</v>
      </c>
      <c r="R1038" s="186" t="str">
        <f aca="false">+PROPER(C1038&amp;" "&amp;D1038)</f>
        <v>Payan Mina Karin Alejandra</v>
      </c>
      <c r="S1038" s="230" t="n">
        <f aca="false">+YEARFRAC(L1038,$S$1)</f>
        <v>3.56388888888889</v>
      </c>
      <c r="T1038" s="230" t="n">
        <f aca="false">+YEARFRAC(M1038,$S$1)</f>
        <v>9.01111111111111</v>
      </c>
      <c r="U1038" s="231" t="n">
        <f aca="false">+$I1038</f>
        <v>4469222</v>
      </c>
      <c r="V1038" s="232" t="str">
        <f aca="false">+PROPER(F1038)</f>
        <v>Soltero(A)</v>
      </c>
    </row>
    <row r="1039" customFormat="false" ht="14.25" hidden="false" customHeight="false" outlineLevel="0" collapsed="false">
      <c r="B1039" s="197" t="n">
        <v>1112481386</v>
      </c>
      <c r="C1039" s="197" t="s">
        <v>2788</v>
      </c>
      <c r="D1039" s="197" t="s">
        <v>2658</v>
      </c>
      <c r="E1039" s="198" t="s">
        <v>944</v>
      </c>
      <c r="F1039" s="198" t="s">
        <v>953</v>
      </c>
      <c r="G1039" s="225" t="n">
        <v>1625000</v>
      </c>
      <c r="H1039" s="225" t="n">
        <v>130000</v>
      </c>
      <c r="I1039" s="225"/>
      <c r="J1039" s="198" t="n">
        <v>30</v>
      </c>
      <c r="K1039" s="198" t="n">
        <v>4</v>
      </c>
      <c r="L1039" s="226" t="n">
        <v>45615</v>
      </c>
      <c r="M1039" s="226" t="n">
        <v>45359</v>
      </c>
      <c r="N1039" s="227" t="n">
        <v>0</v>
      </c>
      <c r="O1039" s="227" t="s">
        <v>135</v>
      </c>
      <c r="P1039" s="228" t="n">
        <f aca="false">VLOOKUP(B1039,'NIVEL ENERO'!A:D,3,0)</f>
        <v>0.131326075259017</v>
      </c>
      <c r="Q1039" s="229" t="n">
        <f aca="false">VLOOKUP(B1039,'NIVEL ENERO'!A:D,4,0)</f>
        <v>636090.78</v>
      </c>
      <c r="R1039" s="186" t="str">
        <f aca="false">+PROPER(C1039&amp;" "&amp;D1039)</f>
        <v>Saavedra Camacho Daniela</v>
      </c>
      <c r="S1039" s="230" t="n">
        <f aca="false">+YEARFRAC(L1039,$S$1)</f>
        <v>1.48055555555556</v>
      </c>
      <c r="T1039" s="230" t="n">
        <f aca="false">+YEARFRAC(M1039,$S$1)</f>
        <v>2.17777777777778</v>
      </c>
      <c r="U1039" s="231" t="n">
        <f aca="false">+$I1039</f>
        <v>0</v>
      </c>
      <c r="V1039" s="232" t="str">
        <f aca="false">+PROPER(F1039)</f>
        <v>Soltero(A)</v>
      </c>
    </row>
    <row r="1040" customFormat="false" ht="14.25" hidden="false" customHeight="false" outlineLevel="0" collapsed="false">
      <c r="B1040" s="197" t="n">
        <v>1112481844</v>
      </c>
      <c r="C1040" s="197" t="s">
        <v>2789</v>
      </c>
      <c r="D1040" s="197" t="s">
        <v>1328</v>
      </c>
      <c r="E1040" s="198" t="s">
        <v>944</v>
      </c>
      <c r="F1040" s="198" t="s">
        <v>953</v>
      </c>
      <c r="G1040" s="225" t="n">
        <v>4870200</v>
      </c>
      <c r="H1040" s="225" t="n">
        <v>1557164</v>
      </c>
      <c r="I1040" s="225" t="n">
        <v>0</v>
      </c>
      <c r="J1040" s="198" t="n">
        <v>30</v>
      </c>
      <c r="K1040" s="198" t="n">
        <v>1</v>
      </c>
      <c r="L1040" s="226" t="n">
        <v>44886</v>
      </c>
      <c r="M1040" s="226" t="n">
        <v>44057</v>
      </c>
      <c r="N1040" s="227" t="n">
        <v>0</v>
      </c>
      <c r="O1040" s="227" t="s">
        <v>135</v>
      </c>
      <c r="P1040" s="228" t="n">
        <f aca="false">VLOOKUP(B1040,'NIVEL ENERO'!A:D,3,0)</f>
        <v>0.117069511830771</v>
      </c>
      <c r="Q1040" s="229" t="n">
        <f aca="false">VLOOKUP(B1040,'NIVEL ENERO'!A:D,4,0)</f>
        <v>1439786.2</v>
      </c>
      <c r="R1040" s="186" t="str">
        <f aca="false">+PROPER(C1040&amp;" "&amp;D1040)</f>
        <v>Diaz Olmos Lina Marcela</v>
      </c>
      <c r="S1040" s="230" t="n">
        <f aca="false">+YEARFRAC(L1040,$S$1)</f>
        <v>3.475</v>
      </c>
      <c r="T1040" s="230" t="n">
        <f aca="false">+YEARFRAC(M1040,$S$1)</f>
        <v>5.74444444444444</v>
      </c>
      <c r="U1040" s="231" t="n">
        <f aca="false">+$I1040</f>
        <v>0</v>
      </c>
      <c r="V1040" s="232" t="str">
        <f aca="false">+PROPER(F1040)</f>
        <v>Soltero(A)</v>
      </c>
    </row>
    <row r="1041" customFormat="false" ht="14.25" hidden="false" customHeight="false" outlineLevel="0" collapsed="false">
      <c r="B1041" s="197" t="n">
        <v>1112482367</v>
      </c>
      <c r="C1041" s="197" t="s">
        <v>2790</v>
      </c>
      <c r="D1041" s="197" t="s">
        <v>2681</v>
      </c>
      <c r="E1041" s="198" t="s">
        <v>944</v>
      </c>
      <c r="F1041" s="198" t="s">
        <v>953</v>
      </c>
      <c r="G1041" s="225" t="n">
        <v>1991000</v>
      </c>
      <c r="H1041" s="225" t="n">
        <v>1238408</v>
      </c>
      <c r="I1041" s="225" t="n">
        <v>2395186</v>
      </c>
      <c r="J1041" s="198" t="n">
        <v>30</v>
      </c>
      <c r="K1041" s="198" t="n">
        <v>2</v>
      </c>
      <c r="L1041" s="226" t="n">
        <v>45064</v>
      </c>
      <c r="M1041" s="226" t="n">
        <v>42443</v>
      </c>
      <c r="N1041" s="227" t="n">
        <v>0</v>
      </c>
      <c r="O1041" s="227" t="s">
        <v>135</v>
      </c>
      <c r="P1041" s="228" t="n">
        <f aca="false">VLOOKUP(B1041,'NIVEL ENERO'!A:D,3,0)</f>
        <v>0.386718157018621</v>
      </c>
      <c r="Q1041" s="229" t="n">
        <f aca="false">VLOOKUP(B1041,'NIVEL ENERO'!A:D,4,0)</f>
        <v>86162.6199999999</v>
      </c>
      <c r="R1041" s="186" t="str">
        <f aca="false">+PROPER(C1041&amp;" "&amp;D1041)</f>
        <v>Bautista Valencia Juan David</v>
      </c>
      <c r="S1041" s="230" t="n">
        <f aca="false">+YEARFRAC(L1041,$S$1)</f>
        <v>2.98333333333333</v>
      </c>
      <c r="T1041" s="230" t="n">
        <f aca="false">+YEARFRAC(M1041,$S$1)</f>
        <v>10.1611111111111</v>
      </c>
      <c r="U1041" s="231" t="n">
        <f aca="false">+$I1041</f>
        <v>2395186</v>
      </c>
      <c r="V1041" s="232" t="str">
        <f aca="false">+PROPER(F1041)</f>
        <v>Soltero(A)</v>
      </c>
    </row>
    <row r="1042" customFormat="false" ht="14.25" hidden="false" customHeight="false" outlineLevel="0" collapsed="false">
      <c r="B1042" s="197" t="n">
        <v>1112483089</v>
      </c>
      <c r="C1042" s="197" t="s">
        <v>2791</v>
      </c>
      <c r="D1042" s="197" t="s">
        <v>2792</v>
      </c>
      <c r="E1042" s="198" t="s">
        <v>944</v>
      </c>
      <c r="F1042" s="198" t="s">
        <v>953</v>
      </c>
      <c r="G1042" s="225" t="n">
        <v>2893800</v>
      </c>
      <c r="H1042" s="225" t="n">
        <v>3205222</v>
      </c>
      <c r="I1042" s="225" t="n">
        <v>9298758</v>
      </c>
      <c r="J1042" s="198" t="n">
        <v>30</v>
      </c>
      <c r="K1042" s="198" t="n">
        <v>2</v>
      </c>
      <c r="L1042" s="226" t="n">
        <v>44795</v>
      </c>
      <c r="M1042" s="226" t="n">
        <v>43182</v>
      </c>
      <c r="N1042" s="227" t="n">
        <v>2</v>
      </c>
      <c r="O1042" s="227" t="s">
        <v>135</v>
      </c>
      <c r="P1042" s="228" t="n">
        <f aca="false">VLOOKUP(B1042,'NIVEL ENERO'!A:D,3,0)</f>
        <v>0.285831877362306</v>
      </c>
      <c r="Q1042" s="229" t="n">
        <f aca="false">VLOOKUP(B1042,'NIVEL ENERO'!A:D,4,0)</f>
        <v>408737.64</v>
      </c>
      <c r="R1042" s="186" t="str">
        <f aca="false">+PROPER(C1042&amp;" "&amp;D1042)</f>
        <v>Viveros Viafara Jhan Camilo</v>
      </c>
      <c r="S1042" s="230" t="n">
        <f aca="false">+YEARFRAC(L1042,$S$1)</f>
        <v>3.72222222222222</v>
      </c>
      <c r="T1042" s="230" t="n">
        <f aca="false">+YEARFRAC(M1042,$S$1)</f>
        <v>8.13611111111111</v>
      </c>
      <c r="U1042" s="231" t="n">
        <f aca="false">+$I1042</f>
        <v>9298758</v>
      </c>
      <c r="V1042" s="232" t="str">
        <f aca="false">+PROPER(F1042)</f>
        <v>Soltero(A)</v>
      </c>
    </row>
    <row r="1043" customFormat="false" ht="14.25" hidden="false" customHeight="false" outlineLevel="0" collapsed="false">
      <c r="B1043" s="197" t="n">
        <v>1112484884</v>
      </c>
      <c r="C1043" s="197" t="s">
        <v>2793</v>
      </c>
      <c r="D1043" s="197" t="s">
        <v>2794</v>
      </c>
      <c r="E1043" s="198" t="s">
        <v>944</v>
      </c>
      <c r="F1043" s="198" t="s">
        <v>945</v>
      </c>
      <c r="G1043" s="225" t="n">
        <v>2893800</v>
      </c>
      <c r="H1043" s="225" t="n">
        <v>4335075</v>
      </c>
      <c r="I1043" s="225" t="n">
        <v>10437639</v>
      </c>
      <c r="J1043" s="198" t="n">
        <v>29</v>
      </c>
      <c r="K1043" s="198" t="n">
        <v>4</v>
      </c>
      <c r="L1043" s="226" t="n">
        <v>44218</v>
      </c>
      <c r="M1043" s="226" t="n">
        <v>43361</v>
      </c>
      <c r="N1043" s="227" t="n">
        <v>1</v>
      </c>
      <c r="O1043" s="227" t="s">
        <v>135</v>
      </c>
      <c r="P1043" s="228" t="n">
        <f aca="false">VLOOKUP(B1043,'NIVEL ENERO'!A:D,3,0)</f>
        <v>0.435675667164692</v>
      </c>
      <c r="Q1043" s="229" t="n">
        <f aca="false">VLOOKUP(B1043,'NIVEL ENERO'!A:D,4,0)</f>
        <v>-54424.8400000001</v>
      </c>
      <c r="R1043" s="186" t="str">
        <f aca="false">+PROPER(C1043&amp;" "&amp;D1043)</f>
        <v>Diaz Aragon Karol Yesenia</v>
      </c>
      <c r="S1043" s="230" t="n">
        <f aca="false">+YEARFRAC(L1043,$S$1)</f>
        <v>5.30555555555556</v>
      </c>
      <c r="T1043" s="230" t="n">
        <f aca="false">+YEARFRAC(M1043,$S$1)</f>
        <v>7.65</v>
      </c>
      <c r="U1043" s="231" t="n">
        <f aca="false">+$I1043</f>
        <v>10437639</v>
      </c>
      <c r="V1043" s="232" t="str">
        <f aca="false">+PROPER(F1043)</f>
        <v>Union Libre</v>
      </c>
    </row>
    <row r="1044" customFormat="false" ht="14.25" hidden="false" customHeight="false" outlineLevel="0" collapsed="false">
      <c r="B1044" s="197" t="n">
        <v>1112485702</v>
      </c>
      <c r="C1044" s="197" t="s">
        <v>2795</v>
      </c>
      <c r="D1044" s="197" t="s">
        <v>2796</v>
      </c>
      <c r="E1044" s="198" t="s">
        <v>944</v>
      </c>
      <c r="F1044" s="198" t="s">
        <v>1282</v>
      </c>
      <c r="G1044" s="225" t="n">
        <v>2648100</v>
      </c>
      <c r="H1044" s="225" t="n">
        <v>6322351</v>
      </c>
      <c r="I1044" s="225" t="n">
        <v>0</v>
      </c>
      <c r="J1044" s="198" t="n">
        <v>29</v>
      </c>
      <c r="K1044" s="198" t="n">
        <v>2</v>
      </c>
      <c r="L1044" s="226" t="n">
        <v>45020</v>
      </c>
      <c r="M1044" s="226" t="n">
        <v>42231</v>
      </c>
      <c r="N1044" s="227" t="n">
        <v>4</v>
      </c>
      <c r="O1044" s="227" t="s">
        <v>135</v>
      </c>
      <c r="P1044" s="228" t="n">
        <f aca="false">VLOOKUP(B1044,'NIVEL ENERO'!A:D,3,0)</f>
        <v>0.356819921920252</v>
      </c>
      <c r="Q1044" s="229" t="n">
        <f aca="false">VLOOKUP(B1044,'NIVEL ENERO'!A:D,4,0)</f>
        <v>267965.96</v>
      </c>
      <c r="R1044" s="186" t="str">
        <f aca="false">+PROPER(C1044&amp;" "&amp;D1044)</f>
        <v>Gonzalez Heredia Monica Patricia</v>
      </c>
      <c r="S1044" s="230" t="n">
        <f aca="false">+YEARFRAC(L1044,$S$1)</f>
        <v>3.10555555555556</v>
      </c>
      <c r="T1044" s="230" t="n">
        <f aca="false">+YEARFRAC(M1044,$S$1)</f>
        <v>10.7416666666667</v>
      </c>
      <c r="U1044" s="231" t="n">
        <f aca="false">+$I1044</f>
        <v>0</v>
      </c>
      <c r="V1044" s="232" t="str">
        <f aca="false">+PROPER(F1044)</f>
        <v>Divorciado</v>
      </c>
    </row>
    <row r="1045" customFormat="false" ht="14.25" hidden="false" customHeight="false" outlineLevel="0" collapsed="false">
      <c r="B1045" s="197" t="n">
        <v>1112491402</v>
      </c>
      <c r="C1045" s="197" t="s">
        <v>2797</v>
      </c>
      <c r="D1045" s="197" t="s">
        <v>2798</v>
      </c>
      <c r="E1045" s="198" t="s">
        <v>981</v>
      </c>
      <c r="F1045" s="198" t="s">
        <v>945</v>
      </c>
      <c r="G1045" s="225" t="n">
        <v>2893800</v>
      </c>
      <c r="H1045" s="225" t="n">
        <v>1607671</v>
      </c>
      <c r="I1045" s="225" t="n">
        <v>1950105</v>
      </c>
      <c r="J1045" s="198" t="n">
        <v>27</v>
      </c>
      <c r="K1045" s="198" t="n">
        <v>1</v>
      </c>
      <c r="L1045" s="226" t="n">
        <v>44853</v>
      </c>
      <c r="M1045" s="226" t="n">
        <v>42019</v>
      </c>
      <c r="N1045" s="227" t="n">
        <v>2</v>
      </c>
      <c r="O1045" s="227" t="s">
        <v>135</v>
      </c>
      <c r="P1045" s="228" t="n">
        <f aca="false">VLOOKUP(B1045,'NIVEL ENERO'!A:D,3,0)</f>
        <v>0.362750066967168</v>
      </c>
      <c r="Q1045" s="229" t="n">
        <f aca="false">VLOOKUP(B1045,'NIVEL ENERO'!A:D,4,0)</f>
        <v>217855.88</v>
      </c>
      <c r="R1045" s="186" t="str">
        <f aca="false">+PROPER(C1045&amp;" "&amp;D1045)</f>
        <v>Mesa Olmos Danna Gisela</v>
      </c>
      <c r="S1045" s="230" t="n">
        <f aca="false">+YEARFRAC(L1045,$S$1)</f>
        <v>3.56388888888889</v>
      </c>
      <c r="T1045" s="230" t="n">
        <f aca="false">+YEARFRAC(M1045,$S$1)</f>
        <v>11.325</v>
      </c>
      <c r="U1045" s="231" t="n">
        <f aca="false">+$I1045</f>
        <v>1950105</v>
      </c>
      <c r="V1045" s="232" t="str">
        <f aca="false">+PROPER(F1045)</f>
        <v>Union Libre</v>
      </c>
    </row>
    <row r="1046" customFormat="false" ht="14.25" hidden="false" customHeight="false" outlineLevel="0" collapsed="false">
      <c r="B1046" s="197" t="n">
        <v>1112620305</v>
      </c>
      <c r="C1046" s="197" t="s">
        <v>2799</v>
      </c>
      <c r="D1046" s="197" t="s">
        <v>2800</v>
      </c>
      <c r="E1046" s="198" t="s">
        <v>944</v>
      </c>
      <c r="F1046" s="198" t="s">
        <v>953</v>
      </c>
      <c r="G1046" s="225" t="n">
        <v>5418800</v>
      </c>
      <c r="H1046" s="225" t="n">
        <v>731371</v>
      </c>
      <c r="I1046" s="225" t="n">
        <v>2173180</v>
      </c>
      <c r="J1046" s="198" t="n">
        <v>37</v>
      </c>
      <c r="K1046" s="198" t="n">
        <v>1</v>
      </c>
      <c r="L1046" s="226" t="n">
        <v>45342</v>
      </c>
      <c r="M1046" s="226" t="n">
        <v>43635</v>
      </c>
      <c r="N1046" s="227" t="n">
        <v>2</v>
      </c>
      <c r="O1046" s="227" t="s">
        <v>135</v>
      </c>
      <c r="P1046" s="228" t="n">
        <f aca="false">VLOOKUP(B1046,'NIVEL ENERO'!A:D,3,0)</f>
        <v>0.326005830964656</v>
      </c>
      <c r="Q1046" s="229" t="n">
        <f aca="false">VLOOKUP(B1046,'NIVEL ENERO'!A:D,4,0)</f>
        <v>540272.28</v>
      </c>
      <c r="R1046" s="186" t="str">
        <f aca="false">+PROPER(C1046&amp;" "&amp;D1046)</f>
        <v>Holguin Carvajal Johana</v>
      </c>
      <c r="S1046" s="230" t="n">
        <f aca="false">+YEARFRAC(L1046,$S$1)</f>
        <v>2.22777777777778</v>
      </c>
      <c r="T1046" s="230" t="n">
        <f aca="false">+YEARFRAC(M1046,$S$1)</f>
        <v>6.89722222222222</v>
      </c>
      <c r="U1046" s="231" t="n">
        <f aca="false">+$I1046</f>
        <v>2173180</v>
      </c>
      <c r="V1046" s="232" t="str">
        <f aca="false">+PROPER(F1046)</f>
        <v>Soltero(A)</v>
      </c>
    </row>
    <row r="1047" customFormat="false" ht="14.25" hidden="false" customHeight="false" outlineLevel="0" collapsed="false">
      <c r="B1047" s="197" t="n">
        <v>1112631258</v>
      </c>
      <c r="C1047" s="197" t="s">
        <v>2801</v>
      </c>
      <c r="D1047" s="197" t="s">
        <v>2290</v>
      </c>
      <c r="E1047" s="198" t="s">
        <v>944</v>
      </c>
      <c r="F1047" s="198" t="s">
        <v>948</v>
      </c>
      <c r="G1047" s="225" t="n">
        <v>5418800</v>
      </c>
      <c r="H1047" s="225" t="n">
        <v>500000</v>
      </c>
      <c r="I1047" s="225" t="n">
        <v>1621718</v>
      </c>
      <c r="J1047" s="198" t="n">
        <v>26</v>
      </c>
      <c r="K1047" s="198" t="n">
        <v>2</v>
      </c>
      <c r="L1047" s="226" t="n">
        <v>45519</v>
      </c>
      <c r="M1047" s="226" t="n">
        <v>44405</v>
      </c>
      <c r="N1047" s="227" t="n">
        <v>0</v>
      </c>
      <c r="O1047" s="227" t="s">
        <v>135</v>
      </c>
      <c r="P1047" s="228" t="n">
        <f aca="false">VLOOKUP(B1047,'NIVEL ENERO'!A:D,3,0)</f>
        <v>0.340416649147876</v>
      </c>
      <c r="Q1047" s="229" t="n">
        <f aca="false">VLOOKUP(B1047,'NIVEL ENERO'!A:D,4,0)</f>
        <v>537557.84</v>
      </c>
      <c r="R1047" s="186" t="str">
        <f aca="false">+PROPER(C1047&amp;" "&amp;D1047)</f>
        <v>Barajas Gallon Angie Daniela</v>
      </c>
      <c r="S1047" s="230" t="n">
        <f aca="false">+YEARFRAC(L1047,$S$1)</f>
        <v>1.74166666666667</v>
      </c>
      <c r="T1047" s="230" t="n">
        <f aca="false">+YEARFRAC(M1047,$S$1)</f>
        <v>4.78888888888889</v>
      </c>
      <c r="U1047" s="231" t="n">
        <f aca="false">+$I1047</f>
        <v>1621718</v>
      </c>
      <c r="V1047" s="232" t="str">
        <f aca="false">+PROPER(F1047)</f>
        <v>Casado(A)</v>
      </c>
    </row>
    <row r="1048" customFormat="false" ht="14.25" hidden="false" customHeight="false" outlineLevel="0" collapsed="false">
      <c r="B1048" s="197" t="n">
        <v>1112768596</v>
      </c>
      <c r="C1048" s="197" t="s">
        <v>2802</v>
      </c>
      <c r="D1048" s="197" t="s">
        <v>2803</v>
      </c>
      <c r="E1048" s="198" t="s">
        <v>944</v>
      </c>
      <c r="F1048" s="198" t="s">
        <v>948</v>
      </c>
      <c r="G1048" s="225" t="n">
        <v>2893800</v>
      </c>
      <c r="H1048" s="225" t="n">
        <v>868140</v>
      </c>
      <c r="I1048" s="225" t="n">
        <v>1620979</v>
      </c>
      <c r="J1048" s="198" t="n">
        <v>35</v>
      </c>
      <c r="K1048" s="198" t="n">
        <v>3</v>
      </c>
      <c r="L1048" s="226" t="n">
        <v>45475</v>
      </c>
      <c r="M1048" s="226" t="n">
        <v>40532</v>
      </c>
      <c r="N1048" s="227" t="n">
        <v>4</v>
      </c>
      <c r="O1048" s="227" t="s">
        <v>135</v>
      </c>
      <c r="P1048" s="228" t="n">
        <f aca="false">VLOOKUP(B1048,'NIVEL ENERO'!A:D,3,0)</f>
        <v>0.466190642191809</v>
      </c>
      <c r="Q1048" s="229" t="n">
        <f aca="false">VLOOKUP(B1048,'NIVEL ENERO'!A:D,4,0)</f>
        <v>-158075.14</v>
      </c>
      <c r="R1048" s="186" t="str">
        <f aca="false">+PROPER(C1048&amp;" "&amp;D1048)</f>
        <v>Jordan Hurtado Esther Julia</v>
      </c>
      <c r="S1048" s="230" t="n">
        <f aca="false">+YEARFRAC(L1048,$S$1)</f>
        <v>1.86111111111111</v>
      </c>
      <c r="T1048" s="230" t="n">
        <f aca="false">+YEARFRAC(M1048,$S$1)</f>
        <v>15.3944444444444</v>
      </c>
      <c r="U1048" s="231" t="n">
        <f aca="false">+$I1048</f>
        <v>1620979</v>
      </c>
      <c r="V1048" s="232" t="str">
        <f aca="false">+PROPER(F1048)</f>
        <v>Casado(A)</v>
      </c>
    </row>
    <row r="1049" customFormat="false" ht="14.25" hidden="false" customHeight="false" outlineLevel="0" collapsed="false">
      <c r="B1049" s="207" t="n">
        <v>1112878165</v>
      </c>
      <c r="C1049" s="207" t="s">
        <v>2804</v>
      </c>
      <c r="D1049" s="207" t="s">
        <v>2805</v>
      </c>
      <c r="E1049" s="207" t="s">
        <v>944</v>
      </c>
      <c r="F1049" s="207" t="s">
        <v>953</v>
      </c>
      <c r="G1049" s="233" t="n">
        <v>1625000</v>
      </c>
      <c r="H1049" s="233" t="n">
        <v>1355255</v>
      </c>
      <c r="I1049" s="233" t="n">
        <v>2592933</v>
      </c>
      <c r="J1049" s="207" t="n">
        <v>38</v>
      </c>
      <c r="K1049" s="207" t="n">
        <v>4</v>
      </c>
      <c r="L1049" s="234" t="n">
        <v>45000</v>
      </c>
      <c r="M1049" s="234" t="n">
        <v>44910</v>
      </c>
      <c r="N1049" s="235" t="n">
        <v>0</v>
      </c>
      <c r="O1049" s="235" t="s">
        <v>135</v>
      </c>
      <c r="P1049" s="236" t="n">
        <f aca="false">VLOOKUP(B1049,'NIVEL ENERO'!A:D,3,0)</f>
        <v>0.298342325151174</v>
      </c>
      <c r="Q1049" s="237" t="n">
        <f aca="false">VLOOKUP(B1049,'NIVEL ENERO'!A:D,4,0)</f>
        <v>267259.04</v>
      </c>
      <c r="R1049" s="238" t="str">
        <f aca="false">+PROPER(C1049&amp;" "&amp;D1049)</f>
        <v>Varon Barrios Yina Marcela</v>
      </c>
      <c r="S1049" s="239" t="n">
        <f aca="false">+YEARFRAC(L1049,$S$1)</f>
        <v>3.15833333333333</v>
      </c>
      <c r="T1049" s="239" t="n">
        <f aca="false">+YEARFRAC(M1049,$S$1)</f>
        <v>3.40833333333333</v>
      </c>
      <c r="U1049" s="240" t="n">
        <f aca="false">+$I1049</f>
        <v>2592933</v>
      </c>
      <c r="V1049" s="241" t="str">
        <f aca="false">+PROPER(F1049)</f>
        <v>Soltero(A)</v>
      </c>
    </row>
    <row r="1050" customFormat="false" ht="14.25" hidden="false" customHeight="false" outlineLevel="0" collapsed="false">
      <c r="B1050" s="197" t="n">
        <v>1112880193</v>
      </c>
      <c r="C1050" s="197" t="s">
        <v>2806</v>
      </c>
      <c r="D1050" s="197" t="s">
        <v>2807</v>
      </c>
      <c r="E1050" s="198" t="s">
        <v>944</v>
      </c>
      <c r="F1050" s="198" t="s">
        <v>953</v>
      </c>
      <c r="G1050" s="225" t="n">
        <v>3394800</v>
      </c>
      <c r="H1050" s="225" t="n">
        <v>8516027</v>
      </c>
      <c r="I1050" s="225" t="n">
        <v>9558323</v>
      </c>
      <c r="J1050" s="198" t="n">
        <v>34</v>
      </c>
      <c r="K1050" s="198" t="n">
        <v>3</v>
      </c>
      <c r="L1050" s="226" t="n">
        <v>43476</v>
      </c>
      <c r="M1050" s="226" t="n">
        <v>43327</v>
      </c>
      <c r="N1050" s="227" t="n">
        <v>2</v>
      </c>
      <c r="O1050" s="227" t="s">
        <v>135</v>
      </c>
      <c r="P1050" s="228" t="n">
        <f aca="false">VLOOKUP(B1050,'NIVEL ENERO'!A:D,3,0)</f>
        <v>0.345339931660186</v>
      </c>
      <c r="Q1050" s="229" t="n">
        <f aca="false">VLOOKUP(B1050,'NIVEL ENERO'!A:D,4,0)</f>
        <v>253456</v>
      </c>
      <c r="R1050" s="186" t="str">
        <f aca="false">+PROPER(C1050&amp;" "&amp;D1050)</f>
        <v>Clavijo Gutierrez Bibiana</v>
      </c>
      <c r="S1050" s="230" t="n">
        <f aca="false">+YEARFRAC(L1050,$S$1)</f>
        <v>7.33611111111111</v>
      </c>
      <c r="T1050" s="230" t="n">
        <f aca="false">+YEARFRAC(M1050,$S$1)</f>
        <v>7.74166666666667</v>
      </c>
      <c r="U1050" s="231" t="n">
        <f aca="false">+$I1050</f>
        <v>9558323</v>
      </c>
      <c r="V1050" s="232" t="str">
        <f aca="false">+PROPER(F1050)</f>
        <v>Soltero(A)</v>
      </c>
    </row>
    <row r="1051" customFormat="false" ht="14.25" hidden="false" customHeight="false" outlineLevel="0" collapsed="false">
      <c r="B1051" s="197" t="n">
        <v>1112882571</v>
      </c>
      <c r="C1051" s="197" t="s">
        <v>2808</v>
      </c>
      <c r="D1051" s="197" t="s">
        <v>2809</v>
      </c>
      <c r="E1051" s="198" t="s">
        <v>944</v>
      </c>
      <c r="F1051" s="198" t="s">
        <v>953</v>
      </c>
      <c r="G1051" s="225" t="n">
        <v>5418800</v>
      </c>
      <c r="H1051" s="225" t="n">
        <v>6143229</v>
      </c>
      <c r="I1051" s="225" t="n">
        <v>0</v>
      </c>
      <c r="J1051" s="198" t="n">
        <v>28</v>
      </c>
      <c r="K1051" s="198" t="n">
        <v>2</v>
      </c>
      <c r="L1051" s="226" t="n">
        <v>43689</v>
      </c>
      <c r="M1051" s="226" t="n">
        <v>42628</v>
      </c>
      <c r="N1051" s="227" t="n">
        <v>1</v>
      </c>
      <c r="O1051" s="227" t="s">
        <v>135</v>
      </c>
      <c r="P1051" s="228" t="n">
        <f aca="false">VLOOKUP(B1051,'NIVEL ENERO'!A:D,3,0)</f>
        <v>0.124757757625478</v>
      </c>
      <c r="Q1051" s="229" t="n">
        <f aca="false">VLOOKUP(B1051,'NIVEL ENERO'!A:D,4,0)</f>
        <v>1760540.12</v>
      </c>
      <c r="R1051" s="186" t="str">
        <f aca="false">+PROPER(C1051&amp;" "&amp;D1051)</f>
        <v>Jurado Alvarez Jisell Samanda</v>
      </c>
      <c r="S1051" s="230" t="n">
        <f aca="false">+YEARFRAC(L1051,$S$1)</f>
        <v>6.75</v>
      </c>
      <c r="T1051" s="230" t="n">
        <f aca="false">+YEARFRAC(M1051,$S$1)</f>
        <v>9.65833333333333</v>
      </c>
      <c r="U1051" s="231" t="n">
        <f aca="false">+$I1051</f>
        <v>0</v>
      </c>
      <c r="V1051" s="232" t="str">
        <f aca="false">+PROPER(F1051)</f>
        <v>Soltero(A)</v>
      </c>
    </row>
    <row r="1052" customFormat="false" ht="14.25" hidden="false" customHeight="false" outlineLevel="0" collapsed="false">
      <c r="B1052" s="197" t="n">
        <v>1112969479</v>
      </c>
      <c r="C1052" s="197" t="s">
        <v>2810</v>
      </c>
      <c r="D1052" s="197" t="s">
        <v>2811</v>
      </c>
      <c r="E1052" s="198" t="s">
        <v>944</v>
      </c>
      <c r="F1052" s="198" t="s">
        <v>945</v>
      </c>
      <c r="G1052" s="225" t="n">
        <v>2893800</v>
      </c>
      <c r="H1052" s="225" t="n">
        <v>560000</v>
      </c>
      <c r="I1052" s="225"/>
      <c r="J1052" s="198" t="n">
        <v>26</v>
      </c>
      <c r="K1052" s="198" t="n">
        <v>2</v>
      </c>
      <c r="L1052" s="226" t="n">
        <v>45414</v>
      </c>
      <c r="M1052" s="226" t="n">
        <v>44166</v>
      </c>
      <c r="N1052" s="227" t="n">
        <v>0</v>
      </c>
      <c r="O1052" s="227" t="s">
        <v>135</v>
      </c>
      <c r="P1052" s="228" t="n">
        <f aca="false">VLOOKUP(B1052,'NIVEL ENERO'!A:D,3,0)</f>
        <v>0.116455208741518</v>
      </c>
      <c r="Q1052" s="229" t="n">
        <f aca="false">VLOOKUP(B1052,'NIVEL ENERO'!A:D,4,0)</f>
        <v>1181827.26</v>
      </c>
      <c r="R1052" s="186" t="str">
        <f aca="false">+PROPER(C1052&amp;" "&amp;D1052)</f>
        <v>Mora Betancourth Gycel</v>
      </c>
      <c r="S1052" s="230" t="n">
        <f aca="false">+YEARFRAC(L1052,$S$1)</f>
        <v>2.02777777777778</v>
      </c>
      <c r="T1052" s="230" t="n">
        <f aca="false">+YEARFRAC(M1052,$S$1)</f>
        <v>5.44722222222222</v>
      </c>
      <c r="U1052" s="231" t="n">
        <f aca="false">+$I1052</f>
        <v>0</v>
      </c>
      <c r="V1052" s="232" t="str">
        <f aca="false">+PROPER(F1052)</f>
        <v>Union Libre</v>
      </c>
    </row>
    <row r="1053" customFormat="false" ht="14.25" hidden="false" customHeight="false" outlineLevel="0" collapsed="false">
      <c r="B1053" s="197" t="n">
        <v>1113308071</v>
      </c>
      <c r="C1053" s="197" t="s">
        <v>2812</v>
      </c>
      <c r="D1053" s="197" t="s">
        <v>2813</v>
      </c>
      <c r="E1053" s="198" t="s">
        <v>981</v>
      </c>
      <c r="F1053" s="198" t="s">
        <v>953</v>
      </c>
      <c r="G1053" s="225" t="n">
        <v>2893800</v>
      </c>
      <c r="H1053" s="225" t="n">
        <v>2236413</v>
      </c>
      <c r="I1053" s="225" t="n">
        <v>10075277</v>
      </c>
      <c r="J1053" s="198" t="n">
        <v>33</v>
      </c>
      <c r="K1053" s="198" t="n">
        <v>1</v>
      </c>
      <c r="L1053" s="226" t="n">
        <v>44432</v>
      </c>
      <c r="M1053" s="226" t="n">
        <v>42737</v>
      </c>
      <c r="N1053" s="227" t="n">
        <v>0</v>
      </c>
      <c r="O1053" s="227" t="s">
        <v>135</v>
      </c>
      <c r="P1053" s="228" t="n">
        <f aca="false">VLOOKUP(B1053,'NIVEL ENERO'!A:D,3,0)</f>
        <v>0.414349613342454</v>
      </c>
      <c r="Q1053" s="229" t="n">
        <f aca="false">VLOOKUP(B1053,'NIVEL ENERO'!A:D,4,0)</f>
        <v>19809.7</v>
      </c>
      <c r="R1053" s="186" t="str">
        <f aca="false">+PROPER(C1053&amp;" "&amp;D1053)</f>
        <v>Linares Ortiz Tatiana</v>
      </c>
      <c r="S1053" s="230" t="n">
        <f aca="false">+YEARFRAC(L1053,$S$1)</f>
        <v>4.71666666666667</v>
      </c>
      <c r="T1053" s="230" t="n">
        <f aca="false">+YEARFRAC(M1053,$S$1)</f>
        <v>9.36111111111111</v>
      </c>
      <c r="U1053" s="231" t="n">
        <f aca="false">+$I1053</f>
        <v>10075277</v>
      </c>
      <c r="V1053" s="232" t="str">
        <f aca="false">+PROPER(F1053)</f>
        <v>Soltero(A)</v>
      </c>
    </row>
    <row r="1054" customFormat="false" ht="14.25" hidden="false" customHeight="false" outlineLevel="0" collapsed="false">
      <c r="B1054" s="197" t="n">
        <v>1113308797</v>
      </c>
      <c r="C1054" s="197" t="s">
        <v>2814</v>
      </c>
      <c r="D1054" s="197" t="s">
        <v>2815</v>
      </c>
      <c r="E1054" s="198" t="s">
        <v>944</v>
      </c>
      <c r="F1054" s="198" t="s">
        <v>945</v>
      </c>
      <c r="G1054" s="225" t="n">
        <v>2893800</v>
      </c>
      <c r="H1054" s="225" t="n">
        <v>1860209</v>
      </c>
      <c r="I1054" s="225" t="n">
        <v>0</v>
      </c>
      <c r="J1054" s="198" t="n">
        <v>32</v>
      </c>
      <c r="K1054" s="198" t="n">
        <v>2</v>
      </c>
      <c r="L1054" s="226" t="n">
        <v>44701</v>
      </c>
      <c r="M1054" s="226" t="n">
        <v>44390</v>
      </c>
      <c r="N1054" s="227" t="n">
        <v>1</v>
      </c>
      <c r="O1054" s="227" t="s">
        <v>135</v>
      </c>
      <c r="P1054" s="228" t="n">
        <f aca="false">VLOOKUP(B1054,'NIVEL ENERO'!A:D,3,0)</f>
        <v>0.141249312381314</v>
      </c>
      <c r="Q1054" s="229" t="n">
        <f aca="false">VLOOKUP(B1054,'NIVEL ENERO'!A:D,4,0)</f>
        <v>1120891.08</v>
      </c>
      <c r="R1054" s="186" t="str">
        <f aca="false">+PROPER(C1054&amp;" "&amp;D1054)</f>
        <v>Obando Valencia Angela Xilene</v>
      </c>
      <c r="S1054" s="230" t="n">
        <f aca="false">+YEARFRAC(L1054,$S$1)</f>
        <v>3.97777777777778</v>
      </c>
      <c r="T1054" s="230" t="n">
        <f aca="false">+YEARFRAC(M1054,$S$1)</f>
        <v>4.83055555555556</v>
      </c>
      <c r="U1054" s="231" t="n">
        <f aca="false">+$I1054</f>
        <v>0</v>
      </c>
      <c r="V1054" s="232" t="str">
        <f aca="false">+PROPER(F1054)</f>
        <v>Union Libre</v>
      </c>
    </row>
    <row r="1055" customFormat="false" ht="14.25" hidden="false" customHeight="false" outlineLevel="0" collapsed="false">
      <c r="B1055" s="197" t="n">
        <v>1113512751</v>
      </c>
      <c r="C1055" s="197" t="s">
        <v>1168</v>
      </c>
      <c r="D1055" s="197" t="s">
        <v>2816</v>
      </c>
      <c r="E1055" s="198" t="s">
        <v>981</v>
      </c>
      <c r="F1055" s="198" t="s">
        <v>953</v>
      </c>
      <c r="G1055" s="225" t="n">
        <v>2893800</v>
      </c>
      <c r="H1055" s="225" t="n">
        <v>2655615</v>
      </c>
      <c r="I1055" s="225" t="n">
        <v>2626771</v>
      </c>
      <c r="J1055" s="198" t="n">
        <v>38</v>
      </c>
      <c r="K1055" s="198" t="n">
        <v>1</v>
      </c>
      <c r="L1055" s="226" t="n">
        <v>45051</v>
      </c>
      <c r="M1055" s="226" t="n">
        <v>41958</v>
      </c>
      <c r="N1055" s="227" t="n">
        <v>2</v>
      </c>
      <c r="O1055" s="227" t="s">
        <v>135</v>
      </c>
      <c r="P1055" s="228" t="n">
        <f aca="false">VLOOKUP(B1055,'NIVEL ENERO'!A:D,3,0)</f>
        <v>0.361435641797437</v>
      </c>
      <c r="Q1055" s="229" t="n">
        <f aca="false">VLOOKUP(B1055,'NIVEL ENERO'!A:D,4,0)</f>
        <v>177210.36</v>
      </c>
      <c r="R1055" s="186" t="str">
        <f aca="false">+PROPER(C1055&amp;" "&amp;D1055)</f>
        <v>Lopez Martinez Karol Ximena</v>
      </c>
      <c r="S1055" s="230" t="n">
        <f aca="false">+YEARFRAC(L1055,$S$1)</f>
        <v>3.01944444444444</v>
      </c>
      <c r="T1055" s="230" t="n">
        <f aca="false">+YEARFRAC(M1055,$S$1)</f>
        <v>11.4916666666667</v>
      </c>
      <c r="U1055" s="231" t="n">
        <f aca="false">+$I1055</f>
        <v>2626771</v>
      </c>
      <c r="V1055" s="232" t="str">
        <f aca="false">+PROPER(F1055)</f>
        <v>Soltero(A)</v>
      </c>
    </row>
    <row r="1056" customFormat="false" ht="14.25" hidden="false" customHeight="false" outlineLevel="0" collapsed="false">
      <c r="B1056" s="197" t="n">
        <v>1113514036</v>
      </c>
      <c r="C1056" s="197" t="s">
        <v>1668</v>
      </c>
      <c r="D1056" s="197" t="s">
        <v>2817</v>
      </c>
      <c r="E1056" s="198" t="s">
        <v>944</v>
      </c>
      <c r="F1056" s="198" t="s">
        <v>945</v>
      </c>
      <c r="G1056" s="225" t="n">
        <v>2893800</v>
      </c>
      <c r="H1056" s="225" t="n">
        <v>4526990</v>
      </c>
      <c r="I1056" s="225" t="n">
        <v>8635203</v>
      </c>
      <c r="J1056" s="198" t="n">
        <v>38</v>
      </c>
      <c r="K1056" s="198" t="n">
        <v>1</v>
      </c>
      <c r="L1056" s="226" t="n">
        <v>44272</v>
      </c>
      <c r="M1056" s="226" t="n">
        <v>44105</v>
      </c>
      <c r="N1056" s="227" t="n">
        <v>3</v>
      </c>
      <c r="O1056" s="227" t="s">
        <v>135</v>
      </c>
      <c r="P1056" s="228" t="n">
        <f aca="false">VLOOKUP(B1056,'NIVEL ENERO'!A:D,3,0)</f>
        <v>0.297568005375073</v>
      </c>
      <c r="Q1056" s="229" t="n">
        <f aca="false">VLOOKUP(B1056,'NIVEL ENERO'!A:D,4,0)</f>
        <v>418867.36</v>
      </c>
      <c r="R1056" s="186" t="str">
        <f aca="false">+PROPER(C1056&amp;" "&amp;D1056)</f>
        <v>Montano Hurtado Fanny</v>
      </c>
      <c r="S1056" s="230" t="n">
        <f aca="false">+YEARFRAC(L1056,$S$1)</f>
        <v>5.15277777777778</v>
      </c>
      <c r="T1056" s="230" t="n">
        <f aca="false">+YEARFRAC(M1056,$S$1)</f>
        <v>5.61388888888889</v>
      </c>
      <c r="U1056" s="231" t="n">
        <f aca="false">+$I1056</f>
        <v>8635203</v>
      </c>
      <c r="V1056" s="232" t="str">
        <f aca="false">+PROPER(F1056)</f>
        <v>Union Libre</v>
      </c>
    </row>
    <row r="1057" customFormat="false" ht="14.25" hidden="false" customHeight="false" outlineLevel="0" collapsed="false">
      <c r="B1057" s="197" t="n">
        <v>1113514976</v>
      </c>
      <c r="C1057" s="197" t="s">
        <v>2818</v>
      </c>
      <c r="D1057" s="197" t="s">
        <v>2819</v>
      </c>
      <c r="E1057" s="198" t="s">
        <v>944</v>
      </c>
      <c r="F1057" s="198" t="s">
        <v>945</v>
      </c>
      <c r="G1057" s="225" t="n">
        <v>1625000</v>
      </c>
      <c r="H1057" s="225" t="n">
        <v>1500275</v>
      </c>
      <c r="I1057" s="225" t="n">
        <v>2913051</v>
      </c>
      <c r="J1057" s="198" t="n">
        <v>38</v>
      </c>
      <c r="K1057" s="198" t="n">
        <v>4</v>
      </c>
      <c r="L1057" s="226" t="n">
        <v>45220</v>
      </c>
      <c r="M1057" s="226" t="n">
        <v>44298</v>
      </c>
      <c r="N1057" s="227" t="n">
        <v>0</v>
      </c>
      <c r="O1057" s="227" t="s">
        <v>135</v>
      </c>
      <c r="P1057" s="228" t="n">
        <f aca="false">VLOOKUP(B1057,'NIVEL ENERO'!A:D,3,0)</f>
        <v>0.281429754913483</v>
      </c>
      <c r="Q1057" s="229" t="n">
        <f aca="false">VLOOKUP(B1057,'NIVEL ENERO'!A:D,4,0)</f>
        <v>301247.14</v>
      </c>
      <c r="R1057" s="186" t="str">
        <f aca="false">+PROPER(C1057&amp;" "&amp;D1057)</f>
        <v>Valdes Martinez Anabel Alexandra</v>
      </c>
      <c r="S1057" s="230" t="n">
        <f aca="false">+YEARFRAC(L1057,$S$1)</f>
        <v>2.55833333333333</v>
      </c>
      <c r="T1057" s="230" t="n">
        <f aca="false">+YEARFRAC(M1057,$S$1)</f>
        <v>5.08333333333333</v>
      </c>
      <c r="U1057" s="231" t="n">
        <f aca="false">+$I1057</f>
        <v>2913051</v>
      </c>
      <c r="V1057" s="232" t="str">
        <f aca="false">+PROPER(F1057)</f>
        <v>Union Libre</v>
      </c>
    </row>
    <row r="1058" customFormat="false" ht="14.25" hidden="false" customHeight="false" outlineLevel="0" collapsed="false">
      <c r="B1058" s="197" t="n">
        <v>1113515582</v>
      </c>
      <c r="C1058" s="197" t="s">
        <v>2820</v>
      </c>
      <c r="D1058" s="197" t="s">
        <v>2821</v>
      </c>
      <c r="E1058" s="198" t="s">
        <v>944</v>
      </c>
      <c r="F1058" s="198" t="s">
        <v>945</v>
      </c>
      <c r="G1058" s="225" t="n">
        <v>5291000</v>
      </c>
      <c r="H1058" s="225" t="n">
        <v>1557164</v>
      </c>
      <c r="I1058" s="225" t="n">
        <v>0</v>
      </c>
      <c r="J1058" s="198" t="n">
        <v>37</v>
      </c>
      <c r="K1058" s="198" t="n">
        <v>1</v>
      </c>
      <c r="L1058" s="226" t="n">
        <v>44886</v>
      </c>
      <c r="M1058" s="226" t="n">
        <v>43531</v>
      </c>
      <c r="N1058" s="227" t="n">
        <v>0</v>
      </c>
      <c r="O1058" s="227" t="s">
        <v>135</v>
      </c>
      <c r="P1058" s="228" t="n">
        <f aca="false">VLOOKUP(B1058,'NIVEL ENERO'!A:D,3,0)</f>
        <v>0.297829710829711</v>
      </c>
      <c r="Q1058" s="229" t="n">
        <f aca="false">VLOOKUP(B1058,'NIVEL ENERO'!A:D,4,0)</f>
        <v>646403</v>
      </c>
      <c r="R1058" s="186" t="str">
        <f aca="false">+PROPER(C1058&amp;" "&amp;D1058)</f>
        <v>Mosquera Serrano Mally Shirley</v>
      </c>
      <c r="S1058" s="230" t="n">
        <f aca="false">+YEARFRAC(L1058,$S$1)</f>
        <v>3.475</v>
      </c>
      <c r="T1058" s="230" t="n">
        <f aca="false">+YEARFRAC(M1058,$S$1)</f>
        <v>7.18055555555556</v>
      </c>
      <c r="U1058" s="231" t="n">
        <f aca="false">+$I1058</f>
        <v>0</v>
      </c>
      <c r="V1058" s="232" t="str">
        <f aca="false">+PROPER(F1058)</f>
        <v>Union Libre</v>
      </c>
    </row>
    <row r="1059" customFormat="false" ht="14.25" hidden="false" customHeight="false" outlineLevel="0" collapsed="false">
      <c r="B1059" s="197" t="n">
        <v>1113516050</v>
      </c>
      <c r="C1059" s="197" t="s">
        <v>2822</v>
      </c>
      <c r="D1059" s="197" t="s">
        <v>2823</v>
      </c>
      <c r="E1059" s="198" t="s">
        <v>944</v>
      </c>
      <c r="F1059" s="198" t="s">
        <v>945</v>
      </c>
      <c r="G1059" s="225" t="n">
        <v>5842800</v>
      </c>
      <c r="H1059" s="225" t="n">
        <v>7245052</v>
      </c>
      <c r="I1059" s="225" t="n">
        <v>3776220</v>
      </c>
      <c r="J1059" s="198" t="n">
        <v>37</v>
      </c>
      <c r="K1059" s="198" t="n">
        <v>6</v>
      </c>
      <c r="L1059" s="226" t="n">
        <v>44154</v>
      </c>
      <c r="M1059" s="226" t="n">
        <v>43808</v>
      </c>
      <c r="N1059" s="227" t="n">
        <v>3</v>
      </c>
      <c r="O1059" s="227" t="s">
        <v>135</v>
      </c>
      <c r="P1059" s="228" t="n">
        <f aca="false">VLOOKUP(B1059,'NIVEL ENERO'!A:D,3,0)</f>
        <v>0.276390453445229</v>
      </c>
      <c r="Q1059" s="229" t="n">
        <f aca="false">VLOOKUP(B1059,'NIVEL ENERO'!A:D,4,0)</f>
        <v>1229211.84</v>
      </c>
      <c r="R1059" s="186" t="str">
        <f aca="false">+PROPER(C1059&amp;" "&amp;D1059)</f>
        <v>Marin Corrales Leydi Katheryn</v>
      </c>
      <c r="S1059" s="230" t="n">
        <f aca="false">+YEARFRAC(L1059,$S$1)</f>
        <v>5.48055555555556</v>
      </c>
      <c r="T1059" s="230" t="n">
        <f aca="false">+YEARFRAC(M1059,$S$1)</f>
        <v>6.425</v>
      </c>
      <c r="U1059" s="231" t="n">
        <f aca="false">+$I1059</f>
        <v>3776220</v>
      </c>
      <c r="V1059" s="232" t="str">
        <f aca="false">+PROPER(F1059)</f>
        <v>Union Libre</v>
      </c>
    </row>
    <row r="1060" customFormat="false" ht="14.25" hidden="false" customHeight="false" outlineLevel="0" collapsed="false">
      <c r="B1060" s="197" t="n">
        <v>1113518076</v>
      </c>
      <c r="C1060" s="197" t="s">
        <v>2824</v>
      </c>
      <c r="D1060" s="197" t="s">
        <v>2435</v>
      </c>
      <c r="E1060" s="198" t="s">
        <v>2825</v>
      </c>
      <c r="F1060" s="198" t="s">
        <v>945</v>
      </c>
      <c r="G1060" s="225" t="n">
        <v>2893800</v>
      </c>
      <c r="H1060" s="225" t="n">
        <v>7437740</v>
      </c>
      <c r="I1060" s="225" t="n">
        <v>1806419</v>
      </c>
      <c r="J1060" s="198" t="n">
        <v>36</v>
      </c>
      <c r="K1060" s="198" t="n">
        <v>2</v>
      </c>
      <c r="L1060" s="226" t="n">
        <v>44488</v>
      </c>
      <c r="M1060" s="226" t="n">
        <v>41164</v>
      </c>
      <c r="N1060" s="227" t="n">
        <v>3</v>
      </c>
      <c r="O1060" s="227" t="s">
        <v>135</v>
      </c>
      <c r="P1060" s="228" t="n">
        <f aca="false">VLOOKUP(B1060,'NIVEL ENERO'!A:D,3,0)</f>
        <v>0.254015033724503</v>
      </c>
      <c r="Q1060" s="229" t="n">
        <f aca="false">VLOOKUP(B1060,'NIVEL ENERO'!A:D,4,0)</f>
        <v>577965.96</v>
      </c>
      <c r="R1060" s="186" t="str">
        <f aca="false">+PROPER(C1060&amp;" "&amp;D1060)</f>
        <v>Copete Barona Cindy Johanna</v>
      </c>
      <c r="S1060" s="230" t="n">
        <f aca="false">+YEARFRAC(L1060,$S$1)</f>
        <v>4.56388888888889</v>
      </c>
      <c r="T1060" s="230" t="n">
        <f aca="false">+YEARFRAC(M1060,$S$1)</f>
        <v>13.6666666666667</v>
      </c>
      <c r="U1060" s="231" t="n">
        <f aca="false">+$I1060</f>
        <v>1806419</v>
      </c>
      <c r="V1060" s="232" t="str">
        <f aca="false">+PROPER(F1060)</f>
        <v>Union Libre</v>
      </c>
    </row>
    <row r="1061" customFormat="false" ht="14.25" hidden="false" customHeight="false" outlineLevel="0" collapsed="false">
      <c r="B1061" s="197" t="n">
        <v>1113518404</v>
      </c>
      <c r="C1061" s="197" t="s">
        <v>2826</v>
      </c>
      <c r="D1061" s="197" t="s">
        <v>2827</v>
      </c>
      <c r="E1061" s="198" t="s">
        <v>981</v>
      </c>
      <c r="F1061" s="198" t="s">
        <v>953</v>
      </c>
      <c r="G1061" s="225" t="n">
        <v>2893800</v>
      </c>
      <c r="H1061" s="225" t="n">
        <v>4669170</v>
      </c>
      <c r="I1061" s="225" t="n">
        <v>3667596</v>
      </c>
      <c r="J1061" s="198" t="n">
        <v>36</v>
      </c>
      <c r="K1061" s="198" t="n">
        <v>2</v>
      </c>
      <c r="L1061" s="226" t="n">
        <v>44699</v>
      </c>
      <c r="M1061" s="226" t="n">
        <v>43391</v>
      </c>
      <c r="N1061" s="227" t="n">
        <v>2</v>
      </c>
      <c r="O1061" s="227" t="s">
        <v>135</v>
      </c>
      <c r="P1061" s="228" t="n">
        <f aca="false">VLOOKUP(B1061,'NIVEL ENERO'!A:D,3,0)</f>
        <v>0.375392815321316</v>
      </c>
      <c r="Q1061" s="229" t="n">
        <f aca="false">VLOOKUP(B1061,'NIVEL ENERO'!A:D,4,0)</f>
        <v>148334.68</v>
      </c>
      <c r="R1061" s="186" t="str">
        <f aca="false">+PROPER(C1061&amp;" "&amp;D1061)</f>
        <v>Pizara Holguin Breiner Alejandro</v>
      </c>
      <c r="S1061" s="230" t="n">
        <f aca="false">+YEARFRAC(L1061,$S$1)</f>
        <v>3.98333333333333</v>
      </c>
      <c r="T1061" s="230" t="n">
        <f aca="false">+YEARFRAC(M1061,$S$1)</f>
        <v>7.56666666666667</v>
      </c>
      <c r="U1061" s="231" t="n">
        <f aca="false">+$I1061</f>
        <v>3667596</v>
      </c>
      <c r="V1061" s="232" t="str">
        <f aca="false">+PROPER(F1061)</f>
        <v>Soltero(A)</v>
      </c>
    </row>
    <row r="1062" customFormat="false" ht="14.25" hidden="false" customHeight="false" outlineLevel="0" collapsed="false">
      <c r="B1062" s="197" t="n">
        <v>1113520752</v>
      </c>
      <c r="C1062" s="197" t="s">
        <v>2828</v>
      </c>
      <c r="D1062" s="197" t="s">
        <v>2829</v>
      </c>
      <c r="E1062" s="198" t="s">
        <v>944</v>
      </c>
      <c r="F1062" s="198" t="s">
        <v>953</v>
      </c>
      <c r="G1062" s="225" t="n">
        <v>1991000</v>
      </c>
      <c r="H1062" s="225" t="n">
        <v>1355255</v>
      </c>
      <c r="I1062" s="225" t="n">
        <v>3351268</v>
      </c>
      <c r="J1062" s="198" t="n">
        <v>35</v>
      </c>
      <c r="K1062" s="198" t="n">
        <v>2</v>
      </c>
      <c r="L1062" s="226" t="n">
        <v>44995</v>
      </c>
      <c r="M1062" s="226" t="n">
        <v>44805</v>
      </c>
      <c r="N1062" s="227" t="n">
        <v>0</v>
      </c>
      <c r="O1062" s="227" t="s">
        <v>135</v>
      </c>
      <c r="P1062" s="228" t="n">
        <f aca="false">VLOOKUP(B1062,'NIVEL ENERO'!A:D,3,0)</f>
        <v>0.306645906579608</v>
      </c>
      <c r="Q1062" s="229" t="n">
        <f aca="false">VLOOKUP(B1062,'NIVEL ENERO'!A:D,4,0)</f>
        <v>225688</v>
      </c>
      <c r="R1062" s="186" t="str">
        <f aca="false">+PROPER(C1062&amp;" "&amp;D1062)</f>
        <v>Carabali Mena Yilmar</v>
      </c>
      <c r="S1062" s="230" t="n">
        <f aca="false">+YEARFRAC(L1062,$S$1)</f>
        <v>3.17222222222222</v>
      </c>
      <c r="T1062" s="230" t="n">
        <f aca="false">+YEARFRAC(M1062,$S$1)</f>
        <v>3.69722222222222</v>
      </c>
      <c r="U1062" s="231" t="n">
        <f aca="false">+$I1062</f>
        <v>3351268</v>
      </c>
      <c r="V1062" s="232" t="str">
        <f aca="false">+PROPER(F1062)</f>
        <v>Soltero(A)</v>
      </c>
    </row>
    <row r="1063" customFormat="false" ht="14.25" hidden="false" customHeight="false" outlineLevel="0" collapsed="false">
      <c r="B1063" s="197" t="n">
        <v>1113531485</v>
      </c>
      <c r="C1063" s="197" t="s">
        <v>2830</v>
      </c>
      <c r="D1063" s="197" t="s">
        <v>2831</v>
      </c>
      <c r="E1063" s="198" t="s">
        <v>944</v>
      </c>
      <c r="F1063" s="198" t="s">
        <v>948</v>
      </c>
      <c r="G1063" s="225" t="n">
        <v>5418800</v>
      </c>
      <c r="H1063" s="225" t="n">
        <v>2250000</v>
      </c>
      <c r="I1063" s="225" t="n">
        <v>155299</v>
      </c>
      <c r="J1063" s="198" t="n">
        <v>30</v>
      </c>
      <c r="K1063" s="198" t="n">
        <v>2</v>
      </c>
      <c r="L1063" s="226" t="n">
        <v>45390</v>
      </c>
      <c r="M1063" s="226" t="n">
        <v>42872</v>
      </c>
      <c r="N1063" s="227" t="n">
        <v>4</v>
      </c>
      <c r="O1063" s="227" t="s">
        <v>135</v>
      </c>
      <c r="P1063" s="228" t="n">
        <f aca="false">VLOOKUP(B1063,'NIVEL ENERO'!A:D,3,0)</f>
        <v>0.343149591508746</v>
      </c>
      <c r="Q1063" s="229" t="n">
        <f aca="false">VLOOKUP(B1063,'NIVEL ENERO'!A:D,4,0)</f>
        <v>657879.92</v>
      </c>
      <c r="R1063" s="186" t="str">
        <f aca="false">+PROPER(C1063&amp;" "&amp;D1063)</f>
        <v>Ruiz Lopez Erika Yurany</v>
      </c>
      <c r="S1063" s="230" t="n">
        <f aca="false">+YEARFRAC(L1063,$S$1)</f>
        <v>2.09444444444444</v>
      </c>
      <c r="T1063" s="230" t="n">
        <f aca="false">+YEARFRAC(M1063,$S$1)</f>
        <v>8.98611111111111</v>
      </c>
      <c r="U1063" s="231" t="n">
        <f aca="false">+$I1063</f>
        <v>155299</v>
      </c>
      <c r="V1063" s="232" t="str">
        <f aca="false">+PROPER(F1063)</f>
        <v>Casado(A)</v>
      </c>
    </row>
    <row r="1064" customFormat="false" ht="14.25" hidden="false" customHeight="false" outlineLevel="0" collapsed="false">
      <c r="B1064" s="197" t="n">
        <v>1113533532</v>
      </c>
      <c r="C1064" s="197" t="s">
        <v>2832</v>
      </c>
      <c r="D1064" s="197" t="s">
        <v>2833</v>
      </c>
      <c r="E1064" s="198" t="s">
        <v>944</v>
      </c>
      <c r="F1064" s="198" t="s">
        <v>953</v>
      </c>
      <c r="G1064" s="225" t="n">
        <v>1625000</v>
      </c>
      <c r="H1064" s="225" t="n">
        <v>390000</v>
      </c>
      <c r="I1064" s="225" t="n">
        <v>463289</v>
      </c>
      <c r="J1064" s="198" t="n">
        <v>29</v>
      </c>
      <c r="K1064" s="198" t="n">
        <v>2</v>
      </c>
      <c r="L1064" s="226" t="n">
        <v>45475</v>
      </c>
      <c r="M1064" s="226" t="n">
        <v>45432</v>
      </c>
      <c r="N1064" s="227" t="n">
        <v>0</v>
      </c>
      <c r="O1064" s="227" t="s">
        <v>135</v>
      </c>
      <c r="P1064" s="228" t="n">
        <f aca="false">VLOOKUP(B1064,'NIVEL ENERO'!A:D,3,0)</f>
        <v>0.396620329887597</v>
      </c>
      <c r="Q1064" s="229" t="n">
        <f aca="false">VLOOKUP(B1064,'NIVEL ENERO'!A:D,4,0)</f>
        <v>89251</v>
      </c>
      <c r="R1064" s="186" t="str">
        <f aca="false">+PROPER(C1064&amp;" "&amp;D1064)</f>
        <v>Ruiz Barona Ingrid Patricia</v>
      </c>
      <c r="S1064" s="230" t="n">
        <f aca="false">+YEARFRAC(L1064,$S$1)</f>
        <v>1.86111111111111</v>
      </c>
      <c r="T1064" s="230" t="n">
        <f aca="false">+YEARFRAC(M1064,$S$1)</f>
        <v>1.97777777777778</v>
      </c>
      <c r="U1064" s="231" t="n">
        <f aca="false">+$I1064</f>
        <v>463289</v>
      </c>
      <c r="V1064" s="232" t="str">
        <f aca="false">+PROPER(F1064)</f>
        <v>Soltero(A)</v>
      </c>
    </row>
    <row r="1065" customFormat="false" ht="14.25" hidden="false" customHeight="false" outlineLevel="0" collapsed="false">
      <c r="B1065" s="197" t="n">
        <v>1113538766</v>
      </c>
      <c r="C1065" s="197" t="s">
        <v>2834</v>
      </c>
      <c r="D1065" s="197" t="s">
        <v>2835</v>
      </c>
      <c r="E1065" s="198" t="s">
        <v>1696</v>
      </c>
      <c r="F1065" s="198" t="s">
        <v>953</v>
      </c>
      <c r="G1065" s="225" t="n">
        <v>1918500</v>
      </c>
      <c r="H1065" s="225" t="n">
        <v>1000000</v>
      </c>
      <c r="I1065" s="225"/>
      <c r="J1065" s="198" t="n">
        <v>26</v>
      </c>
      <c r="K1065" s="198" t="n">
        <v>2</v>
      </c>
      <c r="L1065" s="226" t="n">
        <v>45370</v>
      </c>
      <c r="M1065" s="226" t="n">
        <v>44907</v>
      </c>
      <c r="N1065" s="227" t="n">
        <v>0</v>
      </c>
      <c r="O1065" s="227" t="s">
        <v>135</v>
      </c>
      <c r="P1065" s="228" t="n">
        <f aca="false">VLOOKUP(B1065,'NIVEL ENERO'!A:D,3,0)</f>
        <v>0.344646724003127</v>
      </c>
      <c r="Q1065" s="229" t="n">
        <f aca="false">VLOOKUP(B1065,'NIVEL ENERO'!A:D,4,0)</f>
        <v>344203</v>
      </c>
      <c r="R1065" s="186" t="str">
        <f aca="false">+PROPER(C1065&amp;" "&amp;D1065)</f>
        <v>Parra Alvarez Carlos David</v>
      </c>
      <c r="S1065" s="230" t="n">
        <f aca="false">+YEARFRAC(L1065,$S$1)</f>
        <v>2.14722222222222</v>
      </c>
      <c r="T1065" s="230" t="n">
        <f aca="false">+YEARFRAC(M1065,$S$1)</f>
        <v>3.41666666666667</v>
      </c>
      <c r="U1065" s="231" t="n">
        <f aca="false">+$I1065</f>
        <v>0</v>
      </c>
      <c r="V1065" s="232" t="str">
        <f aca="false">+PROPER(F1065)</f>
        <v>Soltero(A)</v>
      </c>
    </row>
    <row r="1066" customFormat="false" ht="14.25" hidden="false" customHeight="false" outlineLevel="0" collapsed="false">
      <c r="B1066" s="197" t="n">
        <v>1113538911</v>
      </c>
      <c r="C1066" s="197" t="s">
        <v>2836</v>
      </c>
      <c r="D1066" s="197" t="s">
        <v>2837</v>
      </c>
      <c r="E1066" s="198" t="s">
        <v>944</v>
      </c>
      <c r="F1066" s="198" t="s">
        <v>953</v>
      </c>
      <c r="G1066" s="225" t="n">
        <v>1670000</v>
      </c>
      <c r="H1066" s="225" t="n">
        <v>490000</v>
      </c>
      <c r="I1066" s="225" t="n">
        <v>1293066</v>
      </c>
      <c r="J1066" s="198" t="n">
        <v>26</v>
      </c>
      <c r="K1066" s="198" t="n">
        <v>2</v>
      </c>
      <c r="L1066" s="226" t="n">
        <v>45447</v>
      </c>
      <c r="M1066" s="226" t="n">
        <v>44686</v>
      </c>
      <c r="N1066" s="227" t="n">
        <v>0</v>
      </c>
      <c r="O1066" s="227" t="s">
        <v>135</v>
      </c>
      <c r="P1066" s="228" t="n">
        <f aca="false">VLOOKUP(B1066,'NIVEL ENERO'!A:D,3,0)</f>
        <v>0.191917824071224</v>
      </c>
      <c r="Q1066" s="229" t="n">
        <f aca="false">VLOOKUP(B1066,'NIVEL ENERO'!A:D,4,0)</f>
        <v>463181.3</v>
      </c>
      <c r="R1066" s="186" t="str">
        <f aca="false">+PROPER(C1066&amp;" "&amp;D1066)</f>
        <v>Chaves Hoyos Angie Tatiana</v>
      </c>
      <c r="S1066" s="230" t="n">
        <f aca="false">+YEARFRAC(L1066,$S$1)</f>
        <v>1.93888888888889</v>
      </c>
      <c r="T1066" s="230" t="n">
        <f aca="false">+YEARFRAC(M1066,$S$1)</f>
        <v>4.01944444444445</v>
      </c>
      <c r="U1066" s="231" t="n">
        <f aca="false">+$I1066</f>
        <v>1293066</v>
      </c>
      <c r="V1066" s="232" t="str">
        <f aca="false">+PROPER(F1066)</f>
        <v>Soltero(A)</v>
      </c>
    </row>
    <row r="1067" customFormat="false" ht="14.25" hidden="false" customHeight="false" outlineLevel="0" collapsed="false">
      <c r="B1067" s="197" t="n">
        <v>1113539552</v>
      </c>
      <c r="C1067" s="197" t="s">
        <v>2838</v>
      </c>
      <c r="D1067" s="197" t="s">
        <v>2839</v>
      </c>
      <c r="E1067" s="198" t="s">
        <v>944</v>
      </c>
      <c r="F1067" s="198" t="s">
        <v>953</v>
      </c>
      <c r="G1067" s="225" t="n">
        <v>2893800</v>
      </c>
      <c r="H1067" s="225" t="n">
        <v>3617855</v>
      </c>
      <c r="I1067" s="225" t="n">
        <v>8702003</v>
      </c>
      <c r="J1067" s="198" t="n">
        <v>26</v>
      </c>
      <c r="K1067" s="198" t="n">
        <v>2</v>
      </c>
      <c r="L1067" s="226" t="n">
        <v>44552</v>
      </c>
      <c r="M1067" s="226" t="n">
        <v>43302</v>
      </c>
      <c r="N1067" s="227" t="n">
        <v>1</v>
      </c>
      <c r="O1067" s="227" t="s">
        <v>135</v>
      </c>
      <c r="P1067" s="228" t="n">
        <f aca="false">VLOOKUP(B1067,'NIVEL ENERO'!A:D,3,0)</f>
        <v>0.239845410009087</v>
      </c>
      <c r="Q1067" s="229" t="n">
        <f aca="false">VLOOKUP(B1067,'NIVEL ENERO'!A:D,4,0)</f>
        <v>697450.84</v>
      </c>
      <c r="R1067" s="186" t="str">
        <f aca="false">+PROPER(C1067&amp;" "&amp;D1067)</f>
        <v>Solarte Ordonez Ingrid Natalia</v>
      </c>
      <c r="S1067" s="230" t="n">
        <f aca="false">+YEARFRAC(L1067,$S$1)</f>
        <v>4.38888888888889</v>
      </c>
      <c r="T1067" s="230" t="n">
        <f aca="false">+YEARFRAC(M1067,$S$1)</f>
        <v>7.80833333333333</v>
      </c>
      <c r="U1067" s="231" t="n">
        <f aca="false">+$I1067</f>
        <v>8702003</v>
      </c>
      <c r="V1067" s="232" t="str">
        <f aca="false">+PROPER(F1067)</f>
        <v>Soltero(A)</v>
      </c>
    </row>
    <row r="1068" customFormat="false" ht="14.25" hidden="false" customHeight="false" outlineLevel="0" collapsed="false">
      <c r="B1068" s="197" t="n">
        <v>1113592659</v>
      </c>
      <c r="C1068" s="197" t="s">
        <v>2840</v>
      </c>
      <c r="D1068" s="197" t="s">
        <v>1184</v>
      </c>
      <c r="E1068" s="198" t="s">
        <v>944</v>
      </c>
      <c r="F1068" s="198" t="s">
        <v>945</v>
      </c>
      <c r="G1068" s="225" t="n">
        <v>2600900</v>
      </c>
      <c r="H1068" s="225" t="n">
        <v>2468149</v>
      </c>
      <c r="I1068" s="225" t="n">
        <v>0</v>
      </c>
      <c r="J1068" s="198" t="n">
        <v>38</v>
      </c>
      <c r="K1068" s="198" t="n">
        <v>2</v>
      </c>
      <c r="L1068" s="226" t="n">
        <v>44459</v>
      </c>
      <c r="M1068" s="226" t="n">
        <v>44655</v>
      </c>
      <c r="N1068" s="227" t="n">
        <v>0</v>
      </c>
      <c r="O1068" s="227" t="s">
        <v>135</v>
      </c>
      <c r="P1068" s="228" t="n">
        <f aca="false">VLOOKUP(B1068,'NIVEL ENERO'!A:D,3,0)</f>
        <v>0.178554973658909</v>
      </c>
      <c r="Q1068" s="229" t="n">
        <f aca="false">VLOOKUP(B1068,'NIVEL ENERO'!A:D,4,0)</f>
        <v>682125.74</v>
      </c>
      <c r="R1068" s="186" t="str">
        <f aca="false">+PROPER(C1068&amp;" "&amp;D1068)</f>
        <v>Betancourt Copete Paola Andrea</v>
      </c>
      <c r="S1068" s="230" t="n">
        <f aca="false">+YEARFRAC(L1068,$S$1)</f>
        <v>4.64444444444445</v>
      </c>
      <c r="T1068" s="230" t="n">
        <f aca="false">+YEARFRAC(M1068,$S$1)</f>
        <v>4.10555555555556</v>
      </c>
      <c r="U1068" s="231" t="n">
        <f aca="false">+$I1068</f>
        <v>0</v>
      </c>
      <c r="V1068" s="232" t="str">
        <f aca="false">+PROPER(F1068)</f>
        <v>Union Libre</v>
      </c>
    </row>
    <row r="1069" customFormat="false" ht="14.25" hidden="false" customHeight="false" outlineLevel="0" collapsed="false">
      <c r="B1069" s="197" t="n">
        <v>1113622605</v>
      </c>
      <c r="C1069" s="197" t="s">
        <v>2841</v>
      </c>
      <c r="D1069" s="197" t="s">
        <v>1069</v>
      </c>
      <c r="E1069" s="198" t="s">
        <v>944</v>
      </c>
      <c r="F1069" s="198" t="s">
        <v>953</v>
      </c>
      <c r="G1069" s="225" t="n">
        <v>2893800</v>
      </c>
      <c r="H1069" s="225" t="n">
        <v>4187276</v>
      </c>
      <c r="I1069" s="225" t="n">
        <v>0</v>
      </c>
      <c r="J1069" s="198" t="n">
        <v>38</v>
      </c>
      <c r="K1069" s="198" t="n">
        <v>1</v>
      </c>
      <c r="L1069" s="226" t="n">
        <v>44026</v>
      </c>
      <c r="M1069" s="226" t="n">
        <v>40494</v>
      </c>
      <c r="N1069" s="227" t="n">
        <v>1</v>
      </c>
      <c r="O1069" s="227" t="s">
        <v>135</v>
      </c>
      <c r="P1069" s="228" t="n">
        <f aca="false">VLOOKUP(B1069,'NIVEL ENERO'!A:D,3,0)</f>
        <v>0.126173543437694</v>
      </c>
      <c r="Q1069" s="229" t="n">
        <f aca="false">VLOOKUP(B1069,'NIVEL ENERO'!A:D,4,0)</f>
        <v>850275</v>
      </c>
      <c r="R1069" s="186" t="str">
        <f aca="false">+PROPER(C1069&amp;" "&amp;D1069)</f>
        <v>Gomez Sanchez Mauricio</v>
      </c>
      <c r="S1069" s="230" t="n">
        <f aca="false">+YEARFRAC(L1069,$S$1)</f>
        <v>5.82777777777778</v>
      </c>
      <c r="T1069" s="230" t="n">
        <f aca="false">+YEARFRAC(M1069,$S$1)</f>
        <v>15.5</v>
      </c>
      <c r="U1069" s="231" t="n">
        <f aca="false">+$I1069</f>
        <v>0</v>
      </c>
      <c r="V1069" s="232" t="str">
        <f aca="false">+PROPER(F1069)</f>
        <v>Soltero(A)</v>
      </c>
    </row>
    <row r="1070" customFormat="false" ht="14.25" hidden="false" customHeight="false" outlineLevel="0" collapsed="false">
      <c r="B1070" s="197" t="n">
        <v>1113624281</v>
      </c>
      <c r="C1070" s="197" t="s">
        <v>2842</v>
      </c>
      <c r="D1070" s="197" t="s">
        <v>2843</v>
      </c>
      <c r="E1070" s="198" t="s">
        <v>944</v>
      </c>
      <c r="F1070" s="198" t="s">
        <v>953</v>
      </c>
      <c r="G1070" s="225" t="n">
        <v>4867100</v>
      </c>
      <c r="H1070" s="225" t="n">
        <v>3577463</v>
      </c>
      <c r="I1070" s="225" t="n">
        <v>17949425</v>
      </c>
      <c r="J1070" s="198" t="n">
        <v>38</v>
      </c>
      <c r="K1070" s="198" t="n">
        <v>1</v>
      </c>
      <c r="L1070" s="226" t="n">
        <v>43531</v>
      </c>
      <c r="M1070" s="226" t="n">
        <v>40045</v>
      </c>
      <c r="N1070" s="227" t="n">
        <v>0</v>
      </c>
      <c r="O1070" s="227" t="s">
        <v>135</v>
      </c>
      <c r="P1070" s="228" t="n">
        <f aca="false">VLOOKUP(B1070,'NIVEL ENERO'!A:D,3,0)</f>
        <v>0.439348138348138</v>
      </c>
      <c r="Q1070" s="229" t="n">
        <f aca="false">VLOOKUP(B1070,'NIVEL ENERO'!A:D,4,0)</f>
        <v>-102371</v>
      </c>
      <c r="R1070" s="186" t="str">
        <f aca="false">+PROPER(C1070&amp;" "&amp;D1070)</f>
        <v>Garcia Soto Hector Mario</v>
      </c>
      <c r="S1070" s="230" t="n">
        <f aca="false">+YEARFRAC(L1070,$S$1)</f>
        <v>7.18055555555556</v>
      </c>
      <c r="T1070" s="230" t="n">
        <f aca="false">+YEARFRAC(M1070,$S$1)</f>
        <v>16.7277777777778</v>
      </c>
      <c r="U1070" s="231" t="n">
        <f aca="false">+$I1070</f>
        <v>17949425</v>
      </c>
      <c r="V1070" s="232" t="str">
        <f aca="false">+PROPER(F1070)</f>
        <v>Soltero(A)</v>
      </c>
    </row>
    <row r="1071" customFormat="false" ht="14.25" hidden="false" customHeight="false" outlineLevel="0" collapsed="false">
      <c r="B1071" s="197" t="n">
        <v>1113624682</v>
      </c>
      <c r="C1071" s="197" t="s">
        <v>2844</v>
      </c>
      <c r="D1071" s="197" t="s">
        <v>2845</v>
      </c>
      <c r="E1071" s="198" t="s">
        <v>944</v>
      </c>
      <c r="F1071" s="198" t="s">
        <v>948</v>
      </c>
      <c r="G1071" s="225" t="n">
        <v>4469100</v>
      </c>
      <c r="H1071" s="225" t="n">
        <v>1500275</v>
      </c>
      <c r="I1071" s="225"/>
      <c r="J1071" s="198" t="n">
        <v>39</v>
      </c>
      <c r="K1071" s="198" t="n">
        <v>2</v>
      </c>
      <c r="L1071" s="226" t="n">
        <v>45222</v>
      </c>
      <c r="M1071" s="226" t="n">
        <v>41255</v>
      </c>
      <c r="N1071" s="227" t="n">
        <v>0</v>
      </c>
      <c r="O1071" s="227" t="s">
        <v>135</v>
      </c>
      <c r="P1071" s="228" t="n">
        <f aca="false">VLOOKUP(B1071,'NIVEL ENERO'!A:D,3,0)</f>
        <v>0.176431675745406</v>
      </c>
      <c r="Q1071" s="229" t="n">
        <f aca="false">VLOOKUP(B1071,'NIVEL ENERO'!A:D,4,0)</f>
        <v>1598721.02</v>
      </c>
      <c r="R1071" s="186" t="str">
        <f aca="false">+PROPER(C1071&amp;" "&amp;D1071)</f>
        <v>Jimenez Moreno Hector Yezid</v>
      </c>
      <c r="S1071" s="230" t="n">
        <f aca="false">+YEARFRAC(L1071,$S$1)</f>
        <v>2.55277777777778</v>
      </c>
      <c r="T1071" s="230" t="n">
        <f aca="false">+YEARFRAC(M1071,$S$1)</f>
        <v>13.4166666666667</v>
      </c>
      <c r="U1071" s="231" t="n">
        <f aca="false">+$I1071</f>
        <v>0</v>
      </c>
      <c r="V1071" s="232" t="str">
        <f aca="false">+PROPER(F1071)</f>
        <v>Casado(A)</v>
      </c>
    </row>
    <row r="1072" customFormat="false" ht="14.25" hidden="false" customHeight="false" outlineLevel="0" collapsed="false">
      <c r="B1072" s="197" t="n">
        <v>1113626506</v>
      </c>
      <c r="C1072" s="197" t="s">
        <v>2846</v>
      </c>
      <c r="D1072" s="197" t="s">
        <v>2847</v>
      </c>
      <c r="E1072" s="198" t="s">
        <v>944</v>
      </c>
      <c r="F1072" s="198" t="s">
        <v>953</v>
      </c>
      <c r="G1072" s="225" t="n">
        <v>5291000</v>
      </c>
      <c r="H1072" s="225" t="n">
        <v>1860209</v>
      </c>
      <c r="I1072" s="225" t="n">
        <v>1610847</v>
      </c>
      <c r="J1072" s="198" t="n">
        <v>38</v>
      </c>
      <c r="K1072" s="198" t="n">
        <v>1</v>
      </c>
      <c r="L1072" s="226" t="n">
        <v>39373</v>
      </c>
      <c r="M1072" s="226" t="n">
        <v>39045</v>
      </c>
      <c r="N1072" s="227" t="n">
        <v>3</v>
      </c>
      <c r="O1072" s="227" t="s">
        <v>135</v>
      </c>
      <c r="P1072" s="228" t="n">
        <f aca="false">VLOOKUP(B1072,'NIVEL ENERO'!A:D,3,0)</f>
        <v>0.351751722576771</v>
      </c>
      <c r="Q1072" s="229" t="n">
        <f aca="false">VLOOKUP(B1072,'NIVEL ENERO'!A:D,4,0)</f>
        <v>377468.46</v>
      </c>
      <c r="R1072" s="186" t="str">
        <f aca="false">+PROPER(C1072&amp;" "&amp;D1072)</f>
        <v>Gallego Gallego Yuliana Andrea</v>
      </c>
      <c r="S1072" s="230" t="n">
        <f aca="false">+YEARFRAC(L1072,$S$1)</f>
        <v>18.5666666666667</v>
      </c>
      <c r="T1072" s="230" t="n">
        <f aca="false">+YEARFRAC(M1072,$S$1)</f>
        <v>19.4666666666667</v>
      </c>
      <c r="U1072" s="231" t="n">
        <f aca="false">+$I1072</f>
        <v>1610847</v>
      </c>
      <c r="V1072" s="232" t="str">
        <f aca="false">+PROPER(F1072)</f>
        <v>Soltero(A)</v>
      </c>
    </row>
    <row r="1073" customFormat="false" ht="14.25" hidden="false" customHeight="false" outlineLevel="0" collapsed="false">
      <c r="B1073" s="197" t="n">
        <v>1113635046</v>
      </c>
      <c r="C1073" s="197" t="s">
        <v>2848</v>
      </c>
      <c r="D1073" s="197" t="s">
        <v>952</v>
      </c>
      <c r="E1073" s="198" t="s">
        <v>944</v>
      </c>
      <c r="F1073" s="198" t="s">
        <v>953</v>
      </c>
      <c r="G1073" s="225" t="n">
        <v>5517200</v>
      </c>
      <c r="H1073" s="225" t="n">
        <v>3650788</v>
      </c>
      <c r="I1073" s="225" t="n">
        <v>5277391</v>
      </c>
      <c r="J1073" s="198" t="n">
        <v>36</v>
      </c>
      <c r="K1073" s="198" t="n">
        <v>2</v>
      </c>
      <c r="L1073" s="226" t="n">
        <v>44886</v>
      </c>
      <c r="M1073" s="226" t="n">
        <v>44105</v>
      </c>
      <c r="N1073" s="227" t="n">
        <v>0</v>
      </c>
      <c r="O1073" s="227" t="s">
        <v>135</v>
      </c>
      <c r="P1073" s="228" t="n">
        <f aca="false">VLOOKUP(B1073,'NIVEL ENERO'!A:D,3,0)</f>
        <v>0.20805136663525</v>
      </c>
      <c r="Q1073" s="229" t="n">
        <f aca="false">VLOOKUP(B1073,'NIVEL ENERO'!A:D,4,0)</f>
        <v>1169363</v>
      </c>
      <c r="R1073" s="186" t="str">
        <f aca="false">+PROPER(C1073&amp;" "&amp;D1073)</f>
        <v>Morales Carmona Carlos Andres</v>
      </c>
      <c r="S1073" s="230" t="n">
        <f aca="false">+YEARFRAC(L1073,$S$1)</f>
        <v>3.475</v>
      </c>
      <c r="T1073" s="230" t="n">
        <f aca="false">+YEARFRAC(M1073,$S$1)</f>
        <v>5.61388888888889</v>
      </c>
      <c r="U1073" s="231" t="n">
        <f aca="false">+$I1073</f>
        <v>5277391</v>
      </c>
      <c r="V1073" s="232" t="str">
        <f aca="false">+PROPER(F1073)</f>
        <v>Soltero(A)</v>
      </c>
    </row>
    <row r="1074" customFormat="false" ht="14.25" hidden="false" customHeight="false" outlineLevel="0" collapsed="false">
      <c r="B1074" s="197" t="n">
        <v>1113637168</v>
      </c>
      <c r="C1074" s="197" t="s">
        <v>2849</v>
      </c>
      <c r="D1074" s="197" t="s">
        <v>1267</v>
      </c>
      <c r="E1074" s="198" t="s">
        <v>944</v>
      </c>
      <c r="F1074" s="198" t="s">
        <v>953</v>
      </c>
      <c r="G1074" s="225" t="n">
        <v>2893800</v>
      </c>
      <c r="H1074" s="225" t="n">
        <v>1506656</v>
      </c>
      <c r="I1074" s="225" t="n">
        <v>3502698</v>
      </c>
      <c r="J1074" s="198" t="n">
        <v>36</v>
      </c>
      <c r="K1074" s="198" t="n">
        <v>2</v>
      </c>
      <c r="L1074" s="226" t="n">
        <v>44909</v>
      </c>
      <c r="M1074" s="226" t="n">
        <v>44734</v>
      </c>
      <c r="N1074" s="227" t="n">
        <v>0</v>
      </c>
      <c r="O1074" s="227" t="s">
        <v>135</v>
      </c>
      <c r="P1074" s="228" t="n">
        <f aca="false">VLOOKUP(B1074,'NIVEL ENERO'!A:D,3,0)</f>
        <v>0.427890024646471</v>
      </c>
      <c r="Q1074" s="229" t="n">
        <f aca="false">VLOOKUP(B1074,'NIVEL ENERO'!A:D,4,0)</f>
        <v>-31170.8600000001</v>
      </c>
      <c r="R1074" s="186" t="str">
        <f aca="false">+PROPER(C1074&amp;" "&amp;D1074)</f>
        <v>Pena Osorio Ana Maria</v>
      </c>
      <c r="S1074" s="230" t="n">
        <f aca="false">+YEARFRAC(L1074,$S$1)</f>
        <v>3.41111111111111</v>
      </c>
      <c r="T1074" s="230" t="n">
        <f aca="false">+YEARFRAC(M1074,$S$1)</f>
        <v>3.88888888888889</v>
      </c>
      <c r="U1074" s="231" t="n">
        <f aca="false">+$I1074</f>
        <v>3502698</v>
      </c>
      <c r="V1074" s="232" t="str">
        <f aca="false">+PROPER(F1074)</f>
        <v>Soltero(A)</v>
      </c>
    </row>
    <row r="1075" customFormat="false" ht="14.25" hidden="false" customHeight="false" outlineLevel="0" collapsed="false">
      <c r="B1075" s="197" t="n">
        <v>1113644857</v>
      </c>
      <c r="C1075" s="197" t="s">
        <v>2850</v>
      </c>
      <c r="D1075" s="197" t="s">
        <v>2851</v>
      </c>
      <c r="E1075" s="198" t="s">
        <v>944</v>
      </c>
      <c r="F1075" s="198" t="s">
        <v>945</v>
      </c>
      <c r="G1075" s="225" t="n">
        <v>4327600</v>
      </c>
      <c r="H1075" s="225" t="n">
        <v>3516840</v>
      </c>
      <c r="I1075" s="225" t="n">
        <v>0</v>
      </c>
      <c r="J1075" s="198" t="n">
        <v>34</v>
      </c>
      <c r="K1075" s="198" t="n">
        <v>1</v>
      </c>
      <c r="L1075" s="226" t="n">
        <v>44579</v>
      </c>
      <c r="M1075" s="226" t="n">
        <v>42779</v>
      </c>
      <c r="N1075" s="227" t="n">
        <v>2</v>
      </c>
      <c r="O1075" s="227" t="s">
        <v>135</v>
      </c>
      <c r="P1075" s="228" t="n">
        <f aca="false">VLOOKUP(B1075,'NIVEL ENERO'!A:D,3,0)</f>
        <v>0.107917783528977</v>
      </c>
      <c r="Q1075" s="229" t="n">
        <f aca="false">VLOOKUP(B1075,'NIVEL ENERO'!A:D,4,0)</f>
        <v>1350567</v>
      </c>
      <c r="R1075" s="186" t="str">
        <f aca="false">+PROPER(C1075&amp;" "&amp;D1075)</f>
        <v>Florez Monedero Jenny Marcela</v>
      </c>
      <c r="S1075" s="230" t="n">
        <f aca="false">+YEARFRAC(L1075,$S$1)</f>
        <v>4.31666666666667</v>
      </c>
      <c r="T1075" s="230" t="n">
        <f aca="false">+YEARFRAC(M1075,$S$1)</f>
        <v>9.24722222222222</v>
      </c>
      <c r="U1075" s="231" t="n">
        <f aca="false">+$I1075</f>
        <v>0</v>
      </c>
      <c r="V1075" s="232" t="str">
        <f aca="false">+PROPER(F1075)</f>
        <v>Union Libre</v>
      </c>
    </row>
    <row r="1076" customFormat="false" ht="14.25" hidden="false" customHeight="false" outlineLevel="0" collapsed="false">
      <c r="B1076" s="197" t="n">
        <v>1113647946</v>
      </c>
      <c r="C1076" s="197" t="s">
        <v>2852</v>
      </c>
      <c r="D1076" s="197" t="s">
        <v>2732</v>
      </c>
      <c r="E1076" s="198" t="s">
        <v>944</v>
      </c>
      <c r="F1076" s="198" t="s">
        <v>953</v>
      </c>
      <c r="G1076" s="225" t="n">
        <v>8245400</v>
      </c>
      <c r="H1076" s="225" t="n">
        <v>800000</v>
      </c>
      <c r="I1076" s="225"/>
      <c r="J1076" s="198" t="n">
        <v>34</v>
      </c>
      <c r="K1076" s="198" t="n">
        <v>1</v>
      </c>
      <c r="L1076" s="226" t="n">
        <v>45555</v>
      </c>
      <c r="M1076" s="226" t="n">
        <v>44713</v>
      </c>
      <c r="N1076" s="227" t="n">
        <v>0</v>
      </c>
      <c r="O1076" s="227" t="s">
        <v>135</v>
      </c>
      <c r="P1076" s="228" t="n">
        <f aca="false">VLOOKUP(B1076,'NIVEL ENERO'!A:D,3,0)</f>
        <v>0.300884978290926</v>
      </c>
      <c r="Q1076" s="229" t="n">
        <f aca="false">VLOOKUP(B1076,'NIVEL ENERO'!A:D,4,0)</f>
        <v>982151</v>
      </c>
      <c r="R1076" s="186" t="str">
        <f aca="false">+PROPER(C1076&amp;" "&amp;D1076)</f>
        <v>Guerrero Gomez David Fernando</v>
      </c>
      <c r="S1076" s="230" t="n">
        <f aca="false">+YEARFRAC(L1076,$S$1)</f>
        <v>1.64444444444444</v>
      </c>
      <c r="T1076" s="230" t="n">
        <f aca="false">+YEARFRAC(M1076,$S$1)</f>
        <v>3.94722222222222</v>
      </c>
      <c r="U1076" s="231" t="n">
        <f aca="false">+$I1076</f>
        <v>0</v>
      </c>
      <c r="V1076" s="232" t="str">
        <f aca="false">+PROPER(F1076)</f>
        <v>Soltero(A)</v>
      </c>
    </row>
    <row r="1077" customFormat="false" ht="14.25" hidden="false" customHeight="false" outlineLevel="0" collapsed="false">
      <c r="B1077" s="197" t="n">
        <v>1113651975</v>
      </c>
      <c r="C1077" s="197" t="s">
        <v>2853</v>
      </c>
      <c r="D1077" s="197" t="s">
        <v>2854</v>
      </c>
      <c r="E1077" s="198" t="s">
        <v>944</v>
      </c>
      <c r="F1077" s="198" t="s">
        <v>945</v>
      </c>
      <c r="G1077" s="225" t="n">
        <v>8245400</v>
      </c>
      <c r="H1077" s="225" t="n">
        <v>1500275</v>
      </c>
      <c r="I1077" s="225" t="n">
        <v>3737401</v>
      </c>
      <c r="J1077" s="198" t="n">
        <v>33</v>
      </c>
      <c r="K1077" s="198" t="n">
        <v>2</v>
      </c>
      <c r="L1077" s="226" t="n">
        <v>45220</v>
      </c>
      <c r="M1077" s="226" t="n">
        <v>44910</v>
      </c>
      <c r="N1077" s="227" t="n">
        <v>0</v>
      </c>
      <c r="O1077" s="227" t="s">
        <v>135</v>
      </c>
      <c r="P1077" s="228" t="n">
        <f aca="false">VLOOKUP(B1077,'NIVEL ENERO'!A:D,3,0)</f>
        <v>0.389932325902928</v>
      </c>
      <c r="Q1077" s="229" t="n">
        <f aca="false">VLOOKUP(B1077,'NIVEL ENERO'!A:D,4,0)</f>
        <v>247920</v>
      </c>
      <c r="R1077" s="186" t="str">
        <f aca="false">+PROPER(C1077&amp;" "&amp;D1077)</f>
        <v>Vargas Trujillo Crhistian David</v>
      </c>
      <c r="S1077" s="230" t="n">
        <f aca="false">+YEARFRAC(L1077,$S$1)</f>
        <v>2.55833333333333</v>
      </c>
      <c r="T1077" s="230" t="n">
        <f aca="false">+YEARFRAC(M1077,$S$1)</f>
        <v>3.40833333333333</v>
      </c>
      <c r="U1077" s="231" t="n">
        <f aca="false">+$I1077</f>
        <v>3737401</v>
      </c>
      <c r="V1077" s="232" t="str">
        <f aca="false">+PROPER(F1077)</f>
        <v>Union Libre</v>
      </c>
    </row>
    <row r="1078" customFormat="false" ht="14.25" hidden="false" customHeight="false" outlineLevel="0" collapsed="false">
      <c r="B1078" s="197" t="n">
        <v>1113654850</v>
      </c>
      <c r="C1078" s="197" t="s">
        <v>2855</v>
      </c>
      <c r="D1078" s="197" t="s">
        <v>1202</v>
      </c>
      <c r="E1078" s="198" t="s">
        <v>944</v>
      </c>
      <c r="F1078" s="198" t="s">
        <v>948</v>
      </c>
      <c r="G1078" s="225" t="n">
        <v>2893800</v>
      </c>
      <c r="H1078" s="225" t="n">
        <v>1800000</v>
      </c>
      <c r="I1078" s="225" t="n">
        <v>2155556</v>
      </c>
      <c r="J1078" s="198" t="n">
        <v>33</v>
      </c>
      <c r="K1078" s="198" t="n">
        <v>2</v>
      </c>
      <c r="L1078" s="226" t="n">
        <v>45303</v>
      </c>
      <c r="M1078" s="226" t="n">
        <v>42226</v>
      </c>
      <c r="N1078" s="227" t="n">
        <v>0</v>
      </c>
      <c r="O1078" s="227" t="s">
        <v>135</v>
      </c>
      <c r="P1078" s="228" t="n">
        <f aca="false">VLOOKUP(B1078,'NIVEL ENERO'!A:D,3,0)</f>
        <v>0.353825180735746</v>
      </c>
      <c r="Q1078" s="229" t="n">
        <f aca="false">VLOOKUP(B1078,'NIVEL ENERO'!A:D,4,0)</f>
        <v>279326.14</v>
      </c>
      <c r="R1078" s="186" t="str">
        <f aca="false">+PROPER(C1078&amp;" "&amp;D1078)</f>
        <v>Vivas Fandino Carolina</v>
      </c>
      <c r="S1078" s="230" t="n">
        <f aca="false">+YEARFRAC(L1078,$S$1)</f>
        <v>2.33333333333333</v>
      </c>
      <c r="T1078" s="230" t="n">
        <f aca="false">+YEARFRAC(M1078,$S$1)</f>
        <v>10.7555555555556</v>
      </c>
      <c r="U1078" s="231" t="n">
        <f aca="false">+$I1078</f>
        <v>2155556</v>
      </c>
      <c r="V1078" s="232" t="str">
        <f aca="false">+PROPER(F1078)</f>
        <v>Casado(A)</v>
      </c>
    </row>
    <row r="1079" customFormat="false" ht="14.25" hidden="false" customHeight="false" outlineLevel="0" collapsed="false">
      <c r="B1079" s="197" t="n">
        <v>1113658300</v>
      </c>
      <c r="C1079" s="197" t="s">
        <v>2856</v>
      </c>
      <c r="D1079" s="197" t="s">
        <v>2857</v>
      </c>
      <c r="E1079" s="198" t="s">
        <v>944</v>
      </c>
      <c r="F1079" s="198" t="s">
        <v>953</v>
      </c>
      <c r="G1079" s="225" t="n">
        <v>2604400</v>
      </c>
      <c r="H1079" s="225" t="n">
        <v>1801313</v>
      </c>
      <c r="I1079" s="225" t="n">
        <v>2740312</v>
      </c>
      <c r="J1079" s="198" t="n">
        <v>32</v>
      </c>
      <c r="K1079" s="198" t="n">
        <v>2</v>
      </c>
      <c r="L1079" s="226" t="n">
        <v>45121</v>
      </c>
      <c r="M1079" s="226" t="n">
        <v>44626</v>
      </c>
      <c r="N1079" s="227" t="n">
        <v>0</v>
      </c>
      <c r="O1079" s="227" t="s">
        <v>135</v>
      </c>
      <c r="P1079" s="228" t="n">
        <f aca="false">VLOOKUP(B1079,'NIVEL ENERO'!A:D,3,0)</f>
        <v>0.358496632714015</v>
      </c>
      <c r="Q1079" s="229" t="n">
        <f aca="false">VLOOKUP(B1079,'NIVEL ENERO'!A:D,4,0)</f>
        <v>233618.06</v>
      </c>
      <c r="R1079" s="186" t="str">
        <f aca="false">+PROPER(C1079&amp;" "&amp;D1079)</f>
        <v>Garcia Cantuni Esteban</v>
      </c>
      <c r="S1079" s="230" t="n">
        <f aca="false">+YEARFRAC(L1079,$S$1)</f>
        <v>2.82777777777778</v>
      </c>
      <c r="T1079" s="230" t="n">
        <f aca="false">+YEARFRAC(M1079,$S$1)</f>
        <v>4.18333333333333</v>
      </c>
      <c r="U1079" s="231" t="n">
        <f aca="false">+$I1079</f>
        <v>2740312</v>
      </c>
      <c r="V1079" s="232" t="str">
        <f aca="false">+PROPER(F1079)</f>
        <v>Soltero(A)</v>
      </c>
    </row>
    <row r="1080" customFormat="false" ht="14.25" hidden="false" customHeight="false" outlineLevel="0" collapsed="false">
      <c r="B1080" s="197" t="n">
        <v>1113660222</v>
      </c>
      <c r="C1080" s="197" t="s">
        <v>2858</v>
      </c>
      <c r="D1080" s="197" t="s">
        <v>2466</v>
      </c>
      <c r="E1080" s="198" t="s">
        <v>944</v>
      </c>
      <c r="F1080" s="198" t="s">
        <v>953</v>
      </c>
      <c r="G1080" s="225" t="n">
        <v>2600900</v>
      </c>
      <c r="H1080" s="225" t="n">
        <v>2225696</v>
      </c>
      <c r="I1080" s="225" t="n">
        <v>4293131</v>
      </c>
      <c r="J1080" s="198" t="n">
        <v>31</v>
      </c>
      <c r="K1080" s="198" t="n">
        <v>4</v>
      </c>
      <c r="L1080" s="226" t="n">
        <v>44551</v>
      </c>
      <c r="M1080" s="226" t="n">
        <v>42416</v>
      </c>
      <c r="N1080" s="227" t="n">
        <v>2</v>
      </c>
      <c r="O1080" s="227" t="s">
        <v>135</v>
      </c>
      <c r="P1080" s="228" t="n">
        <f aca="false">VLOOKUP(B1080,'NIVEL ENERO'!A:D,3,0)</f>
        <v>0.420681580113659</v>
      </c>
      <c r="Q1080" s="229" t="n">
        <f aca="false">VLOOKUP(B1080,'NIVEL ENERO'!A:D,4,0)</f>
        <v>-2522.65999999992</v>
      </c>
      <c r="R1080" s="186" t="str">
        <f aca="false">+PROPER(C1080&amp;" "&amp;D1080)</f>
        <v>Perez Rodriguez Mayra Alejandra</v>
      </c>
      <c r="S1080" s="230" t="n">
        <f aca="false">+YEARFRAC(L1080,$S$1)</f>
        <v>4.39166666666667</v>
      </c>
      <c r="T1080" s="230" t="n">
        <f aca="false">+YEARFRAC(M1080,$S$1)</f>
        <v>10.2388888888889</v>
      </c>
      <c r="U1080" s="231" t="n">
        <f aca="false">+$I1080</f>
        <v>4293131</v>
      </c>
      <c r="V1080" s="232" t="str">
        <f aca="false">+PROPER(F1080)</f>
        <v>Soltero(A)</v>
      </c>
    </row>
    <row r="1081" customFormat="false" ht="14.25" hidden="false" customHeight="false" outlineLevel="0" collapsed="false">
      <c r="B1081" s="197" t="n">
        <v>1113673170</v>
      </c>
      <c r="C1081" s="197" t="s">
        <v>2859</v>
      </c>
      <c r="D1081" s="197" t="s">
        <v>2860</v>
      </c>
      <c r="E1081" s="198" t="s">
        <v>1696</v>
      </c>
      <c r="F1081" s="198" t="s">
        <v>953</v>
      </c>
      <c r="G1081" s="225" t="n">
        <v>2600900</v>
      </c>
      <c r="H1081" s="225" t="n">
        <v>1256457</v>
      </c>
      <c r="I1081" s="225" t="n">
        <v>4219241</v>
      </c>
      <c r="J1081" s="198" t="n">
        <v>29</v>
      </c>
      <c r="K1081" s="198" t="n">
        <v>2</v>
      </c>
      <c r="L1081" s="226" t="n">
        <v>45050</v>
      </c>
      <c r="M1081" s="226" t="n">
        <v>44105</v>
      </c>
      <c r="N1081" s="227" t="n">
        <v>0</v>
      </c>
      <c r="O1081" s="227" t="s">
        <v>135</v>
      </c>
      <c r="P1081" s="228" t="n">
        <f aca="false">VLOOKUP(B1081,'NIVEL ENERO'!A:D,3,0)</f>
        <v>0.278617017186359</v>
      </c>
      <c r="Q1081" s="229" t="n">
        <f aca="false">VLOOKUP(B1081,'NIVEL ENERO'!A:D,4,0)</f>
        <v>367723</v>
      </c>
      <c r="R1081" s="186" t="str">
        <f aca="false">+PROPER(C1081&amp;" "&amp;D1081)</f>
        <v>Orejuela Zuniga Yessica Lorena</v>
      </c>
      <c r="S1081" s="230" t="n">
        <f aca="false">+YEARFRAC(L1081,$S$1)</f>
        <v>3.02222222222222</v>
      </c>
      <c r="T1081" s="230" t="n">
        <f aca="false">+YEARFRAC(M1081,$S$1)</f>
        <v>5.61388888888889</v>
      </c>
      <c r="U1081" s="231" t="n">
        <f aca="false">+$I1081</f>
        <v>4219241</v>
      </c>
      <c r="V1081" s="232" t="str">
        <f aca="false">+PROPER(F1081)</f>
        <v>Soltero(A)</v>
      </c>
    </row>
    <row r="1082" customFormat="false" ht="14.25" hidden="false" customHeight="false" outlineLevel="0" collapsed="false">
      <c r="B1082" s="197" t="n">
        <v>1113673479</v>
      </c>
      <c r="C1082" s="197" t="s">
        <v>2258</v>
      </c>
      <c r="D1082" s="197" t="s">
        <v>2451</v>
      </c>
      <c r="E1082" s="198" t="s">
        <v>944</v>
      </c>
      <c r="F1082" s="198" t="s">
        <v>953</v>
      </c>
      <c r="G1082" s="225" t="n">
        <v>2893800</v>
      </c>
      <c r="H1082" s="225" t="n">
        <v>5202948</v>
      </c>
      <c r="I1082" s="225" t="n">
        <v>5362127</v>
      </c>
      <c r="J1082" s="198" t="n">
        <v>29</v>
      </c>
      <c r="K1082" s="198" t="n">
        <v>2</v>
      </c>
      <c r="L1082" s="226" t="n">
        <v>43060</v>
      </c>
      <c r="M1082" s="226" t="n">
        <v>41744</v>
      </c>
      <c r="N1082" s="227" t="n">
        <v>1</v>
      </c>
      <c r="O1082" s="227" t="s">
        <v>135</v>
      </c>
      <c r="P1082" s="228" t="n">
        <f aca="false">VLOOKUP(B1082,'NIVEL ENERO'!A:D,3,0)</f>
        <v>0.271031181578246</v>
      </c>
      <c r="Q1082" s="229" t="n">
        <f aca="false">VLOOKUP(B1082,'NIVEL ENERO'!A:D,4,0)</f>
        <v>513346.3</v>
      </c>
      <c r="R1082" s="186" t="str">
        <f aca="false">+PROPER(C1082&amp;" "&amp;D1082)</f>
        <v>Gonzalez Perez Juan Camilo</v>
      </c>
      <c r="S1082" s="230" t="n">
        <f aca="false">+YEARFRAC(L1082,$S$1)</f>
        <v>8.475</v>
      </c>
      <c r="T1082" s="230" t="n">
        <f aca="false">+YEARFRAC(M1082,$S$1)</f>
        <v>12.075</v>
      </c>
      <c r="U1082" s="231" t="n">
        <f aca="false">+$I1082</f>
        <v>5362127</v>
      </c>
      <c r="V1082" s="232" t="str">
        <f aca="false">+PROPER(F1082)</f>
        <v>Soltero(A)</v>
      </c>
    </row>
    <row r="1083" customFormat="false" ht="14.25" hidden="false" customHeight="false" outlineLevel="0" collapsed="false">
      <c r="B1083" s="197" t="n">
        <v>1113687930</v>
      </c>
      <c r="C1083" s="197" t="s">
        <v>2861</v>
      </c>
      <c r="D1083" s="197" t="s">
        <v>2862</v>
      </c>
      <c r="E1083" s="198" t="s">
        <v>944</v>
      </c>
      <c r="F1083" s="198" t="s">
        <v>953</v>
      </c>
      <c r="G1083" s="225" t="n">
        <v>1991000</v>
      </c>
      <c r="H1083" s="225" t="n">
        <v>1506656</v>
      </c>
      <c r="I1083" s="225" t="n">
        <v>9070633</v>
      </c>
      <c r="J1083" s="198" t="n">
        <v>27</v>
      </c>
      <c r="K1083" s="198" t="n">
        <v>2</v>
      </c>
      <c r="L1083" s="226" t="n">
        <v>44909</v>
      </c>
      <c r="M1083" s="226" t="n">
        <v>44518</v>
      </c>
      <c r="N1083" s="227" t="n">
        <v>0</v>
      </c>
      <c r="O1083" s="227" t="s">
        <v>135</v>
      </c>
      <c r="P1083" s="228" t="n">
        <f aca="false">VLOOKUP(B1083,'NIVEL ENERO'!A:D,3,0)</f>
        <v>0.131831240582622</v>
      </c>
      <c r="Q1083" s="229" t="n">
        <f aca="false">VLOOKUP(B1083,'NIVEL ENERO'!A:D,4,0)</f>
        <v>573744</v>
      </c>
      <c r="R1083" s="186" t="str">
        <f aca="false">+PROPER(C1083&amp;" "&amp;D1083)</f>
        <v>Davila Toro Deyra Alejandra</v>
      </c>
      <c r="S1083" s="230" t="n">
        <f aca="false">+YEARFRAC(L1083,$S$1)</f>
        <v>3.41111111111111</v>
      </c>
      <c r="T1083" s="230" t="n">
        <f aca="false">+YEARFRAC(M1083,$S$1)</f>
        <v>4.48333333333333</v>
      </c>
      <c r="U1083" s="231" t="n">
        <f aca="false">+$I1083</f>
        <v>9070633</v>
      </c>
      <c r="V1083" s="232" t="str">
        <f aca="false">+PROPER(F1083)</f>
        <v>Soltero(A)</v>
      </c>
    </row>
    <row r="1084" customFormat="false" ht="14.25" hidden="false" customHeight="false" outlineLevel="0" collapsed="false">
      <c r="B1084" s="197" t="n">
        <v>1113690647</v>
      </c>
      <c r="C1084" s="197" t="s">
        <v>2863</v>
      </c>
      <c r="D1084" s="197" t="s">
        <v>2864</v>
      </c>
      <c r="E1084" s="198" t="s">
        <v>944</v>
      </c>
      <c r="F1084" s="198" t="s">
        <v>953</v>
      </c>
      <c r="G1084" s="225" t="n">
        <v>2893800</v>
      </c>
      <c r="H1084" s="225" t="n">
        <v>7235710</v>
      </c>
      <c r="I1084" s="225"/>
      <c r="J1084" s="198" t="n">
        <v>26</v>
      </c>
      <c r="K1084" s="198" t="n">
        <v>2</v>
      </c>
      <c r="L1084" s="226" t="n">
        <v>44522</v>
      </c>
      <c r="M1084" s="226" t="n">
        <v>42931</v>
      </c>
      <c r="N1084" s="227" t="n">
        <v>2</v>
      </c>
      <c r="O1084" s="227" t="s">
        <v>135</v>
      </c>
      <c r="P1084" s="228" t="n">
        <f aca="false">VLOOKUP(B1084,'NIVEL ENERO'!A:D,3,0)</f>
        <v>0.142704526189095</v>
      </c>
      <c r="Q1084" s="229" t="n">
        <f aca="false">VLOOKUP(B1084,'NIVEL ENERO'!A:D,4,0)</f>
        <v>1123994.28</v>
      </c>
      <c r="R1084" s="186" t="str">
        <f aca="false">+PROPER(C1084&amp;" "&amp;D1084)</f>
        <v>Benavides Narvaez Angie Melissa</v>
      </c>
      <c r="S1084" s="230" t="n">
        <f aca="false">+YEARFRAC(L1084,$S$1)</f>
        <v>4.47222222222222</v>
      </c>
      <c r="T1084" s="230" t="n">
        <f aca="false">+YEARFRAC(M1084,$S$1)</f>
        <v>8.825</v>
      </c>
      <c r="U1084" s="231" t="n">
        <f aca="false">+$I1084</f>
        <v>0</v>
      </c>
      <c r="V1084" s="232" t="str">
        <f aca="false">+PROPER(F1084)</f>
        <v>Soltero(A)</v>
      </c>
    </row>
    <row r="1085" customFormat="false" ht="14.25" hidden="false" customHeight="false" outlineLevel="0" collapsed="false">
      <c r="B1085" s="197" t="n">
        <v>1113692973</v>
      </c>
      <c r="C1085" s="197" t="s">
        <v>2865</v>
      </c>
      <c r="D1085" s="197" t="s">
        <v>2866</v>
      </c>
      <c r="E1085" s="198" t="s">
        <v>944</v>
      </c>
      <c r="F1085" s="198" t="s">
        <v>945</v>
      </c>
      <c r="G1085" s="225" t="n">
        <v>4469100</v>
      </c>
      <c r="H1085" s="225" t="n">
        <v>1296808</v>
      </c>
      <c r="I1085" s="225" t="n">
        <v>1079899</v>
      </c>
      <c r="J1085" s="198" t="n">
        <v>26</v>
      </c>
      <c r="K1085" s="198" t="n">
        <v>2</v>
      </c>
      <c r="L1085" s="226" t="n">
        <v>45027</v>
      </c>
      <c r="M1085" s="226" t="n">
        <v>44942</v>
      </c>
      <c r="N1085" s="227" t="n">
        <v>0</v>
      </c>
      <c r="O1085" s="227" t="s">
        <v>135</v>
      </c>
      <c r="P1085" s="228" t="n">
        <f aca="false">VLOOKUP(B1085,'NIVEL ENERO'!A:D,3,0)</f>
        <v>0.150366106091475</v>
      </c>
      <c r="Q1085" s="229" t="n">
        <f aca="false">VLOOKUP(B1085,'NIVEL ENERO'!A:D,4,0)</f>
        <v>1351719.02</v>
      </c>
      <c r="R1085" s="186" t="str">
        <f aca="false">+PROPER(C1085&amp;" "&amp;D1085)</f>
        <v>Castillo Valdes Julithza</v>
      </c>
      <c r="S1085" s="230" t="n">
        <f aca="false">+YEARFRAC(L1085,$S$1)</f>
        <v>3.08611111111111</v>
      </c>
      <c r="T1085" s="230" t="n">
        <f aca="false">+YEARFRAC(M1085,$S$1)</f>
        <v>3.32222222222222</v>
      </c>
      <c r="U1085" s="231" t="n">
        <f aca="false">+$I1085</f>
        <v>1079899</v>
      </c>
      <c r="V1085" s="232" t="str">
        <f aca="false">+PROPER(F1085)</f>
        <v>Union Libre</v>
      </c>
    </row>
    <row r="1086" customFormat="false" ht="14.25" hidden="false" customHeight="false" outlineLevel="0" collapsed="false">
      <c r="B1086" s="197" t="n">
        <v>1113695768</v>
      </c>
      <c r="C1086" s="197" t="s">
        <v>2867</v>
      </c>
      <c r="D1086" s="197" t="s">
        <v>2868</v>
      </c>
      <c r="E1086" s="198" t="s">
        <v>944</v>
      </c>
      <c r="F1086" s="198" t="s">
        <v>953</v>
      </c>
      <c r="G1086" s="225" t="n">
        <v>2600900</v>
      </c>
      <c r="H1086" s="225" t="n">
        <v>2011731</v>
      </c>
      <c r="I1086" s="225" t="n">
        <v>4609829</v>
      </c>
      <c r="J1086" s="198" t="n">
        <v>25</v>
      </c>
      <c r="K1086" s="198" t="n">
        <v>4</v>
      </c>
      <c r="L1086" s="226" t="n">
        <v>44579</v>
      </c>
      <c r="M1086" s="226" t="n">
        <v>43731</v>
      </c>
      <c r="N1086" s="227" t="n">
        <v>2</v>
      </c>
      <c r="O1086" s="227" t="s">
        <v>135</v>
      </c>
      <c r="P1086" s="228" t="n">
        <f aca="false">VLOOKUP(B1086,'NIVEL ENERO'!A:D,3,0)</f>
        <v>0.540258372101965</v>
      </c>
      <c r="Q1086" s="229" t="n">
        <f aca="false">VLOOKUP(B1086,'NIVEL ENERO'!A:D,4,0)</f>
        <v>-312780</v>
      </c>
      <c r="R1086" s="186" t="str">
        <f aca="false">+PROPER(C1086&amp;" "&amp;D1086)</f>
        <v>Hidalgo Lemos Darling Dayana</v>
      </c>
      <c r="S1086" s="230" t="n">
        <f aca="false">+YEARFRAC(L1086,$S$1)</f>
        <v>4.31666666666667</v>
      </c>
      <c r="T1086" s="230" t="n">
        <f aca="false">+YEARFRAC(M1086,$S$1)</f>
        <v>6.63611111111111</v>
      </c>
      <c r="U1086" s="231" t="n">
        <f aca="false">+$I1086</f>
        <v>4609829</v>
      </c>
      <c r="V1086" s="232" t="str">
        <f aca="false">+PROPER(F1086)</f>
        <v>Soltero(A)</v>
      </c>
    </row>
    <row r="1087" customFormat="false" ht="14.25" hidden="false" customHeight="false" outlineLevel="0" collapsed="false">
      <c r="B1087" s="197" t="n">
        <v>1113779883</v>
      </c>
      <c r="C1087" s="197" t="s">
        <v>2869</v>
      </c>
      <c r="D1087" s="197" t="s">
        <v>2870</v>
      </c>
      <c r="E1087" s="198" t="s">
        <v>944</v>
      </c>
      <c r="F1087" s="198" t="s">
        <v>953</v>
      </c>
      <c r="G1087" s="225" t="n">
        <v>2893800</v>
      </c>
      <c r="H1087" s="225" t="n">
        <v>2203887</v>
      </c>
      <c r="I1087" s="225" t="n">
        <v>0</v>
      </c>
      <c r="J1087" s="198" t="n">
        <v>37</v>
      </c>
      <c r="K1087" s="198" t="n">
        <v>3</v>
      </c>
      <c r="L1087" s="226" t="n">
        <v>44998</v>
      </c>
      <c r="M1087" s="226" t="n">
        <v>45566</v>
      </c>
      <c r="N1087" s="227" t="n">
        <v>0</v>
      </c>
      <c r="O1087" s="227" t="s">
        <v>135</v>
      </c>
      <c r="P1087" s="228" t="n">
        <f aca="false">VLOOKUP(B1087,'NIVEL ENERO'!A:D,3,0)</f>
        <v>0.153681656416661</v>
      </c>
      <c r="Q1087" s="229" t="n">
        <f aca="false">VLOOKUP(B1087,'NIVEL ENERO'!A:D,4,0)</f>
        <v>992435.84</v>
      </c>
      <c r="R1087" s="186" t="str">
        <f aca="false">+PROPER(C1087&amp;" "&amp;D1087)</f>
        <v>Garcia Garcia Julia Graciela</v>
      </c>
      <c r="S1087" s="230" t="n">
        <f aca="false">+YEARFRAC(L1087,$S$1)</f>
        <v>3.16388888888889</v>
      </c>
      <c r="T1087" s="230" t="n">
        <f aca="false">+YEARFRAC(M1087,$S$1)</f>
        <v>1.61388888888889</v>
      </c>
      <c r="U1087" s="231" t="n">
        <f aca="false">+$I1087</f>
        <v>0</v>
      </c>
      <c r="V1087" s="232" t="str">
        <f aca="false">+PROPER(F1087)</f>
        <v>Soltero(A)</v>
      </c>
    </row>
    <row r="1088" customFormat="false" ht="14.25" hidden="false" customHeight="false" outlineLevel="0" collapsed="false">
      <c r="B1088" s="197" t="n">
        <v>1113790401</v>
      </c>
      <c r="C1088" s="197" t="s">
        <v>2871</v>
      </c>
      <c r="D1088" s="197" t="s">
        <v>2872</v>
      </c>
      <c r="E1088" s="198" t="s">
        <v>1696</v>
      </c>
      <c r="F1088" s="198" t="s">
        <v>953</v>
      </c>
      <c r="G1088" s="225" t="n">
        <v>4870200</v>
      </c>
      <c r="H1088" s="225" t="n">
        <v>1910716</v>
      </c>
      <c r="I1088" s="225" t="n">
        <v>4071876</v>
      </c>
      <c r="J1088" s="198" t="n">
        <v>28</v>
      </c>
      <c r="K1088" s="198" t="n">
        <v>4</v>
      </c>
      <c r="L1088" s="226" t="n">
        <v>44636</v>
      </c>
      <c r="M1088" s="226" t="n">
        <v>44271</v>
      </c>
      <c r="N1088" s="227" t="n">
        <v>2</v>
      </c>
      <c r="O1088" s="227" t="s">
        <v>135</v>
      </c>
      <c r="P1088" s="228" t="n">
        <f aca="false">VLOOKUP(B1088,'NIVEL ENERO'!A:D,3,0)</f>
        <v>0.199157855859676</v>
      </c>
      <c r="Q1088" s="229" t="n">
        <f aca="false">VLOOKUP(B1088,'NIVEL ENERO'!A:D,4,0)</f>
        <v>1455805.18</v>
      </c>
      <c r="R1088" s="186" t="str">
        <f aca="false">+PROPER(C1088&amp;" "&amp;D1088)</f>
        <v>Marin Cruz Sandra Estefania</v>
      </c>
      <c r="S1088" s="230" t="n">
        <f aca="false">+YEARFRAC(L1088,$S$1)</f>
        <v>4.15555555555556</v>
      </c>
      <c r="T1088" s="230" t="n">
        <f aca="false">+YEARFRAC(M1088,$S$1)</f>
        <v>5.15555555555556</v>
      </c>
      <c r="U1088" s="231" t="n">
        <f aca="false">+$I1088</f>
        <v>4071876</v>
      </c>
      <c r="V1088" s="232" t="str">
        <f aca="false">+PROPER(F1088)</f>
        <v>Soltero(A)</v>
      </c>
    </row>
    <row r="1089" customFormat="false" ht="14.25" hidden="false" customHeight="false" outlineLevel="0" collapsed="false">
      <c r="B1089" s="197" t="n">
        <v>1114063207</v>
      </c>
      <c r="C1089" s="197" t="s">
        <v>2873</v>
      </c>
      <c r="D1089" s="197" t="s">
        <v>1202</v>
      </c>
      <c r="E1089" s="198" t="s">
        <v>944</v>
      </c>
      <c r="F1089" s="198" t="s">
        <v>945</v>
      </c>
      <c r="G1089" s="225" t="n">
        <v>2893800</v>
      </c>
      <c r="H1089" s="225" t="n">
        <v>350000</v>
      </c>
      <c r="I1089" s="225" t="n">
        <v>0</v>
      </c>
      <c r="J1089" s="198" t="n">
        <v>28</v>
      </c>
      <c r="K1089" s="198" t="n">
        <v>2</v>
      </c>
      <c r="L1089" s="226" t="n">
        <v>45517</v>
      </c>
      <c r="M1089" s="226" t="n">
        <v>43084</v>
      </c>
      <c r="N1089" s="227" t="n">
        <v>0</v>
      </c>
      <c r="O1089" s="227" t="s">
        <v>135</v>
      </c>
      <c r="P1089" s="228" t="n">
        <f aca="false">VLOOKUP(B1089,'NIVEL ENERO'!A:D,3,0)</f>
        <v>0.329382127306656</v>
      </c>
      <c r="Q1089" s="229" t="n">
        <f aca="false">VLOOKUP(B1089,'NIVEL ENERO'!A:D,4,0)</f>
        <v>262230</v>
      </c>
      <c r="R1089" s="186" t="str">
        <f aca="false">+PROPER(C1089&amp;" "&amp;D1089)</f>
        <v>Londono Echeverry Carolina</v>
      </c>
      <c r="S1089" s="230" t="n">
        <f aca="false">+YEARFRAC(L1089,$S$1)</f>
        <v>1.74722222222222</v>
      </c>
      <c r="T1089" s="230" t="n">
        <f aca="false">+YEARFRAC(M1089,$S$1)</f>
        <v>8.40833333333333</v>
      </c>
      <c r="U1089" s="231" t="n">
        <f aca="false">+$I1089</f>
        <v>0</v>
      </c>
      <c r="V1089" s="232" t="str">
        <f aca="false">+PROPER(F1089)</f>
        <v>Union Libre</v>
      </c>
    </row>
    <row r="1090" customFormat="false" ht="14.25" hidden="false" customHeight="false" outlineLevel="0" collapsed="false">
      <c r="B1090" s="197" t="n">
        <v>1114210448</v>
      </c>
      <c r="C1090" s="197" t="s">
        <v>2874</v>
      </c>
      <c r="D1090" s="197" t="s">
        <v>1202</v>
      </c>
      <c r="E1090" s="198" t="s">
        <v>944</v>
      </c>
      <c r="F1090" s="198" t="s">
        <v>953</v>
      </c>
      <c r="G1090" s="225" t="n">
        <v>5726400</v>
      </c>
      <c r="H1090" s="225" t="n">
        <v>2247788</v>
      </c>
      <c r="I1090" s="225" t="n">
        <v>1363458</v>
      </c>
      <c r="J1090" s="198" t="n">
        <v>33</v>
      </c>
      <c r="K1090" s="198" t="n">
        <v>4</v>
      </c>
      <c r="L1090" s="226" t="n">
        <v>44811</v>
      </c>
      <c r="M1090" s="226" t="n">
        <v>43185</v>
      </c>
      <c r="N1090" s="227" t="n">
        <v>2</v>
      </c>
      <c r="O1090" s="227" t="s">
        <v>135</v>
      </c>
      <c r="P1090" s="228" t="n">
        <f aca="false">VLOOKUP(B1090,'NIVEL ENERO'!A:D,3,0)</f>
        <v>0.145907601362205</v>
      </c>
      <c r="Q1090" s="229" t="n">
        <f aca="false">VLOOKUP(B1090,'NIVEL ENERO'!A:D,4,0)</f>
        <v>1706280</v>
      </c>
      <c r="R1090" s="186" t="str">
        <f aca="false">+PROPER(C1090&amp;" "&amp;D1090)</f>
        <v>Capera  Rojas Carolina</v>
      </c>
      <c r="S1090" s="230" t="n">
        <f aca="false">+YEARFRAC(L1090,$S$1)</f>
        <v>3.68055555555556</v>
      </c>
      <c r="T1090" s="230" t="n">
        <f aca="false">+YEARFRAC(M1090,$S$1)</f>
        <v>8.12777777777778</v>
      </c>
      <c r="U1090" s="231" t="n">
        <f aca="false">+$I1090</f>
        <v>1363458</v>
      </c>
      <c r="V1090" s="232" t="str">
        <f aca="false">+PROPER(F1090)</f>
        <v>Soltero(A)</v>
      </c>
    </row>
    <row r="1091" customFormat="false" ht="14.25" hidden="false" customHeight="false" outlineLevel="0" collapsed="false">
      <c r="B1091" s="197" t="n">
        <v>1114339845</v>
      </c>
      <c r="C1091" s="197" t="s">
        <v>2875</v>
      </c>
      <c r="D1091" s="197" t="s">
        <v>2876</v>
      </c>
      <c r="E1091" s="198" t="s">
        <v>981</v>
      </c>
      <c r="F1091" s="198" t="s">
        <v>948</v>
      </c>
      <c r="G1091" s="225" t="n">
        <v>9999400</v>
      </c>
      <c r="H1091" s="225" t="n">
        <v>1180060</v>
      </c>
      <c r="I1091" s="225" t="n">
        <v>0</v>
      </c>
      <c r="J1091" s="198" t="n">
        <v>36</v>
      </c>
      <c r="K1091" s="198" t="n">
        <v>1</v>
      </c>
      <c r="L1091" s="226" t="n">
        <v>45093</v>
      </c>
      <c r="M1091" s="226" t="n">
        <v>41288</v>
      </c>
      <c r="N1091" s="227" t="n">
        <v>0</v>
      </c>
      <c r="O1091" s="227" t="s">
        <v>135</v>
      </c>
      <c r="P1091" s="228" t="n">
        <f aca="false">VLOOKUP(B1091,'NIVEL ENERO'!A:D,3,0)</f>
        <v>0.473690021401284</v>
      </c>
      <c r="Q1091" s="229" t="n">
        <f aca="false">VLOOKUP(B1091,'NIVEL ENERO'!A:D,4,0)</f>
        <v>-536868</v>
      </c>
      <c r="R1091" s="186" t="str">
        <f aca="false">+PROPER(C1091&amp;" "&amp;D1091)</f>
        <v>Ossa Calderon Julian Fernando</v>
      </c>
      <c r="S1091" s="230" t="n">
        <f aca="false">+YEARFRAC(L1091,$S$1)</f>
        <v>2.90555555555556</v>
      </c>
      <c r="T1091" s="230" t="n">
        <f aca="false">+YEARFRAC(M1091,$S$1)</f>
        <v>13.3277777777778</v>
      </c>
      <c r="U1091" s="231" t="n">
        <f aca="false">+$I1091</f>
        <v>0</v>
      </c>
      <c r="V1091" s="232" t="str">
        <f aca="false">+PROPER(F1091)</f>
        <v>Casado(A)</v>
      </c>
    </row>
    <row r="1092" customFormat="false" ht="14.25" hidden="false" customHeight="false" outlineLevel="0" collapsed="false">
      <c r="B1092" s="197" t="n">
        <v>1114388985</v>
      </c>
      <c r="C1092" s="197" t="s">
        <v>2877</v>
      </c>
      <c r="D1092" s="197" t="s">
        <v>2878</v>
      </c>
      <c r="E1092" s="198" t="s">
        <v>944</v>
      </c>
      <c r="F1092" s="198" t="s">
        <v>948</v>
      </c>
      <c r="G1092" s="225" t="n">
        <v>1918500</v>
      </c>
      <c r="H1092" s="225" t="n">
        <v>1910716</v>
      </c>
      <c r="I1092" s="225" t="n">
        <v>425550</v>
      </c>
      <c r="J1092" s="198" t="n">
        <v>32</v>
      </c>
      <c r="K1092" s="198" t="n">
        <v>4</v>
      </c>
      <c r="L1092" s="226" t="n">
        <v>44643</v>
      </c>
      <c r="M1092" s="226" t="n">
        <v>41562</v>
      </c>
      <c r="N1092" s="227" t="n">
        <v>4</v>
      </c>
      <c r="O1092" s="227" t="s">
        <v>135</v>
      </c>
      <c r="P1092" s="228" t="n">
        <f aca="false">VLOOKUP(B1092,'NIVEL ENERO'!A:D,3,0)</f>
        <v>0.488539911153832</v>
      </c>
      <c r="Q1092" s="229" t="n">
        <f aca="false">VLOOKUP(B1092,'NIVEL ENERO'!A:D,4,0)</f>
        <v>-290651</v>
      </c>
      <c r="R1092" s="186" t="str">
        <f aca="false">+PROPER(C1092&amp;" "&amp;D1092)</f>
        <v>Ruiz Satizabal Karen Lorena</v>
      </c>
      <c r="S1092" s="230" t="n">
        <f aca="false">+YEARFRAC(L1092,$S$1)</f>
        <v>4.13611111111111</v>
      </c>
      <c r="T1092" s="230" t="n">
        <f aca="false">+YEARFRAC(M1092,$S$1)</f>
        <v>12.575</v>
      </c>
      <c r="U1092" s="231" t="n">
        <f aca="false">+$I1092</f>
        <v>425550</v>
      </c>
      <c r="V1092" s="232" t="str">
        <f aca="false">+PROPER(F1092)</f>
        <v>Casado(A)</v>
      </c>
    </row>
    <row r="1093" customFormat="false" ht="14.25" hidden="false" customHeight="false" outlineLevel="0" collapsed="false">
      <c r="B1093" s="197" t="n">
        <v>1114456188</v>
      </c>
      <c r="C1093" s="197" t="s">
        <v>2879</v>
      </c>
      <c r="D1093" s="197" t="s">
        <v>2880</v>
      </c>
      <c r="E1093" s="198" t="s">
        <v>944</v>
      </c>
      <c r="F1093" s="198" t="s">
        <v>948</v>
      </c>
      <c r="G1093" s="225" t="n">
        <v>2893800</v>
      </c>
      <c r="H1093" s="225" t="n">
        <v>1759194</v>
      </c>
      <c r="I1093" s="225" t="n">
        <v>85084</v>
      </c>
      <c r="J1093" s="198" t="n">
        <v>30</v>
      </c>
      <c r="K1093" s="198" t="n">
        <v>2</v>
      </c>
      <c r="L1093" s="226" t="n">
        <v>44757</v>
      </c>
      <c r="M1093" s="226" t="n">
        <v>44270</v>
      </c>
      <c r="N1093" s="227" t="n">
        <v>2</v>
      </c>
      <c r="O1093" s="227" t="s">
        <v>135</v>
      </c>
      <c r="P1093" s="228" t="n">
        <f aca="false">VLOOKUP(B1093,'NIVEL ENERO'!A:D,3,0)</f>
        <v>0.250905383924252</v>
      </c>
      <c r="Q1093" s="229" t="n">
        <f aca="false">VLOOKUP(B1093,'NIVEL ENERO'!A:D,4,0)</f>
        <v>489326</v>
      </c>
      <c r="R1093" s="186" t="str">
        <f aca="false">+PROPER(C1093&amp;" "&amp;D1093)</f>
        <v>Rodriguez Guzman Yuri Caterine</v>
      </c>
      <c r="S1093" s="230" t="n">
        <f aca="false">+YEARFRAC(L1093,$S$1)</f>
        <v>3.825</v>
      </c>
      <c r="T1093" s="230" t="n">
        <f aca="false">+YEARFRAC(M1093,$S$1)</f>
        <v>5.15833333333333</v>
      </c>
      <c r="U1093" s="231" t="n">
        <f aca="false">+$I1093</f>
        <v>85084</v>
      </c>
      <c r="V1093" s="232" t="str">
        <f aca="false">+PROPER(F1093)</f>
        <v>Casado(A)</v>
      </c>
    </row>
    <row r="1094" customFormat="false" ht="14.25" hidden="false" customHeight="false" outlineLevel="0" collapsed="false">
      <c r="B1094" s="197" t="n">
        <v>1114457956</v>
      </c>
      <c r="C1094" s="197" t="s">
        <v>2881</v>
      </c>
      <c r="D1094" s="197" t="s">
        <v>2882</v>
      </c>
      <c r="E1094" s="198" t="s">
        <v>944</v>
      </c>
      <c r="F1094" s="198" t="s">
        <v>953</v>
      </c>
      <c r="G1094" s="225" t="n">
        <v>2600900</v>
      </c>
      <c r="H1094" s="225" t="n">
        <v>1506656</v>
      </c>
      <c r="I1094" s="225"/>
      <c r="J1094" s="198" t="n">
        <v>28</v>
      </c>
      <c r="K1094" s="198" t="n">
        <v>2</v>
      </c>
      <c r="L1094" s="226" t="n">
        <v>44908</v>
      </c>
      <c r="M1094" s="226" t="n">
        <v>43314</v>
      </c>
      <c r="N1094" s="227" t="n">
        <v>0</v>
      </c>
      <c r="O1094" s="227" t="s">
        <v>135</v>
      </c>
      <c r="P1094" s="228" t="n">
        <f aca="false">VLOOKUP(B1094,'NIVEL ENERO'!A:D,3,0)</f>
        <v>0.101589291829184</v>
      </c>
      <c r="Q1094" s="229" t="n">
        <f aca="false">VLOOKUP(B1094,'NIVEL ENERO'!A:D,4,0)</f>
        <v>1016630.2</v>
      </c>
      <c r="R1094" s="186" t="str">
        <f aca="false">+PROPER(C1094&amp;" "&amp;D1094)</f>
        <v>Rosero Chavez Sandra Lilivet</v>
      </c>
      <c r="S1094" s="230" t="n">
        <f aca="false">+YEARFRAC(L1094,$S$1)</f>
        <v>3.41388888888889</v>
      </c>
      <c r="T1094" s="230" t="n">
        <f aca="false">+YEARFRAC(M1094,$S$1)</f>
        <v>7.77777777777778</v>
      </c>
      <c r="U1094" s="231" t="n">
        <f aca="false">+$I1094</f>
        <v>0</v>
      </c>
      <c r="V1094" s="232" t="str">
        <f aca="false">+PROPER(F1094)</f>
        <v>Soltero(A)</v>
      </c>
    </row>
    <row r="1095" customFormat="false" ht="14.25" hidden="false" customHeight="false" outlineLevel="0" collapsed="false">
      <c r="B1095" s="197" t="n">
        <v>1114726971</v>
      </c>
      <c r="C1095" s="197" t="s">
        <v>2883</v>
      </c>
      <c r="D1095" s="197" t="s">
        <v>2201</v>
      </c>
      <c r="E1095" s="198" t="s">
        <v>944</v>
      </c>
      <c r="F1095" s="198" t="s">
        <v>953</v>
      </c>
      <c r="G1095" s="225" t="n">
        <v>5291000</v>
      </c>
      <c r="H1095" s="225" t="n">
        <v>1401699</v>
      </c>
      <c r="I1095" s="225" t="n">
        <v>9776299</v>
      </c>
      <c r="J1095" s="198" t="n">
        <v>37</v>
      </c>
      <c r="K1095" s="198" t="n">
        <v>1</v>
      </c>
      <c r="L1095" s="226" t="n">
        <v>45063</v>
      </c>
      <c r="M1095" s="226" t="n">
        <v>42231</v>
      </c>
      <c r="N1095" s="227" t="n">
        <v>0</v>
      </c>
      <c r="O1095" s="227" t="s">
        <v>135</v>
      </c>
      <c r="P1095" s="228" t="n">
        <f aca="false">VLOOKUP(B1095,'NIVEL ENERO'!A:D,3,0)</f>
        <v>0.185028728028728</v>
      </c>
      <c r="Q1095" s="229" t="n">
        <f aca="false">VLOOKUP(B1095,'NIVEL ENERO'!A:D,4,0)</f>
        <v>1243233</v>
      </c>
      <c r="R1095" s="186" t="str">
        <f aca="false">+PROPER(C1095&amp;" "&amp;D1095)</f>
        <v>Bolanos Beltran David Alexander</v>
      </c>
      <c r="S1095" s="230" t="n">
        <f aca="false">+YEARFRAC(L1095,$S$1)</f>
        <v>2.98611111111111</v>
      </c>
      <c r="T1095" s="230" t="n">
        <f aca="false">+YEARFRAC(M1095,$S$1)</f>
        <v>10.7416666666667</v>
      </c>
      <c r="U1095" s="231" t="n">
        <f aca="false">+$I1095</f>
        <v>9776299</v>
      </c>
      <c r="V1095" s="232" t="str">
        <f aca="false">+PROPER(F1095)</f>
        <v>Soltero(A)</v>
      </c>
    </row>
    <row r="1096" customFormat="false" ht="14.25" hidden="false" customHeight="false" outlineLevel="0" collapsed="false">
      <c r="B1096" s="197" t="n">
        <v>1114727465</v>
      </c>
      <c r="C1096" s="197" t="s">
        <v>2884</v>
      </c>
      <c r="D1096" s="197" t="s">
        <v>2885</v>
      </c>
      <c r="E1096" s="198" t="s">
        <v>944</v>
      </c>
      <c r="F1096" s="198" t="s">
        <v>948</v>
      </c>
      <c r="G1096" s="225" t="n">
        <v>2893800</v>
      </c>
      <c r="H1096" s="225" t="n">
        <v>2011731</v>
      </c>
      <c r="I1096" s="225" t="n">
        <v>3546438</v>
      </c>
      <c r="J1096" s="198" t="n">
        <v>37</v>
      </c>
      <c r="K1096" s="198" t="n">
        <v>4</v>
      </c>
      <c r="L1096" s="226" t="n">
        <v>44579</v>
      </c>
      <c r="M1096" s="226" t="n">
        <v>44105</v>
      </c>
      <c r="N1096" s="227" t="n">
        <v>4</v>
      </c>
      <c r="O1096" s="227" t="s">
        <v>135</v>
      </c>
      <c r="P1096" s="228" t="n">
        <f aca="false">VLOOKUP(B1096,'NIVEL ENERO'!A:D,3,0)</f>
        <v>0.415169554119986</v>
      </c>
      <c r="Q1096" s="229" t="n">
        <f aca="false">VLOOKUP(B1096,'NIVEL ENERO'!A:D,4,0)</f>
        <v>20367</v>
      </c>
      <c r="R1096" s="186" t="str">
        <f aca="false">+PROPER(C1096&amp;" "&amp;D1096)</f>
        <v>Mondragon Vergara Leydi Johana</v>
      </c>
      <c r="S1096" s="230" t="n">
        <f aca="false">+YEARFRAC(L1096,$S$1)</f>
        <v>4.31666666666667</v>
      </c>
      <c r="T1096" s="230" t="n">
        <f aca="false">+YEARFRAC(M1096,$S$1)</f>
        <v>5.61388888888889</v>
      </c>
      <c r="U1096" s="231" t="n">
        <f aca="false">+$I1096</f>
        <v>3546438</v>
      </c>
      <c r="V1096" s="232" t="str">
        <f aca="false">+PROPER(F1096)</f>
        <v>Casado(A)</v>
      </c>
    </row>
    <row r="1097" customFormat="false" ht="14.25" hidden="false" customHeight="false" outlineLevel="0" collapsed="false">
      <c r="B1097" s="197" t="n">
        <v>1114728183</v>
      </c>
      <c r="C1097" s="197" t="s">
        <v>2886</v>
      </c>
      <c r="D1097" s="197" t="s">
        <v>1479</v>
      </c>
      <c r="E1097" s="198" t="s">
        <v>944</v>
      </c>
      <c r="F1097" s="198" t="s">
        <v>945</v>
      </c>
      <c r="G1097" s="225" t="n">
        <v>2893800</v>
      </c>
      <c r="H1097" s="225" t="n">
        <v>1658179</v>
      </c>
      <c r="I1097" s="225" t="n">
        <v>5338794</v>
      </c>
      <c r="J1097" s="198" t="n">
        <v>36</v>
      </c>
      <c r="K1097" s="198" t="n">
        <v>2</v>
      </c>
      <c r="L1097" s="226" t="n">
        <v>44825</v>
      </c>
      <c r="M1097" s="226" t="n">
        <v>43742</v>
      </c>
      <c r="N1097" s="227" t="n">
        <v>4</v>
      </c>
      <c r="O1097" s="227" t="s">
        <v>135</v>
      </c>
      <c r="P1097" s="228" t="n">
        <f aca="false">VLOOKUP(B1097,'NIVEL ENERO'!A:D,3,0)</f>
        <v>0.427061962141664</v>
      </c>
      <c r="Q1097" s="229" t="n">
        <f aca="false">VLOOKUP(B1097,'NIVEL ENERO'!A:D,4,0)</f>
        <v>-21317.02</v>
      </c>
      <c r="R1097" s="186" t="str">
        <f aca="false">+PROPER(C1097&amp;" "&amp;D1097)</f>
        <v>Meneses Arcila Maria Fernanda</v>
      </c>
      <c r="S1097" s="230" t="n">
        <f aca="false">+YEARFRAC(L1097,$S$1)</f>
        <v>3.64166666666667</v>
      </c>
      <c r="T1097" s="230" t="n">
        <f aca="false">+YEARFRAC(M1097,$S$1)</f>
        <v>6.60555555555556</v>
      </c>
      <c r="U1097" s="231" t="n">
        <f aca="false">+$I1097</f>
        <v>5338794</v>
      </c>
      <c r="V1097" s="232" t="str">
        <f aca="false">+PROPER(F1097)</f>
        <v>Union Libre</v>
      </c>
    </row>
    <row r="1098" customFormat="false" ht="14.25" hidden="false" customHeight="false" outlineLevel="0" collapsed="false">
      <c r="B1098" s="197" t="n">
        <v>1114733895</v>
      </c>
      <c r="C1098" s="197" t="s">
        <v>2887</v>
      </c>
      <c r="D1098" s="197" t="s">
        <v>1239</v>
      </c>
      <c r="E1098" s="198" t="s">
        <v>944</v>
      </c>
      <c r="F1098" s="198" t="s">
        <v>953</v>
      </c>
      <c r="G1098" s="225" t="n">
        <v>2600000</v>
      </c>
      <c r="H1098" s="225" t="n">
        <v>750000</v>
      </c>
      <c r="I1098" s="225" t="n">
        <v>3093134</v>
      </c>
      <c r="J1098" s="198" t="n">
        <v>29</v>
      </c>
      <c r="K1098" s="198" t="n">
        <v>2</v>
      </c>
      <c r="L1098" s="226" t="n">
        <v>45519</v>
      </c>
      <c r="M1098" s="226" t="n">
        <v>45047</v>
      </c>
      <c r="N1098" s="227" t="n">
        <v>0</v>
      </c>
      <c r="O1098" s="227" t="s">
        <v>135</v>
      </c>
      <c r="P1098" s="228" t="n">
        <f aca="false">VLOOKUP(B1098,'NIVEL ENERO'!A:D,3,0)</f>
        <v>0.14186111363968</v>
      </c>
      <c r="Q1098" s="229" t="n">
        <f aca="false">VLOOKUP(B1098,'NIVEL ENERO'!A:D,4,0)</f>
        <v>962487.1</v>
      </c>
      <c r="R1098" s="186" t="str">
        <f aca="false">+PROPER(C1098&amp;" "&amp;D1098)</f>
        <v>Marcillo Delgado Katherine</v>
      </c>
      <c r="S1098" s="230" t="n">
        <f aca="false">+YEARFRAC(L1098,$S$1)</f>
        <v>1.74166666666667</v>
      </c>
      <c r="T1098" s="230" t="n">
        <f aca="false">+YEARFRAC(M1098,$S$1)</f>
        <v>3.03055555555556</v>
      </c>
      <c r="U1098" s="231" t="n">
        <f aca="false">+$I1098</f>
        <v>3093134</v>
      </c>
      <c r="V1098" s="232" t="str">
        <f aca="false">+PROPER(F1098)</f>
        <v>Soltero(A)</v>
      </c>
    </row>
    <row r="1099" customFormat="false" ht="14.25" hidden="false" customHeight="false" outlineLevel="0" collapsed="false">
      <c r="B1099" s="197" t="n">
        <v>1114816139</v>
      </c>
      <c r="C1099" s="197" t="s">
        <v>2888</v>
      </c>
      <c r="D1099" s="197" t="s">
        <v>2014</v>
      </c>
      <c r="E1099" s="198" t="s">
        <v>944</v>
      </c>
      <c r="F1099" s="198" t="s">
        <v>945</v>
      </c>
      <c r="G1099" s="225" t="n">
        <v>1991000</v>
      </c>
      <c r="H1099" s="225" t="n">
        <v>2582264</v>
      </c>
      <c r="I1099" s="225" t="n">
        <v>3043197</v>
      </c>
      <c r="J1099" s="198" t="n">
        <v>36</v>
      </c>
      <c r="K1099" s="198" t="n">
        <v>4</v>
      </c>
      <c r="L1099" s="226" t="n">
        <v>44218</v>
      </c>
      <c r="M1099" s="226" t="n">
        <v>43010</v>
      </c>
      <c r="N1099" s="227" t="n">
        <v>2</v>
      </c>
      <c r="O1099" s="227" t="s">
        <v>135</v>
      </c>
      <c r="P1099" s="228" t="n">
        <f aca="false">VLOOKUP(B1099,'NIVEL ENERO'!A:D,3,0)</f>
        <v>0.477259642062947</v>
      </c>
      <c r="Q1099" s="229" t="n">
        <f aca="false">VLOOKUP(B1099,'NIVEL ENERO'!A:D,4,0)</f>
        <v>-265339</v>
      </c>
      <c r="R1099" s="186" t="str">
        <f aca="false">+PROPER(C1099&amp;" "&amp;D1099)</f>
        <v>Castaneda Patino Jennifer</v>
      </c>
      <c r="S1099" s="230" t="n">
        <f aca="false">+YEARFRAC(L1099,$S$1)</f>
        <v>5.30555555555556</v>
      </c>
      <c r="T1099" s="230" t="n">
        <f aca="false">+YEARFRAC(M1099,$S$1)</f>
        <v>8.61111111111111</v>
      </c>
      <c r="U1099" s="231" t="n">
        <f aca="false">+$I1099</f>
        <v>3043197</v>
      </c>
      <c r="V1099" s="232" t="str">
        <f aca="false">+PROPER(F1099)</f>
        <v>Union Libre</v>
      </c>
    </row>
    <row r="1100" customFormat="false" ht="14.25" hidden="false" customHeight="false" outlineLevel="0" collapsed="false">
      <c r="B1100" s="197" t="n">
        <v>1114818603</v>
      </c>
      <c r="C1100" s="197" t="s">
        <v>2889</v>
      </c>
      <c r="D1100" s="197" t="s">
        <v>2890</v>
      </c>
      <c r="E1100" s="198" t="s">
        <v>944</v>
      </c>
      <c r="F1100" s="198" t="s">
        <v>948</v>
      </c>
      <c r="G1100" s="225" t="n">
        <v>2893800</v>
      </c>
      <c r="H1100" s="225" t="n">
        <v>6019741</v>
      </c>
      <c r="I1100" s="225" t="n">
        <v>5446390</v>
      </c>
      <c r="J1100" s="198" t="n">
        <v>36</v>
      </c>
      <c r="K1100" s="198" t="n">
        <v>2</v>
      </c>
      <c r="L1100" s="226" t="n">
        <v>43391</v>
      </c>
      <c r="M1100" s="226" t="n">
        <v>43358</v>
      </c>
      <c r="N1100" s="227" t="n">
        <v>3</v>
      </c>
      <c r="O1100" s="227" t="s">
        <v>135</v>
      </c>
      <c r="P1100" s="228" t="n">
        <f aca="false">VLOOKUP(B1100,'NIVEL ENERO'!A:D,3,0)</f>
        <v>0.220446608786673</v>
      </c>
      <c r="Q1100" s="229" t="n">
        <f aca="false">VLOOKUP(B1100,'NIVEL ENERO'!A:D,4,0)</f>
        <v>683267.02</v>
      </c>
      <c r="R1100" s="186" t="str">
        <f aca="false">+PROPER(C1100&amp;" "&amp;D1100)</f>
        <v>Colorado Usma Heisly Marcela</v>
      </c>
      <c r="S1100" s="230" t="n">
        <f aca="false">+YEARFRAC(L1100,$S$1)</f>
        <v>7.56666666666667</v>
      </c>
      <c r="T1100" s="230" t="n">
        <f aca="false">+YEARFRAC(M1100,$S$1)</f>
        <v>7.65833333333333</v>
      </c>
      <c r="U1100" s="231" t="n">
        <f aca="false">+$I1100</f>
        <v>5446390</v>
      </c>
      <c r="V1100" s="232" t="str">
        <f aca="false">+PROPER(F1100)</f>
        <v>Casado(A)</v>
      </c>
    </row>
    <row r="1101" customFormat="false" ht="14.25" hidden="false" customHeight="false" outlineLevel="0" collapsed="false">
      <c r="B1101" s="197" t="n">
        <v>1114821052</v>
      </c>
      <c r="C1101" s="197" t="s">
        <v>2891</v>
      </c>
      <c r="D1101" s="197" t="s">
        <v>2129</v>
      </c>
      <c r="E1101" s="198" t="s">
        <v>944</v>
      </c>
      <c r="F1101" s="198" t="s">
        <v>953</v>
      </c>
      <c r="G1101" s="225" t="n">
        <v>1991000</v>
      </c>
      <c r="H1101" s="225" t="n">
        <v>750000</v>
      </c>
      <c r="I1101" s="225" t="n">
        <v>0</v>
      </c>
      <c r="J1101" s="198" t="n">
        <v>35</v>
      </c>
      <c r="K1101" s="198" t="n">
        <v>2</v>
      </c>
      <c r="L1101" s="226" t="n">
        <v>45517</v>
      </c>
      <c r="M1101" s="226" t="n">
        <v>43896</v>
      </c>
      <c r="N1101" s="227" t="n">
        <v>2</v>
      </c>
      <c r="O1101" s="227" t="s">
        <v>135</v>
      </c>
      <c r="P1101" s="228" t="n">
        <f aca="false">VLOOKUP(B1101,'NIVEL ENERO'!A:D,3,0)</f>
        <v>0.240212807342284</v>
      </c>
      <c r="Q1101" s="229" t="n">
        <f aca="false">VLOOKUP(B1101,'NIVEL ENERO'!A:D,4,0)</f>
        <v>470167.84</v>
      </c>
      <c r="R1101" s="186" t="str">
        <f aca="false">+PROPER(C1101&amp;" "&amp;D1101)</f>
        <v>Villamil Cardona Andres Fernando</v>
      </c>
      <c r="S1101" s="230" t="n">
        <f aca="false">+YEARFRAC(L1101,$S$1)</f>
        <v>1.74722222222222</v>
      </c>
      <c r="T1101" s="230" t="n">
        <f aca="false">+YEARFRAC(M1101,$S$1)</f>
        <v>6.18333333333333</v>
      </c>
      <c r="U1101" s="231" t="n">
        <f aca="false">+$I1101</f>
        <v>0</v>
      </c>
      <c r="V1101" s="232" t="str">
        <f aca="false">+PROPER(F1101)</f>
        <v>Soltero(A)</v>
      </c>
    </row>
    <row r="1102" customFormat="false" ht="14.25" hidden="false" customHeight="false" outlineLevel="0" collapsed="false">
      <c r="B1102" s="197" t="n">
        <v>1114821862</v>
      </c>
      <c r="C1102" s="197" t="s">
        <v>2892</v>
      </c>
      <c r="D1102" s="197" t="s">
        <v>1641</v>
      </c>
      <c r="E1102" s="198" t="s">
        <v>944</v>
      </c>
      <c r="F1102" s="198" t="s">
        <v>945</v>
      </c>
      <c r="G1102" s="225" t="n">
        <v>5418800</v>
      </c>
      <c r="H1102" s="225" t="n">
        <v>1896580</v>
      </c>
      <c r="I1102" s="225" t="n">
        <v>268704</v>
      </c>
      <c r="J1102" s="198" t="n">
        <v>34</v>
      </c>
      <c r="K1102" s="198" t="n">
        <v>1</v>
      </c>
      <c r="L1102" s="226" t="n">
        <v>45448</v>
      </c>
      <c r="M1102" s="226" t="n">
        <v>44155</v>
      </c>
      <c r="N1102" s="227" t="n">
        <v>2</v>
      </c>
      <c r="O1102" s="227" t="s">
        <v>135</v>
      </c>
      <c r="P1102" s="228" t="n">
        <f aca="false">VLOOKUP(B1102,'NIVEL ENERO'!A:D,3,0)</f>
        <v>0.411192238226344</v>
      </c>
      <c r="Q1102" s="229" t="n">
        <f aca="false">VLOOKUP(B1102,'NIVEL ENERO'!A:D,4,0)</f>
        <v>64873.8599999999</v>
      </c>
      <c r="R1102" s="186" t="str">
        <f aca="false">+PROPER(C1102&amp;" "&amp;D1102)</f>
        <v>Mateus Florez Diana Fernanda</v>
      </c>
      <c r="S1102" s="230" t="n">
        <f aca="false">+YEARFRAC(L1102,$S$1)</f>
        <v>1.93611111111111</v>
      </c>
      <c r="T1102" s="230" t="n">
        <f aca="false">+YEARFRAC(M1102,$S$1)</f>
        <v>5.47777777777778</v>
      </c>
      <c r="U1102" s="231" t="n">
        <f aca="false">+$I1102</f>
        <v>268704</v>
      </c>
      <c r="V1102" s="232" t="str">
        <f aca="false">+PROPER(F1102)</f>
        <v>Union Libre</v>
      </c>
    </row>
    <row r="1103" customFormat="false" ht="14.25" hidden="false" customHeight="false" outlineLevel="0" collapsed="false">
      <c r="B1103" s="197" t="n">
        <v>1114825987</v>
      </c>
      <c r="C1103" s="197" t="s">
        <v>2893</v>
      </c>
      <c r="D1103" s="197" t="s">
        <v>2894</v>
      </c>
      <c r="E1103" s="198" t="s">
        <v>944</v>
      </c>
      <c r="F1103" s="198" t="s">
        <v>953</v>
      </c>
      <c r="G1103" s="225" t="n">
        <v>3288800</v>
      </c>
      <c r="H1103" s="225" t="n">
        <v>980070</v>
      </c>
      <c r="I1103" s="225"/>
      <c r="J1103" s="198" t="n">
        <v>33</v>
      </c>
      <c r="K1103" s="198" t="n">
        <v>4</v>
      </c>
      <c r="L1103" s="226" t="n">
        <v>45250</v>
      </c>
      <c r="M1103" s="226" t="n">
        <v>45065</v>
      </c>
      <c r="N1103" s="227" t="n">
        <v>0</v>
      </c>
      <c r="O1103" s="227" t="s">
        <v>135</v>
      </c>
      <c r="P1103" s="228" t="n">
        <f aca="false">VLOOKUP(B1103,'NIVEL ENERO'!A:D,3,0)</f>
        <v>0.21233265127484</v>
      </c>
      <c r="Q1103" s="229" t="n">
        <f aca="false">VLOOKUP(B1103,'NIVEL ENERO'!A:D,4,0)</f>
        <v>1109832.32</v>
      </c>
      <c r="R1103" s="186" t="str">
        <f aca="false">+PROPER(C1103&amp;" "&amp;D1103)</f>
        <v>Muñoz Peña Estefania</v>
      </c>
      <c r="S1103" s="230" t="n">
        <f aca="false">+YEARFRAC(L1103,$S$1)</f>
        <v>2.47777777777778</v>
      </c>
      <c r="T1103" s="230" t="n">
        <f aca="false">+YEARFRAC(M1103,$S$1)</f>
        <v>2.98055555555556</v>
      </c>
      <c r="U1103" s="231" t="n">
        <f aca="false">+$I1103</f>
        <v>0</v>
      </c>
      <c r="V1103" s="232" t="str">
        <f aca="false">+PROPER(F1103)</f>
        <v>Soltero(A)</v>
      </c>
    </row>
    <row r="1104" customFormat="false" ht="14.25" hidden="false" customHeight="false" outlineLevel="0" collapsed="false">
      <c r="B1104" s="197" t="n">
        <v>1114826443</v>
      </c>
      <c r="C1104" s="197" t="s">
        <v>2895</v>
      </c>
      <c r="D1104" s="197" t="s">
        <v>2896</v>
      </c>
      <c r="E1104" s="198" t="s">
        <v>944</v>
      </c>
      <c r="F1104" s="198" t="s">
        <v>948</v>
      </c>
      <c r="G1104" s="225" t="n">
        <v>2340800</v>
      </c>
      <c r="H1104" s="225" t="n">
        <v>1000000</v>
      </c>
      <c r="I1104" s="225"/>
      <c r="J1104" s="198" t="n">
        <v>32</v>
      </c>
      <c r="K1104" s="198" t="n">
        <v>2</v>
      </c>
      <c r="L1104" s="226" t="n">
        <v>45366</v>
      </c>
      <c r="M1104" s="226" t="n">
        <v>45078</v>
      </c>
      <c r="N1104" s="227" t="n">
        <v>0</v>
      </c>
      <c r="O1104" s="227" t="s">
        <v>135</v>
      </c>
      <c r="P1104" s="228" t="n">
        <f aca="false">VLOOKUP(B1104,'NIVEL ENERO'!A:D,3,0)</f>
        <v>0.149974833613097</v>
      </c>
      <c r="Q1104" s="229" t="n">
        <f aca="false">VLOOKUP(B1104,'NIVEL ENERO'!A:D,4,0)</f>
        <v>657724.24</v>
      </c>
      <c r="R1104" s="186" t="str">
        <f aca="false">+PROPER(C1104&amp;" "&amp;D1104)</f>
        <v>Valencia Rativa Lady Liceth</v>
      </c>
      <c r="S1104" s="230" t="n">
        <f aca="false">+YEARFRAC(L1104,$S$1)</f>
        <v>2.15833333333333</v>
      </c>
      <c r="T1104" s="230" t="n">
        <f aca="false">+YEARFRAC(M1104,$S$1)</f>
        <v>2.94722222222222</v>
      </c>
      <c r="U1104" s="231" t="n">
        <f aca="false">+$I1104</f>
        <v>0</v>
      </c>
      <c r="V1104" s="232" t="str">
        <f aca="false">+PROPER(F1104)</f>
        <v>Casado(A)</v>
      </c>
    </row>
    <row r="1105" customFormat="false" ht="14.25" hidden="false" customHeight="false" outlineLevel="0" collapsed="false">
      <c r="B1105" s="197" t="n">
        <v>1114832698</v>
      </c>
      <c r="C1105" s="197" t="s">
        <v>2897</v>
      </c>
      <c r="D1105" s="197" t="s">
        <v>2898</v>
      </c>
      <c r="E1105" s="198" t="s">
        <v>944</v>
      </c>
      <c r="F1105" s="198" t="s">
        <v>953</v>
      </c>
      <c r="G1105" s="225" t="n">
        <v>5418800</v>
      </c>
      <c r="H1105" s="225" t="n">
        <v>4842038</v>
      </c>
      <c r="I1105" s="225" t="n">
        <v>3816468</v>
      </c>
      <c r="J1105" s="198" t="n">
        <v>29</v>
      </c>
      <c r="K1105" s="198" t="n">
        <v>1</v>
      </c>
      <c r="L1105" s="226" t="n">
        <v>45142</v>
      </c>
      <c r="M1105" s="226" t="n">
        <v>43276</v>
      </c>
      <c r="N1105" s="227" t="n">
        <v>1</v>
      </c>
      <c r="O1105" s="227" t="s">
        <v>135</v>
      </c>
      <c r="P1105" s="228" t="n">
        <f aca="false">VLOOKUP(B1105,'NIVEL ENERO'!A:D,3,0)</f>
        <v>0.241149854785011</v>
      </c>
      <c r="Q1105" s="229" t="n">
        <f aca="false">VLOOKUP(B1105,'NIVEL ENERO'!A:D,4,0)</f>
        <v>1252314.44</v>
      </c>
      <c r="R1105" s="186" t="str">
        <f aca="false">+PROPER(C1105&amp;" "&amp;D1105)</f>
        <v>Londono Arevalo Ana Bolena</v>
      </c>
      <c r="S1105" s="230" t="n">
        <f aca="false">+YEARFRAC(L1105,$S$1)</f>
        <v>2.77222222222222</v>
      </c>
      <c r="T1105" s="230" t="n">
        <f aca="false">+YEARFRAC(M1105,$S$1)</f>
        <v>7.88055555555556</v>
      </c>
      <c r="U1105" s="231" t="n">
        <f aca="false">+$I1105</f>
        <v>3816468</v>
      </c>
      <c r="V1105" s="232" t="str">
        <f aca="false">+PROPER(F1105)</f>
        <v>Soltero(A)</v>
      </c>
    </row>
    <row r="1106" customFormat="false" ht="14.25" hidden="false" customHeight="false" outlineLevel="0" collapsed="false">
      <c r="B1106" s="197" t="n">
        <v>1114833076</v>
      </c>
      <c r="C1106" s="197" t="s">
        <v>2899</v>
      </c>
      <c r="D1106" s="197" t="s">
        <v>2900</v>
      </c>
      <c r="E1106" s="198" t="s">
        <v>944</v>
      </c>
      <c r="F1106" s="198" t="s">
        <v>953</v>
      </c>
      <c r="G1106" s="225" t="n">
        <v>2893800</v>
      </c>
      <c r="H1106" s="225" t="n">
        <v>3274418</v>
      </c>
      <c r="I1106" s="225" t="n">
        <v>0</v>
      </c>
      <c r="J1106" s="198" t="n">
        <v>29</v>
      </c>
      <c r="K1106" s="198" t="n">
        <v>2</v>
      </c>
      <c r="L1106" s="226" t="n">
        <v>43718</v>
      </c>
      <c r="M1106" s="226" t="n">
        <v>43344</v>
      </c>
      <c r="N1106" s="227" t="n">
        <v>2</v>
      </c>
      <c r="O1106" s="227" t="s">
        <v>135</v>
      </c>
      <c r="P1106" s="228" t="n">
        <f aca="false">VLOOKUP(B1106,'NIVEL ENERO'!A:D,3,0)</f>
        <v>0.107454872968282</v>
      </c>
      <c r="Q1106" s="229" t="n">
        <f aca="false">VLOOKUP(B1106,'NIVEL ENERO'!A:D,4,0)</f>
        <v>1101257.86</v>
      </c>
      <c r="R1106" s="186" t="str">
        <f aca="false">+PROPER(C1106&amp;" "&amp;D1106)</f>
        <v>Olmos Mondragon Jeimmy Estefany</v>
      </c>
      <c r="S1106" s="230" t="n">
        <f aca="false">+YEARFRAC(L1106,$S$1)</f>
        <v>6.67222222222222</v>
      </c>
      <c r="T1106" s="230" t="n">
        <f aca="false">+YEARFRAC(M1106,$S$1)</f>
        <v>7.69722222222222</v>
      </c>
      <c r="U1106" s="231" t="n">
        <f aca="false">+$I1106</f>
        <v>0</v>
      </c>
      <c r="V1106" s="232" t="str">
        <f aca="false">+PROPER(F1106)</f>
        <v>Soltero(A)</v>
      </c>
    </row>
    <row r="1107" customFormat="false" ht="14.25" hidden="false" customHeight="false" outlineLevel="0" collapsed="false">
      <c r="B1107" s="197" t="n">
        <v>1114874046</v>
      </c>
      <c r="C1107" s="197" t="s">
        <v>2901</v>
      </c>
      <c r="D1107" s="197" t="s">
        <v>2763</v>
      </c>
      <c r="E1107" s="198" t="s">
        <v>944</v>
      </c>
      <c r="F1107" s="198" t="s">
        <v>953</v>
      </c>
      <c r="G1107" s="225" t="n">
        <v>1991000</v>
      </c>
      <c r="H1107" s="225" t="n">
        <v>130000</v>
      </c>
      <c r="I1107" s="225"/>
      <c r="J1107" s="198" t="n">
        <v>38</v>
      </c>
      <c r="K1107" s="198" t="n">
        <v>2</v>
      </c>
      <c r="L1107" s="226" t="n">
        <v>45615</v>
      </c>
      <c r="M1107" s="226" t="n">
        <v>44440</v>
      </c>
      <c r="N1107" s="227" t="n">
        <v>0</v>
      </c>
      <c r="O1107" s="227" t="s">
        <v>135</v>
      </c>
      <c r="P1107" s="228" t="n">
        <f aca="false">VLOOKUP(B1107,'NIVEL ENERO'!A:D,3,0)</f>
        <v>0.331784198944295</v>
      </c>
      <c r="Q1107" s="229" t="n">
        <f aca="false">VLOOKUP(B1107,'NIVEL ENERO'!A:D,4,0)</f>
        <v>408892</v>
      </c>
      <c r="R1107" s="186" t="str">
        <f aca="false">+PROPER(C1107&amp;" "&amp;D1107)</f>
        <v>Delgado Carabali Maritza</v>
      </c>
      <c r="S1107" s="230" t="n">
        <f aca="false">+YEARFRAC(L1107,$S$1)</f>
        <v>1.48055555555556</v>
      </c>
      <c r="T1107" s="230" t="n">
        <f aca="false">+YEARFRAC(M1107,$S$1)</f>
        <v>4.69722222222222</v>
      </c>
      <c r="U1107" s="231" t="n">
        <f aca="false">+$I1107</f>
        <v>0</v>
      </c>
      <c r="V1107" s="232" t="str">
        <f aca="false">+PROPER(F1107)</f>
        <v>Soltero(A)</v>
      </c>
    </row>
    <row r="1108" customFormat="false" ht="14.25" hidden="false" customHeight="false" outlineLevel="0" collapsed="false">
      <c r="B1108" s="197" t="n">
        <v>1114876803</v>
      </c>
      <c r="C1108" s="197" t="s">
        <v>2902</v>
      </c>
      <c r="D1108" s="197" t="s">
        <v>1202</v>
      </c>
      <c r="E1108" s="198" t="s">
        <v>944</v>
      </c>
      <c r="F1108" s="198" t="s">
        <v>953</v>
      </c>
      <c r="G1108" s="225" t="n">
        <v>2600900</v>
      </c>
      <c r="H1108" s="225" t="n">
        <v>2568009</v>
      </c>
      <c r="I1108" s="225" t="n">
        <v>0</v>
      </c>
      <c r="J1108" s="198" t="n">
        <v>37</v>
      </c>
      <c r="K1108" s="198" t="n">
        <v>6</v>
      </c>
      <c r="L1108" s="226" t="n">
        <v>44748</v>
      </c>
      <c r="M1108" s="226" t="n">
        <v>41932</v>
      </c>
      <c r="N1108" s="227" t="n">
        <v>1</v>
      </c>
      <c r="O1108" s="227" t="s">
        <v>135</v>
      </c>
      <c r="P1108" s="228" t="n">
        <f aca="false">VLOOKUP(B1108,'NIVEL ENERO'!A:D,3,0)</f>
        <v>0.310166639549919</v>
      </c>
      <c r="Q1108" s="229" t="n">
        <f aca="false">VLOOKUP(B1108,'NIVEL ENERO'!A:D,4,0)</f>
        <v>342032.8</v>
      </c>
      <c r="R1108" s="186" t="str">
        <f aca="false">+PROPER(C1108&amp;" "&amp;D1108)</f>
        <v>Londono Barona Carolina</v>
      </c>
      <c r="S1108" s="230" t="n">
        <f aca="false">+YEARFRAC(L1108,$S$1)</f>
        <v>3.85</v>
      </c>
      <c r="T1108" s="230" t="n">
        <f aca="false">+YEARFRAC(M1108,$S$1)</f>
        <v>11.5611111111111</v>
      </c>
      <c r="U1108" s="231" t="n">
        <f aca="false">+$I1108</f>
        <v>0</v>
      </c>
      <c r="V1108" s="232" t="str">
        <f aca="false">+PROPER(F1108)</f>
        <v>Soltero(A)</v>
      </c>
    </row>
    <row r="1109" customFormat="false" ht="14.25" hidden="false" customHeight="false" outlineLevel="0" collapsed="false">
      <c r="B1109" s="197" t="n">
        <v>1114877587</v>
      </c>
      <c r="C1109" s="197" t="s">
        <v>2903</v>
      </c>
      <c r="D1109" s="197" t="s">
        <v>2014</v>
      </c>
      <c r="E1109" s="198" t="s">
        <v>944</v>
      </c>
      <c r="F1109" s="198" t="s">
        <v>953</v>
      </c>
      <c r="G1109" s="225" t="n">
        <v>2893800</v>
      </c>
      <c r="H1109" s="225" t="n">
        <v>2264268</v>
      </c>
      <c r="I1109" s="225" t="n">
        <v>2186202</v>
      </c>
      <c r="J1109" s="198" t="n">
        <v>37</v>
      </c>
      <c r="K1109" s="198" t="n">
        <v>2</v>
      </c>
      <c r="L1109" s="226" t="n">
        <v>44399</v>
      </c>
      <c r="M1109" s="226" t="n">
        <v>44105</v>
      </c>
      <c r="N1109" s="227" t="n">
        <v>1</v>
      </c>
      <c r="O1109" s="227" t="s">
        <v>135</v>
      </c>
      <c r="P1109" s="228" t="n">
        <f aca="false">VLOOKUP(B1109,'NIVEL ENERO'!A:D,3,0)</f>
        <v>0.298372266150488</v>
      </c>
      <c r="Q1109" s="229" t="n">
        <f aca="false">VLOOKUP(B1109,'NIVEL ENERO'!A:D,4,0)</f>
        <v>296915.84</v>
      </c>
      <c r="R1109" s="186" t="str">
        <f aca="false">+PROPER(C1109&amp;" "&amp;D1109)</f>
        <v>Serna Rivera Jennifer</v>
      </c>
      <c r="S1109" s="230" t="n">
        <f aca="false">+YEARFRAC(L1109,$S$1)</f>
        <v>4.80555555555556</v>
      </c>
      <c r="T1109" s="230" t="n">
        <f aca="false">+YEARFRAC(M1109,$S$1)</f>
        <v>5.61388888888889</v>
      </c>
      <c r="U1109" s="231" t="n">
        <f aca="false">+$I1109</f>
        <v>2186202</v>
      </c>
      <c r="V1109" s="232" t="str">
        <f aca="false">+PROPER(F1109)</f>
        <v>Soltero(A)</v>
      </c>
    </row>
    <row r="1110" customFormat="false" ht="14.25" hidden="false" customHeight="false" outlineLevel="0" collapsed="false">
      <c r="B1110" s="197" t="n">
        <v>1114878389</v>
      </c>
      <c r="C1110" s="197" t="s">
        <v>2904</v>
      </c>
      <c r="D1110" s="197" t="s">
        <v>2905</v>
      </c>
      <c r="E1110" s="198" t="s">
        <v>944</v>
      </c>
      <c r="F1110" s="198" t="s">
        <v>953</v>
      </c>
      <c r="G1110" s="225" t="n">
        <v>2893800</v>
      </c>
      <c r="H1110" s="225" t="n">
        <v>2589367</v>
      </c>
      <c r="I1110" s="225" t="n">
        <v>7605813</v>
      </c>
      <c r="J1110" s="198" t="n">
        <v>36</v>
      </c>
      <c r="K1110" s="198" t="n">
        <v>2</v>
      </c>
      <c r="L1110" s="226" t="n">
        <v>44364</v>
      </c>
      <c r="M1110" s="226" t="n">
        <v>44232</v>
      </c>
      <c r="N1110" s="227" t="n">
        <v>3</v>
      </c>
      <c r="O1110" s="227" t="s">
        <v>135</v>
      </c>
      <c r="P1110" s="228" t="n">
        <f aca="false">VLOOKUP(B1110,'NIVEL ENERO'!A:D,3,0)</f>
        <v>0.256361828779926</v>
      </c>
      <c r="Q1110" s="229" t="n">
        <f aca="false">VLOOKUP(B1110,'NIVEL ENERO'!A:D,4,0)</f>
        <v>463013.06</v>
      </c>
      <c r="R1110" s="186" t="str">
        <f aca="false">+PROPER(C1110&amp;" "&amp;D1110)</f>
        <v>Caicedo Montenegro Marcia</v>
      </c>
      <c r="S1110" s="230" t="n">
        <f aca="false">+YEARFRAC(L1110,$S$1)</f>
        <v>4.90277777777778</v>
      </c>
      <c r="T1110" s="230" t="n">
        <f aca="false">+YEARFRAC(M1110,$S$1)</f>
        <v>5.26944444444445</v>
      </c>
      <c r="U1110" s="231" t="n">
        <f aca="false">+$I1110</f>
        <v>7605813</v>
      </c>
      <c r="V1110" s="232" t="str">
        <f aca="false">+PROPER(F1110)</f>
        <v>Soltero(A)</v>
      </c>
    </row>
    <row r="1111" customFormat="false" ht="14.25" hidden="false" customHeight="false" outlineLevel="0" collapsed="false">
      <c r="B1111" s="197" t="n">
        <v>1114884602</v>
      </c>
      <c r="C1111" s="197" t="s">
        <v>2906</v>
      </c>
      <c r="D1111" s="197" t="s">
        <v>2907</v>
      </c>
      <c r="E1111" s="198" t="s">
        <v>944</v>
      </c>
      <c r="F1111" s="198" t="s">
        <v>945</v>
      </c>
      <c r="G1111" s="225" t="n">
        <v>2600900</v>
      </c>
      <c r="H1111" s="225" t="n">
        <v>2327064</v>
      </c>
      <c r="I1111" s="225" t="n">
        <v>1201192</v>
      </c>
      <c r="J1111" s="198" t="n">
        <v>34</v>
      </c>
      <c r="K1111" s="198" t="n">
        <v>1</v>
      </c>
      <c r="L1111" s="226" t="n">
        <v>44721</v>
      </c>
      <c r="M1111" s="226" t="n">
        <v>42212</v>
      </c>
      <c r="N1111" s="227" t="n">
        <v>1</v>
      </c>
      <c r="O1111" s="227" t="s">
        <v>135</v>
      </c>
      <c r="P1111" s="228" t="n">
        <f aca="false">VLOOKUP(B1111,'NIVEL ENERO'!A:D,3,0)</f>
        <v>0.405228844460948</v>
      </c>
      <c r="Q1111" s="229" t="n">
        <f aca="false">VLOOKUP(B1111,'NIVEL ENERO'!A:D,4,0)</f>
        <v>47363.0800000001</v>
      </c>
      <c r="R1111" s="186" t="str">
        <f aca="false">+PROPER(C1111&amp;" "&amp;D1111)</f>
        <v>Gaviria Diaz Duber Alexis</v>
      </c>
      <c r="S1111" s="230" t="n">
        <f aca="false">+YEARFRAC(L1111,$S$1)</f>
        <v>3.925</v>
      </c>
      <c r="T1111" s="230" t="n">
        <f aca="false">+YEARFRAC(M1111,$S$1)</f>
        <v>10.7916666666667</v>
      </c>
      <c r="U1111" s="231" t="n">
        <f aca="false">+$I1111</f>
        <v>1201192</v>
      </c>
      <c r="V1111" s="232" t="str">
        <f aca="false">+PROPER(F1111)</f>
        <v>Union Libre</v>
      </c>
    </row>
    <row r="1112" customFormat="false" ht="14.25" hidden="false" customHeight="false" outlineLevel="0" collapsed="false">
      <c r="B1112" s="197" t="n">
        <v>1114888786</v>
      </c>
      <c r="C1112" s="197" t="s">
        <v>2908</v>
      </c>
      <c r="D1112" s="197" t="s">
        <v>1398</v>
      </c>
      <c r="E1112" s="198" t="s">
        <v>944</v>
      </c>
      <c r="F1112" s="198" t="s">
        <v>945</v>
      </c>
      <c r="G1112" s="225" t="n">
        <v>5291000</v>
      </c>
      <c r="H1112" s="225" t="n">
        <v>1005311</v>
      </c>
      <c r="I1112" s="225" t="n">
        <v>39175</v>
      </c>
      <c r="J1112" s="198" t="n">
        <v>32</v>
      </c>
      <c r="K1112" s="198" t="n">
        <v>2</v>
      </c>
      <c r="L1112" s="226" t="n">
        <v>45191</v>
      </c>
      <c r="M1112" s="226" t="n">
        <v>43328</v>
      </c>
      <c r="N1112" s="227" t="n">
        <v>0</v>
      </c>
      <c r="O1112" s="227" t="s">
        <v>135</v>
      </c>
      <c r="P1112" s="228" t="n">
        <f aca="false">VLOOKUP(B1112,'NIVEL ENERO'!A:D,3,0)</f>
        <v>0.110742938812523</v>
      </c>
      <c r="Q1112" s="229" t="n">
        <f aca="false">VLOOKUP(B1112,'NIVEL ENERO'!A:D,4,0)</f>
        <v>1636279.42</v>
      </c>
      <c r="R1112" s="186" t="str">
        <f aca="false">+PROPER(C1112&amp;" "&amp;D1112)</f>
        <v>Largo Montoya Luz Angela</v>
      </c>
      <c r="S1112" s="230" t="n">
        <f aca="false">+YEARFRAC(L1112,$S$1)</f>
        <v>2.63888888888889</v>
      </c>
      <c r="T1112" s="230" t="n">
        <f aca="false">+YEARFRAC(M1112,$S$1)</f>
        <v>7.73888888888889</v>
      </c>
      <c r="U1112" s="231" t="n">
        <f aca="false">+$I1112</f>
        <v>39175</v>
      </c>
      <c r="V1112" s="232" t="str">
        <f aca="false">+PROPER(F1112)</f>
        <v>Union Libre</v>
      </c>
    </row>
    <row r="1113" customFormat="false" ht="14.25" hidden="false" customHeight="false" outlineLevel="0" collapsed="false">
      <c r="B1113" s="197" t="n">
        <v>1114894351</v>
      </c>
      <c r="C1113" s="197" t="s">
        <v>2909</v>
      </c>
      <c r="D1113" s="197" t="s">
        <v>1451</v>
      </c>
      <c r="E1113" s="198" t="s">
        <v>944</v>
      </c>
      <c r="F1113" s="198" t="s">
        <v>953</v>
      </c>
      <c r="G1113" s="225" t="n">
        <v>2600900</v>
      </c>
      <c r="H1113" s="225" t="n">
        <v>2516806</v>
      </c>
      <c r="I1113" s="225" t="n">
        <v>2479016</v>
      </c>
      <c r="J1113" s="198" t="n">
        <v>29</v>
      </c>
      <c r="K1113" s="198" t="n">
        <v>2</v>
      </c>
      <c r="L1113" s="226" t="n">
        <v>44271</v>
      </c>
      <c r="M1113" s="226" t="n">
        <v>44111</v>
      </c>
      <c r="N1113" s="227" t="n">
        <v>2</v>
      </c>
      <c r="O1113" s="227" t="s">
        <v>135</v>
      </c>
      <c r="P1113" s="228" t="n">
        <f aca="false">VLOOKUP(B1113,'NIVEL ENERO'!A:D,3,0)</f>
        <v>0.367276833111587</v>
      </c>
      <c r="Q1113" s="229" t="n">
        <f aca="false">VLOOKUP(B1113,'NIVEL ENERO'!A:D,4,0)</f>
        <v>166341.82</v>
      </c>
      <c r="R1113" s="186" t="str">
        <f aca="false">+PROPER(C1113&amp;" "&amp;D1113)</f>
        <v>Zapata Garcia Marcela</v>
      </c>
      <c r="S1113" s="230" t="n">
        <f aca="false">+YEARFRAC(L1113,$S$1)</f>
        <v>5.15555555555556</v>
      </c>
      <c r="T1113" s="230" t="n">
        <f aca="false">+YEARFRAC(M1113,$S$1)</f>
        <v>5.59722222222222</v>
      </c>
      <c r="U1113" s="231" t="n">
        <f aca="false">+$I1113</f>
        <v>2479016</v>
      </c>
      <c r="V1113" s="232" t="str">
        <f aca="false">+PROPER(F1113)</f>
        <v>Soltero(A)</v>
      </c>
    </row>
    <row r="1114" customFormat="false" ht="14.25" hidden="false" customHeight="false" outlineLevel="0" collapsed="false">
      <c r="B1114" s="197" t="n">
        <v>1114899235</v>
      </c>
      <c r="C1114" s="197" t="s">
        <v>2910</v>
      </c>
      <c r="D1114" s="197" t="s">
        <v>2911</v>
      </c>
      <c r="E1114" s="198" t="s">
        <v>944</v>
      </c>
      <c r="F1114" s="198" t="s">
        <v>945</v>
      </c>
      <c r="G1114" s="225" t="n">
        <v>2893800</v>
      </c>
      <c r="H1114" s="225" t="n">
        <v>2360295</v>
      </c>
      <c r="I1114" s="225" t="n">
        <v>18855602</v>
      </c>
      <c r="J1114" s="198" t="n">
        <v>26</v>
      </c>
      <c r="K1114" s="198" t="n">
        <v>2</v>
      </c>
      <c r="L1114" s="226" t="n">
        <v>44825</v>
      </c>
      <c r="M1114" s="226" t="n">
        <v>44083</v>
      </c>
      <c r="N1114" s="227" t="n">
        <v>1</v>
      </c>
      <c r="O1114" s="227" t="s">
        <v>135</v>
      </c>
      <c r="P1114" s="228" t="n">
        <f aca="false">VLOOKUP(B1114,'NIVEL ENERO'!A:D,3,0)</f>
        <v>0.404824897250077</v>
      </c>
      <c r="Q1114" s="229" t="n">
        <f aca="false">VLOOKUP(B1114,'NIVEL ENERO'!A:D,4,0)</f>
        <v>53937.4999999998</v>
      </c>
      <c r="R1114" s="186" t="str">
        <f aca="false">+PROPER(C1114&amp;" "&amp;D1114)</f>
        <v>Melo Munoz Yurley Dayana</v>
      </c>
      <c r="S1114" s="230" t="n">
        <f aca="false">+YEARFRAC(L1114,$S$1)</f>
        <v>3.64166666666667</v>
      </c>
      <c r="T1114" s="230" t="n">
        <f aca="false">+YEARFRAC(M1114,$S$1)</f>
        <v>5.675</v>
      </c>
      <c r="U1114" s="231" t="n">
        <f aca="false">+$I1114</f>
        <v>18855602</v>
      </c>
      <c r="V1114" s="232" t="str">
        <f aca="false">+PROPER(F1114)</f>
        <v>Union Libre</v>
      </c>
    </row>
    <row r="1115" customFormat="false" ht="14.25" hidden="false" customHeight="false" outlineLevel="0" collapsed="false">
      <c r="B1115" s="197" t="n">
        <v>1115076657</v>
      </c>
      <c r="C1115" s="197" t="s">
        <v>2912</v>
      </c>
      <c r="D1115" s="197" t="s">
        <v>1241</v>
      </c>
      <c r="E1115" s="198" t="s">
        <v>944</v>
      </c>
      <c r="F1115" s="198" t="s">
        <v>948</v>
      </c>
      <c r="G1115" s="225" t="n">
        <v>4705400</v>
      </c>
      <c r="H1115" s="225" t="n">
        <v>4407775</v>
      </c>
      <c r="I1115" s="225" t="n">
        <v>39175</v>
      </c>
      <c r="J1115" s="198" t="n">
        <v>33</v>
      </c>
      <c r="K1115" s="198" t="n">
        <v>1</v>
      </c>
      <c r="L1115" s="226" t="n">
        <v>44995</v>
      </c>
      <c r="M1115" s="226" t="n">
        <v>44607</v>
      </c>
      <c r="N1115" s="227" t="n">
        <v>0</v>
      </c>
      <c r="O1115" s="227" t="s">
        <v>135</v>
      </c>
      <c r="P1115" s="228" t="n">
        <f aca="false">VLOOKUP(B1115,'NIVEL ENERO'!A:D,3,0)</f>
        <v>0.128227116031131</v>
      </c>
      <c r="Q1115" s="229" t="n">
        <f aca="false">VLOOKUP(B1115,'NIVEL ENERO'!A:D,4,0)</f>
        <v>1372908.42</v>
      </c>
      <c r="R1115" s="186" t="str">
        <f aca="false">+PROPER(C1115&amp;" "&amp;D1115)</f>
        <v>Cubillos Duque Diana Carolina</v>
      </c>
      <c r="S1115" s="230" t="n">
        <f aca="false">+YEARFRAC(L1115,$S$1)</f>
        <v>3.17222222222222</v>
      </c>
      <c r="T1115" s="230" t="n">
        <f aca="false">+YEARFRAC(M1115,$S$1)</f>
        <v>4.24166666666667</v>
      </c>
      <c r="U1115" s="231" t="n">
        <f aca="false">+$I1115</f>
        <v>39175</v>
      </c>
      <c r="V1115" s="232" t="str">
        <f aca="false">+PROPER(F1115)</f>
        <v>Casado(A)</v>
      </c>
    </row>
    <row r="1116" customFormat="false" ht="14.25" hidden="false" customHeight="false" outlineLevel="0" collapsed="false">
      <c r="B1116" s="197" t="n">
        <v>1115079127</v>
      </c>
      <c r="C1116" s="197" t="s">
        <v>2913</v>
      </c>
      <c r="D1116" s="197" t="s">
        <v>2395</v>
      </c>
      <c r="E1116" s="198" t="s">
        <v>944</v>
      </c>
      <c r="F1116" s="198" t="s">
        <v>953</v>
      </c>
      <c r="G1116" s="225" t="n">
        <v>5418800</v>
      </c>
      <c r="H1116" s="225" t="n">
        <v>5761853</v>
      </c>
      <c r="I1116" s="225"/>
      <c r="J1116" s="198" t="n">
        <v>31</v>
      </c>
      <c r="K1116" s="198" t="n">
        <v>2</v>
      </c>
      <c r="L1116" s="226" t="n">
        <v>44974</v>
      </c>
      <c r="M1116" s="226" t="n">
        <v>44414</v>
      </c>
      <c r="N1116" s="227" t="n">
        <v>0</v>
      </c>
      <c r="O1116" s="227" t="s">
        <v>135</v>
      </c>
      <c r="P1116" s="228" t="n">
        <f aca="false">VLOOKUP(B1116,'NIVEL ENERO'!A:D,3,0)</f>
        <v>0.144914250323953</v>
      </c>
      <c r="Q1116" s="229" t="n">
        <f aca="false">VLOOKUP(B1116,'NIVEL ENERO'!A:D,4,0)</f>
        <v>1771334.36</v>
      </c>
      <c r="R1116" s="186" t="str">
        <f aca="false">+PROPER(C1116&amp;" "&amp;D1116)</f>
        <v>Narvaez Soto Luisa Fernanda</v>
      </c>
      <c r="S1116" s="230" t="n">
        <f aca="false">+YEARFRAC(L1116,$S$1)</f>
        <v>3.23611111111111</v>
      </c>
      <c r="T1116" s="230" t="n">
        <f aca="false">+YEARFRAC(M1116,$S$1)</f>
        <v>4.76666666666667</v>
      </c>
      <c r="U1116" s="231" t="n">
        <f aca="false">+$I1116</f>
        <v>0</v>
      </c>
      <c r="V1116" s="232" t="str">
        <f aca="false">+PROPER(F1116)</f>
        <v>Soltero(A)</v>
      </c>
    </row>
    <row r="1117" customFormat="false" ht="14.25" hidden="false" customHeight="false" outlineLevel="0" collapsed="false">
      <c r="B1117" s="197" t="n">
        <v>1115083208</v>
      </c>
      <c r="C1117" s="197" t="s">
        <v>2914</v>
      </c>
      <c r="D1117" s="197" t="s">
        <v>1479</v>
      </c>
      <c r="E1117" s="198" t="s">
        <v>944</v>
      </c>
      <c r="F1117" s="198" t="s">
        <v>953</v>
      </c>
      <c r="G1117" s="225" t="n">
        <v>5418800</v>
      </c>
      <c r="H1117" s="225" t="n">
        <v>300000</v>
      </c>
      <c r="I1117" s="225"/>
      <c r="J1117" s="198" t="n">
        <v>30</v>
      </c>
      <c r="K1117" s="198" t="n">
        <v>2</v>
      </c>
      <c r="L1117" s="226" t="n">
        <v>45643</v>
      </c>
      <c r="M1117" s="226" t="n">
        <v>44185</v>
      </c>
      <c r="N1117" s="227" t="n">
        <v>0</v>
      </c>
      <c r="O1117" s="227" t="s">
        <v>135</v>
      </c>
      <c r="P1117" s="228" t="e">
        <f aca="false">VLOOKUP(B1117,'NIVEL ENERO'!A:D,3,0)</f>
        <v>#N/A</v>
      </c>
      <c r="Q1117" s="229" t="e">
        <f aca="false">VLOOKUP(B1117,'NIVEL ENERO'!A:D,4,0)</f>
        <v>#N/A</v>
      </c>
      <c r="R1117" s="186" t="str">
        <f aca="false">+PROPER(C1117&amp;" "&amp;D1117)</f>
        <v>Soto Barrios Maria Fernanda</v>
      </c>
      <c r="S1117" s="230" t="n">
        <f aca="false">+YEARFRAC(L1117,$S$1)</f>
        <v>1.40277777777778</v>
      </c>
      <c r="T1117" s="230" t="n">
        <f aca="false">+YEARFRAC(M1117,$S$1)</f>
        <v>5.39444444444445</v>
      </c>
      <c r="U1117" s="231" t="n">
        <f aca="false">+$I1117</f>
        <v>0</v>
      </c>
      <c r="V1117" s="232" t="str">
        <f aca="false">+PROPER(F1117)</f>
        <v>Soltero(A)</v>
      </c>
    </row>
    <row r="1118" customFormat="false" ht="14.25" hidden="false" customHeight="false" outlineLevel="0" collapsed="false">
      <c r="B1118" s="197" t="n">
        <v>1115091457</v>
      </c>
      <c r="C1118" s="197" t="s">
        <v>2915</v>
      </c>
      <c r="D1118" s="197" t="s">
        <v>2639</v>
      </c>
      <c r="E1118" s="198" t="s">
        <v>944</v>
      </c>
      <c r="F1118" s="198" t="s">
        <v>945</v>
      </c>
      <c r="G1118" s="225" t="n">
        <v>1670000</v>
      </c>
      <c r="H1118" s="225" t="n">
        <v>715000</v>
      </c>
      <c r="I1118" s="225" t="n">
        <v>346533</v>
      </c>
      <c r="J1118" s="198" t="n">
        <v>26</v>
      </c>
      <c r="K1118" s="198" t="n">
        <v>2</v>
      </c>
      <c r="L1118" s="226" t="n">
        <v>45344</v>
      </c>
      <c r="M1118" s="226" t="n">
        <v>44013</v>
      </c>
      <c r="N1118" s="227" t="n">
        <v>0</v>
      </c>
      <c r="O1118" s="227" t="s">
        <v>135</v>
      </c>
      <c r="P1118" s="228" t="n">
        <f aca="false">VLOOKUP(B1118,'NIVEL ENERO'!A:D,3,0)</f>
        <v>0.159632305629048</v>
      </c>
      <c r="Q1118" s="229" t="n">
        <f aca="false">VLOOKUP(B1118,'NIVEL ENERO'!A:D,4,0)</f>
        <v>558546.94</v>
      </c>
      <c r="R1118" s="186" t="str">
        <f aca="false">+PROPER(C1118&amp;" "&amp;D1118)</f>
        <v>Arango Polindara Fabio Andres</v>
      </c>
      <c r="S1118" s="230" t="n">
        <f aca="false">+YEARFRAC(L1118,$S$1)</f>
        <v>2.22222222222222</v>
      </c>
      <c r="T1118" s="230" t="n">
        <f aca="false">+YEARFRAC(M1118,$S$1)</f>
        <v>5.86388888888889</v>
      </c>
      <c r="U1118" s="231" t="n">
        <f aca="false">+$I1118</f>
        <v>346533</v>
      </c>
      <c r="V1118" s="232" t="str">
        <f aca="false">+PROPER(F1118)</f>
        <v>Union Libre</v>
      </c>
    </row>
    <row r="1119" customFormat="false" ht="14.25" hidden="false" customHeight="false" outlineLevel="0" collapsed="false">
      <c r="B1119" s="197" t="n">
        <v>1115421594</v>
      </c>
      <c r="C1119" s="197" t="s">
        <v>2916</v>
      </c>
      <c r="D1119" s="197" t="s">
        <v>2917</v>
      </c>
      <c r="E1119" s="198" t="s">
        <v>944</v>
      </c>
      <c r="F1119" s="198" t="s">
        <v>953</v>
      </c>
      <c r="G1119" s="225" t="n">
        <v>4984600</v>
      </c>
      <c r="H1119" s="225" t="n">
        <v>1809701</v>
      </c>
      <c r="I1119" s="225" t="n">
        <v>0</v>
      </c>
      <c r="J1119" s="198" t="n">
        <v>32</v>
      </c>
      <c r="K1119" s="198" t="n">
        <v>1</v>
      </c>
      <c r="L1119" s="226" t="n">
        <v>44701</v>
      </c>
      <c r="M1119" s="226" t="n">
        <v>44280</v>
      </c>
      <c r="N1119" s="227" t="n">
        <v>2</v>
      </c>
      <c r="O1119" s="227" t="s">
        <v>135</v>
      </c>
      <c r="P1119" s="228" t="n">
        <f aca="false">VLOOKUP(B1119,'NIVEL ENERO'!A:D,3,0)</f>
        <v>0.104187923912724</v>
      </c>
      <c r="Q1119" s="229" t="n">
        <f aca="false">VLOOKUP(B1119,'NIVEL ENERO'!A:D,4,0)</f>
        <v>1783420.48</v>
      </c>
      <c r="R1119" s="186" t="str">
        <f aca="false">+PROPER(C1119&amp;" "&amp;D1119)</f>
        <v>Alarcon Soto Johana Carolina</v>
      </c>
      <c r="S1119" s="230" t="n">
        <f aca="false">+YEARFRAC(L1119,$S$1)</f>
        <v>3.97777777777778</v>
      </c>
      <c r="T1119" s="230" t="n">
        <f aca="false">+YEARFRAC(M1119,$S$1)</f>
        <v>5.13055555555556</v>
      </c>
      <c r="U1119" s="231" t="n">
        <f aca="false">+$I1119</f>
        <v>0</v>
      </c>
      <c r="V1119" s="232" t="str">
        <f aca="false">+PROPER(F1119)</f>
        <v>Soltero(A)</v>
      </c>
    </row>
    <row r="1120" customFormat="false" ht="14.25" hidden="false" customHeight="false" outlineLevel="0" collapsed="false">
      <c r="B1120" s="197" t="n">
        <v>1115949491</v>
      </c>
      <c r="C1120" s="197" t="s">
        <v>2918</v>
      </c>
      <c r="D1120" s="197" t="s">
        <v>2919</v>
      </c>
      <c r="E1120" s="198" t="s">
        <v>944</v>
      </c>
      <c r="F1120" s="198" t="s">
        <v>953</v>
      </c>
      <c r="G1120" s="225" t="n">
        <v>2893800</v>
      </c>
      <c r="H1120" s="225" t="n">
        <v>2139636</v>
      </c>
      <c r="I1120" s="225" t="n">
        <v>0</v>
      </c>
      <c r="J1120" s="198" t="n">
        <v>31</v>
      </c>
      <c r="K1120" s="198" t="n">
        <v>2</v>
      </c>
      <c r="L1120" s="226" t="n">
        <v>45020</v>
      </c>
      <c r="M1120" s="226" t="n">
        <v>43747</v>
      </c>
      <c r="N1120" s="227" t="n">
        <v>2</v>
      </c>
      <c r="O1120" s="227" t="s">
        <v>135</v>
      </c>
      <c r="P1120" s="228" t="n">
        <f aca="false">VLOOKUP(B1120,'NIVEL ENERO'!A:D,3,0)</f>
        <v>0.388810346750785</v>
      </c>
      <c r="Q1120" s="229" t="n">
        <f aca="false">VLOOKUP(B1120,'NIVEL ENERO'!A:D,4,0)</f>
        <v>127157.666666667</v>
      </c>
      <c r="R1120" s="186" t="str">
        <f aca="false">+PROPER(C1120&amp;" "&amp;D1120)</f>
        <v>Echeverry Rojas Sandra Veira</v>
      </c>
      <c r="S1120" s="230" t="n">
        <f aca="false">+YEARFRAC(L1120,$S$1)</f>
        <v>3.10555555555556</v>
      </c>
      <c r="T1120" s="230" t="n">
        <f aca="false">+YEARFRAC(M1120,$S$1)</f>
        <v>6.59166666666667</v>
      </c>
      <c r="U1120" s="231" t="n">
        <f aca="false">+$I1120</f>
        <v>0</v>
      </c>
      <c r="V1120" s="232" t="str">
        <f aca="false">+PROPER(F1120)</f>
        <v>Soltero(A)</v>
      </c>
    </row>
    <row r="1121" customFormat="false" ht="14.25" hidden="false" customHeight="false" outlineLevel="0" collapsed="false">
      <c r="B1121" s="197" t="n">
        <v>1116130515</v>
      </c>
      <c r="C1121" s="197" t="s">
        <v>2920</v>
      </c>
      <c r="D1121" s="197" t="s">
        <v>2921</v>
      </c>
      <c r="E1121" s="198" t="s">
        <v>944</v>
      </c>
      <c r="F1121" s="198" t="s">
        <v>953</v>
      </c>
      <c r="G1121" s="225" t="n">
        <v>2893800</v>
      </c>
      <c r="H1121" s="225" t="n">
        <v>1510114</v>
      </c>
      <c r="I1121" s="225" t="n">
        <v>15857896</v>
      </c>
      <c r="J1121" s="198" t="n">
        <v>37</v>
      </c>
      <c r="K1121" s="198" t="n">
        <v>2</v>
      </c>
      <c r="L1121" s="226" t="n">
        <v>45051</v>
      </c>
      <c r="M1121" s="226" t="n">
        <v>39086</v>
      </c>
      <c r="N1121" s="227" t="n">
        <v>2</v>
      </c>
      <c r="O1121" s="227" t="s">
        <v>135</v>
      </c>
      <c r="P1121" s="228" t="n">
        <f aca="false">VLOOKUP(B1121,'NIVEL ENERO'!A:D,3,0)</f>
        <v>0.459112786295491</v>
      </c>
      <c r="Q1121" s="229" t="n">
        <f aca="false">VLOOKUP(B1121,'NIVEL ENERO'!A:D,4,0)</f>
        <v>-163822.38</v>
      </c>
      <c r="R1121" s="186" t="str">
        <f aca="false">+PROPER(C1121&amp;" "&amp;D1121)</f>
        <v>Cuartas Arcila Sindy Fernanda</v>
      </c>
      <c r="S1121" s="230" t="n">
        <f aca="false">+YEARFRAC(L1121,$S$1)</f>
        <v>3.01944444444444</v>
      </c>
      <c r="T1121" s="230" t="n">
        <f aca="false">+YEARFRAC(M1121,$S$1)</f>
        <v>19.3555555555556</v>
      </c>
      <c r="U1121" s="231" t="n">
        <f aca="false">+$I1121</f>
        <v>15857896</v>
      </c>
      <c r="V1121" s="232" t="str">
        <f aca="false">+PROPER(F1121)</f>
        <v>Soltero(A)</v>
      </c>
    </row>
    <row r="1122" customFormat="false" ht="14.25" hidden="false" customHeight="false" outlineLevel="0" collapsed="false">
      <c r="B1122" s="197" t="n">
        <v>1116131228</v>
      </c>
      <c r="C1122" s="197" t="s">
        <v>2922</v>
      </c>
      <c r="D1122" s="197" t="s">
        <v>1043</v>
      </c>
      <c r="E1122" s="198" t="s">
        <v>944</v>
      </c>
      <c r="F1122" s="198" t="s">
        <v>948</v>
      </c>
      <c r="G1122" s="225" t="n">
        <v>2600900</v>
      </c>
      <c r="H1122" s="225" t="n">
        <v>1860209</v>
      </c>
      <c r="I1122" s="225" t="n">
        <v>4216985</v>
      </c>
      <c r="J1122" s="198" t="n">
        <v>34</v>
      </c>
      <c r="K1122" s="198" t="n">
        <v>2</v>
      </c>
      <c r="L1122" s="226" t="n">
        <v>44694</v>
      </c>
      <c r="M1122" s="226" t="n">
        <v>42019</v>
      </c>
      <c r="N1122" s="227" t="n">
        <v>2</v>
      </c>
      <c r="O1122" s="227" t="s">
        <v>135</v>
      </c>
      <c r="P1122" s="228" t="n">
        <f aca="false">VLOOKUP(B1122,'NIVEL ENERO'!A:D,3,0)</f>
        <v>0.410044976033713</v>
      </c>
      <c r="Q1122" s="229" t="n">
        <f aca="false">VLOOKUP(B1122,'NIVEL ENERO'!A:D,4,0)</f>
        <v>35354.74</v>
      </c>
      <c r="R1122" s="186" t="str">
        <f aca="false">+PROPER(C1122&amp;" "&amp;D1122)</f>
        <v>Garcia Acevedo Carlos Alberto</v>
      </c>
      <c r="S1122" s="230" t="n">
        <f aca="false">+YEARFRAC(L1122,$S$1)</f>
        <v>3.99722222222222</v>
      </c>
      <c r="T1122" s="230" t="n">
        <f aca="false">+YEARFRAC(M1122,$S$1)</f>
        <v>11.325</v>
      </c>
      <c r="U1122" s="231" t="n">
        <f aca="false">+$I1122</f>
        <v>4216985</v>
      </c>
      <c r="V1122" s="232" t="str">
        <f aca="false">+PROPER(F1122)</f>
        <v>Casado(A)</v>
      </c>
    </row>
    <row r="1123" customFormat="false" ht="14.25" hidden="false" customHeight="false" outlineLevel="0" collapsed="false">
      <c r="B1123" s="197" t="n">
        <v>1116157019</v>
      </c>
      <c r="C1123" s="197" t="s">
        <v>2923</v>
      </c>
      <c r="D1123" s="197" t="s">
        <v>1434</v>
      </c>
      <c r="E1123" s="198" t="s">
        <v>944</v>
      </c>
      <c r="F1123" s="198" t="s">
        <v>948</v>
      </c>
      <c r="G1123" s="225" t="n">
        <v>8178800</v>
      </c>
      <c r="H1123" s="225" t="n">
        <v>325000</v>
      </c>
      <c r="I1123" s="225"/>
      <c r="J1123" s="198" t="n">
        <v>35</v>
      </c>
      <c r="K1123" s="198" t="n">
        <v>1</v>
      </c>
      <c r="L1123" s="226" t="n">
        <v>45519</v>
      </c>
      <c r="M1123" s="226" t="n">
        <v>42653</v>
      </c>
      <c r="N1123" s="227" t="n">
        <v>0</v>
      </c>
      <c r="O1123" s="227" t="s">
        <v>135</v>
      </c>
      <c r="P1123" s="228" t="n">
        <f aca="false">VLOOKUP(B1123,'NIVEL ENERO'!A:D,3,0)</f>
        <v>0.274093754585025</v>
      </c>
      <c r="Q1123" s="229" t="n">
        <f aca="false">VLOOKUP(B1123,'NIVEL ENERO'!A:D,4,0)</f>
        <v>1193338</v>
      </c>
      <c r="R1123" s="186" t="str">
        <f aca="false">+PROPER(C1123&amp;" "&amp;D1123)</f>
        <v>Soto Adarve Diana Marcela</v>
      </c>
      <c r="S1123" s="230" t="n">
        <f aca="false">+YEARFRAC(L1123,$S$1)</f>
        <v>1.74166666666667</v>
      </c>
      <c r="T1123" s="230" t="n">
        <f aca="false">+YEARFRAC(M1123,$S$1)</f>
        <v>9.58888888888889</v>
      </c>
      <c r="U1123" s="231" t="n">
        <f aca="false">+$I1123</f>
        <v>0</v>
      </c>
      <c r="V1123" s="232" t="str">
        <f aca="false">+PROPER(F1123)</f>
        <v>Casado(A)</v>
      </c>
    </row>
    <row r="1124" customFormat="false" ht="14.25" hidden="false" customHeight="false" outlineLevel="0" collapsed="false">
      <c r="B1124" s="197" t="n">
        <v>1116234251</v>
      </c>
      <c r="C1124" s="197" t="s">
        <v>1739</v>
      </c>
      <c r="D1124" s="197" t="s">
        <v>2924</v>
      </c>
      <c r="E1124" s="198" t="s">
        <v>944</v>
      </c>
      <c r="F1124" s="198" t="s">
        <v>945</v>
      </c>
      <c r="G1124" s="225" t="n">
        <v>2648100</v>
      </c>
      <c r="H1124" s="225" t="n">
        <v>7016218</v>
      </c>
      <c r="I1124" s="225" t="n">
        <v>13358739</v>
      </c>
      <c r="J1124" s="198" t="n">
        <v>39</v>
      </c>
      <c r="K1124" s="198" t="n">
        <v>2</v>
      </c>
      <c r="L1124" s="226" t="n">
        <v>42384</v>
      </c>
      <c r="M1124" s="226" t="n">
        <v>39630</v>
      </c>
      <c r="N1124" s="227" t="n">
        <v>4</v>
      </c>
      <c r="O1124" s="227" t="s">
        <v>135</v>
      </c>
      <c r="P1124" s="228" t="n">
        <f aca="false">VLOOKUP(B1124,'NIVEL ENERO'!A:D,3,0)</f>
        <v>0.409538671199677</v>
      </c>
      <c r="Q1124" s="229" t="n">
        <f aca="false">VLOOKUP(B1124,'NIVEL ENERO'!A:D,4,0)</f>
        <v>27466.02</v>
      </c>
      <c r="R1124" s="186" t="str">
        <f aca="false">+PROPER(C1124&amp;" "&amp;D1124)</f>
        <v>Arevalo Katherine Andrea</v>
      </c>
      <c r="S1124" s="230" t="n">
        <f aca="false">+YEARFRAC(L1124,$S$1)</f>
        <v>10.325</v>
      </c>
      <c r="T1124" s="230" t="n">
        <f aca="false">+YEARFRAC(M1124,$S$1)</f>
        <v>17.8638888888889</v>
      </c>
      <c r="U1124" s="231" t="n">
        <f aca="false">+$I1124</f>
        <v>13358739</v>
      </c>
      <c r="V1124" s="232" t="str">
        <f aca="false">+PROPER(F1124)</f>
        <v>Union Libre</v>
      </c>
    </row>
    <row r="1125" customFormat="false" ht="14.25" hidden="false" customHeight="false" outlineLevel="0" collapsed="false">
      <c r="B1125" s="197" t="n">
        <v>1116235969</v>
      </c>
      <c r="C1125" s="197" t="s">
        <v>1403</v>
      </c>
      <c r="D1125" s="197" t="s">
        <v>2925</v>
      </c>
      <c r="E1125" s="198" t="s">
        <v>944</v>
      </c>
      <c r="F1125" s="198" t="s">
        <v>953</v>
      </c>
      <c r="G1125" s="225" t="n">
        <v>5418800</v>
      </c>
      <c r="H1125" s="225" t="n">
        <v>6651898</v>
      </c>
      <c r="I1125" s="225" t="n">
        <v>0</v>
      </c>
      <c r="J1125" s="198" t="n">
        <v>37</v>
      </c>
      <c r="K1125" s="198" t="n">
        <v>2</v>
      </c>
      <c r="L1125" s="226" t="n">
        <v>45279</v>
      </c>
      <c r="M1125" s="226" t="n">
        <v>44105</v>
      </c>
      <c r="N1125" s="227" t="n">
        <v>2</v>
      </c>
      <c r="O1125" s="227" t="s">
        <v>135</v>
      </c>
      <c r="P1125" s="228" t="n">
        <f aca="false">VLOOKUP(B1125,'NIVEL ENERO'!A:D,3,0)</f>
        <v>0.167152656270086</v>
      </c>
      <c r="Q1125" s="229" t="n">
        <f aca="false">VLOOKUP(B1125,'NIVEL ENERO'!A:D,4,0)</f>
        <v>1592527.22</v>
      </c>
      <c r="R1125" s="186" t="str">
        <f aca="false">+PROPER(C1125&amp;" "&amp;D1125)</f>
        <v>Marin Perez Lina Alexandra</v>
      </c>
      <c r="S1125" s="230" t="n">
        <f aca="false">+YEARFRAC(L1125,$S$1)</f>
        <v>2.39722222222222</v>
      </c>
      <c r="T1125" s="230" t="n">
        <f aca="false">+YEARFRAC(M1125,$S$1)</f>
        <v>5.61388888888889</v>
      </c>
      <c r="U1125" s="231" t="n">
        <f aca="false">+$I1125</f>
        <v>0</v>
      </c>
      <c r="V1125" s="232" t="str">
        <f aca="false">+PROPER(F1125)</f>
        <v>Soltero(A)</v>
      </c>
    </row>
    <row r="1126" customFormat="false" ht="14.25" hidden="false" customHeight="false" outlineLevel="0" collapsed="false">
      <c r="B1126" s="197" t="n">
        <v>1116242064</v>
      </c>
      <c r="C1126" s="197" t="s">
        <v>2926</v>
      </c>
      <c r="D1126" s="197" t="s">
        <v>1574</v>
      </c>
      <c r="E1126" s="198" t="s">
        <v>944</v>
      </c>
      <c r="F1126" s="198" t="s">
        <v>953</v>
      </c>
      <c r="G1126" s="225" t="n">
        <v>5418800</v>
      </c>
      <c r="H1126" s="225" t="n">
        <v>15683600</v>
      </c>
      <c r="I1126" s="225" t="n">
        <v>0</v>
      </c>
      <c r="J1126" s="198" t="n">
        <v>36</v>
      </c>
      <c r="K1126" s="198" t="n">
        <v>2</v>
      </c>
      <c r="L1126" s="226" t="n">
        <v>44459</v>
      </c>
      <c r="M1126" s="226" t="n">
        <v>44105</v>
      </c>
      <c r="N1126" s="227" t="n">
        <v>1</v>
      </c>
      <c r="O1126" s="227" t="s">
        <v>135</v>
      </c>
      <c r="P1126" s="228" t="n">
        <f aca="false">VLOOKUP(B1126,'NIVEL ENERO'!A:D,3,0)</f>
        <v>0.166580405474868</v>
      </c>
      <c r="Q1126" s="229" t="n">
        <f aca="false">VLOOKUP(B1126,'NIVEL ENERO'!A:D,4,0)</f>
        <v>667210.88</v>
      </c>
      <c r="R1126" s="186" t="str">
        <f aca="false">+PROPER(C1126&amp;" "&amp;D1126)</f>
        <v>Mora Ortiz Leidy Johanna</v>
      </c>
      <c r="S1126" s="230" t="n">
        <f aca="false">+YEARFRAC(L1126,$S$1)</f>
        <v>4.64444444444445</v>
      </c>
      <c r="T1126" s="230" t="n">
        <f aca="false">+YEARFRAC(M1126,$S$1)</f>
        <v>5.61388888888889</v>
      </c>
      <c r="U1126" s="231" t="n">
        <f aca="false">+$I1126</f>
        <v>0</v>
      </c>
      <c r="V1126" s="232" t="str">
        <f aca="false">+PROPER(F1126)</f>
        <v>Soltero(A)</v>
      </c>
    </row>
    <row r="1127" customFormat="false" ht="14.25" hidden="false" customHeight="false" outlineLevel="0" collapsed="false">
      <c r="B1127" s="197" t="n">
        <v>1116243446</v>
      </c>
      <c r="C1127" s="197" t="s">
        <v>2927</v>
      </c>
      <c r="D1127" s="197" t="s">
        <v>1188</v>
      </c>
      <c r="E1127" s="198" t="s">
        <v>944</v>
      </c>
      <c r="F1127" s="198" t="s">
        <v>948</v>
      </c>
      <c r="G1127" s="225" t="n">
        <v>4870200</v>
      </c>
      <c r="H1127" s="225" t="n">
        <v>1460000</v>
      </c>
      <c r="I1127" s="225" t="n">
        <v>0</v>
      </c>
      <c r="J1127" s="198" t="n">
        <v>35</v>
      </c>
      <c r="K1127" s="198" t="n">
        <v>1</v>
      </c>
      <c r="L1127" s="226" t="n">
        <v>45447</v>
      </c>
      <c r="M1127" s="226" t="n">
        <v>41927</v>
      </c>
      <c r="N1127" s="227" t="n">
        <v>3</v>
      </c>
      <c r="O1127" s="227" t="s">
        <v>135</v>
      </c>
      <c r="P1127" s="228" t="n">
        <f aca="false">VLOOKUP(B1127,'NIVEL ENERO'!A:D,3,0)</f>
        <v>0.099685262759133</v>
      </c>
      <c r="Q1127" s="229" t="n">
        <f aca="false">VLOOKUP(B1127,'NIVEL ENERO'!A:D,4,0)</f>
        <v>1664889.98</v>
      </c>
      <c r="R1127" s="186" t="str">
        <f aca="false">+PROPER(C1127&amp;" "&amp;D1127)</f>
        <v>Aux Mora Rosa Elena</v>
      </c>
      <c r="S1127" s="230" t="n">
        <f aca="false">+YEARFRAC(L1127,$S$1)</f>
        <v>1.93888888888889</v>
      </c>
      <c r="T1127" s="230" t="n">
        <f aca="false">+YEARFRAC(M1127,$S$1)</f>
        <v>11.575</v>
      </c>
      <c r="U1127" s="231" t="n">
        <f aca="false">+$I1127</f>
        <v>0</v>
      </c>
      <c r="V1127" s="232" t="str">
        <f aca="false">+PROPER(F1127)</f>
        <v>Casado(A)</v>
      </c>
    </row>
    <row r="1128" customFormat="false" ht="14.25" hidden="false" customHeight="false" outlineLevel="0" collapsed="false">
      <c r="B1128" s="197" t="n">
        <v>1116253405</v>
      </c>
      <c r="C1128" s="197" t="s">
        <v>2928</v>
      </c>
      <c r="D1128" s="197" t="s">
        <v>2929</v>
      </c>
      <c r="E1128" s="198" t="s">
        <v>944</v>
      </c>
      <c r="F1128" s="198" t="s">
        <v>953</v>
      </c>
      <c r="G1128" s="225" t="n">
        <v>4335000</v>
      </c>
      <c r="H1128" s="225" t="n">
        <v>320000</v>
      </c>
      <c r="I1128" s="225"/>
      <c r="J1128" s="198" t="n">
        <v>32</v>
      </c>
      <c r="K1128" s="198" t="n">
        <v>4</v>
      </c>
      <c r="L1128" s="226" t="n">
        <v>45555</v>
      </c>
      <c r="M1128" s="226" t="n">
        <v>45537</v>
      </c>
      <c r="N1128" s="227" t="n">
        <v>0</v>
      </c>
      <c r="O1128" s="227" t="s">
        <v>135</v>
      </c>
      <c r="P1128" s="228" t="n">
        <f aca="false">VLOOKUP(B1128,'NIVEL ENERO'!A:D,3,0)</f>
        <v>0.13138708189158</v>
      </c>
      <c r="Q1128" s="229" t="n">
        <f aca="false">VLOOKUP(B1128,'NIVEL ENERO'!A:D,4,0)</f>
        <v>1251137</v>
      </c>
      <c r="R1128" s="186" t="str">
        <f aca="false">+PROPER(C1128&amp;" "&amp;D1128)</f>
        <v>Jimenez Giraldo Aura Maria</v>
      </c>
      <c r="S1128" s="230" t="n">
        <f aca="false">+YEARFRAC(L1128,$S$1)</f>
        <v>1.64444444444444</v>
      </c>
      <c r="T1128" s="230" t="n">
        <f aca="false">+YEARFRAC(M1128,$S$1)</f>
        <v>1.69444444444444</v>
      </c>
      <c r="U1128" s="231" t="n">
        <f aca="false">+$I1128</f>
        <v>0</v>
      </c>
      <c r="V1128" s="232" t="str">
        <f aca="false">+PROPER(F1128)</f>
        <v>Soltero(A)</v>
      </c>
    </row>
    <row r="1129" customFormat="false" ht="14.25" hidden="false" customHeight="false" outlineLevel="0" collapsed="false">
      <c r="B1129" s="197" t="n">
        <v>1116254546</v>
      </c>
      <c r="C1129" s="197" t="s">
        <v>2930</v>
      </c>
      <c r="D1129" s="197" t="s">
        <v>2931</v>
      </c>
      <c r="E1129" s="198" t="s">
        <v>981</v>
      </c>
      <c r="F1129" s="198" t="s">
        <v>953</v>
      </c>
      <c r="G1129" s="225" t="n">
        <v>2600900</v>
      </c>
      <c r="H1129" s="225" t="n">
        <v>2103117</v>
      </c>
      <c r="I1129" s="225"/>
      <c r="J1129" s="198" t="n">
        <v>32</v>
      </c>
      <c r="K1129" s="198" t="n">
        <v>2</v>
      </c>
      <c r="L1129" s="226" t="n">
        <v>45027</v>
      </c>
      <c r="M1129" s="226" t="n">
        <v>44728</v>
      </c>
      <c r="N1129" s="227" t="n">
        <v>0</v>
      </c>
      <c r="O1129" s="227" t="s">
        <v>135</v>
      </c>
      <c r="P1129" s="228" t="n">
        <f aca="false">VLOOKUP(B1129,'NIVEL ENERO'!A:D,3,0)</f>
        <v>0.125825086986592</v>
      </c>
      <c r="Q1129" s="229" t="n">
        <f aca="false">VLOOKUP(B1129,'NIVEL ENERO'!A:D,4,0)</f>
        <v>1065900.24</v>
      </c>
      <c r="R1129" s="186" t="str">
        <f aca="false">+PROPER(C1129&amp;" "&amp;D1129)</f>
        <v>Londono Saavedra John Alejandro</v>
      </c>
      <c r="S1129" s="230" t="n">
        <f aca="false">+YEARFRAC(L1129,$S$1)</f>
        <v>3.08611111111111</v>
      </c>
      <c r="T1129" s="230" t="n">
        <f aca="false">+YEARFRAC(M1129,$S$1)</f>
        <v>3.90555555555556</v>
      </c>
      <c r="U1129" s="231" t="n">
        <f aca="false">+$I1129</f>
        <v>0</v>
      </c>
      <c r="V1129" s="232" t="str">
        <f aca="false">+PROPER(F1129)</f>
        <v>Soltero(A)</v>
      </c>
    </row>
    <row r="1130" customFormat="false" ht="14.25" hidden="false" customHeight="false" outlineLevel="0" collapsed="false">
      <c r="B1130" s="197" t="n">
        <v>1116261599</v>
      </c>
      <c r="C1130" s="197" t="s">
        <v>2932</v>
      </c>
      <c r="D1130" s="197" t="s">
        <v>2813</v>
      </c>
      <c r="E1130" s="198" t="s">
        <v>944</v>
      </c>
      <c r="F1130" s="198" t="s">
        <v>953</v>
      </c>
      <c r="G1130" s="225" t="n">
        <v>5291000</v>
      </c>
      <c r="H1130" s="225" t="n">
        <v>7544967</v>
      </c>
      <c r="I1130" s="225" t="n">
        <v>10020401</v>
      </c>
      <c r="J1130" s="198" t="n">
        <v>30</v>
      </c>
      <c r="K1130" s="198" t="n">
        <v>4</v>
      </c>
      <c r="L1130" s="226" t="n">
        <v>43598</v>
      </c>
      <c r="M1130" s="226" t="n">
        <v>42962</v>
      </c>
      <c r="N1130" s="227" t="n">
        <v>2</v>
      </c>
      <c r="O1130" s="227" t="s">
        <v>135</v>
      </c>
      <c r="P1130" s="228" t="n">
        <f aca="false">VLOOKUP(B1130,'NIVEL ENERO'!A:D,3,0)</f>
        <v>0.360717066717067</v>
      </c>
      <c r="Q1130" s="229" t="n">
        <f aca="false">VLOOKUP(B1130,'NIVEL ENERO'!A:D,4,0)</f>
        <v>313666</v>
      </c>
      <c r="R1130" s="186" t="str">
        <f aca="false">+PROPER(C1130&amp;" "&amp;D1130)</f>
        <v>Torres Quintana Tatiana</v>
      </c>
      <c r="S1130" s="230" t="n">
        <f aca="false">+YEARFRAC(L1130,$S$1)</f>
        <v>6.99722222222222</v>
      </c>
      <c r="T1130" s="230" t="n">
        <f aca="false">+YEARFRAC(M1130,$S$1)</f>
        <v>8.74166666666667</v>
      </c>
      <c r="U1130" s="231" t="n">
        <f aca="false">+$I1130</f>
        <v>10020401</v>
      </c>
      <c r="V1130" s="232" t="str">
        <f aca="false">+PROPER(F1130)</f>
        <v>Soltero(A)</v>
      </c>
    </row>
    <row r="1131" customFormat="false" ht="14.25" hidden="false" customHeight="false" outlineLevel="0" collapsed="false">
      <c r="B1131" s="197" t="n">
        <v>1116262680</v>
      </c>
      <c r="C1131" s="197" t="s">
        <v>2933</v>
      </c>
      <c r="D1131" s="197" t="s">
        <v>2934</v>
      </c>
      <c r="E1131" s="198" t="s">
        <v>944</v>
      </c>
      <c r="F1131" s="198" t="s">
        <v>948</v>
      </c>
      <c r="G1131" s="225" t="n">
        <v>2893800</v>
      </c>
      <c r="H1131" s="225" t="n">
        <v>3740938</v>
      </c>
      <c r="I1131" s="225" t="n">
        <v>385433</v>
      </c>
      <c r="J1131" s="198" t="n">
        <v>30</v>
      </c>
      <c r="K1131" s="198" t="n">
        <v>2</v>
      </c>
      <c r="L1131" s="226" t="n">
        <v>43693</v>
      </c>
      <c r="M1131" s="226" t="n">
        <v>42156</v>
      </c>
      <c r="N1131" s="227" t="n">
        <v>3</v>
      </c>
      <c r="O1131" s="227" t="s">
        <v>135</v>
      </c>
      <c r="P1131" s="228" t="n">
        <f aca="false">VLOOKUP(B1131,'NIVEL ENERO'!A:D,3,0)</f>
        <v>0.306291052466239</v>
      </c>
      <c r="Q1131" s="229" t="n">
        <f aca="false">VLOOKUP(B1131,'NIVEL ENERO'!A:D,4,0)</f>
        <v>441715.18</v>
      </c>
      <c r="R1131" s="186" t="str">
        <f aca="false">+PROPER(C1131&amp;" "&amp;D1131)</f>
        <v>Alzate Medina Jhony Leandro</v>
      </c>
      <c r="S1131" s="230" t="n">
        <f aca="false">+YEARFRAC(L1131,$S$1)</f>
        <v>6.73888888888889</v>
      </c>
      <c r="T1131" s="230" t="n">
        <f aca="false">+YEARFRAC(M1131,$S$1)</f>
        <v>10.9472222222222</v>
      </c>
      <c r="U1131" s="231" t="n">
        <f aca="false">+$I1131</f>
        <v>385433</v>
      </c>
      <c r="V1131" s="232" t="str">
        <f aca="false">+PROPER(F1131)</f>
        <v>Casado(A)</v>
      </c>
    </row>
    <row r="1132" customFormat="false" ht="14.25" hidden="false" customHeight="false" outlineLevel="0" collapsed="false">
      <c r="B1132" s="197" t="n">
        <v>1116266613</v>
      </c>
      <c r="C1132" s="197" t="s">
        <v>2935</v>
      </c>
      <c r="D1132" s="197" t="s">
        <v>2252</v>
      </c>
      <c r="E1132" s="198" t="s">
        <v>944</v>
      </c>
      <c r="F1132" s="198" t="s">
        <v>953</v>
      </c>
      <c r="G1132" s="225" t="n">
        <v>5418800</v>
      </c>
      <c r="H1132" s="225" t="n">
        <v>325000</v>
      </c>
      <c r="I1132" s="225"/>
      <c r="J1132" s="198" t="n">
        <v>29</v>
      </c>
      <c r="K1132" s="198" t="n">
        <v>2</v>
      </c>
      <c r="L1132" s="226" t="n">
        <v>45518</v>
      </c>
      <c r="M1132" s="226" t="n">
        <v>44693</v>
      </c>
      <c r="N1132" s="227" t="n">
        <v>0</v>
      </c>
      <c r="O1132" s="227" t="s">
        <v>135</v>
      </c>
      <c r="P1132" s="228" t="n">
        <f aca="false">VLOOKUP(B1132,'NIVEL ENERO'!A:D,3,0)</f>
        <v>0.276663029678951</v>
      </c>
      <c r="Q1132" s="229" t="n">
        <f aca="false">VLOOKUP(B1132,'NIVEL ENERO'!A:D,4,0)</f>
        <v>1097812.6</v>
      </c>
      <c r="R1132" s="186" t="str">
        <f aca="false">+PROPER(C1132&amp;" "&amp;D1132)</f>
        <v>Baron Hernandez Natalia</v>
      </c>
      <c r="S1132" s="230" t="n">
        <f aca="false">+YEARFRAC(L1132,$S$1)</f>
        <v>1.74444444444444</v>
      </c>
      <c r="T1132" s="230" t="n">
        <f aca="false">+YEARFRAC(M1132,$S$1)</f>
        <v>4</v>
      </c>
      <c r="U1132" s="231" t="n">
        <f aca="false">+$I1132</f>
        <v>0</v>
      </c>
      <c r="V1132" s="232" t="str">
        <f aca="false">+PROPER(F1132)</f>
        <v>Soltero(A)</v>
      </c>
    </row>
    <row r="1133" customFormat="false" ht="14.25" hidden="false" customHeight="false" outlineLevel="0" collapsed="false">
      <c r="B1133" s="197" t="n">
        <v>1116266821</v>
      </c>
      <c r="C1133" s="197" t="s">
        <v>2936</v>
      </c>
      <c r="D1133" s="197" t="s">
        <v>1527</v>
      </c>
      <c r="E1133" s="198" t="s">
        <v>944</v>
      </c>
      <c r="F1133" s="198" t="s">
        <v>953</v>
      </c>
      <c r="G1133" s="225" t="n">
        <v>5418800</v>
      </c>
      <c r="H1133" s="225" t="n">
        <v>400000</v>
      </c>
      <c r="I1133" s="225"/>
      <c r="J1133" s="198" t="n">
        <v>29</v>
      </c>
      <c r="K1133" s="198" t="n">
        <v>2</v>
      </c>
      <c r="L1133" s="226" t="n">
        <v>45554</v>
      </c>
      <c r="M1133" s="226" t="n">
        <v>44090</v>
      </c>
      <c r="N1133" s="227" t="n">
        <v>0</v>
      </c>
      <c r="O1133" s="227" t="s">
        <v>135</v>
      </c>
      <c r="P1133" s="228" t="n">
        <f aca="false">VLOOKUP(B1133,'NIVEL ENERO'!A:D,3,0)</f>
        <v>0.193192325965181</v>
      </c>
      <c r="Q1133" s="229" t="n">
        <f aca="false">VLOOKUP(B1133,'NIVEL ENERO'!A:D,4,0)</f>
        <v>1147179.38</v>
      </c>
      <c r="R1133" s="186" t="str">
        <f aca="false">+PROPER(C1133&amp;" "&amp;D1133)</f>
        <v>Garzon Guerrero Alejandra</v>
      </c>
      <c r="S1133" s="230" t="n">
        <f aca="false">+YEARFRAC(L1133,$S$1)</f>
        <v>1.64722222222222</v>
      </c>
      <c r="T1133" s="230" t="n">
        <f aca="false">+YEARFRAC(M1133,$S$1)</f>
        <v>5.65555555555556</v>
      </c>
      <c r="U1133" s="231" t="n">
        <f aca="false">+$I1133</f>
        <v>0</v>
      </c>
      <c r="V1133" s="232" t="str">
        <f aca="false">+PROPER(F1133)</f>
        <v>Soltero(A)</v>
      </c>
    </row>
    <row r="1134" customFormat="false" ht="14.25" hidden="false" customHeight="false" outlineLevel="0" collapsed="false">
      <c r="B1134" s="197" t="n">
        <v>1116267571</v>
      </c>
      <c r="C1134" s="197" t="s">
        <v>2937</v>
      </c>
      <c r="D1134" s="197" t="s">
        <v>1184</v>
      </c>
      <c r="E1134" s="198" t="s">
        <v>944</v>
      </c>
      <c r="F1134" s="198" t="s">
        <v>948</v>
      </c>
      <c r="G1134" s="225" t="n">
        <v>2893800</v>
      </c>
      <c r="H1134" s="225" t="n">
        <v>3709590</v>
      </c>
      <c r="I1134" s="225" t="n">
        <v>5944982</v>
      </c>
      <c r="J1134" s="198" t="n">
        <v>29</v>
      </c>
      <c r="K1134" s="198" t="n">
        <v>2</v>
      </c>
      <c r="L1134" s="226" t="n">
        <v>43721</v>
      </c>
      <c r="M1134" s="226" t="n">
        <v>43692</v>
      </c>
      <c r="N1134" s="227" t="n">
        <v>3</v>
      </c>
      <c r="O1134" s="227" t="s">
        <v>135</v>
      </c>
      <c r="P1134" s="228" t="n">
        <f aca="false">VLOOKUP(B1134,'NIVEL ENERO'!A:D,3,0)</f>
        <v>0.403098819340859</v>
      </c>
      <c r="Q1134" s="229" t="n">
        <f aca="false">VLOOKUP(B1134,'NIVEL ENERO'!A:D,4,0)</f>
        <v>72837.2999999998</v>
      </c>
      <c r="R1134" s="186" t="str">
        <f aca="false">+PROPER(C1134&amp;" "&amp;D1134)</f>
        <v>Solis Diaz Paola Andrea</v>
      </c>
      <c r="S1134" s="230" t="n">
        <f aca="false">+YEARFRAC(L1134,$S$1)</f>
        <v>6.66388888888889</v>
      </c>
      <c r="T1134" s="230" t="n">
        <f aca="false">+YEARFRAC(M1134,$S$1)</f>
        <v>6.74166666666667</v>
      </c>
      <c r="U1134" s="231" t="n">
        <f aca="false">+$I1134</f>
        <v>5944982</v>
      </c>
      <c r="V1134" s="232" t="str">
        <f aca="false">+PROPER(F1134)</f>
        <v>Casado(A)</v>
      </c>
    </row>
    <row r="1135" customFormat="false" ht="14.25" hidden="false" customHeight="false" outlineLevel="0" collapsed="false">
      <c r="B1135" s="197" t="n">
        <v>1116267848</v>
      </c>
      <c r="C1135" s="197" t="s">
        <v>2938</v>
      </c>
      <c r="D1135" s="197" t="s">
        <v>2939</v>
      </c>
      <c r="E1135" s="198" t="s">
        <v>944</v>
      </c>
      <c r="F1135" s="198" t="s">
        <v>953</v>
      </c>
      <c r="G1135" s="225" t="n">
        <v>2893800</v>
      </c>
      <c r="H1135" s="225" t="n">
        <v>2894284</v>
      </c>
      <c r="I1135" s="225" t="n">
        <v>2376808</v>
      </c>
      <c r="J1135" s="198" t="n">
        <v>29</v>
      </c>
      <c r="K1135" s="198" t="n">
        <v>2</v>
      </c>
      <c r="L1135" s="226" t="n">
        <v>44552</v>
      </c>
      <c r="M1135" s="226" t="n">
        <v>43998</v>
      </c>
      <c r="N1135" s="227" t="n">
        <v>2</v>
      </c>
      <c r="O1135" s="227" t="s">
        <v>135</v>
      </c>
      <c r="P1135" s="228" t="n">
        <f aca="false">VLOOKUP(B1135,'NIVEL ENERO'!A:D,3,0)</f>
        <v>0.25078519722238</v>
      </c>
      <c r="Q1135" s="229" t="n">
        <f aca="false">VLOOKUP(B1135,'NIVEL ENERO'!A:D,4,0)</f>
        <v>495107.34</v>
      </c>
      <c r="R1135" s="186" t="str">
        <f aca="false">+PROPER(C1135&amp;" "&amp;D1135)</f>
        <v>Salazar Idrobo Laura Daniela</v>
      </c>
      <c r="S1135" s="230" t="n">
        <f aca="false">+YEARFRAC(L1135,$S$1)</f>
        <v>4.38888888888889</v>
      </c>
      <c r="T1135" s="230" t="n">
        <f aca="false">+YEARFRAC(M1135,$S$1)</f>
        <v>5.90555555555556</v>
      </c>
      <c r="U1135" s="231" t="n">
        <f aca="false">+$I1135</f>
        <v>2376808</v>
      </c>
      <c r="V1135" s="232" t="str">
        <f aca="false">+PROPER(F1135)</f>
        <v>Soltero(A)</v>
      </c>
    </row>
    <row r="1136" customFormat="false" ht="14.25" hidden="false" customHeight="false" outlineLevel="0" collapsed="false">
      <c r="B1136" s="197" t="n">
        <v>1116442637</v>
      </c>
      <c r="C1136" s="197" t="s">
        <v>2940</v>
      </c>
      <c r="D1136" s="197" t="s">
        <v>2941</v>
      </c>
      <c r="E1136" s="198" t="s">
        <v>944</v>
      </c>
      <c r="F1136" s="198" t="s">
        <v>953</v>
      </c>
      <c r="G1136" s="225" t="n">
        <v>9087800</v>
      </c>
      <c r="H1136" s="225" t="n">
        <v>1609766</v>
      </c>
      <c r="I1136" s="225"/>
      <c r="J1136" s="198" t="n">
        <v>31</v>
      </c>
      <c r="K1136" s="198" t="n">
        <v>1</v>
      </c>
      <c r="L1136" s="226" t="n">
        <v>45190</v>
      </c>
      <c r="M1136" s="226" t="n">
        <v>44417</v>
      </c>
      <c r="N1136" s="227" t="n">
        <v>2</v>
      </c>
      <c r="O1136" s="227" t="s">
        <v>135</v>
      </c>
      <c r="P1136" s="228" t="n">
        <f aca="false">VLOOKUP(B1136,'NIVEL ENERO'!A:D,3,0)</f>
        <v>0.261642155940873</v>
      </c>
      <c r="Q1136" s="229" t="n">
        <f aca="false">VLOOKUP(B1136,'NIVEL ENERO'!A:D,4,0)</f>
        <v>1684104</v>
      </c>
      <c r="R1136" s="186" t="str">
        <f aca="false">+PROPER(C1136&amp;" "&amp;D1136)</f>
        <v>Galindo Sanchez Juan Sebastian</v>
      </c>
      <c r="S1136" s="230" t="n">
        <f aca="false">+YEARFRAC(L1136,$S$1)</f>
        <v>2.64166666666667</v>
      </c>
      <c r="T1136" s="230" t="n">
        <f aca="false">+YEARFRAC(M1136,$S$1)</f>
        <v>4.75833333333333</v>
      </c>
      <c r="U1136" s="231" t="n">
        <f aca="false">+$I1136</f>
        <v>0</v>
      </c>
      <c r="V1136" s="232" t="str">
        <f aca="false">+PROPER(F1136)</f>
        <v>Soltero(A)</v>
      </c>
    </row>
    <row r="1137" customFormat="false" ht="14.25" hidden="false" customHeight="false" outlineLevel="0" collapsed="false">
      <c r="B1137" s="197" t="n">
        <v>1116449750</v>
      </c>
      <c r="C1137" s="197" t="s">
        <v>2942</v>
      </c>
      <c r="D1137" s="197" t="s">
        <v>2305</v>
      </c>
      <c r="E1137" s="198" t="s">
        <v>944</v>
      </c>
      <c r="F1137" s="198" t="s">
        <v>953</v>
      </c>
      <c r="G1137" s="225" t="n">
        <v>1670000</v>
      </c>
      <c r="H1137" s="225" t="n">
        <v>325000</v>
      </c>
      <c r="I1137" s="225"/>
      <c r="J1137" s="198" t="n">
        <v>25</v>
      </c>
      <c r="K1137" s="198" t="n">
        <v>1</v>
      </c>
      <c r="L1137" s="226" t="n">
        <v>45518</v>
      </c>
      <c r="M1137" s="226" t="n">
        <v>44806</v>
      </c>
      <c r="N1137" s="227" t="n">
        <v>0</v>
      </c>
      <c r="O1137" s="227" t="s">
        <v>135</v>
      </c>
      <c r="P1137" s="228" t="n">
        <f aca="false">VLOOKUP(B1137,'NIVEL ENERO'!A:D,3,0)</f>
        <v>0.379131736526946</v>
      </c>
      <c r="Q1137" s="229" t="n">
        <f aca="false">VLOOKUP(B1137,'NIVEL ENERO'!A:D,4,0)</f>
        <v>162500</v>
      </c>
      <c r="R1137" s="186" t="str">
        <f aca="false">+PROPER(C1137&amp;" "&amp;D1137)</f>
        <v>Botero Lopez Isabella</v>
      </c>
      <c r="S1137" s="230" t="n">
        <f aca="false">+YEARFRAC(L1137,$S$1)</f>
        <v>1.74444444444444</v>
      </c>
      <c r="T1137" s="230" t="n">
        <f aca="false">+YEARFRAC(M1137,$S$1)</f>
        <v>3.69444444444444</v>
      </c>
      <c r="U1137" s="231" t="n">
        <f aca="false">+$I1137</f>
        <v>0</v>
      </c>
      <c r="V1137" s="232" t="str">
        <f aca="false">+PROPER(F1137)</f>
        <v>Soltero(A)</v>
      </c>
    </row>
    <row r="1138" customFormat="false" ht="14.25" hidden="false" customHeight="false" outlineLevel="0" collapsed="false">
      <c r="B1138" s="197" t="n">
        <v>1116723361</v>
      </c>
      <c r="C1138" s="197" t="s">
        <v>2943</v>
      </c>
      <c r="D1138" s="197" t="s">
        <v>2944</v>
      </c>
      <c r="E1138" s="198" t="s">
        <v>944</v>
      </c>
      <c r="F1138" s="198" t="s">
        <v>998</v>
      </c>
      <c r="G1138" s="225" t="n">
        <v>2600900</v>
      </c>
      <c r="H1138" s="225" t="n">
        <v>6066924</v>
      </c>
      <c r="I1138" s="225" t="n">
        <v>2380996</v>
      </c>
      <c r="J1138" s="198" t="n">
        <v>36</v>
      </c>
      <c r="K1138" s="198" t="n">
        <v>2</v>
      </c>
      <c r="L1138" s="226" t="n">
        <v>44218</v>
      </c>
      <c r="M1138" s="226" t="n">
        <v>43991</v>
      </c>
      <c r="N1138" s="227" t="n">
        <v>4</v>
      </c>
      <c r="O1138" s="227" t="s">
        <v>135</v>
      </c>
      <c r="P1138" s="228" t="n">
        <f aca="false">VLOOKUP(B1138,'NIVEL ENERO'!A:D,3,0)</f>
        <v>0.209810592069374</v>
      </c>
      <c r="Q1138" s="229" t="n">
        <f aca="false">VLOOKUP(B1138,'NIVEL ENERO'!A:D,4,0)</f>
        <v>718331.62</v>
      </c>
      <c r="R1138" s="186" t="str">
        <f aca="false">+PROPER(C1138&amp;" "&amp;D1138)</f>
        <v>Mena Maldonado Anyela Patricia</v>
      </c>
      <c r="S1138" s="230" t="n">
        <f aca="false">+YEARFRAC(L1138,$S$1)</f>
        <v>5.30555555555556</v>
      </c>
      <c r="T1138" s="230" t="n">
        <f aca="false">+YEARFRAC(M1138,$S$1)</f>
        <v>5.925</v>
      </c>
      <c r="U1138" s="231" t="n">
        <f aca="false">+$I1138</f>
        <v>2380996</v>
      </c>
      <c r="V1138" s="232" t="str">
        <f aca="false">+PROPER(F1138)</f>
        <v>Separado(A)</v>
      </c>
    </row>
    <row r="1139" customFormat="false" ht="14.25" hidden="false" customHeight="false" outlineLevel="0" collapsed="false">
      <c r="B1139" s="197" t="n">
        <v>1117517012</v>
      </c>
      <c r="C1139" s="197" t="s">
        <v>2945</v>
      </c>
      <c r="D1139" s="197" t="s">
        <v>2482</v>
      </c>
      <c r="E1139" s="198" t="s">
        <v>944</v>
      </c>
      <c r="F1139" s="198" t="s">
        <v>953</v>
      </c>
      <c r="G1139" s="225" t="n">
        <v>8245400</v>
      </c>
      <c r="H1139" s="225" t="n">
        <v>4729020</v>
      </c>
      <c r="I1139" s="225" t="n">
        <v>13119571</v>
      </c>
      <c r="J1139" s="198" t="n">
        <v>33</v>
      </c>
      <c r="K1139" s="198" t="n">
        <v>2</v>
      </c>
      <c r="L1139" s="226" t="n">
        <v>44217</v>
      </c>
      <c r="M1139" s="226" t="n">
        <v>42872</v>
      </c>
      <c r="N1139" s="227" t="n">
        <v>3</v>
      </c>
      <c r="O1139" s="227" t="s">
        <v>135</v>
      </c>
      <c r="P1139" s="228" t="n">
        <f aca="false">VLOOKUP(B1139,'NIVEL ENERO'!A:D,3,0)</f>
        <v>0.388006214458814</v>
      </c>
      <c r="Q1139" s="229" t="n">
        <f aca="false">VLOOKUP(B1139,'NIVEL ENERO'!A:D,4,0)</f>
        <v>266681</v>
      </c>
      <c r="R1139" s="186" t="str">
        <f aca="false">+PROPER(C1139&amp;" "&amp;D1139)</f>
        <v>Torres Soto Andres Felipe</v>
      </c>
      <c r="S1139" s="230" t="n">
        <f aca="false">+YEARFRAC(L1139,$S$1)</f>
        <v>5.30833333333333</v>
      </c>
      <c r="T1139" s="230" t="n">
        <f aca="false">+YEARFRAC(M1139,$S$1)</f>
        <v>8.98611111111111</v>
      </c>
      <c r="U1139" s="231" t="n">
        <f aca="false">+$I1139</f>
        <v>13119571</v>
      </c>
      <c r="V1139" s="232" t="str">
        <f aca="false">+PROPER(F1139)</f>
        <v>Soltero(A)</v>
      </c>
    </row>
    <row r="1140" customFormat="false" ht="14.25" hidden="false" customHeight="false" outlineLevel="0" collapsed="false">
      <c r="B1140" s="197" t="n">
        <v>1118256005</v>
      </c>
      <c r="C1140" s="197" t="s">
        <v>2946</v>
      </c>
      <c r="D1140" s="197" t="s">
        <v>2947</v>
      </c>
      <c r="E1140" s="198" t="s">
        <v>944</v>
      </c>
      <c r="F1140" s="198" t="s">
        <v>945</v>
      </c>
      <c r="G1140" s="225" t="n">
        <v>5418800</v>
      </c>
      <c r="H1140" s="225" t="n">
        <v>2051825</v>
      </c>
      <c r="I1140" s="225" t="n">
        <v>213488</v>
      </c>
      <c r="J1140" s="198" t="n">
        <v>39</v>
      </c>
      <c r="K1140" s="198" t="n">
        <v>3</v>
      </c>
      <c r="L1140" s="226" t="n">
        <v>45096</v>
      </c>
      <c r="M1140" s="226" t="n">
        <v>44118</v>
      </c>
      <c r="N1140" s="227" t="n">
        <v>0</v>
      </c>
      <c r="O1140" s="227" t="s">
        <v>135</v>
      </c>
      <c r="P1140" s="228" t="n">
        <f aca="false">VLOOKUP(B1140,'NIVEL ENERO'!A:D,3,0)</f>
        <v>0.410075594058918</v>
      </c>
      <c r="Q1140" s="229" t="n">
        <f aca="false">VLOOKUP(B1140,'NIVEL ENERO'!A:D,4,0)</f>
        <v>76528.96</v>
      </c>
      <c r="R1140" s="186" t="str">
        <f aca="false">+PROPER(C1140&amp;" "&amp;D1140)</f>
        <v>Correa Bustamente Yuli Paola</v>
      </c>
      <c r="S1140" s="230" t="n">
        <f aca="false">+YEARFRAC(L1140,$S$1)</f>
        <v>2.89722222222222</v>
      </c>
      <c r="T1140" s="230" t="n">
        <f aca="false">+YEARFRAC(M1140,$S$1)</f>
        <v>5.57777777777778</v>
      </c>
      <c r="U1140" s="231" t="n">
        <f aca="false">+$I1140</f>
        <v>213488</v>
      </c>
      <c r="V1140" s="232" t="str">
        <f aca="false">+PROPER(F1140)</f>
        <v>Union Libre</v>
      </c>
    </row>
    <row r="1141" customFormat="false" ht="14.25" hidden="false" customHeight="false" outlineLevel="0" collapsed="false">
      <c r="B1141" s="197" t="n">
        <v>1118257489</v>
      </c>
      <c r="C1141" s="197" t="s">
        <v>2948</v>
      </c>
      <c r="D1141" s="197" t="s">
        <v>2949</v>
      </c>
      <c r="E1141" s="198" t="s">
        <v>981</v>
      </c>
      <c r="F1141" s="198" t="s">
        <v>948</v>
      </c>
      <c r="G1141" s="225" t="n">
        <v>2893800</v>
      </c>
      <c r="H1141" s="225" t="n">
        <v>1961224</v>
      </c>
      <c r="I1141" s="225" t="n">
        <v>3263566</v>
      </c>
      <c r="J1141" s="198" t="n">
        <v>35</v>
      </c>
      <c r="K1141" s="198" t="n">
        <v>1</v>
      </c>
      <c r="L1141" s="226" t="n">
        <v>44579</v>
      </c>
      <c r="M1141" s="226" t="n">
        <v>40461</v>
      </c>
      <c r="N1141" s="227" t="n">
        <v>4</v>
      </c>
      <c r="O1141" s="227" t="s">
        <v>135</v>
      </c>
      <c r="P1141" s="228" t="n">
        <f aca="false">VLOOKUP(B1141,'NIVEL ENERO'!A:D,3,0)</f>
        <v>0.452113162352284</v>
      </c>
      <c r="Q1141" s="229" t="n">
        <f aca="false">VLOOKUP(B1141,'NIVEL ENERO'!A:D,4,0)</f>
        <v>-114679.86</v>
      </c>
      <c r="R1141" s="186" t="str">
        <f aca="false">+PROPER(C1141&amp;" "&amp;D1141)</f>
        <v>Marmolejo Montoya Katerin</v>
      </c>
      <c r="S1141" s="230" t="n">
        <f aca="false">+YEARFRAC(L1141,$S$1)</f>
        <v>4.31666666666667</v>
      </c>
      <c r="T1141" s="230" t="n">
        <f aca="false">+YEARFRAC(M1141,$S$1)</f>
        <v>15.5888888888889</v>
      </c>
      <c r="U1141" s="231" t="n">
        <f aca="false">+$I1141</f>
        <v>3263566</v>
      </c>
      <c r="V1141" s="232" t="str">
        <f aca="false">+PROPER(F1141)</f>
        <v>Casado(A)</v>
      </c>
    </row>
    <row r="1142" customFormat="false" ht="14.25" hidden="false" customHeight="false" outlineLevel="0" collapsed="false">
      <c r="B1142" s="197" t="n">
        <v>1118282261</v>
      </c>
      <c r="C1142" s="197" t="s">
        <v>2950</v>
      </c>
      <c r="D1142" s="197" t="s">
        <v>2951</v>
      </c>
      <c r="E1142" s="198" t="s">
        <v>944</v>
      </c>
      <c r="F1142" s="198" t="s">
        <v>945</v>
      </c>
      <c r="G1142" s="225" t="n">
        <v>2600900</v>
      </c>
      <c r="H1142" s="225" t="n">
        <v>1738991</v>
      </c>
      <c r="I1142" s="225" t="n">
        <v>3522174</v>
      </c>
      <c r="J1142" s="198" t="n">
        <v>39</v>
      </c>
      <c r="K1142" s="198" t="n">
        <v>1</v>
      </c>
      <c r="L1142" s="226" t="n">
        <v>44757</v>
      </c>
      <c r="M1142" s="226" t="n">
        <v>43374</v>
      </c>
      <c r="N1142" s="227" t="n">
        <v>1</v>
      </c>
      <c r="O1142" s="227" t="s">
        <v>135</v>
      </c>
      <c r="P1142" s="228" t="n">
        <f aca="false">VLOOKUP(B1142,'NIVEL ENERO'!A:D,3,0)</f>
        <v>0.418931523703334</v>
      </c>
      <c r="Q1142" s="229" t="n">
        <f aca="false">VLOOKUP(B1142,'NIVEL ENERO'!A:D,4,0)</f>
        <v>2779</v>
      </c>
      <c r="R1142" s="186" t="str">
        <f aca="false">+PROPER(C1142&amp;" "&amp;D1142)</f>
        <v>Mondragon Castillo Faisury</v>
      </c>
      <c r="S1142" s="230" t="n">
        <f aca="false">+YEARFRAC(L1142,$S$1)</f>
        <v>3.825</v>
      </c>
      <c r="T1142" s="230" t="n">
        <f aca="false">+YEARFRAC(M1142,$S$1)</f>
        <v>7.61388888888889</v>
      </c>
      <c r="U1142" s="231" t="n">
        <f aca="false">+$I1142</f>
        <v>3522174</v>
      </c>
      <c r="V1142" s="232" t="str">
        <f aca="false">+PROPER(F1142)</f>
        <v>Union Libre</v>
      </c>
    </row>
    <row r="1143" customFormat="false" ht="14.25" hidden="false" customHeight="false" outlineLevel="0" collapsed="false">
      <c r="B1143" s="197" t="n">
        <v>1118283599</v>
      </c>
      <c r="C1143" s="197" t="s">
        <v>2952</v>
      </c>
      <c r="D1143" s="197" t="s">
        <v>2953</v>
      </c>
      <c r="E1143" s="198" t="s">
        <v>944</v>
      </c>
      <c r="F1143" s="198" t="s">
        <v>998</v>
      </c>
      <c r="G1143" s="225" t="n">
        <v>3945300</v>
      </c>
      <c r="H1143" s="225" t="n">
        <v>1442004</v>
      </c>
      <c r="I1143" s="225" t="n">
        <v>12307892</v>
      </c>
      <c r="J1143" s="198" t="n">
        <v>38</v>
      </c>
      <c r="K1143" s="198" t="n">
        <v>2</v>
      </c>
      <c r="L1143" s="226" t="n">
        <v>44973</v>
      </c>
      <c r="M1143" s="226" t="n">
        <v>41625</v>
      </c>
      <c r="N1143" s="227" t="n">
        <v>2</v>
      </c>
      <c r="O1143" s="227" t="s">
        <v>135</v>
      </c>
      <c r="P1143" s="228" t="n">
        <f aca="false">VLOOKUP(B1143,'NIVEL ENERO'!A:D,3,0)</f>
        <v>0.478541048842927</v>
      </c>
      <c r="Q1143" s="229" t="n">
        <f aca="false">VLOOKUP(B1143,'NIVEL ENERO'!A:D,4,0)</f>
        <v>-230962</v>
      </c>
      <c r="R1143" s="186" t="str">
        <f aca="false">+PROPER(C1143&amp;" "&amp;D1143)</f>
        <v>Londono Beltran Kelly Alexandra</v>
      </c>
      <c r="S1143" s="230" t="n">
        <f aca="false">+YEARFRAC(L1143,$S$1)</f>
        <v>3.23888888888889</v>
      </c>
      <c r="T1143" s="230" t="n">
        <f aca="false">+YEARFRAC(M1143,$S$1)</f>
        <v>12.4027777777778</v>
      </c>
      <c r="U1143" s="231" t="n">
        <f aca="false">+$I1143</f>
        <v>12307892</v>
      </c>
      <c r="V1143" s="232" t="str">
        <f aca="false">+PROPER(F1143)</f>
        <v>Separado(A)</v>
      </c>
    </row>
    <row r="1144" customFormat="false" ht="14.25" hidden="false" customHeight="false" outlineLevel="0" collapsed="false">
      <c r="B1144" s="197" t="n">
        <v>1118287786</v>
      </c>
      <c r="C1144" s="197" t="s">
        <v>2954</v>
      </c>
      <c r="D1144" s="197" t="s">
        <v>2955</v>
      </c>
      <c r="E1144" s="198" t="s">
        <v>944</v>
      </c>
      <c r="F1144" s="198" t="s">
        <v>1282</v>
      </c>
      <c r="G1144" s="225" t="n">
        <v>5347100</v>
      </c>
      <c r="H1144" s="225" t="n">
        <v>1557164</v>
      </c>
      <c r="I1144" s="225"/>
      <c r="J1144" s="198" t="n">
        <v>37</v>
      </c>
      <c r="K1144" s="198" t="n">
        <v>4</v>
      </c>
      <c r="L1144" s="226" t="n">
        <v>44887</v>
      </c>
      <c r="M1144" s="226" t="n">
        <v>43208</v>
      </c>
      <c r="N1144" s="227" t="n">
        <v>0</v>
      </c>
      <c r="O1144" s="227" t="s">
        <v>135</v>
      </c>
      <c r="P1144" s="228" t="n">
        <f aca="false">VLOOKUP(B1144,'NIVEL ENERO'!A:D,3,0)</f>
        <v>0.104687649756966</v>
      </c>
      <c r="Q1144" s="229" t="n">
        <f aca="false">VLOOKUP(B1144,'NIVEL ENERO'!A:D,4,0)</f>
        <v>1842307</v>
      </c>
      <c r="R1144" s="186" t="str">
        <f aca="false">+PROPER(C1144&amp;" "&amp;D1144)</f>
        <v>Oliveros Lopez Maria Elisa</v>
      </c>
      <c r="S1144" s="230" t="n">
        <f aca="false">+YEARFRAC(L1144,$S$1)</f>
        <v>3.47222222222222</v>
      </c>
      <c r="T1144" s="230" t="n">
        <f aca="false">+YEARFRAC(M1144,$S$1)</f>
        <v>8.06666666666667</v>
      </c>
      <c r="U1144" s="231" t="n">
        <f aca="false">+$I1144</f>
        <v>0</v>
      </c>
      <c r="V1144" s="232" t="str">
        <f aca="false">+PROPER(F1144)</f>
        <v>Divorciado</v>
      </c>
    </row>
    <row r="1145" customFormat="false" ht="14.25" hidden="false" customHeight="false" outlineLevel="0" collapsed="false">
      <c r="B1145" s="197" t="n">
        <v>1118289237</v>
      </c>
      <c r="C1145" s="197" t="s">
        <v>2956</v>
      </c>
      <c r="D1145" s="197" t="s">
        <v>1184</v>
      </c>
      <c r="E1145" s="198" t="s">
        <v>944</v>
      </c>
      <c r="F1145" s="198" t="s">
        <v>948</v>
      </c>
      <c r="G1145" s="225" t="n">
        <v>4327600</v>
      </c>
      <c r="H1145" s="225" t="n">
        <v>1005311</v>
      </c>
      <c r="I1145" s="225"/>
      <c r="J1145" s="198" t="n">
        <v>36</v>
      </c>
      <c r="K1145" s="198" t="n">
        <v>1</v>
      </c>
      <c r="L1145" s="226" t="n">
        <v>45191</v>
      </c>
      <c r="M1145" s="226" t="n">
        <v>44972</v>
      </c>
      <c r="N1145" s="227" t="n">
        <v>0</v>
      </c>
      <c r="O1145" s="227" t="s">
        <v>135</v>
      </c>
      <c r="P1145" s="228" t="n">
        <f aca="false">VLOOKUP(B1145,'NIVEL ENERO'!A:D,3,0)</f>
        <v>0.0998301599038728</v>
      </c>
      <c r="Q1145" s="229" t="n">
        <f aca="false">VLOOKUP(B1145,'NIVEL ENERO'!A:D,4,0)</f>
        <v>1385567</v>
      </c>
      <c r="R1145" s="186" t="str">
        <f aca="false">+PROPER(C1145&amp;" "&amp;D1145)</f>
        <v>Gomez Munoz Paola Andrea</v>
      </c>
      <c r="S1145" s="230" t="n">
        <f aca="false">+YEARFRAC(L1145,$S$1)</f>
        <v>2.63888888888889</v>
      </c>
      <c r="T1145" s="230" t="n">
        <f aca="false">+YEARFRAC(M1145,$S$1)</f>
        <v>3.24166666666667</v>
      </c>
      <c r="U1145" s="231" t="n">
        <f aca="false">+$I1145</f>
        <v>0</v>
      </c>
      <c r="V1145" s="232" t="str">
        <f aca="false">+PROPER(F1145)</f>
        <v>Casado(A)</v>
      </c>
    </row>
    <row r="1146" customFormat="false" ht="14.25" hidden="false" customHeight="false" outlineLevel="0" collapsed="false">
      <c r="B1146" s="197" t="n">
        <v>1118293988</v>
      </c>
      <c r="C1146" s="197" t="s">
        <v>2957</v>
      </c>
      <c r="D1146" s="197" t="s">
        <v>2958</v>
      </c>
      <c r="E1146" s="198" t="s">
        <v>944</v>
      </c>
      <c r="F1146" s="198" t="s">
        <v>953</v>
      </c>
      <c r="G1146" s="225" t="n">
        <v>2340800</v>
      </c>
      <c r="H1146" s="225" t="n">
        <v>1400100</v>
      </c>
      <c r="I1146" s="225"/>
      <c r="J1146" s="198" t="n">
        <v>34</v>
      </c>
      <c r="K1146" s="198" t="n">
        <v>2</v>
      </c>
      <c r="L1146" s="226" t="n">
        <v>45251</v>
      </c>
      <c r="M1146" s="226" t="n">
        <v>45069</v>
      </c>
      <c r="N1146" s="227" t="n">
        <v>0</v>
      </c>
      <c r="O1146" s="227" t="s">
        <v>135</v>
      </c>
      <c r="P1146" s="228" t="n">
        <f aca="false">VLOOKUP(B1146,'NIVEL ENERO'!A:D,3,0)</f>
        <v>0.143802278353281</v>
      </c>
      <c r="Q1146" s="229" t="n">
        <f aca="false">VLOOKUP(B1146,'NIVEL ENERO'!A:D,4,0)</f>
        <v>654722.28</v>
      </c>
      <c r="R1146" s="186" t="str">
        <f aca="false">+PROPER(C1146&amp;" "&amp;D1146)</f>
        <v>Gomez Gonzalez Natalia Marcela</v>
      </c>
      <c r="S1146" s="230" t="n">
        <f aca="false">+YEARFRAC(L1146,$S$1)</f>
        <v>2.475</v>
      </c>
      <c r="T1146" s="230" t="n">
        <f aca="false">+YEARFRAC(M1146,$S$1)</f>
        <v>2.96944444444444</v>
      </c>
      <c r="U1146" s="231" t="n">
        <f aca="false">+$I1146</f>
        <v>0</v>
      </c>
      <c r="V1146" s="232" t="str">
        <f aca="false">+PROPER(F1146)</f>
        <v>Soltero(A)</v>
      </c>
    </row>
    <row r="1147" customFormat="false" ht="14.25" hidden="false" customHeight="false" outlineLevel="0" collapsed="false">
      <c r="B1147" s="197" t="n">
        <v>1118295742</v>
      </c>
      <c r="C1147" s="197" t="s">
        <v>2959</v>
      </c>
      <c r="D1147" s="197" t="s">
        <v>2960</v>
      </c>
      <c r="E1147" s="198" t="s">
        <v>944</v>
      </c>
      <c r="F1147" s="198" t="s">
        <v>948</v>
      </c>
      <c r="G1147" s="225" t="n">
        <v>4870200</v>
      </c>
      <c r="H1147" s="225" t="n">
        <v>650000</v>
      </c>
      <c r="I1147" s="225" t="n">
        <v>1611703</v>
      </c>
      <c r="J1147" s="198" t="n">
        <v>33</v>
      </c>
      <c r="K1147" s="198" t="n">
        <v>1</v>
      </c>
      <c r="L1147" s="226" t="n">
        <v>45370</v>
      </c>
      <c r="M1147" s="226" t="n">
        <v>43467</v>
      </c>
      <c r="N1147" s="227" t="n">
        <v>0</v>
      </c>
      <c r="O1147" s="227" t="s">
        <v>135</v>
      </c>
      <c r="P1147" s="228" t="n">
        <f aca="false">VLOOKUP(B1147,'NIVEL ENERO'!A:D,3,0)</f>
        <v>0.306037127307946</v>
      </c>
      <c r="Q1147" s="229" t="n">
        <f aca="false">VLOOKUP(B1147,'NIVEL ENERO'!A:D,4,0)</f>
        <v>778840.62</v>
      </c>
      <c r="R1147" s="186" t="str">
        <f aca="false">+PROPER(C1147&amp;" "&amp;D1147)</f>
        <v>Castrillon Tobon Johan Sebastian</v>
      </c>
      <c r="S1147" s="230" t="n">
        <f aca="false">+YEARFRAC(L1147,$S$1)</f>
        <v>2.14722222222222</v>
      </c>
      <c r="T1147" s="230" t="n">
        <f aca="false">+YEARFRAC(M1147,$S$1)</f>
        <v>7.36111111111111</v>
      </c>
      <c r="U1147" s="231" t="n">
        <f aca="false">+$I1147</f>
        <v>1611703</v>
      </c>
      <c r="V1147" s="232" t="str">
        <f aca="false">+PROPER(F1147)</f>
        <v>Casado(A)</v>
      </c>
    </row>
    <row r="1148" customFormat="false" ht="14.25" hidden="false" customHeight="false" outlineLevel="0" collapsed="false">
      <c r="B1148" s="197" t="n">
        <v>1118296675</v>
      </c>
      <c r="C1148" s="197" t="s">
        <v>2961</v>
      </c>
      <c r="D1148" s="197" t="s">
        <v>2962</v>
      </c>
      <c r="E1148" s="198" t="s">
        <v>944</v>
      </c>
      <c r="F1148" s="198" t="s">
        <v>953</v>
      </c>
      <c r="G1148" s="225" t="n">
        <v>1625000</v>
      </c>
      <c r="H1148" s="225" t="n">
        <v>91100</v>
      </c>
      <c r="I1148" s="225"/>
      <c r="J1148" s="198" t="n">
        <v>33</v>
      </c>
      <c r="K1148" s="198" t="n">
        <v>4</v>
      </c>
      <c r="L1148" s="226" t="n">
        <v>45642</v>
      </c>
      <c r="M1148" s="226" t="n">
        <v>44972</v>
      </c>
      <c r="N1148" s="227" t="n">
        <v>0</v>
      </c>
      <c r="O1148" s="227" t="s">
        <v>135</v>
      </c>
      <c r="P1148" s="228" t="e">
        <f aca="false">VLOOKUP(B1148,'NIVEL ENERO'!A:D,3,0)</f>
        <v>#N/A</v>
      </c>
      <c r="Q1148" s="229" t="e">
        <f aca="false">VLOOKUP(B1148,'NIVEL ENERO'!A:D,4,0)</f>
        <v>#N/A</v>
      </c>
      <c r="R1148" s="186" t="str">
        <f aca="false">+PROPER(C1148&amp;" "&amp;D1148)</f>
        <v>Guaspud Valencia Francia Yuliana</v>
      </c>
      <c r="S1148" s="230" t="n">
        <f aca="false">+YEARFRAC(L1148,$S$1)</f>
        <v>1.40555555555556</v>
      </c>
      <c r="T1148" s="230" t="n">
        <f aca="false">+YEARFRAC(M1148,$S$1)</f>
        <v>3.24166666666667</v>
      </c>
      <c r="U1148" s="231" t="n">
        <f aca="false">+$I1148</f>
        <v>0</v>
      </c>
      <c r="V1148" s="232" t="str">
        <f aca="false">+PROPER(F1148)</f>
        <v>Soltero(A)</v>
      </c>
    </row>
    <row r="1149" customFormat="false" ht="14.25" hidden="false" customHeight="false" outlineLevel="0" collapsed="false">
      <c r="B1149" s="197" t="n">
        <v>1118300104</v>
      </c>
      <c r="C1149" s="197" t="s">
        <v>2963</v>
      </c>
      <c r="D1149" s="197" t="s">
        <v>2964</v>
      </c>
      <c r="E1149" s="198" t="s">
        <v>944</v>
      </c>
      <c r="F1149" s="198" t="s">
        <v>953</v>
      </c>
      <c r="G1149" s="225" t="n">
        <v>5418800</v>
      </c>
      <c r="H1149" s="225" t="n">
        <v>4394221</v>
      </c>
      <c r="I1149" s="225"/>
      <c r="J1149" s="198" t="n">
        <v>31</v>
      </c>
      <c r="K1149" s="198" t="n">
        <v>2</v>
      </c>
      <c r="L1149" s="226" t="n">
        <v>45001</v>
      </c>
      <c r="M1149" s="226" t="n">
        <v>44319</v>
      </c>
      <c r="N1149" s="227" t="n">
        <v>0</v>
      </c>
      <c r="O1149" s="227" t="s">
        <v>135</v>
      </c>
      <c r="P1149" s="228" t="n">
        <f aca="false">VLOOKUP(B1149,'NIVEL ENERO'!A:D,3,0)</f>
        <v>0.151608337170861</v>
      </c>
      <c r="Q1149" s="229" t="n">
        <f aca="false">VLOOKUP(B1149,'NIVEL ENERO'!A:D,4,0)</f>
        <v>1927976.48</v>
      </c>
      <c r="R1149" s="186" t="str">
        <f aca="false">+PROPER(C1149&amp;" "&amp;D1149)</f>
        <v>Rojas Londono Kelly Alejandra</v>
      </c>
      <c r="S1149" s="230" t="n">
        <f aca="false">+YEARFRAC(L1149,$S$1)</f>
        <v>3.15555555555556</v>
      </c>
      <c r="T1149" s="230" t="n">
        <f aca="false">+YEARFRAC(M1149,$S$1)</f>
        <v>5.025</v>
      </c>
      <c r="U1149" s="231" t="n">
        <f aca="false">+$I1149</f>
        <v>0</v>
      </c>
      <c r="V1149" s="232" t="str">
        <f aca="false">+PROPER(F1149)</f>
        <v>Soltero(A)</v>
      </c>
    </row>
    <row r="1150" customFormat="false" ht="14.25" hidden="false" customHeight="false" outlineLevel="0" collapsed="false">
      <c r="B1150" s="197" t="n">
        <v>1118301073</v>
      </c>
      <c r="C1150" s="197" t="s">
        <v>2965</v>
      </c>
      <c r="D1150" s="197" t="s">
        <v>2966</v>
      </c>
      <c r="E1150" s="198" t="s">
        <v>944</v>
      </c>
      <c r="F1150" s="198" t="s">
        <v>945</v>
      </c>
      <c r="G1150" s="225" t="n">
        <v>2893800</v>
      </c>
      <c r="H1150" s="225" t="n">
        <v>1700881</v>
      </c>
      <c r="I1150" s="225" t="n">
        <v>885785</v>
      </c>
      <c r="J1150" s="198" t="n">
        <v>31</v>
      </c>
      <c r="K1150" s="198" t="n">
        <v>2</v>
      </c>
      <c r="L1150" s="226" t="n">
        <v>45148</v>
      </c>
      <c r="M1150" s="226" t="n">
        <v>43115</v>
      </c>
      <c r="N1150" s="227" t="n">
        <v>0</v>
      </c>
      <c r="O1150" s="227" t="s">
        <v>135</v>
      </c>
      <c r="P1150" s="228" t="n">
        <f aca="false">VLOOKUP(B1150,'NIVEL ENERO'!A:D,3,0)</f>
        <v>0.382414071106352</v>
      </c>
      <c r="Q1150" s="229" t="n">
        <f aca="false">VLOOKUP(B1150,'NIVEL ENERO'!A:D,4,0)</f>
        <v>152682.5</v>
      </c>
      <c r="R1150" s="186" t="str">
        <f aca="false">+PROPER(C1150&amp;" "&amp;D1150)</f>
        <v>Balanta Barona Jhon Genner</v>
      </c>
      <c r="S1150" s="230" t="n">
        <f aca="false">+YEARFRAC(L1150,$S$1)</f>
        <v>2.75555555555556</v>
      </c>
      <c r="T1150" s="230" t="n">
        <f aca="false">+YEARFRAC(M1150,$S$1)</f>
        <v>8.325</v>
      </c>
      <c r="U1150" s="231" t="n">
        <f aca="false">+$I1150</f>
        <v>885785</v>
      </c>
      <c r="V1150" s="232" t="str">
        <f aca="false">+PROPER(F1150)</f>
        <v>Union Libre</v>
      </c>
    </row>
    <row r="1151" customFormat="false" ht="14.25" hidden="false" customHeight="false" outlineLevel="0" collapsed="false">
      <c r="B1151" s="197" t="n">
        <v>1118302328</v>
      </c>
      <c r="C1151" s="197" t="s">
        <v>2967</v>
      </c>
      <c r="D1151" s="197" t="s">
        <v>2968</v>
      </c>
      <c r="E1151" s="198" t="s">
        <v>944</v>
      </c>
      <c r="F1151" s="198" t="s">
        <v>953</v>
      </c>
      <c r="G1151" s="225" t="n">
        <v>2893800</v>
      </c>
      <c r="H1151" s="225" t="n">
        <v>3268008</v>
      </c>
      <c r="I1151" s="225" t="n">
        <v>1137968</v>
      </c>
      <c r="J1151" s="198" t="n">
        <v>30</v>
      </c>
      <c r="K1151" s="198" t="n">
        <v>2</v>
      </c>
      <c r="L1151" s="226" t="n">
        <v>44579</v>
      </c>
      <c r="M1151" s="226" t="n">
        <v>44818</v>
      </c>
      <c r="N1151" s="227" t="n">
        <v>3</v>
      </c>
      <c r="O1151" s="227" t="s">
        <v>135</v>
      </c>
      <c r="P1151" s="228" t="n">
        <f aca="false">VLOOKUP(B1151,'NIVEL ENERO'!A:D,3,0)</f>
        <v>0.282207132490151</v>
      </c>
      <c r="Q1151" s="229" t="n">
        <f aca="false">VLOOKUP(B1151,'NIVEL ENERO'!A:D,4,0)</f>
        <v>398745</v>
      </c>
      <c r="R1151" s="186" t="str">
        <f aca="false">+PROPER(C1151&amp;" "&amp;D1151)</f>
        <v>Molina Hurtado Maria Irene</v>
      </c>
      <c r="S1151" s="230" t="n">
        <f aca="false">+YEARFRAC(L1151,$S$1)</f>
        <v>4.31666666666667</v>
      </c>
      <c r="T1151" s="230" t="n">
        <f aca="false">+YEARFRAC(M1151,$S$1)</f>
        <v>3.66111111111111</v>
      </c>
      <c r="U1151" s="231" t="n">
        <f aca="false">+$I1151</f>
        <v>1137968</v>
      </c>
      <c r="V1151" s="232" t="str">
        <f aca="false">+PROPER(F1151)</f>
        <v>Soltero(A)</v>
      </c>
    </row>
    <row r="1152" customFormat="false" ht="14.25" hidden="false" customHeight="false" outlineLevel="0" collapsed="false">
      <c r="B1152" s="197" t="n">
        <v>1118302952</v>
      </c>
      <c r="C1152" s="197" t="s">
        <v>2969</v>
      </c>
      <c r="D1152" s="197" t="s">
        <v>2970</v>
      </c>
      <c r="E1152" s="198" t="s">
        <v>944</v>
      </c>
      <c r="F1152" s="198" t="s">
        <v>953</v>
      </c>
      <c r="G1152" s="225" t="n">
        <v>2600900</v>
      </c>
      <c r="H1152" s="225" t="n">
        <v>2011731</v>
      </c>
      <c r="I1152" s="225" t="n">
        <v>5482755</v>
      </c>
      <c r="J1152" s="198" t="n">
        <v>30</v>
      </c>
      <c r="K1152" s="198" t="n">
        <v>3</v>
      </c>
      <c r="L1152" s="226" t="n">
        <v>44613</v>
      </c>
      <c r="M1152" s="226" t="n">
        <v>43784</v>
      </c>
      <c r="N1152" s="227" t="n">
        <v>3</v>
      </c>
      <c r="O1152" s="227" t="s">
        <v>135</v>
      </c>
      <c r="P1152" s="228" t="n">
        <f aca="false">VLOOKUP(B1152,'NIVEL ENERO'!A:D,3,0)</f>
        <v>0.23204121650198</v>
      </c>
      <c r="Q1152" s="229" t="n">
        <f aca="false">VLOOKUP(B1152,'NIVEL ENERO'!A:D,4,0)</f>
        <v>488862</v>
      </c>
      <c r="R1152" s="186" t="str">
        <f aca="false">+PROPER(C1152&amp;" "&amp;D1152)</f>
        <v>Solarte Lopez Lina Guisella</v>
      </c>
      <c r="S1152" s="230" t="n">
        <f aca="false">+YEARFRAC(L1152,$S$1)</f>
        <v>4.225</v>
      </c>
      <c r="T1152" s="230" t="n">
        <f aca="false">+YEARFRAC(M1152,$S$1)</f>
        <v>6.49166666666667</v>
      </c>
      <c r="U1152" s="231" t="n">
        <f aca="false">+$I1152</f>
        <v>5482755</v>
      </c>
      <c r="V1152" s="232" t="str">
        <f aca="false">+PROPER(F1152)</f>
        <v>Soltero(A)</v>
      </c>
    </row>
    <row r="1153" customFormat="false" ht="14.25" hidden="false" customHeight="false" outlineLevel="0" collapsed="false">
      <c r="B1153" s="197" t="n">
        <v>1118305334</v>
      </c>
      <c r="C1153" s="197" t="s">
        <v>2971</v>
      </c>
      <c r="D1153" s="197" t="s">
        <v>2972</v>
      </c>
      <c r="E1153" s="198" t="s">
        <v>1288</v>
      </c>
      <c r="F1153" s="198" t="s">
        <v>953</v>
      </c>
      <c r="G1153" s="225" t="n">
        <v>2604400</v>
      </c>
      <c r="H1153" s="225" t="n">
        <v>831006</v>
      </c>
      <c r="I1153" s="225" t="n">
        <v>663823</v>
      </c>
      <c r="J1153" s="198" t="n">
        <v>29</v>
      </c>
      <c r="K1153" s="198" t="n">
        <v>1</v>
      </c>
      <c r="L1153" s="226" t="n">
        <v>45279</v>
      </c>
      <c r="M1153" s="226" t="n">
        <v>44764</v>
      </c>
      <c r="N1153" s="227" t="n">
        <v>0</v>
      </c>
      <c r="O1153" s="227" t="s">
        <v>135</v>
      </c>
      <c r="P1153" s="228" t="n">
        <f aca="false">VLOOKUP(B1153,'NIVEL ENERO'!A:D,3,0)</f>
        <v>0.539266645823854</v>
      </c>
      <c r="Q1153" s="229" t="n">
        <f aca="false">VLOOKUP(B1153,'NIVEL ENERO'!A:D,4,0)</f>
        <v>-301623.28</v>
      </c>
      <c r="R1153" s="186" t="str">
        <f aca="false">+PROPER(C1153&amp;" "&amp;D1153)</f>
        <v>Garcia Rosero Claudia Briggitte</v>
      </c>
      <c r="S1153" s="230" t="n">
        <f aca="false">+YEARFRAC(L1153,$S$1)</f>
        <v>2.39722222222222</v>
      </c>
      <c r="T1153" s="230" t="n">
        <f aca="false">+YEARFRAC(M1153,$S$1)</f>
        <v>3.80555555555556</v>
      </c>
      <c r="U1153" s="231" t="n">
        <f aca="false">+$I1153</f>
        <v>663823</v>
      </c>
      <c r="V1153" s="232" t="str">
        <f aca="false">+PROPER(F1153)</f>
        <v>Soltero(A)</v>
      </c>
    </row>
    <row r="1154" customFormat="false" ht="14.25" hidden="false" customHeight="false" outlineLevel="0" collapsed="false">
      <c r="B1154" s="197" t="n">
        <v>1118307622</v>
      </c>
      <c r="C1154" s="197" t="s">
        <v>2973</v>
      </c>
      <c r="D1154" s="197" t="s">
        <v>2974</v>
      </c>
      <c r="E1154" s="198" t="s">
        <v>944</v>
      </c>
      <c r="F1154" s="198" t="s">
        <v>953</v>
      </c>
      <c r="G1154" s="225" t="n">
        <v>5291000</v>
      </c>
      <c r="H1154" s="225" t="n">
        <v>4507714</v>
      </c>
      <c r="I1154" s="225"/>
      <c r="J1154" s="198" t="n">
        <v>28</v>
      </c>
      <c r="K1154" s="198" t="n">
        <v>4</v>
      </c>
      <c r="L1154" s="226" t="n">
        <v>44852</v>
      </c>
      <c r="M1154" s="226" t="n">
        <v>43483</v>
      </c>
      <c r="N1154" s="227" t="n">
        <v>0</v>
      </c>
      <c r="O1154" s="227" t="s">
        <v>135</v>
      </c>
      <c r="P1154" s="228" t="n">
        <f aca="false">VLOOKUP(B1154,'NIVEL ENERO'!A:D,3,0)</f>
        <v>0.302983903348671</v>
      </c>
      <c r="Q1154" s="229" t="n">
        <f aca="false">VLOOKUP(B1154,'NIVEL ENERO'!A:D,4,0)</f>
        <v>671746.7</v>
      </c>
      <c r="R1154" s="186" t="str">
        <f aca="false">+PROPER(C1154&amp;" "&amp;D1154)</f>
        <v>Gonzalez Montenegro Duvan Camilo</v>
      </c>
      <c r="S1154" s="230" t="n">
        <f aca="false">+YEARFRAC(L1154,$S$1)</f>
        <v>3.56666666666667</v>
      </c>
      <c r="T1154" s="230" t="n">
        <f aca="false">+YEARFRAC(M1154,$S$1)</f>
        <v>7.31666666666667</v>
      </c>
      <c r="U1154" s="231" t="n">
        <f aca="false">+$I1154</f>
        <v>0</v>
      </c>
      <c r="V1154" s="232" t="str">
        <f aca="false">+PROPER(F1154)</f>
        <v>Soltero(A)</v>
      </c>
    </row>
    <row r="1155" customFormat="false" ht="14.25" hidden="false" customHeight="false" outlineLevel="0" collapsed="false">
      <c r="B1155" s="197" t="n">
        <v>1118308415</v>
      </c>
      <c r="C1155" s="197" t="s">
        <v>2975</v>
      </c>
      <c r="D1155" s="197" t="s">
        <v>2976</v>
      </c>
      <c r="E1155" s="198" t="s">
        <v>944</v>
      </c>
      <c r="F1155" s="198" t="s">
        <v>948</v>
      </c>
      <c r="G1155" s="225" t="n">
        <v>2648100</v>
      </c>
      <c r="H1155" s="225" t="n">
        <v>1605401</v>
      </c>
      <c r="I1155" s="225" t="n">
        <v>0</v>
      </c>
      <c r="J1155" s="198" t="n">
        <v>27</v>
      </c>
      <c r="K1155" s="198" t="n">
        <v>4</v>
      </c>
      <c r="L1155" s="226" t="n">
        <v>45051</v>
      </c>
      <c r="M1155" s="226" t="n">
        <v>43641</v>
      </c>
      <c r="N1155" s="227" t="n">
        <v>3</v>
      </c>
      <c r="O1155" s="227" t="s">
        <v>135</v>
      </c>
      <c r="P1155" s="228" t="n">
        <f aca="false">VLOOKUP(B1155,'NIVEL ENERO'!A:D,3,0)</f>
        <v>0.117726621643636</v>
      </c>
      <c r="Q1155" s="229" t="n">
        <f aca="false">VLOOKUP(B1155,'NIVEL ENERO'!A:D,4,0)</f>
        <v>1170221.56</v>
      </c>
      <c r="R1155" s="186" t="str">
        <f aca="false">+PROPER(C1155&amp;" "&amp;D1155)</f>
        <v>Sastoque Ortiz Mary Yulieth</v>
      </c>
      <c r="S1155" s="230" t="n">
        <f aca="false">+YEARFRAC(L1155,$S$1)</f>
        <v>3.01944444444444</v>
      </c>
      <c r="T1155" s="230" t="n">
        <f aca="false">+YEARFRAC(M1155,$S$1)</f>
        <v>6.88055555555556</v>
      </c>
      <c r="U1155" s="231" t="n">
        <f aca="false">+$I1155</f>
        <v>0</v>
      </c>
      <c r="V1155" s="232" t="str">
        <f aca="false">+PROPER(F1155)</f>
        <v>Casado(A)</v>
      </c>
    </row>
    <row r="1156" customFormat="false" ht="14.25" hidden="false" customHeight="false" outlineLevel="0" collapsed="false">
      <c r="B1156" s="197" t="n">
        <v>1118308441</v>
      </c>
      <c r="C1156" s="197" t="s">
        <v>2977</v>
      </c>
      <c r="D1156" s="197" t="s">
        <v>2978</v>
      </c>
      <c r="E1156" s="198" t="s">
        <v>2979</v>
      </c>
      <c r="F1156" s="198" t="s">
        <v>948</v>
      </c>
      <c r="G1156" s="225" t="n">
        <v>2893800</v>
      </c>
      <c r="H1156" s="225" t="n">
        <v>1000000</v>
      </c>
      <c r="I1156" s="225" t="n">
        <v>1200943</v>
      </c>
      <c r="J1156" s="198" t="n">
        <v>27</v>
      </c>
      <c r="K1156" s="198" t="n">
        <v>4</v>
      </c>
      <c r="L1156" s="226" t="n">
        <v>45369</v>
      </c>
      <c r="M1156" s="226" t="n">
        <v>43691</v>
      </c>
      <c r="N1156" s="227" t="n">
        <v>0</v>
      </c>
      <c r="O1156" s="227" t="s">
        <v>135</v>
      </c>
      <c r="P1156" s="228" t="str">
        <f aca="false">VLOOKUP(B1156,'NIVEL ENERO'!A:D,3,0)</f>
        <v>0</v>
      </c>
      <c r="Q1156" s="229" t="n">
        <f aca="false">VLOOKUP(B1156,'NIVEL ENERO'!A:D,4,0)</f>
        <v>0</v>
      </c>
      <c r="R1156" s="186" t="str">
        <f aca="false">+PROPER(C1156&amp;" "&amp;D1156)</f>
        <v>Escobar Dagua Ingrid Yeliane</v>
      </c>
      <c r="S1156" s="230" t="n">
        <f aca="false">+YEARFRAC(L1156,$S$1)</f>
        <v>2.15</v>
      </c>
      <c r="T1156" s="230" t="n">
        <f aca="false">+YEARFRAC(M1156,$S$1)</f>
        <v>6.74444444444444</v>
      </c>
      <c r="U1156" s="231" t="n">
        <f aca="false">+$I1156</f>
        <v>1200943</v>
      </c>
      <c r="V1156" s="232" t="str">
        <f aca="false">+PROPER(F1156)</f>
        <v>Casado(A)</v>
      </c>
    </row>
    <row r="1157" customFormat="false" ht="14.25" hidden="false" customHeight="false" outlineLevel="0" collapsed="false">
      <c r="B1157" s="197" t="n">
        <v>1118312185</v>
      </c>
      <c r="C1157" s="197" t="s">
        <v>2980</v>
      </c>
      <c r="D1157" s="197" t="s">
        <v>2981</v>
      </c>
      <c r="E1157" s="198" t="s">
        <v>944</v>
      </c>
      <c r="F1157" s="198" t="s">
        <v>948</v>
      </c>
      <c r="G1157" s="225" t="n">
        <v>2893800</v>
      </c>
      <c r="H1157" s="225" t="n">
        <v>2769343</v>
      </c>
      <c r="I1157" s="225" t="n">
        <v>603817</v>
      </c>
      <c r="J1157" s="198" t="n">
        <v>25</v>
      </c>
      <c r="K1157" s="198" t="n">
        <v>2</v>
      </c>
      <c r="L1157" s="226" t="n">
        <v>44154</v>
      </c>
      <c r="M1157" s="226" t="n">
        <v>43544</v>
      </c>
      <c r="N1157" s="227" t="n">
        <v>2</v>
      </c>
      <c r="O1157" s="227" t="s">
        <v>135</v>
      </c>
      <c r="P1157" s="228" t="n">
        <f aca="false">VLOOKUP(B1157,'NIVEL ENERO'!A:D,3,0)</f>
        <v>0.1382289097027</v>
      </c>
      <c r="Q1157" s="229" t="n">
        <f aca="false">VLOOKUP(B1157,'NIVEL ENERO'!A:D,4,0)</f>
        <v>1122696.34</v>
      </c>
      <c r="R1157" s="186" t="str">
        <f aca="false">+PROPER(C1157&amp;" "&amp;D1157)</f>
        <v>Padilla Fajardo Lina Isabel</v>
      </c>
      <c r="S1157" s="230" t="n">
        <f aca="false">+YEARFRAC(L1157,$S$1)</f>
        <v>5.48055555555556</v>
      </c>
      <c r="T1157" s="230" t="n">
        <f aca="false">+YEARFRAC(M1157,$S$1)</f>
        <v>7.14444444444445</v>
      </c>
      <c r="U1157" s="231" t="n">
        <f aca="false">+$I1157</f>
        <v>603817</v>
      </c>
      <c r="V1157" s="232" t="str">
        <f aca="false">+PROPER(F1157)</f>
        <v>Casado(A)</v>
      </c>
    </row>
    <row r="1158" customFormat="false" ht="14.25" hidden="false" customHeight="false" outlineLevel="0" collapsed="false">
      <c r="B1158" s="197" t="n">
        <v>1123201722</v>
      </c>
      <c r="C1158" s="197" t="s">
        <v>2982</v>
      </c>
      <c r="D1158" s="197" t="s">
        <v>2983</v>
      </c>
      <c r="E1158" s="198" t="s">
        <v>944</v>
      </c>
      <c r="F1158" s="198" t="s">
        <v>948</v>
      </c>
      <c r="G1158" s="225" t="n">
        <v>2600900</v>
      </c>
      <c r="H1158" s="225" t="n">
        <v>8551345</v>
      </c>
      <c r="I1158" s="225" t="n">
        <v>0</v>
      </c>
      <c r="J1158" s="198" t="n">
        <v>38</v>
      </c>
      <c r="K1158" s="198" t="n">
        <v>2</v>
      </c>
      <c r="L1158" s="226" t="n">
        <v>42321</v>
      </c>
      <c r="M1158" s="226" t="n">
        <v>42321</v>
      </c>
      <c r="N1158" s="227" t="n">
        <v>5</v>
      </c>
      <c r="O1158" s="227" t="s">
        <v>135</v>
      </c>
      <c r="P1158" s="228" t="n">
        <f aca="false">VLOOKUP(B1158,'NIVEL ENERO'!A:D,3,0)</f>
        <v>0.335672434169658</v>
      </c>
      <c r="Q1158" s="229" t="n">
        <f aca="false">VLOOKUP(B1158,'NIVEL ENERO'!A:D,4,0)</f>
        <v>249687.12</v>
      </c>
      <c r="R1158" s="186" t="str">
        <f aca="false">+PROPER(C1158&amp;" "&amp;D1158)</f>
        <v>Madronero Meneses Mirian Yarelis</v>
      </c>
      <c r="S1158" s="230" t="n">
        <f aca="false">+YEARFRAC(L1158,$S$1)</f>
        <v>10.4972222222222</v>
      </c>
      <c r="T1158" s="230" t="n">
        <f aca="false">+YEARFRAC(M1158,$S$1)</f>
        <v>10.4972222222222</v>
      </c>
      <c r="U1158" s="231" t="n">
        <f aca="false">+$I1158</f>
        <v>0</v>
      </c>
      <c r="V1158" s="232" t="str">
        <f aca="false">+PROPER(F1158)</f>
        <v>Casado(A)</v>
      </c>
    </row>
    <row r="1159" customFormat="false" ht="14.25" hidden="false" customHeight="false" outlineLevel="0" collapsed="false">
      <c r="B1159" s="197" t="n">
        <v>1123626223</v>
      </c>
      <c r="C1159" s="197" t="s">
        <v>2984</v>
      </c>
      <c r="D1159" s="197" t="s">
        <v>2985</v>
      </c>
      <c r="E1159" s="198" t="s">
        <v>944</v>
      </c>
      <c r="F1159" s="198" t="s">
        <v>948</v>
      </c>
      <c r="G1159" s="225" t="n">
        <v>3945300</v>
      </c>
      <c r="H1159" s="225" t="n">
        <v>1658179</v>
      </c>
      <c r="I1159" s="225" t="n">
        <v>4575319</v>
      </c>
      <c r="J1159" s="198" t="n">
        <v>34</v>
      </c>
      <c r="K1159" s="198" t="n">
        <v>2</v>
      </c>
      <c r="L1159" s="226" t="n">
        <v>44825</v>
      </c>
      <c r="M1159" s="226" t="n">
        <v>44809</v>
      </c>
      <c r="N1159" s="227" t="n">
        <v>4</v>
      </c>
      <c r="O1159" s="227" t="s">
        <v>135</v>
      </c>
      <c r="P1159" s="228" t="n">
        <f aca="false">VLOOKUP(B1159,'NIVEL ENERO'!A:D,3,0)</f>
        <v>0.284683782807824</v>
      </c>
      <c r="Q1159" s="229" t="n">
        <f aca="false">VLOOKUP(B1159,'NIVEL ENERO'!A:D,4,0)</f>
        <v>567713.1</v>
      </c>
      <c r="R1159" s="186" t="str">
        <f aca="false">+PROPER(C1159&amp;" "&amp;D1159)</f>
        <v>Martinez Gomez Diego Alejandro</v>
      </c>
      <c r="S1159" s="230" t="n">
        <f aca="false">+YEARFRAC(L1159,$S$1)</f>
        <v>3.64166666666667</v>
      </c>
      <c r="T1159" s="230" t="n">
        <f aca="false">+YEARFRAC(M1159,$S$1)</f>
        <v>3.68611111111111</v>
      </c>
      <c r="U1159" s="231" t="n">
        <f aca="false">+$I1159</f>
        <v>4575319</v>
      </c>
      <c r="V1159" s="232" t="str">
        <f aca="false">+PROPER(F1159)</f>
        <v>Casado(A)</v>
      </c>
    </row>
    <row r="1160" customFormat="false" ht="14.25" hidden="false" customHeight="false" outlineLevel="0" collapsed="false">
      <c r="B1160" s="197" t="n">
        <v>1123998038</v>
      </c>
      <c r="C1160" s="197" t="s">
        <v>2986</v>
      </c>
      <c r="D1160" s="197" t="s">
        <v>2987</v>
      </c>
      <c r="E1160" s="198" t="s">
        <v>944</v>
      </c>
      <c r="F1160" s="198" t="s">
        <v>945</v>
      </c>
      <c r="G1160" s="225" t="n">
        <v>2916600</v>
      </c>
      <c r="H1160" s="225" t="n">
        <v>7343444</v>
      </c>
      <c r="I1160" s="225" t="n">
        <v>0</v>
      </c>
      <c r="J1160" s="198" t="n">
        <v>38</v>
      </c>
      <c r="K1160" s="198" t="n">
        <v>1</v>
      </c>
      <c r="L1160" s="226" t="n">
        <v>42783</v>
      </c>
      <c r="M1160" s="226" t="n">
        <v>42719</v>
      </c>
      <c r="N1160" s="227" t="n">
        <v>4</v>
      </c>
      <c r="O1160" s="227" t="s">
        <v>135</v>
      </c>
      <c r="P1160" s="228" t="n">
        <f aca="false">VLOOKUP(B1160,'NIVEL ENERO'!A:D,3,0)</f>
        <v>0.123456828910994</v>
      </c>
      <c r="Q1160" s="229" t="n">
        <f aca="false">VLOOKUP(B1160,'NIVEL ENERO'!A:D,4,0)</f>
        <v>1164102.36</v>
      </c>
      <c r="R1160" s="186" t="str">
        <f aca="false">+PROPER(C1160&amp;" "&amp;D1160)</f>
        <v>Martinez Posada Karen Patricia</v>
      </c>
      <c r="S1160" s="230" t="n">
        <f aca="false">+YEARFRAC(L1160,$S$1)</f>
        <v>9.23611111111111</v>
      </c>
      <c r="T1160" s="230" t="n">
        <f aca="false">+YEARFRAC(M1160,$S$1)</f>
        <v>9.40833333333333</v>
      </c>
      <c r="U1160" s="231" t="n">
        <f aca="false">+$I1160</f>
        <v>0</v>
      </c>
      <c r="V1160" s="232" t="str">
        <f aca="false">+PROPER(F1160)</f>
        <v>Union Libre</v>
      </c>
    </row>
    <row r="1161" customFormat="false" ht="14.25" hidden="false" customHeight="false" outlineLevel="0" collapsed="false">
      <c r="B1161" s="197" t="n">
        <v>1124868351</v>
      </c>
      <c r="C1161" s="197" t="s">
        <v>2988</v>
      </c>
      <c r="D1161" s="197" t="s">
        <v>2989</v>
      </c>
      <c r="E1161" s="198" t="s">
        <v>944</v>
      </c>
      <c r="F1161" s="198" t="s">
        <v>953</v>
      </c>
      <c r="G1161" s="225" t="n">
        <v>4870200</v>
      </c>
      <c r="H1161" s="225" t="n">
        <v>10941397</v>
      </c>
      <c r="I1161" s="225" t="n">
        <v>95143</v>
      </c>
      <c r="J1161" s="198" t="n">
        <v>29</v>
      </c>
      <c r="K1161" s="198" t="n">
        <v>2</v>
      </c>
      <c r="L1161" s="226" t="n">
        <v>44704</v>
      </c>
      <c r="M1161" s="226" t="n">
        <v>44656</v>
      </c>
      <c r="N1161" s="227" t="n">
        <v>2</v>
      </c>
      <c r="O1161" s="227" t="s">
        <v>135</v>
      </c>
      <c r="P1161" s="228" t="n">
        <f aca="false">VLOOKUP(B1161,'NIVEL ENERO'!A:D,3,0)</f>
        <v>0.170775191693294</v>
      </c>
      <c r="Q1161" s="229" t="n">
        <f aca="false">VLOOKUP(B1161,'NIVEL ENERO'!A:D,4,0)</f>
        <v>1324597.54</v>
      </c>
      <c r="R1161" s="186" t="str">
        <f aca="false">+PROPER(C1161&amp;" "&amp;D1161)</f>
        <v>Lizcano Lopez Rossie Geraldine</v>
      </c>
      <c r="S1161" s="230" t="n">
        <f aca="false">+YEARFRAC(L1161,$S$1)</f>
        <v>3.96944444444444</v>
      </c>
      <c r="T1161" s="230" t="n">
        <f aca="false">+YEARFRAC(M1161,$S$1)</f>
        <v>4.10277777777778</v>
      </c>
      <c r="U1161" s="231" t="n">
        <f aca="false">+$I1161</f>
        <v>95143</v>
      </c>
      <c r="V1161" s="232" t="str">
        <f aca="false">+PROPER(F1161)</f>
        <v>Soltero(A)</v>
      </c>
    </row>
    <row r="1162" customFormat="false" ht="14.25" hidden="false" customHeight="false" outlineLevel="0" collapsed="false">
      <c r="B1162" s="197" t="n">
        <v>1126601736</v>
      </c>
      <c r="C1162" s="197" t="s">
        <v>2990</v>
      </c>
      <c r="D1162" s="197" t="s">
        <v>1184</v>
      </c>
      <c r="E1162" s="198" t="s">
        <v>944</v>
      </c>
      <c r="F1162" s="198" t="s">
        <v>953</v>
      </c>
      <c r="G1162" s="225" t="n">
        <v>2340800</v>
      </c>
      <c r="H1162" s="225" t="n">
        <v>500000</v>
      </c>
      <c r="I1162" s="225"/>
      <c r="J1162" s="198" t="n">
        <v>31</v>
      </c>
      <c r="K1162" s="198" t="n">
        <v>1</v>
      </c>
      <c r="L1162" s="226" t="n">
        <v>45519</v>
      </c>
      <c r="M1162" s="226" t="n">
        <v>44958</v>
      </c>
      <c r="N1162" s="227" t="n">
        <v>0</v>
      </c>
      <c r="O1162" s="227" t="s">
        <v>135</v>
      </c>
      <c r="P1162" s="228" t="n">
        <f aca="false">VLOOKUP(B1162,'NIVEL ENERO'!A:D,3,0)</f>
        <v>0.417299441987109</v>
      </c>
      <c r="Q1162" s="229" t="n">
        <f aca="false">VLOOKUP(B1162,'NIVEL ENERO'!A:D,4,0)</f>
        <v>8376.85999999987</v>
      </c>
      <c r="R1162" s="186" t="str">
        <f aca="false">+PROPER(C1162&amp;" "&amp;D1162)</f>
        <v>Totena Rojas Paola Andrea</v>
      </c>
      <c r="S1162" s="230" t="n">
        <f aca="false">+YEARFRAC(L1162,$S$1)</f>
        <v>1.74166666666667</v>
      </c>
      <c r="T1162" s="230" t="n">
        <f aca="false">+YEARFRAC(M1162,$S$1)</f>
        <v>3.28055555555556</v>
      </c>
      <c r="U1162" s="231" t="n">
        <f aca="false">+$I1162</f>
        <v>0</v>
      </c>
      <c r="V1162" s="232" t="str">
        <f aca="false">+PROPER(F1162)</f>
        <v>Soltero(A)</v>
      </c>
    </row>
    <row r="1163" customFormat="false" ht="14.25" hidden="false" customHeight="false" outlineLevel="0" collapsed="false">
      <c r="B1163" s="197" t="n">
        <v>1127218494</v>
      </c>
      <c r="C1163" s="197" t="s">
        <v>2991</v>
      </c>
      <c r="D1163" s="197" t="s">
        <v>2992</v>
      </c>
      <c r="E1163" s="198" t="s">
        <v>944</v>
      </c>
      <c r="F1163" s="198" t="s">
        <v>953</v>
      </c>
      <c r="G1163" s="225" t="n">
        <v>2300000</v>
      </c>
      <c r="H1163" s="225" t="n">
        <v>1801313</v>
      </c>
      <c r="I1163" s="225" t="n">
        <v>3963321</v>
      </c>
      <c r="J1163" s="198" t="n">
        <v>27</v>
      </c>
      <c r="K1163" s="198" t="n">
        <v>2</v>
      </c>
      <c r="L1163" s="226" t="n">
        <v>45121</v>
      </c>
      <c r="M1163" s="226" t="n">
        <v>45048</v>
      </c>
      <c r="N1163" s="227" t="n">
        <v>0</v>
      </c>
      <c r="O1163" s="227" t="s">
        <v>135</v>
      </c>
      <c r="P1163" s="228" t="n">
        <f aca="false">VLOOKUP(B1163,'NIVEL ENERO'!A:D,3,0)</f>
        <v>0.514139006368766</v>
      </c>
      <c r="Q1163" s="229" t="n">
        <f aca="false">VLOOKUP(B1163,'NIVEL ENERO'!A:D,4,0)</f>
        <v>-217803.3</v>
      </c>
      <c r="R1163" s="186" t="str">
        <f aca="false">+PROPER(C1163&amp;" "&amp;D1163)</f>
        <v>Torres Amaguaya Derek David</v>
      </c>
      <c r="S1163" s="230" t="n">
        <f aca="false">+YEARFRAC(L1163,$S$1)</f>
        <v>2.82777777777778</v>
      </c>
      <c r="T1163" s="230" t="n">
        <f aca="false">+YEARFRAC(M1163,$S$1)</f>
        <v>3.02777777777778</v>
      </c>
      <c r="U1163" s="231" t="n">
        <f aca="false">+$I1163</f>
        <v>3963321</v>
      </c>
      <c r="V1163" s="232" t="str">
        <f aca="false">+PROPER(F1163)</f>
        <v>Soltero(A)</v>
      </c>
    </row>
    <row r="1164" customFormat="false" ht="14.25" hidden="false" customHeight="false" outlineLevel="0" collapsed="false">
      <c r="B1164" s="197" t="n">
        <v>1127939089</v>
      </c>
      <c r="C1164" s="197" t="s">
        <v>2993</v>
      </c>
      <c r="D1164" s="197" t="s">
        <v>1241</v>
      </c>
      <c r="E1164" s="198" t="s">
        <v>944</v>
      </c>
      <c r="F1164" s="198" t="s">
        <v>945</v>
      </c>
      <c r="G1164" s="225" t="n">
        <v>4383200</v>
      </c>
      <c r="H1164" s="225" t="n">
        <v>880000</v>
      </c>
      <c r="I1164" s="225"/>
      <c r="J1164" s="198" t="n">
        <v>31</v>
      </c>
      <c r="K1164" s="198" t="n">
        <v>2</v>
      </c>
      <c r="L1164" s="226" t="n">
        <v>45343</v>
      </c>
      <c r="M1164" s="226" t="n">
        <v>45194</v>
      </c>
      <c r="N1164" s="227" t="n">
        <v>0</v>
      </c>
      <c r="O1164" s="227" t="s">
        <v>135</v>
      </c>
      <c r="P1164" s="228" t="n">
        <f aca="false">VLOOKUP(B1164,'NIVEL ENERO'!A:D,3,0)</f>
        <v>0.107412023923253</v>
      </c>
      <c r="Q1164" s="229" t="n">
        <f aca="false">VLOOKUP(B1164,'NIVEL ENERO'!A:D,4,0)</f>
        <v>1397935.42</v>
      </c>
      <c r="R1164" s="186" t="str">
        <f aca="false">+PROPER(C1164&amp;" "&amp;D1164)</f>
        <v>Cardona Zapata Diana Carolina</v>
      </c>
      <c r="S1164" s="230" t="n">
        <f aca="false">+YEARFRAC(L1164,$S$1)</f>
        <v>2.225</v>
      </c>
      <c r="T1164" s="230" t="n">
        <f aca="false">+YEARFRAC(M1164,$S$1)</f>
        <v>2.63055555555556</v>
      </c>
      <c r="U1164" s="231" t="n">
        <f aca="false">+$I1164</f>
        <v>0</v>
      </c>
      <c r="V1164" s="232" t="str">
        <f aca="false">+PROPER(F1164)</f>
        <v>Union Libre</v>
      </c>
    </row>
    <row r="1165" customFormat="false" ht="14.25" hidden="false" customHeight="false" outlineLevel="0" collapsed="false">
      <c r="B1165" s="197" t="n">
        <v>1128047242</v>
      </c>
      <c r="C1165" s="197" t="s">
        <v>2994</v>
      </c>
      <c r="D1165" s="197" t="s">
        <v>2995</v>
      </c>
      <c r="E1165" s="198" t="s">
        <v>944</v>
      </c>
      <c r="F1165" s="198" t="s">
        <v>948</v>
      </c>
      <c r="G1165" s="225" t="n">
        <v>4870200</v>
      </c>
      <c r="H1165" s="225" t="n">
        <v>2506690</v>
      </c>
      <c r="I1165" s="225"/>
      <c r="J1165" s="198" t="n">
        <v>38</v>
      </c>
      <c r="K1165" s="198" t="n">
        <v>3</v>
      </c>
      <c r="L1165" s="226" t="n">
        <v>44909</v>
      </c>
      <c r="M1165" s="226" t="n">
        <v>44105</v>
      </c>
      <c r="N1165" s="227" t="n">
        <v>0</v>
      </c>
      <c r="O1165" s="227" t="s">
        <v>135</v>
      </c>
      <c r="P1165" s="228" t="n">
        <f aca="false">VLOOKUP(B1165,'NIVEL ENERO'!A:D,3,0)</f>
        <v>0.114594400845009</v>
      </c>
      <c r="Q1165" s="229" t="n">
        <f aca="false">VLOOKUP(B1165,'NIVEL ENERO'!A:D,4,0)</f>
        <v>1571178.04</v>
      </c>
      <c r="R1165" s="186" t="str">
        <f aca="false">+PROPER(C1165&amp;" "&amp;D1165)</f>
        <v>Trespalacios Vega Yesid</v>
      </c>
      <c r="S1165" s="230" t="n">
        <f aca="false">+YEARFRAC(L1165,$S$1)</f>
        <v>3.41111111111111</v>
      </c>
      <c r="T1165" s="230" t="n">
        <f aca="false">+YEARFRAC(M1165,$S$1)</f>
        <v>5.61388888888889</v>
      </c>
      <c r="U1165" s="231" t="n">
        <f aca="false">+$I1165</f>
        <v>0</v>
      </c>
      <c r="V1165" s="232" t="str">
        <f aca="false">+PROPER(F1165)</f>
        <v>Casado(A)</v>
      </c>
    </row>
    <row r="1166" customFormat="false" ht="14.25" hidden="false" customHeight="false" outlineLevel="0" collapsed="false">
      <c r="B1166" s="197" t="n">
        <v>1128416021</v>
      </c>
      <c r="C1166" s="197" t="s">
        <v>2996</v>
      </c>
      <c r="D1166" s="197" t="s">
        <v>2997</v>
      </c>
      <c r="E1166" s="198" t="s">
        <v>944</v>
      </c>
      <c r="F1166" s="198" t="s">
        <v>948</v>
      </c>
      <c r="G1166" s="225" t="n">
        <v>5600000</v>
      </c>
      <c r="H1166" s="225" t="n">
        <v>390000</v>
      </c>
      <c r="I1166" s="225" t="n">
        <v>0</v>
      </c>
      <c r="J1166" s="198" t="n">
        <v>36</v>
      </c>
      <c r="K1166" s="198" t="n">
        <v>1</v>
      </c>
      <c r="L1166" s="226" t="n">
        <v>45475</v>
      </c>
      <c r="M1166" s="226" t="n">
        <v>41470</v>
      </c>
      <c r="N1166" s="227" t="n">
        <v>4</v>
      </c>
      <c r="O1166" s="227" t="s">
        <v>135</v>
      </c>
      <c r="P1166" s="228" t="n">
        <f aca="false">VLOOKUP(B1166,'NIVEL ENERO'!A:D,3,0)</f>
        <v>0.358474682293499</v>
      </c>
      <c r="Q1166" s="229" t="n">
        <f aca="false">VLOOKUP(B1166,'NIVEL ENERO'!A:D,4,0)</f>
        <v>391952.02</v>
      </c>
      <c r="R1166" s="186" t="str">
        <f aca="false">+PROPER(C1166&amp;" "&amp;D1166)</f>
        <v>Calderon Caro Cindy Yuliana</v>
      </c>
      <c r="S1166" s="230" t="n">
        <f aca="false">+YEARFRAC(L1166,$S$1)</f>
        <v>1.86111111111111</v>
      </c>
      <c r="T1166" s="230" t="n">
        <f aca="false">+YEARFRAC(M1166,$S$1)</f>
        <v>12.825</v>
      </c>
      <c r="U1166" s="231" t="n">
        <f aca="false">+$I1166</f>
        <v>0</v>
      </c>
      <c r="V1166" s="232" t="str">
        <f aca="false">+PROPER(F1166)</f>
        <v>Casado(A)</v>
      </c>
    </row>
    <row r="1167" customFormat="false" ht="14.25" hidden="false" customHeight="false" outlineLevel="0" collapsed="false">
      <c r="B1167" s="197" t="n">
        <v>1128428566</v>
      </c>
      <c r="C1167" s="197" t="s">
        <v>2998</v>
      </c>
      <c r="D1167" s="197" t="s">
        <v>2999</v>
      </c>
      <c r="E1167" s="198" t="s">
        <v>944</v>
      </c>
      <c r="F1167" s="198" t="s">
        <v>953</v>
      </c>
      <c r="G1167" s="225" t="n">
        <v>5291000</v>
      </c>
      <c r="H1167" s="225" t="n">
        <v>6760840</v>
      </c>
      <c r="I1167" s="225"/>
      <c r="J1167" s="198" t="n">
        <v>35</v>
      </c>
      <c r="K1167" s="198" t="n">
        <v>2</v>
      </c>
      <c r="L1167" s="226" t="n">
        <v>44854</v>
      </c>
      <c r="M1167" s="226" t="n">
        <v>44200</v>
      </c>
      <c r="N1167" s="227" t="n">
        <v>0</v>
      </c>
      <c r="O1167" s="227" t="s">
        <v>135</v>
      </c>
      <c r="P1167" s="228" t="n">
        <f aca="false">VLOOKUP(B1167,'NIVEL ENERO'!A:D,3,0)</f>
        <v>0.503346777771034</v>
      </c>
      <c r="Q1167" s="229" t="n">
        <f aca="false">VLOOKUP(B1167,'NIVEL ENERO'!A:D,4,0)</f>
        <v>-467830.52</v>
      </c>
      <c r="R1167" s="186" t="str">
        <f aca="false">+PROPER(C1167&amp;" "&amp;D1167)</f>
        <v>Pizarro Munoz Javier Esteban</v>
      </c>
      <c r="S1167" s="230" t="n">
        <f aca="false">+YEARFRAC(L1167,$S$1)</f>
        <v>3.56111111111111</v>
      </c>
      <c r="T1167" s="230" t="n">
        <f aca="false">+YEARFRAC(M1167,$S$1)</f>
        <v>5.35555555555556</v>
      </c>
      <c r="U1167" s="231" t="n">
        <f aca="false">+$I1167</f>
        <v>0</v>
      </c>
      <c r="V1167" s="232" t="str">
        <f aca="false">+PROPER(F1167)</f>
        <v>Soltero(A)</v>
      </c>
    </row>
    <row r="1168" customFormat="false" ht="14.25" hidden="false" customHeight="false" outlineLevel="0" collapsed="false">
      <c r="B1168" s="197" t="n">
        <v>1128455751</v>
      </c>
      <c r="C1168" s="197" t="s">
        <v>3000</v>
      </c>
      <c r="D1168" s="197" t="s">
        <v>2488</v>
      </c>
      <c r="E1168" s="198" t="s">
        <v>944</v>
      </c>
      <c r="F1168" s="198" t="s">
        <v>945</v>
      </c>
      <c r="G1168" s="225" t="n">
        <v>6500000</v>
      </c>
      <c r="H1168" s="225" t="n">
        <v>1000000</v>
      </c>
      <c r="I1168" s="225" t="n">
        <v>0</v>
      </c>
      <c r="J1168" s="198" t="n">
        <v>32</v>
      </c>
      <c r="K1168" s="198" t="n">
        <v>1</v>
      </c>
      <c r="L1168" s="226" t="n">
        <v>45352</v>
      </c>
      <c r="M1168" s="226" t="n">
        <v>44958</v>
      </c>
      <c r="N1168" s="227" t="n">
        <v>0</v>
      </c>
      <c r="O1168" s="227" t="s">
        <v>158</v>
      </c>
      <c r="P1168" s="228" t="e">
        <f aca="false">VLOOKUP(B1168,'NIVEL ENERO'!A:D,3,0)</f>
        <v>#N/A</v>
      </c>
      <c r="Q1168" s="229" t="e">
        <f aca="false">VLOOKUP(B1168,'NIVEL ENERO'!A:D,4,0)</f>
        <v>#N/A</v>
      </c>
      <c r="R1168" s="186" t="str">
        <f aca="false">+PROPER(C1168&amp;" "&amp;D1168)</f>
        <v>Chiquito Sanchez Natalia Andrea</v>
      </c>
      <c r="S1168" s="230" t="n">
        <f aca="false">+YEARFRAC(L1168,$S$1)</f>
        <v>2.19722222222222</v>
      </c>
      <c r="T1168" s="230" t="n">
        <f aca="false">+YEARFRAC(M1168,$S$1)</f>
        <v>3.28055555555556</v>
      </c>
      <c r="U1168" s="231" t="n">
        <f aca="false">+$I1168</f>
        <v>0</v>
      </c>
      <c r="V1168" s="232" t="str">
        <f aca="false">+PROPER(F1168)</f>
        <v>Union Libre</v>
      </c>
    </row>
    <row r="1169" customFormat="false" ht="14.25" hidden="false" customHeight="false" outlineLevel="0" collapsed="false">
      <c r="B1169" s="197" t="n">
        <v>1129583672</v>
      </c>
      <c r="C1169" s="197" t="s">
        <v>3001</v>
      </c>
      <c r="D1169" s="197" t="s">
        <v>3002</v>
      </c>
      <c r="E1169" s="198" t="s">
        <v>944</v>
      </c>
      <c r="F1169" s="198" t="s">
        <v>945</v>
      </c>
      <c r="G1169" s="225" t="n">
        <v>9087800</v>
      </c>
      <c r="H1169" s="225" t="n">
        <v>1910716</v>
      </c>
      <c r="I1169" s="225" t="n">
        <v>2250154</v>
      </c>
      <c r="J1169" s="198" t="n">
        <v>37</v>
      </c>
      <c r="K1169" s="198" t="n">
        <v>2</v>
      </c>
      <c r="L1169" s="226" t="n">
        <v>44636</v>
      </c>
      <c r="M1169" s="226" t="n">
        <v>43747</v>
      </c>
      <c r="N1169" s="227" t="n">
        <v>1</v>
      </c>
      <c r="O1169" s="227" t="s">
        <v>135</v>
      </c>
      <c r="P1169" s="228" t="n">
        <f aca="false">VLOOKUP(B1169,'NIVEL ENERO'!A:D,3,0)</f>
        <v>0.365431017407954</v>
      </c>
      <c r="Q1169" s="229" t="n">
        <f aca="false">VLOOKUP(B1169,'NIVEL ENERO'!A:D,4,0)</f>
        <v>495912</v>
      </c>
      <c r="R1169" s="186" t="str">
        <f aca="false">+PROPER(C1169&amp;" "&amp;D1169)</f>
        <v>Carcamo Hernandez Paola Johana</v>
      </c>
      <c r="S1169" s="230" t="n">
        <f aca="false">+YEARFRAC(L1169,$S$1)</f>
        <v>4.15555555555556</v>
      </c>
      <c r="T1169" s="230" t="n">
        <f aca="false">+YEARFRAC(M1169,$S$1)</f>
        <v>6.59166666666667</v>
      </c>
      <c r="U1169" s="231" t="n">
        <f aca="false">+$I1169</f>
        <v>2250154</v>
      </c>
      <c r="V1169" s="232" t="str">
        <f aca="false">+PROPER(F1169)</f>
        <v>Union Libre</v>
      </c>
    </row>
    <row r="1170" customFormat="false" ht="14.25" hidden="false" customHeight="false" outlineLevel="0" collapsed="false">
      <c r="B1170" s="197" t="n">
        <v>1130585077</v>
      </c>
      <c r="C1170" s="197" t="s">
        <v>3003</v>
      </c>
      <c r="D1170" s="197" t="s">
        <v>3004</v>
      </c>
      <c r="E1170" s="198" t="s">
        <v>944</v>
      </c>
      <c r="F1170" s="198" t="s">
        <v>945</v>
      </c>
      <c r="G1170" s="225" t="n">
        <v>1918500</v>
      </c>
      <c r="H1170" s="225" t="n">
        <v>3040872</v>
      </c>
      <c r="I1170" s="225" t="n">
        <v>4800907</v>
      </c>
      <c r="J1170" s="198" t="n">
        <v>38</v>
      </c>
      <c r="K1170" s="198" t="n">
        <v>2</v>
      </c>
      <c r="L1170" s="226" t="n">
        <v>43801</v>
      </c>
      <c r="M1170" s="226" t="n">
        <v>40589</v>
      </c>
      <c r="N1170" s="227" t="n">
        <v>4</v>
      </c>
      <c r="O1170" s="227" t="s">
        <v>135</v>
      </c>
      <c r="P1170" s="228" t="str">
        <f aca="false">VLOOKUP(B1170,'NIVEL ENERO'!A:D,3,0)</f>
        <v>0</v>
      </c>
      <c r="Q1170" s="229" t="n">
        <f aca="false">VLOOKUP(B1170,'NIVEL ENERO'!A:D,4,0)</f>
        <v>0</v>
      </c>
      <c r="R1170" s="186" t="str">
        <f aca="false">+PROPER(C1170&amp;" "&amp;D1170)</f>
        <v>Vivas Moreno Sandra Yamilet</v>
      </c>
      <c r="S1170" s="230" t="n">
        <f aca="false">+YEARFRAC(L1170,$S$1)</f>
        <v>6.44444444444445</v>
      </c>
      <c r="T1170" s="230" t="n">
        <f aca="false">+YEARFRAC(M1170,$S$1)</f>
        <v>15.2416666666667</v>
      </c>
      <c r="U1170" s="231" t="n">
        <f aca="false">+$I1170</f>
        <v>4800907</v>
      </c>
      <c r="V1170" s="232" t="str">
        <f aca="false">+PROPER(F1170)</f>
        <v>Union Libre</v>
      </c>
    </row>
    <row r="1171" customFormat="false" ht="14.25" hidden="false" customHeight="false" outlineLevel="0" collapsed="false">
      <c r="B1171" s="197" t="n">
        <v>1130587208</v>
      </c>
      <c r="C1171" s="197" t="s">
        <v>3005</v>
      </c>
      <c r="D1171" s="197" t="s">
        <v>3006</v>
      </c>
      <c r="E1171" s="198" t="s">
        <v>1523</v>
      </c>
      <c r="F1171" s="198" t="s">
        <v>953</v>
      </c>
      <c r="G1171" s="225" t="n">
        <v>17272800</v>
      </c>
      <c r="H1171" s="225" t="n">
        <v>3000551</v>
      </c>
      <c r="I1171" s="225"/>
      <c r="J1171" s="198" t="n">
        <v>38</v>
      </c>
      <c r="K1171" s="198" t="n">
        <v>4</v>
      </c>
      <c r="L1171" s="226" t="n">
        <v>45219</v>
      </c>
      <c r="M1171" s="226" t="n">
        <v>41683</v>
      </c>
      <c r="N1171" s="227" t="n">
        <v>0</v>
      </c>
      <c r="O1171" s="227" t="s">
        <v>135</v>
      </c>
      <c r="P1171" s="228" t="n">
        <f aca="false">VLOOKUP(B1171,'NIVEL ENERO'!A:D,3,0)</f>
        <v>0.319737390579408</v>
      </c>
      <c r="Q1171" s="229" t="n">
        <f aca="false">VLOOKUP(B1171,'NIVEL ENERO'!A:D,4,0)</f>
        <v>1039089.6</v>
      </c>
      <c r="R1171" s="186" t="str">
        <f aca="false">+PROPER(C1171&amp;" "&amp;D1171)</f>
        <v>Nunez Pelaez Nathalia Ivanovna</v>
      </c>
      <c r="S1171" s="230" t="n">
        <f aca="false">+YEARFRAC(L1171,$S$1)</f>
        <v>2.56111111111111</v>
      </c>
      <c r="T1171" s="230" t="n">
        <f aca="false">+YEARFRAC(M1171,$S$1)</f>
        <v>12.2472222222222</v>
      </c>
      <c r="U1171" s="231" t="n">
        <f aca="false">+$I1171</f>
        <v>0</v>
      </c>
      <c r="V1171" s="232" t="str">
        <f aca="false">+PROPER(F1171)</f>
        <v>Soltero(A)</v>
      </c>
    </row>
    <row r="1172" customFormat="false" ht="14.25" hidden="false" customHeight="false" outlineLevel="0" collapsed="false">
      <c r="B1172" s="197" t="n">
        <v>1130587720</v>
      </c>
      <c r="C1172" s="197" t="s">
        <v>3007</v>
      </c>
      <c r="D1172" s="197" t="s">
        <v>1010</v>
      </c>
      <c r="E1172" s="198" t="s">
        <v>944</v>
      </c>
      <c r="F1172" s="198" t="s">
        <v>945</v>
      </c>
      <c r="G1172" s="225" t="n">
        <v>2893800</v>
      </c>
      <c r="H1172" s="225" t="n">
        <v>8320406</v>
      </c>
      <c r="I1172" s="225" t="n">
        <v>7988696</v>
      </c>
      <c r="J1172" s="198" t="n">
        <v>38</v>
      </c>
      <c r="K1172" s="198" t="n">
        <v>2</v>
      </c>
      <c r="L1172" s="226" t="n">
        <v>41501</v>
      </c>
      <c r="M1172" s="226" t="n">
        <v>39856</v>
      </c>
      <c r="N1172" s="227" t="n">
        <v>3</v>
      </c>
      <c r="O1172" s="227" t="s">
        <v>135</v>
      </c>
      <c r="P1172" s="228" t="n">
        <f aca="false">VLOOKUP(B1172,'NIVEL ENERO'!A:D,3,0)</f>
        <v>0.378447781294415</v>
      </c>
      <c r="Q1172" s="229" t="n">
        <f aca="false">VLOOKUP(B1172,'NIVEL ENERO'!A:D,4,0)</f>
        <v>165378.8</v>
      </c>
      <c r="R1172" s="186" t="str">
        <f aca="false">+PROPER(C1172&amp;" "&amp;D1172)</f>
        <v>Guerrero Mejia Oscar Eduardo</v>
      </c>
      <c r="S1172" s="230" t="n">
        <f aca="false">+YEARFRAC(L1172,$S$1)</f>
        <v>12.7416666666667</v>
      </c>
      <c r="T1172" s="230" t="n">
        <f aca="false">+YEARFRAC(M1172,$S$1)</f>
        <v>17.25</v>
      </c>
      <c r="U1172" s="231" t="n">
        <f aca="false">+$I1172</f>
        <v>7988696</v>
      </c>
      <c r="V1172" s="232" t="str">
        <f aca="false">+PROPER(F1172)</f>
        <v>Union Libre</v>
      </c>
    </row>
    <row r="1173" customFormat="false" ht="14.25" hidden="false" customHeight="false" outlineLevel="0" collapsed="false">
      <c r="B1173" s="197" t="n">
        <v>1130588075</v>
      </c>
      <c r="C1173" s="197" t="s">
        <v>3008</v>
      </c>
      <c r="D1173" s="197" t="s">
        <v>2100</v>
      </c>
      <c r="E1173" s="198" t="s">
        <v>944</v>
      </c>
      <c r="F1173" s="198" t="s">
        <v>948</v>
      </c>
      <c r="G1173" s="225" t="n">
        <v>4870200</v>
      </c>
      <c r="H1173" s="225" t="n">
        <v>1983277</v>
      </c>
      <c r="I1173" s="225" t="n">
        <v>37557</v>
      </c>
      <c r="J1173" s="198" t="n">
        <v>38</v>
      </c>
      <c r="K1173" s="198" t="n">
        <v>1</v>
      </c>
      <c r="L1173" s="226" t="n">
        <v>44704</v>
      </c>
      <c r="M1173" s="226" t="n">
        <v>44102</v>
      </c>
      <c r="N1173" s="227" t="n">
        <v>1</v>
      </c>
      <c r="O1173" s="227" t="s">
        <v>135</v>
      </c>
      <c r="P1173" s="228" t="n">
        <f aca="false">VLOOKUP(B1173,'NIVEL ENERO'!A:D,3,0)</f>
        <v>0.203742228030573</v>
      </c>
      <c r="Q1173" s="229" t="n">
        <f aca="false">VLOOKUP(B1173,'NIVEL ENERO'!A:D,4,0)</f>
        <v>1092145</v>
      </c>
      <c r="R1173" s="186" t="str">
        <f aca="false">+PROPER(C1173&amp;" "&amp;D1173)</f>
        <v>Aguirre Feijoo Jose Luis</v>
      </c>
      <c r="S1173" s="230" t="n">
        <f aca="false">+YEARFRAC(L1173,$S$1)</f>
        <v>3.96944444444444</v>
      </c>
      <c r="T1173" s="230" t="n">
        <f aca="false">+YEARFRAC(M1173,$S$1)</f>
        <v>5.62222222222222</v>
      </c>
      <c r="U1173" s="231" t="n">
        <f aca="false">+$I1173</f>
        <v>37557</v>
      </c>
      <c r="V1173" s="232" t="str">
        <f aca="false">+PROPER(F1173)</f>
        <v>Casado(A)</v>
      </c>
    </row>
    <row r="1174" customFormat="false" ht="14.25" hidden="false" customHeight="false" outlineLevel="0" collapsed="false">
      <c r="B1174" s="197" t="n">
        <v>1130588194</v>
      </c>
      <c r="C1174" s="197" t="s">
        <v>3009</v>
      </c>
      <c r="D1174" s="197" t="s">
        <v>3010</v>
      </c>
      <c r="E1174" s="198" t="s">
        <v>944</v>
      </c>
      <c r="F1174" s="198" t="s">
        <v>945</v>
      </c>
      <c r="G1174" s="225" t="n">
        <v>2600900</v>
      </c>
      <c r="H1174" s="225" t="n">
        <v>2002428</v>
      </c>
      <c r="I1174" s="225"/>
      <c r="J1174" s="198" t="n">
        <v>38</v>
      </c>
      <c r="K1174" s="198" t="n">
        <v>2</v>
      </c>
      <c r="L1174" s="226" t="n">
        <v>45050</v>
      </c>
      <c r="M1174" s="226" t="n">
        <v>44910</v>
      </c>
      <c r="N1174" s="227" t="n">
        <v>0</v>
      </c>
      <c r="O1174" s="227" t="s">
        <v>135</v>
      </c>
      <c r="P1174" s="228" t="n">
        <f aca="false">VLOOKUP(B1174,'NIVEL ENERO'!A:D,3,0)</f>
        <v>0.141454496520435</v>
      </c>
      <c r="Q1174" s="229" t="n">
        <f aca="false">VLOOKUP(B1174,'NIVEL ENERO'!A:D,4,0)</f>
        <v>724469</v>
      </c>
      <c r="R1174" s="186" t="str">
        <f aca="false">+PROPER(C1174&amp;" "&amp;D1174)</f>
        <v>Salazar Rendon Diego Alexander</v>
      </c>
      <c r="S1174" s="230" t="n">
        <f aca="false">+YEARFRAC(L1174,$S$1)</f>
        <v>3.02222222222222</v>
      </c>
      <c r="T1174" s="230" t="n">
        <f aca="false">+YEARFRAC(M1174,$S$1)</f>
        <v>3.40833333333333</v>
      </c>
      <c r="U1174" s="231" t="n">
        <f aca="false">+$I1174</f>
        <v>0</v>
      </c>
      <c r="V1174" s="232" t="str">
        <f aca="false">+PROPER(F1174)</f>
        <v>Union Libre</v>
      </c>
    </row>
    <row r="1175" customFormat="false" ht="14.25" hidden="false" customHeight="false" outlineLevel="0" collapsed="false">
      <c r="B1175" s="197" t="n">
        <v>1130588719</v>
      </c>
      <c r="C1175" s="197" t="s">
        <v>3011</v>
      </c>
      <c r="D1175" s="197" t="s">
        <v>3012</v>
      </c>
      <c r="E1175" s="198" t="s">
        <v>944</v>
      </c>
      <c r="F1175" s="198" t="s">
        <v>953</v>
      </c>
      <c r="G1175" s="225" t="n">
        <v>2893800</v>
      </c>
      <c r="H1175" s="225" t="n">
        <v>1679959</v>
      </c>
      <c r="I1175" s="225" t="n">
        <v>5522331</v>
      </c>
      <c r="J1175" s="198" t="n">
        <v>39</v>
      </c>
      <c r="K1175" s="198" t="n">
        <v>1</v>
      </c>
      <c r="L1175" s="226" t="n">
        <v>45050</v>
      </c>
      <c r="M1175" s="226" t="n">
        <v>42958</v>
      </c>
      <c r="N1175" s="227" t="n">
        <v>2</v>
      </c>
      <c r="O1175" s="227" t="s">
        <v>135</v>
      </c>
      <c r="P1175" s="228" t="n">
        <f aca="false">VLOOKUP(B1175,'NIVEL ENERO'!A:D,3,0)</f>
        <v>0.437700018994948</v>
      </c>
      <c r="Q1175" s="229" t="n">
        <f aca="false">VLOOKUP(B1175,'NIVEL ENERO'!A:D,4,0)</f>
        <v>-65880.22</v>
      </c>
      <c r="R1175" s="186" t="str">
        <f aca="false">+PROPER(C1175&amp;" "&amp;D1175)</f>
        <v>Munoz Angulo Ana Lucia</v>
      </c>
      <c r="S1175" s="230" t="n">
        <f aca="false">+YEARFRAC(L1175,$S$1)</f>
        <v>3.02222222222222</v>
      </c>
      <c r="T1175" s="230" t="n">
        <f aca="false">+YEARFRAC(M1175,$S$1)</f>
        <v>8.75277777777778</v>
      </c>
      <c r="U1175" s="231" t="n">
        <f aca="false">+$I1175</f>
        <v>5522331</v>
      </c>
      <c r="V1175" s="232" t="str">
        <f aca="false">+PROPER(F1175)</f>
        <v>Soltero(A)</v>
      </c>
    </row>
    <row r="1176" customFormat="false" ht="14.25" hidden="false" customHeight="false" outlineLevel="0" collapsed="false">
      <c r="B1176" s="197" t="n">
        <v>1130589547</v>
      </c>
      <c r="C1176" s="197" t="s">
        <v>3013</v>
      </c>
      <c r="D1176" s="197" t="s">
        <v>3014</v>
      </c>
      <c r="E1176" s="198" t="s">
        <v>944</v>
      </c>
      <c r="F1176" s="198" t="s">
        <v>948</v>
      </c>
      <c r="G1176" s="225" t="n">
        <v>2893800</v>
      </c>
      <c r="H1176" s="225" t="n">
        <v>2644186</v>
      </c>
      <c r="I1176" s="225" t="n">
        <v>0</v>
      </c>
      <c r="J1176" s="198" t="n">
        <v>38</v>
      </c>
      <c r="K1176" s="198" t="n">
        <v>4</v>
      </c>
      <c r="L1176" s="226" t="n">
        <v>44123</v>
      </c>
      <c r="M1176" s="226" t="n">
        <v>44134</v>
      </c>
      <c r="N1176" s="227" t="n">
        <v>4</v>
      </c>
      <c r="O1176" s="227" t="s">
        <v>135</v>
      </c>
      <c r="P1176" s="228" t="n">
        <f aca="false">VLOOKUP(B1176,'NIVEL ENERO'!A:D,3,0)</f>
        <v>0.25812543404094</v>
      </c>
      <c r="Q1176" s="229" t="n">
        <f aca="false">VLOOKUP(B1176,'NIVEL ENERO'!A:D,4,0)</f>
        <v>531994.34</v>
      </c>
      <c r="R1176" s="186" t="str">
        <f aca="false">+PROPER(C1176&amp;" "&amp;D1176)</f>
        <v>Bolanos Chamorro Yeimy Katerine</v>
      </c>
      <c r="S1176" s="230" t="n">
        <f aca="false">+YEARFRAC(L1176,$S$1)</f>
        <v>5.56388888888889</v>
      </c>
      <c r="T1176" s="230" t="n">
        <f aca="false">+YEARFRAC(M1176,$S$1)</f>
        <v>5.53333333333333</v>
      </c>
      <c r="U1176" s="231" t="n">
        <f aca="false">+$I1176</f>
        <v>0</v>
      </c>
      <c r="V1176" s="232" t="str">
        <f aca="false">+PROPER(F1176)</f>
        <v>Casado(A)</v>
      </c>
    </row>
    <row r="1177" customFormat="false" ht="14.25" hidden="false" customHeight="false" outlineLevel="0" collapsed="false">
      <c r="B1177" s="197" t="n">
        <v>1130589667</v>
      </c>
      <c r="C1177" s="197" t="s">
        <v>3015</v>
      </c>
      <c r="D1177" s="197" t="s">
        <v>1434</v>
      </c>
      <c r="E1177" s="198" t="s">
        <v>944</v>
      </c>
      <c r="F1177" s="198" t="s">
        <v>945</v>
      </c>
      <c r="G1177" s="225" t="n">
        <v>1991000</v>
      </c>
      <c r="H1177" s="225" t="n">
        <v>3331896</v>
      </c>
      <c r="I1177" s="225" t="n">
        <v>4397001</v>
      </c>
      <c r="J1177" s="198" t="n">
        <v>39</v>
      </c>
      <c r="K1177" s="198" t="n">
        <v>1</v>
      </c>
      <c r="L1177" s="226" t="n">
        <v>43594</v>
      </c>
      <c r="M1177" s="226" t="n">
        <v>43514</v>
      </c>
      <c r="N1177" s="227" t="n">
        <v>3</v>
      </c>
      <c r="O1177" s="227" t="s">
        <v>135</v>
      </c>
      <c r="P1177" s="228" t="n">
        <f aca="false">VLOOKUP(B1177,'NIVEL ENERO'!A:D,3,0)</f>
        <v>0.483701155198393</v>
      </c>
      <c r="Q1177" s="229" t="n">
        <f aca="false">VLOOKUP(B1177,'NIVEL ENERO'!A:D,4,0)</f>
        <v>-126829</v>
      </c>
      <c r="R1177" s="186" t="str">
        <f aca="false">+PROPER(C1177&amp;" "&amp;D1177)</f>
        <v>Hurtado Montoya Diana Marcela</v>
      </c>
      <c r="S1177" s="230" t="n">
        <f aca="false">+YEARFRAC(L1177,$S$1)</f>
        <v>7.00833333333333</v>
      </c>
      <c r="T1177" s="230" t="n">
        <f aca="false">+YEARFRAC(M1177,$S$1)</f>
        <v>7.23333333333333</v>
      </c>
      <c r="U1177" s="231" t="n">
        <f aca="false">+$I1177</f>
        <v>4397001</v>
      </c>
      <c r="V1177" s="232" t="str">
        <f aca="false">+PROPER(F1177)</f>
        <v>Union Libre</v>
      </c>
    </row>
    <row r="1178" customFormat="false" ht="14.25" hidden="false" customHeight="false" outlineLevel="0" collapsed="false">
      <c r="B1178" s="197" t="n">
        <v>1130589776</v>
      </c>
      <c r="C1178" s="197" t="s">
        <v>3016</v>
      </c>
      <c r="D1178" s="197" t="s">
        <v>3017</v>
      </c>
      <c r="E1178" s="198" t="s">
        <v>944</v>
      </c>
      <c r="F1178" s="198" t="s">
        <v>953</v>
      </c>
      <c r="G1178" s="225" t="n">
        <v>2893800</v>
      </c>
      <c r="H1178" s="225" t="n">
        <v>1658179</v>
      </c>
      <c r="I1178" s="225" t="n">
        <v>0</v>
      </c>
      <c r="J1178" s="198" t="n">
        <v>38</v>
      </c>
      <c r="K1178" s="198" t="n">
        <v>3</v>
      </c>
      <c r="L1178" s="226" t="n">
        <v>44825</v>
      </c>
      <c r="M1178" s="226" t="n">
        <v>44783</v>
      </c>
      <c r="N1178" s="227" t="n">
        <v>3</v>
      </c>
      <c r="O1178" s="227" t="s">
        <v>135</v>
      </c>
      <c r="P1178" s="228" t="n">
        <f aca="false">VLOOKUP(B1178,'NIVEL ENERO'!A:D,3,0)</f>
        <v>0.127076853963646</v>
      </c>
      <c r="Q1178" s="229" t="n">
        <f aca="false">VLOOKUP(B1178,'NIVEL ENERO'!A:D,4,0)</f>
        <v>847661</v>
      </c>
      <c r="R1178" s="186" t="str">
        <f aca="false">+PROPER(C1178&amp;" "&amp;D1178)</f>
        <v>Rodriguez Ortiz Yeici Alejandra</v>
      </c>
      <c r="S1178" s="230" t="n">
        <f aca="false">+YEARFRAC(L1178,$S$1)</f>
        <v>3.64166666666667</v>
      </c>
      <c r="T1178" s="230" t="n">
        <f aca="false">+YEARFRAC(M1178,$S$1)</f>
        <v>3.75555555555556</v>
      </c>
      <c r="U1178" s="231" t="n">
        <f aca="false">+$I1178</f>
        <v>0</v>
      </c>
      <c r="V1178" s="232" t="str">
        <f aca="false">+PROPER(F1178)</f>
        <v>Soltero(A)</v>
      </c>
    </row>
    <row r="1179" customFormat="false" ht="14.25" hidden="false" customHeight="false" outlineLevel="0" collapsed="false">
      <c r="B1179" s="197" t="n">
        <v>1130590061</v>
      </c>
      <c r="C1179" s="197" t="s">
        <v>3018</v>
      </c>
      <c r="D1179" s="197" t="s">
        <v>3019</v>
      </c>
      <c r="E1179" s="198" t="s">
        <v>944</v>
      </c>
      <c r="F1179" s="198" t="s">
        <v>953</v>
      </c>
      <c r="G1179" s="225" t="n">
        <v>1625000</v>
      </c>
      <c r="H1179" s="225" t="n">
        <v>995000</v>
      </c>
      <c r="I1179" s="225" t="n">
        <v>0</v>
      </c>
      <c r="J1179" s="198" t="n">
        <v>38</v>
      </c>
      <c r="K1179" s="198" t="n">
        <v>2</v>
      </c>
      <c r="L1179" s="226" t="n">
        <v>45343</v>
      </c>
      <c r="M1179" s="226" t="n">
        <v>44946</v>
      </c>
      <c r="N1179" s="227" t="n">
        <v>0</v>
      </c>
      <c r="O1179" s="227" t="s">
        <v>135</v>
      </c>
      <c r="P1179" s="228" t="n">
        <f aca="false">VLOOKUP(B1179,'NIVEL ENERO'!A:D,3,0)</f>
        <v>0.297963516970533</v>
      </c>
      <c r="Q1179" s="229" t="n">
        <f aca="false">VLOOKUP(B1179,'NIVEL ENERO'!A:D,4,0)</f>
        <v>255646.54</v>
      </c>
      <c r="R1179" s="186" t="str">
        <f aca="false">+PROPER(C1179&amp;" "&amp;D1179)</f>
        <v>Salazar Escobar Ivonne</v>
      </c>
      <c r="S1179" s="230" t="n">
        <f aca="false">+YEARFRAC(L1179,$S$1)</f>
        <v>2.225</v>
      </c>
      <c r="T1179" s="230" t="n">
        <f aca="false">+YEARFRAC(M1179,$S$1)</f>
        <v>3.31111111111111</v>
      </c>
      <c r="U1179" s="231" t="n">
        <f aca="false">+$I1179</f>
        <v>0</v>
      </c>
      <c r="V1179" s="232" t="str">
        <f aca="false">+PROPER(F1179)</f>
        <v>Soltero(A)</v>
      </c>
    </row>
    <row r="1180" customFormat="false" ht="14.25" hidden="false" customHeight="false" outlineLevel="0" collapsed="false">
      <c r="B1180" s="197" t="n">
        <v>1130590528</v>
      </c>
      <c r="C1180" s="197" t="s">
        <v>3020</v>
      </c>
      <c r="D1180" s="197" t="s">
        <v>3021</v>
      </c>
      <c r="E1180" s="198" t="s">
        <v>981</v>
      </c>
      <c r="F1180" s="198" t="s">
        <v>953</v>
      </c>
      <c r="G1180" s="225" t="n">
        <v>5418800</v>
      </c>
      <c r="H1180" s="225" t="n">
        <v>325000</v>
      </c>
      <c r="I1180" s="225"/>
      <c r="J1180" s="198" t="n">
        <v>38</v>
      </c>
      <c r="K1180" s="198" t="n">
        <v>3</v>
      </c>
      <c r="L1180" s="226" t="n">
        <v>45525</v>
      </c>
      <c r="M1180" s="226" t="n">
        <v>44123</v>
      </c>
      <c r="N1180" s="227" t="n">
        <v>0</v>
      </c>
      <c r="O1180" s="227" t="s">
        <v>135</v>
      </c>
      <c r="P1180" s="228" t="n">
        <f aca="false">VLOOKUP(B1180,'NIVEL ENERO'!A:D,3,0)</f>
        <v>0.175277918966018</v>
      </c>
      <c r="Q1180" s="229" t="n">
        <f aca="false">VLOOKUP(B1180,'NIVEL ENERO'!A:D,4,0)</f>
        <v>1348125</v>
      </c>
      <c r="R1180" s="186" t="str">
        <f aca="false">+PROPER(C1180&amp;" "&amp;D1180)</f>
        <v>Rosero Losada Ingrid Stivalis</v>
      </c>
      <c r="S1180" s="230" t="n">
        <f aca="false">+YEARFRAC(L1180,$S$1)</f>
        <v>1.725</v>
      </c>
      <c r="T1180" s="230" t="n">
        <f aca="false">+YEARFRAC(M1180,$S$1)</f>
        <v>5.56388888888889</v>
      </c>
      <c r="U1180" s="231" t="n">
        <f aca="false">+$I1180</f>
        <v>0</v>
      </c>
      <c r="V1180" s="232" t="str">
        <f aca="false">+PROPER(F1180)</f>
        <v>Soltero(A)</v>
      </c>
    </row>
    <row r="1181" customFormat="false" ht="14.25" hidden="false" customHeight="false" outlineLevel="0" collapsed="false">
      <c r="B1181" s="197" t="n">
        <v>1130590645</v>
      </c>
      <c r="C1181" s="197" t="s">
        <v>3022</v>
      </c>
      <c r="D1181" s="197" t="s">
        <v>3023</v>
      </c>
      <c r="E1181" s="198" t="s">
        <v>944</v>
      </c>
      <c r="F1181" s="198" t="s">
        <v>953</v>
      </c>
      <c r="G1181" s="225" t="n">
        <v>5291000</v>
      </c>
      <c r="H1181" s="225" t="n">
        <v>5126929</v>
      </c>
      <c r="I1181" s="225" t="n">
        <v>1632618</v>
      </c>
      <c r="J1181" s="198" t="n">
        <v>37</v>
      </c>
      <c r="K1181" s="198" t="n">
        <v>4</v>
      </c>
      <c r="L1181" s="226" t="n">
        <v>42230</v>
      </c>
      <c r="M1181" s="226" t="n">
        <v>38931</v>
      </c>
      <c r="N1181" s="227" t="n">
        <v>2</v>
      </c>
      <c r="O1181" s="227" t="s">
        <v>135</v>
      </c>
      <c r="P1181" s="228" t="n">
        <f aca="false">VLOOKUP(B1181,'NIVEL ENERO'!A:D,3,0)</f>
        <v>0.493922698922699</v>
      </c>
      <c r="Q1181" s="229" t="n">
        <f aca="false">VLOOKUP(B1181,'NIVEL ENERO'!A:D,4,0)</f>
        <v>-391125</v>
      </c>
      <c r="R1181" s="186" t="str">
        <f aca="false">+PROPER(C1181&amp;" "&amp;D1181)</f>
        <v>Mejia Marmolejo Monica Maria</v>
      </c>
      <c r="S1181" s="230" t="n">
        <f aca="false">+YEARFRAC(L1181,$S$1)</f>
        <v>10.7444444444444</v>
      </c>
      <c r="T1181" s="230" t="n">
        <f aca="false">+YEARFRAC(M1181,$S$1)</f>
        <v>19.7777777777778</v>
      </c>
      <c r="U1181" s="231" t="n">
        <f aca="false">+$I1181</f>
        <v>1632618</v>
      </c>
      <c r="V1181" s="232" t="str">
        <f aca="false">+PROPER(F1181)</f>
        <v>Soltero(A)</v>
      </c>
    </row>
    <row r="1182" customFormat="false" ht="14.25" hidden="false" customHeight="false" outlineLevel="0" collapsed="false">
      <c r="B1182" s="197" t="n">
        <v>1130590776</v>
      </c>
      <c r="C1182" s="197" t="s">
        <v>3024</v>
      </c>
      <c r="D1182" s="197" t="s">
        <v>3025</v>
      </c>
      <c r="E1182" s="198" t="s">
        <v>944</v>
      </c>
      <c r="F1182" s="198" t="s">
        <v>953</v>
      </c>
      <c r="G1182" s="225" t="n">
        <v>4870200</v>
      </c>
      <c r="H1182" s="225" t="n">
        <v>455000</v>
      </c>
      <c r="I1182" s="225" t="n">
        <v>1728412</v>
      </c>
      <c r="J1182" s="198" t="n">
        <v>38</v>
      </c>
      <c r="K1182" s="198" t="n">
        <v>2</v>
      </c>
      <c r="L1182" s="226" t="n">
        <v>45448</v>
      </c>
      <c r="M1182" s="226" t="n">
        <v>44662</v>
      </c>
      <c r="N1182" s="227" t="n">
        <v>0</v>
      </c>
      <c r="O1182" s="227" t="s">
        <v>135</v>
      </c>
      <c r="P1182" s="228" t="n">
        <f aca="false">VLOOKUP(B1182,'NIVEL ENERO'!A:D,3,0)</f>
        <v>0.138423131213169</v>
      </c>
      <c r="Q1182" s="229" t="n">
        <f aca="false">VLOOKUP(B1182,'NIVEL ENERO'!A:D,4,0)</f>
        <v>1438861.46</v>
      </c>
      <c r="R1182" s="186" t="str">
        <f aca="false">+PROPER(C1182&amp;" "&amp;D1182)</f>
        <v>Perlaza Arias Isabel</v>
      </c>
      <c r="S1182" s="230" t="n">
        <f aca="false">+YEARFRAC(L1182,$S$1)</f>
        <v>1.93611111111111</v>
      </c>
      <c r="T1182" s="230" t="n">
        <f aca="false">+YEARFRAC(M1182,$S$1)</f>
        <v>4.08611111111111</v>
      </c>
      <c r="U1182" s="231" t="n">
        <f aca="false">+$I1182</f>
        <v>1728412</v>
      </c>
      <c r="V1182" s="232" t="str">
        <f aca="false">+PROPER(F1182)</f>
        <v>Soltero(A)</v>
      </c>
    </row>
    <row r="1183" customFormat="false" ht="14.25" hidden="false" customHeight="false" outlineLevel="0" collapsed="false">
      <c r="B1183" s="197" t="n">
        <v>1130591110</v>
      </c>
      <c r="C1183" s="197" t="s">
        <v>3026</v>
      </c>
      <c r="D1183" s="197" t="s">
        <v>3027</v>
      </c>
      <c r="E1183" s="198" t="s">
        <v>944</v>
      </c>
      <c r="F1183" s="198" t="s">
        <v>948</v>
      </c>
      <c r="G1183" s="225" t="n">
        <v>4469100</v>
      </c>
      <c r="H1183" s="225" t="n">
        <v>3730411</v>
      </c>
      <c r="I1183" s="225" t="n">
        <v>0</v>
      </c>
      <c r="J1183" s="198" t="n">
        <v>37</v>
      </c>
      <c r="K1183" s="198" t="n">
        <v>2</v>
      </c>
      <c r="L1183" s="226" t="n">
        <v>44866</v>
      </c>
      <c r="M1183" s="226" t="n">
        <v>42522</v>
      </c>
      <c r="N1183" s="227" t="n">
        <v>4</v>
      </c>
      <c r="O1183" s="227" t="s">
        <v>135</v>
      </c>
      <c r="P1183" s="228" t="n">
        <f aca="false">VLOOKUP(B1183,'NIVEL ENERO'!A:D,3,0)</f>
        <v>0.286925762723517</v>
      </c>
      <c r="Q1183" s="229" t="n">
        <f aca="false">VLOOKUP(B1183,'NIVEL ENERO'!A:D,4,0)</f>
        <v>667123.02</v>
      </c>
      <c r="R1183" s="186" t="str">
        <f aca="false">+PROPER(C1183&amp;" "&amp;D1183)</f>
        <v>Cardona Castano Alberto Harold</v>
      </c>
      <c r="S1183" s="230" t="n">
        <f aca="false">+YEARFRAC(L1183,$S$1)</f>
        <v>3.53055555555556</v>
      </c>
      <c r="T1183" s="230" t="n">
        <f aca="false">+YEARFRAC(M1183,$S$1)</f>
        <v>9.94722222222222</v>
      </c>
      <c r="U1183" s="231" t="n">
        <f aca="false">+$I1183</f>
        <v>0</v>
      </c>
      <c r="V1183" s="232" t="str">
        <f aca="false">+PROPER(F1183)</f>
        <v>Casado(A)</v>
      </c>
    </row>
    <row r="1184" customFormat="false" ht="14.25" hidden="false" customHeight="false" outlineLevel="0" collapsed="false">
      <c r="B1184" s="197" t="n">
        <v>1130591493</v>
      </c>
      <c r="C1184" s="197" t="s">
        <v>2585</v>
      </c>
      <c r="D1184" s="197" t="s">
        <v>3028</v>
      </c>
      <c r="E1184" s="198" t="s">
        <v>944</v>
      </c>
      <c r="F1184" s="198" t="s">
        <v>953</v>
      </c>
      <c r="G1184" s="225" t="n">
        <v>2255900</v>
      </c>
      <c r="H1184" s="225" t="n">
        <v>717283</v>
      </c>
      <c r="I1184" s="225" t="n">
        <v>0</v>
      </c>
      <c r="J1184" s="198" t="n">
        <v>38</v>
      </c>
      <c r="K1184" s="198" t="n">
        <v>1</v>
      </c>
      <c r="L1184" s="226" t="n">
        <v>45342</v>
      </c>
      <c r="M1184" s="226" t="n">
        <v>44470</v>
      </c>
      <c r="N1184" s="227" t="n">
        <v>0</v>
      </c>
      <c r="O1184" s="227" t="s">
        <v>135</v>
      </c>
      <c r="P1184" s="228" t="n">
        <f aca="false">VLOOKUP(B1184,'NIVEL ENERO'!A:D,3,0)</f>
        <v>0.440987313993954</v>
      </c>
      <c r="Q1184" s="229" t="n">
        <f aca="false">VLOOKUP(B1184,'NIVEL ENERO'!A:D,4,0)</f>
        <v>-59881.4800000002</v>
      </c>
      <c r="R1184" s="186" t="str">
        <f aca="false">+PROPER(C1184&amp;" "&amp;D1184)</f>
        <v>Betancourt Perez Priscila</v>
      </c>
      <c r="S1184" s="230" t="n">
        <f aca="false">+YEARFRAC(L1184,$S$1)</f>
        <v>2.22777777777778</v>
      </c>
      <c r="T1184" s="230" t="n">
        <f aca="false">+YEARFRAC(M1184,$S$1)</f>
        <v>4.61388888888889</v>
      </c>
      <c r="U1184" s="231" t="n">
        <f aca="false">+$I1184</f>
        <v>0</v>
      </c>
      <c r="V1184" s="232" t="str">
        <f aca="false">+PROPER(F1184)</f>
        <v>Soltero(A)</v>
      </c>
    </row>
    <row r="1185" customFormat="false" ht="14.25" hidden="false" customHeight="false" outlineLevel="0" collapsed="false">
      <c r="B1185" s="197" t="n">
        <v>1130592120</v>
      </c>
      <c r="C1185" s="197" t="s">
        <v>3029</v>
      </c>
      <c r="D1185" s="197" t="s">
        <v>2649</v>
      </c>
      <c r="E1185" s="198" t="s">
        <v>944</v>
      </c>
      <c r="F1185" s="198" t="s">
        <v>953</v>
      </c>
      <c r="G1185" s="225" t="n">
        <v>2893800</v>
      </c>
      <c r="H1185" s="225" t="n">
        <v>1910716</v>
      </c>
      <c r="I1185" s="225"/>
      <c r="J1185" s="198" t="n">
        <v>38</v>
      </c>
      <c r="K1185" s="198" t="n">
        <v>3</v>
      </c>
      <c r="L1185" s="226" t="n">
        <v>44670</v>
      </c>
      <c r="M1185" s="226" t="n">
        <v>44105</v>
      </c>
      <c r="N1185" s="227" t="n">
        <v>1</v>
      </c>
      <c r="O1185" s="227" t="s">
        <v>135</v>
      </c>
      <c r="P1185" s="228" t="n">
        <f aca="false">VLOOKUP(B1185,'NIVEL ENERO'!A:D,3,0)</f>
        <v>0.367547566561614</v>
      </c>
      <c r="Q1185" s="229" t="n">
        <f aca="false">VLOOKUP(B1185,'NIVEL ENERO'!A:D,4,0)</f>
        <v>242559.04</v>
      </c>
      <c r="R1185" s="186" t="str">
        <f aca="false">+PROPER(C1185&amp;" "&amp;D1185)</f>
        <v>Navia Torres Maria Del Mar</v>
      </c>
      <c r="S1185" s="230" t="n">
        <f aca="false">+YEARFRAC(L1185,$S$1)</f>
        <v>4.06388888888889</v>
      </c>
      <c r="T1185" s="230" t="n">
        <f aca="false">+YEARFRAC(M1185,$S$1)</f>
        <v>5.61388888888889</v>
      </c>
      <c r="U1185" s="231" t="n">
        <f aca="false">+$I1185</f>
        <v>0</v>
      </c>
      <c r="V1185" s="232" t="str">
        <f aca="false">+PROPER(F1185)</f>
        <v>Soltero(A)</v>
      </c>
    </row>
    <row r="1186" customFormat="false" ht="14.25" hidden="false" customHeight="false" outlineLevel="0" collapsed="false">
      <c r="B1186" s="197" t="n">
        <v>1130593382</v>
      </c>
      <c r="C1186" s="197" t="s">
        <v>3030</v>
      </c>
      <c r="D1186" s="197" t="s">
        <v>3031</v>
      </c>
      <c r="E1186" s="198" t="s">
        <v>944</v>
      </c>
      <c r="F1186" s="198" t="s">
        <v>945</v>
      </c>
      <c r="G1186" s="225" t="n">
        <v>7114600</v>
      </c>
      <c r="H1186" s="225" t="n">
        <v>7315146</v>
      </c>
      <c r="I1186" s="225" t="n">
        <v>84776</v>
      </c>
      <c r="J1186" s="198" t="n">
        <v>37</v>
      </c>
      <c r="K1186" s="198" t="n">
        <v>6</v>
      </c>
      <c r="L1186" s="226" t="n">
        <v>44790</v>
      </c>
      <c r="M1186" s="226" t="n">
        <v>40366</v>
      </c>
      <c r="N1186" s="227" t="n">
        <v>4</v>
      </c>
      <c r="O1186" s="227" t="s">
        <v>135</v>
      </c>
      <c r="P1186" s="228" t="n">
        <f aca="false">VLOOKUP(B1186,'NIVEL ENERO'!A:D,3,0)</f>
        <v>0.400331425654253</v>
      </c>
      <c r="Q1186" s="229" t="n">
        <f aca="false">VLOOKUP(B1186,'NIVEL ENERO'!A:D,4,0)</f>
        <v>146405</v>
      </c>
      <c r="R1186" s="186" t="str">
        <f aca="false">+PROPER(C1186&amp;" "&amp;D1186)</f>
        <v>Hernandez Trujillo Yuceth Yaneth</v>
      </c>
      <c r="S1186" s="230" t="n">
        <f aca="false">+YEARFRAC(L1186,$S$1)</f>
        <v>3.73611111111111</v>
      </c>
      <c r="T1186" s="230" t="n">
        <f aca="false">+YEARFRAC(M1186,$S$1)</f>
        <v>15.8472222222222</v>
      </c>
      <c r="U1186" s="231" t="n">
        <f aca="false">+$I1186</f>
        <v>84776</v>
      </c>
      <c r="V1186" s="232" t="str">
        <f aca="false">+PROPER(F1186)</f>
        <v>Union Libre</v>
      </c>
    </row>
    <row r="1187" customFormat="false" ht="14.25" hidden="false" customHeight="false" outlineLevel="0" collapsed="false">
      <c r="B1187" s="197" t="n">
        <v>1130594176</v>
      </c>
      <c r="C1187" s="197" t="s">
        <v>3032</v>
      </c>
      <c r="D1187" s="197" t="s">
        <v>3033</v>
      </c>
      <c r="E1187" s="198" t="s">
        <v>944</v>
      </c>
      <c r="F1187" s="198" t="s">
        <v>945</v>
      </c>
      <c r="G1187" s="225" t="n">
        <v>5842800</v>
      </c>
      <c r="H1187" s="225" t="n">
        <v>9222705</v>
      </c>
      <c r="I1187" s="225" t="n">
        <v>9166404</v>
      </c>
      <c r="J1187" s="198" t="n">
        <v>38</v>
      </c>
      <c r="K1187" s="198" t="n">
        <v>3</v>
      </c>
      <c r="L1187" s="226" t="n">
        <v>43529</v>
      </c>
      <c r="M1187" s="226" t="n">
        <v>42139</v>
      </c>
      <c r="N1187" s="227" t="n">
        <v>5</v>
      </c>
      <c r="O1187" s="227" t="s">
        <v>135</v>
      </c>
      <c r="P1187" s="228" t="n">
        <f aca="false">VLOOKUP(B1187,'NIVEL ENERO'!A:D,3,0)</f>
        <v>0.300894263024577</v>
      </c>
      <c r="Q1187" s="229" t="n">
        <f aca="false">VLOOKUP(B1187,'NIVEL ENERO'!A:D,4,0)</f>
        <v>695911</v>
      </c>
      <c r="R1187" s="186" t="str">
        <f aca="false">+PROPER(C1187&amp;" "&amp;D1187)</f>
        <v>Riascos Riascos Dorys Betzayda</v>
      </c>
      <c r="S1187" s="230" t="n">
        <f aca="false">+YEARFRAC(L1187,$S$1)</f>
        <v>7.18611111111111</v>
      </c>
      <c r="T1187" s="230" t="n">
        <f aca="false">+YEARFRAC(M1187,$S$1)</f>
        <v>10.9916666666667</v>
      </c>
      <c r="U1187" s="231" t="n">
        <f aca="false">+$I1187</f>
        <v>9166404</v>
      </c>
      <c r="V1187" s="232" t="str">
        <f aca="false">+PROPER(F1187)</f>
        <v>Union Libre</v>
      </c>
    </row>
    <row r="1188" customFormat="false" ht="14.25" hidden="false" customHeight="false" outlineLevel="0" collapsed="false">
      <c r="B1188" s="197" t="n">
        <v>1130594358</v>
      </c>
      <c r="C1188" s="197" t="s">
        <v>3034</v>
      </c>
      <c r="D1188" s="197" t="s">
        <v>3035</v>
      </c>
      <c r="E1188" s="198" t="s">
        <v>944</v>
      </c>
      <c r="F1188" s="198" t="s">
        <v>948</v>
      </c>
      <c r="G1188" s="225" t="n">
        <v>2893800</v>
      </c>
      <c r="H1188" s="225" t="n">
        <v>1355255</v>
      </c>
      <c r="I1188" s="225" t="n">
        <v>2513354</v>
      </c>
      <c r="J1188" s="198" t="n">
        <v>37</v>
      </c>
      <c r="K1188" s="198" t="n">
        <v>1</v>
      </c>
      <c r="L1188" s="226" t="n">
        <v>45000</v>
      </c>
      <c r="M1188" s="226" t="n">
        <v>39664</v>
      </c>
      <c r="N1188" s="227" t="n">
        <v>0</v>
      </c>
      <c r="O1188" s="227" t="s">
        <v>135</v>
      </c>
      <c r="P1188" s="228" t="n">
        <f aca="false">VLOOKUP(B1188,'NIVEL ENERO'!A:D,3,0)</f>
        <v>0.347010496872379</v>
      </c>
      <c r="Q1188" s="229" t="n">
        <f aca="false">VLOOKUP(B1188,'NIVEL ENERO'!A:D,4,0)</f>
        <v>217645.38</v>
      </c>
      <c r="R1188" s="186" t="str">
        <f aca="false">+PROPER(C1188&amp;" "&amp;D1188)</f>
        <v>Guasaquillo Mosquera Yuranny</v>
      </c>
      <c r="S1188" s="230" t="n">
        <f aca="false">+YEARFRAC(L1188,$S$1)</f>
        <v>3.15833333333333</v>
      </c>
      <c r="T1188" s="230" t="n">
        <f aca="false">+YEARFRAC(M1188,$S$1)</f>
        <v>17.7722222222222</v>
      </c>
      <c r="U1188" s="231" t="n">
        <f aca="false">+$I1188</f>
        <v>2513354</v>
      </c>
      <c r="V1188" s="232" t="str">
        <f aca="false">+PROPER(F1188)</f>
        <v>Casado(A)</v>
      </c>
    </row>
    <row r="1189" customFormat="false" ht="14.25" hidden="false" customHeight="false" outlineLevel="0" collapsed="false">
      <c r="B1189" s="197" t="n">
        <v>1130594758</v>
      </c>
      <c r="C1189" s="197" t="s">
        <v>3036</v>
      </c>
      <c r="D1189" s="197" t="s">
        <v>2024</v>
      </c>
      <c r="E1189" s="198" t="s">
        <v>944</v>
      </c>
      <c r="F1189" s="198" t="s">
        <v>948</v>
      </c>
      <c r="G1189" s="225" t="n">
        <v>2600900</v>
      </c>
      <c r="H1189" s="225" t="n">
        <v>2558222</v>
      </c>
      <c r="I1189" s="225" t="n">
        <v>694451</v>
      </c>
      <c r="J1189" s="198" t="n">
        <v>37</v>
      </c>
      <c r="K1189" s="198" t="n">
        <v>4</v>
      </c>
      <c r="L1189" s="226" t="n">
        <v>44217</v>
      </c>
      <c r="M1189" s="226" t="n">
        <v>44124</v>
      </c>
      <c r="N1189" s="227" t="n">
        <v>2</v>
      </c>
      <c r="O1189" s="227" t="s">
        <v>135</v>
      </c>
      <c r="P1189" s="228" t="n">
        <f aca="false">VLOOKUP(B1189,'NIVEL ENERO'!A:D,3,0)</f>
        <v>0.318836883890423</v>
      </c>
      <c r="Q1189" s="229" t="n">
        <f aca="false">VLOOKUP(B1189,'NIVEL ENERO'!A:D,4,0)</f>
        <v>337988.5</v>
      </c>
      <c r="R1189" s="186" t="str">
        <f aca="false">+PROPER(C1189&amp;" "&amp;D1189)</f>
        <v>Alvarez Hurtado Diana Patricia</v>
      </c>
      <c r="S1189" s="230" t="n">
        <f aca="false">+YEARFRAC(L1189,$S$1)</f>
        <v>5.30833333333333</v>
      </c>
      <c r="T1189" s="230" t="n">
        <f aca="false">+YEARFRAC(M1189,$S$1)</f>
        <v>5.56111111111111</v>
      </c>
      <c r="U1189" s="231" t="n">
        <f aca="false">+$I1189</f>
        <v>694451</v>
      </c>
      <c r="V1189" s="232" t="str">
        <f aca="false">+PROPER(F1189)</f>
        <v>Casado(A)</v>
      </c>
    </row>
    <row r="1190" customFormat="false" ht="14.25" hidden="false" customHeight="false" outlineLevel="0" collapsed="false">
      <c r="B1190" s="197" t="n">
        <v>1130595126</v>
      </c>
      <c r="C1190" s="197" t="s">
        <v>3037</v>
      </c>
      <c r="D1190" s="197" t="s">
        <v>3038</v>
      </c>
      <c r="E1190" s="198" t="s">
        <v>944</v>
      </c>
      <c r="F1190" s="198" t="s">
        <v>953</v>
      </c>
      <c r="G1190" s="225" t="n">
        <v>2893800</v>
      </c>
      <c r="H1190" s="225" t="n">
        <v>1506656</v>
      </c>
      <c r="I1190" s="225" t="n">
        <v>0</v>
      </c>
      <c r="J1190" s="198" t="n">
        <v>37</v>
      </c>
      <c r="K1190" s="198" t="n">
        <v>2</v>
      </c>
      <c r="L1190" s="226" t="n">
        <v>44909</v>
      </c>
      <c r="M1190" s="226" t="n">
        <v>44105</v>
      </c>
      <c r="N1190" s="227" t="n">
        <v>0</v>
      </c>
      <c r="O1190" s="227" t="s">
        <v>135</v>
      </c>
      <c r="P1190" s="228" t="n">
        <f aca="false">VLOOKUP(B1190,'NIVEL ENERO'!A:D,3,0)</f>
        <v>0.158083005611405</v>
      </c>
      <c r="Q1190" s="229" t="n">
        <f aca="false">VLOOKUP(B1190,'NIVEL ENERO'!A:D,4,0)</f>
        <v>1057814.38</v>
      </c>
      <c r="R1190" s="186" t="str">
        <f aca="false">+PROPER(C1190&amp;" "&amp;D1190)</f>
        <v>Ramirez Laura Isabella</v>
      </c>
      <c r="S1190" s="230" t="n">
        <f aca="false">+YEARFRAC(L1190,$S$1)</f>
        <v>3.41111111111111</v>
      </c>
      <c r="T1190" s="230" t="n">
        <f aca="false">+YEARFRAC(M1190,$S$1)</f>
        <v>5.61388888888889</v>
      </c>
      <c r="U1190" s="231" t="n">
        <f aca="false">+$I1190</f>
        <v>0</v>
      </c>
      <c r="V1190" s="232" t="str">
        <f aca="false">+PROPER(F1190)</f>
        <v>Soltero(A)</v>
      </c>
    </row>
    <row r="1191" customFormat="false" ht="14.25" hidden="false" customHeight="false" outlineLevel="0" collapsed="false">
      <c r="B1191" s="197" t="n">
        <v>1130596820</v>
      </c>
      <c r="C1191" s="197" t="s">
        <v>3039</v>
      </c>
      <c r="D1191" s="197" t="s">
        <v>2917</v>
      </c>
      <c r="E1191" s="198" t="s">
        <v>944</v>
      </c>
      <c r="F1191" s="198" t="s">
        <v>948</v>
      </c>
      <c r="G1191" s="225" t="n">
        <v>4469100</v>
      </c>
      <c r="H1191" s="225" t="n">
        <v>400000</v>
      </c>
      <c r="I1191" s="225"/>
      <c r="J1191" s="198" t="n">
        <v>37</v>
      </c>
      <c r="K1191" s="198" t="n">
        <v>2</v>
      </c>
      <c r="L1191" s="226" t="n">
        <v>45524</v>
      </c>
      <c r="M1191" s="226" t="n">
        <v>44727</v>
      </c>
      <c r="N1191" s="227" t="n">
        <v>0</v>
      </c>
      <c r="O1191" s="227" t="s">
        <v>135</v>
      </c>
      <c r="P1191" s="228" t="n">
        <f aca="false">VLOOKUP(B1191,'NIVEL ENERO'!A:D,3,0)</f>
        <v>0.104224217789744</v>
      </c>
      <c r="Q1191" s="229" t="n">
        <f aca="false">VLOOKUP(B1191,'NIVEL ENERO'!A:D,4,0)</f>
        <v>1468500.96</v>
      </c>
      <c r="R1191" s="186" t="str">
        <f aca="false">+PROPER(C1191&amp;" "&amp;D1191)</f>
        <v>Pena Valencia Johana Carolina</v>
      </c>
      <c r="S1191" s="230" t="n">
        <f aca="false">+YEARFRAC(L1191,$S$1)</f>
        <v>1.72777777777778</v>
      </c>
      <c r="T1191" s="230" t="n">
        <f aca="false">+YEARFRAC(M1191,$S$1)</f>
        <v>3.90833333333333</v>
      </c>
      <c r="U1191" s="231" t="n">
        <f aca="false">+$I1191</f>
        <v>0</v>
      </c>
      <c r="V1191" s="232" t="str">
        <f aca="false">+PROPER(F1191)</f>
        <v>Casado(A)</v>
      </c>
    </row>
    <row r="1192" customFormat="false" ht="14.25" hidden="false" customHeight="false" outlineLevel="0" collapsed="false">
      <c r="B1192" s="197" t="n">
        <v>1130597766</v>
      </c>
      <c r="C1192" s="197" t="s">
        <v>3040</v>
      </c>
      <c r="D1192" s="197" t="s">
        <v>1039</v>
      </c>
      <c r="E1192" s="198" t="s">
        <v>944</v>
      </c>
      <c r="F1192" s="198" t="s">
        <v>953</v>
      </c>
      <c r="G1192" s="225" t="n">
        <v>2893800</v>
      </c>
      <c r="H1192" s="225" t="n">
        <v>4009150</v>
      </c>
      <c r="I1192" s="225" t="n">
        <v>6705941</v>
      </c>
      <c r="J1192" s="198" t="n">
        <v>37</v>
      </c>
      <c r="K1192" s="198" t="n">
        <v>2</v>
      </c>
      <c r="L1192" s="226" t="n">
        <v>45051</v>
      </c>
      <c r="M1192" s="226" t="n">
        <v>42086</v>
      </c>
      <c r="N1192" s="227" t="n">
        <v>0</v>
      </c>
      <c r="O1192" s="227" t="s">
        <v>135</v>
      </c>
      <c r="P1192" s="228" t="n">
        <f aca="false">VLOOKUP(B1192,'NIVEL ENERO'!A:D,3,0)</f>
        <v>0.280052180523879</v>
      </c>
      <c r="Q1192" s="229" t="n">
        <f aca="false">VLOOKUP(B1192,'NIVEL ENERO'!A:D,4,0)</f>
        <v>404981</v>
      </c>
      <c r="R1192" s="186" t="str">
        <f aca="false">+PROPER(C1192&amp;" "&amp;D1192)</f>
        <v>Gutierrez Dominguez Miguel Angel</v>
      </c>
      <c r="S1192" s="230" t="n">
        <f aca="false">+YEARFRAC(L1192,$S$1)</f>
        <v>3.01944444444444</v>
      </c>
      <c r="T1192" s="230" t="n">
        <f aca="false">+YEARFRAC(M1192,$S$1)</f>
        <v>11.1361111111111</v>
      </c>
      <c r="U1192" s="231" t="n">
        <f aca="false">+$I1192</f>
        <v>6705941</v>
      </c>
      <c r="V1192" s="232" t="str">
        <f aca="false">+PROPER(F1192)</f>
        <v>Soltero(A)</v>
      </c>
    </row>
    <row r="1193" customFormat="false" ht="14.25" hidden="false" customHeight="false" outlineLevel="0" collapsed="false">
      <c r="B1193" s="197" t="n">
        <v>1130598128</v>
      </c>
      <c r="C1193" s="197" t="s">
        <v>3041</v>
      </c>
      <c r="D1193" s="197" t="s">
        <v>2723</v>
      </c>
      <c r="E1193" s="198" t="s">
        <v>944</v>
      </c>
      <c r="F1193" s="198" t="s">
        <v>945</v>
      </c>
      <c r="G1193" s="225" t="n">
        <v>7551500</v>
      </c>
      <c r="H1193" s="225" t="n">
        <v>7182254</v>
      </c>
      <c r="I1193" s="225" t="n">
        <v>0</v>
      </c>
      <c r="J1193" s="198" t="n">
        <v>37</v>
      </c>
      <c r="K1193" s="198" t="n">
        <v>6</v>
      </c>
      <c r="L1193" s="226" t="n">
        <v>44516</v>
      </c>
      <c r="M1193" s="226" t="n">
        <v>39994</v>
      </c>
      <c r="N1193" s="227" t="n">
        <v>4</v>
      </c>
      <c r="O1193" s="227" t="s">
        <v>135</v>
      </c>
      <c r="P1193" s="228" t="n">
        <f aca="false">VLOOKUP(B1193,'NIVEL ENERO'!A:D,3,0)</f>
        <v>0.307495828752506</v>
      </c>
      <c r="Q1193" s="229" t="n">
        <f aca="false">VLOOKUP(B1193,'NIVEL ENERO'!A:D,4,0)</f>
        <v>869826</v>
      </c>
      <c r="R1193" s="186" t="str">
        <f aca="false">+PROPER(C1193&amp;" "&amp;D1193)</f>
        <v>Castro Fernandez Nathalia</v>
      </c>
      <c r="S1193" s="230" t="n">
        <f aca="false">+YEARFRAC(L1193,$S$1)</f>
        <v>4.48888888888889</v>
      </c>
      <c r="T1193" s="230" t="n">
        <f aca="false">+YEARFRAC(M1193,$S$1)</f>
        <v>16.8666666666667</v>
      </c>
      <c r="U1193" s="231" t="n">
        <f aca="false">+$I1193</f>
        <v>0</v>
      </c>
      <c r="V1193" s="232" t="str">
        <f aca="false">+PROPER(F1193)</f>
        <v>Union Libre</v>
      </c>
    </row>
    <row r="1194" customFormat="false" ht="14.25" hidden="false" customHeight="false" outlineLevel="0" collapsed="false">
      <c r="B1194" s="197" t="n">
        <v>1130598197</v>
      </c>
      <c r="C1194" s="197" t="s">
        <v>3042</v>
      </c>
      <c r="D1194" s="197" t="s">
        <v>3043</v>
      </c>
      <c r="E1194" s="198" t="s">
        <v>944</v>
      </c>
      <c r="F1194" s="198" t="s">
        <v>948</v>
      </c>
      <c r="G1194" s="225" t="n">
        <v>2893800</v>
      </c>
      <c r="H1194" s="225" t="n">
        <v>3072388</v>
      </c>
      <c r="I1194" s="225" t="n">
        <v>3658545</v>
      </c>
      <c r="J1194" s="198" t="n">
        <v>37</v>
      </c>
      <c r="K1194" s="198" t="n">
        <v>1</v>
      </c>
      <c r="L1194" s="226" t="n">
        <v>43909</v>
      </c>
      <c r="M1194" s="226" t="n">
        <v>43804</v>
      </c>
      <c r="N1194" s="227" t="n">
        <v>3</v>
      </c>
      <c r="O1194" s="227" t="s">
        <v>135</v>
      </c>
      <c r="P1194" s="228" t="n">
        <f aca="false">VLOOKUP(B1194,'NIVEL ENERO'!A:D,3,0)</f>
        <v>0.191806606357287</v>
      </c>
      <c r="Q1194" s="229" t="n">
        <f aca="false">VLOOKUP(B1194,'NIVEL ENERO'!A:D,4,0)</f>
        <v>710589.74</v>
      </c>
      <c r="R1194" s="186" t="str">
        <f aca="false">+PROPER(C1194&amp;" "&amp;D1194)</f>
        <v>Romero Tafur Anyela Viviana</v>
      </c>
      <c r="S1194" s="230" t="n">
        <f aca="false">+YEARFRAC(L1194,$S$1)</f>
        <v>6.14722222222222</v>
      </c>
      <c r="T1194" s="230" t="n">
        <f aca="false">+YEARFRAC(M1194,$S$1)</f>
        <v>6.43611111111111</v>
      </c>
      <c r="U1194" s="231" t="n">
        <f aca="false">+$I1194</f>
        <v>3658545</v>
      </c>
      <c r="V1194" s="232" t="str">
        <f aca="false">+PROPER(F1194)</f>
        <v>Casado(A)</v>
      </c>
    </row>
    <row r="1195" customFormat="false" ht="14.25" hidden="false" customHeight="false" outlineLevel="0" collapsed="false">
      <c r="B1195" s="197" t="n">
        <v>1130599537</v>
      </c>
      <c r="C1195" s="197" t="s">
        <v>3044</v>
      </c>
      <c r="D1195" s="197" t="s">
        <v>3045</v>
      </c>
      <c r="E1195" s="198" t="s">
        <v>944</v>
      </c>
      <c r="F1195" s="198" t="s">
        <v>953</v>
      </c>
      <c r="G1195" s="225" t="n">
        <v>2893800</v>
      </c>
      <c r="H1195" s="225" t="n">
        <v>5164964</v>
      </c>
      <c r="I1195" s="225" t="n">
        <v>1030009</v>
      </c>
      <c r="J1195" s="198" t="n">
        <v>38</v>
      </c>
      <c r="K1195" s="198" t="n">
        <v>2</v>
      </c>
      <c r="L1195" s="226" t="n">
        <v>42900</v>
      </c>
      <c r="M1195" s="226" t="n">
        <v>38895</v>
      </c>
      <c r="N1195" s="227" t="n">
        <v>1</v>
      </c>
      <c r="O1195" s="227" t="s">
        <v>135</v>
      </c>
      <c r="P1195" s="228" t="n">
        <f aca="false">VLOOKUP(B1195,'NIVEL ENERO'!A:D,3,0)</f>
        <v>0.380417852069434</v>
      </c>
      <c r="Q1195" s="229" t="n">
        <f aca="false">VLOOKUP(B1195,'NIVEL ENERO'!A:D,4,0)</f>
        <v>154226.1</v>
      </c>
      <c r="R1195" s="186" t="str">
        <f aca="false">+PROPER(C1195&amp;" "&amp;D1195)</f>
        <v>Jimenez Ordonez Gustavo</v>
      </c>
      <c r="S1195" s="230" t="n">
        <f aca="false">+YEARFRAC(L1195,$S$1)</f>
        <v>8.91111111111111</v>
      </c>
      <c r="T1195" s="230" t="n">
        <f aca="false">+YEARFRAC(M1195,$S$1)</f>
        <v>19.875</v>
      </c>
      <c r="U1195" s="231" t="n">
        <f aca="false">+$I1195</f>
        <v>1030009</v>
      </c>
      <c r="V1195" s="232" t="str">
        <f aca="false">+PROPER(F1195)</f>
        <v>Soltero(A)</v>
      </c>
    </row>
    <row r="1196" customFormat="false" ht="14.25" hidden="false" customHeight="false" outlineLevel="0" collapsed="false">
      <c r="B1196" s="197" t="n">
        <v>1130599800</v>
      </c>
      <c r="C1196" s="197" t="s">
        <v>3046</v>
      </c>
      <c r="D1196" s="197" t="s">
        <v>2206</v>
      </c>
      <c r="E1196" s="198" t="s">
        <v>944</v>
      </c>
      <c r="F1196" s="198" t="s">
        <v>945</v>
      </c>
      <c r="G1196" s="225" t="n">
        <v>2648100</v>
      </c>
      <c r="H1196" s="225" t="n">
        <v>100000</v>
      </c>
      <c r="I1196" s="225" t="n">
        <v>0</v>
      </c>
      <c r="J1196" s="198" t="n">
        <v>36</v>
      </c>
      <c r="K1196" s="198" t="n">
        <v>4</v>
      </c>
      <c r="L1196" s="226" t="n">
        <v>45643</v>
      </c>
      <c r="M1196" s="226" t="n">
        <v>41862</v>
      </c>
      <c r="N1196" s="227" t="n">
        <v>4</v>
      </c>
      <c r="O1196" s="227" t="s">
        <v>135</v>
      </c>
      <c r="P1196" s="228" t="e">
        <f aca="false">VLOOKUP(B1196,'NIVEL ENERO'!A:D,3,0)</f>
        <v>#N/A</v>
      </c>
      <c r="Q1196" s="229" t="e">
        <f aca="false">VLOOKUP(B1196,'NIVEL ENERO'!A:D,4,0)</f>
        <v>#N/A</v>
      </c>
      <c r="R1196" s="186" t="str">
        <f aca="false">+PROPER(C1196&amp;" "&amp;D1196)</f>
        <v>Puertas Ramirez Juan Fernando</v>
      </c>
      <c r="S1196" s="230" t="n">
        <f aca="false">+YEARFRAC(L1196,$S$1)</f>
        <v>1.40277777777778</v>
      </c>
      <c r="T1196" s="230" t="n">
        <f aca="false">+YEARFRAC(M1196,$S$1)</f>
        <v>11.7527777777778</v>
      </c>
      <c r="U1196" s="231" t="n">
        <f aca="false">+$I1196</f>
        <v>0</v>
      </c>
      <c r="V1196" s="232" t="str">
        <f aca="false">+PROPER(F1196)</f>
        <v>Union Libre</v>
      </c>
    </row>
    <row r="1197" customFormat="false" ht="14.25" hidden="false" customHeight="false" outlineLevel="0" collapsed="false">
      <c r="B1197" s="197" t="n">
        <v>1130600614</v>
      </c>
      <c r="C1197" s="197" t="s">
        <v>3047</v>
      </c>
      <c r="D1197" s="197" t="s">
        <v>3048</v>
      </c>
      <c r="E1197" s="198" t="s">
        <v>944</v>
      </c>
      <c r="F1197" s="198" t="s">
        <v>953</v>
      </c>
      <c r="G1197" s="225" t="n">
        <v>1991000</v>
      </c>
      <c r="H1197" s="225" t="n">
        <v>2163254</v>
      </c>
      <c r="I1197" s="225" t="n">
        <v>6465861</v>
      </c>
      <c r="J1197" s="198" t="n">
        <v>37</v>
      </c>
      <c r="K1197" s="198" t="n">
        <v>2</v>
      </c>
      <c r="L1197" s="226" t="n">
        <v>44491</v>
      </c>
      <c r="M1197" s="226" t="n">
        <v>44075</v>
      </c>
      <c r="N1197" s="227" t="n">
        <v>3</v>
      </c>
      <c r="O1197" s="227" t="s">
        <v>135</v>
      </c>
      <c r="P1197" s="228" t="n">
        <f aca="false">VLOOKUP(B1197,'NIVEL ENERO'!A:D,3,0)</f>
        <v>0.264037785419001</v>
      </c>
      <c r="Q1197" s="229" t="n">
        <f aca="false">VLOOKUP(B1197,'NIVEL ENERO'!A:D,4,0)</f>
        <v>403677</v>
      </c>
      <c r="R1197" s="186" t="str">
        <f aca="false">+PROPER(C1197&amp;" "&amp;D1197)</f>
        <v>Ortiz Tenorio Paulo Roberto</v>
      </c>
      <c r="S1197" s="230" t="n">
        <f aca="false">+YEARFRAC(L1197,$S$1)</f>
        <v>4.55555555555556</v>
      </c>
      <c r="T1197" s="230" t="n">
        <f aca="false">+YEARFRAC(M1197,$S$1)</f>
        <v>5.69722222222222</v>
      </c>
      <c r="U1197" s="231" t="n">
        <f aca="false">+$I1197</f>
        <v>6465861</v>
      </c>
      <c r="V1197" s="232" t="str">
        <f aca="false">+PROPER(F1197)</f>
        <v>Soltero(A)</v>
      </c>
    </row>
    <row r="1198" customFormat="false" ht="14.25" hidden="false" customHeight="false" outlineLevel="0" collapsed="false">
      <c r="B1198" s="197" t="n">
        <v>1130601788</v>
      </c>
      <c r="C1198" s="197" t="s">
        <v>3049</v>
      </c>
      <c r="D1198" s="197" t="s">
        <v>3050</v>
      </c>
      <c r="E1198" s="198" t="s">
        <v>944</v>
      </c>
      <c r="F1198" s="198" t="s">
        <v>953</v>
      </c>
      <c r="G1198" s="225" t="n">
        <v>4469100</v>
      </c>
      <c r="H1198" s="225" t="n">
        <v>1809701</v>
      </c>
      <c r="I1198" s="225"/>
      <c r="J1198" s="198" t="n">
        <v>36</v>
      </c>
      <c r="K1198" s="198" t="n">
        <v>4</v>
      </c>
      <c r="L1198" s="226" t="n">
        <v>44725</v>
      </c>
      <c r="M1198" s="226" t="n">
        <v>43525</v>
      </c>
      <c r="N1198" s="227" t="n">
        <v>1</v>
      </c>
      <c r="O1198" s="227" t="s">
        <v>135</v>
      </c>
      <c r="P1198" s="228" t="n">
        <f aca="false">VLOOKUP(B1198,'NIVEL ENERO'!A:D,3,0)</f>
        <v>0.180350911872012</v>
      </c>
      <c r="Q1198" s="229" t="n">
        <f aca="false">VLOOKUP(B1198,'NIVEL ENERO'!A:D,4,0)</f>
        <v>1092746.48</v>
      </c>
      <c r="R1198" s="186" t="str">
        <f aca="false">+PROPER(C1198&amp;" "&amp;D1198)</f>
        <v>Jimenez Vivas Jorge David</v>
      </c>
      <c r="S1198" s="230" t="n">
        <f aca="false">+YEARFRAC(L1198,$S$1)</f>
        <v>3.91388888888889</v>
      </c>
      <c r="T1198" s="230" t="n">
        <f aca="false">+YEARFRAC(M1198,$S$1)</f>
        <v>7.19722222222222</v>
      </c>
      <c r="U1198" s="231" t="n">
        <f aca="false">+$I1198</f>
        <v>0</v>
      </c>
      <c r="V1198" s="232" t="str">
        <f aca="false">+PROPER(F1198)</f>
        <v>Soltero(A)</v>
      </c>
    </row>
    <row r="1199" customFormat="false" ht="14.25" hidden="false" customHeight="false" outlineLevel="0" collapsed="false">
      <c r="B1199" s="197" t="n">
        <v>1130602580</v>
      </c>
      <c r="C1199" s="197" t="s">
        <v>3051</v>
      </c>
      <c r="D1199" s="197" t="s">
        <v>3052</v>
      </c>
      <c r="E1199" s="198" t="s">
        <v>944</v>
      </c>
      <c r="F1199" s="198" t="s">
        <v>945</v>
      </c>
      <c r="G1199" s="225" t="n">
        <v>2893800</v>
      </c>
      <c r="H1199" s="225" t="n">
        <v>5635888</v>
      </c>
      <c r="I1199" s="225" t="n">
        <v>7540491</v>
      </c>
      <c r="J1199" s="198" t="n">
        <v>36</v>
      </c>
      <c r="K1199" s="198" t="n">
        <v>3</v>
      </c>
      <c r="L1199" s="226" t="n">
        <v>42562</v>
      </c>
      <c r="M1199" s="226" t="n">
        <v>42500</v>
      </c>
      <c r="N1199" s="227" t="n">
        <v>1</v>
      </c>
      <c r="O1199" s="227" t="s">
        <v>135</v>
      </c>
      <c r="P1199" s="228" t="n">
        <f aca="false">VLOOKUP(B1199,'NIVEL ENERO'!A:D,3,0)</f>
        <v>0.29444629101927</v>
      </c>
      <c r="Q1199" s="229" t="n">
        <f aca="false">VLOOKUP(B1199,'NIVEL ENERO'!A:D,4,0)</f>
        <v>443715.68</v>
      </c>
      <c r="R1199" s="186" t="str">
        <f aca="false">+PROPER(C1199&amp;" "&amp;D1199)</f>
        <v>Juanillo Mina Johana Andrea</v>
      </c>
      <c r="S1199" s="230" t="n">
        <f aca="false">+YEARFRAC(L1199,$S$1)</f>
        <v>9.83611111111111</v>
      </c>
      <c r="T1199" s="230" t="n">
        <f aca="false">+YEARFRAC(M1199,$S$1)</f>
        <v>10.0055555555556</v>
      </c>
      <c r="U1199" s="231" t="n">
        <f aca="false">+$I1199</f>
        <v>7540491</v>
      </c>
      <c r="V1199" s="232" t="str">
        <f aca="false">+PROPER(F1199)</f>
        <v>Union Libre</v>
      </c>
    </row>
    <row r="1200" customFormat="false" ht="14.25" hidden="false" customHeight="false" outlineLevel="0" collapsed="false">
      <c r="B1200" s="197" t="n">
        <v>1130602719</v>
      </c>
      <c r="C1200" s="197" t="s">
        <v>3053</v>
      </c>
      <c r="D1200" s="197" t="s">
        <v>3054</v>
      </c>
      <c r="E1200" s="198" t="s">
        <v>944</v>
      </c>
      <c r="F1200" s="198" t="s">
        <v>945</v>
      </c>
      <c r="G1200" s="225" t="n">
        <v>2600900</v>
      </c>
      <c r="H1200" s="225" t="n">
        <v>715000</v>
      </c>
      <c r="I1200" s="225" t="n">
        <v>73987</v>
      </c>
      <c r="J1200" s="198" t="n">
        <v>37</v>
      </c>
      <c r="K1200" s="198" t="n">
        <v>2</v>
      </c>
      <c r="L1200" s="226" t="n">
        <v>45343</v>
      </c>
      <c r="M1200" s="226" t="n">
        <v>44683</v>
      </c>
      <c r="N1200" s="227" t="n">
        <v>0</v>
      </c>
      <c r="O1200" s="227" t="s">
        <v>135</v>
      </c>
      <c r="P1200" s="228" t="n">
        <f aca="false">VLOOKUP(B1200,'NIVEL ENERO'!A:D,3,0)</f>
        <v>0.125915158357995</v>
      </c>
      <c r="Q1200" s="229" t="n">
        <f aca="false">VLOOKUP(B1200,'NIVEL ENERO'!A:D,4,0)</f>
        <v>892532.3</v>
      </c>
      <c r="R1200" s="186" t="str">
        <f aca="false">+PROPER(C1200&amp;" "&amp;D1200)</f>
        <v>Rodriguez Barreto Evelyn</v>
      </c>
      <c r="S1200" s="230" t="n">
        <f aca="false">+YEARFRAC(L1200,$S$1)</f>
        <v>2.225</v>
      </c>
      <c r="T1200" s="230" t="n">
        <f aca="false">+YEARFRAC(M1200,$S$1)</f>
        <v>4.02777777777778</v>
      </c>
      <c r="U1200" s="231" t="n">
        <f aca="false">+$I1200</f>
        <v>73987</v>
      </c>
      <c r="V1200" s="232" t="str">
        <f aca="false">+PROPER(F1200)</f>
        <v>Union Libre</v>
      </c>
    </row>
    <row r="1201" customFormat="false" ht="14.25" hidden="false" customHeight="false" outlineLevel="0" collapsed="false">
      <c r="B1201" s="197" t="n">
        <v>1130605624</v>
      </c>
      <c r="C1201" s="197" t="s">
        <v>3055</v>
      </c>
      <c r="D1201" s="197" t="s">
        <v>3056</v>
      </c>
      <c r="E1201" s="198" t="s">
        <v>944</v>
      </c>
      <c r="F1201" s="198" t="s">
        <v>945</v>
      </c>
      <c r="G1201" s="225" t="n">
        <v>2893800</v>
      </c>
      <c r="H1201" s="225" t="n">
        <v>3617855</v>
      </c>
      <c r="I1201" s="225" t="n">
        <v>5414651</v>
      </c>
      <c r="J1201" s="198" t="n">
        <v>38</v>
      </c>
      <c r="K1201" s="198" t="n">
        <v>3</v>
      </c>
      <c r="L1201" s="226" t="n">
        <v>42437</v>
      </c>
      <c r="M1201" s="226" t="n">
        <v>39576</v>
      </c>
      <c r="N1201" s="227" t="n">
        <v>3</v>
      </c>
      <c r="O1201" s="227" t="s">
        <v>135</v>
      </c>
      <c r="P1201" s="228" t="n">
        <f aca="false">VLOOKUP(B1201,'NIVEL ENERO'!A:D,3,0)</f>
        <v>0.405011577077952</v>
      </c>
      <c r="Q1201" s="229" t="n">
        <f aca="false">VLOOKUP(B1201,'NIVEL ENERO'!A:D,4,0)</f>
        <v>52899.96</v>
      </c>
      <c r="R1201" s="186" t="str">
        <f aca="false">+PROPER(C1201&amp;" "&amp;D1201)</f>
        <v>Pillimue Del Campo Yulieth Andrea</v>
      </c>
      <c r="S1201" s="230" t="n">
        <f aca="false">+YEARFRAC(L1201,$S$1)</f>
        <v>10.1777777777778</v>
      </c>
      <c r="T1201" s="230" t="n">
        <f aca="false">+YEARFRAC(M1201,$S$1)</f>
        <v>18.0111111111111</v>
      </c>
      <c r="U1201" s="231" t="n">
        <f aca="false">+$I1201</f>
        <v>5414651</v>
      </c>
      <c r="V1201" s="232" t="str">
        <f aca="false">+PROPER(F1201)</f>
        <v>Union Libre</v>
      </c>
    </row>
    <row r="1202" customFormat="false" ht="14.25" hidden="false" customHeight="false" outlineLevel="0" collapsed="false">
      <c r="B1202" s="197" t="n">
        <v>1130605643</v>
      </c>
      <c r="C1202" s="197" t="s">
        <v>1064</v>
      </c>
      <c r="D1202" s="197" t="s">
        <v>3057</v>
      </c>
      <c r="E1202" s="198" t="s">
        <v>944</v>
      </c>
      <c r="F1202" s="198" t="s">
        <v>945</v>
      </c>
      <c r="G1202" s="225" t="n">
        <v>2893800</v>
      </c>
      <c r="H1202" s="225" t="n">
        <v>325000</v>
      </c>
      <c r="I1202" s="225"/>
      <c r="J1202" s="198" t="n">
        <v>38</v>
      </c>
      <c r="K1202" s="198" t="n">
        <v>2</v>
      </c>
      <c r="L1202" s="226" t="n">
        <v>45518</v>
      </c>
      <c r="M1202" s="226" t="n">
        <v>44105</v>
      </c>
      <c r="N1202" s="227" t="n">
        <v>0</v>
      </c>
      <c r="O1202" s="227" t="s">
        <v>135</v>
      </c>
      <c r="P1202" s="228" t="n">
        <f aca="false">VLOOKUP(B1202,'NIVEL ENERO'!A:D,3,0)</f>
        <v>0.202914573731986</v>
      </c>
      <c r="Q1202" s="229" t="n">
        <f aca="false">VLOOKUP(B1202,'NIVEL ENERO'!A:D,4,0)</f>
        <v>955519.16</v>
      </c>
      <c r="R1202" s="186" t="str">
        <f aca="false">+PROPER(C1202&amp;" "&amp;D1202)</f>
        <v>Lopez Ramirez Johanna Alessandra</v>
      </c>
      <c r="S1202" s="230" t="n">
        <f aca="false">+YEARFRAC(L1202,$S$1)</f>
        <v>1.74444444444444</v>
      </c>
      <c r="T1202" s="230" t="n">
        <f aca="false">+YEARFRAC(M1202,$S$1)</f>
        <v>5.61388888888889</v>
      </c>
      <c r="U1202" s="231" t="n">
        <f aca="false">+$I1202</f>
        <v>0</v>
      </c>
      <c r="V1202" s="232" t="str">
        <f aca="false">+PROPER(F1202)</f>
        <v>Union Libre</v>
      </c>
    </row>
    <row r="1203" customFormat="false" ht="14.25" hidden="false" customHeight="false" outlineLevel="0" collapsed="false">
      <c r="B1203" s="197" t="n">
        <v>1130606712</v>
      </c>
      <c r="C1203" s="197" t="s">
        <v>3058</v>
      </c>
      <c r="D1203" s="197" t="s">
        <v>2723</v>
      </c>
      <c r="E1203" s="198" t="s">
        <v>944</v>
      </c>
      <c r="F1203" s="198" t="s">
        <v>953</v>
      </c>
      <c r="G1203" s="225" t="n">
        <v>9417000</v>
      </c>
      <c r="H1203" s="225" t="n">
        <v>195000</v>
      </c>
      <c r="I1203" s="225"/>
      <c r="J1203" s="198" t="n">
        <v>38</v>
      </c>
      <c r="K1203" s="198" t="n">
        <v>1</v>
      </c>
      <c r="L1203" s="226" t="n">
        <v>45189</v>
      </c>
      <c r="M1203" s="226" t="n">
        <v>41590</v>
      </c>
      <c r="N1203" s="227" t="n">
        <v>0</v>
      </c>
      <c r="O1203" s="227" t="s">
        <v>135</v>
      </c>
      <c r="P1203" s="228" t="n">
        <f aca="false">VLOOKUP(B1203,'NIVEL ENERO'!A:D,3,0)</f>
        <v>0.325496620169578</v>
      </c>
      <c r="Q1203" s="229" t="n">
        <f aca="false">VLOOKUP(B1203,'NIVEL ENERO'!A:D,4,0)</f>
        <v>967450</v>
      </c>
      <c r="R1203" s="186" t="str">
        <f aca="false">+PROPER(C1203&amp;" "&amp;D1203)</f>
        <v>Prado Gomez Nathalia</v>
      </c>
      <c r="S1203" s="230" t="n">
        <f aca="false">+YEARFRAC(L1203,$S$1)</f>
        <v>2.64444444444444</v>
      </c>
      <c r="T1203" s="230" t="n">
        <f aca="false">+YEARFRAC(M1203,$S$1)</f>
        <v>12.5</v>
      </c>
      <c r="U1203" s="231" t="n">
        <f aca="false">+$I1203</f>
        <v>0</v>
      </c>
      <c r="V1203" s="232" t="str">
        <f aca="false">+PROPER(F1203)</f>
        <v>Soltero(A)</v>
      </c>
    </row>
    <row r="1204" customFormat="false" ht="14.25" hidden="false" customHeight="false" outlineLevel="0" collapsed="false">
      <c r="B1204" s="197" t="n">
        <v>1130607298</v>
      </c>
      <c r="C1204" s="197" t="s">
        <v>3059</v>
      </c>
      <c r="D1204" s="197" t="s">
        <v>2313</v>
      </c>
      <c r="E1204" s="198" t="s">
        <v>944</v>
      </c>
      <c r="F1204" s="198" t="s">
        <v>948</v>
      </c>
      <c r="G1204" s="225" t="n">
        <v>2600000</v>
      </c>
      <c r="H1204" s="225" t="n">
        <v>1125000</v>
      </c>
      <c r="I1204" s="225" t="n">
        <v>23344505</v>
      </c>
      <c r="J1204" s="198" t="n">
        <v>38</v>
      </c>
      <c r="K1204" s="198" t="n">
        <v>1</v>
      </c>
      <c r="L1204" s="226" t="n">
        <v>45390</v>
      </c>
      <c r="M1204" s="226" t="n">
        <v>42263</v>
      </c>
      <c r="N1204" s="227" t="n">
        <v>3</v>
      </c>
      <c r="O1204" s="227" t="s">
        <v>153</v>
      </c>
      <c r="P1204" s="228" t="e">
        <f aca="false">VLOOKUP(B1204,'NIVEL ENERO'!A:D,3,0)</f>
        <v>#N/A</v>
      </c>
      <c r="Q1204" s="229" t="e">
        <f aca="false">VLOOKUP(B1204,'NIVEL ENERO'!A:D,4,0)</f>
        <v>#N/A</v>
      </c>
      <c r="R1204" s="186" t="str">
        <f aca="false">+PROPER(C1204&amp;" "&amp;D1204)</f>
        <v>Murillo Echavarria Maria Camila</v>
      </c>
      <c r="S1204" s="230" t="n">
        <f aca="false">+YEARFRAC(L1204,$S$1)</f>
        <v>2.09444444444444</v>
      </c>
      <c r="T1204" s="230" t="n">
        <f aca="false">+YEARFRAC(M1204,$S$1)</f>
        <v>10.6555555555556</v>
      </c>
      <c r="U1204" s="231" t="n">
        <f aca="false">+$I1204</f>
        <v>23344505</v>
      </c>
      <c r="V1204" s="232" t="str">
        <f aca="false">+PROPER(F1204)</f>
        <v>Casado(A)</v>
      </c>
    </row>
    <row r="1205" customFormat="false" ht="14.25" hidden="false" customHeight="false" outlineLevel="0" collapsed="false">
      <c r="B1205" s="197" t="n">
        <v>1130608171</v>
      </c>
      <c r="C1205" s="197" t="s">
        <v>3060</v>
      </c>
      <c r="D1205" s="197" t="s">
        <v>1241</v>
      </c>
      <c r="E1205" s="198" t="s">
        <v>944</v>
      </c>
      <c r="F1205" s="198" t="s">
        <v>948</v>
      </c>
      <c r="G1205" s="225" t="n">
        <v>2600900</v>
      </c>
      <c r="H1205" s="225" t="n">
        <v>1910716</v>
      </c>
      <c r="I1205" s="225" t="n">
        <v>0</v>
      </c>
      <c r="J1205" s="198" t="n">
        <v>38</v>
      </c>
      <c r="K1205" s="198" t="n">
        <v>2</v>
      </c>
      <c r="L1205" s="226" t="n">
        <v>44613</v>
      </c>
      <c r="M1205" s="226" t="n">
        <v>41928</v>
      </c>
      <c r="N1205" s="227" t="n">
        <v>5</v>
      </c>
      <c r="O1205" s="227" t="s">
        <v>135</v>
      </c>
      <c r="P1205" s="228" t="n">
        <f aca="false">VLOOKUP(B1205,'NIVEL ENERO'!A:D,3,0)</f>
        <v>0.349426736898766</v>
      </c>
      <c r="Q1205" s="229" t="n">
        <f aca="false">VLOOKUP(B1205,'NIVEL ENERO'!A:D,4,0)</f>
        <v>183554</v>
      </c>
      <c r="R1205" s="186" t="str">
        <f aca="false">+PROPER(C1205&amp;" "&amp;D1205)</f>
        <v>Bravo Cuyato Diana Carolina</v>
      </c>
      <c r="S1205" s="230" t="n">
        <f aca="false">+YEARFRAC(L1205,$S$1)</f>
        <v>4.225</v>
      </c>
      <c r="T1205" s="230" t="n">
        <f aca="false">+YEARFRAC(M1205,$S$1)</f>
        <v>11.5722222222222</v>
      </c>
      <c r="U1205" s="231" t="n">
        <f aca="false">+$I1205</f>
        <v>0</v>
      </c>
      <c r="V1205" s="232" t="str">
        <f aca="false">+PROPER(F1205)</f>
        <v>Casado(A)</v>
      </c>
    </row>
    <row r="1206" customFormat="false" ht="14.25" hidden="false" customHeight="false" outlineLevel="0" collapsed="false">
      <c r="B1206" s="197" t="n">
        <v>1130608230</v>
      </c>
      <c r="C1206" s="197" t="s">
        <v>3061</v>
      </c>
      <c r="D1206" s="197" t="s">
        <v>3062</v>
      </c>
      <c r="E1206" s="198" t="s">
        <v>944</v>
      </c>
      <c r="F1206" s="198" t="s">
        <v>953</v>
      </c>
      <c r="G1206" s="225" t="n">
        <v>2893800</v>
      </c>
      <c r="H1206" s="225" t="n">
        <v>4284568</v>
      </c>
      <c r="I1206" s="225" t="n">
        <v>5292882</v>
      </c>
      <c r="J1206" s="198" t="n">
        <v>38</v>
      </c>
      <c r="K1206" s="198" t="n">
        <v>2</v>
      </c>
      <c r="L1206" s="226" t="n">
        <v>43649</v>
      </c>
      <c r="M1206" s="226" t="n">
        <v>43405</v>
      </c>
      <c r="N1206" s="227" t="n">
        <v>6</v>
      </c>
      <c r="O1206" s="227" t="s">
        <v>135</v>
      </c>
      <c r="P1206" s="228" t="n">
        <f aca="false">VLOOKUP(B1206,'NIVEL ENERO'!A:D,3,0)</f>
        <v>0.182871509613566</v>
      </c>
      <c r="Q1206" s="229" t="n">
        <f aca="false">VLOOKUP(B1206,'NIVEL ENERO'!A:D,4,0)</f>
        <v>839006.76</v>
      </c>
      <c r="R1206" s="186" t="str">
        <f aca="false">+PROPER(C1206&amp;" "&amp;D1206)</f>
        <v>Arce Marin Yeferzon</v>
      </c>
      <c r="S1206" s="230" t="n">
        <f aca="false">+YEARFRAC(L1206,$S$1)</f>
        <v>6.85833333333333</v>
      </c>
      <c r="T1206" s="230" t="n">
        <f aca="false">+YEARFRAC(M1206,$S$1)</f>
        <v>7.53055555555556</v>
      </c>
      <c r="U1206" s="231" t="n">
        <f aca="false">+$I1206</f>
        <v>5292882</v>
      </c>
      <c r="V1206" s="232" t="str">
        <f aca="false">+PROPER(F1206)</f>
        <v>Soltero(A)</v>
      </c>
    </row>
    <row r="1207" customFormat="false" ht="14.25" hidden="false" customHeight="false" outlineLevel="0" collapsed="false">
      <c r="B1207" s="197" t="n">
        <v>1130608437</v>
      </c>
      <c r="C1207" s="197" t="s">
        <v>3063</v>
      </c>
      <c r="D1207" s="197" t="s">
        <v>3064</v>
      </c>
      <c r="E1207" s="198" t="s">
        <v>944</v>
      </c>
      <c r="F1207" s="198" t="s">
        <v>945</v>
      </c>
      <c r="G1207" s="225" t="n">
        <v>2893800</v>
      </c>
      <c r="H1207" s="225" t="n">
        <v>1300737</v>
      </c>
      <c r="I1207" s="225" t="n">
        <v>3260240</v>
      </c>
      <c r="J1207" s="198" t="n">
        <v>38</v>
      </c>
      <c r="K1207" s="198" t="n">
        <v>1</v>
      </c>
      <c r="L1207" s="226" t="n">
        <v>45020</v>
      </c>
      <c r="M1207" s="226" t="n">
        <v>38931</v>
      </c>
      <c r="N1207" s="227" t="n">
        <v>4</v>
      </c>
      <c r="O1207" s="227" t="s">
        <v>135</v>
      </c>
      <c r="P1207" s="228" t="n">
        <f aca="false">VLOOKUP(B1207,'NIVEL ENERO'!A:D,3,0)</f>
        <v>0.415509019282604</v>
      </c>
      <c r="Q1207" s="229" t="n">
        <f aca="false">VLOOKUP(B1207,'NIVEL ENERO'!A:D,4,0)</f>
        <v>12996</v>
      </c>
      <c r="R1207" s="186" t="str">
        <f aca="false">+PROPER(C1207&amp;" "&amp;D1207)</f>
        <v>Munoz Ibarguen Leidy Carolina</v>
      </c>
      <c r="S1207" s="230" t="n">
        <f aca="false">+YEARFRAC(L1207,$S$1)</f>
        <v>3.10555555555556</v>
      </c>
      <c r="T1207" s="230" t="n">
        <f aca="false">+YEARFRAC(M1207,$S$1)</f>
        <v>19.7777777777778</v>
      </c>
      <c r="U1207" s="231" t="n">
        <f aca="false">+$I1207</f>
        <v>3260240</v>
      </c>
      <c r="V1207" s="232" t="str">
        <f aca="false">+PROPER(F1207)</f>
        <v>Union Libre</v>
      </c>
    </row>
    <row r="1208" customFormat="false" ht="14.25" hidden="false" customHeight="false" outlineLevel="0" collapsed="false">
      <c r="B1208" s="197" t="n">
        <v>1130608725</v>
      </c>
      <c r="C1208" s="197" t="s">
        <v>3065</v>
      </c>
      <c r="D1208" s="197" t="s">
        <v>3066</v>
      </c>
      <c r="E1208" s="198" t="s">
        <v>944</v>
      </c>
      <c r="F1208" s="198" t="s">
        <v>953</v>
      </c>
      <c r="G1208" s="225" t="n">
        <v>8000000</v>
      </c>
      <c r="H1208" s="225" t="n">
        <v>5092688</v>
      </c>
      <c r="I1208" s="225" t="n">
        <v>31447530</v>
      </c>
      <c r="J1208" s="198" t="n">
        <v>38</v>
      </c>
      <c r="K1208" s="198" t="n">
        <v>3</v>
      </c>
      <c r="L1208" s="226" t="n">
        <v>43559</v>
      </c>
      <c r="M1208" s="226" t="n">
        <v>43283</v>
      </c>
      <c r="N1208" s="227" t="n">
        <v>2</v>
      </c>
      <c r="O1208" s="227" t="s">
        <v>158</v>
      </c>
      <c r="P1208" s="228" t="e">
        <f aca="false">VLOOKUP(B1208,'NIVEL ENERO'!A:D,3,0)</f>
        <v>#N/A</v>
      </c>
      <c r="Q1208" s="229" t="e">
        <f aca="false">VLOOKUP(B1208,'NIVEL ENERO'!A:D,4,0)</f>
        <v>#N/A</v>
      </c>
      <c r="R1208" s="186" t="str">
        <f aca="false">+PROPER(C1208&amp;" "&amp;D1208)</f>
        <v>Tovar Romero Jennifer Andrea</v>
      </c>
      <c r="S1208" s="230" t="n">
        <f aca="false">+YEARFRAC(L1208,$S$1)</f>
        <v>7.10555555555556</v>
      </c>
      <c r="T1208" s="230" t="n">
        <f aca="false">+YEARFRAC(M1208,$S$1)</f>
        <v>7.86111111111111</v>
      </c>
      <c r="U1208" s="231" t="n">
        <f aca="false">+$I1208</f>
        <v>31447530</v>
      </c>
      <c r="V1208" s="232" t="str">
        <f aca="false">+PROPER(F1208)</f>
        <v>Soltero(A)</v>
      </c>
    </row>
    <row r="1209" customFormat="false" ht="14.25" hidden="false" customHeight="false" outlineLevel="0" collapsed="false">
      <c r="B1209" s="197" t="n">
        <v>1130609026</v>
      </c>
      <c r="C1209" s="197" t="s">
        <v>3067</v>
      </c>
      <c r="D1209" s="197" t="s">
        <v>3068</v>
      </c>
      <c r="E1209" s="198" t="s">
        <v>944</v>
      </c>
      <c r="F1209" s="198" t="s">
        <v>948</v>
      </c>
      <c r="G1209" s="225" t="n">
        <v>2893800</v>
      </c>
      <c r="H1209" s="225" t="n">
        <v>910828</v>
      </c>
      <c r="I1209" s="225" t="n">
        <v>2827620</v>
      </c>
      <c r="J1209" s="198" t="n">
        <v>38</v>
      </c>
      <c r="K1209" s="198" t="n">
        <v>4</v>
      </c>
      <c r="L1209" s="226" t="n">
        <v>45250</v>
      </c>
      <c r="M1209" s="226" t="n">
        <v>42940</v>
      </c>
      <c r="N1209" s="227" t="n">
        <v>4</v>
      </c>
      <c r="O1209" s="227" t="s">
        <v>135</v>
      </c>
      <c r="P1209" s="228" t="n">
        <f aca="false">VLOOKUP(B1209,'NIVEL ENERO'!A:D,3,0)</f>
        <v>0.365891215702536</v>
      </c>
      <c r="Q1209" s="229" t="n">
        <f aca="false">VLOOKUP(B1209,'NIVEL ENERO'!A:D,4,0)</f>
        <v>156580</v>
      </c>
      <c r="R1209" s="186" t="str">
        <f aca="false">+PROPER(C1209&amp;" "&amp;D1209)</f>
        <v>Mera Zuniga Sindy Elizabeth</v>
      </c>
      <c r="S1209" s="230" t="n">
        <f aca="false">+YEARFRAC(L1209,$S$1)</f>
        <v>2.47777777777778</v>
      </c>
      <c r="T1209" s="230" t="n">
        <f aca="false">+YEARFRAC(M1209,$S$1)</f>
        <v>8.8</v>
      </c>
      <c r="U1209" s="231" t="n">
        <f aca="false">+$I1209</f>
        <v>2827620</v>
      </c>
      <c r="V1209" s="232" t="str">
        <f aca="false">+PROPER(F1209)</f>
        <v>Casado(A)</v>
      </c>
    </row>
    <row r="1210" customFormat="false" ht="14.25" hidden="false" customHeight="false" outlineLevel="0" collapsed="false">
      <c r="B1210" s="197" t="n">
        <v>1130609348</v>
      </c>
      <c r="C1210" s="197" t="s">
        <v>3069</v>
      </c>
      <c r="D1210" s="197" t="s">
        <v>1649</v>
      </c>
      <c r="E1210" s="198" t="s">
        <v>944</v>
      </c>
      <c r="F1210" s="198" t="s">
        <v>953</v>
      </c>
      <c r="G1210" s="225" t="n">
        <v>2893800</v>
      </c>
      <c r="H1210" s="225" t="n">
        <v>2289926</v>
      </c>
      <c r="I1210" s="225" t="n">
        <v>4579280</v>
      </c>
      <c r="J1210" s="198" t="n">
        <v>37</v>
      </c>
      <c r="K1210" s="198" t="n">
        <v>4</v>
      </c>
      <c r="L1210" s="226" t="n">
        <v>44364</v>
      </c>
      <c r="M1210" s="226" t="n">
        <v>44044</v>
      </c>
      <c r="N1210" s="227" t="n">
        <v>3</v>
      </c>
      <c r="O1210" s="227" t="s">
        <v>135</v>
      </c>
      <c r="P1210" s="228" t="n">
        <f aca="false">VLOOKUP(B1210,'NIVEL ENERO'!A:D,3,0)</f>
        <v>0.440979824961783</v>
      </c>
      <c r="Q1210" s="229" t="n">
        <f aca="false">VLOOKUP(B1210,'NIVEL ENERO'!A:D,4,0)</f>
        <v>-71613.0800000001</v>
      </c>
      <c r="R1210" s="186" t="str">
        <f aca="false">+PROPER(C1210&amp;" "&amp;D1210)</f>
        <v>Arenas Virgen Angela Maria</v>
      </c>
      <c r="S1210" s="230" t="n">
        <f aca="false">+YEARFRAC(L1210,$S$1)</f>
        <v>4.90277777777778</v>
      </c>
      <c r="T1210" s="230" t="n">
        <f aca="false">+YEARFRAC(M1210,$S$1)</f>
        <v>5.78055555555556</v>
      </c>
      <c r="U1210" s="231" t="n">
        <f aca="false">+$I1210</f>
        <v>4579280</v>
      </c>
      <c r="V1210" s="232" t="str">
        <f aca="false">+PROPER(F1210)</f>
        <v>Soltero(A)</v>
      </c>
    </row>
    <row r="1211" customFormat="false" ht="14.25" hidden="false" customHeight="false" outlineLevel="0" collapsed="false">
      <c r="B1211" s="197" t="n">
        <v>1130611040</v>
      </c>
      <c r="C1211" s="197" t="s">
        <v>3070</v>
      </c>
      <c r="D1211" s="197" t="s">
        <v>2624</v>
      </c>
      <c r="E1211" s="198" t="s">
        <v>944</v>
      </c>
      <c r="F1211" s="198" t="s">
        <v>953</v>
      </c>
      <c r="G1211" s="225" t="n">
        <v>1828100</v>
      </c>
      <c r="H1211" s="225" t="n">
        <v>1619623</v>
      </c>
      <c r="I1211" s="225" t="n">
        <v>491799</v>
      </c>
      <c r="J1211" s="198" t="n">
        <v>38</v>
      </c>
      <c r="K1211" s="198" t="n">
        <v>4</v>
      </c>
      <c r="L1211" s="226" t="n">
        <v>44883</v>
      </c>
      <c r="M1211" s="226" t="n">
        <v>44725</v>
      </c>
      <c r="N1211" s="227" t="n">
        <v>0</v>
      </c>
      <c r="O1211" s="227" t="s">
        <v>135</v>
      </c>
      <c r="P1211" s="228" t="n">
        <f aca="false">VLOOKUP(B1211,'NIVEL ENERO'!A:D,3,0)</f>
        <v>0.370649253323122</v>
      </c>
      <c r="Q1211" s="229" t="n">
        <f aca="false">VLOOKUP(B1211,'NIVEL ENERO'!A:D,4,0)</f>
        <v>214805</v>
      </c>
      <c r="R1211" s="186" t="str">
        <f aca="false">+PROPER(C1211&amp;" "&amp;D1211)</f>
        <v>Munoz Florez Harold Andres</v>
      </c>
      <c r="S1211" s="230" t="n">
        <f aca="false">+YEARFRAC(L1211,$S$1)</f>
        <v>3.48333333333333</v>
      </c>
      <c r="T1211" s="230" t="n">
        <f aca="false">+YEARFRAC(M1211,$S$1)</f>
        <v>3.91388888888889</v>
      </c>
      <c r="U1211" s="231" t="n">
        <f aca="false">+$I1211</f>
        <v>491799</v>
      </c>
      <c r="V1211" s="232" t="str">
        <f aca="false">+PROPER(F1211)</f>
        <v>Soltero(A)</v>
      </c>
    </row>
    <row r="1212" customFormat="false" ht="14.25" hidden="false" customHeight="false" outlineLevel="0" collapsed="false">
      <c r="B1212" s="197" t="n">
        <v>1130611151</v>
      </c>
      <c r="C1212" s="197" t="s">
        <v>3071</v>
      </c>
      <c r="D1212" s="197" t="s">
        <v>1691</v>
      </c>
      <c r="E1212" s="198" t="s">
        <v>944</v>
      </c>
      <c r="F1212" s="198" t="s">
        <v>948</v>
      </c>
      <c r="G1212" s="225" t="n">
        <v>9999400</v>
      </c>
      <c r="H1212" s="225" t="n">
        <v>6328547</v>
      </c>
      <c r="I1212" s="225"/>
      <c r="J1212" s="198" t="n">
        <v>37</v>
      </c>
      <c r="K1212" s="198" t="n">
        <v>3</v>
      </c>
      <c r="L1212" s="226" t="n">
        <v>44574</v>
      </c>
      <c r="M1212" s="226" t="n">
        <v>39853</v>
      </c>
      <c r="N1212" s="227" t="n">
        <v>2</v>
      </c>
      <c r="O1212" s="227" t="s">
        <v>135</v>
      </c>
      <c r="P1212" s="228" t="n">
        <f aca="false">VLOOKUP(B1212,'NIVEL ENERO'!A:D,3,0)</f>
        <v>0.320258615516931</v>
      </c>
      <c r="Q1212" s="229" t="n">
        <f aca="false">VLOOKUP(B1212,'NIVEL ENERO'!A:D,4,0)</f>
        <v>997354</v>
      </c>
      <c r="R1212" s="186" t="str">
        <f aca="false">+PROPER(C1212&amp;" "&amp;D1212)</f>
        <v>Luna Murillo Vanessa</v>
      </c>
      <c r="S1212" s="230" t="n">
        <f aca="false">+YEARFRAC(L1212,$S$1)</f>
        <v>4.33055555555556</v>
      </c>
      <c r="T1212" s="230" t="n">
        <f aca="false">+YEARFRAC(M1212,$S$1)</f>
        <v>17.2583333333333</v>
      </c>
      <c r="U1212" s="231" t="n">
        <f aca="false">+$I1212</f>
        <v>0</v>
      </c>
      <c r="V1212" s="232" t="str">
        <f aca="false">+PROPER(F1212)</f>
        <v>Casado(A)</v>
      </c>
    </row>
    <row r="1213" customFormat="false" ht="14.25" hidden="false" customHeight="false" outlineLevel="0" collapsed="false">
      <c r="B1213" s="197" t="n">
        <v>1130611756</v>
      </c>
      <c r="C1213" s="197" t="s">
        <v>3072</v>
      </c>
      <c r="D1213" s="197" t="s">
        <v>3073</v>
      </c>
      <c r="E1213" s="198" t="s">
        <v>1550</v>
      </c>
      <c r="F1213" s="198" t="s">
        <v>945</v>
      </c>
      <c r="G1213" s="225" t="n">
        <v>2893800</v>
      </c>
      <c r="H1213" s="225" t="n">
        <v>1300988</v>
      </c>
      <c r="I1213" s="225" t="n">
        <v>335346</v>
      </c>
      <c r="J1213" s="198" t="n">
        <v>37</v>
      </c>
      <c r="K1213" s="198" t="n">
        <v>1</v>
      </c>
      <c r="L1213" s="226" t="n">
        <v>45020</v>
      </c>
      <c r="M1213" s="226" t="n">
        <v>39517</v>
      </c>
      <c r="N1213" s="227" t="n">
        <v>3</v>
      </c>
      <c r="O1213" s="227" t="s">
        <v>135</v>
      </c>
      <c r="P1213" s="228" t="n">
        <f aca="false">VLOOKUP(B1213,'NIVEL ENERO'!A:D,3,0)</f>
        <v>0.34774077213859</v>
      </c>
      <c r="Q1213" s="229" t="n">
        <f aca="false">VLOOKUP(B1213,'NIVEL ENERO'!A:D,4,0)</f>
        <v>303927.78</v>
      </c>
      <c r="R1213" s="186" t="str">
        <f aca="false">+PROPER(C1213&amp;" "&amp;D1213)</f>
        <v>Quintero Gomez Yenniffer</v>
      </c>
      <c r="S1213" s="230" t="n">
        <f aca="false">+YEARFRAC(L1213,$S$1)</f>
        <v>3.10555555555556</v>
      </c>
      <c r="T1213" s="230" t="n">
        <f aca="false">+YEARFRAC(M1213,$S$1)</f>
        <v>18.1722222222222</v>
      </c>
      <c r="U1213" s="231" t="n">
        <f aca="false">+$I1213</f>
        <v>335346</v>
      </c>
      <c r="V1213" s="232" t="str">
        <f aca="false">+PROPER(F1213)</f>
        <v>Union Libre</v>
      </c>
    </row>
    <row r="1214" customFormat="false" ht="14.25" hidden="false" customHeight="false" outlineLevel="0" collapsed="false">
      <c r="B1214" s="197" t="n">
        <v>1130612767</v>
      </c>
      <c r="C1214" s="197" t="s">
        <v>3074</v>
      </c>
      <c r="D1214" s="197" t="s">
        <v>3075</v>
      </c>
      <c r="E1214" s="198" t="s">
        <v>944</v>
      </c>
      <c r="F1214" s="198" t="s">
        <v>998</v>
      </c>
      <c r="G1214" s="225" t="n">
        <v>4870200</v>
      </c>
      <c r="H1214" s="225" t="n">
        <v>4526990</v>
      </c>
      <c r="I1214" s="225" t="n">
        <v>5560683</v>
      </c>
      <c r="J1214" s="198" t="n">
        <v>38</v>
      </c>
      <c r="K1214" s="198" t="n">
        <v>2</v>
      </c>
      <c r="L1214" s="226" t="n">
        <v>44249</v>
      </c>
      <c r="M1214" s="226" t="n">
        <v>44048</v>
      </c>
      <c r="N1214" s="227" t="n">
        <v>4</v>
      </c>
      <c r="O1214" s="227" t="s">
        <v>135</v>
      </c>
      <c r="P1214" s="228" t="n">
        <f aca="false">VLOOKUP(B1214,'NIVEL ENERO'!A:D,3,0)</f>
        <v>0.25254797640304</v>
      </c>
      <c r="Q1214" s="229" t="n">
        <f aca="false">VLOOKUP(B1214,'NIVEL ENERO'!A:D,4,0)</f>
        <v>971242.78</v>
      </c>
      <c r="R1214" s="186" t="str">
        <f aca="false">+PROPER(C1214&amp;" "&amp;D1214)</f>
        <v>Munoz Manzanarez Monica Rosario</v>
      </c>
      <c r="S1214" s="230" t="n">
        <f aca="false">+YEARFRAC(L1214,$S$1)</f>
        <v>5.22222222222222</v>
      </c>
      <c r="T1214" s="230" t="n">
        <f aca="false">+YEARFRAC(M1214,$S$1)</f>
        <v>5.76944444444445</v>
      </c>
      <c r="U1214" s="231" t="n">
        <f aca="false">+$I1214</f>
        <v>5560683</v>
      </c>
      <c r="V1214" s="232" t="str">
        <f aca="false">+PROPER(F1214)</f>
        <v>Separado(A)</v>
      </c>
    </row>
    <row r="1215" customFormat="false" ht="14.25" hidden="false" customHeight="false" outlineLevel="0" collapsed="false">
      <c r="B1215" s="197" t="n">
        <v>1130612863</v>
      </c>
      <c r="C1215" s="197" t="s">
        <v>3076</v>
      </c>
      <c r="D1215" s="197" t="s">
        <v>3077</v>
      </c>
      <c r="E1215" s="198" t="s">
        <v>944</v>
      </c>
      <c r="F1215" s="198" t="s">
        <v>945</v>
      </c>
      <c r="G1215" s="225" t="n">
        <v>2089800</v>
      </c>
      <c r="H1215" s="225" t="n">
        <v>4122300</v>
      </c>
      <c r="I1215" s="225" t="n">
        <v>12864546</v>
      </c>
      <c r="J1215" s="198" t="n">
        <v>37</v>
      </c>
      <c r="K1215" s="198" t="n">
        <v>1</v>
      </c>
      <c r="L1215" s="226" t="n">
        <v>43420</v>
      </c>
      <c r="M1215" s="226" t="n">
        <v>41318</v>
      </c>
      <c r="N1215" s="227" t="n">
        <v>4</v>
      </c>
      <c r="O1215" s="227" t="s">
        <v>135</v>
      </c>
      <c r="P1215" s="228" t="n">
        <f aca="false">VLOOKUP(B1215,'NIVEL ENERO'!A:D,3,0)</f>
        <v>0.34763161195265</v>
      </c>
      <c r="Q1215" s="229" t="n">
        <f aca="false">VLOOKUP(B1215,'NIVEL ENERO'!A:D,4,0)</f>
        <v>185219.58</v>
      </c>
      <c r="R1215" s="186" t="str">
        <f aca="false">+PROPER(C1215&amp;" "&amp;D1215)</f>
        <v>Gonzalias Caicedo Alberto</v>
      </c>
      <c r="S1215" s="230" t="n">
        <f aca="false">+YEARFRAC(L1215,$S$1)</f>
        <v>7.48888888888889</v>
      </c>
      <c r="T1215" s="230" t="n">
        <f aca="false">+YEARFRAC(M1215,$S$1)</f>
        <v>13.2472222222222</v>
      </c>
      <c r="U1215" s="231" t="n">
        <f aca="false">+$I1215</f>
        <v>12864546</v>
      </c>
      <c r="V1215" s="232" t="str">
        <f aca="false">+PROPER(F1215)</f>
        <v>Union Libre</v>
      </c>
    </row>
    <row r="1216" customFormat="false" ht="14.25" hidden="false" customHeight="false" outlineLevel="0" collapsed="false">
      <c r="B1216" s="197" t="n">
        <v>1130614258</v>
      </c>
      <c r="C1216" s="197" t="s">
        <v>3078</v>
      </c>
      <c r="D1216" s="197" t="s">
        <v>3079</v>
      </c>
      <c r="E1216" s="198" t="s">
        <v>944</v>
      </c>
      <c r="F1216" s="198" t="s">
        <v>945</v>
      </c>
      <c r="G1216" s="225" t="n">
        <v>2089800</v>
      </c>
      <c r="H1216" s="225" t="n">
        <v>1961224</v>
      </c>
      <c r="I1216" s="225" t="n">
        <v>0</v>
      </c>
      <c r="J1216" s="198" t="n">
        <v>37</v>
      </c>
      <c r="K1216" s="198" t="n">
        <v>2</v>
      </c>
      <c r="L1216" s="226" t="n">
        <v>44642</v>
      </c>
      <c r="M1216" s="226" t="n">
        <v>42217</v>
      </c>
      <c r="N1216" s="227" t="n">
        <v>2</v>
      </c>
      <c r="O1216" s="227" t="s">
        <v>135</v>
      </c>
      <c r="P1216" s="228" t="n">
        <f aca="false">VLOOKUP(B1216,'NIVEL ENERO'!A:D,3,0)</f>
        <v>0.334138691723692</v>
      </c>
      <c r="Q1216" s="229" t="n">
        <f aca="false">VLOOKUP(B1216,'NIVEL ENERO'!A:D,4,0)</f>
        <v>219207.24</v>
      </c>
      <c r="R1216" s="186" t="str">
        <f aca="false">+PROPER(C1216&amp;" "&amp;D1216)</f>
        <v>Loaiza Castillo Carlos Edier</v>
      </c>
      <c r="S1216" s="230" t="n">
        <f aca="false">+YEARFRAC(L1216,$S$1)</f>
        <v>4.13888888888889</v>
      </c>
      <c r="T1216" s="230" t="n">
        <f aca="false">+YEARFRAC(M1216,$S$1)</f>
        <v>10.7805555555556</v>
      </c>
      <c r="U1216" s="231" t="n">
        <f aca="false">+$I1216</f>
        <v>0</v>
      </c>
      <c r="V1216" s="232" t="str">
        <f aca="false">+PROPER(F1216)</f>
        <v>Union Libre</v>
      </c>
    </row>
    <row r="1217" customFormat="false" ht="14.25" hidden="false" customHeight="false" outlineLevel="0" collapsed="false">
      <c r="B1217" s="197" t="n">
        <v>1130614799</v>
      </c>
      <c r="C1217" s="197" t="s">
        <v>3080</v>
      </c>
      <c r="D1217" s="197" t="s">
        <v>3081</v>
      </c>
      <c r="E1217" s="198" t="s">
        <v>944</v>
      </c>
      <c r="F1217" s="198" t="s">
        <v>998</v>
      </c>
      <c r="G1217" s="225" t="n">
        <v>2340800</v>
      </c>
      <c r="H1217" s="225" t="n">
        <v>195000</v>
      </c>
      <c r="I1217" s="225" t="n">
        <v>385433</v>
      </c>
      <c r="J1217" s="198" t="n">
        <v>37</v>
      </c>
      <c r="K1217" s="198" t="n">
        <v>4</v>
      </c>
      <c r="L1217" s="226" t="n">
        <v>45582</v>
      </c>
      <c r="M1217" s="226" t="n">
        <v>43599</v>
      </c>
      <c r="N1217" s="227" t="n">
        <v>1</v>
      </c>
      <c r="O1217" s="227" t="s">
        <v>135</v>
      </c>
      <c r="P1217" s="228" t="e">
        <f aca="false">VLOOKUP(B1217,'NIVEL ENERO'!A:D,3,0)</f>
        <v>#N/A</v>
      </c>
      <c r="Q1217" s="229" t="e">
        <f aca="false">VLOOKUP(B1217,'NIVEL ENERO'!A:D,4,0)</f>
        <v>#N/A</v>
      </c>
      <c r="R1217" s="186" t="str">
        <f aca="false">+PROPER(C1217&amp;" "&amp;D1217)</f>
        <v>Munoz Guampe Fanor Andres</v>
      </c>
      <c r="S1217" s="230" t="n">
        <f aca="false">+YEARFRAC(L1217,$S$1)</f>
        <v>1.56944444444444</v>
      </c>
      <c r="T1217" s="230" t="n">
        <f aca="false">+YEARFRAC(M1217,$S$1)</f>
        <v>6.99444444444444</v>
      </c>
      <c r="U1217" s="231" t="n">
        <f aca="false">+$I1217</f>
        <v>385433</v>
      </c>
      <c r="V1217" s="232" t="str">
        <f aca="false">+PROPER(F1217)</f>
        <v>Separado(A)</v>
      </c>
    </row>
    <row r="1218" customFormat="false" ht="14.25" hidden="false" customHeight="false" outlineLevel="0" collapsed="false">
      <c r="B1218" s="197" t="n">
        <v>1130614933</v>
      </c>
      <c r="C1218" s="197" t="s">
        <v>3082</v>
      </c>
      <c r="D1218" s="197" t="s">
        <v>1202</v>
      </c>
      <c r="E1218" s="198" t="s">
        <v>944</v>
      </c>
      <c r="F1218" s="198" t="s">
        <v>953</v>
      </c>
      <c r="G1218" s="225" t="n">
        <v>5418800</v>
      </c>
      <c r="H1218" s="225" t="n">
        <v>8260526</v>
      </c>
      <c r="I1218" s="225" t="n">
        <v>76519</v>
      </c>
      <c r="J1218" s="198" t="n">
        <v>37</v>
      </c>
      <c r="K1218" s="198" t="n">
        <v>2</v>
      </c>
      <c r="L1218" s="226" t="n">
        <v>42327</v>
      </c>
      <c r="M1218" s="226" t="n">
        <v>41974</v>
      </c>
      <c r="N1218" s="227" t="n">
        <v>1</v>
      </c>
      <c r="O1218" s="227" t="s">
        <v>135</v>
      </c>
      <c r="P1218" s="228" t="n">
        <f aca="false">VLOOKUP(B1218,'NIVEL ENERO'!A:D,3,0)</f>
        <v>0.318755638324688</v>
      </c>
      <c r="Q1218" s="229" t="n">
        <f aca="false">VLOOKUP(B1218,'NIVEL ENERO'!A:D,4,0)</f>
        <v>732623.64</v>
      </c>
      <c r="R1218" s="186" t="str">
        <f aca="false">+PROPER(C1218&amp;" "&amp;D1218)</f>
        <v>Urrea Correa Carolina</v>
      </c>
      <c r="S1218" s="230" t="n">
        <f aca="false">+YEARFRAC(L1218,$S$1)</f>
        <v>10.4805555555556</v>
      </c>
      <c r="T1218" s="230" t="n">
        <f aca="false">+YEARFRAC(M1218,$S$1)</f>
        <v>11.4472222222222</v>
      </c>
      <c r="U1218" s="231" t="n">
        <f aca="false">+$I1218</f>
        <v>76519</v>
      </c>
      <c r="V1218" s="232" t="str">
        <f aca="false">+PROPER(F1218)</f>
        <v>Soltero(A)</v>
      </c>
    </row>
    <row r="1219" customFormat="false" ht="14.25" hidden="false" customHeight="false" outlineLevel="0" collapsed="false">
      <c r="B1219" s="197" t="n">
        <v>1130616226</v>
      </c>
      <c r="C1219" s="197" t="s">
        <v>3083</v>
      </c>
      <c r="D1219" s="197" t="s">
        <v>3084</v>
      </c>
      <c r="E1219" s="198" t="s">
        <v>944</v>
      </c>
      <c r="F1219" s="198" t="s">
        <v>953</v>
      </c>
      <c r="G1219" s="225" t="n">
        <v>2600900</v>
      </c>
      <c r="H1219" s="225" t="n">
        <v>3331896</v>
      </c>
      <c r="I1219" s="225" t="n">
        <v>1424761</v>
      </c>
      <c r="J1219" s="198" t="n">
        <v>37</v>
      </c>
      <c r="K1219" s="198" t="n">
        <v>1</v>
      </c>
      <c r="L1219" s="226" t="n">
        <v>43564</v>
      </c>
      <c r="M1219" s="226" t="n">
        <v>42443</v>
      </c>
      <c r="N1219" s="227" t="n">
        <v>5</v>
      </c>
      <c r="O1219" s="227" t="s">
        <v>135</v>
      </c>
      <c r="P1219" s="228" t="n">
        <f aca="false">VLOOKUP(B1219,'NIVEL ENERO'!A:D,3,0)</f>
        <v>0.313403052789419</v>
      </c>
      <c r="Q1219" s="229" t="n">
        <f aca="false">VLOOKUP(B1219,'NIVEL ENERO'!A:D,4,0)</f>
        <v>277248</v>
      </c>
      <c r="R1219" s="186" t="str">
        <f aca="false">+PROPER(C1219&amp;" "&amp;D1219)</f>
        <v>Moreno Perez Mariam</v>
      </c>
      <c r="S1219" s="230" t="n">
        <f aca="false">+YEARFRAC(L1219,$S$1)</f>
        <v>7.09166666666667</v>
      </c>
      <c r="T1219" s="230" t="n">
        <f aca="false">+YEARFRAC(M1219,$S$1)</f>
        <v>10.1611111111111</v>
      </c>
      <c r="U1219" s="231" t="n">
        <f aca="false">+$I1219</f>
        <v>1424761</v>
      </c>
      <c r="V1219" s="232" t="str">
        <f aca="false">+PROPER(F1219)</f>
        <v>Soltero(A)</v>
      </c>
    </row>
    <row r="1220" customFormat="false" ht="14.25" hidden="false" customHeight="false" outlineLevel="0" collapsed="false">
      <c r="B1220" s="197" t="n">
        <v>1130616273</v>
      </c>
      <c r="C1220" s="197" t="s">
        <v>3085</v>
      </c>
      <c r="D1220" s="197" t="s">
        <v>1176</v>
      </c>
      <c r="E1220" s="198" t="s">
        <v>944</v>
      </c>
      <c r="F1220" s="198" t="s">
        <v>998</v>
      </c>
      <c r="G1220" s="225" t="n">
        <v>4383200</v>
      </c>
      <c r="H1220" s="225" t="n">
        <v>1910716</v>
      </c>
      <c r="I1220" s="225" t="n">
        <v>1917664</v>
      </c>
      <c r="J1220" s="198" t="n">
        <v>37</v>
      </c>
      <c r="K1220" s="198" t="n">
        <v>2</v>
      </c>
      <c r="L1220" s="226" t="n">
        <v>44643</v>
      </c>
      <c r="M1220" s="226" t="n">
        <v>44105</v>
      </c>
      <c r="N1220" s="227" t="n">
        <v>0</v>
      </c>
      <c r="O1220" s="227" t="s">
        <v>135</v>
      </c>
      <c r="P1220" s="228" t="n">
        <f aca="false">VLOOKUP(B1220,'NIVEL ENERO'!A:D,3,0)</f>
        <v>0.141646175381016</v>
      </c>
      <c r="Q1220" s="229" t="n">
        <f aca="false">VLOOKUP(B1220,'NIVEL ENERO'!A:D,4,0)</f>
        <v>1278255.32</v>
      </c>
      <c r="R1220" s="186" t="str">
        <f aca="false">+PROPER(C1220&amp;" "&amp;D1220)</f>
        <v>Quintero Mera Elizabeth</v>
      </c>
      <c r="S1220" s="230" t="n">
        <f aca="false">+YEARFRAC(L1220,$S$1)</f>
        <v>4.13611111111111</v>
      </c>
      <c r="T1220" s="230" t="n">
        <f aca="false">+YEARFRAC(M1220,$S$1)</f>
        <v>5.61388888888889</v>
      </c>
      <c r="U1220" s="231" t="n">
        <f aca="false">+$I1220</f>
        <v>1917664</v>
      </c>
      <c r="V1220" s="232" t="str">
        <f aca="false">+PROPER(F1220)</f>
        <v>Separado(A)</v>
      </c>
    </row>
    <row r="1221" customFormat="false" ht="14.25" hidden="false" customHeight="false" outlineLevel="0" collapsed="false">
      <c r="B1221" s="197" t="n">
        <v>1130617413</v>
      </c>
      <c r="C1221" s="197" t="s">
        <v>3086</v>
      </c>
      <c r="D1221" s="197" t="s">
        <v>3087</v>
      </c>
      <c r="E1221" s="198" t="s">
        <v>944</v>
      </c>
      <c r="F1221" s="198" t="s">
        <v>945</v>
      </c>
      <c r="G1221" s="225" t="n">
        <v>1670000</v>
      </c>
      <c r="H1221" s="225" t="n">
        <v>2607705</v>
      </c>
      <c r="I1221" s="225" t="n">
        <v>2258429</v>
      </c>
      <c r="J1221" s="198" t="n">
        <v>36</v>
      </c>
      <c r="K1221" s="198" t="n">
        <v>2</v>
      </c>
      <c r="L1221" s="226" t="n">
        <v>44876</v>
      </c>
      <c r="M1221" s="226" t="n">
        <v>44811</v>
      </c>
      <c r="N1221" s="227" t="n">
        <v>0</v>
      </c>
      <c r="O1221" s="227" t="s">
        <v>135</v>
      </c>
      <c r="P1221" s="228" t="n">
        <f aca="false">VLOOKUP(B1221,'NIVEL ENERO'!A:D,3,0)</f>
        <v>0.367063921125768</v>
      </c>
      <c r="Q1221" s="229" t="n">
        <f aca="false">VLOOKUP(B1221,'NIVEL ENERO'!A:D,4,0)</f>
        <v>132188.8</v>
      </c>
      <c r="R1221" s="186" t="str">
        <f aca="false">+PROPER(C1221&amp;" "&amp;D1221)</f>
        <v>Lorez Marquez Herman Alexander</v>
      </c>
      <c r="S1221" s="230" t="n">
        <f aca="false">+YEARFRAC(L1221,$S$1)</f>
        <v>3.50277777777778</v>
      </c>
      <c r="T1221" s="230" t="n">
        <f aca="false">+YEARFRAC(M1221,$S$1)</f>
        <v>3.68055555555556</v>
      </c>
      <c r="U1221" s="231" t="n">
        <f aca="false">+$I1221</f>
        <v>2258429</v>
      </c>
      <c r="V1221" s="232" t="str">
        <f aca="false">+PROPER(F1221)</f>
        <v>Union Libre</v>
      </c>
    </row>
    <row r="1222" customFormat="false" ht="14.25" hidden="false" customHeight="false" outlineLevel="0" collapsed="false">
      <c r="B1222" s="197" t="n">
        <v>1130617415</v>
      </c>
      <c r="C1222" s="197" t="s">
        <v>3088</v>
      </c>
      <c r="D1222" s="197" t="s">
        <v>3089</v>
      </c>
      <c r="E1222" s="198" t="s">
        <v>944</v>
      </c>
      <c r="F1222" s="198" t="s">
        <v>1282</v>
      </c>
      <c r="G1222" s="225" t="n">
        <v>1717900</v>
      </c>
      <c r="H1222" s="225" t="n">
        <v>2163254</v>
      </c>
      <c r="I1222" s="225" t="n">
        <v>3109012</v>
      </c>
      <c r="J1222" s="198" t="n">
        <v>37</v>
      </c>
      <c r="K1222" s="198" t="n">
        <v>2</v>
      </c>
      <c r="L1222" s="226" t="n">
        <v>44488</v>
      </c>
      <c r="M1222" s="226" t="n">
        <v>43657</v>
      </c>
      <c r="N1222" s="227" t="n">
        <v>4</v>
      </c>
      <c r="O1222" s="227" t="s">
        <v>135</v>
      </c>
      <c r="P1222" s="228" t="n">
        <f aca="false">VLOOKUP(B1222,'NIVEL ENERO'!A:D,3,0)</f>
        <v>0.331885172974375</v>
      </c>
      <c r="Q1222" s="229" t="n">
        <f aca="false">VLOOKUP(B1222,'NIVEL ENERO'!A:D,4,0)</f>
        <v>178630.46</v>
      </c>
      <c r="R1222" s="186" t="str">
        <f aca="false">+PROPER(C1222&amp;" "&amp;D1222)</f>
        <v>Torres Orozco Adriana Mayerly</v>
      </c>
      <c r="S1222" s="230" t="n">
        <f aca="false">+YEARFRAC(L1222,$S$1)</f>
        <v>4.56388888888889</v>
      </c>
      <c r="T1222" s="230" t="n">
        <f aca="false">+YEARFRAC(M1222,$S$1)</f>
        <v>6.83611111111111</v>
      </c>
      <c r="U1222" s="231" t="n">
        <f aca="false">+$I1222</f>
        <v>3109012</v>
      </c>
      <c r="V1222" s="232" t="str">
        <f aca="false">+PROPER(F1222)</f>
        <v>Divorciado</v>
      </c>
    </row>
    <row r="1223" customFormat="false" ht="14.25" hidden="false" customHeight="false" outlineLevel="0" collapsed="false">
      <c r="B1223" s="197" t="n">
        <v>1130617701</v>
      </c>
      <c r="C1223" s="197" t="s">
        <v>3090</v>
      </c>
      <c r="D1223" s="197" t="s">
        <v>3091</v>
      </c>
      <c r="E1223" s="198" t="s">
        <v>944</v>
      </c>
      <c r="F1223" s="198" t="s">
        <v>948</v>
      </c>
      <c r="G1223" s="225" t="n">
        <v>4870200</v>
      </c>
      <c r="H1223" s="225" t="n">
        <v>4324960</v>
      </c>
      <c r="I1223" s="225"/>
      <c r="J1223" s="198" t="n">
        <v>36</v>
      </c>
      <c r="K1223" s="198" t="n">
        <v>6</v>
      </c>
      <c r="L1223" s="226" t="n">
        <v>44305</v>
      </c>
      <c r="M1223" s="226" t="n">
        <v>40969</v>
      </c>
      <c r="N1223" s="227" t="n">
        <v>3</v>
      </c>
      <c r="O1223" s="227" t="s">
        <v>135</v>
      </c>
      <c r="P1223" s="228" t="n">
        <f aca="false">VLOOKUP(B1223,'NIVEL ENERO'!A:D,3,0)</f>
        <v>0.151931748182826</v>
      </c>
      <c r="Q1223" s="229" t="n">
        <f aca="false">VLOOKUP(B1223,'NIVEL ENERO'!A:D,4,0)</f>
        <v>1305546</v>
      </c>
      <c r="R1223" s="186" t="str">
        <f aca="false">+PROPER(C1223&amp;" "&amp;D1223)</f>
        <v>Espinal Marin Cindy Paola</v>
      </c>
      <c r="S1223" s="230" t="n">
        <f aca="false">+YEARFRAC(L1223,$S$1)</f>
        <v>5.06388888888889</v>
      </c>
      <c r="T1223" s="230" t="n">
        <f aca="false">+YEARFRAC(M1223,$S$1)</f>
        <v>14.1972222222222</v>
      </c>
      <c r="U1223" s="231" t="n">
        <f aca="false">+$I1223</f>
        <v>0</v>
      </c>
      <c r="V1223" s="232" t="str">
        <f aca="false">+PROPER(F1223)</f>
        <v>Casado(A)</v>
      </c>
    </row>
    <row r="1224" customFormat="false" ht="14.25" hidden="false" customHeight="false" outlineLevel="0" collapsed="false">
      <c r="B1224" s="197" t="n">
        <v>1130618816</v>
      </c>
      <c r="C1224" s="197" t="s">
        <v>3092</v>
      </c>
      <c r="D1224" s="197" t="s">
        <v>1202</v>
      </c>
      <c r="E1224" s="198" t="s">
        <v>944</v>
      </c>
      <c r="F1224" s="198" t="s">
        <v>945</v>
      </c>
      <c r="G1224" s="225" t="n">
        <v>3394800</v>
      </c>
      <c r="H1224" s="225" t="n">
        <v>420000</v>
      </c>
      <c r="I1224" s="225" t="n">
        <v>0</v>
      </c>
      <c r="J1224" s="198" t="n">
        <v>36</v>
      </c>
      <c r="K1224" s="198" t="n">
        <v>2</v>
      </c>
      <c r="L1224" s="226" t="n">
        <v>45475</v>
      </c>
      <c r="M1224" s="226" t="n">
        <v>39855</v>
      </c>
      <c r="N1224" s="227" t="n">
        <v>2</v>
      </c>
      <c r="O1224" s="227" t="s">
        <v>135</v>
      </c>
      <c r="P1224" s="228" t="n">
        <f aca="false">VLOOKUP(B1224,'NIVEL ENERO'!A:D,3,0)</f>
        <v>0.353371627194533</v>
      </c>
      <c r="Q1224" s="229" t="n">
        <f aca="false">VLOOKUP(B1224,'NIVEL ENERO'!A:D,4,0)</f>
        <v>226190</v>
      </c>
      <c r="R1224" s="186" t="str">
        <f aca="false">+PROPER(C1224&amp;" "&amp;D1224)</f>
        <v>Ospina Rendon Carolina</v>
      </c>
      <c r="S1224" s="230" t="n">
        <f aca="false">+YEARFRAC(L1224,$S$1)</f>
        <v>1.86111111111111</v>
      </c>
      <c r="T1224" s="230" t="n">
        <f aca="false">+YEARFRAC(M1224,$S$1)</f>
        <v>17.2527777777778</v>
      </c>
      <c r="U1224" s="231" t="n">
        <f aca="false">+$I1224</f>
        <v>0</v>
      </c>
      <c r="V1224" s="232" t="str">
        <f aca="false">+PROPER(F1224)</f>
        <v>Union Libre</v>
      </c>
    </row>
    <row r="1225" customFormat="false" ht="14.25" hidden="false" customHeight="false" outlineLevel="0" collapsed="false">
      <c r="B1225" s="197" t="n">
        <v>1130619071</v>
      </c>
      <c r="C1225" s="197" t="s">
        <v>3093</v>
      </c>
      <c r="D1225" s="197" t="s">
        <v>1527</v>
      </c>
      <c r="E1225" s="198" t="s">
        <v>944</v>
      </c>
      <c r="F1225" s="198" t="s">
        <v>953</v>
      </c>
      <c r="G1225" s="225" t="n">
        <v>4700000</v>
      </c>
      <c r="H1225" s="225" t="n">
        <v>0</v>
      </c>
      <c r="I1225" s="225"/>
      <c r="J1225" s="198" t="n">
        <v>36</v>
      </c>
      <c r="K1225" s="198" t="n">
        <v>1</v>
      </c>
      <c r="L1225" s="226" t="n">
        <v>45659</v>
      </c>
      <c r="M1225" s="226" t="n">
        <v>44728</v>
      </c>
      <c r="N1225" s="227" t="n">
        <v>0</v>
      </c>
      <c r="O1225" s="227" t="s">
        <v>158</v>
      </c>
      <c r="P1225" s="228" t="e">
        <f aca="false">VLOOKUP(B1225,'NIVEL ENERO'!A:D,3,0)</f>
        <v>#N/A</v>
      </c>
      <c r="Q1225" s="229" t="e">
        <f aca="false">VLOOKUP(B1225,'NIVEL ENERO'!A:D,4,0)</f>
        <v>#N/A</v>
      </c>
      <c r="R1225" s="186" t="str">
        <f aca="false">+PROPER(C1225&amp;" "&amp;D1225)</f>
        <v>Lopez Montenegro Alejandra</v>
      </c>
      <c r="S1225" s="230" t="n">
        <f aca="false">+YEARFRAC(L1225,$S$1)</f>
        <v>1.36111111111111</v>
      </c>
      <c r="T1225" s="230" t="n">
        <f aca="false">+YEARFRAC(M1225,$S$1)</f>
        <v>3.90555555555556</v>
      </c>
      <c r="U1225" s="231" t="n">
        <f aca="false">+$I1225</f>
        <v>0</v>
      </c>
      <c r="V1225" s="232" t="str">
        <f aca="false">+PROPER(F1225)</f>
        <v>Soltero(A)</v>
      </c>
    </row>
    <row r="1226" customFormat="false" ht="14.25" hidden="false" customHeight="false" outlineLevel="0" collapsed="false">
      <c r="B1226" s="197" t="n">
        <v>1130620889</v>
      </c>
      <c r="C1226" s="197" t="s">
        <v>3094</v>
      </c>
      <c r="D1226" s="197" t="s">
        <v>3095</v>
      </c>
      <c r="E1226" s="198" t="s">
        <v>944</v>
      </c>
      <c r="F1226" s="198" t="s">
        <v>945</v>
      </c>
      <c r="G1226" s="225" t="n">
        <v>1918500</v>
      </c>
      <c r="H1226" s="225" t="n">
        <v>2328918</v>
      </c>
      <c r="I1226" s="225" t="n">
        <v>6663857</v>
      </c>
      <c r="J1226" s="198" t="n">
        <v>36</v>
      </c>
      <c r="K1226" s="198" t="n">
        <v>1</v>
      </c>
      <c r="L1226" s="226" t="n">
        <v>44365</v>
      </c>
      <c r="M1226" s="226" t="n">
        <v>39887</v>
      </c>
      <c r="N1226" s="227" t="n">
        <v>2</v>
      </c>
      <c r="O1226" s="227" t="s">
        <v>135</v>
      </c>
      <c r="P1226" s="228" t="n">
        <f aca="false">VLOOKUP(B1226,'NIVEL ENERO'!A:D,3,0)</f>
        <v>0.451190555121188</v>
      </c>
      <c r="Q1226" s="229" t="n">
        <f aca="false">VLOOKUP(B1226,'NIVEL ENERO'!A:D,4,0)</f>
        <v>-142474</v>
      </c>
      <c r="R1226" s="186" t="str">
        <f aca="false">+PROPER(C1226&amp;" "&amp;D1226)</f>
        <v>Mosquera Diaz Jhonny Alexander</v>
      </c>
      <c r="S1226" s="230" t="n">
        <f aca="false">+YEARFRAC(L1226,$S$1)</f>
        <v>4.9</v>
      </c>
      <c r="T1226" s="230" t="n">
        <f aca="false">+YEARFRAC(M1226,$S$1)</f>
        <v>17.1583333333333</v>
      </c>
      <c r="U1226" s="231" t="n">
        <f aca="false">+$I1226</f>
        <v>6663857</v>
      </c>
      <c r="V1226" s="232" t="str">
        <f aca="false">+PROPER(F1226)</f>
        <v>Union Libre</v>
      </c>
    </row>
    <row r="1227" customFormat="false" ht="14.25" hidden="false" customHeight="false" outlineLevel="0" collapsed="false">
      <c r="B1227" s="197" t="n">
        <v>1130621785</v>
      </c>
      <c r="C1227" s="197" t="s">
        <v>3096</v>
      </c>
      <c r="D1227" s="197" t="s">
        <v>2723</v>
      </c>
      <c r="E1227" s="198" t="s">
        <v>944</v>
      </c>
      <c r="F1227" s="198" t="s">
        <v>998</v>
      </c>
      <c r="G1227" s="225" t="n">
        <v>8000000</v>
      </c>
      <c r="H1227" s="225" t="n">
        <v>4811351</v>
      </c>
      <c r="I1227" s="225" t="n">
        <v>175875</v>
      </c>
      <c r="J1227" s="198" t="n">
        <v>36</v>
      </c>
      <c r="K1227" s="198" t="n">
        <v>2</v>
      </c>
      <c r="L1227" s="226" t="n">
        <v>44909</v>
      </c>
      <c r="M1227" s="226" t="n">
        <v>44445</v>
      </c>
      <c r="N1227" s="227" t="n">
        <v>0</v>
      </c>
      <c r="O1227" s="227" t="s">
        <v>158</v>
      </c>
      <c r="P1227" s="228" t="e">
        <f aca="false">VLOOKUP(B1227,'NIVEL ENERO'!A:D,3,0)</f>
        <v>#N/A</v>
      </c>
      <c r="Q1227" s="229" t="e">
        <f aca="false">VLOOKUP(B1227,'NIVEL ENERO'!A:D,4,0)</f>
        <v>#N/A</v>
      </c>
      <c r="R1227" s="186" t="str">
        <f aca="false">+PROPER(C1227&amp;" "&amp;D1227)</f>
        <v>Parra Ortegon Nathalia</v>
      </c>
      <c r="S1227" s="230" t="n">
        <f aca="false">+YEARFRAC(L1227,$S$1)</f>
        <v>3.41111111111111</v>
      </c>
      <c r="T1227" s="230" t="n">
        <f aca="false">+YEARFRAC(M1227,$S$1)</f>
        <v>4.68333333333333</v>
      </c>
      <c r="U1227" s="231" t="n">
        <f aca="false">+$I1227</f>
        <v>175875</v>
      </c>
      <c r="V1227" s="232" t="str">
        <f aca="false">+PROPER(F1227)</f>
        <v>Separado(A)</v>
      </c>
    </row>
    <row r="1228" customFormat="false" ht="14.25" hidden="false" customHeight="false" outlineLevel="0" collapsed="false">
      <c r="B1228" s="197" t="n">
        <v>1130622237</v>
      </c>
      <c r="C1228" s="197" t="s">
        <v>3097</v>
      </c>
      <c r="D1228" s="197" t="s">
        <v>3098</v>
      </c>
      <c r="E1228" s="198" t="s">
        <v>944</v>
      </c>
      <c r="F1228" s="198" t="s">
        <v>953</v>
      </c>
      <c r="G1228" s="225" t="n">
        <v>3945300</v>
      </c>
      <c r="H1228" s="225" t="n">
        <v>5977613</v>
      </c>
      <c r="I1228" s="225" t="n">
        <v>3961530</v>
      </c>
      <c r="J1228" s="198" t="n">
        <v>36</v>
      </c>
      <c r="K1228" s="198" t="n">
        <v>4</v>
      </c>
      <c r="L1228" s="226" t="n">
        <v>43206</v>
      </c>
      <c r="M1228" s="226" t="n">
        <v>41927</v>
      </c>
      <c r="N1228" s="227" t="n">
        <v>2</v>
      </c>
      <c r="O1228" s="227" t="s">
        <v>135</v>
      </c>
      <c r="P1228" s="228" t="n">
        <f aca="false">VLOOKUP(B1228,'NIVEL ENERO'!A:D,3,0)</f>
        <v>0.174681989899392</v>
      </c>
      <c r="Q1228" s="229" t="n">
        <f aca="false">VLOOKUP(B1228,'NIVEL ENERO'!A:D,4,0)</f>
        <v>771126.5</v>
      </c>
      <c r="R1228" s="186" t="str">
        <f aca="false">+PROPER(C1228&amp;" "&amp;D1228)</f>
        <v>Guzman Polindara Evelyn Dayana</v>
      </c>
      <c r="S1228" s="230" t="n">
        <f aca="false">+YEARFRAC(L1228,$S$1)</f>
        <v>8.07222222222222</v>
      </c>
      <c r="T1228" s="230" t="n">
        <f aca="false">+YEARFRAC(M1228,$S$1)</f>
        <v>11.575</v>
      </c>
      <c r="U1228" s="231" t="n">
        <f aca="false">+$I1228</f>
        <v>3961530</v>
      </c>
      <c r="V1228" s="232" t="str">
        <f aca="false">+PROPER(F1228)</f>
        <v>Soltero(A)</v>
      </c>
    </row>
    <row r="1229" customFormat="false" ht="14.25" hidden="false" customHeight="false" outlineLevel="0" collapsed="false">
      <c r="B1229" s="197" t="n">
        <v>1130622606</v>
      </c>
      <c r="C1229" s="197" t="s">
        <v>3099</v>
      </c>
      <c r="D1229" s="197" t="s">
        <v>1261</v>
      </c>
      <c r="E1229" s="198" t="s">
        <v>944</v>
      </c>
      <c r="F1229" s="198" t="s">
        <v>953</v>
      </c>
      <c r="G1229" s="225" t="n">
        <v>2600900</v>
      </c>
      <c r="H1229" s="225" t="n">
        <v>1472182</v>
      </c>
      <c r="I1229" s="225" t="n">
        <v>2983631</v>
      </c>
      <c r="J1229" s="198" t="n">
        <v>36</v>
      </c>
      <c r="K1229" s="198" t="n">
        <v>2</v>
      </c>
      <c r="L1229" s="226" t="n">
        <v>45027</v>
      </c>
      <c r="M1229" s="226" t="n">
        <v>44914</v>
      </c>
      <c r="N1229" s="227" t="n">
        <v>0</v>
      </c>
      <c r="O1229" s="227" t="s">
        <v>135</v>
      </c>
      <c r="P1229" s="228" t="n">
        <f aca="false">VLOOKUP(B1229,'NIVEL ENERO'!A:D,3,0)</f>
        <v>0.180585187400014</v>
      </c>
      <c r="Q1229" s="229" t="n">
        <f aca="false">VLOOKUP(B1229,'NIVEL ENERO'!A:D,4,0)</f>
        <v>851691.94</v>
      </c>
      <c r="R1229" s="186" t="str">
        <f aca="false">+PROPER(C1229&amp;" "&amp;D1229)</f>
        <v>Londono Yepes Jessica</v>
      </c>
      <c r="S1229" s="230" t="n">
        <f aca="false">+YEARFRAC(L1229,$S$1)</f>
        <v>3.08611111111111</v>
      </c>
      <c r="T1229" s="230" t="n">
        <f aca="false">+YEARFRAC(M1229,$S$1)</f>
        <v>3.39722222222222</v>
      </c>
      <c r="U1229" s="231" t="n">
        <f aca="false">+$I1229</f>
        <v>2983631</v>
      </c>
      <c r="V1229" s="232" t="str">
        <f aca="false">+PROPER(F1229)</f>
        <v>Soltero(A)</v>
      </c>
    </row>
    <row r="1230" customFormat="false" ht="14.25" hidden="false" customHeight="false" outlineLevel="0" collapsed="false">
      <c r="B1230" s="197" t="n">
        <v>1130623897</v>
      </c>
      <c r="C1230" s="197" t="s">
        <v>3100</v>
      </c>
      <c r="D1230" s="197" t="s">
        <v>3101</v>
      </c>
      <c r="E1230" s="198" t="s">
        <v>944</v>
      </c>
      <c r="F1230" s="198" t="s">
        <v>953</v>
      </c>
      <c r="G1230" s="225" t="n">
        <v>1918500</v>
      </c>
      <c r="H1230" s="225" t="n">
        <v>1448511</v>
      </c>
      <c r="I1230" s="225" t="n">
        <v>3589081</v>
      </c>
      <c r="J1230" s="198" t="n">
        <v>35</v>
      </c>
      <c r="K1230" s="198" t="n">
        <v>2</v>
      </c>
      <c r="L1230" s="226" t="n">
        <v>45149</v>
      </c>
      <c r="M1230" s="226" t="n">
        <v>44937</v>
      </c>
      <c r="N1230" s="227" t="n">
        <v>0</v>
      </c>
      <c r="O1230" s="227" t="s">
        <v>135</v>
      </c>
      <c r="P1230" s="228" t="n">
        <f aca="false">VLOOKUP(B1230,'NIVEL ENERO'!A:D,3,0)</f>
        <v>0.440950150803396</v>
      </c>
      <c r="Q1230" s="229" t="n">
        <f aca="false">VLOOKUP(B1230,'NIVEL ENERO'!A:D,4,0)</f>
        <v>-46472.26</v>
      </c>
      <c r="R1230" s="186" t="str">
        <f aca="false">+PROPER(C1230&amp;" "&amp;D1230)</f>
        <v>Cordoba Ortiz Dario Alexander</v>
      </c>
      <c r="S1230" s="230" t="n">
        <f aca="false">+YEARFRAC(L1230,$S$1)</f>
        <v>2.75277777777778</v>
      </c>
      <c r="T1230" s="230" t="n">
        <f aca="false">+YEARFRAC(M1230,$S$1)</f>
        <v>3.33611111111111</v>
      </c>
      <c r="U1230" s="231" t="n">
        <f aca="false">+$I1230</f>
        <v>3589081</v>
      </c>
      <c r="V1230" s="232" t="str">
        <f aca="false">+PROPER(F1230)</f>
        <v>Soltero(A)</v>
      </c>
    </row>
    <row r="1231" customFormat="false" ht="14.25" hidden="false" customHeight="false" outlineLevel="0" collapsed="false">
      <c r="B1231" s="197" t="n">
        <v>1130624012</v>
      </c>
      <c r="C1231" s="197" t="s">
        <v>3102</v>
      </c>
      <c r="D1231" s="197" t="s">
        <v>3103</v>
      </c>
      <c r="E1231" s="198" t="s">
        <v>944</v>
      </c>
      <c r="F1231" s="198" t="s">
        <v>948</v>
      </c>
      <c r="G1231" s="225" t="n">
        <v>5418800</v>
      </c>
      <c r="H1231" s="225" t="n">
        <v>2086164</v>
      </c>
      <c r="I1231" s="225" t="n">
        <v>3866417</v>
      </c>
      <c r="J1231" s="198" t="n">
        <v>39</v>
      </c>
      <c r="K1231" s="198" t="n">
        <v>4</v>
      </c>
      <c r="L1231" s="226" t="n">
        <v>44846</v>
      </c>
      <c r="M1231" s="226" t="n">
        <v>38280</v>
      </c>
      <c r="N1231" s="227" t="n">
        <v>0</v>
      </c>
      <c r="O1231" s="227" t="s">
        <v>135</v>
      </c>
      <c r="P1231" s="228" t="n">
        <f aca="false">VLOOKUP(B1231,'NIVEL ENERO'!A:D,3,0)</f>
        <v>0.376686896137069</v>
      </c>
      <c r="Q1231" s="229" t="n">
        <f aca="false">VLOOKUP(B1231,'NIVEL ENERO'!A:D,4,0)</f>
        <v>333681.64</v>
      </c>
      <c r="R1231" s="186" t="str">
        <f aca="false">+PROPER(C1231&amp;" "&amp;D1231)</f>
        <v>Restrepo Cuenca Lilibeth</v>
      </c>
      <c r="S1231" s="230" t="n">
        <f aca="false">+YEARFRAC(L1231,$S$1)</f>
        <v>3.58333333333333</v>
      </c>
      <c r="T1231" s="230" t="n">
        <f aca="false">+YEARFRAC(M1231,$S$1)</f>
        <v>21.5611111111111</v>
      </c>
      <c r="U1231" s="231" t="n">
        <f aca="false">+$I1231</f>
        <v>3866417</v>
      </c>
      <c r="V1231" s="232" t="str">
        <f aca="false">+PROPER(F1231)</f>
        <v>Casado(A)</v>
      </c>
    </row>
    <row r="1232" customFormat="false" ht="14.25" hidden="false" customHeight="false" outlineLevel="0" collapsed="false">
      <c r="B1232" s="197" t="n">
        <v>1130624354</v>
      </c>
      <c r="C1232" s="197" t="s">
        <v>3104</v>
      </c>
      <c r="D1232" s="197" t="s">
        <v>3105</v>
      </c>
      <c r="E1232" s="198" t="s">
        <v>944</v>
      </c>
      <c r="F1232" s="198" t="s">
        <v>953</v>
      </c>
      <c r="G1232" s="225" t="n">
        <v>5842800</v>
      </c>
      <c r="H1232" s="225" t="n">
        <v>2213761</v>
      </c>
      <c r="I1232" s="225" t="n">
        <v>0</v>
      </c>
      <c r="J1232" s="198" t="n">
        <v>38</v>
      </c>
      <c r="K1232" s="198" t="n">
        <v>1</v>
      </c>
      <c r="L1232" s="226" t="n">
        <v>44460</v>
      </c>
      <c r="M1232" s="226" t="n">
        <v>43500</v>
      </c>
      <c r="N1232" s="227" t="n">
        <v>2</v>
      </c>
      <c r="O1232" s="227" t="s">
        <v>135</v>
      </c>
      <c r="P1232" s="228" t="n">
        <f aca="false">VLOOKUP(B1232,'NIVEL ENERO'!A:D,3,0)</f>
        <v>0.104687649756966</v>
      </c>
      <c r="Q1232" s="229" t="n">
        <f aca="false">VLOOKUP(B1232,'NIVEL ENERO'!A:D,4,0)</f>
        <v>1842307</v>
      </c>
      <c r="R1232" s="186" t="str">
        <f aca="false">+PROPER(C1232&amp;" "&amp;D1232)</f>
        <v>Bedoya Garcia July Alejandra</v>
      </c>
      <c r="S1232" s="230" t="n">
        <f aca="false">+YEARFRAC(L1232,$S$1)</f>
        <v>4.64166666666667</v>
      </c>
      <c r="T1232" s="230" t="n">
        <f aca="false">+YEARFRAC(M1232,$S$1)</f>
        <v>7.27222222222222</v>
      </c>
      <c r="U1232" s="231" t="n">
        <f aca="false">+$I1232</f>
        <v>0</v>
      </c>
      <c r="V1232" s="232" t="str">
        <f aca="false">+PROPER(F1232)</f>
        <v>Soltero(A)</v>
      </c>
    </row>
    <row r="1233" customFormat="false" ht="14.25" hidden="false" customHeight="false" outlineLevel="0" collapsed="false">
      <c r="B1233" s="197" t="n">
        <v>1130624827</v>
      </c>
      <c r="C1233" s="197" t="s">
        <v>3106</v>
      </c>
      <c r="D1233" s="197" t="s">
        <v>2610</v>
      </c>
      <c r="E1233" s="198" t="s">
        <v>944</v>
      </c>
      <c r="F1233" s="198" t="s">
        <v>948</v>
      </c>
      <c r="G1233" s="225" t="n">
        <v>5812800</v>
      </c>
      <c r="H1233" s="225" t="n">
        <v>7777196</v>
      </c>
      <c r="I1233" s="225" t="n">
        <v>1944545</v>
      </c>
      <c r="J1233" s="198" t="n">
        <v>38</v>
      </c>
      <c r="K1233" s="198" t="n">
        <v>2</v>
      </c>
      <c r="L1233" s="226" t="n">
        <v>41772</v>
      </c>
      <c r="M1233" s="226" t="n">
        <v>40371</v>
      </c>
      <c r="N1233" s="227" t="n">
        <v>3</v>
      </c>
      <c r="O1233" s="227" t="s">
        <v>135</v>
      </c>
      <c r="P1233" s="228" t="n">
        <f aca="false">VLOOKUP(B1233,'NIVEL ENERO'!A:D,3,0)</f>
        <v>0.168940097715387</v>
      </c>
      <c r="Q1233" s="229" t="n">
        <f aca="false">VLOOKUP(B1233,'NIVEL ENERO'!A:D,4,0)</f>
        <v>1459361</v>
      </c>
      <c r="R1233" s="186" t="str">
        <f aca="false">+PROPER(C1233&amp;" "&amp;D1233)</f>
        <v>Herrera Ovalle John Alexander</v>
      </c>
      <c r="S1233" s="230" t="n">
        <f aca="false">+YEARFRAC(L1233,$S$1)</f>
        <v>11.9972222222222</v>
      </c>
      <c r="T1233" s="230" t="n">
        <f aca="false">+YEARFRAC(M1233,$S$1)</f>
        <v>15.8333333333333</v>
      </c>
      <c r="U1233" s="231" t="n">
        <f aca="false">+$I1233</f>
        <v>1944545</v>
      </c>
      <c r="V1233" s="232" t="str">
        <f aca="false">+PROPER(F1233)</f>
        <v>Casado(A)</v>
      </c>
    </row>
    <row r="1234" customFormat="false" ht="14.25" hidden="false" customHeight="false" outlineLevel="0" collapsed="false">
      <c r="B1234" s="197" t="n">
        <v>1130625054</v>
      </c>
      <c r="C1234" s="197" t="s">
        <v>3107</v>
      </c>
      <c r="D1234" s="197" t="s">
        <v>1133</v>
      </c>
      <c r="E1234" s="198" t="s">
        <v>944</v>
      </c>
      <c r="F1234" s="198" t="s">
        <v>953</v>
      </c>
      <c r="G1234" s="225" t="n">
        <v>2893800</v>
      </c>
      <c r="H1234" s="225" t="n">
        <v>1961224</v>
      </c>
      <c r="I1234" s="225"/>
      <c r="J1234" s="198" t="n">
        <v>38</v>
      </c>
      <c r="K1234" s="198" t="n">
        <v>1</v>
      </c>
      <c r="L1234" s="226" t="n">
        <v>44642</v>
      </c>
      <c r="M1234" s="226" t="n">
        <v>42583</v>
      </c>
      <c r="N1234" s="227" t="n">
        <v>3</v>
      </c>
      <c r="O1234" s="227" t="s">
        <v>135</v>
      </c>
      <c r="P1234" s="228" t="n">
        <f aca="false">VLOOKUP(B1234,'NIVEL ENERO'!A:D,3,0)</f>
        <v>0.105505921612988</v>
      </c>
      <c r="Q1234" s="229" t="n">
        <f aca="false">VLOOKUP(B1234,'NIVEL ENERO'!A:D,4,0)</f>
        <v>1188449.64</v>
      </c>
      <c r="R1234" s="186" t="str">
        <f aca="false">+PROPER(C1234&amp;" "&amp;D1234)</f>
        <v>Osorio Cardona Miyerlay</v>
      </c>
      <c r="S1234" s="230" t="n">
        <f aca="false">+YEARFRAC(L1234,$S$1)</f>
        <v>4.13888888888889</v>
      </c>
      <c r="T1234" s="230" t="n">
        <f aca="false">+YEARFRAC(M1234,$S$1)</f>
        <v>9.78055555555556</v>
      </c>
      <c r="U1234" s="231" t="n">
        <f aca="false">+$I1234</f>
        <v>0</v>
      </c>
      <c r="V1234" s="232" t="str">
        <f aca="false">+PROPER(F1234)</f>
        <v>Soltero(A)</v>
      </c>
    </row>
    <row r="1235" customFormat="false" ht="14.25" hidden="false" customHeight="false" outlineLevel="0" collapsed="false">
      <c r="B1235" s="197" t="n">
        <v>1130626432</v>
      </c>
      <c r="C1235" s="197" t="s">
        <v>3108</v>
      </c>
      <c r="D1235" s="197" t="s">
        <v>1371</v>
      </c>
      <c r="E1235" s="198" t="s">
        <v>944</v>
      </c>
      <c r="F1235" s="198" t="s">
        <v>948</v>
      </c>
      <c r="G1235" s="225" t="n">
        <v>4194600</v>
      </c>
      <c r="H1235" s="225" t="n">
        <v>7108132</v>
      </c>
      <c r="I1235" s="225" t="n">
        <v>46503</v>
      </c>
      <c r="J1235" s="198" t="n">
        <v>38</v>
      </c>
      <c r="K1235" s="198" t="n">
        <v>1</v>
      </c>
      <c r="L1235" s="226" t="n">
        <v>40490</v>
      </c>
      <c r="M1235" s="226" t="n">
        <v>40462</v>
      </c>
      <c r="N1235" s="227" t="n">
        <v>3</v>
      </c>
      <c r="O1235" s="227" t="s">
        <v>135</v>
      </c>
      <c r="P1235" s="228" t="n">
        <f aca="false">VLOOKUP(B1235,'NIVEL ENERO'!A:D,3,0)</f>
        <v>0.320087016640443</v>
      </c>
      <c r="Q1235" s="229" t="n">
        <f aca="false">VLOOKUP(B1235,'NIVEL ENERO'!A:D,4,0)</f>
        <v>419095</v>
      </c>
      <c r="R1235" s="186" t="str">
        <f aca="false">+PROPER(C1235&amp;" "&amp;D1235)</f>
        <v>Posada Ortegon Marisol</v>
      </c>
      <c r="S1235" s="230" t="n">
        <f aca="false">+YEARFRAC(L1235,$S$1)</f>
        <v>15.5111111111111</v>
      </c>
      <c r="T1235" s="230" t="n">
        <f aca="false">+YEARFRAC(M1235,$S$1)</f>
        <v>15.5861111111111</v>
      </c>
      <c r="U1235" s="231" t="n">
        <f aca="false">+$I1235</f>
        <v>46503</v>
      </c>
      <c r="V1235" s="232" t="str">
        <f aca="false">+PROPER(F1235)</f>
        <v>Casado(A)</v>
      </c>
    </row>
    <row r="1236" customFormat="false" ht="14.25" hidden="false" customHeight="false" outlineLevel="0" collapsed="false">
      <c r="B1236" s="197" t="n">
        <v>1130627078</v>
      </c>
      <c r="C1236" s="197" t="s">
        <v>3109</v>
      </c>
      <c r="D1236" s="197" t="s">
        <v>3110</v>
      </c>
      <c r="E1236" s="198" t="s">
        <v>944</v>
      </c>
      <c r="F1236" s="198" t="s">
        <v>953</v>
      </c>
      <c r="G1236" s="225" t="n">
        <v>5418800</v>
      </c>
      <c r="H1236" s="225" t="n">
        <v>831006</v>
      </c>
      <c r="I1236" s="225" t="n">
        <v>1226247</v>
      </c>
      <c r="J1236" s="198" t="n">
        <v>38</v>
      </c>
      <c r="K1236" s="198" t="n">
        <v>3</v>
      </c>
      <c r="L1236" s="226" t="n">
        <v>45279</v>
      </c>
      <c r="M1236" s="226" t="n">
        <v>41883</v>
      </c>
      <c r="N1236" s="227" t="n">
        <v>0</v>
      </c>
      <c r="O1236" s="227" t="s">
        <v>135</v>
      </c>
      <c r="P1236" s="228" t="n">
        <f aca="false">VLOOKUP(B1236,'NIVEL ENERO'!A:D,3,0)</f>
        <v>0.251238331298841</v>
      </c>
      <c r="Q1236" s="229" t="n">
        <f aca="false">VLOOKUP(B1236,'NIVEL ENERO'!A:D,4,0)</f>
        <v>1196142.88</v>
      </c>
      <c r="R1236" s="186" t="str">
        <f aca="false">+PROPER(C1236&amp;" "&amp;D1236)</f>
        <v>Caicedo Melo Dario Fernando</v>
      </c>
      <c r="S1236" s="230" t="n">
        <f aca="false">+YEARFRAC(L1236,$S$1)</f>
        <v>2.39722222222222</v>
      </c>
      <c r="T1236" s="230" t="n">
        <f aca="false">+YEARFRAC(M1236,$S$1)</f>
        <v>11.6972222222222</v>
      </c>
      <c r="U1236" s="231" t="n">
        <f aca="false">+$I1236</f>
        <v>1226247</v>
      </c>
      <c r="V1236" s="232" t="str">
        <f aca="false">+PROPER(F1236)</f>
        <v>Soltero(A)</v>
      </c>
    </row>
    <row r="1237" customFormat="false" ht="14.25" hidden="false" customHeight="false" outlineLevel="0" collapsed="false">
      <c r="B1237" s="197" t="n">
        <v>1130627726</v>
      </c>
      <c r="C1237" s="197" t="s">
        <v>3111</v>
      </c>
      <c r="D1237" s="197" t="s">
        <v>1241</v>
      </c>
      <c r="E1237" s="198" t="s">
        <v>944</v>
      </c>
      <c r="F1237" s="198" t="s">
        <v>948</v>
      </c>
      <c r="G1237" s="225" t="n">
        <v>2893800</v>
      </c>
      <c r="H1237" s="225" t="n">
        <v>2415791</v>
      </c>
      <c r="I1237" s="225" t="n">
        <v>2367682</v>
      </c>
      <c r="J1237" s="198" t="n">
        <v>38</v>
      </c>
      <c r="K1237" s="198" t="n">
        <v>1</v>
      </c>
      <c r="L1237" s="226" t="n">
        <v>44335</v>
      </c>
      <c r="M1237" s="226" t="n">
        <v>44105</v>
      </c>
      <c r="N1237" s="227" t="n">
        <v>4</v>
      </c>
      <c r="O1237" s="227" t="s">
        <v>135</v>
      </c>
      <c r="P1237" s="228" t="n">
        <f aca="false">VLOOKUP(B1237,'NIVEL ENERO'!A:D,3,0)</f>
        <v>0.458324663303891</v>
      </c>
      <c r="Q1237" s="229" t="n">
        <f aca="false">VLOOKUP(B1237,'NIVEL ENERO'!A:D,4,0)</f>
        <v>-85460.3200000001</v>
      </c>
      <c r="R1237" s="186" t="str">
        <f aca="false">+PROPER(C1237&amp;" "&amp;D1237)</f>
        <v>Gonzalez Gonzalez Diana Carolina</v>
      </c>
      <c r="S1237" s="230" t="n">
        <f aca="false">+YEARFRAC(L1237,$S$1)</f>
        <v>4.98055555555556</v>
      </c>
      <c r="T1237" s="230" t="n">
        <f aca="false">+YEARFRAC(M1237,$S$1)</f>
        <v>5.61388888888889</v>
      </c>
      <c r="U1237" s="231" t="n">
        <f aca="false">+$I1237</f>
        <v>2367682</v>
      </c>
      <c r="V1237" s="232" t="str">
        <f aca="false">+PROPER(F1237)</f>
        <v>Casado(A)</v>
      </c>
    </row>
    <row r="1238" customFormat="false" ht="14.25" hidden="false" customHeight="false" outlineLevel="0" collapsed="false">
      <c r="B1238" s="197" t="n">
        <v>1130628345</v>
      </c>
      <c r="C1238" s="197" t="s">
        <v>3112</v>
      </c>
      <c r="D1238" s="197" t="s">
        <v>3113</v>
      </c>
      <c r="E1238" s="198" t="s">
        <v>944</v>
      </c>
      <c r="F1238" s="198" t="s">
        <v>953</v>
      </c>
      <c r="G1238" s="225" t="n">
        <v>1991000</v>
      </c>
      <c r="H1238" s="225" t="n">
        <v>2407540</v>
      </c>
      <c r="I1238" s="225" t="n">
        <v>3948106</v>
      </c>
      <c r="J1238" s="198" t="n">
        <v>38</v>
      </c>
      <c r="K1238" s="198" t="n">
        <v>4</v>
      </c>
      <c r="L1238" s="226" t="n">
        <v>44460</v>
      </c>
      <c r="M1238" s="226" t="n">
        <v>43895</v>
      </c>
      <c r="N1238" s="227" t="n">
        <v>3</v>
      </c>
      <c r="O1238" s="227" t="s">
        <v>135</v>
      </c>
      <c r="P1238" s="228" t="n">
        <f aca="false">VLOOKUP(B1238,'NIVEL ENERO'!A:D,3,0)</f>
        <v>0.372264188849824</v>
      </c>
      <c r="Q1238" s="229" t="n">
        <f aca="false">VLOOKUP(B1238,'NIVEL ENERO'!A:D,4,0)</f>
        <v>95042</v>
      </c>
      <c r="R1238" s="186" t="str">
        <f aca="false">+PROPER(C1238&amp;" "&amp;D1238)</f>
        <v>Chilito Lenis Geison Roodrigo</v>
      </c>
      <c r="S1238" s="230" t="n">
        <f aca="false">+YEARFRAC(L1238,$S$1)</f>
        <v>4.64166666666667</v>
      </c>
      <c r="T1238" s="230" t="n">
        <f aca="false">+YEARFRAC(M1238,$S$1)</f>
        <v>6.18611111111111</v>
      </c>
      <c r="U1238" s="231" t="n">
        <f aca="false">+$I1238</f>
        <v>3948106</v>
      </c>
      <c r="V1238" s="232" t="str">
        <f aca="false">+PROPER(F1238)</f>
        <v>Soltero(A)</v>
      </c>
    </row>
    <row r="1239" customFormat="false" ht="14.25" hidden="false" customHeight="false" outlineLevel="0" collapsed="false">
      <c r="B1239" s="197" t="n">
        <v>1130628436</v>
      </c>
      <c r="C1239" s="197" t="s">
        <v>3114</v>
      </c>
      <c r="D1239" s="197" t="s">
        <v>3115</v>
      </c>
      <c r="E1239" s="198" t="s">
        <v>944</v>
      </c>
      <c r="F1239" s="198" t="s">
        <v>998</v>
      </c>
      <c r="G1239" s="225" t="n">
        <v>2893800</v>
      </c>
      <c r="H1239" s="225" t="n">
        <v>8631875</v>
      </c>
      <c r="I1239" s="225" t="n">
        <v>6946655</v>
      </c>
      <c r="J1239" s="198" t="n">
        <v>38</v>
      </c>
      <c r="K1239" s="198" t="n">
        <v>3</v>
      </c>
      <c r="L1239" s="226" t="n">
        <v>41592</v>
      </c>
      <c r="M1239" s="226" t="n">
        <v>41532</v>
      </c>
      <c r="N1239" s="227" t="n">
        <v>4</v>
      </c>
      <c r="O1239" s="227" t="s">
        <v>135</v>
      </c>
      <c r="P1239" s="228" t="n">
        <f aca="false">VLOOKUP(B1239,'NIVEL ENERO'!A:D,3,0)</f>
        <v>0.449730465581608</v>
      </c>
      <c r="Q1239" s="229" t="n">
        <f aca="false">VLOOKUP(B1239,'NIVEL ENERO'!A:D,4,0)</f>
        <v>-87823.28</v>
      </c>
      <c r="R1239" s="186" t="str">
        <f aca="false">+PROPER(C1239&amp;" "&amp;D1239)</f>
        <v>Umbarila Romero Mayira Alejandra</v>
      </c>
      <c r="S1239" s="230" t="n">
        <f aca="false">+YEARFRAC(L1239,$S$1)</f>
        <v>12.4944444444444</v>
      </c>
      <c r="T1239" s="230" t="n">
        <f aca="false">+YEARFRAC(M1239,$S$1)</f>
        <v>12.6583333333333</v>
      </c>
      <c r="U1239" s="231" t="n">
        <f aca="false">+$I1239</f>
        <v>6946655</v>
      </c>
      <c r="V1239" s="232" t="str">
        <f aca="false">+PROPER(F1239)</f>
        <v>Separado(A)</v>
      </c>
    </row>
    <row r="1240" customFormat="false" ht="14.25" hidden="false" customHeight="false" outlineLevel="0" collapsed="false">
      <c r="B1240" s="197" t="n">
        <v>1130628633</v>
      </c>
      <c r="C1240" s="197" t="s">
        <v>3116</v>
      </c>
      <c r="D1240" s="197" t="s">
        <v>993</v>
      </c>
      <c r="E1240" s="198" t="s">
        <v>944</v>
      </c>
      <c r="F1240" s="198" t="s">
        <v>945</v>
      </c>
      <c r="G1240" s="225" t="n">
        <v>16000000</v>
      </c>
      <c r="H1240" s="225" t="n">
        <v>2405675</v>
      </c>
      <c r="I1240" s="225" t="n">
        <v>0</v>
      </c>
      <c r="J1240" s="198" t="n">
        <v>38</v>
      </c>
      <c r="K1240" s="198" t="n">
        <v>1</v>
      </c>
      <c r="L1240" s="226" t="n">
        <v>44928</v>
      </c>
      <c r="M1240" s="226" t="n">
        <v>43132</v>
      </c>
      <c r="N1240" s="227" t="n">
        <v>0</v>
      </c>
      <c r="O1240" s="227" t="s">
        <v>158</v>
      </c>
      <c r="P1240" s="228" t="e">
        <f aca="false">VLOOKUP(B1240,'NIVEL ENERO'!A:D,3,0)</f>
        <v>#N/A</v>
      </c>
      <c r="Q1240" s="229" t="e">
        <f aca="false">VLOOKUP(B1240,'NIVEL ENERO'!A:D,4,0)</f>
        <v>#N/A</v>
      </c>
      <c r="R1240" s="186" t="str">
        <f aca="false">+PROPER(C1240&amp;" "&amp;D1240)</f>
        <v>Nino Juan Pablo</v>
      </c>
      <c r="S1240" s="230" t="n">
        <f aca="false">+YEARFRAC(L1240,$S$1)</f>
        <v>3.36111111111111</v>
      </c>
      <c r="T1240" s="230" t="n">
        <f aca="false">+YEARFRAC(M1240,$S$1)</f>
        <v>8.28055555555556</v>
      </c>
      <c r="U1240" s="231" t="n">
        <f aca="false">+$I1240</f>
        <v>0</v>
      </c>
      <c r="V1240" s="232" t="str">
        <f aca="false">+PROPER(F1240)</f>
        <v>Union Libre</v>
      </c>
    </row>
    <row r="1241" customFormat="false" ht="14.25" hidden="false" customHeight="false" outlineLevel="0" collapsed="false">
      <c r="B1241" s="197" t="n">
        <v>1130629547</v>
      </c>
      <c r="C1241" s="197" t="s">
        <v>3117</v>
      </c>
      <c r="D1241" s="197" t="s">
        <v>3118</v>
      </c>
      <c r="E1241" s="198" t="s">
        <v>944</v>
      </c>
      <c r="F1241" s="198" t="s">
        <v>945</v>
      </c>
      <c r="G1241" s="225" t="n">
        <v>5418800</v>
      </c>
      <c r="H1241" s="225" t="n">
        <v>3072388</v>
      </c>
      <c r="I1241" s="225" t="n">
        <v>0</v>
      </c>
      <c r="J1241" s="198" t="n">
        <v>38</v>
      </c>
      <c r="K1241" s="198" t="n">
        <v>2</v>
      </c>
      <c r="L1241" s="226" t="n">
        <v>44272</v>
      </c>
      <c r="M1241" s="226" t="n">
        <v>40069</v>
      </c>
      <c r="N1241" s="227" t="n">
        <v>4</v>
      </c>
      <c r="O1241" s="227" t="s">
        <v>135</v>
      </c>
      <c r="P1241" s="228" t="n">
        <f aca="false">VLOOKUP(B1241,'NIVEL ENERO'!A:D,3,0)</f>
        <v>0.338737234342461</v>
      </c>
      <c r="Q1241" s="229" t="n">
        <f aca="false">VLOOKUP(B1241,'NIVEL ENERO'!A:D,4,0)</f>
        <v>714871.8</v>
      </c>
      <c r="R1241" s="186" t="str">
        <f aca="false">+PROPER(C1241&amp;" "&amp;D1241)</f>
        <v>Nieto Castro Johana Patricia</v>
      </c>
      <c r="S1241" s="230" t="n">
        <f aca="false">+YEARFRAC(L1241,$S$1)</f>
        <v>5.15277777777778</v>
      </c>
      <c r="T1241" s="230" t="n">
        <f aca="false">+YEARFRAC(M1241,$S$1)</f>
        <v>16.6638888888889</v>
      </c>
      <c r="U1241" s="231" t="n">
        <f aca="false">+$I1241</f>
        <v>0</v>
      </c>
      <c r="V1241" s="232" t="str">
        <f aca="false">+PROPER(F1241)</f>
        <v>Union Libre</v>
      </c>
    </row>
    <row r="1242" customFormat="false" ht="14.25" hidden="false" customHeight="false" outlineLevel="0" collapsed="false">
      <c r="B1242" s="197" t="n">
        <v>1130631035</v>
      </c>
      <c r="C1242" s="197" t="s">
        <v>3119</v>
      </c>
      <c r="D1242" s="197" t="s">
        <v>3120</v>
      </c>
      <c r="E1242" s="198" t="s">
        <v>944</v>
      </c>
      <c r="F1242" s="198" t="s">
        <v>953</v>
      </c>
      <c r="G1242" s="225" t="n">
        <v>4469100</v>
      </c>
      <c r="H1242" s="225" t="n">
        <v>1700881</v>
      </c>
      <c r="I1242" s="225" t="n">
        <v>6726165</v>
      </c>
      <c r="J1242" s="198" t="n">
        <v>38</v>
      </c>
      <c r="K1242" s="198" t="n">
        <v>1</v>
      </c>
      <c r="L1242" s="226" t="n">
        <v>45160</v>
      </c>
      <c r="M1242" s="226" t="n">
        <v>43229</v>
      </c>
      <c r="N1242" s="227" t="n">
        <v>0</v>
      </c>
      <c r="O1242" s="227" t="s">
        <v>135</v>
      </c>
      <c r="P1242" s="228" t="n">
        <f aca="false">VLOOKUP(B1242,'NIVEL ENERO'!A:D,3,0)</f>
        <v>0.177931926649254</v>
      </c>
      <c r="Q1242" s="229" t="n">
        <f aca="false">VLOOKUP(B1242,'NIVEL ENERO'!A:D,4,0)</f>
        <v>1541132.36</v>
      </c>
      <c r="R1242" s="186" t="str">
        <f aca="false">+PROPER(C1242&amp;" "&amp;D1242)</f>
        <v>Rodriguez Yudy Yaneth</v>
      </c>
      <c r="S1242" s="230" t="n">
        <f aca="false">+YEARFRAC(L1242,$S$1)</f>
        <v>2.72222222222222</v>
      </c>
      <c r="T1242" s="230" t="n">
        <f aca="false">+YEARFRAC(M1242,$S$1)</f>
        <v>8.00833333333333</v>
      </c>
      <c r="U1242" s="231" t="n">
        <f aca="false">+$I1242</f>
        <v>6726165</v>
      </c>
      <c r="V1242" s="232" t="str">
        <f aca="false">+PROPER(F1242)</f>
        <v>Soltero(A)</v>
      </c>
    </row>
    <row r="1243" customFormat="false" ht="14.25" hidden="false" customHeight="false" outlineLevel="0" collapsed="false">
      <c r="B1243" s="197" t="n">
        <v>1130631347</v>
      </c>
      <c r="C1243" s="197" t="s">
        <v>3121</v>
      </c>
      <c r="D1243" s="197" t="s">
        <v>1507</v>
      </c>
      <c r="E1243" s="198" t="s">
        <v>944</v>
      </c>
      <c r="F1243" s="198" t="s">
        <v>948</v>
      </c>
      <c r="G1243" s="225" t="n">
        <v>5418800</v>
      </c>
      <c r="H1243" s="225" t="n">
        <v>4059335</v>
      </c>
      <c r="I1243" s="225" t="n">
        <v>6957567</v>
      </c>
      <c r="J1243" s="198" t="n">
        <v>37</v>
      </c>
      <c r="K1243" s="198" t="n">
        <v>1</v>
      </c>
      <c r="L1243" s="226" t="n">
        <v>43438</v>
      </c>
      <c r="M1243" s="226" t="n">
        <v>41653</v>
      </c>
      <c r="N1243" s="227" t="n">
        <v>4</v>
      </c>
      <c r="O1243" s="227" t="s">
        <v>135</v>
      </c>
      <c r="P1243" s="228" t="n">
        <f aca="false">VLOOKUP(B1243,'NIVEL ENERO'!A:D,3,0)</f>
        <v>0.358324200695669</v>
      </c>
      <c r="Q1243" s="229" t="n">
        <f aca="false">VLOOKUP(B1243,'NIVEL ENERO'!A:D,4,0)</f>
        <v>491868.2</v>
      </c>
      <c r="R1243" s="186" t="str">
        <f aca="false">+PROPER(C1243&amp;" "&amp;D1243)</f>
        <v>Alzate Sierra Martha Cecilia</v>
      </c>
      <c r="S1243" s="230" t="n">
        <f aca="false">+YEARFRAC(L1243,$S$1)</f>
        <v>7.43888888888889</v>
      </c>
      <c r="T1243" s="230" t="n">
        <f aca="false">+YEARFRAC(M1243,$S$1)</f>
        <v>12.3277777777778</v>
      </c>
      <c r="U1243" s="231" t="n">
        <f aca="false">+$I1243</f>
        <v>6957567</v>
      </c>
      <c r="V1243" s="232" t="str">
        <f aca="false">+PROPER(F1243)</f>
        <v>Casado(A)</v>
      </c>
    </row>
    <row r="1244" customFormat="false" ht="14.25" hidden="false" customHeight="false" outlineLevel="0" collapsed="false">
      <c r="B1244" s="197" t="n">
        <v>1130632864</v>
      </c>
      <c r="C1244" s="197" t="s">
        <v>3122</v>
      </c>
      <c r="D1244" s="197" t="s">
        <v>2435</v>
      </c>
      <c r="E1244" s="198" t="s">
        <v>944</v>
      </c>
      <c r="F1244" s="198" t="s">
        <v>948</v>
      </c>
      <c r="G1244" s="225" t="n">
        <v>4327600</v>
      </c>
      <c r="H1244" s="225" t="n">
        <v>6817227</v>
      </c>
      <c r="I1244" s="225" t="n">
        <v>5785436</v>
      </c>
      <c r="J1244" s="198" t="n">
        <v>37</v>
      </c>
      <c r="K1244" s="198" t="n">
        <v>1</v>
      </c>
      <c r="L1244" s="226" t="n">
        <v>43420</v>
      </c>
      <c r="M1244" s="226" t="n">
        <v>41988</v>
      </c>
      <c r="N1244" s="227" t="n">
        <v>3</v>
      </c>
      <c r="O1244" s="227" t="s">
        <v>135</v>
      </c>
      <c r="P1244" s="228" t="n">
        <f aca="false">VLOOKUP(B1244,'NIVEL ENERO'!A:D,3,0)</f>
        <v>0.35705217672613</v>
      </c>
      <c r="Q1244" s="229" t="n">
        <f aca="false">VLOOKUP(B1244,'NIVEL ENERO'!A:D,4,0)</f>
        <v>272413</v>
      </c>
      <c r="R1244" s="186" t="str">
        <f aca="false">+PROPER(C1244&amp;" "&amp;D1244)</f>
        <v>Florez Meneses Cindy Johanna</v>
      </c>
      <c r="S1244" s="230" t="n">
        <f aca="false">+YEARFRAC(L1244,$S$1)</f>
        <v>7.48888888888889</v>
      </c>
      <c r="T1244" s="230" t="n">
        <f aca="false">+YEARFRAC(M1244,$S$1)</f>
        <v>11.4083333333333</v>
      </c>
      <c r="U1244" s="231" t="n">
        <f aca="false">+$I1244</f>
        <v>5785436</v>
      </c>
      <c r="V1244" s="232" t="str">
        <f aca="false">+PROPER(F1244)</f>
        <v>Casado(A)</v>
      </c>
    </row>
    <row r="1245" customFormat="false" ht="14.25" hidden="false" customHeight="false" outlineLevel="0" collapsed="false">
      <c r="B1245" s="197" t="n">
        <v>1130632963</v>
      </c>
      <c r="C1245" s="197" t="s">
        <v>3123</v>
      </c>
      <c r="D1245" s="197" t="s">
        <v>3124</v>
      </c>
      <c r="E1245" s="198" t="s">
        <v>1696</v>
      </c>
      <c r="F1245" s="198" t="s">
        <v>953</v>
      </c>
      <c r="G1245" s="225" t="n">
        <v>2893800</v>
      </c>
      <c r="H1245" s="225" t="n">
        <v>2567313</v>
      </c>
      <c r="I1245" s="225" t="n">
        <v>8855086</v>
      </c>
      <c r="J1245" s="198" t="n">
        <v>37</v>
      </c>
      <c r="K1245" s="198" t="n">
        <v>1</v>
      </c>
      <c r="L1245" s="226" t="n">
        <v>44218</v>
      </c>
      <c r="M1245" s="226" t="n">
        <v>38931</v>
      </c>
      <c r="N1245" s="227" t="n">
        <v>2</v>
      </c>
      <c r="O1245" s="227" t="s">
        <v>135</v>
      </c>
      <c r="P1245" s="228" t="n">
        <f aca="false">VLOOKUP(B1245,'NIVEL ENERO'!A:D,3,0)</f>
        <v>0.361383266733358</v>
      </c>
      <c r="Q1245" s="229" t="n">
        <f aca="false">VLOOKUP(B1245,'NIVEL ENERO'!A:D,4,0)</f>
        <v>192856.36</v>
      </c>
      <c r="R1245" s="186" t="str">
        <f aca="false">+PROPER(C1245&amp;" "&amp;D1245)</f>
        <v>Ramos Vernaza Johnny Andres</v>
      </c>
      <c r="S1245" s="230" t="n">
        <f aca="false">+YEARFRAC(L1245,$S$1)</f>
        <v>5.30555555555556</v>
      </c>
      <c r="T1245" s="230" t="n">
        <f aca="false">+YEARFRAC(M1245,$S$1)</f>
        <v>19.7777777777778</v>
      </c>
      <c r="U1245" s="231" t="n">
        <f aca="false">+$I1245</f>
        <v>8855086</v>
      </c>
      <c r="V1245" s="232" t="str">
        <f aca="false">+PROPER(F1245)</f>
        <v>Soltero(A)</v>
      </c>
    </row>
    <row r="1246" customFormat="false" ht="14.25" hidden="false" customHeight="false" outlineLevel="0" collapsed="false">
      <c r="B1246" s="197" t="n">
        <v>1130634955</v>
      </c>
      <c r="C1246" s="197" t="s">
        <v>3125</v>
      </c>
      <c r="D1246" s="197" t="s">
        <v>1202</v>
      </c>
      <c r="E1246" s="198" t="s">
        <v>944</v>
      </c>
      <c r="F1246" s="198" t="s">
        <v>945</v>
      </c>
      <c r="G1246" s="225" t="n">
        <v>4870200</v>
      </c>
      <c r="H1246" s="225" t="n">
        <v>720000</v>
      </c>
      <c r="I1246" s="225" t="n">
        <v>0</v>
      </c>
      <c r="J1246" s="198" t="n">
        <v>37</v>
      </c>
      <c r="K1246" s="198" t="n">
        <v>1</v>
      </c>
      <c r="L1246" s="226" t="n">
        <v>45414</v>
      </c>
      <c r="M1246" s="226" t="n">
        <v>41958</v>
      </c>
      <c r="N1246" s="227" t="n">
        <v>0</v>
      </c>
      <c r="O1246" s="227" t="s">
        <v>135</v>
      </c>
      <c r="P1246" s="228" t="n">
        <f aca="false">VLOOKUP(B1246,'NIVEL ENERO'!A:D,3,0)</f>
        <v>0.390487071484526</v>
      </c>
      <c r="Q1246" s="229" t="n">
        <f aca="false">VLOOKUP(B1246,'NIVEL ENERO'!A:D,4,0)</f>
        <v>209357.74</v>
      </c>
      <c r="R1246" s="186" t="str">
        <f aca="false">+PROPER(C1246&amp;" "&amp;D1246)</f>
        <v>Hurtado Pantoja Carolina</v>
      </c>
      <c r="S1246" s="230" t="n">
        <f aca="false">+YEARFRAC(L1246,$S$1)</f>
        <v>2.02777777777778</v>
      </c>
      <c r="T1246" s="230" t="n">
        <f aca="false">+YEARFRAC(M1246,$S$1)</f>
        <v>11.4916666666667</v>
      </c>
      <c r="U1246" s="231" t="n">
        <f aca="false">+$I1246</f>
        <v>0</v>
      </c>
      <c r="V1246" s="232" t="str">
        <f aca="false">+PROPER(F1246)</f>
        <v>Union Libre</v>
      </c>
    </row>
    <row r="1247" customFormat="false" ht="14.25" hidden="false" customHeight="false" outlineLevel="0" collapsed="false">
      <c r="B1247" s="197" t="n">
        <v>1130635381</v>
      </c>
      <c r="C1247" s="197" t="s">
        <v>3126</v>
      </c>
      <c r="D1247" s="197" t="s">
        <v>3127</v>
      </c>
      <c r="E1247" s="198" t="s">
        <v>944</v>
      </c>
      <c r="F1247" s="198" t="s">
        <v>945</v>
      </c>
      <c r="G1247" s="225" t="n">
        <v>5418800</v>
      </c>
      <c r="H1247" s="225" t="n">
        <v>5012507</v>
      </c>
      <c r="I1247" s="225" t="n">
        <v>0</v>
      </c>
      <c r="J1247" s="198" t="n">
        <v>37</v>
      </c>
      <c r="K1247" s="198" t="n">
        <v>2</v>
      </c>
      <c r="L1247" s="226" t="n">
        <v>43754</v>
      </c>
      <c r="M1247" s="226" t="n">
        <v>39146</v>
      </c>
      <c r="N1247" s="227" t="n">
        <v>4</v>
      </c>
      <c r="O1247" s="227" t="s">
        <v>135</v>
      </c>
      <c r="P1247" s="228" t="n">
        <f aca="false">VLOOKUP(B1247,'NIVEL ENERO'!A:D,3,0)</f>
        <v>0.313159311290053</v>
      </c>
      <c r="Q1247" s="229" t="n">
        <f aca="false">VLOOKUP(B1247,'NIVEL ENERO'!A:D,4,0)</f>
        <v>836202.86</v>
      </c>
      <c r="R1247" s="186" t="str">
        <f aca="false">+PROPER(C1247&amp;" "&amp;D1247)</f>
        <v>Figueroa Restrepo Lady Laura</v>
      </c>
      <c r="S1247" s="230" t="n">
        <f aca="false">+YEARFRAC(L1247,$S$1)</f>
        <v>6.57222222222222</v>
      </c>
      <c r="T1247" s="230" t="n">
        <f aca="false">+YEARFRAC(M1247,$S$1)</f>
        <v>19.1861111111111</v>
      </c>
      <c r="U1247" s="231" t="n">
        <f aca="false">+$I1247</f>
        <v>0</v>
      </c>
      <c r="V1247" s="232" t="str">
        <f aca="false">+PROPER(F1247)</f>
        <v>Union Libre</v>
      </c>
    </row>
    <row r="1248" customFormat="false" ht="14.25" hidden="false" customHeight="false" outlineLevel="0" collapsed="false">
      <c r="B1248" s="197" t="n">
        <v>1130635450</v>
      </c>
      <c r="C1248" s="197" t="s">
        <v>3128</v>
      </c>
      <c r="D1248" s="197" t="s">
        <v>3129</v>
      </c>
      <c r="E1248" s="198" t="s">
        <v>944</v>
      </c>
      <c r="F1248" s="198" t="s">
        <v>948</v>
      </c>
      <c r="G1248" s="225" t="n">
        <v>5637200</v>
      </c>
      <c r="H1248" s="225" t="n">
        <v>1005311</v>
      </c>
      <c r="I1248" s="225" t="n">
        <v>99911</v>
      </c>
      <c r="J1248" s="198" t="n">
        <v>37</v>
      </c>
      <c r="K1248" s="198" t="n">
        <v>1</v>
      </c>
      <c r="L1248" s="226" t="n">
        <v>45191</v>
      </c>
      <c r="M1248" s="226" t="n">
        <v>43937</v>
      </c>
      <c r="N1248" s="227" t="n">
        <v>0</v>
      </c>
      <c r="O1248" s="227" t="s">
        <v>135</v>
      </c>
      <c r="P1248" s="228" t="n">
        <f aca="false">VLOOKUP(B1248,'NIVEL ENERO'!A:D,3,0)</f>
        <v>0.331812026002167</v>
      </c>
      <c r="Q1248" s="229" t="n">
        <f aca="false">VLOOKUP(B1248,'NIVEL ENERO'!A:D,4,0)</f>
        <v>520944</v>
      </c>
      <c r="R1248" s="186" t="str">
        <f aca="false">+PROPER(C1248&amp;" "&amp;D1248)</f>
        <v>Palomar Trujillo Jhon Alexander</v>
      </c>
      <c r="S1248" s="230" t="n">
        <f aca="false">+YEARFRAC(L1248,$S$1)</f>
        <v>2.63888888888889</v>
      </c>
      <c r="T1248" s="230" t="n">
        <f aca="false">+YEARFRAC(M1248,$S$1)</f>
        <v>6.07222222222222</v>
      </c>
      <c r="U1248" s="231" t="n">
        <f aca="false">+$I1248</f>
        <v>99911</v>
      </c>
      <c r="V1248" s="232" t="str">
        <f aca="false">+PROPER(F1248)</f>
        <v>Casado(A)</v>
      </c>
    </row>
    <row r="1249" customFormat="false" ht="14.25" hidden="false" customHeight="false" outlineLevel="0" collapsed="false">
      <c r="B1249" s="197" t="n">
        <v>1130635690</v>
      </c>
      <c r="C1249" s="197" t="s">
        <v>3130</v>
      </c>
      <c r="D1249" s="197" t="s">
        <v>3131</v>
      </c>
      <c r="E1249" s="198" t="s">
        <v>944</v>
      </c>
      <c r="F1249" s="198" t="s">
        <v>953</v>
      </c>
      <c r="G1249" s="225" t="n">
        <v>5418800</v>
      </c>
      <c r="H1249" s="225" t="n">
        <v>3325582</v>
      </c>
      <c r="I1249" s="225" t="n">
        <v>2004069</v>
      </c>
      <c r="J1249" s="198" t="n">
        <v>37</v>
      </c>
      <c r="K1249" s="198" t="n">
        <v>4</v>
      </c>
      <c r="L1249" s="226" t="n">
        <v>43531</v>
      </c>
      <c r="M1249" s="226" t="n">
        <v>39087</v>
      </c>
      <c r="N1249" s="227" t="n">
        <v>2</v>
      </c>
      <c r="O1249" s="227" t="s">
        <v>135</v>
      </c>
      <c r="P1249" s="228" t="n">
        <f aca="false">VLOOKUP(B1249,'NIVEL ENERO'!A:D,3,0)</f>
        <v>0.319625973890243</v>
      </c>
      <c r="Q1249" s="229" t="n">
        <f aca="false">VLOOKUP(B1249,'NIVEL ENERO'!A:D,4,0)</f>
        <v>737584.88</v>
      </c>
      <c r="R1249" s="186" t="str">
        <f aca="false">+PROPER(C1249&amp;" "&amp;D1249)</f>
        <v>Diaz Heredia Diana Liseth</v>
      </c>
      <c r="S1249" s="230" t="n">
        <f aca="false">+YEARFRAC(L1249,$S$1)</f>
        <v>7.18055555555556</v>
      </c>
      <c r="T1249" s="230" t="n">
        <f aca="false">+YEARFRAC(M1249,$S$1)</f>
        <v>19.3527777777778</v>
      </c>
      <c r="U1249" s="231" t="n">
        <f aca="false">+$I1249</f>
        <v>2004069</v>
      </c>
      <c r="V1249" s="232" t="str">
        <f aca="false">+PROPER(F1249)</f>
        <v>Soltero(A)</v>
      </c>
    </row>
    <row r="1250" customFormat="false" ht="14.25" hidden="false" customHeight="false" outlineLevel="0" collapsed="false">
      <c r="B1250" s="197" t="n">
        <v>1130635783</v>
      </c>
      <c r="C1250" s="197" t="s">
        <v>3132</v>
      </c>
      <c r="D1250" s="197" t="s">
        <v>2431</v>
      </c>
      <c r="E1250" s="198" t="s">
        <v>1696</v>
      </c>
      <c r="F1250" s="198" t="s">
        <v>953</v>
      </c>
      <c r="G1250" s="225" t="n">
        <v>2340800</v>
      </c>
      <c r="H1250" s="225" t="n">
        <v>1238408</v>
      </c>
      <c r="I1250" s="225" t="n">
        <v>2122891</v>
      </c>
      <c r="J1250" s="198" t="n">
        <v>37</v>
      </c>
      <c r="K1250" s="198" t="n">
        <v>1</v>
      </c>
      <c r="L1250" s="226" t="n">
        <v>45050</v>
      </c>
      <c r="M1250" s="226" t="n">
        <v>43174</v>
      </c>
      <c r="N1250" s="227" t="n">
        <v>2</v>
      </c>
      <c r="O1250" s="227" t="s">
        <v>135</v>
      </c>
      <c r="P1250" s="228" t="n">
        <f aca="false">VLOOKUP(B1250,'NIVEL ENERO'!A:D,3,0)</f>
        <v>0.339823468270693</v>
      </c>
      <c r="Q1250" s="229" t="n">
        <f aca="false">VLOOKUP(B1250,'NIVEL ENERO'!A:D,4,0)</f>
        <v>241543.08</v>
      </c>
      <c r="R1250" s="186" t="str">
        <f aca="false">+PROPER(C1250&amp;" "&amp;D1250)</f>
        <v>Medina Lozano Yuliana</v>
      </c>
      <c r="S1250" s="230" t="n">
        <f aca="false">+YEARFRAC(L1250,$S$1)</f>
        <v>3.02222222222222</v>
      </c>
      <c r="T1250" s="230" t="n">
        <f aca="false">+YEARFRAC(M1250,$S$1)</f>
        <v>8.15833333333333</v>
      </c>
      <c r="U1250" s="231" t="n">
        <f aca="false">+$I1250</f>
        <v>2122891</v>
      </c>
      <c r="V1250" s="232" t="str">
        <f aca="false">+PROPER(F1250)</f>
        <v>Soltero(A)</v>
      </c>
    </row>
    <row r="1251" customFormat="false" ht="14.25" hidden="false" customHeight="false" outlineLevel="0" collapsed="false">
      <c r="B1251" s="197" t="n">
        <v>1130636523</v>
      </c>
      <c r="C1251" s="197" t="s">
        <v>3133</v>
      </c>
      <c r="D1251" s="197" t="s">
        <v>993</v>
      </c>
      <c r="E1251" s="198" t="s">
        <v>944</v>
      </c>
      <c r="F1251" s="198" t="s">
        <v>953</v>
      </c>
      <c r="G1251" s="225" t="n">
        <v>9087800</v>
      </c>
      <c r="H1251" s="225" t="n">
        <v>1601874</v>
      </c>
      <c r="I1251" s="225" t="n">
        <v>12396522</v>
      </c>
      <c r="J1251" s="198" t="n">
        <v>37</v>
      </c>
      <c r="K1251" s="198" t="n">
        <v>3</v>
      </c>
      <c r="L1251" s="226" t="n">
        <v>45191</v>
      </c>
      <c r="M1251" s="226" t="n">
        <v>44593</v>
      </c>
      <c r="N1251" s="227" t="n">
        <v>2</v>
      </c>
      <c r="O1251" s="227" t="s">
        <v>135</v>
      </c>
      <c r="P1251" s="228" t="n">
        <f aca="false">VLOOKUP(B1251,'NIVEL ENERO'!A:D,3,0)</f>
        <v>0.410783735863112</v>
      </c>
      <c r="Q1251" s="229" t="n">
        <f aca="false">VLOOKUP(B1251,'NIVEL ENERO'!A:D,4,0)</f>
        <v>89490.9999999995</v>
      </c>
      <c r="R1251" s="186" t="str">
        <f aca="false">+PROPER(C1251&amp;" "&amp;D1251)</f>
        <v>Ospina Hernandez Juan Pablo</v>
      </c>
      <c r="S1251" s="230" t="n">
        <f aca="false">+YEARFRAC(L1251,$S$1)</f>
        <v>2.63888888888889</v>
      </c>
      <c r="T1251" s="230" t="n">
        <f aca="false">+YEARFRAC(M1251,$S$1)</f>
        <v>4.28055555555556</v>
      </c>
      <c r="U1251" s="231" t="n">
        <f aca="false">+$I1251</f>
        <v>12396522</v>
      </c>
      <c r="V1251" s="232" t="str">
        <f aca="false">+PROPER(F1251)</f>
        <v>Soltero(A)</v>
      </c>
    </row>
    <row r="1252" customFormat="false" ht="14.25" hidden="false" customHeight="false" outlineLevel="0" collapsed="false">
      <c r="B1252" s="197" t="n">
        <v>1130637122</v>
      </c>
      <c r="C1252" s="197" t="s">
        <v>3134</v>
      </c>
      <c r="D1252" s="197" t="s">
        <v>3135</v>
      </c>
      <c r="E1252" s="198" t="s">
        <v>981</v>
      </c>
      <c r="F1252" s="198" t="s">
        <v>948</v>
      </c>
      <c r="G1252" s="225" t="n">
        <v>2600900</v>
      </c>
      <c r="H1252" s="225" t="n">
        <v>1063511</v>
      </c>
      <c r="I1252" s="225" t="n">
        <v>2805055</v>
      </c>
      <c r="J1252" s="198" t="n">
        <v>36</v>
      </c>
      <c r="K1252" s="198" t="n">
        <v>1</v>
      </c>
      <c r="L1252" s="226" t="n">
        <v>45148</v>
      </c>
      <c r="M1252" s="226" t="n">
        <v>38792</v>
      </c>
      <c r="N1252" s="227" t="n">
        <v>4</v>
      </c>
      <c r="O1252" s="227" t="s">
        <v>135</v>
      </c>
      <c r="P1252" s="228" t="n">
        <f aca="false">VLOOKUP(B1252,'NIVEL ENERO'!A:D,3,0)</f>
        <v>0.412201173382877</v>
      </c>
      <c r="Q1252" s="229" t="n">
        <f aca="false">VLOOKUP(B1252,'NIVEL ENERO'!A:D,4,0)</f>
        <v>20294.26</v>
      </c>
      <c r="R1252" s="186" t="str">
        <f aca="false">+PROPER(C1252&amp;" "&amp;D1252)</f>
        <v>Ceballos Fernandez Ketty Vanessa</v>
      </c>
      <c r="S1252" s="230" t="n">
        <f aca="false">+YEARFRAC(L1252,$S$1)</f>
        <v>2.75555555555556</v>
      </c>
      <c r="T1252" s="230" t="n">
        <f aca="false">+YEARFRAC(M1252,$S$1)</f>
        <v>20.1555555555556</v>
      </c>
      <c r="U1252" s="231" t="n">
        <f aca="false">+$I1252</f>
        <v>2805055</v>
      </c>
      <c r="V1252" s="232" t="str">
        <f aca="false">+PROPER(F1252)</f>
        <v>Casado(A)</v>
      </c>
    </row>
    <row r="1253" customFormat="false" ht="14.25" hidden="false" customHeight="false" outlineLevel="0" collapsed="false">
      <c r="B1253" s="197" t="n">
        <v>1130637498</v>
      </c>
      <c r="C1253" s="197" t="s">
        <v>3136</v>
      </c>
      <c r="D1253" s="197" t="s">
        <v>3137</v>
      </c>
      <c r="E1253" s="198" t="s">
        <v>944</v>
      </c>
      <c r="F1253" s="198" t="s">
        <v>953</v>
      </c>
      <c r="G1253" s="225" t="n">
        <v>2893800</v>
      </c>
      <c r="H1253" s="225" t="n">
        <v>400000</v>
      </c>
      <c r="I1253" s="225"/>
      <c r="J1253" s="198" t="n">
        <v>37</v>
      </c>
      <c r="K1253" s="198" t="n">
        <v>3</v>
      </c>
      <c r="L1253" s="226" t="n">
        <v>45524</v>
      </c>
      <c r="M1253" s="226" t="n">
        <v>41772</v>
      </c>
      <c r="N1253" s="227" t="n">
        <v>0</v>
      </c>
      <c r="O1253" s="227" t="s">
        <v>135</v>
      </c>
      <c r="P1253" s="228" t="n">
        <f aca="false">VLOOKUP(B1253,'NIVEL ENERO'!A:D,3,0)</f>
        <v>0.311535711123478</v>
      </c>
      <c r="Q1253" s="229" t="n">
        <f aca="false">VLOOKUP(B1253,'NIVEL ENERO'!A:D,4,0)</f>
        <v>379340.22</v>
      </c>
      <c r="R1253" s="186" t="str">
        <f aca="false">+PROPER(C1253&amp;" "&amp;D1253)</f>
        <v>Castillo Caicedo Jose Jamil</v>
      </c>
      <c r="S1253" s="230" t="n">
        <f aca="false">+YEARFRAC(L1253,$S$1)</f>
        <v>1.72777777777778</v>
      </c>
      <c r="T1253" s="230" t="n">
        <f aca="false">+YEARFRAC(M1253,$S$1)</f>
        <v>11.9972222222222</v>
      </c>
      <c r="U1253" s="231" t="n">
        <f aca="false">+$I1253</f>
        <v>0</v>
      </c>
      <c r="V1253" s="232" t="str">
        <f aca="false">+PROPER(F1253)</f>
        <v>Soltero(A)</v>
      </c>
    </row>
    <row r="1254" customFormat="false" ht="14.25" hidden="false" customHeight="false" outlineLevel="0" collapsed="false">
      <c r="B1254" s="197" t="n">
        <v>1130638245</v>
      </c>
      <c r="C1254" s="197" t="s">
        <v>3138</v>
      </c>
      <c r="D1254" s="197" t="s">
        <v>2719</v>
      </c>
      <c r="E1254" s="198" t="s">
        <v>944</v>
      </c>
      <c r="F1254" s="198" t="s">
        <v>953</v>
      </c>
      <c r="G1254" s="225" t="n">
        <v>5418800</v>
      </c>
      <c r="H1254" s="225" t="n">
        <v>800000</v>
      </c>
      <c r="I1254" s="225" t="n">
        <v>0</v>
      </c>
      <c r="J1254" s="198" t="n">
        <v>36</v>
      </c>
      <c r="K1254" s="198" t="n">
        <v>3</v>
      </c>
      <c r="L1254" s="226" t="n">
        <v>45414</v>
      </c>
      <c r="M1254" s="226" t="n">
        <v>39671</v>
      </c>
      <c r="N1254" s="227" t="n">
        <v>2</v>
      </c>
      <c r="O1254" s="227" t="s">
        <v>135</v>
      </c>
      <c r="P1254" s="228" t="n">
        <f aca="false">VLOOKUP(B1254,'NIVEL ENERO'!A:D,3,0)</f>
        <v>0.278812280676345</v>
      </c>
      <c r="Q1254" s="229" t="n">
        <f aca="false">VLOOKUP(B1254,'NIVEL ENERO'!A:D,4,0)</f>
        <v>662892.72</v>
      </c>
      <c r="R1254" s="186" t="str">
        <f aca="false">+PROPER(C1254&amp;" "&amp;D1254)</f>
        <v>Valencia Quintero Veronica</v>
      </c>
      <c r="S1254" s="230" t="n">
        <f aca="false">+YEARFRAC(L1254,$S$1)</f>
        <v>2.02777777777778</v>
      </c>
      <c r="T1254" s="230" t="n">
        <f aca="false">+YEARFRAC(M1254,$S$1)</f>
        <v>17.7527777777778</v>
      </c>
      <c r="U1254" s="231" t="n">
        <f aca="false">+$I1254</f>
        <v>0</v>
      </c>
      <c r="V1254" s="232" t="str">
        <f aca="false">+PROPER(F1254)</f>
        <v>Soltero(A)</v>
      </c>
    </row>
    <row r="1255" customFormat="false" ht="14.25" hidden="false" customHeight="false" outlineLevel="0" collapsed="false">
      <c r="B1255" s="197" t="n">
        <v>1130639453</v>
      </c>
      <c r="C1255" s="197" t="s">
        <v>3139</v>
      </c>
      <c r="D1255" s="197" t="s">
        <v>1202</v>
      </c>
      <c r="E1255" s="198" t="s">
        <v>944</v>
      </c>
      <c r="F1255" s="198" t="s">
        <v>948</v>
      </c>
      <c r="G1255" s="225" t="n">
        <v>5842800</v>
      </c>
      <c r="H1255" s="225" t="n">
        <v>2225713</v>
      </c>
      <c r="I1255" s="225" t="n">
        <v>4169787</v>
      </c>
      <c r="J1255" s="198" t="n">
        <v>37</v>
      </c>
      <c r="K1255" s="198" t="n">
        <v>3</v>
      </c>
      <c r="L1255" s="226" t="n">
        <v>44552</v>
      </c>
      <c r="M1255" s="226" t="n">
        <v>40000</v>
      </c>
      <c r="N1255" s="227" t="n">
        <v>2</v>
      </c>
      <c r="O1255" s="227" t="s">
        <v>135</v>
      </c>
      <c r="P1255" s="228" t="n">
        <f aca="false">VLOOKUP(B1255,'NIVEL ENERO'!A:D,3,0)</f>
        <v>0.265074964058328</v>
      </c>
      <c r="Q1255" s="229" t="n">
        <f aca="false">VLOOKUP(B1255,'NIVEL ENERO'!A:D,4,0)</f>
        <v>905196</v>
      </c>
      <c r="R1255" s="186" t="str">
        <f aca="false">+PROPER(C1255&amp;" "&amp;D1255)</f>
        <v>Villani Bahamon Carolina</v>
      </c>
      <c r="S1255" s="230" t="n">
        <f aca="false">+YEARFRAC(L1255,$S$1)</f>
        <v>4.38888888888889</v>
      </c>
      <c r="T1255" s="230" t="n">
        <f aca="false">+YEARFRAC(M1255,$S$1)</f>
        <v>16.85</v>
      </c>
      <c r="U1255" s="231" t="n">
        <f aca="false">+$I1255</f>
        <v>4169787</v>
      </c>
      <c r="V1255" s="232" t="str">
        <f aca="false">+PROPER(F1255)</f>
        <v>Casado(A)</v>
      </c>
    </row>
    <row r="1256" customFormat="false" ht="14.25" hidden="false" customHeight="false" outlineLevel="0" collapsed="false">
      <c r="B1256" s="197" t="n">
        <v>1130640618</v>
      </c>
      <c r="C1256" s="197" t="s">
        <v>3140</v>
      </c>
      <c r="D1256" s="197" t="s">
        <v>1204</v>
      </c>
      <c r="E1256" s="198" t="s">
        <v>944</v>
      </c>
      <c r="F1256" s="198" t="s">
        <v>945</v>
      </c>
      <c r="G1256" s="225" t="n">
        <v>1501435</v>
      </c>
      <c r="H1256" s="225" t="n">
        <v>880130</v>
      </c>
      <c r="I1256" s="225" t="n">
        <v>334031</v>
      </c>
      <c r="J1256" s="198" t="n">
        <v>36</v>
      </c>
      <c r="K1256" s="198" t="n">
        <v>2</v>
      </c>
      <c r="L1256" s="226" t="n">
        <v>45279</v>
      </c>
      <c r="M1256" s="226" t="n">
        <v>42973</v>
      </c>
      <c r="N1256" s="227" t="n">
        <v>3</v>
      </c>
      <c r="O1256" s="227" t="s">
        <v>135</v>
      </c>
      <c r="P1256" s="228" t="n">
        <f aca="false">VLOOKUP(B1256,'NIVEL ENERO'!A:D,3,0)</f>
        <v>0.389187817112596</v>
      </c>
      <c r="Q1256" s="229" t="n">
        <f aca="false">VLOOKUP(B1256,'NIVEL ENERO'!A:D,4,0)</f>
        <v>127283</v>
      </c>
      <c r="R1256" s="186" t="str">
        <f aca="false">+PROPER(C1256&amp;" "&amp;D1256)</f>
        <v>Vasquez Ramirez Alexandra</v>
      </c>
      <c r="S1256" s="230" t="n">
        <f aca="false">+YEARFRAC(L1256,$S$1)</f>
        <v>2.39722222222222</v>
      </c>
      <c r="T1256" s="230" t="n">
        <f aca="false">+YEARFRAC(M1256,$S$1)</f>
        <v>8.71111111111111</v>
      </c>
      <c r="U1256" s="231" t="n">
        <f aca="false">+$I1256</f>
        <v>334031</v>
      </c>
      <c r="V1256" s="232" t="str">
        <f aca="false">+PROPER(F1256)</f>
        <v>Union Libre</v>
      </c>
    </row>
    <row r="1257" customFormat="false" ht="14.25" hidden="false" customHeight="false" outlineLevel="0" collapsed="false">
      <c r="B1257" s="197" t="n">
        <v>1130640687</v>
      </c>
      <c r="C1257" s="197" t="s">
        <v>3141</v>
      </c>
      <c r="D1257" s="197" t="s">
        <v>2754</v>
      </c>
      <c r="E1257" s="198" t="s">
        <v>944</v>
      </c>
      <c r="F1257" s="198" t="s">
        <v>953</v>
      </c>
      <c r="G1257" s="225" t="n">
        <v>2800000</v>
      </c>
      <c r="H1257" s="225" t="n">
        <v>3296439</v>
      </c>
      <c r="I1257" s="225" t="n">
        <v>6532659</v>
      </c>
      <c r="J1257" s="198" t="n">
        <v>36</v>
      </c>
      <c r="K1257" s="198" t="n">
        <v>1</v>
      </c>
      <c r="L1257" s="226" t="n">
        <v>43657</v>
      </c>
      <c r="M1257" s="226" t="n">
        <v>41924</v>
      </c>
      <c r="N1257" s="227" t="n">
        <v>1</v>
      </c>
      <c r="O1257" s="227" t="s">
        <v>135</v>
      </c>
      <c r="P1257" s="228" t="n">
        <f aca="false">VLOOKUP(B1257,'NIVEL ENERO'!A:D,3,0)</f>
        <v>0.271666288954573</v>
      </c>
      <c r="Q1257" s="229" t="n">
        <f aca="false">VLOOKUP(B1257,'NIVEL ENERO'!A:D,4,0)</f>
        <v>615255.6</v>
      </c>
      <c r="R1257" s="186" t="str">
        <f aca="false">+PROPER(C1257&amp;" "&amp;D1257)</f>
        <v>Mejia Correa Leidy Johana</v>
      </c>
      <c r="S1257" s="230" t="n">
        <f aca="false">+YEARFRAC(L1257,$S$1)</f>
        <v>6.83611111111111</v>
      </c>
      <c r="T1257" s="230" t="n">
        <f aca="false">+YEARFRAC(M1257,$S$1)</f>
        <v>11.5833333333333</v>
      </c>
      <c r="U1257" s="231" t="n">
        <f aca="false">+$I1257</f>
        <v>6532659</v>
      </c>
      <c r="V1257" s="232" t="str">
        <f aca="false">+PROPER(F1257)</f>
        <v>Soltero(A)</v>
      </c>
    </row>
    <row r="1258" customFormat="false" ht="14.25" hidden="false" customHeight="false" outlineLevel="0" collapsed="false">
      <c r="B1258" s="197" t="n">
        <v>1130641134</v>
      </c>
      <c r="C1258" s="197" t="s">
        <v>3142</v>
      </c>
      <c r="D1258" s="197" t="s">
        <v>3143</v>
      </c>
      <c r="E1258" s="198" t="s">
        <v>944</v>
      </c>
      <c r="F1258" s="198" t="s">
        <v>945</v>
      </c>
      <c r="G1258" s="225" t="n">
        <v>2600900</v>
      </c>
      <c r="H1258" s="225" t="n">
        <v>4324960</v>
      </c>
      <c r="I1258" s="225" t="n">
        <v>3843710</v>
      </c>
      <c r="J1258" s="198" t="n">
        <v>36</v>
      </c>
      <c r="K1258" s="198" t="n">
        <v>2</v>
      </c>
      <c r="L1258" s="226" t="n">
        <v>44298</v>
      </c>
      <c r="M1258" s="226" t="n">
        <v>42522</v>
      </c>
      <c r="N1258" s="227" t="n">
        <v>2</v>
      </c>
      <c r="O1258" s="227" t="s">
        <v>135</v>
      </c>
      <c r="P1258" s="228" t="n">
        <f aca="false">VLOOKUP(B1258,'NIVEL ENERO'!A:D,3,0)</f>
        <v>0.300529169141745</v>
      </c>
      <c r="Q1258" s="229" t="n">
        <f aca="false">VLOOKUP(B1258,'NIVEL ENERO'!A:D,4,0)</f>
        <v>372814.98</v>
      </c>
      <c r="R1258" s="186" t="str">
        <f aca="false">+PROPER(C1258&amp;" "&amp;D1258)</f>
        <v>Endo Cano Daira Fernanda</v>
      </c>
      <c r="S1258" s="230" t="n">
        <f aca="false">+YEARFRAC(L1258,$S$1)</f>
        <v>5.08333333333333</v>
      </c>
      <c r="T1258" s="230" t="n">
        <f aca="false">+YEARFRAC(M1258,$S$1)</f>
        <v>9.94722222222222</v>
      </c>
      <c r="U1258" s="231" t="n">
        <f aca="false">+$I1258</f>
        <v>3843710</v>
      </c>
      <c r="V1258" s="232" t="str">
        <f aca="false">+PROPER(F1258)</f>
        <v>Union Libre</v>
      </c>
    </row>
    <row r="1259" customFormat="false" ht="14.25" hidden="false" customHeight="false" outlineLevel="0" collapsed="false">
      <c r="B1259" s="197" t="n">
        <v>1130641716</v>
      </c>
      <c r="C1259" s="197" t="s">
        <v>3144</v>
      </c>
      <c r="D1259" s="197" t="s">
        <v>3145</v>
      </c>
      <c r="E1259" s="198" t="s">
        <v>944</v>
      </c>
      <c r="F1259" s="198" t="s">
        <v>945</v>
      </c>
      <c r="G1259" s="225" t="n">
        <v>1991000</v>
      </c>
      <c r="H1259" s="225" t="n">
        <v>1637319</v>
      </c>
      <c r="I1259" s="225" t="n">
        <v>1761505</v>
      </c>
      <c r="J1259" s="198" t="n">
        <v>36</v>
      </c>
      <c r="K1259" s="198" t="n">
        <v>1</v>
      </c>
      <c r="L1259" s="226" t="n">
        <v>44820</v>
      </c>
      <c r="M1259" s="226" t="n">
        <v>43692</v>
      </c>
      <c r="N1259" s="227" t="n">
        <v>2</v>
      </c>
      <c r="O1259" s="227" t="s">
        <v>135</v>
      </c>
      <c r="P1259" s="228" t="n">
        <f aca="false">VLOOKUP(B1259,'NIVEL ENERO'!A:D,3,0)</f>
        <v>0.413177297840281</v>
      </c>
      <c r="Q1259" s="229" t="n">
        <f aca="false">VLOOKUP(B1259,'NIVEL ENERO'!A:D,4,0)</f>
        <v>13584</v>
      </c>
      <c r="R1259" s="186" t="str">
        <f aca="false">+PROPER(C1259&amp;" "&amp;D1259)</f>
        <v>Dominguez Vera Evelin</v>
      </c>
      <c r="S1259" s="230" t="n">
        <f aca="false">+YEARFRAC(L1259,$S$1)</f>
        <v>3.65555555555556</v>
      </c>
      <c r="T1259" s="230" t="n">
        <f aca="false">+YEARFRAC(M1259,$S$1)</f>
        <v>6.74166666666667</v>
      </c>
      <c r="U1259" s="231" t="n">
        <f aca="false">+$I1259</f>
        <v>1761505</v>
      </c>
      <c r="V1259" s="232" t="str">
        <f aca="false">+PROPER(F1259)</f>
        <v>Union Libre</v>
      </c>
    </row>
    <row r="1260" customFormat="false" ht="14.25" hidden="false" customHeight="false" outlineLevel="0" collapsed="false">
      <c r="B1260" s="197" t="n">
        <v>1130643308</v>
      </c>
      <c r="C1260" s="197" t="s">
        <v>3146</v>
      </c>
      <c r="D1260" s="197" t="s">
        <v>3147</v>
      </c>
      <c r="E1260" s="198" t="s">
        <v>981</v>
      </c>
      <c r="F1260" s="198" t="s">
        <v>948</v>
      </c>
      <c r="G1260" s="225" t="n">
        <v>1625000</v>
      </c>
      <c r="H1260" s="225" t="n">
        <v>3011765</v>
      </c>
      <c r="I1260" s="225" t="n">
        <v>3576469</v>
      </c>
      <c r="J1260" s="198" t="n">
        <v>35</v>
      </c>
      <c r="K1260" s="198" t="n">
        <v>2</v>
      </c>
      <c r="L1260" s="226" t="n">
        <v>44754</v>
      </c>
      <c r="M1260" s="226" t="n">
        <v>44587</v>
      </c>
      <c r="N1260" s="227" t="n">
        <v>4</v>
      </c>
      <c r="O1260" s="227" t="s">
        <v>135</v>
      </c>
      <c r="P1260" s="228" t="n">
        <f aca="false">VLOOKUP(B1260,'NIVEL ENERO'!A:D,3,0)</f>
        <v>0.448269253880107</v>
      </c>
      <c r="Q1260" s="229" t="n">
        <f aca="false">VLOOKUP(B1260,'NIVEL ENERO'!A:D,4,0)</f>
        <v>-55514.52</v>
      </c>
      <c r="R1260" s="186" t="str">
        <f aca="false">+PROPER(C1260&amp;" "&amp;D1260)</f>
        <v>Castro Dominguez Alejandra Maria</v>
      </c>
      <c r="S1260" s="230" t="n">
        <f aca="false">+YEARFRAC(L1260,$S$1)</f>
        <v>3.83333333333333</v>
      </c>
      <c r="T1260" s="230" t="n">
        <f aca="false">+YEARFRAC(M1260,$S$1)</f>
        <v>4.29444444444444</v>
      </c>
      <c r="U1260" s="231" t="n">
        <f aca="false">+$I1260</f>
        <v>3576469</v>
      </c>
      <c r="V1260" s="232" t="str">
        <f aca="false">+PROPER(F1260)</f>
        <v>Casado(A)</v>
      </c>
    </row>
    <row r="1261" customFormat="false" ht="14.25" hidden="false" customHeight="false" outlineLevel="0" collapsed="false">
      <c r="B1261" s="197" t="n">
        <v>1130643699</v>
      </c>
      <c r="C1261" s="197" t="s">
        <v>3148</v>
      </c>
      <c r="D1261" s="197" t="s">
        <v>3149</v>
      </c>
      <c r="E1261" s="198" t="s">
        <v>944</v>
      </c>
      <c r="F1261" s="198" t="s">
        <v>953</v>
      </c>
      <c r="G1261" s="225" t="n">
        <v>2600900</v>
      </c>
      <c r="H1261" s="225" t="n">
        <v>1658176</v>
      </c>
      <c r="I1261" s="225" t="n">
        <v>1663673</v>
      </c>
      <c r="J1261" s="198" t="n">
        <v>35</v>
      </c>
      <c r="K1261" s="198" t="n">
        <v>2</v>
      </c>
      <c r="L1261" s="226" t="n">
        <v>44790</v>
      </c>
      <c r="M1261" s="226" t="n">
        <v>44389</v>
      </c>
      <c r="N1261" s="227" t="n">
        <v>3</v>
      </c>
      <c r="O1261" s="227" t="s">
        <v>135</v>
      </c>
      <c r="P1261" s="228" t="n">
        <f aca="false">VLOOKUP(B1261,'NIVEL ENERO'!A:D,3,0)</f>
        <v>0.339742936970061</v>
      </c>
      <c r="Q1261" s="229" t="n">
        <f aca="false">VLOOKUP(B1261,'NIVEL ENERO'!A:D,4,0)</f>
        <v>286352.76</v>
      </c>
      <c r="R1261" s="186" t="str">
        <f aca="false">+PROPER(C1261&amp;" "&amp;D1261)</f>
        <v>Villaquiran Munoz Sandra Jimena</v>
      </c>
      <c r="S1261" s="230" t="n">
        <f aca="false">+YEARFRAC(L1261,$S$1)</f>
        <v>3.73611111111111</v>
      </c>
      <c r="T1261" s="230" t="n">
        <f aca="false">+YEARFRAC(M1261,$S$1)</f>
        <v>4.83333333333333</v>
      </c>
      <c r="U1261" s="231" t="n">
        <f aca="false">+$I1261</f>
        <v>1663673</v>
      </c>
      <c r="V1261" s="232" t="str">
        <f aca="false">+PROPER(F1261)</f>
        <v>Soltero(A)</v>
      </c>
    </row>
    <row r="1262" customFormat="false" ht="14.25" hidden="false" customHeight="false" outlineLevel="0" collapsed="false">
      <c r="B1262" s="197" t="n">
        <v>1130643922</v>
      </c>
      <c r="C1262" s="197" t="s">
        <v>3150</v>
      </c>
      <c r="D1262" s="197" t="s">
        <v>3151</v>
      </c>
      <c r="E1262" s="198" t="s">
        <v>944</v>
      </c>
      <c r="F1262" s="198" t="s">
        <v>948</v>
      </c>
      <c r="G1262" s="225" t="n">
        <v>1828100</v>
      </c>
      <c r="H1262" s="225" t="n">
        <v>510000</v>
      </c>
      <c r="I1262" s="225"/>
      <c r="J1262" s="198" t="n">
        <v>35</v>
      </c>
      <c r="K1262" s="198" t="n">
        <v>1</v>
      </c>
      <c r="L1262" s="226" t="n">
        <v>45475</v>
      </c>
      <c r="M1262" s="226" t="n">
        <v>45176</v>
      </c>
      <c r="N1262" s="227" t="n">
        <v>0</v>
      </c>
      <c r="O1262" s="227" t="s">
        <v>135</v>
      </c>
      <c r="P1262" s="228" t="n">
        <f aca="false">VLOOKUP(B1262,'NIVEL ENERO'!A:D,3,0)</f>
        <v>0.364117553744325</v>
      </c>
      <c r="Q1262" s="229" t="n">
        <f aca="false">VLOOKUP(B1262,'NIVEL ENERO'!A:D,4,0)</f>
        <v>243235</v>
      </c>
      <c r="R1262" s="186" t="str">
        <f aca="false">+PROPER(C1262&amp;" "&amp;D1262)</f>
        <v>Ramirez Garcia Bryan</v>
      </c>
      <c r="S1262" s="230" t="n">
        <f aca="false">+YEARFRAC(L1262,$S$1)</f>
        <v>1.86111111111111</v>
      </c>
      <c r="T1262" s="230" t="n">
        <f aca="false">+YEARFRAC(M1262,$S$1)</f>
        <v>2.68055555555556</v>
      </c>
      <c r="U1262" s="231" t="n">
        <f aca="false">+$I1262</f>
        <v>0</v>
      </c>
      <c r="V1262" s="232" t="str">
        <f aca="false">+PROPER(F1262)</f>
        <v>Casado(A)</v>
      </c>
    </row>
    <row r="1263" customFormat="false" ht="14.25" hidden="false" customHeight="false" outlineLevel="0" collapsed="false">
      <c r="B1263" s="197" t="n">
        <v>1130647826</v>
      </c>
      <c r="C1263" s="197" t="s">
        <v>3152</v>
      </c>
      <c r="D1263" s="197" t="s">
        <v>3153</v>
      </c>
      <c r="E1263" s="198" t="s">
        <v>944</v>
      </c>
      <c r="F1263" s="198" t="s">
        <v>945</v>
      </c>
      <c r="G1263" s="225" t="n">
        <v>5842800</v>
      </c>
      <c r="H1263" s="225" t="n">
        <v>1500275</v>
      </c>
      <c r="I1263" s="225" t="n">
        <v>0</v>
      </c>
      <c r="J1263" s="198" t="n">
        <v>38</v>
      </c>
      <c r="K1263" s="198" t="n">
        <v>4</v>
      </c>
      <c r="L1263" s="226" t="n">
        <v>45220</v>
      </c>
      <c r="M1263" s="226" t="n">
        <v>44927</v>
      </c>
      <c r="N1263" s="227" t="n">
        <v>0</v>
      </c>
      <c r="O1263" s="227" t="s">
        <v>135</v>
      </c>
      <c r="P1263" s="228" t="n">
        <f aca="false">VLOOKUP(B1263,'NIVEL ENERO'!A:D,3,0)</f>
        <v>0.116291675224208</v>
      </c>
      <c r="Q1263" s="229" t="n">
        <f aca="false">VLOOKUP(B1263,'NIVEL ENERO'!A:D,4,0)</f>
        <v>1774507</v>
      </c>
      <c r="R1263" s="186" t="str">
        <f aca="false">+PROPER(C1263&amp;" "&amp;D1263)</f>
        <v>Alvarez Cartagena Yoana Andrea</v>
      </c>
      <c r="S1263" s="230" t="n">
        <f aca="false">+YEARFRAC(L1263,$S$1)</f>
        <v>2.55833333333333</v>
      </c>
      <c r="T1263" s="230" t="n">
        <f aca="false">+YEARFRAC(M1263,$S$1)</f>
        <v>3.36388888888889</v>
      </c>
      <c r="U1263" s="231" t="n">
        <f aca="false">+$I1263</f>
        <v>0</v>
      </c>
      <c r="V1263" s="232" t="str">
        <f aca="false">+PROPER(F1263)</f>
        <v>Union Libre</v>
      </c>
    </row>
    <row r="1264" customFormat="false" ht="14.25" hidden="false" customHeight="false" outlineLevel="0" collapsed="false">
      <c r="B1264" s="197" t="n">
        <v>1130648286</v>
      </c>
      <c r="C1264" s="197" t="s">
        <v>3154</v>
      </c>
      <c r="D1264" s="197" t="s">
        <v>3155</v>
      </c>
      <c r="E1264" s="198" t="s">
        <v>944</v>
      </c>
      <c r="F1264" s="198" t="s">
        <v>945</v>
      </c>
      <c r="G1264" s="225" t="n">
        <v>2893800</v>
      </c>
      <c r="H1264" s="225" t="n">
        <v>3771210</v>
      </c>
      <c r="I1264" s="225" t="n">
        <v>9779835</v>
      </c>
      <c r="J1264" s="198" t="n">
        <v>38</v>
      </c>
      <c r="K1264" s="198" t="n">
        <v>2</v>
      </c>
      <c r="L1264" s="226" t="n">
        <v>43206</v>
      </c>
      <c r="M1264" s="226" t="n">
        <v>39944</v>
      </c>
      <c r="N1264" s="227" t="n">
        <v>3</v>
      </c>
      <c r="O1264" s="227" t="s">
        <v>135</v>
      </c>
      <c r="P1264" s="228" t="n">
        <f aca="false">VLOOKUP(B1264,'NIVEL ENERO'!A:D,3,0)</f>
        <v>0.305088810560509</v>
      </c>
      <c r="Q1264" s="229" t="n">
        <f aca="false">VLOOKUP(B1264,'NIVEL ENERO'!A:D,4,0)</f>
        <v>332530</v>
      </c>
      <c r="R1264" s="186" t="str">
        <f aca="false">+PROPER(C1264&amp;" "&amp;D1264)</f>
        <v>Hincapie Cardenas Catherine Johanna</v>
      </c>
      <c r="S1264" s="230" t="n">
        <f aca="false">+YEARFRAC(L1264,$S$1)</f>
        <v>8.07222222222222</v>
      </c>
      <c r="T1264" s="230" t="n">
        <f aca="false">+YEARFRAC(M1264,$S$1)</f>
        <v>17.0027777777778</v>
      </c>
      <c r="U1264" s="231" t="n">
        <f aca="false">+$I1264</f>
        <v>9779835</v>
      </c>
      <c r="V1264" s="232" t="str">
        <f aca="false">+PROPER(F1264)</f>
        <v>Union Libre</v>
      </c>
    </row>
    <row r="1265" customFormat="false" ht="14.25" hidden="false" customHeight="false" outlineLevel="0" collapsed="false">
      <c r="B1265" s="197" t="n">
        <v>1130649272</v>
      </c>
      <c r="C1265" s="197" t="s">
        <v>3156</v>
      </c>
      <c r="D1265" s="197" t="s">
        <v>3157</v>
      </c>
      <c r="E1265" s="198" t="s">
        <v>944</v>
      </c>
      <c r="F1265" s="198" t="s">
        <v>945</v>
      </c>
      <c r="G1265" s="225" t="n">
        <v>2600900</v>
      </c>
      <c r="H1265" s="225" t="n">
        <v>1700881</v>
      </c>
      <c r="I1265" s="225" t="n">
        <v>2381895</v>
      </c>
      <c r="J1265" s="198" t="n">
        <v>38</v>
      </c>
      <c r="K1265" s="198" t="n">
        <v>2</v>
      </c>
      <c r="L1265" s="226" t="n">
        <v>45161</v>
      </c>
      <c r="M1265" s="226" t="n">
        <v>45019</v>
      </c>
      <c r="N1265" s="227" t="n">
        <v>0</v>
      </c>
      <c r="O1265" s="227" t="s">
        <v>135</v>
      </c>
      <c r="P1265" s="228" t="n">
        <f aca="false">VLOOKUP(B1265,'NIVEL ENERO'!A:D,3,0)</f>
        <v>0.132795955246261</v>
      </c>
      <c r="Q1265" s="229" t="n">
        <f aca="false">VLOOKUP(B1265,'NIVEL ENERO'!A:D,4,0)</f>
        <v>746989</v>
      </c>
      <c r="R1265" s="186" t="str">
        <f aca="false">+PROPER(C1265&amp;" "&amp;D1265)</f>
        <v>Castro Ruth Vanesa</v>
      </c>
      <c r="S1265" s="230" t="n">
        <f aca="false">+YEARFRAC(L1265,$S$1)</f>
        <v>2.71944444444444</v>
      </c>
      <c r="T1265" s="230" t="n">
        <f aca="false">+YEARFRAC(M1265,$S$1)</f>
        <v>3.10833333333333</v>
      </c>
      <c r="U1265" s="231" t="n">
        <f aca="false">+$I1265</f>
        <v>2381895</v>
      </c>
      <c r="V1265" s="232" t="str">
        <f aca="false">+PROPER(F1265)</f>
        <v>Union Libre</v>
      </c>
    </row>
    <row r="1266" customFormat="false" ht="14.25" hidden="false" customHeight="false" outlineLevel="0" collapsed="false">
      <c r="B1266" s="197" t="n">
        <v>1130649843</v>
      </c>
      <c r="C1266" s="197" t="s">
        <v>3158</v>
      </c>
      <c r="D1266" s="197" t="s">
        <v>3159</v>
      </c>
      <c r="E1266" s="198" t="s">
        <v>944</v>
      </c>
      <c r="F1266" s="198" t="s">
        <v>948</v>
      </c>
      <c r="G1266" s="225" t="n">
        <v>2893800</v>
      </c>
      <c r="H1266" s="225" t="n">
        <v>325000</v>
      </c>
      <c r="I1266" s="225"/>
      <c r="J1266" s="198" t="n">
        <v>38</v>
      </c>
      <c r="K1266" s="198" t="n">
        <v>1</v>
      </c>
      <c r="L1266" s="226" t="n">
        <v>45519</v>
      </c>
      <c r="M1266" s="226" t="n">
        <v>42675</v>
      </c>
      <c r="N1266" s="227" t="n">
        <v>0</v>
      </c>
      <c r="O1266" s="227" t="s">
        <v>135</v>
      </c>
      <c r="P1266" s="228" t="n">
        <f aca="false">VLOOKUP(B1266,'NIVEL ENERO'!A:D,3,0)</f>
        <v>0.315079825834543</v>
      </c>
      <c r="Q1266" s="229" t="n">
        <f aca="false">VLOOKUP(B1266,'NIVEL ENERO'!A:D,4,0)</f>
        <v>303618</v>
      </c>
      <c r="R1266" s="186" t="str">
        <f aca="false">+PROPER(C1266&amp;" "&amp;D1266)</f>
        <v>Diaz Hernandez Marlin Elvira</v>
      </c>
      <c r="S1266" s="230" t="n">
        <f aca="false">+YEARFRAC(L1266,$S$1)</f>
        <v>1.74166666666667</v>
      </c>
      <c r="T1266" s="230" t="n">
        <f aca="false">+YEARFRAC(M1266,$S$1)</f>
        <v>9.53055555555556</v>
      </c>
      <c r="U1266" s="231" t="n">
        <f aca="false">+$I1266</f>
        <v>0</v>
      </c>
      <c r="V1266" s="232" t="str">
        <f aca="false">+PROPER(F1266)</f>
        <v>Casado(A)</v>
      </c>
    </row>
    <row r="1267" customFormat="false" ht="14.25" hidden="false" customHeight="false" outlineLevel="0" collapsed="false">
      <c r="B1267" s="197" t="n">
        <v>1130650243</v>
      </c>
      <c r="C1267" s="197" t="s">
        <v>3160</v>
      </c>
      <c r="D1267" s="197" t="s">
        <v>1527</v>
      </c>
      <c r="E1267" s="198" t="s">
        <v>944</v>
      </c>
      <c r="F1267" s="198" t="s">
        <v>948</v>
      </c>
      <c r="G1267" s="225" t="n">
        <v>1991000</v>
      </c>
      <c r="H1267" s="225" t="n">
        <v>2817371</v>
      </c>
      <c r="I1267" s="225" t="n">
        <v>764808</v>
      </c>
      <c r="J1267" s="198" t="n">
        <v>37</v>
      </c>
      <c r="K1267" s="198" t="n">
        <v>2</v>
      </c>
      <c r="L1267" s="226" t="n">
        <v>44358</v>
      </c>
      <c r="M1267" s="226" t="n">
        <v>40980</v>
      </c>
      <c r="N1267" s="227" t="n">
        <v>3</v>
      </c>
      <c r="O1267" s="227" t="s">
        <v>135</v>
      </c>
      <c r="P1267" s="228" t="n">
        <f aca="false">VLOOKUP(B1267,'NIVEL ENERO'!A:D,3,0)</f>
        <v>0.386027333419518</v>
      </c>
      <c r="Q1267" s="229" t="n">
        <f aca="false">VLOOKUP(B1267,'NIVEL ENERO'!A:D,4,0)</f>
        <v>152042</v>
      </c>
      <c r="R1267" s="186" t="str">
        <f aca="false">+PROPER(C1267&amp;" "&amp;D1267)</f>
        <v>Londono Blandon Alejandra</v>
      </c>
      <c r="S1267" s="230" t="n">
        <f aca="false">+YEARFRAC(L1267,$S$1)</f>
        <v>4.91944444444444</v>
      </c>
      <c r="T1267" s="230" t="n">
        <f aca="false">+YEARFRAC(M1267,$S$1)</f>
        <v>14.1666666666667</v>
      </c>
      <c r="U1267" s="231" t="n">
        <f aca="false">+$I1267</f>
        <v>764808</v>
      </c>
      <c r="V1267" s="232" t="str">
        <f aca="false">+PROPER(F1267)</f>
        <v>Casado(A)</v>
      </c>
    </row>
    <row r="1268" customFormat="false" ht="14.25" hidden="false" customHeight="false" outlineLevel="0" collapsed="false">
      <c r="B1268" s="197" t="n">
        <v>1130650454</v>
      </c>
      <c r="C1268" s="197" t="s">
        <v>3161</v>
      </c>
      <c r="D1268" s="197" t="s">
        <v>3162</v>
      </c>
      <c r="E1268" s="198" t="s">
        <v>944</v>
      </c>
      <c r="F1268" s="198" t="s">
        <v>948</v>
      </c>
      <c r="G1268" s="225" t="n">
        <v>2600900</v>
      </c>
      <c r="H1268" s="225" t="n">
        <v>4291929</v>
      </c>
      <c r="I1268" s="225" t="n">
        <v>8027052</v>
      </c>
      <c r="J1268" s="198" t="n">
        <v>38</v>
      </c>
      <c r="K1268" s="198" t="n">
        <v>1</v>
      </c>
      <c r="L1268" s="226" t="n">
        <v>43595</v>
      </c>
      <c r="M1268" s="226" t="n">
        <v>43154</v>
      </c>
      <c r="N1268" s="227" t="n">
        <v>5</v>
      </c>
      <c r="O1268" s="227" t="s">
        <v>135</v>
      </c>
      <c r="P1268" s="228" t="n">
        <f aca="false">VLOOKUP(B1268,'NIVEL ENERO'!A:D,3,0)</f>
        <v>0.447627427501481</v>
      </c>
      <c r="Q1268" s="229" t="n">
        <f aca="false">VLOOKUP(B1268,'NIVEL ENERO'!A:D,4,0)</f>
        <v>-79145.9400000002</v>
      </c>
      <c r="R1268" s="186" t="str">
        <f aca="false">+PROPER(C1268&amp;" "&amp;D1268)</f>
        <v>Ocampo Talanga Yuli Viviana</v>
      </c>
      <c r="S1268" s="230" t="n">
        <f aca="false">+YEARFRAC(L1268,$S$1)</f>
        <v>7.00555555555556</v>
      </c>
      <c r="T1268" s="230" t="n">
        <f aca="false">+YEARFRAC(M1268,$S$1)</f>
        <v>8.21944444444445</v>
      </c>
      <c r="U1268" s="231" t="n">
        <f aca="false">+$I1268</f>
        <v>8027052</v>
      </c>
      <c r="V1268" s="232" t="str">
        <f aca="false">+PROPER(F1268)</f>
        <v>Casado(A)</v>
      </c>
    </row>
    <row r="1269" customFormat="false" ht="14.25" hidden="false" customHeight="false" outlineLevel="0" collapsed="false">
      <c r="B1269" s="197" t="n">
        <v>1130650735</v>
      </c>
      <c r="C1269" s="197" t="s">
        <v>3163</v>
      </c>
      <c r="D1269" s="197" t="s">
        <v>1440</v>
      </c>
      <c r="E1269" s="198" t="s">
        <v>944</v>
      </c>
      <c r="F1269" s="198" t="s">
        <v>953</v>
      </c>
      <c r="G1269" s="225" t="n">
        <v>2893800</v>
      </c>
      <c r="H1269" s="225" t="n">
        <v>1238408</v>
      </c>
      <c r="I1269" s="225"/>
      <c r="J1269" s="198" t="n">
        <v>37</v>
      </c>
      <c r="K1269" s="198" t="n">
        <v>1</v>
      </c>
      <c r="L1269" s="226" t="n">
        <v>45050</v>
      </c>
      <c r="M1269" s="226" t="n">
        <v>44782</v>
      </c>
      <c r="N1269" s="227" t="n">
        <v>0</v>
      </c>
      <c r="O1269" s="227" t="s">
        <v>135</v>
      </c>
      <c r="P1269" s="228" t="n">
        <f aca="false">VLOOKUP(B1269,'NIVEL ENERO'!A:D,3,0)</f>
        <v>0.107124660218724</v>
      </c>
      <c r="Q1269" s="229" t="n">
        <f aca="false">VLOOKUP(B1269,'NIVEL ENERO'!A:D,4,0)</f>
        <v>989875</v>
      </c>
      <c r="R1269" s="186" t="str">
        <f aca="false">+PROPER(C1269&amp;" "&amp;D1269)</f>
        <v>Gallego Caicedo Adriana Patricia</v>
      </c>
      <c r="S1269" s="230" t="n">
        <f aca="false">+YEARFRAC(L1269,$S$1)</f>
        <v>3.02222222222222</v>
      </c>
      <c r="T1269" s="230" t="n">
        <f aca="false">+YEARFRAC(M1269,$S$1)</f>
        <v>3.75833333333333</v>
      </c>
      <c r="U1269" s="231" t="n">
        <f aca="false">+$I1269</f>
        <v>0</v>
      </c>
      <c r="V1269" s="232" t="str">
        <f aca="false">+PROPER(F1269)</f>
        <v>Soltero(A)</v>
      </c>
    </row>
    <row r="1270" customFormat="false" ht="14.25" hidden="false" customHeight="false" outlineLevel="0" collapsed="false">
      <c r="B1270" s="197" t="n">
        <v>1130651554</v>
      </c>
      <c r="C1270" s="197" t="s">
        <v>3164</v>
      </c>
      <c r="D1270" s="197" t="s">
        <v>3165</v>
      </c>
      <c r="E1270" s="198" t="s">
        <v>944</v>
      </c>
      <c r="F1270" s="198" t="s">
        <v>945</v>
      </c>
      <c r="G1270" s="225" t="n">
        <v>2600900</v>
      </c>
      <c r="H1270" s="225" t="n">
        <v>2053147</v>
      </c>
      <c r="I1270" s="225" t="n">
        <v>4103898</v>
      </c>
      <c r="J1270" s="198" t="n">
        <v>37</v>
      </c>
      <c r="K1270" s="198" t="n">
        <v>2</v>
      </c>
      <c r="L1270" s="226" t="n">
        <v>44551</v>
      </c>
      <c r="M1270" s="226" t="n">
        <v>43391</v>
      </c>
      <c r="N1270" s="227" t="n">
        <v>2</v>
      </c>
      <c r="O1270" s="227" t="s">
        <v>135</v>
      </c>
      <c r="P1270" s="228" t="n">
        <f aca="false">VLOOKUP(B1270,'NIVEL ENERO'!A:D,3,0)</f>
        <v>0.35561438459672</v>
      </c>
      <c r="Q1270" s="229" t="n">
        <f aca="false">VLOOKUP(B1270,'NIVEL ENERO'!A:D,4,0)</f>
        <v>219531.04</v>
      </c>
      <c r="R1270" s="186" t="str">
        <f aca="false">+PROPER(C1270&amp;" "&amp;D1270)</f>
        <v>Aristizabal Medina Johan Anderson</v>
      </c>
      <c r="S1270" s="230" t="n">
        <f aca="false">+YEARFRAC(L1270,$S$1)</f>
        <v>4.39166666666667</v>
      </c>
      <c r="T1270" s="230" t="n">
        <f aca="false">+YEARFRAC(M1270,$S$1)</f>
        <v>7.56666666666667</v>
      </c>
      <c r="U1270" s="231" t="n">
        <f aca="false">+$I1270</f>
        <v>4103898</v>
      </c>
      <c r="V1270" s="232" t="str">
        <f aca="false">+PROPER(F1270)</f>
        <v>Union Libre</v>
      </c>
    </row>
    <row r="1271" customFormat="false" ht="14.25" hidden="false" customHeight="false" outlineLevel="0" collapsed="false">
      <c r="B1271" s="197" t="n">
        <v>1130653364</v>
      </c>
      <c r="C1271" s="197" t="s">
        <v>3166</v>
      </c>
      <c r="D1271" s="197" t="s">
        <v>3167</v>
      </c>
      <c r="E1271" s="198" t="s">
        <v>1696</v>
      </c>
      <c r="F1271" s="198" t="s">
        <v>945</v>
      </c>
      <c r="G1271" s="225" t="n">
        <v>5400000</v>
      </c>
      <c r="H1271" s="225" t="n">
        <v>1405682</v>
      </c>
      <c r="I1271" s="225" t="n">
        <v>0</v>
      </c>
      <c r="J1271" s="198" t="n">
        <v>37</v>
      </c>
      <c r="K1271" s="198" t="n">
        <v>2</v>
      </c>
      <c r="L1271" s="226" t="n">
        <v>44973</v>
      </c>
      <c r="M1271" s="226" t="n">
        <v>43783</v>
      </c>
      <c r="N1271" s="227" t="n">
        <v>1</v>
      </c>
      <c r="O1271" s="227" t="s">
        <v>135</v>
      </c>
      <c r="P1271" s="228" t="n">
        <f aca="false">VLOOKUP(B1271,'NIVEL ENERO'!A:D,3,0)</f>
        <v>0.138695112180321</v>
      </c>
      <c r="Q1271" s="229" t="n">
        <f aca="false">VLOOKUP(B1271,'NIVEL ENERO'!A:D,4,0)</f>
        <v>1711253.96</v>
      </c>
      <c r="R1271" s="186" t="str">
        <f aca="false">+PROPER(C1271&amp;" "&amp;D1271)</f>
        <v>Mora Loboa Ruby Maricela</v>
      </c>
      <c r="S1271" s="230" t="n">
        <f aca="false">+YEARFRAC(L1271,$S$1)</f>
        <v>3.23888888888889</v>
      </c>
      <c r="T1271" s="230" t="n">
        <f aca="false">+YEARFRAC(M1271,$S$1)</f>
        <v>6.49444444444444</v>
      </c>
      <c r="U1271" s="231" t="n">
        <f aca="false">+$I1271</f>
        <v>0</v>
      </c>
      <c r="V1271" s="232" t="str">
        <f aca="false">+PROPER(F1271)</f>
        <v>Union Libre</v>
      </c>
    </row>
    <row r="1272" customFormat="false" ht="14.25" hidden="false" customHeight="false" outlineLevel="0" collapsed="false">
      <c r="B1272" s="197" t="n">
        <v>1130654674</v>
      </c>
      <c r="C1272" s="197" t="s">
        <v>3168</v>
      </c>
      <c r="D1272" s="197" t="s">
        <v>2364</v>
      </c>
      <c r="E1272" s="198" t="s">
        <v>944</v>
      </c>
      <c r="F1272" s="198" t="s">
        <v>948</v>
      </c>
      <c r="G1272" s="225" t="n">
        <v>1625000</v>
      </c>
      <c r="H1272" s="225" t="n">
        <v>831006</v>
      </c>
      <c r="I1272" s="225" t="n">
        <v>2599467</v>
      </c>
      <c r="J1272" s="198" t="n">
        <v>37</v>
      </c>
      <c r="K1272" s="198" t="n">
        <v>1</v>
      </c>
      <c r="L1272" s="226" t="n">
        <v>45279</v>
      </c>
      <c r="M1272" s="226" t="n">
        <v>44994</v>
      </c>
      <c r="N1272" s="227" t="n">
        <v>0</v>
      </c>
      <c r="O1272" s="227" t="s">
        <v>135</v>
      </c>
      <c r="P1272" s="228" t="n">
        <f aca="false">VLOOKUP(B1272,'NIVEL ENERO'!A:D,3,0)</f>
        <v>0.370779712611345</v>
      </c>
      <c r="Q1272" s="229" t="n">
        <f aca="false">VLOOKUP(B1272,'NIVEL ENERO'!A:D,4,0)</f>
        <v>100378.64</v>
      </c>
      <c r="R1272" s="186" t="str">
        <f aca="false">+PROPER(C1272&amp;" "&amp;D1272)</f>
        <v>Taborda Gomez Leidy Tatiana</v>
      </c>
      <c r="S1272" s="230" t="n">
        <f aca="false">+YEARFRAC(L1272,$S$1)</f>
        <v>2.39722222222222</v>
      </c>
      <c r="T1272" s="230" t="n">
        <f aca="false">+YEARFRAC(M1272,$S$1)</f>
        <v>3.175</v>
      </c>
      <c r="U1272" s="231" t="n">
        <f aca="false">+$I1272</f>
        <v>2599467</v>
      </c>
      <c r="V1272" s="232" t="str">
        <f aca="false">+PROPER(F1272)</f>
        <v>Casado(A)</v>
      </c>
    </row>
    <row r="1273" customFormat="false" ht="14.25" hidden="false" customHeight="false" outlineLevel="0" collapsed="false">
      <c r="B1273" s="197" t="n">
        <v>1130655308</v>
      </c>
      <c r="C1273" s="197" t="s">
        <v>3169</v>
      </c>
      <c r="D1273" s="197" t="s">
        <v>3170</v>
      </c>
      <c r="E1273" s="198" t="s">
        <v>944</v>
      </c>
      <c r="F1273" s="198" t="s">
        <v>953</v>
      </c>
      <c r="G1273" s="225" t="n">
        <v>5418800</v>
      </c>
      <c r="H1273" s="225" t="n">
        <v>7841800</v>
      </c>
      <c r="I1273" s="225" t="n">
        <v>0</v>
      </c>
      <c r="J1273" s="198" t="n">
        <v>37</v>
      </c>
      <c r="K1273" s="198" t="n">
        <v>1</v>
      </c>
      <c r="L1273" s="226" t="n">
        <v>44459</v>
      </c>
      <c r="M1273" s="226" t="n">
        <v>44166</v>
      </c>
      <c r="N1273" s="227" t="n">
        <v>0</v>
      </c>
      <c r="O1273" s="227" t="s">
        <v>135</v>
      </c>
      <c r="P1273" s="228" t="n">
        <f aca="false">VLOOKUP(B1273,'NIVEL ENERO'!A:D,3,0)</f>
        <v>0.430627323972655</v>
      </c>
      <c r="Q1273" s="229" t="n">
        <f aca="false">VLOOKUP(B1273,'NIVEL ENERO'!A:D,4,0)</f>
        <v>-63809.2800000003</v>
      </c>
      <c r="R1273" s="186" t="str">
        <f aca="false">+PROPER(C1273&amp;" "&amp;D1273)</f>
        <v>Munoz Garces Meibi Mayeli</v>
      </c>
      <c r="S1273" s="230" t="n">
        <f aca="false">+YEARFRAC(L1273,$S$1)</f>
        <v>4.64444444444445</v>
      </c>
      <c r="T1273" s="230" t="n">
        <f aca="false">+YEARFRAC(M1273,$S$1)</f>
        <v>5.44722222222222</v>
      </c>
      <c r="U1273" s="231" t="n">
        <f aca="false">+$I1273</f>
        <v>0</v>
      </c>
      <c r="V1273" s="232" t="str">
        <f aca="false">+PROPER(F1273)</f>
        <v>Soltero(A)</v>
      </c>
    </row>
    <row r="1274" customFormat="false" ht="14.25" hidden="false" customHeight="false" outlineLevel="0" collapsed="false">
      <c r="B1274" s="197" t="n">
        <v>1130655620</v>
      </c>
      <c r="C1274" s="197" t="s">
        <v>3171</v>
      </c>
      <c r="D1274" s="197" t="s">
        <v>2466</v>
      </c>
      <c r="E1274" s="198" t="s">
        <v>944</v>
      </c>
      <c r="F1274" s="198" t="s">
        <v>948</v>
      </c>
      <c r="G1274" s="225" t="n">
        <v>1717900</v>
      </c>
      <c r="H1274" s="225" t="n">
        <v>2645746</v>
      </c>
      <c r="I1274" s="225" t="n">
        <v>7353324</v>
      </c>
      <c r="J1274" s="198" t="n">
        <v>37</v>
      </c>
      <c r="K1274" s="198" t="n">
        <v>2</v>
      </c>
      <c r="L1274" s="226" t="n">
        <v>44154</v>
      </c>
      <c r="M1274" s="226" t="n">
        <v>44119</v>
      </c>
      <c r="N1274" s="227" t="n">
        <v>2</v>
      </c>
      <c r="O1274" s="227" t="s">
        <v>135</v>
      </c>
      <c r="P1274" s="228" t="n">
        <f aca="false">VLOOKUP(B1274,'NIVEL ENERO'!A:D,3,0)</f>
        <v>0.532902288227245</v>
      </c>
      <c r="Q1274" s="229" t="n">
        <f aca="false">VLOOKUP(B1274,'NIVEL ENERO'!A:D,4,0)</f>
        <v>-389743</v>
      </c>
      <c r="R1274" s="186" t="str">
        <f aca="false">+PROPER(C1274&amp;" "&amp;D1274)</f>
        <v>Florez Vera Mayra Alejandra</v>
      </c>
      <c r="S1274" s="230" t="n">
        <f aca="false">+YEARFRAC(L1274,$S$1)</f>
        <v>5.48055555555556</v>
      </c>
      <c r="T1274" s="230" t="n">
        <f aca="false">+YEARFRAC(M1274,$S$1)</f>
        <v>5.575</v>
      </c>
      <c r="U1274" s="231" t="n">
        <f aca="false">+$I1274</f>
        <v>7353324</v>
      </c>
      <c r="V1274" s="232" t="str">
        <f aca="false">+PROPER(F1274)</f>
        <v>Casado(A)</v>
      </c>
    </row>
    <row r="1275" customFormat="false" ht="14.25" hidden="false" customHeight="false" outlineLevel="0" collapsed="false">
      <c r="B1275" s="197" t="n">
        <v>1130656042</v>
      </c>
      <c r="C1275" s="197" t="s">
        <v>3172</v>
      </c>
      <c r="D1275" s="197" t="s">
        <v>3173</v>
      </c>
      <c r="E1275" s="198" t="s">
        <v>944</v>
      </c>
      <c r="F1275" s="198" t="s">
        <v>945</v>
      </c>
      <c r="G1275" s="225" t="n">
        <v>2893800</v>
      </c>
      <c r="H1275" s="225" t="n">
        <v>6416486</v>
      </c>
      <c r="I1275" s="225" t="n">
        <v>893218</v>
      </c>
      <c r="J1275" s="198" t="n">
        <v>37</v>
      </c>
      <c r="K1275" s="198" t="n">
        <v>1</v>
      </c>
      <c r="L1275" s="226" t="n">
        <v>43817</v>
      </c>
      <c r="M1275" s="226" t="n">
        <v>39883</v>
      </c>
      <c r="N1275" s="227" t="n">
        <v>2</v>
      </c>
      <c r="O1275" s="227" t="s">
        <v>135</v>
      </c>
      <c r="P1275" s="228" t="n">
        <f aca="false">VLOOKUP(B1275,'NIVEL ENERO'!A:D,3,0)</f>
        <v>0.144187582057548</v>
      </c>
      <c r="Q1275" s="229" t="n">
        <f aca="false">VLOOKUP(B1275,'NIVEL ENERO'!A:D,4,0)</f>
        <v>1105837.16</v>
      </c>
      <c r="R1275" s="186" t="str">
        <f aca="false">+PROPER(C1275&amp;" "&amp;D1275)</f>
        <v>Aguirre Obregon Heidy Janeth</v>
      </c>
      <c r="S1275" s="230" t="n">
        <f aca="false">+YEARFRAC(L1275,$S$1)</f>
        <v>6.4</v>
      </c>
      <c r="T1275" s="230" t="n">
        <f aca="false">+YEARFRAC(M1275,$S$1)</f>
        <v>17.1694444444444</v>
      </c>
      <c r="U1275" s="231" t="n">
        <f aca="false">+$I1275</f>
        <v>893218</v>
      </c>
      <c r="V1275" s="232" t="str">
        <f aca="false">+PROPER(F1275)</f>
        <v>Union Libre</v>
      </c>
    </row>
    <row r="1276" customFormat="false" ht="14.25" hidden="false" customHeight="false" outlineLevel="0" collapsed="false">
      <c r="B1276" s="197" t="n">
        <v>1130661444</v>
      </c>
      <c r="C1276" s="197" t="s">
        <v>3174</v>
      </c>
      <c r="D1276" s="197" t="s">
        <v>963</v>
      </c>
      <c r="E1276" s="198" t="s">
        <v>944</v>
      </c>
      <c r="F1276" s="198" t="s">
        <v>945</v>
      </c>
      <c r="G1276" s="225" t="n">
        <v>4327600</v>
      </c>
      <c r="H1276" s="225" t="n">
        <v>280000</v>
      </c>
      <c r="I1276" s="225" t="n">
        <v>0</v>
      </c>
      <c r="J1276" s="198" t="n">
        <v>36</v>
      </c>
      <c r="K1276" s="198" t="n">
        <v>4</v>
      </c>
      <c r="L1276" s="226" t="n">
        <v>45555</v>
      </c>
      <c r="M1276" s="226" t="n">
        <v>42019</v>
      </c>
      <c r="N1276" s="227" t="n">
        <v>4</v>
      </c>
      <c r="O1276" s="227" t="s">
        <v>135</v>
      </c>
      <c r="P1276" s="228" t="n">
        <f aca="false">VLOOKUP(B1276,'NIVEL ENERO'!A:D,3,0)</f>
        <v>0.379137628246603</v>
      </c>
      <c r="Q1276" s="229" t="n">
        <f aca="false">VLOOKUP(B1276,'NIVEL ENERO'!A:D,4,0)</f>
        <v>176836</v>
      </c>
      <c r="R1276" s="186" t="str">
        <f aca="false">+PROPER(C1276&amp;" "&amp;D1276)</f>
        <v>Padilla Cabrera Luis Fernando</v>
      </c>
      <c r="S1276" s="230" t="n">
        <f aca="false">+YEARFRAC(L1276,$S$1)</f>
        <v>1.64444444444444</v>
      </c>
      <c r="T1276" s="230" t="n">
        <f aca="false">+YEARFRAC(M1276,$S$1)</f>
        <v>11.325</v>
      </c>
      <c r="U1276" s="231" t="n">
        <f aca="false">+$I1276</f>
        <v>0</v>
      </c>
      <c r="V1276" s="232" t="str">
        <f aca="false">+PROPER(F1276)</f>
        <v>Union Libre</v>
      </c>
    </row>
    <row r="1277" customFormat="false" ht="14.25" hidden="false" customHeight="false" outlineLevel="0" collapsed="false">
      <c r="B1277" s="197" t="n">
        <v>1130661546</v>
      </c>
      <c r="C1277" s="197" t="s">
        <v>3175</v>
      </c>
      <c r="D1277" s="197" t="s">
        <v>3176</v>
      </c>
      <c r="E1277" s="198" t="s">
        <v>944</v>
      </c>
      <c r="F1277" s="198" t="s">
        <v>945</v>
      </c>
      <c r="G1277" s="225" t="n">
        <v>2604400</v>
      </c>
      <c r="H1277" s="225" t="n">
        <v>1483056</v>
      </c>
      <c r="I1277" s="225" t="n">
        <v>1868868</v>
      </c>
      <c r="J1277" s="198" t="n">
        <v>36</v>
      </c>
      <c r="K1277" s="198" t="n">
        <v>2</v>
      </c>
      <c r="L1277" s="226" t="n">
        <v>45251</v>
      </c>
      <c r="M1277" s="226" t="n">
        <v>45149</v>
      </c>
      <c r="N1277" s="227" t="n">
        <v>0</v>
      </c>
      <c r="O1277" s="227" t="s">
        <v>135</v>
      </c>
      <c r="P1277" s="228" t="n">
        <f aca="false">VLOOKUP(B1277,'NIVEL ENERO'!A:D,3,0)</f>
        <v>0.228635252443332</v>
      </c>
      <c r="Q1277" s="229" t="n">
        <f aca="false">VLOOKUP(B1277,'NIVEL ENERO'!A:D,4,0)</f>
        <v>505974.58</v>
      </c>
      <c r="R1277" s="186" t="str">
        <f aca="false">+PROPER(C1277&amp;" "&amp;D1277)</f>
        <v>Ocampo Zemanate Leidy Vanessa</v>
      </c>
      <c r="S1277" s="230" t="n">
        <f aca="false">+YEARFRAC(L1277,$S$1)</f>
        <v>2.475</v>
      </c>
      <c r="T1277" s="230" t="n">
        <f aca="false">+YEARFRAC(M1277,$S$1)</f>
        <v>2.75277777777778</v>
      </c>
      <c r="U1277" s="231" t="n">
        <f aca="false">+$I1277</f>
        <v>1868868</v>
      </c>
      <c r="V1277" s="232" t="str">
        <f aca="false">+PROPER(F1277)</f>
        <v>Union Libre</v>
      </c>
    </row>
    <row r="1278" customFormat="false" ht="14.25" hidden="false" customHeight="false" outlineLevel="0" collapsed="false">
      <c r="B1278" s="197" t="n">
        <v>1130661912</v>
      </c>
      <c r="C1278" s="197" t="s">
        <v>3177</v>
      </c>
      <c r="D1278" s="197" t="s">
        <v>3178</v>
      </c>
      <c r="E1278" s="198" t="s">
        <v>944</v>
      </c>
      <c r="F1278" s="198" t="s">
        <v>953</v>
      </c>
      <c r="G1278" s="225" t="n">
        <v>4870200</v>
      </c>
      <c r="H1278" s="225" t="n">
        <v>5076207</v>
      </c>
      <c r="I1278" s="225" t="n">
        <v>4100522</v>
      </c>
      <c r="J1278" s="198" t="n">
        <v>35</v>
      </c>
      <c r="K1278" s="198" t="n">
        <v>3</v>
      </c>
      <c r="L1278" s="226" t="n">
        <v>43626</v>
      </c>
      <c r="M1278" s="226" t="n">
        <v>40973</v>
      </c>
      <c r="N1278" s="227" t="n">
        <v>4</v>
      </c>
      <c r="O1278" s="227" t="s">
        <v>135</v>
      </c>
      <c r="P1278" s="228" t="n">
        <f aca="false">VLOOKUP(B1278,'NIVEL ENERO'!A:D,3,0)</f>
        <v>0.183136472300651</v>
      </c>
      <c r="Q1278" s="229" t="n">
        <f aca="false">VLOOKUP(B1278,'NIVEL ENERO'!A:D,4,0)</f>
        <v>1176978.58</v>
      </c>
      <c r="R1278" s="186" t="str">
        <f aca="false">+PROPER(C1278&amp;" "&amp;D1278)</f>
        <v>Sanchez Tirado Aura Yineth</v>
      </c>
      <c r="S1278" s="230" t="n">
        <f aca="false">+YEARFRAC(L1278,$S$1)</f>
        <v>6.92222222222222</v>
      </c>
      <c r="T1278" s="230" t="n">
        <f aca="false">+YEARFRAC(M1278,$S$1)</f>
        <v>14.1861111111111</v>
      </c>
      <c r="U1278" s="231" t="n">
        <f aca="false">+$I1278</f>
        <v>4100522</v>
      </c>
      <c r="V1278" s="232" t="str">
        <f aca="false">+PROPER(F1278)</f>
        <v>Soltero(A)</v>
      </c>
    </row>
    <row r="1279" customFormat="false" ht="14.25" hidden="false" customHeight="false" outlineLevel="0" collapsed="false">
      <c r="B1279" s="197" t="n">
        <v>1130664985</v>
      </c>
      <c r="C1279" s="197" t="s">
        <v>3179</v>
      </c>
      <c r="D1279" s="197" t="s">
        <v>3180</v>
      </c>
      <c r="E1279" s="198" t="s">
        <v>944</v>
      </c>
      <c r="F1279" s="198" t="s">
        <v>945</v>
      </c>
      <c r="G1279" s="225" t="n">
        <v>6225200</v>
      </c>
      <c r="H1279" s="225" t="n">
        <v>12134587</v>
      </c>
      <c r="I1279" s="225" t="n">
        <v>2911266</v>
      </c>
      <c r="J1279" s="198" t="n">
        <v>38</v>
      </c>
      <c r="K1279" s="198" t="n">
        <v>2</v>
      </c>
      <c r="L1279" s="226" t="n">
        <v>38562</v>
      </c>
      <c r="M1279" s="226" t="n">
        <v>38534</v>
      </c>
      <c r="N1279" s="227" t="n">
        <v>2</v>
      </c>
      <c r="O1279" s="227" t="s">
        <v>135</v>
      </c>
      <c r="P1279" s="228" t="n">
        <f aca="false">VLOOKUP(B1279,'NIVEL ENERO'!A:D,3,0)</f>
        <v>0.224631979695431</v>
      </c>
      <c r="Q1279" s="229" t="n">
        <f aca="false">VLOOKUP(B1279,'NIVEL ENERO'!A:D,4,0)</f>
        <v>1216205</v>
      </c>
      <c r="R1279" s="186" t="str">
        <f aca="false">+PROPER(C1279&amp;" "&amp;D1279)</f>
        <v>Varela Tinoco Aeleen</v>
      </c>
      <c r="S1279" s="230" t="n">
        <f aca="false">+YEARFRAC(L1279,$S$1)</f>
        <v>20.7861111111111</v>
      </c>
      <c r="T1279" s="230" t="n">
        <f aca="false">+YEARFRAC(M1279,$S$1)</f>
        <v>20.8638888888889</v>
      </c>
      <c r="U1279" s="231" t="n">
        <f aca="false">+$I1279</f>
        <v>2911266</v>
      </c>
      <c r="V1279" s="232" t="str">
        <f aca="false">+PROPER(F1279)</f>
        <v>Union Libre</v>
      </c>
    </row>
    <row r="1280" customFormat="false" ht="14.25" hidden="false" customHeight="false" outlineLevel="0" collapsed="false">
      <c r="B1280" s="197" t="n">
        <v>1130667239</v>
      </c>
      <c r="C1280" s="197" t="s">
        <v>3181</v>
      </c>
      <c r="D1280" s="197" t="s">
        <v>3182</v>
      </c>
      <c r="E1280" s="198" t="s">
        <v>944</v>
      </c>
      <c r="F1280" s="198" t="s">
        <v>948</v>
      </c>
      <c r="G1280" s="225" t="n">
        <v>1918500</v>
      </c>
      <c r="H1280" s="225" t="n">
        <v>2264268</v>
      </c>
      <c r="I1280" s="225" t="n">
        <v>584295</v>
      </c>
      <c r="J1280" s="198" t="n">
        <v>38</v>
      </c>
      <c r="K1280" s="198" t="n">
        <v>1</v>
      </c>
      <c r="L1280" s="226" t="n">
        <v>44432</v>
      </c>
      <c r="M1280" s="226" t="n">
        <v>44186</v>
      </c>
      <c r="N1280" s="227" t="n">
        <v>3</v>
      </c>
      <c r="O1280" s="227" t="s">
        <v>135</v>
      </c>
      <c r="P1280" s="228" t="n">
        <f aca="false">VLOOKUP(B1280,'NIVEL ENERO'!A:D,3,0)</f>
        <v>0.385909918064768</v>
      </c>
      <c r="Q1280" s="229" t="n">
        <f aca="false">VLOOKUP(B1280,'NIVEL ENERO'!A:D,4,0)</f>
        <v>156023</v>
      </c>
      <c r="R1280" s="186" t="str">
        <f aca="false">+PROPER(C1280&amp;" "&amp;D1280)</f>
        <v>Mora Avendano Juan Gabriel</v>
      </c>
      <c r="S1280" s="230" t="n">
        <f aca="false">+YEARFRAC(L1280,$S$1)</f>
        <v>4.71666666666667</v>
      </c>
      <c r="T1280" s="230" t="n">
        <f aca="false">+YEARFRAC(M1280,$S$1)</f>
        <v>5.39166666666667</v>
      </c>
      <c r="U1280" s="231" t="n">
        <f aca="false">+$I1280</f>
        <v>584295</v>
      </c>
      <c r="V1280" s="232" t="str">
        <f aca="false">+PROPER(F1280)</f>
        <v>Casado(A)</v>
      </c>
    </row>
    <row r="1281" customFormat="false" ht="14.25" hidden="false" customHeight="false" outlineLevel="0" collapsed="false">
      <c r="B1281" s="197" t="n">
        <v>1130667500</v>
      </c>
      <c r="C1281" s="197" t="s">
        <v>3183</v>
      </c>
      <c r="D1281" s="197" t="s">
        <v>3184</v>
      </c>
      <c r="E1281" s="198" t="s">
        <v>944</v>
      </c>
      <c r="F1281" s="198" t="s">
        <v>948</v>
      </c>
      <c r="G1281" s="225" t="n">
        <v>1991000</v>
      </c>
      <c r="H1281" s="225" t="n">
        <v>1607671</v>
      </c>
      <c r="I1281" s="225" t="n">
        <v>327459</v>
      </c>
      <c r="J1281" s="198" t="n">
        <v>38</v>
      </c>
      <c r="K1281" s="198" t="n">
        <v>1</v>
      </c>
      <c r="L1281" s="226" t="n">
        <v>44853</v>
      </c>
      <c r="M1281" s="226" t="n">
        <v>43814</v>
      </c>
      <c r="N1281" s="227" t="n">
        <v>3</v>
      </c>
      <c r="O1281" s="227" t="s">
        <v>135</v>
      </c>
      <c r="P1281" s="228" t="n">
        <f aca="false">VLOOKUP(B1281,'NIVEL ENERO'!A:D,3,0)</f>
        <v>0.38777760220321</v>
      </c>
      <c r="Q1281" s="229" t="n">
        <f aca="false">VLOOKUP(B1281,'NIVEL ENERO'!A:D,4,0)</f>
        <v>71371</v>
      </c>
      <c r="R1281" s="186" t="str">
        <f aca="false">+PROPER(C1281&amp;" "&amp;D1281)</f>
        <v>Carabali Caicedo Mayra Johana</v>
      </c>
      <c r="S1281" s="230" t="n">
        <f aca="false">+YEARFRAC(L1281,$S$1)</f>
        <v>3.56388888888889</v>
      </c>
      <c r="T1281" s="230" t="n">
        <f aca="false">+YEARFRAC(M1281,$S$1)</f>
        <v>6.40833333333333</v>
      </c>
      <c r="U1281" s="231" t="n">
        <f aca="false">+$I1281</f>
        <v>327459</v>
      </c>
      <c r="V1281" s="232" t="str">
        <f aca="false">+PROPER(F1281)</f>
        <v>Casado(A)</v>
      </c>
    </row>
    <row r="1282" customFormat="false" ht="14.25" hidden="false" customHeight="false" outlineLevel="0" collapsed="false">
      <c r="B1282" s="197" t="n">
        <v>1130668382</v>
      </c>
      <c r="C1282" s="197" t="s">
        <v>3185</v>
      </c>
      <c r="D1282" s="197" t="s">
        <v>3186</v>
      </c>
      <c r="E1282" s="198" t="s">
        <v>944</v>
      </c>
      <c r="F1282" s="198" t="s">
        <v>953</v>
      </c>
      <c r="G1282" s="225" t="n">
        <v>5418800</v>
      </c>
      <c r="H1282" s="225" t="n">
        <v>5215411</v>
      </c>
      <c r="I1282" s="225" t="n">
        <v>0</v>
      </c>
      <c r="J1282" s="198" t="n">
        <v>38</v>
      </c>
      <c r="K1282" s="198" t="n">
        <v>1</v>
      </c>
      <c r="L1282" s="226" t="n">
        <v>44866</v>
      </c>
      <c r="M1282" s="226" t="n">
        <v>42802</v>
      </c>
      <c r="N1282" s="227" t="n">
        <v>2</v>
      </c>
      <c r="O1282" s="227" t="s">
        <v>135</v>
      </c>
      <c r="P1282" s="228" t="n">
        <f aca="false">VLOOKUP(B1282,'NIVEL ENERO'!A:D,3,0)</f>
        <v>0.338217416229924</v>
      </c>
      <c r="Q1282" s="229" t="n">
        <f aca="false">VLOOKUP(B1282,'NIVEL ENERO'!A:D,4,0)</f>
        <v>563202.96</v>
      </c>
      <c r="R1282" s="186" t="str">
        <f aca="false">+PROPER(C1282&amp;" "&amp;D1282)</f>
        <v>Florez Molina Leydi Katerinne</v>
      </c>
      <c r="S1282" s="230" t="n">
        <f aca="false">+YEARFRAC(L1282,$S$1)</f>
        <v>3.53055555555556</v>
      </c>
      <c r="T1282" s="230" t="n">
        <f aca="false">+YEARFRAC(M1282,$S$1)</f>
        <v>9.17777777777778</v>
      </c>
      <c r="U1282" s="231" t="n">
        <f aca="false">+$I1282</f>
        <v>0</v>
      </c>
      <c r="V1282" s="232" t="str">
        <f aca="false">+PROPER(F1282)</f>
        <v>Soltero(A)</v>
      </c>
    </row>
    <row r="1283" customFormat="false" ht="14.25" hidden="false" customHeight="false" outlineLevel="0" collapsed="false">
      <c r="B1283" s="197" t="n">
        <v>1130668875</v>
      </c>
      <c r="C1283" s="197" t="s">
        <v>3187</v>
      </c>
      <c r="D1283" s="197" t="s">
        <v>3188</v>
      </c>
      <c r="E1283" s="198" t="s">
        <v>944</v>
      </c>
      <c r="F1283" s="198" t="s">
        <v>945</v>
      </c>
      <c r="G1283" s="225" t="n">
        <v>4870200</v>
      </c>
      <c r="H1283" s="225" t="n">
        <v>1456149</v>
      </c>
      <c r="I1283" s="225" t="n">
        <v>958546</v>
      </c>
      <c r="J1283" s="198" t="n">
        <v>38</v>
      </c>
      <c r="K1283" s="198" t="n">
        <v>2</v>
      </c>
      <c r="L1283" s="226" t="n">
        <v>44938</v>
      </c>
      <c r="M1283" s="226" t="n">
        <v>43384</v>
      </c>
      <c r="N1283" s="227" t="n">
        <v>2</v>
      </c>
      <c r="O1283" s="227" t="s">
        <v>135</v>
      </c>
      <c r="P1283" s="228" t="n">
        <f aca="false">VLOOKUP(B1283,'NIVEL ENERO'!A:D,3,0)</f>
        <v>0.141431719683459</v>
      </c>
      <c r="Q1283" s="229" t="n">
        <f aca="false">VLOOKUP(B1283,'NIVEL ENERO'!A:D,4,0)</f>
        <v>1476787.86</v>
      </c>
      <c r="R1283" s="186" t="str">
        <f aca="false">+PROPER(C1283&amp;" "&amp;D1283)</f>
        <v>Torres Benavides Vileidy Dayana</v>
      </c>
      <c r="S1283" s="230" t="n">
        <f aca="false">+YEARFRAC(L1283,$S$1)</f>
        <v>3.33333333333333</v>
      </c>
      <c r="T1283" s="230" t="n">
        <f aca="false">+YEARFRAC(M1283,$S$1)</f>
        <v>7.58611111111111</v>
      </c>
      <c r="U1283" s="231" t="n">
        <f aca="false">+$I1283</f>
        <v>958546</v>
      </c>
      <c r="V1283" s="232" t="str">
        <f aca="false">+PROPER(F1283)</f>
        <v>Union Libre</v>
      </c>
    </row>
    <row r="1284" customFormat="false" ht="14.25" hidden="false" customHeight="false" outlineLevel="0" collapsed="false">
      <c r="B1284" s="197" t="n">
        <v>1130670426</v>
      </c>
      <c r="C1284" s="197" t="s">
        <v>3189</v>
      </c>
      <c r="D1284" s="197" t="s">
        <v>3190</v>
      </c>
      <c r="E1284" s="198" t="s">
        <v>944</v>
      </c>
      <c r="F1284" s="198" t="s">
        <v>953</v>
      </c>
      <c r="G1284" s="225" t="n">
        <v>2893800</v>
      </c>
      <c r="H1284" s="225" t="n">
        <v>900000</v>
      </c>
      <c r="I1284" s="225" t="n">
        <v>0</v>
      </c>
      <c r="J1284" s="198" t="n">
        <v>37</v>
      </c>
      <c r="K1284" s="198" t="n">
        <v>1</v>
      </c>
      <c r="L1284" s="226" t="n">
        <v>45475</v>
      </c>
      <c r="M1284" s="226" t="n">
        <v>41562</v>
      </c>
      <c r="N1284" s="227" t="n">
        <v>2</v>
      </c>
      <c r="O1284" s="227" t="s">
        <v>135</v>
      </c>
      <c r="P1284" s="228" t="n">
        <f aca="false">VLOOKUP(B1284,'NIVEL ENERO'!A:D,3,0)</f>
        <v>0.320489321998756</v>
      </c>
      <c r="Q1284" s="229" t="n">
        <f aca="false">VLOOKUP(B1284,'NIVEL ENERO'!A:D,4,0)</f>
        <v>287964</v>
      </c>
      <c r="R1284" s="186" t="str">
        <f aca="false">+PROPER(C1284&amp;" "&amp;D1284)</f>
        <v>Barrientos Ramos Luis David</v>
      </c>
      <c r="S1284" s="230" t="n">
        <f aca="false">+YEARFRAC(L1284,$S$1)</f>
        <v>1.86111111111111</v>
      </c>
      <c r="T1284" s="230" t="n">
        <f aca="false">+YEARFRAC(M1284,$S$1)</f>
        <v>12.575</v>
      </c>
      <c r="U1284" s="231" t="n">
        <f aca="false">+$I1284</f>
        <v>0</v>
      </c>
      <c r="V1284" s="232" t="str">
        <f aca="false">+PROPER(F1284)</f>
        <v>Soltero(A)</v>
      </c>
    </row>
    <row r="1285" customFormat="false" ht="14.25" hidden="false" customHeight="false" outlineLevel="0" collapsed="false">
      <c r="B1285" s="197" t="n">
        <v>1130670450</v>
      </c>
      <c r="C1285" s="197" t="s">
        <v>3191</v>
      </c>
      <c r="D1285" s="197" t="s">
        <v>1691</v>
      </c>
      <c r="E1285" s="198" t="s">
        <v>944</v>
      </c>
      <c r="F1285" s="198" t="s">
        <v>953</v>
      </c>
      <c r="G1285" s="225" t="n">
        <v>2600900</v>
      </c>
      <c r="H1285" s="225" t="n">
        <v>2826149</v>
      </c>
      <c r="I1285" s="225" t="n">
        <v>6299749</v>
      </c>
      <c r="J1285" s="198" t="n">
        <v>37</v>
      </c>
      <c r="K1285" s="198" t="n">
        <v>3</v>
      </c>
      <c r="L1285" s="226" t="n">
        <v>44218</v>
      </c>
      <c r="M1285" s="226" t="n">
        <v>39092</v>
      </c>
      <c r="N1285" s="227" t="n">
        <v>2</v>
      </c>
      <c r="O1285" s="227" t="s">
        <v>135</v>
      </c>
      <c r="P1285" s="228" t="n">
        <f aca="false">VLOOKUP(B1285,'NIVEL ENERO'!A:D,3,0)</f>
        <v>0.419693441860316</v>
      </c>
      <c r="Q1285" s="229" t="n">
        <f aca="false">VLOOKUP(B1285,'NIVEL ENERO'!A:D,4,0)</f>
        <v>1050.17999999993</v>
      </c>
      <c r="R1285" s="186" t="str">
        <f aca="false">+PROPER(C1285&amp;" "&amp;D1285)</f>
        <v>Montezuma Diaz Vanessa</v>
      </c>
      <c r="S1285" s="230" t="n">
        <f aca="false">+YEARFRAC(L1285,$S$1)</f>
        <v>5.30555555555556</v>
      </c>
      <c r="T1285" s="230" t="n">
        <f aca="false">+YEARFRAC(M1285,$S$1)</f>
        <v>19.3388888888889</v>
      </c>
      <c r="U1285" s="231" t="n">
        <f aca="false">+$I1285</f>
        <v>6299749</v>
      </c>
      <c r="V1285" s="232" t="str">
        <f aca="false">+PROPER(F1285)</f>
        <v>Soltero(A)</v>
      </c>
    </row>
    <row r="1286" customFormat="false" ht="14.25" hidden="false" customHeight="false" outlineLevel="0" collapsed="false">
      <c r="B1286" s="197" t="n">
        <v>1130671304</v>
      </c>
      <c r="C1286" s="197" t="s">
        <v>3192</v>
      </c>
      <c r="D1286" s="197" t="s">
        <v>3193</v>
      </c>
      <c r="E1286" s="198" t="s">
        <v>944</v>
      </c>
      <c r="F1286" s="198" t="s">
        <v>953</v>
      </c>
      <c r="G1286" s="225" t="n">
        <v>2255900</v>
      </c>
      <c r="H1286" s="225" t="n">
        <v>600000</v>
      </c>
      <c r="I1286" s="225" t="n">
        <v>692026</v>
      </c>
      <c r="J1286" s="198" t="n">
        <v>37</v>
      </c>
      <c r="K1286" s="198" t="n">
        <v>1</v>
      </c>
      <c r="L1286" s="226" t="n">
        <v>45475</v>
      </c>
      <c r="M1286" s="226" t="n">
        <v>44105</v>
      </c>
      <c r="N1286" s="227" t="n">
        <v>3</v>
      </c>
      <c r="O1286" s="227" t="s">
        <v>135</v>
      </c>
      <c r="P1286" s="228" t="n">
        <f aca="false">VLOOKUP(B1286,'NIVEL ENERO'!A:D,3,0)</f>
        <v>0.430006592313161</v>
      </c>
      <c r="Q1286" s="229" t="n">
        <f aca="false">VLOOKUP(B1286,'NIVEL ENERO'!A:D,4,0)</f>
        <v>-29700.6000000001</v>
      </c>
      <c r="R1286" s="186" t="str">
        <f aca="false">+PROPER(C1286&amp;" "&amp;D1286)</f>
        <v>Navia Gutierrez Ludwin Vang</v>
      </c>
      <c r="S1286" s="230" t="n">
        <f aca="false">+YEARFRAC(L1286,$S$1)</f>
        <v>1.86111111111111</v>
      </c>
      <c r="T1286" s="230" t="n">
        <f aca="false">+YEARFRAC(M1286,$S$1)</f>
        <v>5.61388888888889</v>
      </c>
      <c r="U1286" s="231" t="n">
        <f aca="false">+$I1286</f>
        <v>692026</v>
      </c>
      <c r="V1286" s="232" t="str">
        <f aca="false">+PROPER(F1286)</f>
        <v>Soltero(A)</v>
      </c>
    </row>
    <row r="1287" customFormat="false" ht="14.25" hidden="false" customHeight="false" outlineLevel="0" collapsed="false">
      <c r="B1287" s="197" t="n">
        <v>1130671780</v>
      </c>
      <c r="C1287" s="197" t="s">
        <v>3194</v>
      </c>
      <c r="D1287" s="197" t="s">
        <v>1789</v>
      </c>
      <c r="E1287" s="198" t="s">
        <v>944</v>
      </c>
      <c r="F1287" s="198" t="s">
        <v>953</v>
      </c>
      <c r="G1287" s="225" t="n">
        <v>2600900</v>
      </c>
      <c r="H1287" s="225" t="n">
        <v>3415825</v>
      </c>
      <c r="I1287" s="225"/>
      <c r="J1287" s="198" t="n">
        <v>37</v>
      </c>
      <c r="K1287" s="198" t="n">
        <v>2</v>
      </c>
      <c r="L1287" s="226" t="n">
        <v>44613</v>
      </c>
      <c r="M1287" s="226" t="n">
        <v>44095</v>
      </c>
      <c r="N1287" s="227" t="n">
        <v>1</v>
      </c>
      <c r="O1287" s="227" t="s">
        <v>135</v>
      </c>
      <c r="P1287" s="228" t="n">
        <f aca="false">VLOOKUP(B1287,'NIVEL ENERO'!A:D,3,0)</f>
        <v>0.207989662573597</v>
      </c>
      <c r="Q1287" s="229" t="n">
        <f aca="false">VLOOKUP(B1287,'NIVEL ENERO'!A:D,4,0)</f>
        <v>733784.88</v>
      </c>
      <c r="R1287" s="186" t="str">
        <f aca="false">+PROPER(C1287&amp;" "&amp;D1287)</f>
        <v>Marulanda Parra Lina Maria</v>
      </c>
      <c r="S1287" s="230" t="n">
        <f aca="false">+YEARFRAC(L1287,$S$1)</f>
        <v>4.225</v>
      </c>
      <c r="T1287" s="230" t="n">
        <f aca="false">+YEARFRAC(M1287,$S$1)</f>
        <v>5.64166666666667</v>
      </c>
      <c r="U1287" s="231" t="n">
        <f aca="false">+$I1287</f>
        <v>0</v>
      </c>
      <c r="V1287" s="232" t="str">
        <f aca="false">+PROPER(F1287)</f>
        <v>Soltero(A)</v>
      </c>
    </row>
    <row r="1288" customFormat="false" ht="14.25" hidden="false" customHeight="false" outlineLevel="0" collapsed="false">
      <c r="B1288" s="197" t="n">
        <v>1130672449</v>
      </c>
      <c r="C1288" s="197" t="s">
        <v>3195</v>
      </c>
      <c r="D1288" s="197" t="s">
        <v>3196</v>
      </c>
      <c r="E1288" s="198" t="s">
        <v>944</v>
      </c>
      <c r="F1288" s="198" t="s">
        <v>953</v>
      </c>
      <c r="G1288" s="225" t="n">
        <v>2893800</v>
      </c>
      <c r="H1288" s="225" t="n">
        <v>3072387</v>
      </c>
      <c r="I1288" s="225" t="n">
        <v>2521125</v>
      </c>
      <c r="J1288" s="198" t="n">
        <v>37</v>
      </c>
      <c r="K1288" s="198" t="n">
        <v>2</v>
      </c>
      <c r="L1288" s="226" t="n">
        <v>44669</v>
      </c>
      <c r="M1288" s="226" t="n">
        <v>41883</v>
      </c>
      <c r="N1288" s="227" t="n">
        <v>2</v>
      </c>
      <c r="O1288" s="227" t="s">
        <v>135</v>
      </c>
      <c r="P1288" s="228" t="n">
        <f aca="false">VLOOKUP(B1288,'NIVEL ENERO'!A:D,3,0)</f>
        <v>0.420328570273267</v>
      </c>
      <c r="Q1288" s="229" t="n">
        <f aca="false">VLOOKUP(B1288,'NIVEL ENERO'!A:D,4,0)</f>
        <v>-1224.28000000003</v>
      </c>
      <c r="R1288" s="186" t="str">
        <f aca="false">+PROPER(C1288&amp;" "&amp;D1288)</f>
        <v>Poveda Garces Allan Steven</v>
      </c>
      <c r="S1288" s="230" t="n">
        <f aca="false">+YEARFRAC(L1288,$S$1)</f>
        <v>4.06666666666667</v>
      </c>
      <c r="T1288" s="230" t="n">
        <f aca="false">+YEARFRAC(M1288,$S$1)</f>
        <v>11.6972222222222</v>
      </c>
      <c r="U1288" s="231" t="n">
        <f aca="false">+$I1288</f>
        <v>2521125</v>
      </c>
      <c r="V1288" s="232" t="str">
        <f aca="false">+PROPER(F1288)</f>
        <v>Soltero(A)</v>
      </c>
    </row>
    <row r="1289" customFormat="false" ht="14.25" hidden="false" customHeight="false" outlineLevel="0" collapsed="false">
      <c r="B1289" s="197" t="n">
        <v>1130674192</v>
      </c>
      <c r="C1289" s="197" t="s">
        <v>3197</v>
      </c>
      <c r="D1289" s="197" t="s">
        <v>3198</v>
      </c>
      <c r="E1289" s="198" t="s">
        <v>944</v>
      </c>
      <c r="F1289" s="198" t="s">
        <v>945</v>
      </c>
      <c r="G1289" s="225" t="n">
        <v>4327600</v>
      </c>
      <c r="H1289" s="225" t="n">
        <v>3263575</v>
      </c>
      <c r="I1289" s="225" t="n">
        <v>25637484</v>
      </c>
      <c r="J1289" s="198" t="n">
        <v>37</v>
      </c>
      <c r="K1289" s="198" t="n">
        <v>1</v>
      </c>
      <c r="L1289" s="226" t="n">
        <v>44523</v>
      </c>
      <c r="M1289" s="226" t="n">
        <v>44473</v>
      </c>
      <c r="N1289" s="227" t="n">
        <v>2</v>
      </c>
      <c r="O1289" s="227" t="s">
        <v>135</v>
      </c>
      <c r="P1289" s="228" t="n">
        <f aca="false">VLOOKUP(B1289,'NIVEL ENERO'!A:D,3,0)</f>
        <v>0.402397865213667</v>
      </c>
      <c r="Q1289" s="229" t="n">
        <f aca="false">VLOOKUP(B1289,'NIVEL ENERO'!A:D,4,0)</f>
        <v>67711.0999999999</v>
      </c>
      <c r="R1289" s="186" t="str">
        <f aca="false">+PROPER(C1289&amp;" "&amp;D1289)</f>
        <v>Vallejo Osorio Laretza</v>
      </c>
      <c r="S1289" s="230" t="n">
        <f aca="false">+YEARFRAC(L1289,$S$1)</f>
        <v>4.46944444444444</v>
      </c>
      <c r="T1289" s="230" t="n">
        <f aca="false">+YEARFRAC(M1289,$S$1)</f>
        <v>4.60555555555556</v>
      </c>
      <c r="U1289" s="231" t="n">
        <f aca="false">+$I1289</f>
        <v>25637484</v>
      </c>
      <c r="V1289" s="232" t="str">
        <f aca="false">+PROPER(F1289)</f>
        <v>Union Libre</v>
      </c>
    </row>
    <row r="1290" customFormat="false" ht="14.25" hidden="false" customHeight="false" outlineLevel="0" collapsed="false">
      <c r="B1290" s="197" t="n">
        <v>1130675011</v>
      </c>
      <c r="C1290" s="197" t="s">
        <v>3199</v>
      </c>
      <c r="D1290" s="197" t="s">
        <v>1369</v>
      </c>
      <c r="E1290" s="198" t="s">
        <v>944</v>
      </c>
      <c r="F1290" s="198" t="s">
        <v>948</v>
      </c>
      <c r="G1290" s="225" t="n">
        <v>2600900</v>
      </c>
      <c r="H1290" s="225" t="n">
        <v>4630726</v>
      </c>
      <c r="I1290" s="225" t="n">
        <v>13642681</v>
      </c>
      <c r="J1290" s="198" t="n">
        <v>37</v>
      </c>
      <c r="K1290" s="198" t="n">
        <v>4</v>
      </c>
      <c r="L1290" s="226" t="n">
        <v>43081</v>
      </c>
      <c r="M1290" s="226" t="n">
        <v>42857</v>
      </c>
      <c r="N1290" s="227" t="n">
        <v>5</v>
      </c>
      <c r="O1290" s="227" t="s">
        <v>135</v>
      </c>
      <c r="P1290" s="228" t="n">
        <f aca="false">VLOOKUP(B1290,'NIVEL ENERO'!A:D,3,0)</f>
        <v>0.476460665317638</v>
      </c>
      <c r="Q1290" s="229" t="n">
        <f aca="false">VLOOKUP(B1290,'NIVEL ENERO'!A:D,4,0)</f>
        <v>-154297.4</v>
      </c>
      <c r="R1290" s="186" t="str">
        <f aca="false">+PROPER(C1290&amp;" "&amp;D1290)</f>
        <v>Hidalgo Gomez Diana Maria</v>
      </c>
      <c r="S1290" s="230" t="n">
        <f aca="false">+YEARFRAC(L1290,$S$1)</f>
        <v>8.41666666666667</v>
      </c>
      <c r="T1290" s="230" t="n">
        <f aca="false">+YEARFRAC(M1290,$S$1)</f>
        <v>9.02777777777778</v>
      </c>
      <c r="U1290" s="231" t="n">
        <f aca="false">+$I1290</f>
        <v>13642681</v>
      </c>
      <c r="V1290" s="232" t="str">
        <f aca="false">+PROPER(F1290)</f>
        <v>Casado(A)</v>
      </c>
    </row>
    <row r="1291" customFormat="false" ht="14.25" hidden="false" customHeight="false" outlineLevel="0" collapsed="false">
      <c r="B1291" s="197" t="n">
        <v>1130675029</v>
      </c>
      <c r="C1291" s="197" t="s">
        <v>1441</v>
      </c>
      <c r="D1291" s="197" t="s">
        <v>3200</v>
      </c>
      <c r="E1291" s="198" t="s">
        <v>944</v>
      </c>
      <c r="F1291" s="198" t="s">
        <v>948</v>
      </c>
      <c r="G1291" s="225" t="n">
        <v>5418800</v>
      </c>
      <c r="H1291" s="225" t="n">
        <v>1506656</v>
      </c>
      <c r="I1291" s="225" t="n">
        <v>2490651</v>
      </c>
      <c r="J1291" s="198" t="n">
        <v>37</v>
      </c>
      <c r="K1291" s="198" t="n">
        <v>1</v>
      </c>
      <c r="L1291" s="226" t="n">
        <v>44904</v>
      </c>
      <c r="M1291" s="226" t="n">
        <v>41866</v>
      </c>
      <c r="N1291" s="227" t="n">
        <v>0</v>
      </c>
      <c r="O1291" s="227" t="s">
        <v>135</v>
      </c>
      <c r="P1291" s="228" t="n">
        <f aca="false">VLOOKUP(B1291,'NIVEL ENERO'!A:D,3,0)</f>
        <v>0.160637614986367</v>
      </c>
      <c r="Q1291" s="229" t="n">
        <f aca="false">VLOOKUP(B1291,'NIVEL ENERO'!A:D,4,0)</f>
        <v>2066291.88</v>
      </c>
      <c r="R1291" s="186" t="str">
        <f aca="false">+PROPER(C1291&amp;" "&amp;D1291)</f>
        <v>Ortiz Rojas Carolina Alejandra</v>
      </c>
      <c r="S1291" s="230" t="n">
        <f aca="false">+YEARFRAC(L1291,$S$1)</f>
        <v>3.425</v>
      </c>
      <c r="T1291" s="230" t="n">
        <f aca="false">+YEARFRAC(M1291,$S$1)</f>
        <v>11.7416666666667</v>
      </c>
      <c r="U1291" s="231" t="n">
        <f aca="false">+$I1291</f>
        <v>2490651</v>
      </c>
      <c r="V1291" s="232" t="str">
        <f aca="false">+PROPER(F1291)</f>
        <v>Casado(A)</v>
      </c>
    </row>
    <row r="1292" customFormat="false" ht="14.25" hidden="false" customHeight="false" outlineLevel="0" collapsed="false">
      <c r="B1292" s="197" t="n">
        <v>1130679086</v>
      </c>
      <c r="C1292" s="197" t="s">
        <v>3201</v>
      </c>
      <c r="D1292" s="197" t="s">
        <v>1202</v>
      </c>
      <c r="E1292" s="198" t="s">
        <v>944</v>
      </c>
      <c r="F1292" s="198" t="s">
        <v>948</v>
      </c>
      <c r="G1292" s="225" t="n">
        <v>2893800</v>
      </c>
      <c r="H1292" s="225" t="n">
        <v>1243428</v>
      </c>
      <c r="I1292" s="225" t="n">
        <v>2266712</v>
      </c>
      <c r="J1292" s="198" t="n">
        <v>36</v>
      </c>
      <c r="K1292" s="198" t="n">
        <v>1</v>
      </c>
      <c r="L1292" s="226" t="n">
        <v>45051</v>
      </c>
      <c r="M1292" s="226" t="n">
        <v>42445</v>
      </c>
      <c r="N1292" s="227" t="n">
        <v>2</v>
      </c>
      <c r="O1292" s="227" t="s">
        <v>135</v>
      </c>
      <c r="P1292" s="228" t="n">
        <f aca="false">VLOOKUP(B1292,'NIVEL ENERO'!A:D,3,0)</f>
        <v>0.38881558585984</v>
      </c>
      <c r="Q1292" s="229" t="n">
        <f aca="false">VLOOKUP(B1292,'NIVEL ENERO'!A:D,4,0)</f>
        <v>118896.4</v>
      </c>
      <c r="R1292" s="186" t="str">
        <f aca="false">+PROPER(C1292&amp;" "&amp;D1292)</f>
        <v>Mendez Tobon Carolina</v>
      </c>
      <c r="S1292" s="230" t="n">
        <f aca="false">+YEARFRAC(L1292,$S$1)</f>
        <v>3.01944444444444</v>
      </c>
      <c r="T1292" s="230" t="n">
        <f aca="false">+YEARFRAC(M1292,$S$1)</f>
        <v>10.1555555555556</v>
      </c>
      <c r="U1292" s="231" t="n">
        <f aca="false">+$I1292</f>
        <v>2266712</v>
      </c>
      <c r="V1292" s="232" t="str">
        <f aca="false">+PROPER(F1292)</f>
        <v>Casado(A)</v>
      </c>
    </row>
    <row r="1293" customFormat="false" ht="14.25" hidden="false" customHeight="false" outlineLevel="0" collapsed="false">
      <c r="B1293" s="197" t="n">
        <v>1130679196</v>
      </c>
      <c r="C1293" s="197" t="s">
        <v>3202</v>
      </c>
      <c r="D1293" s="197" t="s">
        <v>3203</v>
      </c>
      <c r="E1293" s="198" t="s">
        <v>981</v>
      </c>
      <c r="F1293" s="198" t="s">
        <v>953</v>
      </c>
      <c r="G1293" s="225" t="n">
        <v>5418800</v>
      </c>
      <c r="H1293" s="225" t="n">
        <v>5169671</v>
      </c>
      <c r="I1293" s="225" t="n">
        <v>346885</v>
      </c>
      <c r="J1293" s="198" t="n">
        <v>36</v>
      </c>
      <c r="K1293" s="198" t="n">
        <v>2</v>
      </c>
      <c r="L1293" s="226" t="n">
        <v>43269</v>
      </c>
      <c r="M1293" s="226" t="n">
        <v>41944</v>
      </c>
      <c r="N1293" s="227" t="n">
        <v>2</v>
      </c>
      <c r="O1293" s="227" t="s">
        <v>135</v>
      </c>
      <c r="P1293" s="228" t="n">
        <f aca="false">VLOOKUP(B1293,'NIVEL ENERO'!A:D,3,0)</f>
        <v>0.380428315210708</v>
      </c>
      <c r="Q1293" s="229" t="n">
        <f aca="false">VLOOKUP(B1293,'NIVEL ENERO'!A:D,4,0)</f>
        <v>389996.84</v>
      </c>
      <c r="R1293" s="186" t="str">
        <f aca="false">+PROPER(C1293&amp;" "&amp;D1293)</f>
        <v>Valencia Ruiz Beatriz Elena</v>
      </c>
      <c r="S1293" s="230" t="n">
        <f aca="false">+YEARFRAC(L1293,$S$1)</f>
        <v>7.9</v>
      </c>
      <c r="T1293" s="230" t="n">
        <f aca="false">+YEARFRAC(M1293,$S$1)</f>
        <v>11.5305555555556</v>
      </c>
      <c r="U1293" s="231" t="n">
        <f aca="false">+$I1293</f>
        <v>346885</v>
      </c>
      <c r="V1293" s="232" t="str">
        <f aca="false">+PROPER(F1293)</f>
        <v>Soltero(A)</v>
      </c>
    </row>
    <row r="1294" customFormat="false" ht="14.25" hidden="false" customHeight="false" outlineLevel="0" collapsed="false">
      <c r="B1294" s="197" t="n">
        <v>1130679405</v>
      </c>
      <c r="C1294" s="197" t="s">
        <v>3204</v>
      </c>
      <c r="D1294" s="197" t="s">
        <v>3205</v>
      </c>
      <c r="E1294" s="198" t="s">
        <v>944</v>
      </c>
      <c r="F1294" s="198" t="s">
        <v>948</v>
      </c>
      <c r="G1294" s="225" t="n">
        <v>8245400</v>
      </c>
      <c r="H1294" s="225" t="n">
        <v>1650000</v>
      </c>
      <c r="I1294" s="225" t="n">
        <v>3946098</v>
      </c>
      <c r="J1294" s="198" t="n">
        <v>36</v>
      </c>
      <c r="K1294" s="198" t="n">
        <v>1</v>
      </c>
      <c r="L1294" s="226" t="n">
        <v>45342</v>
      </c>
      <c r="M1294" s="226" t="n">
        <v>42887</v>
      </c>
      <c r="N1294" s="227" t="n">
        <v>0</v>
      </c>
      <c r="O1294" s="227" t="s">
        <v>135</v>
      </c>
      <c r="P1294" s="228" t="n">
        <f aca="false">VLOOKUP(B1294,'NIVEL ENERO'!A:D,3,0)</f>
        <v>0.21633224585895</v>
      </c>
      <c r="Q1294" s="229" t="n">
        <f aca="false">VLOOKUP(B1294,'NIVEL ENERO'!A:D,4,0)</f>
        <v>665736.12</v>
      </c>
      <c r="R1294" s="186" t="str">
        <f aca="false">+PROPER(C1294&amp;" "&amp;D1294)</f>
        <v>Mena Rodriguez Lina Vanessa</v>
      </c>
      <c r="S1294" s="230" t="n">
        <f aca="false">+YEARFRAC(L1294,$S$1)</f>
        <v>2.22777777777778</v>
      </c>
      <c r="T1294" s="230" t="n">
        <f aca="false">+YEARFRAC(M1294,$S$1)</f>
        <v>8.94722222222222</v>
      </c>
      <c r="U1294" s="231" t="n">
        <f aca="false">+$I1294</f>
        <v>3946098</v>
      </c>
      <c r="V1294" s="232" t="str">
        <f aca="false">+PROPER(F1294)</f>
        <v>Casado(A)</v>
      </c>
    </row>
    <row r="1295" customFormat="false" ht="14.25" hidden="false" customHeight="false" outlineLevel="0" collapsed="false">
      <c r="B1295" s="197" t="n">
        <v>1130679836</v>
      </c>
      <c r="C1295" s="197" t="s">
        <v>3206</v>
      </c>
      <c r="D1295" s="197" t="s">
        <v>3207</v>
      </c>
      <c r="E1295" s="198" t="s">
        <v>944</v>
      </c>
      <c r="F1295" s="198" t="s">
        <v>948</v>
      </c>
      <c r="G1295" s="225" t="n">
        <v>6130300</v>
      </c>
      <c r="H1295" s="225" t="n">
        <v>13296608</v>
      </c>
      <c r="I1295" s="225" t="n">
        <v>11010923</v>
      </c>
      <c r="J1295" s="198" t="n">
        <v>35</v>
      </c>
      <c r="K1295" s="198" t="n">
        <v>1</v>
      </c>
      <c r="L1295" s="226" t="n">
        <v>43529</v>
      </c>
      <c r="M1295" s="226" t="n">
        <v>42019</v>
      </c>
      <c r="N1295" s="227" t="n">
        <v>1</v>
      </c>
      <c r="O1295" s="227" t="s">
        <v>135</v>
      </c>
      <c r="P1295" s="228" t="n">
        <f aca="false">VLOOKUP(B1295,'NIVEL ENERO'!A:D,3,0)</f>
        <v>0.19363750550544</v>
      </c>
      <c r="Q1295" s="229" t="n">
        <f aca="false">VLOOKUP(B1295,'NIVEL ENERO'!A:D,4,0)</f>
        <v>1387670</v>
      </c>
      <c r="R1295" s="186" t="str">
        <f aca="false">+PROPER(C1295&amp;" "&amp;D1295)</f>
        <v>Espana Ortegon Jhon Edinson</v>
      </c>
      <c r="S1295" s="230" t="n">
        <f aca="false">+YEARFRAC(L1295,$S$1)</f>
        <v>7.18611111111111</v>
      </c>
      <c r="T1295" s="230" t="n">
        <f aca="false">+YEARFRAC(M1295,$S$1)</f>
        <v>11.325</v>
      </c>
      <c r="U1295" s="231" t="n">
        <f aca="false">+$I1295</f>
        <v>11010923</v>
      </c>
      <c r="V1295" s="232" t="str">
        <f aca="false">+PROPER(F1295)</f>
        <v>Casado(A)</v>
      </c>
    </row>
    <row r="1296" customFormat="false" ht="14.25" hidden="false" customHeight="false" outlineLevel="0" collapsed="false">
      <c r="B1296" s="197" t="n">
        <v>1130680403</v>
      </c>
      <c r="C1296" s="197" t="s">
        <v>3208</v>
      </c>
      <c r="D1296" s="197" t="s">
        <v>3209</v>
      </c>
      <c r="E1296" s="198" t="s">
        <v>944</v>
      </c>
      <c r="F1296" s="198" t="s">
        <v>953</v>
      </c>
      <c r="G1296" s="225" t="n">
        <v>2893800</v>
      </c>
      <c r="H1296" s="225" t="n">
        <v>2778353</v>
      </c>
      <c r="I1296" s="225" t="n">
        <v>2450425</v>
      </c>
      <c r="J1296" s="198" t="n">
        <v>35</v>
      </c>
      <c r="K1296" s="198" t="n">
        <v>2</v>
      </c>
      <c r="L1296" s="226" t="n">
        <v>44722</v>
      </c>
      <c r="M1296" s="226" t="n">
        <v>44330</v>
      </c>
      <c r="N1296" s="227" t="n">
        <v>2</v>
      </c>
      <c r="O1296" s="227" t="s">
        <v>135</v>
      </c>
      <c r="P1296" s="228" t="n">
        <f aca="false">VLOOKUP(B1296,'NIVEL ENERO'!A:D,3,0)</f>
        <v>0.180806693925762</v>
      </c>
      <c r="Q1296" s="229" t="n">
        <f aca="false">VLOOKUP(B1296,'NIVEL ENERO'!A:D,4,0)</f>
        <v>998748.54</v>
      </c>
      <c r="R1296" s="186" t="str">
        <f aca="false">+PROPER(C1296&amp;" "&amp;D1296)</f>
        <v>Astaiza Munoz Andrea</v>
      </c>
      <c r="S1296" s="230" t="n">
        <f aca="false">+YEARFRAC(L1296,$S$1)</f>
        <v>3.92222222222222</v>
      </c>
      <c r="T1296" s="230" t="n">
        <f aca="false">+YEARFRAC(M1296,$S$1)</f>
        <v>4.99444444444444</v>
      </c>
      <c r="U1296" s="231" t="n">
        <f aca="false">+$I1296</f>
        <v>2450425</v>
      </c>
      <c r="V1296" s="232" t="str">
        <f aca="false">+PROPER(F1296)</f>
        <v>Soltero(A)</v>
      </c>
    </row>
    <row r="1297" customFormat="false" ht="14.25" hidden="false" customHeight="false" outlineLevel="0" collapsed="false">
      <c r="B1297" s="197" t="n">
        <v>1130682418</v>
      </c>
      <c r="C1297" s="197" t="s">
        <v>3210</v>
      </c>
      <c r="D1297" s="197" t="s">
        <v>3211</v>
      </c>
      <c r="E1297" s="198" t="s">
        <v>944</v>
      </c>
      <c r="F1297" s="198" t="s">
        <v>945</v>
      </c>
      <c r="G1297" s="225" t="n">
        <v>5517200</v>
      </c>
      <c r="H1297" s="225" t="n">
        <v>250000</v>
      </c>
      <c r="I1297" s="225"/>
      <c r="J1297" s="198" t="n">
        <v>35</v>
      </c>
      <c r="K1297" s="198" t="n">
        <v>2</v>
      </c>
      <c r="L1297" s="226" t="n">
        <v>45643</v>
      </c>
      <c r="M1297" s="226" t="n">
        <v>45384</v>
      </c>
      <c r="N1297" s="227" t="n">
        <v>0</v>
      </c>
      <c r="O1297" s="227" t="s">
        <v>135</v>
      </c>
      <c r="P1297" s="228" t="e">
        <f aca="false">VLOOKUP(B1297,'NIVEL ENERO'!A:D,3,0)</f>
        <v>#N/A</v>
      </c>
      <c r="Q1297" s="229" t="e">
        <f aca="false">VLOOKUP(B1297,'NIVEL ENERO'!A:D,4,0)</f>
        <v>#N/A</v>
      </c>
      <c r="R1297" s="186" t="str">
        <f aca="false">+PROPER(C1297&amp;" "&amp;D1297)</f>
        <v>Valencia Gamboa Christian Balbino</v>
      </c>
      <c r="S1297" s="230" t="n">
        <f aca="false">+YEARFRAC(L1297,$S$1)</f>
        <v>1.40277777777778</v>
      </c>
      <c r="T1297" s="230" t="n">
        <f aca="false">+YEARFRAC(M1297,$S$1)</f>
        <v>2.11111111111111</v>
      </c>
      <c r="U1297" s="231" t="n">
        <f aca="false">+$I1297</f>
        <v>0</v>
      </c>
      <c r="V1297" s="232" t="str">
        <f aca="false">+PROPER(F1297)</f>
        <v>Union Libre</v>
      </c>
    </row>
    <row r="1298" customFormat="false" ht="14.25" hidden="false" customHeight="false" outlineLevel="0" collapsed="false">
      <c r="B1298" s="197" t="n">
        <v>1130683219</v>
      </c>
      <c r="C1298" s="197" t="s">
        <v>3212</v>
      </c>
      <c r="D1298" s="197" t="s">
        <v>1265</v>
      </c>
      <c r="E1298" s="198" t="s">
        <v>944</v>
      </c>
      <c r="F1298" s="198" t="s">
        <v>945</v>
      </c>
      <c r="G1298" s="225" t="n">
        <v>2893800</v>
      </c>
      <c r="H1298" s="225" t="n">
        <v>2712269</v>
      </c>
      <c r="I1298" s="225" t="n">
        <v>500865</v>
      </c>
      <c r="J1298" s="198" t="n">
        <v>35</v>
      </c>
      <c r="K1298" s="198" t="n">
        <v>1</v>
      </c>
      <c r="L1298" s="226" t="n">
        <v>43999</v>
      </c>
      <c r="M1298" s="226" t="n">
        <v>40407</v>
      </c>
      <c r="N1298" s="227" t="n">
        <v>6</v>
      </c>
      <c r="O1298" s="227" t="s">
        <v>135</v>
      </c>
      <c r="P1298" s="228" t="n">
        <f aca="false">VLOOKUP(B1298,'NIVEL ENERO'!A:D,3,0)</f>
        <v>0.418549666777648</v>
      </c>
      <c r="Q1298" s="229" t="n">
        <f aca="false">VLOOKUP(B1298,'NIVEL ENERO'!A:D,4,0)</f>
        <v>4430.1399999999</v>
      </c>
      <c r="R1298" s="186" t="str">
        <f aca="false">+PROPER(C1298&amp;" "&amp;D1298)</f>
        <v>Tello Barona Adriana</v>
      </c>
      <c r="S1298" s="230" t="n">
        <f aca="false">+YEARFRAC(L1298,$S$1)</f>
        <v>5.90277777777778</v>
      </c>
      <c r="T1298" s="230" t="n">
        <f aca="false">+YEARFRAC(M1298,$S$1)</f>
        <v>15.7361111111111</v>
      </c>
      <c r="U1298" s="231" t="n">
        <f aca="false">+$I1298</f>
        <v>500865</v>
      </c>
      <c r="V1298" s="232" t="str">
        <f aca="false">+PROPER(F1298)</f>
        <v>Union Libre</v>
      </c>
    </row>
    <row r="1299" customFormat="false" ht="14.25" hidden="false" customHeight="false" outlineLevel="0" collapsed="false">
      <c r="B1299" s="197" t="n">
        <v>1130683767</v>
      </c>
      <c r="C1299" s="197" t="s">
        <v>3213</v>
      </c>
      <c r="D1299" s="197" t="s">
        <v>3214</v>
      </c>
      <c r="E1299" s="198" t="s">
        <v>944</v>
      </c>
      <c r="F1299" s="198" t="s">
        <v>953</v>
      </c>
      <c r="G1299" s="225" t="n">
        <v>5679200</v>
      </c>
      <c r="H1299" s="225" t="n">
        <v>1708686</v>
      </c>
      <c r="I1299" s="225" t="n">
        <v>168949</v>
      </c>
      <c r="J1299" s="198" t="n">
        <v>36</v>
      </c>
      <c r="K1299" s="198" t="n">
        <v>3</v>
      </c>
      <c r="L1299" s="226" t="n">
        <v>44748</v>
      </c>
      <c r="M1299" s="226" t="n">
        <v>40513</v>
      </c>
      <c r="N1299" s="227" t="n">
        <v>2</v>
      </c>
      <c r="O1299" s="227" t="s">
        <v>135</v>
      </c>
      <c r="P1299" s="228" t="n">
        <f aca="false">VLOOKUP(B1299,'NIVEL ENERO'!A:D,3,0)</f>
        <v>0.170263082440667</v>
      </c>
      <c r="Q1299" s="229" t="n">
        <f aca="false">VLOOKUP(B1299,'NIVEL ENERO'!A:D,4,0)</f>
        <v>2182136.92</v>
      </c>
      <c r="R1299" s="186" t="str">
        <f aca="false">+PROPER(C1299&amp;" "&amp;D1299)</f>
        <v>Vargas Requene Lised</v>
      </c>
      <c r="S1299" s="230" t="n">
        <f aca="false">+YEARFRAC(L1299,$S$1)</f>
        <v>3.85</v>
      </c>
      <c r="T1299" s="230" t="n">
        <f aca="false">+YEARFRAC(M1299,$S$1)</f>
        <v>15.4472222222222</v>
      </c>
      <c r="U1299" s="231" t="n">
        <f aca="false">+$I1299</f>
        <v>168949</v>
      </c>
      <c r="V1299" s="232" t="str">
        <f aca="false">+PROPER(F1299)</f>
        <v>Soltero(A)</v>
      </c>
    </row>
    <row r="1300" customFormat="false" ht="14.25" hidden="false" customHeight="false" outlineLevel="0" collapsed="false">
      <c r="B1300" s="197" t="n">
        <v>1130683942</v>
      </c>
      <c r="C1300" s="197" t="s">
        <v>3215</v>
      </c>
      <c r="D1300" s="197" t="s">
        <v>3216</v>
      </c>
      <c r="E1300" s="198" t="s">
        <v>944</v>
      </c>
      <c r="F1300" s="198" t="s">
        <v>953</v>
      </c>
      <c r="G1300" s="225" t="n">
        <v>1625000</v>
      </c>
      <c r="H1300" s="225" t="n">
        <v>325000</v>
      </c>
      <c r="I1300" s="225"/>
      <c r="J1300" s="198" t="n">
        <v>35</v>
      </c>
      <c r="K1300" s="198" t="n">
        <v>4</v>
      </c>
      <c r="L1300" s="226" t="n">
        <v>45517</v>
      </c>
      <c r="M1300" s="226" t="n">
        <v>44875</v>
      </c>
      <c r="N1300" s="227" t="n">
        <v>0</v>
      </c>
      <c r="O1300" s="227" t="s">
        <v>135</v>
      </c>
      <c r="P1300" s="228" t="n">
        <f aca="false">VLOOKUP(B1300,'NIVEL ENERO'!A:D,3,0)</f>
        <v>0.395234335329341</v>
      </c>
      <c r="Q1300" s="229" t="n">
        <f aca="false">VLOOKUP(B1300,'NIVEL ENERO'!A:D,4,0)</f>
        <v>98473</v>
      </c>
      <c r="R1300" s="186" t="str">
        <f aca="false">+PROPER(C1300&amp;" "&amp;D1300)</f>
        <v>Anacona Chiguasuque Maria Viviana</v>
      </c>
      <c r="S1300" s="230" t="n">
        <f aca="false">+YEARFRAC(L1300,$S$1)</f>
        <v>1.74722222222222</v>
      </c>
      <c r="T1300" s="230" t="n">
        <f aca="false">+YEARFRAC(M1300,$S$1)</f>
        <v>3.50555555555556</v>
      </c>
      <c r="U1300" s="231" t="n">
        <f aca="false">+$I1300</f>
        <v>0</v>
      </c>
      <c r="V1300" s="232" t="str">
        <f aca="false">+PROPER(F1300)</f>
        <v>Soltero(A)</v>
      </c>
    </row>
    <row r="1301" customFormat="false" ht="14.25" hidden="false" customHeight="false" outlineLevel="0" collapsed="false">
      <c r="B1301" s="197" t="n">
        <v>1130948079</v>
      </c>
      <c r="C1301" s="197" t="s">
        <v>3217</v>
      </c>
      <c r="D1301" s="197" t="s">
        <v>1298</v>
      </c>
      <c r="E1301" s="198" t="s">
        <v>944</v>
      </c>
      <c r="F1301" s="198" t="s">
        <v>953</v>
      </c>
      <c r="G1301" s="225" t="n">
        <v>2893800</v>
      </c>
      <c r="H1301" s="225" t="n">
        <v>1896104</v>
      </c>
      <c r="I1301" s="225" t="n">
        <v>425442</v>
      </c>
      <c r="J1301" s="198" t="n">
        <v>31</v>
      </c>
      <c r="K1301" s="198" t="n">
        <v>2</v>
      </c>
      <c r="L1301" s="226" t="n">
        <v>44811</v>
      </c>
      <c r="M1301" s="226" t="n">
        <v>44421</v>
      </c>
      <c r="N1301" s="227" t="n">
        <v>1</v>
      </c>
      <c r="O1301" s="227" t="s">
        <v>135</v>
      </c>
      <c r="P1301" s="228" t="n">
        <f aca="false">VLOOKUP(B1301,'NIVEL ENERO'!A:D,3,0)</f>
        <v>0.251845117210602</v>
      </c>
      <c r="Q1301" s="229" t="n">
        <f aca="false">VLOOKUP(B1301,'NIVEL ENERO'!A:D,4,0)</f>
        <v>559174.4</v>
      </c>
      <c r="R1301" s="186" t="str">
        <f aca="false">+PROPER(C1301&amp;" "&amp;D1301)</f>
        <v>Angulo Mercado Monica</v>
      </c>
      <c r="S1301" s="230" t="n">
        <f aca="false">+YEARFRAC(L1301,$S$1)</f>
        <v>3.68055555555556</v>
      </c>
      <c r="T1301" s="230" t="n">
        <f aca="false">+YEARFRAC(M1301,$S$1)</f>
        <v>4.74722222222222</v>
      </c>
      <c r="U1301" s="231" t="n">
        <f aca="false">+$I1301</f>
        <v>425442</v>
      </c>
      <c r="V1301" s="232" t="str">
        <f aca="false">+PROPER(F1301)</f>
        <v>Soltero(A)</v>
      </c>
    </row>
    <row r="1302" customFormat="false" ht="14.25" hidden="false" customHeight="false" outlineLevel="0" collapsed="false">
      <c r="B1302" s="197" t="n">
        <v>1136059863</v>
      </c>
      <c r="C1302" s="197" t="s">
        <v>3218</v>
      </c>
      <c r="D1302" s="197" t="s">
        <v>3219</v>
      </c>
      <c r="E1302" s="198" t="s">
        <v>944</v>
      </c>
      <c r="F1302" s="198" t="s">
        <v>953</v>
      </c>
      <c r="G1302" s="225" t="n">
        <v>6225200</v>
      </c>
      <c r="H1302" s="225" t="n">
        <v>1230193</v>
      </c>
      <c r="I1302" s="225" t="n">
        <v>1359110</v>
      </c>
      <c r="J1302" s="198" t="n">
        <v>36</v>
      </c>
      <c r="K1302" s="198" t="n">
        <v>4</v>
      </c>
      <c r="L1302" s="226" t="n">
        <v>45219</v>
      </c>
      <c r="M1302" s="226" t="n">
        <v>42562</v>
      </c>
      <c r="N1302" s="227" t="n">
        <v>2</v>
      </c>
      <c r="O1302" s="227" t="s">
        <v>135</v>
      </c>
      <c r="P1302" s="228" t="n">
        <f aca="false">VLOOKUP(B1302,'NIVEL ENERO'!A:D,3,0)</f>
        <v>0.404713262224507</v>
      </c>
      <c r="Q1302" s="229" t="n">
        <f aca="false">VLOOKUP(B1302,'NIVEL ENERO'!A:D,4,0)</f>
        <v>95163</v>
      </c>
      <c r="R1302" s="186" t="str">
        <f aca="false">+PROPER(C1302&amp;" "&amp;D1302)</f>
        <v>Garces Duran Daniel Enrique</v>
      </c>
      <c r="S1302" s="230" t="n">
        <f aca="false">+YEARFRAC(L1302,$S$1)</f>
        <v>2.56111111111111</v>
      </c>
      <c r="T1302" s="230" t="n">
        <f aca="false">+YEARFRAC(M1302,$S$1)</f>
        <v>9.83611111111111</v>
      </c>
      <c r="U1302" s="231" t="n">
        <f aca="false">+$I1302</f>
        <v>1359110</v>
      </c>
      <c r="V1302" s="232" t="str">
        <f aca="false">+PROPER(F1302)</f>
        <v>Soltero(A)</v>
      </c>
    </row>
    <row r="1303" customFormat="false" ht="14.25" hidden="false" customHeight="false" outlineLevel="0" collapsed="false">
      <c r="B1303" s="197" t="n">
        <v>1139694040</v>
      </c>
      <c r="C1303" s="197" t="s">
        <v>3220</v>
      </c>
      <c r="D1303" s="197" t="s">
        <v>3221</v>
      </c>
      <c r="E1303" s="198" t="s">
        <v>944</v>
      </c>
      <c r="F1303" s="198" t="s">
        <v>953</v>
      </c>
      <c r="G1303" s="225" t="n">
        <v>2600900</v>
      </c>
      <c r="H1303" s="225" t="n">
        <v>3314810</v>
      </c>
      <c r="I1303" s="225"/>
      <c r="J1303" s="198" t="n">
        <v>36</v>
      </c>
      <c r="K1303" s="198" t="n">
        <v>1</v>
      </c>
      <c r="L1303" s="226" t="n">
        <v>44642</v>
      </c>
      <c r="M1303" s="226" t="n">
        <v>44090</v>
      </c>
      <c r="N1303" s="227" t="n">
        <v>2</v>
      </c>
      <c r="O1303" s="227" t="s">
        <v>135</v>
      </c>
      <c r="P1303" s="228" t="n">
        <f aca="false">VLOOKUP(B1303,'NIVEL ENERO'!A:D,3,0)</f>
        <v>0.190302498238233</v>
      </c>
      <c r="Q1303" s="229" t="n">
        <f aca="false">VLOOKUP(B1303,'NIVEL ENERO'!A:D,4,0)</f>
        <v>681665.16</v>
      </c>
      <c r="R1303" s="186" t="str">
        <f aca="false">+PROPER(C1303&amp;" "&amp;D1303)</f>
        <v>Vasquez Suarez Jonathan</v>
      </c>
      <c r="S1303" s="230" t="n">
        <f aca="false">+YEARFRAC(L1303,$S$1)</f>
        <v>4.13888888888889</v>
      </c>
      <c r="T1303" s="230" t="n">
        <f aca="false">+YEARFRAC(M1303,$S$1)</f>
        <v>5.65555555555556</v>
      </c>
      <c r="U1303" s="231" t="n">
        <f aca="false">+$I1303</f>
        <v>0</v>
      </c>
      <c r="V1303" s="232" t="str">
        <f aca="false">+PROPER(F1303)</f>
        <v>Soltero(A)</v>
      </c>
    </row>
    <row r="1304" customFormat="false" ht="14.25" hidden="false" customHeight="false" outlineLevel="0" collapsed="false">
      <c r="B1304" s="197" t="n">
        <v>1143160920</v>
      </c>
      <c r="C1304" s="197" t="s">
        <v>3222</v>
      </c>
      <c r="D1304" s="197" t="s">
        <v>3095</v>
      </c>
      <c r="E1304" s="198" t="s">
        <v>944</v>
      </c>
      <c r="F1304" s="198" t="s">
        <v>953</v>
      </c>
      <c r="G1304" s="225" t="n">
        <v>5679200</v>
      </c>
      <c r="H1304" s="225" t="n">
        <v>2800000</v>
      </c>
      <c r="I1304" s="225"/>
      <c r="J1304" s="198" t="n">
        <v>27</v>
      </c>
      <c r="K1304" s="198" t="n">
        <v>2</v>
      </c>
      <c r="L1304" s="226" t="n">
        <v>45448</v>
      </c>
      <c r="M1304" s="226" t="n">
        <v>44510</v>
      </c>
      <c r="N1304" s="227" t="n">
        <v>0</v>
      </c>
      <c r="O1304" s="227" t="s">
        <v>135</v>
      </c>
      <c r="P1304" s="228" t="n">
        <f aca="false">VLOOKUP(B1304,'NIVEL ENERO'!A:D,3,0)</f>
        <v>0.158214339049783</v>
      </c>
      <c r="Q1304" s="229" t="n">
        <f aca="false">VLOOKUP(B1304,'NIVEL ENERO'!A:D,4,0)</f>
        <v>1887935.62</v>
      </c>
      <c r="R1304" s="186" t="str">
        <f aca="false">+PROPER(C1304&amp;" "&amp;D1304)</f>
        <v>Guzman Castellar Jhonny Alexander</v>
      </c>
      <c r="S1304" s="230" t="n">
        <f aca="false">+YEARFRAC(L1304,$S$1)</f>
        <v>1.93611111111111</v>
      </c>
      <c r="T1304" s="230" t="n">
        <f aca="false">+YEARFRAC(M1304,$S$1)</f>
        <v>4.50555555555556</v>
      </c>
      <c r="U1304" s="231" t="n">
        <f aca="false">+$I1304</f>
        <v>0</v>
      </c>
      <c r="V1304" s="232" t="str">
        <f aca="false">+PROPER(F1304)</f>
        <v>Soltero(A)</v>
      </c>
    </row>
    <row r="1305" customFormat="false" ht="14.25" hidden="false" customHeight="false" outlineLevel="0" collapsed="false">
      <c r="B1305" s="197" t="n">
        <v>1143826134</v>
      </c>
      <c r="C1305" s="197" t="s">
        <v>3223</v>
      </c>
      <c r="D1305" s="197" t="s">
        <v>3224</v>
      </c>
      <c r="E1305" s="198" t="s">
        <v>944</v>
      </c>
      <c r="F1305" s="198" t="s">
        <v>948</v>
      </c>
      <c r="G1305" s="225" t="n">
        <v>2893800</v>
      </c>
      <c r="H1305" s="225" t="n">
        <v>5470819</v>
      </c>
      <c r="I1305" s="225" t="n">
        <v>8987824</v>
      </c>
      <c r="J1305" s="198" t="n">
        <v>35</v>
      </c>
      <c r="K1305" s="198" t="n">
        <v>2</v>
      </c>
      <c r="L1305" s="226" t="n">
        <v>43236</v>
      </c>
      <c r="M1305" s="226" t="n">
        <v>45768</v>
      </c>
      <c r="N1305" s="227" t="n">
        <v>4</v>
      </c>
      <c r="O1305" s="227" t="s">
        <v>135</v>
      </c>
      <c r="P1305" s="228" t="n">
        <f aca="false">VLOOKUP(B1305,'NIVEL ENERO'!A:D,3,0)</f>
        <v>0.489307139401479</v>
      </c>
      <c r="Q1305" s="229" t="n">
        <f aca="false">VLOOKUP(B1305,'NIVEL ENERO'!A:D,4,0)</f>
        <v>-200561</v>
      </c>
      <c r="R1305" s="186" t="str">
        <f aca="false">+PROPER(C1305&amp;" "&amp;D1305)</f>
        <v>Caguazango Giraldo Cindy Julie</v>
      </c>
      <c r="S1305" s="230" t="n">
        <f aca="false">+YEARFRAC(L1305,$S$1)</f>
        <v>7.98888888888889</v>
      </c>
      <c r="T1305" s="230" t="n">
        <f aca="false">+YEARFRAC(M1305,$S$1)</f>
        <v>1.05833333333333</v>
      </c>
      <c r="U1305" s="231" t="n">
        <f aca="false">+$I1305</f>
        <v>8987824</v>
      </c>
      <c r="V1305" s="232" t="str">
        <f aca="false">+PROPER(F1305)</f>
        <v>Casado(A)</v>
      </c>
    </row>
    <row r="1306" customFormat="false" ht="14.25" hidden="false" customHeight="false" outlineLevel="0" collapsed="false">
      <c r="B1306" s="197" t="n">
        <v>1143827019</v>
      </c>
      <c r="C1306" s="197" t="s">
        <v>3225</v>
      </c>
      <c r="D1306" s="197" t="s">
        <v>1357</v>
      </c>
      <c r="E1306" s="198" t="s">
        <v>944</v>
      </c>
      <c r="F1306" s="198" t="s">
        <v>953</v>
      </c>
      <c r="G1306" s="225" t="n">
        <v>2600900</v>
      </c>
      <c r="H1306" s="225" t="n">
        <v>2673920</v>
      </c>
      <c r="I1306" s="225" t="n">
        <v>0</v>
      </c>
      <c r="J1306" s="198" t="n">
        <v>35</v>
      </c>
      <c r="K1306" s="198" t="n">
        <v>2</v>
      </c>
      <c r="L1306" s="226" t="n">
        <v>44491</v>
      </c>
      <c r="M1306" s="226" t="n">
        <v>41957</v>
      </c>
      <c r="N1306" s="227" t="n">
        <v>1</v>
      </c>
      <c r="O1306" s="227" t="s">
        <v>135</v>
      </c>
      <c r="P1306" s="228" t="n">
        <f aca="false">VLOOKUP(B1306,'NIVEL ENERO'!A:D,3,0)</f>
        <v>0.13327888016306</v>
      </c>
      <c r="Q1306" s="229" t="n">
        <f aca="false">VLOOKUP(B1306,'NIVEL ENERO'!A:D,4,0)</f>
        <v>956559</v>
      </c>
      <c r="R1306" s="186" t="str">
        <f aca="false">+PROPER(C1306&amp;" "&amp;D1306)</f>
        <v>Pedroza Alegria Leidy Viviana</v>
      </c>
      <c r="S1306" s="230" t="n">
        <f aca="false">+YEARFRAC(L1306,$S$1)</f>
        <v>4.55555555555556</v>
      </c>
      <c r="T1306" s="230" t="n">
        <f aca="false">+YEARFRAC(M1306,$S$1)</f>
        <v>11.4944444444444</v>
      </c>
      <c r="U1306" s="231" t="n">
        <f aca="false">+$I1306</f>
        <v>0</v>
      </c>
      <c r="V1306" s="232" t="str">
        <f aca="false">+PROPER(F1306)</f>
        <v>Soltero(A)</v>
      </c>
    </row>
    <row r="1307" customFormat="false" ht="14.25" hidden="false" customHeight="false" outlineLevel="0" collapsed="false">
      <c r="B1307" s="197" t="n">
        <v>1143827561</v>
      </c>
      <c r="C1307" s="197" t="s">
        <v>3226</v>
      </c>
      <c r="D1307" s="197" t="s">
        <v>3227</v>
      </c>
      <c r="E1307" s="198" t="s">
        <v>944</v>
      </c>
      <c r="F1307" s="198" t="s">
        <v>953</v>
      </c>
      <c r="G1307" s="225" t="n">
        <v>2600900</v>
      </c>
      <c r="H1307" s="225" t="n">
        <v>1860209</v>
      </c>
      <c r="I1307" s="225" t="n">
        <v>82914</v>
      </c>
      <c r="J1307" s="198" t="n">
        <v>35</v>
      </c>
      <c r="K1307" s="198" t="n">
        <v>2</v>
      </c>
      <c r="L1307" s="226" t="n">
        <v>44701</v>
      </c>
      <c r="M1307" s="226" t="n">
        <v>44231</v>
      </c>
      <c r="N1307" s="227" t="n">
        <v>2</v>
      </c>
      <c r="O1307" s="227" t="s">
        <v>135</v>
      </c>
      <c r="P1307" s="228" t="n">
        <f aca="false">VLOOKUP(B1307,'NIVEL ENERO'!A:D,3,0)</f>
        <v>0.316238280309325</v>
      </c>
      <c r="Q1307" s="229" t="n">
        <f aca="false">VLOOKUP(B1307,'NIVEL ENERO'!A:D,4,0)</f>
        <v>325315.3</v>
      </c>
      <c r="R1307" s="186" t="str">
        <f aca="false">+PROPER(C1307&amp;" "&amp;D1307)</f>
        <v>Duran Urbano Dayanna Consuelo</v>
      </c>
      <c r="S1307" s="230" t="n">
        <f aca="false">+YEARFRAC(L1307,$S$1)</f>
        <v>3.97777777777778</v>
      </c>
      <c r="T1307" s="230" t="n">
        <f aca="false">+YEARFRAC(M1307,$S$1)</f>
        <v>5.27222222222222</v>
      </c>
      <c r="U1307" s="231" t="n">
        <f aca="false">+$I1307</f>
        <v>82914</v>
      </c>
      <c r="V1307" s="232" t="str">
        <f aca="false">+PROPER(F1307)</f>
        <v>Soltero(A)</v>
      </c>
    </row>
    <row r="1308" customFormat="false" ht="14.25" hidden="false" customHeight="false" outlineLevel="0" collapsed="false">
      <c r="B1308" s="197" t="n">
        <v>1143827788</v>
      </c>
      <c r="C1308" s="197" t="s">
        <v>3228</v>
      </c>
      <c r="D1308" s="197" t="s">
        <v>1460</v>
      </c>
      <c r="E1308" s="198" t="s">
        <v>944</v>
      </c>
      <c r="F1308" s="198" t="s">
        <v>953</v>
      </c>
      <c r="G1308" s="225" t="n">
        <v>2318500</v>
      </c>
      <c r="H1308" s="225" t="n">
        <v>3831966</v>
      </c>
      <c r="I1308" s="225" t="n">
        <v>21741953</v>
      </c>
      <c r="J1308" s="198" t="n">
        <v>35</v>
      </c>
      <c r="K1308" s="198" t="n">
        <v>2</v>
      </c>
      <c r="L1308" s="226" t="n">
        <v>44819</v>
      </c>
      <c r="M1308" s="226" t="n">
        <v>43325</v>
      </c>
      <c r="N1308" s="227" t="n">
        <v>3</v>
      </c>
      <c r="O1308" s="227" t="s">
        <v>153</v>
      </c>
      <c r="P1308" s="228" t="e">
        <f aca="false">VLOOKUP(B1308,'NIVEL ENERO'!A:D,3,0)</f>
        <v>#N/A</v>
      </c>
      <c r="Q1308" s="229" t="e">
        <f aca="false">VLOOKUP(B1308,'NIVEL ENERO'!A:D,4,0)</f>
        <v>#N/A</v>
      </c>
      <c r="R1308" s="186" t="str">
        <f aca="false">+PROPER(C1308&amp;" "&amp;D1308)</f>
        <v>Martinez Munoz Diana Lorena</v>
      </c>
      <c r="S1308" s="230" t="n">
        <f aca="false">+YEARFRAC(L1308,$S$1)</f>
        <v>3.65833333333333</v>
      </c>
      <c r="T1308" s="230" t="n">
        <f aca="false">+YEARFRAC(M1308,$S$1)</f>
        <v>7.74722222222222</v>
      </c>
      <c r="U1308" s="231" t="n">
        <f aca="false">+$I1308</f>
        <v>21741953</v>
      </c>
      <c r="V1308" s="232" t="str">
        <f aca="false">+PROPER(F1308)</f>
        <v>Soltero(A)</v>
      </c>
    </row>
    <row r="1309" customFormat="false" ht="14.25" hidden="false" customHeight="false" outlineLevel="0" collapsed="false">
      <c r="B1309" s="197" t="n">
        <v>1143828047</v>
      </c>
      <c r="C1309" s="197" t="s">
        <v>3229</v>
      </c>
      <c r="D1309" s="197" t="s">
        <v>3230</v>
      </c>
      <c r="E1309" s="198" t="s">
        <v>944</v>
      </c>
      <c r="F1309" s="198" t="s">
        <v>953</v>
      </c>
      <c r="G1309" s="225" t="n">
        <v>6000000</v>
      </c>
      <c r="H1309" s="225" t="n">
        <v>900000</v>
      </c>
      <c r="I1309" s="225"/>
      <c r="J1309" s="198" t="n">
        <v>35</v>
      </c>
      <c r="K1309" s="198" t="n">
        <v>3</v>
      </c>
      <c r="L1309" s="226" t="n">
        <v>45383</v>
      </c>
      <c r="M1309" s="226" t="n">
        <v>44734</v>
      </c>
      <c r="N1309" s="227" t="n">
        <v>0</v>
      </c>
      <c r="O1309" s="227" t="s">
        <v>158</v>
      </c>
      <c r="P1309" s="228" t="e">
        <f aca="false">VLOOKUP(B1309,'NIVEL ENERO'!A:D,3,0)</f>
        <v>#N/A</v>
      </c>
      <c r="Q1309" s="229" t="e">
        <f aca="false">VLOOKUP(B1309,'NIVEL ENERO'!A:D,4,0)</f>
        <v>#N/A</v>
      </c>
      <c r="R1309" s="186" t="str">
        <f aca="false">+PROPER(C1309&amp;" "&amp;D1309)</f>
        <v>Noguera Quinones Maria Isabella</v>
      </c>
      <c r="S1309" s="230" t="n">
        <f aca="false">+YEARFRAC(L1309,$S$1)</f>
        <v>2.11388888888889</v>
      </c>
      <c r="T1309" s="230" t="n">
        <f aca="false">+YEARFRAC(M1309,$S$1)</f>
        <v>3.88888888888889</v>
      </c>
      <c r="U1309" s="231" t="n">
        <f aca="false">+$I1309</f>
        <v>0</v>
      </c>
      <c r="V1309" s="232" t="str">
        <f aca="false">+PROPER(F1309)</f>
        <v>Soltero(A)</v>
      </c>
    </row>
    <row r="1310" customFormat="false" ht="14.25" hidden="false" customHeight="false" outlineLevel="0" collapsed="false">
      <c r="B1310" s="197" t="n">
        <v>1143828327</v>
      </c>
      <c r="C1310" s="197" t="s">
        <v>3231</v>
      </c>
      <c r="D1310" s="197" t="s">
        <v>3232</v>
      </c>
      <c r="E1310" s="198" t="s">
        <v>944</v>
      </c>
      <c r="F1310" s="198" t="s">
        <v>953</v>
      </c>
      <c r="G1310" s="225" t="n">
        <v>2893800</v>
      </c>
      <c r="H1310" s="225" t="n">
        <v>1708686</v>
      </c>
      <c r="I1310" s="225" t="n">
        <v>0</v>
      </c>
      <c r="J1310" s="198" t="n">
        <v>35</v>
      </c>
      <c r="K1310" s="198" t="n">
        <v>2</v>
      </c>
      <c r="L1310" s="226" t="n">
        <v>44790</v>
      </c>
      <c r="M1310" s="226" t="n">
        <v>40925</v>
      </c>
      <c r="N1310" s="227" t="n">
        <v>3</v>
      </c>
      <c r="O1310" s="227" t="s">
        <v>135</v>
      </c>
      <c r="P1310" s="228" t="n">
        <f aca="false">VLOOKUP(B1310,'NIVEL ENERO'!A:D,3,0)</f>
        <v>0.282476302256482</v>
      </c>
      <c r="Q1310" s="229" t="n">
        <f aca="false">VLOOKUP(B1310,'NIVEL ENERO'!A:D,4,0)</f>
        <v>549769.96</v>
      </c>
      <c r="R1310" s="186" t="str">
        <f aca="false">+PROPER(C1310&amp;" "&amp;D1310)</f>
        <v>Soto Realpe Rosemberg</v>
      </c>
      <c r="S1310" s="230" t="n">
        <f aca="false">+YEARFRAC(L1310,$S$1)</f>
        <v>3.73611111111111</v>
      </c>
      <c r="T1310" s="230" t="n">
        <f aca="false">+YEARFRAC(M1310,$S$1)</f>
        <v>14.3194444444444</v>
      </c>
      <c r="U1310" s="231" t="n">
        <f aca="false">+$I1310</f>
        <v>0</v>
      </c>
      <c r="V1310" s="232" t="str">
        <f aca="false">+PROPER(F1310)</f>
        <v>Soltero(A)</v>
      </c>
    </row>
    <row r="1311" customFormat="false" ht="14.25" hidden="false" customHeight="false" outlineLevel="0" collapsed="false">
      <c r="B1311" s="197" t="n">
        <v>1143828982</v>
      </c>
      <c r="C1311" s="197" t="s">
        <v>3233</v>
      </c>
      <c r="D1311" s="197" t="s">
        <v>3234</v>
      </c>
      <c r="E1311" s="198" t="s">
        <v>944</v>
      </c>
      <c r="F1311" s="198" t="s">
        <v>953</v>
      </c>
      <c r="G1311" s="225" t="n">
        <v>6225200</v>
      </c>
      <c r="H1311" s="225" t="n">
        <v>2744630</v>
      </c>
      <c r="I1311" s="225" t="n">
        <v>15238661</v>
      </c>
      <c r="J1311" s="198" t="n">
        <v>35</v>
      </c>
      <c r="K1311" s="198" t="n">
        <v>2</v>
      </c>
      <c r="L1311" s="226" t="n">
        <v>44454</v>
      </c>
      <c r="M1311" s="226" t="n">
        <v>40527</v>
      </c>
      <c r="N1311" s="227" t="n">
        <v>2</v>
      </c>
      <c r="O1311" s="227" t="s">
        <v>135</v>
      </c>
      <c r="P1311" s="228" t="n">
        <f aca="false">VLOOKUP(B1311,'NIVEL ENERO'!A:D,3,0)</f>
        <v>0.469584752297115</v>
      </c>
      <c r="Q1311" s="229" t="n">
        <f aca="false">VLOOKUP(B1311,'NIVEL ENERO'!A:D,4,0)</f>
        <v>-308675</v>
      </c>
      <c r="R1311" s="186" t="str">
        <f aca="false">+PROPER(C1311&amp;" "&amp;D1311)</f>
        <v>Cano Mina Natalia Eugenia</v>
      </c>
      <c r="S1311" s="230" t="n">
        <f aca="false">+YEARFRAC(L1311,$S$1)</f>
        <v>4.65833333333333</v>
      </c>
      <c r="T1311" s="230" t="n">
        <f aca="false">+YEARFRAC(M1311,$S$1)</f>
        <v>15.4083333333333</v>
      </c>
      <c r="U1311" s="231" t="n">
        <f aca="false">+$I1311</f>
        <v>15238661</v>
      </c>
      <c r="V1311" s="232" t="str">
        <f aca="false">+PROPER(F1311)</f>
        <v>Soltero(A)</v>
      </c>
    </row>
    <row r="1312" customFormat="false" ht="14.25" hidden="false" customHeight="false" outlineLevel="0" collapsed="false">
      <c r="B1312" s="197" t="n">
        <v>1143830119</v>
      </c>
      <c r="C1312" s="197" t="s">
        <v>3235</v>
      </c>
      <c r="D1312" s="197" t="s">
        <v>1776</v>
      </c>
      <c r="E1312" s="198" t="s">
        <v>944</v>
      </c>
      <c r="F1312" s="198" t="s">
        <v>953</v>
      </c>
      <c r="G1312" s="225" t="n">
        <v>2600900</v>
      </c>
      <c r="H1312" s="225" t="n">
        <v>2809735</v>
      </c>
      <c r="I1312" s="225" t="n">
        <v>5100583</v>
      </c>
      <c r="J1312" s="198" t="n">
        <v>35</v>
      </c>
      <c r="K1312" s="198" t="n">
        <v>2</v>
      </c>
      <c r="L1312" s="226" t="n">
        <v>44819</v>
      </c>
      <c r="M1312" s="226" t="n">
        <v>42434</v>
      </c>
      <c r="N1312" s="227" t="n">
        <v>3</v>
      </c>
      <c r="O1312" s="227" t="s">
        <v>135</v>
      </c>
      <c r="P1312" s="228" t="n">
        <f aca="false">VLOOKUP(B1312,'NIVEL ENERO'!A:D,3,0)</f>
        <v>0.231702742657929</v>
      </c>
      <c r="Q1312" s="229" t="n">
        <f aca="false">VLOOKUP(B1312,'NIVEL ENERO'!A:D,4,0)</f>
        <v>640036.5</v>
      </c>
      <c r="R1312" s="186" t="str">
        <f aca="false">+PROPER(C1312&amp;" "&amp;D1312)</f>
        <v>Tigreros Perez Yaneth</v>
      </c>
      <c r="S1312" s="230" t="n">
        <f aca="false">+YEARFRAC(L1312,$S$1)</f>
        <v>3.65833333333333</v>
      </c>
      <c r="T1312" s="230" t="n">
        <f aca="false">+YEARFRAC(M1312,$S$1)</f>
        <v>10.1861111111111</v>
      </c>
      <c r="U1312" s="231" t="n">
        <f aca="false">+$I1312</f>
        <v>5100583</v>
      </c>
      <c r="V1312" s="232" t="str">
        <f aca="false">+PROPER(F1312)</f>
        <v>Soltero(A)</v>
      </c>
    </row>
    <row r="1313" customFormat="false" ht="14.25" hidden="false" customHeight="false" outlineLevel="0" collapsed="false">
      <c r="B1313" s="197" t="n">
        <v>1143830949</v>
      </c>
      <c r="C1313" s="197" t="s">
        <v>3236</v>
      </c>
      <c r="D1313" s="197" t="s">
        <v>3237</v>
      </c>
      <c r="E1313" s="198" t="s">
        <v>944</v>
      </c>
      <c r="F1313" s="198" t="s">
        <v>953</v>
      </c>
      <c r="G1313" s="225" t="n">
        <v>2893800</v>
      </c>
      <c r="H1313" s="225" t="n">
        <v>3011765</v>
      </c>
      <c r="I1313" s="225" t="n">
        <v>10892524</v>
      </c>
      <c r="J1313" s="198" t="n">
        <v>34</v>
      </c>
      <c r="K1313" s="198" t="n">
        <v>4</v>
      </c>
      <c r="L1313" s="226" t="n">
        <v>44701</v>
      </c>
      <c r="M1313" s="226" t="n">
        <v>40920</v>
      </c>
      <c r="N1313" s="227" t="n">
        <v>2</v>
      </c>
      <c r="O1313" s="227" t="s">
        <v>135</v>
      </c>
      <c r="P1313" s="228" t="n">
        <f aca="false">VLOOKUP(B1313,'NIVEL ENERO'!A:D,3,0)</f>
        <v>0.44875844503971</v>
      </c>
      <c r="Q1313" s="229" t="n">
        <f aca="false">VLOOKUP(B1313,'NIVEL ENERO'!A:D,4,0)</f>
        <v>-91663.9200000002</v>
      </c>
      <c r="R1313" s="186" t="str">
        <f aca="false">+PROPER(C1313&amp;" "&amp;D1313)</f>
        <v>Motta Realpe Lizeth Paola</v>
      </c>
      <c r="S1313" s="230" t="n">
        <f aca="false">+YEARFRAC(L1313,$S$1)</f>
        <v>3.97777777777778</v>
      </c>
      <c r="T1313" s="230" t="n">
        <f aca="false">+YEARFRAC(M1313,$S$1)</f>
        <v>14.3333333333333</v>
      </c>
      <c r="U1313" s="231" t="n">
        <f aca="false">+$I1313</f>
        <v>10892524</v>
      </c>
      <c r="V1313" s="232" t="str">
        <f aca="false">+PROPER(F1313)</f>
        <v>Soltero(A)</v>
      </c>
    </row>
    <row r="1314" customFormat="false" ht="14.25" hidden="false" customHeight="false" outlineLevel="0" collapsed="false">
      <c r="B1314" s="197" t="n">
        <v>1143831754</v>
      </c>
      <c r="C1314" s="197" t="s">
        <v>3238</v>
      </c>
      <c r="D1314" s="197" t="s">
        <v>1641</v>
      </c>
      <c r="E1314" s="198" t="s">
        <v>944</v>
      </c>
      <c r="F1314" s="198" t="s">
        <v>945</v>
      </c>
      <c r="G1314" s="225" t="n">
        <v>1625000</v>
      </c>
      <c r="H1314" s="225" t="n">
        <v>1000000</v>
      </c>
      <c r="I1314" s="225"/>
      <c r="J1314" s="198" t="n">
        <v>34</v>
      </c>
      <c r="K1314" s="198" t="n">
        <v>4</v>
      </c>
      <c r="L1314" s="226" t="n">
        <v>45365</v>
      </c>
      <c r="M1314" s="226" t="n">
        <v>45141</v>
      </c>
      <c r="N1314" s="227" t="n">
        <v>0</v>
      </c>
      <c r="O1314" s="227" t="s">
        <v>135</v>
      </c>
      <c r="P1314" s="228" t="n">
        <f aca="false">VLOOKUP(B1314,'NIVEL ENERO'!A:D,3,0)</f>
        <v>0.400826547692308</v>
      </c>
      <c r="Q1314" s="229" t="n">
        <f aca="false">VLOOKUP(B1314,'NIVEL ENERO'!A:D,4,0)</f>
        <v>74183</v>
      </c>
      <c r="R1314" s="186" t="str">
        <f aca="false">+PROPER(C1314&amp;" "&amp;D1314)</f>
        <v>Gutierrez Ijaji Diana Fernanda</v>
      </c>
      <c r="S1314" s="230" t="n">
        <f aca="false">+YEARFRAC(L1314,$S$1)</f>
        <v>2.16111111111111</v>
      </c>
      <c r="T1314" s="230" t="n">
        <f aca="false">+YEARFRAC(M1314,$S$1)</f>
        <v>2.775</v>
      </c>
      <c r="U1314" s="231" t="n">
        <f aca="false">+$I1314</f>
        <v>0</v>
      </c>
      <c r="V1314" s="232" t="str">
        <f aca="false">+PROPER(F1314)</f>
        <v>Union Libre</v>
      </c>
    </row>
    <row r="1315" customFormat="false" ht="14.25" hidden="false" customHeight="false" outlineLevel="0" collapsed="false">
      <c r="B1315" s="197" t="n">
        <v>1143832224</v>
      </c>
      <c r="C1315" s="197" t="s">
        <v>3239</v>
      </c>
      <c r="D1315" s="197" t="s">
        <v>3240</v>
      </c>
      <c r="E1315" s="198" t="s">
        <v>944</v>
      </c>
      <c r="F1315" s="198" t="s">
        <v>953</v>
      </c>
      <c r="G1315" s="225" t="n">
        <v>1580000</v>
      </c>
      <c r="H1315" s="225" t="n">
        <v>773000</v>
      </c>
      <c r="I1315" s="225" t="n">
        <v>0</v>
      </c>
      <c r="J1315" s="198" t="n">
        <v>34</v>
      </c>
      <c r="K1315" s="198" t="n">
        <v>4</v>
      </c>
      <c r="L1315" s="226" t="n">
        <v>45303</v>
      </c>
      <c r="M1315" s="226" t="n">
        <v>44991</v>
      </c>
      <c r="N1315" s="227" t="n">
        <v>0</v>
      </c>
      <c r="O1315" s="227" t="s">
        <v>135</v>
      </c>
      <c r="P1315" s="228" t="n">
        <f aca="false">VLOOKUP(B1315,'NIVEL ENERO'!A:D,3,0)</f>
        <v>0.130196174482774</v>
      </c>
      <c r="Q1315" s="229" t="n">
        <f aca="false">VLOOKUP(B1315,'NIVEL ENERO'!A:D,4,0)</f>
        <v>643663.86</v>
      </c>
      <c r="R1315" s="186" t="str">
        <f aca="false">+PROPER(C1315&amp;" "&amp;D1315)</f>
        <v>Arboleda Preciado Lina Fernanda</v>
      </c>
      <c r="S1315" s="230" t="n">
        <f aca="false">+YEARFRAC(L1315,$S$1)</f>
        <v>2.33333333333333</v>
      </c>
      <c r="T1315" s="230" t="n">
        <f aca="false">+YEARFRAC(M1315,$S$1)</f>
        <v>3.18333333333333</v>
      </c>
      <c r="U1315" s="231" t="n">
        <f aca="false">+$I1315</f>
        <v>0</v>
      </c>
      <c r="V1315" s="232" t="str">
        <f aca="false">+PROPER(F1315)</f>
        <v>Soltero(A)</v>
      </c>
    </row>
    <row r="1316" customFormat="false" ht="14.25" hidden="false" customHeight="false" outlineLevel="0" collapsed="false">
      <c r="B1316" s="197" t="n">
        <v>1143832776</v>
      </c>
      <c r="C1316" s="197" t="s">
        <v>3241</v>
      </c>
      <c r="D1316" s="197" t="s">
        <v>2754</v>
      </c>
      <c r="E1316" s="198" t="s">
        <v>944</v>
      </c>
      <c r="F1316" s="198" t="s">
        <v>945</v>
      </c>
      <c r="G1316" s="225" t="n">
        <v>1625000</v>
      </c>
      <c r="H1316" s="225" t="n">
        <v>2415791</v>
      </c>
      <c r="I1316" s="225" t="n">
        <v>0</v>
      </c>
      <c r="J1316" s="198" t="n">
        <v>34</v>
      </c>
      <c r="K1316" s="198" t="n">
        <v>2</v>
      </c>
      <c r="L1316" s="226" t="n">
        <v>44305</v>
      </c>
      <c r="M1316" s="226" t="n">
        <v>43972</v>
      </c>
      <c r="N1316" s="227" t="n">
        <v>3</v>
      </c>
      <c r="O1316" s="227" t="s">
        <v>135</v>
      </c>
      <c r="P1316" s="228" t="n">
        <f aca="false">VLOOKUP(B1316,'NIVEL ENERO'!A:D,3,0)</f>
        <v>0.275076467236467</v>
      </c>
      <c r="Q1316" s="229" t="n">
        <f aca="false">VLOOKUP(B1316,'NIVEL ENERO'!A:D,4,0)</f>
        <v>317926</v>
      </c>
      <c r="R1316" s="186" t="str">
        <f aca="false">+PROPER(C1316&amp;" "&amp;D1316)</f>
        <v>Castano Chavez Leidy Johana</v>
      </c>
      <c r="S1316" s="230" t="n">
        <f aca="false">+YEARFRAC(L1316,$S$1)</f>
        <v>5.06388888888889</v>
      </c>
      <c r="T1316" s="230" t="n">
        <f aca="false">+YEARFRAC(M1316,$S$1)</f>
        <v>5.975</v>
      </c>
      <c r="U1316" s="231" t="n">
        <f aca="false">+$I1316</f>
        <v>0</v>
      </c>
      <c r="V1316" s="232" t="str">
        <f aca="false">+PROPER(F1316)</f>
        <v>Union Libre</v>
      </c>
    </row>
    <row r="1317" customFormat="false" ht="14.25" hidden="false" customHeight="false" outlineLevel="0" collapsed="false">
      <c r="B1317" s="197" t="n">
        <v>1143833902</v>
      </c>
      <c r="C1317" s="197" t="s">
        <v>3242</v>
      </c>
      <c r="D1317" s="197" t="s">
        <v>2649</v>
      </c>
      <c r="E1317" s="198" t="s">
        <v>944</v>
      </c>
      <c r="F1317" s="198" t="s">
        <v>953</v>
      </c>
      <c r="G1317" s="225" t="n">
        <v>4469100</v>
      </c>
      <c r="H1317" s="225" t="n">
        <v>100000</v>
      </c>
      <c r="I1317" s="225"/>
      <c r="J1317" s="198" t="n">
        <v>34</v>
      </c>
      <c r="K1317" s="198" t="n">
        <v>4</v>
      </c>
      <c r="L1317" s="226" t="n">
        <v>45642</v>
      </c>
      <c r="M1317" s="226" t="n">
        <v>41953</v>
      </c>
      <c r="N1317" s="227" t="n">
        <v>0</v>
      </c>
      <c r="O1317" s="227" t="s">
        <v>135</v>
      </c>
      <c r="P1317" s="228" t="e">
        <f aca="false">VLOOKUP(B1317,'NIVEL ENERO'!A:D,3,0)</f>
        <v>#N/A</v>
      </c>
      <c r="Q1317" s="229" t="e">
        <f aca="false">VLOOKUP(B1317,'NIVEL ENERO'!A:D,4,0)</f>
        <v>#N/A</v>
      </c>
      <c r="R1317" s="186" t="str">
        <f aca="false">+PROPER(C1317&amp;" "&amp;D1317)</f>
        <v>Collazos Fierro Maria Del Mar</v>
      </c>
      <c r="S1317" s="230" t="n">
        <f aca="false">+YEARFRAC(L1317,$S$1)</f>
        <v>1.40555555555556</v>
      </c>
      <c r="T1317" s="230" t="n">
        <f aca="false">+YEARFRAC(M1317,$S$1)</f>
        <v>11.5055555555556</v>
      </c>
      <c r="U1317" s="231" t="n">
        <f aca="false">+$I1317</f>
        <v>0</v>
      </c>
      <c r="V1317" s="232" t="str">
        <f aca="false">+PROPER(F1317)</f>
        <v>Soltero(A)</v>
      </c>
    </row>
    <row r="1318" customFormat="false" ht="14.25" hidden="false" customHeight="false" outlineLevel="0" collapsed="false">
      <c r="B1318" s="197" t="n">
        <v>1143833980</v>
      </c>
      <c r="C1318" s="197" t="s">
        <v>3243</v>
      </c>
      <c r="D1318" s="197" t="s">
        <v>3244</v>
      </c>
      <c r="E1318" s="198" t="s">
        <v>944</v>
      </c>
      <c r="F1318" s="198" t="s">
        <v>953</v>
      </c>
      <c r="G1318" s="225" t="n">
        <v>2893800</v>
      </c>
      <c r="H1318" s="225" t="n">
        <v>4180477</v>
      </c>
      <c r="I1318" s="225" t="n">
        <v>712893</v>
      </c>
      <c r="J1318" s="198" t="n">
        <v>34</v>
      </c>
      <c r="K1318" s="198" t="n">
        <v>4</v>
      </c>
      <c r="L1318" s="226" t="n">
        <v>44246</v>
      </c>
      <c r="M1318" s="226" t="n">
        <v>44181</v>
      </c>
      <c r="N1318" s="227" t="n">
        <v>2</v>
      </c>
      <c r="O1318" s="227" t="s">
        <v>135</v>
      </c>
      <c r="P1318" s="228" t="n">
        <f aca="false">VLOOKUP(B1318,'NIVEL ENERO'!A:D,3,0)</f>
        <v>0.158934121661998</v>
      </c>
      <c r="Q1318" s="229" t="n">
        <f aca="false">VLOOKUP(B1318,'NIVEL ENERO'!A:D,4,0)</f>
        <v>1015745.46</v>
      </c>
      <c r="R1318" s="186" t="str">
        <f aca="false">+PROPER(C1318&amp;" "&amp;D1318)</f>
        <v>Rodriguez Calderon Jasson Steven</v>
      </c>
      <c r="S1318" s="230" t="n">
        <f aca="false">+YEARFRAC(L1318,$S$1)</f>
        <v>5.23055555555556</v>
      </c>
      <c r="T1318" s="230" t="n">
        <f aca="false">+YEARFRAC(M1318,$S$1)</f>
        <v>5.40555555555556</v>
      </c>
      <c r="U1318" s="231" t="n">
        <f aca="false">+$I1318</f>
        <v>712893</v>
      </c>
      <c r="V1318" s="232" t="str">
        <f aca="false">+PROPER(F1318)</f>
        <v>Soltero(A)</v>
      </c>
    </row>
    <row r="1319" customFormat="false" ht="14.25" hidden="false" customHeight="false" outlineLevel="0" collapsed="false">
      <c r="B1319" s="197" t="n">
        <v>1143834819</v>
      </c>
      <c r="C1319" s="197" t="s">
        <v>3245</v>
      </c>
      <c r="D1319" s="197" t="s">
        <v>3246</v>
      </c>
      <c r="E1319" s="198" t="s">
        <v>944</v>
      </c>
      <c r="F1319" s="198" t="s">
        <v>953</v>
      </c>
      <c r="G1319" s="225" t="n">
        <v>5842800</v>
      </c>
      <c r="H1319" s="225" t="n">
        <v>658100</v>
      </c>
      <c r="I1319" s="225" t="n">
        <v>0</v>
      </c>
      <c r="J1319" s="198" t="n">
        <v>34</v>
      </c>
      <c r="K1319" s="198" t="n">
        <v>4</v>
      </c>
      <c r="L1319" s="226" t="n">
        <v>45369</v>
      </c>
      <c r="M1319" s="226" t="n">
        <v>44105</v>
      </c>
      <c r="N1319" s="227" t="n">
        <v>2</v>
      </c>
      <c r="O1319" s="227" t="s">
        <v>135</v>
      </c>
      <c r="P1319" s="228" t="n">
        <f aca="false">VLOOKUP(B1319,'NIVEL ENERO'!A:D,3,0)</f>
        <v>0.40184209625522</v>
      </c>
      <c r="Q1319" s="229" t="n">
        <f aca="false">VLOOKUP(B1319,'NIVEL ENERO'!A:D,4,0)</f>
        <v>106093</v>
      </c>
      <c r="R1319" s="186" t="str">
        <f aca="false">+PROPER(C1319&amp;" "&amp;D1319)</f>
        <v>Rodriguez Noguera Stephanie</v>
      </c>
      <c r="S1319" s="230" t="n">
        <f aca="false">+YEARFRAC(L1319,$S$1)</f>
        <v>2.15</v>
      </c>
      <c r="T1319" s="230" t="n">
        <f aca="false">+YEARFRAC(M1319,$S$1)</f>
        <v>5.61388888888889</v>
      </c>
      <c r="U1319" s="231" t="n">
        <f aca="false">+$I1319</f>
        <v>0</v>
      </c>
      <c r="V1319" s="232" t="str">
        <f aca="false">+PROPER(F1319)</f>
        <v>Soltero(A)</v>
      </c>
    </row>
    <row r="1320" customFormat="false" ht="14.25" hidden="false" customHeight="false" outlineLevel="0" collapsed="false">
      <c r="B1320" s="197" t="n">
        <v>1143835632</v>
      </c>
      <c r="C1320" s="197" t="s">
        <v>3247</v>
      </c>
      <c r="D1320" s="197" t="s">
        <v>3209</v>
      </c>
      <c r="E1320" s="198" t="s">
        <v>944</v>
      </c>
      <c r="F1320" s="198" t="s">
        <v>948</v>
      </c>
      <c r="G1320" s="225" t="n">
        <v>9087800</v>
      </c>
      <c r="H1320" s="225" t="n">
        <v>2236994</v>
      </c>
      <c r="I1320" s="225" t="n">
        <v>15258751</v>
      </c>
      <c r="J1320" s="198" t="n">
        <v>33</v>
      </c>
      <c r="K1320" s="198" t="n">
        <v>1</v>
      </c>
      <c r="L1320" s="226" t="n">
        <v>44399</v>
      </c>
      <c r="M1320" s="226" t="n">
        <v>44090</v>
      </c>
      <c r="N1320" s="227" t="n">
        <v>1</v>
      </c>
      <c r="O1320" s="227" t="s">
        <v>135</v>
      </c>
      <c r="P1320" s="228" t="n">
        <f aca="false">VLOOKUP(B1320,'NIVEL ENERO'!A:D,3,0)</f>
        <v>0.298949800831885</v>
      </c>
      <c r="Q1320" s="229" t="n">
        <f aca="false">VLOOKUP(B1320,'NIVEL ENERO'!A:D,4,0)</f>
        <v>1100080</v>
      </c>
      <c r="R1320" s="186" t="str">
        <f aca="false">+PROPER(C1320&amp;" "&amp;D1320)</f>
        <v>Valencia Borja Andrea</v>
      </c>
      <c r="S1320" s="230" t="n">
        <f aca="false">+YEARFRAC(L1320,$S$1)</f>
        <v>4.80555555555556</v>
      </c>
      <c r="T1320" s="230" t="n">
        <f aca="false">+YEARFRAC(M1320,$S$1)</f>
        <v>5.65555555555556</v>
      </c>
      <c r="U1320" s="231" t="n">
        <f aca="false">+$I1320</f>
        <v>15258751</v>
      </c>
      <c r="V1320" s="232" t="str">
        <f aca="false">+PROPER(F1320)</f>
        <v>Casado(A)</v>
      </c>
    </row>
    <row r="1321" customFormat="false" ht="14.25" hidden="false" customHeight="false" outlineLevel="0" collapsed="false">
      <c r="B1321" s="197" t="n">
        <v>1143836074</v>
      </c>
      <c r="C1321" s="197" t="s">
        <v>3248</v>
      </c>
      <c r="D1321" s="197" t="s">
        <v>2004</v>
      </c>
      <c r="E1321" s="198" t="s">
        <v>944</v>
      </c>
      <c r="F1321" s="198" t="s">
        <v>945</v>
      </c>
      <c r="G1321" s="225" t="n">
        <v>4870200</v>
      </c>
      <c r="H1321" s="225" t="n">
        <v>11747537</v>
      </c>
      <c r="I1321" s="225" t="n">
        <v>13722853</v>
      </c>
      <c r="J1321" s="198" t="n">
        <v>33</v>
      </c>
      <c r="K1321" s="198" t="n">
        <v>4</v>
      </c>
      <c r="L1321" s="226" t="n">
        <v>43207</v>
      </c>
      <c r="M1321" s="226" t="n">
        <v>42319</v>
      </c>
      <c r="N1321" s="227" t="n">
        <v>3</v>
      </c>
      <c r="O1321" s="227" t="s">
        <v>135</v>
      </c>
      <c r="P1321" s="228" t="n">
        <f aca="false">VLOOKUP(B1321,'NIVEL ENERO'!A:D,3,0)</f>
        <v>0.408373827376246</v>
      </c>
      <c r="Q1321" s="229" t="n">
        <f aca="false">VLOOKUP(B1321,'NIVEL ENERO'!A:D,4,0)</f>
        <v>68362.8599999999</v>
      </c>
      <c r="R1321" s="186" t="str">
        <f aca="false">+PROPER(C1321&amp;" "&amp;D1321)</f>
        <v>Rojas Morales Laura Maria</v>
      </c>
      <c r="S1321" s="230" t="n">
        <f aca="false">+YEARFRAC(L1321,$S$1)</f>
        <v>8.06944444444445</v>
      </c>
      <c r="T1321" s="230" t="n">
        <f aca="false">+YEARFRAC(M1321,$S$1)</f>
        <v>10.5027777777778</v>
      </c>
      <c r="U1321" s="231" t="n">
        <f aca="false">+$I1321</f>
        <v>13722853</v>
      </c>
      <c r="V1321" s="232" t="str">
        <f aca="false">+PROPER(F1321)</f>
        <v>Union Libre</v>
      </c>
    </row>
    <row r="1322" customFormat="false" ht="14.25" hidden="false" customHeight="false" outlineLevel="0" collapsed="false">
      <c r="B1322" s="197" t="n">
        <v>1143836437</v>
      </c>
      <c r="C1322" s="197" t="s">
        <v>3249</v>
      </c>
      <c r="D1322" s="197" t="s">
        <v>3250</v>
      </c>
      <c r="E1322" s="198" t="s">
        <v>944</v>
      </c>
      <c r="F1322" s="198" t="s">
        <v>953</v>
      </c>
      <c r="G1322" s="225" t="n">
        <v>2600900</v>
      </c>
      <c r="H1322" s="225" t="n">
        <v>6655959</v>
      </c>
      <c r="I1322" s="225" t="n">
        <v>36275029</v>
      </c>
      <c r="J1322" s="198" t="n">
        <v>33</v>
      </c>
      <c r="K1322" s="198" t="n">
        <v>2</v>
      </c>
      <c r="L1322" s="226" t="n">
        <v>42293</v>
      </c>
      <c r="M1322" s="226" t="n">
        <v>42107</v>
      </c>
      <c r="N1322" s="227" t="n">
        <v>1</v>
      </c>
      <c r="O1322" s="227" t="s">
        <v>135</v>
      </c>
      <c r="P1322" s="228" t="n">
        <f aca="false">VLOOKUP(B1322,'NIVEL ENERO'!A:D,3,0)</f>
        <v>0.500192017180761</v>
      </c>
      <c r="Q1322" s="229" t="n">
        <f aca="false">VLOOKUP(B1322,'NIVEL ENERO'!A:D,4,0)</f>
        <v>-285380.08</v>
      </c>
      <c r="R1322" s="186" t="str">
        <f aca="false">+PROPER(C1322&amp;" "&amp;D1322)</f>
        <v>Figueroa Cardona Kelly Marcela</v>
      </c>
      <c r="S1322" s="230" t="n">
        <f aca="false">+YEARFRAC(L1322,$S$1)</f>
        <v>10.5722222222222</v>
      </c>
      <c r="T1322" s="230" t="n">
        <f aca="false">+YEARFRAC(M1322,$S$1)</f>
        <v>11.0805555555556</v>
      </c>
      <c r="U1322" s="231" t="n">
        <f aca="false">+$I1322</f>
        <v>36275029</v>
      </c>
      <c r="V1322" s="232" t="str">
        <f aca="false">+PROPER(F1322)</f>
        <v>Soltero(A)</v>
      </c>
    </row>
    <row r="1323" customFormat="false" ht="14.25" hidden="false" customHeight="false" outlineLevel="0" collapsed="false">
      <c r="B1323" s="197" t="n">
        <v>1143836520</v>
      </c>
      <c r="C1323" s="197" t="s">
        <v>3251</v>
      </c>
      <c r="D1323" s="197" t="s">
        <v>1000</v>
      </c>
      <c r="E1323" s="198" t="s">
        <v>981</v>
      </c>
      <c r="F1323" s="198" t="s">
        <v>953</v>
      </c>
      <c r="G1323" s="225" t="n">
        <v>6946500</v>
      </c>
      <c r="H1323" s="225" t="n">
        <v>13499622</v>
      </c>
      <c r="I1323" s="225" t="n">
        <v>11777506</v>
      </c>
      <c r="J1323" s="198" t="n">
        <v>33</v>
      </c>
      <c r="K1323" s="198" t="s">
        <v>1533</v>
      </c>
      <c r="L1323" s="226" t="n">
        <v>44755</v>
      </c>
      <c r="M1323" s="226" t="n">
        <v>43817</v>
      </c>
      <c r="N1323" s="227" t="n">
        <v>1</v>
      </c>
      <c r="O1323" s="227" t="s">
        <v>135</v>
      </c>
      <c r="P1323" s="228" t="n">
        <f aca="false">VLOOKUP(B1323,'NIVEL ENERO'!A:D,3,0)</f>
        <v>0.458545785389512</v>
      </c>
      <c r="Q1323" s="229" t="n">
        <f aca="false">VLOOKUP(B1323,'NIVEL ENERO'!A:D,4,0)</f>
        <v>-406391.98</v>
      </c>
      <c r="R1323" s="186" t="str">
        <f aca="false">+PROPER(C1323&amp;" "&amp;D1323)</f>
        <v>Ortiz Escarpeta Julian</v>
      </c>
      <c r="S1323" s="230" t="n">
        <f aca="false">+YEARFRAC(L1323,$S$1)</f>
        <v>3.83055555555556</v>
      </c>
      <c r="T1323" s="230" t="n">
        <f aca="false">+YEARFRAC(M1323,$S$1)</f>
        <v>6.4</v>
      </c>
      <c r="U1323" s="231" t="n">
        <f aca="false">+$I1323</f>
        <v>11777506</v>
      </c>
      <c r="V1323" s="232" t="str">
        <f aca="false">+PROPER(F1323)</f>
        <v>Soltero(A)</v>
      </c>
    </row>
    <row r="1324" customFormat="false" ht="14.25" hidden="false" customHeight="false" outlineLevel="0" collapsed="false">
      <c r="B1324" s="197" t="n">
        <v>1143836561</v>
      </c>
      <c r="C1324" s="197" t="s">
        <v>3252</v>
      </c>
      <c r="D1324" s="197" t="s">
        <v>3253</v>
      </c>
      <c r="E1324" s="198" t="s">
        <v>944</v>
      </c>
      <c r="F1324" s="198" t="s">
        <v>953</v>
      </c>
      <c r="G1324" s="225" t="n">
        <v>2893800</v>
      </c>
      <c r="H1324" s="225" t="n">
        <v>650000</v>
      </c>
      <c r="I1324" s="225" t="n">
        <v>0</v>
      </c>
      <c r="J1324" s="198" t="n">
        <v>33</v>
      </c>
      <c r="K1324" s="198" t="n">
        <v>1</v>
      </c>
      <c r="L1324" s="226" t="n">
        <v>45369</v>
      </c>
      <c r="M1324" s="226" t="n">
        <v>43782</v>
      </c>
      <c r="N1324" s="227" t="n">
        <v>1</v>
      </c>
      <c r="O1324" s="227" t="s">
        <v>135</v>
      </c>
      <c r="P1324" s="228" t="n">
        <f aca="false">VLOOKUP(B1324,'NIVEL ENERO'!A:D,3,0)</f>
        <v>0.302821203953279</v>
      </c>
      <c r="Q1324" s="229" t="n">
        <f aca="false">VLOOKUP(B1324,'NIVEL ENERO'!A:D,4,0)</f>
        <v>339092</v>
      </c>
      <c r="R1324" s="186" t="str">
        <f aca="false">+PROPER(C1324&amp;" "&amp;D1324)</f>
        <v>Alvarado Edward</v>
      </c>
      <c r="S1324" s="230" t="n">
        <f aca="false">+YEARFRAC(L1324,$S$1)</f>
        <v>2.15</v>
      </c>
      <c r="T1324" s="230" t="n">
        <f aca="false">+YEARFRAC(M1324,$S$1)</f>
        <v>6.49722222222222</v>
      </c>
      <c r="U1324" s="231" t="n">
        <f aca="false">+$I1324</f>
        <v>0</v>
      </c>
      <c r="V1324" s="232" t="str">
        <f aca="false">+PROPER(F1324)</f>
        <v>Soltero(A)</v>
      </c>
    </row>
    <row r="1325" customFormat="false" ht="14.25" hidden="false" customHeight="false" outlineLevel="0" collapsed="false">
      <c r="B1325" s="197" t="n">
        <v>1143836705</v>
      </c>
      <c r="C1325" s="197" t="s">
        <v>3254</v>
      </c>
      <c r="D1325" s="197" t="s">
        <v>3255</v>
      </c>
      <c r="E1325" s="198" t="s">
        <v>944</v>
      </c>
      <c r="F1325" s="198" t="s">
        <v>945</v>
      </c>
      <c r="G1325" s="225" t="n">
        <v>3055300</v>
      </c>
      <c r="H1325" s="225" t="n">
        <v>8966809</v>
      </c>
      <c r="I1325" s="225" t="n">
        <v>3221449</v>
      </c>
      <c r="J1325" s="198" t="n">
        <v>33</v>
      </c>
      <c r="K1325" s="198" t="n">
        <v>2</v>
      </c>
      <c r="L1325" s="226" t="n">
        <v>43060</v>
      </c>
      <c r="M1325" s="226" t="n">
        <v>40558</v>
      </c>
      <c r="N1325" s="227" t="n">
        <v>3</v>
      </c>
      <c r="O1325" s="227" t="s">
        <v>135</v>
      </c>
      <c r="P1325" s="228" t="n">
        <f aca="false">VLOOKUP(B1325,'NIVEL ENERO'!A:D,3,0)</f>
        <v>0.253329623932183</v>
      </c>
      <c r="Q1325" s="229" t="n">
        <f aca="false">VLOOKUP(B1325,'NIVEL ENERO'!A:D,4,0)</f>
        <v>509228</v>
      </c>
      <c r="R1325" s="186" t="str">
        <f aca="false">+PROPER(C1325&amp;" "&amp;D1325)</f>
        <v>Solarte Riascos Karina Angelly</v>
      </c>
      <c r="S1325" s="230" t="n">
        <f aca="false">+YEARFRAC(L1325,$S$1)</f>
        <v>8.475</v>
      </c>
      <c r="T1325" s="230" t="n">
        <f aca="false">+YEARFRAC(M1325,$S$1)</f>
        <v>15.325</v>
      </c>
      <c r="U1325" s="231" t="n">
        <f aca="false">+$I1325</f>
        <v>3221449</v>
      </c>
      <c r="V1325" s="232" t="str">
        <f aca="false">+PROPER(F1325)</f>
        <v>Union Libre</v>
      </c>
    </row>
    <row r="1326" customFormat="false" ht="14.25" hidden="false" customHeight="false" outlineLevel="0" collapsed="false">
      <c r="B1326" s="197" t="n">
        <v>1143836746</v>
      </c>
      <c r="C1326" s="197" t="s">
        <v>3256</v>
      </c>
      <c r="D1326" s="197" t="s">
        <v>957</v>
      </c>
      <c r="E1326" s="198" t="s">
        <v>944</v>
      </c>
      <c r="F1326" s="198" t="s">
        <v>953</v>
      </c>
      <c r="G1326" s="225" t="n">
        <v>2600900</v>
      </c>
      <c r="H1326" s="225" t="n">
        <v>1708686</v>
      </c>
      <c r="I1326" s="225" t="n">
        <v>1351244</v>
      </c>
      <c r="J1326" s="198" t="n">
        <v>33</v>
      </c>
      <c r="K1326" s="198" t="n">
        <v>1</v>
      </c>
      <c r="L1326" s="226" t="n">
        <v>44790</v>
      </c>
      <c r="M1326" s="226" t="n">
        <v>43894</v>
      </c>
      <c r="N1326" s="227" t="n">
        <v>2</v>
      </c>
      <c r="O1326" s="227" t="s">
        <v>135</v>
      </c>
      <c r="P1326" s="228" t="n">
        <f aca="false">VLOOKUP(B1326,'NIVEL ENERO'!A:D,3,0)</f>
        <v>0.22212029163101</v>
      </c>
      <c r="Q1326" s="229" t="n">
        <f aca="false">VLOOKUP(B1326,'NIVEL ENERO'!A:D,4,0)</f>
        <v>562119.46</v>
      </c>
      <c r="R1326" s="186" t="str">
        <f aca="false">+PROPER(C1326&amp;" "&amp;D1326)</f>
        <v>Marmolejo Casanas Alexander</v>
      </c>
      <c r="S1326" s="230" t="n">
        <f aca="false">+YEARFRAC(L1326,$S$1)</f>
        <v>3.73611111111111</v>
      </c>
      <c r="T1326" s="230" t="n">
        <f aca="false">+YEARFRAC(M1326,$S$1)</f>
        <v>6.18888888888889</v>
      </c>
      <c r="U1326" s="231" t="n">
        <f aca="false">+$I1326</f>
        <v>1351244</v>
      </c>
      <c r="V1326" s="232" t="str">
        <f aca="false">+PROPER(F1326)</f>
        <v>Soltero(A)</v>
      </c>
    </row>
    <row r="1327" customFormat="false" ht="14.25" hidden="false" customHeight="false" outlineLevel="0" collapsed="false">
      <c r="B1327" s="197" t="n">
        <v>1143836852</v>
      </c>
      <c r="C1327" s="197" t="s">
        <v>3257</v>
      </c>
      <c r="D1327" s="197" t="s">
        <v>1649</v>
      </c>
      <c r="E1327" s="198" t="s">
        <v>944</v>
      </c>
      <c r="F1327" s="198" t="s">
        <v>953</v>
      </c>
      <c r="G1327" s="225" t="n">
        <v>2600900</v>
      </c>
      <c r="H1327" s="225" t="n">
        <v>260000</v>
      </c>
      <c r="I1327" s="225"/>
      <c r="J1327" s="198" t="n">
        <v>33</v>
      </c>
      <c r="K1327" s="198" t="n">
        <v>4</v>
      </c>
      <c r="L1327" s="226" t="n">
        <v>45555</v>
      </c>
      <c r="M1327" s="226" t="n">
        <v>44105</v>
      </c>
      <c r="N1327" s="227" t="n">
        <v>0</v>
      </c>
      <c r="O1327" s="227" t="s">
        <v>135</v>
      </c>
      <c r="P1327" s="228" t="n">
        <f aca="false">VLOOKUP(B1327,'NIVEL ENERO'!A:D,3,0)</f>
        <v>0.121998326641389</v>
      </c>
      <c r="Q1327" s="229" t="n">
        <f aca="false">VLOOKUP(B1327,'NIVEL ENERO'!A:D,4,0)</f>
        <v>977810.64</v>
      </c>
      <c r="R1327" s="186" t="str">
        <f aca="false">+PROPER(C1327&amp;" "&amp;D1327)</f>
        <v>Marin Serna Angela Maria</v>
      </c>
      <c r="S1327" s="230" t="n">
        <f aca="false">+YEARFRAC(L1327,$S$1)</f>
        <v>1.64444444444444</v>
      </c>
      <c r="T1327" s="230" t="n">
        <f aca="false">+YEARFRAC(M1327,$S$1)</f>
        <v>5.61388888888889</v>
      </c>
      <c r="U1327" s="231" t="n">
        <f aca="false">+$I1327</f>
        <v>0</v>
      </c>
      <c r="V1327" s="232" t="str">
        <f aca="false">+PROPER(F1327)</f>
        <v>Soltero(A)</v>
      </c>
    </row>
    <row r="1328" customFormat="false" ht="14.25" hidden="false" customHeight="false" outlineLevel="0" collapsed="false">
      <c r="B1328" s="197" t="n">
        <v>1143837031</v>
      </c>
      <c r="C1328" s="197" t="s">
        <v>3258</v>
      </c>
      <c r="D1328" s="197" t="s">
        <v>3259</v>
      </c>
      <c r="E1328" s="198" t="s">
        <v>944</v>
      </c>
      <c r="F1328" s="198" t="s">
        <v>953</v>
      </c>
      <c r="G1328" s="225" t="n">
        <v>2893800</v>
      </c>
      <c r="H1328" s="225" t="n">
        <v>2365283</v>
      </c>
      <c r="I1328" s="225" t="n">
        <v>0</v>
      </c>
      <c r="J1328" s="198" t="n">
        <v>33</v>
      </c>
      <c r="K1328" s="198" t="n">
        <v>2</v>
      </c>
      <c r="L1328" s="226" t="n">
        <v>44335</v>
      </c>
      <c r="M1328" s="226" t="n">
        <v>43955</v>
      </c>
      <c r="N1328" s="227" t="n">
        <v>1</v>
      </c>
      <c r="O1328" s="227" t="s">
        <v>135</v>
      </c>
      <c r="P1328" s="228" t="n">
        <f aca="false">VLOOKUP(B1328,'NIVEL ENERO'!A:D,3,0)</f>
        <v>0.239616072561409</v>
      </c>
      <c r="Q1328" s="229" t="n">
        <f aca="false">VLOOKUP(B1328,'NIVEL ENERO'!A:D,4,0)</f>
        <v>510395.06</v>
      </c>
      <c r="R1328" s="186" t="str">
        <f aca="false">+PROPER(C1328&amp;" "&amp;D1328)</f>
        <v>Garcia Hernandez Jessica Beatriz</v>
      </c>
      <c r="S1328" s="230" t="n">
        <f aca="false">+YEARFRAC(L1328,$S$1)</f>
        <v>4.98055555555556</v>
      </c>
      <c r="T1328" s="230" t="n">
        <f aca="false">+YEARFRAC(M1328,$S$1)</f>
        <v>6.02222222222222</v>
      </c>
      <c r="U1328" s="231" t="n">
        <f aca="false">+$I1328</f>
        <v>0</v>
      </c>
      <c r="V1328" s="232" t="str">
        <f aca="false">+PROPER(F1328)</f>
        <v>Soltero(A)</v>
      </c>
    </row>
    <row r="1329" customFormat="false" ht="14.25" hidden="false" customHeight="false" outlineLevel="0" collapsed="false">
      <c r="B1329" s="197" t="n">
        <v>1143838291</v>
      </c>
      <c r="C1329" s="197" t="s">
        <v>3260</v>
      </c>
      <c r="D1329" s="197" t="s">
        <v>2484</v>
      </c>
      <c r="E1329" s="198" t="s">
        <v>944</v>
      </c>
      <c r="F1329" s="198" t="s">
        <v>945</v>
      </c>
      <c r="G1329" s="225" t="n">
        <v>2600900</v>
      </c>
      <c r="H1329" s="225" t="n">
        <v>1801313</v>
      </c>
      <c r="I1329" s="225"/>
      <c r="J1329" s="198" t="n">
        <v>33</v>
      </c>
      <c r="K1329" s="198" t="n">
        <v>2</v>
      </c>
      <c r="L1329" s="226" t="n">
        <v>45118</v>
      </c>
      <c r="M1329" s="226" t="n">
        <v>44939</v>
      </c>
      <c r="N1329" s="227" t="n">
        <v>0</v>
      </c>
      <c r="O1329" s="227" t="s">
        <v>135</v>
      </c>
      <c r="P1329" s="228" t="n">
        <f aca="false">VLOOKUP(B1329,'NIVEL ENERO'!A:D,3,0)</f>
        <v>0.11523350991575</v>
      </c>
      <c r="Q1329" s="229" t="n">
        <f aca="false">VLOOKUP(B1329,'NIVEL ENERO'!A:D,4,0)</f>
        <v>1090606.58</v>
      </c>
      <c r="R1329" s="186" t="str">
        <f aca="false">+PROPER(C1329&amp;" "&amp;D1329)</f>
        <v>Rodriguez Becerra Gustavo Adolfo</v>
      </c>
      <c r="S1329" s="230" t="n">
        <f aca="false">+YEARFRAC(L1329,$S$1)</f>
        <v>2.83611111111111</v>
      </c>
      <c r="T1329" s="230" t="n">
        <f aca="false">+YEARFRAC(M1329,$S$1)</f>
        <v>3.33055555555556</v>
      </c>
      <c r="U1329" s="231" t="n">
        <f aca="false">+$I1329</f>
        <v>0</v>
      </c>
      <c r="V1329" s="232" t="str">
        <f aca="false">+PROPER(F1329)</f>
        <v>Union Libre</v>
      </c>
    </row>
    <row r="1330" customFormat="false" ht="14.25" hidden="false" customHeight="false" outlineLevel="0" collapsed="false">
      <c r="B1330" s="197" t="n">
        <v>1143838419</v>
      </c>
      <c r="C1330" s="197" t="s">
        <v>3261</v>
      </c>
      <c r="D1330" s="197" t="s">
        <v>3262</v>
      </c>
      <c r="E1330" s="198" t="s">
        <v>944</v>
      </c>
      <c r="F1330" s="198" t="s">
        <v>945</v>
      </c>
      <c r="G1330" s="225" t="n">
        <v>2893800</v>
      </c>
      <c r="H1330" s="225" t="n">
        <v>5168766</v>
      </c>
      <c r="I1330" s="225" t="n">
        <v>0</v>
      </c>
      <c r="J1330" s="198" t="n">
        <v>33</v>
      </c>
      <c r="K1330" s="198" t="n">
        <v>1</v>
      </c>
      <c r="L1330" s="226" t="n">
        <v>41984</v>
      </c>
      <c r="M1330" s="226" t="n">
        <v>41939</v>
      </c>
      <c r="N1330" s="227" t="n">
        <v>2</v>
      </c>
      <c r="O1330" s="227" t="s">
        <v>135</v>
      </c>
      <c r="P1330" s="228" t="n">
        <f aca="false">VLOOKUP(B1330,'NIVEL ENERO'!A:D,3,0)</f>
        <v>0.116756859492709</v>
      </c>
      <c r="Q1330" s="229" t="n">
        <f aca="false">VLOOKUP(B1330,'NIVEL ENERO'!A:D,4,0)</f>
        <v>877525</v>
      </c>
      <c r="R1330" s="186" t="str">
        <f aca="false">+PROPER(C1330&amp;" "&amp;D1330)</f>
        <v>Tapasco Martinez Nur Elizana</v>
      </c>
      <c r="S1330" s="230" t="n">
        <f aca="false">+YEARFRAC(L1330,$S$1)</f>
        <v>11.4194444444444</v>
      </c>
      <c r="T1330" s="230" t="n">
        <f aca="false">+YEARFRAC(M1330,$S$1)</f>
        <v>11.5416666666667</v>
      </c>
      <c r="U1330" s="231" t="n">
        <f aca="false">+$I1330</f>
        <v>0</v>
      </c>
      <c r="V1330" s="232" t="str">
        <f aca="false">+PROPER(F1330)</f>
        <v>Union Libre</v>
      </c>
    </row>
    <row r="1331" customFormat="false" ht="14.25" hidden="false" customHeight="false" outlineLevel="0" collapsed="false">
      <c r="B1331" s="197" t="n">
        <v>1143839970</v>
      </c>
      <c r="C1331" s="197" t="s">
        <v>3263</v>
      </c>
      <c r="D1331" s="197" t="s">
        <v>3264</v>
      </c>
      <c r="E1331" s="198" t="s">
        <v>944</v>
      </c>
      <c r="F1331" s="198" t="s">
        <v>953</v>
      </c>
      <c r="G1331" s="225" t="n">
        <v>3000000</v>
      </c>
      <c r="H1331" s="225" t="n">
        <v>1200000</v>
      </c>
      <c r="I1331" s="225"/>
      <c r="J1331" s="198" t="n">
        <v>33</v>
      </c>
      <c r="K1331" s="198" t="n">
        <v>2</v>
      </c>
      <c r="L1331" s="226" t="n">
        <v>45414</v>
      </c>
      <c r="M1331" s="226" t="n">
        <v>43409</v>
      </c>
      <c r="N1331" s="227" t="n">
        <v>0</v>
      </c>
      <c r="O1331" s="227" t="s">
        <v>158</v>
      </c>
      <c r="P1331" s="228" t="e">
        <f aca="false">VLOOKUP(B1331,'NIVEL ENERO'!A:D,3,0)</f>
        <v>#N/A</v>
      </c>
      <c r="Q1331" s="229" t="e">
        <f aca="false">VLOOKUP(B1331,'NIVEL ENERO'!A:D,4,0)</f>
        <v>#N/A</v>
      </c>
      <c r="R1331" s="186" t="str">
        <f aca="false">+PROPER(C1331&amp;" "&amp;D1331)</f>
        <v>Henao Gonzalez Claudia Andrea</v>
      </c>
      <c r="S1331" s="230" t="n">
        <f aca="false">+YEARFRAC(L1331,$S$1)</f>
        <v>2.02777777777778</v>
      </c>
      <c r="T1331" s="230" t="n">
        <f aca="false">+YEARFRAC(M1331,$S$1)</f>
        <v>7.51944444444445</v>
      </c>
      <c r="U1331" s="231" t="n">
        <f aca="false">+$I1331</f>
        <v>0</v>
      </c>
      <c r="V1331" s="232" t="str">
        <f aca="false">+PROPER(F1331)</f>
        <v>Soltero(A)</v>
      </c>
    </row>
    <row r="1332" customFormat="false" ht="14.25" hidden="false" customHeight="false" outlineLevel="0" collapsed="false">
      <c r="B1332" s="197" t="n">
        <v>1143840210</v>
      </c>
      <c r="C1332" s="197" t="s">
        <v>3265</v>
      </c>
      <c r="D1332" s="197" t="s">
        <v>3266</v>
      </c>
      <c r="E1332" s="198" t="s">
        <v>944</v>
      </c>
      <c r="F1332" s="198" t="s">
        <v>953</v>
      </c>
      <c r="G1332" s="225" t="n">
        <v>2893800</v>
      </c>
      <c r="H1332" s="225" t="n">
        <v>4528858</v>
      </c>
      <c r="I1332" s="225" t="n">
        <v>3264030</v>
      </c>
      <c r="J1332" s="198" t="n">
        <v>33</v>
      </c>
      <c r="K1332" s="198" t="n">
        <v>4</v>
      </c>
      <c r="L1332" s="226" t="n">
        <v>44053</v>
      </c>
      <c r="M1332" s="226" t="n">
        <v>42139</v>
      </c>
      <c r="N1332" s="227" t="n">
        <v>3</v>
      </c>
      <c r="O1332" s="227" t="s">
        <v>135</v>
      </c>
      <c r="P1332" s="228" t="n">
        <f aca="false">VLOOKUP(B1332,'NIVEL ENERO'!A:D,3,0)</f>
        <v>0.254035910881531</v>
      </c>
      <c r="Q1332" s="229" t="n">
        <f aca="false">VLOOKUP(B1332,'NIVEL ENERO'!A:D,4,0)</f>
        <v>649091.14</v>
      </c>
      <c r="R1332" s="186" t="str">
        <f aca="false">+PROPER(C1332&amp;" "&amp;D1332)</f>
        <v>Hoyos Otoa Ginna Lizeth</v>
      </c>
      <c r="S1332" s="230" t="n">
        <f aca="false">+YEARFRAC(L1332,$S$1)</f>
        <v>5.75555555555556</v>
      </c>
      <c r="T1332" s="230" t="n">
        <f aca="false">+YEARFRAC(M1332,$S$1)</f>
        <v>10.9916666666667</v>
      </c>
      <c r="U1332" s="231" t="n">
        <f aca="false">+$I1332</f>
        <v>3264030</v>
      </c>
      <c r="V1332" s="232" t="str">
        <f aca="false">+PROPER(F1332)</f>
        <v>Soltero(A)</v>
      </c>
    </row>
    <row r="1333" customFormat="false" ht="14.25" hidden="false" customHeight="false" outlineLevel="0" collapsed="false">
      <c r="B1333" s="197" t="n">
        <v>1143840442</v>
      </c>
      <c r="C1333" s="197" t="s">
        <v>3267</v>
      </c>
      <c r="D1333" s="197" t="s">
        <v>3268</v>
      </c>
      <c r="E1333" s="198" t="s">
        <v>944</v>
      </c>
      <c r="F1333" s="198" t="s">
        <v>953</v>
      </c>
      <c r="G1333" s="225" t="n">
        <v>4870200</v>
      </c>
      <c r="H1333" s="225" t="n">
        <v>2558222</v>
      </c>
      <c r="I1333" s="225"/>
      <c r="J1333" s="198" t="n">
        <v>33</v>
      </c>
      <c r="K1333" s="198" t="n">
        <v>4</v>
      </c>
      <c r="L1333" s="226" t="n">
        <v>44218</v>
      </c>
      <c r="M1333" s="226" t="n">
        <v>44470</v>
      </c>
      <c r="N1333" s="227" t="n">
        <v>3</v>
      </c>
      <c r="O1333" s="227" t="s">
        <v>135</v>
      </c>
      <c r="P1333" s="228" t="n">
        <f aca="false">VLOOKUP(B1333,'NIVEL ENERO'!A:D,3,0)</f>
        <v>0.224240983740595</v>
      </c>
      <c r="Q1333" s="229" t="n">
        <f aca="false">VLOOKUP(B1333,'NIVEL ENERO'!A:D,4,0)</f>
        <v>1029518.2</v>
      </c>
      <c r="R1333" s="186" t="str">
        <f aca="false">+PROPER(C1333&amp;" "&amp;D1333)</f>
        <v>Ramirez Cabra Erika</v>
      </c>
      <c r="S1333" s="230" t="n">
        <f aca="false">+YEARFRAC(L1333,$S$1)</f>
        <v>5.30555555555556</v>
      </c>
      <c r="T1333" s="230" t="n">
        <f aca="false">+YEARFRAC(M1333,$S$1)</f>
        <v>4.61388888888889</v>
      </c>
      <c r="U1333" s="231" t="n">
        <f aca="false">+$I1333</f>
        <v>0</v>
      </c>
      <c r="V1333" s="232" t="str">
        <f aca="false">+PROPER(F1333)</f>
        <v>Soltero(A)</v>
      </c>
    </row>
    <row r="1334" customFormat="false" ht="14.25" hidden="false" customHeight="false" outlineLevel="0" collapsed="false">
      <c r="B1334" s="197" t="n">
        <v>1143840552</v>
      </c>
      <c r="C1334" s="197" t="s">
        <v>3269</v>
      </c>
      <c r="D1334" s="197" t="s">
        <v>3270</v>
      </c>
      <c r="E1334" s="198" t="s">
        <v>944</v>
      </c>
      <c r="F1334" s="198" t="s">
        <v>945</v>
      </c>
      <c r="G1334" s="225" t="n">
        <v>2893800</v>
      </c>
      <c r="H1334" s="225" t="n">
        <v>6481745</v>
      </c>
      <c r="I1334" s="225" t="n">
        <v>12234655</v>
      </c>
      <c r="J1334" s="198" t="n">
        <v>33</v>
      </c>
      <c r="K1334" s="198" t="n">
        <v>2</v>
      </c>
      <c r="L1334" s="226" t="n">
        <v>43419</v>
      </c>
      <c r="M1334" s="226" t="n">
        <v>42993</v>
      </c>
      <c r="N1334" s="227" t="n">
        <v>3</v>
      </c>
      <c r="O1334" s="227" t="s">
        <v>135</v>
      </c>
      <c r="P1334" s="228" t="n">
        <f aca="false">VLOOKUP(B1334,'NIVEL ENERO'!A:D,3,0)</f>
        <v>0.352598858803699</v>
      </c>
      <c r="Q1334" s="229" t="n">
        <f aca="false">VLOOKUP(B1334,'NIVEL ENERO'!A:D,4,0)</f>
        <v>219284.76</v>
      </c>
      <c r="R1334" s="186" t="str">
        <f aca="false">+PROPER(C1334&amp;" "&amp;D1334)</f>
        <v>Zapata Orozco Sandra Lorena</v>
      </c>
      <c r="S1334" s="230" t="n">
        <f aca="false">+YEARFRAC(L1334,$S$1)</f>
        <v>7.49166666666667</v>
      </c>
      <c r="T1334" s="230" t="n">
        <f aca="false">+YEARFRAC(M1334,$S$1)</f>
        <v>8.65833333333333</v>
      </c>
      <c r="U1334" s="231" t="n">
        <f aca="false">+$I1334</f>
        <v>12234655</v>
      </c>
      <c r="V1334" s="232" t="str">
        <f aca="false">+PROPER(F1334)</f>
        <v>Union Libre</v>
      </c>
    </row>
    <row r="1335" customFormat="false" ht="14.25" hidden="false" customHeight="false" outlineLevel="0" collapsed="false">
      <c r="B1335" s="197" t="n">
        <v>1143840738</v>
      </c>
      <c r="C1335" s="197" t="s">
        <v>3271</v>
      </c>
      <c r="D1335" s="197" t="s">
        <v>1202</v>
      </c>
      <c r="E1335" s="198" t="s">
        <v>944</v>
      </c>
      <c r="F1335" s="198" t="s">
        <v>945</v>
      </c>
      <c r="G1335" s="225" t="n">
        <v>2600900</v>
      </c>
      <c r="H1335" s="225" t="n">
        <v>4640589</v>
      </c>
      <c r="I1335" s="225" t="n">
        <v>7111687</v>
      </c>
      <c r="J1335" s="198" t="n">
        <v>33</v>
      </c>
      <c r="K1335" s="198" t="n">
        <v>2</v>
      </c>
      <c r="L1335" s="226" t="n">
        <v>42870</v>
      </c>
      <c r="M1335" s="226" t="n">
        <v>42625</v>
      </c>
      <c r="N1335" s="227" t="n">
        <v>3</v>
      </c>
      <c r="O1335" s="227" t="s">
        <v>135</v>
      </c>
      <c r="P1335" s="228" t="n">
        <f aca="false">VLOOKUP(B1335,'NIVEL ENERO'!A:D,3,0)</f>
        <v>0.400259141066554</v>
      </c>
      <c r="Q1335" s="229" t="n">
        <f aca="false">VLOOKUP(B1335,'NIVEL ENERO'!A:D,4,0)</f>
        <v>51344</v>
      </c>
      <c r="R1335" s="186" t="str">
        <f aca="false">+PROPER(C1335&amp;" "&amp;D1335)</f>
        <v>Correa Gonzalez Carolina</v>
      </c>
      <c r="S1335" s="230" t="n">
        <f aca="false">+YEARFRAC(L1335,$S$1)</f>
        <v>8.99166666666667</v>
      </c>
      <c r="T1335" s="230" t="n">
        <f aca="false">+YEARFRAC(M1335,$S$1)</f>
        <v>9.66666666666667</v>
      </c>
      <c r="U1335" s="231" t="n">
        <f aca="false">+$I1335</f>
        <v>7111687</v>
      </c>
      <c r="V1335" s="232" t="str">
        <f aca="false">+PROPER(F1335)</f>
        <v>Union Libre</v>
      </c>
    </row>
    <row r="1336" customFormat="false" ht="14.25" hidden="false" customHeight="false" outlineLevel="0" collapsed="false">
      <c r="B1336" s="197" t="n">
        <v>1143840832</v>
      </c>
      <c r="C1336" s="197" t="s">
        <v>3272</v>
      </c>
      <c r="D1336" s="197" t="s">
        <v>3273</v>
      </c>
      <c r="E1336" s="198" t="s">
        <v>944</v>
      </c>
      <c r="F1336" s="198" t="s">
        <v>945</v>
      </c>
      <c r="G1336" s="225" t="n">
        <v>2893800</v>
      </c>
      <c r="H1336" s="225" t="n">
        <v>775000</v>
      </c>
      <c r="I1336" s="225" t="n">
        <v>3000000</v>
      </c>
      <c r="J1336" s="198" t="n">
        <v>32</v>
      </c>
      <c r="K1336" s="198" t="n">
        <v>2</v>
      </c>
      <c r="L1336" s="226" t="n">
        <v>45307</v>
      </c>
      <c r="M1336" s="226" t="n">
        <v>42689</v>
      </c>
      <c r="N1336" s="227" t="n">
        <v>0</v>
      </c>
      <c r="O1336" s="227" t="s">
        <v>135</v>
      </c>
      <c r="P1336" s="228" t="n">
        <f aca="false">VLOOKUP(B1336,'NIVEL ENERO'!A:D,3,0)</f>
        <v>0.240821662040695</v>
      </c>
      <c r="Q1336" s="229" t="n">
        <f aca="false">VLOOKUP(B1336,'NIVEL ENERO'!A:D,4,0)</f>
        <v>838550.62</v>
      </c>
      <c r="R1336" s="186" t="str">
        <f aca="false">+PROPER(C1336&amp;" "&amp;D1336)</f>
        <v>Ceballos Camacho Lina Karime</v>
      </c>
      <c r="S1336" s="230" t="n">
        <f aca="false">+YEARFRAC(L1336,$S$1)</f>
        <v>2.32222222222222</v>
      </c>
      <c r="T1336" s="230" t="n">
        <f aca="false">+YEARFRAC(M1336,$S$1)</f>
        <v>9.49166666666667</v>
      </c>
      <c r="U1336" s="231" t="n">
        <f aca="false">+$I1336</f>
        <v>3000000</v>
      </c>
      <c r="V1336" s="232" t="str">
        <f aca="false">+PROPER(F1336)</f>
        <v>Union Libre</v>
      </c>
    </row>
    <row r="1337" customFormat="false" ht="14.25" hidden="false" customHeight="false" outlineLevel="0" collapsed="false">
      <c r="B1337" s="197" t="n">
        <v>1143841250</v>
      </c>
      <c r="C1337" s="197" t="s">
        <v>3274</v>
      </c>
      <c r="D1337" s="197" t="s">
        <v>3275</v>
      </c>
      <c r="E1337" s="198" t="s">
        <v>944</v>
      </c>
      <c r="F1337" s="198" t="s">
        <v>948</v>
      </c>
      <c r="G1337" s="225" t="n">
        <v>5291000</v>
      </c>
      <c r="H1337" s="225" t="n">
        <v>1658179</v>
      </c>
      <c r="I1337" s="225"/>
      <c r="J1337" s="198" t="n">
        <v>32</v>
      </c>
      <c r="K1337" s="198" t="n">
        <v>2</v>
      </c>
      <c r="L1337" s="226" t="n">
        <v>44825</v>
      </c>
      <c r="M1337" s="226" t="n">
        <v>44298</v>
      </c>
      <c r="N1337" s="227" t="n">
        <v>2</v>
      </c>
      <c r="O1337" s="227" t="s">
        <v>135</v>
      </c>
      <c r="P1337" s="228" t="n">
        <f aca="false">VLOOKUP(B1337,'NIVEL ENERO'!A:D,3,0)</f>
        <v>0.414862036298466</v>
      </c>
      <c r="Q1337" s="229" t="n">
        <f aca="false">VLOOKUP(B1337,'NIVEL ENERO'!A:D,4,0)</f>
        <v>22654.1399999999</v>
      </c>
      <c r="R1337" s="186" t="str">
        <f aca="false">+PROPER(C1337&amp;" "&amp;D1337)</f>
        <v>Garces Bedoya Sara Isabel</v>
      </c>
      <c r="S1337" s="230" t="n">
        <f aca="false">+YEARFRAC(L1337,$S$1)</f>
        <v>3.64166666666667</v>
      </c>
      <c r="T1337" s="230" t="n">
        <f aca="false">+YEARFRAC(M1337,$S$1)</f>
        <v>5.08333333333333</v>
      </c>
      <c r="U1337" s="231" t="n">
        <f aca="false">+$I1337</f>
        <v>0</v>
      </c>
      <c r="V1337" s="232" t="str">
        <f aca="false">+PROPER(F1337)</f>
        <v>Casado(A)</v>
      </c>
    </row>
    <row r="1338" customFormat="false" ht="14.25" hidden="false" customHeight="false" outlineLevel="0" collapsed="false">
      <c r="B1338" s="197" t="n">
        <v>1143842328</v>
      </c>
      <c r="C1338" s="197" t="s">
        <v>3276</v>
      </c>
      <c r="D1338" s="197" t="s">
        <v>1434</v>
      </c>
      <c r="E1338" s="198" t="s">
        <v>944</v>
      </c>
      <c r="F1338" s="198" t="s">
        <v>953</v>
      </c>
      <c r="G1338" s="225" t="n">
        <v>1625000</v>
      </c>
      <c r="H1338" s="225" t="n">
        <v>200000</v>
      </c>
      <c r="I1338" s="225" t="n">
        <v>463289</v>
      </c>
      <c r="J1338" s="198" t="n">
        <v>32</v>
      </c>
      <c r="K1338" s="198" t="n">
        <v>1</v>
      </c>
      <c r="L1338" s="226" t="n">
        <v>45615</v>
      </c>
      <c r="M1338" s="226" t="n">
        <v>45497</v>
      </c>
      <c r="N1338" s="227" t="n">
        <v>0</v>
      </c>
      <c r="O1338" s="227" t="s">
        <v>135</v>
      </c>
      <c r="P1338" s="228" t="n">
        <f aca="false">VLOOKUP(B1338,'NIVEL ENERO'!A:D,3,0)</f>
        <v>0.135733348372755</v>
      </c>
      <c r="Q1338" s="229" t="n">
        <f aca="false">VLOOKUP(B1338,'NIVEL ENERO'!A:D,4,0)</f>
        <v>566202.98</v>
      </c>
      <c r="R1338" s="186" t="str">
        <f aca="false">+PROPER(C1338&amp;" "&amp;D1338)</f>
        <v>Riveros Mogollon Diana Marcela</v>
      </c>
      <c r="S1338" s="230" t="n">
        <f aca="false">+YEARFRAC(L1338,$S$1)</f>
        <v>1.48055555555556</v>
      </c>
      <c r="T1338" s="230" t="n">
        <f aca="false">+YEARFRAC(M1338,$S$1)</f>
        <v>1.8</v>
      </c>
      <c r="U1338" s="231" t="n">
        <f aca="false">+$I1338</f>
        <v>463289</v>
      </c>
      <c r="V1338" s="232" t="str">
        <f aca="false">+PROPER(F1338)</f>
        <v>Soltero(A)</v>
      </c>
    </row>
    <row r="1339" customFormat="false" ht="14.25" hidden="false" customHeight="false" outlineLevel="0" collapsed="false">
      <c r="B1339" s="197" t="n">
        <v>1143842513</v>
      </c>
      <c r="C1339" s="197" t="s">
        <v>3277</v>
      </c>
      <c r="D1339" s="197" t="s">
        <v>3278</v>
      </c>
      <c r="E1339" s="198" t="s">
        <v>944</v>
      </c>
      <c r="F1339" s="198" t="s">
        <v>948</v>
      </c>
      <c r="G1339" s="225" t="n">
        <v>2916600</v>
      </c>
      <c r="H1339" s="225" t="n">
        <v>1607671</v>
      </c>
      <c r="I1339" s="225" t="n">
        <v>0</v>
      </c>
      <c r="J1339" s="198" t="n">
        <v>32</v>
      </c>
      <c r="K1339" s="198" t="n">
        <v>1</v>
      </c>
      <c r="L1339" s="226" t="n">
        <v>44819</v>
      </c>
      <c r="M1339" s="226" t="n">
        <v>42590</v>
      </c>
      <c r="N1339" s="227" t="n">
        <v>4</v>
      </c>
      <c r="O1339" s="227" t="s">
        <v>135</v>
      </c>
      <c r="P1339" s="228" t="n">
        <f aca="false">VLOOKUP(B1339,'NIVEL ENERO'!A:D,3,0)</f>
        <v>0.209991877892838</v>
      </c>
      <c r="Q1339" s="229" t="n">
        <f aca="false">VLOOKUP(B1339,'NIVEL ENERO'!A:D,4,0)</f>
        <v>871876.44</v>
      </c>
      <c r="R1339" s="186" t="str">
        <f aca="false">+PROPER(C1339&amp;" "&amp;D1339)</f>
        <v>Rodriguez Guevara Carol Stefanny</v>
      </c>
      <c r="S1339" s="230" t="n">
        <f aca="false">+YEARFRAC(L1339,$S$1)</f>
        <v>3.65833333333333</v>
      </c>
      <c r="T1339" s="230" t="n">
        <f aca="false">+YEARFRAC(M1339,$S$1)</f>
        <v>9.76111111111111</v>
      </c>
      <c r="U1339" s="231" t="n">
        <f aca="false">+$I1339</f>
        <v>0</v>
      </c>
      <c r="V1339" s="232" t="str">
        <f aca="false">+PROPER(F1339)</f>
        <v>Casado(A)</v>
      </c>
    </row>
    <row r="1340" customFormat="false" ht="14.25" hidden="false" customHeight="false" outlineLevel="0" collapsed="false">
      <c r="B1340" s="197" t="n">
        <v>1143842766</v>
      </c>
      <c r="C1340" s="197" t="s">
        <v>3279</v>
      </c>
      <c r="D1340" s="197" t="s">
        <v>2004</v>
      </c>
      <c r="E1340" s="198" t="s">
        <v>944</v>
      </c>
      <c r="F1340" s="198" t="s">
        <v>953</v>
      </c>
      <c r="G1340" s="225" t="n">
        <v>7500000</v>
      </c>
      <c r="H1340" s="225" t="n">
        <v>6032872</v>
      </c>
      <c r="I1340" s="225"/>
      <c r="J1340" s="198" t="n">
        <v>32</v>
      </c>
      <c r="K1340" s="198" t="n">
        <v>1</v>
      </c>
      <c r="L1340" s="226" t="n">
        <v>44442</v>
      </c>
      <c r="M1340" s="226" t="n">
        <v>44049</v>
      </c>
      <c r="N1340" s="227" t="n">
        <v>1</v>
      </c>
      <c r="O1340" s="227" t="s">
        <v>158</v>
      </c>
      <c r="P1340" s="228" t="e">
        <f aca="false">VLOOKUP(B1340,'NIVEL ENERO'!A:D,3,0)</f>
        <v>#N/A</v>
      </c>
      <c r="Q1340" s="229" t="e">
        <f aca="false">VLOOKUP(B1340,'NIVEL ENERO'!A:D,4,0)</f>
        <v>#N/A</v>
      </c>
      <c r="R1340" s="186" t="str">
        <f aca="false">+PROPER(C1340&amp;" "&amp;D1340)</f>
        <v>Betancourt Ayala Laura Maria</v>
      </c>
      <c r="S1340" s="230" t="n">
        <f aca="false">+YEARFRAC(L1340,$S$1)</f>
        <v>4.69166666666667</v>
      </c>
      <c r="T1340" s="230" t="n">
        <f aca="false">+YEARFRAC(M1340,$S$1)</f>
        <v>5.76666666666667</v>
      </c>
      <c r="U1340" s="231" t="n">
        <f aca="false">+$I1340</f>
        <v>0</v>
      </c>
      <c r="V1340" s="232" t="str">
        <f aca="false">+PROPER(F1340)</f>
        <v>Soltero(A)</v>
      </c>
    </row>
    <row r="1341" customFormat="false" ht="14.25" hidden="false" customHeight="false" outlineLevel="0" collapsed="false">
      <c r="B1341" s="197" t="n">
        <v>1143843519</v>
      </c>
      <c r="C1341" s="197" t="s">
        <v>3280</v>
      </c>
      <c r="D1341" s="197" t="s">
        <v>2482</v>
      </c>
      <c r="E1341" s="198" t="s">
        <v>944</v>
      </c>
      <c r="F1341" s="198" t="s">
        <v>948</v>
      </c>
      <c r="G1341" s="225" t="n">
        <v>2916600</v>
      </c>
      <c r="H1341" s="225" t="n">
        <v>5073271</v>
      </c>
      <c r="I1341" s="225" t="n">
        <v>6479904</v>
      </c>
      <c r="J1341" s="198" t="n">
        <v>32</v>
      </c>
      <c r="K1341" s="198" t="n">
        <v>1</v>
      </c>
      <c r="L1341" s="226" t="n">
        <v>44432</v>
      </c>
      <c r="M1341" s="226" t="n">
        <v>41797</v>
      </c>
      <c r="N1341" s="227" t="n">
        <v>4</v>
      </c>
      <c r="O1341" s="227" t="s">
        <v>135</v>
      </c>
      <c r="P1341" s="228" t="n">
        <f aca="false">VLOOKUP(B1341,'NIVEL ENERO'!A:D,3,0)</f>
        <v>0.426098243173197</v>
      </c>
      <c r="Q1341" s="229" t="n">
        <f aca="false">VLOOKUP(B1341,'NIVEL ENERO'!A:D,4,0)</f>
        <v>-22219.8800000001</v>
      </c>
      <c r="R1341" s="186" t="str">
        <f aca="false">+PROPER(C1341&amp;" "&amp;D1341)</f>
        <v>Ramirez Cifuentes Andres Felipe</v>
      </c>
      <c r="S1341" s="230" t="n">
        <f aca="false">+YEARFRAC(L1341,$S$1)</f>
        <v>4.71666666666667</v>
      </c>
      <c r="T1341" s="230" t="n">
        <f aca="false">+YEARFRAC(M1341,$S$1)</f>
        <v>11.9305555555556</v>
      </c>
      <c r="U1341" s="231" t="n">
        <f aca="false">+$I1341</f>
        <v>6479904</v>
      </c>
      <c r="V1341" s="232" t="str">
        <f aca="false">+PROPER(F1341)</f>
        <v>Casado(A)</v>
      </c>
    </row>
    <row r="1342" customFormat="false" ht="14.25" hidden="false" customHeight="false" outlineLevel="0" collapsed="false">
      <c r="B1342" s="197" t="n">
        <v>1143844261</v>
      </c>
      <c r="C1342" s="197" t="s">
        <v>2300</v>
      </c>
      <c r="D1342" s="197" t="s">
        <v>2754</v>
      </c>
      <c r="E1342" s="198" t="s">
        <v>944</v>
      </c>
      <c r="F1342" s="198" t="s">
        <v>945</v>
      </c>
      <c r="G1342" s="225" t="n">
        <v>1625000</v>
      </c>
      <c r="H1342" s="225" t="n">
        <v>1121761</v>
      </c>
      <c r="I1342" s="225" t="n">
        <v>126967</v>
      </c>
      <c r="J1342" s="198" t="n">
        <v>32</v>
      </c>
      <c r="K1342" s="198" t="n">
        <v>1</v>
      </c>
      <c r="L1342" s="226" t="n">
        <v>45124</v>
      </c>
      <c r="M1342" s="226" t="n">
        <v>44921</v>
      </c>
      <c r="N1342" s="227" t="n">
        <v>0</v>
      </c>
      <c r="O1342" s="227" t="s">
        <v>135</v>
      </c>
      <c r="P1342" s="228" t="n">
        <f aca="false">VLOOKUP(B1342,'NIVEL ENERO'!A:D,3,0)</f>
        <v>0.343744785322044</v>
      </c>
      <c r="Q1342" s="229" t="n">
        <f aca="false">VLOOKUP(B1342,'NIVEL ENERO'!A:D,4,0)</f>
        <v>348911</v>
      </c>
      <c r="R1342" s="186" t="str">
        <f aca="false">+PROPER(C1342&amp;" "&amp;D1342)</f>
        <v>Castro Restrepo Leidy Johana</v>
      </c>
      <c r="S1342" s="230" t="n">
        <f aca="false">+YEARFRAC(L1342,$S$1)</f>
        <v>2.81944444444444</v>
      </c>
      <c r="T1342" s="230" t="n">
        <f aca="false">+YEARFRAC(M1342,$S$1)</f>
        <v>3.37777777777778</v>
      </c>
      <c r="U1342" s="231" t="n">
        <f aca="false">+$I1342</f>
        <v>126967</v>
      </c>
      <c r="V1342" s="232" t="str">
        <f aca="false">+PROPER(F1342)</f>
        <v>Union Libre</v>
      </c>
    </row>
    <row r="1343" customFormat="false" ht="14.25" hidden="false" customHeight="false" outlineLevel="0" collapsed="false">
      <c r="B1343" s="197" t="n">
        <v>1143844512</v>
      </c>
      <c r="C1343" s="197" t="s">
        <v>3281</v>
      </c>
      <c r="D1343" s="197" t="s">
        <v>2482</v>
      </c>
      <c r="E1343" s="198" t="s">
        <v>944</v>
      </c>
      <c r="F1343" s="198" t="s">
        <v>953</v>
      </c>
      <c r="G1343" s="225" t="n">
        <v>2600900</v>
      </c>
      <c r="H1343" s="225" t="n">
        <v>4738513</v>
      </c>
      <c r="I1343" s="225" t="n">
        <v>7995963</v>
      </c>
      <c r="J1343" s="198" t="n">
        <v>32</v>
      </c>
      <c r="K1343" s="198" t="n">
        <v>2</v>
      </c>
      <c r="L1343" s="226" t="n">
        <v>43628</v>
      </c>
      <c r="M1343" s="226" t="n">
        <v>43601</v>
      </c>
      <c r="N1343" s="227" t="n">
        <v>4</v>
      </c>
      <c r="O1343" s="227" t="s">
        <v>135</v>
      </c>
      <c r="P1343" s="228" t="n">
        <f aca="false">VLOOKUP(B1343,'NIVEL ENERO'!A:D,3,0)</f>
        <v>0.195462956405424</v>
      </c>
      <c r="Q1343" s="229" t="n">
        <f aca="false">VLOOKUP(B1343,'NIVEL ENERO'!A:D,4,0)</f>
        <v>702787.1</v>
      </c>
      <c r="R1343" s="186" t="str">
        <f aca="false">+PROPER(C1343&amp;" "&amp;D1343)</f>
        <v>Perez Mamiam Andres Felipe</v>
      </c>
      <c r="S1343" s="230" t="n">
        <f aca="false">+YEARFRAC(L1343,$S$1)</f>
        <v>6.91666666666667</v>
      </c>
      <c r="T1343" s="230" t="n">
        <f aca="false">+YEARFRAC(M1343,$S$1)</f>
        <v>6.98888888888889</v>
      </c>
      <c r="U1343" s="231" t="n">
        <f aca="false">+$I1343</f>
        <v>7995963</v>
      </c>
      <c r="V1343" s="232" t="str">
        <f aca="false">+PROPER(F1343)</f>
        <v>Soltero(A)</v>
      </c>
    </row>
    <row r="1344" customFormat="false" ht="14.25" hidden="false" customHeight="false" outlineLevel="0" collapsed="false">
      <c r="B1344" s="197" t="n">
        <v>1143844762</v>
      </c>
      <c r="C1344" s="197" t="s">
        <v>3282</v>
      </c>
      <c r="D1344" s="197" t="s">
        <v>2252</v>
      </c>
      <c r="E1344" s="198" t="s">
        <v>944</v>
      </c>
      <c r="F1344" s="198" t="s">
        <v>945</v>
      </c>
      <c r="G1344" s="225" t="n">
        <v>2600900</v>
      </c>
      <c r="H1344" s="225" t="n">
        <v>2328600</v>
      </c>
      <c r="I1344" s="225" t="n">
        <v>0</v>
      </c>
      <c r="J1344" s="198" t="n">
        <v>32</v>
      </c>
      <c r="K1344" s="198" t="n">
        <v>1</v>
      </c>
      <c r="L1344" s="226" t="n">
        <v>44789</v>
      </c>
      <c r="M1344" s="226" t="n">
        <v>44475</v>
      </c>
      <c r="N1344" s="227" t="n">
        <v>4</v>
      </c>
      <c r="O1344" s="227" t="s">
        <v>135</v>
      </c>
      <c r="P1344" s="228" t="n">
        <f aca="false">VLOOKUP(B1344,'NIVEL ENERO'!A:D,3,0)</f>
        <v>0.126448283523485</v>
      </c>
      <c r="Q1344" s="229" t="n">
        <f aca="false">VLOOKUP(B1344,'NIVEL ENERO'!A:D,4,0)</f>
        <v>1206280.62</v>
      </c>
      <c r="R1344" s="186" t="str">
        <f aca="false">+PROPER(C1344&amp;" "&amp;D1344)</f>
        <v>Meneses Ruiz Natalia</v>
      </c>
      <c r="S1344" s="230" t="n">
        <f aca="false">+YEARFRAC(L1344,$S$1)</f>
        <v>3.73888888888889</v>
      </c>
      <c r="T1344" s="230" t="n">
        <f aca="false">+YEARFRAC(M1344,$S$1)</f>
        <v>4.6</v>
      </c>
      <c r="U1344" s="231" t="n">
        <f aca="false">+$I1344</f>
        <v>0</v>
      </c>
      <c r="V1344" s="232" t="str">
        <f aca="false">+PROPER(F1344)</f>
        <v>Union Libre</v>
      </c>
    </row>
    <row r="1345" customFormat="false" ht="14.25" hidden="false" customHeight="false" outlineLevel="0" collapsed="false">
      <c r="B1345" s="197" t="n">
        <v>1143844784</v>
      </c>
      <c r="C1345" s="197" t="s">
        <v>3283</v>
      </c>
      <c r="D1345" s="197" t="s">
        <v>1434</v>
      </c>
      <c r="E1345" s="198" t="s">
        <v>944</v>
      </c>
      <c r="F1345" s="198" t="s">
        <v>945</v>
      </c>
      <c r="G1345" s="225" t="n">
        <v>2893800</v>
      </c>
      <c r="H1345" s="225" t="n">
        <v>500000</v>
      </c>
      <c r="I1345" s="225" t="n">
        <v>0</v>
      </c>
      <c r="J1345" s="198" t="n">
        <v>32</v>
      </c>
      <c r="K1345" s="198" t="n">
        <v>4</v>
      </c>
      <c r="L1345" s="226" t="n">
        <v>45517</v>
      </c>
      <c r="M1345" s="226" t="n">
        <v>41072</v>
      </c>
      <c r="N1345" s="227" t="n">
        <v>2</v>
      </c>
      <c r="O1345" s="227" t="s">
        <v>135</v>
      </c>
      <c r="P1345" s="228" t="n">
        <f aca="false">VLOOKUP(B1345,'NIVEL ENERO'!A:D,3,0)</f>
        <v>0.290577095860115</v>
      </c>
      <c r="Q1345" s="229" t="n">
        <f aca="false">VLOOKUP(B1345,'NIVEL ENERO'!A:D,4,0)</f>
        <v>374524</v>
      </c>
      <c r="R1345" s="186" t="str">
        <f aca="false">+PROPER(C1345&amp;" "&amp;D1345)</f>
        <v>Garcia Jimenez Diana Marcela</v>
      </c>
      <c r="S1345" s="230" t="n">
        <f aca="false">+YEARFRAC(L1345,$S$1)</f>
        <v>1.74722222222222</v>
      </c>
      <c r="T1345" s="230" t="n">
        <f aca="false">+YEARFRAC(M1345,$S$1)</f>
        <v>13.9166666666667</v>
      </c>
      <c r="U1345" s="231" t="n">
        <f aca="false">+$I1345</f>
        <v>0</v>
      </c>
      <c r="V1345" s="232" t="str">
        <f aca="false">+PROPER(F1345)</f>
        <v>Union Libre</v>
      </c>
    </row>
    <row r="1346" customFormat="false" ht="14.25" hidden="false" customHeight="false" outlineLevel="0" collapsed="false">
      <c r="B1346" s="197" t="n">
        <v>1143844901</v>
      </c>
      <c r="C1346" s="197" t="s">
        <v>3284</v>
      </c>
      <c r="D1346" s="197" t="s">
        <v>3285</v>
      </c>
      <c r="E1346" s="198" t="s">
        <v>944</v>
      </c>
      <c r="F1346" s="198" t="s">
        <v>953</v>
      </c>
      <c r="G1346" s="225" t="n">
        <v>2035487</v>
      </c>
      <c r="H1346" s="225" t="n">
        <v>1121761</v>
      </c>
      <c r="I1346" s="225" t="n">
        <v>917669</v>
      </c>
      <c r="J1346" s="198" t="n">
        <v>33</v>
      </c>
      <c r="K1346" s="198" t="n">
        <v>3</v>
      </c>
      <c r="L1346" s="226" t="n">
        <v>45118</v>
      </c>
      <c r="M1346" s="226" t="n">
        <v>43266</v>
      </c>
      <c r="N1346" s="227" t="n">
        <v>0</v>
      </c>
      <c r="O1346" s="227" t="s">
        <v>135</v>
      </c>
      <c r="P1346" s="228" t="n">
        <f aca="false">VLOOKUP(B1346,'NIVEL ENERO'!A:D,3,0)</f>
        <v>0.254526365937383</v>
      </c>
      <c r="Q1346" s="229" t="n">
        <f aca="false">VLOOKUP(B1346,'NIVEL ENERO'!A:D,4,0)</f>
        <v>346643.38</v>
      </c>
      <c r="R1346" s="186" t="str">
        <f aca="false">+PROPER(C1346&amp;" "&amp;D1346)</f>
        <v>Giraldo Salazar Leidy Lorena</v>
      </c>
      <c r="S1346" s="230" t="n">
        <f aca="false">+YEARFRAC(L1346,$S$1)</f>
        <v>2.83611111111111</v>
      </c>
      <c r="T1346" s="230" t="n">
        <f aca="false">+YEARFRAC(M1346,$S$1)</f>
        <v>7.90833333333333</v>
      </c>
      <c r="U1346" s="231" t="n">
        <f aca="false">+$I1346</f>
        <v>917669</v>
      </c>
      <c r="V1346" s="232" t="str">
        <f aca="false">+PROPER(F1346)</f>
        <v>Soltero(A)</v>
      </c>
    </row>
    <row r="1347" customFormat="false" ht="14.25" hidden="false" customHeight="false" outlineLevel="0" collapsed="false">
      <c r="B1347" s="197" t="n">
        <v>1143847468</v>
      </c>
      <c r="C1347" s="197" t="s">
        <v>3286</v>
      </c>
      <c r="D1347" s="197" t="s">
        <v>3287</v>
      </c>
      <c r="E1347" s="198" t="s">
        <v>944</v>
      </c>
      <c r="F1347" s="198" t="s">
        <v>945</v>
      </c>
      <c r="G1347" s="225" t="n">
        <v>2893800</v>
      </c>
      <c r="H1347" s="225" t="n">
        <v>831006</v>
      </c>
      <c r="I1347" s="225" t="n">
        <v>1365940</v>
      </c>
      <c r="J1347" s="198" t="n">
        <v>31</v>
      </c>
      <c r="K1347" s="198" t="n">
        <v>1</v>
      </c>
      <c r="L1347" s="226" t="n">
        <v>45279</v>
      </c>
      <c r="M1347" s="226" t="n">
        <v>44755</v>
      </c>
      <c r="N1347" s="227" t="n">
        <v>0</v>
      </c>
      <c r="O1347" s="227" t="s">
        <v>135</v>
      </c>
      <c r="P1347" s="228" t="n">
        <f aca="false">VLOOKUP(B1347,'NIVEL ENERO'!A:D,3,0)</f>
        <v>0.238397502920618</v>
      </c>
      <c r="Q1347" s="229" t="n">
        <f aca="false">VLOOKUP(B1347,'NIVEL ENERO'!A:D,4,0)</f>
        <v>730246.22</v>
      </c>
      <c r="R1347" s="186" t="str">
        <f aca="false">+PROPER(C1347&amp;" "&amp;D1347)</f>
        <v>Montano Micolta Claudia Cecilia</v>
      </c>
      <c r="S1347" s="230" t="n">
        <f aca="false">+YEARFRAC(L1347,$S$1)</f>
        <v>2.39722222222222</v>
      </c>
      <c r="T1347" s="230" t="n">
        <f aca="false">+YEARFRAC(M1347,$S$1)</f>
        <v>3.83055555555556</v>
      </c>
      <c r="U1347" s="231" t="n">
        <f aca="false">+$I1347</f>
        <v>1365940</v>
      </c>
      <c r="V1347" s="232" t="str">
        <f aca="false">+PROPER(F1347)</f>
        <v>Union Libre</v>
      </c>
    </row>
    <row r="1348" customFormat="false" ht="14.25" hidden="false" customHeight="false" outlineLevel="0" collapsed="false">
      <c r="B1348" s="197" t="n">
        <v>1143847654</v>
      </c>
      <c r="C1348" s="197" t="s">
        <v>3288</v>
      </c>
      <c r="D1348" s="197" t="s">
        <v>3289</v>
      </c>
      <c r="E1348" s="198" t="s">
        <v>944</v>
      </c>
      <c r="F1348" s="198" t="s">
        <v>948</v>
      </c>
      <c r="G1348" s="225" t="n">
        <v>5842800</v>
      </c>
      <c r="H1348" s="225" t="n">
        <v>3800100</v>
      </c>
      <c r="I1348" s="225"/>
      <c r="J1348" s="198" t="n">
        <v>31</v>
      </c>
      <c r="K1348" s="198" t="n">
        <v>2</v>
      </c>
      <c r="L1348" s="226" t="n">
        <v>45250</v>
      </c>
      <c r="M1348" s="226" t="n">
        <v>41988</v>
      </c>
      <c r="N1348" s="227" t="n">
        <v>0</v>
      </c>
      <c r="O1348" s="227" t="s">
        <v>135</v>
      </c>
      <c r="P1348" s="228" t="n">
        <f aca="false">VLOOKUP(B1348,'NIVEL ENERO'!A:D,3,0)</f>
        <v>0.17123194358869</v>
      </c>
      <c r="Q1348" s="229" t="n">
        <f aca="false">VLOOKUP(B1348,'NIVEL ENERO'!A:D,4,0)</f>
        <v>1453502</v>
      </c>
      <c r="R1348" s="186" t="str">
        <f aca="false">+PROPER(C1348&amp;" "&amp;D1348)</f>
        <v>Acevedo Guerrero Diana Ximena</v>
      </c>
      <c r="S1348" s="230" t="n">
        <f aca="false">+YEARFRAC(L1348,$S$1)</f>
        <v>2.47777777777778</v>
      </c>
      <c r="T1348" s="230" t="n">
        <f aca="false">+YEARFRAC(M1348,$S$1)</f>
        <v>11.4083333333333</v>
      </c>
      <c r="U1348" s="231" t="n">
        <f aca="false">+$I1348</f>
        <v>0</v>
      </c>
      <c r="V1348" s="232" t="str">
        <f aca="false">+PROPER(F1348)</f>
        <v>Casado(A)</v>
      </c>
    </row>
    <row r="1349" customFormat="false" ht="14.25" hidden="false" customHeight="false" outlineLevel="0" collapsed="false">
      <c r="B1349" s="197" t="n">
        <v>1143848340</v>
      </c>
      <c r="C1349" s="197" t="s">
        <v>3290</v>
      </c>
      <c r="D1349" s="197" t="s">
        <v>3291</v>
      </c>
      <c r="E1349" s="198" t="s">
        <v>944</v>
      </c>
      <c r="F1349" s="198" t="s">
        <v>948</v>
      </c>
      <c r="G1349" s="225" t="n">
        <v>2893800</v>
      </c>
      <c r="H1349" s="225" t="n">
        <v>3314810</v>
      </c>
      <c r="I1349" s="225" t="n">
        <v>0</v>
      </c>
      <c r="J1349" s="198" t="n">
        <v>31</v>
      </c>
      <c r="K1349" s="198" t="n">
        <v>2</v>
      </c>
      <c r="L1349" s="226" t="n">
        <v>44642</v>
      </c>
      <c r="M1349" s="226" t="n">
        <v>41810</v>
      </c>
      <c r="N1349" s="227" t="n">
        <v>2</v>
      </c>
      <c r="O1349" s="227" t="s">
        <v>135</v>
      </c>
      <c r="P1349" s="228" t="n">
        <f aca="false">VLOOKUP(B1349,'NIVEL ENERO'!A:D,3,0)</f>
        <v>0.22949418702226</v>
      </c>
      <c r="Q1349" s="229" t="n">
        <f aca="false">VLOOKUP(B1349,'NIVEL ENERO'!A:D,4,0)</f>
        <v>665937.2</v>
      </c>
      <c r="R1349" s="186" t="str">
        <f aca="false">+PROPER(C1349&amp;" "&amp;D1349)</f>
        <v>Rincon Burbano Karent Yulieth</v>
      </c>
      <c r="S1349" s="230" t="n">
        <f aca="false">+YEARFRAC(L1349,$S$1)</f>
        <v>4.13888888888889</v>
      </c>
      <c r="T1349" s="230" t="n">
        <f aca="false">+YEARFRAC(M1349,$S$1)</f>
        <v>11.8944444444444</v>
      </c>
      <c r="U1349" s="231" t="n">
        <f aca="false">+$I1349</f>
        <v>0</v>
      </c>
      <c r="V1349" s="232" t="str">
        <f aca="false">+PROPER(F1349)</f>
        <v>Casado(A)</v>
      </c>
    </row>
    <row r="1350" customFormat="false" ht="14.25" hidden="false" customHeight="false" outlineLevel="0" collapsed="false">
      <c r="B1350" s="197" t="n">
        <v>1143849676</v>
      </c>
      <c r="C1350" s="197" t="s">
        <v>3292</v>
      </c>
      <c r="D1350" s="197" t="s">
        <v>3293</v>
      </c>
      <c r="E1350" s="198" t="s">
        <v>944</v>
      </c>
      <c r="F1350" s="198" t="s">
        <v>953</v>
      </c>
      <c r="G1350" s="225" t="n">
        <v>2893800</v>
      </c>
      <c r="H1350" s="225" t="n">
        <v>1809701</v>
      </c>
      <c r="I1350" s="225" t="n">
        <v>0</v>
      </c>
      <c r="J1350" s="198" t="n">
        <v>31</v>
      </c>
      <c r="K1350" s="198" t="n">
        <v>1</v>
      </c>
      <c r="L1350" s="226" t="n">
        <v>44701</v>
      </c>
      <c r="M1350" s="226" t="n">
        <v>42646</v>
      </c>
      <c r="N1350" s="227" t="n">
        <v>3</v>
      </c>
      <c r="O1350" s="227" t="s">
        <v>135</v>
      </c>
      <c r="P1350" s="228" t="n">
        <f aca="false">VLOOKUP(B1350,'NIVEL ENERO'!A:D,3,0)</f>
        <v>0.123356880869008</v>
      </c>
      <c r="Q1350" s="229" t="n">
        <f aca="false">VLOOKUP(B1350,'NIVEL ENERO'!A:D,4,0)</f>
        <v>875843.16</v>
      </c>
      <c r="R1350" s="186" t="str">
        <f aca="false">+PROPER(C1350&amp;" "&amp;D1350)</f>
        <v>Torres Gonzalez Angi Carolina</v>
      </c>
      <c r="S1350" s="230" t="n">
        <f aca="false">+YEARFRAC(L1350,$S$1)</f>
        <v>3.97777777777778</v>
      </c>
      <c r="T1350" s="230" t="n">
        <f aca="false">+YEARFRAC(M1350,$S$1)</f>
        <v>9.60833333333333</v>
      </c>
      <c r="U1350" s="231" t="n">
        <f aca="false">+$I1350</f>
        <v>0</v>
      </c>
      <c r="V1350" s="232" t="str">
        <f aca="false">+PROPER(F1350)</f>
        <v>Soltero(A)</v>
      </c>
    </row>
    <row r="1351" customFormat="false" ht="14.25" hidden="false" customHeight="false" outlineLevel="0" collapsed="false">
      <c r="B1351" s="197" t="n">
        <v>1143849905</v>
      </c>
      <c r="C1351" s="197" t="s">
        <v>3294</v>
      </c>
      <c r="D1351" s="197" t="s">
        <v>1239</v>
      </c>
      <c r="E1351" s="198" t="s">
        <v>944</v>
      </c>
      <c r="F1351" s="198" t="s">
        <v>948</v>
      </c>
      <c r="G1351" s="225" t="n">
        <v>4335000</v>
      </c>
      <c r="H1351" s="225" t="n">
        <v>3305831</v>
      </c>
      <c r="I1351" s="225" t="n">
        <v>0</v>
      </c>
      <c r="J1351" s="198" t="n">
        <v>31</v>
      </c>
      <c r="K1351" s="198" t="n">
        <v>1</v>
      </c>
      <c r="L1351" s="226" t="n">
        <v>45001</v>
      </c>
      <c r="M1351" s="226" t="n">
        <v>42717</v>
      </c>
      <c r="N1351" s="227" t="n">
        <v>0</v>
      </c>
      <c r="O1351" s="227" t="s">
        <v>135</v>
      </c>
      <c r="P1351" s="228" t="n">
        <f aca="false">VLOOKUP(B1351,'NIVEL ENERO'!A:D,3,0)</f>
        <v>0.234454225638461</v>
      </c>
      <c r="Q1351" s="229" t="n">
        <f aca="false">VLOOKUP(B1351,'NIVEL ENERO'!A:D,4,0)</f>
        <v>1038124.34</v>
      </c>
      <c r="R1351" s="186" t="str">
        <f aca="false">+PROPER(C1351&amp;" "&amp;D1351)</f>
        <v>Romero Arenas Katherine</v>
      </c>
      <c r="S1351" s="230" t="n">
        <f aca="false">+YEARFRAC(L1351,$S$1)</f>
        <v>3.15555555555556</v>
      </c>
      <c r="T1351" s="230" t="n">
        <f aca="false">+YEARFRAC(M1351,$S$1)</f>
        <v>9.41388888888889</v>
      </c>
      <c r="U1351" s="231" t="n">
        <f aca="false">+$I1351</f>
        <v>0</v>
      </c>
      <c r="V1351" s="232" t="str">
        <f aca="false">+PROPER(F1351)</f>
        <v>Casado(A)</v>
      </c>
    </row>
    <row r="1352" customFormat="false" ht="14.25" hidden="false" customHeight="false" outlineLevel="0" collapsed="false">
      <c r="B1352" s="197" t="n">
        <v>1143851066</v>
      </c>
      <c r="C1352" s="197" t="s">
        <v>3295</v>
      </c>
      <c r="D1352" s="197" t="s">
        <v>3296</v>
      </c>
      <c r="E1352" s="198" t="s">
        <v>944</v>
      </c>
      <c r="F1352" s="198" t="s">
        <v>945</v>
      </c>
      <c r="G1352" s="225" t="n">
        <v>1918500</v>
      </c>
      <c r="H1352" s="225" t="n">
        <v>1068665</v>
      </c>
      <c r="I1352" s="225" t="n">
        <v>78212</v>
      </c>
      <c r="J1352" s="198" t="n">
        <v>31</v>
      </c>
      <c r="K1352" s="198" t="n">
        <v>2</v>
      </c>
      <c r="L1352" s="226" t="n">
        <v>45142</v>
      </c>
      <c r="M1352" s="226" t="n">
        <v>42353</v>
      </c>
      <c r="N1352" s="227" t="n">
        <v>1</v>
      </c>
      <c r="O1352" s="227" t="s">
        <v>135</v>
      </c>
      <c r="P1352" s="228" t="n">
        <f aca="false">VLOOKUP(B1352,'NIVEL ENERO'!A:D,3,0)</f>
        <v>0.440080969507428</v>
      </c>
      <c r="Q1352" s="229" t="n">
        <f aca="false">VLOOKUP(B1352,'NIVEL ENERO'!A:D,4,0)</f>
        <v>-91727</v>
      </c>
      <c r="R1352" s="186" t="str">
        <f aca="false">+PROPER(C1352&amp;" "&amp;D1352)</f>
        <v>Llanten Llanten Leidy Jhoanna</v>
      </c>
      <c r="S1352" s="230" t="n">
        <f aca="false">+YEARFRAC(L1352,$S$1)</f>
        <v>2.77222222222222</v>
      </c>
      <c r="T1352" s="230" t="n">
        <f aca="false">+YEARFRAC(M1352,$S$1)</f>
        <v>10.4083333333333</v>
      </c>
      <c r="U1352" s="231" t="n">
        <f aca="false">+$I1352</f>
        <v>78212</v>
      </c>
      <c r="V1352" s="232" t="str">
        <f aca="false">+PROPER(F1352)</f>
        <v>Union Libre</v>
      </c>
    </row>
    <row r="1353" customFormat="false" ht="14.25" hidden="false" customHeight="false" outlineLevel="0" collapsed="false">
      <c r="B1353" s="197" t="n">
        <v>1143851108</v>
      </c>
      <c r="C1353" s="197" t="s">
        <v>3297</v>
      </c>
      <c r="D1353" s="197" t="s">
        <v>3298</v>
      </c>
      <c r="E1353" s="198" t="s">
        <v>944</v>
      </c>
      <c r="F1353" s="198" t="s">
        <v>945</v>
      </c>
      <c r="G1353" s="225" t="n">
        <v>2600900</v>
      </c>
      <c r="H1353" s="225" t="n">
        <v>2700537</v>
      </c>
      <c r="I1353" s="225" t="n">
        <v>2863046</v>
      </c>
      <c r="J1353" s="198" t="n">
        <v>31</v>
      </c>
      <c r="K1353" s="198" t="n">
        <v>2</v>
      </c>
      <c r="L1353" s="226" t="n">
        <v>45190</v>
      </c>
      <c r="M1353" s="226" t="n">
        <v>44683</v>
      </c>
      <c r="N1353" s="227" t="n">
        <v>0</v>
      </c>
      <c r="O1353" s="227" t="s">
        <v>135</v>
      </c>
      <c r="P1353" s="228" t="n">
        <f aca="false">VLOOKUP(B1353,'NIVEL ENERO'!A:D,3,0)</f>
        <v>0.374578459750093</v>
      </c>
      <c r="Q1353" s="229" t="n">
        <f aca="false">VLOOKUP(B1353,'NIVEL ENERO'!A:D,4,0)</f>
        <v>135874.48</v>
      </c>
      <c r="R1353" s="186" t="str">
        <f aca="false">+PROPER(C1353&amp;" "&amp;D1353)</f>
        <v>Benavides Pino Stefani</v>
      </c>
      <c r="S1353" s="230" t="n">
        <f aca="false">+YEARFRAC(L1353,$S$1)</f>
        <v>2.64166666666667</v>
      </c>
      <c r="T1353" s="230" t="n">
        <f aca="false">+YEARFRAC(M1353,$S$1)</f>
        <v>4.02777777777778</v>
      </c>
      <c r="U1353" s="231" t="n">
        <f aca="false">+$I1353</f>
        <v>2863046</v>
      </c>
      <c r="V1353" s="232" t="str">
        <f aca="false">+PROPER(F1353)</f>
        <v>Union Libre</v>
      </c>
    </row>
    <row r="1354" customFormat="false" ht="14.25" hidden="false" customHeight="false" outlineLevel="0" collapsed="false">
      <c r="B1354" s="197" t="n">
        <v>1143851441</v>
      </c>
      <c r="C1354" s="197" t="s">
        <v>3299</v>
      </c>
      <c r="D1354" s="197" t="s">
        <v>963</v>
      </c>
      <c r="E1354" s="198" t="s">
        <v>944</v>
      </c>
      <c r="F1354" s="198" t="s">
        <v>953</v>
      </c>
      <c r="G1354" s="225" t="n">
        <v>2600900</v>
      </c>
      <c r="H1354" s="225" t="n">
        <v>781148</v>
      </c>
      <c r="I1354" s="225" t="n">
        <v>2317601</v>
      </c>
      <c r="J1354" s="198" t="n">
        <v>31</v>
      </c>
      <c r="K1354" s="198" t="n">
        <v>1</v>
      </c>
      <c r="L1354" s="226" t="n">
        <v>45310</v>
      </c>
      <c r="M1354" s="226" t="n">
        <v>42394</v>
      </c>
      <c r="N1354" s="227" t="n">
        <v>2</v>
      </c>
      <c r="O1354" s="227" t="s">
        <v>135</v>
      </c>
      <c r="P1354" s="228" t="n">
        <f aca="false">VLOOKUP(B1354,'NIVEL ENERO'!A:D,3,0)</f>
        <v>0.269172518612221</v>
      </c>
      <c r="Q1354" s="229" t="n">
        <f aca="false">VLOOKUP(B1354,'NIVEL ENERO'!A:D,4,0)</f>
        <v>412625.88</v>
      </c>
      <c r="R1354" s="186" t="str">
        <f aca="false">+PROPER(C1354&amp;" "&amp;D1354)</f>
        <v>Espinosa Cifuentes Luis Fernando</v>
      </c>
      <c r="S1354" s="230" t="n">
        <f aca="false">+YEARFRAC(L1354,$S$1)</f>
        <v>2.31388888888889</v>
      </c>
      <c r="T1354" s="230" t="n">
        <f aca="false">+YEARFRAC(M1354,$S$1)</f>
        <v>10.2972222222222</v>
      </c>
      <c r="U1354" s="231" t="n">
        <f aca="false">+$I1354</f>
        <v>2317601</v>
      </c>
      <c r="V1354" s="232" t="str">
        <f aca="false">+PROPER(F1354)</f>
        <v>Soltero(A)</v>
      </c>
    </row>
    <row r="1355" customFormat="false" ht="14.25" hidden="false" customHeight="false" outlineLevel="0" collapsed="false">
      <c r="B1355" s="197" t="n">
        <v>1143853616</v>
      </c>
      <c r="C1355" s="197" t="s">
        <v>3300</v>
      </c>
      <c r="D1355" s="197" t="s">
        <v>1162</v>
      </c>
      <c r="E1355" s="198" t="s">
        <v>944</v>
      </c>
      <c r="F1355" s="198" t="s">
        <v>953</v>
      </c>
      <c r="G1355" s="225" t="n">
        <v>5418800</v>
      </c>
      <c r="H1355" s="225" t="n">
        <v>2213761</v>
      </c>
      <c r="I1355" s="225" t="n">
        <v>3780784</v>
      </c>
      <c r="J1355" s="198" t="n">
        <v>30</v>
      </c>
      <c r="K1355" s="198" t="n">
        <v>1</v>
      </c>
      <c r="L1355" s="226" t="n">
        <v>44431</v>
      </c>
      <c r="M1355" s="226" t="n">
        <v>44111</v>
      </c>
      <c r="N1355" s="227" t="n">
        <v>2</v>
      </c>
      <c r="O1355" s="227" t="s">
        <v>135</v>
      </c>
      <c r="P1355" s="228" t="n">
        <f aca="false">VLOOKUP(B1355,'NIVEL ENERO'!A:D,3,0)</f>
        <v>0.1778815332197</v>
      </c>
      <c r="Q1355" s="229" t="n">
        <f aca="false">VLOOKUP(B1355,'NIVEL ENERO'!A:D,4,0)</f>
        <v>1877003.56</v>
      </c>
      <c r="R1355" s="186" t="str">
        <f aca="false">+PROPER(C1355&amp;" "&amp;D1355)</f>
        <v>Gutierrez Astudillo Maria Isabel</v>
      </c>
      <c r="S1355" s="230" t="n">
        <f aca="false">+YEARFRAC(L1355,$S$1)</f>
        <v>4.71944444444444</v>
      </c>
      <c r="T1355" s="230" t="n">
        <f aca="false">+YEARFRAC(M1355,$S$1)</f>
        <v>5.59722222222222</v>
      </c>
      <c r="U1355" s="231" t="n">
        <f aca="false">+$I1355</f>
        <v>3780784</v>
      </c>
      <c r="V1355" s="232" t="str">
        <f aca="false">+PROPER(F1355)</f>
        <v>Soltero(A)</v>
      </c>
    </row>
    <row r="1356" customFormat="false" ht="14.25" hidden="false" customHeight="false" outlineLevel="0" collapsed="false">
      <c r="B1356" s="197" t="n">
        <v>1143854553</v>
      </c>
      <c r="C1356" s="197" t="s">
        <v>3301</v>
      </c>
      <c r="D1356" s="197" t="s">
        <v>1328</v>
      </c>
      <c r="E1356" s="198" t="s">
        <v>944</v>
      </c>
      <c r="F1356" s="198" t="s">
        <v>945</v>
      </c>
      <c r="G1356" s="225" t="n">
        <v>2600900</v>
      </c>
      <c r="H1356" s="225" t="n">
        <v>1557164</v>
      </c>
      <c r="I1356" s="225" t="n">
        <v>3062000</v>
      </c>
      <c r="J1356" s="198" t="n">
        <v>30</v>
      </c>
      <c r="K1356" s="198" t="n">
        <v>2</v>
      </c>
      <c r="L1356" s="226" t="n">
        <v>44875</v>
      </c>
      <c r="M1356" s="226" t="n">
        <v>44858</v>
      </c>
      <c r="N1356" s="227" t="n">
        <v>0</v>
      </c>
      <c r="O1356" s="227" t="s">
        <v>135</v>
      </c>
      <c r="P1356" s="228" t="n">
        <f aca="false">VLOOKUP(B1356,'NIVEL ENERO'!A:D,3,0)</f>
        <v>0.442900147580084</v>
      </c>
      <c r="Q1356" s="229" t="n">
        <f aca="false">VLOOKUP(B1356,'NIVEL ENERO'!A:D,4,0)</f>
        <v>-60439.1000000001</v>
      </c>
      <c r="R1356" s="186" t="str">
        <f aca="false">+PROPER(C1356&amp;" "&amp;D1356)</f>
        <v>Dominguez Giraldo Lina Marcela</v>
      </c>
      <c r="S1356" s="230" t="n">
        <f aca="false">+YEARFRAC(L1356,$S$1)</f>
        <v>3.50555555555556</v>
      </c>
      <c r="T1356" s="230" t="n">
        <f aca="false">+YEARFRAC(M1356,$S$1)</f>
        <v>3.55</v>
      </c>
      <c r="U1356" s="231" t="n">
        <f aca="false">+$I1356</f>
        <v>3062000</v>
      </c>
      <c r="V1356" s="232" t="str">
        <f aca="false">+PROPER(F1356)</f>
        <v>Union Libre</v>
      </c>
    </row>
    <row r="1357" customFormat="false" ht="14.25" hidden="false" customHeight="false" outlineLevel="0" collapsed="false">
      <c r="B1357" s="197" t="n">
        <v>1143854728</v>
      </c>
      <c r="C1357" s="197" t="s">
        <v>3302</v>
      </c>
      <c r="D1357" s="197" t="s">
        <v>3303</v>
      </c>
      <c r="E1357" s="198" t="s">
        <v>944</v>
      </c>
      <c r="F1357" s="198" t="s">
        <v>948</v>
      </c>
      <c r="G1357" s="225" t="n">
        <v>6225200</v>
      </c>
      <c r="H1357" s="225" t="n">
        <v>6102837</v>
      </c>
      <c r="I1357" s="225" t="n">
        <v>3498839</v>
      </c>
      <c r="J1357" s="198" t="n">
        <v>30</v>
      </c>
      <c r="K1357" s="198" t="n">
        <v>1</v>
      </c>
      <c r="L1357" s="226" t="n">
        <v>43514</v>
      </c>
      <c r="M1357" s="226" t="n">
        <v>42962</v>
      </c>
      <c r="N1357" s="227" t="n">
        <v>3</v>
      </c>
      <c r="O1357" s="227" t="s">
        <v>135</v>
      </c>
      <c r="P1357" s="228" t="n">
        <f aca="false">VLOOKUP(B1357,'NIVEL ENERO'!A:D,3,0)</f>
        <v>0.291693695073645</v>
      </c>
      <c r="Q1357" s="229" t="n">
        <f aca="false">VLOOKUP(B1357,'NIVEL ENERO'!A:D,4,0)</f>
        <v>916386.34</v>
      </c>
      <c r="R1357" s="186" t="str">
        <f aca="false">+PROPER(C1357&amp;" "&amp;D1357)</f>
        <v>Gomez Benavides Nathalia Marcela</v>
      </c>
      <c r="S1357" s="230" t="n">
        <f aca="false">+YEARFRAC(L1357,$S$1)</f>
        <v>7.23333333333333</v>
      </c>
      <c r="T1357" s="230" t="n">
        <f aca="false">+YEARFRAC(M1357,$S$1)</f>
        <v>8.74166666666667</v>
      </c>
      <c r="U1357" s="231" t="n">
        <f aca="false">+$I1357</f>
        <v>3498839</v>
      </c>
      <c r="V1357" s="232" t="str">
        <f aca="false">+PROPER(F1357)</f>
        <v>Casado(A)</v>
      </c>
    </row>
    <row r="1358" customFormat="false" ht="14.25" hidden="false" customHeight="false" outlineLevel="0" collapsed="false">
      <c r="B1358" s="197" t="n">
        <v>1143854954</v>
      </c>
      <c r="C1358" s="197" t="s">
        <v>3304</v>
      </c>
      <c r="D1358" s="197" t="s">
        <v>1176</v>
      </c>
      <c r="E1358" s="198" t="s">
        <v>944</v>
      </c>
      <c r="F1358" s="198" t="s">
        <v>953</v>
      </c>
      <c r="G1358" s="225" t="n">
        <v>1918500</v>
      </c>
      <c r="H1358" s="225" t="n">
        <v>1942164</v>
      </c>
      <c r="I1358" s="225"/>
      <c r="J1358" s="198" t="n">
        <v>30</v>
      </c>
      <c r="K1358" s="198" t="n">
        <v>4</v>
      </c>
      <c r="L1358" s="226" t="n">
        <v>44839</v>
      </c>
      <c r="M1358" s="226" t="n">
        <v>44032</v>
      </c>
      <c r="N1358" s="227" t="n">
        <v>1</v>
      </c>
      <c r="O1358" s="227" t="s">
        <v>135</v>
      </c>
      <c r="P1358" s="228" t="n">
        <f aca="false">VLOOKUP(B1358,'NIVEL ENERO'!A:D,3,0)</f>
        <v>0.344646724003127</v>
      </c>
      <c r="Q1358" s="229" t="n">
        <f aca="false">VLOOKUP(B1358,'NIVEL ENERO'!A:D,4,0)</f>
        <v>344203</v>
      </c>
      <c r="R1358" s="186" t="str">
        <f aca="false">+PROPER(C1358&amp;" "&amp;D1358)</f>
        <v>Cultid Pirateque Elizabeth</v>
      </c>
      <c r="S1358" s="230" t="n">
        <f aca="false">+YEARFRAC(L1358,$S$1)</f>
        <v>3.60277777777778</v>
      </c>
      <c r="T1358" s="230" t="n">
        <f aca="false">+YEARFRAC(M1358,$S$1)</f>
        <v>5.81111111111111</v>
      </c>
      <c r="U1358" s="231" t="n">
        <f aca="false">+$I1358</f>
        <v>0</v>
      </c>
      <c r="V1358" s="232" t="str">
        <f aca="false">+PROPER(F1358)</f>
        <v>Soltero(A)</v>
      </c>
    </row>
    <row r="1359" customFormat="false" ht="14.25" hidden="false" customHeight="false" outlineLevel="0" collapsed="false">
      <c r="B1359" s="197" t="n">
        <v>1143855035</v>
      </c>
      <c r="C1359" s="197" t="s">
        <v>3305</v>
      </c>
      <c r="D1359" s="197" t="s">
        <v>3306</v>
      </c>
      <c r="E1359" s="198" t="s">
        <v>944</v>
      </c>
      <c r="F1359" s="198" t="s">
        <v>953</v>
      </c>
      <c r="G1359" s="225" t="n">
        <v>4984600</v>
      </c>
      <c r="H1359" s="225" t="n">
        <v>2474138</v>
      </c>
      <c r="I1359" s="225"/>
      <c r="J1359" s="198" t="n">
        <v>30</v>
      </c>
      <c r="K1359" s="198" t="n">
        <v>1</v>
      </c>
      <c r="L1359" s="226" t="n">
        <v>44753</v>
      </c>
      <c r="M1359" s="226" t="n">
        <v>44762</v>
      </c>
      <c r="N1359" s="227" t="n">
        <v>0</v>
      </c>
      <c r="O1359" s="227" t="s">
        <v>135</v>
      </c>
      <c r="P1359" s="228" t="n">
        <f aca="false">VLOOKUP(B1359,'NIVEL ENERO'!A:D,3,0)</f>
        <v>0.296349012259883</v>
      </c>
      <c r="Q1359" s="229" t="n">
        <f aca="false">VLOOKUP(B1359,'NIVEL ENERO'!A:D,4,0)</f>
        <v>843376.4</v>
      </c>
      <c r="R1359" s="186" t="str">
        <f aca="false">+PROPER(C1359&amp;" "&amp;D1359)</f>
        <v>Pereira Gomez Christian Leonardo</v>
      </c>
      <c r="S1359" s="230" t="n">
        <f aca="false">+YEARFRAC(L1359,$S$1)</f>
        <v>3.83611111111111</v>
      </c>
      <c r="T1359" s="230" t="n">
        <f aca="false">+YEARFRAC(M1359,$S$1)</f>
        <v>3.81111111111111</v>
      </c>
      <c r="U1359" s="231" t="n">
        <f aca="false">+$I1359</f>
        <v>0</v>
      </c>
      <c r="V1359" s="232" t="str">
        <f aca="false">+PROPER(F1359)</f>
        <v>Soltero(A)</v>
      </c>
    </row>
    <row r="1360" customFormat="false" ht="14.25" hidden="false" customHeight="false" outlineLevel="0" collapsed="false">
      <c r="B1360" s="197" t="n">
        <v>1143855852</v>
      </c>
      <c r="C1360" s="197" t="s">
        <v>3307</v>
      </c>
      <c r="D1360" s="197" t="s">
        <v>2451</v>
      </c>
      <c r="E1360" s="198" t="s">
        <v>944</v>
      </c>
      <c r="F1360" s="198" t="s">
        <v>953</v>
      </c>
      <c r="G1360" s="225" t="n">
        <v>3550700</v>
      </c>
      <c r="H1360" s="225" t="n">
        <v>1355255</v>
      </c>
      <c r="I1360" s="225"/>
      <c r="J1360" s="198" t="n">
        <v>30</v>
      </c>
      <c r="K1360" s="198" t="n">
        <v>2</v>
      </c>
      <c r="L1360" s="226" t="n">
        <v>45001</v>
      </c>
      <c r="M1360" s="226" t="n">
        <v>44434</v>
      </c>
      <c r="N1360" s="227" t="n">
        <v>0</v>
      </c>
      <c r="O1360" s="227" t="s">
        <v>135</v>
      </c>
      <c r="P1360" s="228" t="n">
        <f aca="false">VLOOKUP(B1360,'NIVEL ENERO'!A:D,3,0)</f>
        <v>0.307914495733236</v>
      </c>
      <c r="Q1360" s="229" t="n">
        <f aca="false">VLOOKUP(B1360,'NIVEL ENERO'!A:D,4,0)</f>
        <v>397982</v>
      </c>
      <c r="R1360" s="186" t="str">
        <f aca="false">+PROPER(C1360&amp;" "&amp;D1360)</f>
        <v>Palacios Lugo Juan Camilo</v>
      </c>
      <c r="S1360" s="230" t="n">
        <f aca="false">+YEARFRAC(L1360,$S$1)</f>
        <v>3.15555555555556</v>
      </c>
      <c r="T1360" s="230" t="n">
        <f aca="false">+YEARFRAC(M1360,$S$1)</f>
        <v>4.71111111111111</v>
      </c>
      <c r="U1360" s="231" t="n">
        <f aca="false">+$I1360</f>
        <v>0</v>
      </c>
      <c r="V1360" s="232" t="str">
        <f aca="false">+PROPER(F1360)</f>
        <v>Soltero(A)</v>
      </c>
    </row>
    <row r="1361" customFormat="false" ht="14.25" hidden="false" customHeight="false" outlineLevel="0" collapsed="false">
      <c r="B1361" s="197" t="n">
        <v>1143856655</v>
      </c>
      <c r="C1361" s="197" t="s">
        <v>3308</v>
      </c>
      <c r="D1361" s="197" t="s">
        <v>1239</v>
      </c>
      <c r="E1361" s="198" t="s">
        <v>944</v>
      </c>
      <c r="F1361" s="198" t="s">
        <v>953</v>
      </c>
      <c r="G1361" s="225" t="n">
        <v>2893800</v>
      </c>
      <c r="H1361" s="225" t="n">
        <v>4726126</v>
      </c>
      <c r="I1361" s="225" t="n">
        <v>4724551</v>
      </c>
      <c r="J1361" s="198" t="n">
        <v>30</v>
      </c>
      <c r="K1361" s="198" t="n">
        <v>2</v>
      </c>
      <c r="L1361" s="226" t="n">
        <v>42443</v>
      </c>
      <c r="M1361" s="226" t="n">
        <v>42109</v>
      </c>
      <c r="N1361" s="227" t="n">
        <v>4</v>
      </c>
      <c r="O1361" s="227" t="s">
        <v>135</v>
      </c>
      <c r="P1361" s="228" t="n">
        <f aca="false">VLOOKUP(B1361,'NIVEL ENERO'!A:D,3,0)</f>
        <v>0.307181893873222</v>
      </c>
      <c r="Q1361" s="229" t="n">
        <f aca="false">VLOOKUP(B1361,'NIVEL ENERO'!A:D,4,0)</f>
        <v>478495.96</v>
      </c>
      <c r="R1361" s="186" t="str">
        <f aca="false">+PROPER(C1361&amp;" "&amp;D1361)</f>
        <v>Guzman Patino Katherine</v>
      </c>
      <c r="S1361" s="230" t="n">
        <f aca="false">+YEARFRAC(L1361,$S$1)</f>
        <v>10.1611111111111</v>
      </c>
      <c r="T1361" s="230" t="n">
        <f aca="false">+YEARFRAC(M1361,$S$1)</f>
        <v>11.075</v>
      </c>
      <c r="U1361" s="231" t="n">
        <f aca="false">+$I1361</f>
        <v>4724551</v>
      </c>
      <c r="V1361" s="232" t="str">
        <f aca="false">+PROPER(F1361)</f>
        <v>Soltero(A)</v>
      </c>
    </row>
    <row r="1362" customFormat="false" ht="14.25" hidden="false" customHeight="false" outlineLevel="0" collapsed="false">
      <c r="B1362" s="197" t="n">
        <v>1143858755</v>
      </c>
      <c r="C1362" s="197" t="s">
        <v>3309</v>
      </c>
      <c r="D1362" s="197" t="s">
        <v>3310</v>
      </c>
      <c r="E1362" s="198" t="s">
        <v>1288</v>
      </c>
      <c r="F1362" s="198" t="s">
        <v>945</v>
      </c>
      <c r="G1362" s="225" t="n">
        <v>4383200</v>
      </c>
      <c r="H1362" s="225" t="n">
        <v>2708720</v>
      </c>
      <c r="I1362" s="225"/>
      <c r="J1362" s="198" t="n">
        <v>29</v>
      </c>
      <c r="K1362" s="198" t="n">
        <v>1</v>
      </c>
      <c r="L1362" s="226" t="n">
        <v>44848</v>
      </c>
      <c r="M1362" s="226" t="n">
        <v>43033</v>
      </c>
      <c r="N1362" s="227" t="n">
        <v>0</v>
      </c>
      <c r="O1362" s="227" t="s">
        <v>135</v>
      </c>
      <c r="P1362" s="228" t="n">
        <f aca="false">VLOOKUP(B1362,'NIVEL ENERO'!A:D,3,0)</f>
        <v>0.308044400242039</v>
      </c>
      <c r="Q1362" s="229" t="n">
        <f aca="false">VLOOKUP(B1362,'NIVEL ENERO'!A:D,4,0)</f>
        <v>549635.12</v>
      </c>
      <c r="R1362" s="186" t="str">
        <f aca="false">+PROPER(C1362&amp;" "&amp;D1362)</f>
        <v>Jimenez Cruz Xiomara</v>
      </c>
      <c r="S1362" s="230" t="n">
        <f aca="false">+YEARFRAC(L1362,$S$1)</f>
        <v>3.57777777777778</v>
      </c>
      <c r="T1362" s="230" t="n">
        <f aca="false">+YEARFRAC(M1362,$S$1)</f>
        <v>8.54722222222222</v>
      </c>
      <c r="U1362" s="231" t="n">
        <f aca="false">+$I1362</f>
        <v>0</v>
      </c>
      <c r="V1362" s="232" t="str">
        <f aca="false">+PROPER(F1362)</f>
        <v>Union Libre</v>
      </c>
    </row>
    <row r="1363" customFormat="false" ht="14.25" hidden="false" customHeight="false" outlineLevel="0" collapsed="false">
      <c r="B1363" s="197" t="n">
        <v>1143858820</v>
      </c>
      <c r="C1363" s="197" t="s">
        <v>3311</v>
      </c>
      <c r="D1363" s="197" t="s">
        <v>1661</v>
      </c>
      <c r="E1363" s="198" t="s">
        <v>944</v>
      </c>
      <c r="F1363" s="198" t="s">
        <v>953</v>
      </c>
      <c r="G1363" s="225" t="n">
        <v>1991000</v>
      </c>
      <c r="H1363" s="225" t="n">
        <v>1619623</v>
      </c>
      <c r="I1363" s="225" t="n">
        <v>1998366</v>
      </c>
      <c r="J1363" s="198" t="n">
        <v>29</v>
      </c>
      <c r="K1363" s="198" t="n">
        <v>2</v>
      </c>
      <c r="L1363" s="226" t="n">
        <v>44886</v>
      </c>
      <c r="M1363" s="226" t="n">
        <v>44185</v>
      </c>
      <c r="N1363" s="227" t="n">
        <v>0</v>
      </c>
      <c r="O1363" s="227" t="s">
        <v>135</v>
      </c>
      <c r="P1363" s="228" t="n">
        <f aca="false">VLOOKUP(B1363,'NIVEL ENERO'!A:D,3,0)</f>
        <v>0.221762933199397</v>
      </c>
      <c r="Q1363" s="229" t="n">
        <f aca="false">VLOOKUP(B1363,'NIVEL ENERO'!A:D,4,0)</f>
        <v>394690</v>
      </c>
      <c r="R1363" s="186" t="str">
        <f aca="false">+PROPER(C1363&amp;" "&amp;D1363)</f>
        <v>Agudelo Murillo Maria Alejandra</v>
      </c>
      <c r="S1363" s="230" t="n">
        <f aca="false">+YEARFRAC(L1363,$S$1)</f>
        <v>3.475</v>
      </c>
      <c r="T1363" s="230" t="n">
        <f aca="false">+YEARFRAC(M1363,$S$1)</f>
        <v>5.39444444444445</v>
      </c>
      <c r="U1363" s="231" t="n">
        <f aca="false">+$I1363</f>
        <v>1998366</v>
      </c>
      <c r="V1363" s="232" t="str">
        <f aca="false">+PROPER(F1363)</f>
        <v>Soltero(A)</v>
      </c>
    </row>
    <row r="1364" customFormat="false" ht="14.25" hidden="false" customHeight="false" outlineLevel="0" collapsed="false">
      <c r="B1364" s="197" t="n">
        <v>1143859617</v>
      </c>
      <c r="C1364" s="197" t="s">
        <v>3312</v>
      </c>
      <c r="D1364" s="197" t="s">
        <v>3313</v>
      </c>
      <c r="E1364" s="198" t="s">
        <v>944</v>
      </c>
      <c r="F1364" s="198" t="s">
        <v>953</v>
      </c>
      <c r="G1364" s="225" t="n">
        <v>2893800</v>
      </c>
      <c r="H1364" s="225" t="n">
        <v>3672397</v>
      </c>
      <c r="I1364" s="225" t="n">
        <v>0</v>
      </c>
      <c r="J1364" s="198" t="n">
        <v>29</v>
      </c>
      <c r="K1364" s="198" t="n">
        <v>2</v>
      </c>
      <c r="L1364" s="226" t="n">
        <v>44880</v>
      </c>
      <c r="M1364" s="226" t="n">
        <v>44420</v>
      </c>
      <c r="N1364" s="227" t="n">
        <v>0</v>
      </c>
      <c r="O1364" s="227" t="s">
        <v>135</v>
      </c>
      <c r="P1364" s="228" t="n">
        <f aca="false">VLOOKUP(B1364,'NIVEL ENERO'!A:D,3,0)</f>
        <v>0.231851598514721</v>
      </c>
      <c r="Q1364" s="229" t="n">
        <f aca="false">VLOOKUP(B1364,'NIVEL ENERO'!A:D,4,0)</f>
        <v>654658.6</v>
      </c>
      <c r="R1364" s="186" t="str">
        <f aca="false">+PROPER(C1364&amp;" "&amp;D1364)</f>
        <v>Gonzalez Rodriguez Yazmin</v>
      </c>
      <c r="S1364" s="230" t="n">
        <f aca="false">+YEARFRAC(L1364,$S$1)</f>
        <v>3.49166666666667</v>
      </c>
      <c r="T1364" s="230" t="n">
        <f aca="false">+YEARFRAC(M1364,$S$1)</f>
        <v>4.75</v>
      </c>
      <c r="U1364" s="231" t="n">
        <f aca="false">+$I1364</f>
        <v>0</v>
      </c>
      <c r="V1364" s="232" t="str">
        <f aca="false">+PROPER(F1364)</f>
        <v>Soltero(A)</v>
      </c>
    </row>
    <row r="1365" customFormat="false" ht="14.25" hidden="false" customHeight="false" outlineLevel="0" collapsed="false">
      <c r="B1365" s="197" t="n">
        <v>1143860441</v>
      </c>
      <c r="C1365" s="197" t="s">
        <v>3314</v>
      </c>
      <c r="D1365" s="197" t="s">
        <v>1434</v>
      </c>
      <c r="E1365" s="198" t="s">
        <v>944</v>
      </c>
      <c r="F1365" s="198" t="s">
        <v>948</v>
      </c>
      <c r="G1365" s="225" t="n">
        <v>1670000</v>
      </c>
      <c r="H1365" s="225" t="n">
        <v>3589916</v>
      </c>
      <c r="I1365" s="225" t="n">
        <v>4883288</v>
      </c>
      <c r="J1365" s="198" t="n">
        <v>29</v>
      </c>
      <c r="K1365" s="198" t="n">
        <v>1</v>
      </c>
      <c r="L1365" s="226" t="n">
        <v>43627</v>
      </c>
      <c r="M1365" s="226" t="n">
        <v>42892</v>
      </c>
      <c r="N1365" s="227" t="n">
        <v>2</v>
      </c>
      <c r="O1365" s="227" t="s">
        <v>135</v>
      </c>
      <c r="P1365" s="228" t="str">
        <f aca="false">VLOOKUP(B1365,'NIVEL ENERO'!A:D,3,0)</f>
        <v>0</v>
      </c>
      <c r="Q1365" s="229" t="n">
        <f aca="false">VLOOKUP(B1365,'NIVEL ENERO'!A:D,4,0)</f>
        <v>0</v>
      </c>
      <c r="R1365" s="186" t="str">
        <f aca="false">+PROPER(C1365&amp;" "&amp;D1365)</f>
        <v>Llanten Granda Diana Marcela</v>
      </c>
      <c r="S1365" s="230" t="n">
        <f aca="false">+YEARFRAC(L1365,$S$1)</f>
        <v>6.91944444444444</v>
      </c>
      <c r="T1365" s="230" t="n">
        <f aca="false">+YEARFRAC(M1365,$S$1)</f>
        <v>8.93333333333333</v>
      </c>
      <c r="U1365" s="231" t="n">
        <f aca="false">+$I1365</f>
        <v>4883288</v>
      </c>
      <c r="V1365" s="232" t="str">
        <f aca="false">+PROPER(F1365)</f>
        <v>Casado(A)</v>
      </c>
    </row>
    <row r="1366" customFormat="false" ht="14.25" hidden="false" customHeight="false" outlineLevel="0" collapsed="false">
      <c r="B1366" s="197" t="n">
        <v>1143860494</v>
      </c>
      <c r="C1366" s="197" t="s">
        <v>3315</v>
      </c>
      <c r="D1366" s="197" t="s">
        <v>1574</v>
      </c>
      <c r="E1366" s="198" t="s">
        <v>944</v>
      </c>
      <c r="F1366" s="198" t="s">
        <v>953</v>
      </c>
      <c r="G1366" s="225" t="n">
        <v>2893800</v>
      </c>
      <c r="H1366" s="225" t="n">
        <v>1188859</v>
      </c>
      <c r="I1366" s="225" t="n">
        <v>0</v>
      </c>
      <c r="J1366" s="198" t="n">
        <v>29</v>
      </c>
      <c r="K1366" s="198" t="n">
        <v>1</v>
      </c>
      <c r="L1366" s="226" t="n">
        <v>43179</v>
      </c>
      <c r="M1366" s="226" t="n">
        <v>42629</v>
      </c>
      <c r="N1366" s="227" t="n">
        <v>1</v>
      </c>
      <c r="O1366" s="227" t="s">
        <v>135</v>
      </c>
      <c r="P1366" s="228" t="n">
        <f aca="false">VLOOKUP(B1366,'NIVEL ENERO'!A:D,3,0)</f>
        <v>0.404887439543672</v>
      </c>
      <c r="Q1366" s="229" t="n">
        <f aca="false">VLOOKUP(B1366,'NIVEL ENERO'!A:D,4,0)</f>
        <v>51351.0800000001</v>
      </c>
      <c r="R1366" s="186" t="str">
        <f aca="false">+PROPER(C1366&amp;" "&amp;D1366)</f>
        <v>Cabezas Esterilla Leidy Johanna</v>
      </c>
      <c r="S1366" s="230" t="n">
        <f aca="false">+YEARFRAC(L1366,$S$1)</f>
        <v>8.14444444444444</v>
      </c>
      <c r="T1366" s="230" t="n">
        <f aca="false">+YEARFRAC(M1366,$S$1)</f>
        <v>9.65555555555556</v>
      </c>
      <c r="U1366" s="231" t="n">
        <f aca="false">+$I1366</f>
        <v>0</v>
      </c>
      <c r="V1366" s="232" t="str">
        <f aca="false">+PROPER(F1366)</f>
        <v>Soltero(A)</v>
      </c>
    </row>
    <row r="1367" customFormat="false" ht="14.25" hidden="false" customHeight="false" outlineLevel="0" collapsed="false">
      <c r="B1367" s="197" t="n">
        <v>1143861430</v>
      </c>
      <c r="C1367" s="197" t="s">
        <v>3316</v>
      </c>
      <c r="D1367" s="197" t="s">
        <v>3317</v>
      </c>
      <c r="E1367" s="198" t="s">
        <v>944</v>
      </c>
      <c r="F1367" s="198" t="s">
        <v>953</v>
      </c>
      <c r="G1367" s="225" t="n">
        <v>2600900</v>
      </c>
      <c r="H1367" s="225" t="n">
        <v>1619623</v>
      </c>
      <c r="I1367" s="225" t="n">
        <v>147835</v>
      </c>
      <c r="J1367" s="198" t="n">
        <v>29</v>
      </c>
      <c r="K1367" s="198" t="n">
        <v>1</v>
      </c>
      <c r="L1367" s="226" t="n">
        <v>44868</v>
      </c>
      <c r="M1367" s="226" t="n">
        <v>44774</v>
      </c>
      <c r="N1367" s="227" t="n">
        <v>0</v>
      </c>
      <c r="O1367" s="227" t="s">
        <v>135</v>
      </c>
      <c r="P1367" s="228" t="n">
        <f aca="false">VLOOKUP(B1367,'NIVEL ENERO'!A:D,3,0)</f>
        <v>0.359413560144055</v>
      </c>
      <c r="Q1367" s="229" t="n">
        <f aca="false">VLOOKUP(B1367,'NIVEL ENERO'!A:D,4,0)</f>
        <v>201541.6</v>
      </c>
      <c r="R1367" s="186" t="str">
        <f aca="false">+PROPER(C1367&amp;" "&amp;D1367)</f>
        <v>Alvarez Cuero Jessica Manuela</v>
      </c>
      <c r="S1367" s="230" t="n">
        <f aca="false">+YEARFRAC(L1367,$S$1)</f>
        <v>3.525</v>
      </c>
      <c r="T1367" s="230" t="n">
        <f aca="false">+YEARFRAC(M1367,$S$1)</f>
        <v>3.78055555555556</v>
      </c>
      <c r="U1367" s="231" t="n">
        <f aca="false">+$I1367</f>
        <v>147835</v>
      </c>
      <c r="V1367" s="232" t="str">
        <f aca="false">+PROPER(F1367)</f>
        <v>Soltero(A)</v>
      </c>
    </row>
    <row r="1368" customFormat="false" ht="14.25" hidden="false" customHeight="false" outlineLevel="0" collapsed="false">
      <c r="B1368" s="197" t="n">
        <v>1143863088</v>
      </c>
      <c r="C1368" s="197" t="s">
        <v>3318</v>
      </c>
      <c r="D1368" s="197" t="s">
        <v>3319</v>
      </c>
      <c r="E1368" s="198" t="s">
        <v>944</v>
      </c>
      <c r="F1368" s="198" t="s">
        <v>953</v>
      </c>
      <c r="G1368" s="225" t="n">
        <v>4984600</v>
      </c>
      <c r="H1368" s="225" t="n">
        <v>3314810</v>
      </c>
      <c r="I1368" s="225" t="n">
        <v>13338727</v>
      </c>
      <c r="J1368" s="198" t="n">
        <v>29</v>
      </c>
      <c r="K1368" s="198" t="n">
        <v>1</v>
      </c>
      <c r="L1368" s="226" t="n">
        <v>44635</v>
      </c>
      <c r="M1368" s="226" t="n">
        <v>44228</v>
      </c>
      <c r="N1368" s="227" t="n">
        <v>1</v>
      </c>
      <c r="O1368" s="227" t="s">
        <v>135</v>
      </c>
      <c r="P1368" s="228" t="n">
        <f aca="false">VLOOKUP(B1368,'NIVEL ENERO'!A:D,3,0)</f>
        <v>0.195795962278362</v>
      </c>
      <c r="Q1368" s="229" t="n">
        <f aca="false">VLOOKUP(B1368,'NIVEL ENERO'!A:D,4,0)</f>
        <v>1653260.62</v>
      </c>
      <c r="R1368" s="186" t="str">
        <f aca="false">+PROPER(C1368&amp;" "&amp;D1368)</f>
        <v>Pechene Quinchia Consuelo Liseth</v>
      </c>
      <c r="S1368" s="230" t="n">
        <f aca="false">+YEARFRAC(L1368,$S$1)</f>
        <v>4.15833333333333</v>
      </c>
      <c r="T1368" s="230" t="n">
        <f aca="false">+YEARFRAC(M1368,$S$1)</f>
        <v>5.28055555555556</v>
      </c>
      <c r="U1368" s="231" t="n">
        <f aca="false">+$I1368</f>
        <v>13338727</v>
      </c>
      <c r="V1368" s="232" t="str">
        <f aca="false">+PROPER(F1368)</f>
        <v>Soltero(A)</v>
      </c>
    </row>
    <row r="1369" customFormat="false" ht="14.25" hidden="false" customHeight="false" outlineLevel="0" collapsed="false">
      <c r="B1369" s="197" t="n">
        <v>1143863483</v>
      </c>
      <c r="C1369" s="197" t="s">
        <v>3320</v>
      </c>
      <c r="D1369" s="197" t="s">
        <v>2723</v>
      </c>
      <c r="E1369" s="198" t="s">
        <v>944</v>
      </c>
      <c r="F1369" s="198" t="s">
        <v>953</v>
      </c>
      <c r="G1369" s="225" t="n">
        <v>5291000</v>
      </c>
      <c r="H1369" s="225" t="n">
        <v>650000</v>
      </c>
      <c r="I1369" s="225"/>
      <c r="J1369" s="198" t="n">
        <v>29</v>
      </c>
      <c r="K1369" s="198" t="n">
        <v>6</v>
      </c>
      <c r="L1369" s="226" t="n">
        <v>45370</v>
      </c>
      <c r="M1369" s="226" t="n">
        <v>43871</v>
      </c>
      <c r="N1369" s="227" t="n">
        <v>0</v>
      </c>
      <c r="O1369" s="227" t="s">
        <v>135</v>
      </c>
      <c r="P1369" s="228" t="n">
        <f aca="false">VLOOKUP(B1369,'NIVEL ENERO'!A:D,3,0)</f>
        <v>0.366144774144774</v>
      </c>
      <c r="Q1369" s="229" t="n">
        <f aca="false">VLOOKUP(B1369,'NIVEL ENERO'!A:D,4,0)</f>
        <v>284948</v>
      </c>
      <c r="R1369" s="186" t="str">
        <f aca="false">+PROPER(C1369&amp;" "&amp;D1369)</f>
        <v>Londono Pineros Nathalia</v>
      </c>
      <c r="S1369" s="230" t="n">
        <f aca="false">+YEARFRAC(L1369,$S$1)</f>
        <v>2.14722222222222</v>
      </c>
      <c r="T1369" s="230" t="n">
        <f aca="false">+YEARFRAC(M1369,$S$1)</f>
        <v>6.25555555555556</v>
      </c>
      <c r="U1369" s="231" t="n">
        <f aca="false">+$I1369</f>
        <v>0</v>
      </c>
      <c r="V1369" s="232" t="str">
        <f aca="false">+PROPER(F1369)</f>
        <v>Soltero(A)</v>
      </c>
    </row>
    <row r="1370" customFormat="false" ht="14.25" hidden="false" customHeight="false" outlineLevel="0" collapsed="false">
      <c r="B1370" s="197" t="n">
        <v>1143863607</v>
      </c>
      <c r="C1370" s="197" t="s">
        <v>3321</v>
      </c>
      <c r="D1370" s="197" t="s">
        <v>1434</v>
      </c>
      <c r="E1370" s="198" t="s">
        <v>944</v>
      </c>
      <c r="F1370" s="198" t="s">
        <v>953</v>
      </c>
      <c r="G1370" s="225" t="n">
        <v>5418800</v>
      </c>
      <c r="H1370" s="225" t="n">
        <v>1063511</v>
      </c>
      <c r="I1370" s="225" t="n">
        <v>918853</v>
      </c>
      <c r="J1370" s="198" t="n">
        <v>29</v>
      </c>
      <c r="K1370" s="198" t="n">
        <v>2</v>
      </c>
      <c r="L1370" s="226" t="n">
        <v>45148</v>
      </c>
      <c r="M1370" s="226" t="n">
        <v>44179</v>
      </c>
      <c r="N1370" s="227" t="n">
        <v>0</v>
      </c>
      <c r="O1370" s="227" t="s">
        <v>135</v>
      </c>
      <c r="P1370" s="228" t="n">
        <f aca="false">VLOOKUP(B1370,'NIVEL ENERO'!A:D,3,0)</f>
        <v>0.156399602493755</v>
      </c>
      <c r="Q1370" s="229" t="n">
        <f aca="false">VLOOKUP(B1370,'NIVEL ENERO'!A:D,4,0)</f>
        <v>1997893.84</v>
      </c>
      <c r="R1370" s="186" t="str">
        <f aca="false">+PROPER(C1370&amp;" "&amp;D1370)</f>
        <v>Crespo Luna Diana Marcela</v>
      </c>
      <c r="S1370" s="230" t="n">
        <f aca="false">+YEARFRAC(L1370,$S$1)</f>
        <v>2.75555555555556</v>
      </c>
      <c r="T1370" s="230" t="n">
        <f aca="false">+YEARFRAC(M1370,$S$1)</f>
        <v>5.41111111111111</v>
      </c>
      <c r="U1370" s="231" t="n">
        <f aca="false">+$I1370</f>
        <v>918853</v>
      </c>
      <c r="V1370" s="232" t="str">
        <f aca="false">+PROPER(F1370)</f>
        <v>Soltero(A)</v>
      </c>
    </row>
    <row r="1371" customFormat="false" ht="14.25" hidden="false" customHeight="false" outlineLevel="0" collapsed="false">
      <c r="B1371" s="197" t="n">
        <v>1143864409</v>
      </c>
      <c r="C1371" s="197" t="s">
        <v>3322</v>
      </c>
      <c r="D1371" s="197" t="s">
        <v>3209</v>
      </c>
      <c r="E1371" s="198" t="s">
        <v>944</v>
      </c>
      <c r="F1371" s="198" t="s">
        <v>953</v>
      </c>
      <c r="G1371" s="225" t="n">
        <v>1991000</v>
      </c>
      <c r="H1371" s="225" t="n">
        <v>1216214</v>
      </c>
      <c r="I1371" s="225" t="n">
        <v>2781708</v>
      </c>
      <c r="J1371" s="198" t="n">
        <v>29</v>
      </c>
      <c r="K1371" s="198" t="n">
        <v>4</v>
      </c>
      <c r="L1371" s="226" t="n">
        <v>45099</v>
      </c>
      <c r="M1371" s="226" t="n">
        <v>42750</v>
      </c>
      <c r="N1371" s="227" t="n">
        <v>2</v>
      </c>
      <c r="O1371" s="227" t="s">
        <v>135</v>
      </c>
      <c r="P1371" s="228" t="n">
        <f aca="false">VLOOKUP(B1371,'NIVEL ENERO'!A:D,3,0)</f>
        <v>0.441091578245228</v>
      </c>
      <c r="Q1371" s="229" t="n">
        <f aca="false">VLOOKUP(B1371,'NIVEL ENERO'!A:D,4,0)</f>
        <v>-50939.7400000001</v>
      </c>
      <c r="R1371" s="186" t="str">
        <f aca="false">+PROPER(C1371&amp;" "&amp;D1371)</f>
        <v>Tombe Ospina Andrea</v>
      </c>
      <c r="S1371" s="230" t="n">
        <f aca="false">+YEARFRAC(L1371,$S$1)</f>
        <v>2.88888888888889</v>
      </c>
      <c r="T1371" s="230" t="n">
        <f aca="false">+YEARFRAC(M1371,$S$1)</f>
        <v>9.325</v>
      </c>
      <c r="U1371" s="231" t="n">
        <f aca="false">+$I1371</f>
        <v>2781708</v>
      </c>
      <c r="V1371" s="232" t="str">
        <f aca="false">+PROPER(F1371)</f>
        <v>Soltero(A)</v>
      </c>
    </row>
    <row r="1372" customFormat="false" ht="14.25" hidden="false" customHeight="false" outlineLevel="0" collapsed="false">
      <c r="B1372" s="197" t="n">
        <v>1143864842</v>
      </c>
      <c r="C1372" s="197" t="s">
        <v>3323</v>
      </c>
      <c r="D1372" s="197" t="s">
        <v>1065</v>
      </c>
      <c r="E1372" s="198" t="s">
        <v>944</v>
      </c>
      <c r="F1372" s="198" t="s">
        <v>948</v>
      </c>
      <c r="G1372" s="225" t="n">
        <v>2600900</v>
      </c>
      <c r="H1372" s="225" t="n">
        <v>1456149</v>
      </c>
      <c r="I1372" s="225"/>
      <c r="J1372" s="198" t="n">
        <v>28</v>
      </c>
      <c r="K1372" s="198" t="n">
        <v>1</v>
      </c>
      <c r="L1372" s="226" t="n">
        <v>44936</v>
      </c>
      <c r="M1372" s="226" t="n">
        <v>42964</v>
      </c>
      <c r="N1372" s="227" t="n">
        <v>0</v>
      </c>
      <c r="O1372" s="227" t="s">
        <v>135</v>
      </c>
      <c r="P1372" s="228" t="n">
        <f aca="false">VLOOKUP(B1372,'NIVEL ENERO'!A:D,3,0)</f>
        <v>0.371965555603579</v>
      </c>
      <c r="Q1372" s="229" t="n">
        <f aca="false">VLOOKUP(B1372,'NIVEL ENERO'!A:D,4,0)</f>
        <v>162258.72</v>
      </c>
      <c r="R1372" s="186" t="str">
        <f aca="false">+PROPER(C1372&amp;" "&amp;D1372)</f>
        <v>Diaz Montoya Diego Fernando</v>
      </c>
      <c r="S1372" s="230" t="n">
        <f aca="false">+YEARFRAC(L1372,$S$1)</f>
        <v>3.33888888888889</v>
      </c>
      <c r="T1372" s="230" t="n">
        <f aca="false">+YEARFRAC(M1372,$S$1)</f>
        <v>8.73611111111111</v>
      </c>
      <c r="U1372" s="231" t="n">
        <f aca="false">+$I1372</f>
        <v>0</v>
      </c>
      <c r="V1372" s="232" t="str">
        <f aca="false">+PROPER(F1372)</f>
        <v>Casado(A)</v>
      </c>
    </row>
    <row r="1373" customFormat="false" ht="14.25" hidden="false" customHeight="false" outlineLevel="0" collapsed="false">
      <c r="B1373" s="197" t="n">
        <v>1143865665</v>
      </c>
      <c r="C1373" s="197" t="s">
        <v>3324</v>
      </c>
      <c r="D1373" s="197" t="s">
        <v>1184</v>
      </c>
      <c r="E1373" s="198" t="s">
        <v>944</v>
      </c>
      <c r="F1373" s="198" t="s">
        <v>953</v>
      </c>
      <c r="G1373" s="225" t="n">
        <v>2648100</v>
      </c>
      <c r="H1373" s="225" t="n">
        <v>5013381</v>
      </c>
      <c r="I1373" s="225" t="n">
        <v>0</v>
      </c>
      <c r="J1373" s="198" t="n">
        <v>28</v>
      </c>
      <c r="K1373" s="198" t="n">
        <v>4</v>
      </c>
      <c r="L1373" s="226" t="n">
        <v>44909</v>
      </c>
      <c r="M1373" s="226" t="n">
        <v>44127</v>
      </c>
      <c r="N1373" s="227" t="n">
        <v>0</v>
      </c>
      <c r="O1373" s="227" t="s">
        <v>135</v>
      </c>
      <c r="P1373" s="228" t="n">
        <f aca="false">VLOOKUP(B1373,'NIVEL ENERO'!A:D,3,0)</f>
        <v>0.157455532024769</v>
      </c>
      <c r="Q1373" s="229" t="n">
        <f aca="false">VLOOKUP(B1373,'NIVEL ENERO'!A:D,4,0)</f>
        <v>856481.84</v>
      </c>
      <c r="R1373" s="186" t="str">
        <f aca="false">+PROPER(C1373&amp;" "&amp;D1373)</f>
        <v>Ruiz Ruiz Paola Andrea</v>
      </c>
      <c r="S1373" s="230" t="n">
        <f aca="false">+YEARFRAC(L1373,$S$1)</f>
        <v>3.41111111111111</v>
      </c>
      <c r="T1373" s="230" t="n">
        <f aca="false">+YEARFRAC(M1373,$S$1)</f>
        <v>5.55277777777778</v>
      </c>
      <c r="U1373" s="231" t="n">
        <f aca="false">+$I1373</f>
        <v>0</v>
      </c>
      <c r="V1373" s="232" t="str">
        <f aca="false">+PROPER(F1373)</f>
        <v>Soltero(A)</v>
      </c>
    </row>
    <row r="1374" customFormat="false" ht="14.25" hidden="false" customHeight="false" outlineLevel="0" collapsed="false">
      <c r="B1374" s="197" t="n">
        <v>1143866189</v>
      </c>
      <c r="C1374" s="197" t="s">
        <v>3325</v>
      </c>
      <c r="D1374" s="197" t="s">
        <v>3326</v>
      </c>
      <c r="E1374" s="198" t="s">
        <v>944</v>
      </c>
      <c r="F1374" s="198" t="s">
        <v>948</v>
      </c>
      <c r="G1374" s="225" t="n">
        <v>2893800</v>
      </c>
      <c r="H1374" s="225" t="n">
        <v>3157897</v>
      </c>
      <c r="I1374" s="225" t="n">
        <v>3734222</v>
      </c>
      <c r="J1374" s="198" t="n">
        <v>28</v>
      </c>
      <c r="K1374" s="198" t="n">
        <v>2</v>
      </c>
      <c r="L1374" s="226" t="n">
        <v>43817</v>
      </c>
      <c r="M1374" s="226" t="n">
        <v>42505</v>
      </c>
      <c r="N1374" s="227" t="n">
        <v>2</v>
      </c>
      <c r="O1374" s="227" t="s">
        <v>135</v>
      </c>
      <c r="P1374" s="228" t="n">
        <f aca="false">VLOOKUP(B1374,'NIVEL ENERO'!A:D,3,0)</f>
        <v>0.429446579437026</v>
      </c>
      <c r="Q1374" s="229" t="n">
        <f aca="false">VLOOKUP(B1374,'NIVEL ENERO'!A:D,4,0)</f>
        <v>-35531.52</v>
      </c>
      <c r="R1374" s="186" t="str">
        <f aca="false">+PROPER(C1374&amp;" "&amp;D1374)</f>
        <v>Portilla Jaramillo Maria Angelica</v>
      </c>
      <c r="S1374" s="230" t="n">
        <f aca="false">+YEARFRAC(L1374,$S$1)</f>
        <v>6.4</v>
      </c>
      <c r="T1374" s="230" t="n">
        <f aca="false">+YEARFRAC(M1374,$S$1)</f>
        <v>9.99166666666667</v>
      </c>
      <c r="U1374" s="231" t="n">
        <f aca="false">+$I1374</f>
        <v>3734222</v>
      </c>
      <c r="V1374" s="232" t="str">
        <f aca="false">+PROPER(F1374)</f>
        <v>Casado(A)</v>
      </c>
    </row>
    <row r="1375" customFormat="false" ht="14.25" hidden="false" customHeight="false" outlineLevel="0" collapsed="false">
      <c r="B1375" s="197" t="n">
        <v>1143867339</v>
      </c>
      <c r="C1375" s="197" t="s">
        <v>3327</v>
      </c>
      <c r="D1375" s="197" t="s">
        <v>3328</v>
      </c>
      <c r="E1375" s="198" t="s">
        <v>944</v>
      </c>
      <c r="F1375" s="198" t="s">
        <v>945</v>
      </c>
      <c r="G1375" s="225" t="n">
        <v>2600900</v>
      </c>
      <c r="H1375" s="225" t="n">
        <v>1120376</v>
      </c>
      <c r="I1375" s="225"/>
      <c r="J1375" s="198" t="n">
        <v>28</v>
      </c>
      <c r="K1375" s="198" t="n">
        <v>2</v>
      </c>
      <c r="L1375" s="226" t="n">
        <v>45191</v>
      </c>
      <c r="M1375" s="226" t="n">
        <v>45020</v>
      </c>
      <c r="N1375" s="227" t="n">
        <v>0</v>
      </c>
      <c r="O1375" s="227" t="s">
        <v>135</v>
      </c>
      <c r="P1375" s="228" t="n">
        <f aca="false">VLOOKUP(B1375,'NIVEL ENERO'!A:D,3,0)</f>
        <v>0.109184844091529</v>
      </c>
      <c r="Q1375" s="229" t="n">
        <f aca="false">VLOOKUP(B1375,'NIVEL ENERO'!A:D,4,0)</f>
        <v>1092937.36</v>
      </c>
      <c r="R1375" s="186" t="str">
        <f aca="false">+PROPER(C1375&amp;" "&amp;D1375)</f>
        <v>Ramirez Lopez Lida Fernanda</v>
      </c>
      <c r="S1375" s="230" t="n">
        <f aca="false">+YEARFRAC(L1375,$S$1)</f>
        <v>2.63888888888889</v>
      </c>
      <c r="T1375" s="230" t="n">
        <f aca="false">+YEARFRAC(M1375,$S$1)</f>
        <v>3.10555555555556</v>
      </c>
      <c r="U1375" s="231" t="n">
        <f aca="false">+$I1375</f>
        <v>0</v>
      </c>
      <c r="V1375" s="232" t="str">
        <f aca="false">+PROPER(F1375)</f>
        <v>Union Libre</v>
      </c>
    </row>
    <row r="1376" customFormat="false" ht="14.25" hidden="false" customHeight="false" outlineLevel="0" collapsed="false">
      <c r="B1376" s="197" t="n">
        <v>1143867413</v>
      </c>
      <c r="C1376" s="197" t="s">
        <v>3329</v>
      </c>
      <c r="D1376" s="197" t="s">
        <v>2305</v>
      </c>
      <c r="E1376" s="198" t="s">
        <v>944</v>
      </c>
      <c r="F1376" s="198" t="s">
        <v>953</v>
      </c>
      <c r="G1376" s="225" t="n">
        <v>8245400</v>
      </c>
      <c r="H1376" s="225" t="n">
        <v>8608754</v>
      </c>
      <c r="I1376" s="225" t="n">
        <v>0</v>
      </c>
      <c r="J1376" s="198" t="n">
        <v>28</v>
      </c>
      <c r="K1376" s="198" t="n">
        <v>1</v>
      </c>
      <c r="L1376" s="226" t="n">
        <v>43879</v>
      </c>
      <c r="M1376" s="226" t="n">
        <v>42310</v>
      </c>
      <c r="N1376" s="227" t="n">
        <v>2</v>
      </c>
      <c r="O1376" s="227" t="s">
        <v>135</v>
      </c>
      <c r="P1376" s="228" t="n">
        <f aca="false">VLOOKUP(B1376,'NIVEL ENERO'!A:D,3,0)</f>
        <v>0.185611613748272</v>
      </c>
      <c r="Q1376" s="229" t="n">
        <f aca="false">VLOOKUP(B1376,'NIVEL ENERO'!A:D,4,0)</f>
        <v>1932626</v>
      </c>
      <c r="R1376" s="186" t="str">
        <f aca="false">+PROPER(C1376&amp;" "&amp;D1376)</f>
        <v>Sierra Polo Isabella</v>
      </c>
      <c r="S1376" s="230" t="n">
        <f aca="false">+YEARFRAC(L1376,$S$1)</f>
        <v>6.23333333333333</v>
      </c>
      <c r="T1376" s="230" t="n">
        <f aca="false">+YEARFRAC(M1376,$S$1)</f>
        <v>10.5277777777778</v>
      </c>
      <c r="U1376" s="231" t="n">
        <f aca="false">+$I1376</f>
        <v>0</v>
      </c>
      <c r="V1376" s="232" t="str">
        <f aca="false">+PROPER(F1376)</f>
        <v>Soltero(A)</v>
      </c>
    </row>
    <row r="1377" customFormat="false" ht="14.25" hidden="false" customHeight="false" outlineLevel="0" collapsed="false">
      <c r="B1377" s="197" t="n">
        <v>1143868606</v>
      </c>
      <c r="C1377" s="197" t="s">
        <v>3330</v>
      </c>
      <c r="D1377" s="197" t="s">
        <v>3331</v>
      </c>
      <c r="E1377" s="198" t="s">
        <v>944</v>
      </c>
      <c r="F1377" s="198" t="s">
        <v>945</v>
      </c>
      <c r="G1377" s="225" t="n">
        <v>2600900</v>
      </c>
      <c r="H1377" s="225" t="n">
        <v>325000</v>
      </c>
      <c r="I1377" s="225"/>
      <c r="J1377" s="198" t="n">
        <v>28</v>
      </c>
      <c r="K1377" s="198" t="n">
        <v>1</v>
      </c>
      <c r="L1377" s="226" t="n">
        <v>45519</v>
      </c>
      <c r="M1377" s="226" t="n">
        <v>42566</v>
      </c>
      <c r="N1377" s="227" t="n">
        <v>0</v>
      </c>
      <c r="O1377" s="227" t="s">
        <v>135</v>
      </c>
      <c r="P1377" s="228" t="n">
        <f aca="false">VLOOKUP(B1377,'NIVEL ENERO'!A:D,3,0)</f>
        <v>0.321673667734985</v>
      </c>
      <c r="Q1377" s="229" t="n">
        <f aca="false">VLOOKUP(B1377,'NIVEL ENERO'!A:D,4,0)</f>
        <v>310609.18</v>
      </c>
      <c r="R1377" s="186" t="str">
        <f aca="false">+PROPER(C1377&amp;" "&amp;D1377)</f>
        <v>Galeano Astudillo Yeraldin</v>
      </c>
      <c r="S1377" s="230" t="n">
        <f aca="false">+YEARFRAC(L1377,$S$1)</f>
        <v>1.74166666666667</v>
      </c>
      <c r="T1377" s="230" t="n">
        <f aca="false">+YEARFRAC(M1377,$S$1)</f>
        <v>9.825</v>
      </c>
      <c r="U1377" s="231" t="n">
        <f aca="false">+$I1377</f>
        <v>0</v>
      </c>
      <c r="V1377" s="232" t="str">
        <f aca="false">+PROPER(F1377)</f>
        <v>Union Libre</v>
      </c>
    </row>
    <row r="1378" customFormat="false" ht="14.25" hidden="false" customHeight="false" outlineLevel="0" collapsed="false">
      <c r="B1378" s="197" t="n">
        <v>1143868887</v>
      </c>
      <c r="C1378" s="197" t="s">
        <v>3332</v>
      </c>
      <c r="D1378" s="197" t="s">
        <v>3333</v>
      </c>
      <c r="E1378" s="198" t="s">
        <v>944</v>
      </c>
      <c r="F1378" s="198" t="s">
        <v>953</v>
      </c>
      <c r="G1378" s="225" t="n">
        <v>1670000</v>
      </c>
      <c r="H1378" s="225" t="n">
        <v>350000</v>
      </c>
      <c r="I1378" s="225" t="n">
        <v>0</v>
      </c>
      <c r="J1378" s="198" t="n">
        <v>28</v>
      </c>
      <c r="K1378" s="198" t="n">
        <v>2</v>
      </c>
      <c r="L1378" s="226" t="n">
        <v>45518</v>
      </c>
      <c r="M1378" s="226" t="n">
        <v>44805</v>
      </c>
      <c r="N1378" s="227" t="n">
        <v>0</v>
      </c>
      <c r="O1378" s="227" t="s">
        <v>135</v>
      </c>
      <c r="P1378" s="228" t="n">
        <f aca="false">VLOOKUP(B1378,'NIVEL ENERO'!A:D,3,0)</f>
        <v>0.417782803722872</v>
      </c>
      <c r="Q1378" s="229" t="n">
        <f aca="false">VLOOKUP(B1378,'NIVEL ENERO'!A:D,4,0)</f>
        <v>8816</v>
      </c>
      <c r="R1378" s="186" t="str">
        <f aca="false">+PROPER(C1378&amp;" "&amp;D1378)</f>
        <v>Velasco Ramirez Hillary</v>
      </c>
      <c r="S1378" s="230" t="n">
        <f aca="false">+YEARFRAC(L1378,$S$1)</f>
        <v>1.74444444444444</v>
      </c>
      <c r="T1378" s="230" t="n">
        <f aca="false">+YEARFRAC(M1378,$S$1)</f>
        <v>3.69722222222222</v>
      </c>
      <c r="U1378" s="231" t="n">
        <f aca="false">+$I1378</f>
        <v>0</v>
      </c>
      <c r="V1378" s="232" t="str">
        <f aca="false">+PROPER(F1378)</f>
        <v>Soltero(A)</v>
      </c>
    </row>
    <row r="1379" customFormat="false" ht="14.25" hidden="false" customHeight="false" outlineLevel="0" collapsed="false">
      <c r="B1379" s="197" t="n">
        <v>1143871269</v>
      </c>
      <c r="C1379" s="197" t="s">
        <v>3334</v>
      </c>
      <c r="D1379" s="197" t="s">
        <v>1789</v>
      </c>
      <c r="E1379" s="198" t="s">
        <v>944</v>
      </c>
      <c r="F1379" s="198" t="s">
        <v>953</v>
      </c>
      <c r="G1379" s="225" t="n">
        <v>2893800</v>
      </c>
      <c r="H1379" s="225" t="n">
        <v>6719908</v>
      </c>
      <c r="I1379" s="225" t="n">
        <v>0</v>
      </c>
      <c r="J1379" s="198" t="n">
        <v>27</v>
      </c>
      <c r="K1379" s="198" t="n">
        <v>2</v>
      </c>
      <c r="L1379" s="226" t="n">
        <v>43269</v>
      </c>
      <c r="M1379" s="226" t="n">
        <v>42200</v>
      </c>
      <c r="N1379" s="227" t="n">
        <v>2</v>
      </c>
      <c r="O1379" s="227" t="s">
        <v>135</v>
      </c>
      <c r="P1379" s="228" t="n">
        <f aca="false">VLOOKUP(B1379,'NIVEL ENERO'!A:D,3,0)</f>
        <v>0.115860222430833</v>
      </c>
      <c r="Q1379" s="229" t="n">
        <f aca="false">VLOOKUP(B1379,'NIVEL ENERO'!A:D,4,0)</f>
        <v>1174768.48</v>
      </c>
      <c r="R1379" s="186" t="str">
        <f aca="false">+PROPER(C1379&amp;" "&amp;D1379)</f>
        <v>Trujillo Zuniga Lina Maria</v>
      </c>
      <c r="S1379" s="230" t="n">
        <f aca="false">+YEARFRAC(L1379,$S$1)</f>
        <v>7.9</v>
      </c>
      <c r="T1379" s="230" t="n">
        <f aca="false">+YEARFRAC(M1379,$S$1)</f>
        <v>10.825</v>
      </c>
      <c r="U1379" s="231" t="n">
        <f aca="false">+$I1379</f>
        <v>0</v>
      </c>
      <c r="V1379" s="232" t="str">
        <f aca="false">+PROPER(F1379)</f>
        <v>Soltero(A)</v>
      </c>
    </row>
    <row r="1380" customFormat="false" ht="14.25" hidden="false" customHeight="false" outlineLevel="0" collapsed="false">
      <c r="B1380" s="197" t="n">
        <v>1143872319</v>
      </c>
      <c r="C1380" s="197" t="s">
        <v>3335</v>
      </c>
      <c r="D1380" s="197" t="s">
        <v>2941</v>
      </c>
      <c r="E1380" s="198" t="s">
        <v>944</v>
      </c>
      <c r="F1380" s="198" t="s">
        <v>945</v>
      </c>
      <c r="G1380" s="225" t="n">
        <v>2893800</v>
      </c>
      <c r="H1380" s="225" t="n">
        <v>1708686</v>
      </c>
      <c r="I1380" s="225" t="n">
        <v>0</v>
      </c>
      <c r="J1380" s="198" t="n">
        <v>27</v>
      </c>
      <c r="K1380" s="198" t="n">
        <v>2</v>
      </c>
      <c r="L1380" s="226" t="n">
        <v>44756</v>
      </c>
      <c r="M1380" s="226" t="n">
        <v>44778</v>
      </c>
      <c r="N1380" s="227" t="n">
        <v>1</v>
      </c>
      <c r="O1380" s="227" t="s">
        <v>135</v>
      </c>
      <c r="P1380" s="228" t="n">
        <f aca="false">VLOOKUP(B1380,'NIVEL ENERO'!A:D,3,0)</f>
        <v>0.12117509271911</v>
      </c>
      <c r="Q1380" s="229" t="n">
        <f aca="false">VLOOKUP(B1380,'NIVEL ENERO'!A:D,4,0)</f>
        <v>918528</v>
      </c>
      <c r="R1380" s="186" t="str">
        <f aca="false">+PROPER(C1380&amp;" "&amp;D1380)</f>
        <v>Ceron Guevara Juan Sebastian</v>
      </c>
      <c r="S1380" s="230" t="n">
        <f aca="false">+YEARFRAC(L1380,$S$1)</f>
        <v>3.82777777777778</v>
      </c>
      <c r="T1380" s="230" t="n">
        <f aca="false">+YEARFRAC(M1380,$S$1)</f>
        <v>3.76944444444444</v>
      </c>
      <c r="U1380" s="231" t="n">
        <f aca="false">+$I1380</f>
        <v>0</v>
      </c>
      <c r="V1380" s="232" t="str">
        <f aca="false">+PROPER(F1380)</f>
        <v>Union Libre</v>
      </c>
    </row>
    <row r="1381" customFormat="false" ht="14.25" hidden="false" customHeight="false" outlineLevel="0" collapsed="false">
      <c r="B1381" s="197" t="n">
        <v>1143872802</v>
      </c>
      <c r="C1381" s="197" t="s">
        <v>3336</v>
      </c>
      <c r="D1381" s="197" t="s">
        <v>2297</v>
      </c>
      <c r="E1381" s="198" t="s">
        <v>944</v>
      </c>
      <c r="F1381" s="198" t="s">
        <v>953</v>
      </c>
      <c r="G1381" s="225" t="n">
        <v>4469100</v>
      </c>
      <c r="H1381" s="225" t="n">
        <v>500000</v>
      </c>
      <c r="I1381" s="225"/>
      <c r="J1381" s="198" t="n">
        <v>27</v>
      </c>
      <c r="K1381" s="198" t="n">
        <v>1</v>
      </c>
      <c r="L1381" s="226" t="n">
        <v>45520</v>
      </c>
      <c r="M1381" s="226" t="n">
        <v>44160</v>
      </c>
      <c r="N1381" s="227" t="n">
        <v>0</v>
      </c>
      <c r="O1381" s="227" t="s">
        <v>135</v>
      </c>
      <c r="P1381" s="228" t="n">
        <f aca="false">VLOOKUP(B1381,'NIVEL ENERO'!A:D,3,0)</f>
        <v>0.292213178914347</v>
      </c>
      <c r="Q1381" s="229" t="n">
        <f aca="false">VLOOKUP(B1381,'NIVEL ENERO'!A:D,4,0)</f>
        <v>788238.14</v>
      </c>
      <c r="R1381" s="186" t="str">
        <f aca="false">+PROPER(C1381&amp;" "&amp;D1381)</f>
        <v>Ramirez Suarez Valentina</v>
      </c>
      <c r="S1381" s="230" t="n">
        <f aca="false">+YEARFRAC(L1381,$S$1)</f>
        <v>1.73888888888889</v>
      </c>
      <c r="T1381" s="230" t="n">
        <f aca="false">+YEARFRAC(M1381,$S$1)</f>
        <v>5.46388888888889</v>
      </c>
      <c r="U1381" s="231" t="n">
        <f aca="false">+$I1381</f>
        <v>0</v>
      </c>
      <c r="V1381" s="232" t="str">
        <f aca="false">+PROPER(F1381)</f>
        <v>Soltero(A)</v>
      </c>
    </row>
    <row r="1382" customFormat="false" ht="14.25" hidden="false" customHeight="false" outlineLevel="0" collapsed="false">
      <c r="B1382" s="197" t="n">
        <v>1143873178</v>
      </c>
      <c r="C1382" s="197" t="s">
        <v>3337</v>
      </c>
      <c r="D1382" s="197" t="s">
        <v>2723</v>
      </c>
      <c r="E1382" s="198" t="s">
        <v>944</v>
      </c>
      <c r="F1382" s="198" t="s">
        <v>953</v>
      </c>
      <c r="G1382" s="225" t="n">
        <v>5418800</v>
      </c>
      <c r="H1382" s="225" t="n">
        <v>1708686</v>
      </c>
      <c r="I1382" s="225"/>
      <c r="J1382" s="198" t="n">
        <v>27</v>
      </c>
      <c r="K1382" s="198" t="n">
        <v>1</v>
      </c>
      <c r="L1382" s="226" t="n">
        <v>44757</v>
      </c>
      <c r="M1382" s="226" t="n">
        <v>44093</v>
      </c>
      <c r="N1382" s="227" t="n">
        <v>2</v>
      </c>
      <c r="O1382" s="227" t="s">
        <v>135</v>
      </c>
      <c r="P1382" s="228" t="n">
        <f aca="false">VLOOKUP(B1382,'NIVEL ENERO'!A:D,3,0)</f>
        <v>0.309325233058372</v>
      </c>
      <c r="Q1382" s="229" t="n">
        <f aca="false">VLOOKUP(B1382,'NIVEL ENERO'!A:D,4,0)</f>
        <v>748482.16</v>
      </c>
      <c r="R1382" s="186" t="str">
        <f aca="false">+PROPER(C1382&amp;" "&amp;D1382)</f>
        <v>Montoya Morales Nathalia</v>
      </c>
      <c r="S1382" s="230" t="n">
        <f aca="false">+YEARFRAC(L1382,$S$1)</f>
        <v>3.825</v>
      </c>
      <c r="T1382" s="230" t="n">
        <f aca="false">+YEARFRAC(M1382,$S$1)</f>
        <v>5.64722222222222</v>
      </c>
      <c r="U1382" s="231" t="n">
        <f aca="false">+$I1382</f>
        <v>0</v>
      </c>
      <c r="V1382" s="232" t="str">
        <f aca="false">+PROPER(F1382)</f>
        <v>Soltero(A)</v>
      </c>
    </row>
    <row r="1383" customFormat="false" ht="14.25" hidden="false" customHeight="false" outlineLevel="0" collapsed="false">
      <c r="B1383" s="197" t="n">
        <v>1143874200</v>
      </c>
      <c r="C1383" s="197" t="s">
        <v>3338</v>
      </c>
      <c r="D1383" s="197" t="s">
        <v>1527</v>
      </c>
      <c r="E1383" s="198" t="s">
        <v>944</v>
      </c>
      <c r="F1383" s="198" t="s">
        <v>953</v>
      </c>
      <c r="G1383" s="225" t="n">
        <v>2893800</v>
      </c>
      <c r="H1383" s="225" t="n">
        <v>3516840</v>
      </c>
      <c r="I1383" s="225"/>
      <c r="J1383" s="198" t="n">
        <v>27</v>
      </c>
      <c r="K1383" s="198" t="n">
        <v>1</v>
      </c>
      <c r="L1383" s="226" t="n">
        <v>44575</v>
      </c>
      <c r="M1383" s="226" t="n">
        <v>43405</v>
      </c>
      <c r="N1383" s="227" t="n">
        <v>2</v>
      </c>
      <c r="O1383" s="227" t="s">
        <v>135</v>
      </c>
      <c r="P1383" s="228" t="n">
        <f aca="false">VLOOKUP(B1383,'NIVEL ENERO'!A:D,3,0)</f>
        <v>0.117799994079683</v>
      </c>
      <c r="Q1383" s="229" t="n">
        <f aca="false">VLOOKUP(B1383,'NIVEL ENERO'!A:D,4,0)</f>
        <v>1259099.2</v>
      </c>
      <c r="R1383" s="186" t="str">
        <f aca="false">+PROPER(C1383&amp;" "&amp;D1383)</f>
        <v>Guerrero Junco Alejandra</v>
      </c>
      <c r="S1383" s="230" t="n">
        <f aca="false">+YEARFRAC(L1383,$S$1)</f>
        <v>4.32777777777778</v>
      </c>
      <c r="T1383" s="230" t="n">
        <f aca="false">+YEARFRAC(M1383,$S$1)</f>
        <v>7.53055555555556</v>
      </c>
      <c r="U1383" s="231" t="n">
        <f aca="false">+$I1383</f>
        <v>0</v>
      </c>
      <c r="V1383" s="232" t="str">
        <f aca="false">+PROPER(F1383)</f>
        <v>Soltero(A)</v>
      </c>
    </row>
    <row r="1384" customFormat="false" ht="14.25" hidden="false" customHeight="false" outlineLevel="0" collapsed="false">
      <c r="B1384" s="197" t="n">
        <v>1143874908</v>
      </c>
      <c r="C1384" s="197" t="s">
        <v>3339</v>
      </c>
      <c r="D1384" s="197" t="s">
        <v>2297</v>
      </c>
      <c r="E1384" s="198" t="s">
        <v>944</v>
      </c>
      <c r="F1384" s="198" t="s">
        <v>953</v>
      </c>
      <c r="G1384" s="225" t="n">
        <v>2893800</v>
      </c>
      <c r="H1384" s="225" t="n">
        <v>300000</v>
      </c>
      <c r="I1384" s="225"/>
      <c r="J1384" s="198" t="n">
        <v>26</v>
      </c>
      <c r="K1384" s="198" t="n">
        <v>4</v>
      </c>
      <c r="L1384" s="226" t="n">
        <v>45580</v>
      </c>
      <c r="M1384" s="226" t="n">
        <v>44403</v>
      </c>
      <c r="N1384" s="227" t="n">
        <v>0</v>
      </c>
      <c r="O1384" s="227" t="s">
        <v>135</v>
      </c>
      <c r="P1384" s="228" t="n">
        <f aca="false">VLOOKUP(B1384,'NIVEL ENERO'!A:D,3,0)</f>
        <v>0.435798981164957</v>
      </c>
      <c r="Q1384" s="229" t="n">
        <f aca="false">VLOOKUP(B1384,'NIVEL ENERO'!A:D,4,0)</f>
        <v>-47141</v>
      </c>
      <c r="R1384" s="186" t="str">
        <f aca="false">+PROPER(C1384&amp;" "&amp;D1384)</f>
        <v>Gaviria Mendoza Valentina</v>
      </c>
      <c r="S1384" s="230" t="n">
        <f aca="false">+YEARFRAC(L1384,$S$1)</f>
        <v>1.575</v>
      </c>
      <c r="T1384" s="230" t="n">
        <f aca="false">+YEARFRAC(M1384,$S$1)</f>
        <v>4.79444444444444</v>
      </c>
      <c r="U1384" s="231" t="n">
        <f aca="false">+$I1384</f>
        <v>0</v>
      </c>
      <c r="V1384" s="232" t="str">
        <f aca="false">+PROPER(F1384)</f>
        <v>Soltero(A)</v>
      </c>
    </row>
    <row r="1385" customFormat="false" ht="14.25" hidden="false" customHeight="false" outlineLevel="0" collapsed="false">
      <c r="B1385" s="197" t="n">
        <v>1143874967</v>
      </c>
      <c r="C1385" s="197" t="s">
        <v>3340</v>
      </c>
      <c r="D1385" s="197" t="s">
        <v>2939</v>
      </c>
      <c r="E1385" s="198" t="s">
        <v>944</v>
      </c>
      <c r="F1385" s="198" t="s">
        <v>953</v>
      </c>
      <c r="G1385" s="225" t="n">
        <v>2893800</v>
      </c>
      <c r="H1385" s="225" t="n">
        <v>3112780</v>
      </c>
      <c r="I1385" s="225" t="n">
        <v>15331630</v>
      </c>
      <c r="J1385" s="198" t="n">
        <v>26</v>
      </c>
      <c r="K1385" s="198" t="n">
        <v>2</v>
      </c>
      <c r="L1385" s="226" t="n">
        <v>44725</v>
      </c>
      <c r="M1385" s="226" t="n">
        <v>44593</v>
      </c>
      <c r="N1385" s="227" t="n">
        <v>1</v>
      </c>
      <c r="O1385" s="227" t="s">
        <v>135</v>
      </c>
      <c r="P1385" s="228" t="n">
        <f aca="false">VLOOKUP(B1385,'NIVEL ENERO'!A:D,3,0)</f>
        <v>0.327284483284822</v>
      </c>
      <c r="Q1385" s="229" t="n">
        <f aca="false">VLOOKUP(B1385,'NIVEL ENERO'!A:D,4,0)</f>
        <v>212652.68</v>
      </c>
      <c r="R1385" s="186" t="str">
        <f aca="false">+PROPER(C1385&amp;" "&amp;D1385)</f>
        <v>Mosquera Posso Laura Daniela</v>
      </c>
      <c r="S1385" s="230" t="n">
        <f aca="false">+YEARFRAC(L1385,$S$1)</f>
        <v>3.91388888888889</v>
      </c>
      <c r="T1385" s="230" t="n">
        <f aca="false">+YEARFRAC(M1385,$S$1)</f>
        <v>4.28055555555556</v>
      </c>
      <c r="U1385" s="231" t="n">
        <f aca="false">+$I1385</f>
        <v>15331630</v>
      </c>
      <c r="V1385" s="232" t="str">
        <f aca="false">+PROPER(F1385)</f>
        <v>Soltero(A)</v>
      </c>
    </row>
    <row r="1386" customFormat="false" ht="14.25" hidden="false" customHeight="false" outlineLevel="0" collapsed="false">
      <c r="B1386" s="197" t="n">
        <v>1143875698</v>
      </c>
      <c r="C1386" s="197" t="s">
        <v>3341</v>
      </c>
      <c r="D1386" s="197" t="s">
        <v>3342</v>
      </c>
      <c r="E1386" s="198" t="s">
        <v>944</v>
      </c>
      <c r="F1386" s="198" t="s">
        <v>945</v>
      </c>
      <c r="G1386" s="225" t="n">
        <v>2893800</v>
      </c>
      <c r="H1386" s="225" t="n">
        <v>2093686</v>
      </c>
      <c r="I1386" s="225" t="n">
        <v>0</v>
      </c>
      <c r="J1386" s="198" t="n">
        <v>26</v>
      </c>
      <c r="K1386" s="198" t="n">
        <v>1</v>
      </c>
      <c r="L1386" s="226" t="n">
        <v>44757</v>
      </c>
      <c r="M1386" s="226" t="n">
        <v>43692</v>
      </c>
      <c r="N1386" s="227" t="n">
        <v>2</v>
      </c>
      <c r="O1386" s="227" t="s">
        <v>135</v>
      </c>
      <c r="P1386" s="228" t="n">
        <f aca="false">VLOOKUP(B1386,'NIVEL ENERO'!A:D,3,0)</f>
        <v>0.240688480144417</v>
      </c>
      <c r="Q1386" s="229" t="n">
        <f aca="false">VLOOKUP(B1386,'NIVEL ENERO'!A:D,4,0)</f>
        <v>530423.2</v>
      </c>
      <c r="R1386" s="186" t="str">
        <f aca="false">+PROPER(C1386&amp;" "&amp;D1386)</f>
        <v>Velez Arana Yamileth</v>
      </c>
      <c r="S1386" s="230" t="n">
        <f aca="false">+YEARFRAC(L1386,$S$1)</f>
        <v>3.825</v>
      </c>
      <c r="T1386" s="230" t="n">
        <f aca="false">+YEARFRAC(M1386,$S$1)</f>
        <v>6.74166666666667</v>
      </c>
      <c r="U1386" s="231" t="n">
        <f aca="false">+$I1386</f>
        <v>0</v>
      </c>
      <c r="V1386" s="232" t="str">
        <f aca="false">+PROPER(F1386)</f>
        <v>Union Libre</v>
      </c>
    </row>
    <row r="1387" customFormat="false" ht="14.25" hidden="false" customHeight="false" outlineLevel="0" collapsed="false">
      <c r="B1387" s="197" t="n">
        <v>1143876942</v>
      </c>
      <c r="C1387" s="197" t="s">
        <v>3343</v>
      </c>
      <c r="D1387" s="197" t="s">
        <v>2622</v>
      </c>
      <c r="E1387" s="198" t="s">
        <v>944</v>
      </c>
      <c r="F1387" s="198" t="s">
        <v>953</v>
      </c>
      <c r="G1387" s="225" t="n">
        <v>2893800</v>
      </c>
      <c r="H1387" s="225" t="n">
        <v>6721351</v>
      </c>
      <c r="I1387" s="225" t="n">
        <v>2820325</v>
      </c>
      <c r="J1387" s="198" t="n">
        <v>25</v>
      </c>
      <c r="K1387" s="198" t="n">
        <v>2</v>
      </c>
      <c r="L1387" s="226" t="n">
        <v>43269</v>
      </c>
      <c r="M1387" s="226" t="n">
        <v>43256</v>
      </c>
      <c r="N1387" s="227" t="n">
        <v>3</v>
      </c>
      <c r="O1387" s="227" t="s">
        <v>135</v>
      </c>
      <c r="P1387" s="228" t="n">
        <f aca="false">VLOOKUP(B1387,'NIVEL ENERO'!A:D,3,0)</f>
        <v>0.274481650425047</v>
      </c>
      <c r="Q1387" s="229" t="n">
        <f aca="false">VLOOKUP(B1387,'NIVEL ENERO'!A:D,4,0)</f>
        <v>421101</v>
      </c>
      <c r="R1387" s="186" t="str">
        <f aca="false">+PROPER(C1387&amp;" "&amp;D1387)</f>
        <v>Duenas Castillo Sebastian</v>
      </c>
      <c r="S1387" s="230" t="n">
        <f aca="false">+YEARFRAC(L1387,$S$1)</f>
        <v>7.9</v>
      </c>
      <c r="T1387" s="230" t="n">
        <f aca="false">+YEARFRAC(M1387,$S$1)</f>
        <v>7.93611111111111</v>
      </c>
      <c r="U1387" s="231" t="n">
        <f aca="false">+$I1387</f>
        <v>2820325</v>
      </c>
      <c r="V1387" s="232" t="str">
        <f aca="false">+PROPER(F1387)</f>
        <v>Soltero(A)</v>
      </c>
    </row>
    <row r="1388" customFormat="false" ht="14.25" hidden="false" customHeight="false" outlineLevel="0" collapsed="false">
      <c r="B1388" s="197" t="n">
        <v>1143880251</v>
      </c>
      <c r="C1388" s="197" t="s">
        <v>3344</v>
      </c>
      <c r="D1388" s="197" t="s">
        <v>3345</v>
      </c>
      <c r="E1388" s="198" t="s">
        <v>944</v>
      </c>
      <c r="F1388" s="198" t="s">
        <v>945</v>
      </c>
      <c r="G1388" s="225" t="n">
        <v>2600900</v>
      </c>
      <c r="H1388" s="225" t="n">
        <v>2091235</v>
      </c>
      <c r="I1388" s="225" t="n">
        <v>6815858</v>
      </c>
      <c r="J1388" s="198" t="n">
        <v>25</v>
      </c>
      <c r="K1388" s="198" t="n">
        <v>2</v>
      </c>
      <c r="L1388" s="226" t="n">
        <v>45064</v>
      </c>
      <c r="M1388" s="226" t="n">
        <v>44300</v>
      </c>
      <c r="N1388" s="227" t="n">
        <v>0</v>
      </c>
      <c r="O1388" s="227" t="s">
        <v>135</v>
      </c>
      <c r="P1388" s="228" t="n">
        <f aca="false">VLOOKUP(B1388,'NIVEL ENERO'!A:D,3,0)</f>
        <v>0.336529365856391</v>
      </c>
      <c r="Q1388" s="229" t="n">
        <f aca="false">VLOOKUP(B1388,'NIVEL ENERO'!A:D,4,0)</f>
        <v>262249.04</v>
      </c>
      <c r="R1388" s="186" t="str">
        <f aca="false">+PROPER(C1388&amp;" "&amp;D1388)</f>
        <v>Tello Carvajal Kateryn Dayana</v>
      </c>
      <c r="S1388" s="230" t="n">
        <f aca="false">+YEARFRAC(L1388,$S$1)</f>
        <v>2.98333333333333</v>
      </c>
      <c r="T1388" s="230" t="n">
        <f aca="false">+YEARFRAC(M1388,$S$1)</f>
        <v>5.07777777777778</v>
      </c>
      <c r="U1388" s="231" t="n">
        <f aca="false">+$I1388</f>
        <v>6815858</v>
      </c>
      <c r="V1388" s="232" t="str">
        <f aca="false">+PROPER(F1388)</f>
        <v>Union Libre</v>
      </c>
    </row>
    <row r="1389" customFormat="false" ht="14.25" hidden="false" customHeight="false" outlineLevel="0" collapsed="false">
      <c r="B1389" s="197" t="n">
        <v>1143924806</v>
      </c>
      <c r="C1389" s="197" t="s">
        <v>3346</v>
      </c>
      <c r="D1389" s="197" t="s">
        <v>3347</v>
      </c>
      <c r="E1389" s="198" t="s">
        <v>944</v>
      </c>
      <c r="F1389" s="198" t="s">
        <v>953</v>
      </c>
      <c r="G1389" s="225" t="n">
        <v>2893800</v>
      </c>
      <c r="H1389" s="225" t="n">
        <v>1658179</v>
      </c>
      <c r="I1389" s="225" t="n">
        <v>8562540</v>
      </c>
      <c r="J1389" s="198" t="n">
        <v>35</v>
      </c>
      <c r="K1389" s="198" t="n">
        <v>2</v>
      </c>
      <c r="L1389" s="226" t="n">
        <v>44791</v>
      </c>
      <c r="M1389" s="226" t="n">
        <v>44118</v>
      </c>
      <c r="N1389" s="227" t="n">
        <v>2</v>
      </c>
      <c r="O1389" s="227" t="s">
        <v>135</v>
      </c>
      <c r="P1389" s="228" t="n">
        <f aca="false">VLOOKUP(B1389,'NIVEL ENERO'!A:D,3,0)</f>
        <v>0.341834072378311</v>
      </c>
      <c r="Q1389" s="229" t="n">
        <f aca="false">VLOOKUP(B1389,'NIVEL ENERO'!A:D,4,0)</f>
        <v>306433.86</v>
      </c>
      <c r="R1389" s="186" t="str">
        <f aca="false">+PROPER(C1389&amp;" "&amp;D1389)</f>
        <v>Lopez Bonilla Gineth</v>
      </c>
      <c r="S1389" s="230" t="n">
        <f aca="false">+YEARFRAC(L1389,$S$1)</f>
        <v>3.73333333333333</v>
      </c>
      <c r="T1389" s="230" t="n">
        <f aca="false">+YEARFRAC(M1389,$S$1)</f>
        <v>5.57777777777778</v>
      </c>
      <c r="U1389" s="231" t="n">
        <f aca="false">+$I1389</f>
        <v>8562540</v>
      </c>
      <c r="V1389" s="232" t="str">
        <f aca="false">+PROPER(F1389)</f>
        <v>Soltero(A)</v>
      </c>
    </row>
    <row r="1390" customFormat="false" ht="14.25" hidden="false" customHeight="false" outlineLevel="0" collapsed="false">
      <c r="B1390" s="197" t="n">
        <v>1143925006</v>
      </c>
      <c r="C1390" s="197" t="s">
        <v>3348</v>
      </c>
      <c r="D1390" s="197" t="s">
        <v>3349</v>
      </c>
      <c r="E1390" s="198" t="s">
        <v>944</v>
      </c>
      <c r="F1390" s="198" t="s">
        <v>948</v>
      </c>
      <c r="G1390" s="225" t="n">
        <v>2893800</v>
      </c>
      <c r="H1390" s="225" t="n">
        <v>2600202</v>
      </c>
      <c r="I1390" s="225" t="n">
        <v>3888868</v>
      </c>
      <c r="J1390" s="198" t="n">
        <v>35</v>
      </c>
      <c r="K1390" s="198" t="n">
        <v>1</v>
      </c>
      <c r="L1390" s="226" t="n">
        <v>44519</v>
      </c>
      <c r="M1390" s="226" t="n">
        <v>44105</v>
      </c>
      <c r="N1390" s="227" t="n">
        <v>2</v>
      </c>
      <c r="O1390" s="227" t="s">
        <v>135</v>
      </c>
      <c r="P1390" s="228" t="n">
        <f aca="false">VLOOKUP(B1390,'NIVEL ENERO'!A:D,3,0)</f>
        <v>0.352941235113546</v>
      </c>
      <c r="Q1390" s="229" t="n">
        <f aca="false">VLOOKUP(B1390,'NIVEL ENERO'!A:D,4,0)</f>
        <v>269061</v>
      </c>
      <c r="R1390" s="186" t="str">
        <f aca="false">+PROPER(C1390&amp;" "&amp;D1390)</f>
        <v>Fajardo Bermudez Flor Deisy</v>
      </c>
      <c r="S1390" s="230" t="n">
        <f aca="false">+YEARFRAC(L1390,$S$1)</f>
        <v>4.48055555555556</v>
      </c>
      <c r="T1390" s="230" t="n">
        <f aca="false">+YEARFRAC(M1390,$S$1)</f>
        <v>5.61388888888889</v>
      </c>
      <c r="U1390" s="231" t="n">
        <f aca="false">+$I1390</f>
        <v>3888868</v>
      </c>
      <c r="V1390" s="232" t="str">
        <f aca="false">+PROPER(F1390)</f>
        <v>Casado(A)</v>
      </c>
    </row>
    <row r="1391" customFormat="false" ht="14.25" hidden="false" customHeight="false" outlineLevel="0" collapsed="false">
      <c r="B1391" s="197" t="n">
        <v>1143925026</v>
      </c>
      <c r="C1391" s="197" t="s">
        <v>3350</v>
      </c>
      <c r="D1391" s="197" t="s">
        <v>3351</v>
      </c>
      <c r="E1391" s="198" t="s">
        <v>944</v>
      </c>
      <c r="F1391" s="198" t="s">
        <v>953</v>
      </c>
      <c r="G1391" s="225" t="n">
        <v>1625000</v>
      </c>
      <c r="H1391" s="225" t="n">
        <v>91100</v>
      </c>
      <c r="I1391" s="225"/>
      <c r="J1391" s="198" t="n">
        <v>35</v>
      </c>
      <c r="K1391" s="198" t="n">
        <v>4</v>
      </c>
      <c r="L1391" s="226" t="n">
        <v>45642</v>
      </c>
      <c r="M1391" s="226" t="n">
        <v>44972</v>
      </c>
      <c r="N1391" s="227" t="n">
        <v>0</v>
      </c>
      <c r="O1391" s="227" t="s">
        <v>135</v>
      </c>
      <c r="P1391" s="228" t="e">
        <f aca="false">VLOOKUP(B1391,'NIVEL ENERO'!A:D,3,0)</f>
        <v>#N/A</v>
      </c>
      <c r="Q1391" s="229" t="e">
        <f aca="false">VLOOKUP(B1391,'NIVEL ENERO'!A:D,4,0)</f>
        <v>#N/A</v>
      </c>
      <c r="R1391" s="186" t="str">
        <f aca="false">+PROPER(C1391&amp;" "&amp;D1391)</f>
        <v>Centeno Kimberlee</v>
      </c>
      <c r="S1391" s="230" t="n">
        <f aca="false">+YEARFRAC(L1391,$S$1)</f>
        <v>1.40555555555556</v>
      </c>
      <c r="T1391" s="230" t="n">
        <f aca="false">+YEARFRAC(M1391,$S$1)</f>
        <v>3.24166666666667</v>
      </c>
      <c r="U1391" s="231" t="n">
        <f aca="false">+$I1391</f>
        <v>0</v>
      </c>
      <c r="V1391" s="232" t="str">
        <f aca="false">+PROPER(F1391)</f>
        <v>Soltero(A)</v>
      </c>
    </row>
    <row r="1392" customFormat="false" ht="14.25" hidden="false" customHeight="false" outlineLevel="0" collapsed="false">
      <c r="B1392" s="197" t="n">
        <v>1143925787</v>
      </c>
      <c r="C1392" s="197" t="s">
        <v>3352</v>
      </c>
      <c r="D1392" s="197" t="s">
        <v>3353</v>
      </c>
      <c r="E1392" s="198" t="s">
        <v>944</v>
      </c>
      <c r="F1392" s="198" t="s">
        <v>953</v>
      </c>
      <c r="G1392" s="225" t="n">
        <v>3394800</v>
      </c>
      <c r="H1392" s="225" t="n">
        <v>1802441</v>
      </c>
      <c r="I1392" s="225" t="n">
        <v>3591848</v>
      </c>
      <c r="J1392" s="198" t="n">
        <v>35</v>
      </c>
      <c r="K1392" s="198" t="n">
        <v>2</v>
      </c>
      <c r="L1392" s="226" t="n">
        <v>45121</v>
      </c>
      <c r="M1392" s="226" t="n">
        <v>40192</v>
      </c>
      <c r="N1392" s="227" t="n">
        <v>3</v>
      </c>
      <c r="O1392" s="227" t="s">
        <v>135</v>
      </c>
      <c r="P1392" s="228" t="n">
        <f aca="false">VLOOKUP(B1392,'NIVEL ENERO'!A:D,3,0)</f>
        <v>0.380967067279368</v>
      </c>
      <c r="Q1392" s="229" t="n">
        <f aca="false">VLOOKUP(B1392,'NIVEL ENERO'!A:D,4,0)</f>
        <v>132509</v>
      </c>
      <c r="R1392" s="186" t="str">
        <f aca="false">+PROPER(C1392&amp;" "&amp;D1392)</f>
        <v>Ruiz Medina Jenifer Dayana</v>
      </c>
      <c r="S1392" s="230" t="n">
        <f aca="false">+YEARFRAC(L1392,$S$1)</f>
        <v>2.82777777777778</v>
      </c>
      <c r="T1392" s="230" t="n">
        <f aca="false">+YEARFRAC(M1392,$S$1)</f>
        <v>16.3277777777778</v>
      </c>
      <c r="U1392" s="231" t="n">
        <f aca="false">+$I1392</f>
        <v>3591848</v>
      </c>
      <c r="V1392" s="232" t="str">
        <f aca="false">+PROPER(F1392)</f>
        <v>Soltero(A)</v>
      </c>
    </row>
    <row r="1393" customFormat="false" ht="14.25" hidden="false" customHeight="false" outlineLevel="0" collapsed="false">
      <c r="B1393" s="197" t="n">
        <v>1143926064</v>
      </c>
      <c r="C1393" s="197" t="s">
        <v>3354</v>
      </c>
      <c r="D1393" s="197" t="s">
        <v>2605</v>
      </c>
      <c r="E1393" s="198" t="s">
        <v>944</v>
      </c>
      <c r="F1393" s="198" t="s">
        <v>998</v>
      </c>
      <c r="G1393" s="225" t="n">
        <v>2255900</v>
      </c>
      <c r="H1393" s="225" t="n">
        <v>1910716</v>
      </c>
      <c r="I1393" s="225" t="n">
        <v>1743950</v>
      </c>
      <c r="J1393" s="198" t="n">
        <v>35</v>
      </c>
      <c r="K1393" s="198" t="n">
        <v>4</v>
      </c>
      <c r="L1393" s="226" t="n">
        <v>44670</v>
      </c>
      <c r="M1393" s="226" t="n">
        <v>44105</v>
      </c>
      <c r="N1393" s="227" t="n">
        <v>3</v>
      </c>
      <c r="O1393" s="227" t="s">
        <v>135</v>
      </c>
      <c r="P1393" s="228" t="n">
        <f aca="false">VLOOKUP(B1393,'NIVEL ENERO'!A:D,3,0)</f>
        <v>0.350254951205091</v>
      </c>
      <c r="Q1393" s="229" t="n">
        <f aca="false">VLOOKUP(B1393,'NIVEL ENERO'!A:D,4,0)</f>
        <v>190618.24</v>
      </c>
      <c r="R1393" s="186" t="str">
        <f aca="false">+PROPER(C1393&amp;" "&amp;D1393)</f>
        <v>Osorio Valencia Leidy Alexandra</v>
      </c>
      <c r="S1393" s="230" t="n">
        <f aca="false">+YEARFRAC(L1393,$S$1)</f>
        <v>4.06388888888889</v>
      </c>
      <c r="T1393" s="230" t="n">
        <f aca="false">+YEARFRAC(M1393,$S$1)</f>
        <v>5.61388888888889</v>
      </c>
      <c r="U1393" s="231" t="n">
        <f aca="false">+$I1393</f>
        <v>1743950</v>
      </c>
      <c r="V1393" s="232" t="str">
        <f aca="false">+PROPER(F1393)</f>
        <v>Separado(A)</v>
      </c>
    </row>
    <row r="1394" customFormat="false" ht="14.25" hidden="false" customHeight="false" outlineLevel="0" collapsed="false">
      <c r="B1394" s="197" t="n">
        <v>1143927195</v>
      </c>
      <c r="C1394" s="197" t="s">
        <v>3355</v>
      </c>
      <c r="D1394" s="197" t="s">
        <v>3356</v>
      </c>
      <c r="E1394" s="198" t="s">
        <v>944</v>
      </c>
      <c r="F1394" s="198" t="s">
        <v>945</v>
      </c>
      <c r="G1394" s="225" t="n">
        <v>2893800</v>
      </c>
      <c r="H1394" s="225" t="n">
        <v>6501553</v>
      </c>
      <c r="I1394" s="225" t="n">
        <v>12483202</v>
      </c>
      <c r="J1394" s="198" t="n">
        <v>35</v>
      </c>
      <c r="K1394" s="198" t="n">
        <v>1</v>
      </c>
      <c r="L1394" s="226" t="n">
        <v>41803</v>
      </c>
      <c r="M1394" s="226" t="n">
        <v>40941</v>
      </c>
      <c r="N1394" s="227" t="n">
        <v>2</v>
      </c>
      <c r="O1394" s="227" t="s">
        <v>135</v>
      </c>
      <c r="P1394" s="228" t="n">
        <f aca="false">VLOOKUP(B1394,'NIVEL ENERO'!A:D,3,0)</f>
        <v>0.240270578478126</v>
      </c>
      <c r="Q1394" s="229" t="n">
        <f aca="false">VLOOKUP(B1394,'NIVEL ENERO'!A:D,4,0)</f>
        <v>520101</v>
      </c>
      <c r="R1394" s="186" t="str">
        <f aca="false">+PROPER(C1394&amp;" "&amp;D1394)</f>
        <v>Ovalle Munoz Nadia Carolina</v>
      </c>
      <c r="S1394" s="230" t="n">
        <f aca="false">+YEARFRAC(L1394,$S$1)</f>
        <v>11.9138888888889</v>
      </c>
      <c r="T1394" s="230" t="n">
        <f aca="false">+YEARFRAC(M1394,$S$1)</f>
        <v>14.2777777777778</v>
      </c>
      <c r="U1394" s="231" t="n">
        <f aca="false">+$I1394</f>
        <v>12483202</v>
      </c>
      <c r="V1394" s="232" t="str">
        <f aca="false">+PROPER(F1394)</f>
        <v>Union Libre</v>
      </c>
    </row>
    <row r="1395" customFormat="false" ht="14.25" hidden="false" customHeight="false" outlineLevel="0" collapsed="false">
      <c r="B1395" s="197" t="n">
        <v>1143931949</v>
      </c>
      <c r="C1395" s="197" t="s">
        <v>3357</v>
      </c>
      <c r="D1395" s="197" t="s">
        <v>1063</v>
      </c>
      <c r="E1395" s="198" t="s">
        <v>944</v>
      </c>
      <c r="F1395" s="198" t="s">
        <v>998</v>
      </c>
      <c r="G1395" s="225" t="n">
        <v>1991000</v>
      </c>
      <c r="H1395" s="225" t="n">
        <v>2365283</v>
      </c>
      <c r="I1395" s="225" t="n">
        <v>2497755</v>
      </c>
      <c r="J1395" s="198" t="n">
        <v>34</v>
      </c>
      <c r="K1395" s="198" t="n">
        <v>2</v>
      </c>
      <c r="L1395" s="226" t="n">
        <v>44336</v>
      </c>
      <c r="M1395" s="226" t="n">
        <v>43761</v>
      </c>
      <c r="N1395" s="227" t="n">
        <v>3</v>
      </c>
      <c r="O1395" s="227" t="s">
        <v>135</v>
      </c>
      <c r="P1395" s="228" t="n">
        <f aca="false">VLOOKUP(B1395,'NIVEL ENERO'!A:D,3,0)</f>
        <v>0.596253895125346</v>
      </c>
      <c r="Q1395" s="229" t="n">
        <f aca="false">VLOOKUP(B1395,'NIVEL ENERO'!A:D,4,0)</f>
        <v>-441638.68</v>
      </c>
      <c r="R1395" s="186" t="str">
        <f aca="false">+PROPER(C1395&amp;" "&amp;D1395)</f>
        <v>Parra Hurtado Juan Carlos</v>
      </c>
      <c r="S1395" s="230" t="n">
        <f aca="false">+YEARFRAC(L1395,$S$1)</f>
        <v>4.97777777777778</v>
      </c>
      <c r="T1395" s="230" t="n">
        <f aca="false">+YEARFRAC(M1395,$S$1)</f>
        <v>6.55277777777778</v>
      </c>
      <c r="U1395" s="231" t="n">
        <f aca="false">+$I1395</f>
        <v>2497755</v>
      </c>
      <c r="V1395" s="232" t="str">
        <f aca="false">+PROPER(F1395)</f>
        <v>Separado(A)</v>
      </c>
    </row>
    <row r="1396" customFormat="false" ht="14.25" hidden="false" customHeight="false" outlineLevel="0" collapsed="false">
      <c r="B1396" s="197" t="n">
        <v>1143932401</v>
      </c>
      <c r="C1396" s="197" t="s">
        <v>3358</v>
      </c>
      <c r="D1396" s="197" t="s">
        <v>1359</v>
      </c>
      <c r="E1396" s="198" t="s">
        <v>944</v>
      </c>
      <c r="F1396" s="198" t="s">
        <v>945</v>
      </c>
      <c r="G1396" s="225" t="n">
        <v>1625000</v>
      </c>
      <c r="H1396" s="225" t="n">
        <v>1901827</v>
      </c>
      <c r="I1396" s="225" t="n">
        <v>3680778</v>
      </c>
      <c r="J1396" s="198" t="n">
        <v>38</v>
      </c>
      <c r="K1396" s="198" t="n">
        <v>2</v>
      </c>
      <c r="L1396" s="226" t="n">
        <v>45099</v>
      </c>
      <c r="M1396" s="226" t="n">
        <v>44571</v>
      </c>
      <c r="N1396" s="227" t="n">
        <v>0</v>
      </c>
      <c r="O1396" s="227" t="s">
        <v>135</v>
      </c>
      <c r="P1396" s="228" t="n">
        <f aca="false">VLOOKUP(B1396,'NIVEL ENERO'!A:D,3,0)</f>
        <v>0.231107427700273</v>
      </c>
      <c r="Q1396" s="229" t="n">
        <f aca="false">VLOOKUP(B1396,'NIVEL ENERO'!A:D,4,0)</f>
        <v>369230.2</v>
      </c>
      <c r="R1396" s="186" t="str">
        <f aca="false">+PROPER(C1396&amp;" "&amp;D1396)</f>
        <v>Albornoz Ibarguen Leydi Johanna</v>
      </c>
      <c r="S1396" s="230" t="n">
        <f aca="false">+YEARFRAC(L1396,$S$1)</f>
        <v>2.88888888888889</v>
      </c>
      <c r="T1396" s="230" t="n">
        <f aca="false">+YEARFRAC(M1396,$S$1)</f>
        <v>4.33888888888889</v>
      </c>
      <c r="U1396" s="231" t="n">
        <f aca="false">+$I1396</f>
        <v>3680778</v>
      </c>
      <c r="V1396" s="232" t="str">
        <f aca="false">+PROPER(F1396)</f>
        <v>Union Libre</v>
      </c>
    </row>
    <row r="1397" customFormat="false" ht="14.25" hidden="false" customHeight="false" outlineLevel="0" collapsed="false">
      <c r="B1397" s="197" t="n">
        <v>1143933305</v>
      </c>
      <c r="C1397" s="197" t="s">
        <v>3359</v>
      </c>
      <c r="D1397" s="197" t="s">
        <v>3360</v>
      </c>
      <c r="E1397" s="198" t="s">
        <v>944</v>
      </c>
      <c r="F1397" s="198" t="s">
        <v>948</v>
      </c>
      <c r="G1397" s="225" t="n">
        <v>2893800</v>
      </c>
      <c r="H1397" s="225" t="n">
        <v>3057741</v>
      </c>
      <c r="I1397" s="225" t="n">
        <v>4239251</v>
      </c>
      <c r="J1397" s="198" t="n">
        <v>34</v>
      </c>
      <c r="K1397" s="198" t="n">
        <v>1</v>
      </c>
      <c r="L1397" s="226" t="n">
        <v>43817</v>
      </c>
      <c r="M1397" s="226" t="n">
        <v>42050</v>
      </c>
      <c r="N1397" s="227" t="n">
        <v>2</v>
      </c>
      <c r="O1397" s="227" t="s">
        <v>135</v>
      </c>
      <c r="P1397" s="228" t="n">
        <f aca="false">VLOOKUP(B1397,'NIVEL ENERO'!A:D,3,0)</f>
        <v>0.39370959487974</v>
      </c>
      <c r="Q1397" s="229" t="n">
        <f aca="false">VLOOKUP(B1397,'NIVEL ENERO'!A:D,4,0)</f>
        <v>93757.5</v>
      </c>
      <c r="R1397" s="186" t="str">
        <f aca="false">+PROPER(C1397&amp;" "&amp;D1397)</f>
        <v>Cortes Victoria Jeniffer Tatiana</v>
      </c>
      <c r="S1397" s="230" t="n">
        <f aca="false">+YEARFRAC(L1397,$S$1)</f>
        <v>6.4</v>
      </c>
      <c r="T1397" s="230" t="n">
        <f aca="false">+YEARFRAC(M1397,$S$1)</f>
        <v>11.2416666666667</v>
      </c>
      <c r="U1397" s="231" t="n">
        <f aca="false">+$I1397</f>
        <v>4239251</v>
      </c>
      <c r="V1397" s="232" t="str">
        <f aca="false">+PROPER(F1397)</f>
        <v>Casado(A)</v>
      </c>
    </row>
    <row r="1398" customFormat="false" ht="14.25" hidden="false" customHeight="false" outlineLevel="0" collapsed="false">
      <c r="B1398" s="197" t="n">
        <v>1143934493</v>
      </c>
      <c r="C1398" s="197" t="s">
        <v>3361</v>
      </c>
      <c r="D1398" s="197" t="s">
        <v>3362</v>
      </c>
      <c r="E1398" s="198" t="s">
        <v>944</v>
      </c>
      <c r="F1398" s="198" t="s">
        <v>945</v>
      </c>
      <c r="G1398" s="225" t="n">
        <v>2648100</v>
      </c>
      <c r="H1398" s="225" t="n">
        <v>2769343</v>
      </c>
      <c r="I1398" s="225" t="n">
        <v>3851767</v>
      </c>
      <c r="J1398" s="198" t="n">
        <v>34</v>
      </c>
      <c r="K1398" s="198" t="n">
        <v>4</v>
      </c>
      <c r="L1398" s="226" t="n">
        <v>44090</v>
      </c>
      <c r="M1398" s="226" t="n">
        <v>40615</v>
      </c>
      <c r="N1398" s="227" t="n">
        <v>3</v>
      </c>
      <c r="O1398" s="227" t="s">
        <v>135</v>
      </c>
      <c r="P1398" s="228" t="n">
        <f aca="false">VLOOKUP(B1398,'NIVEL ENERO'!A:D,3,0)</f>
        <v>0.366479814847328</v>
      </c>
      <c r="Q1398" s="229" t="n">
        <f aca="false">VLOOKUP(B1398,'NIVEL ENERO'!A:D,4,0)</f>
        <v>218667.92</v>
      </c>
      <c r="R1398" s="186" t="str">
        <f aca="false">+PROPER(C1398&amp;" "&amp;D1398)</f>
        <v>Useche Becerra Brian Alexis</v>
      </c>
      <c r="S1398" s="230" t="n">
        <f aca="false">+YEARFRAC(L1398,$S$1)</f>
        <v>5.65555555555556</v>
      </c>
      <c r="T1398" s="230" t="n">
        <f aca="false">+YEARFRAC(M1398,$S$1)</f>
        <v>15.1638888888889</v>
      </c>
      <c r="U1398" s="231" t="n">
        <f aca="false">+$I1398</f>
        <v>3851767</v>
      </c>
      <c r="V1398" s="232" t="str">
        <f aca="false">+PROPER(F1398)</f>
        <v>Union Libre</v>
      </c>
    </row>
    <row r="1399" customFormat="false" ht="14.25" hidden="false" customHeight="false" outlineLevel="0" collapsed="false">
      <c r="B1399" s="197" t="n">
        <v>1143934911</v>
      </c>
      <c r="C1399" s="197" t="s">
        <v>3363</v>
      </c>
      <c r="D1399" s="197" t="s">
        <v>3364</v>
      </c>
      <c r="E1399" s="198" t="s">
        <v>944</v>
      </c>
      <c r="F1399" s="198" t="s">
        <v>945</v>
      </c>
      <c r="G1399" s="225" t="n">
        <v>1918500</v>
      </c>
      <c r="H1399" s="225" t="n">
        <v>1456149</v>
      </c>
      <c r="I1399" s="225" t="n">
        <v>2191626</v>
      </c>
      <c r="J1399" s="198" t="n">
        <v>34</v>
      </c>
      <c r="K1399" s="198" t="n">
        <v>2</v>
      </c>
      <c r="L1399" s="226" t="n">
        <v>44937</v>
      </c>
      <c r="M1399" s="226" t="n">
        <v>44748</v>
      </c>
      <c r="N1399" s="227" t="n">
        <v>0</v>
      </c>
      <c r="O1399" s="227" t="s">
        <v>135</v>
      </c>
      <c r="P1399" s="228" t="n">
        <f aca="false">VLOOKUP(B1399,'NIVEL ENERO'!A:D,3,0)</f>
        <v>0.385252634870993</v>
      </c>
      <c r="Q1399" s="229" t="n">
        <f aca="false">VLOOKUP(B1399,'NIVEL ENERO'!A:D,4,0)</f>
        <v>158721</v>
      </c>
      <c r="R1399" s="186" t="str">
        <f aca="false">+PROPER(C1399&amp;" "&amp;D1399)</f>
        <v>Restrepo Delgado Luis Miguel</v>
      </c>
      <c r="S1399" s="230" t="n">
        <f aca="false">+YEARFRAC(L1399,$S$1)</f>
        <v>3.33611111111111</v>
      </c>
      <c r="T1399" s="230" t="n">
        <f aca="false">+YEARFRAC(M1399,$S$1)</f>
        <v>3.85</v>
      </c>
      <c r="U1399" s="231" t="n">
        <f aca="false">+$I1399</f>
        <v>2191626</v>
      </c>
      <c r="V1399" s="232" t="str">
        <f aca="false">+PROPER(F1399)</f>
        <v>Union Libre</v>
      </c>
    </row>
    <row r="1400" customFormat="false" ht="14.25" hidden="false" customHeight="false" outlineLevel="0" collapsed="false">
      <c r="B1400" s="197" t="n">
        <v>1143935173</v>
      </c>
      <c r="C1400" s="197" t="s">
        <v>3365</v>
      </c>
      <c r="D1400" s="197" t="s">
        <v>3366</v>
      </c>
      <c r="E1400" s="198" t="s">
        <v>944</v>
      </c>
      <c r="F1400" s="198" t="s">
        <v>953</v>
      </c>
      <c r="G1400" s="225" t="n">
        <v>1831930</v>
      </c>
      <c r="H1400" s="225" t="n">
        <v>585000</v>
      </c>
      <c r="I1400" s="225" t="n">
        <v>872423</v>
      </c>
      <c r="J1400" s="198" t="n">
        <v>34</v>
      </c>
      <c r="K1400" s="198" t="n">
        <v>2</v>
      </c>
      <c r="L1400" s="226" t="n">
        <v>45390</v>
      </c>
      <c r="M1400" s="226" t="n">
        <v>45082</v>
      </c>
      <c r="N1400" s="227" t="n">
        <v>0</v>
      </c>
      <c r="O1400" s="227" t="s">
        <v>135</v>
      </c>
      <c r="P1400" s="228" t="n">
        <f aca="false">VLOOKUP(B1400,'NIVEL ENERO'!A:D,3,0)</f>
        <v>0.391919541878607</v>
      </c>
      <c r="Q1400" s="229" t="n">
        <f aca="false">VLOOKUP(B1400,'NIVEL ENERO'!A:D,4,0)</f>
        <v>127248</v>
      </c>
      <c r="R1400" s="186" t="str">
        <f aca="false">+PROPER(C1400&amp;" "&amp;D1400)</f>
        <v>Correa Arias Leydi Vanessa</v>
      </c>
      <c r="S1400" s="230" t="n">
        <f aca="false">+YEARFRAC(L1400,$S$1)</f>
        <v>2.09444444444444</v>
      </c>
      <c r="T1400" s="230" t="n">
        <f aca="false">+YEARFRAC(M1400,$S$1)</f>
        <v>2.93611111111111</v>
      </c>
      <c r="U1400" s="231" t="n">
        <f aca="false">+$I1400</f>
        <v>872423</v>
      </c>
      <c r="V1400" s="232" t="str">
        <f aca="false">+PROPER(F1400)</f>
        <v>Soltero(A)</v>
      </c>
    </row>
    <row r="1401" customFormat="false" ht="14.25" hidden="false" customHeight="false" outlineLevel="0" collapsed="false">
      <c r="B1401" s="197" t="n">
        <v>1143935417</v>
      </c>
      <c r="C1401" s="197" t="s">
        <v>3367</v>
      </c>
      <c r="D1401" s="197" t="s">
        <v>3368</v>
      </c>
      <c r="E1401" s="198" t="s">
        <v>944</v>
      </c>
      <c r="F1401" s="198" t="s">
        <v>945</v>
      </c>
      <c r="G1401" s="225" t="n">
        <v>2600900</v>
      </c>
      <c r="H1401" s="225" t="n">
        <v>2001313</v>
      </c>
      <c r="I1401" s="225" t="n">
        <v>0</v>
      </c>
      <c r="J1401" s="198" t="n">
        <v>34</v>
      </c>
      <c r="K1401" s="198" t="n">
        <v>2</v>
      </c>
      <c r="L1401" s="226" t="n">
        <v>45121</v>
      </c>
      <c r="M1401" s="226" t="n">
        <v>44876</v>
      </c>
      <c r="N1401" s="227" t="n">
        <v>0</v>
      </c>
      <c r="O1401" s="227" t="s">
        <v>135</v>
      </c>
      <c r="P1401" s="228" t="n">
        <f aca="false">VLOOKUP(B1401,'NIVEL ENERO'!A:D,3,0)</f>
        <v>0.143008281611563</v>
      </c>
      <c r="Q1401" s="229" t="n">
        <f aca="false">VLOOKUP(B1401,'NIVEL ENERO'!A:D,4,0)</f>
        <v>929090.7</v>
      </c>
      <c r="R1401" s="186" t="str">
        <f aca="false">+PROPER(C1401&amp;" "&amp;D1401)</f>
        <v>Cardona Castro Jhon Alfonso</v>
      </c>
      <c r="S1401" s="230" t="n">
        <f aca="false">+YEARFRAC(L1401,$S$1)</f>
        <v>2.82777777777778</v>
      </c>
      <c r="T1401" s="230" t="n">
        <f aca="false">+YEARFRAC(M1401,$S$1)</f>
        <v>3.50277777777778</v>
      </c>
      <c r="U1401" s="231" t="n">
        <f aca="false">+$I1401</f>
        <v>0</v>
      </c>
      <c r="V1401" s="232" t="str">
        <f aca="false">+PROPER(F1401)</f>
        <v>Union Libre</v>
      </c>
    </row>
    <row r="1402" customFormat="false" ht="14.25" hidden="false" customHeight="false" outlineLevel="0" collapsed="false">
      <c r="B1402" s="197" t="n">
        <v>1143938057</v>
      </c>
      <c r="C1402" s="197" t="s">
        <v>3369</v>
      </c>
      <c r="D1402" s="197" t="s">
        <v>1184</v>
      </c>
      <c r="E1402" s="198" t="s">
        <v>944</v>
      </c>
      <c r="F1402" s="198" t="s">
        <v>945</v>
      </c>
      <c r="G1402" s="225" t="n">
        <v>1625000</v>
      </c>
      <c r="H1402" s="225" t="n">
        <v>947160</v>
      </c>
      <c r="I1402" s="225" t="n">
        <v>2478019</v>
      </c>
      <c r="J1402" s="198" t="n">
        <v>34</v>
      </c>
      <c r="K1402" s="198" t="n">
        <v>2</v>
      </c>
      <c r="L1402" s="226" t="n">
        <v>45222</v>
      </c>
      <c r="M1402" s="226" t="n">
        <v>45090</v>
      </c>
      <c r="N1402" s="227" t="n">
        <v>0</v>
      </c>
      <c r="O1402" s="227" t="s">
        <v>135</v>
      </c>
      <c r="P1402" s="228" t="n">
        <f aca="false">VLOOKUP(B1402,'NIVEL ENERO'!A:D,3,0)</f>
        <v>0.418140346169328</v>
      </c>
      <c r="Q1402" s="229" t="n">
        <f aca="false">VLOOKUP(B1402,'NIVEL ENERO'!A:D,4,0)</f>
        <v>8217</v>
      </c>
      <c r="R1402" s="186" t="str">
        <f aca="false">+PROPER(C1402&amp;" "&amp;D1402)</f>
        <v>Albaran Muriel Paola Andrea</v>
      </c>
      <c r="S1402" s="230" t="n">
        <f aca="false">+YEARFRAC(L1402,$S$1)</f>
        <v>2.55277777777778</v>
      </c>
      <c r="T1402" s="230" t="n">
        <f aca="false">+YEARFRAC(M1402,$S$1)</f>
        <v>2.91388888888889</v>
      </c>
      <c r="U1402" s="231" t="n">
        <f aca="false">+$I1402</f>
        <v>2478019</v>
      </c>
      <c r="V1402" s="232" t="str">
        <f aca="false">+PROPER(F1402)</f>
        <v>Union Libre</v>
      </c>
    </row>
    <row r="1403" customFormat="false" ht="14.25" hidden="false" customHeight="false" outlineLevel="0" collapsed="false">
      <c r="B1403" s="197" t="n">
        <v>1143938085</v>
      </c>
      <c r="C1403" s="197" t="s">
        <v>3370</v>
      </c>
      <c r="D1403" s="197" t="s">
        <v>3371</v>
      </c>
      <c r="E1403" s="198" t="s">
        <v>944</v>
      </c>
      <c r="F1403" s="198" t="s">
        <v>945</v>
      </c>
      <c r="G1403" s="225" t="n">
        <v>2600900</v>
      </c>
      <c r="H1403" s="225" t="n">
        <v>3514441</v>
      </c>
      <c r="I1403" s="225" t="n">
        <v>0</v>
      </c>
      <c r="J1403" s="198" t="n">
        <v>33</v>
      </c>
      <c r="K1403" s="198" t="n">
        <v>4</v>
      </c>
      <c r="L1403" s="226" t="n">
        <v>43441</v>
      </c>
      <c r="M1403" s="226" t="n">
        <v>42588</v>
      </c>
      <c r="N1403" s="227" t="n">
        <v>2</v>
      </c>
      <c r="O1403" s="227" t="s">
        <v>135</v>
      </c>
      <c r="P1403" s="228" t="n">
        <f aca="false">VLOOKUP(B1403,'NIVEL ENERO'!A:D,3,0)</f>
        <v>0.116859991675865</v>
      </c>
      <c r="Q1403" s="229" t="n">
        <f aca="false">VLOOKUP(B1403,'NIVEL ENERO'!A:D,4,0)</f>
        <v>809671.3</v>
      </c>
      <c r="R1403" s="186" t="str">
        <f aca="false">+PROPER(C1403&amp;" "&amp;D1403)</f>
        <v>Waldo Arenas Kelly Jhojary</v>
      </c>
      <c r="S1403" s="230" t="n">
        <f aca="false">+YEARFRAC(L1403,$S$1)</f>
        <v>7.43055555555556</v>
      </c>
      <c r="T1403" s="230" t="n">
        <f aca="false">+YEARFRAC(M1403,$S$1)</f>
        <v>9.76666666666667</v>
      </c>
      <c r="U1403" s="231" t="n">
        <f aca="false">+$I1403</f>
        <v>0</v>
      </c>
      <c r="V1403" s="232" t="str">
        <f aca="false">+PROPER(F1403)</f>
        <v>Union Libre</v>
      </c>
    </row>
    <row r="1404" customFormat="false" ht="14.25" hidden="false" customHeight="false" outlineLevel="0" collapsed="false">
      <c r="B1404" s="197" t="n">
        <v>1143938596</v>
      </c>
      <c r="C1404" s="197" t="s">
        <v>3372</v>
      </c>
      <c r="D1404" s="197" t="s">
        <v>1190</v>
      </c>
      <c r="E1404" s="198" t="s">
        <v>944</v>
      </c>
      <c r="F1404" s="198" t="s">
        <v>998</v>
      </c>
      <c r="G1404" s="225" t="n">
        <v>1717900</v>
      </c>
      <c r="H1404" s="225" t="n">
        <v>350000</v>
      </c>
      <c r="I1404" s="225"/>
      <c r="J1404" s="198" t="n">
        <v>33</v>
      </c>
      <c r="K1404" s="198" t="n">
        <v>2</v>
      </c>
      <c r="L1404" s="226" t="n">
        <v>45520</v>
      </c>
      <c r="M1404" s="226" t="n">
        <v>44384</v>
      </c>
      <c r="N1404" s="227" t="n">
        <v>0</v>
      </c>
      <c r="O1404" s="227" t="s">
        <v>135</v>
      </c>
      <c r="P1404" s="228" t="n">
        <f aca="false">VLOOKUP(B1404,'NIVEL ENERO'!A:D,3,0)</f>
        <v>0.124899394787291</v>
      </c>
      <c r="Q1404" s="229" t="n">
        <f aca="false">VLOOKUP(B1404,'NIVEL ENERO'!A:D,4,0)</f>
        <v>640671.48</v>
      </c>
      <c r="R1404" s="186" t="str">
        <f aca="false">+PROPER(C1404&amp;" "&amp;D1404)</f>
        <v>Moreno Munoz Sandra Viviana</v>
      </c>
      <c r="S1404" s="230" t="n">
        <f aca="false">+YEARFRAC(L1404,$S$1)</f>
        <v>1.73888888888889</v>
      </c>
      <c r="T1404" s="230" t="n">
        <f aca="false">+YEARFRAC(M1404,$S$1)</f>
        <v>4.84722222222222</v>
      </c>
      <c r="U1404" s="231" t="n">
        <f aca="false">+$I1404</f>
        <v>0</v>
      </c>
      <c r="V1404" s="232" t="str">
        <f aca="false">+PROPER(F1404)</f>
        <v>Separado(A)</v>
      </c>
    </row>
    <row r="1405" customFormat="false" ht="14.25" hidden="false" customHeight="false" outlineLevel="0" collapsed="false">
      <c r="B1405" s="197" t="n">
        <v>1143938768</v>
      </c>
      <c r="C1405" s="197" t="s">
        <v>3373</v>
      </c>
      <c r="D1405" s="197" t="s">
        <v>3374</v>
      </c>
      <c r="E1405" s="198" t="s">
        <v>944</v>
      </c>
      <c r="F1405" s="198" t="s">
        <v>945</v>
      </c>
      <c r="G1405" s="225" t="n">
        <v>2893800</v>
      </c>
      <c r="H1405" s="225" t="n">
        <v>4122930</v>
      </c>
      <c r="I1405" s="225" t="n">
        <v>306231</v>
      </c>
      <c r="J1405" s="198" t="n">
        <v>33</v>
      </c>
      <c r="K1405" s="198" t="n">
        <v>1</v>
      </c>
      <c r="L1405" s="226" t="n">
        <v>44398</v>
      </c>
      <c r="M1405" s="226" t="n">
        <v>44470</v>
      </c>
      <c r="N1405" s="227" t="n">
        <v>1</v>
      </c>
      <c r="O1405" s="227" t="s">
        <v>135</v>
      </c>
      <c r="P1405" s="228" t="n">
        <f aca="false">VLOOKUP(B1405,'NIVEL ENERO'!A:D,3,0)</f>
        <v>0.301063626698703</v>
      </c>
      <c r="Q1405" s="229" t="n">
        <f aca="false">VLOOKUP(B1405,'NIVEL ENERO'!A:D,4,0)</f>
        <v>368619.7</v>
      </c>
      <c r="R1405" s="186" t="str">
        <f aca="false">+PROPER(C1405&amp;" "&amp;D1405)</f>
        <v>Quelal Burbano Deisy Carolina</v>
      </c>
      <c r="S1405" s="230" t="n">
        <f aca="false">+YEARFRAC(L1405,$S$1)</f>
        <v>4.80833333333333</v>
      </c>
      <c r="T1405" s="230" t="n">
        <f aca="false">+YEARFRAC(M1405,$S$1)</f>
        <v>4.61388888888889</v>
      </c>
      <c r="U1405" s="231" t="n">
        <f aca="false">+$I1405</f>
        <v>306231</v>
      </c>
      <c r="V1405" s="232" t="str">
        <f aca="false">+PROPER(F1405)</f>
        <v>Union Libre</v>
      </c>
    </row>
    <row r="1406" customFormat="false" ht="14.25" hidden="false" customHeight="false" outlineLevel="0" collapsed="false">
      <c r="B1406" s="197" t="n">
        <v>1143939334</v>
      </c>
      <c r="C1406" s="197" t="s">
        <v>3375</v>
      </c>
      <c r="D1406" s="197" t="s">
        <v>3376</v>
      </c>
      <c r="E1406" s="198" t="s">
        <v>944</v>
      </c>
      <c r="F1406" s="198" t="s">
        <v>948</v>
      </c>
      <c r="G1406" s="225" t="n">
        <v>4327600</v>
      </c>
      <c r="H1406" s="225" t="n">
        <v>3314810</v>
      </c>
      <c r="I1406" s="225" t="n">
        <v>0</v>
      </c>
      <c r="J1406" s="198" t="n">
        <v>33</v>
      </c>
      <c r="K1406" s="198" t="n">
        <v>1</v>
      </c>
      <c r="L1406" s="226" t="n">
        <v>44631</v>
      </c>
      <c r="M1406" s="226" t="n">
        <v>44341</v>
      </c>
      <c r="N1406" s="227" t="n">
        <v>1</v>
      </c>
      <c r="O1406" s="227" t="s">
        <v>135</v>
      </c>
      <c r="P1406" s="228" t="n">
        <f aca="false">VLOOKUP(B1406,'NIVEL ENERO'!A:D,3,0)</f>
        <v>0.369615491265366</v>
      </c>
      <c r="Q1406" s="229" t="n">
        <f aca="false">VLOOKUP(B1406,'NIVEL ENERO'!A:D,4,0)</f>
        <v>218044</v>
      </c>
      <c r="R1406" s="186" t="str">
        <f aca="false">+PROPER(C1406&amp;" "&amp;D1406)</f>
        <v>Vasquez Mondragon Stephanny</v>
      </c>
      <c r="S1406" s="230" t="n">
        <f aca="false">+YEARFRAC(L1406,$S$1)</f>
        <v>4.16944444444444</v>
      </c>
      <c r="T1406" s="230" t="n">
        <f aca="false">+YEARFRAC(M1406,$S$1)</f>
        <v>4.96388888888889</v>
      </c>
      <c r="U1406" s="231" t="n">
        <f aca="false">+$I1406</f>
        <v>0</v>
      </c>
      <c r="V1406" s="232" t="str">
        <f aca="false">+PROPER(F1406)</f>
        <v>Casado(A)</v>
      </c>
    </row>
    <row r="1407" customFormat="false" ht="14.25" hidden="false" customHeight="false" outlineLevel="0" collapsed="false">
      <c r="B1407" s="197" t="n">
        <v>1143939888</v>
      </c>
      <c r="C1407" s="197" t="s">
        <v>3377</v>
      </c>
      <c r="D1407" s="197" t="s">
        <v>3378</v>
      </c>
      <c r="E1407" s="198" t="s">
        <v>944</v>
      </c>
      <c r="F1407" s="198" t="s">
        <v>953</v>
      </c>
      <c r="G1407" s="225" t="n">
        <v>2893800</v>
      </c>
      <c r="H1407" s="225" t="n">
        <v>6385682</v>
      </c>
      <c r="I1407" s="225" t="n">
        <v>35406</v>
      </c>
      <c r="J1407" s="198" t="n">
        <v>33</v>
      </c>
      <c r="K1407" s="198" t="n">
        <v>2</v>
      </c>
      <c r="L1407" s="226" t="n">
        <v>42626</v>
      </c>
      <c r="M1407" s="226" t="n">
        <v>41835</v>
      </c>
      <c r="N1407" s="227" t="n">
        <v>2</v>
      </c>
      <c r="O1407" s="227" t="s">
        <v>135</v>
      </c>
      <c r="P1407" s="228" t="n">
        <f aca="false">VLOOKUP(B1407,'NIVEL ENERO'!A:D,3,0)</f>
        <v>0.218514755684567</v>
      </c>
      <c r="Q1407" s="229" t="n">
        <f aca="false">VLOOKUP(B1407,'NIVEL ENERO'!A:D,4,0)</f>
        <v>583058</v>
      </c>
      <c r="R1407" s="186" t="str">
        <f aca="false">+PROPER(C1407&amp;" "&amp;D1407)</f>
        <v>Jimenez Camacho Claudia Lizeth</v>
      </c>
      <c r="S1407" s="230" t="n">
        <f aca="false">+YEARFRAC(L1407,$S$1)</f>
        <v>9.66388888888889</v>
      </c>
      <c r="T1407" s="230" t="n">
        <f aca="false">+YEARFRAC(M1407,$S$1)</f>
        <v>11.825</v>
      </c>
      <c r="U1407" s="231" t="n">
        <f aca="false">+$I1407</f>
        <v>35406</v>
      </c>
      <c r="V1407" s="232" t="str">
        <f aca="false">+PROPER(F1407)</f>
        <v>Soltero(A)</v>
      </c>
    </row>
    <row r="1408" customFormat="false" ht="14.25" hidden="false" customHeight="false" outlineLevel="0" collapsed="false">
      <c r="B1408" s="197" t="n">
        <v>1143940744</v>
      </c>
      <c r="C1408" s="197" t="s">
        <v>3379</v>
      </c>
      <c r="D1408" s="197" t="s">
        <v>3380</v>
      </c>
      <c r="E1408" s="198" t="s">
        <v>944</v>
      </c>
      <c r="F1408" s="198" t="s">
        <v>953</v>
      </c>
      <c r="G1408" s="225" t="n">
        <v>5418800</v>
      </c>
      <c r="H1408" s="225" t="n">
        <v>270000</v>
      </c>
      <c r="I1408" s="225"/>
      <c r="J1408" s="198" t="n">
        <v>33</v>
      </c>
      <c r="K1408" s="198" t="n">
        <v>1</v>
      </c>
      <c r="L1408" s="226" t="n">
        <v>45615</v>
      </c>
      <c r="M1408" s="226" t="n">
        <v>44083</v>
      </c>
      <c r="N1408" s="227" t="n">
        <v>0</v>
      </c>
      <c r="O1408" s="227" t="s">
        <v>135</v>
      </c>
      <c r="P1408" s="228" t="n">
        <f aca="false">VLOOKUP(B1408,'NIVEL ENERO'!A:D,3,0)</f>
        <v>0.45244788113148</v>
      </c>
      <c r="Q1408" s="229" t="n">
        <f aca="false">VLOOKUP(B1408,'NIVEL ENERO'!A:D,4,0)</f>
        <v>-242452.32</v>
      </c>
      <c r="R1408" s="186" t="str">
        <f aca="false">+PROPER(C1408&amp;" "&amp;D1408)</f>
        <v>Cuesta Hurtado Nubia Saray</v>
      </c>
      <c r="S1408" s="230" t="n">
        <f aca="false">+YEARFRAC(L1408,$S$1)</f>
        <v>1.48055555555556</v>
      </c>
      <c r="T1408" s="230" t="n">
        <f aca="false">+YEARFRAC(M1408,$S$1)</f>
        <v>5.675</v>
      </c>
      <c r="U1408" s="231" t="n">
        <f aca="false">+$I1408</f>
        <v>0</v>
      </c>
      <c r="V1408" s="232" t="str">
        <f aca="false">+PROPER(F1408)</f>
        <v>Soltero(A)</v>
      </c>
    </row>
    <row r="1409" customFormat="false" ht="14.25" hidden="false" customHeight="false" outlineLevel="0" collapsed="false">
      <c r="B1409" s="197" t="n">
        <v>1143941016</v>
      </c>
      <c r="C1409" s="197" t="s">
        <v>3381</v>
      </c>
      <c r="D1409" s="197" t="s">
        <v>3382</v>
      </c>
      <c r="E1409" s="198" t="s">
        <v>944</v>
      </c>
      <c r="F1409" s="198" t="s">
        <v>953</v>
      </c>
      <c r="G1409" s="225" t="n">
        <v>2893800</v>
      </c>
      <c r="H1409" s="225" t="n">
        <v>4313795</v>
      </c>
      <c r="I1409" s="225" t="n">
        <v>1073319</v>
      </c>
      <c r="J1409" s="198" t="n">
        <v>33</v>
      </c>
      <c r="K1409" s="198" t="n">
        <v>1</v>
      </c>
      <c r="L1409" s="226" t="n">
        <v>44701</v>
      </c>
      <c r="M1409" s="226" t="n">
        <v>44181</v>
      </c>
      <c r="N1409" s="227" t="n">
        <v>1</v>
      </c>
      <c r="O1409" s="227" t="s">
        <v>135</v>
      </c>
      <c r="P1409" s="228" t="n">
        <f aca="false">VLOOKUP(B1409,'NIVEL ENERO'!A:D,3,0)</f>
        <v>0.325359714307345</v>
      </c>
      <c r="Q1409" s="229" t="n">
        <f aca="false">VLOOKUP(B1409,'NIVEL ENERO'!A:D,4,0)</f>
        <v>442518.48</v>
      </c>
      <c r="R1409" s="186" t="str">
        <f aca="false">+PROPER(C1409&amp;" "&amp;D1409)</f>
        <v>Acevedo  Zuniga Karen</v>
      </c>
      <c r="S1409" s="230" t="n">
        <f aca="false">+YEARFRAC(L1409,$S$1)</f>
        <v>3.97777777777778</v>
      </c>
      <c r="T1409" s="230" t="n">
        <f aca="false">+YEARFRAC(M1409,$S$1)</f>
        <v>5.40555555555556</v>
      </c>
      <c r="U1409" s="231" t="n">
        <f aca="false">+$I1409</f>
        <v>1073319</v>
      </c>
      <c r="V1409" s="232" t="str">
        <f aca="false">+PROPER(F1409)</f>
        <v>Soltero(A)</v>
      </c>
    </row>
    <row r="1410" customFormat="false" ht="14.25" hidden="false" customHeight="false" outlineLevel="0" collapsed="false">
      <c r="B1410" s="197" t="n">
        <v>1143941511</v>
      </c>
      <c r="C1410" s="197" t="s">
        <v>3383</v>
      </c>
      <c r="D1410" s="197" t="s">
        <v>1261</v>
      </c>
      <c r="E1410" s="198" t="s">
        <v>944</v>
      </c>
      <c r="F1410" s="198" t="s">
        <v>945</v>
      </c>
      <c r="G1410" s="225" t="n">
        <v>1828100</v>
      </c>
      <c r="H1410" s="225" t="n">
        <v>923088</v>
      </c>
      <c r="I1410" s="225" t="n">
        <v>3730048</v>
      </c>
      <c r="J1410" s="198" t="n">
        <v>33</v>
      </c>
      <c r="K1410" s="198" t="n">
        <v>2</v>
      </c>
      <c r="L1410" s="226" t="n">
        <v>45250</v>
      </c>
      <c r="M1410" s="226" t="n">
        <v>45209</v>
      </c>
      <c r="N1410" s="227" t="n">
        <v>0</v>
      </c>
      <c r="O1410" s="227" t="s">
        <v>135</v>
      </c>
      <c r="P1410" s="228" t="str">
        <f aca="false">VLOOKUP(B1410,'NIVEL ENERO'!A:D,3,0)</f>
        <v>0</v>
      </c>
      <c r="Q1410" s="229" t="n">
        <f aca="false">VLOOKUP(B1410,'NIVEL ENERO'!A:D,4,0)</f>
        <v>0</v>
      </c>
      <c r="R1410" s="186" t="str">
        <f aca="false">+PROPER(C1410&amp;" "&amp;D1410)</f>
        <v>Delgado Tabima Jessica</v>
      </c>
      <c r="S1410" s="230" t="n">
        <f aca="false">+YEARFRAC(L1410,$S$1)</f>
        <v>2.47777777777778</v>
      </c>
      <c r="T1410" s="230" t="n">
        <f aca="false">+YEARFRAC(M1410,$S$1)</f>
        <v>2.58888888888889</v>
      </c>
      <c r="U1410" s="231" t="n">
        <f aca="false">+$I1410</f>
        <v>3730048</v>
      </c>
      <c r="V1410" s="232" t="str">
        <f aca="false">+PROPER(F1410)</f>
        <v>Union Libre</v>
      </c>
    </row>
    <row r="1411" customFormat="false" ht="14.25" hidden="false" customHeight="false" outlineLevel="0" collapsed="false">
      <c r="B1411" s="197" t="n">
        <v>1143941664</v>
      </c>
      <c r="C1411" s="197" t="s">
        <v>3384</v>
      </c>
      <c r="D1411" s="197" t="s">
        <v>3385</v>
      </c>
      <c r="E1411" s="198" t="s">
        <v>944</v>
      </c>
      <c r="F1411" s="198" t="s">
        <v>945</v>
      </c>
      <c r="G1411" s="225" t="n">
        <v>2600900</v>
      </c>
      <c r="H1411" s="225" t="n">
        <v>1682494</v>
      </c>
      <c r="I1411" s="225" t="n">
        <v>3167888</v>
      </c>
      <c r="J1411" s="198" t="n">
        <v>33</v>
      </c>
      <c r="K1411" s="198" t="n">
        <v>1</v>
      </c>
      <c r="L1411" s="226" t="n">
        <v>45027</v>
      </c>
      <c r="M1411" s="226" t="n">
        <v>44960</v>
      </c>
      <c r="N1411" s="227" t="n">
        <v>0</v>
      </c>
      <c r="O1411" s="227" t="s">
        <v>135</v>
      </c>
      <c r="P1411" s="228" t="n">
        <f aca="false">VLOOKUP(B1411,'NIVEL ENERO'!A:D,3,0)</f>
        <v>0.418978812635267</v>
      </c>
      <c r="Q1411" s="229" t="n">
        <f aca="false">VLOOKUP(B1411,'NIVEL ENERO'!A:D,4,0)</f>
        <v>3134.2799999998</v>
      </c>
      <c r="R1411" s="186" t="str">
        <f aca="false">+PROPER(C1411&amp;" "&amp;D1411)</f>
        <v>Zapata Montenegro Jhoselim</v>
      </c>
      <c r="S1411" s="230" t="n">
        <f aca="false">+YEARFRAC(L1411,$S$1)</f>
        <v>3.08611111111111</v>
      </c>
      <c r="T1411" s="230" t="n">
        <f aca="false">+YEARFRAC(M1411,$S$1)</f>
        <v>3.275</v>
      </c>
      <c r="U1411" s="231" t="n">
        <f aca="false">+$I1411</f>
        <v>3167888</v>
      </c>
      <c r="V1411" s="232" t="str">
        <f aca="false">+PROPER(F1411)</f>
        <v>Union Libre</v>
      </c>
    </row>
    <row r="1412" customFormat="false" ht="14.25" hidden="false" customHeight="false" outlineLevel="0" collapsed="false">
      <c r="B1412" s="197" t="n">
        <v>1143942501</v>
      </c>
      <c r="C1412" s="197" t="s">
        <v>3386</v>
      </c>
      <c r="D1412" s="197" t="s">
        <v>3387</v>
      </c>
      <c r="E1412" s="198" t="s">
        <v>944</v>
      </c>
      <c r="F1412" s="198" t="s">
        <v>953</v>
      </c>
      <c r="G1412" s="225" t="n">
        <v>2893800</v>
      </c>
      <c r="H1412" s="225" t="n">
        <v>200000</v>
      </c>
      <c r="I1412" s="225"/>
      <c r="J1412" s="198" t="n">
        <v>33</v>
      </c>
      <c r="K1412" s="198" t="n">
        <v>4</v>
      </c>
      <c r="L1412" s="226" t="n">
        <v>45642</v>
      </c>
      <c r="M1412" s="226" t="n">
        <v>44105</v>
      </c>
      <c r="N1412" s="227" t="n">
        <v>0</v>
      </c>
      <c r="O1412" s="227" t="s">
        <v>135</v>
      </c>
      <c r="P1412" s="228" t="e">
        <f aca="false">VLOOKUP(B1412,'NIVEL ENERO'!A:D,3,0)</f>
        <v>#N/A</v>
      </c>
      <c r="Q1412" s="229" t="e">
        <f aca="false">VLOOKUP(B1412,'NIVEL ENERO'!A:D,4,0)</f>
        <v>#N/A</v>
      </c>
      <c r="R1412" s="186" t="str">
        <f aca="false">+PROPER(C1412&amp;" "&amp;D1412)</f>
        <v>Olarte Valencia Yuliana Patricia</v>
      </c>
      <c r="S1412" s="230" t="n">
        <f aca="false">+YEARFRAC(L1412,$S$1)</f>
        <v>1.40555555555556</v>
      </c>
      <c r="T1412" s="230" t="n">
        <f aca="false">+YEARFRAC(M1412,$S$1)</f>
        <v>5.61388888888889</v>
      </c>
      <c r="U1412" s="231" t="n">
        <f aca="false">+$I1412</f>
        <v>0</v>
      </c>
      <c r="V1412" s="232" t="str">
        <f aca="false">+PROPER(F1412)</f>
        <v>Soltero(A)</v>
      </c>
    </row>
    <row r="1413" customFormat="false" ht="14.25" hidden="false" customHeight="false" outlineLevel="0" collapsed="false">
      <c r="B1413" s="197" t="n">
        <v>1143942944</v>
      </c>
      <c r="C1413" s="197" t="s">
        <v>3388</v>
      </c>
      <c r="D1413" s="197" t="s">
        <v>2024</v>
      </c>
      <c r="E1413" s="198" t="s">
        <v>981</v>
      </c>
      <c r="F1413" s="198" t="s">
        <v>953</v>
      </c>
      <c r="G1413" s="225" t="n">
        <v>1625000</v>
      </c>
      <c r="H1413" s="225" t="n">
        <v>1500275</v>
      </c>
      <c r="I1413" s="225" t="n">
        <v>3498040</v>
      </c>
      <c r="J1413" s="198" t="n">
        <v>33</v>
      </c>
      <c r="K1413" s="198" t="n">
        <v>4</v>
      </c>
      <c r="L1413" s="226" t="n">
        <v>45222</v>
      </c>
      <c r="M1413" s="226" t="n">
        <v>45070</v>
      </c>
      <c r="N1413" s="227" t="n">
        <v>0</v>
      </c>
      <c r="O1413" s="227" t="s">
        <v>135</v>
      </c>
      <c r="P1413" s="228" t="n">
        <f aca="false">VLOOKUP(B1413,'NIVEL ENERO'!A:D,3,0)</f>
        <v>0.301147410199037</v>
      </c>
      <c r="Q1413" s="229" t="n">
        <f aca="false">VLOOKUP(B1413,'NIVEL ENERO'!A:D,4,0)</f>
        <v>273076.78</v>
      </c>
      <c r="R1413" s="186" t="str">
        <f aca="false">+PROPER(C1413&amp;" "&amp;D1413)</f>
        <v>Tabares Morales Diana Patricia</v>
      </c>
      <c r="S1413" s="230" t="n">
        <f aca="false">+YEARFRAC(L1413,$S$1)</f>
        <v>2.55277777777778</v>
      </c>
      <c r="T1413" s="230" t="n">
        <f aca="false">+YEARFRAC(M1413,$S$1)</f>
        <v>2.96666666666667</v>
      </c>
      <c r="U1413" s="231" t="n">
        <f aca="false">+$I1413</f>
        <v>3498040</v>
      </c>
      <c r="V1413" s="232" t="str">
        <f aca="false">+PROPER(F1413)</f>
        <v>Soltero(A)</v>
      </c>
    </row>
    <row r="1414" customFormat="false" ht="14.25" hidden="false" customHeight="false" outlineLevel="0" collapsed="false">
      <c r="B1414" s="197" t="n">
        <v>1143944093</v>
      </c>
      <c r="C1414" s="197" t="s">
        <v>3389</v>
      </c>
      <c r="D1414" s="197" t="s">
        <v>3390</v>
      </c>
      <c r="E1414" s="198" t="s">
        <v>944</v>
      </c>
      <c r="F1414" s="198" t="s">
        <v>953</v>
      </c>
      <c r="G1414" s="225" t="n">
        <v>2600900</v>
      </c>
      <c r="H1414" s="225" t="n">
        <v>9660069</v>
      </c>
      <c r="I1414" s="225" t="n">
        <v>0</v>
      </c>
      <c r="J1414" s="198" t="n">
        <v>33</v>
      </c>
      <c r="K1414" s="198" t="n">
        <v>2</v>
      </c>
      <c r="L1414" s="226" t="n">
        <v>44183</v>
      </c>
      <c r="M1414" s="226" t="n">
        <v>44166</v>
      </c>
      <c r="N1414" s="227" t="n">
        <v>1</v>
      </c>
      <c r="O1414" s="227" t="s">
        <v>135</v>
      </c>
      <c r="P1414" s="228" t="n">
        <f aca="false">VLOOKUP(B1414,'NIVEL ENERO'!A:D,3,0)</f>
        <v>0.253372376908551</v>
      </c>
      <c r="Q1414" s="229" t="n">
        <f aca="false">VLOOKUP(B1414,'NIVEL ENERO'!A:D,4,0)</f>
        <v>427816.7</v>
      </c>
      <c r="R1414" s="186" t="str">
        <f aca="false">+PROPER(C1414&amp;" "&amp;D1414)</f>
        <v>Tintinago Mamian Leydy Lorena</v>
      </c>
      <c r="S1414" s="230" t="n">
        <f aca="false">+YEARFRAC(L1414,$S$1)</f>
        <v>5.4</v>
      </c>
      <c r="T1414" s="230" t="n">
        <f aca="false">+YEARFRAC(M1414,$S$1)</f>
        <v>5.44722222222222</v>
      </c>
      <c r="U1414" s="231" t="n">
        <f aca="false">+$I1414</f>
        <v>0</v>
      </c>
      <c r="V1414" s="232" t="str">
        <f aca="false">+PROPER(F1414)</f>
        <v>Soltero(A)</v>
      </c>
    </row>
    <row r="1415" customFormat="false" ht="14.25" hidden="false" customHeight="false" outlineLevel="0" collapsed="false">
      <c r="B1415" s="197" t="n">
        <v>1143944202</v>
      </c>
      <c r="C1415" s="197" t="s">
        <v>3391</v>
      </c>
      <c r="D1415" s="197" t="s">
        <v>3392</v>
      </c>
      <c r="E1415" s="198" t="s">
        <v>944</v>
      </c>
      <c r="F1415" s="198" t="s">
        <v>953</v>
      </c>
      <c r="G1415" s="225" t="n">
        <v>1600000</v>
      </c>
      <c r="H1415" s="225" t="n">
        <v>2996526</v>
      </c>
      <c r="I1415" s="225" t="n">
        <v>2442373</v>
      </c>
      <c r="J1415" s="198" t="n">
        <v>33</v>
      </c>
      <c r="K1415" s="198" t="n">
        <v>2</v>
      </c>
      <c r="L1415" s="226" t="n">
        <v>43844</v>
      </c>
      <c r="M1415" s="226" t="n">
        <v>42415</v>
      </c>
      <c r="N1415" s="227" t="n">
        <v>1</v>
      </c>
      <c r="O1415" s="227" t="s">
        <v>135</v>
      </c>
      <c r="P1415" s="228" t="n">
        <f aca="false">VLOOKUP(B1415,'NIVEL ENERO'!A:D,3,0)</f>
        <v>0.261457472983057</v>
      </c>
      <c r="Q1415" s="229" t="n">
        <f aca="false">VLOOKUP(B1415,'NIVEL ENERO'!A:D,4,0)</f>
        <v>334065.54</v>
      </c>
      <c r="R1415" s="186" t="str">
        <f aca="false">+PROPER(C1415&amp;" "&amp;D1415)</f>
        <v>Valencia Carabali Charles William</v>
      </c>
      <c r="S1415" s="230" t="n">
        <f aca="false">+YEARFRAC(L1415,$S$1)</f>
        <v>6.32777777777778</v>
      </c>
      <c r="T1415" s="230" t="n">
        <f aca="false">+YEARFRAC(M1415,$S$1)</f>
        <v>10.2416666666667</v>
      </c>
      <c r="U1415" s="231" t="n">
        <f aca="false">+$I1415</f>
        <v>2442373</v>
      </c>
      <c r="V1415" s="232" t="str">
        <f aca="false">+PROPER(F1415)</f>
        <v>Soltero(A)</v>
      </c>
    </row>
    <row r="1416" customFormat="false" ht="14.25" hidden="false" customHeight="false" outlineLevel="0" collapsed="false">
      <c r="B1416" s="197" t="n">
        <v>1143944530</v>
      </c>
      <c r="C1416" s="197" t="s">
        <v>3393</v>
      </c>
      <c r="D1416" s="197" t="s">
        <v>1267</v>
      </c>
      <c r="E1416" s="198" t="s">
        <v>944</v>
      </c>
      <c r="F1416" s="198" t="s">
        <v>948</v>
      </c>
      <c r="G1416" s="225" t="n">
        <v>2600900</v>
      </c>
      <c r="H1416" s="225" t="n">
        <v>2819851</v>
      </c>
      <c r="I1416" s="225" t="n">
        <v>1418121</v>
      </c>
      <c r="J1416" s="198" t="n">
        <v>33</v>
      </c>
      <c r="K1416" s="198" t="n">
        <v>1</v>
      </c>
      <c r="L1416" s="226" t="n">
        <v>44522</v>
      </c>
      <c r="M1416" s="226" t="n">
        <v>44541</v>
      </c>
      <c r="N1416" s="227" t="n">
        <v>3</v>
      </c>
      <c r="O1416" s="227" t="s">
        <v>135</v>
      </c>
      <c r="P1416" s="228" t="n">
        <f aca="false">VLOOKUP(B1416,'NIVEL ENERO'!A:D,3,0)</f>
        <v>0.182427373821277</v>
      </c>
      <c r="Q1416" s="229" t="n">
        <f aca="false">VLOOKUP(B1416,'NIVEL ENERO'!A:D,4,0)</f>
        <v>649245.6</v>
      </c>
      <c r="R1416" s="186" t="str">
        <f aca="false">+PROPER(C1416&amp;" "&amp;D1416)</f>
        <v>Ospina Santa Cruz Ana Maria</v>
      </c>
      <c r="S1416" s="230" t="n">
        <f aca="false">+YEARFRAC(L1416,$S$1)</f>
        <v>4.47222222222222</v>
      </c>
      <c r="T1416" s="230" t="n">
        <f aca="false">+YEARFRAC(M1416,$S$1)</f>
        <v>4.41944444444444</v>
      </c>
      <c r="U1416" s="231" t="n">
        <f aca="false">+$I1416</f>
        <v>1418121</v>
      </c>
      <c r="V1416" s="232" t="str">
        <f aca="false">+PROPER(F1416)</f>
        <v>Casado(A)</v>
      </c>
    </row>
    <row r="1417" customFormat="false" ht="14.25" hidden="false" customHeight="false" outlineLevel="0" collapsed="false">
      <c r="B1417" s="197" t="n">
        <v>1143944606</v>
      </c>
      <c r="C1417" s="197" t="s">
        <v>3394</v>
      </c>
      <c r="D1417" s="197" t="s">
        <v>1239</v>
      </c>
      <c r="E1417" s="198" t="s">
        <v>944</v>
      </c>
      <c r="F1417" s="198" t="s">
        <v>953</v>
      </c>
      <c r="G1417" s="225" t="n">
        <v>2030300</v>
      </c>
      <c r="H1417" s="225" t="n">
        <v>325000</v>
      </c>
      <c r="I1417" s="225" t="n">
        <v>2572446</v>
      </c>
      <c r="J1417" s="198" t="n">
        <v>33</v>
      </c>
      <c r="K1417" s="198" t="n">
        <v>2</v>
      </c>
      <c r="L1417" s="226" t="n">
        <v>45519</v>
      </c>
      <c r="M1417" s="226" t="n">
        <v>45253</v>
      </c>
      <c r="N1417" s="227" t="n">
        <v>0</v>
      </c>
      <c r="O1417" s="227" t="s">
        <v>135</v>
      </c>
      <c r="P1417" s="228" t="n">
        <f aca="false">VLOOKUP(B1417,'NIVEL ENERO'!A:D,3,0)</f>
        <v>0.132607068685496</v>
      </c>
      <c r="Q1417" s="229" t="n">
        <f aca="false">VLOOKUP(B1417,'NIVEL ENERO'!A:D,4,0)</f>
        <v>711053.7</v>
      </c>
      <c r="R1417" s="186" t="str">
        <f aca="false">+PROPER(C1417&amp;" "&amp;D1417)</f>
        <v>Barona Ortiz Katherine</v>
      </c>
      <c r="S1417" s="230" t="n">
        <f aca="false">+YEARFRAC(L1417,$S$1)</f>
        <v>1.74166666666667</v>
      </c>
      <c r="T1417" s="230" t="n">
        <f aca="false">+YEARFRAC(M1417,$S$1)</f>
        <v>2.46944444444444</v>
      </c>
      <c r="U1417" s="231" t="n">
        <f aca="false">+$I1417</f>
        <v>2572446</v>
      </c>
      <c r="V1417" s="232" t="str">
        <f aca="false">+PROPER(F1417)</f>
        <v>Soltero(A)</v>
      </c>
    </row>
    <row r="1418" customFormat="false" ht="14.25" hidden="false" customHeight="false" outlineLevel="0" collapsed="false">
      <c r="B1418" s="197" t="n">
        <v>1143944797</v>
      </c>
      <c r="C1418" s="197" t="s">
        <v>3395</v>
      </c>
      <c r="D1418" s="197" t="s">
        <v>3396</v>
      </c>
      <c r="E1418" s="198" t="s">
        <v>944</v>
      </c>
      <c r="F1418" s="198" t="s">
        <v>953</v>
      </c>
      <c r="G1418" s="225" t="n">
        <v>1918500</v>
      </c>
      <c r="H1418" s="225" t="n">
        <v>1841149</v>
      </c>
      <c r="I1418" s="225" t="n">
        <v>0</v>
      </c>
      <c r="J1418" s="198" t="n">
        <v>33</v>
      </c>
      <c r="K1418" s="198" t="n">
        <v>2</v>
      </c>
      <c r="L1418" s="226" t="n">
        <v>44936</v>
      </c>
      <c r="M1418" s="226" t="n">
        <v>44890</v>
      </c>
      <c r="N1418" s="227" t="n">
        <v>0</v>
      </c>
      <c r="O1418" s="227" t="s">
        <v>135</v>
      </c>
      <c r="P1418" s="228" t="n">
        <f aca="false">VLOOKUP(B1418,'NIVEL ENERO'!A:D,3,0)</f>
        <v>0.434912900703675</v>
      </c>
      <c r="Q1418" s="229" t="n">
        <f aca="false">VLOOKUP(B1418,'NIVEL ENERO'!A:D,4,0)</f>
        <v>-68120</v>
      </c>
      <c r="R1418" s="186" t="str">
        <f aca="false">+PROPER(C1418&amp;" "&amp;D1418)</f>
        <v>Rojas Almeida Daniella</v>
      </c>
      <c r="S1418" s="230" t="n">
        <f aca="false">+YEARFRAC(L1418,$S$1)</f>
        <v>3.33888888888889</v>
      </c>
      <c r="T1418" s="230" t="n">
        <f aca="false">+YEARFRAC(M1418,$S$1)</f>
        <v>3.46388888888889</v>
      </c>
      <c r="U1418" s="231" t="n">
        <f aca="false">+$I1418</f>
        <v>0</v>
      </c>
      <c r="V1418" s="232" t="str">
        <f aca="false">+PROPER(F1418)</f>
        <v>Soltero(A)</v>
      </c>
    </row>
    <row r="1419" customFormat="false" ht="14.25" hidden="false" customHeight="false" outlineLevel="0" collapsed="false">
      <c r="B1419" s="197" t="n">
        <v>1143945334</v>
      </c>
      <c r="C1419" s="197" t="s">
        <v>3397</v>
      </c>
      <c r="D1419" s="197" t="s">
        <v>1328</v>
      </c>
      <c r="E1419" s="198" t="s">
        <v>944</v>
      </c>
      <c r="F1419" s="198" t="s">
        <v>945</v>
      </c>
      <c r="G1419" s="225" t="n">
        <v>2893800</v>
      </c>
      <c r="H1419" s="225" t="n">
        <v>2607705</v>
      </c>
      <c r="I1419" s="225" t="n">
        <v>5362654</v>
      </c>
      <c r="J1419" s="198" t="n">
        <v>32</v>
      </c>
      <c r="K1419" s="198" t="n">
        <v>1</v>
      </c>
      <c r="L1419" s="226" t="n">
        <v>44853</v>
      </c>
      <c r="M1419" s="226" t="n">
        <v>41913</v>
      </c>
      <c r="N1419" s="227" t="n">
        <v>1</v>
      </c>
      <c r="O1419" s="227" t="s">
        <v>135</v>
      </c>
      <c r="P1419" s="228" t="n">
        <f aca="false">VLOOKUP(B1419,'NIVEL ENERO'!A:D,3,0)</f>
        <v>0.367482844990097</v>
      </c>
      <c r="Q1419" s="229" t="n">
        <f aca="false">VLOOKUP(B1419,'NIVEL ENERO'!A:D,4,0)</f>
        <v>280731.66</v>
      </c>
      <c r="R1419" s="186" t="str">
        <f aca="false">+PROPER(C1419&amp;" "&amp;D1419)</f>
        <v>Cardona Aldana Lina Marcela</v>
      </c>
      <c r="S1419" s="230" t="n">
        <f aca="false">+YEARFRAC(L1419,$S$1)</f>
        <v>3.56388888888889</v>
      </c>
      <c r="T1419" s="230" t="n">
        <f aca="false">+YEARFRAC(M1419,$S$1)</f>
        <v>11.6138888888889</v>
      </c>
      <c r="U1419" s="231" t="n">
        <f aca="false">+$I1419</f>
        <v>5362654</v>
      </c>
      <c r="V1419" s="232" t="str">
        <f aca="false">+PROPER(F1419)</f>
        <v>Union Libre</v>
      </c>
    </row>
    <row r="1420" customFormat="false" ht="14.25" hidden="false" customHeight="false" outlineLevel="0" collapsed="false">
      <c r="B1420" s="197" t="n">
        <v>1143945724</v>
      </c>
      <c r="C1420" s="197" t="s">
        <v>3398</v>
      </c>
      <c r="D1420" s="197" t="s">
        <v>3399</v>
      </c>
      <c r="E1420" s="198" t="s">
        <v>944</v>
      </c>
      <c r="F1420" s="198" t="s">
        <v>953</v>
      </c>
      <c r="G1420" s="225" t="n">
        <v>2600900</v>
      </c>
      <c r="H1420" s="225" t="n">
        <v>3329471</v>
      </c>
      <c r="I1420" s="225" t="n">
        <v>5787494</v>
      </c>
      <c r="J1420" s="198" t="n">
        <v>32</v>
      </c>
      <c r="K1420" s="198" t="n">
        <v>2</v>
      </c>
      <c r="L1420" s="226" t="n">
        <v>43599</v>
      </c>
      <c r="M1420" s="226" t="n">
        <v>45611</v>
      </c>
      <c r="N1420" s="227" t="n">
        <v>3</v>
      </c>
      <c r="O1420" s="227" t="s">
        <v>135</v>
      </c>
      <c r="P1420" s="228" t="n">
        <f aca="false">VLOOKUP(B1420,'NIVEL ENERO'!A:D,3,0)</f>
        <v>0.457375523857126</v>
      </c>
      <c r="Q1420" s="229" t="n">
        <f aca="false">VLOOKUP(B1420,'NIVEL ENERO'!A:D,4,0)</f>
        <v>-97210</v>
      </c>
      <c r="R1420" s="186" t="str">
        <f aca="false">+PROPER(C1420&amp;" "&amp;D1420)</f>
        <v>Ordonez Yonda Janeth</v>
      </c>
      <c r="S1420" s="230" t="n">
        <f aca="false">+YEARFRAC(L1420,$S$1)</f>
        <v>6.99444444444444</v>
      </c>
      <c r="T1420" s="230" t="n">
        <f aca="false">+YEARFRAC(M1420,$S$1)</f>
        <v>1.49166666666667</v>
      </c>
      <c r="U1420" s="231" t="n">
        <f aca="false">+$I1420</f>
        <v>5787494</v>
      </c>
      <c r="V1420" s="232" t="str">
        <f aca="false">+PROPER(F1420)</f>
        <v>Soltero(A)</v>
      </c>
    </row>
    <row r="1421" customFormat="false" ht="14.25" hidden="false" customHeight="false" outlineLevel="0" collapsed="false">
      <c r="B1421" s="197" t="n">
        <v>1143946545</v>
      </c>
      <c r="C1421" s="197" t="s">
        <v>3400</v>
      </c>
      <c r="D1421" s="197" t="s">
        <v>3401</v>
      </c>
      <c r="E1421" s="198" t="s">
        <v>944</v>
      </c>
      <c r="F1421" s="198" t="s">
        <v>945</v>
      </c>
      <c r="G1421" s="225" t="n">
        <v>5679200</v>
      </c>
      <c r="H1421" s="225" t="n">
        <v>4609482</v>
      </c>
      <c r="I1421" s="225" t="n">
        <v>0</v>
      </c>
      <c r="J1421" s="198" t="n">
        <v>32</v>
      </c>
      <c r="K1421" s="198" t="n">
        <v>2</v>
      </c>
      <c r="L1421" s="226" t="n">
        <v>44974</v>
      </c>
      <c r="M1421" s="226" t="n">
        <v>44183</v>
      </c>
      <c r="N1421" s="227" t="n">
        <v>0</v>
      </c>
      <c r="O1421" s="227" t="s">
        <v>135</v>
      </c>
      <c r="P1421" s="228" t="n">
        <f aca="false">VLOOKUP(B1421,'NIVEL ENERO'!A:D,3,0)</f>
        <v>0.134657170023947</v>
      </c>
      <c r="Q1421" s="229" t="n">
        <f aca="false">VLOOKUP(B1421,'NIVEL ENERO'!A:D,4,0)</f>
        <v>1620519</v>
      </c>
      <c r="R1421" s="186" t="str">
        <f aca="false">+PROPER(C1421&amp;" "&amp;D1421)</f>
        <v>Uribe Zabala Davinson</v>
      </c>
      <c r="S1421" s="230" t="n">
        <f aca="false">+YEARFRAC(L1421,$S$1)</f>
        <v>3.23611111111111</v>
      </c>
      <c r="T1421" s="230" t="n">
        <f aca="false">+YEARFRAC(M1421,$S$1)</f>
        <v>5.4</v>
      </c>
      <c r="U1421" s="231" t="n">
        <f aca="false">+$I1421</f>
        <v>0</v>
      </c>
      <c r="V1421" s="232" t="str">
        <f aca="false">+PROPER(F1421)</f>
        <v>Union Libre</v>
      </c>
    </row>
    <row r="1422" customFormat="false" ht="14.25" hidden="false" customHeight="false" outlineLevel="0" collapsed="false">
      <c r="B1422" s="197" t="n">
        <v>1143947254</v>
      </c>
      <c r="C1422" s="197" t="s">
        <v>3402</v>
      </c>
      <c r="D1422" s="197" t="s">
        <v>3403</v>
      </c>
      <c r="E1422" s="198" t="s">
        <v>944</v>
      </c>
      <c r="F1422" s="198" t="s">
        <v>945</v>
      </c>
      <c r="G1422" s="225" t="n">
        <v>5418800</v>
      </c>
      <c r="H1422" s="225" t="n">
        <v>8076366</v>
      </c>
      <c r="I1422" s="225" t="n">
        <v>1228600</v>
      </c>
      <c r="J1422" s="198" t="n">
        <v>32</v>
      </c>
      <c r="K1422" s="198" t="n">
        <v>1</v>
      </c>
      <c r="L1422" s="226" t="n">
        <v>42074</v>
      </c>
      <c r="M1422" s="226" t="n">
        <v>41834</v>
      </c>
      <c r="N1422" s="227" t="n">
        <v>3</v>
      </c>
      <c r="O1422" s="227" t="s">
        <v>135</v>
      </c>
      <c r="P1422" s="228" t="n">
        <f aca="false">VLOOKUP(B1422,'NIVEL ENERO'!A:D,3,0)</f>
        <v>0.168849243844264</v>
      </c>
      <c r="Q1422" s="229" t="n">
        <f aca="false">VLOOKUP(B1422,'NIVEL ENERO'!A:D,4,0)</f>
        <v>1868595.28</v>
      </c>
      <c r="R1422" s="186" t="str">
        <f aca="false">+PROPER(C1422&amp;" "&amp;D1422)</f>
        <v>Silva Mambuscay Yenny Liceth</v>
      </c>
      <c r="S1422" s="230" t="n">
        <f aca="false">+YEARFRAC(L1422,$S$1)</f>
        <v>11.1694444444444</v>
      </c>
      <c r="T1422" s="230" t="n">
        <f aca="false">+YEARFRAC(M1422,$S$1)</f>
        <v>11.8277777777778</v>
      </c>
      <c r="U1422" s="231" t="n">
        <f aca="false">+$I1422</f>
        <v>1228600</v>
      </c>
      <c r="V1422" s="232" t="str">
        <f aca="false">+PROPER(F1422)</f>
        <v>Union Libre</v>
      </c>
    </row>
    <row r="1423" customFormat="false" ht="14.25" hidden="false" customHeight="false" outlineLevel="0" collapsed="false">
      <c r="B1423" s="197" t="n">
        <v>1143948073</v>
      </c>
      <c r="C1423" s="197" t="s">
        <v>3404</v>
      </c>
      <c r="D1423" s="197" t="s">
        <v>3405</v>
      </c>
      <c r="E1423" s="198" t="s">
        <v>944</v>
      </c>
      <c r="F1423" s="198" t="s">
        <v>953</v>
      </c>
      <c r="G1423" s="225" t="n">
        <v>2600900</v>
      </c>
      <c r="H1423" s="225" t="n">
        <v>1405682</v>
      </c>
      <c r="I1423" s="225" t="n">
        <v>3459890</v>
      </c>
      <c r="J1423" s="198" t="n">
        <v>32</v>
      </c>
      <c r="K1423" s="198" t="n">
        <v>4</v>
      </c>
      <c r="L1423" s="226" t="n">
        <v>44971</v>
      </c>
      <c r="M1423" s="226" t="n">
        <v>44734</v>
      </c>
      <c r="N1423" s="227" t="n">
        <v>0</v>
      </c>
      <c r="O1423" s="227" t="s">
        <v>135</v>
      </c>
      <c r="P1423" s="228" t="n">
        <f aca="false">VLOOKUP(B1423,'NIVEL ENERO'!A:D,3,0)</f>
        <v>0.217149531758058</v>
      </c>
      <c r="Q1423" s="229" t="n">
        <f aca="false">VLOOKUP(B1423,'NIVEL ENERO'!A:D,4,0)</f>
        <v>527593.58</v>
      </c>
      <c r="R1423" s="186" t="str">
        <f aca="false">+PROPER(C1423&amp;" "&amp;D1423)</f>
        <v>Oliveros Jimenez Yeni Lorena</v>
      </c>
      <c r="S1423" s="230" t="n">
        <f aca="false">+YEARFRAC(L1423,$S$1)</f>
        <v>3.24444444444444</v>
      </c>
      <c r="T1423" s="230" t="n">
        <f aca="false">+YEARFRAC(M1423,$S$1)</f>
        <v>3.88888888888889</v>
      </c>
      <c r="U1423" s="231" t="n">
        <f aca="false">+$I1423</f>
        <v>3459890</v>
      </c>
      <c r="V1423" s="232" t="str">
        <f aca="false">+PROPER(F1423)</f>
        <v>Soltero(A)</v>
      </c>
    </row>
    <row r="1424" customFormat="false" ht="14.25" hidden="false" customHeight="false" outlineLevel="0" collapsed="false">
      <c r="B1424" s="197" t="n">
        <v>1143948839</v>
      </c>
      <c r="C1424" s="197" t="s">
        <v>3406</v>
      </c>
      <c r="D1424" s="197" t="s">
        <v>3407</v>
      </c>
      <c r="E1424" s="198" t="s">
        <v>981</v>
      </c>
      <c r="F1424" s="198" t="s">
        <v>953</v>
      </c>
      <c r="G1424" s="225" t="n">
        <v>2600900</v>
      </c>
      <c r="H1424" s="225" t="n">
        <v>7666534</v>
      </c>
      <c r="I1424" s="225" t="n">
        <v>12673117</v>
      </c>
      <c r="J1424" s="198" t="n">
        <v>32</v>
      </c>
      <c r="K1424" s="198" t="n">
        <v>2</v>
      </c>
      <c r="L1424" s="226" t="n">
        <v>42157</v>
      </c>
      <c r="M1424" s="226" t="n">
        <v>42050</v>
      </c>
      <c r="N1424" s="227" t="n">
        <v>2</v>
      </c>
      <c r="O1424" s="227" t="s">
        <v>135</v>
      </c>
      <c r="P1424" s="228" t="n">
        <f aca="false">VLOOKUP(B1424,'NIVEL ENERO'!A:D,3,0)</f>
        <v>0.328015144201924</v>
      </c>
      <c r="Q1424" s="229" t="n">
        <f aca="false">VLOOKUP(B1424,'NIVEL ENERO'!A:D,4,0)</f>
        <v>319909.96</v>
      </c>
      <c r="R1424" s="186" t="str">
        <f aca="false">+PROPER(C1424&amp;" "&amp;D1424)</f>
        <v>Marin Grajales Ronal Andres</v>
      </c>
      <c r="S1424" s="230" t="n">
        <f aca="false">+YEARFRAC(L1424,$S$1)</f>
        <v>10.9444444444444</v>
      </c>
      <c r="T1424" s="230" t="n">
        <f aca="false">+YEARFRAC(M1424,$S$1)</f>
        <v>11.2416666666667</v>
      </c>
      <c r="U1424" s="231" t="n">
        <f aca="false">+$I1424</f>
        <v>12673117</v>
      </c>
      <c r="V1424" s="232" t="str">
        <f aca="false">+PROPER(F1424)</f>
        <v>Soltero(A)</v>
      </c>
    </row>
    <row r="1425" customFormat="false" ht="14.25" hidden="false" customHeight="false" outlineLevel="0" collapsed="false">
      <c r="B1425" s="197" t="n">
        <v>1143949762</v>
      </c>
      <c r="C1425" s="197" t="s">
        <v>3408</v>
      </c>
      <c r="D1425" s="197" t="s">
        <v>3409</v>
      </c>
      <c r="E1425" s="198" t="s">
        <v>944</v>
      </c>
      <c r="F1425" s="198" t="s">
        <v>953</v>
      </c>
      <c r="G1425" s="225" t="n">
        <v>1717900</v>
      </c>
      <c r="H1425" s="225" t="n">
        <v>1121761</v>
      </c>
      <c r="I1425" s="225"/>
      <c r="J1425" s="198" t="n">
        <v>32</v>
      </c>
      <c r="K1425" s="198" t="n">
        <v>2</v>
      </c>
      <c r="L1425" s="226" t="n">
        <v>45118</v>
      </c>
      <c r="M1425" s="226" t="n">
        <v>44063</v>
      </c>
      <c r="N1425" s="227" t="n">
        <v>0</v>
      </c>
      <c r="O1425" s="227" t="s">
        <v>135</v>
      </c>
      <c r="P1425" s="228" t="n">
        <f aca="false">VLOOKUP(B1425,'NIVEL ENERO'!A:D,3,0)</f>
        <v>0.138778218374756</v>
      </c>
      <c r="Q1425" s="229" t="n">
        <f aca="false">VLOOKUP(B1425,'NIVEL ENERO'!A:D,4,0)</f>
        <v>629409.5</v>
      </c>
      <c r="R1425" s="186" t="str">
        <f aca="false">+PROPER(C1425&amp;" "&amp;D1425)</f>
        <v>Garcia Lara Mario</v>
      </c>
      <c r="S1425" s="230" t="n">
        <f aca="false">+YEARFRAC(L1425,$S$1)</f>
        <v>2.83611111111111</v>
      </c>
      <c r="T1425" s="230" t="n">
        <f aca="false">+YEARFRAC(M1425,$S$1)</f>
        <v>5.72777777777778</v>
      </c>
      <c r="U1425" s="231" t="n">
        <f aca="false">+$I1425</f>
        <v>0</v>
      </c>
      <c r="V1425" s="232" t="str">
        <f aca="false">+PROPER(F1425)</f>
        <v>Soltero(A)</v>
      </c>
    </row>
    <row r="1426" customFormat="false" ht="14.25" hidden="false" customHeight="false" outlineLevel="0" collapsed="false">
      <c r="B1426" s="197" t="n">
        <v>1143949801</v>
      </c>
      <c r="C1426" s="197" t="s">
        <v>1278</v>
      </c>
      <c r="D1426" s="197" t="s">
        <v>1137</v>
      </c>
      <c r="E1426" s="198" t="s">
        <v>944</v>
      </c>
      <c r="F1426" s="198" t="s">
        <v>945</v>
      </c>
      <c r="G1426" s="225" t="n">
        <v>1828100</v>
      </c>
      <c r="H1426" s="225" t="n">
        <v>1800000</v>
      </c>
      <c r="I1426" s="225" t="n">
        <v>2138121</v>
      </c>
      <c r="J1426" s="198" t="n">
        <v>32</v>
      </c>
      <c r="K1426" s="198" t="n">
        <v>2</v>
      </c>
      <c r="L1426" s="226" t="n">
        <v>45307</v>
      </c>
      <c r="M1426" s="226" t="n">
        <v>45176</v>
      </c>
      <c r="N1426" s="227" t="n">
        <v>0</v>
      </c>
      <c r="O1426" s="227" t="s">
        <v>135</v>
      </c>
      <c r="P1426" s="228" t="n">
        <f aca="false">VLOOKUP(B1426,'NIVEL ENERO'!A:D,3,0)</f>
        <v>0.407095126087194</v>
      </c>
      <c r="Q1426" s="229" t="n">
        <f aca="false">VLOOKUP(B1426,'NIVEL ENERO'!A:D,4,0)</f>
        <v>56170</v>
      </c>
      <c r="R1426" s="186" t="str">
        <f aca="false">+PROPER(C1426&amp;" "&amp;D1426)</f>
        <v>Caicedo Luz Adriana</v>
      </c>
      <c r="S1426" s="230" t="n">
        <f aca="false">+YEARFRAC(L1426,$S$1)</f>
        <v>2.32222222222222</v>
      </c>
      <c r="T1426" s="230" t="n">
        <f aca="false">+YEARFRAC(M1426,$S$1)</f>
        <v>2.68055555555556</v>
      </c>
      <c r="U1426" s="231" t="n">
        <f aca="false">+$I1426</f>
        <v>2138121</v>
      </c>
      <c r="V1426" s="232" t="str">
        <f aca="false">+PROPER(F1426)</f>
        <v>Union Libre</v>
      </c>
    </row>
    <row r="1427" customFormat="false" ht="14.25" hidden="false" customHeight="false" outlineLevel="0" collapsed="false">
      <c r="B1427" s="197" t="n">
        <v>1143950540</v>
      </c>
      <c r="C1427" s="197" t="s">
        <v>3410</v>
      </c>
      <c r="D1427" s="197" t="s">
        <v>3411</v>
      </c>
      <c r="E1427" s="198" t="s">
        <v>944</v>
      </c>
      <c r="F1427" s="198" t="s">
        <v>953</v>
      </c>
      <c r="G1427" s="225" t="n">
        <v>2255900</v>
      </c>
      <c r="H1427" s="225" t="n">
        <v>130000</v>
      </c>
      <c r="I1427" s="225"/>
      <c r="J1427" s="198" t="n">
        <v>32</v>
      </c>
      <c r="K1427" s="198" t="n">
        <v>2</v>
      </c>
      <c r="L1427" s="226" t="n">
        <v>45615</v>
      </c>
      <c r="M1427" s="226" t="n">
        <v>44188</v>
      </c>
      <c r="N1427" s="227" t="n">
        <v>0</v>
      </c>
      <c r="O1427" s="227" t="s">
        <v>135</v>
      </c>
      <c r="P1427" s="228" t="n">
        <f aca="false">VLOOKUP(B1427,'NIVEL ENERO'!A:D,3,0)</f>
        <v>0.116738894697361</v>
      </c>
      <c r="Q1427" s="229" t="n">
        <f aca="false">VLOOKUP(B1427,'NIVEL ENERO'!A:D,4,0)</f>
        <v>780251.4</v>
      </c>
      <c r="R1427" s="186" t="str">
        <f aca="false">+PROPER(C1427&amp;" "&amp;D1427)</f>
        <v>Giraldo Cleves Brigitte Andrea</v>
      </c>
      <c r="S1427" s="230" t="n">
        <f aca="false">+YEARFRAC(L1427,$S$1)</f>
        <v>1.48055555555556</v>
      </c>
      <c r="T1427" s="230" t="n">
        <f aca="false">+YEARFRAC(M1427,$S$1)</f>
        <v>5.38611111111111</v>
      </c>
      <c r="U1427" s="231" t="n">
        <f aca="false">+$I1427</f>
        <v>0</v>
      </c>
      <c r="V1427" s="232" t="str">
        <f aca="false">+PROPER(F1427)</f>
        <v>Soltero(A)</v>
      </c>
    </row>
    <row r="1428" customFormat="false" ht="14.25" hidden="false" customHeight="false" outlineLevel="0" collapsed="false">
      <c r="B1428" s="197" t="n">
        <v>1143959417</v>
      </c>
      <c r="C1428" s="197" t="s">
        <v>3412</v>
      </c>
      <c r="D1428" s="197" t="s">
        <v>3413</v>
      </c>
      <c r="E1428" s="198" t="s">
        <v>944</v>
      </c>
      <c r="F1428" s="198" t="s">
        <v>998</v>
      </c>
      <c r="G1428" s="225" t="n">
        <v>2916600</v>
      </c>
      <c r="H1428" s="225" t="n">
        <v>7364297</v>
      </c>
      <c r="I1428" s="225" t="n">
        <v>12580392</v>
      </c>
      <c r="J1428" s="198" t="n">
        <v>31</v>
      </c>
      <c r="K1428" s="198" t="n">
        <v>2</v>
      </c>
      <c r="L1428" s="226" t="n">
        <v>43083</v>
      </c>
      <c r="M1428" s="226" t="n">
        <v>42933</v>
      </c>
      <c r="N1428" s="227" t="n">
        <v>5</v>
      </c>
      <c r="O1428" s="227" t="s">
        <v>135</v>
      </c>
      <c r="P1428" s="228" t="n">
        <f aca="false">VLOOKUP(B1428,'NIVEL ENERO'!A:D,3,0)</f>
        <v>0.262315809870204</v>
      </c>
      <c r="Q1428" s="229" t="n">
        <f aca="false">VLOOKUP(B1428,'NIVEL ENERO'!A:D,4,0)</f>
        <v>577243.24</v>
      </c>
      <c r="R1428" s="186" t="str">
        <f aca="false">+PROPER(C1428&amp;" "&amp;D1428)</f>
        <v>Alvarado Molina Treicy Mayuri</v>
      </c>
      <c r="S1428" s="230" t="n">
        <f aca="false">+YEARFRAC(L1428,$S$1)</f>
        <v>8.41111111111111</v>
      </c>
      <c r="T1428" s="230" t="n">
        <f aca="false">+YEARFRAC(M1428,$S$1)</f>
        <v>8.81944444444445</v>
      </c>
      <c r="U1428" s="231" t="n">
        <f aca="false">+$I1428</f>
        <v>12580392</v>
      </c>
      <c r="V1428" s="232" t="str">
        <f aca="false">+PROPER(F1428)</f>
        <v>Separado(A)</v>
      </c>
    </row>
    <row r="1429" customFormat="false" ht="14.25" hidden="false" customHeight="false" outlineLevel="0" collapsed="false">
      <c r="B1429" s="197" t="n">
        <v>1143959792</v>
      </c>
      <c r="C1429" s="197" t="s">
        <v>3414</v>
      </c>
      <c r="D1429" s="197" t="s">
        <v>1434</v>
      </c>
      <c r="E1429" s="198" t="s">
        <v>944</v>
      </c>
      <c r="F1429" s="198" t="s">
        <v>953</v>
      </c>
      <c r="G1429" s="225" t="n">
        <v>2600900</v>
      </c>
      <c r="H1429" s="225" t="n">
        <v>3236069</v>
      </c>
      <c r="I1429" s="225" t="n">
        <v>4366261</v>
      </c>
      <c r="J1429" s="198" t="n">
        <v>31</v>
      </c>
      <c r="K1429" s="198" t="n">
        <v>1</v>
      </c>
      <c r="L1429" s="226" t="n">
        <v>44148</v>
      </c>
      <c r="M1429" s="226" t="n">
        <v>43432</v>
      </c>
      <c r="N1429" s="227" t="n">
        <v>3</v>
      </c>
      <c r="O1429" s="227" t="s">
        <v>135</v>
      </c>
      <c r="P1429" s="228" t="n">
        <f aca="false">VLOOKUP(B1429,'NIVEL ENERO'!A:D,3,0)</f>
        <v>0.466592167515181</v>
      </c>
      <c r="Q1429" s="229" t="n">
        <f aca="false">VLOOKUP(B1429,'NIVEL ENERO'!A:D,4,0)</f>
        <v>-177601.22</v>
      </c>
      <c r="R1429" s="186" t="str">
        <f aca="false">+PROPER(C1429&amp;" "&amp;D1429)</f>
        <v>Castillo Ortiz Diana Marcela</v>
      </c>
      <c r="S1429" s="230" t="n">
        <f aca="false">+YEARFRAC(L1429,$S$1)</f>
        <v>5.49722222222222</v>
      </c>
      <c r="T1429" s="230" t="n">
        <f aca="false">+YEARFRAC(M1429,$S$1)</f>
        <v>7.45555555555556</v>
      </c>
      <c r="U1429" s="231" t="n">
        <f aca="false">+$I1429</f>
        <v>4366261</v>
      </c>
      <c r="V1429" s="232" t="str">
        <f aca="false">+PROPER(F1429)</f>
        <v>Soltero(A)</v>
      </c>
    </row>
    <row r="1430" customFormat="false" ht="14.25" hidden="false" customHeight="false" outlineLevel="0" collapsed="false">
      <c r="B1430" s="197" t="n">
        <v>1143962597</v>
      </c>
      <c r="C1430" s="197" t="s">
        <v>3415</v>
      </c>
      <c r="D1430" s="197" t="s">
        <v>3416</v>
      </c>
      <c r="E1430" s="198" t="s">
        <v>944</v>
      </c>
      <c r="F1430" s="198" t="s">
        <v>953</v>
      </c>
      <c r="G1430" s="225" t="n">
        <v>2315000</v>
      </c>
      <c r="H1430" s="225" t="n">
        <v>400000</v>
      </c>
      <c r="I1430" s="225" t="n">
        <v>2754822</v>
      </c>
      <c r="J1430" s="198" t="n">
        <v>30</v>
      </c>
      <c r="K1430" s="198" t="n">
        <v>1</v>
      </c>
      <c r="L1430" s="226" t="n">
        <v>45519</v>
      </c>
      <c r="M1430" s="226" t="n">
        <v>45371</v>
      </c>
      <c r="N1430" s="227" t="n">
        <v>0</v>
      </c>
      <c r="O1430" s="227" t="s">
        <v>135</v>
      </c>
      <c r="P1430" s="228" t="n">
        <f aca="false">VLOOKUP(B1430,'NIVEL ENERO'!A:D,3,0)</f>
        <v>0.153044924406048</v>
      </c>
      <c r="Q1430" s="229" t="n">
        <f aca="false">VLOOKUP(B1430,'NIVEL ENERO'!A:D,4,0)</f>
        <v>618001</v>
      </c>
      <c r="R1430" s="186" t="str">
        <f aca="false">+PROPER(C1430&amp;" "&amp;D1430)</f>
        <v>Martinez Hurtado Kenndy Yesenia</v>
      </c>
      <c r="S1430" s="230" t="n">
        <f aca="false">+YEARFRAC(L1430,$S$1)</f>
        <v>1.74166666666667</v>
      </c>
      <c r="T1430" s="230" t="n">
        <f aca="false">+YEARFRAC(M1430,$S$1)</f>
        <v>2.14444444444444</v>
      </c>
      <c r="U1430" s="231" t="n">
        <f aca="false">+$I1430</f>
        <v>2754822</v>
      </c>
      <c r="V1430" s="232" t="str">
        <f aca="false">+PROPER(F1430)</f>
        <v>Soltero(A)</v>
      </c>
    </row>
    <row r="1431" customFormat="false" ht="14.25" hidden="false" customHeight="false" outlineLevel="0" collapsed="false">
      <c r="B1431" s="197" t="n">
        <v>1143962645</v>
      </c>
      <c r="C1431" s="197" t="s">
        <v>3417</v>
      </c>
      <c r="D1431" s="197" t="s">
        <v>1328</v>
      </c>
      <c r="E1431" s="198" t="s">
        <v>944</v>
      </c>
      <c r="F1431" s="198" t="s">
        <v>953</v>
      </c>
      <c r="G1431" s="225" t="n">
        <v>2600900</v>
      </c>
      <c r="H1431" s="225" t="n">
        <v>2490224</v>
      </c>
      <c r="I1431" s="225" t="n">
        <v>0</v>
      </c>
      <c r="J1431" s="198" t="n">
        <v>30</v>
      </c>
      <c r="K1431" s="198" t="n">
        <v>2</v>
      </c>
      <c r="L1431" s="226" t="n">
        <v>44694</v>
      </c>
      <c r="M1431" s="226" t="n">
        <v>42325</v>
      </c>
      <c r="N1431" s="227" t="n">
        <v>1</v>
      </c>
      <c r="O1431" s="227" t="s">
        <v>135</v>
      </c>
      <c r="P1431" s="228" t="n">
        <f aca="false">VLOOKUP(B1431,'NIVEL ENERO'!A:D,3,0)</f>
        <v>0.26337057773192</v>
      </c>
      <c r="Q1431" s="229" t="n">
        <f aca="false">VLOOKUP(B1431,'NIVEL ENERO'!A:D,4,0)</f>
        <v>424941.94</v>
      </c>
      <c r="R1431" s="186" t="str">
        <f aca="false">+PROPER(C1431&amp;" "&amp;D1431)</f>
        <v>Lucumi Mina Lina Marcela</v>
      </c>
      <c r="S1431" s="230" t="n">
        <f aca="false">+YEARFRAC(L1431,$S$1)</f>
        <v>3.99722222222222</v>
      </c>
      <c r="T1431" s="230" t="n">
        <f aca="false">+YEARFRAC(M1431,$S$1)</f>
        <v>10.4861111111111</v>
      </c>
      <c r="U1431" s="231" t="n">
        <f aca="false">+$I1431</f>
        <v>0</v>
      </c>
      <c r="V1431" s="232" t="str">
        <f aca="false">+PROPER(F1431)</f>
        <v>Soltero(A)</v>
      </c>
    </row>
    <row r="1432" customFormat="false" ht="14.25" hidden="false" customHeight="false" outlineLevel="0" collapsed="false">
      <c r="B1432" s="197" t="n">
        <v>1143963761</v>
      </c>
      <c r="C1432" s="197" t="s">
        <v>3418</v>
      </c>
      <c r="D1432" s="197" t="s">
        <v>3419</v>
      </c>
      <c r="E1432" s="198" t="s">
        <v>944</v>
      </c>
      <c r="F1432" s="198" t="s">
        <v>945</v>
      </c>
      <c r="G1432" s="225" t="n">
        <v>5418800</v>
      </c>
      <c r="H1432" s="225" t="n">
        <v>4239107</v>
      </c>
      <c r="I1432" s="225"/>
      <c r="J1432" s="198" t="n">
        <v>30</v>
      </c>
      <c r="K1432" s="198" t="n">
        <v>2</v>
      </c>
      <c r="L1432" s="226" t="n">
        <v>45163</v>
      </c>
      <c r="M1432" s="226" t="n">
        <v>44105</v>
      </c>
      <c r="N1432" s="227" t="n">
        <v>0</v>
      </c>
      <c r="O1432" s="227" t="s">
        <v>135</v>
      </c>
      <c r="P1432" s="228" t="n">
        <f aca="false">VLOOKUP(B1432,'NIVEL ENERO'!A:D,3,0)</f>
        <v>0.369678895696464</v>
      </c>
      <c r="Q1432" s="229" t="n">
        <f aca="false">VLOOKUP(B1432,'NIVEL ENERO'!A:D,4,0)</f>
        <v>272680</v>
      </c>
      <c r="R1432" s="186" t="str">
        <f aca="false">+PROPER(C1432&amp;" "&amp;D1432)</f>
        <v>Vivas Ricon Maria Del Rosario</v>
      </c>
      <c r="S1432" s="230" t="n">
        <f aca="false">+YEARFRAC(L1432,$S$1)</f>
        <v>2.71388888888889</v>
      </c>
      <c r="T1432" s="230" t="n">
        <f aca="false">+YEARFRAC(M1432,$S$1)</f>
        <v>5.61388888888889</v>
      </c>
      <c r="U1432" s="231" t="n">
        <f aca="false">+$I1432</f>
        <v>0</v>
      </c>
      <c r="V1432" s="232" t="str">
        <f aca="false">+PROPER(F1432)</f>
        <v>Union Libre</v>
      </c>
    </row>
    <row r="1433" customFormat="false" ht="14.25" hidden="false" customHeight="false" outlineLevel="0" collapsed="false">
      <c r="B1433" s="197" t="n">
        <v>1143964209</v>
      </c>
      <c r="C1433" s="197" t="s">
        <v>3420</v>
      </c>
      <c r="D1433" s="197" t="s">
        <v>3421</v>
      </c>
      <c r="E1433" s="198" t="s">
        <v>944</v>
      </c>
      <c r="F1433" s="198" t="s">
        <v>945</v>
      </c>
      <c r="G1433" s="225" t="n">
        <v>1991000</v>
      </c>
      <c r="H1433" s="225" t="n">
        <v>1557164</v>
      </c>
      <c r="I1433" s="225" t="n">
        <v>0</v>
      </c>
      <c r="J1433" s="198" t="n">
        <v>30</v>
      </c>
      <c r="K1433" s="198" t="n">
        <v>2</v>
      </c>
      <c r="L1433" s="226" t="n">
        <v>44886</v>
      </c>
      <c r="M1433" s="226" t="n">
        <v>43432</v>
      </c>
      <c r="N1433" s="227" t="n">
        <v>0</v>
      </c>
      <c r="O1433" s="227" t="s">
        <v>135</v>
      </c>
      <c r="P1433" s="228" t="n">
        <f aca="false">VLOOKUP(B1433,'NIVEL ENERO'!A:D,3,0)</f>
        <v>0.123102461074837</v>
      </c>
      <c r="Q1433" s="229" t="n">
        <f aca="false">VLOOKUP(B1433,'NIVEL ENERO'!A:D,4,0)</f>
        <v>591123</v>
      </c>
      <c r="R1433" s="186" t="str">
        <f aca="false">+PROPER(C1433&amp;" "&amp;D1433)</f>
        <v>Bermudez Tejada Ximena Alejandra</v>
      </c>
      <c r="S1433" s="230" t="n">
        <f aca="false">+YEARFRAC(L1433,$S$1)</f>
        <v>3.475</v>
      </c>
      <c r="T1433" s="230" t="n">
        <f aca="false">+YEARFRAC(M1433,$S$1)</f>
        <v>7.45555555555556</v>
      </c>
      <c r="U1433" s="231" t="n">
        <f aca="false">+$I1433</f>
        <v>0</v>
      </c>
      <c r="V1433" s="232" t="str">
        <f aca="false">+PROPER(F1433)</f>
        <v>Union Libre</v>
      </c>
    </row>
    <row r="1434" customFormat="false" ht="14.25" hidden="false" customHeight="false" outlineLevel="0" collapsed="false">
      <c r="B1434" s="197" t="n">
        <v>1143966322</v>
      </c>
      <c r="C1434" s="197" t="s">
        <v>3422</v>
      </c>
      <c r="D1434" s="197" t="s">
        <v>2252</v>
      </c>
      <c r="E1434" s="198" t="s">
        <v>944</v>
      </c>
      <c r="F1434" s="198" t="s">
        <v>953</v>
      </c>
      <c r="G1434" s="225" t="n">
        <v>1828100</v>
      </c>
      <c r="H1434" s="225" t="n">
        <v>1121761</v>
      </c>
      <c r="I1434" s="225" t="n">
        <v>2966299</v>
      </c>
      <c r="J1434" s="198" t="n">
        <v>30</v>
      </c>
      <c r="K1434" s="198" t="n">
        <v>2</v>
      </c>
      <c r="L1434" s="226" t="n">
        <v>45121</v>
      </c>
      <c r="M1434" s="226" t="n">
        <v>44860</v>
      </c>
      <c r="N1434" s="227" t="n">
        <v>0</v>
      </c>
      <c r="O1434" s="227" t="s">
        <v>135</v>
      </c>
      <c r="P1434" s="228" t="n">
        <f aca="false">VLOOKUP(B1434,'NIVEL ENERO'!A:D,3,0)</f>
        <v>0.397302401400361</v>
      </c>
      <c r="Q1434" s="229" t="n">
        <f aca="false">VLOOKUP(B1434,'NIVEL ENERO'!A:D,4,0)</f>
        <v>98794</v>
      </c>
      <c r="R1434" s="186" t="str">
        <f aca="false">+PROPER(C1434&amp;" "&amp;D1434)</f>
        <v>Murillo Vidal Natalia</v>
      </c>
      <c r="S1434" s="230" t="n">
        <f aca="false">+YEARFRAC(L1434,$S$1)</f>
        <v>2.82777777777778</v>
      </c>
      <c r="T1434" s="230" t="n">
        <f aca="false">+YEARFRAC(M1434,$S$1)</f>
        <v>3.54444444444444</v>
      </c>
      <c r="U1434" s="231" t="n">
        <f aca="false">+$I1434</f>
        <v>2966299</v>
      </c>
      <c r="V1434" s="232" t="str">
        <f aca="false">+PROPER(F1434)</f>
        <v>Soltero(A)</v>
      </c>
    </row>
    <row r="1435" customFormat="false" ht="14.25" hidden="false" customHeight="false" outlineLevel="0" collapsed="false">
      <c r="B1435" s="197" t="n">
        <v>1143966842</v>
      </c>
      <c r="C1435" s="197" t="s">
        <v>3423</v>
      </c>
      <c r="D1435" s="197" t="s">
        <v>1789</v>
      </c>
      <c r="E1435" s="198" t="s">
        <v>944</v>
      </c>
      <c r="F1435" s="198" t="s">
        <v>953</v>
      </c>
      <c r="G1435" s="225" t="n">
        <v>2600900</v>
      </c>
      <c r="H1435" s="225" t="n">
        <v>2722745</v>
      </c>
      <c r="I1435" s="225" t="n">
        <v>2703385</v>
      </c>
      <c r="J1435" s="198" t="n">
        <v>30</v>
      </c>
      <c r="K1435" s="198" t="n">
        <v>2</v>
      </c>
      <c r="L1435" s="226" t="n">
        <v>44249</v>
      </c>
      <c r="M1435" s="226" t="n">
        <v>44105</v>
      </c>
      <c r="N1435" s="227" t="n">
        <v>2</v>
      </c>
      <c r="O1435" s="227" t="s">
        <v>135</v>
      </c>
      <c r="P1435" s="228" t="n">
        <f aca="false">VLOOKUP(B1435,'NIVEL ENERO'!A:D,3,0)</f>
        <v>0.182149877865397</v>
      </c>
      <c r="Q1435" s="229" t="n">
        <f aca="false">VLOOKUP(B1435,'NIVEL ENERO'!A:D,4,0)</f>
        <v>652036.22</v>
      </c>
      <c r="R1435" s="186" t="str">
        <f aca="false">+PROPER(C1435&amp;" "&amp;D1435)</f>
        <v>Castillo Cardona Lina Maria</v>
      </c>
      <c r="S1435" s="230" t="n">
        <f aca="false">+YEARFRAC(L1435,$S$1)</f>
        <v>5.22222222222222</v>
      </c>
      <c r="T1435" s="230" t="n">
        <f aca="false">+YEARFRAC(M1435,$S$1)</f>
        <v>5.61388888888889</v>
      </c>
      <c r="U1435" s="231" t="n">
        <f aca="false">+$I1435</f>
        <v>2703385</v>
      </c>
      <c r="V1435" s="232" t="str">
        <f aca="false">+PROPER(F1435)</f>
        <v>Soltero(A)</v>
      </c>
    </row>
    <row r="1436" customFormat="false" ht="14.25" hidden="false" customHeight="false" outlineLevel="0" collapsed="false">
      <c r="B1436" s="197" t="n">
        <v>1143967386</v>
      </c>
      <c r="C1436" s="197" t="s">
        <v>3424</v>
      </c>
      <c r="D1436" s="197" t="s">
        <v>3425</v>
      </c>
      <c r="E1436" s="198" t="s">
        <v>944</v>
      </c>
      <c r="F1436" s="198" t="s">
        <v>948</v>
      </c>
      <c r="G1436" s="225" t="n">
        <v>2600900</v>
      </c>
      <c r="H1436" s="225" t="n">
        <v>1256457</v>
      </c>
      <c r="I1436" s="225" t="n">
        <v>822839</v>
      </c>
      <c r="J1436" s="198" t="n">
        <v>30</v>
      </c>
      <c r="K1436" s="198" t="n">
        <v>1</v>
      </c>
      <c r="L1436" s="226" t="n">
        <v>45050</v>
      </c>
      <c r="M1436" s="226" t="n">
        <v>44256</v>
      </c>
      <c r="N1436" s="227" t="n">
        <v>0</v>
      </c>
      <c r="O1436" s="227" t="s">
        <v>135</v>
      </c>
      <c r="P1436" s="228" t="n">
        <f aca="false">VLOOKUP(B1436,'NIVEL ENERO'!A:D,3,0)</f>
        <v>0.201832959559438</v>
      </c>
      <c r="Q1436" s="229" t="n">
        <f aca="false">VLOOKUP(B1436,'NIVEL ENERO'!A:D,4,0)</f>
        <v>617800.48</v>
      </c>
      <c r="R1436" s="186" t="str">
        <f aca="false">+PROPER(C1436&amp;" "&amp;D1436)</f>
        <v>Lucumi Cortes Bessy Tatiana</v>
      </c>
      <c r="S1436" s="230" t="n">
        <f aca="false">+YEARFRAC(L1436,$S$1)</f>
        <v>3.02222222222222</v>
      </c>
      <c r="T1436" s="230" t="n">
        <f aca="false">+YEARFRAC(M1436,$S$1)</f>
        <v>5.19722222222222</v>
      </c>
      <c r="U1436" s="231" t="n">
        <f aca="false">+$I1436</f>
        <v>822839</v>
      </c>
      <c r="V1436" s="232" t="str">
        <f aca="false">+PROPER(F1436)</f>
        <v>Casado(A)</v>
      </c>
    </row>
    <row r="1437" customFormat="false" ht="14.25" hidden="false" customHeight="false" outlineLevel="0" collapsed="false">
      <c r="B1437" s="197" t="n">
        <v>1143967622</v>
      </c>
      <c r="C1437" s="197" t="s">
        <v>3426</v>
      </c>
      <c r="D1437" s="197" t="s">
        <v>3427</v>
      </c>
      <c r="E1437" s="198" t="s">
        <v>944</v>
      </c>
      <c r="F1437" s="198" t="s">
        <v>953</v>
      </c>
      <c r="G1437" s="225" t="n">
        <v>2600900</v>
      </c>
      <c r="H1437" s="225" t="n">
        <v>2194653</v>
      </c>
      <c r="I1437" s="225" t="n">
        <v>1971303</v>
      </c>
      <c r="J1437" s="198" t="n">
        <v>30</v>
      </c>
      <c r="K1437" s="198" t="n">
        <v>1</v>
      </c>
      <c r="L1437" s="226" t="n">
        <v>44720</v>
      </c>
      <c r="M1437" s="226" t="n">
        <v>44048</v>
      </c>
      <c r="N1437" s="227" t="n">
        <v>3</v>
      </c>
      <c r="O1437" s="227" t="s">
        <v>135</v>
      </c>
      <c r="P1437" s="228" t="n">
        <f aca="false">VLOOKUP(B1437,'NIVEL ENERO'!A:D,3,0)</f>
        <v>0.298252989915485</v>
      </c>
      <c r="Q1437" s="229" t="n">
        <f aca="false">VLOOKUP(B1437,'NIVEL ENERO'!A:D,4,0)</f>
        <v>335237.9</v>
      </c>
      <c r="R1437" s="186" t="str">
        <f aca="false">+PROPER(C1437&amp;" "&amp;D1437)</f>
        <v>Garcia Vera Jessica Viviana</v>
      </c>
      <c r="S1437" s="230" t="n">
        <f aca="false">+YEARFRAC(L1437,$S$1)</f>
        <v>3.92777777777778</v>
      </c>
      <c r="T1437" s="230" t="n">
        <f aca="false">+YEARFRAC(M1437,$S$1)</f>
        <v>5.76944444444445</v>
      </c>
      <c r="U1437" s="231" t="n">
        <f aca="false">+$I1437</f>
        <v>1971303</v>
      </c>
      <c r="V1437" s="232" t="str">
        <f aca="false">+PROPER(F1437)</f>
        <v>Soltero(A)</v>
      </c>
    </row>
    <row r="1438" customFormat="false" ht="14.25" hidden="false" customHeight="false" outlineLevel="0" collapsed="false">
      <c r="B1438" s="197" t="n">
        <v>1143968126</v>
      </c>
      <c r="C1438" s="197" t="s">
        <v>3428</v>
      </c>
      <c r="D1438" s="197" t="s">
        <v>3429</v>
      </c>
      <c r="E1438" s="198" t="s">
        <v>944</v>
      </c>
      <c r="F1438" s="198" t="s">
        <v>953</v>
      </c>
      <c r="G1438" s="225" t="n">
        <v>2080700</v>
      </c>
      <c r="H1438" s="225" t="n">
        <v>1700881</v>
      </c>
      <c r="I1438" s="225" t="n">
        <v>3003548</v>
      </c>
      <c r="J1438" s="198" t="n">
        <v>30</v>
      </c>
      <c r="K1438" s="198" t="n">
        <v>2</v>
      </c>
      <c r="L1438" s="226" t="n">
        <v>45149</v>
      </c>
      <c r="M1438" s="226" t="n">
        <v>44896</v>
      </c>
      <c r="N1438" s="227" t="n">
        <v>0</v>
      </c>
      <c r="O1438" s="227" t="s">
        <v>135</v>
      </c>
      <c r="P1438" s="228" t="n">
        <f aca="false">VLOOKUP(B1438,'NIVEL ENERO'!A:D,3,0)</f>
        <v>0.237304753208055</v>
      </c>
      <c r="Q1438" s="229" t="n">
        <f aca="false">VLOOKUP(B1438,'NIVEL ENERO'!A:D,4,0)</f>
        <v>380134</v>
      </c>
      <c r="R1438" s="186" t="str">
        <f aca="false">+PROPER(C1438&amp;" "&amp;D1438)</f>
        <v>Otero Mosquera Brayan Andres</v>
      </c>
      <c r="S1438" s="230" t="n">
        <f aca="false">+YEARFRAC(L1438,$S$1)</f>
        <v>2.75277777777778</v>
      </c>
      <c r="T1438" s="230" t="n">
        <f aca="false">+YEARFRAC(M1438,$S$1)</f>
        <v>3.44722222222222</v>
      </c>
      <c r="U1438" s="231" t="n">
        <f aca="false">+$I1438</f>
        <v>3003548</v>
      </c>
      <c r="V1438" s="232" t="str">
        <f aca="false">+PROPER(F1438)</f>
        <v>Soltero(A)</v>
      </c>
    </row>
    <row r="1439" customFormat="false" ht="14.25" hidden="false" customHeight="false" outlineLevel="0" collapsed="false">
      <c r="B1439" s="197" t="n">
        <v>1143969075</v>
      </c>
      <c r="C1439" s="197" t="s">
        <v>3430</v>
      </c>
      <c r="D1439" s="197" t="s">
        <v>1261</v>
      </c>
      <c r="E1439" s="198" t="s">
        <v>944</v>
      </c>
      <c r="F1439" s="198" t="s">
        <v>953</v>
      </c>
      <c r="G1439" s="225" t="n">
        <v>2600900</v>
      </c>
      <c r="H1439" s="225" t="n">
        <v>5417441</v>
      </c>
      <c r="I1439" s="225" t="n">
        <v>0</v>
      </c>
      <c r="J1439" s="198" t="n">
        <v>30</v>
      </c>
      <c r="K1439" s="198" t="n">
        <v>1</v>
      </c>
      <c r="L1439" s="226" t="n">
        <v>44838</v>
      </c>
      <c r="M1439" s="226" t="n">
        <v>41940</v>
      </c>
      <c r="N1439" s="227" t="n">
        <v>2</v>
      </c>
      <c r="O1439" s="227" t="s">
        <v>135</v>
      </c>
      <c r="P1439" s="228" t="n">
        <f aca="false">VLOOKUP(B1439,'NIVEL ENERO'!A:D,3,0)</f>
        <v>0.158878895435143</v>
      </c>
      <c r="Q1439" s="229" t="n">
        <f aca="false">VLOOKUP(B1439,'NIVEL ENERO'!A:D,4,0)</f>
        <v>847264</v>
      </c>
      <c r="R1439" s="186" t="str">
        <f aca="false">+PROPER(C1439&amp;" "&amp;D1439)</f>
        <v>Ortiz Torres Jessica</v>
      </c>
      <c r="S1439" s="230" t="n">
        <f aca="false">+YEARFRAC(L1439,$S$1)</f>
        <v>3.60555555555556</v>
      </c>
      <c r="T1439" s="230" t="n">
        <f aca="false">+YEARFRAC(M1439,$S$1)</f>
        <v>11.5388888888889</v>
      </c>
      <c r="U1439" s="231" t="n">
        <f aca="false">+$I1439</f>
        <v>0</v>
      </c>
      <c r="V1439" s="232" t="str">
        <f aca="false">+PROPER(F1439)</f>
        <v>Soltero(A)</v>
      </c>
    </row>
    <row r="1440" customFormat="false" ht="14.25" hidden="false" customHeight="false" outlineLevel="0" collapsed="false">
      <c r="B1440" s="197" t="n">
        <v>1143970117</v>
      </c>
      <c r="C1440" s="197" t="s">
        <v>3431</v>
      </c>
      <c r="D1440" s="197" t="s">
        <v>3432</v>
      </c>
      <c r="E1440" s="198" t="s">
        <v>944</v>
      </c>
      <c r="F1440" s="198" t="s">
        <v>945</v>
      </c>
      <c r="G1440" s="225" t="n">
        <v>2035487</v>
      </c>
      <c r="H1440" s="225" t="n">
        <v>2405675</v>
      </c>
      <c r="I1440" s="225" t="n">
        <v>0</v>
      </c>
      <c r="J1440" s="198" t="n">
        <v>30</v>
      </c>
      <c r="K1440" s="198" t="n">
        <v>2</v>
      </c>
      <c r="L1440" s="226" t="n">
        <v>44937</v>
      </c>
      <c r="M1440" s="226" t="n">
        <v>44326</v>
      </c>
      <c r="N1440" s="227" t="n">
        <v>0</v>
      </c>
      <c r="O1440" s="227" t="s">
        <v>135</v>
      </c>
      <c r="P1440" s="228" t="n">
        <f aca="false">VLOOKUP(B1440,'NIVEL ENERO'!A:D,3,0)</f>
        <v>0.450466869801512</v>
      </c>
      <c r="Q1440" s="229" t="n">
        <f aca="false">VLOOKUP(B1440,'NIVEL ENERO'!A:D,4,0)</f>
        <v>-67039.2799999999</v>
      </c>
      <c r="R1440" s="186" t="str">
        <f aca="false">+PROPER(C1440&amp;" "&amp;D1440)</f>
        <v>Diaz Castro Marlly Carolina</v>
      </c>
      <c r="S1440" s="230" t="n">
        <f aca="false">+YEARFRAC(L1440,$S$1)</f>
        <v>3.33611111111111</v>
      </c>
      <c r="T1440" s="230" t="n">
        <f aca="false">+YEARFRAC(M1440,$S$1)</f>
        <v>5.00555555555556</v>
      </c>
      <c r="U1440" s="231" t="n">
        <f aca="false">+$I1440</f>
        <v>0</v>
      </c>
      <c r="V1440" s="232" t="str">
        <f aca="false">+PROPER(F1440)</f>
        <v>Union Libre</v>
      </c>
    </row>
    <row r="1441" customFormat="false" ht="14.25" hidden="false" customHeight="false" outlineLevel="0" collapsed="false">
      <c r="B1441" s="197" t="n">
        <v>1143970362</v>
      </c>
      <c r="C1441" s="197" t="s">
        <v>1888</v>
      </c>
      <c r="D1441" s="197" t="s">
        <v>3433</v>
      </c>
      <c r="E1441" s="198" t="s">
        <v>944</v>
      </c>
      <c r="F1441" s="198" t="s">
        <v>953</v>
      </c>
      <c r="G1441" s="225" t="n">
        <v>2893800</v>
      </c>
      <c r="H1441" s="225" t="n">
        <v>1916192</v>
      </c>
      <c r="I1441" s="225" t="n">
        <v>7993158</v>
      </c>
      <c r="J1441" s="198" t="n">
        <v>30</v>
      </c>
      <c r="K1441" s="198" t="n">
        <v>4</v>
      </c>
      <c r="L1441" s="226" t="n">
        <v>45079</v>
      </c>
      <c r="M1441" s="226" t="n">
        <v>43362</v>
      </c>
      <c r="N1441" s="227" t="n">
        <v>1</v>
      </c>
      <c r="O1441" s="227" t="s">
        <v>135</v>
      </c>
      <c r="P1441" s="228" t="n">
        <f aca="false">VLOOKUP(B1441,'NIVEL ENERO'!A:D,3,0)</f>
        <v>0.371838987878254</v>
      </c>
      <c r="Q1441" s="229" t="n">
        <f aca="false">VLOOKUP(B1441,'NIVEL ENERO'!A:D,4,0)</f>
        <v>115998.88</v>
      </c>
      <c r="R1441" s="186" t="str">
        <f aca="false">+PROPER(C1441&amp;" "&amp;D1441)</f>
        <v>Sanchez Morales Juliana Isabel</v>
      </c>
      <c r="S1441" s="230" t="n">
        <f aca="false">+YEARFRAC(L1441,$S$1)</f>
        <v>2.94444444444444</v>
      </c>
      <c r="T1441" s="230" t="n">
        <f aca="false">+YEARFRAC(M1441,$S$1)</f>
        <v>7.64722222222222</v>
      </c>
      <c r="U1441" s="231" t="n">
        <f aca="false">+$I1441</f>
        <v>7993158</v>
      </c>
      <c r="V1441" s="232" t="str">
        <f aca="false">+PROPER(F1441)</f>
        <v>Soltero(A)</v>
      </c>
    </row>
    <row r="1442" customFormat="false" ht="14.25" hidden="false" customHeight="false" outlineLevel="0" collapsed="false">
      <c r="B1442" s="197" t="n">
        <v>1143970754</v>
      </c>
      <c r="C1442" s="197" t="s">
        <v>3434</v>
      </c>
      <c r="D1442" s="197" t="s">
        <v>3435</v>
      </c>
      <c r="E1442" s="198" t="s">
        <v>944</v>
      </c>
      <c r="F1442" s="198" t="s">
        <v>953</v>
      </c>
      <c r="G1442" s="225" t="n">
        <v>2600900</v>
      </c>
      <c r="H1442" s="225" t="n">
        <v>130000</v>
      </c>
      <c r="I1442" s="225" t="n">
        <v>0</v>
      </c>
      <c r="J1442" s="198" t="n">
        <v>30</v>
      </c>
      <c r="K1442" s="198" t="n">
        <v>1</v>
      </c>
      <c r="L1442" s="226" t="n">
        <v>45615</v>
      </c>
      <c r="M1442" s="226" t="n">
        <v>44305</v>
      </c>
      <c r="N1442" s="227" t="n">
        <v>2</v>
      </c>
      <c r="O1442" s="227" t="s">
        <v>135</v>
      </c>
      <c r="P1442" s="228" t="n">
        <f aca="false">VLOOKUP(B1442,'NIVEL ENERO'!A:D,3,0)</f>
        <v>0.121024260832789</v>
      </c>
      <c r="Q1442" s="229" t="n">
        <f aca="false">VLOOKUP(B1442,'NIVEL ENERO'!A:D,4,0)</f>
        <v>777606</v>
      </c>
      <c r="R1442" s="186" t="str">
        <f aca="false">+PROPER(C1442&amp;" "&amp;D1442)</f>
        <v>Ortiz Patino Kateryn</v>
      </c>
      <c r="S1442" s="230" t="n">
        <f aca="false">+YEARFRAC(L1442,$S$1)</f>
        <v>1.48055555555556</v>
      </c>
      <c r="T1442" s="230" t="n">
        <f aca="false">+YEARFRAC(M1442,$S$1)</f>
        <v>5.06388888888889</v>
      </c>
      <c r="U1442" s="231" t="n">
        <f aca="false">+$I1442</f>
        <v>0</v>
      </c>
      <c r="V1442" s="232" t="str">
        <f aca="false">+PROPER(F1442)</f>
        <v>Soltero(A)</v>
      </c>
    </row>
    <row r="1443" customFormat="false" ht="14.25" hidden="false" customHeight="false" outlineLevel="0" collapsed="false">
      <c r="B1443" s="197" t="n">
        <v>1143971906</v>
      </c>
      <c r="C1443" s="197" t="s">
        <v>3436</v>
      </c>
      <c r="D1443" s="197" t="s">
        <v>3437</v>
      </c>
      <c r="E1443" s="198" t="s">
        <v>944</v>
      </c>
      <c r="F1443" s="198" t="s">
        <v>953</v>
      </c>
      <c r="G1443" s="225" t="n">
        <v>1991000</v>
      </c>
      <c r="H1443" s="225" t="n">
        <v>2490224</v>
      </c>
      <c r="I1443" s="225" t="n">
        <v>0</v>
      </c>
      <c r="J1443" s="198" t="n">
        <v>29</v>
      </c>
      <c r="K1443" s="198" t="n">
        <v>4</v>
      </c>
      <c r="L1443" s="226" t="n">
        <v>44735</v>
      </c>
      <c r="M1443" s="226" t="n">
        <v>44256</v>
      </c>
      <c r="N1443" s="227" t="n">
        <v>0</v>
      </c>
      <c r="O1443" s="227" t="s">
        <v>135</v>
      </c>
      <c r="P1443" s="228" t="n">
        <f aca="false">VLOOKUP(B1443,'NIVEL ENERO'!A:D,3,0)</f>
        <v>0.235180311401306</v>
      </c>
      <c r="Q1443" s="229" t="n">
        <f aca="false">VLOOKUP(B1443,'NIVEL ENERO'!A:D,4,0)</f>
        <v>367976</v>
      </c>
      <c r="R1443" s="186" t="str">
        <f aca="false">+PROPER(C1443&amp;" "&amp;D1443)</f>
        <v>Bravo Cuero Tania Lorena</v>
      </c>
      <c r="S1443" s="230" t="n">
        <f aca="false">+YEARFRAC(L1443,$S$1)</f>
        <v>3.88611111111111</v>
      </c>
      <c r="T1443" s="230" t="n">
        <f aca="false">+YEARFRAC(M1443,$S$1)</f>
        <v>5.19722222222222</v>
      </c>
      <c r="U1443" s="231" t="n">
        <f aca="false">+$I1443</f>
        <v>0</v>
      </c>
      <c r="V1443" s="232" t="str">
        <f aca="false">+PROPER(F1443)</f>
        <v>Soltero(A)</v>
      </c>
    </row>
    <row r="1444" customFormat="false" ht="14.25" hidden="false" customHeight="false" outlineLevel="0" collapsed="false">
      <c r="B1444" s="197" t="n">
        <v>1143972657</v>
      </c>
      <c r="C1444" s="197" t="s">
        <v>3438</v>
      </c>
      <c r="D1444" s="197" t="s">
        <v>1202</v>
      </c>
      <c r="E1444" s="198" t="s">
        <v>944</v>
      </c>
      <c r="F1444" s="198" t="s">
        <v>945</v>
      </c>
      <c r="G1444" s="225" t="n">
        <v>2893800</v>
      </c>
      <c r="H1444" s="225" t="n">
        <v>1708686</v>
      </c>
      <c r="I1444" s="225" t="n">
        <v>1482796</v>
      </c>
      <c r="J1444" s="198" t="n">
        <v>29</v>
      </c>
      <c r="K1444" s="198" t="n">
        <v>1</v>
      </c>
      <c r="L1444" s="226" t="n">
        <v>44796</v>
      </c>
      <c r="M1444" s="226" t="n">
        <v>43344</v>
      </c>
      <c r="N1444" s="227" t="n">
        <v>5</v>
      </c>
      <c r="O1444" s="227" t="s">
        <v>135</v>
      </c>
      <c r="P1444" s="228" t="n">
        <f aca="false">VLOOKUP(B1444,'NIVEL ENERO'!A:D,3,0)</f>
        <v>0.302024180770678</v>
      </c>
      <c r="Q1444" s="229" t="n">
        <f aca="false">VLOOKUP(B1444,'NIVEL ENERO'!A:D,4,0)</f>
        <v>601605.46</v>
      </c>
      <c r="R1444" s="186" t="str">
        <f aca="false">+PROPER(C1444&amp;" "&amp;D1444)</f>
        <v>Cruz Manzano Carolina</v>
      </c>
      <c r="S1444" s="230" t="n">
        <f aca="false">+YEARFRAC(L1444,$S$1)</f>
        <v>3.71944444444444</v>
      </c>
      <c r="T1444" s="230" t="n">
        <f aca="false">+YEARFRAC(M1444,$S$1)</f>
        <v>7.69722222222222</v>
      </c>
      <c r="U1444" s="231" t="n">
        <f aca="false">+$I1444</f>
        <v>1482796</v>
      </c>
      <c r="V1444" s="232" t="str">
        <f aca="false">+PROPER(F1444)</f>
        <v>Union Libre</v>
      </c>
    </row>
    <row r="1445" customFormat="false" ht="14.25" hidden="false" customHeight="false" outlineLevel="0" collapsed="false">
      <c r="B1445" s="197" t="n">
        <v>1143972695</v>
      </c>
      <c r="C1445" s="197" t="s">
        <v>3439</v>
      </c>
      <c r="D1445" s="197" t="s">
        <v>1434</v>
      </c>
      <c r="E1445" s="198" t="s">
        <v>944</v>
      </c>
      <c r="F1445" s="198" t="s">
        <v>953</v>
      </c>
      <c r="G1445" s="225" t="n">
        <v>2600900</v>
      </c>
      <c r="H1445" s="225" t="n">
        <v>1005311</v>
      </c>
      <c r="I1445" s="225"/>
      <c r="J1445" s="198" t="n">
        <v>29</v>
      </c>
      <c r="K1445" s="198" t="n">
        <v>3</v>
      </c>
      <c r="L1445" s="226" t="n">
        <v>45189</v>
      </c>
      <c r="M1445" s="226" t="n">
        <v>44300</v>
      </c>
      <c r="N1445" s="227" t="n">
        <v>0</v>
      </c>
      <c r="O1445" s="227" t="s">
        <v>135</v>
      </c>
      <c r="P1445" s="228" t="n">
        <f aca="false">VLOOKUP(B1445,'NIVEL ENERO'!A:D,3,0)</f>
        <v>0.125606136337422</v>
      </c>
      <c r="Q1445" s="229" t="n">
        <f aca="false">VLOOKUP(B1445,'NIVEL ENERO'!A:D,4,0)</f>
        <v>765689</v>
      </c>
      <c r="R1445" s="186" t="str">
        <f aca="false">+PROPER(C1445&amp;" "&amp;D1445)</f>
        <v>Mosquera Rodriguez Diana Marcela</v>
      </c>
      <c r="S1445" s="230" t="n">
        <f aca="false">+YEARFRAC(L1445,$S$1)</f>
        <v>2.64444444444444</v>
      </c>
      <c r="T1445" s="230" t="n">
        <f aca="false">+YEARFRAC(M1445,$S$1)</f>
        <v>5.07777777777778</v>
      </c>
      <c r="U1445" s="231" t="n">
        <f aca="false">+$I1445</f>
        <v>0</v>
      </c>
      <c r="V1445" s="232" t="str">
        <f aca="false">+PROPER(F1445)</f>
        <v>Soltero(A)</v>
      </c>
    </row>
    <row r="1446" customFormat="false" ht="14.25" hidden="false" customHeight="false" outlineLevel="0" collapsed="false">
      <c r="B1446" s="197" t="n">
        <v>1143973263</v>
      </c>
      <c r="C1446" s="197" t="s">
        <v>3440</v>
      </c>
      <c r="D1446" s="197" t="s">
        <v>3441</v>
      </c>
      <c r="E1446" s="198" t="s">
        <v>944</v>
      </c>
      <c r="F1446" s="198" t="s">
        <v>953</v>
      </c>
      <c r="G1446" s="225" t="n">
        <v>2600900</v>
      </c>
      <c r="H1446" s="225" t="n">
        <v>1961224</v>
      </c>
      <c r="I1446" s="225" t="n">
        <v>0</v>
      </c>
      <c r="J1446" s="198" t="n">
        <v>29</v>
      </c>
      <c r="K1446" s="198" t="n">
        <v>4</v>
      </c>
      <c r="L1446" s="226" t="n">
        <v>44609</v>
      </c>
      <c r="M1446" s="226" t="n">
        <v>43266</v>
      </c>
      <c r="N1446" s="227" t="n">
        <v>2</v>
      </c>
      <c r="O1446" s="227" t="s">
        <v>135</v>
      </c>
      <c r="P1446" s="228" t="n">
        <f aca="false">VLOOKUP(B1446,'NIVEL ENERO'!A:D,3,0)</f>
        <v>0.387699875294444</v>
      </c>
      <c r="Q1446" s="229" t="n">
        <f aca="false">VLOOKUP(B1446,'NIVEL ENERO'!A:D,4,0)</f>
        <v>93244</v>
      </c>
      <c r="R1446" s="186" t="str">
        <f aca="false">+PROPER(C1446&amp;" "&amp;D1446)</f>
        <v>Valencia Cardona Yurani Andrea</v>
      </c>
      <c r="S1446" s="230" t="n">
        <f aca="false">+YEARFRAC(L1446,$S$1)</f>
        <v>4.23611111111111</v>
      </c>
      <c r="T1446" s="230" t="n">
        <f aca="false">+YEARFRAC(M1446,$S$1)</f>
        <v>7.90833333333333</v>
      </c>
      <c r="U1446" s="231" t="n">
        <f aca="false">+$I1446</f>
        <v>0</v>
      </c>
      <c r="V1446" s="232" t="str">
        <f aca="false">+PROPER(F1446)</f>
        <v>Soltero(A)</v>
      </c>
    </row>
    <row r="1447" customFormat="false" ht="14.25" hidden="false" customHeight="false" outlineLevel="0" collapsed="false">
      <c r="B1447" s="197" t="n">
        <v>1143978965</v>
      </c>
      <c r="C1447" s="197" t="s">
        <v>3442</v>
      </c>
      <c r="D1447" s="197" t="s">
        <v>3382</v>
      </c>
      <c r="E1447" s="198" t="s">
        <v>944</v>
      </c>
      <c r="F1447" s="198" t="s">
        <v>948</v>
      </c>
      <c r="G1447" s="225" t="n">
        <v>2893800</v>
      </c>
      <c r="H1447" s="225" t="n">
        <v>1506656</v>
      </c>
      <c r="I1447" s="225" t="n">
        <v>0</v>
      </c>
      <c r="J1447" s="198" t="n">
        <v>28</v>
      </c>
      <c r="K1447" s="198" t="n">
        <v>3</v>
      </c>
      <c r="L1447" s="226" t="n">
        <v>44908</v>
      </c>
      <c r="M1447" s="226" t="n">
        <v>43692</v>
      </c>
      <c r="N1447" s="227" t="n">
        <v>0</v>
      </c>
      <c r="O1447" s="227" t="s">
        <v>135</v>
      </c>
      <c r="P1447" s="228" t="n">
        <f aca="false">VLOOKUP(B1447,'NIVEL ENERO'!A:D,3,0)</f>
        <v>0.371503213767365</v>
      </c>
      <c r="Q1447" s="229" t="n">
        <f aca="false">VLOOKUP(B1447,'NIVEL ENERO'!A:D,4,0)</f>
        <v>140340</v>
      </c>
      <c r="R1447" s="186" t="str">
        <f aca="false">+PROPER(C1447&amp;" "&amp;D1447)</f>
        <v>Oconto Marulanda Karen</v>
      </c>
      <c r="S1447" s="230" t="n">
        <f aca="false">+YEARFRAC(L1447,$S$1)</f>
        <v>3.41388888888889</v>
      </c>
      <c r="T1447" s="230" t="n">
        <f aca="false">+YEARFRAC(M1447,$S$1)</f>
        <v>6.74166666666667</v>
      </c>
      <c r="U1447" s="231" t="n">
        <f aca="false">+$I1447</f>
        <v>0</v>
      </c>
      <c r="V1447" s="232" t="str">
        <f aca="false">+PROPER(F1447)</f>
        <v>Casado(A)</v>
      </c>
    </row>
    <row r="1448" customFormat="false" ht="14.25" hidden="false" customHeight="false" outlineLevel="0" collapsed="false">
      <c r="B1448" s="197" t="n">
        <v>1143981268</v>
      </c>
      <c r="C1448" s="197" t="s">
        <v>3443</v>
      </c>
      <c r="D1448" s="197" t="s">
        <v>3444</v>
      </c>
      <c r="E1448" s="198" t="s">
        <v>944</v>
      </c>
      <c r="F1448" s="198" t="s">
        <v>953</v>
      </c>
      <c r="G1448" s="225" t="n">
        <v>2600900</v>
      </c>
      <c r="H1448" s="225" t="n">
        <v>3634631</v>
      </c>
      <c r="I1448" s="225" t="n">
        <v>125392</v>
      </c>
      <c r="J1448" s="198" t="n">
        <v>28</v>
      </c>
      <c r="K1448" s="198" t="n">
        <v>4</v>
      </c>
      <c r="L1448" s="226" t="n">
        <v>44183</v>
      </c>
      <c r="M1448" s="226" t="n">
        <v>44090</v>
      </c>
      <c r="N1448" s="227" t="n">
        <v>2</v>
      </c>
      <c r="O1448" s="227" t="s">
        <v>135</v>
      </c>
      <c r="P1448" s="228" t="n">
        <f aca="false">VLOOKUP(B1448,'NIVEL ENERO'!A:D,3,0)</f>
        <v>0.129815417332944</v>
      </c>
      <c r="Q1448" s="229" t="n">
        <f aca="false">VLOOKUP(B1448,'NIVEL ENERO'!A:D,4,0)</f>
        <v>674891.86</v>
      </c>
      <c r="R1448" s="186" t="str">
        <f aca="false">+PROPER(C1448&amp;" "&amp;D1448)</f>
        <v>Diaz Gutierrez Erika Lorena</v>
      </c>
      <c r="S1448" s="230" t="n">
        <f aca="false">+YEARFRAC(L1448,$S$1)</f>
        <v>5.4</v>
      </c>
      <c r="T1448" s="230" t="n">
        <f aca="false">+YEARFRAC(M1448,$S$1)</f>
        <v>5.65555555555556</v>
      </c>
      <c r="U1448" s="231" t="n">
        <f aca="false">+$I1448</f>
        <v>125392</v>
      </c>
      <c r="V1448" s="232" t="str">
        <f aca="false">+PROPER(F1448)</f>
        <v>Soltero(A)</v>
      </c>
    </row>
    <row r="1449" customFormat="false" ht="14.25" hidden="false" customHeight="false" outlineLevel="0" collapsed="false">
      <c r="B1449" s="197" t="n">
        <v>1143981400</v>
      </c>
      <c r="C1449" s="197" t="s">
        <v>3445</v>
      </c>
      <c r="D1449" s="197" t="s">
        <v>3446</v>
      </c>
      <c r="E1449" s="198" t="s">
        <v>944</v>
      </c>
      <c r="F1449" s="198" t="s">
        <v>953</v>
      </c>
      <c r="G1449" s="225" t="n">
        <v>2600900</v>
      </c>
      <c r="H1449" s="225" t="n">
        <v>5417441</v>
      </c>
      <c r="I1449" s="225"/>
      <c r="J1449" s="198" t="n">
        <v>28</v>
      </c>
      <c r="K1449" s="198" t="n">
        <v>1</v>
      </c>
      <c r="L1449" s="226" t="n">
        <v>44811</v>
      </c>
      <c r="M1449" s="226" t="n">
        <v>44440</v>
      </c>
      <c r="N1449" s="227" t="n">
        <v>1</v>
      </c>
      <c r="O1449" s="227" t="s">
        <v>135</v>
      </c>
      <c r="P1449" s="228" t="n">
        <f aca="false">VLOOKUP(B1449,'NIVEL ENERO'!A:D,3,0)</f>
        <v>0.183855203967857</v>
      </c>
      <c r="Q1449" s="229" t="n">
        <f aca="false">VLOOKUP(B1449,'NIVEL ENERO'!A:D,4,0)</f>
        <v>614189</v>
      </c>
      <c r="R1449" s="186" t="str">
        <f aca="false">+PROPER(C1449&amp;" "&amp;D1449)</f>
        <v>Landazuri Viveros Carol Lizeth</v>
      </c>
      <c r="S1449" s="230" t="n">
        <f aca="false">+YEARFRAC(L1449,$S$1)</f>
        <v>3.68055555555556</v>
      </c>
      <c r="T1449" s="230" t="n">
        <f aca="false">+YEARFRAC(M1449,$S$1)</f>
        <v>4.69722222222222</v>
      </c>
      <c r="U1449" s="231" t="n">
        <f aca="false">+$I1449</f>
        <v>0</v>
      </c>
      <c r="V1449" s="232" t="str">
        <f aca="false">+PROPER(F1449)</f>
        <v>Soltero(A)</v>
      </c>
    </row>
    <row r="1450" customFormat="false" ht="14.25" hidden="false" customHeight="false" outlineLevel="0" collapsed="false">
      <c r="B1450" s="197" t="n">
        <v>1143984654</v>
      </c>
      <c r="C1450" s="197" t="s">
        <v>3447</v>
      </c>
      <c r="D1450" s="197" t="s">
        <v>1649</v>
      </c>
      <c r="E1450" s="198" t="s">
        <v>944</v>
      </c>
      <c r="F1450" s="198" t="s">
        <v>948</v>
      </c>
      <c r="G1450" s="225" t="n">
        <v>2893800</v>
      </c>
      <c r="H1450" s="225" t="n">
        <v>3307915</v>
      </c>
      <c r="I1450" s="225" t="n">
        <v>0</v>
      </c>
      <c r="J1450" s="198" t="n">
        <v>28</v>
      </c>
      <c r="K1450" s="198" t="n">
        <v>1</v>
      </c>
      <c r="L1450" s="226" t="n">
        <v>45342</v>
      </c>
      <c r="M1450" s="226" t="n">
        <v>43150</v>
      </c>
      <c r="N1450" s="227" t="n">
        <v>2</v>
      </c>
      <c r="O1450" s="227" t="s">
        <v>135</v>
      </c>
      <c r="P1450" s="228" t="n">
        <f aca="false">VLOOKUP(B1450,'NIVEL ENERO'!A:D,3,0)</f>
        <v>0.438128419758766</v>
      </c>
      <c r="Q1450" s="229" t="n">
        <f aca="false">VLOOKUP(B1450,'NIVEL ENERO'!A:D,4,0)</f>
        <v>-70900.8600000001</v>
      </c>
      <c r="R1450" s="186" t="str">
        <f aca="false">+PROPER(C1450&amp;" "&amp;D1450)</f>
        <v>Ramirez Chavez Angela Maria</v>
      </c>
      <c r="S1450" s="230" t="n">
        <f aca="false">+YEARFRAC(L1450,$S$1)</f>
        <v>2.22777777777778</v>
      </c>
      <c r="T1450" s="230" t="n">
        <f aca="false">+YEARFRAC(M1450,$S$1)</f>
        <v>8.23055555555556</v>
      </c>
      <c r="U1450" s="231" t="n">
        <f aca="false">+$I1450</f>
        <v>0</v>
      </c>
      <c r="V1450" s="232" t="str">
        <f aca="false">+PROPER(F1450)</f>
        <v>Casado(A)</v>
      </c>
    </row>
    <row r="1451" customFormat="false" ht="14.25" hidden="false" customHeight="false" outlineLevel="0" collapsed="false">
      <c r="B1451" s="197" t="n">
        <v>1143986684</v>
      </c>
      <c r="C1451" s="197" t="s">
        <v>3448</v>
      </c>
      <c r="D1451" s="197" t="s">
        <v>3331</v>
      </c>
      <c r="E1451" s="198" t="s">
        <v>944</v>
      </c>
      <c r="F1451" s="198" t="s">
        <v>953</v>
      </c>
      <c r="G1451" s="225" t="n">
        <v>2600900</v>
      </c>
      <c r="H1451" s="225" t="n">
        <v>1405682</v>
      </c>
      <c r="I1451" s="225" t="n">
        <v>1804066</v>
      </c>
      <c r="J1451" s="198" t="n">
        <v>58</v>
      </c>
      <c r="K1451" s="198" t="n">
        <v>2</v>
      </c>
      <c r="L1451" s="226" t="n">
        <v>44974</v>
      </c>
      <c r="M1451" s="226" t="n">
        <v>43990</v>
      </c>
      <c r="N1451" s="227" t="n">
        <v>0</v>
      </c>
      <c r="O1451" s="227" t="s">
        <v>135</v>
      </c>
      <c r="P1451" s="228" t="n">
        <f aca="false">VLOOKUP(B1451,'NIVEL ENERO'!A:D,3,0)</f>
        <v>0.238333269252951</v>
      </c>
      <c r="Q1451" s="229" t="n">
        <f aca="false">VLOOKUP(B1451,'NIVEL ENERO'!A:D,4,0)</f>
        <v>472497</v>
      </c>
      <c r="R1451" s="186" t="str">
        <f aca="false">+PROPER(C1451&amp;" "&amp;D1451)</f>
        <v>Carmona Montoya Yeraldin</v>
      </c>
      <c r="S1451" s="230" t="n">
        <f aca="false">+YEARFRAC(L1451,$S$1)</f>
        <v>3.23611111111111</v>
      </c>
      <c r="T1451" s="230" t="n">
        <f aca="false">+YEARFRAC(M1451,$S$1)</f>
        <v>5.92777777777778</v>
      </c>
      <c r="U1451" s="231" t="n">
        <f aca="false">+$I1451</f>
        <v>1804066</v>
      </c>
      <c r="V1451" s="232" t="str">
        <f aca="false">+PROPER(F1451)</f>
        <v>Soltero(A)</v>
      </c>
    </row>
    <row r="1452" customFormat="false" ht="14.25" hidden="false" customHeight="false" outlineLevel="0" collapsed="false">
      <c r="B1452" s="197" t="n">
        <v>1143987282</v>
      </c>
      <c r="C1452" s="197" t="s">
        <v>3449</v>
      </c>
      <c r="D1452" s="197" t="s">
        <v>3450</v>
      </c>
      <c r="E1452" s="198" t="s">
        <v>944</v>
      </c>
      <c r="F1452" s="198" t="s">
        <v>953</v>
      </c>
      <c r="G1452" s="225" t="n">
        <v>1717900</v>
      </c>
      <c r="H1452" s="225" t="n">
        <v>1355255</v>
      </c>
      <c r="I1452" s="225" t="n">
        <v>0</v>
      </c>
      <c r="J1452" s="198" t="n">
        <v>28</v>
      </c>
      <c r="K1452" s="198" t="n">
        <v>2</v>
      </c>
      <c r="L1452" s="226" t="n">
        <v>45001</v>
      </c>
      <c r="M1452" s="226" t="n">
        <v>44307</v>
      </c>
      <c r="N1452" s="227" t="n">
        <v>0</v>
      </c>
      <c r="O1452" s="227" t="s">
        <v>135</v>
      </c>
      <c r="P1452" s="228" t="n">
        <f aca="false">VLOOKUP(B1452,'NIVEL ENERO'!A:D,3,0)</f>
        <v>0.144873481745841</v>
      </c>
      <c r="Q1452" s="229" t="n">
        <f aca="false">VLOOKUP(B1452,'NIVEL ENERO'!A:D,4,0)</f>
        <v>613849.54</v>
      </c>
      <c r="R1452" s="186" t="str">
        <f aca="false">+PROPER(C1452&amp;" "&amp;D1452)</f>
        <v>Caicedo Castillo Kelly</v>
      </c>
      <c r="S1452" s="230" t="n">
        <f aca="false">+YEARFRAC(L1452,$S$1)</f>
        <v>3.15555555555556</v>
      </c>
      <c r="T1452" s="230" t="n">
        <f aca="false">+YEARFRAC(M1452,$S$1)</f>
        <v>5.05833333333333</v>
      </c>
      <c r="U1452" s="231" t="n">
        <f aca="false">+$I1452</f>
        <v>0</v>
      </c>
      <c r="V1452" s="232" t="str">
        <f aca="false">+PROPER(F1452)</f>
        <v>Soltero(A)</v>
      </c>
    </row>
    <row r="1453" customFormat="false" ht="14.25" hidden="false" customHeight="false" outlineLevel="0" collapsed="false">
      <c r="B1453" s="197" t="n">
        <v>1143987647</v>
      </c>
      <c r="C1453" s="197" t="s">
        <v>3451</v>
      </c>
      <c r="D1453" s="197" t="s">
        <v>3452</v>
      </c>
      <c r="E1453" s="198" t="s">
        <v>944</v>
      </c>
      <c r="F1453" s="198" t="s">
        <v>953</v>
      </c>
      <c r="G1453" s="225" t="n">
        <v>1991000</v>
      </c>
      <c r="H1453" s="225" t="n">
        <v>1658129</v>
      </c>
      <c r="I1453" s="225" t="n">
        <v>6359892</v>
      </c>
      <c r="J1453" s="198" t="n">
        <v>27</v>
      </c>
      <c r="K1453" s="198" t="n">
        <v>2</v>
      </c>
      <c r="L1453" s="226" t="n">
        <v>44812</v>
      </c>
      <c r="M1453" s="226" t="n">
        <v>44631</v>
      </c>
      <c r="N1453" s="227" t="n">
        <v>2</v>
      </c>
      <c r="O1453" s="227" t="s">
        <v>135</v>
      </c>
      <c r="P1453" s="228" t="n">
        <f aca="false">VLOOKUP(B1453,'NIVEL ENERO'!A:D,3,0)</f>
        <v>0.299869914615771</v>
      </c>
      <c r="Q1453" s="229" t="n">
        <f aca="false">VLOOKUP(B1453,'NIVEL ENERO'!A:D,4,0)</f>
        <v>239179</v>
      </c>
      <c r="R1453" s="186" t="str">
        <f aca="false">+PROPER(C1453&amp;" "&amp;D1453)</f>
        <v>Muriel Guzman Derly Dayana</v>
      </c>
      <c r="S1453" s="230" t="n">
        <f aca="false">+YEARFRAC(L1453,$S$1)</f>
        <v>3.67777777777778</v>
      </c>
      <c r="T1453" s="230" t="n">
        <f aca="false">+YEARFRAC(M1453,$S$1)</f>
        <v>4.16944444444444</v>
      </c>
      <c r="U1453" s="231" t="n">
        <f aca="false">+$I1453</f>
        <v>6359892</v>
      </c>
      <c r="V1453" s="232" t="str">
        <f aca="false">+PROPER(F1453)</f>
        <v>Soltero(A)</v>
      </c>
    </row>
    <row r="1454" customFormat="false" ht="14.25" hidden="false" customHeight="false" outlineLevel="0" collapsed="false">
      <c r="B1454" s="197" t="n">
        <v>1143990240</v>
      </c>
      <c r="C1454" s="197" t="s">
        <v>3453</v>
      </c>
      <c r="D1454" s="197" t="s">
        <v>3454</v>
      </c>
      <c r="E1454" s="198" t="s">
        <v>944</v>
      </c>
      <c r="F1454" s="198" t="s">
        <v>953</v>
      </c>
      <c r="G1454" s="225" t="n">
        <v>1918500</v>
      </c>
      <c r="H1454" s="225" t="n">
        <v>1506656</v>
      </c>
      <c r="I1454" s="225" t="n">
        <v>2510233</v>
      </c>
      <c r="J1454" s="198" t="n">
        <v>27</v>
      </c>
      <c r="K1454" s="198" t="n">
        <v>1</v>
      </c>
      <c r="L1454" s="226" t="n">
        <v>44907</v>
      </c>
      <c r="M1454" s="226" t="n">
        <v>44875</v>
      </c>
      <c r="N1454" s="227" t="n">
        <v>0</v>
      </c>
      <c r="O1454" s="227" t="s">
        <v>135</v>
      </c>
      <c r="P1454" s="228" t="n">
        <f aca="false">VLOOKUP(B1454,'NIVEL ENERO'!A:D,3,0)</f>
        <v>0.259577795152463</v>
      </c>
      <c r="Q1454" s="229" t="n">
        <f aca="false">VLOOKUP(B1454,'NIVEL ENERO'!A:D,4,0)</f>
        <v>328288</v>
      </c>
      <c r="R1454" s="186" t="str">
        <f aca="false">+PROPER(C1454&amp;" "&amp;D1454)</f>
        <v>Gamboa Amaya Norly Vanessa</v>
      </c>
      <c r="S1454" s="230" t="n">
        <f aca="false">+YEARFRAC(L1454,$S$1)</f>
        <v>3.41666666666667</v>
      </c>
      <c r="T1454" s="230" t="n">
        <f aca="false">+YEARFRAC(M1454,$S$1)</f>
        <v>3.50555555555556</v>
      </c>
      <c r="U1454" s="231" t="n">
        <f aca="false">+$I1454</f>
        <v>2510233</v>
      </c>
      <c r="V1454" s="232" t="str">
        <f aca="false">+PROPER(F1454)</f>
        <v>Soltero(A)</v>
      </c>
    </row>
    <row r="1455" customFormat="false" ht="14.25" hidden="false" customHeight="false" outlineLevel="0" collapsed="false">
      <c r="B1455" s="197" t="n">
        <v>1143990307</v>
      </c>
      <c r="C1455" s="197" t="s">
        <v>3455</v>
      </c>
      <c r="D1455" s="197" t="s">
        <v>3456</v>
      </c>
      <c r="E1455" s="198" t="s">
        <v>944</v>
      </c>
      <c r="F1455" s="198" t="s">
        <v>945</v>
      </c>
      <c r="G1455" s="225" t="n">
        <v>2600900</v>
      </c>
      <c r="H1455" s="225" t="n">
        <v>1737180</v>
      </c>
      <c r="I1455" s="225" t="n">
        <v>247607</v>
      </c>
      <c r="J1455" s="198" t="n">
        <v>27</v>
      </c>
      <c r="K1455" s="198" t="n">
        <v>2</v>
      </c>
      <c r="L1455" s="226" t="n">
        <v>44790</v>
      </c>
      <c r="M1455" s="226" t="n">
        <v>44049</v>
      </c>
      <c r="N1455" s="227" t="n">
        <v>2</v>
      </c>
      <c r="O1455" s="227" t="s">
        <v>135</v>
      </c>
      <c r="P1455" s="228" t="n">
        <f aca="false">VLOOKUP(B1455,'NIVEL ENERO'!A:D,3,0)</f>
        <v>0.143352026720232</v>
      </c>
      <c r="Q1455" s="229" t="n">
        <f aca="false">VLOOKUP(B1455,'NIVEL ENERO'!A:D,4,0)</f>
        <v>723419.88</v>
      </c>
      <c r="R1455" s="186" t="str">
        <f aca="false">+PROPER(C1455&amp;" "&amp;D1455)</f>
        <v>Collazos Aguirre Mabel Fernanda</v>
      </c>
      <c r="S1455" s="230" t="n">
        <f aca="false">+YEARFRAC(L1455,$S$1)</f>
        <v>3.73611111111111</v>
      </c>
      <c r="T1455" s="230" t="n">
        <f aca="false">+YEARFRAC(M1455,$S$1)</f>
        <v>5.76666666666667</v>
      </c>
      <c r="U1455" s="231" t="n">
        <f aca="false">+$I1455</f>
        <v>247607</v>
      </c>
      <c r="V1455" s="232" t="str">
        <f aca="false">+PROPER(F1455)</f>
        <v>Union Libre</v>
      </c>
    </row>
    <row r="1456" customFormat="false" ht="14.25" hidden="false" customHeight="false" outlineLevel="0" collapsed="false">
      <c r="B1456" s="197" t="n">
        <v>1143991158</v>
      </c>
      <c r="C1456" s="197" t="s">
        <v>3457</v>
      </c>
      <c r="D1456" s="197" t="s">
        <v>3458</v>
      </c>
      <c r="E1456" s="198" t="s">
        <v>944</v>
      </c>
      <c r="F1456" s="198" t="s">
        <v>953</v>
      </c>
      <c r="G1456" s="225" t="n">
        <v>2340800</v>
      </c>
      <c r="H1456" s="225" t="n">
        <v>1999663</v>
      </c>
      <c r="I1456" s="225"/>
      <c r="J1456" s="198" t="n">
        <v>26</v>
      </c>
      <c r="K1456" s="198" t="n">
        <v>2</v>
      </c>
      <c r="L1456" s="226" t="n">
        <v>44853</v>
      </c>
      <c r="M1456" s="226" t="n">
        <v>44655</v>
      </c>
      <c r="N1456" s="227" t="n">
        <v>0</v>
      </c>
      <c r="O1456" s="227" t="s">
        <v>135</v>
      </c>
      <c r="P1456" s="228" t="n">
        <f aca="false">VLOOKUP(B1456,'NIVEL ENERO'!A:D,3,0)</f>
        <v>0.115909203947994</v>
      </c>
      <c r="Q1456" s="229" t="n">
        <f aca="false">VLOOKUP(B1456,'NIVEL ENERO'!A:D,4,0)</f>
        <v>966005.84</v>
      </c>
      <c r="R1456" s="186" t="str">
        <f aca="false">+PROPER(C1456&amp;" "&amp;D1456)</f>
        <v>Lopez Orozco Lyda Lizeth</v>
      </c>
      <c r="S1456" s="230" t="n">
        <f aca="false">+YEARFRAC(L1456,$S$1)</f>
        <v>3.56388888888889</v>
      </c>
      <c r="T1456" s="230" t="n">
        <f aca="false">+YEARFRAC(M1456,$S$1)</f>
        <v>4.10555555555556</v>
      </c>
      <c r="U1456" s="231" t="n">
        <f aca="false">+$I1456</f>
        <v>0</v>
      </c>
      <c r="V1456" s="232" t="str">
        <f aca="false">+PROPER(F1456)</f>
        <v>Soltero(A)</v>
      </c>
    </row>
    <row r="1457" customFormat="false" ht="14.25" hidden="false" customHeight="false" outlineLevel="0" collapsed="false">
      <c r="B1457" s="197" t="n">
        <v>1143991760</v>
      </c>
      <c r="C1457" s="197" t="s">
        <v>3459</v>
      </c>
      <c r="D1457" s="197" t="s">
        <v>2723</v>
      </c>
      <c r="E1457" s="198" t="s">
        <v>944</v>
      </c>
      <c r="F1457" s="198" t="s">
        <v>953</v>
      </c>
      <c r="G1457" s="225" t="n">
        <v>2600900</v>
      </c>
      <c r="H1457" s="225" t="n">
        <v>3880508</v>
      </c>
      <c r="I1457" s="225" t="n">
        <v>6041720</v>
      </c>
      <c r="J1457" s="198" t="n">
        <v>27</v>
      </c>
      <c r="K1457" s="198" t="n">
        <v>2</v>
      </c>
      <c r="L1457" s="226" t="n">
        <v>43529</v>
      </c>
      <c r="M1457" s="226" t="n">
        <v>43511</v>
      </c>
      <c r="N1457" s="227" t="n">
        <v>2</v>
      </c>
      <c r="O1457" s="227" t="s">
        <v>135</v>
      </c>
      <c r="P1457" s="228" t="n">
        <f aca="false">VLOOKUP(B1457,'NIVEL ENERO'!A:D,3,0)</f>
        <v>0.409409435195509</v>
      </c>
      <c r="Q1457" s="229" t="n">
        <f aca="false">VLOOKUP(B1457,'NIVEL ENERO'!A:D,4,0)</f>
        <v>27545</v>
      </c>
      <c r="R1457" s="186" t="str">
        <f aca="false">+PROPER(C1457&amp;" "&amp;D1457)</f>
        <v>Salcedo Rodriguez Nathalia</v>
      </c>
      <c r="S1457" s="230" t="n">
        <f aca="false">+YEARFRAC(L1457,$S$1)</f>
        <v>7.18611111111111</v>
      </c>
      <c r="T1457" s="230" t="n">
        <f aca="false">+YEARFRAC(M1457,$S$1)</f>
        <v>7.24166666666667</v>
      </c>
      <c r="U1457" s="231" t="n">
        <f aca="false">+$I1457</f>
        <v>6041720</v>
      </c>
      <c r="V1457" s="232" t="str">
        <f aca="false">+PROPER(F1457)</f>
        <v>Soltero(A)</v>
      </c>
    </row>
    <row r="1458" customFormat="false" ht="14.25" hidden="false" customHeight="false" outlineLevel="0" collapsed="false">
      <c r="B1458" s="197" t="n">
        <v>1143992553</v>
      </c>
      <c r="C1458" s="197" t="s">
        <v>3460</v>
      </c>
      <c r="D1458" s="197" t="s">
        <v>3461</v>
      </c>
      <c r="E1458" s="198" t="s">
        <v>944</v>
      </c>
      <c r="F1458" s="198" t="s">
        <v>945</v>
      </c>
      <c r="G1458" s="225" t="n">
        <v>2600900</v>
      </c>
      <c r="H1458" s="225" t="n">
        <v>4830035</v>
      </c>
      <c r="I1458" s="225" t="n">
        <v>19753438</v>
      </c>
      <c r="J1458" s="198" t="n">
        <v>26</v>
      </c>
      <c r="K1458" s="198" t="n">
        <v>2</v>
      </c>
      <c r="L1458" s="226" t="n">
        <v>44158</v>
      </c>
      <c r="M1458" s="226" t="n">
        <v>43971</v>
      </c>
      <c r="N1458" s="227" t="n">
        <v>0</v>
      </c>
      <c r="O1458" s="227" t="s">
        <v>135</v>
      </c>
      <c r="P1458" s="228" t="n">
        <f aca="false">VLOOKUP(B1458,'NIVEL ENERO'!A:D,3,0)</f>
        <v>0.456814274438339</v>
      </c>
      <c r="Q1458" s="229" t="n">
        <f aca="false">VLOOKUP(B1458,'NIVEL ENERO'!A:D,4,0)</f>
        <v>-98178.7</v>
      </c>
      <c r="R1458" s="186" t="str">
        <f aca="false">+PROPER(C1458&amp;" "&amp;D1458)</f>
        <v>Mera Castro Anyi Andrea</v>
      </c>
      <c r="S1458" s="230" t="n">
        <f aca="false">+YEARFRAC(L1458,$S$1)</f>
        <v>5.46944444444444</v>
      </c>
      <c r="T1458" s="230" t="n">
        <f aca="false">+YEARFRAC(M1458,$S$1)</f>
        <v>5.97777777777778</v>
      </c>
      <c r="U1458" s="231" t="n">
        <f aca="false">+$I1458</f>
        <v>19753438</v>
      </c>
      <c r="V1458" s="232" t="str">
        <f aca="false">+PROPER(F1458)</f>
        <v>Union Libre</v>
      </c>
    </row>
    <row r="1459" customFormat="false" ht="14.25" hidden="false" customHeight="false" outlineLevel="0" collapsed="false">
      <c r="B1459" s="197" t="n">
        <v>1143992567</v>
      </c>
      <c r="C1459" s="197" t="s">
        <v>3462</v>
      </c>
      <c r="D1459" s="197" t="s">
        <v>3463</v>
      </c>
      <c r="E1459" s="198" t="s">
        <v>944</v>
      </c>
      <c r="F1459" s="198" t="s">
        <v>945</v>
      </c>
      <c r="G1459" s="225" t="n">
        <v>2030300</v>
      </c>
      <c r="H1459" s="225" t="n">
        <v>462000</v>
      </c>
      <c r="I1459" s="225"/>
      <c r="J1459" s="198" t="n">
        <v>26</v>
      </c>
      <c r="K1459" s="198" t="n">
        <v>2</v>
      </c>
      <c r="L1459" s="226" t="n">
        <v>45448</v>
      </c>
      <c r="M1459" s="226" t="n">
        <v>44900</v>
      </c>
      <c r="N1459" s="227" t="n">
        <v>0</v>
      </c>
      <c r="O1459" s="227" t="s">
        <v>135</v>
      </c>
      <c r="P1459" s="228" t="n">
        <f aca="false">VLOOKUP(B1459,'NIVEL ENERO'!A:D,3,0)</f>
        <v>0.126795879275315</v>
      </c>
      <c r="Q1459" s="229" t="n">
        <f aca="false">VLOOKUP(B1459,'NIVEL ENERO'!A:D,4,0)</f>
        <v>686052.88</v>
      </c>
      <c r="R1459" s="186" t="str">
        <f aca="false">+PROPER(C1459&amp;" "&amp;D1459)</f>
        <v>Zapata Gutierrez Luz Karime</v>
      </c>
      <c r="S1459" s="230" t="n">
        <f aca="false">+YEARFRAC(L1459,$S$1)</f>
        <v>1.93611111111111</v>
      </c>
      <c r="T1459" s="230" t="n">
        <f aca="false">+YEARFRAC(M1459,$S$1)</f>
        <v>3.43611111111111</v>
      </c>
      <c r="U1459" s="231" t="n">
        <f aca="false">+$I1459</f>
        <v>0</v>
      </c>
      <c r="V1459" s="232" t="str">
        <f aca="false">+PROPER(F1459)</f>
        <v>Union Libre</v>
      </c>
    </row>
    <row r="1460" customFormat="false" ht="14.25" hidden="false" customHeight="false" outlineLevel="0" collapsed="false">
      <c r="B1460" s="197" t="n">
        <v>1143993556</v>
      </c>
      <c r="C1460" s="197" t="s">
        <v>3464</v>
      </c>
      <c r="D1460" s="197" t="s">
        <v>2395</v>
      </c>
      <c r="E1460" s="198" t="s">
        <v>944</v>
      </c>
      <c r="F1460" s="198" t="s">
        <v>953</v>
      </c>
      <c r="G1460" s="225" t="n">
        <v>2604400</v>
      </c>
      <c r="H1460" s="225" t="n">
        <v>1500275</v>
      </c>
      <c r="I1460" s="225"/>
      <c r="J1460" s="198" t="n">
        <v>26</v>
      </c>
      <c r="K1460" s="198" t="n">
        <v>2</v>
      </c>
      <c r="L1460" s="226" t="n">
        <v>45220</v>
      </c>
      <c r="M1460" s="226" t="n">
        <v>45140</v>
      </c>
      <c r="N1460" s="227" t="n">
        <v>0</v>
      </c>
      <c r="O1460" s="227" t="s">
        <v>135</v>
      </c>
      <c r="P1460" s="228" t="n">
        <f aca="false">VLOOKUP(B1460,'NIVEL ENERO'!A:D,3,0)</f>
        <v>0.249207635662262</v>
      </c>
      <c r="Q1460" s="229" t="n">
        <f aca="false">VLOOKUP(B1460,'NIVEL ENERO'!A:D,4,0)</f>
        <v>588086.16</v>
      </c>
      <c r="R1460" s="186" t="str">
        <f aca="false">+PROPER(C1460&amp;" "&amp;D1460)</f>
        <v>Angulo Cortes Luisa Fernanda</v>
      </c>
      <c r="S1460" s="230" t="n">
        <f aca="false">+YEARFRAC(L1460,$S$1)</f>
        <v>2.55833333333333</v>
      </c>
      <c r="T1460" s="230" t="n">
        <f aca="false">+YEARFRAC(M1460,$S$1)</f>
        <v>2.77777777777778</v>
      </c>
      <c r="U1460" s="231" t="n">
        <f aca="false">+$I1460</f>
        <v>0</v>
      </c>
      <c r="V1460" s="232" t="str">
        <f aca="false">+PROPER(F1460)</f>
        <v>Soltero(A)</v>
      </c>
    </row>
    <row r="1461" customFormat="false" ht="14.25" hidden="false" customHeight="false" outlineLevel="0" collapsed="false">
      <c r="B1461" s="197" t="n">
        <v>1143993996</v>
      </c>
      <c r="C1461" s="197" t="s">
        <v>3465</v>
      </c>
      <c r="D1461" s="197" t="s">
        <v>2313</v>
      </c>
      <c r="E1461" s="198" t="s">
        <v>944</v>
      </c>
      <c r="F1461" s="198" t="s">
        <v>953</v>
      </c>
      <c r="G1461" s="225" t="n">
        <v>1625000</v>
      </c>
      <c r="H1461" s="225" t="n">
        <v>130000</v>
      </c>
      <c r="I1461" s="225"/>
      <c r="J1461" s="198" t="n">
        <v>26</v>
      </c>
      <c r="K1461" s="198" t="n">
        <v>2</v>
      </c>
      <c r="L1461" s="226" t="n">
        <v>45615</v>
      </c>
      <c r="M1461" s="226" t="n">
        <v>45477</v>
      </c>
      <c r="N1461" s="227" t="n">
        <v>0</v>
      </c>
      <c r="O1461" s="227" t="s">
        <v>135</v>
      </c>
      <c r="P1461" s="228" t="n">
        <f aca="false">VLOOKUP(B1461,'NIVEL ENERO'!A:D,3,0)</f>
        <v>0.388700307692308</v>
      </c>
      <c r="Q1461" s="229" t="n">
        <f aca="false">VLOOKUP(B1461,'NIVEL ENERO'!A:D,4,0)</f>
        <v>121100</v>
      </c>
      <c r="R1461" s="186" t="str">
        <f aca="false">+PROPER(C1461&amp;" "&amp;D1461)</f>
        <v>Carabali Corcino Maria Camila</v>
      </c>
      <c r="S1461" s="230" t="n">
        <f aca="false">+YEARFRAC(L1461,$S$1)</f>
        <v>1.48055555555556</v>
      </c>
      <c r="T1461" s="230" t="n">
        <f aca="false">+YEARFRAC(M1461,$S$1)</f>
        <v>1.85555555555556</v>
      </c>
      <c r="U1461" s="231" t="n">
        <f aca="false">+$I1461</f>
        <v>0</v>
      </c>
      <c r="V1461" s="232" t="str">
        <f aca="false">+PROPER(F1461)</f>
        <v>Soltero(A)</v>
      </c>
    </row>
    <row r="1462" customFormat="false" ht="14.25" hidden="false" customHeight="false" outlineLevel="0" collapsed="false">
      <c r="B1462" s="197" t="n">
        <v>1143994538</v>
      </c>
      <c r="C1462" s="197" t="s">
        <v>3466</v>
      </c>
      <c r="D1462" s="197" t="s">
        <v>2321</v>
      </c>
      <c r="E1462" s="198" t="s">
        <v>944</v>
      </c>
      <c r="F1462" s="198" t="s">
        <v>945</v>
      </c>
      <c r="G1462" s="225" t="n">
        <v>1918500</v>
      </c>
      <c r="H1462" s="225" t="n">
        <v>955165</v>
      </c>
      <c r="I1462" s="225" t="n">
        <v>3194880</v>
      </c>
      <c r="J1462" s="198" t="n">
        <v>26</v>
      </c>
      <c r="K1462" s="198" t="n">
        <v>2</v>
      </c>
      <c r="L1462" s="226" t="n">
        <v>45220</v>
      </c>
      <c r="M1462" s="226" t="n">
        <v>44985</v>
      </c>
      <c r="N1462" s="227" t="n">
        <v>0</v>
      </c>
      <c r="O1462" s="227" t="s">
        <v>135</v>
      </c>
      <c r="P1462" s="228" t="n">
        <f aca="false">VLOOKUP(B1462,'NIVEL ENERO'!A:D,3,0)</f>
        <v>0.285388933976241</v>
      </c>
      <c r="Q1462" s="229" t="n">
        <f aca="false">VLOOKUP(B1462,'NIVEL ENERO'!A:D,4,0)</f>
        <v>287332.66</v>
      </c>
      <c r="R1462" s="186" t="str">
        <f aca="false">+PROPER(C1462&amp;" "&amp;D1462)</f>
        <v>Yepes Flor Brayan Steven</v>
      </c>
      <c r="S1462" s="230" t="n">
        <f aca="false">+YEARFRAC(L1462,$S$1)</f>
        <v>2.55833333333333</v>
      </c>
      <c r="T1462" s="230" t="n">
        <f aca="false">+YEARFRAC(M1462,$S$1)</f>
        <v>3.2</v>
      </c>
      <c r="U1462" s="231" t="n">
        <f aca="false">+$I1462</f>
        <v>3194880</v>
      </c>
      <c r="V1462" s="232" t="str">
        <f aca="false">+PROPER(F1462)</f>
        <v>Union Libre</v>
      </c>
    </row>
    <row r="1463" customFormat="false" ht="14.25" hidden="false" customHeight="false" outlineLevel="0" collapsed="false">
      <c r="B1463" s="197" t="n">
        <v>1143995184</v>
      </c>
      <c r="C1463" s="197" t="s">
        <v>3467</v>
      </c>
      <c r="D1463" s="197" t="s">
        <v>3468</v>
      </c>
      <c r="E1463" s="198" t="s">
        <v>944</v>
      </c>
      <c r="F1463" s="198" t="s">
        <v>945</v>
      </c>
      <c r="G1463" s="225" t="n">
        <v>2893800</v>
      </c>
      <c r="H1463" s="225" t="n">
        <v>1296808</v>
      </c>
      <c r="I1463" s="225" t="n">
        <v>5401100</v>
      </c>
      <c r="J1463" s="198" t="n">
        <v>26</v>
      </c>
      <c r="K1463" s="198" t="n">
        <v>2</v>
      </c>
      <c r="L1463" s="226" t="n">
        <v>45027</v>
      </c>
      <c r="M1463" s="226" t="n">
        <v>44184</v>
      </c>
      <c r="N1463" s="227" t="n">
        <v>0</v>
      </c>
      <c r="O1463" s="227" t="s">
        <v>135</v>
      </c>
      <c r="P1463" s="228" t="n">
        <f aca="false">VLOOKUP(B1463,'NIVEL ENERO'!A:D,3,0)</f>
        <v>0.163313521263504</v>
      </c>
      <c r="Q1463" s="229" t="n">
        <f aca="false">VLOOKUP(B1463,'NIVEL ENERO'!A:D,4,0)</f>
        <v>1091735.68</v>
      </c>
      <c r="R1463" s="186" t="str">
        <f aca="false">+PROPER(C1463&amp;" "&amp;D1463)</f>
        <v>Daza Sanchez Ingrid Gisela</v>
      </c>
      <c r="S1463" s="230" t="n">
        <f aca="false">+YEARFRAC(L1463,$S$1)</f>
        <v>3.08611111111111</v>
      </c>
      <c r="T1463" s="230" t="n">
        <f aca="false">+YEARFRAC(M1463,$S$1)</f>
        <v>5.39722222222222</v>
      </c>
      <c r="U1463" s="231" t="n">
        <f aca="false">+$I1463</f>
        <v>5401100</v>
      </c>
      <c r="V1463" s="232" t="str">
        <f aca="false">+PROPER(F1463)</f>
        <v>Union Libre</v>
      </c>
    </row>
    <row r="1464" customFormat="false" ht="14.25" hidden="false" customHeight="false" outlineLevel="0" collapsed="false">
      <c r="B1464" s="197" t="n">
        <v>1143996665</v>
      </c>
      <c r="C1464" s="197" t="s">
        <v>3469</v>
      </c>
      <c r="D1464" s="197" t="s">
        <v>1789</v>
      </c>
      <c r="E1464" s="198" t="s">
        <v>944</v>
      </c>
      <c r="F1464" s="198" t="s">
        <v>953</v>
      </c>
      <c r="G1464" s="225" t="n">
        <v>2340800</v>
      </c>
      <c r="H1464" s="225" t="n">
        <v>2112746</v>
      </c>
      <c r="I1464" s="225" t="n">
        <v>1146247</v>
      </c>
      <c r="J1464" s="198" t="n">
        <v>25</v>
      </c>
      <c r="K1464" s="198" t="n">
        <v>1</v>
      </c>
      <c r="L1464" s="226" t="n">
        <v>44490</v>
      </c>
      <c r="M1464" s="226" t="n">
        <v>44091</v>
      </c>
      <c r="N1464" s="227" t="n">
        <v>0</v>
      </c>
      <c r="O1464" s="227" t="s">
        <v>135</v>
      </c>
      <c r="P1464" s="228" t="n">
        <f aca="false">VLOOKUP(B1464,'NIVEL ENERO'!A:D,3,0)</f>
        <v>0.212891842367322</v>
      </c>
      <c r="Q1464" s="229" t="n">
        <f aca="false">VLOOKUP(B1464,'NIVEL ENERO'!A:D,4,0)</f>
        <v>773882.62</v>
      </c>
      <c r="R1464" s="186" t="str">
        <f aca="false">+PROPER(C1464&amp;" "&amp;D1464)</f>
        <v>Osorio Nieto Lina Maria</v>
      </c>
      <c r="S1464" s="230" t="n">
        <f aca="false">+YEARFRAC(L1464,$S$1)</f>
        <v>4.55833333333333</v>
      </c>
      <c r="T1464" s="230" t="n">
        <f aca="false">+YEARFRAC(M1464,$S$1)</f>
        <v>5.65277777777778</v>
      </c>
      <c r="U1464" s="231" t="n">
        <f aca="false">+$I1464</f>
        <v>1146247</v>
      </c>
      <c r="V1464" s="232" t="str">
        <f aca="false">+PROPER(F1464)</f>
        <v>Soltero(A)</v>
      </c>
    </row>
    <row r="1465" customFormat="false" ht="14.25" hidden="false" customHeight="false" outlineLevel="0" collapsed="false">
      <c r="B1465" s="197" t="n">
        <v>1143997891</v>
      </c>
      <c r="C1465" s="197" t="s">
        <v>3470</v>
      </c>
      <c r="D1465" s="197" t="s">
        <v>3471</v>
      </c>
      <c r="E1465" s="198" t="s">
        <v>944</v>
      </c>
      <c r="F1465" s="198" t="s">
        <v>953</v>
      </c>
      <c r="G1465" s="225" t="n">
        <v>2340800</v>
      </c>
      <c r="H1465" s="225" t="n">
        <v>2328918</v>
      </c>
      <c r="I1465" s="225" t="n">
        <v>1799168</v>
      </c>
      <c r="J1465" s="198" t="n">
        <v>24</v>
      </c>
      <c r="K1465" s="198" t="n">
        <v>2</v>
      </c>
      <c r="L1465" s="226" t="n">
        <v>44302</v>
      </c>
      <c r="M1465" s="226" t="n">
        <v>43755</v>
      </c>
      <c r="N1465" s="227" t="n">
        <v>3</v>
      </c>
      <c r="O1465" s="227" t="s">
        <v>135</v>
      </c>
      <c r="P1465" s="228" t="n">
        <f aca="false">VLOOKUP(B1465,'NIVEL ENERO'!A:D,3,0)</f>
        <v>0.329613226965384</v>
      </c>
      <c r="Q1465" s="229" t="n">
        <f aca="false">VLOOKUP(B1465,'NIVEL ENERO'!A:D,4,0)</f>
        <v>202173.88</v>
      </c>
      <c r="R1465" s="186" t="str">
        <f aca="false">+PROPER(C1465&amp;" "&amp;D1465)</f>
        <v>Vallejo Lasso Karlen Cecilia</v>
      </c>
      <c r="S1465" s="230" t="n">
        <f aca="false">+YEARFRAC(L1465,$S$1)</f>
        <v>5.07222222222222</v>
      </c>
      <c r="T1465" s="230" t="n">
        <f aca="false">+YEARFRAC(M1465,$S$1)</f>
        <v>6.56944444444445</v>
      </c>
      <c r="U1465" s="231" t="n">
        <f aca="false">+$I1465</f>
        <v>1799168</v>
      </c>
      <c r="V1465" s="232" t="str">
        <f aca="false">+PROPER(F1465)</f>
        <v>Soltero(A)</v>
      </c>
    </row>
    <row r="1466" customFormat="false" ht="14.25" hidden="false" customHeight="false" outlineLevel="0" collapsed="false">
      <c r="B1466" s="197" t="n">
        <v>1144024028</v>
      </c>
      <c r="C1466" s="197" t="s">
        <v>3472</v>
      </c>
      <c r="D1466" s="197" t="s">
        <v>3473</v>
      </c>
      <c r="E1466" s="198" t="s">
        <v>944</v>
      </c>
      <c r="F1466" s="198" t="s">
        <v>948</v>
      </c>
      <c r="G1466" s="225" t="n">
        <v>2600900</v>
      </c>
      <c r="H1466" s="225" t="n">
        <v>4473120</v>
      </c>
      <c r="I1466" s="225" t="n">
        <v>1784283</v>
      </c>
      <c r="J1466" s="198" t="n">
        <v>36</v>
      </c>
      <c r="K1466" s="198" t="n">
        <v>2</v>
      </c>
      <c r="L1466" s="226" t="n">
        <v>43207</v>
      </c>
      <c r="M1466" s="226" t="n">
        <v>42906</v>
      </c>
      <c r="N1466" s="227" t="n">
        <v>2</v>
      </c>
      <c r="O1466" s="227" t="s">
        <v>135</v>
      </c>
      <c r="P1466" s="228" t="n">
        <f aca="false">VLOOKUP(B1466,'NIVEL ENERO'!A:D,3,0)</f>
        <v>0.278019685003078</v>
      </c>
      <c r="Q1466" s="229" t="n">
        <f aca="false">VLOOKUP(B1466,'NIVEL ENERO'!A:D,4,0)</f>
        <v>369651.24</v>
      </c>
      <c r="R1466" s="186" t="str">
        <f aca="false">+PROPER(C1466&amp;" "&amp;D1466)</f>
        <v>Moreno Vasquez Karina Marcela</v>
      </c>
      <c r="S1466" s="230" t="n">
        <f aca="false">+YEARFRAC(L1466,$S$1)</f>
        <v>8.06944444444445</v>
      </c>
      <c r="T1466" s="230" t="n">
        <f aca="false">+YEARFRAC(M1466,$S$1)</f>
        <v>8.89444444444444</v>
      </c>
      <c r="U1466" s="231" t="n">
        <f aca="false">+$I1466</f>
        <v>1784283</v>
      </c>
      <c r="V1466" s="232" t="str">
        <f aca="false">+PROPER(F1466)</f>
        <v>Casado(A)</v>
      </c>
    </row>
    <row r="1467" customFormat="false" ht="14.25" hidden="false" customHeight="false" outlineLevel="0" collapsed="false">
      <c r="B1467" s="197" t="n">
        <v>1144024281</v>
      </c>
      <c r="C1467" s="197" t="s">
        <v>3474</v>
      </c>
      <c r="D1467" s="197" t="s">
        <v>3475</v>
      </c>
      <c r="E1467" s="198" t="s">
        <v>944</v>
      </c>
      <c r="F1467" s="198" t="s">
        <v>948</v>
      </c>
      <c r="G1467" s="225" t="n">
        <v>3945300</v>
      </c>
      <c r="H1467" s="225" t="n">
        <v>2163254</v>
      </c>
      <c r="I1467" s="225" t="n">
        <v>0</v>
      </c>
      <c r="J1467" s="198" t="n">
        <v>26</v>
      </c>
      <c r="K1467" s="198" t="n">
        <v>3</v>
      </c>
      <c r="L1467" s="226" t="n">
        <v>44491</v>
      </c>
      <c r="M1467" s="226" t="n">
        <v>40492</v>
      </c>
      <c r="N1467" s="227" t="n">
        <v>0</v>
      </c>
      <c r="O1467" s="227" t="s">
        <v>135</v>
      </c>
      <c r="P1467" s="228" t="n">
        <f aca="false">VLOOKUP(B1467,'NIVEL ENERO'!A:D,3,0)</f>
        <v>0.358597064861988</v>
      </c>
      <c r="Q1467" s="229" t="n">
        <f aca="false">VLOOKUP(B1467,'NIVEL ENERO'!A:D,4,0)</f>
        <v>242253</v>
      </c>
      <c r="R1467" s="186" t="str">
        <f aca="false">+PROPER(C1467&amp;" "&amp;D1467)</f>
        <v>Reina Cifuentes Laura Tatiana</v>
      </c>
      <c r="S1467" s="230" t="n">
        <f aca="false">+YEARFRAC(L1467,$S$1)</f>
        <v>4.55555555555556</v>
      </c>
      <c r="T1467" s="230" t="n">
        <f aca="false">+YEARFRAC(M1467,$S$1)</f>
        <v>15.5055555555556</v>
      </c>
      <c r="U1467" s="231" t="n">
        <f aca="false">+$I1467</f>
        <v>0</v>
      </c>
      <c r="V1467" s="232" t="str">
        <f aca="false">+PROPER(F1467)</f>
        <v>Casado(A)</v>
      </c>
    </row>
    <row r="1468" customFormat="false" ht="14.25" hidden="false" customHeight="false" outlineLevel="0" collapsed="false">
      <c r="B1468" s="197" t="n">
        <v>1144024343</v>
      </c>
      <c r="C1468" s="197" t="s">
        <v>3476</v>
      </c>
      <c r="D1468" s="197" t="s">
        <v>3477</v>
      </c>
      <c r="E1468" s="198" t="s">
        <v>944</v>
      </c>
      <c r="F1468" s="198" t="s">
        <v>945</v>
      </c>
      <c r="G1468" s="225" t="n">
        <v>1625000</v>
      </c>
      <c r="H1468" s="225" t="n">
        <v>325000</v>
      </c>
      <c r="I1468" s="225" t="n">
        <v>2291950</v>
      </c>
      <c r="J1468" s="198" t="n">
        <v>35</v>
      </c>
      <c r="K1468" s="198" t="n">
        <v>2</v>
      </c>
      <c r="L1468" s="226" t="n">
        <v>45517</v>
      </c>
      <c r="M1468" s="226" t="n">
        <v>45008</v>
      </c>
      <c r="N1468" s="227" t="n">
        <v>0</v>
      </c>
      <c r="O1468" s="227" t="s">
        <v>135</v>
      </c>
      <c r="P1468" s="228" t="n">
        <f aca="false">VLOOKUP(B1468,'NIVEL ENERO'!A:D,3,0)</f>
        <v>0.455848761008698</v>
      </c>
      <c r="Q1468" s="229" t="n">
        <f aca="false">VLOOKUP(B1468,'NIVEL ENERO'!A:D,4,0)</f>
        <v>-156036</v>
      </c>
      <c r="R1468" s="186" t="str">
        <f aca="false">+PROPER(C1468&amp;" "&amp;D1468)</f>
        <v>Correa Lopez Jharlen Vannesa</v>
      </c>
      <c r="S1468" s="230" t="n">
        <f aca="false">+YEARFRAC(L1468,$S$1)</f>
        <v>1.74722222222222</v>
      </c>
      <c r="T1468" s="230" t="n">
        <f aca="false">+YEARFRAC(M1468,$S$1)</f>
        <v>3.13611111111111</v>
      </c>
      <c r="U1468" s="231" t="n">
        <f aca="false">+$I1468</f>
        <v>2291950</v>
      </c>
      <c r="V1468" s="232" t="str">
        <f aca="false">+PROPER(F1468)</f>
        <v>Union Libre</v>
      </c>
    </row>
    <row r="1469" customFormat="false" ht="14.25" hidden="false" customHeight="false" outlineLevel="0" collapsed="false">
      <c r="B1469" s="197" t="n">
        <v>1144024737</v>
      </c>
      <c r="C1469" s="197" t="s">
        <v>3478</v>
      </c>
      <c r="D1469" s="197" t="s">
        <v>1328</v>
      </c>
      <c r="E1469" s="198" t="s">
        <v>944</v>
      </c>
      <c r="F1469" s="198" t="s">
        <v>953</v>
      </c>
      <c r="G1469" s="225" t="n">
        <v>2600900</v>
      </c>
      <c r="H1469" s="225" t="n">
        <v>2699776</v>
      </c>
      <c r="I1469" s="225" t="n">
        <v>0</v>
      </c>
      <c r="J1469" s="198" t="n">
        <v>35</v>
      </c>
      <c r="K1469" s="198" t="n">
        <v>1</v>
      </c>
      <c r="L1469" s="226" t="n">
        <v>44399</v>
      </c>
      <c r="M1469" s="226" t="n">
        <v>44228</v>
      </c>
      <c r="N1469" s="227" t="n">
        <v>2</v>
      </c>
      <c r="O1469" s="227" t="s">
        <v>135</v>
      </c>
      <c r="P1469" s="228" t="n">
        <f aca="false">VLOOKUP(B1469,'NIVEL ENERO'!A:D,3,0)</f>
        <v>0.210974278134492</v>
      </c>
      <c r="Q1469" s="229" t="n">
        <f aca="false">VLOOKUP(B1469,'NIVEL ENERO'!A:D,4,0)</f>
        <v>543655</v>
      </c>
      <c r="R1469" s="186" t="str">
        <f aca="false">+PROPER(C1469&amp;" "&amp;D1469)</f>
        <v>Timote Hurtado Lina Marcela</v>
      </c>
      <c r="S1469" s="230" t="n">
        <f aca="false">+YEARFRAC(L1469,$S$1)</f>
        <v>4.80555555555556</v>
      </c>
      <c r="T1469" s="230" t="n">
        <f aca="false">+YEARFRAC(M1469,$S$1)</f>
        <v>5.28055555555556</v>
      </c>
      <c r="U1469" s="231" t="n">
        <f aca="false">+$I1469</f>
        <v>0</v>
      </c>
      <c r="V1469" s="232" t="str">
        <f aca="false">+PROPER(F1469)</f>
        <v>Soltero(A)</v>
      </c>
    </row>
    <row r="1470" customFormat="false" ht="14.25" hidden="false" customHeight="false" outlineLevel="0" collapsed="false">
      <c r="B1470" s="197" t="n">
        <v>1144025831</v>
      </c>
      <c r="C1470" s="197" t="s">
        <v>3479</v>
      </c>
      <c r="D1470" s="197" t="s">
        <v>1239</v>
      </c>
      <c r="E1470" s="198" t="s">
        <v>944</v>
      </c>
      <c r="F1470" s="198" t="s">
        <v>945</v>
      </c>
      <c r="G1470" s="225" t="n">
        <v>5418800</v>
      </c>
      <c r="H1470" s="225" t="n">
        <v>1600000</v>
      </c>
      <c r="I1470" s="225" t="n">
        <v>1932869</v>
      </c>
      <c r="J1470" s="198" t="n">
        <v>35</v>
      </c>
      <c r="K1470" s="198" t="n">
        <v>4</v>
      </c>
      <c r="L1470" s="226" t="n">
        <v>45414</v>
      </c>
      <c r="M1470" s="226" t="n">
        <v>43438</v>
      </c>
      <c r="N1470" s="227" t="n">
        <v>1</v>
      </c>
      <c r="O1470" s="227" t="s">
        <v>135</v>
      </c>
      <c r="P1470" s="228" t="n">
        <f aca="false">VLOOKUP(B1470,'NIVEL ENERO'!A:D,3,0)</f>
        <v>0.482750481062281</v>
      </c>
      <c r="Q1470" s="229" t="n">
        <f aca="false">VLOOKUP(B1470,'NIVEL ENERO'!A:D,4,0)</f>
        <v>-399020.52</v>
      </c>
      <c r="R1470" s="186" t="str">
        <f aca="false">+PROPER(C1470&amp;" "&amp;D1470)</f>
        <v>Becerra Nieto Katherine</v>
      </c>
      <c r="S1470" s="230" t="n">
        <f aca="false">+YEARFRAC(L1470,$S$1)</f>
        <v>2.02777777777778</v>
      </c>
      <c r="T1470" s="230" t="n">
        <f aca="false">+YEARFRAC(M1470,$S$1)</f>
        <v>7.43888888888889</v>
      </c>
      <c r="U1470" s="231" t="n">
        <f aca="false">+$I1470</f>
        <v>1932869</v>
      </c>
      <c r="V1470" s="232" t="str">
        <f aca="false">+PROPER(F1470)</f>
        <v>Union Libre</v>
      </c>
    </row>
    <row r="1471" customFormat="false" ht="14.25" hidden="false" customHeight="false" outlineLevel="0" collapsed="false">
      <c r="B1471" s="197" t="n">
        <v>1144026363</v>
      </c>
      <c r="C1471" s="197" t="s">
        <v>3480</v>
      </c>
      <c r="D1471" s="197" t="s">
        <v>3481</v>
      </c>
      <c r="E1471" s="198" t="s">
        <v>944</v>
      </c>
      <c r="F1471" s="198" t="s">
        <v>945</v>
      </c>
      <c r="G1471" s="225" t="n">
        <v>4705400</v>
      </c>
      <c r="H1471" s="225" t="n">
        <v>400000</v>
      </c>
      <c r="I1471" s="225"/>
      <c r="J1471" s="198" t="n">
        <v>35</v>
      </c>
      <c r="K1471" s="198" t="n">
        <v>3</v>
      </c>
      <c r="L1471" s="226" t="n">
        <v>45555</v>
      </c>
      <c r="M1471" s="226" t="n">
        <v>41793</v>
      </c>
      <c r="N1471" s="227" t="n">
        <v>0</v>
      </c>
      <c r="O1471" s="227" t="s">
        <v>135</v>
      </c>
      <c r="P1471" s="228" t="n">
        <f aca="false">VLOOKUP(B1471,'NIVEL ENERO'!A:D,3,0)</f>
        <v>0.194451892206254</v>
      </c>
      <c r="Q1471" s="229" t="n">
        <f aca="false">VLOOKUP(B1471,'NIVEL ENERO'!A:D,4,0)</f>
        <v>1343432.42</v>
      </c>
      <c r="R1471" s="186" t="str">
        <f aca="false">+PROPER(C1471&amp;" "&amp;D1471)</f>
        <v>Escobar Foronda Luz Mayury</v>
      </c>
      <c r="S1471" s="230" t="n">
        <f aca="false">+YEARFRAC(L1471,$S$1)</f>
        <v>1.64444444444444</v>
      </c>
      <c r="T1471" s="230" t="n">
        <f aca="false">+YEARFRAC(M1471,$S$1)</f>
        <v>11.9416666666667</v>
      </c>
      <c r="U1471" s="231" t="n">
        <f aca="false">+$I1471</f>
        <v>0</v>
      </c>
      <c r="V1471" s="232" t="str">
        <f aca="false">+PROPER(F1471)</f>
        <v>Union Libre</v>
      </c>
    </row>
    <row r="1472" customFormat="false" ht="14.25" hidden="false" customHeight="false" outlineLevel="0" collapsed="false">
      <c r="B1472" s="197" t="n">
        <v>1144026406</v>
      </c>
      <c r="C1472" s="197" t="s">
        <v>3482</v>
      </c>
      <c r="D1472" s="197" t="s">
        <v>3483</v>
      </c>
      <c r="E1472" s="198" t="s">
        <v>944</v>
      </c>
      <c r="F1472" s="198" t="s">
        <v>953</v>
      </c>
      <c r="G1472" s="225" t="n">
        <v>1918500</v>
      </c>
      <c r="H1472" s="225" t="n">
        <v>1325856</v>
      </c>
      <c r="I1472" s="225" t="n">
        <v>14167</v>
      </c>
      <c r="J1472" s="198" t="n">
        <v>35</v>
      </c>
      <c r="K1472" s="198" t="n">
        <v>1</v>
      </c>
      <c r="L1472" s="226" t="n">
        <v>45219</v>
      </c>
      <c r="M1472" s="226" t="n">
        <v>41075</v>
      </c>
      <c r="N1472" s="227" t="n">
        <v>2</v>
      </c>
      <c r="O1472" s="227" t="s">
        <v>135</v>
      </c>
      <c r="P1472" s="228" t="str">
        <f aca="false">VLOOKUP(B1472,'NIVEL ENERO'!A:D,3,0)</f>
        <v>0</v>
      </c>
      <c r="Q1472" s="229" t="n">
        <f aca="false">VLOOKUP(B1472,'NIVEL ENERO'!A:D,4,0)</f>
        <v>0</v>
      </c>
      <c r="R1472" s="186" t="str">
        <f aca="false">+PROPER(C1472&amp;" "&amp;D1472)</f>
        <v>Benavides Zapata Kelly Carolina</v>
      </c>
      <c r="S1472" s="230" t="n">
        <f aca="false">+YEARFRAC(L1472,$S$1)</f>
        <v>2.56111111111111</v>
      </c>
      <c r="T1472" s="230" t="n">
        <f aca="false">+YEARFRAC(M1472,$S$1)</f>
        <v>13.9083333333333</v>
      </c>
      <c r="U1472" s="231" t="n">
        <f aca="false">+$I1472</f>
        <v>14167</v>
      </c>
      <c r="V1472" s="232" t="str">
        <f aca="false">+PROPER(F1472)</f>
        <v>Soltero(A)</v>
      </c>
    </row>
    <row r="1473" customFormat="false" ht="14.25" hidden="false" customHeight="false" outlineLevel="0" collapsed="false">
      <c r="B1473" s="197" t="n">
        <v>1144028170</v>
      </c>
      <c r="C1473" s="197" t="s">
        <v>3484</v>
      </c>
      <c r="D1473" s="197" t="s">
        <v>1398</v>
      </c>
      <c r="E1473" s="198" t="s">
        <v>944</v>
      </c>
      <c r="F1473" s="198" t="s">
        <v>948</v>
      </c>
      <c r="G1473" s="225" t="n">
        <v>2600900</v>
      </c>
      <c r="H1473" s="225" t="n">
        <v>1441050</v>
      </c>
      <c r="I1473" s="225" t="n">
        <v>3034530</v>
      </c>
      <c r="J1473" s="198" t="n">
        <v>35</v>
      </c>
      <c r="K1473" s="198" t="n">
        <v>1</v>
      </c>
      <c r="L1473" s="226" t="n">
        <v>45118</v>
      </c>
      <c r="M1473" s="226" t="n">
        <v>44951</v>
      </c>
      <c r="N1473" s="227" t="n">
        <v>0</v>
      </c>
      <c r="O1473" s="227" t="s">
        <v>135</v>
      </c>
      <c r="P1473" s="228" t="n">
        <f aca="false">VLOOKUP(B1473,'NIVEL ENERO'!A:D,3,0)</f>
        <v>0.222553346918374</v>
      </c>
      <c r="Q1473" s="229" t="n">
        <f aca="false">VLOOKUP(B1473,'NIVEL ENERO'!A:D,4,0)</f>
        <v>513539</v>
      </c>
      <c r="R1473" s="186" t="str">
        <f aca="false">+PROPER(C1473&amp;" "&amp;D1473)</f>
        <v>Beltran Ospina Luz Angela</v>
      </c>
      <c r="S1473" s="230" t="n">
        <f aca="false">+YEARFRAC(L1473,$S$1)</f>
        <v>2.83611111111111</v>
      </c>
      <c r="T1473" s="230" t="n">
        <f aca="false">+YEARFRAC(M1473,$S$1)</f>
        <v>3.29722222222222</v>
      </c>
      <c r="U1473" s="231" t="n">
        <f aca="false">+$I1473</f>
        <v>3034530</v>
      </c>
      <c r="V1473" s="232" t="str">
        <f aca="false">+PROPER(F1473)</f>
        <v>Casado(A)</v>
      </c>
    </row>
    <row r="1474" customFormat="false" ht="14.25" hidden="false" customHeight="false" outlineLevel="0" collapsed="false">
      <c r="B1474" s="197" t="n">
        <v>1144029540</v>
      </c>
      <c r="C1474" s="197" t="s">
        <v>3485</v>
      </c>
      <c r="D1474" s="197" t="s">
        <v>3486</v>
      </c>
      <c r="E1474" s="198" t="s">
        <v>944</v>
      </c>
      <c r="F1474" s="198" t="s">
        <v>953</v>
      </c>
      <c r="G1474" s="225" t="n">
        <v>2600900</v>
      </c>
      <c r="H1474" s="225" t="n">
        <v>1400100</v>
      </c>
      <c r="I1474" s="225"/>
      <c r="J1474" s="198" t="n">
        <v>35</v>
      </c>
      <c r="K1474" s="198" t="n">
        <v>2</v>
      </c>
      <c r="L1474" s="226" t="n">
        <v>45249</v>
      </c>
      <c r="M1474" s="226" t="n">
        <v>44866</v>
      </c>
      <c r="N1474" s="227" t="n">
        <v>0</v>
      </c>
      <c r="O1474" s="227" t="s">
        <v>135</v>
      </c>
      <c r="P1474" s="228" t="n">
        <f aca="false">VLOOKUP(B1474,'NIVEL ENERO'!A:D,3,0)</f>
        <v>0.132410126950228</v>
      </c>
      <c r="Q1474" s="229" t="n">
        <f aca="false">VLOOKUP(B1474,'NIVEL ENERO'!A:D,4,0)</f>
        <v>914176.98</v>
      </c>
      <c r="R1474" s="186" t="str">
        <f aca="false">+PROPER(C1474&amp;" "&amp;D1474)</f>
        <v>Sinesterra Penagos Yenny Vanessa</v>
      </c>
      <c r="S1474" s="230" t="n">
        <f aca="false">+YEARFRAC(L1474,$S$1)</f>
        <v>2.48055555555556</v>
      </c>
      <c r="T1474" s="230" t="n">
        <f aca="false">+YEARFRAC(M1474,$S$1)</f>
        <v>3.53055555555556</v>
      </c>
      <c r="U1474" s="231" t="n">
        <f aca="false">+$I1474</f>
        <v>0</v>
      </c>
      <c r="V1474" s="232" t="str">
        <f aca="false">+PROPER(F1474)</f>
        <v>Soltero(A)</v>
      </c>
    </row>
    <row r="1475" customFormat="false" ht="14.25" hidden="false" customHeight="false" outlineLevel="0" collapsed="false">
      <c r="B1475" s="197" t="n">
        <v>1144031120</v>
      </c>
      <c r="C1475" s="197" t="s">
        <v>3487</v>
      </c>
      <c r="D1475" s="197" t="s">
        <v>1239</v>
      </c>
      <c r="E1475" s="198" t="s">
        <v>944</v>
      </c>
      <c r="F1475" s="198" t="s">
        <v>948</v>
      </c>
      <c r="G1475" s="225" t="n">
        <v>4469100</v>
      </c>
      <c r="H1475" s="225" t="n">
        <v>3911558</v>
      </c>
      <c r="I1475" s="225" t="n">
        <v>2042477</v>
      </c>
      <c r="J1475" s="198" t="n">
        <v>35</v>
      </c>
      <c r="K1475" s="198" t="n">
        <v>1</v>
      </c>
      <c r="L1475" s="226" t="n">
        <v>44866</v>
      </c>
      <c r="M1475" s="226" t="n">
        <v>42835</v>
      </c>
      <c r="N1475" s="227" t="n">
        <v>3</v>
      </c>
      <c r="O1475" s="227" t="s">
        <v>135</v>
      </c>
      <c r="P1475" s="228" t="n">
        <f aca="false">VLOOKUP(B1475,'NIVEL ENERO'!A:D,3,0)</f>
        <v>0.323956886363765</v>
      </c>
      <c r="Q1475" s="229" t="n">
        <f aca="false">VLOOKUP(B1475,'NIVEL ENERO'!A:D,4,0)</f>
        <v>412057.26</v>
      </c>
      <c r="R1475" s="186" t="str">
        <f aca="false">+PROPER(C1475&amp;" "&amp;D1475)</f>
        <v>Gomez Morales Katherine</v>
      </c>
      <c r="S1475" s="230" t="n">
        <f aca="false">+YEARFRAC(L1475,$S$1)</f>
        <v>3.53055555555556</v>
      </c>
      <c r="T1475" s="230" t="n">
        <f aca="false">+YEARFRAC(M1475,$S$1)</f>
        <v>9.08888888888889</v>
      </c>
      <c r="U1475" s="231" t="n">
        <f aca="false">+$I1475</f>
        <v>2042477</v>
      </c>
      <c r="V1475" s="232" t="str">
        <f aca="false">+PROPER(F1475)</f>
        <v>Casado(A)</v>
      </c>
    </row>
    <row r="1476" customFormat="false" ht="14.25" hidden="false" customHeight="false" outlineLevel="0" collapsed="false">
      <c r="B1476" s="197" t="n">
        <v>1144032064</v>
      </c>
      <c r="C1476" s="197" t="s">
        <v>3488</v>
      </c>
      <c r="D1476" s="197" t="s">
        <v>3489</v>
      </c>
      <c r="E1476" s="198" t="s">
        <v>944</v>
      </c>
      <c r="F1476" s="198" t="s">
        <v>948</v>
      </c>
      <c r="G1476" s="225" t="n">
        <v>5418800</v>
      </c>
      <c r="H1476" s="225" t="n">
        <v>2708720</v>
      </c>
      <c r="I1476" s="225" t="n">
        <v>8725408</v>
      </c>
      <c r="J1476" s="198" t="n">
        <v>34</v>
      </c>
      <c r="K1476" s="198" t="n">
        <v>1</v>
      </c>
      <c r="L1476" s="226" t="n">
        <v>44818</v>
      </c>
      <c r="M1476" s="226" t="n">
        <v>41954</v>
      </c>
      <c r="N1476" s="227" t="n">
        <v>2</v>
      </c>
      <c r="O1476" s="227" t="s">
        <v>135</v>
      </c>
      <c r="P1476" s="228" t="n">
        <f aca="false">VLOOKUP(B1476,'NIVEL ENERO'!A:D,3,0)</f>
        <v>0.446850225142098</v>
      </c>
      <c r="Q1476" s="229" t="n">
        <f aca="false">VLOOKUP(B1476,'NIVEL ENERO'!A:D,4,0)</f>
        <v>-145496</v>
      </c>
      <c r="R1476" s="186" t="str">
        <f aca="false">+PROPER(C1476&amp;" "&amp;D1476)</f>
        <v>Sierra Casas Yiscella</v>
      </c>
      <c r="S1476" s="230" t="n">
        <f aca="false">+YEARFRAC(L1476,$S$1)</f>
        <v>3.66111111111111</v>
      </c>
      <c r="T1476" s="230" t="n">
        <f aca="false">+YEARFRAC(M1476,$S$1)</f>
        <v>11.5027777777778</v>
      </c>
      <c r="U1476" s="231" t="n">
        <f aca="false">+$I1476</f>
        <v>8725408</v>
      </c>
      <c r="V1476" s="232" t="str">
        <f aca="false">+PROPER(F1476)</f>
        <v>Casado(A)</v>
      </c>
    </row>
    <row r="1477" customFormat="false" ht="14.25" hidden="false" customHeight="false" outlineLevel="0" collapsed="false">
      <c r="B1477" s="197" t="n">
        <v>1144032127</v>
      </c>
      <c r="C1477" s="197" t="s">
        <v>3490</v>
      </c>
      <c r="D1477" s="197" t="s">
        <v>3491</v>
      </c>
      <c r="E1477" s="198" t="s">
        <v>944</v>
      </c>
      <c r="F1477" s="198" t="s">
        <v>945</v>
      </c>
      <c r="G1477" s="225" t="n">
        <v>5418800</v>
      </c>
      <c r="H1477" s="225" t="n">
        <v>2865914</v>
      </c>
      <c r="I1477" s="225" t="n">
        <v>13330831</v>
      </c>
      <c r="J1477" s="198" t="n">
        <v>35</v>
      </c>
      <c r="K1477" s="198" t="n">
        <v>4</v>
      </c>
      <c r="L1477" s="226" t="n">
        <v>43971</v>
      </c>
      <c r="M1477" s="226" t="n">
        <v>41368</v>
      </c>
      <c r="N1477" s="227" t="n">
        <v>5</v>
      </c>
      <c r="O1477" s="227" t="s">
        <v>135</v>
      </c>
      <c r="P1477" s="228" t="n">
        <f aca="false">VLOOKUP(B1477,'NIVEL ENERO'!A:D,3,0)</f>
        <v>0.408230973647302</v>
      </c>
      <c r="Q1477" s="229" t="n">
        <f aca="false">VLOOKUP(B1477,'NIVEL ENERO'!A:D,4,0)</f>
        <v>63774</v>
      </c>
      <c r="R1477" s="186" t="str">
        <f aca="false">+PROPER(C1477&amp;" "&amp;D1477)</f>
        <v>Luna Martinez Dario Gerardo</v>
      </c>
      <c r="S1477" s="230" t="n">
        <f aca="false">+YEARFRAC(L1477,$S$1)</f>
        <v>5.97777777777778</v>
      </c>
      <c r="T1477" s="230" t="n">
        <f aca="false">+YEARFRAC(M1477,$S$1)</f>
        <v>13.1055555555556</v>
      </c>
      <c r="U1477" s="231" t="n">
        <f aca="false">+$I1477</f>
        <v>13330831</v>
      </c>
      <c r="V1477" s="232" t="str">
        <f aca="false">+PROPER(F1477)</f>
        <v>Union Libre</v>
      </c>
    </row>
    <row r="1478" customFormat="false" ht="14.25" hidden="false" customHeight="false" outlineLevel="0" collapsed="false">
      <c r="B1478" s="197" t="n">
        <v>1144032392</v>
      </c>
      <c r="C1478" s="197" t="s">
        <v>3492</v>
      </c>
      <c r="D1478" s="197" t="s">
        <v>3493</v>
      </c>
      <c r="E1478" s="198" t="s">
        <v>944</v>
      </c>
      <c r="F1478" s="198" t="s">
        <v>948</v>
      </c>
      <c r="G1478" s="225" t="n">
        <v>2893800</v>
      </c>
      <c r="H1478" s="225" t="n">
        <v>3577188</v>
      </c>
      <c r="I1478" s="225" t="n">
        <v>7792647</v>
      </c>
      <c r="J1478" s="198" t="n">
        <v>34</v>
      </c>
      <c r="K1478" s="198" t="n">
        <v>4</v>
      </c>
      <c r="L1478" s="226" t="n">
        <v>43628</v>
      </c>
      <c r="M1478" s="226" t="n">
        <v>41560</v>
      </c>
      <c r="N1478" s="227" t="n">
        <v>4</v>
      </c>
      <c r="O1478" s="227" t="s">
        <v>135</v>
      </c>
      <c r="P1478" s="228" t="n">
        <f aca="false">VLOOKUP(B1478,'NIVEL ENERO'!A:D,3,0)</f>
        <v>0.431452617405374</v>
      </c>
      <c r="Q1478" s="229" t="n">
        <f aca="false">VLOOKUP(B1478,'NIVEL ENERO'!A:D,4,0)</f>
        <v>-43015.3400000001</v>
      </c>
      <c r="R1478" s="186" t="str">
        <f aca="false">+PROPER(C1478&amp;" "&amp;D1478)</f>
        <v>Perez Naranjo Paula Alejandra</v>
      </c>
      <c r="S1478" s="230" t="n">
        <f aca="false">+YEARFRAC(L1478,$S$1)</f>
        <v>6.91666666666667</v>
      </c>
      <c r="T1478" s="230" t="n">
        <f aca="false">+YEARFRAC(M1478,$S$1)</f>
        <v>12.5805555555556</v>
      </c>
      <c r="U1478" s="231" t="n">
        <f aca="false">+$I1478</f>
        <v>7792647</v>
      </c>
      <c r="V1478" s="232" t="str">
        <f aca="false">+PROPER(F1478)</f>
        <v>Casado(A)</v>
      </c>
    </row>
    <row r="1479" customFormat="false" ht="14.25" hidden="false" customHeight="false" outlineLevel="0" collapsed="false">
      <c r="B1479" s="197" t="n">
        <v>1144033001</v>
      </c>
      <c r="C1479" s="197" t="s">
        <v>3494</v>
      </c>
      <c r="D1479" s="197" t="s">
        <v>3495</v>
      </c>
      <c r="E1479" s="198" t="s">
        <v>944</v>
      </c>
      <c r="F1479" s="198" t="s">
        <v>945</v>
      </c>
      <c r="G1479" s="225" t="n">
        <v>1625000</v>
      </c>
      <c r="H1479" s="225" t="n">
        <v>1180060</v>
      </c>
      <c r="I1479" s="225" t="n">
        <v>1263038</v>
      </c>
      <c r="J1479" s="198" t="n">
        <v>34</v>
      </c>
      <c r="K1479" s="198" t="n">
        <v>2</v>
      </c>
      <c r="L1479" s="226" t="n">
        <v>45096</v>
      </c>
      <c r="M1479" s="226" t="n">
        <v>44949</v>
      </c>
      <c r="N1479" s="227" t="n">
        <v>0</v>
      </c>
      <c r="O1479" s="227" t="s">
        <v>135</v>
      </c>
      <c r="P1479" s="228" t="n">
        <f aca="false">VLOOKUP(B1479,'NIVEL ENERO'!A:D,3,0)</f>
        <v>0.240530705220196</v>
      </c>
      <c r="Q1479" s="229" t="n">
        <f aca="false">VLOOKUP(B1479,'NIVEL ENERO'!A:D,4,0)</f>
        <v>400029.64</v>
      </c>
      <c r="R1479" s="186" t="str">
        <f aca="false">+PROPER(C1479&amp;" "&amp;D1479)</f>
        <v>Monedero Gaviria Miyerlady</v>
      </c>
      <c r="S1479" s="230" t="n">
        <f aca="false">+YEARFRAC(L1479,$S$1)</f>
        <v>2.89722222222222</v>
      </c>
      <c r="T1479" s="230" t="n">
        <f aca="false">+YEARFRAC(M1479,$S$1)</f>
        <v>3.30277777777778</v>
      </c>
      <c r="U1479" s="231" t="n">
        <f aca="false">+$I1479</f>
        <v>1263038</v>
      </c>
      <c r="V1479" s="232" t="str">
        <f aca="false">+PROPER(F1479)</f>
        <v>Union Libre</v>
      </c>
    </row>
    <row r="1480" customFormat="false" ht="14.25" hidden="false" customHeight="false" outlineLevel="0" collapsed="false">
      <c r="B1480" s="197" t="n">
        <v>1144035049</v>
      </c>
      <c r="C1480" s="197" t="s">
        <v>3496</v>
      </c>
      <c r="D1480" s="197" t="s">
        <v>1591</v>
      </c>
      <c r="E1480" s="198" t="s">
        <v>944</v>
      </c>
      <c r="F1480" s="198" t="s">
        <v>953</v>
      </c>
      <c r="G1480" s="225" t="n">
        <v>2600900</v>
      </c>
      <c r="H1480" s="225" t="n">
        <v>5189681</v>
      </c>
      <c r="I1480" s="225" t="n">
        <v>1478482</v>
      </c>
      <c r="J1480" s="198" t="n">
        <v>34</v>
      </c>
      <c r="K1480" s="198" t="n">
        <v>2</v>
      </c>
      <c r="L1480" s="226" t="n">
        <v>43628</v>
      </c>
      <c r="M1480" s="226" t="n">
        <v>39947</v>
      </c>
      <c r="N1480" s="227" t="n">
        <v>3</v>
      </c>
      <c r="O1480" s="227" t="s">
        <v>135</v>
      </c>
      <c r="P1480" s="228" t="n">
        <f aca="false">VLOOKUP(B1480,'NIVEL ENERO'!A:D,3,0)</f>
        <v>0.445347764235457</v>
      </c>
      <c r="Q1480" s="229" t="n">
        <f aca="false">VLOOKUP(B1480,'NIVEL ENERO'!A:D,4,0)</f>
        <v>-65927</v>
      </c>
      <c r="R1480" s="186" t="str">
        <f aca="false">+PROPER(C1480&amp;" "&amp;D1480)</f>
        <v>Guerrero Salazar Paula Andrea</v>
      </c>
      <c r="S1480" s="230" t="n">
        <f aca="false">+YEARFRAC(L1480,$S$1)</f>
        <v>6.91666666666667</v>
      </c>
      <c r="T1480" s="230" t="n">
        <f aca="false">+YEARFRAC(M1480,$S$1)</f>
        <v>16.9944444444444</v>
      </c>
      <c r="U1480" s="231" t="n">
        <f aca="false">+$I1480</f>
        <v>1478482</v>
      </c>
      <c r="V1480" s="232" t="str">
        <f aca="false">+PROPER(F1480)</f>
        <v>Soltero(A)</v>
      </c>
    </row>
    <row r="1481" customFormat="false" ht="14.25" hidden="false" customHeight="false" outlineLevel="0" collapsed="false">
      <c r="B1481" s="197" t="n">
        <v>1144036466</v>
      </c>
      <c r="C1481" s="197" t="s">
        <v>3497</v>
      </c>
      <c r="D1481" s="197" t="s">
        <v>2622</v>
      </c>
      <c r="E1481" s="198" t="s">
        <v>944</v>
      </c>
      <c r="F1481" s="198" t="s">
        <v>953</v>
      </c>
      <c r="G1481" s="225" t="n">
        <v>3394800</v>
      </c>
      <c r="H1481" s="225" t="n">
        <v>390000</v>
      </c>
      <c r="I1481" s="225"/>
      <c r="J1481" s="198" t="n">
        <v>34</v>
      </c>
      <c r="K1481" s="198" t="n">
        <v>2</v>
      </c>
      <c r="L1481" s="226" t="n">
        <v>45497</v>
      </c>
      <c r="M1481" s="226" t="n">
        <v>43143</v>
      </c>
      <c r="N1481" s="227" t="n">
        <v>0</v>
      </c>
      <c r="O1481" s="227" t="s">
        <v>135</v>
      </c>
      <c r="P1481" s="228" t="n">
        <f aca="false">VLOOKUP(B1481,'NIVEL ENERO'!A:D,3,0)</f>
        <v>0.138663456054331</v>
      </c>
      <c r="Q1481" s="229" t="n">
        <f aca="false">VLOOKUP(B1481,'NIVEL ENERO'!A:D,4,0)</f>
        <v>1022549.46</v>
      </c>
      <c r="R1481" s="186" t="str">
        <f aca="false">+PROPER(C1481&amp;" "&amp;D1481)</f>
        <v>Castillo Osorio Sebastian</v>
      </c>
      <c r="S1481" s="230" t="n">
        <f aca="false">+YEARFRAC(L1481,$S$1)</f>
        <v>1.8</v>
      </c>
      <c r="T1481" s="230" t="n">
        <f aca="false">+YEARFRAC(M1481,$S$1)</f>
        <v>8.25</v>
      </c>
      <c r="U1481" s="231" t="n">
        <f aca="false">+$I1481</f>
        <v>0</v>
      </c>
      <c r="V1481" s="232" t="str">
        <f aca="false">+PROPER(F1481)</f>
        <v>Soltero(A)</v>
      </c>
    </row>
    <row r="1482" customFormat="false" ht="14.25" hidden="false" customHeight="false" outlineLevel="0" collapsed="false">
      <c r="B1482" s="197" t="n">
        <v>1144038379</v>
      </c>
      <c r="C1482" s="197" t="s">
        <v>3498</v>
      </c>
      <c r="D1482" s="197" t="s">
        <v>3499</v>
      </c>
      <c r="E1482" s="198" t="s">
        <v>944</v>
      </c>
      <c r="F1482" s="198" t="s">
        <v>945</v>
      </c>
      <c r="G1482" s="225" t="n">
        <v>5418800</v>
      </c>
      <c r="H1482" s="225" t="n">
        <v>2400000</v>
      </c>
      <c r="I1482" s="225" t="n">
        <v>449161</v>
      </c>
      <c r="J1482" s="198" t="n">
        <v>34</v>
      </c>
      <c r="K1482" s="198" t="n">
        <v>4</v>
      </c>
      <c r="L1482" s="226" t="n">
        <v>45414</v>
      </c>
      <c r="M1482" s="226" t="n">
        <v>43847</v>
      </c>
      <c r="N1482" s="227" t="n">
        <v>3</v>
      </c>
      <c r="O1482" s="227" t="s">
        <v>135</v>
      </c>
      <c r="P1482" s="228" t="n">
        <f aca="false">VLOOKUP(B1482,'NIVEL ENERO'!A:D,3,0)</f>
        <v>0.151814997669207</v>
      </c>
      <c r="Q1482" s="229" t="n">
        <f aca="false">VLOOKUP(B1482,'NIVEL ENERO'!A:D,4,0)</f>
        <v>1935337.76</v>
      </c>
      <c r="R1482" s="186" t="str">
        <f aca="false">+PROPER(C1482&amp;" "&amp;D1482)</f>
        <v>Bermudez Arroyo Estefhany</v>
      </c>
      <c r="S1482" s="230" t="n">
        <f aca="false">+YEARFRAC(L1482,$S$1)</f>
        <v>2.02777777777778</v>
      </c>
      <c r="T1482" s="230" t="n">
        <f aca="false">+YEARFRAC(M1482,$S$1)</f>
        <v>6.31944444444445</v>
      </c>
      <c r="U1482" s="231" t="n">
        <f aca="false">+$I1482</f>
        <v>449161</v>
      </c>
      <c r="V1482" s="232" t="str">
        <f aca="false">+PROPER(F1482)</f>
        <v>Union Libre</v>
      </c>
    </row>
    <row r="1483" customFormat="false" ht="14.25" hidden="false" customHeight="false" outlineLevel="0" collapsed="false">
      <c r="B1483" s="197" t="n">
        <v>1144039965</v>
      </c>
      <c r="C1483" s="197" t="s">
        <v>3500</v>
      </c>
      <c r="D1483" s="197" t="s">
        <v>3501</v>
      </c>
      <c r="E1483" s="198" t="s">
        <v>944</v>
      </c>
      <c r="F1483" s="198" t="s">
        <v>948</v>
      </c>
      <c r="G1483" s="225" t="n">
        <v>7000000</v>
      </c>
      <c r="H1483" s="225" t="n">
        <v>650000</v>
      </c>
      <c r="I1483" s="225" t="n">
        <v>3100000</v>
      </c>
      <c r="J1483" s="198" t="n">
        <v>34</v>
      </c>
      <c r="K1483" s="198" t="n">
        <v>4</v>
      </c>
      <c r="L1483" s="226" t="n">
        <v>45352</v>
      </c>
      <c r="M1483" s="226" t="n">
        <v>44193</v>
      </c>
      <c r="N1483" s="227" t="n">
        <v>0</v>
      </c>
      <c r="O1483" s="227" t="s">
        <v>158</v>
      </c>
      <c r="P1483" s="228" t="e">
        <f aca="false">VLOOKUP(B1483,'NIVEL ENERO'!A:D,3,0)</f>
        <v>#N/A</v>
      </c>
      <c r="Q1483" s="229" t="e">
        <f aca="false">VLOOKUP(B1483,'NIVEL ENERO'!A:D,4,0)</f>
        <v>#N/A</v>
      </c>
      <c r="R1483" s="186" t="str">
        <f aca="false">+PROPER(C1483&amp;" "&amp;D1483)</f>
        <v>Orozco Peralta Faisyury</v>
      </c>
      <c r="S1483" s="230" t="n">
        <f aca="false">+YEARFRAC(L1483,$S$1)</f>
        <v>2.19722222222222</v>
      </c>
      <c r="T1483" s="230" t="n">
        <f aca="false">+YEARFRAC(M1483,$S$1)</f>
        <v>5.37222222222222</v>
      </c>
      <c r="U1483" s="231" t="n">
        <f aca="false">+$I1483</f>
        <v>3100000</v>
      </c>
      <c r="V1483" s="232" t="str">
        <f aca="false">+PROPER(F1483)</f>
        <v>Casado(A)</v>
      </c>
    </row>
    <row r="1484" customFormat="false" ht="14.25" hidden="false" customHeight="false" outlineLevel="0" collapsed="false">
      <c r="B1484" s="197" t="n">
        <v>1144041392</v>
      </c>
      <c r="C1484" s="197" t="s">
        <v>3502</v>
      </c>
      <c r="D1484" s="197" t="s">
        <v>3246</v>
      </c>
      <c r="E1484" s="198" t="s">
        <v>944</v>
      </c>
      <c r="F1484" s="198" t="s">
        <v>945</v>
      </c>
      <c r="G1484" s="225" t="n">
        <v>1828100</v>
      </c>
      <c r="H1484" s="225" t="n">
        <v>1238408</v>
      </c>
      <c r="I1484" s="225" t="n">
        <v>2511726</v>
      </c>
      <c r="J1484" s="198" t="n">
        <v>34</v>
      </c>
      <c r="K1484" s="198" t="n">
        <v>2</v>
      </c>
      <c r="L1484" s="226" t="n">
        <v>45050</v>
      </c>
      <c r="M1484" s="226" t="n">
        <v>44886</v>
      </c>
      <c r="N1484" s="227" t="n">
        <v>0</v>
      </c>
      <c r="O1484" s="227" t="s">
        <v>135</v>
      </c>
      <c r="P1484" s="228" t="n">
        <f aca="false">VLOOKUP(B1484,'NIVEL ENERO'!A:D,3,0)</f>
        <v>0.258285288158466</v>
      </c>
      <c r="Q1484" s="229" t="n">
        <f aca="false">VLOOKUP(B1484,'NIVEL ENERO'!A:D,4,0)</f>
        <v>423737.34</v>
      </c>
      <c r="R1484" s="186" t="str">
        <f aca="false">+PROPER(C1484&amp;" "&amp;D1484)</f>
        <v>Banguero Hoyos Stephanie</v>
      </c>
      <c r="S1484" s="230" t="n">
        <f aca="false">+YEARFRAC(L1484,$S$1)</f>
        <v>3.02222222222222</v>
      </c>
      <c r="T1484" s="230" t="n">
        <f aca="false">+YEARFRAC(M1484,$S$1)</f>
        <v>3.475</v>
      </c>
      <c r="U1484" s="231" t="n">
        <f aca="false">+$I1484</f>
        <v>2511726</v>
      </c>
      <c r="V1484" s="232" t="str">
        <f aca="false">+PROPER(F1484)</f>
        <v>Union Libre</v>
      </c>
    </row>
    <row r="1485" customFormat="false" ht="14.25" hidden="false" customHeight="false" outlineLevel="0" collapsed="false">
      <c r="B1485" s="197" t="n">
        <v>1144041996</v>
      </c>
      <c r="C1485" s="197" t="s">
        <v>3503</v>
      </c>
      <c r="D1485" s="197" t="s">
        <v>1477</v>
      </c>
      <c r="E1485" s="198" t="s">
        <v>944</v>
      </c>
      <c r="F1485" s="198" t="s">
        <v>953</v>
      </c>
      <c r="G1485" s="225" t="n">
        <v>2893800</v>
      </c>
      <c r="H1485" s="225" t="n">
        <v>2910750</v>
      </c>
      <c r="I1485" s="225" t="n">
        <v>4188358</v>
      </c>
      <c r="J1485" s="198" t="n">
        <v>33</v>
      </c>
      <c r="K1485" s="198" t="n">
        <v>2</v>
      </c>
      <c r="L1485" s="226" t="n">
        <v>44797</v>
      </c>
      <c r="M1485" s="226" t="n">
        <v>40976</v>
      </c>
      <c r="N1485" s="227" t="n">
        <v>3</v>
      </c>
      <c r="O1485" s="227" t="s">
        <v>135</v>
      </c>
      <c r="P1485" s="228" t="n">
        <f aca="false">VLOOKUP(B1485,'NIVEL ENERO'!A:D,3,0)</f>
        <v>0.382077934699108</v>
      </c>
      <c r="Q1485" s="229" t="n">
        <f aca="false">VLOOKUP(B1485,'NIVEL ENERO'!A:D,4,0)</f>
        <v>155564.68</v>
      </c>
      <c r="R1485" s="186" t="str">
        <f aca="false">+PROPER(C1485&amp;" "&amp;D1485)</f>
        <v>Chito Mamian Clara Ines</v>
      </c>
      <c r="S1485" s="230" t="n">
        <f aca="false">+YEARFRAC(L1485,$S$1)</f>
        <v>3.71666666666667</v>
      </c>
      <c r="T1485" s="230" t="n">
        <f aca="false">+YEARFRAC(M1485,$S$1)</f>
        <v>14.1777777777778</v>
      </c>
      <c r="U1485" s="231" t="n">
        <f aca="false">+$I1485</f>
        <v>4188358</v>
      </c>
      <c r="V1485" s="232" t="str">
        <f aca="false">+PROPER(F1485)</f>
        <v>Soltero(A)</v>
      </c>
    </row>
    <row r="1486" customFormat="false" ht="14.25" hidden="false" customHeight="false" outlineLevel="0" collapsed="false">
      <c r="B1486" s="197" t="n">
        <v>1144042462</v>
      </c>
      <c r="C1486" s="197" t="s">
        <v>3504</v>
      </c>
      <c r="D1486" s="197" t="s">
        <v>3505</v>
      </c>
      <c r="E1486" s="198" t="s">
        <v>944</v>
      </c>
      <c r="F1486" s="198" t="s">
        <v>953</v>
      </c>
      <c r="G1486" s="225" t="n">
        <v>1991000</v>
      </c>
      <c r="H1486" s="225" t="n">
        <v>2247059</v>
      </c>
      <c r="I1486" s="225" t="n">
        <v>0</v>
      </c>
      <c r="J1486" s="198" t="n">
        <v>33</v>
      </c>
      <c r="K1486" s="198" t="n">
        <v>2</v>
      </c>
      <c r="L1486" s="226" t="n">
        <v>44721</v>
      </c>
      <c r="M1486" s="226" t="n">
        <v>44504</v>
      </c>
      <c r="N1486" s="227" t="n">
        <v>2</v>
      </c>
      <c r="O1486" s="227" t="s">
        <v>135</v>
      </c>
      <c r="P1486" s="228" t="n">
        <f aca="false">VLOOKUP(B1486,'NIVEL ENERO'!A:D,3,0)</f>
        <v>0.14592817679558</v>
      </c>
      <c r="Q1486" s="229" t="n">
        <f aca="false">VLOOKUP(B1486,'NIVEL ENERO'!A:D,4,0)</f>
        <v>545677</v>
      </c>
      <c r="R1486" s="186" t="str">
        <f aca="false">+PROPER(C1486&amp;" "&amp;D1486)</f>
        <v>Sanchez Idrobo Alba Nelly</v>
      </c>
      <c r="S1486" s="230" t="n">
        <f aca="false">+YEARFRAC(L1486,$S$1)</f>
        <v>3.925</v>
      </c>
      <c r="T1486" s="230" t="n">
        <f aca="false">+YEARFRAC(M1486,$S$1)</f>
        <v>4.52222222222222</v>
      </c>
      <c r="U1486" s="231" t="n">
        <f aca="false">+$I1486</f>
        <v>0</v>
      </c>
      <c r="V1486" s="232" t="str">
        <f aca="false">+PROPER(F1486)</f>
        <v>Soltero(A)</v>
      </c>
    </row>
    <row r="1487" customFormat="false" ht="14.25" hidden="false" customHeight="false" outlineLevel="0" collapsed="false">
      <c r="B1487" s="197" t="n">
        <v>1144043402</v>
      </c>
      <c r="C1487" s="197" t="s">
        <v>3506</v>
      </c>
      <c r="D1487" s="197" t="s">
        <v>3507</v>
      </c>
      <c r="E1487" s="198" t="s">
        <v>944</v>
      </c>
      <c r="F1487" s="198" t="s">
        <v>948</v>
      </c>
      <c r="G1487" s="225" t="n">
        <v>5291000</v>
      </c>
      <c r="H1487" s="225" t="n">
        <v>1801313</v>
      </c>
      <c r="I1487" s="225" t="n">
        <v>0</v>
      </c>
      <c r="J1487" s="198" t="n">
        <v>33</v>
      </c>
      <c r="K1487" s="198" t="n">
        <v>1</v>
      </c>
      <c r="L1487" s="226" t="n">
        <v>45118</v>
      </c>
      <c r="M1487" s="226" t="n">
        <v>44896</v>
      </c>
      <c r="N1487" s="227" t="n">
        <v>0</v>
      </c>
      <c r="O1487" s="227" t="s">
        <v>135</v>
      </c>
      <c r="P1487" s="228" t="n">
        <f aca="false">VLOOKUP(B1487,'NIVEL ENERO'!A:D,3,0)</f>
        <v>0.112834435834436</v>
      </c>
      <c r="Q1487" s="229" t="n">
        <f aca="false">VLOOKUP(B1487,'NIVEL ENERO'!A:D,4,0)</f>
        <v>1625213</v>
      </c>
      <c r="R1487" s="186" t="str">
        <f aca="false">+PROPER(C1487&amp;" "&amp;D1487)</f>
        <v>Galvis Mendoza Jarlys</v>
      </c>
      <c r="S1487" s="230" t="n">
        <f aca="false">+YEARFRAC(L1487,$S$1)</f>
        <v>2.83611111111111</v>
      </c>
      <c r="T1487" s="230" t="n">
        <f aca="false">+YEARFRAC(M1487,$S$1)</f>
        <v>3.44722222222222</v>
      </c>
      <c r="U1487" s="231" t="n">
        <f aca="false">+$I1487</f>
        <v>0</v>
      </c>
      <c r="V1487" s="232" t="str">
        <f aca="false">+PROPER(F1487)</f>
        <v>Casado(A)</v>
      </c>
    </row>
    <row r="1488" customFormat="false" ht="14.25" hidden="false" customHeight="false" outlineLevel="0" collapsed="false">
      <c r="B1488" s="197" t="n">
        <v>1144043829</v>
      </c>
      <c r="C1488" s="197" t="s">
        <v>3508</v>
      </c>
      <c r="D1488" s="197" t="s">
        <v>3509</v>
      </c>
      <c r="E1488" s="198" t="s">
        <v>944</v>
      </c>
      <c r="F1488" s="198" t="s">
        <v>945</v>
      </c>
      <c r="G1488" s="225" t="n">
        <v>2600900</v>
      </c>
      <c r="H1488" s="225" t="n">
        <v>3055908</v>
      </c>
      <c r="I1488" s="225" t="n">
        <v>3501398</v>
      </c>
      <c r="J1488" s="198" t="n">
        <v>33</v>
      </c>
      <c r="K1488" s="198" t="n">
        <v>1</v>
      </c>
      <c r="L1488" s="226" t="n">
        <v>44488</v>
      </c>
      <c r="M1488" s="226" t="n">
        <v>42832</v>
      </c>
      <c r="N1488" s="227" t="n">
        <v>4</v>
      </c>
      <c r="O1488" s="227" t="s">
        <v>135</v>
      </c>
      <c r="P1488" s="228" t="n">
        <f aca="false">VLOOKUP(B1488,'NIVEL ENERO'!A:D,3,0)</f>
        <v>0.316791711420802</v>
      </c>
      <c r="Q1488" s="229" t="n">
        <f aca="false">VLOOKUP(B1488,'NIVEL ENERO'!A:D,4,0)</f>
        <v>399694.98</v>
      </c>
      <c r="R1488" s="186" t="str">
        <f aca="false">+PROPER(C1488&amp;" "&amp;D1488)</f>
        <v>Munoz Rojas Lizeth Karime</v>
      </c>
      <c r="S1488" s="230" t="n">
        <f aca="false">+YEARFRAC(L1488,$S$1)</f>
        <v>4.56388888888889</v>
      </c>
      <c r="T1488" s="230" t="n">
        <f aca="false">+YEARFRAC(M1488,$S$1)</f>
        <v>9.09722222222222</v>
      </c>
      <c r="U1488" s="231" t="n">
        <f aca="false">+$I1488</f>
        <v>3501398</v>
      </c>
      <c r="V1488" s="232" t="str">
        <f aca="false">+PROPER(F1488)</f>
        <v>Union Libre</v>
      </c>
    </row>
    <row r="1489" customFormat="false" ht="14.25" hidden="false" customHeight="false" outlineLevel="0" collapsed="false">
      <c r="B1489" s="197" t="n">
        <v>1144044681</v>
      </c>
      <c r="C1489" s="197" t="s">
        <v>3510</v>
      </c>
      <c r="D1489" s="197" t="s">
        <v>3511</v>
      </c>
      <c r="E1489" s="198" t="s">
        <v>944</v>
      </c>
      <c r="F1489" s="198" t="s">
        <v>945</v>
      </c>
      <c r="G1489" s="225" t="n">
        <v>1991000</v>
      </c>
      <c r="H1489" s="225" t="n">
        <v>2601456</v>
      </c>
      <c r="I1489" s="225" t="n">
        <v>2161005</v>
      </c>
      <c r="J1489" s="198" t="n">
        <v>33</v>
      </c>
      <c r="K1489" s="198" t="n">
        <v>2</v>
      </c>
      <c r="L1489" s="226" t="n">
        <v>44183</v>
      </c>
      <c r="M1489" s="226" t="n">
        <v>44158</v>
      </c>
      <c r="N1489" s="227" t="n">
        <v>1</v>
      </c>
      <c r="O1489" s="227" t="s">
        <v>135</v>
      </c>
      <c r="P1489" s="228" t="n">
        <f aca="false">VLOOKUP(B1489,'NIVEL ENERO'!A:D,3,0)</f>
        <v>0.267788548468106</v>
      </c>
      <c r="Q1489" s="229" t="n">
        <f aca="false">VLOOKUP(B1489,'NIVEL ENERO'!A:D,4,0)</f>
        <v>303053</v>
      </c>
      <c r="R1489" s="186" t="str">
        <f aca="false">+PROPER(C1489&amp;" "&amp;D1489)</f>
        <v>Acosta Viveros Estepanie</v>
      </c>
      <c r="S1489" s="230" t="n">
        <f aca="false">+YEARFRAC(L1489,$S$1)</f>
        <v>5.4</v>
      </c>
      <c r="T1489" s="230" t="n">
        <f aca="false">+YEARFRAC(M1489,$S$1)</f>
        <v>5.46944444444444</v>
      </c>
      <c r="U1489" s="231" t="n">
        <f aca="false">+$I1489</f>
        <v>2161005</v>
      </c>
      <c r="V1489" s="232" t="str">
        <f aca="false">+PROPER(F1489)</f>
        <v>Union Libre</v>
      </c>
    </row>
    <row r="1490" customFormat="false" ht="14.25" hidden="false" customHeight="false" outlineLevel="0" collapsed="false">
      <c r="B1490" s="197" t="n">
        <v>1144044745</v>
      </c>
      <c r="C1490" s="197" t="s">
        <v>3512</v>
      </c>
      <c r="D1490" s="197" t="s">
        <v>3513</v>
      </c>
      <c r="E1490" s="198" t="s">
        <v>944</v>
      </c>
      <c r="F1490" s="198" t="s">
        <v>953</v>
      </c>
      <c r="G1490" s="225" t="n">
        <v>2600900</v>
      </c>
      <c r="H1490" s="225" t="n">
        <v>1759194</v>
      </c>
      <c r="I1490" s="225" t="n">
        <v>7413397</v>
      </c>
      <c r="J1490" s="198" t="n">
        <v>33</v>
      </c>
      <c r="K1490" s="198" t="n">
        <v>1</v>
      </c>
      <c r="L1490" s="226" t="n">
        <v>44733</v>
      </c>
      <c r="M1490" s="226" t="n">
        <v>40951</v>
      </c>
      <c r="N1490" s="227" t="n">
        <v>2</v>
      </c>
      <c r="O1490" s="227" t="s">
        <v>135</v>
      </c>
      <c r="P1490" s="228" t="n">
        <f aca="false">VLOOKUP(B1490,'NIVEL ENERO'!A:D,3,0)</f>
        <v>0.418967883110182</v>
      </c>
      <c r="Q1490" s="229" t="n">
        <f aca="false">VLOOKUP(B1490,'NIVEL ENERO'!A:D,4,0)</f>
        <v>2820.59999999986</v>
      </c>
      <c r="R1490" s="186" t="str">
        <f aca="false">+PROPER(C1490&amp;" "&amp;D1490)</f>
        <v>Ordonez Calero Della Viviana</v>
      </c>
      <c r="S1490" s="230" t="n">
        <f aca="false">+YEARFRAC(L1490,$S$1)</f>
        <v>3.89166666666667</v>
      </c>
      <c r="T1490" s="230" t="n">
        <f aca="false">+YEARFRAC(M1490,$S$1)</f>
        <v>14.25</v>
      </c>
      <c r="U1490" s="231" t="n">
        <f aca="false">+$I1490</f>
        <v>7413397</v>
      </c>
      <c r="V1490" s="232" t="str">
        <f aca="false">+PROPER(F1490)</f>
        <v>Soltero(A)</v>
      </c>
    </row>
    <row r="1491" customFormat="false" ht="14.25" hidden="false" customHeight="false" outlineLevel="0" collapsed="false">
      <c r="B1491" s="197" t="n">
        <v>1144045043</v>
      </c>
      <c r="C1491" s="197" t="s">
        <v>3514</v>
      </c>
      <c r="D1491" s="197" t="s">
        <v>3515</v>
      </c>
      <c r="E1491" s="198" t="s">
        <v>944</v>
      </c>
      <c r="F1491" s="198" t="s">
        <v>953</v>
      </c>
      <c r="G1491" s="225" t="n">
        <v>4032000</v>
      </c>
      <c r="H1491" s="225" t="n">
        <v>1005311</v>
      </c>
      <c r="I1491" s="225" t="n">
        <v>3526197</v>
      </c>
      <c r="J1491" s="198" t="n">
        <v>33</v>
      </c>
      <c r="K1491" s="198" t="n">
        <v>4</v>
      </c>
      <c r="L1491" s="226" t="n">
        <v>45191</v>
      </c>
      <c r="M1491" s="226" t="n">
        <v>45108</v>
      </c>
      <c r="N1491" s="227" t="n">
        <v>0</v>
      </c>
      <c r="O1491" s="227" t="s">
        <v>135</v>
      </c>
      <c r="P1491" s="228" t="n">
        <f aca="false">VLOOKUP(B1491,'NIVEL ENERO'!A:D,3,0)</f>
        <v>0.148854063449587</v>
      </c>
      <c r="Q1491" s="229" t="n">
        <f aca="false">VLOOKUP(B1491,'NIVEL ENERO'!A:D,4,0)</f>
        <v>1286748.62</v>
      </c>
      <c r="R1491" s="186" t="str">
        <f aca="false">+PROPER(C1491&amp;" "&amp;D1491)</f>
        <v>Gutierrez  Moreno Daniel Felipe</v>
      </c>
      <c r="S1491" s="230" t="n">
        <f aca="false">+YEARFRAC(L1491,$S$1)</f>
        <v>2.63888888888889</v>
      </c>
      <c r="T1491" s="230" t="n">
        <f aca="false">+YEARFRAC(M1491,$S$1)</f>
        <v>2.86388888888889</v>
      </c>
      <c r="U1491" s="231" t="n">
        <f aca="false">+$I1491</f>
        <v>3526197</v>
      </c>
      <c r="V1491" s="232" t="str">
        <f aca="false">+PROPER(F1491)</f>
        <v>Soltero(A)</v>
      </c>
    </row>
    <row r="1492" customFormat="false" ht="14.25" hidden="false" customHeight="false" outlineLevel="0" collapsed="false">
      <c r="B1492" s="197" t="n">
        <v>1144046495</v>
      </c>
      <c r="C1492" s="197" t="s">
        <v>3516</v>
      </c>
      <c r="D1492" s="197" t="s">
        <v>2123</v>
      </c>
      <c r="E1492" s="198" t="s">
        <v>944</v>
      </c>
      <c r="F1492" s="198" t="s">
        <v>945</v>
      </c>
      <c r="G1492" s="225" t="n">
        <v>4469100</v>
      </c>
      <c r="H1492" s="225" t="n">
        <v>1000000</v>
      </c>
      <c r="I1492" s="225"/>
      <c r="J1492" s="198" t="n">
        <v>33</v>
      </c>
      <c r="K1492" s="198" t="n">
        <v>2</v>
      </c>
      <c r="L1492" s="226" t="n">
        <v>45524</v>
      </c>
      <c r="M1492" s="226" t="n">
        <v>44105</v>
      </c>
      <c r="N1492" s="227" t="n">
        <v>0</v>
      </c>
      <c r="O1492" s="227" t="s">
        <v>135</v>
      </c>
      <c r="P1492" s="228" t="n">
        <f aca="false">VLOOKUP(B1492,'NIVEL ENERO'!A:D,3,0)</f>
        <v>0.338003618599174</v>
      </c>
      <c r="Q1492" s="229" t="n">
        <f aca="false">VLOOKUP(B1492,'NIVEL ENERO'!A:D,4,0)</f>
        <v>508090.96</v>
      </c>
      <c r="R1492" s="186" t="str">
        <f aca="false">+PROPER(C1492&amp;" "&amp;D1492)</f>
        <v>Marmolejo Vargas Cristian</v>
      </c>
      <c r="S1492" s="230" t="n">
        <f aca="false">+YEARFRAC(L1492,$S$1)</f>
        <v>1.72777777777778</v>
      </c>
      <c r="T1492" s="230" t="n">
        <f aca="false">+YEARFRAC(M1492,$S$1)</f>
        <v>5.61388888888889</v>
      </c>
      <c r="U1492" s="231" t="n">
        <f aca="false">+$I1492</f>
        <v>0</v>
      </c>
      <c r="V1492" s="232" t="str">
        <f aca="false">+PROPER(F1492)</f>
        <v>Union Libre</v>
      </c>
    </row>
    <row r="1493" customFormat="false" ht="14.25" hidden="false" customHeight="false" outlineLevel="0" collapsed="false">
      <c r="B1493" s="197" t="n">
        <v>1144046545</v>
      </c>
      <c r="C1493" s="197" t="s">
        <v>3517</v>
      </c>
      <c r="D1493" s="197" t="s">
        <v>3064</v>
      </c>
      <c r="E1493" s="198" t="s">
        <v>944</v>
      </c>
      <c r="F1493" s="198" t="s">
        <v>953</v>
      </c>
      <c r="G1493" s="225" t="n">
        <v>2600900</v>
      </c>
      <c r="H1493" s="225" t="n">
        <v>3159663</v>
      </c>
      <c r="I1493" s="225" t="n">
        <v>3784028</v>
      </c>
      <c r="J1493" s="198" t="n">
        <v>33</v>
      </c>
      <c r="K1493" s="198" t="n">
        <v>1</v>
      </c>
      <c r="L1493" s="226" t="n">
        <v>45020</v>
      </c>
      <c r="M1493" s="226" t="n">
        <v>43452</v>
      </c>
      <c r="N1493" s="227" t="n">
        <v>2</v>
      </c>
      <c r="O1493" s="227" t="s">
        <v>135</v>
      </c>
      <c r="P1493" s="228" t="n">
        <f aca="false">VLOOKUP(B1493,'NIVEL ENERO'!A:D,3,0)</f>
        <v>0.228402300940517</v>
      </c>
      <c r="Q1493" s="229" t="n">
        <f aca="false">VLOOKUP(B1493,'NIVEL ENERO'!A:D,4,0)</f>
        <v>672993.56</v>
      </c>
      <c r="R1493" s="186" t="str">
        <f aca="false">+PROPER(C1493&amp;" "&amp;D1493)</f>
        <v>Verdugo Ruiz Leidy Carolina</v>
      </c>
      <c r="S1493" s="230" t="n">
        <f aca="false">+YEARFRAC(L1493,$S$1)</f>
        <v>3.10555555555556</v>
      </c>
      <c r="T1493" s="230" t="n">
        <f aca="false">+YEARFRAC(M1493,$S$1)</f>
        <v>7.4</v>
      </c>
      <c r="U1493" s="231" t="n">
        <f aca="false">+$I1493</f>
        <v>3784028</v>
      </c>
      <c r="V1493" s="232" t="str">
        <f aca="false">+PROPER(F1493)</f>
        <v>Soltero(A)</v>
      </c>
    </row>
    <row r="1494" customFormat="false" ht="14.25" hidden="false" customHeight="false" outlineLevel="0" collapsed="false">
      <c r="B1494" s="197" t="n">
        <v>1144050163</v>
      </c>
      <c r="C1494" s="197" t="s">
        <v>3518</v>
      </c>
      <c r="D1494" s="197" t="s">
        <v>3519</v>
      </c>
      <c r="E1494" s="198" t="s">
        <v>944</v>
      </c>
      <c r="F1494" s="198" t="s">
        <v>953</v>
      </c>
      <c r="G1494" s="225" t="n">
        <v>5842800</v>
      </c>
      <c r="H1494" s="225" t="n">
        <v>8849469</v>
      </c>
      <c r="I1494" s="225" t="n">
        <v>0</v>
      </c>
      <c r="J1494" s="198" t="n">
        <v>33</v>
      </c>
      <c r="K1494" s="198" t="n">
        <v>1</v>
      </c>
      <c r="L1494" s="226" t="n">
        <v>43510</v>
      </c>
      <c r="M1494" s="226" t="n">
        <v>42675</v>
      </c>
      <c r="N1494" s="227" t="n">
        <v>2</v>
      </c>
      <c r="O1494" s="227" t="s">
        <v>135</v>
      </c>
      <c r="P1494" s="228" t="n">
        <f aca="false">VLOOKUP(B1494,'NIVEL ENERO'!A:D,3,0)</f>
        <v>0.264771855959472</v>
      </c>
      <c r="Q1494" s="229" t="n">
        <f aca="false">VLOOKUP(B1494,'NIVEL ENERO'!A:D,4,0)</f>
        <v>906967</v>
      </c>
      <c r="R1494" s="186" t="str">
        <f aca="false">+PROPER(C1494&amp;" "&amp;D1494)</f>
        <v>Esquivel Chavez Bryam Alejandro</v>
      </c>
      <c r="S1494" s="230" t="n">
        <f aca="false">+YEARFRAC(L1494,$S$1)</f>
        <v>7.24444444444444</v>
      </c>
      <c r="T1494" s="230" t="n">
        <f aca="false">+YEARFRAC(M1494,$S$1)</f>
        <v>9.53055555555556</v>
      </c>
      <c r="U1494" s="231" t="n">
        <f aca="false">+$I1494</f>
        <v>0</v>
      </c>
      <c r="V1494" s="232" t="str">
        <f aca="false">+PROPER(F1494)</f>
        <v>Soltero(A)</v>
      </c>
    </row>
    <row r="1495" customFormat="false" ht="14.25" hidden="false" customHeight="false" outlineLevel="0" collapsed="false">
      <c r="B1495" s="197" t="n">
        <v>1144051013</v>
      </c>
      <c r="C1495" s="197" t="s">
        <v>3520</v>
      </c>
      <c r="D1495" s="197" t="s">
        <v>1434</v>
      </c>
      <c r="E1495" s="198" t="s">
        <v>944</v>
      </c>
      <c r="F1495" s="198" t="s">
        <v>945</v>
      </c>
      <c r="G1495" s="225" t="n">
        <v>2255900</v>
      </c>
      <c r="H1495" s="225" t="n">
        <v>2532868</v>
      </c>
      <c r="I1495" s="225"/>
      <c r="J1495" s="198" t="n">
        <v>32</v>
      </c>
      <c r="K1495" s="198" t="n">
        <v>2</v>
      </c>
      <c r="L1495" s="226" t="n">
        <v>45153</v>
      </c>
      <c r="M1495" s="226" t="n">
        <v>44153</v>
      </c>
      <c r="N1495" s="227" t="n">
        <v>0</v>
      </c>
      <c r="O1495" s="227" t="s">
        <v>135</v>
      </c>
      <c r="P1495" s="228" t="n">
        <f aca="false">VLOOKUP(B1495,'NIVEL ENERO'!A:D,3,0)</f>
        <v>0.281248745688984</v>
      </c>
      <c r="Q1495" s="229" t="n">
        <f aca="false">VLOOKUP(B1495,'NIVEL ENERO'!A:D,4,0)</f>
        <v>394081.96</v>
      </c>
      <c r="R1495" s="186" t="str">
        <f aca="false">+PROPER(C1495&amp;" "&amp;D1495)</f>
        <v>Narvaez Manquillo Diana Marcela</v>
      </c>
      <c r="S1495" s="230" t="n">
        <f aca="false">+YEARFRAC(L1495,$S$1)</f>
        <v>2.74166666666667</v>
      </c>
      <c r="T1495" s="230" t="n">
        <f aca="false">+YEARFRAC(M1495,$S$1)</f>
        <v>5.48333333333333</v>
      </c>
      <c r="U1495" s="231" t="n">
        <f aca="false">+$I1495</f>
        <v>0</v>
      </c>
      <c r="V1495" s="232" t="str">
        <f aca="false">+PROPER(F1495)</f>
        <v>Union Libre</v>
      </c>
    </row>
    <row r="1496" customFormat="false" ht="14.25" hidden="false" customHeight="false" outlineLevel="0" collapsed="false">
      <c r="B1496" s="197" t="n">
        <v>1144051429</v>
      </c>
      <c r="C1496" s="197" t="s">
        <v>3521</v>
      </c>
      <c r="D1496" s="197" t="s">
        <v>3522</v>
      </c>
      <c r="E1496" s="198" t="s">
        <v>944</v>
      </c>
      <c r="F1496" s="198" t="s">
        <v>945</v>
      </c>
      <c r="G1496" s="225" t="n">
        <v>1625000</v>
      </c>
      <c r="H1496" s="225" t="n">
        <v>1586799</v>
      </c>
      <c r="I1496" s="225" t="n">
        <v>354104</v>
      </c>
      <c r="J1496" s="198" t="n">
        <v>32</v>
      </c>
      <c r="K1496" s="198" t="n">
        <v>2</v>
      </c>
      <c r="L1496" s="226" t="n">
        <v>44995</v>
      </c>
      <c r="M1496" s="226" t="n">
        <v>44978</v>
      </c>
      <c r="N1496" s="227" t="n">
        <v>0</v>
      </c>
      <c r="O1496" s="227" t="s">
        <v>135</v>
      </c>
      <c r="P1496" s="228" t="n">
        <f aca="false">VLOOKUP(B1496,'NIVEL ENERO'!A:D,3,0)</f>
        <v>0.352325701736343</v>
      </c>
      <c r="Q1496" s="229" t="n">
        <f aca="false">VLOOKUP(B1496,'NIVEL ENERO'!A:D,4,0)</f>
        <v>138626.92</v>
      </c>
      <c r="R1496" s="186" t="str">
        <f aca="false">+PROPER(C1496&amp;" "&amp;D1496)</f>
        <v>Sanchez Elago Valeria Andrea</v>
      </c>
      <c r="S1496" s="230" t="n">
        <f aca="false">+YEARFRAC(L1496,$S$1)</f>
        <v>3.17222222222222</v>
      </c>
      <c r="T1496" s="230" t="n">
        <f aca="false">+YEARFRAC(M1496,$S$1)</f>
        <v>3.225</v>
      </c>
      <c r="U1496" s="231" t="n">
        <f aca="false">+$I1496</f>
        <v>354104</v>
      </c>
      <c r="V1496" s="232" t="str">
        <f aca="false">+PROPER(F1496)</f>
        <v>Union Libre</v>
      </c>
    </row>
    <row r="1497" customFormat="false" ht="14.25" hidden="false" customHeight="false" outlineLevel="0" collapsed="false">
      <c r="B1497" s="197" t="n">
        <v>1144052271</v>
      </c>
      <c r="C1497" s="197" t="s">
        <v>3523</v>
      </c>
      <c r="D1497" s="197" t="s">
        <v>3524</v>
      </c>
      <c r="E1497" s="198" t="s">
        <v>981</v>
      </c>
      <c r="F1497" s="198" t="s">
        <v>948</v>
      </c>
      <c r="G1497" s="225" t="n">
        <v>7551500</v>
      </c>
      <c r="H1497" s="225" t="n">
        <v>500000</v>
      </c>
      <c r="I1497" s="225"/>
      <c r="J1497" s="198" t="n">
        <v>32</v>
      </c>
      <c r="K1497" s="198" t="n">
        <v>2</v>
      </c>
      <c r="L1497" s="226" t="n">
        <v>45518</v>
      </c>
      <c r="M1497" s="226" t="n">
        <v>44106</v>
      </c>
      <c r="N1497" s="227" t="n">
        <v>0</v>
      </c>
      <c r="O1497" s="227" t="s">
        <v>135</v>
      </c>
      <c r="P1497" s="228" t="n">
        <f aca="false">VLOOKUP(B1497,'NIVEL ENERO'!A:D,3,0)</f>
        <v>0.142902672870213</v>
      </c>
      <c r="Q1497" s="229" t="n">
        <f aca="false">VLOOKUP(B1497,'NIVEL ENERO'!A:D,4,0)</f>
        <v>2731471.2</v>
      </c>
      <c r="R1497" s="186" t="str">
        <f aca="false">+PROPER(C1497&amp;" "&amp;D1497)</f>
        <v>Rodriguez Sanchez Stefania</v>
      </c>
      <c r="S1497" s="230" t="n">
        <f aca="false">+YEARFRAC(L1497,$S$1)</f>
        <v>1.74444444444444</v>
      </c>
      <c r="T1497" s="230" t="n">
        <f aca="false">+YEARFRAC(M1497,$S$1)</f>
        <v>5.61111111111111</v>
      </c>
      <c r="U1497" s="231" t="n">
        <f aca="false">+$I1497</f>
        <v>0</v>
      </c>
      <c r="V1497" s="232" t="str">
        <f aca="false">+PROPER(F1497)</f>
        <v>Casado(A)</v>
      </c>
    </row>
    <row r="1498" customFormat="false" ht="14.25" hidden="false" customHeight="false" outlineLevel="0" collapsed="false">
      <c r="B1498" s="197" t="n">
        <v>1144052450</v>
      </c>
      <c r="C1498" s="197" t="s">
        <v>3525</v>
      </c>
      <c r="D1498" s="197" t="s">
        <v>1267</v>
      </c>
      <c r="E1498" s="198" t="s">
        <v>944</v>
      </c>
      <c r="F1498" s="198" t="s">
        <v>953</v>
      </c>
      <c r="G1498" s="225" t="n">
        <v>5780388</v>
      </c>
      <c r="H1498" s="225" t="n">
        <v>700000</v>
      </c>
      <c r="I1498" s="225"/>
      <c r="J1498" s="198" t="n">
        <v>32</v>
      </c>
      <c r="K1498" s="198" t="n">
        <v>2</v>
      </c>
      <c r="L1498" s="226" t="n">
        <v>45444</v>
      </c>
      <c r="M1498" s="226" t="n">
        <v>43208</v>
      </c>
      <c r="N1498" s="227" t="n">
        <v>0</v>
      </c>
      <c r="O1498" s="227" t="s">
        <v>158</v>
      </c>
      <c r="P1498" s="228" t="e">
        <f aca="false">VLOOKUP(B1498,'NIVEL ENERO'!A:D,3,0)</f>
        <v>#N/A</v>
      </c>
      <c r="Q1498" s="229" t="e">
        <f aca="false">VLOOKUP(B1498,'NIVEL ENERO'!A:D,4,0)</f>
        <v>#N/A</v>
      </c>
      <c r="R1498" s="186" t="str">
        <f aca="false">+PROPER(C1498&amp;" "&amp;D1498)</f>
        <v>Cardona Caicedo Ana Maria</v>
      </c>
      <c r="S1498" s="230" t="n">
        <f aca="false">+YEARFRAC(L1498,$S$1)</f>
        <v>1.94722222222222</v>
      </c>
      <c r="T1498" s="230" t="n">
        <f aca="false">+YEARFRAC(M1498,$S$1)</f>
        <v>8.06666666666667</v>
      </c>
      <c r="U1498" s="231" t="n">
        <f aca="false">+$I1498</f>
        <v>0</v>
      </c>
      <c r="V1498" s="232" t="str">
        <f aca="false">+PROPER(F1498)</f>
        <v>Soltero(A)</v>
      </c>
    </row>
    <row r="1499" customFormat="false" ht="14.25" hidden="false" customHeight="false" outlineLevel="0" collapsed="false">
      <c r="B1499" s="197" t="n">
        <v>1144052596</v>
      </c>
      <c r="C1499" s="197" t="s">
        <v>3526</v>
      </c>
      <c r="D1499" s="197" t="s">
        <v>3527</v>
      </c>
      <c r="E1499" s="198" t="s">
        <v>944</v>
      </c>
      <c r="F1499" s="198" t="s">
        <v>945</v>
      </c>
      <c r="G1499" s="225" t="n">
        <v>1670000</v>
      </c>
      <c r="H1499" s="225" t="n">
        <v>1971924</v>
      </c>
      <c r="I1499" s="225" t="n">
        <v>0</v>
      </c>
      <c r="J1499" s="198" t="n">
        <v>32</v>
      </c>
      <c r="K1499" s="198" t="n">
        <v>1</v>
      </c>
      <c r="L1499" s="226" t="n">
        <v>44886</v>
      </c>
      <c r="M1499" s="226" t="n">
        <v>44816</v>
      </c>
      <c r="N1499" s="227" t="n">
        <v>0</v>
      </c>
      <c r="O1499" s="227" t="s">
        <v>135</v>
      </c>
      <c r="P1499" s="228" t="n">
        <f aca="false">VLOOKUP(B1499,'NIVEL ENERO'!A:D,3,0)</f>
        <v>0.243324424273916</v>
      </c>
      <c r="Q1499" s="229" t="n">
        <f aca="false">VLOOKUP(B1499,'NIVEL ENERO'!A:D,4,0)</f>
        <v>426146.2</v>
      </c>
      <c r="R1499" s="186" t="str">
        <f aca="false">+PROPER(C1499&amp;" "&amp;D1499)</f>
        <v>Granada Montealegre Javier Andrey</v>
      </c>
      <c r="S1499" s="230" t="n">
        <f aca="false">+YEARFRAC(L1499,$S$1)</f>
        <v>3.475</v>
      </c>
      <c r="T1499" s="230" t="n">
        <f aca="false">+YEARFRAC(M1499,$S$1)</f>
        <v>3.66666666666667</v>
      </c>
      <c r="U1499" s="231" t="n">
        <f aca="false">+$I1499</f>
        <v>0</v>
      </c>
      <c r="V1499" s="232" t="str">
        <f aca="false">+PROPER(F1499)</f>
        <v>Union Libre</v>
      </c>
    </row>
    <row r="1500" customFormat="false" ht="14.25" hidden="false" customHeight="false" outlineLevel="0" collapsed="false">
      <c r="B1500" s="197" t="n">
        <v>1144052717</v>
      </c>
      <c r="C1500" s="197" t="s">
        <v>3528</v>
      </c>
      <c r="D1500" s="197" t="s">
        <v>1689</v>
      </c>
      <c r="E1500" s="198" t="s">
        <v>944</v>
      </c>
      <c r="F1500" s="198" t="s">
        <v>945</v>
      </c>
      <c r="G1500" s="225" t="n">
        <v>1625000</v>
      </c>
      <c r="H1500" s="225" t="n">
        <v>1135788</v>
      </c>
      <c r="I1500" s="225" t="n">
        <v>1272926</v>
      </c>
      <c r="J1500" s="198" t="n">
        <v>32</v>
      </c>
      <c r="K1500" s="198" t="n">
        <v>1</v>
      </c>
      <c r="L1500" s="226" t="n">
        <v>45117</v>
      </c>
      <c r="M1500" s="226" t="n">
        <v>45000</v>
      </c>
      <c r="N1500" s="227" t="n">
        <v>0</v>
      </c>
      <c r="O1500" s="227" t="s">
        <v>135</v>
      </c>
      <c r="P1500" s="228" t="n">
        <f aca="false">VLOOKUP(B1500,'NIVEL ENERO'!A:D,3,0)</f>
        <v>0.243048456135496</v>
      </c>
      <c r="Q1500" s="229" t="n">
        <f aca="false">VLOOKUP(B1500,'NIVEL ENERO'!A:D,4,0)</f>
        <v>382353.18</v>
      </c>
      <c r="R1500" s="186" t="str">
        <f aca="false">+PROPER(C1500&amp;" "&amp;D1500)</f>
        <v>Grisales Arango Lizeth</v>
      </c>
      <c r="S1500" s="230" t="n">
        <f aca="false">+YEARFRAC(L1500,$S$1)</f>
        <v>2.83888888888889</v>
      </c>
      <c r="T1500" s="230" t="n">
        <f aca="false">+YEARFRAC(M1500,$S$1)</f>
        <v>3.15833333333333</v>
      </c>
      <c r="U1500" s="231" t="n">
        <f aca="false">+$I1500</f>
        <v>1272926</v>
      </c>
      <c r="V1500" s="232" t="str">
        <f aca="false">+PROPER(F1500)</f>
        <v>Union Libre</v>
      </c>
    </row>
    <row r="1501" customFormat="false" ht="14.25" hidden="false" customHeight="false" outlineLevel="0" collapsed="false">
      <c r="B1501" s="197" t="n">
        <v>1144052978</v>
      </c>
      <c r="C1501" s="197" t="s">
        <v>3529</v>
      </c>
      <c r="D1501" s="197" t="s">
        <v>3530</v>
      </c>
      <c r="E1501" s="198" t="s">
        <v>944</v>
      </c>
      <c r="F1501" s="198" t="s">
        <v>945</v>
      </c>
      <c r="G1501" s="225" t="n">
        <v>1670000</v>
      </c>
      <c r="H1501" s="225" t="n">
        <v>200000</v>
      </c>
      <c r="I1501" s="225" t="n">
        <v>0</v>
      </c>
      <c r="J1501" s="198" t="n">
        <v>32</v>
      </c>
      <c r="K1501" s="198" t="n">
        <v>4</v>
      </c>
      <c r="L1501" s="226" t="n">
        <v>45615</v>
      </c>
      <c r="M1501" s="226" t="n">
        <v>43782</v>
      </c>
      <c r="N1501" s="227" t="n">
        <v>2</v>
      </c>
      <c r="O1501" s="227" t="s">
        <v>135</v>
      </c>
      <c r="P1501" s="228" t="n">
        <f aca="false">VLOOKUP(B1501,'NIVEL ENERO'!A:D,3,0)</f>
        <v>0.503495372844459</v>
      </c>
      <c r="Q1501" s="229" t="n">
        <f aca="false">VLOOKUP(B1501,'NIVEL ENERO'!A:D,4,0)</f>
        <v>-358981</v>
      </c>
      <c r="R1501" s="186" t="str">
        <f aca="false">+PROPER(C1501&amp;" "&amp;D1501)</f>
        <v>Vidal Serrano Geidy Xiomara</v>
      </c>
      <c r="S1501" s="230" t="n">
        <f aca="false">+YEARFRAC(L1501,$S$1)</f>
        <v>1.48055555555556</v>
      </c>
      <c r="T1501" s="230" t="n">
        <f aca="false">+YEARFRAC(M1501,$S$1)</f>
        <v>6.49722222222222</v>
      </c>
      <c r="U1501" s="231" t="n">
        <f aca="false">+$I1501</f>
        <v>0</v>
      </c>
      <c r="V1501" s="232" t="str">
        <f aca="false">+PROPER(F1501)</f>
        <v>Union Libre</v>
      </c>
    </row>
    <row r="1502" customFormat="false" ht="14.25" hidden="false" customHeight="false" outlineLevel="0" collapsed="false">
      <c r="B1502" s="197" t="n">
        <v>1144053183</v>
      </c>
      <c r="C1502" s="197" t="s">
        <v>3531</v>
      </c>
      <c r="D1502" s="197" t="s">
        <v>1689</v>
      </c>
      <c r="E1502" s="198" t="s">
        <v>944</v>
      </c>
      <c r="F1502" s="198" t="s">
        <v>948</v>
      </c>
      <c r="G1502" s="225" t="n">
        <v>1991000</v>
      </c>
      <c r="H1502" s="225" t="n">
        <v>1961183</v>
      </c>
      <c r="I1502" s="225" t="n">
        <v>4481271</v>
      </c>
      <c r="J1502" s="198" t="n">
        <v>32</v>
      </c>
      <c r="K1502" s="198" t="n">
        <v>2</v>
      </c>
      <c r="L1502" s="226" t="n">
        <v>44613</v>
      </c>
      <c r="M1502" s="226" t="n">
        <v>44245</v>
      </c>
      <c r="N1502" s="227" t="n">
        <v>3</v>
      </c>
      <c r="O1502" s="227" t="s">
        <v>135</v>
      </c>
      <c r="P1502" s="228" t="n">
        <f aca="false">VLOOKUP(B1502,'NIVEL ENERO'!A:D,3,0)</f>
        <v>0.30444450025113</v>
      </c>
      <c r="Q1502" s="229" t="n">
        <f aca="false">VLOOKUP(B1502,'NIVEL ENERO'!A:D,4,0)</f>
        <v>230071</v>
      </c>
      <c r="R1502" s="186" t="str">
        <f aca="false">+PROPER(C1502&amp;" "&amp;D1502)</f>
        <v>Sanchez Silva Lizeth</v>
      </c>
      <c r="S1502" s="230" t="n">
        <f aca="false">+YEARFRAC(L1502,$S$1)</f>
        <v>4.225</v>
      </c>
      <c r="T1502" s="230" t="n">
        <f aca="false">+YEARFRAC(M1502,$S$1)</f>
        <v>5.23333333333333</v>
      </c>
      <c r="U1502" s="231" t="n">
        <f aca="false">+$I1502</f>
        <v>4481271</v>
      </c>
      <c r="V1502" s="232" t="str">
        <f aca="false">+PROPER(F1502)</f>
        <v>Casado(A)</v>
      </c>
    </row>
    <row r="1503" customFormat="false" ht="14.25" hidden="false" customHeight="false" outlineLevel="0" collapsed="false">
      <c r="B1503" s="197" t="n">
        <v>1144053209</v>
      </c>
      <c r="C1503" s="197" t="s">
        <v>3532</v>
      </c>
      <c r="D1503" s="197" t="s">
        <v>3533</v>
      </c>
      <c r="E1503" s="198" t="s">
        <v>944</v>
      </c>
      <c r="F1503" s="198" t="s">
        <v>953</v>
      </c>
      <c r="G1503" s="225" t="n">
        <v>4870200</v>
      </c>
      <c r="H1503" s="225" t="n">
        <v>4820693</v>
      </c>
      <c r="I1503" s="225" t="n">
        <v>0</v>
      </c>
      <c r="J1503" s="198" t="n">
        <v>32</v>
      </c>
      <c r="K1503" s="198" t="n">
        <v>4</v>
      </c>
      <c r="L1503" s="226" t="n">
        <v>44636</v>
      </c>
      <c r="M1503" s="226" t="n">
        <v>44049</v>
      </c>
      <c r="N1503" s="227" t="n">
        <v>1</v>
      </c>
      <c r="O1503" s="227" t="s">
        <v>135</v>
      </c>
      <c r="P1503" s="228" t="n">
        <f aca="false">VLOOKUP(B1503,'NIVEL ENERO'!A:D,3,0)</f>
        <v>0.119623664973738</v>
      </c>
      <c r="Q1503" s="229" t="n">
        <f aca="false">VLOOKUP(B1503,'NIVEL ENERO'!A:D,4,0)</f>
        <v>1990488.44</v>
      </c>
      <c r="R1503" s="186" t="str">
        <f aca="false">+PROPER(C1503&amp;" "&amp;D1503)</f>
        <v>Micolta Solarte Lizeth Viviana</v>
      </c>
      <c r="S1503" s="230" t="n">
        <f aca="false">+YEARFRAC(L1503,$S$1)</f>
        <v>4.15555555555556</v>
      </c>
      <c r="T1503" s="230" t="n">
        <f aca="false">+YEARFRAC(M1503,$S$1)</f>
        <v>5.76666666666667</v>
      </c>
      <c r="U1503" s="231" t="n">
        <f aca="false">+$I1503</f>
        <v>0</v>
      </c>
      <c r="V1503" s="232" t="str">
        <f aca="false">+PROPER(F1503)</f>
        <v>Soltero(A)</v>
      </c>
    </row>
    <row r="1504" customFormat="false" ht="14.25" hidden="false" customHeight="false" outlineLevel="0" collapsed="false">
      <c r="B1504" s="197" t="n">
        <v>1144054574</v>
      </c>
      <c r="C1504" s="197" t="s">
        <v>3534</v>
      </c>
      <c r="D1504" s="197" t="s">
        <v>2645</v>
      </c>
      <c r="E1504" s="198" t="s">
        <v>944</v>
      </c>
      <c r="F1504" s="198" t="s">
        <v>948</v>
      </c>
      <c r="G1504" s="225" t="n">
        <v>8245400</v>
      </c>
      <c r="H1504" s="225" t="n">
        <v>9024344</v>
      </c>
      <c r="I1504" s="225" t="n">
        <v>0</v>
      </c>
      <c r="J1504" s="198" t="n">
        <v>32</v>
      </c>
      <c r="K1504" s="198" t="n">
        <v>1</v>
      </c>
      <c r="L1504" s="226" t="n">
        <v>42900</v>
      </c>
      <c r="M1504" s="226" t="n">
        <v>42842</v>
      </c>
      <c r="N1504" s="227" t="n">
        <v>3</v>
      </c>
      <c r="O1504" s="227" t="s">
        <v>135</v>
      </c>
      <c r="P1504" s="228" t="n">
        <f aca="false">VLOOKUP(B1504,'NIVEL ENERO'!A:D,3,0)</f>
        <v>0.254647138414793</v>
      </c>
      <c r="Q1504" s="229" t="n">
        <f aca="false">VLOOKUP(B1504,'NIVEL ENERO'!A:D,4,0)</f>
        <v>1393164</v>
      </c>
      <c r="R1504" s="186" t="str">
        <f aca="false">+PROPER(C1504&amp;" "&amp;D1504)</f>
        <v>Figueroa Salcedo Jeferson</v>
      </c>
      <c r="S1504" s="230" t="n">
        <f aca="false">+YEARFRAC(L1504,$S$1)</f>
        <v>8.91111111111111</v>
      </c>
      <c r="T1504" s="230" t="n">
        <f aca="false">+YEARFRAC(M1504,$S$1)</f>
        <v>9.06944444444445</v>
      </c>
      <c r="U1504" s="231" t="n">
        <f aca="false">+$I1504</f>
        <v>0</v>
      </c>
      <c r="V1504" s="232" t="str">
        <f aca="false">+PROPER(F1504)</f>
        <v>Casado(A)</v>
      </c>
    </row>
    <row r="1505" customFormat="false" ht="14.25" hidden="false" customHeight="false" outlineLevel="0" collapsed="false">
      <c r="B1505" s="197" t="n">
        <v>1144056291</v>
      </c>
      <c r="C1505" s="197" t="s">
        <v>3535</v>
      </c>
      <c r="D1505" s="197" t="s">
        <v>3536</v>
      </c>
      <c r="E1505" s="198" t="s">
        <v>944</v>
      </c>
      <c r="F1505" s="198" t="s">
        <v>953</v>
      </c>
      <c r="G1505" s="225" t="n">
        <v>5418800</v>
      </c>
      <c r="H1505" s="225" t="n">
        <v>4628005</v>
      </c>
      <c r="I1505" s="225" t="n">
        <v>992223</v>
      </c>
      <c r="J1505" s="198" t="n">
        <v>32</v>
      </c>
      <c r="K1505" s="198" t="n">
        <v>2</v>
      </c>
      <c r="L1505" s="226" t="n">
        <v>44155</v>
      </c>
      <c r="M1505" s="226" t="n">
        <v>44091</v>
      </c>
      <c r="N1505" s="227" t="n">
        <v>1</v>
      </c>
      <c r="O1505" s="227" t="s">
        <v>135</v>
      </c>
      <c r="P1505" s="228" t="n">
        <f aca="false">VLOOKUP(B1505,'NIVEL ENERO'!A:D,3,0)</f>
        <v>0.318161810327806</v>
      </c>
      <c r="Q1505" s="229" t="n">
        <f aca="false">VLOOKUP(B1505,'NIVEL ENERO'!A:D,4,0)</f>
        <v>589349.96</v>
      </c>
      <c r="R1505" s="186" t="str">
        <f aca="false">+PROPER(C1505&amp;" "&amp;D1505)</f>
        <v>Brinez Paz Katheryn</v>
      </c>
      <c r="S1505" s="230" t="n">
        <f aca="false">+YEARFRAC(L1505,$S$1)</f>
        <v>5.47777777777778</v>
      </c>
      <c r="T1505" s="230" t="n">
        <f aca="false">+YEARFRAC(M1505,$S$1)</f>
        <v>5.65277777777778</v>
      </c>
      <c r="U1505" s="231" t="n">
        <f aca="false">+$I1505</f>
        <v>992223</v>
      </c>
      <c r="V1505" s="232" t="str">
        <f aca="false">+PROPER(F1505)</f>
        <v>Soltero(A)</v>
      </c>
    </row>
    <row r="1506" customFormat="false" ht="14.25" hidden="false" customHeight="false" outlineLevel="0" collapsed="false">
      <c r="B1506" s="197" t="n">
        <v>1144056300</v>
      </c>
      <c r="C1506" s="197" t="s">
        <v>3537</v>
      </c>
      <c r="D1506" s="197" t="s">
        <v>3538</v>
      </c>
      <c r="E1506" s="198" t="s">
        <v>944</v>
      </c>
      <c r="F1506" s="198" t="s">
        <v>948</v>
      </c>
      <c r="G1506" s="225" t="n">
        <v>1625000</v>
      </c>
      <c r="H1506" s="225" t="n">
        <v>1100000</v>
      </c>
      <c r="I1506" s="225"/>
      <c r="J1506" s="198" t="n">
        <v>32</v>
      </c>
      <c r="K1506" s="198" t="n">
        <v>2</v>
      </c>
      <c r="L1506" s="226" t="n">
        <v>45343</v>
      </c>
      <c r="M1506" s="226" t="n">
        <v>44946</v>
      </c>
      <c r="N1506" s="227" t="n">
        <v>0</v>
      </c>
      <c r="O1506" s="227" t="s">
        <v>135</v>
      </c>
      <c r="P1506" s="228" t="n">
        <f aca="false">VLOOKUP(B1506,'NIVEL ENERO'!A:D,3,0)</f>
        <v>0.149725813389426</v>
      </c>
      <c r="Q1506" s="229" t="n">
        <f aca="false">VLOOKUP(B1506,'NIVEL ENERO'!A:D,4,0)</f>
        <v>554818.58</v>
      </c>
      <c r="R1506" s="186" t="str">
        <f aca="false">+PROPER(C1506&amp;" "&amp;D1506)</f>
        <v>Angulo Castillo Sorani</v>
      </c>
      <c r="S1506" s="230" t="n">
        <f aca="false">+YEARFRAC(L1506,$S$1)</f>
        <v>2.225</v>
      </c>
      <c r="T1506" s="230" t="n">
        <f aca="false">+YEARFRAC(M1506,$S$1)</f>
        <v>3.31111111111111</v>
      </c>
      <c r="U1506" s="231" t="n">
        <f aca="false">+$I1506</f>
        <v>0</v>
      </c>
      <c r="V1506" s="232" t="str">
        <f aca="false">+PROPER(F1506)</f>
        <v>Casado(A)</v>
      </c>
    </row>
    <row r="1507" customFormat="false" ht="14.25" hidden="false" customHeight="false" outlineLevel="0" collapsed="false">
      <c r="B1507" s="197" t="n">
        <v>1144056448</v>
      </c>
      <c r="C1507" s="197" t="s">
        <v>3539</v>
      </c>
      <c r="D1507" s="197" t="s">
        <v>3540</v>
      </c>
      <c r="E1507" s="198" t="s">
        <v>944</v>
      </c>
      <c r="F1507" s="198" t="s">
        <v>948</v>
      </c>
      <c r="G1507" s="225" t="n">
        <v>5418800</v>
      </c>
      <c r="H1507" s="225" t="n">
        <v>1200000</v>
      </c>
      <c r="I1507" s="225" t="n">
        <v>0</v>
      </c>
      <c r="J1507" s="198" t="n">
        <v>32</v>
      </c>
      <c r="K1507" s="198" t="n">
        <v>1</v>
      </c>
      <c r="L1507" s="226" t="n">
        <v>45555</v>
      </c>
      <c r="M1507" s="226" t="n">
        <v>42415</v>
      </c>
      <c r="N1507" s="227" t="n">
        <v>2</v>
      </c>
      <c r="O1507" s="227" t="s">
        <v>135</v>
      </c>
      <c r="P1507" s="228" t="n">
        <f aca="false">VLOOKUP(B1507,'NIVEL ENERO'!A:D,3,0)</f>
        <v>0.136616634044532</v>
      </c>
      <c r="Q1507" s="229" t="n">
        <f aca="false">VLOOKUP(B1507,'NIVEL ENERO'!A:D,4,0)</f>
        <v>2096424.8</v>
      </c>
      <c r="R1507" s="186" t="str">
        <f aca="false">+PROPER(C1507&amp;" "&amp;D1507)</f>
        <v>Arteaga Vaca Karen Lizeth</v>
      </c>
      <c r="S1507" s="230" t="n">
        <f aca="false">+YEARFRAC(L1507,$S$1)</f>
        <v>1.64444444444444</v>
      </c>
      <c r="T1507" s="230" t="n">
        <f aca="false">+YEARFRAC(M1507,$S$1)</f>
        <v>10.2416666666667</v>
      </c>
      <c r="U1507" s="231" t="n">
        <f aca="false">+$I1507</f>
        <v>0</v>
      </c>
      <c r="V1507" s="232" t="str">
        <f aca="false">+PROPER(F1507)</f>
        <v>Casado(A)</v>
      </c>
    </row>
    <row r="1508" customFormat="false" ht="14.25" hidden="false" customHeight="false" outlineLevel="0" collapsed="false">
      <c r="B1508" s="197" t="n">
        <v>1144057157</v>
      </c>
      <c r="C1508" s="197" t="s">
        <v>1119</v>
      </c>
      <c r="D1508" s="197" t="s">
        <v>1184</v>
      </c>
      <c r="E1508" s="198" t="s">
        <v>944</v>
      </c>
      <c r="F1508" s="198" t="s">
        <v>945</v>
      </c>
      <c r="G1508" s="225" t="n">
        <v>4327600</v>
      </c>
      <c r="H1508" s="225" t="n">
        <v>5377019</v>
      </c>
      <c r="I1508" s="225" t="n">
        <v>3751169</v>
      </c>
      <c r="J1508" s="198" t="n">
        <v>32</v>
      </c>
      <c r="K1508" s="198" t="n">
        <v>1</v>
      </c>
      <c r="L1508" s="226" t="n">
        <v>43595</v>
      </c>
      <c r="M1508" s="226" t="n">
        <v>43328</v>
      </c>
      <c r="N1508" s="227" t="n">
        <v>3</v>
      </c>
      <c r="O1508" s="227" t="s">
        <v>135</v>
      </c>
      <c r="P1508" s="228" t="n">
        <f aca="false">VLOOKUP(B1508,'NIVEL ENERO'!A:D,3,0)</f>
        <v>0.258188372307977</v>
      </c>
      <c r="Q1508" s="229" t="n">
        <f aca="false">VLOOKUP(B1508,'NIVEL ENERO'!A:D,4,0)</f>
        <v>700256</v>
      </c>
      <c r="R1508" s="186" t="str">
        <f aca="false">+PROPER(C1508&amp;" "&amp;D1508)</f>
        <v>Londono Lopez Paola Andrea</v>
      </c>
      <c r="S1508" s="230" t="n">
        <f aca="false">+YEARFRAC(L1508,$S$1)</f>
        <v>7.00555555555556</v>
      </c>
      <c r="T1508" s="230" t="n">
        <f aca="false">+YEARFRAC(M1508,$S$1)</f>
        <v>7.73888888888889</v>
      </c>
      <c r="U1508" s="231" t="n">
        <f aca="false">+$I1508</f>
        <v>3751169</v>
      </c>
      <c r="V1508" s="232" t="str">
        <f aca="false">+PROPER(F1508)</f>
        <v>Union Libre</v>
      </c>
    </row>
    <row r="1509" customFormat="false" ht="14.25" hidden="false" customHeight="false" outlineLevel="0" collapsed="false">
      <c r="B1509" s="197" t="n">
        <v>1144057584</v>
      </c>
      <c r="C1509" s="197" t="s">
        <v>3541</v>
      </c>
      <c r="D1509" s="197" t="s">
        <v>1202</v>
      </c>
      <c r="E1509" s="198" t="s">
        <v>944</v>
      </c>
      <c r="F1509" s="198" t="s">
        <v>953</v>
      </c>
      <c r="G1509" s="225" t="n">
        <v>4469100</v>
      </c>
      <c r="H1509" s="225" t="n">
        <v>4122930</v>
      </c>
      <c r="I1509" s="225" t="n">
        <v>1747255</v>
      </c>
      <c r="J1509" s="198" t="n">
        <v>32</v>
      </c>
      <c r="K1509" s="198" t="n">
        <v>1</v>
      </c>
      <c r="L1509" s="226" t="n">
        <v>44358</v>
      </c>
      <c r="M1509" s="226" t="n">
        <v>42262</v>
      </c>
      <c r="N1509" s="227" t="n">
        <v>2</v>
      </c>
      <c r="O1509" s="227" t="s">
        <v>135</v>
      </c>
      <c r="P1509" s="228" t="n">
        <f aca="false">VLOOKUP(B1509,'NIVEL ENERO'!A:D,3,0)</f>
        <v>0.323466263999735</v>
      </c>
      <c r="Q1509" s="229" t="n">
        <f aca="false">VLOOKUP(B1509,'NIVEL ENERO'!A:D,4,0)</f>
        <v>755370.66</v>
      </c>
      <c r="R1509" s="186" t="str">
        <f aca="false">+PROPER(C1509&amp;" "&amp;D1509)</f>
        <v>Labrada Zapata Carolina</v>
      </c>
      <c r="S1509" s="230" t="n">
        <f aca="false">+YEARFRAC(L1509,$S$1)</f>
        <v>4.91944444444444</v>
      </c>
      <c r="T1509" s="230" t="n">
        <f aca="false">+YEARFRAC(M1509,$S$1)</f>
        <v>10.6583333333333</v>
      </c>
      <c r="U1509" s="231" t="n">
        <f aca="false">+$I1509</f>
        <v>1747255</v>
      </c>
      <c r="V1509" s="232" t="str">
        <f aca="false">+PROPER(F1509)</f>
        <v>Soltero(A)</v>
      </c>
    </row>
    <row r="1510" customFormat="false" ht="14.25" hidden="false" customHeight="false" outlineLevel="0" collapsed="false">
      <c r="B1510" s="197" t="n">
        <v>1144057759</v>
      </c>
      <c r="C1510" s="197" t="s">
        <v>3542</v>
      </c>
      <c r="D1510" s="197" t="s">
        <v>3270</v>
      </c>
      <c r="E1510" s="198" t="s">
        <v>944</v>
      </c>
      <c r="F1510" s="198" t="s">
        <v>945</v>
      </c>
      <c r="G1510" s="225" t="n">
        <v>1625000</v>
      </c>
      <c r="H1510" s="225" t="n">
        <v>2213761</v>
      </c>
      <c r="I1510" s="225" t="n">
        <v>3442631</v>
      </c>
      <c r="J1510" s="198" t="n">
        <v>32</v>
      </c>
      <c r="K1510" s="198" t="n">
        <v>1</v>
      </c>
      <c r="L1510" s="226" t="n">
        <v>44460</v>
      </c>
      <c r="M1510" s="226" t="n">
        <v>44084</v>
      </c>
      <c r="N1510" s="227" t="n">
        <v>2</v>
      </c>
      <c r="O1510" s="227" t="s">
        <v>135</v>
      </c>
      <c r="P1510" s="228" t="n">
        <f aca="false">VLOOKUP(B1510,'NIVEL ENERO'!A:D,3,0)</f>
        <v>0.450661803357617</v>
      </c>
      <c r="Q1510" s="229" t="n">
        <f aca="false">VLOOKUP(B1510,'NIVEL ENERO'!A:D,4,0)</f>
        <v>-123325.666666667</v>
      </c>
      <c r="R1510" s="186" t="str">
        <f aca="false">+PROPER(C1510&amp;" "&amp;D1510)</f>
        <v>Ramos Serna Sandra Lorena</v>
      </c>
      <c r="S1510" s="230" t="n">
        <f aca="false">+YEARFRAC(L1510,$S$1)</f>
        <v>4.64166666666667</v>
      </c>
      <c r="T1510" s="230" t="n">
        <f aca="false">+YEARFRAC(M1510,$S$1)</f>
        <v>5.67222222222222</v>
      </c>
      <c r="U1510" s="231" t="n">
        <f aca="false">+$I1510</f>
        <v>3442631</v>
      </c>
      <c r="V1510" s="232" t="str">
        <f aca="false">+PROPER(F1510)</f>
        <v>Union Libre</v>
      </c>
    </row>
    <row r="1511" customFormat="false" ht="14.25" hidden="false" customHeight="false" outlineLevel="0" collapsed="false">
      <c r="B1511" s="197" t="n">
        <v>1144059077</v>
      </c>
      <c r="C1511" s="197" t="s">
        <v>3543</v>
      </c>
      <c r="D1511" s="197" t="s">
        <v>3544</v>
      </c>
      <c r="E1511" s="198" t="s">
        <v>944</v>
      </c>
      <c r="F1511" s="198" t="s">
        <v>953</v>
      </c>
      <c r="G1511" s="225" t="n">
        <v>2893800</v>
      </c>
      <c r="H1511" s="225" t="n">
        <v>4690774</v>
      </c>
      <c r="I1511" s="225" t="n">
        <v>8921273</v>
      </c>
      <c r="J1511" s="198" t="n">
        <v>31</v>
      </c>
      <c r="K1511" s="198" t="n">
        <v>4</v>
      </c>
      <c r="L1511" s="226" t="n">
        <v>43150</v>
      </c>
      <c r="M1511" s="226" t="n">
        <v>43073</v>
      </c>
      <c r="N1511" s="227" t="n">
        <v>5</v>
      </c>
      <c r="O1511" s="227" t="s">
        <v>135</v>
      </c>
      <c r="P1511" s="228" t="n">
        <f aca="false">VLOOKUP(B1511,'NIVEL ENERO'!A:D,3,0)</f>
        <v>0.39458981270302</v>
      </c>
      <c r="Q1511" s="229" t="n">
        <f aca="false">VLOOKUP(B1511,'NIVEL ENERO'!A:D,4,0)</f>
        <v>73532</v>
      </c>
      <c r="R1511" s="186" t="str">
        <f aca="false">+PROPER(C1511&amp;" "&amp;D1511)</f>
        <v>Cabezas Rincon Beatriz Carolina</v>
      </c>
      <c r="S1511" s="230" t="n">
        <f aca="false">+YEARFRAC(L1511,$S$1)</f>
        <v>8.23055555555556</v>
      </c>
      <c r="T1511" s="230" t="n">
        <f aca="false">+YEARFRAC(M1511,$S$1)</f>
        <v>8.43888888888889</v>
      </c>
      <c r="U1511" s="231" t="n">
        <f aca="false">+$I1511</f>
        <v>8921273</v>
      </c>
      <c r="V1511" s="232" t="str">
        <f aca="false">+PROPER(F1511)</f>
        <v>Soltero(A)</v>
      </c>
    </row>
    <row r="1512" customFormat="false" ht="14.25" hidden="false" customHeight="false" outlineLevel="0" collapsed="false">
      <c r="B1512" s="197" t="n">
        <v>1144059839</v>
      </c>
      <c r="C1512" s="197" t="s">
        <v>3545</v>
      </c>
      <c r="D1512" s="197" t="s">
        <v>3546</v>
      </c>
      <c r="E1512" s="198" t="s">
        <v>944</v>
      </c>
      <c r="F1512" s="198" t="s">
        <v>953</v>
      </c>
      <c r="G1512" s="225" t="n">
        <v>2893800</v>
      </c>
      <c r="H1512" s="225" t="n">
        <v>3213795</v>
      </c>
      <c r="I1512" s="225" t="n">
        <v>0</v>
      </c>
      <c r="J1512" s="198" t="n">
        <v>32</v>
      </c>
      <c r="K1512" s="198" t="n">
        <v>2</v>
      </c>
      <c r="L1512" s="226" t="n">
        <v>44704</v>
      </c>
      <c r="M1512" s="226" t="n">
        <v>44131</v>
      </c>
      <c r="N1512" s="227" t="n">
        <v>2</v>
      </c>
      <c r="O1512" s="227" t="s">
        <v>135</v>
      </c>
      <c r="P1512" s="228" t="n">
        <f aca="false">VLOOKUP(B1512,'NIVEL ENERO'!A:D,3,0)</f>
        <v>0.139548633756275</v>
      </c>
      <c r="Q1512" s="229" t="n">
        <f aca="false">VLOOKUP(B1512,'NIVEL ENERO'!A:D,4,0)</f>
        <v>823920.12</v>
      </c>
      <c r="R1512" s="186" t="str">
        <f aca="false">+PROPER(C1512&amp;" "&amp;D1512)</f>
        <v>Diaz Pavi Dalia Magnolia</v>
      </c>
      <c r="S1512" s="230" t="n">
        <f aca="false">+YEARFRAC(L1512,$S$1)</f>
        <v>3.96944444444444</v>
      </c>
      <c r="T1512" s="230" t="n">
        <f aca="false">+YEARFRAC(M1512,$S$1)</f>
        <v>5.54166666666667</v>
      </c>
      <c r="U1512" s="231" t="n">
        <f aca="false">+$I1512</f>
        <v>0</v>
      </c>
      <c r="V1512" s="232" t="str">
        <f aca="false">+PROPER(F1512)</f>
        <v>Soltero(A)</v>
      </c>
    </row>
    <row r="1513" customFormat="false" ht="14.25" hidden="false" customHeight="false" outlineLevel="0" collapsed="false">
      <c r="B1513" s="197" t="n">
        <v>1144060563</v>
      </c>
      <c r="C1513" s="197" t="s">
        <v>3547</v>
      </c>
      <c r="D1513" s="197" t="s">
        <v>2014</v>
      </c>
      <c r="E1513" s="198" t="s">
        <v>944</v>
      </c>
      <c r="F1513" s="198" t="s">
        <v>948</v>
      </c>
      <c r="G1513" s="225" t="n">
        <v>2600000</v>
      </c>
      <c r="H1513" s="225" t="n">
        <v>780000</v>
      </c>
      <c r="I1513" s="225" t="n">
        <v>0</v>
      </c>
      <c r="J1513" s="198" t="n">
        <v>31</v>
      </c>
      <c r="K1513" s="198" t="n">
        <v>4</v>
      </c>
      <c r="L1513" s="226" t="n">
        <v>45475</v>
      </c>
      <c r="M1513" s="226" t="n">
        <v>42887</v>
      </c>
      <c r="N1513" s="227" t="n">
        <v>1</v>
      </c>
      <c r="O1513" s="227" t="s">
        <v>135</v>
      </c>
      <c r="P1513" s="228" t="n">
        <f aca="false">VLOOKUP(B1513,'NIVEL ENERO'!A:D,3,0)</f>
        <v>0.26559333748013</v>
      </c>
      <c r="Q1513" s="229" t="n">
        <f aca="false">VLOOKUP(B1513,'NIVEL ENERO'!A:D,4,0)</f>
        <v>446822</v>
      </c>
      <c r="R1513" s="186" t="str">
        <f aca="false">+PROPER(C1513&amp;" "&amp;D1513)</f>
        <v>Rivera Rodriguez Jennifer</v>
      </c>
      <c r="S1513" s="230" t="n">
        <f aca="false">+YEARFRAC(L1513,$S$1)</f>
        <v>1.86111111111111</v>
      </c>
      <c r="T1513" s="230" t="n">
        <f aca="false">+YEARFRAC(M1513,$S$1)</f>
        <v>8.94722222222222</v>
      </c>
      <c r="U1513" s="231" t="n">
        <f aca="false">+$I1513</f>
        <v>0</v>
      </c>
      <c r="V1513" s="232" t="str">
        <f aca="false">+PROPER(F1513)</f>
        <v>Casado(A)</v>
      </c>
    </row>
    <row r="1514" customFormat="false" ht="14.25" hidden="false" customHeight="false" outlineLevel="0" collapsed="false">
      <c r="B1514" s="197" t="n">
        <v>1144061341</v>
      </c>
      <c r="C1514" s="197" t="s">
        <v>3548</v>
      </c>
      <c r="D1514" s="197" t="s">
        <v>1328</v>
      </c>
      <c r="E1514" s="198" t="s">
        <v>944</v>
      </c>
      <c r="F1514" s="198" t="s">
        <v>948</v>
      </c>
      <c r="G1514" s="225" t="n">
        <v>4523700</v>
      </c>
      <c r="H1514" s="225" t="n">
        <v>3053490</v>
      </c>
      <c r="I1514" s="225" t="n">
        <v>137306</v>
      </c>
      <c r="J1514" s="198" t="n">
        <v>31</v>
      </c>
      <c r="K1514" s="198" t="n">
        <v>1</v>
      </c>
      <c r="L1514" s="226" t="n">
        <v>45051</v>
      </c>
      <c r="M1514" s="226" t="n">
        <v>42353</v>
      </c>
      <c r="N1514" s="227" t="n">
        <v>3</v>
      </c>
      <c r="O1514" s="227" t="s">
        <v>135</v>
      </c>
      <c r="P1514" s="228" t="n">
        <f aca="false">VLOOKUP(B1514,'NIVEL ENERO'!A:D,3,0)</f>
        <v>0.282949649814608</v>
      </c>
      <c r="Q1514" s="229" t="n">
        <f aca="false">VLOOKUP(B1514,'NIVEL ENERO'!A:D,4,0)</f>
        <v>931449</v>
      </c>
      <c r="R1514" s="186" t="str">
        <f aca="false">+PROPER(C1514&amp;" "&amp;D1514)</f>
        <v>Arce Fory Lina Marcela</v>
      </c>
      <c r="S1514" s="230" t="n">
        <f aca="false">+YEARFRAC(L1514,$S$1)</f>
        <v>3.01944444444444</v>
      </c>
      <c r="T1514" s="230" t="n">
        <f aca="false">+YEARFRAC(M1514,$S$1)</f>
        <v>10.4083333333333</v>
      </c>
      <c r="U1514" s="231" t="n">
        <f aca="false">+$I1514</f>
        <v>137306</v>
      </c>
      <c r="V1514" s="232" t="str">
        <f aca="false">+PROPER(F1514)</f>
        <v>Casado(A)</v>
      </c>
    </row>
    <row r="1515" customFormat="false" ht="14.25" hidden="false" customHeight="false" outlineLevel="0" collapsed="false">
      <c r="B1515" s="197" t="n">
        <v>1144062341</v>
      </c>
      <c r="C1515" s="197" t="s">
        <v>3549</v>
      </c>
      <c r="D1515" s="197" t="s">
        <v>3550</v>
      </c>
      <c r="E1515" s="198" t="s">
        <v>944</v>
      </c>
      <c r="F1515" s="198" t="s">
        <v>945</v>
      </c>
      <c r="G1515" s="225" t="n">
        <v>2893800</v>
      </c>
      <c r="H1515" s="225" t="n">
        <v>1801313</v>
      </c>
      <c r="I1515" s="225" t="n">
        <v>0</v>
      </c>
      <c r="J1515" s="198" t="n">
        <v>32</v>
      </c>
      <c r="K1515" s="198" t="n">
        <v>2</v>
      </c>
      <c r="L1515" s="226" t="n">
        <v>45124</v>
      </c>
      <c r="M1515" s="226" t="n">
        <v>44267</v>
      </c>
      <c r="N1515" s="227" t="n">
        <v>0</v>
      </c>
      <c r="O1515" s="227" t="s">
        <v>135</v>
      </c>
      <c r="P1515" s="228" t="n">
        <f aca="false">VLOOKUP(B1515,'NIVEL ENERO'!A:D,3,0)</f>
        <v>0.373654366880207</v>
      </c>
      <c r="Q1515" s="229" t="n">
        <f aca="false">VLOOKUP(B1515,'NIVEL ENERO'!A:D,4,0)</f>
        <v>152278.82</v>
      </c>
      <c r="R1515" s="186" t="str">
        <f aca="false">+PROPER(C1515&amp;" "&amp;D1515)</f>
        <v>Garcia Lucumi Sara Lizeth</v>
      </c>
      <c r="S1515" s="230" t="n">
        <f aca="false">+YEARFRAC(L1515,$S$1)</f>
        <v>2.81944444444444</v>
      </c>
      <c r="T1515" s="230" t="n">
        <f aca="false">+YEARFRAC(M1515,$S$1)</f>
        <v>5.16666666666667</v>
      </c>
      <c r="U1515" s="231" t="n">
        <f aca="false">+$I1515</f>
        <v>0</v>
      </c>
      <c r="V1515" s="232" t="str">
        <f aca="false">+PROPER(F1515)</f>
        <v>Union Libre</v>
      </c>
    </row>
    <row r="1516" customFormat="false" ht="14.25" hidden="false" customHeight="false" outlineLevel="0" collapsed="false">
      <c r="B1516" s="197" t="n">
        <v>1144062811</v>
      </c>
      <c r="C1516" s="197" t="s">
        <v>3551</v>
      </c>
      <c r="D1516" s="197" t="s">
        <v>3552</v>
      </c>
      <c r="E1516" s="198" t="s">
        <v>944</v>
      </c>
      <c r="F1516" s="198" t="s">
        <v>953</v>
      </c>
      <c r="G1516" s="225" t="n">
        <v>6796400</v>
      </c>
      <c r="H1516" s="225" t="n">
        <v>500000</v>
      </c>
      <c r="I1516" s="225"/>
      <c r="J1516" s="198" t="n">
        <v>31</v>
      </c>
      <c r="K1516" s="198" t="n">
        <v>1</v>
      </c>
      <c r="L1516" s="226" t="n">
        <v>45518</v>
      </c>
      <c r="M1516" s="226" t="n">
        <v>45002</v>
      </c>
      <c r="N1516" s="227" t="n">
        <v>0</v>
      </c>
      <c r="O1516" s="227" t="s">
        <v>135</v>
      </c>
      <c r="P1516" s="228" t="n">
        <f aca="false">VLOOKUP(B1516,'NIVEL ENERO'!A:D,3,0)</f>
        <v>0.147922375460322</v>
      </c>
      <c r="Q1516" s="229" t="n">
        <f aca="false">VLOOKUP(B1516,'NIVEL ENERO'!A:D,4,0)</f>
        <v>2745147.78</v>
      </c>
      <c r="R1516" s="186" t="str">
        <f aca="false">+PROPER(C1516&amp;" "&amp;D1516)</f>
        <v>Guaitarilla Soto Juan Manuel</v>
      </c>
      <c r="S1516" s="230" t="n">
        <f aca="false">+YEARFRAC(L1516,$S$1)</f>
        <v>1.74444444444444</v>
      </c>
      <c r="T1516" s="230" t="n">
        <f aca="false">+YEARFRAC(M1516,$S$1)</f>
        <v>3.15277777777778</v>
      </c>
      <c r="U1516" s="231" t="n">
        <f aca="false">+$I1516</f>
        <v>0</v>
      </c>
      <c r="V1516" s="232" t="str">
        <f aca="false">+PROPER(F1516)</f>
        <v>Soltero(A)</v>
      </c>
    </row>
    <row r="1517" customFormat="false" ht="14.25" hidden="false" customHeight="false" outlineLevel="0" collapsed="false">
      <c r="B1517" s="197" t="n">
        <v>1144063311</v>
      </c>
      <c r="C1517" s="197" t="s">
        <v>3553</v>
      </c>
      <c r="D1517" s="197" t="s">
        <v>2619</v>
      </c>
      <c r="E1517" s="198" t="s">
        <v>944</v>
      </c>
      <c r="F1517" s="198" t="s">
        <v>953</v>
      </c>
      <c r="G1517" s="225" t="n">
        <v>4469100</v>
      </c>
      <c r="H1517" s="225" t="n">
        <v>1910716</v>
      </c>
      <c r="I1517" s="225" t="n">
        <v>0</v>
      </c>
      <c r="J1517" s="198" t="n">
        <v>31</v>
      </c>
      <c r="K1517" s="198" t="n">
        <v>2</v>
      </c>
      <c r="L1517" s="226" t="n">
        <v>44670</v>
      </c>
      <c r="M1517" s="226" t="n">
        <v>44262</v>
      </c>
      <c r="N1517" s="227" t="n">
        <v>1</v>
      </c>
      <c r="O1517" s="227" t="s">
        <v>135</v>
      </c>
      <c r="P1517" s="228" t="n">
        <f aca="false">VLOOKUP(B1517,'NIVEL ENERO'!A:D,3,0)</f>
        <v>0.144191895459936</v>
      </c>
      <c r="Q1517" s="229" t="n">
        <f aca="false">VLOOKUP(B1517,'NIVEL ENERO'!A:D,4,0)</f>
        <v>1232614</v>
      </c>
      <c r="R1517" s="186" t="str">
        <f aca="false">+PROPER(C1517&amp;" "&amp;D1517)</f>
        <v>Galeano Gutierrez Stephany</v>
      </c>
      <c r="S1517" s="230" t="n">
        <f aca="false">+YEARFRAC(L1517,$S$1)</f>
        <v>4.06388888888889</v>
      </c>
      <c r="T1517" s="230" t="n">
        <f aca="false">+YEARFRAC(M1517,$S$1)</f>
        <v>5.18055555555556</v>
      </c>
      <c r="U1517" s="231" t="n">
        <f aca="false">+$I1517</f>
        <v>0</v>
      </c>
      <c r="V1517" s="232" t="str">
        <f aca="false">+PROPER(F1517)</f>
        <v>Soltero(A)</v>
      </c>
    </row>
    <row r="1518" customFormat="false" ht="14.25" hidden="false" customHeight="false" outlineLevel="0" collapsed="false">
      <c r="B1518" s="197" t="n">
        <v>1144063824</v>
      </c>
      <c r="C1518" s="197" t="s">
        <v>3554</v>
      </c>
      <c r="D1518" s="197" t="s">
        <v>3555</v>
      </c>
      <c r="E1518" s="198" t="s">
        <v>944</v>
      </c>
      <c r="F1518" s="198" t="s">
        <v>945</v>
      </c>
      <c r="G1518" s="225" t="n">
        <v>2893800</v>
      </c>
      <c r="H1518" s="225" t="n">
        <v>3418364</v>
      </c>
      <c r="I1518" s="225" t="n">
        <v>6139286</v>
      </c>
      <c r="J1518" s="198" t="n">
        <v>31</v>
      </c>
      <c r="K1518" s="198" t="n">
        <v>2</v>
      </c>
      <c r="L1518" s="226" t="n">
        <v>43509</v>
      </c>
      <c r="M1518" s="226" t="n">
        <v>42100</v>
      </c>
      <c r="N1518" s="227" t="n">
        <v>4</v>
      </c>
      <c r="O1518" s="227" t="s">
        <v>135</v>
      </c>
      <c r="P1518" s="228" t="n">
        <f aca="false">VLOOKUP(B1518,'NIVEL ENERO'!A:D,3,0)</f>
        <v>0.357803446381009</v>
      </c>
      <c r="Q1518" s="229" t="n">
        <f aca="false">VLOOKUP(B1518,'NIVEL ENERO'!A:D,4,0)</f>
        <v>262440.68</v>
      </c>
      <c r="R1518" s="186" t="str">
        <f aca="false">+PROPER(C1518&amp;" "&amp;D1518)</f>
        <v>Martinez Sarasty Eliana Alexandra</v>
      </c>
      <c r="S1518" s="230" t="n">
        <f aca="false">+YEARFRAC(L1518,$S$1)</f>
        <v>7.24722222222222</v>
      </c>
      <c r="T1518" s="230" t="n">
        <f aca="false">+YEARFRAC(M1518,$S$1)</f>
        <v>11.1</v>
      </c>
      <c r="U1518" s="231" t="n">
        <f aca="false">+$I1518</f>
        <v>6139286</v>
      </c>
      <c r="V1518" s="232" t="str">
        <f aca="false">+PROPER(F1518)</f>
        <v>Union Libre</v>
      </c>
    </row>
    <row r="1519" customFormat="false" ht="14.25" hidden="false" customHeight="false" outlineLevel="0" collapsed="false">
      <c r="B1519" s="197" t="n">
        <v>1144063930</v>
      </c>
      <c r="C1519" s="197" t="s">
        <v>3556</v>
      </c>
      <c r="D1519" s="197" t="s">
        <v>1695</v>
      </c>
      <c r="E1519" s="198" t="s">
        <v>944</v>
      </c>
      <c r="F1519" s="198" t="s">
        <v>953</v>
      </c>
      <c r="G1519" s="225" t="n">
        <v>3122800</v>
      </c>
      <c r="H1519" s="225" t="n">
        <v>1896104</v>
      </c>
      <c r="I1519" s="225" t="n">
        <v>0</v>
      </c>
      <c r="J1519" s="198" t="n">
        <v>31</v>
      </c>
      <c r="K1519" s="198" t="n">
        <v>4</v>
      </c>
      <c r="L1519" s="226" t="n">
        <v>44825</v>
      </c>
      <c r="M1519" s="226" t="n">
        <v>41133</v>
      </c>
      <c r="N1519" s="227" t="n">
        <v>1</v>
      </c>
      <c r="O1519" s="227" t="s">
        <v>135</v>
      </c>
      <c r="P1519" s="228" t="n">
        <f aca="false">VLOOKUP(B1519,'NIVEL ENERO'!A:D,3,0)</f>
        <v>0.124752268174856</v>
      </c>
      <c r="Q1519" s="229" t="n">
        <f aca="false">VLOOKUP(B1519,'NIVEL ENERO'!A:D,4,0)</f>
        <v>1002307</v>
      </c>
      <c r="R1519" s="186" t="str">
        <f aca="false">+PROPER(C1519&amp;" "&amp;D1519)</f>
        <v>Montoya Martinez Lorena</v>
      </c>
      <c r="S1519" s="230" t="n">
        <f aca="false">+YEARFRAC(L1519,$S$1)</f>
        <v>3.64166666666667</v>
      </c>
      <c r="T1519" s="230" t="n">
        <f aca="false">+YEARFRAC(M1519,$S$1)</f>
        <v>13.75</v>
      </c>
      <c r="U1519" s="231" t="n">
        <f aca="false">+$I1519</f>
        <v>0</v>
      </c>
      <c r="V1519" s="232" t="str">
        <f aca="false">+PROPER(F1519)</f>
        <v>Soltero(A)</v>
      </c>
    </row>
    <row r="1520" customFormat="false" ht="14.25" hidden="false" customHeight="false" outlineLevel="0" collapsed="false">
      <c r="B1520" s="197" t="n">
        <v>1144063991</v>
      </c>
      <c r="C1520" s="197" t="s">
        <v>3557</v>
      </c>
      <c r="D1520" s="197" t="s">
        <v>3558</v>
      </c>
      <c r="E1520" s="198" t="s">
        <v>944</v>
      </c>
      <c r="F1520" s="198" t="s">
        <v>953</v>
      </c>
      <c r="G1520" s="225" t="n">
        <v>2893800</v>
      </c>
      <c r="H1520" s="225" t="n">
        <v>3112780</v>
      </c>
      <c r="I1520" s="225" t="n">
        <v>4364615</v>
      </c>
      <c r="J1520" s="198" t="n">
        <v>31</v>
      </c>
      <c r="K1520" s="198" t="n">
        <v>1</v>
      </c>
      <c r="L1520" s="226" t="n">
        <v>44699</v>
      </c>
      <c r="M1520" s="226" t="n">
        <v>43359</v>
      </c>
      <c r="N1520" s="227" t="n">
        <v>3</v>
      </c>
      <c r="O1520" s="227" t="s">
        <v>135</v>
      </c>
      <c r="P1520" s="228" t="n">
        <f aca="false">VLOOKUP(B1520,'NIVEL ENERO'!A:D,3,0)</f>
        <v>0.281105990299024</v>
      </c>
      <c r="Q1520" s="229" t="n">
        <f aca="false">VLOOKUP(B1520,'NIVEL ENERO'!A:D,4,0)</f>
        <v>440464.48</v>
      </c>
      <c r="R1520" s="186" t="str">
        <f aca="false">+PROPER(C1520&amp;" "&amp;D1520)</f>
        <v>Lucumi Perlaza Gloria Ivonne</v>
      </c>
      <c r="S1520" s="230" t="n">
        <f aca="false">+YEARFRAC(L1520,$S$1)</f>
        <v>3.98333333333333</v>
      </c>
      <c r="T1520" s="230" t="n">
        <f aca="false">+YEARFRAC(M1520,$S$1)</f>
        <v>7.65555555555556</v>
      </c>
      <c r="U1520" s="231" t="n">
        <f aca="false">+$I1520</f>
        <v>4364615</v>
      </c>
      <c r="V1520" s="232" t="str">
        <f aca="false">+PROPER(F1520)</f>
        <v>Soltero(A)</v>
      </c>
    </row>
    <row r="1521" customFormat="false" ht="14.25" hidden="false" customHeight="false" outlineLevel="0" collapsed="false">
      <c r="B1521" s="197" t="n">
        <v>1144065325</v>
      </c>
      <c r="C1521" s="197" t="s">
        <v>3559</v>
      </c>
      <c r="D1521" s="197" t="s">
        <v>2658</v>
      </c>
      <c r="E1521" s="198" t="s">
        <v>944</v>
      </c>
      <c r="F1521" s="198" t="s">
        <v>953</v>
      </c>
      <c r="G1521" s="225" t="n">
        <v>3945300</v>
      </c>
      <c r="H1521" s="225" t="n">
        <v>1860209</v>
      </c>
      <c r="I1521" s="225" t="n">
        <v>20209532</v>
      </c>
      <c r="J1521" s="198" t="n">
        <v>31</v>
      </c>
      <c r="K1521" s="198" t="n">
        <v>1</v>
      </c>
      <c r="L1521" s="226" t="n">
        <v>44669</v>
      </c>
      <c r="M1521" s="226" t="n">
        <v>42948</v>
      </c>
      <c r="N1521" s="227" t="n">
        <v>2</v>
      </c>
      <c r="O1521" s="227" t="s">
        <v>135</v>
      </c>
      <c r="P1521" s="228" t="n">
        <f aca="false">VLOOKUP(B1521,'NIVEL ENERO'!A:D,3,0)</f>
        <v>0.420514275834166</v>
      </c>
      <c r="Q1521" s="229" t="n">
        <f aca="false">VLOOKUP(B1521,'NIVEL ENERO'!A:D,4,0)</f>
        <v>-2073.14000000013</v>
      </c>
      <c r="R1521" s="186" t="str">
        <f aca="false">+PROPER(C1521&amp;" "&amp;D1521)</f>
        <v>Gutierrez Calderon Daniela</v>
      </c>
      <c r="S1521" s="230" t="n">
        <f aca="false">+YEARFRAC(L1521,$S$1)</f>
        <v>4.06666666666667</v>
      </c>
      <c r="T1521" s="230" t="n">
        <f aca="false">+YEARFRAC(M1521,$S$1)</f>
        <v>8.78055555555556</v>
      </c>
      <c r="U1521" s="231" t="n">
        <f aca="false">+$I1521</f>
        <v>20209532</v>
      </c>
      <c r="V1521" s="232" t="str">
        <f aca="false">+PROPER(F1521)</f>
        <v>Soltero(A)</v>
      </c>
    </row>
    <row r="1522" customFormat="false" ht="14.25" hidden="false" customHeight="false" outlineLevel="0" collapsed="false">
      <c r="B1522" s="197" t="n">
        <v>1144066909</v>
      </c>
      <c r="C1522" s="197" t="s">
        <v>3560</v>
      </c>
      <c r="D1522" s="197" t="s">
        <v>1328</v>
      </c>
      <c r="E1522" s="198" t="s">
        <v>944</v>
      </c>
      <c r="F1522" s="198" t="s">
        <v>953</v>
      </c>
      <c r="G1522" s="225" t="n">
        <v>4469100</v>
      </c>
      <c r="H1522" s="225" t="n">
        <v>7764778</v>
      </c>
      <c r="I1522" s="225" t="n">
        <v>1459898</v>
      </c>
      <c r="J1522" s="198" t="n">
        <v>31</v>
      </c>
      <c r="K1522" s="198" t="n">
        <v>3</v>
      </c>
      <c r="L1522" s="226" t="n">
        <v>44271</v>
      </c>
      <c r="M1522" s="226" t="n">
        <v>43516</v>
      </c>
      <c r="N1522" s="227" t="n">
        <v>2</v>
      </c>
      <c r="O1522" s="227" t="s">
        <v>135</v>
      </c>
      <c r="P1522" s="228" t="n">
        <f aca="false">VLOOKUP(B1522,'NIVEL ENERO'!A:D,3,0)</f>
        <v>0.365801692916111</v>
      </c>
      <c r="Q1522" s="229" t="n">
        <f aca="false">VLOOKUP(B1522,'NIVEL ENERO'!A:D,4,0)</f>
        <v>271705.02</v>
      </c>
      <c r="R1522" s="186" t="str">
        <f aca="false">+PROPER(C1522&amp;" "&amp;D1522)</f>
        <v>Palomeque Jimenez Lina Marcela</v>
      </c>
      <c r="S1522" s="230" t="n">
        <f aca="false">+YEARFRAC(L1522,$S$1)</f>
        <v>5.15555555555556</v>
      </c>
      <c r="T1522" s="230" t="n">
        <f aca="false">+YEARFRAC(M1522,$S$1)</f>
        <v>7.22777777777778</v>
      </c>
      <c r="U1522" s="231" t="n">
        <f aca="false">+$I1522</f>
        <v>1459898</v>
      </c>
      <c r="V1522" s="232" t="str">
        <f aca="false">+PROPER(F1522)</f>
        <v>Soltero(A)</v>
      </c>
    </row>
    <row r="1523" customFormat="false" ht="14.25" hidden="false" customHeight="false" outlineLevel="0" collapsed="false">
      <c r="B1523" s="197" t="n">
        <v>1144067354</v>
      </c>
      <c r="C1523" s="197" t="s">
        <v>3561</v>
      </c>
      <c r="D1523" s="197" t="s">
        <v>2658</v>
      </c>
      <c r="E1523" s="198" t="s">
        <v>944</v>
      </c>
      <c r="F1523" s="198" t="s">
        <v>953</v>
      </c>
      <c r="G1523" s="225" t="n">
        <v>5418800</v>
      </c>
      <c r="H1523" s="225" t="n">
        <v>3854022</v>
      </c>
      <c r="I1523" s="225" t="n">
        <v>6439490</v>
      </c>
      <c r="J1523" s="198" t="n">
        <v>30</v>
      </c>
      <c r="K1523" s="198" t="n">
        <v>6</v>
      </c>
      <c r="L1523" s="226" t="n">
        <v>43595</v>
      </c>
      <c r="M1523" s="226" t="n">
        <v>42830</v>
      </c>
      <c r="N1523" s="227" t="n">
        <v>4</v>
      </c>
      <c r="O1523" s="227" t="s">
        <v>135</v>
      </c>
      <c r="P1523" s="228" t="n">
        <f aca="false">VLOOKUP(B1523,'NIVEL ENERO'!A:D,3,0)</f>
        <v>0.200983054826926</v>
      </c>
      <c r="Q1523" s="229" t="n">
        <f aca="false">VLOOKUP(B1523,'NIVEL ENERO'!A:D,4,0)</f>
        <v>1160435.44</v>
      </c>
      <c r="R1523" s="186" t="str">
        <f aca="false">+PROPER(C1523&amp;" "&amp;D1523)</f>
        <v>Bahamon Uribe Daniela</v>
      </c>
      <c r="S1523" s="230" t="n">
        <f aca="false">+YEARFRAC(L1523,$S$1)</f>
        <v>7.00555555555556</v>
      </c>
      <c r="T1523" s="230" t="n">
        <f aca="false">+YEARFRAC(M1523,$S$1)</f>
        <v>9.10277777777778</v>
      </c>
      <c r="U1523" s="231" t="n">
        <f aca="false">+$I1523</f>
        <v>6439490</v>
      </c>
      <c r="V1523" s="232" t="str">
        <f aca="false">+PROPER(F1523)</f>
        <v>Soltero(A)</v>
      </c>
    </row>
    <row r="1524" customFormat="false" ht="14.25" hidden="false" customHeight="false" outlineLevel="0" collapsed="false">
      <c r="B1524" s="197" t="n">
        <v>1144067909</v>
      </c>
      <c r="C1524" s="197" t="s">
        <v>3562</v>
      </c>
      <c r="D1524" s="197" t="s">
        <v>2496</v>
      </c>
      <c r="E1524" s="198" t="s">
        <v>944</v>
      </c>
      <c r="F1524" s="198" t="s">
        <v>948</v>
      </c>
      <c r="G1524" s="225" t="n">
        <v>7551500</v>
      </c>
      <c r="H1524" s="225" t="n">
        <v>1300011</v>
      </c>
      <c r="I1524" s="225"/>
      <c r="J1524" s="198" t="n">
        <v>30</v>
      </c>
      <c r="K1524" s="198" t="n">
        <v>2</v>
      </c>
      <c r="L1524" s="226" t="n">
        <v>45279</v>
      </c>
      <c r="M1524" s="226" t="n">
        <v>44835</v>
      </c>
      <c r="N1524" s="227" t="n">
        <v>0</v>
      </c>
      <c r="O1524" s="227" t="s">
        <v>135</v>
      </c>
      <c r="P1524" s="228" t="n">
        <f aca="false">VLOOKUP(B1524,'NIVEL ENERO'!A:D,3,0)</f>
        <v>0.144830055047537</v>
      </c>
      <c r="Q1524" s="229" t="n">
        <f aca="false">VLOOKUP(B1524,'NIVEL ENERO'!A:D,4,0)</f>
        <v>2477423.44</v>
      </c>
      <c r="R1524" s="186" t="str">
        <f aca="false">+PROPER(C1524&amp;" "&amp;D1524)</f>
        <v>Acevedo Rojas Alvaro Javier</v>
      </c>
      <c r="S1524" s="230" t="n">
        <f aca="false">+YEARFRAC(L1524,$S$1)</f>
        <v>2.39722222222222</v>
      </c>
      <c r="T1524" s="230" t="n">
        <f aca="false">+YEARFRAC(M1524,$S$1)</f>
        <v>3.61388888888889</v>
      </c>
      <c r="U1524" s="231" t="n">
        <f aca="false">+$I1524</f>
        <v>0</v>
      </c>
      <c r="V1524" s="232" t="str">
        <f aca="false">+PROPER(F1524)</f>
        <v>Casado(A)</v>
      </c>
    </row>
    <row r="1525" customFormat="false" ht="14.25" hidden="false" customHeight="false" outlineLevel="0" collapsed="false">
      <c r="B1525" s="197" t="n">
        <v>1144067925</v>
      </c>
      <c r="C1525" s="197" t="s">
        <v>3563</v>
      </c>
      <c r="D1525" s="197" t="s">
        <v>3564</v>
      </c>
      <c r="E1525" s="198" t="s">
        <v>944</v>
      </c>
      <c r="F1525" s="198" t="s">
        <v>948</v>
      </c>
      <c r="G1525" s="225" t="n">
        <v>4469100</v>
      </c>
      <c r="H1525" s="225" t="n">
        <v>1306527</v>
      </c>
      <c r="I1525" s="225" t="n">
        <v>0</v>
      </c>
      <c r="J1525" s="198" t="n">
        <v>30</v>
      </c>
      <c r="K1525" s="198" t="n">
        <v>1</v>
      </c>
      <c r="L1525" s="226" t="n">
        <v>45279</v>
      </c>
      <c r="M1525" s="226" t="n">
        <v>42628</v>
      </c>
      <c r="N1525" s="227" t="n">
        <v>2</v>
      </c>
      <c r="O1525" s="227" t="s">
        <v>135</v>
      </c>
      <c r="P1525" s="228" t="n">
        <f aca="false">VLOOKUP(B1525,'NIVEL ENERO'!A:D,3,0)</f>
        <v>0.376563479570702</v>
      </c>
      <c r="Q1525" s="229" t="n">
        <f aca="false">VLOOKUP(B1525,'NIVEL ENERO'!A:D,4,0)</f>
        <v>240303.5</v>
      </c>
      <c r="R1525" s="186" t="str">
        <f aca="false">+PROPER(C1525&amp;" "&amp;D1525)</f>
        <v>Rodriguez Almario Jully Paulin</v>
      </c>
      <c r="S1525" s="230" t="n">
        <f aca="false">+YEARFRAC(L1525,$S$1)</f>
        <v>2.39722222222222</v>
      </c>
      <c r="T1525" s="230" t="n">
        <f aca="false">+YEARFRAC(M1525,$S$1)</f>
        <v>9.65833333333333</v>
      </c>
      <c r="U1525" s="231" t="n">
        <f aca="false">+$I1525</f>
        <v>0</v>
      </c>
      <c r="V1525" s="232" t="str">
        <f aca="false">+PROPER(F1525)</f>
        <v>Casado(A)</v>
      </c>
    </row>
    <row r="1526" customFormat="false" ht="14.25" hidden="false" customHeight="false" outlineLevel="0" collapsed="false">
      <c r="B1526" s="197" t="n">
        <v>1144069010</v>
      </c>
      <c r="C1526" s="197" t="s">
        <v>3565</v>
      </c>
      <c r="D1526" s="197" t="s">
        <v>3566</v>
      </c>
      <c r="E1526" s="198" t="s">
        <v>944</v>
      </c>
      <c r="F1526" s="198" t="s">
        <v>948</v>
      </c>
      <c r="G1526" s="225" t="n">
        <v>1625000</v>
      </c>
      <c r="H1526" s="225" t="n">
        <v>1472182</v>
      </c>
      <c r="I1526" s="225" t="n">
        <v>1603777</v>
      </c>
      <c r="J1526" s="198" t="n">
        <v>31</v>
      </c>
      <c r="K1526" s="198" t="n">
        <v>2</v>
      </c>
      <c r="L1526" s="226" t="n">
        <v>45026</v>
      </c>
      <c r="M1526" s="226" t="n">
        <v>44844</v>
      </c>
      <c r="N1526" s="227" t="n">
        <v>0</v>
      </c>
      <c r="O1526" s="227" t="s">
        <v>135</v>
      </c>
      <c r="P1526" s="228" t="n">
        <f aca="false">VLOOKUP(B1526,'NIVEL ENERO'!A:D,3,0)</f>
        <v>0.243132124926755</v>
      </c>
      <c r="Q1526" s="229" t="n">
        <f aca="false">VLOOKUP(B1526,'NIVEL ENERO'!A:D,4,0)</f>
        <v>366135.78</v>
      </c>
      <c r="R1526" s="186" t="str">
        <f aca="false">+PROPER(C1526&amp;" "&amp;D1526)</f>
        <v>Arango Castro Gloria Shirley</v>
      </c>
      <c r="S1526" s="230" t="n">
        <f aca="false">+YEARFRAC(L1526,$S$1)</f>
        <v>3.08888888888889</v>
      </c>
      <c r="T1526" s="230" t="n">
        <f aca="false">+YEARFRAC(M1526,$S$1)</f>
        <v>3.58888888888889</v>
      </c>
      <c r="U1526" s="231" t="n">
        <f aca="false">+$I1526</f>
        <v>1603777</v>
      </c>
      <c r="V1526" s="232" t="str">
        <f aca="false">+PROPER(F1526)</f>
        <v>Casado(A)</v>
      </c>
    </row>
    <row r="1527" customFormat="false" ht="14.25" hidden="false" customHeight="false" outlineLevel="0" collapsed="false">
      <c r="B1527" s="197" t="n">
        <v>1144069289</v>
      </c>
      <c r="C1527" s="197" t="s">
        <v>3567</v>
      </c>
      <c r="D1527" s="197" t="s">
        <v>3342</v>
      </c>
      <c r="E1527" s="198" t="s">
        <v>944</v>
      </c>
      <c r="F1527" s="198" t="s">
        <v>998</v>
      </c>
      <c r="G1527" s="225" t="n">
        <v>2600900</v>
      </c>
      <c r="H1527" s="225" t="n">
        <v>1231858</v>
      </c>
      <c r="I1527" s="225" t="n">
        <v>500865</v>
      </c>
      <c r="J1527" s="198" t="n">
        <v>30</v>
      </c>
      <c r="K1527" s="198" t="n">
        <v>2</v>
      </c>
      <c r="L1527" s="226" t="n">
        <v>45190</v>
      </c>
      <c r="M1527" s="226" t="n">
        <v>41958</v>
      </c>
      <c r="N1527" s="227" t="n">
        <v>4</v>
      </c>
      <c r="O1527" s="227" t="s">
        <v>135</v>
      </c>
      <c r="P1527" s="228" t="n">
        <f aca="false">VLOOKUP(B1527,'NIVEL ENERO'!A:D,3,0)</f>
        <v>0.350975600792317</v>
      </c>
      <c r="Q1527" s="229" t="n">
        <f aca="false">VLOOKUP(B1527,'NIVEL ENERO'!A:D,4,0)</f>
        <v>242905.88</v>
      </c>
      <c r="R1527" s="186" t="str">
        <f aca="false">+PROPER(C1527&amp;" "&amp;D1527)</f>
        <v>Papamija Gonzalez Yamileth</v>
      </c>
      <c r="S1527" s="230" t="n">
        <f aca="false">+YEARFRAC(L1527,$S$1)</f>
        <v>2.64166666666667</v>
      </c>
      <c r="T1527" s="230" t="n">
        <f aca="false">+YEARFRAC(M1527,$S$1)</f>
        <v>11.4916666666667</v>
      </c>
      <c r="U1527" s="231" t="n">
        <f aca="false">+$I1527</f>
        <v>500865</v>
      </c>
      <c r="V1527" s="232" t="str">
        <f aca="false">+PROPER(F1527)</f>
        <v>Separado(A)</v>
      </c>
    </row>
    <row r="1528" customFormat="false" ht="14.25" hidden="false" customHeight="false" outlineLevel="0" collapsed="false">
      <c r="B1528" s="197" t="n">
        <v>1144069656</v>
      </c>
      <c r="C1528" s="197" t="s">
        <v>3568</v>
      </c>
      <c r="D1528" s="197" t="s">
        <v>3569</v>
      </c>
      <c r="E1528" s="198" t="s">
        <v>944</v>
      </c>
      <c r="F1528" s="198" t="s">
        <v>953</v>
      </c>
      <c r="G1528" s="225" t="n">
        <v>2893800</v>
      </c>
      <c r="H1528" s="225" t="n">
        <v>2805233</v>
      </c>
      <c r="I1528" s="225" t="n">
        <v>0</v>
      </c>
      <c r="J1528" s="198" t="n">
        <v>30</v>
      </c>
      <c r="K1528" s="198" t="n">
        <v>3</v>
      </c>
      <c r="L1528" s="226" t="n">
        <v>44090</v>
      </c>
      <c r="M1528" s="226" t="n">
        <v>42226</v>
      </c>
      <c r="N1528" s="227" t="n">
        <v>3</v>
      </c>
      <c r="O1528" s="227" t="s">
        <v>135</v>
      </c>
      <c r="P1528" s="228" t="n">
        <f aca="false">VLOOKUP(B1528,'NIVEL ENERO'!A:D,3,0)</f>
        <v>0.392001844949934</v>
      </c>
      <c r="Q1528" s="229" t="n">
        <f aca="false">VLOOKUP(B1528,'NIVEL ENERO'!A:D,4,0)</f>
        <v>99268.4199999999</v>
      </c>
      <c r="R1528" s="186" t="str">
        <f aca="false">+PROPER(C1528&amp;" "&amp;D1528)</f>
        <v>Muriel Tabares Jeniffer Jesset</v>
      </c>
      <c r="S1528" s="230" t="n">
        <f aca="false">+YEARFRAC(L1528,$S$1)</f>
        <v>5.65555555555556</v>
      </c>
      <c r="T1528" s="230" t="n">
        <f aca="false">+YEARFRAC(M1528,$S$1)</f>
        <v>10.7555555555556</v>
      </c>
      <c r="U1528" s="231" t="n">
        <f aca="false">+$I1528</f>
        <v>0</v>
      </c>
      <c r="V1528" s="232" t="str">
        <f aca="false">+PROPER(F1528)</f>
        <v>Soltero(A)</v>
      </c>
    </row>
    <row r="1529" customFormat="false" ht="14.25" hidden="false" customHeight="false" outlineLevel="0" collapsed="false">
      <c r="B1529" s="197" t="n">
        <v>1144070112</v>
      </c>
      <c r="C1529" s="197" t="s">
        <v>3570</v>
      </c>
      <c r="D1529" s="197" t="s">
        <v>3571</v>
      </c>
      <c r="E1529" s="198" t="s">
        <v>944</v>
      </c>
      <c r="F1529" s="198" t="s">
        <v>953</v>
      </c>
      <c r="G1529" s="225" t="n">
        <v>2893800</v>
      </c>
      <c r="H1529" s="225" t="n">
        <v>1708686</v>
      </c>
      <c r="I1529" s="225" t="n">
        <v>0</v>
      </c>
      <c r="J1529" s="198" t="n">
        <v>30</v>
      </c>
      <c r="K1529" s="198" t="n">
        <v>1</v>
      </c>
      <c r="L1529" s="226" t="n">
        <v>44753</v>
      </c>
      <c r="M1529" s="226" t="n">
        <v>44365</v>
      </c>
      <c r="N1529" s="227" t="n">
        <v>1</v>
      </c>
      <c r="O1529" s="227" t="s">
        <v>135</v>
      </c>
      <c r="P1529" s="228" t="n">
        <f aca="false">VLOOKUP(B1529,'NIVEL ENERO'!A:D,3,0)</f>
        <v>0.418412813601493</v>
      </c>
      <c r="Q1529" s="229" t="n">
        <f aca="false">VLOOKUP(B1529,'NIVEL ENERO'!A:D,4,0)</f>
        <v>4593</v>
      </c>
      <c r="R1529" s="186" t="str">
        <f aca="false">+PROPER(C1529&amp;" "&amp;D1529)</f>
        <v>Valencia Yensy Julieth</v>
      </c>
      <c r="S1529" s="230" t="n">
        <f aca="false">+YEARFRAC(L1529,$S$1)</f>
        <v>3.83611111111111</v>
      </c>
      <c r="T1529" s="230" t="n">
        <f aca="false">+YEARFRAC(M1529,$S$1)</f>
        <v>4.9</v>
      </c>
      <c r="U1529" s="231" t="n">
        <f aca="false">+$I1529</f>
        <v>0</v>
      </c>
      <c r="V1529" s="232" t="str">
        <f aca="false">+PROPER(F1529)</f>
        <v>Soltero(A)</v>
      </c>
    </row>
    <row r="1530" customFormat="false" ht="14.25" hidden="false" customHeight="false" outlineLevel="0" collapsed="false">
      <c r="B1530" s="197" t="n">
        <v>1144070516</v>
      </c>
      <c r="C1530" s="197" t="s">
        <v>3572</v>
      </c>
      <c r="D1530" s="197" t="s">
        <v>3573</v>
      </c>
      <c r="E1530" s="198" t="s">
        <v>944</v>
      </c>
      <c r="F1530" s="198" t="s">
        <v>953</v>
      </c>
      <c r="G1530" s="225" t="n">
        <v>2600900</v>
      </c>
      <c r="H1530" s="225" t="n">
        <v>3314810</v>
      </c>
      <c r="I1530" s="225" t="n">
        <v>0</v>
      </c>
      <c r="J1530" s="198" t="n">
        <v>30</v>
      </c>
      <c r="K1530" s="198" t="n">
        <v>2</v>
      </c>
      <c r="L1530" s="226" t="n">
        <v>44669</v>
      </c>
      <c r="M1530" s="226" t="n">
        <v>43845</v>
      </c>
      <c r="N1530" s="227" t="n">
        <v>2</v>
      </c>
      <c r="O1530" s="227" t="s">
        <v>135</v>
      </c>
      <c r="P1530" s="228" t="n">
        <f aca="false">VLOOKUP(B1530,'NIVEL ENERO'!A:D,3,0)</f>
        <v>0.138996003064025</v>
      </c>
      <c r="Q1530" s="229" t="n">
        <f aca="false">VLOOKUP(B1530,'NIVEL ENERO'!A:D,4,0)</f>
        <v>790179.68</v>
      </c>
      <c r="R1530" s="186" t="str">
        <f aca="false">+PROPER(C1530&amp;" "&amp;D1530)</f>
        <v>Salazar Fajardo Liceth Catherine</v>
      </c>
      <c r="S1530" s="230" t="n">
        <f aca="false">+YEARFRAC(L1530,$S$1)</f>
        <v>4.06666666666667</v>
      </c>
      <c r="T1530" s="230" t="n">
        <f aca="false">+YEARFRAC(M1530,$S$1)</f>
        <v>6.325</v>
      </c>
      <c r="U1530" s="231" t="n">
        <f aca="false">+$I1530</f>
        <v>0</v>
      </c>
      <c r="V1530" s="232" t="str">
        <f aca="false">+PROPER(F1530)</f>
        <v>Soltero(A)</v>
      </c>
    </row>
    <row r="1531" customFormat="false" ht="14.25" hidden="false" customHeight="false" outlineLevel="0" collapsed="false">
      <c r="B1531" s="197" t="n">
        <v>1144071455</v>
      </c>
      <c r="C1531" s="197" t="s">
        <v>3574</v>
      </c>
      <c r="D1531" s="197" t="s">
        <v>1328</v>
      </c>
      <c r="E1531" s="198" t="s">
        <v>944</v>
      </c>
      <c r="F1531" s="198" t="s">
        <v>945</v>
      </c>
      <c r="G1531" s="225" t="n">
        <v>2893800</v>
      </c>
      <c r="H1531" s="225" t="n">
        <v>2506603</v>
      </c>
      <c r="I1531" s="225" t="n">
        <v>3032286</v>
      </c>
      <c r="J1531" s="198" t="n">
        <v>30</v>
      </c>
      <c r="K1531" s="198" t="n">
        <v>2</v>
      </c>
      <c r="L1531" s="226" t="n">
        <v>44203</v>
      </c>
      <c r="M1531" s="226" t="n">
        <v>42646</v>
      </c>
      <c r="N1531" s="227" t="n">
        <v>2</v>
      </c>
      <c r="O1531" s="227" t="s">
        <v>135</v>
      </c>
      <c r="P1531" s="228" t="n">
        <f aca="false">VLOOKUP(B1531,'NIVEL ENERO'!A:D,3,0)</f>
        <v>0.382400662391432</v>
      </c>
      <c r="Q1531" s="229" t="n">
        <f aca="false">VLOOKUP(B1531,'NIVEL ENERO'!A:D,4,0)</f>
        <v>120246.78</v>
      </c>
      <c r="R1531" s="186" t="str">
        <f aca="false">+PROPER(C1531&amp;" "&amp;D1531)</f>
        <v>Garcia Montero Lina Marcela</v>
      </c>
      <c r="S1531" s="230" t="n">
        <f aca="false">+YEARFRAC(L1531,$S$1)</f>
        <v>5.34722222222222</v>
      </c>
      <c r="T1531" s="230" t="n">
        <f aca="false">+YEARFRAC(M1531,$S$1)</f>
        <v>9.60833333333333</v>
      </c>
      <c r="U1531" s="231" t="n">
        <f aca="false">+$I1531</f>
        <v>3032286</v>
      </c>
      <c r="V1531" s="232" t="str">
        <f aca="false">+PROPER(F1531)</f>
        <v>Union Libre</v>
      </c>
    </row>
    <row r="1532" customFormat="false" ht="14.25" hidden="false" customHeight="false" outlineLevel="0" collapsed="false">
      <c r="B1532" s="197" t="n">
        <v>1144072074</v>
      </c>
      <c r="C1532" s="197" t="s">
        <v>3136</v>
      </c>
      <c r="D1532" s="197" t="s">
        <v>3575</v>
      </c>
      <c r="E1532" s="198" t="s">
        <v>944</v>
      </c>
      <c r="F1532" s="198" t="s">
        <v>953</v>
      </c>
      <c r="G1532" s="225" t="n">
        <v>5418800</v>
      </c>
      <c r="H1532" s="225" t="n">
        <v>65000</v>
      </c>
      <c r="I1532" s="225"/>
      <c r="J1532" s="198" t="n">
        <v>30</v>
      </c>
      <c r="K1532" s="198" t="n">
        <v>4</v>
      </c>
      <c r="L1532" s="226" t="n">
        <v>45643</v>
      </c>
      <c r="M1532" s="226" t="n">
        <v>43767</v>
      </c>
      <c r="N1532" s="227" t="n">
        <v>0</v>
      </c>
      <c r="O1532" s="227" t="s">
        <v>135</v>
      </c>
      <c r="P1532" s="228" t="e">
        <f aca="false">VLOOKUP(B1532,'NIVEL ENERO'!A:D,3,0)</f>
        <v>#N/A</v>
      </c>
      <c r="Q1532" s="229" t="e">
        <f aca="false">VLOOKUP(B1532,'NIVEL ENERO'!A:D,4,0)</f>
        <v>#N/A</v>
      </c>
      <c r="R1532" s="186" t="str">
        <f aca="false">+PROPER(C1532&amp;" "&amp;D1532)</f>
        <v>Castillo Caicedo Yeni Vanessa</v>
      </c>
      <c r="S1532" s="230" t="n">
        <f aca="false">+YEARFRAC(L1532,$S$1)</f>
        <v>1.40277777777778</v>
      </c>
      <c r="T1532" s="230" t="n">
        <f aca="false">+YEARFRAC(M1532,$S$1)</f>
        <v>6.53611111111111</v>
      </c>
      <c r="U1532" s="231" t="n">
        <f aca="false">+$I1532</f>
        <v>0</v>
      </c>
      <c r="V1532" s="232" t="str">
        <f aca="false">+PROPER(F1532)</f>
        <v>Soltero(A)</v>
      </c>
    </row>
    <row r="1533" customFormat="false" ht="14.25" hidden="false" customHeight="false" outlineLevel="0" collapsed="false">
      <c r="B1533" s="197" t="n">
        <v>1144072721</v>
      </c>
      <c r="C1533" s="197" t="s">
        <v>3576</v>
      </c>
      <c r="D1533" s="197" t="s">
        <v>2601</v>
      </c>
      <c r="E1533" s="198" t="s">
        <v>944</v>
      </c>
      <c r="F1533" s="198" t="s">
        <v>953</v>
      </c>
      <c r="G1533" s="225" t="n">
        <v>2600900</v>
      </c>
      <c r="H1533" s="225" t="n">
        <v>2086164</v>
      </c>
      <c r="I1533" s="225" t="n">
        <v>0</v>
      </c>
      <c r="J1533" s="198" t="n">
        <v>30</v>
      </c>
      <c r="K1533" s="198" t="n">
        <v>2</v>
      </c>
      <c r="L1533" s="226" t="n">
        <v>44866</v>
      </c>
      <c r="M1533" s="226" t="n">
        <v>42079</v>
      </c>
      <c r="N1533" s="227" t="n">
        <v>2</v>
      </c>
      <c r="O1533" s="227" t="s">
        <v>135</v>
      </c>
      <c r="P1533" s="228" t="n">
        <f aca="false">VLOOKUP(B1533,'NIVEL ENERO'!A:D,3,0)</f>
        <v>0.1250410520606</v>
      </c>
      <c r="Q1533" s="229" t="n">
        <f aca="false">VLOOKUP(B1533,'NIVEL ENERO'!A:D,4,0)</f>
        <v>850823.44</v>
      </c>
      <c r="R1533" s="186" t="str">
        <f aca="false">+PROPER(C1533&amp;" "&amp;D1533)</f>
        <v>Rico Martinez Angie Carolina</v>
      </c>
      <c r="S1533" s="230" t="n">
        <f aca="false">+YEARFRAC(L1533,$S$1)</f>
        <v>3.53055555555556</v>
      </c>
      <c r="T1533" s="230" t="n">
        <f aca="false">+YEARFRAC(M1533,$S$1)</f>
        <v>11.1555555555556</v>
      </c>
      <c r="U1533" s="231" t="n">
        <f aca="false">+$I1533</f>
        <v>0</v>
      </c>
      <c r="V1533" s="232" t="str">
        <f aca="false">+PROPER(F1533)</f>
        <v>Soltero(A)</v>
      </c>
    </row>
    <row r="1534" customFormat="false" ht="14.25" hidden="false" customHeight="false" outlineLevel="0" collapsed="false">
      <c r="B1534" s="197" t="n">
        <v>1144074598</v>
      </c>
      <c r="C1534" s="197" t="s">
        <v>3577</v>
      </c>
      <c r="D1534" s="197" t="s">
        <v>3578</v>
      </c>
      <c r="E1534" s="198" t="s">
        <v>944</v>
      </c>
      <c r="F1534" s="198" t="s">
        <v>945</v>
      </c>
      <c r="G1534" s="225" t="n">
        <v>2893800</v>
      </c>
      <c r="H1534" s="225" t="n">
        <v>1809701</v>
      </c>
      <c r="I1534" s="225" t="n">
        <v>223506</v>
      </c>
      <c r="J1534" s="198" t="n">
        <v>30</v>
      </c>
      <c r="K1534" s="198" t="n">
        <v>4</v>
      </c>
      <c r="L1534" s="226" t="n">
        <v>44701</v>
      </c>
      <c r="M1534" s="226" t="n">
        <v>44106</v>
      </c>
      <c r="N1534" s="227" t="n">
        <v>0</v>
      </c>
      <c r="O1534" s="227" t="s">
        <v>135</v>
      </c>
      <c r="P1534" s="228" t="n">
        <f aca="false">VLOOKUP(B1534,'NIVEL ENERO'!A:D,3,0)</f>
        <v>0.305795456437075</v>
      </c>
      <c r="Q1534" s="229" t="n">
        <f aca="false">VLOOKUP(B1534,'NIVEL ENERO'!A:D,4,0)</f>
        <v>281287.58</v>
      </c>
      <c r="R1534" s="186" t="str">
        <f aca="false">+PROPER(C1534&amp;" "&amp;D1534)</f>
        <v>Eslava Amu Anyela Fernanda</v>
      </c>
      <c r="S1534" s="230" t="n">
        <f aca="false">+YEARFRAC(L1534,$S$1)</f>
        <v>3.97777777777778</v>
      </c>
      <c r="T1534" s="230" t="n">
        <f aca="false">+YEARFRAC(M1534,$S$1)</f>
        <v>5.61111111111111</v>
      </c>
      <c r="U1534" s="231" t="n">
        <f aca="false">+$I1534</f>
        <v>223506</v>
      </c>
      <c r="V1534" s="232" t="str">
        <f aca="false">+PROPER(F1534)</f>
        <v>Union Libre</v>
      </c>
    </row>
    <row r="1535" customFormat="false" ht="14.25" hidden="false" customHeight="false" outlineLevel="0" collapsed="false">
      <c r="B1535" s="197" t="n">
        <v>1144075368</v>
      </c>
      <c r="C1535" s="197" t="s">
        <v>3579</v>
      </c>
      <c r="D1535" s="197" t="s">
        <v>2694</v>
      </c>
      <c r="E1535" s="198" t="s">
        <v>944</v>
      </c>
      <c r="F1535" s="198" t="s">
        <v>945</v>
      </c>
      <c r="G1535" s="225" t="n">
        <v>2893800</v>
      </c>
      <c r="H1535" s="225" t="n">
        <v>2744630</v>
      </c>
      <c r="I1535" s="225" t="n">
        <v>16280020</v>
      </c>
      <c r="J1535" s="198" t="n">
        <v>30</v>
      </c>
      <c r="K1535" s="198" t="n">
        <v>3</v>
      </c>
      <c r="L1535" s="226" t="n">
        <v>44460</v>
      </c>
      <c r="M1535" s="226" t="n">
        <v>44105</v>
      </c>
      <c r="N1535" s="227" t="n">
        <v>1</v>
      </c>
      <c r="O1535" s="227" t="s">
        <v>135</v>
      </c>
      <c r="P1535" s="228" t="n">
        <f aca="false">VLOOKUP(B1535,'NIVEL ENERO'!A:D,3,0)</f>
        <v>0.348871869254379</v>
      </c>
      <c r="Q1535" s="229" t="n">
        <f aca="false">VLOOKUP(B1535,'NIVEL ENERO'!A:D,4,0)</f>
        <v>386667.1</v>
      </c>
      <c r="R1535" s="186" t="str">
        <f aca="false">+PROPER(C1535&amp;" "&amp;D1535)</f>
        <v>Urrea Marin Geraldine</v>
      </c>
      <c r="S1535" s="230" t="n">
        <f aca="false">+YEARFRAC(L1535,$S$1)</f>
        <v>4.64166666666667</v>
      </c>
      <c r="T1535" s="230" t="n">
        <f aca="false">+YEARFRAC(M1535,$S$1)</f>
        <v>5.61388888888889</v>
      </c>
      <c r="U1535" s="231" t="n">
        <f aca="false">+$I1535</f>
        <v>16280020</v>
      </c>
      <c r="V1535" s="232" t="str">
        <f aca="false">+PROPER(F1535)</f>
        <v>Union Libre</v>
      </c>
    </row>
    <row r="1536" customFormat="false" ht="14.25" hidden="false" customHeight="false" outlineLevel="0" collapsed="false">
      <c r="B1536" s="197" t="n">
        <v>1144075418</v>
      </c>
      <c r="C1536" s="197" t="s">
        <v>3580</v>
      </c>
      <c r="D1536" s="197" t="s">
        <v>1204</v>
      </c>
      <c r="E1536" s="198" t="s">
        <v>944</v>
      </c>
      <c r="F1536" s="198" t="s">
        <v>953</v>
      </c>
      <c r="G1536" s="225" t="n">
        <v>4469100</v>
      </c>
      <c r="H1536" s="225" t="n">
        <v>2603887</v>
      </c>
      <c r="I1536" s="225" t="n">
        <v>2083911</v>
      </c>
      <c r="J1536" s="198" t="n">
        <v>30</v>
      </c>
      <c r="K1536" s="198" t="n">
        <v>2</v>
      </c>
      <c r="L1536" s="226" t="n">
        <v>45001</v>
      </c>
      <c r="M1536" s="226" t="n">
        <v>44663</v>
      </c>
      <c r="N1536" s="227" t="n">
        <v>0</v>
      </c>
      <c r="O1536" s="227" t="s">
        <v>135</v>
      </c>
      <c r="P1536" s="228" t="n">
        <f aca="false">VLOOKUP(B1536,'NIVEL ENERO'!A:D,3,0)</f>
        <v>0.396360028736615</v>
      </c>
      <c r="Q1536" s="229" t="n">
        <f aca="false">VLOOKUP(B1536,'NIVEL ENERO'!A:D,4,0)</f>
        <v>134748.9</v>
      </c>
      <c r="R1536" s="186" t="str">
        <f aca="false">+PROPER(C1536&amp;" "&amp;D1536)</f>
        <v>Garcia Robles Alexandra</v>
      </c>
      <c r="S1536" s="230" t="n">
        <f aca="false">+YEARFRAC(L1536,$S$1)</f>
        <v>3.15555555555556</v>
      </c>
      <c r="T1536" s="230" t="n">
        <f aca="false">+YEARFRAC(M1536,$S$1)</f>
        <v>4.08333333333333</v>
      </c>
      <c r="U1536" s="231" t="n">
        <f aca="false">+$I1536</f>
        <v>2083911</v>
      </c>
      <c r="V1536" s="232" t="str">
        <f aca="false">+PROPER(F1536)</f>
        <v>Soltero(A)</v>
      </c>
    </row>
    <row r="1537" customFormat="false" ht="14.25" hidden="false" customHeight="false" outlineLevel="0" collapsed="false">
      <c r="B1537" s="197" t="n">
        <v>1144075435</v>
      </c>
      <c r="C1537" s="197" t="s">
        <v>3581</v>
      </c>
      <c r="D1537" s="197" t="s">
        <v>3582</v>
      </c>
      <c r="E1537" s="198" t="s">
        <v>944</v>
      </c>
      <c r="F1537" s="198" t="s">
        <v>953</v>
      </c>
      <c r="G1537" s="225" t="n">
        <v>1991000</v>
      </c>
      <c r="H1537" s="225" t="n">
        <v>2365283</v>
      </c>
      <c r="I1537" s="225" t="n">
        <v>1168030</v>
      </c>
      <c r="J1537" s="198" t="n">
        <v>30</v>
      </c>
      <c r="K1537" s="198" t="n">
        <v>2</v>
      </c>
      <c r="L1537" s="226" t="n">
        <v>44365</v>
      </c>
      <c r="M1537" s="226" t="n">
        <v>43788</v>
      </c>
      <c r="N1537" s="227" t="n">
        <v>3</v>
      </c>
      <c r="O1537" s="227" t="s">
        <v>135</v>
      </c>
      <c r="P1537" s="228" t="n">
        <f aca="false">VLOOKUP(B1537,'NIVEL ENERO'!A:D,3,0)</f>
        <v>0.323580511371405</v>
      </c>
      <c r="Q1537" s="229" t="n">
        <f aca="false">VLOOKUP(B1537,'NIVEL ENERO'!A:D,4,0)</f>
        <v>211554</v>
      </c>
      <c r="R1537" s="186" t="str">
        <f aca="false">+PROPER(C1537&amp;" "&amp;D1537)</f>
        <v>Lozano Cuaspa Karen Yulieth</v>
      </c>
      <c r="S1537" s="230" t="n">
        <f aca="false">+YEARFRAC(L1537,$S$1)</f>
        <v>4.9</v>
      </c>
      <c r="T1537" s="230" t="n">
        <f aca="false">+YEARFRAC(M1537,$S$1)</f>
        <v>6.48055555555556</v>
      </c>
      <c r="U1537" s="231" t="n">
        <f aca="false">+$I1537</f>
        <v>1168030</v>
      </c>
      <c r="V1537" s="232" t="str">
        <f aca="false">+PROPER(F1537)</f>
        <v>Soltero(A)</v>
      </c>
    </row>
    <row r="1538" customFormat="false" ht="14.25" hidden="false" customHeight="false" outlineLevel="0" collapsed="false">
      <c r="B1538" s="197" t="n">
        <v>1144076114</v>
      </c>
      <c r="C1538" s="197" t="s">
        <v>3583</v>
      </c>
      <c r="D1538" s="197" t="s">
        <v>2741</v>
      </c>
      <c r="E1538" s="198" t="s">
        <v>944</v>
      </c>
      <c r="F1538" s="198" t="s">
        <v>953</v>
      </c>
      <c r="G1538" s="225" t="n">
        <v>1856600</v>
      </c>
      <c r="H1538" s="225" t="n">
        <v>1500275</v>
      </c>
      <c r="I1538" s="225" t="n">
        <v>2105139</v>
      </c>
      <c r="J1538" s="198" t="n">
        <v>30</v>
      </c>
      <c r="K1538" s="198" t="n">
        <v>2</v>
      </c>
      <c r="L1538" s="226" t="n">
        <v>45220</v>
      </c>
      <c r="M1538" s="226" t="n">
        <v>45100</v>
      </c>
      <c r="N1538" s="227" t="n">
        <v>0</v>
      </c>
      <c r="O1538" s="227" t="s">
        <v>135</v>
      </c>
      <c r="P1538" s="228" t="n">
        <f aca="false">VLOOKUP(B1538,'NIVEL ENERO'!A:D,3,0)</f>
        <v>0.258810614689254</v>
      </c>
      <c r="Q1538" s="229" t="n">
        <f aca="false">VLOOKUP(B1538,'NIVEL ENERO'!A:D,4,0)</f>
        <v>469140.9</v>
      </c>
      <c r="R1538" s="186" t="str">
        <f aca="false">+PROPER(C1538&amp;" "&amp;D1538)</f>
        <v>Alzate Arce Juan Esteban</v>
      </c>
      <c r="S1538" s="230" t="n">
        <f aca="false">+YEARFRAC(L1538,$S$1)</f>
        <v>2.55833333333333</v>
      </c>
      <c r="T1538" s="230" t="n">
        <f aca="false">+YEARFRAC(M1538,$S$1)</f>
        <v>2.88611111111111</v>
      </c>
      <c r="U1538" s="231" t="n">
        <f aca="false">+$I1538</f>
        <v>2105139</v>
      </c>
      <c r="V1538" s="232" t="str">
        <f aca="false">+PROPER(F1538)</f>
        <v>Soltero(A)</v>
      </c>
    </row>
    <row r="1539" customFormat="false" ht="14.25" hidden="false" customHeight="false" outlineLevel="0" collapsed="false">
      <c r="B1539" s="197" t="n">
        <v>1144076746</v>
      </c>
      <c r="C1539" s="197" t="s">
        <v>3584</v>
      </c>
      <c r="D1539" s="197" t="s">
        <v>3585</v>
      </c>
      <c r="E1539" s="198" t="s">
        <v>944</v>
      </c>
      <c r="F1539" s="198" t="s">
        <v>945</v>
      </c>
      <c r="G1539" s="225" t="n">
        <v>1670000</v>
      </c>
      <c r="H1539" s="225" t="n">
        <v>1910716</v>
      </c>
      <c r="I1539" s="225" t="n">
        <v>0</v>
      </c>
      <c r="J1539" s="198" t="n">
        <v>29</v>
      </c>
      <c r="K1539" s="198" t="n">
        <v>2</v>
      </c>
      <c r="L1539" s="226" t="n">
        <v>44635</v>
      </c>
      <c r="M1539" s="226" t="n">
        <v>44180</v>
      </c>
      <c r="N1539" s="227" t="n">
        <v>3</v>
      </c>
      <c r="O1539" s="227" t="s">
        <v>135</v>
      </c>
      <c r="P1539" s="228" t="n">
        <f aca="false">VLOOKUP(B1539,'NIVEL ENERO'!A:D,3,0)</f>
        <v>0.5907622095911</v>
      </c>
      <c r="Q1539" s="229" t="n">
        <f aca="false">VLOOKUP(B1539,'NIVEL ENERO'!A:D,4,0)</f>
        <v>-345059.14</v>
      </c>
      <c r="R1539" s="186" t="str">
        <f aca="false">+PROPER(C1539&amp;" "&amp;D1539)</f>
        <v>Ordonez Sanchez Douglas Orlando</v>
      </c>
      <c r="S1539" s="230" t="n">
        <f aca="false">+YEARFRAC(L1539,$S$1)</f>
        <v>4.15833333333333</v>
      </c>
      <c r="T1539" s="230" t="n">
        <f aca="false">+YEARFRAC(M1539,$S$1)</f>
        <v>5.40833333333333</v>
      </c>
      <c r="U1539" s="231" t="n">
        <f aca="false">+$I1539</f>
        <v>0</v>
      </c>
      <c r="V1539" s="232" t="str">
        <f aca="false">+PROPER(F1539)</f>
        <v>Union Libre</v>
      </c>
    </row>
    <row r="1540" customFormat="false" ht="14.25" hidden="false" customHeight="false" outlineLevel="0" collapsed="false">
      <c r="B1540" s="197" t="n">
        <v>1144076969</v>
      </c>
      <c r="C1540" s="197" t="s">
        <v>3586</v>
      </c>
      <c r="D1540" s="197" t="s">
        <v>3587</v>
      </c>
      <c r="E1540" s="198" t="s">
        <v>944</v>
      </c>
      <c r="F1540" s="198" t="s">
        <v>953</v>
      </c>
      <c r="G1540" s="225" t="n">
        <v>5418800</v>
      </c>
      <c r="H1540" s="225" t="n">
        <v>1500275</v>
      </c>
      <c r="I1540" s="225"/>
      <c r="J1540" s="198" t="n">
        <v>30</v>
      </c>
      <c r="K1540" s="198" t="n">
        <v>1</v>
      </c>
      <c r="L1540" s="226" t="n">
        <v>45220</v>
      </c>
      <c r="M1540" s="226" t="n">
        <v>44986</v>
      </c>
      <c r="N1540" s="227" t="n">
        <v>0</v>
      </c>
      <c r="O1540" s="227" t="s">
        <v>135</v>
      </c>
      <c r="P1540" s="228" t="n">
        <f aca="false">VLOOKUP(B1540,'NIVEL ENERO'!A:D,3,0)</f>
        <v>0.122704035716903</v>
      </c>
      <c r="Q1540" s="229" t="n">
        <f aca="false">VLOOKUP(B1540,'NIVEL ENERO'!A:D,4,0)</f>
        <v>2284904.8</v>
      </c>
      <c r="R1540" s="186" t="str">
        <f aca="false">+PROPER(C1540&amp;" "&amp;D1540)</f>
        <v>Correa Arce Claudia Marcela</v>
      </c>
      <c r="S1540" s="230" t="n">
        <f aca="false">+YEARFRAC(L1540,$S$1)</f>
        <v>2.55833333333333</v>
      </c>
      <c r="T1540" s="230" t="n">
        <f aca="false">+YEARFRAC(M1540,$S$1)</f>
        <v>3.19722222222222</v>
      </c>
      <c r="U1540" s="231" t="n">
        <f aca="false">+$I1540</f>
        <v>0</v>
      </c>
      <c r="V1540" s="232" t="str">
        <f aca="false">+PROPER(F1540)</f>
        <v>Soltero(A)</v>
      </c>
    </row>
    <row r="1541" customFormat="false" ht="14.25" hidden="false" customHeight="false" outlineLevel="0" collapsed="false">
      <c r="B1541" s="197" t="n">
        <v>1144077310</v>
      </c>
      <c r="C1541" s="197" t="s">
        <v>3588</v>
      </c>
      <c r="D1541" s="197" t="s">
        <v>3589</v>
      </c>
      <c r="E1541" s="198" t="s">
        <v>944</v>
      </c>
      <c r="F1541" s="198" t="s">
        <v>945</v>
      </c>
      <c r="G1541" s="225" t="n">
        <v>2893800</v>
      </c>
      <c r="H1541" s="225" t="n">
        <v>1200000</v>
      </c>
      <c r="I1541" s="225" t="n">
        <v>2805531</v>
      </c>
      <c r="J1541" s="198" t="n">
        <v>29</v>
      </c>
      <c r="K1541" s="198" t="n">
        <v>2</v>
      </c>
      <c r="L1541" s="226" t="n">
        <v>45303</v>
      </c>
      <c r="M1541" s="226" t="n">
        <v>44105</v>
      </c>
      <c r="N1541" s="227" t="n">
        <v>1</v>
      </c>
      <c r="O1541" s="227" t="s">
        <v>135</v>
      </c>
      <c r="P1541" s="228" t="n">
        <f aca="false">VLOOKUP(B1541,'NIVEL ENERO'!A:D,3,0)</f>
        <v>0.478503965285052</v>
      </c>
      <c r="Q1541" s="229" t="n">
        <f aca="false">VLOOKUP(B1541,'NIVEL ENERO'!A:D,4,0)</f>
        <v>-195491</v>
      </c>
      <c r="R1541" s="186" t="str">
        <f aca="false">+PROPER(C1541&amp;" "&amp;D1541)</f>
        <v>Silva Zambrano Jennyfer Daniela</v>
      </c>
      <c r="S1541" s="230" t="n">
        <f aca="false">+YEARFRAC(L1541,$S$1)</f>
        <v>2.33333333333333</v>
      </c>
      <c r="T1541" s="230" t="n">
        <f aca="false">+YEARFRAC(M1541,$S$1)</f>
        <v>5.61388888888889</v>
      </c>
      <c r="U1541" s="231" t="n">
        <f aca="false">+$I1541</f>
        <v>2805531</v>
      </c>
      <c r="V1541" s="232" t="str">
        <f aca="false">+PROPER(F1541)</f>
        <v>Union Libre</v>
      </c>
    </row>
    <row r="1542" customFormat="false" ht="14.25" hidden="false" customHeight="false" outlineLevel="0" collapsed="false">
      <c r="B1542" s="197" t="n">
        <v>1144077600</v>
      </c>
      <c r="C1542" s="197" t="s">
        <v>3590</v>
      </c>
      <c r="D1542" s="197" t="s">
        <v>2297</v>
      </c>
      <c r="E1542" s="198" t="s">
        <v>944</v>
      </c>
      <c r="F1542" s="198" t="s">
        <v>953</v>
      </c>
      <c r="G1542" s="225" t="n">
        <v>1828100</v>
      </c>
      <c r="H1542" s="225" t="n">
        <v>160000</v>
      </c>
      <c r="I1542" s="225"/>
      <c r="J1542" s="198" t="n">
        <v>29</v>
      </c>
      <c r="K1542" s="198" t="n">
        <v>1</v>
      </c>
      <c r="L1542" s="226" t="n">
        <v>45615</v>
      </c>
      <c r="M1542" s="226" t="n">
        <v>45201</v>
      </c>
      <c r="N1542" s="227" t="n">
        <v>0</v>
      </c>
      <c r="O1542" s="227" t="s">
        <v>135</v>
      </c>
      <c r="P1542" s="228" t="n">
        <f aca="false">VLOOKUP(B1542,'NIVEL ENERO'!A:D,3,0)</f>
        <v>0.3526952354904</v>
      </c>
      <c r="Q1542" s="229" t="n">
        <f aca="false">VLOOKUP(B1542,'NIVEL ENERO'!A:D,4,0)</f>
        <v>292952</v>
      </c>
      <c r="R1542" s="186" t="str">
        <f aca="false">+PROPER(C1542&amp;" "&amp;D1542)</f>
        <v>Solorzano Vergara Valentina</v>
      </c>
      <c r="S1542" s="230" t="n">
        <f aca="false">+YEARFRAC(L1542,$S$1)</f>
        <v>1.48055555555556</v>
      </c>
      <c r="T1542" s="230" t="n">
        <f aca="false">+YEARFRAC(M1542,$S$1)</f>
        <v>2.61111111111111</v>
      </c>
      <c r="U1542" s="231" t="n">
        <f aca="false">+$I1542</f>
        <v>0</v>
      </c>
      <c r="V1542" s="232" t="str">
        <f aca="false">+PROPER(F1542)</f>
        <v>Soltero(A)</v>
      </c>
    </row>
    <row r="1543" customFormat="false" ht="14.25" hidden="false" customHeight="false" outlineLevel="0" collapsed="false">
      <c r="B1543" s="197" t="n">
        <v>1144078356</v>
      </c>
      <c r="C1543" s="197" t="s">
        <v>3591</v>
      </c>
      <c r="D1543" s="197" t="s">
        <v>2313</v>
      </c>
      <c r="E1543" s="198" t="s">
        <v>944</v>
      </c>
      <c r="F1543" s="198" t="s">
        <v>948</v>
      </c>
      <c r="G1543" s="225" t="n">
        <v>5418800</v>
      </c>
      <c r="H1543" s="225" t="n">
        <v>4729020</v>
      </c>
      <c r="I1543" s="225" t="n">
        <v>8419704</v>
      </c>
      <c r="J1543" s="198" t="n">
        <v>29</v>
      </c>
      <c r="K1543" s="198" t="n">
        <v>1</v>
      </c>
      <c r="L1543" s="226" t="n">
        <v>44145</v>
      </c>
      <c r="M1543" s="226" t="n">
        <v>43801</v>
      </c>
      <c r="N1543" s="227" t="n">
        <v>1</v>
      </c>
      <c r="O1543" s="227" t="s">
        <v>135</v>
      </c>
      <c r="P1543" s="228" t="n">
        <f aca="false">VLOOKUP(B1543,'NIVEL ENERO'!A:D,3,0)</f>
        <v>0.335905114356487</v>
      </c>
      <c r="Q1543" s="229" t="n">
        <f aca="false">VLOOKUP(B1543,'NIVEL ENERO'!A:D,4,0)</f>
        <v>621889.36</v>
      </c>
      <c r="R1543" s="186" t="str">
        <f aca="false">+PROPER(C1543&amp;" "&amp;D1543)</f>
        <v>Tobar Saavedra Maria Camila</v>
      </c>
      <c r="S1543" s="230" t="n">
        <f aca="false">+YEARFRAC(L1543,$S$1)</f>
        <v>5.50555555555556</v>
      </c>
      <c r="T1543" s="230" t="n">
        <f aca="false">+YEARFRAC(M1543,$S$1)</f>
        <v>6.44444444444445</v>
      </c>
      <c r="U1543" s="231" t="n">
        <f aca="false">+$I1543</f>
        <v>8419704</v>
      </c>
      <c r="V1543" s="232" t="str">
        <f aca="false">+PROPER(F1543)</f>
        <v>Casado(A)</v>
      </c>
    </row>
    <row r="1544" customFormat="false" ht="14.25" hidden="false" customHeight="false" outlineLevel="0" collapsed="false">
      <c r="B1544" s="197" t="n">
        <v>1144078618</v>
      </c>
      <c r="C1544" s="197" t="s">
        <v>3592</v>
      </c>
      <c r="D1544" s="197" t="s">
        <v>3366</v>
      </c>
      <c r="E1544" s="198" t="s">
        <v>944</v>
      </c>
      <c r="F1544" s="198" t="s">
        <v>948</v>
      </c>
      <c r="G1544" s="225" t="n">
        <v>2600900</v>
      </c>
      <c r="H1544" s="225" t="n">
        <v>500000</v>
      </c>
      <c r="I1544" s="225" t="n">
        <v>0</v>
      </c>
      <c r="J1544" s="198" t="n">
        <v>29</v>
      </c>
      <c r="K1544" s="198" t="n">
        <v>2</v>
      </c>
      <c r="L1544" s="226" t="n">
        <v>45517</v>
      </c>
      <c r="M1544" s="226" t="n">
        <v>43770</v>
      </c>
      <c r="N1544" s="227" t="n">
        <v>1</v>
      </c>
      <c r="O1544" s="227" t="s">
        <v>135</v>
      </c>
      <c r="P1544" s="228" t="n">
        <f aca="false">VLOOKUP(B1544,'NIVEL ENERO'!A:D,3,0)</f>
        <v>0.311827313798964</v>
      </c>
      <c r="Q1544" s="229" t="n">
        <f aca="false">VLOOKUP(B1544,'NIVEL ENERO'!A:D,4,0)</f>
        <v>313456.5</v>
      </c>
      <c r="R1544" s="186" t="str">
        <f aca="false">+PROPER(C1544&amp;" "&amp;D1544)</f>
        <v>Cortes Molina Leydi Vanessa</v>
      </c>
      <c r="S1544" s="230" t="n">
        <f aca="false">+YEARFRAC(L1544,$S$1)</f>
        <v>1.74722222222222</v>
      </c>
      <c r="T1544" s="230" t="n">
        <f aca="false">+YEARFRAC(M1544,$S$1)</f>
        <v>6.53055555555556</v>
      </c>
      <c r="U1544" s="231" t="n">
        <f aca="false">+$I1544</f>
        <v>0</v>
      </c>
      <c r="V1544" s="232" t="str">
        <f aca="false">+PROPER(F1544)</f>
        <v>Casado(A)</v>
      </c>
    </row>
    <row r="1545" customFormat="false" ht="14.25" hidden="false" customHeight="false" outlineLevel="0" collapsed="false">
      <c r="B1545" s="197" t="n">
        <v>1144078650</v>
      </c>
      <c r="C1545" s="197" t="s">
        <v>3593</v>
      </c>
      <c r="D1545" s="197" t="s">
        <v>2622</v>
      </c>
      <c r="E1545" s="198" t="s">
        <v>944</v>
      </c>
      <c r="F1545" s="198" t="s">
        <v>953</v>
      </c>
      <c r="G1545" s="225" t="n">
        <v>1670000</v>
      </c>
      <c r="H1545" s="225" t="n">
        <v>2053147</v>
      </c>
      <c r="I1545" s="225" t="n">
        <v>8069634</v>
      </c>
      <c r="J1545" s="198" t="n">
        <v>29</v>
      </c>
      <c r="K1545" s="198" t="n">
        <v>2</v>
      </c>
      <c r="L1545" s="226" t="n">
        <v>44519</v>
      </c>
      <c r="M1545" s="226" t="n">
        <v>44139</v>
      </c>
      <c r="N1545" s="227" t="n">
        <v>1</v>
      </c>
      <c r="O1545" s="227" t="s">
        <v>135</v>
      </c>
      <c r="P1545" s="228" t="n">
        <f aca="false">VLOOKUP(B1545,'NIVEL ENERO'!A:D,3,0)</f>
        <v>0.281790750891632</v>
      </c>
      <c r="Q1545" s="229" t="n">
        <f aca="false">VLOOKUP(B1545,'NIVEL ENERO'!A:D,4,0)</f>
        <v>296489.66</v>
      </c>
      <c r="R1545" s="186" t="str">
        <f aca="false">+PROPER(C1545&amp;" "&amp;D1545)</f>
        <v>Montanez Sebastian</v>
      </c>
      <c r="S1545" s="230" t="n">
        <f aca="false">+YEARFRAC(L1545,$S$1)</f>
        <v>4.48055555555556</v>
      </c>
      <c r="T1545" s="230" t="n">
        <f aca="false">+YEARFRAC(M1545,$S$1)</f>
        <v>5.52222222222222</v>
      </c>
      <c r="U1545" s="231" t="n">
        <f aca="false">+$I1545</f>
        <v>8069634</v>
      </c>
      <c r="V1545" s="232" t="str">
        <f aca="false">+PROPER(F1545)</f>
        <v>Soltero(A)</v>
      </c>
    </row>
    <row r="1546" customFormat="false" ht="14.25" hidden="false" customHeight="false" outlineLevel="0" collapsed="false">
      <c r="B1546" s="197" t="n">
        <v>1144079317</v>
      </c>
      <c r="C1546" s="197" t="s">
        <v>3594</v>
      </c>
      <c r="D1546" s="197" t="s">
        <v>1204</v>
      </c>
      <c r="E1546" s="198" t="s">
        <v>944</v>
      </c>
      <c r="F1546" s="198" t="s">
        <v>953</v>
      </c>
      <c r="G1546" s="225" t="n">
        <v>4549144</v>
      </c>
      <c r="H1546" s="225" t="n">
        <v>700000</v>
      </c>
      <c r="I1546" s="225"/>
      <c r="J1546" s="198" t="n">
        <v>29</v>
      </c>
      <c r="K1546" s="198" t="n">
        <v>2</v>
      </c>
      <c r="L1546" s="226" t="n">
        <v>45444</v>
      </c>
      <c r="M1546" s="226" t="n">
        <v>44846</v>
      </c>
      <c r="N1546" s="227" t="n">
        <v>0</v>
      </c>
      <c r="O1546" s="227" t="s">
        <v>158</v>
      </c>
      <c r="P1546" s="228" t="e">
        <f aca="false">VLOOKUP(B1546,'NIVEL ENERO'!A:D,3,0)</f>
        <v>#N/A</v>
      </c>
      <c r="Q1546" s="229" t="e">
        <f aca="false">VLOOKUP(B1546,'NIVEL ENERO'!A:D,4,0)</f>
        <v>#N/A</v>
      </c>
      <c r="R1546" s="186" t="str">
        <f aca="false">+PROPER(C1546&amp;" "&amp;D1546)</f>
        <v>Cifuentes Megudan Alexandra</v>
      </c>
      <c r="S1546" s="230" t="n">
        <f aca="false">+YEARFRAC(L1546,$S$1)</f>
        <v>1.94722222222222</v>
      </c>
      <c r="T1546" s="230" t="n">
        <f aca="false">+YEARFRAC(M1546,$S$1)</f>
        <v>3.58333333333333</v>
      </c>
      <c r="U1546" s="231" t="n">
        <f aca="false">+$I1546</f>
        <v>0</v>
      </c>
      <c r="V1546" s="232" t="str">
        <f aca="false">+PROPER(F1546)</f>
        <v>Soltero(A)</v>
      </c>
    </row>
    <row r="1547" customFormat="false" ht="14.25" hidden="false" customHeight="false" outlineLevel="0" collapsed="false">
      <c r="B1547" s="197" t="n">
        <v>1144079360</v>
      </c>
      <c r="C1547" s="197" t="s">
        <v>3595</v>
      </c>
      <c r="D1547" s="197" t="s">
        <v>3596</v>
      </c>
      <c r="E1547" s="198" t="s">
        <v>944</v>
      </c>
      <c r="F1547" s="198" t="s">
        <v>953</v>
      </c>
      <c r="G1547" s="225" t="n">
        <v>4469100</v>
      </c>
      <c r="H1547" s="225" t="n">
        <v>0</v>
      </c>
      <c r="I1547" s="225"/>
      <c r="J1547" s="198" t="n">
        <v>29</v>
      </c>
      <c r="K1547" s="198" t="n">
        <v>4</v>
      </c>
      <c r="L1547" s="226" t="n">
        <v>45644</v>
      </c>
      <c r="M1547" s="226" t="n">
        <v>43205</v>
      </c>
      <c r="N1547" s="227" t="n">
        <v>0</v>
      </c>
      <c r="O1547" s="227" t="s">
        <v>3597</v>
      </c>
      <c r="P1547" s="228" t="e">
        <f aca="false">VLOOKUP(B1547,'NIVEL ENERO'!A:D,3,0)</f>
        <v>#N/A</v>
      </c>
      <c r="Q1547" s="229" t="e">
        <f aca="false">VLOOKUP(B1547,'NIVEL ENERO'!A:D,4,0)</f>
        <v>#N/A</v>
      </c>
      <c r="R1547" s="186" t="str">
        <f aca="false">+PROPER(C1547&amp;" "&amp;D1547)</f>
        <v>Ojeda Narvaez Lady Stephany</v>
      </c>
      <c r="S1547" s="230" t="n">
        <f aca="false">+YEARFRAC(L1547,$S$1)</f>
        <v>1.4</v>
      </c>
      <c r="T1547" s="230" t="n">
        <f aca="false">+YEARFRAC(M1547,$S$1)</f>
        <v>8.075</v>
      </c>
      <c r="U1547" s="231" t="n">
        <f aca="false">+$I1547</f>
        <v>0</v>
      </c>
      <c r="V1547" s="232" t="str">
        <f aca="false">+PROPER(F1547)</f>
        <v>Soltero(A)</v>
      </c>
    </row>
    <row r="1548" customFormat="false" ht="14.25" hidden="false" customHeight="false" outlineLevel="0" collapsed="false">
      <c r="B1548" s="197" t="n">
        <v>1144079903</v>
      </c>
      <c r="C1548" s="197" t="s">
        <v>3598</v>
      </c>
      <c r="D1548" s="197" t="s">
        <v>1414</v>
      </c>
      <c r="E1548" s="198" t="s">
        <v>944</v>
      </c>
      <c r="F1548" s="198" t="s">
        <v>945</v>
      </c>
      <c r="G1548" s="225" t="n">
        <v>2600900</v>
      </c>
      <c r="H1548" s="225" t="n">
        <v>2761695</v>
      </c>
      <c r="I1548" s="225" t="n">
        <v>6198298</v>
      </c>
      <c r="J1548" s="198" t="n">
        <v>29</v>
      </c>
      <c r="K1548" s="198" t="n">
        <v>1</v>
      </c>
      <c r="L1548" s="226" t="n">
        <v>44669</v>
      </c>
      <c r="M1548" s="226" t="n">
        <v>41926</v>
      </c>
      <c r="N1548" s="227" t="n">
        <v>1</v>
      </c>
      <c r="O1548" s="227" t="s">
        <v>135</v>
      </c>
      <c r="P1548" s="228" t="n">
        <f aca="false">VLOOKUP(B1548,'NIVEL ENERO'!A:D,3,0)</f>
        <v>0.361698427935778</v>
      </c>
      <c r="Q1548" s="229" t="n">
        <f aca="false">VLOOKUP(B1548,'NIVEL ENERO'!A:D,4,0)</f>
        <v>222852.24</v>
      </c>
      <c r="R1548" s="186" t="str">
        <f aca="false">+PROPER(C1548&amp;" "&amp;D1548)</f>
        <v>Medina Quinones Isabel Cristina</v>
      </c>
      <c r="S1548" s="230" t="n">
        <f aca="false">+YEARFRAC(L1548,$S$1)</f>
        <v>4.06666666666667</v>
      </c>
      <c r="T1548" s="230" t="n">
        <f aca="false">+YEARFRAC(M1548,$S$1)</f>
        <v>11.5777777777778</v>
      </c>
      <c r="U1548" s="231" t="n">
        <f aca="false">+$I1548</f>
        <v>6198298</v>
      </c>
      <c r="V1548" s="232" t="str">
        <f aca="false">+PROPER(F1548)</f>
        <v>Union Libre</v>
      </c>
    </row>
    <row r="1549" customFormat="false" ht="14.25" hidden="false" customHeight="false" outlineLevel="0" collapsed="false">
      <c r="B1549" s="197" t="n">
        <v>1144080755</v>
      </c>
      <c r="C1549" s="197" t="s">
        <v>3599</v>
      </c>
      <c r="D1549" s="197" t="s">
        <v>3600</v>
      </c>
      <c r="E1549" s="198" t="s">
        <v>944</v>
      </c>
      <c r="F1549" s="198" t="s">
        <v>948</v>
      </c>
      <c r="G1549" s="225" t="n">
        <v>2600900</v>
      </c>
      <c r="H1549" s="225" t="n">
        <v>3003641</v>
      </c>
      <c r="I1549" s="225" t="n">
        <v>0</v>
      </c>
      <c r="J1549" s="198" t="n">
        <v>29</v>
      </c>
      <c r="K1549" s="198" t="n">
        <v>2</v>
      </c>
      <c r="L1549" s="226" t="n">
        <v>45057</v>
      </c>
      <c r="M1549" s="226" t="n">
        <v>42956</v>
      </c>
      <c r="N1549" s="227" t="n">
        <v>0</v>
      </c>
      <c r="O1549" s="227" t="s">
        <v>135</v>
      </c>
      <c r="P1549" s="228" t="n">
        <f aca="false">VLOOKUP(B1549,'NIVEL ENERO'!A:D,3,0)</f>
        <v>0.33517682348424</v>
      </c>
      <c r="Q1549" s="229" t="n">
        <f aca="false">VLOOKUP(B1549,'NIVEL ENERO'!A:D,4,0)</f>
        <v>283732.14</v>
      </c>
      <c r="R1549" s="186" t="str">
        <f aca="false">+PROPER(C1549&amp;" "&amp;D1549)</f>
        <v>Escobar Paz Nidson Andres</v>
      </c>
      <c r="S1549" s="230" t="n">
        <f aca="false">+YEARFRAC(L1549,$S$1)</f>
        <v>3.00277777777778</v>
      </c>
      <c r="T1549" s="230" t="n">
        <f aca="false">+YEARFRAC(M1549,$S$1)</f>
        <v>8.75833333333333</v>
      </c>
      <c r="U1549" s="231" t="n">
        <f aca="false">+$I1549</f>
        <v>0</v>
      </c>
      <c r="V1549" s="232" t="str">
        <f aca="false">+PROPER(F1549)</f>
        <v>Casado(A)</v>
      </c>
    </row>
    <row r="1550" customFormat="false" ht="14.25" hidden="false" customHeight="false" outlineLevel="0" collapsed="false">
      <c r="B1550" s="197" t="n">
        <v>1144082255</v>
      </c>
      <c r="C1550" s="197" t="s">
        <v>3601</v>
      </c>
      <c r="D1550" s="197" t="s">
        <v>1451</v>
      </c>
      <c r="E1550" s="198" t="s">
        <v>944</v>
      </c>
      <c r="F1550" s="198" t="s">
        <v>953</v>
      </c>
      <c r="G1550" s="225" t="n">
        <v>2648100</v>
      </c>
      <c r="H1550" s="225" t="n">
        <v>1988258</v>
      </c>
      <c r="I1550" s="225" t="n">
        <v>1918002</v>
      </c>
      <c r="J1550" s="198" t="n">
        <v>29</v>
      </c>
      <c r="K1550" s="198" t="n">
        <v>2</v>
      </c>
      <c r="L1550" s="226" t="n">
        <v>45219</v>
      </c>
      <c r="M1550" s="226" t="n">
        <v>42244</v>
      </c>
      <c r="N1550" s="227" t="n">
        <v>1</v>
      </c>
      <c r="O1550" s="227" t="s">
        <v>135</v>
      </c>
      <c r="P1550" s="228" t="n">
        <f aca="false">VLOOKUP(B1550,'NIVEL ENERO'!A:D,3,0)</f>
        <v>0.424049956474993</v>
      </c>
      <c r="Q1550" s="229" t="n">
        <f aca="false">VLOOKUP(B1550,'NIVEL ENERO'!A:D,4,0)</f>
        <v>-16041.6400000001</v>
      </c>
      <c r="R1550" s="186" t="str">
        <f aca="false">+PROPER(C1550&amp;" "&amp;D1550)</f>
        <v>Gutierrez Prado Marcela</v>
      </c>
      <c r="S1550" s="230" t="n">
        <f aca="false">+YEARFRAC(L1550,$S$1)</f>
        <v>2.56111111111111</v>
      </c>
      <c r="T1550" s="230" t="n">
        <f aca="false">+YEARFRAC(M1550,$S$1)</f>
        <v>10.7055555555556</v>
      </c>
      <c r="U1550" s="231" t="n">
        <f aca="false">+$I1550</f>
        <v>1918002</v>
      </c>
      <c r="V1550" s="232" t="str">
        <f aca="false">+PROPER(F1550)</f>
        <v>Soltero(A)</v>
      </c>
    </row>
    <row r="1551" customFormat="false" ht="14.25" hidden="false" customHeight="false" outlineLevel="0" collapsed="false">
      <c r="B1551" s="197" t="n">
        <v>1144083299</v>
      </c>
      <c r="C1551" s="197" t="s">
        <v>3602</v>
      </c>
      <c r="D1551" s="197" t="s">
        <v>2894</v>
      </c>
      <c r="E1551" s="198" t="s">
        <v>944</v>
      </c>
      <c r="F1551" s="198" t="s">
        <v>953</v>
      </c>
      <c r="G1551" s="225" t="n">
        <v>1625000</v>
      </c>
      <c r="H1551" s="225" t="n">
        <v>1607671</v>
      </c>
      <c r="I1551" s="225" t="n">
        <v>0</v>
      </c>
      <c r="J1551" s="198" t="n">
        <v>29</v>
      </c>
      <c r="K1551" s="198" t="n">
        <v>4</v>
      </c>
      <c r="L1551" s="226" t="n">
        <v>44827</v>
      </c>
      <c r="M1551" s="226" t="n">
        <v>44323</v>
      </c>
      <c r="N1551" s="227" t="n">
        <v>2</v>
      </c>
      <c r="O1551" s="227" t="s">
        <v>135</v>
      </c>
      <c r="P1551" s="228" t="n">
        <f aca="false">VLOOKUP(B1551,'NIVEL ENERO'!A:D,3,0)</f>
        <v>0.144125273522887</v>
      </c>
      <c r="Q1551" s="229" t="n">
        <f aca="false">VLOOKUP(B1551,'NIVEL ENERO'!A:D,4,0)</f>
        <v>564268.74</v>
      </c>
      <c r="R1551" s="186" t="str">
        <f aca="false">+PROPER(C1551&amp;" "&amp;D1551)</f>
        <v>Dominguez Arciniegas Estefania</v>
      </c>
      <c r="S1551" s="230" t="n">
        <f aca="false">+YEARFRAC(L1551,$S$1)</f>
        <v>3.63611111111111</v>
      </c>
      <c r="T1551" s="230" t="n">
        <f aca="false">+YEARFRAC(M1551,$S$1)</f>
        <v>5.01388888888889</v>
      </c>
      <c r="U1551" s="231" t="n">
        <f aca="false">+$I1551</f>
        <v>0</v>
      </c>
      <c r="V1551" s="232" t="str">
        <f aca="false">+PROPER(F1551)</f>
        <v>Soltero(A)</v>
      </c>
    </row>
    <row r="1552" customFormat="false" ht="14.25" hidden="false" customHeight="false" outlineLevel="0" collapsed="false">
      <c r="B1552" s="197" t="n">
        <v>1144083873</v>
      </c>
      <c r="C1552" s="197" t="s">
        <v>3603</v>
      </c>
      <c r="D1552" s="197" t="s">
        <v>3604</v>
      </c>
      <c r="E1552" s="198" t="s">
        <v>944</v>
      </c>
      <c r="F1552" s="198" t="s">
        <v>953</v>
      </c>
      <c r="G1552" s="225" t="n">
        <v>6796400</v>
      </c>
      <c r="H1552" s="225" t="n">
        <v>831006</v>
      </c>
      <c r="I1552" s="225"/>
      <c r="J1552" s="198" t="n">
        <v>29</v>
      </c>
      <c r="K1552" s="198" t="n">
        <v>2</v>
      </c>
      <c r="L1552" s="226" t="n">
        <v>45272</v>
      </c>
      <c r="M1552" s="226" t="n">
        <v>44664</v>
      </c>
      <c r="N1552" s="227" t="n">
        <v>0</v>
      </c>
      <c r="O1552" s="227" t="s">
        <v>135</v>
      </c>
      <c r="P1552" s="228" t="n">
        <f aca="false">VLOOKUP(B1552,'NIVEL ENERO'!A:D,3,0)</f>
        <v>0.131295202736282</v>
      </c>
      <c r="Q1552" s="229" t="n">
        <f aca="false">VLOOKUP(B1552,'NIVEL ENERO'!A:D,4,0)</f>
        <v>1975145</v>
      </c>
      <c r="R1552" s="186" t="str">
        <f aca="false">+PROPER(C1552&amp;" "&amp;D1552)</f>
        <v>Pena Zarate Evelyn Elena</v>
      </c>
      <c r="S1552" s="230" t="n">
        <f aca="false">+YEARFRAC(L1552,$S$1)</f>
        <v>2.41666666666667</v>
      </c>
      <c r="T1552" s="230" t="n">
        <f aca="false">+YEARFRAC(M1552,$S$1)</f>
        <v>4.08055555555556</v>
      </c>
      <c r="U1552" s="231" t="n">
        <f aca="false">+$I1552</f>
        <v>0</v>
      </c>
      <c r="V1552" s="232" t="str">
        <f aca="false">+PROPER(F1552)</f>
        <v>Soltero(A)</v>
      </c>
    </row>
    <row r="1553" customFormat="false" ht="14.25" hidden="false" customHeight="false" outlineLevel="0" collapsed="false">
      <c r="B1553" s="197" t="n">
        <v>1144084984</v>
      </c>
      <c r="C1553" s="197" t="s">
        <v>3605</v>
      </c>
      <c r="D1553" s="197" t="s">
        <v>3606</v>
      </c>
      <c r="E1553" s="198" t="s">
        <v>944</v>
      </c>
      <c r="F1553" s="198" t="s">
        <v>953</v>
      </c>
      <c r="G1553" s="225" t="n">
        <v>5418800</v>
      </c>
      <c r="H1553" s="225" t="n">
        <v>8365583</v>
      </c>
      <c r="I1553" s="225" t="n">
        <v>1387484</v>
      </c>
      <c r="J1553" s="198" t="n">
        <v>29</v>
      </c>
      <c r="K1553" s="198" t="n">
        <v>3</v>
      </c>
      <c r="L1553" s="226" t="n">
        <v>44431</v>
      </c>
      <c r="M1553" s="226" t="n">
        <v>43480</v>
      </c>
      <c r="N1553" s="227" t="n">
        <v>3</v>
      </c>
      <c r="O1553" s="227" t="s">
        <v>135</v>
      </c>
      <c r="P1553" s="228" t="n">
        <f aca="false">VLOOKUP(B1553,'NIVEL ENERO'!A:D,3,0)</f>
        <v>0.39282016146055</v>
      </c>
      <c r="Q1553" s="229" t="n">
        <f aca="false">VLOOKUP(B1553,'NIVEL ENERO'!A:D,4,0)</f>
        <v>196365.5</v>
      </c>
      <c r="R1553" s="186" t="str">
        <f aca="false">+PROPER(C1553&amp;" "&amp;D1553)</f>
        <v>Ossa Sinisterra Diana Ruby</v>
      </c>
      <c r="S1553" s="230" t="n">
        <f aca="false">+YEARFRAC(L1553,$S$1)</f>
        <v>4.71944444444444</v>
      </c>
      <c r="T1553" s="230" t="n">
        <f aca="false">+YEARFRAC(M1553,$S$1)</f>
        <v>7.325</v>
      </c>
      <c r="U1553" s="231" t="n">
        <f aca="false">+$I1553</f>
        <v>1387484</v>
      </c>
      <c r="V1553" s="232" t="str">
        <f aca="false">+PROPER(F1553)</f>
        <v>Soltero(A)</v>
      </c>
    </row>
    <row r="1554" customFormat="false" ht="14.25" hidden="false" customHeight="false" outlineLevel="0" collapsed="false">
      <c r="B1554" s="197" t="n">
        <v>1144085140</v>
      </c>
      <c r="C1554" s="197" t="s">
        <v>3607</v>
      </c>
      <c r="D1554" s="197" t="s">
        <v>3608</v>
      </c>
      <c r="E1554" s="198" t="s">
        <v>944</v>
      </c>
      <c r="F1554" s="198" t="s">
        <v>945</v>
      </c>
      <c r="G1554" s="225" t="n">
        <v>2604400</v>
      </c>
      <c r="H1554" s="225" t="n">
        <v>715000</v>
      </c>
      <c r="I1554" s="225" t="n">
        <v>2809517</v>
      </c>
      <c r="J1554" s="198" t="n">
        <v>29</v>
      </c>
      <c r="K1554" s="198" t="n">
        <v>2</v>
      </c>
      <c r="L1554" s="226" t="n">
        <v>45342</v>
      </c>
      <c r="M1554" s="226" t="n">
        <v>45078</v>
      </c>
      <c r="N1554" s="227" t="n">
        <v>0</v>
      </c>
      <c r="O1554" s="227" t="s">
        <v>135</v>
      </c>
      <c r="P1554" s="228" t="n">
        <f aca="false">VLOOKUP(B1554,'NIVEL ENERO'!A:D,3,0)</f>
        <v>0.158988283272876</v>
      </c>
      <c r="Q1554" s="229" t="n">
        <f aca="false">VLOOKUP(B1554,'NIVEL ENERO'!A:D,4,0)</f>
        <v>855831.84</v>
      </c>
      <c r="R1554" s="186" t="str">
        <f aca="false">+PROPER(C1554&amp;" "&amp;D1554)</f>
        <v>Causado Currea Cristian Camilo</v>
      </c>
      <c r="S1554" s="230" t="n">
        <f aca="false">+YEARFRAC(L1554,$S$1)</f>
        <v>2.22777777777778</v>
      </c>
      <c r="T1554" s="230" t="n">
        <f aca="false">+YEARFRAC(M1554,$S$1)</f>
        <v>2.94722222222222</v>
      </c>
      <c r="U1554" s="231" t="n">
        <f aca="false">+$I1554</f>
        <v>2809517</v>
      </c>
      <c r="V1554" s="232" t="str">
        <f aca="false">+PROPER(F1554)</f>
        <v>Union Libre</v>
      </c>
    </row>
    <row r="1555" customFormat="false" ht="14.25" hidden="false" customHeight="false" outlineLevel="0" collapsed="false">
      <c r="B1555" s="197" t="n">
        <v>1144085630</v>
      </c>
      <c r="C1555" s="197" t="s">
        <v>3609</v>
      </c>
      <c r="D1555" s="197" t="s">
        <v>3610</v>
      </c>
      <c r="E1555" s="198" t="s">
        <v>944</v>
      </c>
      <c r="F1555" s="198" t="s">
        <v>953</v>
      </c>
      <c r="G1555" s="225" t="n">
        <v>2893800</v>
      </c>
      <c r="H1555" s="225" t="n">
        <v>1405682</v>
      </c>
      <c r="I1555" s="225" t="n">
        <v>3204072</v>
      </c>
      <c r="J1555" s="198" t="n">
        <v>28</v>
      </c>
      <c r="K1555" s="198" t="n">
        <v>1</v>
      </c>
      <c r="L1555" s="226" t="n">
        <v>44973</v>
      </c>
      <c r="M1555" s="226" t="n">
        <v>41988</v>
      </c>
      <c r="N1555" s="227" t="n">
        <v>2</v>
      </c>
      <c r="O1555" s="227" t="s">
        <v>135</v>
      </c>
      <c r="P1555" s="228" t="n">
        <f aca="false">VLOOKUP(B1555,'NIVEL ENERO'!A:D,3,0)</f>
        <v>0.40408584682996</v>
      </c>
      <c r="Q1555" s="229" t="n">
        <f aca="false">VLOOKUP(B1555,'NIVEL ENERO'!A:D,4,0)</f>
        <v>59928.1599999999</v>
      </c>
      <c r="R1555" s="186" t="str">
        <f aca="false">+PROPER(C1555&amp;" "&amp;D1555)</f>
        <v>Viafara Martinez Jessica Natalia</v>
      </c>
      <c r="S1555" s="230" t="n">
        <f aca="false">+YEARFRAC(L1555,$S$1)</f>
        <v>3.23888888888889</v>
      </c>
      <c r="T1555" s="230" t="n">
        <f aca="false">+YEARFRAC(M1555,$S$1)</f>
        <v>11.4083333333333</v>
      </c>
      <c r="U1555" s="231" t="n">
        <f aca="false">+$I1555</f>
        <v>3204072</v>
      </c>
      <c r="V1555" s="232" t="str">
        <f aca="false">+PROPER(F1555)</f>
        <v>Soltero(A)</v>
      </c>
    </row>
    <row r="1556" customFormat="false" ht="14.25" hidden="false" customHeight="false" outlineLevel="0" collapsed="false">
      <c r="B1556" s="197" t="n">
        <v>1144086307</v>
      </c>
      <c r="C1556" s="197" t="s">
        <v>3611</v>
      </c>
      <c r="D1556" s="197" t="s">
        <v>2658</v>
      </c>
      <c r="E1556" s="198" t="s">
        <v>944</v>
      </c>
      <c r="F1556" s="198" t="s">
        <v>953</v>
      </c>
      <c r="G1556" s="225" t="n">
        <v>4327600</v>
      </c>
      <c r="H1556" s="225" t="n">
        <v>1759194</v>
      </c>
      <c r="I1556" s="225" t="n">
        <v>0</v>
      </c>
      <c r="J1556" s="198" t="n">
        <v>28</v>
      </c>
      <c r="K1556" s="198" t="n">
        <v>2</v>
      </c>
      <c r="L1556" s="226" t="n">
        <v>44757</v>
      </c>
      <c r="M1556" s="226" t="n">
        <v>44564</v>
      </c>
      <c r="N1556" s="227" t="n">
        <v>3</v>
      </c>
      <c r="O1556" s="227" t="s">
        <v>135</v>
      </c>
      <c r="P1556" s="228" t="n">
        <f aca="false">VLOOKUP(B1556,'NIVEL ENERO'!A:D,3,0)</f>
        <v>0.0998301599038728</v>
      </c>
      <c r="Q1556" s="229" t="n">
        <f aca="false">VLOOKUP(B1556,'NIVEL ENERO'!A:D,4,0)</f>
        <v>1385567</v>
      </c>
      <c r="R1556" s="186" t="str">
        <f aca="false">+PROPER(C1556&amp;" "&amp;D1556)</f>
        <v>Ortega Giraldo Daniela</v>
      </c>
      <c r="S1556" s="230" t="n">
        <f aca="false">+YEARFRAC(L1556,$S$1)</f>
        <v>3.825</v>
      </c>
      <c r="T1556" s="230" t="n">
        <f aca="false">+YEARFRAC(M1556,$S$1)</f>
        <v>4.35833333333333</v>
      </c>
      <c r="U1556" s="231" t="n">
        <f aca="false">+$I1556</f>
        <v>0</v>
      </c>
      <c r="V1556" s="232" t="str">
        <f aca="false">+PROPER(F1556)</f>
        <v>Soltero(A)</v>
      </c>
    </row>
    <row r="1557" customFormat="false" ht="14.25" hidden="false" customHeight="false" outlineLevel="0" collapsed="false">
      <c r="B1557" s="197" t="n">
        <v>1144087362</v>
      </c>
      <c r="C1557" s="197" t="s">
        <v>3612</v>
      </c>
      <c r="D1557" s="197" t="s">
        <v>2313</v>
      </c>
      <c r="E1557" s="198" t="s">
        <v>944</v>
      </c>
      <c r="F1557" s="198" t="s">
        <v>953</v>
      </c>
      <c r="G1557" s="225" t="n">
        <v>1800000</v>
      </c>
      <c r="H1557" s="225" t="n">
        <v>5537139</v>
      </c>
      <c r="I1557" s="225" t="n">
        <v>0</v>
      </c>
      <c r="J1557" s="198" t="n">
        <v>28</v>
      </c>
      <c r="K1557" s="198" t="n">
        <v>1</v>
      </c>
      <c r="L1557" s="226" t="n">
        <v>43924</v>
      </c>
      <c r="M1557" s="226" t="n">
        <v>43446</v>
      </c>
      <c r="N1557" s="227" t="n">
        <v>2</v>
      </c>
      <c r="O1557" s="227" t="s">
        <v>158</v>
      </c>
      <c r="P1557" s="228" t="e">
        <f aca="false">VLOOKUP(B1557,'NIVEL ENERO'!A:D,3,0)</f>
        <v>#N/A</v>
      </c>
      <c r="Q1557" s="229" t="e">
        <f aca="false">VLOOKUP(B1557,'NIVEL ENERO'!A:D,4,0)</f>
        <v>#N/A</v>
      </c>
      <c r="R1557" s="186" t="str">
        <f aca="false">+PROPER(C1557&amp;" "&amp;D1557)</f>
        <v>Solarte Rengifo Maria Camila</v>
      </c>
      <c r="S1557" s="230" t="n">
        <f aca="false">+YEARFRAC(L1557,$S$1)</f>
        <v>6.10833333333333</v>
      </c>
      <c r="T1557" s="230" t="n">
        <f aca="false">+YEARFRAC(M1557,$S$1)</f>
        <v>7.41666666666667</v>
      </c>
      <c r="U1557" s="231" t="n">
        <f aca="false">+$I1557</f>
        <v>0</v>
      </c>
      <c r="V1557" s="232" t="str">
        <f aca="false">+PROPER(F1557)</f>
        <v>Soltero(A)</v>
      </c>
    </row>
    <row r="1558" customFormat="false" ht="14.25" hidden="false" customHeight="false" outlineLevel="0" collapsed="false">
      <c r="B1558" s="197" t="n">
        <v>1144088175</v>
      </c>
      <c r="C1558" s="197" t="s">
        <v>3613</v>
      </c>
      <c r="D1558" s="197" t="s">
        <v>3614</v>
      </c>
      <c r="E1558" s="198" t="s">
        <v>944</v>
      </c>
      <c r="F1558" s="198" t="s">
        <v>945</v>
      </c>
      <c r="G1558" s="225" t="n">
        <v>5418800</v>
      </c>
      <c r="H1558" s="225" t="n">
        <v>5420246</v>
      </c>
      <c r="I1558" s="225" t="n">
        <v>4266625</v>
      </c>
      <c r="J1558" s="198" t="n">
        <v>28</v>
      </c>
      <c r="K1558" s="198" t="n">
        <v>6</v>
      </c>
      <c r="L1558" s="226" t="n">
        <v>44866</v>
      </c>
      <c r="M1558" s="226" t="n">
        <v>43405</v>
      </c>
      <c r="N1558" s="227" t="n">
        <v>2</v>
      </c>
      <c r="O1558" s="227" t="s">
        <v>135</v>
      </c>
      <c r="P1558" s="228" t="n">
        <f aca="false">VLOOKUP(B1558,'NIVEL ENERO'!A:D,3,0)</f>
        <v>0.17258675721562</v>
      </c>
      <c r="Q1558" s="229" t="n">
        <f aca="false">VLOOKUP(B1558,'NIVEL ENERO'!A:D,4,0)</f>
        <v>728632</v>
      </c>
      <c r="R1558" s="186" t="str">
        <f aca="false">+PROPER(C1558&amp;" "&amp;D1558)</f>
        <v>Ospina Viveros Anyi Cristina</v>
      </c>
      <c r="S1558" s="230" t="n">
        <f aca="false">+YEARFRAC(L1558,$S$1)</f>
        <v>3.53055555555556</v>
      </c>
      <c r="T1558" s="230" t="n">
        <f aca="false">+YEARFRAC(M1558,$S$1)</f>
        <v>7.53055555555556</v>
      </c>
      <c r="U1558" s="231" t="n">
        <f aca="false">+$I1558</f>
        <v>4266625</v>
      </c>
      <c r="V1558" s="232" t="str">
        <f aca="false">+PROPER(F1558)</f>
        <v>Union Libre</v>
      </c>
    </row>
    <row r="1559" customFormat="false" ht="14.25" hidden="false" customHeight="false" outlineLevel="0" collapsed="false">
      <c r="B1559" s="197" t="n">
        <v>1144090100</v>
      </c>
      <c r="C1559" s="197" t="s">
        <v>3615</v>
      </c>
      <c r="D1559" s="197" t="s">
        <v>1414</v>
      </c>
      <c r="E1559" s="198" t="s">
        <v>944</v>
      </c>
      <c r="F1559" s="198" t="s">
        <v>953</v>
      </c>
      <c r="G1559" s="225" t="n">
        <v>4870200</v>
      </c>
      <c r="H1559" s="225" t="n">
        <v>1405682</v>
      </c>
      <c r="I1559" s="225"/>
      <c r="J1559" s="198" t="n">
        <v>28</v>
      </c>
      <c r="K1559" s="198" t="n">
        <v>1</v>
      </c>
      <c r="L1559" s="226" t="n">
        <v>44977</v>
      </c>
      <c r="M1559" s="226" t="n">
        <v>44673</v>
      </c>
      <c r="N1559" s="227" t="n">
        <v>0</v>
      </c>
      <c r="O1559" s="227" t="s">
        <v>135</v>
      </c>
      <c r="P1559" s="228" t="n">
        <f aca="false">VLOOKUP(B1559,'NIVEL ENERO'!A:D,3,0)</f>
        <v>0.0984469994026482</v>
      </c>
      <c r="Q1559" s="229" t="n">
        <f aca="false">VLOOKUP(B1559,'NIVEL ENERO'!A:D,4,0)</f>
        <v>1693125.32</v>
      </c>
      <c r="R1559" s="186" t="str">
        <f aca="false">+PROPER(C1559&amp;" "&amp;D1559)</f>
        <v>Lopez Tunubala Isabel Cristina</v>
      </c>
      <c r="S1559" s="230" t="n">
        <f aca="false">+YEARFRAC(L1559,$S$1)</f>
        <v>3.22777777777778</v>
      </c>
      <c r="T1559" s="230" t="n">
        <f aca="false">+YEARFRAC(M1559,$S$1)</f>
        <v>4.05555555555556</v>
      </c>
      <c r="U1559" s="231" t="n">
        <f aca="false">+$I1559</f>
        <v>0</v>
      </c>
      <c r="V1559" s="232" t="str">
        <f aca="false">+PROPER(F1559)</f>
        <v>Soltero(A)</v>
      </c>
    </row>
    <row r="1560" customFormat="false" ht="14.25" hidden="false" customHeight="false" outlineLevel="0" collapsed="false">
      <c r="B1560" s="197" t="n">
        <v>1144093488</v>
      </c>
      <c r="C1560" s="197" t="s">
        <v>3616</v>
      </c>
      <c r="D1560" s="197" t="s">
        <v>1281</v>
      </c>
      <c r="E1560" s="198" t="s">
        <v>944</v>
      </c>
      <c r="F1560" s="198" t="s">
        <v>948</v>
      </c>
      <c r="G1560" s="225" t="n">
        <v>2600900</v>
      </c>
      <c r="H1560" s="225" t="n">
        <v>2409412</v>
      </c>
      <c r="I1560" s="225" t="n">
        <v>877106</v>
      </c>
      <c r="J1560" s="198" t="n">
        <v>28</v>
      </c>
      <c r="K1560" s="198" t="n">
        <v>4</v>
      </c>
      <c r="L1560" s="226" t="n">
        <v>44754</v>
      </c>
      <c r="M1560" s="226" t="n">
        <v>44531</v>
      </c>
      <c r="N1560" s="227" t="n">
        <v>3</v>
      </c>
      <c r="O1560" s="227" t="s">
        <v>135</v>
      </c>
      <c r="P1560" s="228" t="n">
        <f aca="false">VLOOKUP(B1560,'NIVEL ENERO'!A:D,3,0)</f>
        <v>0.514046120435299</v>
      </c>
      <c r="Q1560" s="229" t="n">
        <f aca="false">VLOOKUP(B1560,'NIVEL ENERO'!A:D,4,0)</f>
        <v>-204313.88</v>
      </c>
      <c r="R1560" s="186" t="str">
        <f aca="false">+PROPER(C1560&amp;" "&amp;D1560)</f>
        <v>Lopez Acosta Catalina</v>
      </c>
      <c r="S1560" s="230" t="n">
        <f aca="false">+YEARFRAC(L1560,$S$1)</f>
        <v>3.83333333333333</v>
      </c>
      <c r="T1560" s="230" t="n">
        <f aca="false">+YEARFRAC(M1560,$S$1)</f>
        <v>4.44722222222222</v>
      </c>
      <c r="U1560" s="231" t="n">
        <f aca="false">+$I1560</f>
        <v>877106</v>
      </c>
      <c r="V1560" s="232" t="str">
        <f aca="false">+PROPER(F1560)</f>
        <v>Casado(A)</v>
      </c>
    </row>
    <row r="1561" customFormat="false" ht="14.25" hidden="false" customHeight="false" outlineLevel="0" collapsed="false">
      <c r="B1561" s="197" t="n">
        <v>1144093972</v>
      </c>
      <c r="C1561" s="197" t="s">
        <v>3617</v>
      </c>
      <c r="D1561" s="197" t="s">
        <v>3618</v>
      </c>
      <c r="E1561" s="198" t="s">
        <v>944</v>
      </c>
      <c r="F1561" s="198" t="s">
        <v>953</v>
      </c>
      <c r="G1561" s="225" t="n">
        <v>5679200</v>
      </c>
      <c r="H1561" s="225" t="n">
        <v>2304741</v>
      </c>
      <c r="I1561" s="225"/>
      <c r="J1561" s="198" t="n">
        <v>27</v>
      </c>
      <c r="K1561" s="198" t="n">
        <v>1</v>
      </c>
      <c r="L1561" s="226" t="n">
        <v>44977</v>
      </c>
      <c r="M1561" s="226" t="n">
        <v>44027</v>
      </c>
      <c r="N1561" s="227" t="n">
        <v>0</v>
      </c>
      <c r="O1561" s="227" t="s">
        <v>135</v>
      </c>
      <c r="P1561" s="228" t="n">
        <f aca="false">VLOOKUP(B1561,'NIVEL ENERO'!A:D,3,0)</f>
        <v>0.114757754980942</v>
      </c>
      <c r="Q1561" s="229" t="n">
        <f aca="false">VLOOKUP(B1561,'NIVEL ENERO'!A:D,4,0)</f>
        <v>1284992.32</v>
      </c>
      <c r="R1561" s="186" t="str">
        <f aca="false">+PROPER(C1561&amp;" "&amp;D1561)</f>
        <v>Gomez Cadena Felipe</v>
      </c>
      <c r="S1561" s="230" t="n">
        <f aca="false">+YEARFRAC(L1561,$S$1)</f>
        <v>3.22777777777778</v>
      </c>
      <c r="T1561" s="230" t="n">
        <f aca="false">+YEARFRAC(M1561,$S$1)</f>
        <v>5.825</v>
      </c>
      <c r="U1561" s="231" t="n">
        <f aca="false">+$I1561</f>
        <v>0</v>
      </c>
      <c r="V1561" s="232" t="str">
        <f aca="false">+PROPER(F1561)</f>
        <v>Soltero(A)</v>
      </c>
    </row>
    <row r="1562" customFormat="false" ht="14.25" hidden="false" customHeight="false" outlineLevel="0" collapsed="false">
      <c r="B1562" s="197" t="n">
        <v>1144094043</v>
      </c>
      <c r="C1562" s="197" t="s">
        <v>3619</v>
      </c>
      <c r="D1562" s="197" t="s">
        <v>3620</v>
      </c>
      <c r="E1562" s="198" t="s">
        <v>944</v>
      </c>
      <c r="F1562" s="198" t="s">
        <v>953</v>
      </c>
      <c r="G1562" s="225" t="n">
        <v>2893800</v>
      </c>
      <c r="H1562" s="225" t="n">
        <v>1296808</v>
      </c>
      <c r="I1562" s="225"/>
      <c r="J1562" s="198" t="n">
        <v>28</v>
      </c>
      <c r="K1562" s="198" t="n">
        <v>2</v>
      </c>
      <c r="L1562" s="226" t="n">
        <v>45027</v>
      </c>
      <c r="M1562" s="226" t="n">
        <v>44368</v>
      </c>
      <c r="N1562" s="227" t="n">
        <v>0</v>
      </c>
      <c r="O1562" s="227" t="s">
        <v>135</v>
      </c>
      <c r="P1562" s="228" t="n">
        <f aca="false">VLOOKUP(B1562,'NIVEL ENERO'!A:D,3,0)</f>
        <v>0.264188201549441</v>
      </c>
      <c r="Q1562" s="229" t="n">
        <f aca="false">VLOOKUP(B1562,'NIVEL ENERO'!A:D,4,0)</f>
        <v>552201.74</v>
      </c>
      <c r="R1562" s="186" t="str">
        <f aca="false">+PROPER(C1562&amp;" "&amp;D1562)</f>
        <v>Arenas Munoz Sonia Vanesa</v>
      </c>
      <c r="S1562" s="230" t="n">
        <f aca="false">+YEARFRAC(L1562,$S$1)</f>
        <v>3.08611111111111</v>
      </c>
      <c r="T1562" s="230" t="n">
        <f aca="false">+YEARFRAC(M1562,$S$1)</f>
        <v>4.89166666666667</v>
      </c>
      <c r="U1562" s="231" t="n">
        <f aca="false">+$I1562</f>
        <v>0</v>
      </c>
      <c r="V1562" s="232" t="str">
        <f aca="false">+PROPER(F1562)</f>
        <v>Soltero(A)</v>
      </c>
    </row>
    <row r="1563" customFormat="false" ht="14.25" hidden="false" customHeight="false" outlineLevel="0" collapsed="false">
      <c r="B1563" s="197" t="n">
        <v>1144094459</v>
      </c>
      <c r="C1563" s="197" t="s">
        <v>3621</v>
      </c>
      <c r="D1563" s="197" t="s">
        <v>3622</v>
      </c>
      <c r="E1563" s="198" t="s">
        <v>944</v>
      </c>
      <c r="F1563" s="198" t="s">
        <v>953</v>
      </c>
      <c r="G1563" s="225" t="n">
        <v>1670000</v>
      </c>
      <c r="H1563" s="225" t="n">
        <v>1910716</v>
      </c>
      <c r="I1563" s="225" t="n">
        <v>5333553</v>
      </c>
      <c r="J1563" s="198" t="n">
        <v>27</v>
      </c>
      <c r="K1563" s="198" t="n">
        <v>2</v>
      </c>
      <c r="L1563" s="226" t="n">
        <v>44642</v>
      </c>
      <c r="M1563" s="226" t="n">
        <v>44291</v>
      </c>
      <c r="N1563" s="227" t="n">
        <v>2</v>
      </c>
      <c r="O1563" s="227" t="s">
        <v>135</v>
      </c>
      <c r="P1563" s="228" t="n">
        <f aca="false">VLOOKUP(B1563,'NIVEL ENERO'!A:D,3,0)</f>
        <v>0.428927794634363</v>
      </c>
      <c r="Q1563" s="229" t="n">
        <f aca="false">VLOOKUP(B1563,'NIVEL ENERO'!A:D,4,0)</f>
        <v>-39190</v>
      </c>
      <c r="R1563" s="186" t="str">
        <f aca="false">+PROPER(C1563&amp;" "&amp;D1563)</f>
        <v>Gonzalez Cisneros Stefanny</v>
      </c>
      <c r="S1563" s="230" t="n">
        <f aca="false">+YEARFRAC(L1563,$S$1)</f>
        <v>4.13888888888889</v>
      </c>
      <c r="T1563" s="230" t="n">
        <f aca="false">+YEARFRAC(M1563,$S$1)</f>
        <v>5.10277777777778</v>
      </c>
      <c r="U1563" s="231" t="n">
        <f aca="false">+$I1563</f>
        <v>5333553</v>
      </c>
      <c r="V1563" s="232" t="str">
        <f aca="false">+PROPER(F1563)</f>
        <v>Soltero(A)</v>
      </c>
    </row>
    <row r="1564" customFormat="false" ht="14.25" hidden="false" customHeight="false" outlineLevel="0" collapsed="false">
      <c r="B1564" s="197" t="n">
        <v>1144095055</v>
      </c>
      <c r="C1564" s="197" t="s">
        <v>3623</v>
      </c>
      <c r="D1564" s="197" t="s">
        <v>3624</v>
      </c>
      <c r="E1564" s="198" t="s">
        <v>944</v>
      </c>
      <c r="F1564" s="198" t="s">
        <v>953</v>
      </c>
      <c r="G1564" s="225" t="n">
        <v>2600900</v>
      </c>
      <c r="H1564" s="225" t="n">
        <v>2569949</v>
      </c>
      <c r="I1564" s="225" t="n">
        <v>1744248</v>
      </c>
      <c r="J1564" s="198" t="n">
        <v>27</v>
      </c>
      <c r="K1564" s="198" t="n">
        <v>2</v>
      </c>
      <c r="L1564" s="226" t="n">
        <v>44725</v>
      </c>
      <c r="M1564" s="226" t="n">
        <v>42471</v>
      </c>
      <c r="N1564" s="227" t="n">
        <v>3</v>
      </c>
      <c r="O1564" s="227" t="s">
        <v>135</v>
      </c>
      <c r="P1564" s="228" t="n">
        <f aca="false">VLOOKUP(B1564,'NIVEL ENERO'!A:D,3,0)</f>
        <v>0.339757776154408</v>
      </c>
      <c r="Q1564" s="229" t="n">
        <f aca="false">VLOOKUP(B1564,'NIVEL ENERO'!A:D,4,0)</f>
        <v>208702</v>
      </c>
      <c r="R1564" s="186" t="str">
        <f aca="false">+PROPER(C1564&amp;" "&amp;D1564)</f>
        <v>Mina Cuenca Yisel Fernanda</v>
      </c>
      <c r="S1564" s="230" t="n">
        <f aca="false">+YEARFRAC(L1564,$S$1)</f>
        <v>3.91388888888889</v>
      </c>
      <c r="T1564" s="230" t="n">
        <f aca="false">+YEARFRAC(M1564,$S$1)</f>
        <v>10.0861111111111</v>
      </c>
      <c r="U1564" s="231" t="n">
        <f aca="false">+$I1564</f>
        <v>1744248</v>
      </c>
      <c r="V1564" s="232" t="str">
        <f aca="false">+PROPER(F1564)</f>
        <v>Soltero(A)</v>
      </c>
    </row>
    <row r="1565" customFormat="false" ht="14.25" hidden="false" customHeight="false" outlineLevel="0" collapsed="false">
      <c r="B1565" s="197" t="n">
        <v>1144097450</v>
      </c>
      <c r="C1565" s="197" t="s">
        <v>3625</v>
      </c>
      <c r="D1565" s="197" t="s">
        <v>3626</v>
      </c>
      <c r="E1565" s="198" t="s">
        <v>944</v>
      </c>
      <c r="F1565" s="198" t="s">
        <v>953</v>
      </c>
      <c r="G1565" s="225" t="n">
        <v>2600900</v>
      </c>
      <c r="H1565" s="225" t="n">
        <v>1196096</v>
      </c>
      <c r="I1565" s="225" t="n">
        <v>1725257</v>
      </c>
      <c r="J1565" s="198" t="n">
        <v>27</v>
      </c>
      <c r="K1565" s="198" t="n">
        <v>2</v>
      </c>
      <c r="L1565" s="226" t="n">
        <v>45099</v>
      </c>
      <c r="M1565" s="226" t="n">
        <v>44910</v>
      </c>
      <c r="N1565" s="227" t="n">
        <v>0</v>
      </c>
      <c r="O1565" s="227" t="s">
        <v>135</v>
      </c>
      <c r="P1565" s="228" t="n">
        <f aca="false">VLOOKUP(B1565,'NIVEL ENERO'!A:D,3,0)</f>
        <v>0.186262895932304</v>
      </c>
      <c r="Q1565" s="229" t="n">
        <f aca="false">VLOOKUP(B1565,'NIVEL ENERO'!A:D,4,0)</f>
        <v>802199.22</v>
      </c>
      <c r="R1565" s="186" t="str">
        <f aca="false">+PROPER(C1565&amp;" "&amp;D1565)</f>
        <v>Granados Giraldo Diana Alejandra</v>
      </c>
      <c r="S1565" s="230" t="n">
        <f aca="false">+YEARFRAC(L1565,$S$1)</f>
        <v>2.88888888888889</v>
      </c>
      <c r="T1565" s="230" t="n">
        <f aca="false">+YEARFRAC(M1565,$S$1)</f>
        <v>3.40833333333333</v>
      </c>
      <c r="U1565" s="231" t="n">
        <f aca="false">+$I1565</f>
        <v>1725257</v>
      </c>
      <c r="V1565" s="232" t="str">
        <f aca="false">+PROPER(F1565)</f>
        <v>Soltero(A)</v>
      </c>
    </row>
    <row r="1566" customFormat="false" ht="14.25" hidden="false" customHeight="false" outlineLevel="0" collapsed="false">
      <c r="B1566" s="197" t="n">
        <v>1144101138</v>
      </c>
      <c r="C1566" s="197" t="s">
        <v>3627</v>
      </c>
      <c r="D1566" s="197" t="s">
        <v>3628</v>
      </c>
      <c r="E1566" s="198" t="s">
        <v>944</v>
      </c>
      <c r="F1566" s="198" t="s">
        <v>953</v>
      </c>
      <c r="G1566" s="225" t="n">
        <v>2893800</v>
      </c>
      <c r="H1566" s="225" t="n">
        <v>2619675</v>
      </c>
      <c r="I1566" s="225" t="n">
        <v>0</v>
      </c>
      <c r="J1566" s="198" t="n">
        <v>26</v>
      </c>
      <c r="K1566" s="198" t="n">
        <v>1</v>
      </c>
      <c r="L1566" s="226" t="n">
        <v>44798</v>
      </c>
      <c r="M1566" s="226" t="n">
        <v>43174</v>
      </c>
      <c r="N1566" s="227" t="n">
        <v>0</v>
      </c>
      <c r="O1566" s="227" t="s">
        <v>135</v>
      </c>
      <c r="P1566" s="228" t="n">
        <f aca="false">VLOOKUP(B1566,'NIVEL ENERO'!A:D,3,0)</f>
        <v>0.16630455994886</v>
      </c>
      <c r="Q1566" s="229" t="n">
        <f aca="false">VLOOKUP(B1566,'NIVEL ENERO'!A:D,4,0)</f>
        <v>1081585.52</v>
      </c>
      <c r="R1566" s="186" t="str">
        <f aca="false">+PROPER(C1566&amp;" "&amp;D1566)</f>
        <v>Arroyo Florez Kimberly</v>
      </c>
      <c r="S1566" s="230" t="n">
        <f aca="false">+YEARFRAC(L1566,$S$1)</f>
        <v>3.71388888888889</v>
      </c>
      <c r="T1566" s="230" t="n">
        <f aca="false">+YEARFRAC(M1566,$S$1)</f>
        <v>8.15833333333333</v>
      </c>
      <c r="U1566" s="231" t="n">
        <f aca="false">+$I1566</f>
        <v>0</v>
      </c>
      <c r="V1566" s="232" t="str">
        <f aca="false">+PROPER(F1566)</f>
        <v>Soltero(A)</v>
      </c>
    </row>
    <row r="1567" customFormat="false" ht="14.25" hidden="false" customHeight="false" outlineLevel="0" collapsed="false">
      <c r="B1567" s="197" t="n">
        <v>1144101567</v>
      </c>
      <c r="C1567" s="197" t="s">
        <v>3629</v>
      </c>
      <c r="D1567" s="197" t="s">
        <v>2305</v>
      </c>
      <c r="E1567" s="198" t="s">
        <v>944</v>
      </c>
      <c r="F1567" s="198" t="s">
        <v>953</v>
      </c>
      <c r="G1567" s="225" t="n">
        <v>4469100</v>
      </c>
      <c r="H1567" s="225" t="n">
        <v>1316870</v>
      </c>
      <c r="I1567" s="225" t="n">
        <v>1453449</v>
      </c>
      <c r="J1567" s="198" t="n">
        <v>26</v>
      </c>
      <c r="K1567" s="198" t="n">
        <v>2</v>
      </c>
      <c r="L1567" s="226" t="n">
        <v>45027</v>
      </c>
      <c r="M1567" s="226" t="n">
        <v>44959</v>
      </c>
      <c r="N1567" s="227" t="n">
        <v>0</v>
      </c>
      <c r="O1567" s="227" t="s">
        <v>135</v>
      </c>
      <c r="P1567" s="228" t="n">
        <f aca="false">VLOOKUP(B1567,'NIVEL ENERO'!A:D,3,0)</f>
        <v>0.13244096764652</v>
      </c>
      <c r="Q1567" s="229" t="n">
        <f aca="false">VLOOKUP(B1567,'NIVEL ENERO'!A:D,4,0)</f>
        <v>1334796.98</v>
      </c>
      <c r="R1567" s="186" t="str">
        <f aca="false">+PROPER(C1567&amp;" "&amp;D1567)</f>
        <v>Montes Millan Isabella</v>
      </c>
      <c r="S1567" s="230" t="n">
        <f aca="false">+YEARFRAC(L1567,$S$1)</f>
        <v>3.08611111111111</v>
      </c>
      <c r="T1567" s="230" t="n">
        <f aca="false">+YEARFRAC(M1567,$S$1)</f>
        <v>3.27777777777778</v>
      </c>
      <c r="U1567" s="231" t="n">
        <f aca="false">+$I1567</f>
        <v>1453449</v>
      </c>
      <c r="V1567" s="232" t="str">
        <f aca="false">+PROPER(F1567)</f>
        <v>Soltero(A)</v>
      </c>
    </row>
    <row r="1568" customFormat="false" ht="14.25" hidden="false" customHeight="false" outlineLevel="0" collapsed="false">
      <c r="B1568" s="197" t="n">
        <v>1144103604</v>
      </c>
      <c r="C1568" s="197" t="s">
        <v>3630</v>
      </c>
      <c r="D1568" s="197" t="s">
        <v>3631</v>
      </c>
      <c r="E1568" s="198" t="s">
        <v>944</v>
      </c>
      <c r="F1568" s="198" t="s">
        <v>953</v>
      </c>
      <c r="G1568" s="225" t="n">
        <v>2600900</v>
      </c>
      <c r="H1568" s="225" t="n">
        <v>1506656</v>
      </c>
      <c r="I1568" s="225" t="n">
        <v>1447153</v>
      </c>
      <c r="J1568" s="198" t="n">
        <v>26</v>
      </c>
      <c r="K1568" s="198" t="n">
        <v>2</v>
      </c>
      <c r="L1568" s="226" t="n">
        <v>44886</v>
      </c>
      <c r="M1568" s="226" t="n">
        <v>44587</v>
      </c>
      <c r="N1568" s="227" t="n">
        <v>0</v>
      </c>
      <c r="O1568" s="227" t="s">
        <v>135</v>
      </c>
      <c r="P1568" s="228" t="n">
        <f aca="false">VLOOKUP(B1568,'NIVEL ENERO'!A:D,3,0)</f>
        <v>0.243437370098379</v>
      </c>
      <c r="Q1568" s="229" t="n">
        <f aca="false">VLOOKUP(B1568,'NIVEL ENERO'!A:D,4,0)</f>
        <v>509701</v>
      </c>
      <c r="R1568" s="186" t="str">
        <f aca="false">+PROPER(C1568&amp;" "&amp;D1568)</f>
        <v>Vera Mejia Liceth</v>
      </c>
      <c r="S1568" s="230" t="n">
        <f aca="false">+YEARFRAC(L1568,$S$1)</f>
        <v>3.475</v>
      </c>
      <c r="T1568" s="230" t="n">
        <f aca="false">+YEARFRAC(M1568,$S$1)</f>
        <v>4.29444444444444</v>
      </c>
      <c r="U1568" s="231" t="n">
        <f aca="false">+$I1568</f>
        <v>1447153</v>
      </c>
      <c r="V1568" s="232" t="str">
        <f aca="false">+PROPER(F1568)</f>
        <v>Soltero(A)</v>
      </c>
    </row>
    <row r="1569" customFormat="false" ht="14.25" hidden="false" customHeight="false" outlineLevel="0" collapsed="false">
      <c r="B1569" s="197" t="n">
        <v>1144104260</v>
      </c>
      <c r="C1569" s="197" t="s">
        <v>3632</v>
      </c>
      <c r="D1569" s="197" t="s">
        <v>3633</v>
      </c>
      <c r="E1569" s="198" t="s">
        <v>944</v>
      </c>
      <c r="F1569" s="198" t="s">
        <v>948</v>
      </c>
      <c r="G1569" s="225" t="n">
        <v>4870200</v>
      </c>
      <c r="H1569" s="225" t="n">
        <v>2011731</v>
      </c>
      <c r="I1569" s="225" t="n">
        <v>0</v>
      </c>
      <c r="J1569" s="198" t="n">
        <v>26</v>
      </c>
      <c r="K1569" s="198" t="n">
        <v>2</v>
      </c>
      <c r="L1569" s="226" t="n">
        <v>44552</v>
      </c>
      <c r="M1569" s="226" t="n">
        <v>43182</v>
      </c>
      <c r="N1569" s="227" t="n">
        <v>3</v>
      </c>
      <c r="O1569" s="227" t="s">
        <v>135</v>
      </c>
      <c r="P1569" s="228" t="n">
        <f aca="false">VLOOKUP(B1569,'NIVEL ENERO'!A:D,3,0)</f>
        <v>0.201359185236815</v>
      </c>
      <c r="Q1569" s="229" t="n">
        <f aca="false">VLOOKUP(B1569,'NIVEL ENERO'!A:D,4,0)</f>
        <v>1064035.64</v>
      </c>
      <c r="R1569" s="186" t="str">
        <f aca="false">+PROPER(C1569&amp;" "&amp;D1569)</f>
        <v>Cambindo Gonzalez Angely Yiseth</v>
      </c>
      <c r="S1569" s="230" t="n">
        <f aca="false">+YEARFRAC(L1569,$S$1)</f>
        <v>4.38888888888889</v>
      </c>
      <c r="T1569" s="230" t="n">
        <f aca="false">+YEARFRAC(M1569,$S$1)</f>
        <v>8.13611111111111</v>
      </c>
      <c r="U1569" s="231" t="n">
        <f aca="false">+$I1569</f>
        <v>0</v>
      </c>
      <c r="V1569" s="232" t="str">
        <f aca="false">+PROPER(F1569)</f>
        <v>Casado(A)</v>
      </c>
    </row>
    <row r="1570" customFormat="false" ht="14.25" hidden="false" customHeight="false" outlineLevel="0" collapsed="false">
      <c r="B1570" s="197" t="n">
        <v>1144104785</v>
      </c>
      <c r="C1570" s="197" t="s">
        <v>3634</v>
      </c>
      <c r="D1570" s="197" t="s">
        <v>3635</v>
      </c>
      <c r="E1570" s="198" t="s">
        <v>944</v>
      </c>
      <c r="F1570" s="198" t="s">
        <v>953</v>
      </c>
      <c r="G1570" s="225" t="n">
        <v>2600900</v>
      </c>
      <c r="H1570" s="225" t="n">
        <v>1759194</v>
      </c>
      <c r="I1570" s="225" t="n">
        <v>2565266</v>
      </c>
      <c r="J1570" s="198" t="n">
        <v>26</v>
      </c>
      <c r="K1570" s="198" t="n">
        <v>2</v>
      </c>
      <c r="L1570" s="226" t="n">
        <v>44757</v>
      </c>
      <c r="M1570" s="226" t="n">
        <v>43196</v>
      </c>
      <c r="N1570" s="227" t="n">
        <v>1</v>
      </c>
      <c r="O1570" s="227" t="s">
        <v>135</v>
      </c>
      <c r="P1570" s="228" t="n">
        <f aca="false">VLOOKUP(B1570,'NIVEL ENERO'!A:D,3,0)</f>
        <v>0.322932138518731</v>
      </c>
      <c r="Q1570" s="229" t="n">
        <f aca="false">VLOOKUP(B1570,'NIVEL ENERO'!A:D,4,0)</f>
        <v>265026</v>
      </c>
      <c r="R1570" s="186" t="str">
        <f aca="false">+PROPER(C1570&amp;" "&amp;D1570)</f>
        <v>Artunduaga Quinones Sofia</v>
      </c>
      <c r="S1570" s="230" t="n">
        <f aca="false">+YEARFRAC(L1570,$S$1)</f>
        <v>3.825</v>
      </c>
      <c r="T1570" s="230" t="n">
        <f aca="false">+YEARFRAC(M1570,$S$1)</f>
        <v>8.1</v>
      </c>
      <c r="U1570" s="231" t="n">
        <f aca="false">+$I1570</f>
        <v>2565266</v>
      </c>
      <c r="V1570" s="232" t="str">
        <f aca="false">+PROPER(F1570)</f>
        <v>Soltero(A)</v>
      </c>
    </row>
    <row r="1571" customFormat="false" ht="14.25" hidden="false" customHeight="false" outlineLevel="0" collapsed="false">
      <c r="B1571" s="197" t="n">
        <v>1144106381</v>
      </c>
      <c r="C1571" s="197" t="s">
        <v>3636</v>
      </c>
      <c r="D1571" s="197" t="s">
        <v>2395</v>
      </c>
      <c r="E1571" s="198" t="s">
        <v>944</v>
      </c>
      <c r="F1571" s="198" t="s">
        <v>945</v>
      </c>
      <c r="G1571" s="225" t="n">
        <v>1670000</v>
      </c>
      <c r="H1571" s="225" t="n">
        <v>400000</v>
      </c>
      <c r="I1571" s="225" t="n">
        <v>1902819</v>
      </c>
      <c r="J1571" s="198" t="n">
        <v>25</v>
      </c>
      <c r="K1571" s="198" t="n">
        <v>2</v>
      </c>
      <c r="L1571" s="226" t="n">
        <v>45517</v>
      </c>
      <c r="M1571" s="226" t="n">
        <v>43384</v>
      </c>
      <c r="N1571" s="227" t="n">
        <v>1</v>
      </c>
      <c r="O1571" s="227" t="s">
        <v>135</v>
      </c>
      <c r="P1571" s="228" t="n">
        <f aca="false">VLOOKUP(B1571,'NIVEL ENERO'!A:D,3,0)</f>
        <v>0.381982838367743</v>
      </c>
      <c r="Q1571" s="229" t="n">
        <f aca="false">VLOOKUP(B1571,'NIVEL ENERO'!A:D,4,0)</f>
        <v>78946.7799999999</v>
      </c>
      <c r="R1571" s="186" t="str">
        <f aca="false">+PROPER(C1571&amp;" "&amp;D1571)</f>
        <v>Sanchez Bolivar Luisa Fernanda</v>
      </c>
      <c r="S1571" s="230" t="n">
        <f aca="false">+YEARFRAC(L1571,$S$1)</f>
        <v>1.74722222222222</v>
      </c>
      <c r="T1571" s="230" t="n">
        <f aca="false">+YEARFRAC(M1571,$S$1)</f>
        <v>7.58611111111111</v>
      </c>
      <c r="U1571" s="231" t="n">
        <f aca="false">+$I1571</f>
        <v>1902819</v>
      </c>
      <c r="V1571" s="232" t="str">
        <f aca="false">+PROPER(F1571)</f>
        <v>Union Libre</v>
      </c>
    </row>
    <row r="1572" customFormat="false" ht="14.25" hidden="false" customHeight="false" outlineLevel="0" collapsed="false">
      <c r="B1572" s="197" t="n">
        <v>1144106610</v>
      </c>
      <c r="C1572" s="197" t="s">
        <v>3637</v>
      </c>
      <c r="D1572" s="197" t="s">
        <v>2252</v>
      </c>
      <c r="E1572" s="198" t="s">
        <v>944</v>
      </c>
      <c r="F1572" s="198" t="s">
        <v>953</v>
      </c>
      <c r="G1572" s="225" t="n">
        <v>2600900</v>
      </c>
      <c r="H1572" s="225" t="n">
        <v>200000</v>
      </c>
      <c r="I1572" s="225" t="n">
        <v>0</v>
      </c>
      <c r="J1572" s="198" t="n">
        <v>25</v>
      </c>
      <c r="K1572" s="198" t="n">
        <v>4</v>
      </c>
      <c r="L1572" s="226" t="n">
        <v>45615</v>
      </c>
      <c r="M1572" s="226" t="n">
        <v>44266</v>
      </c>
      <c r="N1572" s="227" t="n">
        <v>1</v>
      </c>
      <c r="O1572" s="227" t="s">
        <v>135</v>
      </c>
      <c r="P1572" s="228" t="n">
        <f aca="false">VLOOKUP(B1572,'NIVEL ENERO'!A:D,3,0)</f>
        <v>0.421538698142951</v>
      </c>
      <c r="Q1572" s="229" t="n">
        <f aca="false">VLOOKUP(B1572,'NIVEL ENERO'!A:D,4,0)</f>
        <v>-4002</v>
      </c>
      <c r="R1572" s="186" t="str">
        <f aca="false">+PROPER(C1572&amp;" "&amp;D1572)</f>
        <v>Castillo Forero Natalia</v>
      </c>
      <c r="S1572" s="230" t="n">
        <f aca="false">+YEARFRAC(L1572,$S$1)</f>
        <v>1.48055555555556</v>
      </c>
      <c r="T1572" s="230" t="n">
        <f aca="false">+YEARFRAC(M1572,$S$1)</f>
        <v>5.16944444444444</v>
      </c>
      <c r="U1572" s="231" t="n">
        <f aca="false">+$I1572</f>
        <v>0</v>
      </c>
      <c r="V1572" s="232" t="str">
        <f aca="false">+PROPER(F1572)</f>
        <v>Soltero(A)</v>
      </c>
    </row>
    <row r="1573" customFormat="false" ht="14.25" hidden="false" customHeight="false" outlineLevel="0" collapsed="false">
      <c r="B1573" s="197" t="n">
        <v>1144106737</v>
      </c>
      <c r="C1573" s="197" t="s">
        <v>3638</v>
      </c>
      <c r="D1573" s="197" t="s">
        <v>1509</v>
      </c>
      <c r="E1573" s="198" t="s">
        <v>944</v>
      </c>
      <c r="F1573" s="198" t="s">
        <v>953</v>
      </c>
      <c r="G1573" s="225" t="n">
        <v>2893800</v>
      </c>
      <c r="H1573" s="225" t="n">
        <v>4407775</v>
      </c>
      <c r="I1573" s="225"/>
      <c r="J1573" s="198" t="n">
        <v>25</v>
      </c>
      <c r="K1573" s="198" t="n">
        <v>2</v>
      </c>
      <c r="L1573" s="226" t="n">
        <v>45001</v>
      </c>
      <c r="M1573" s="226" t="n">
        <v>44127</v>
      </c>
      <c r="N1573" s="227" t="n">
        <v>0</v>
      </c>
      <c r="O1573" s="227" t="s">
        <v>135</v>
      </c>
      <c r="P1573" s="228" t="n">
        <f aca="false">VLOOKUP(B1573,'NIVEL ENERO'!A:D,3,0)</f>
        <v>0.166332439390273</v>
      </c>
      <c r="Q1573" s="229" t="n">
        <f aca="false">VLOOKUP(B1573,'NIVEL ENERO'!A:D,4,0)</f>
        <v>763478.9</v>
      </c>
      <c r="R1573" s="186" t="str">
        <f aca="false">+PROPER(C1573&amp;" "&amp;D1573)</f>
        <v>Yepes Garcia Patricia</v>
      </c>
      <c r="S1573" s="230" t="n">
        <f aca="false">+YEARFRAC(L1573,$S$1)</f>
        <v>3.15555555555556</v>
      </c>
      <c r="T1573" s="230" t="n">
        <f aca="false">+YEARFRAC(M1573,$S$1)</f>
        <v>5.55277777777778</v>
      </c>
      <c r="U1573" s="231" t="n">
        <f aca="false">+$I1573</f>
        <v>0</v>
      </c>
      <c r="V1573" s="232" t="str">
        <f aca="false">+PROPER(F1573)</f>
        <v>Soltero(A)</v>
      </c>
    </row>
    <row r="1574" customFormat="false" ht="14.25" hidden="false" customHeight="false" outlineLevel="0" collapsed="false">
      <c r="B1574" s="197" t="n">
        <v>1144108067</v>
      </c>
      <c r="C1574" s="197" t="s">
        <v>3639</v>
      </c>
      <c r="D1574" s="197" t="s">
        <v>3640</v>
      </c>
      <c r="E1574" s="198" t="s">
        <v>944</v>
      </c>
      <c r="F1574" s="198" t="s">
        <v>953</v>
      </c>
      <c r="G1574" s="225" t="n">
        <v>2893800</v>
      </c>
      <c r="H1574" s="225" t="n">
        <v>520000</v>
      </c>
      <c r="I1574" s="225" t="n">
        <v>0</v>
      </c>
      <c r="J1574" s="198" t="n">
        <v>25</v>
      </c>
      <c r="K1574" s="198" t="n">
        <v>4</v>
      </c>
      <c r="L1574" s="226" t="n">
        <v>45414</v>
      </c>
      <c r="M1574" s="226" t="n">
        <v>44699</v>
      </c>
      <c r="N1574" s="227" t="n">
        <v>2</v>
      </c>
      <c r="O1574" s="227" t="s">
        <v>135</v>
      </c>
      <c r="P1574" s="228" t="n">
        <f aca="false">VLOOKUP(B1574,'NIVEL ENERO'!A:D,3,0)</f>
        <v>0.108539954377508</v>
      </c>
      <c r="Q1574" s="229" t="n">
        <f aca="false">VLOOKUP(B1574,'NIVEL ENERO'!A:D,4,0)</f>
        <v>1014340.34</v>
      </c>
      <c r="R1574" s="186" t="str">
        <f aca="false">+PROPER(C1574&amp;" "&amp;D1574)</f>
        <v>Soto Medina Karen Julieth</v>
      </c>
      <c r="S1574" s="230" t="n">
        <f aca="false">+YEARFRAC(L1574,$S$1)</f>
        <v>2.02777777777778</v>
      </c>
      <c r="T1574" s="230" t="n">
        <f aca="false">+YEARFRAC(M1574,$S$1)</f>
        <v>3.98333333333333</v>
      </c>
      <c r="U1574" s="231" t="n">
        <f aca="false">+$I1574</f>
        <v>0</v>
      </c>
      <c r="V1574" s="232" t="str">
        <f aca="false">+PROPER(F1574)</f>
        <v>Soltero(A)</v>
      </c>
    </row>
    <row r="1575" customFormat="false" ht="14.25" hidden="false" customHeight="false" outlineLevel="0" collapsed="false">
      <c r="B1575" s="197" t="n">
        <v>1144108263</v>
      </c>
      <c r="C1575" s="197" t="s">
        <v>3641</v>
      </c>
      <c r="D1575" s="197" t="s">
        <v>3642</v>
      </c>
      <c r="E1575" s="198" t="s">
        <v>944</v>
      </c>
      <c r="F1575" s="198" t="s">
        <v>953</v>
      </c>
      <c r="G1575" s="225" t="n">
        <v>2340800</v>
      </c>
      <c r="H1575" s="225" t="n">
        <v>1135788</v>
      </c>
      <c r="I1575" s="225" t="n">
        <v>40723</v>
      </c>
      <c r="J1575" s="198" t="n">
        <v>25</v>
      </c>
      <c r="K1575" s="198" t="n">
        <v>2</v>
      </c>
      <c r="L1575" s="226" t="n">
        <v>45117</v>
      </c>
      <c r="M1575" s="226" t="n">
        <v>44963</v>
      </c>
      <c r="N1575" s="227" t="n">
        <v>0</v>
      </c>
      <c r="O1575" s="227" t="s">
        <v>135</v>
      </c>
      <c r="P1575" s="228" t="n">
        <f aca="false">VLOOKUP(B1575,'NIVEL ENERO'!A:D,3,0)</f>
        <v>0.241232484620643</v>
      </c>
      <c r="Q1575" s="229" t="n">
        <f aca="false">VLOOKUP(B1575,'NIVEL ENERO'!A:D,4,0)</f>
        <v>418459</v>
      </c>
      <c r="R1575" s="186" t="str">
        <f aca="false">+PROPER(C1575&amp;" "&amp;D1575)</f>
        <v>Sanchez Mina Daniela Marcela</v>
      </c>
      <c r="S1575" s="230" t="n">
        <f aca="false">+YEARFRAC(L1575,$S$1)</f>
        <v>2.83888888888889</v>
      </c>
      <c r="T1575" s="230" t="n">
        <f aca="false">+YEARFRAC(M1575,$S$1)</f>
        <v>3.26666666666667</v>
      </c>
      <c r="U1575" s="231" t="n">
        <f aca="false">+$I1575</f>
        <v>40723</v>
      </c>
      <c r="V1575" s="232" t="str">
        <f aca="false">+PROPER(F1575)</f>
        <v>Soltero(A)</v>
      </c>
    </row>
    <row r="1576" customFormat="false" ht="14.25" hidden="false" customHeight="false" outlineLevel="0" collapsed="false">
      <c r="B1576" s="197" t="n">
        <v>1144108811</v>
      </c>
      <c r="C1576" s="197" t="s">
        <v>3643</v>
      </c>
      <c r="D1576" s="197" t="s">
        <v>3644</v>
      </c>
      <c r="E1576" s="198" t="s">
        <v>944</v>
      </c>
      <c r="F1576" s="198" t="s">
        <v>953</v>
      </c>
      <c r="G1576" s="225" t="n">
        <v>2600900</v>
      </c>
      <c r="H1576" s="225" t="n">
        <v>390000</v>
      </c>
      <c r="I1576" s="225" t="n">
        <v>0</v>
      </c>
      <c r="J1576" s="198" t="n">
        <v>25</v>
      </c>
      <c r="K1576" s="198" t="n">
        <v>1</v>
      </c>
      <c r="L1576" s="226" t="n">
        <v>45475</v>
      </c>
      <c r="M1576" s="226" t="n">
        <v>44085</v>
      </c>
      <c r="N1576" s="227" t="n">
        <v>1</v>
      </c>
      <c r="O1576" s="227" t="s">
        <v>135</v>
      </c>
      <c r="P1576" s="228" t="n">
        <f aca="false">VLOOKUP(B1576,'NIVEL ENERO'!A:D,3,0)</f>
        <v>0.364515846245095</v>
      </c>
      <c r="Q1576" s="229" t="n">
        <f aca="false">VLOOKUP(B1576,'NIVEL ENERO'!A:D,4,0)</f>
        <v>156752.74</v>
      </c>
      <c r="R1576" s="186" t="str">
        <f aca="false">+PROPER(C1576&amp;" "&amp;D1576)</f>
        <v>Rodriguez Escobar Dilan Jeremy</v>
      </c>
      <c r="S1576" s="230" t="n">
        <f aca="false">+YEARFRAC(L1576,$S$1)</f>
        <v>1.86111111111111</v>
      </c>
      <c r="T1576" s="230" t="n">
        <f aca="false">+YEARFRAC(M1576,$S$1)</f>
        <v>5.66944444444444</v>
      </c>
      <c r="U1576" s="231" t="n">
        <f aca="false">+$I1576</f>
        <v>0</v>
      </c>
      <c r="V1576" s="232" t="str">
        <f aca="false">+PROPER(F1576)</f>
        <v>Soltero(A)</v>
      </c>
    </row>
    <row r="1577" customFormat="false" ht="14.25" hidden="false" customHeight="false" outlineLevel="0" collapsed="false">
      <c r="B1577" s="197" t="n">
        <v>1144109929</v>
      </c>
      <c r="C1577" s="197" t="s">
        <v>2438</v>
      </c>
      <c r="D1577" s="197" t="s">
        <v>1041</v>
      </c>
      <c r="E1577" s="198" t="s">
        <v>944</v>
      </c>
      <c r="F1577" s="198" t="s">
        <v>945</v>
      </c>
      <c r="G1577" s="225" t="n">
        <v>2893800</v>
      </c>
      <c r="H1577" s="225" t="n">
        <v>1500275</v>
      </c>
      <c r="I1577" s="225" t="n">
        <v>4000000</v>
      </c>
      <c r="J1577" s="198" t="n">
        <v>25</v>
      </c>
      <c r="K1577" s="198" t="n">
        <v>4</v>
      </c>
      <c r="L1577" s="226" t="n">
        <v>45220</v>
      </c>
      <c r="M1577" s="226" t="n">
        <v>44493</v>
      </c>
      <c r="N1577" s="227" t="n">
        <v>0</v>
      </c>
      <c r="O1577" s="227" t="s">
        <v>135</v>
      </c>
      <c r="P1577" s="228" t="n">
        <f aca="false">VLOOKUP(B1577,'NIVEL ENERO'!A:D,3,0)</f>
        <v>0.199011856473424</v>
      </c>
      <c r="Q1577" s="229" t="n">
        <f aca="false">VLOOKUP(B1577,'NIVEL ENERO'!A:D,4,0)</f>
        <v>825752.4</v>
      </c>
      <c r="R1577" s="186" t="str">
        <f aca="false">+PROPER(C1577&amp;" "&amp;D1577)</f>
        <v>Gomez Velez Luis Felipe</v>
      </c>
      <c r="S1577" s="230" t="n">
        <f aca="false">+YEARFRAC(L1577,$S$1)</f>
        <v>2.55833333333333</v>
      </c>
      <c r="T1577" s="230" t="n">
        <f aca="false">+YEARFRAC(M1577,$S$1)</f>
        <v>4.55</v>
      </c>
      <c r="U1577" s="231" t="n">
        <f aca="false">+$I1577</f>
        <v>4000000</v>
      </c>
      <c r="V1577" s="232" t="str">
        <f aca="false">+PROPER(F1577)</f>
        <v>Union Libre</v>
      </c>
    </row>
    <row r="1578" customFormat="false" ht="14.25" hidden="false" customHeight="false" outlineLevel="0" collapsed="false">
      <c r="B1578" s="197" t="n">
        <v>1144124288</v>
      </c>
      <c r="C1578" s="197" t="s">
        <v>3645</v>
      </c>
      <c r="D1578" s="197" t="s">
        <v>3646</v>
      </c>
      <c r="E1578" s="198" t="s">
        <v>944</v>
      </c>
      <c r="F1578" s="198" t="s">
        <v>1282</v>
      </c>
      <c r="G1578" s="225" t="n">
        <v>2893800</v>
      </c>
      <c r="H1578" s="225" t="n">
        <v>5673415</v>
      </c>
      <c r="I1578" s="225" t="n">
        <v>2850344</v>
      </c>
      <c r="J1578" s="198" t="n">
        <v>35</v>
      </c>
      <c r="K1578" s="198" t="n">
        <v>6</v>
      </c>
      <c r="L1578" s="226" t="n">
        <v>43514</v>
      </c>
      <c r="M1578" s="226" t="n">
        <v>39637</v>
      </c>
      <c r="N1578" s="227" t="n">
        <v>3</v>
      </c>
      <c r="O1578" s="227" t="s">
        <v>135</v>
      </c>
      <c r="P1578" s="228" t="n">
        <f aca="false">VLOOKUP(B1578,'NIVEL ENERO'!A:D,3,0)</f>
        <v>0.343986841759837</v>
      </c>
      <c r="Q1578" s="229" t="n">
        <f aca="false">VLOOKUP(B1578,'NIVEL ENERO'!A:D,4,0)</f>
        <v>227777.28</v>
      </c>
      <c r="R1578" s="186" t="str">
        <f aca="false">+PROPER(C1578&amp;" "&amp;D1578)</f>
        <v>Acosta Arango Youly Esthefhanie</v>
      </c>
      <c r="S1578" s="230" t="n">
        <f aca="false">+YEARFRAC(L1578,$S$1)</f>
        <v>7.23333333333333</v>
      </c>
      <c r="T1578" s="230" t="n">
        <f aca="false">+YEARFRAC(M1578,$S$1)</f>
        <v>17.8444444444444</v>
      </c>
      <c r="U1578" s="231" t="n">
        <f aca="false">+$I1578</f>
        <v>2850344</v>
      </c>
      <c r="V1578" s="232" t="str">
        <f aca="false">+PROPER(F1578)</f>
        <v>Divorciado</v>
      </c>
    </row>
    <row r="1579" customFormat="false" ht="14.25" hidden="false" customHeight="false" outlineLevel="0" collapsed="false">
      <c r="B1579" s="197" t="n">
        <v>1144125219</v>
      </c>
      <c r="C1579" s="197" t="s">
        <v>3647</v>
      </c>
      <c r="D1579" s="197" t="s">
        <v>1606</v>
      </c>
      <c r="E1579" s="198" t="s">
        <v>1550</v>
      </c>
      <c r="F1579" s="198" t="s">
        <v>945</v>
      </c>
      <c r="G1579" s="225" t="n">
        <v>1918500</v>
      </c>
      <c r="H1579" s="225" t="n">
        <v>2011731</v>
      </c>
      <c r="I1579" s="225" t="n">
        <v>0</v>
      </c>
      <c r="J1579" s="198" t="n">
        <v>35</v>
      </c>
      <c r="K1579" s="198" t="n">
        <v>2</v>
      </c>
      <c r="L1579" s="226" t="n">
        <v>44579</v>
      </c>
      <c r="M1579" s="226" t="n">
        <v>42876</v>
      </c>
      <c r="N1579" s="227" t="n">
        <v>4</v>
      </c>
      <c r="O1579" s="227" t="s">
        <v>135</v>
      </c>
      <c r="P1579" s="228" t="n">
        <f aca="false">VLOOKUP(B1579,'NIVEL ENERO'!A:D,3,0)</f>
        <v>0.340596684910086</v>
      </c>
      <c r="Q1579" s="229" t="n">
        <f aca="false">VLOOKUP(B1579,'NIVEL ENERO'!A:D,4,0)</f>
        <v>362703</v>
      </c>
      <c r="R1579" s="186" t="str">
        <f aca="false">+PROPER(C1579&amp;" "&amp;D1579)</f>
        <v>Vargas Munoz Alba Lucia</v>
      </c>
      <c r="S1579" s="230" t="n">
        <f aca="false">+YEARFRAC(L1579,$S$1)</f>
        <v>4.31666666666667</v>
      </c>
      <c r="T1579" s="230" t="n">
        <f aca="false">+YEARFRAC(M1579,$S$1)</f>
        <v>8.975</v>
      </c>
      <c r="U1579" s="231" t="n">
        <f aca="false">+$I1579</f>
        <v>0</v>
      </c>
      <c r="V1579" s="232" t="str">
        <f aca="false">+PROPER(F1579)</f>
        <v>Union Libre</v>
      </c>
    </row>
    <row r="1580" customFormat="false" ht="14.25" hidden="false" customHeight="false" outlineLevel="0" collapsed="false">
      <c r="B1580" s="197" t="n">
        <v>1144125541</v>
      </c>
      <c r="C1580" s="197" t="s">
        <v>3648</v>
      </c>
      <c r="D1580" s="197" t="s">
        <v>1239</v>
      </c>
      <c r="E1580" s="198" t="s">
        <v>944</v>
      </c>
      <c r="F1580" s="198" t="s">
        <v>948</v>
      </c>
      <c r="G1580" s="225" t="n">
        <v>4000000</v>
      </c>
      <c r="H1580" s="225" t="n">
        <v>1543944</v>
      </c>
      <c r="I1580" s="225" t="n">
        <v>3605958</v>
      </c>
      <c r="J1580" s="198" t="n">
        <v>35</v>
      </c>
      <c r="K1580" s="198" t="n">
        <v>1</v>
      </c>
      <c r="L1580" s="226" t="n">
        <v>45220</v>
      </c>
      <c r="M1580" s="226" t="n">
        <v>42143</v>
      </c>
      <c r="N1580" s="227" t="n">
        <v>1</v>
      </c>
      <c r="O1580" s="227" t="s">
        <v>158</v>
      </c>
      <c r="P1580" s="228" t="e">
        <f aca="false">VLOOKUP(B1580,'NIVEL ENERO'!A:D,3,0)</f>
        <v>#N/A</v>
      </c>
      <c r="Q1580" s="229" t="e">
        <f aca="false">VLOOKUP(B1580,'NIVEL ENERO'!A:D,4,0)</f>
        <v>#N/A</v>
      </c>
      <c r="R1580" s="186" t="str">
        <f aca="false">+PROPER(C1580&amp;" "&amp;D1580)</f>
        <v>Mesa Castano Katherine</v>
      </c>
      <c r="S1580" s="230" t="n">
        <f aca="false">+YEARFRAC(L1580,$S$1)</f>
        <v>2.55833333333333</v>
      </c>
      <c r="T1580" s="230" t="n">
        <f aca="false">+YEARFRAC(M1580,$S$1)</f>
        <v>10.9805555555556</v>
      </c>
      <c r="U1580" s="231" t="n">
        <f aca="false">+$I1580</f>
        <v>3605958</v>
      </c>
      <c r="V1580" s="232" t="str">
        <f aca="false">+PROPER(F1580)</f>
        <v>Casado(A)</v>
      </c>
    </row>
    <row r="1581" customFormat="false" ht="14.25" hidden="false" customHeight="false" outlineLevel="0" collapsed="false">
      <c r="B1581" s="197" t="n">
        <v>1144126183</v>
      </c>
      <c r="C1581" s="197" t="s">
        <v>3649</v>
      </c>
      <c r="D1581" s="197" t="s">
        <v>3650</v>
      </c>
      <c r="E1581" s="198" t="s">
        <v>944</v>
      </c>
      <c r="F1581" s="198" t="s">
        <v>945</v>
      </c>
      <c r="G1581" s="225" t="n">
        <v>2893800</v>
      </c>
      <c r="H1581" s="225" t="n">
        <v>8401929</v>
      </c>
      <c r="I1581" s="225" t="n">
        <v>8174952</v>
      </c>
      <c r="J1581" s="198" t="n">
        <v>35</v>
      </c>
      <c r="K1581" s="198" t="n">
        <v>2</v>
      </c>
      <c r="L1581" s="226" t="n">
        <v>43179</v>
      </c>
      <c r="M1581" s="226" t="n">
        <v>41224</v>
      </c>
      <c r="N1581" s="227" t="n">
        <v>3</v>
      </c>
      <c r="O1581" s="227" t="s">
        <v>135</v>
      </c>
      <c r="P1581" s="228" t="n">
        <f aca="false">VLOOKUP(B1581,'NIVEL ENERO'!A:D,3,0)</f>
        <v>0.252223324612701</v>
      </c>
      <c r="Q1581" s="229" t="n">
        <f aca="false">VLOOKUP(B1581,'NIVEL ENERO'!A:D,4,0)</f>
        <v>589270.72</v>
      </c>
      <c r="R1581" s="186" t="str">
        <f aca="false">+PROPER(C1581&amp;" "&amp;D1581)</f>
        <v>Rocha Gutierrez Cindy Yulied</v>
      </c>
      <c r="S1581" s="230" t="n">
        <f aca="false">+YEARFRAC(L1581,$S$1)</f>
        <v>8.14444444444444</v>
      </c>
      <c r="T1581" s="230" t="n">
        <f aca="false">+YEARFRAC(M1581,$S$1)</f>
        <v>13.5027777777778</v>
      </c>
      <c r="U1581" s="231" t="n">
        <f aca="false">+$I1581</f>
        <v>8174952</v>
      </c>
      <c r="V1581" s="232" t="str">
        <f aca="false">+PROPER(F1581)</f>
        <v>Union Libre</v>
      </c>
    </row>
    <row r="1582" customFormat="false" ht="14.25" hidden="false" customHeight="false" outlineLevel="0" collapsed="false">
      <c r="B1582" s="197" t="n">
        <v>1144128222</v>
      </c>
      <c r="C1582" s="197" t="s">
        <v>3651</v>
      </c>
      <c r="D1582" s="197" t="s">
        <v>3652</v>
      </c>
      <c r="E1582" s="198" t="s">
        <v>944</v>
      </c>
      <c r="F1582" s="198" t="s">
        <v>953</v>
      </c>
      <c r="G1582" s="225" t="n">
        <v>2916600</v>
      </c>
      <c r="H1582" s="225" t="n">
        <v>500000</v>
      </c>
      <c r="I1582" s="225" t="n">
        <v>605541</v>
      </c>
      <c r="J1582" s="198" t="n">
        <v>35</v>
      </c>
      <c r="K1582" s="198" t="n">
        <v>1</v>
      </c>
      <c r="L1582" s="226" t="n">
        <v>45517</v>
      </c>
      <c r="M1582" s="226" t="n">
        <v>43043</v>
      </c>
      <c r="N1582" s="227" t="n">
        <v>3</v>
      </c>
      <c r="O1582" s="227" t="s">
        <v>135</v>
      </c>
      <c r="P1582" s="228" t="n">
        <f aca="false">VLOOKUP(B1582,'NIVEL ENERO'!A:D,3,0)</f>
        <v>0.459060411414537</v>
      </c>
      <c r="Q1582" s="229" t="n">
        <f aca="false">VLOOKUP(B1582,'NIVEL ENERO'!A:D,4,0)</f>
        <v>-132126.62</v>
      </c>
      <c r="R1582" s="186" t="str">
        <f aca="false">+PROPER(C1582&amp;" "&amp;D1582)</f>
        <v>Gonzalez Hinestroza Christian Yecid</v>
      </c>
      <c r="S1582" s="230" t="n">
        <f aca="false">+YEARFRAC(L1582,$S$1)</f>
        <v>1.74722222222222</v>
      </c>
      <c r="T1582" s="230" t="n">
        <f aca="false">+YEARFRAC(M1582,$S$1)</f>
        <v>8.52222222222222</v>
      </c>
      <c r="U1582" s="231" t="n">
        <f aca="false">+$I1582</f>
        <v>605541</v>
      </c>
      <c r="V1582" s="232" t="str">
        <f aca="false">+PROPER(F1582)</f>
        <v>Soltero(A)</v>
      </c>
    </row>
    <row r="1583" customFormat="false" ht="14.25" hidden="false" customHeight="false" outlineLevel="0" collapsed="false">
      <c r="B1583" s="197" t="n">
        <v>1144128860</v>
      </c>
      <c r="C1583" s="197" t="s">
        <v>3653</v>
      </c>
      <c r="D1583" s="197" t="s">
        <v>3654</v>
      </c>
      <c r="E1583" s="198" t="s">
        <v>944</v>
      </c>
      <c r="F1583" s="198" t="s">
        <v>948</v>
      </c>
      <c r="G1583" s="225" t="n">
        <v>1625000</v>
      </c>
      <c r="H1583" s="225" t="n">
        <v>400000</v>
      </c>
      <c r="I1583" s="225" t="n">
        <v>1018682</v>
      </c>
      <c r="J1583" s="198" t="n">
        <v>35</v>
      </c>
      <c r="K1583" s="198" t="n">
        <v>2</v>
      </c>
      <c r="L1583" s="226" t="n">
        <v>45414</v>
      </c>
      <c r="M1583" s="226" t="n">
        <v>45390</v>
      </c>
      <c r="N1583" s="227" t="n">
        <v>0</v>
      </c>
      <c r="O1583" s="227" t="s">
        <v>135</v>
      </c>
      <c r="P1583" s="228" t="n">
        <f aca="false">VLOOKUP(B1583,'NIVEL ENERO'!A:D,3,0)</f>
        <v>0.208599509780362</v>
      </c>
      <c r="Q1583" s="229" t="n">
        <f aca="false">VLOOKUP(B1583,'NIVEL ENERO'!A:D,4,0)</f>
        <v>439861</v>
      </c>
      <c r="R1583" s="186" t="str">
        <f aca="false">+PROPER(C1583&amp;" "&amp;D1583)</f>
        <v>Velez Lobaton Yuli Gisel</v>
      </c>
      <c r="S1583" s="230" t="n">
        <f aca="false">+YEARFRAC(L1583,$S$1)</f>
        <v>2.02777777777778</v>
      </c>
      <c r="T1583" s="230" t="n">
        <f aca="false">+YEARFRAC(M1583,$S$1)</f>
        <v>2.09444444444444</v>
      </c>
      <c r="U1583" s="231" t="n">
        <f aca="false">+$I1583</f>
        <v>1018682</v>
      </c>
      <c r="V1583" s="232" t="str">
        <f aca="false">+PROPER(F1583)</f>
        <v>Casado(A)</v>
      </c>
    </row>
    <row r="1584" customFormat="false" ht="14.25" hidden="false" customHeight="false" outlineLevel="0" collapsed="false">
      <c r="B1584" s="197" t="n">
        <v>1144129364</v>
      </c>
      <c r="C1584" s="197" t="s">
        <v>3655</v>
      </c>
      <c r="D1584" s="197" t="s">
        <v>1184</v>
      </c>
      <c r="E1584" s="198" t="s">
        <v>944</v>
      </c>
      <c r="F1584" s="198" t="s">
        <v>998</v>
      </c>
      <c r="G1584" s="225" t="n">
        <v>2893800</v>
      </c>
      <c r="H1584" s="225" t="n">
        <v>2062239</v>
      </c>
      <c r="I1584" s="225" t="n">
        <v>4349719</v>
      </c>
      <c r="J1584" s="198" t="n">
        <v>36</v>
      </c>
      <c r="K1584" s="198" t="n">
        <v>4</v>
      </c>
      <c r="L1584" s="226" t="n">
        <v>44581</v>
      </c>
      <c r="M1584" s="226" t="n">
        <v>44544</v>
      </c>
      <c r="N1584" s="227" t="n">
        <v>2</v>
      </c>
      <c r="O1584" s="227" t="s">
        <v>135</v>
      </c>
      <c r="P1584" s="228" t="n">
        <f aca="false">VLOOKUP(B1584,'NIVEL ENERO'!A:D,3,0)</f>
        <v>0.115357315640335</v>
      </c>
      <c r="Q1584" s="229" t="n">
        <f aca="false">VLOOKUP(B1584,'NIVEL ENERO'!A:D,4,0)</f>
        <v>881575</v>
      </c>
      <c r="R1584" s="186" t="str">
        <f aca="false">+PROPER(C1584&amp;" "&amp;D1584)</f>
        <v>Gordillo Pimentel Paola Andrea</v>
      </c>
      <c r="S1584" s="230" t="n">
        <f aca="false">+YEARFRAC(L1584,$S$1)</f>
        <v>4.31111111111111</v>
      </c>
      <c r="T1584" s="230" t="n">
        <f aca="false">+YEARFRAC(M1584,$S$1)</f>
        <v>4.41111111111111</v>
      </c>
      <c r="U1584" s="231" t="n">
        <f aca="false">+$I1584</f>
        <v>4349719</v>
      </c>
      <c r="V1584" s="232" t="str">
        <f aca="false">+PROPER(F1584)</f>
        <v>Separado(A)</v>
      </c>
    </row>
    <row r="1585" customFormat="false" ht="14.25" hidden="false" customHeight="false" outlineLevel="0" collapsed="false">
      <c r="B1585" s="197" t="n">
        <v>1144129380</v>
      </c>
      <c r="C1585" s="197" t="s">
        <v>3656</v>
      </c>
      <c r="D1585" s="197" t="s">
        <v>3657</v>
      </c>
      <c r="E1585" s="198" t="s">
        <v>944</v>
      </c>
      <c r="F1585" s="198" t="s">
        <v>945</v>
      </c>
      <c r="G1585" s="225" t="n">
        <v>1625000</v>
      </c>
      <c r="H1585" s="225" t="n">
        <v>1120376</v>
      </c>
      <c r="I1585" s="225" t="n">
        <v>134562</v>
      </c>
      <c r="J1585" s="198" t="n">
        <v>35</v>
      </c>
      <c r="K1585" s="198" t="n">
        <v>2</v>
      </c>
      <c r="L1585" s="226" t="n">
        <v>45191</v>
      </c>
      <c r="M1585" s="226" t="n">
        <v>44874</v>
      </c>
      <c r="N1585" s="227" t="n">
        <v>0</v>
      </c>
      <c r="O1585" s="227" t="s">
        <v>135</v>
      </c>
      <c r="P1585" s="228" t="n">
        <f aca="false">VLOOKUP(B1585,'NIVEL ENERO'!A:D,3,0)</f>
        <v>0.351557597466094</v>
      </c>
      <c r="Q1585" s="229" t="n">
        <f aca="false">VLOOKUP(B1585,'NIVEL ENERO'!A:D,4,0)</f>
        <v>306635</v>
      </c>
      <c r="R1585" s="186" t="str">
        <f aca="false">+PROPER(C1585&amp;" "&amp;D1585)</f>
        <v>Moreno Arcos Yurany Yesenia</v>
      </c>
      <c r="S1585" s="230" t="n">
        <f aca="false">+YEARFRAC(L1585,$S$1)</f>
        <v>2.63888888888889</v>
      </c>
      <c r="T1585" s="230" t="n">
        <f aca="false">+YEARFRAC(M1585,$S$1)</f>
        <v>3.50833333333333</v>
      </c>
      <c r="U1585" s="231" t="n">
        <f aca="false">+$I1585</f>
        <v>134562</v>
      </c>
      <c r="V1585" s="232" t="str">
        <f aca="false">+PROPER(F1585)</f>
        <v>Union Libre</v>
      </c>
    </row>
    <row r="1586" customFormat="false" ht="14.25" hidden="false" customHeight="false" outlineLevel="0" collapsed="false">
      <c r="B1586" s="197" t="n">
        <v>1144130897</v>
      </c>
      <c r="C1586" s="197" t="s">
        <v>3658</v>
      </c>
      <c r="D1586" s="197" t="s">
        <v>3659</v>
      </c>
      <c r="E1586" s="198" t="s">
        <v>944</v>
      </c>
      <c r="F1586" s="198" t="s">
        <v>998</v>
      </c>
      <c r="G1586" s="225" t="n">
        <v>1918500</v>
      </c>
      <c r="H1586" s="225" t="n">
        <v>1405682</v>
      </c>
      <c r="I1586" s="225" t="n">
        <v>0</v>
      </c>
      <c r="J1586" s="198" t="n">
        <v>35</v>
      </c>
      <c r="K1586" s="198" t="n">
        <v>3</v>
      </c>
      <c r="L1586" s="226" t="n">
        <v>44977</v>
      </c>
      <c r="M1586" s="226" t="n">
        <v>44239</v>
      </c>
      <c r="N1586" s="227" t="n">
        <v>0</v>
      </c>
      <c r="O1586" s="227" t="s">
        <v>135</v>
      </c>
      <c r="P1586" s="228" t="n">
        <f aca="false">VLOOKUP(B1586,'NIVEL ENERO'!A:D,3,0)</f>
        <v>0.347722564503518</v>
      </c>
      <c r="Q1586" s="229" t="n">
        <f aca="false">VLOOKUP(B1586,'NIVEL ENERO'!A:D,4,0)</f>
        <v>330153</v>
      </c>
      <c r="R1586" s="186" t="str">
        <f aca="false">+PROPER(C1586&amp;" "&amp;D1586)</f>
        <v>Sanabria Cabuya Jeimmy Yulieth</v>
      </c>
      <c r="S1586" s="230" t="n">
        <f aca="false">+YEARFRAC(L1586,$S$1)</f>
        <v>3.22777777777778</v>
      </c>
      <c r="T1586" s="230" t="n">
        <f aca="false">+YEARFRAC(M1586,$S$1)</f>
        <v>5.25</v>
      </c>
      <c r="U1586" s="231" t="n">
        <f aca="false">+$I1586</f>
        <v>0</v>
      </c>
      <c r="V1586" s="232" t="str">
        <f aca="false">+PROPER(F1586)</f>
        <v>Separado(A)</v>
      </c>
    </row>
    <row r="1587" customFormat="false" ht="14.25" hidden="false" customHeight="false" outlineLevel="0" collapsed="false">
      <c r="B1587" s="197" t="n">
        <v>1144131412</v>
      </c>
      <c r="C1587" s="197" t="s">
        <v>3660</v>
      </c>
      <c r="D1587" s="197" t="s">
        <v>2449</v>
      </c>
      <c r="E1587" s="198" t="s">
        <v>944</v>
      </c>
      <c r="F1587" s="198" t="s">
        <v>945</v>
      </c>
      <c r="G1587" s="225" t="n">
        <v>3900000</v>
      </c>
      <c r="H1587" s="225" t="n">
        <v>325000</v>
      </c>
      <c r="I1587" s="225" t="n">
        <v>73917</v>
      </c>
      <c r="J1587" s="198" t="n">
        <v>35</v>
      </c>
      <c r="K1587" s="198" t="n">
        <v>2</v>
      </c>
      <c r="L1587" s="226" t="n">
        <v>45517</v>
      </c>
      <c r="M1587" s="226" t="n">
        <v>39608</v>
      </c>
      <c r="N1587" s="227" t="n">
        <v>5</v>
      </c>
      <c r="O1587" s="227" t="s">
        <v>135</v>
      </c>
      <c r="P1587" s="228" t="n">
        <f aca="false">VLOOKUP(B1587,'NIVEL ENERO'!A:D,3,0)</f>
        <v>0.352048404206403</v>
      </c>
      <c r="Q1587" s="229" t="n">
        <f aca="false">VLOOKUP(B1587,'NIVEL ENERO'!A:D,4,0)</f>
        <v>232014.88</v>
      </c>
      <c r="R1587" s="186" t="str">
        <f aca="false">+PROPER(C1587&amp;" "&amp;D1587)</f>
        <v>Bustos Valencia Sandra Marcela</v>
      </c>
      <c r="S1587" s="230" t="n">
        <f aca="false">+YEARFRAC(L1587,$S$1)</f>
        <v>1.74722222222222</v>
      </c>
      <c r="T1587" s="230" t="n">
        <f aca="false">+YEARFRAC(M1587,$S$1)</f>
        <v>17.925</v>
      </c>
      <c r="U1587" s="231" t="n">
        <f aca="false">+$I1587</f>
        <v>73917</v>
      </c>
      <c r="V1587" s="232" t="str">
        <f aca="false">+PROPER(F1587)</f>
        <v>Union Libre</v>
      </c>
    </row>
    <row r="1588" customFormat="false" ht="14.25" hidden="false" customHeight="false" outlineLevel="0" collapsed="false">
      <c r="B1588" s="197" t="n">
        <v>1144131694</v>
      </c>
      <c r="C1588" s="197" t="s">
        <v>3661</v>
      </c>
      <c r="D1588" s="197" t="s">
        <v>3662</v>
      </c>
      <c r="E1588" s="198" t="s">
        <v>944</v>
      </c>
      <c r="F1588" s="198" t="s">
        <v>953</v>
      </c>
      <c r="G1588" s="225" t="n">
        <v>2893800</v>
      </c>
      <c r="H1588" s="225" t="n">
        <v>1961224</v>
      </c>
      <c r="I1588" s="225" t="n">
        <v>1856220</v>
      </c>
      <c r="J1588" s="198" t="n">
        <v>35</v>
      </c>
      <c r="K1588" s="198" t="n">
        <v>1</v>
      </c>
      <c r="L1588" s="226" t="n">
        <v>44642</v>
      </c>
      <c r="M1588" s="226" t="n">
        <v>43626</v>
      </c>
      <c r="N1588" s="227" t="n">
        <v>1</v>
      </c>
      <c r="O1588" s="227" t="s">
        <v>135</v>
      </c>
      <c r="P1588" s="228" t="n">
        <f aca="false">VLOOKUP(B1588,'NIVEL ENERO'!A:D,3,0)</f>
        <v>0.387874766742691</v>
      </c>
      <c r="Q1588" s="229" t="n">
        <f aca="false">VLOOKUP(B1588,'NIVEL ENERO'!A:D,4,0)</f>
        <v>92964</v>
      </c>
      <c r="R1588" s="186" t="str">
        <f aca="false">+PROPER(C1588&amp;" "&amp;D1588)</f>
        <v>Suarez Tuquerres Manuel Alejandro</v>
      </c>
      <c r="S1588" s="230" t="n">
        <f aca="false">+YEARFRAC(L1588,$S$1)</f>
        <v>4.13888888888889</v>
      </c>
      <c r="T1588" s="230" t="n">
        <f aca="false">+YEARFRAC(M1588,$S$1)</f>
        <v>6.92222222222222</v>
      </c>
      <c r="U1588" s="231" t="n">
        <f aca="false">+$I1588</f>
        <v>1856220</v>
      </c>
      <c r="V1588" s="232" t="str">
        <f aca="false">+PROPER(F1588)</f>
        <v>Soltero(A)</v>
      </c>
    </row>
    <row r="1589" customFormat="false" ht="14.25" hidden="false" customHeight="false" outlineLevel="0" collapsed="false">
      <c r="B1589" s="197" t="n">
        <v>1144133482</v>
      </c>
      <c r="C1589" s="197" t="s">
        <v>3663</v>
      </c>
      <c r="D1589" s="197" t="s">
        <v>1549</v>
      </c>
      <c r="E1589" s="198" t="s">
        <v>944</v>
      </c>
      <c r="F1589" s="198" t="s">
        <v>945</v>
      </c>
      <c r="G1589" s="225" t="n">
        <v>1828100</v>
      </c>
      <c r="H1589" s="225" t="n">
        <v>490000</v>
      </c>
      <c r="I1589" s="225" t="n">
        <v>126967</v>
      </c>
      <c r="J1589" s="198" t="n">
        <v>35</v>
      </c>
      <c r="K1589" s="198" t="n">
        <v>2</v>
      </c>
      <c r="L1589" s="226" t="n">
        <v>45448</v>
      </c>
      <c r="M1589" s="226" t="n">
        <v>45261</v>
      </c>
      <c r="N1589" s="227" t="n">
        <v>0</v>
      </c>
      <c r="O1589" s="227" t="s">
        <v>135</v>
      </c>
      <c r="P1589" s="228" t="n">
        <f aca="false">VLOOKUP(B1589,'NIVEL ENERO'!A:D,3,0)</f>
        <v>0.356756698211258</v>
      </c>
      <c r="Q1589" s="229" t="n">
        <f aca="false">VLOOKUP(B1589,'NIVEL ENERO'!A:D,4,0)</f>
        <v>275274</v>
      </c>
      <c r="R1589" s="186" t="str">
        <f aca="false">+PROPER(C1589&amp;" "&amp;D1589)</f>
        <v>Quintero Quintero Sandra Patricia</v>
      </c>
      <c r="S1589" s="230" t="n">
        <f aca="false">+YEARFRAC(L1589,$S$1)</f>
        <v>1.93611111111111</v>
      </c>
      <c r="T1589" s="230" t="n">
        <f aca="false">+YEARFRAC(M1589,$S$1)</f>
        <v>2.44722222222222</v>
      </c>
      <c r="U1589" s="231" t="n">
        <f aca="false">+$I1589</f>
        <v>126967</v>
      </c>
      <c r="V1589" s="232" t="str">
        <f aca="false">+PROPER(F1589)</f>
        <v>Union Libre</v>
      </c>
    </row>
    <row r="1590" customFormat="false" ht="14.25" hidden="false" customHeight="false" outlineLevel="0" collapsed="false">
      <c r="B1590" s="197" t="n">
        <v>1144135850</v>
      </c>
      <c r="C1590" s="197" t="s">
        <v>3664</v>
      </c>
      <c r="D1590" s="197" t="s">
        <v>3665</v>
      </c>
      <c r="E1590" s="198" t="s">
        <v>944</v>
      </c>
      <c r="F1590" s="198" t="s">
        <v>945</v>
      </c>
      <c r="G1590" s="225" t="n">
        <v>2604400</v>
      </c>
      <c r="H1590" s="225" t="n">
        <v>1695368</v>
      </c>
      <c r="I1590" s="225" t="n">
        <v>2968651</v>
      </c>
      <c r="J1590" s="198" t="n">
        <v>35</v>
      </c>
      <c r="K1590" s="198" t="n">
        <v>2</v>
      </c>
      <c r="L1590" s="226" t="n">
        <v>45191</v>
      </c>
      <c r="M1590" s="226" t="n">
        <v>44733</v>
      </c>
      <c r="N1590" s="227" t="n">
        <v>0</v>
      </c>
      <c r="O1590" s="227" t="s">
        <v>135</v>
      </c>
      <c r="P1590" s="228" t="n">
        <f aca="false">VLOOKUP(B1590,'NIVEL ENERO'!A:D,3,0)</f>
        <v>0.291292677165119</v>
      </c>
      <c r="Q1590" s="229" t="n">
        <f aca="false">VLOOKUP(B1590,'NIVEL ENERO'!A:D,4,0)</f>
        <v>430422.6</v>
      </c>
      <c r="R1590" s="186" t="str">
        <f aca="false">+PROPER(C1590&amp;" "&amp;D1590)</f>
        <v>Varela Rodriguez Claudia Fernanda</v>
      </c>
      <c r="S1590" s="230" t="n">
        <f aca="false">+YEARFRAC(L1590,$S$1)</f>
        <v>2.63888888888889</v>
      </c>
      <c r="T1590" s="230" t="n">
        <f aca="false">+YEARFRAC(M1590,$S$1)</f>
        <v>3.89166666666667</v>
      </c>
      <c r="U1590" s="231" t="n">
        <f aca="false">+$I1590</f>
        <v>2968651</v>
      </c>
      <c r="V1590" s="232" t="str">
        <f aca="false">+PROPER(F1590)</f>
        <v>Union Libre</v>
      </c>
    </row>
    <row r="1591" customFormat="false" ht="14.25" hidden="false" customHeight="false" outlineLevel="0" collapsed="false">
      <c r="B1591" s="197" t="n">
        <v>1144136212</v>
      </c>
      <c r="C1591" s="197" t="s">
        <v>3666</v>
      </c>
      <c r="D1591" s="197" t="s">
        <v>3667</v>
      </c>
      <c r="E1591" s="198" t="s">
        <v>944</v>
      </c>
      <c r="F1591" s="198" t="s">
        <v>953</v>
      </c>
      <c r="G1591" s="225" t="n">
        <v>2893800</v>
      </c>
      <c r="H1591" s="225" t="n">
        <v>9000075</v>
      </c>
      <c r="I1591" s="225" t="n">
        <v>9190317</v>
      </c>
      <c r="J1591" s="198" t="n">
        <v>34</v>
      </c>
      <c r="K1591" s="198" t="n">
        <v>1</v>
      </c>
      <c r="L1591" s="226" t="n">
        <v>41955</v>
      </c>
      <c r="M1591" s="226" t="n">
        <v>40909</v>
      </c>
      <c r="N1591" s="227" t="n">
        <v>3</v>
      </c>
      <c r="O1591" s="227" t="s">
        <v>135</v>
      </c>
      <c r="P1591" s="228" t="n">
        <f aca="false">VLOOKUP(B1591,'NIVEL ENERO'!A:D,3,0)</f>
        <v>0.416283433547585</v>
      </c>
      <c r="Q1591" s="229" t="n">
        <f aca="false">VLOOKUP(B1591,'NIVEL ENERO'!A:D,4,0)</f>
        <v>10755</v>
      </c>
      <c r="R1591" s="186" t="str">
        <f aca="false">+PROPER(C1591&amp;" "&amp;D1591)</f>
        <v>Duque Diaz Dayan</v>
      </c>
      <c r="S1591" s="230" t="n">
        <f aca="false">+YEARFRAC(L1591,$S$1)</f>
        <v>11.5</v>
      </c>
      <c r="T1591" s="230" t="n">
        <f aca="false">+YEARFRAC(M1591,$S$1)</f>
        <v>14.3638888888889</v>
      </c>
      <c r="U1591" s="231" t="n">
        <f aca="false">+$I1591</f>
        <v>9190317</v>
      </c>
      <c r="V1591" s="232" t="str">
        <f aca="false">+PROPER(F1591)</f>
        <v>Soltero(A)</v>
      </c>
    </row>
    <row r="1592" customFormat="false" ht="14.25" hidden="false" customHeight="false" outlineLevel="0" collapsed="false">
      <c r="B1592" s="197" t="n">
        <v>1144136654</v>
      </c>
      <c r="C1592" s="197" t="s">
        <v>3668</v>
      </c>
      <c r="D1592" s="197" t="s">
        <v>2252</v>
      </c>
      <c r="E1592" s="198" t="s">
        <v>944</v>
      </c>
      <c r="F1592" s="198" t="s">
        <v>948</v>
      </c>
      <c r="G1592" s="225" t="n">
        <v>4469100</v>
      </c>
      <c r="H1592" s="225" t="n">
        <v>4820693</v>
      </c>
      <c r="I1592" s="225" t="n">
        <v>0</v>
      </c>
      <c r="J1592" s="198" t="n">
        <v>34</v>
      </c>
      <c r="K1592" s="198" t="n">
        <v>4</v>
      </c>
      <c r="L1592" s="226" t="n">
        <v>44671</v>
      </c>
      <c r="M1592" s="226" t="n">
        <v>41953</v>
      </c>
      <c r="N1592" s="227" t="n">
        <v>3</v>
      </c>
      <c r="O1592" s="227" t="s">
        <v>135</v>
      </c>
      <c r="P1592" s="228" t="n">
        <f aca="false">VLOOKUP(B1592,'NIVEL ENERO'!A:D,3,0)</f>
        <v>0.163478383214115</v>
      </c>
      <c r="Q1592" s="229" t="n">
        <f aca="false">VLOOKUP(B1592,'NIVEL ENERO'!A:D,4,0)</f>
        <v>1285985.02</v>
      </c>
      <c r="R1592" s="186" t="str">
        <f aca="false">+PROPER(C1592&amp;" "&amp;D1592)</f>
        <v>Cantero Soto Natalia</v>
      </c>
      <c r="S1592" s="230" t="n">
        <f aca="false">+YEARFRAC(L1592,$S$1)</f>
        <v>4.06111111111111</v>
      </c>
      <c r="T1592" s="230" t="n">
        <f aca="false">+YEARFRAC(M1592,$S$1)</f>
        <v>11.5055555555556</v>
      </c>
      <c r="U1592" s="231" t="n">
        <f aca="false">+$I1592</f>
        <v>0</v>
      </c>
      <c r="V1592" s="232" t="str">
        <f aca="false">+PROPER(F1592)</f>
        <v>Casado(A)</v>
      </c>
    </row>
    <row r="1593" customFormat="false" ht="14.25" hidden="false" customHeight="false" outlineLevel="0" collapsed="false">
      <c r="B1593" s="197" t="n">
        <v>1144136795</v>
      </c>
      <c r="C1593" s="197" t="s">
        <v>3669</v>
      </c>
      <c r="D1593" s="197" t="s">
        <v>3670</v>
      </c>
      <c r="E1593" s="198" t="s">
        <v>944</v>
      </c>
      <c r="F1593" s="198" t="s">
        <v>948</v>
      </c>
      <c r="G1593" s="225" t="n">
        <v>5418800</v>
      </c>
      <c r="H1593" s="225" t="n">
        <v>6507817</v>
      </c>
      <c r="I1593" s="225" t="n">
        <v>3585410</v>
      </c>
      <c r="J1593" s="198" t="n">
        <v>34</v>
      </c>
      <c r="K1593" s="198" t="n">
        <v>2</v>
      </c>
      <c r="L1593" s="226" t="n">
        <v>39815</v>
      </c>
      <c r="M1593" s="226" t="n">
        <v>39827</v>
      </c>
      <c r="N1593" s="227" t="n">
        <v>3</v>
      </c>
      <c r="O1593" s="227" t="s">
        <v>135</v>
      </c>
      <c r="P1593" s="228" t="n">
        <f aca="false">VLOOKUP(B1593,'NIVEL ENERO'!A:D,3,0)</f>
        <v>0.217996235328855</v>
      </c>
      <c r="Q1593" s="229" t="n">
        <f aca="false">VLOOKUP(B1593,'NIVEL ENERO'!A:D,4,0)</f>
        <v>1094618</v>
      </c>
      <c r="R1593" s="186" t="str">
        <f aca="false">+PROPER(C1593&amp;" "&amp;D1593)</f>
        <v>Solarte Tenorio Kelly Vanessa</v>
      </c>
      <c r="S1593" s="230" t="n">
        <f aca="false">+YEARFRAC(L1593,$S$1)</f>
        <v>17.3611111111111</v>
      </c>
      <c r="T1593" s="230" t="n">
        <f aca="false">+YEARFRAC(M1593,$S$1)</f>
        <v>17.3277777777778</v>
      </c>
      <c r="U1593" s="231" t="n">
        <f aca="false">+$I1593</f>
        <v>3585410</v>
      </c>
      <c r="V1593" s="232" t="str">
        <f aca="false">+PROPER(F1593)</f>
        <v>Casado(A)</v>
      </c>
    </row>
    <row r="1594" customFormat="false" ht="14.25" hidden="false" customHeight="false" outlineLevel="0" collapsed="false">
      <c r="B1594" s="197" t="n">
        <v>1144137672</v>
      </c>
      <c r="C1594" s="197" t="s">
        <v>3373</v>
      </c>
      <c r="D1594" s="197" t="s">
        <v>1434</v>
      </c>
      <c r="E1594" s="198" t="s">
        <v>944</v>
      </c>
      <c r="F1594" s="198" t="s">
        <v>953</v>
      </c>
      <c r="G1594" s="225" t="n">
        <v>2893800</v>
      </c>
      <c r="H1594" s="225" t="n">
        <v>1247517</v>
      </c>
      <c r="I1594" s="225" t="n">
        <v>2375737</v>
      </c>
      <c r="J1594" s="198" t="n">
        <v>35</v>
      </c>
      <c r="K1594" s="198" t="n">
        <v>2</v>
      </c>
      <c r="L1594" s="226" t="n">
        <v>45051</v>
      </c>
      <c r="M1594" s="226" t="n">
        <v>41395</v>
      </c>
      <c r="N1594" s="227" t="n">
        <v>4</v>
      </c>
      <c r="O1594" s="227" t="s">
        <v>135</v>
      </c>
      <c r="P1594" s="228" t="n">
        <f aca="false">VLOOKUP(B1594,'NIVEL ENERO'!A:D,3,0)</f>
        <v>0.52100248807796</v>
      </c>
      <c r="Q1594" s="229" t="n">
        <f aca="false">VLOOKUP(B1594,'NIVEL ENERO'!A:D,4,0)</f>
        <v>-292281</v>
      </c>
      <c r="R1594" s="186" t="str">
        <f aca="false">+PROPER(C1594&amp;" "&amp;D1594)</f>
        <v>Quelal Burbano Diana Marcela</v>
      </c>
      <c r="S1594" s="230" t="n">
        <f aca="false">+YEARFRAC(L1594,$S$1)</f>
        <v>3.01944444444444</v>
      </c>
      <c r="T1594" s="230" t="n">
        <f aca="false">+YEARFRAC(M1594,$S$1)</f>
        <v>13.0305555555556</v>
      </c>
      <c r="U1594" s="231" t="n">
        <f aca="false">+$I1594</f>
        <v>2375737</v>
      </c>
      <c r="V1594" s="232" t="str">
        <f aca="false">+PROPER(F1594)</f>
        <v>Soltero(A)</v>
      </c>
    </row>
    <row r="1595" customFormat="false" ht="14.25" hidden="false" customHeight="false" outlineLevel="0" collapsed="false">
      <c r="B1595" s="197" t="n">
        <v>1144137869</v>
      </c>
      <c r="C1595" s="197" t="s">
        <v>3671</v>
      </c>
      <c r="D1595" s="197" t="s">
        <v>3672</v>
      </c>
      <c r="E1595" s="198" t="s">
        <v>944</v>
      </c>
      <c r="F1595" s="198" t="s">
        <v>953</v>
      </c>
      <c r="G1595" s="225" t="n">
        <v>2893800</v>
      </c>
      <c r="H1595" s="225" t="n">
        <v>3072994</v>
      </c>
      <c r="I1595" s="225" t="n">
        <v>4788213</v>
      </c>
      <c r="J1595" s="198" t="n">
        <v>34</v>
      </c>
      <c r="K1595" s="198" t="n">
        <v>2</v>
      </c>
      <c r="L1595" s="226" t="n">
        <v>43878</v>
      </c>
      <c r="M1595" s="226" t="n">
        <v>41289</v>
      </c>
      <c r="N1595" s="227" t="n">
        <v>2</v>
      </c>
      <c r="O1595" s="227" t="s">
        <v>135</v>
      </c>
      <c r="P1595" s="228" t="n">
        <f aca="false">VLOOKUP(B1595,'NIVEL ENERO'!A:D,3,0)</f>
        <v>0.324842755016844</v>
      </c>
      <c r="Q1595" s="229" t="n">
        <f aca="false">VLOOKUP(B1595,'NIVEL ENERO'!A:D,4,0)</f>
        <v>381801</v>
      </c>
      <c r="R1595" s="186" t="str">
        <f aca="false">+PROPER(C1595&amp;" "&amp;D1595)</f>
        <v>Guzman Munoz Aldemar</v>
      </c>
      <c r="S1595" s="230" t="n">
        <f aca="false">+YEARFRAC(L1595,$S$1)</f>
        <v>6.23611111111111</v>
      </c>
      <c r="T1595" s="230" t="n">
        <f aca="false">+YEARFRAC(M1595,$S$1)</f>
        <v>13.325</v>
      </c>
      <c r="U1595" s="231" t="n">
        <f aca="false">+$I1595</f>
        <v>4788213</v>
      </c>
      <c r="V1595" s="232" t="str">
        <f aca="false">+PROPER(F1595)</f>
        <v>Soltero(A)</v>
      </c>
    </row>
    <row r="1596" customFormat="false" ht="14.25" hidden="false" customHeight="false" outlineLevel="0" collapsed="false">
      <c r="B1596" s="197" t="n">
        <v>1144139342</v>
      </c>
      <c r="C1596" s="197" t="s">
        <v>3673</v>
      </c>
      <c r="D1596" s="197" t="s">
        <v>2941</v>
      </c>
      <c r="E1596" s="198" t="s">
        <v>944</v>
      </c>
      <c r="F1596" s="198" t="s">
        <v>948</v>
      </c>
      <c r="G1596" s="225" t="n">
        <v>3496700</v>
      </c>
      <c r="H1596" s="225" t="n">
        <v>715000</v>
      </c>
      <c r="I1596" s="225" t="n">
        <v>10368154</v>
      </c>
      <c r="J1596" s="198" t="n">
        <v>34</v>
      </c>
      <c r="K1596" s="198" t="n">
        <v>2</v>
      </c>
      <c r="L1596" s="226" t="n">
        <v>45343</v>
      </c>
      <c r="M1596" s="226" t="n">
        <v>41409</v>
      </c>
      <c r="N1596" s="227" t="n">
        <v>0</v>
      </c>
      <c r="O1596" s="227" t="s">
        <v>135</v>
      </c>
      <c r="P1596" s="228" t="n">
        <f aca="false">VLOOKUP(B1596,'NIVEL ENERO'!A:D,3,0)</f>
        <v>0.291259187233677</v>
      </c>
      <c r="Q1596" s="229" t="n">
        <f aca="false">VLOOKUP(B1596,'NIVEL ENERO'!A:D,4,0)</f>
        <v>450168</v>
      </c>
      <c r="R1596" s="186" t="str">
        <f aca="false">+PROPER(C1596&amp;" "&amp;D1596)</f>
        <v>Candelo Arce Juan Sebastian</v>
      </c>
      <c r="S1596" s="230" t="n">
        <f aca="false">+YEARFRAC(L1596,$S$1)</f>
        <v>2.225</v>
      </c>
      <c r="T1596" s="230" t="n">
        <f aca="false">+YEARFRAC(M1596,$S$1)</f>
        <v>12.9916666666667</v>
      </c>
      <c r="U1596" s="231" t="n">
        <f aca="false">+$I1596</f>
        <v>10368154</v>
      </c>
      <c r="V1596" s="232" t="str">
        <f aca="false">+PROPER(F1596)</f>
        <v>Casado(A)</v>
      </c>
    </row>
    <row r="1597" customFormat="false" ht="14.25" hidden="false" customHeight="false" outlineLevel="0" collapsed="false">
      <c r="B1597" s="197" t="n">
        <v>1144139928</v>
      </c>
      <c r="C1597" s="197" t="s">
        <v>3674</v>
      </c>
      <c r="D1597" s="197" t="s">
        <v>3675</v>
      </c>
      <c r="E1597" s="198" t="s">
        <v>944</v>
      </c>
      <c r="F1597" s="198" t="s">
        <v>945</v>
      </c>
      <c r="G1597" s="225" t="n">
        <v>2600900</v>
      </c>
      <c r="H1597" s="225" t="n">
        <v>1355722</v>
      </c>
      <c r="I1597" s="225" t="n">
        <v>0</v>
      </c>
      <c r="J1597" s="198" t="n">
        <v>34</v>
      </c>
      <c r="K1597" s="198" t="n">
        <v>2</v>
      </c>
      <c r="L1597" s="226" t="n">
        <v>44986</v>
      </c>
      <c r="M1597" s="226" t="n">
        <v>43661</v>
      </c>
      <c r="N1597" s="227" t="n">
        <v>3</v>
      </c>
      <c r="O1597" s="227" t="s">
        <v>135</v>
      </c>
      <c r="P1597" s="228" t="n">
        <f aca="false">VLOOKUP(B1597,'NIVEL ENERO'!A:D,3,0)</f>
        <v>0.186324663094698</v>
      </c>
      <c r="Q1597" s="229" t="n">
        <f aca="false">VLOOKUP(B1597,'NIVEL ENERO'!A:D,4,0)</f>
        <v>771466.74</v>
      </c>
      <c r="R1597" s="186" t="str">
        <f aca="false">+PROPER(C1597&amp;" "&amp;D1597)</f>
        <v>Agredo Garcia Mayra Susana</v>
      </c>
      <c r="S1597" s="230" t="n">
        <f aca="false">+YEARFRAC(L1597,$S$1)</f>
        <v>3.19722222222222</v>
      </c>
      <c r="T1597" s="230" t="n">
        <f aca="false">+YEARFRAC(M1597,$S$1)</f>
        <v>6.825</v>
      </c>
      <c r="U1597" s="231" t="n">
        <f aca="false">+$I1597</f>
        <v>0</v>
      </c>
      <c r="V1597" s="232" t="str">
        <f aca="false">+PROPER(F1597)</f>
        <v>Union Libre</v>
      </c>
    </row>
    <row r="1598" customFormat="false" ht="14.25" hidden="false" customHeight="false" outlineLevel="0" collapsed="false">
      <c r="B1598" s="197" t="n">
        <v>1144140025</v>
      </c>
      <c r="C1598" s="197" t="s">
        <v>3676</v>
      </c>
      <c r="D1598" s="197" t="s">
        <v>2754</v>
      </c>
      <c r="E1598" s="198" t="s">
        <v>944</v>
      </c>
      <c r="F1598" s="198" t="s">
        <v>948</v>
      </c>
      <c r="G1598" s="225" t="n">
        <v>4000000</v>
      </c>
      <c r="H1598" s="225" t="n">
        <v>2905675</v>
      </c>
      <c r="I1598" s="225" t="n">
        <v>0</v>
      </c>
      <c r="J1598" s="198" t="n">
        <v>34</v>
      </c>
      <c r="K1598" s="198" t="n">
        <v>1</v>
      </c>
      <c r="L1598" s="226" t="n">
        <v>44928</v>
      </c>
      <c r="M1598" s="226" t="n">
        <v>44298</v>
      </c>
      <c r="N1598" s="227" t="n">
        <v>0</v>
      </c>
      <c r="O1598" s="227" t="s">
        <v>158</v>
      </c>
      <c r="P1598" s="228" t="e">
        <f aca="false">VLOOKUP(B1598,'NIVEL ENERO'!A:D,3,0)</f>
        <v>#N/A</v>
      </c>
      <c r="Q1598" s="229" t="e">
        <f aca="false">VLOOKUP(B1598,'NIVEL ENERO'!A:D,4,0)</f>
        <v>#N/A</v>
      </c>
      <c r="R1598" s="186" t="str">
        <f aca="false">+PROPER(C1598&amp;" "&amp;D1598)</f>
        <v>Valencia Lopez Leidy Johana</v>
      </c>
      <c r="S1598" s="230" t="n">
        <f aca="false">+YEARFRAC(L1598,$S$1)</f>
        <v>3.36111111111111</v>
      </c>
      <c r="T1598" s="230" t="n">
        <f aca="false">+YEARFRAC(M1598,$S$1)</f>
        <v>5.08333333333333</v>
      </c>
      <c r="U1598" s="231" t="n">
        <f aca="false">+$I1598</f>
        <v>0</v>
      </c>
      <c r="V1598" s="232" t="str">
        <f aca="false">+PROPER(F1598)</f>
        <v>Casado(A)</v>
      </c>
    </row>
    <row r="1599" customFormat="false" ht="14.25" hidden="false" customHeight="false" outlineLevel="0" collapsed="false">
      <c r="B1599" s="197" t="n">
        <v>1144140200</v>
      </c>
      <c r="C1599" s="197" t="s">
        <v>3677</v>
      </c>
      <c r="D1599" s="197" t="s">
        <v>3678</v>
      </c>
      <c r="E1599" s="198" t="s">
        <v>944</v>
      </c>
      <c r="F1599" s="198" t="s">
        <v>953</v>
      </c>
      <c r="G1599" s="225" t="n">
        <v>3394800</v>
      </c>
      <c r="H1599" s="225" t="n">
        <v>400000</v>
      </c>
      <c r="I1599" s="225" t="n">
        <v>2334702</v>
      </c>
      <c r="J1599" s="198" t="n">
        <v>34</v>
      </c>
      <c r="K1599" s="198" t="n">
        <v>1</v>
      </c>
      <c r="L1599" s="226" t="n">
        <v>45519</v>
      </c>
      <c r="M1599" s="226" t="n">
        <v>42037</v>
      </c>
      <c r="N1599" s="227" t="n">
        <v>0</v>
      </c>
      <c r="O1599" s="227" t="s">
        <v>135</v>
      </c>
      <c r="P1599" s="228" t="n">
        <f aca="false">VLOOKUP(B1599,'NIVEL ENERO'!A:D,3,0)</f>
        <v>0.383376045716979</v>
      </c>
      <c r="Q1599" s="229" t="n">
        <f aca="false">VLOOKUP(B1599,'NIVEL ENERO'!A:D,4,0)</f>
        <v>124331</v>
      </c>
      <c r="R1599" s="186" t="str">
        <f aca="false">+PROPER(C1599&amp;" "&amp;D1599)</f>
        <v>Salazar Madrid Johanna</v>
      </c>
      <c r="S1599" s="230" t="n">
        <f aca="false">+YEARFRAC(L1599,$S$1)</f>
        <v>1.74166666666667</v>
      </c>
      <c r="T1599" s="230" t="n">
        <f aca="false">+YEARFRAC(M1599,$S$1)</f>
        <v>11.2777777777778</v>
      </c>
      <c r="U1599" s="231" t="n">
        <f aca="false">+$I1599</f>
        <v>2334702</v>
      </c>
      <c r="V1599" s="232" t="str">
        <f aca="false">+PROPER(F1599)</f>
        <v>Soltero(A)</v>
      </c>
    </row>
    <row r="1600" customFormat="false" ht="14.25" hidden="false" customHeight="false" outlineLevel="0" collapsed="false">
      <c r="B1600" s="197" t="n">
        <v>1144140877</v>
      </c>
      <c r="C1600" s="197" t="s">
        <v>3679</v>
      </c>
      <c r="D1600" s="197" t="s">
        <v>1591</v>
      </c>
      <c r="E1600" s="198" t="s">
        <v>944</v>
      </c>
      <c r="F1600" s="198" t="s">
        <v>953</v>
      </c>
      <c r="G1600" s="225" t="n">
        <v>5418800</v>
      </c>
      <c r="H1600" s="225" t="n">
        <v>2617700</v>
      </c>
      <c r="I1600" s="225" t="n">
        <v>2807014</v>
      </c>
      <c r="J1600" s="198" t="n">
        <v>34</v>
      </c>
      <c r="K1600" s="198" t="n">
        <v>2</v>
      </c>
      <c r="L1600" s="226" t="n">
        <v>44757</v>
      </c>
      <c r="M1600" s="226" t="n">
        <v>44293</v>
      </c>
      <c r="N1600" s="227" t="n">
        <v>2</v>
      </c>
      <c r="O1600" s="227" t="s">
        <v>135</v>
      </c>
      <c r="P1600" s="228" t="n">
        <f aca="false">VLOOKUP(B1600,'NIVEL ENERO'!A:D,3,0)</f>
        <v>0.14225333130328</v>
      </c>
      <c r="Q1600" s="229" t="n">
        <f aca="false">VLOOKUP(B1600,'NIVEL ENERO'!A:D,4,0)</f>
        <v>2012736.6</v>
      </c>
      <c r="R1600" s="186" t="str">
        <f aca="false">+PROPER(C1600&amp;" "&amp;D1600)</f>
        <v>Marin Mendez Paula Andrea</v>
      </c>
      <c r="S1600" s="230" t="n">
        <f aca="false">+YEARFRAC(L1600,$S$1)</f>
        <v>3.825</v>
      </c>
      <c r="T1600" s="230" t="n">
        <f aca="false">+YEARFRAC(M1600,$S$1)</f>
        <v>5.09722222222222</v>
      </c>
      <c r="U1600" s="231" t="n">
        <f aca="false">+$I1600</f>
        <v>2807014</v>
      </c>
      <c r="V1600" s="232" t="str">
        <f aca="false">+PROPER(F1600)</f>
        <v>Soltero(A)</v>
      </c>
    </row>
    <row r="1601" customFormat="false" ht="14.25" hidden="false" customHeight="false" outlineLevel="0" collapsed="false">
      <c r="B1601" s="197" t="n">
        <v>1144140986</v>
      </c>
      <c r="C1601" s="197" t="s">
        <v>3680</v>
      </c>
      <c r="D1601" s="197" t="s">
        <v>3681</v>
      </c>
      <c r="E1601" s="198" t="s">
        <v>944</v>
      </c>
      <c r="F1601" s="198" t="s">
        <v>948</v>
      </c>
      <c r="G1601" s="225" t="n">
        <v>1918500</v>
      </c>
      <c r="H1601" s="225" t="n">
        <v>947160</v>
      </c>
      <c r="I1601" s="225" t="n">
        <v>42571</v>
      </c>
      <c r="J1601" s="198" t="n">
        <v>34</v>
      </c>
      <c r="K1601" s="198" t="n">
        <v>1</v>
      </c>
      <c r="L1601" s="226" t="n">
        <v>45220</v>
      </c>
      <c r="M1601" s="226" t="n">
        <v>44977</v>
      </c>
      <c r="N1601" s="227" t="n">
        <v>0</v>
      </c>
      <c r="O1601" s="227" t="s">
        <v>135</v>
      </c>
      <c r="P1601" s="228" t="n">
        <f aca="false">VLOOKUP(B1601,'NIVEL ENERO'!A:D,3,0)</f>
        <v>0.427338928538665</v>
      </c>
      <c r="Q1601" s="229" t="n">
        <f aca="false">VLOOKUP(B1601,'NIVEL ENERO'!A:D,4,0)</f>
        <v>-16479.52</v>
      </c>
      <c r="R1601" s="186" t="str">
        <f aca="false">+PROPER(C1601&amp;" "&amp;D1601)</f>
        <v>Gutierrez Rivera Jonathan Andres</v>
      </c>
      <c r="S1601" s="230" t="n">
        <f aca="false">+YEARFRAC(L1601,$S$1)</f>
        <v>2.55833333333333</v>
      </c>
      <c r="T1601" s="230" t="n">
        <f aca="false">+YEARFRAC(M1601,$S$1)</f>
        <v>3.22777777777778</v>
      </c>
      <c r="U1601" s="231" t="n">
        <f aca="false">+$I1601</f>
        <v>42571</v>
      </c>
      <c r="V1601" s="232" t="str">
        <f aca="false">+PROPER(F1601)</f>
        <v>Casado(A)</v>
      </c>
    </row>
    <row r="1602" customFormat="false" ht="14.25" hidden="false" customHeight="false" outlineLevel="0" collapsed="false">
      <c r="B1602" s="197" t="n">
        <v>1144141714</v>
      </c>
      <c r="C1602" s="197" t="s">
        <v>3682</v>
      </c>
      <c r="D1602" s="197" t="s">
        <v>3683</v>
      </c>
      <c r="E1602" s="198" t="s">
        <v>944</v>
      </c>
      <c r="F1602" s="198" t="s">
        <v>948</v>
      </c>
      <c r="G1602" s="225" t="n">
        <v>2893800</v>
      </c>
      <c r="H1602" s="225" t="n">
        <v>140000</v>
      </c>
      <c r="I1602" s="225" t="n">
        <v>0</v>
      </c>
      <c r="J1602" s="198" t="n">
        <v>34</v>
      </c>
      <c r="K1602" s="198" t="n">
        <v>1</v>
      </c>
      <c r="L1602" s="226" t="n">
        <v>45615</v>
      </c>
      <c r="M1602" s="226" t="n">
        <v>42159</v>
      </c>
      <c r="N1602" s="227" t="n">
        <v>4</v>
      </c>
      <c r="O1602" s="227" t="s">
        <v>135</v>
      </c>
      <c r="P1602" s="228" t="n">
        <f aca="false">VLOOKUP(B1602,'NIVEL ENERO'!A:D,3,0)</f>
        <v>0.416481097518833</v>
      </c>
      <c r="Q1602" s="229" t="n">
        <f aca="false">VLOOKUP(B1602,'NIVEL ENERO'!A:D,4,0)</f>
        <v>10183</v>
      </c>
      <c r="R1602" s="186" t="str">
        <f aca="false">+PROPER(C1602&amp;" "&amp;D1602)</f>
        <v>Moscoso Arango Yesica Viviana</v>
      </c>
      <c r="S1602" s="230" t="n">
        <f aca="false">+YEARFRAC(L1602,$S$1)</f>
        <v>1.48055555555556</v>
      </c>
      <c r="T1602" s="230" t="n">
        <f aca="false">+YEARFRAC(M1602,$S$1)</f>
        <v>10.9388888888889</v>
      </c>
      <c r="U1602" s="231" t="n">
        <f aca="false">+$I1602</f>
        <v>0</v>
      </c>
      <c r="V1602" s="232" t="str">
        <f aca="false">+PROPER(F1602)</f>
        <v>Casado(A)</v>
      </c>
    </row>
    <row r="1603" customFormat="false" ht="14.25" hidden="false" customHeight="false" outlineLevel="0" collapsed="false">
      <c r="B1603" s="197" t="n">
        <v>1144143150</v>
      </c>
      <c r="C1603" s="197" t="s">
        <v>3684</v>
      </c>
      <c r="D1603" s="197" t="s">
        <v>3685</v>
      </c>
      <c r="E1603" s="198" t="s">
        <v>944</v>
      </c>
      <c r="F1603" s="198" t="s">
        <v>953</v>
      </c>
      <c r="G1603" s="225" t="n">
        <v>2893800</v>
      </c>
      <c r="H1603" s="225" t="n">
        <v>650000</v>
      </c>
      <c r="I1603" s="225"/>
      <c r="J1603" s="198" t="n">
        <v>34</v>
      </c>
      <c r="K1603" s="198" t="n">
        <v>2</v>
      </c>
      <c r="L1603" s="226" t="n">
        <v>45370</v>
      </c>
      <c r="M1603" s="226" t="n">
        <v>44382</v>
      </c>
      <c r="N1603" s="227" t="n">
        <v>0</v>
      </c>
      <c r="O1603" s="227" t="s">
        <v>135</v>
      </c>
      <c r="P1603" s="228" t="n">
        <f aca="false">VLOOKUP(B1603,'NIVEL ENERO'!A:D,3,0)</f>
        <v>0.298128609701006</v>
      </c>
      <c r="Q1603" s="229" t="n">
        <f aca="false">VLOOKUP(B1603,'NIVEL ENERO'!A:D,4,0)</f>
        <v>385817.36</v>
      </c>
      <c r="R1603" s="186" t="str">
        <f aca="false">+PROPER(C1603&amp;" "&amp;D1603)</f>
        <v>Gallego Osorio Jaiber Leandro</v>
      </c>
      <c r="S1603" s="230" t="n">
        <f aca="false">+YEARFRAC(L1603,$S$1)</f>
        <v>2.14722222222222</v>
      </c>
      <c r="T1603" s="230" t="n">
        <f aca="false">+YEARFRAC(M1603,$S$1)</f>
        <v>4.85277777777778</v>
      </c>
      <c r="U1603" s="231" t="n">
        <f aca="false">+$I1603</f>
        <v>0</v>
      </c>
      <c r="V1603" s="232" t="str">
        <f aca="false">+PROPER(F1603)</f>
        <v>Soltero(A)</v>
      </c>
    </row>
    <row r="1604" customFormat="false" ht="14.25" hidden="false" customHeight="false" outlineLevel="0" collapsed="false">
      <c r="B1604" s="197" t="n">
        <v>1144143175</v>
      </c>
      <c r="C1604" s="197" t="s">
        <v>3686</v>
      </c>
      <c r="D1604" s="197" t="s">
        <v>1689</v>
      </c>
      <c r="E1604" s="198" t="s">
        <v>944</v>
      </c>
      <c r="F1604" s="198" t="s">
        <v>953</v>
      </c>
      <c r="G1604" s="225" t="n">
        <v>2600900</v>
      </c>
      <c r="H1604" s="225" t="n">
        <v>1910716</v>
      </c>
      <c r="I1604" s="225" t="n">
        <v>1052282</v>
      </c>
      <c r="J1604" s="198" t="n">
        <v>34</v>
      </c>
      <c r="K1604" s="198" t="n">
        <v>4</v>
      </c>
      <c r="L1604" s="226" t="n">
        <v>44631</v>
      </c>
      <c r="M1604" s="226" t="n">
        <v>44061</v>
      </c>
      <c r="N1604" s="227" t="n">
        <v>2</v>
      </c>
      <c r="O1604" s="227" t="s">
        <v>135</v>
      </c>
      <c r="P1604" s="228" t="n">
        <f aca="false">VLOOKUP(B1604,'NIVEL ENERO'!A:D,3,0)</f>
        <v>0.450789154515138</v>
      </c>
      <c r="Q1604" s="229" t="n">
        <f aca="false">VLOOKUP(B1604,'NIVEL ENERO'!A:D,4,0)</f>
        <v>-99208.28</v>
      </c>
      <c r="R1604" s="186" t="str">
        <f aca="false">+PROPER(C1604&amp;" "&amp;D1604)</f>
        <v>Murillo Castaneda Lizeth</v>
      </c>
      <c r="S1604" s="230" t="n">
        <f aca="false">+YEARFRAC(L1604,$S$1)</f>
        <v>4.16944444444444</v>
      </c>
      <c r="T1604" s="230" t="n">
        <f aca="false">+YEARFRAC(M1604,$S$1)</f>
        <v>5.73333333333333</v>
      </c>
      <c r="U1604" s="231" t="n">
        <f aca="false">+$I1604</f>
        <v>1052282</v>
      </c>
      <c r="V1604" s="232" t="str">
        <f aca="false">+PROPER(F1604)</f>
        <v>Soltero(A)</v>
      </c>
    </row>
    <row r="1605" customFormat="false" ht="14.25" hidden="false" customHeight="false" outlineLevel="0" collapsed="false">
      <c r="B1605" s="197" t="n">
        <v>1144143403</v>
      </c>
      <c r="C1605" s="197" t="s">
        <v>3687</v>
      </c>
      <c r="D1605" s="197" t="s">
        <v>3688</v>
      </c>
      <c r="E1605" s="198" t="s">
        <v>944</v>
      </c>
      <c r="F1605" s="198" t="s">
        <v>945</v>
      </c>
      <c r="G1605" s="225" t="n">
        <v>1991000</v>
      </c>
      <c r="H1605" s="225" t="n">
        <v>2145071</v>
      </c>
      <c r="I1605" s="225" t="n">
        <v>2901091</v>
      </c>
      <c r="J1605" s="198" t="n">
        <v>34</v>
      </c>
      <c r="K1605" s="198" t="n">
        <v>3</v>
      </c>
      <c r="L1605" s="226" t="n">
        <v>44490</v>
      </c>
      <c r="M1605" s="226" t="n">
        <v>44312</v>
      </c>
      <c r="N1605" s="227" t="n">
        <v>2</v>
      </c>
      <c r="O1605" s="227" t="s">
        <v>135</v>
      </c>
      <c r="P1605" s="228" t="n">
        <f aca="false">VLOOKUP(B1605,'NIVEL ENERO'!A:D,3,0)</f>
        <v>0.227128578603717</v>
      </c>
      <c r="Q1605" s="229" t="n">
        <f aca="false">VLOOKUP(B1605,'NIVEL ENERO'!A:D,4,0)</f>
        <v>384007</v>
      </c>
      <c r="R1605" s="186" t="str">
        <f aca="false">+PROPER(C1605&amp;" "&amp;D1605)</f>
        <v>Bernal Ordonez Karen Tatiana</v>
      </c>
      <c r="S1605" s="230" t="n">
        <f aca="false">+YEARFRAC(L1605,$S$1)</f>
        <v>4.55833333333333</v>
      </c>
      <c r="T1605" s="230" t="n">
        <f aca="false">+YEARFRAC(M1605,$S$1)</f>
        <v>5.04444444444444</v>
      </c>
      <c r="U1605" s="231" t="n">
        <f aca="false">+$I1605</f>
        <v>2901091</v>
      </c>
      <c r="V1605" s="232" t="str">
        <f aca="false">+PROPER(F1605)</f>
        <v>Union Libre</v>
      </c>
    </row>
    <row r="1606" customFormat="false" ht="14.25" hidden="false" customHeight="false" outlineLevel="0" collapsed="false">
      <c r="B1606" s="197" t="n">
        <v>1144143740</v>
      </c>
      <c r="C1606" s="197" t="s">
        <v>3689</v>
      </c>
      <c r="D1606" s="197" t="s">
        <v>3690</v>
      </c>
      <c r="E1606" s="198" t="s">
        <v>944</v>
      </c>
      <c r="F1606" s="198" t="s">
        <v>953</v>
      </c>
      <c r="G1606" s="225" t="n">
        <v>1625000</v>
      </c>
      <c r="H1606" s="225" t="n">
        <v>3244013</v>
      </c>
      <c r="I1606" s="225" t="n">
        <v>5851145</v>
      </c>
      <c r="J1606" s="198" t="n">
        <v>34</v>
      </c>
      <c r="K1606" s="198" t="n">
        <v>4</v>
      </c>
      <c r="L1606" s="226" t="n">
        <v>43622</v>
      </c>
      <c r="M1606" s="226" t="n">
        <v>42444</v>
      </c>
      <c r="N1606" s="227" t="n">
        <v>2</v>
      </c>
      <c r="O1606" s="227" t="s">
        <v>135</v>
      </c>
      <c r="P1606" s="228" t="n">
        <f aca="false">VLOOKUP(B1606,'NIVEL ENERO'!A:D,3,0)</f>
        <v>0.298257097789196</v>
      </c>
      <c r="Q1606" s="229" t="n">
        <f aca="false">VLOOKUP(B1606,'NIVEL ENERO'!A:D,4,0)</f>
        <v>246000.12</v>
      </c>
      <c r="R1606" s="186" t="str">
        <f aca="false">+PROPER(C1606&amp;" "&amp;D1606)</f>
        <v>Del Castillo Alvarez Luz Angelica</v>
      </c>
      <c r="S1606" s="230" t="n">
        <f aca="false">+YEARFRAC(L1606,$S$1)</f>
        <v>6.93333333333333</v>
      </c>
      <c r="T1606" s="230" t="n">
        <f aca="false">+YEARFRAC(M1606,$S$1)</f>
        <v>10.1583333333333</v>
      </c>
      <c r="U1606" s="231" t="n">
        <f aca="false">+$I1606</f>
        <v>5851145</v>
      </c>
      <c r="V1606" s="232" t="str">
        <f aca="false">+PROPER(F1606)</f>
        <v>Soltero(A)</v>
      </c>
    </row>
    <row r="1607" customFormat="false" ht="14.25" hidden="false" customHeight="false" outlineLevel="0" collapsed="false">
      <c r="B1607" s="197" t="n">
        <v>1144144325</v>
      </c>
      <c r="C1607" s="197" t="s">
        <v>3691</v>
      </c>
      <c r="D1607" s="197" t="s">
        <v>1479</v>
      </c>
      <c r="E1607" s="198" t="s">
        <v>944</v>
      </c>
      <c r="F1607" s="198" t="s">
        <v>953</v>
      </c>
      <c r="G1607" s="225" t="n">
        <v>2893800</v>
      </c>
      <c r="H1607" s="225" t="n">
        <v>800000</v>
      </c>
      <c r="I1607" s="225"/>
      <c r="J1607" s="198" t="n">
        <v>34</v>
      </c>
      <c r="K1607" s="198" t="n">
        <v>4</v>
      </c>
      <c r="L1607" s="226" t="n">
        <v>45553</v>
      </c>
      <c r="M1607" s="226" t="n">
        <v>44459</v>
      </c>
      <c r="N1607" s="227" t="n">
        <v>0</v>
      </c>
      <c r="O1607" s="227" t="s">
        <v>135</v>
      </c>
      <c r="P1607" s="228" t="n">
        <f aca="false">VLOOKUP(B1607,'NIVEL ENERO'!A:D,3,0)</f>
        <v>0.170737715115074</v>
      </c>
      <c r="Q1607" s="229" t="n">
        <f aca="false">VLOOKUP(B1607,'NIVEL ENERO'!A:D,4,0)</f>
        <v>601096</v>
      </c>
      <c r="R1607" s="186" t="str">
        <f aca="false">+PROPER(C1607&amp;" "&amp;D1607)</f>
        <v>Villota Cadena Maria Fernanda</v>
      </c>
      <c r="S1607" s="230" t="n">
        <f aca="false">+YEARFRAC(L1607,$S$1)</f>
        <v>1.65</v>
      </c>
      <c r="T1607" s="230" t="n">
        <f aca="false">+YEARFRAC(M1607,$S$1)</f>
        <v>4.64444444444445</v>
      </c>
      <c r="U1607" s="231" t="n">
        <f aca="false">+$I1607</f>
        <v>0</v>
      </c>
      <c r="V1607" s="232" t="str">
        <f aca="false">+PROPER(F1607)</f>
        <v>Soltero(A)</v>
      </c>
    </row>
    <row r="1608" customFormat="false" ht="14.25" hidden="false" customHeight="false" outlineLevel="0" collapsed="false">
      <c r="B1608" s="197" t="n">
        <v>1144145645</v>
      </c>
      <c r="C1608" s="197" t="s">
        <v>3692</v>
      </c>
      <c r="D1608" s="197" t="s">
        <v>3693</v>
      </c>
      <c r="E1608" s="198" t="s">
        <v>944</v>
      </c>
      <c r="F1608" s="198" t="s">
        <v>953</v>
      </c>
      <c r="G1608" s="225" t="n">
        <v>1625000</v>
      </c>
      <c r="H1608" s="225" t="n">
        <v>4751575</v>
      </c>
      <c r="I1608" s="225" t="n">
        <v>3899039</v>
      </c>
      <c r="J1608" s="198" t="n">
        <v>34</v>
      </c>
      <c r="K1608" s="198" t="n">
        <v>2</v>
      </c>
      <c r="L1608" s="226" t="n">
        <v>42710</v>
      </c>
      <c r="M1608" s="226" t="n">
        <v>42633</v>
      </c>
      <c r="N1608" s="227" t="n">
        <v>3</v>
      </c>
      <c r="O1608" s="227" t="s">
        <v>135</v>
      </c>
      <c r="P1608" s="228" t="n">
        <f aca="false">VLOOKUP(B1608,'NIVEL ENERO'!A:D,3,0)</f>
        <v>0.273715300252755</v>
      </c>
      <c r="Q1608" s="229" t="n">
        <f aca="false">VLOOKUP(B1608,'NIVEL ENERO'!A:D,4,0)</f>
        <v>439568.7</v>
      </c>
      <c r="R1608" s="186" t="str">
        <f aca="false">+PROPER(C1608&amp;" "&amp;D1608)</f>
        <v>Vergara Solano Stephania</v>
      </c>
      <c r="S1608" s="230" t="n">
        <f aca="false">+YEARFRAC(L1608,$S$1)</f>
        <v>9.43333333333333</v>
      </c>
      <c r="T1608" s="230" t="n">
        <f aca="false">+YEARFRAC(M1608,$S$1)</f>
        <v>9.64444444444444</v>
      </c>
      <c r="U1608" s="231" t="n">
        <f aca="false">+$I1608</f>
        <v>3899039</v>
      </c>
      <c r="V1608" s="232" t="str">
        <f aca="false">+PROPER(F1608)</f>
        <v>Soltero(A)</v>
      </c>
    </row>
    <row r="1609" customFormat="false" ht="14.25" hidden="false" customHeight="false" outlineLevel="0" collapsed="false">
      <c r="B1609" s="197" t="n">
        <v>1144146146</v>
      </c>
      <c r="C1609" s="197" t="s">
        <v>3694</v>
      </c>
      <c r="D1609" s="197" t="s">
        <v>1078</v>
      </c>
      <c r="E1609" s="198" t="s">
        <v>944</v>
      </c>
      <c r="F1609" s="198" t="s">
        <v>948</v>
      </c>
      <c r="G1609" s="225" t="n">
        <v>2600900</v>
      </c>
      <c r="H1609" s="225" t="n">
        <v>2300859</v>
      </c>
      <c r="I1609" s="225" t="n">
        <v>2312451</v>
      </c>
      <c r="J1609" s="198" t="n">
        <v>33</v>
      </c>
      <c r="K1609" s="198" t="n">
        <v>2</v>
      </c>
      <c r="L1609" s="226" t="n">
        <v>44999</v>
      </c>
      <c r="M1609" s="226" t="n">
        <v>44691</v>
      </c>
      <c r="N1609" s="227" t="n">
        <v>0</v>
      </c>
      <c r="O1609" s="227" t="s">
        <v>135</v>
      </c>
      <c r="P1609" s="228" t="n">
        <f aca="false">VLOOKUP(B1609,'NIVEL ENERO'!A:D,3,0)</f>
        <v>0.447570903592214</v>
      </c>
      <c r="Q1609" s="229" t="n">
        <f aca="false">VLOOKUP(B1609,'NIVEL ENERO'!A:D,4,0)</f>
        <v>-62721.6000000001</v>
      </c>
      <c r="R1609" s="186" t="str">
        <f aca="false">+PROPER(C1609&amp;" "&amp;D1609)</f>
        <v>Alegrias Hidalgo Julian Andres</v>
      </c>
      <c r="S1609" s="230" t="n">
        <f aca="false">+YEARFRAC(L1609,$S$1)</f>
        <v>3.16111111111111</v>
      </c>
      <c r="T1609" s="230" t="n">
        <f aca="false">+YEARFRAC(M1609,$S$1)</f>
        <v>4.00555555555556</v>
      </c>
      <c r="U1609" s="231" t="n">
        <f aca="false">+$I1609</f>
        <v>2312451</v>
      </c>
      <c r="V1609" s="232" t="str">
        <f aca="false">+PROPER(F1609)</f>
        <v>Casado(A)</v>
      </c>
    </row>
    <row r="1610" customFormat="false" ht="14.25" hidden="false" customHeight="false" outlineLevel="0" collapsed="false">
      <c r="B1610" s="197" t="n">
        <v>1144147981</v>
      </c>
      <c r="C1610" s="197" t="s">
        <v>3695</v>
      </c>
      <c r="D1610" s="197" t="s">
        <v>3696</v>
      </c>
      <c r="E1610" s="198" t="s">
        <v>944</v>
      </c>
      <c r="F1610" s="198" t="s">
        <v>1282</v>
      </c>
      <c r="G1610" s="225" t="n">
        <v>4870200</v>
      </c>
      <c r="H1610" s="225" t="n">
        <v>1217550</v>
      </c>
      <c r="I1610" s="225" t="n">
        <v>0</v>
      </c>
      <c r="J1610" s="198" t="n">
        <v>34</v>
      </c>
      <c r="K1610" s="198" t="n">
        <v>2</v>
      </c>
      <c r="L1610" s="226" t="n">
        <v>45525</v>
      </c>
      <c r="M1610" s="226" t="n">
        <v>44109</v>
      </c>
      <c r="N1610" s="227" t="n">
        <v>1</v>
      </c>
      <c r="O1610" s="227" t="s">
        <v>135</v>
      </c>
      <c r="P1610" s="228" t="n">
        <f aca="false">VLOOKUP(B1610,'NIVEL ENERO'!A:D,3,0)</f>
        <v>0.149841928743516</v>
      </c>
      <c r="Q1610" s="229" t="n">
        <f aca="false">VLOOKUP(B1610,'NIVEL ENERO'!A:D,4,0)</f>
        <v>1740708.6</v>
      </c>
      <c r="R1610" s="186" t="str">
        <f aca="false">+PROPER(C1610&amp;" "&amp;D1610)</f>
        <v>Alvarez Araujo Eilen Dayana</v>
      </c>
      <c r="S1610" s="230" t="n">
        <f aca="false">+YEARFRAC(L1610,$S$1)</f>
        <v>1.725</v>
      </c>
      <c r="T1610" s="230" t="n">
        <f aca="false">+YEARFRAC(M1610,$S$1)</f>
        <v>5.60277777777778</v>
      </c>
      <c r="U1610" s="231" t="n">
        <f aca="false">+$I1610</f>
        <v>0</v>
      </c>
      <c r="V1610" s="232" t="str">
        <f aca="false">+PROPER(F1610)</f>
        <v>Divorciado</v>
      </c>
    </row>
    <row r="1611" customFormat="false" ht="14.25" hidden="false" customHeight="false" outlineLevel="0" collapsed="false">
      <c r="B1611" s="197" t="n">
        <v>1144148264</v>
      </c>
      <c r="C1611" s="197" t="s">
        <v>3697</v>
      </c>
      <c r="D1611" s="197" t="s">
        <v>2658</v>
      </c>
      <c r="E1611" s="198" t="s">
        <v>944</v>
      </c>
      <c r="F1611" s="198" t="s">
        <v>953</v>
      </c>
      <c r="G1611" s="225" t="n">
        <v>4383200</v>
      </c>
      <c r="H1611" s="225" t="n">
        <v>1355255</v>
      </c>
      <c r="I1611" s="225" t="n">
        <v>0</v>
      </c>
      <c r="J1611" s="198" t="n">
        <v>33</v>
      </c>
      <c r="K1611" s="198" t="n">
        <v>1</v>
      </c>
      <c r="L1611" s="226" t="n">
        <v>45001</v>
      </c>
      <c r="M1611" s="226" t="n">
        <v>43987</v>
      </c>
      <c r="N1611" s="227" t="n">
        <v>0</v>
      </c>
      <c r="O1611" s="227" t="s">
        <v>135</v>
      </c>
      <c r="P1611" s="228" t="n">
        <f aca="false">VLOOKUP(B1611,'NIVEL ENERO'!A:D,3,0)</f>
        <v>0.377739029008546</v>
      </c>
      <c r="Q1611" s="229" t="n">
        <f aca="false">VLOOKUP(B1611,'NIVEL ENERO'!A:D,4,0)</f>
        <v>200290.04</v>
      </c>
      <c r="R1611" s="186" t="str">
        <f aca="false">+PROPER(C1611&amp;" "&amp;D1611)</f>
        <v>Benjumea Grueso Daniela</v>
      </c>
      <c r="S1611" s="230" t="n">
        <f aca="false">+YEARFRAC(L1611,$S$1)</f>
        <v>3.15555555555556</v>
      </c>
      <c r="T1611" s="230" t="n">
        <f aca="false">+YEARFRAC(M1611,$S$1)</f>
        <v>5.93611111111111</v>
      </c>
      <c r="U1611" s="231" t="n">
        <f aca="false">+$I1611</f>
        <v>0</v>
      </c>
      <c r="V1611" s="232" t="str">
        <f aca="false">+PROPER(F1611)</f>
        <v>Soltero(A)</v>
      </c>
    </row>
    <row r="1612" customFormat="false" ht="14.25" hidden="false" customHeight="false" outlineLevel="0" collapsed="false">
      <c r="B1612" s="197" t="n">
        <v>1144148406</v>
      </c>
      <c r="C1612" s="197" t="s">
        <v>3698</v>
      </c>
      <c r="D1612" s="197" t="s">
        <v>2482</v>
      </c>
      <c r="E1612" s="198" t="s">
        <v>944</v>
      </c>
      <c r="F1612" s="198" t="s">
        <v>945</v>
      </c>
      <c r="G1612" s="225" t="n">
        <v>2600900</v>
      </c>
      <c r="H1612" s="225" t="n">
        <v>1176761</v>
      </c>
      <c r="I1612" s="225" t="n">
        <v>92262</v>
      </c>
      <c r="J1612" s="198" t="n">
        <v>33</v>
      </c>
      <c r="K1612" s="198" t="n">
        <v>1</v>
      </c>
      <c r="L1612" s="226" t="n">
        <v>45124</v>
      </c>
      <c r="M1612" s="226" t="n">
        <v>42871</v>
      </c>
      <c r="N1612" s="227" t="n">
        <v>0</v>
      </c>
      <c r="O1612" s="227" t="s">
        <v>135</v>
      </c>
      <c r="P1612" s="228" t="n">
        <f aca="false">VLOOKUP(B1612,'NIVEL ENERO'!A:D,3,0)</f>
        <v>0.274441923949402</v>
      </c>
      <c r="Q1612" s="229" t="n">
        <f aca="false">VLOOKUP(B1612,'NIVEL ENERO'!A:D,4,0)</f>
        <v>378582</v>
      </c>
      <c r="R1612" s="186" t="str">
        <f aca="false">+PROPER(C1612&amp;" "&amp;D1612)</f>
        <v>Garcia Atoy Andres Felipe</v>
      </c>
      <c r="S1612" s="230" t="n">
        <f aca="false">+YEARFRAC(L1612,$S$1)</f>
        <v>2.81944444444444</v>
      </c>
      <c r="T1612" s="230" t="n">
        <f aca="false">+YEARFRAC(M1612,$S$1)</f>
        <v>8.98888888888889</v>
      </c>
      <c r="U1612" s="231" t="n">
        <f aca="false">+$I1612</f>
        <v>92262</v>
      </c>
      <c r="V1612" s="232" t="str">
        <f aca="false">+PROPER(F1612)</f>
        <v>Union Libre</v>
      </c>
    </row>
    <row r="1613" customFormat="false" ht="14.25" hidden="false" customHeight="false" outlineLevel="0" collapsed="false">
      <c r="B1613" s="197" t="n">
        <v>1144148505</v>
      </c>
      <c r="C1613" s="197" t="s">
        <v>3699</v>
      </c>
      <c r="D1613" s="197" t="s">
        <v>1129</v>
      </c>
      <c r="E1613" s="198" t="s">
        <v>944</v>
      </c>
      <c r="F1613" s="198" t="s">
        <v>945</v>
      </c>
      <c r="G1613" s="225" t="n">
        <v>2600900</v>
      </c>
      <c r="H1613" s="225" t="n">
        <v>5783096</v>
      </c>
      <c r="I1613" s="225" t="n">
        <v>1182935</v>
      </c>
      <c r="J1613" s="198" t="n">
        <v>33</v>
      </c>
      <c r="K1613" s="198" t="n">
        <v>2</v>
      </c>
      <c r="L1613" s="226" t="n">
        <v>42900</v>
      </c>
      <c r="M1613" s="226" t="n">
        <v>42863</v>
      </c>
      <c r="N1613" s="227" t="n">
        <v>5</v>
      </c>
      <c r="O1613" s="227" t="s">
        <v>135</v>
      </c>
      <c r="P1613" s="228" t="n">
        <f aca="false">VLOOKUP(B1613,'NIVEL ENERO'!A:D,3,0)</f>
        <v>0.336500139991635</v>
      </c>
      <c r="Q1613" s="229" t="n">
        <f aca="false">VLOOKUP(B1613,'NIVEL ENERO'!A:D,4,0)</f>
        <v>289881.12</v>
      </c>
      <c r="R1613" s="186" t="str">
        <f aca="false">+PROPER(C1613&amp;" "&amp;D1613)</f>
        <v>Cardenas Carvajal Kelly Johana</v>
      </c>
      <c r="S1613" s="230" t="n">
        <f aca="false">+YEARFRAC(L1613,$S$1)</f>
        <v>8.91111111111111</v>
      </c>
      <c r="T1613" s="230" t="n">
        <f aca="false">+YEARFRAC(M1613,$S$1)</f>
        <v>9.01111111111111</v>
      </c>
      <c r="U1613" s="231" t="n">
        <f aca="false">+$I1613</f>
        <v>1182935</v>
      </c>
      <c r="V1613" s="232" t="str">
        <f aca="false">+PROPER(F1613)</f>
        <v>Union Libre</v>
      </c>
    </row>
    <row r="1614" customFormat="false" ht="14.25" hidden="false" customHeight="false" outlineLevel="0" collapsed="false">
      <c r="B1614" s="197" t="n">
        <v>1144149618</v>
      </c>
      <c r="C1614" s="197" t="s">
        <v>3700</v>
      </c>
      <c r="D1614" s="197" t="s">
        <v>3701</v>
      </c>
      <c r="E1614" s="198" t="s">
        <v>944</v>
      </c>
      <c r="F1614" s="198" t="s">
        <v>953</v>
      </c>
      <c r="G1614" s="225" t="n">
        <v>1991000</v>
      </c>
      <c r="H1614" s="225" t="n">
        <v>910008</v>
      </c>
      <c r="I1614" s="225"/>
      <c r="J1614" s="198" t="n">
        <v>33</v>
      </c>
      <c r="K1614" s="198" t="n">
        <v>2</v>
      </c>
      <c r="L1614" s="226" t="n">
        <v>45279</v>
      </c>
      <c r="M1614" s="226" t="n">
        <v>44931</v>
      </c>
      <c r="N1614" s="227" t="n">
        <v>0</v>
      </c>
      <c r="O1614" s="227" t="s">
        <v>135</v>
      </c>
      <c r="P1614" s="228" t="n">
        <f aca="false">VLOOKUP(B1614,'NIVEL ENERO'!A:D,3,0)</f>
        <v>0.337464976734128</v>
      </c>
      <c r="Q1614" s="229" t="n">
        <f aca="false">VLOOKUP(B1614,'NIVEL ENERO'!A:D,4,0)</f>
        <v>378946</v>
      </c>
      <c r="R1614" s="186" t="str">
        <f aca="false">+PROPER(C1614&amp;" "&amp;D1614)</f>
        <v>Rios Lugo Karen Johanna</v>
      </c>
      <c r="S1614" s="230" t="n">
        <f aca="false">+YEARFRAC(L1614,$S$1)</f>
        <v>2.39722222222222</v>
      </c>
      <c r="T1614" s="230" t="n">
        <f aca="false">+YEARFRAC(M1614,$S$1)</f>
        <v>3.35277777777778</v>
      </c>
      <c r="U1614" s="231" t="n">
        <f aca="false">+$I1614</f>
        <v>0</v>
      </c>
      <c r="V1614" s="232" t="str">
        <f aca="false">+PROPER(F1614)</f>
        <v>Soltero(A)</v>
      </c>
    </row>
    <row r="1615" customFormat="false" ht="14.25" hidden="false" customHeight="false" outlineLevel="0" collapsed="false">
      <c r="B1615" s="197" t="n">
        <v>1144149654</v>
      </c>
      <c r="C1615" s="197" t="s">
        <v>3440</v>
      </c>
      <c r="D1615" s="197" t="s">
        <v>2706</v>
      </c>
      <c r="E1615" s="198" t="s">
        <v>944</v>
      </c>
      <c r="F1615" s="198" t="s">
        <v>945</v>
      </c>
      <c r="G1615" s="225" t="n">
        <v>2893800</v>
      </c>
      <c r="H1615" s="225" t="n">
        <v>1138173</v>
      </c>
      <c r="I1615" s="225" t="n">
        <v>33053</v>
      </c>
      <c r="J1615" s="198" t="n">
        <v>33</v>
      </c>
      <c r="K1615" s="198" t="n">
        <v>2</v>
      </c>
      <c r="L1615" s="226" t="n">
        <v>45160</v>
      </c>
      <c r="M1615" s="226" t="n">
        <v>44105</v>
      </c>
      <c r="N1615" s="227" t="n">
        <v>0</v>
      </c>
      <c r="O1615" s="227" t="s">
        <v>135</v>
      </c>
      <c r="P1615" s="228" t="n">
        <f aca="false">VLOOKUP(B1615,'NIVEL ENERO'!A:D,3,0)</f>
        <v>0.39852103669147</v>
      </c>
      <c r="Q1615" s="229" t="n">
        <f aca="false">VLOOKUP(B1615,'NIVEL ENERO'!A:D,4,0)</f>
        <v>78813.3399999999</v>
      </c>
      <c r="R1615" s="186" t="str">
        <f aca="false">+PROPER(C1615&amp;" "&amp;D1615)</f>
        <v>Valencia Cardona Erika Alejandra</v>
      </c>
      <c r="S1615" s="230" t="n">
        <f aca="false">+YEARFRAC(L1615,$S$1)</f>
        <v>2.72222222222222</v>
      </c>
      <c r="T1615" s="230" t="n">
        <f aca="false">+YEARFRAC(M1615,$S$1)</f>
        <v>5.61388888888889</v>
      </c>
      <c r="U1615" s="231" t="n">
        <f aca="false">+$I1615</f>
        <v>33053</v>
      </c>
      <c r="V1615" s="232" t="str">
        <f aca="false">+PROPER(F1615)</f>
        <v>Union Libre</v>
      </c>
    </row>
    <row r="1616" customFormat="false" ht="14.25" hidden="false" customHeight="false" outlineLevel="0" collapsed="false">
      <c r="B1616" s="197" t="n">
        <v>1144150087</v>
      </c>
      <c r="C1616" s="197" t="s">
        <v>3702</v>
      </c>
      <c r="D1616" s="197" t="s">
        <v>1267</v>
      </c>
      <c r="E1616" s="198" t="s">
        <v>944</v>
      </c>
      <c r="F1616" s="198" t="s">
        <v>945</v>
      </c>
      <c r="G1616" s="225" t="n">
        <v>5418800</v>
      </c>
      <c r="H1616" s="225" t="n">
        <v>2304741</v>
      </c>
      <c r="I1616" s="225"/>
      <c r="J1616" s="198" t="n">
        <v>33</v>
      </c>
      <c r="K1616" s="198" t="n">
        <v>2</v>
      </c>
      <c r="L1616" s="226" t="n">
        <v>44973</v>
      </c>
      <c r="M1616" s="226" t="n">
        <v>42913</v>
      </c>
      <c r="N1616" s="227" t="n">
        <v>0</v>
      </c>
      <c r="O1616" s="227" t="s">
        <v>135</v>
      </c>
      <c r="P1616" s="228" t="n">
        <f aca="false">VLOOKUP(B1616,'NIVEL ENERO'!A:D,3,0)</f>
        <v>0.271039554189527</v>
      </c>
      <c r="Q1616" s="229" t="n">
        <f aca="false">VLOOKUP(B1616,'NIVEL ENERO'!A:D,4,0)</f>
        <v>985294.4</v>
      </c>
      <c r="R1616" s="186" t="str">
        <f aca="false">+PROPER(C1616&amp;" "&amp;D1616)</f>
        <v>Banguero Rodriguez Ana Maria</v>
      </c>
      <c r="S1616" s="230" t="n">
        <f aca="false">+YEARFRAC(L1616,$S$1)</f>
        <v>3.23888888888889</v>
      </c>
      <c r="T1616" s="230" t="n">
        <f aca="false">+YEARFRAC(M1616,$S$1)</f>
        <v>8.875</v>
      </c>
      <c r="U1616" s="231" t="n">
        <f aca="false">+$I1616</f>
        <v>0</v>
      </c>
      <c r="V1616" s="232" t="str">
        <f aca="false">+PROPER(F1616)</f>
        <v>Union Libre</v>
      </c>
    </row>
    <row r="1617" customFormat="false" ht="14.25" hidden="false" customHeight="false" outlineLevel="0" collapsed="false">
      <c r="B1617" s="197" t="n">
        <v>1144151327</v>
      </c>
      <c r="C1617" s="197" t="s">
        <v>3703</v>
      </c>
      <c r="D1617" s="197" t="s">
        <v>1436</v>
      </c>
      <c r="E1617" s="198" t="s">
        <v>944</v>
      </c>
      <c r="F1617" s="198" t="s">
        <v>953</v>
      </c>
      <c r="G1617" s="225" t="n">
        <v>2893800</v>
      </c>
      <c r="H1617" s="225" t="n">
        <v>2424735</v>
      </c>
      <c r="I1617" s="225" t="n">
        <v>462657</v>
      </c>
      <c r="J1617" s="198" t="n">
        <v>33</v>
      </c>
      <c r="K1617" s="198" t="n">
        <v>4</v>
      </c>
      <c r="L1617" s="226" t="n">
        <v>44820</v>
      </c>
      <c r="M1617" s="226" t="n">
        <v>41987</v>
      </c>
      <c r="N1617" s="227" t="n">
        <v>2</v>
      </c>
      <c r="O1617" s="227" t="s">
        <v>135</v>
      </c>
      <c r="P1617" s="228" t="n">
        <f aca="false">VLOOKUP(B1617,'NIVEL ENERO'!A:D,3,0)</f>
        <v>0.441413794164449</v>
      </c>
      <c r="Q1617" s="229" t="n">
        <f aca="false">VLOOKUP(B1617,'NIVEL ENERO'!A:D,4,0)</f>
        <v>-93953.7</v>
      </c>
      <c r="R1617" s="186" t="str">
        <f aca="false">+PROPER(C1617&amp;" "&amp;D1617)</f>
        <v>Oyola Valderrama Claudia Ximena</v>
      </c>
      <c r="S1617" s="230" t="n">
        <f aca="false">+YEARFRAC(L1617,$S$1)</f>
        <v>3.65555555555556</v>
      </c>
      <c r="T1617" s="230" t="n">
        <f aca="false">+YEARFRAC(M1617,$S$1)</f>
        <v>11.4111111111111</v>
      </c>
      <c r="U1617" s="231" t="n">
        <f aca="false">+$I1617</f>
        <v>462657</v>
      </c>
      <c r="V1617" s="232" t="str">
        <f aca="false">+PROPER(F1617)</f>
        <v>Soltero(A)</v>
      </c>
    </row>
    <row r="1618" customFormat="false" ht="14.25" hidden="false" customHeight="false" outlineLevel="0" collapsed="false">
      <c r="B1618" s="197" t="n">
        <v>1144151651</v>
      </c>
      <c r="C1618" s="197" t="s">
        <v>3704</v>
      </c>
      <c r="D1618" s="197" t="s">
        <v>3705</v>
      </c>
      <c r="E1618" s="198" t="s">
        <v>944</v>
      </c>
      <c r="F1618" s="198" t="s">
        <v>953</v>
      </c>
      <c r="G1618" s="225" t="n">
        <v>3140000</v>
      </c>
      <c r="H1618" s="225" t="n">
        <v>280000</v>
      </c>
      <c r="I1618" s="225"/>
      <c r="J1618" s="198" t="n">
        <v>33</v>
      </c>
      <c r="K1618" s="198" t="n">
        <v>4</v>
      </c>
      <c r="L1618" s="226" t="n">
        <v>45555</v>
      </c>
      <c r="M1618" s="226" t="n">
        <v>45337</v>
      </c>
      <c r="N1618" s="227" t="n">
        <v>0</v>
      </c>
      <c r="O1618" s="227" t="s">
        <v>135</v>
      </c>
      <c r="P1618" s="228" t="n">
        <f aca="false">VLOOKUP(B1618,'NIVEL ENERO'!A:D,3,0)</f>
        <v>0.357225650825475</v>
      </c>
      <c r="Q1618" s="229" t="n">
        <f aca="false">VLOOKUP(B1618,'NIVEL ENERO'!A:D,4,0)</f>
        <v>200382</v>
      </c>
      <c r="R1618" s="186" t="str">
        <f aca="false">+PROPER(C1618&amp;" "&amp;D1618)</f>
        <v>Galvis Cifuentes Silvana</v>
      </c>
      <c r="S1618" s="230" t="n">
        <f aca="false">+YEARFRAC(L1618,$S$1)</f>
        <v>1.64444444444444</v>
      </c>
      <c r="T1618" s="230" t="n">
        <f aca="false">+YEARFRAC(M1618,$S$1)</f>
        <v>2.24166666666667</v>
      </c>
      <c r="U1618" s="231" t="n">
        <f aca="false">+$I1618</f>
        <v>0</v>
      </c>
      <c r="V1618" s="232" t="str">
        <f aca="false">+PROPER(F1618)</f>
        <v>Soltero(A)</v>
      </c>
    </row>
    <row r="1619" customFormat="false" ht="14.25" hidden="false" customHeight="false" outlineLevel="0" collapsed="false">
      <c r="B1619" s="197" t="n">
        <v>1144151772</v>
      </c>
      <c r="C1619" s="197" t="s">
        <v>3706</v>
      </c>
      <c r="D1619" s="197" t="s">
        <v>2944</v>
      </c>
      <c r="E1619" s="198" t="s">
        <v>944</v>
      </c>
      <c r="F1619" s="198" t="s">
        <v>945</v>
      </c>
      <c r="G1619" s="225" t="n">
        <v>4327600</v>
      </c>
      <c r="H1619" s="225" t="n">
        <v>455000</v>
      </c>
      <c r="I1619" s="225"/>
      <c r="J1619" s="198" t="n">
        <v>33</v>
      </c>
      <c r="K1619" s="198" t="n">
        <v>1</v>
      </c>
      <c r="L1619" s="226" t="n">
        <v>45448</v>
      </c>
      <c r="M1619" s="226" t="n">
        <v>42125</v>
      </c>
      <c r="N1619" s="227" t="n">
        <v>0</v>
      </c>
      <c r="O1619" s="227" t="s">
        <v>135</v>
      </c>
      <c r="P1619" s="228" t="n">
        <f aca="false">VLOOKUP(B1619,'NIVEL ENERO'!A:D,3,0)</f>
        <v>0.364703992975321</v>
      </c>
      <c r="Q1619" s="229" t="n">
        <f aca="false">VLOOKUP(B1619,'NIVEL ENERO'!A:D,4,0)</f>
        <v>239299</v>
      </c>
      <c r="R1619" s="186" t="str">
        <f aca="false">+PROPER(C1619&amp;" "&amp;D1619)</f>
        <v>Vernaza Cabezas Anyela Patricia</v>
      </c>
      <c r="S1619" s="230" t="n">
        <f aca="false">+YEARFRAC(L1619,$S$1)</f>
        <v>1.93611111111111</v>
      </c>
      <c r="T1619" s="230" t="n">
        <f aca="false">+YEARFRAC(M1619,$S$1)</f>
        <v>11.0305555555556</v>
      </c>
      <c r="U1619" s="231" t="n">
        <f aca="false">+$I1619</f>
        <v>0</v>
      </c>
      <c r="V1619" s="232" t="str">
        <f aca="false">+PROPER(F1619)</f>
        <v>Union Libre</v>
      </c>
    </row>
    <row r="1620" customFormat="false" ht="14.25" hidden="false" customHeight="false" outlineLevel="0" collapsed="false">
      <c r="B1620" s="197" t="n">
        <v>1144152032</v>
      </c>
      <c r="C1620" s="197" t="s">
        <v>3707</v>
      </c>
      <c r="D1620" s="197" t="s">
        <v>1591</v>
      </c>
      <c r="E1620" s="198" t="s">
        <v>944</v>
      </c>
      <c r="F1620" s="198" t="s">
        <v>953</v>
      </c>
      <c r="G1620" s="225" t="n">
        <v>1918500</v>
      </c>
      <c r="H1620" s="225" t="n">
        <v>1961224</v>
      </c>
      <c r="I1620" s="225" t="n">
        <v>178418</v>
      </c>
      <c r="J1620" s="198" t="n">
        <v>33</v>
      </c>
      <c r="K1620" s="198" t="n">
        <v>1</v>
      </c>
      <c r="L1620" s="226" t="n">
        <v>44609</v>
      </c>
      <c r="M1620" s="226" t="n">
        <v>44105</v>
      </c>
      <c r="N1620" s="227" t="n">
        <v>1</v>
      </c>
      <c r="O1620" s="227" t="s">
        <v>135</v>
      </c>
      <c r="P1620" s="228" t="n">
        <f aca="false">VLOOKUP(B1620,'NIVEL ENERO'!A:D,3,0)</f>
        <v>0.347311430805317</v>
      </c>
      <c r="Q1620" s="229" t="n">
        <f aca="false">VLOOKUP(B1620,'NIVEL ENERO'!A:D,4,0)</f>
        <v>332031</v>
      </c>
      <c r="R1620" s="186" t="str">
        <f aca="false">+PROPER(C1620&amp;" "&amp;D1620)</f>
        <v>Tutacha Velasco Paula Andrea</v>
      </c>
      <c r="S1620" s="230" t="n">
        <f aca="false">+YEARFRAC(L1620,$S$1)</f>
        <v>4.23611111111111</v>
      </c>
      <c r="T1620" s="230" t="n">
        <f aca="false">+YEARFRAC(M1620,$S$1)</f>
        <v>5.61388888888889</v>
      </c>
      <c r="U1620" s="231" t="n">
        <f aca="false">+$I1620</f>
        <v>178418</v>
      </c>
      <c r="V1620" s="232" t="str">
        <f aca="false">+PROPER(F1620)</f>
        <v>Soltero(A)</v>
      </c>
    </row>
    <row r="1621" customFormat="false" ht="14.25" hidden="false" customHeight="false" outlineLevel="0" collapsed="false">
      <c r="B1621" s="197" t="n">
        <v>1144152822</v>
      </c>
      <c r="C1621" s="197" t="s">
        <v>3708</v>
      </c>
      <c r="D1621" s="197" t="s">
        <v>3709</v>
      </c>
      <c r="E1621" s="198" t="s">
        <v>944</v>
      </c>
      <c r="F1621" s="198" t="s">
        <v>945</v>
      </c>
      <c r="G1621" s="225" t="n">
        <v>5291000</v>
      </c>
      <c r="H1621" s="225" t="n">
        <v>520000</v>
      </c>
      <c r="I1621" s="225" t="n">
        <v>0</v>
      </c>
      <c r="J1621" s="198" t="n">
        <v>33</v>
      </c>
      <c r="K1621" s="198" t="n">
        <v>1</v>
      </c>
      <c r="L1621" s="226" t="n">
        <v>45414</v>
      </c>
      <c r="M1621" s="226" t="n">
        <v>42415</v>
      </c>
      <c r="N1621" s="227" t="n">
        <v>0</v>
      </c>
      <c r="O1621" s="227" t="s">
        <v>135</v>
      </c>
      <c r="P1621" s="228" t="n">
        <f aca="false">VLOOKUP(B1621,'NIVEL ENERO'!A:D,3,0)</f>
        <v>0.395191268191268</v>
      </c>
      <c r="Q1621" s="229" t="n">
        <f aca="false">VLOOKUP(B1621,'NIVEL ENERO'!A:D,4,0)</f>
        <v>131263</v>
      </c>
      <c r="R1621" s="186" t="str">
        <f aca="false">+PROPER(C1621&amp;" "&amp;D1621)</f>
        <v>Palacios Larrota Adriana Carolina</v>
      </c>
      <c r="S1621" s="230" t="n">
        <f aca="false">+YEARFRAC(L1621,$S$1)</f>
        <v>2.02777777777778</v>
      </c>
      <c r="T1621" s="230" t="n">
        <f aca="false">+YEARFRAC(M1621,$S$1)</f>
        <v>10.2416666666667</v>
      </c>
      <c r="U1621" s="231" t="n">
        <f aca="false">+$I1621</f>
        <v>0</v>
      </c>
      <c r="V1621" s="232" t="str">
        <f aca="false">+PROPER(F1621)</f>
        <v>Union Libre</v>
      </c>
    </row>
    <row r="1622" customFormat="false" ht="14.25" hidden="false" customHeight="false" outlineLevel="0" collapsed="false">
      <c r="B1622" s="197" t="n">
        <v>1144153454</v>
      </c>
      <c r="C1622" s="197" t="s">
        <v>3710</v>
      </c>
      <c r="D1622" s="197" t="s">
        <v>1045</v>
      </c>
      <c r="E1622" s="198" t="s">
        <v>944</v>
      </c>
      <c r="F1622" s="198" t="s">
        <v>953</v>
      </c>
      <c r="G1622" s="225" t="n">
        <v>2893800</v>
      </c>
      <c r="H1622" s="225" t="n">
        <v>2203887</v>
      </c>
      <c r="I1622" s="225" t="n">
        <v>1052282</v>
      </c>
      <c r="J1622" s="198" t="n">
        <v>33</v>
      </c>
      <c r="K1622" s="198" t="n">
        <v>2</v>
      </c>
      <c r="L1622" s="226" t="n">
        <v>45001</v>
      </c>
      <c r="M1622" s="226" t="n">
        <v>43717</v>
      </c>
      <c r="N1622" s="227" t="n">
        <v>0</v>
      </c>
      <c r="O1622" s="227" t="s">
        <v>135</v>
      </c>
      <c r="P1622" s="228" t="n">
        <f aca="false">VLOOKUP(B1622,'NIVEL ENERO'!A:D,3,0)</f>
        <v>0.317314788024214</v>
      </c>
      <c r="Q1622" s="229" t="n">
        <f aca="false">VLOOKUP(B1622,'NIVEL ENERO'!A:D,4,0)</f>
        <v>399495.14</v>
      </c>
      <c r="R1622" s="186" t="str">
        <f aca="false">+PROPER(C1622&amp;" "&amp;D1622)</f>
        <v>Campo Jimenez Luis Eduardo</v>
      </c>
      <c r="S1622" s="230" t="n">
        <f aca="false">+YEARFRAC(L1622,$S$1)</f>
        <v>3.15555555555556</v>
      </c>
      <c r="T1622" s="230" t="n">
        <f aca="false">+YEARFRAC(M1622,$S$1)</f>
        <v>6.675</v>
      </c>
      <c r="U1622" s="231" t="n">
        <f aca="false">+$I1622</f>
        <v>1052282</v>
      </c>
      <c r="V1622" s="232" t="str">
        <f aca="false">+PROPER(F1622)</f>
        <v>Soltero(A)</v>
      </c>
    </row>
    <row r="1623" customFormat="false" ht="14.25" hidden="false" customHeight="false" outlineLevel="0" collapsed="false">
      <c r="B1623" s="197" t="n">
        <v>1144154240</v>
      </c>
      <c r="C1623" s="197" t="s">
        <v>3711</v>
      </c>
      <c r="D1623" s="197" t="s">
        <v>3712</v>
      </c>
      <c r="E1623" s="198" t="s">
        <v>944</v>
      </c>
      <c r="F1623" s="198" t="s">
        <v>945</v>
      </c>
      <c r="G1623" s="225" t="n">
        <v>2893800</v>
      </c>
      <c r="H1623" s="225" t="n">
        <v>1700768</v>
      </c>
      <c r="I1623" s="225" t="n">
        <v>3050460</v>
      </c>
      <c r="J1623" s="198" t="n">
        <v>33</v>
      </c>
      <c r="K1623" s="198" t="n">
        <v>1</v>
      </c>
      <c r="L1623" s="226" t="n">
        <v>45148</v>
      </c>
      <c r="M1623" s="226" t="n">
        <v>42590</v>
      </c>
      <c r="N1623" s="227" t="n">
        <v>2</v>
      </c>
      <c r="O1623" s="227" t="s">
        <v>135</v>
      </c>
      <c r="P1623" s="228" t="n">
        <f aca="false">VLOOKUP(B1623,'NIVEL ENERO'!A:D,3,0)</f>
        <v>0.446641383812395</v>
      </c>
      <c r="Q1623" s="229" t="n">
        <f aca="false">VLOOKUP(B1623,'NIVEL ENERO'!A:D,4,0)</f>
        <v>-99619.9399999999</v>
      </c>
      <c r="R1623" s="186" t="str">
        <f aca="false">+PROPER(C1623&amp;" "&amp;D1623)</f>
        <v>Lopez Duque Sirley Dayana</v>
      </c>
      <c r="S1623" s="230" t="n">
        <f aca="false">+YEARFRAC(L1623,$S$1)</f>
        <v>2.75555555555556</v>
      </c>
      <c r="T1623" s="230" t="n">
        <f aca="false">+YEARFRAC(M1623,$S$1)</f>
        <v>9.76111111111111</v>
      </c>
      <c r="U1623" s="231" t="n">
        <f aca="false">+$I1623</f>
        <v>3050460</v>
      </c>
      <c r="V1623" s="232" t="str">
        <f aca="false">+PROPER(F1623)</f>
        <v>Union Libre</v>
      </c>
    </row>
    <row r="1624" customFormat="false" ht="14.25" hidden="false" customHeight="false" outlineLevel="0" collapsed="false">
      <c r="B1624" s="197" t="n">
        <v>1144154389</v>
      </c>
      <c r="C1624" s="197" t="s">
        <v>3713</v>
      </c>
      <c r="D1624" s="197" t="s">
        <v>3714</v>
      </c>
      <c r="E1624" s="198" t="s">
        <v>944</v>
      </c>
      <c r="F1624" s="198" t="s">
        <v>953</v>
      </c>
      <c r="G1624" s="225" t="n">
        <v>2893800</v>
      </c>
      <c r="H1624" s="225" t="n">
        <v>4425975</v>
      </c>
      <c r="I1624" s="225" t="n">
        <v>4100151</v>
      </c>
      <c r="J1624" s="198" t="n">
        <v>32</v>
      </c>
      <c r="K1624" s="198" t="n">
        <v>4</v>
      </c>
      <c r="L1624" s="226" t="n">
        <v>43697</v>
      </c>
      <c r="M1624" s="226" t="n">
        <v>42236</v>
      </c>
      <c r="N1624" s="227" t="n">
        <v>1</v>
      </c>
      <c r="O1624" s="227" t="s">
        <v>135</v>
      </c>
      <c r="P1624" s="228" t="n">
        <f aca="false">VLOOKUP(B1624,'NIVEL ENERO'!A:D,3,0)</f>
        <v>0.454431619401136</v>
      </c>
      <c r="Q1624" s="229" t="n">
        <f aca="false">VLOOKUP(B1624,'NIVEL ENERO'!A:D,4,0)</f>
        <v>-105955.86</v>
      </c>
      <c r="R1624" s="186" t="str">
        <f aca="false">+PROPER(C1624&amp;" "&amp;D1624)</f>
        <v>Medina Truque Edilberto</v>
      </c>
      <c r="S1624" s="230" t="n">
        <f aca="false">+YEARFRAC(L1624,$S$1)</f>
        <v>6.72777777777778</v>
      </c>
      <c r="T1624" s="230" t="n">
        <f aca="false">+YEARFRAC(M1624,$S$1)</f>
        <v>10.7277777777778</v>
      </c>
      <c r="U1624" s="231" t="n">
        <f aca="false">+$I1624</f>
        <v>4100151</v>
      </c>
      <c r="V1624" s="232" t="str">
        <f aca="false">+PROPER(F1624)</f>
        <v>Soltero(A)</v>
      </c>
    </row>
    <row r="1625" customFormat="false" ht="14.25" hidden="false" customHeight="false" outlineLevel="0" collapsed="false">
      <c r="B1625" s="197" t="n">
        <v>1144154965</v>
      </c>
      <c r="C1625" s="197" t="s">
        <v>3715</v>
      </c>
      <c r="D1625" s="197" t="s">
        <v>3716</v>
      </c>
      <c r="E1625" s="198" t="s">
        <v>944</v>
      </c>
      <c r="F1625" s="198" t="s">
        <v>998</v>
      </c>
      <c r="G1625" s="225" t="n">
        <v>2893800</v>
      </c>
      <c r="H1625" s="225" t="n">
        <v>2166976</v>
      </c>
      <c r="I1625" s="225" t="n">
        <v>451970</v>
      </c>
      <c r="J1625" s="198" t="n">
        <v>32</v>
      </c>
      <c r="K1625" s="198" t="n">
        <v>3</v>
      </c>
      <c r="L1625" s="226" t="n">
        <v>44790</v>
      </c>
      <c r="M1625" s="226" t="n">
        <v>41744</v>
      </c>
      <c r="N1625" s="227" t="n">
        <v>4</v>
      </c>
      <c r="O1625" s="227" t="s">
        <v>135</v>
      </c>
      <c r="P1625" s="228" t="n">
        <f aca="false">VLOOKUP(B1625,'NIVEL ENERO'!A:D,3,0)</f>
        <v>0.233947703735464</v>
      </c>
      <c r="Q1625" s="229" t="n">
        <f aca="false">VLOOKUP(B1625,'NIVEL ENERO'!A:D,4,0)</f>
        <v>476448.86</v>
      </c>
      <c r="R1625" s="186" t="str">
        <f aca="false">+PROPER(C1625&amp;" "&amp;D1625)</f>
        <v>Pena Bocanegra Stephany Iliana</v>
      </c>
      <c r="S1625" s="230" t="n">
        <f aca="false">+YEARFRAC(L1625,$S$1)</f>
        <v>3.73611111111111</v>
      </c>
      <c r="T1625" s="230" t="n">
        <f aca="false">+YEARFRAC(M1625,$S$1)</f>
        <v>12.075</v>
      </c>
      <c r="U1625" s="231" t="n">
        <f aca="false">+$I1625</f>
        <v>451970</v>
      </c>
      <c r="V1625" s="232" t="str">
        <f aca="false">+PROPER(F1625)</f>
        <v>Separado(A)</v>
      </c>
    </row>
    <row r="1626" customFormat="false" ht="14.25" hidden="false" customHeight="false" outlineLevel="0" collapsed="false">
      <c r="B1626" s="197" t="n">
        <v>1144155126</v>
      </c>
      <c r="C1626" s="197" t="s">
        <v>3717</v>
      </c>
      <c r="D1626" s="197" t="s">
        <v>3718</v>
      </c>
      <c r="E1626" s="198" t="s">
        <v>944</v>
      </c>
      <c r="F1626" s="198" t="s">
        <v>953</v>
      </c>
      <c r="G1626" s="225" t="n">
        <v>1918500</v>
      </c>
      <c r="H1626" s="225" t="n">
        <v>1708686</v>
      </c>
      <c r="I1626" s="225" t="n">
        <v>960195</v>
      </c>
      <c r="J1626" s="198" t="n">
        <v>32</v>
      </c>
      <c r="K1626" s="198" t="n">
        <v>2</v>
      </c>
      <c r="L1626" s="226" t="n">
        <v>44791</v>
      </c>
      <c r="M1626" s="226" t="n">
        <v>44482</v>
      </c>
      <c r="N1626" s="227" t="n">
        <v>3</v>
      </c>
      <c r="O1626" s="227" t="s">
        <v>135</v>
      </c>
      <c r="P1626" s="228" t="n">
        <f aca="false">VLOOKUP(B1626,'NIVEL ENERO'!A:D,3,0)</f>
        <v>0.475183643471462</v>
      </c>
      <c r="Q1626" s="229" t="n">
        <f aca="false">VLOOKUP(B1626,'NIVEL ENERO'!A:D,4,0)</f>
        <v>-252071</v>
      </c>
      <c r="R1626" s="186" t="str">
        <f aca="false">+PROPER(C1626&amp;" "&amp;D1626)</f>
        <v>Martinez Meza Adriana Amparo</v>
      </c>
      <c r="S1626" s="230" t="n">
        <f aca="false">+YEARFRAC(L1626,$S$1)</f>
        <v>3.73333333333333</v>
      </c>
      <c r="T1626" s="230" t="n">
        <f aca="false">+YEARFRAC(M1626,$S$1)</f>
        <v>4.58055555555556</v>
      </c>
      <c r="U1626" s="231" t="n">
        <f aca="false">+$I1626</f>
        <v>960195</v>
      </c>
      <c r="V1626" s="232" t="str">
        <f aca="false">+PROPER(F1626)</f>
        <v>Soltero(A)</v>
      </c>
    </row>
    <row r="1627" customFormat="false" ht="14.25" hidden="false" customHeight="false" outlineLevel="0" collapsed="false">
      <c r="B1627" s="197" t="n">
        <v>1144155514</v>
      </c>
      <c r="C1627" s="197" t="s">
        <v>3719</v>
      </c>
      <c r="D1627" s="197" t="s">
        <v>3720</v>
      </c>
      <c r="E1627" s="198" t="s">
        <v>944</v>
      </c>
      <c r="F1627" s="198" t="s">
        <v>953</v>
      </c>
      <c r="G1627" s="225" t="n">
        <v>2600900</v>
      </c>
      <c r="H1627" s="225" t="n">
        <v>5137580</v>
      </c>
      <c r="I1627" s="225" t="n">
        <v>6760939</v>
      </c>
      <c r="J1627" s="198" t="n">
        <v>32</v>
      </c>
      <c r="K1627" s="198" t="n">
        <v>1</v>
      </c>
      <c r="L1627" s="226" t="n">
        <v>42929</v>
      </c>
      <c r="M1627" s="226" t="n">
        <v>42835</v>
      </c>
      <c r="N1627" s="227" t="n">
        <v>1</v>
      </c>
      <c r="O1627" s="227" t="s">
        <v>135</v>
      </c>
      <c r="P1627" s="228" t="n">
        <f aca="false">VLOOKUP(B1627,'NIVEL ENERO'!A:D,3,0)</f>
        <v>0.409453732991094</v>
      </c>
      <c r="Q1627" s="229" t="n">
        <f aca="false">VLOOKUP(B1627,'NIVEL ENERO'!A:D,4,0)</f>
        <v>38630.28</v>
      </c>
      <c r="R1627" s="186" t="str">
        <f aca="false">+PROPER(C1627&amp;" "&amp;D1627)</f>
        <v>Palacios Sierra Yaira Milena</v>
      </c>
      <c r="S1627" s="230" t="n">
        <f aca="false">+YEARFRAC(L1627,$S$1)</f>
        <v>8.83055555555556</v>
      </c>
      <c r="T1627" s="230" t="n">
        <f aca="false">+YEARFRAC(M1627,$S$1)</f>
        <v>9.08888888888889</v>
      </c>
      <c r="U1627" s="231" t="n">
        <f aca="false">+$I1627</f>
        <v>6760939</v>
      </c>
      <c r="V1627" s="232" t="str">
        <f aca="false">+PROPER(F1627)</f>
        <v>Soltero(A)</v>
      </c>
    </row>
    <row r="1628" customFormat="false" ht="14.25" hidden="false" customHeight="false" outlineLevel="0" collapsed="false">
      <c r="B1628" s="197" t="n">
        <v>1144155696</v>
      </c>
      <c r="C1628" s="197" t="s">
        <v>3721</v>
      </c>
      <c r="D1628" s="197" t="s">
        <v>3722</v>
      </c>
      <c r="E1628" s="198" t="s">
        <v>944</v>
      </c>
      <c r="F1628" s="198" t="s">
        <v>953</v>
      </c>
      <c r="G1628" s="225" t="n">
        <v>2600900</v>
      </c>
      <c r="H1628" s="225" t="n">
        <v>500000</v>
      </c>
      <c r="I1628" s="225" t="n">
        <v>2196419</v>
      </c>
      <c r="J1628" s="198" t="n">
        <v>33</v>
      </c>
      <c r="K1628" s="198" t="n">
        <v>3</v>
      </c>
      <c r="L1628" s="226" t="n">
        <v>45520</v>
      </c>
      <c r="M1628" s="226" t="n">
        <v>43843</v>
      </c>
      <c r="N1628" s="227" t="n">
        <v>2</v>
      </c>
      <c r="O1628" s="227" t="s">
        <v>135</v>
      </c>
      <c r="P1628" s="228" t="n">
        <f aca="false">VLOOKUP(B1628,'NIVEL ENERO'!A:D,3,0)</f>
        <v>0.185283097066851</v>
      </c>
      <c r="Q1628" s="229" t="n">
        <f aca="false">VLOOKUP(B1628,'NIVEL ENERO'!A:D,4,0)</f>
        <v>596909.26</v>
      </c>
      <c r="R1628" s="186" t="str">
        <f aca="false">+PROPER(C1628&amp;" "&amp;D1628)</f>
        <v>Parra Artunduaga Andrea Estefania</v>
      </c>
      <c r="S1628" s="230" t="n">
        <f aca="false">+YEARFRAC(L1628,$S$1)</f>
        <v>1.73888888888889</v>
      </c>
      <c r="T1628" s="230" t="n">
        <f aca="false">+YEARFRAC(M1628,$S$1)</f>
        <v>6.33055555555556</v>
      </c>
      <c r="U1628" s="231" t="n">
        <f aca="false">+$I1628</f>
        <v>2196419</v>
      </c>
      <c r="V1628" s="232" t="str">
        <f aca="false">+PROPER(F1628)</f>
        <v>Soltero(A)</v>
      </c>
    </row>
    <row r="1629" customFormat="false" ht="14.25" hidden="false" customHeight="false" outlineLevel="0" collapsed="false">
      <c r="B1629" s="197" t="n">
        <v>1144155708</v>
      </c>
      <c r="C1629" s="197" t="s">
        <v>3723</v>
      </c>
      <c r="D1629" s="197" t="s">
        <v>3724</v>
      </c>
      <c r="E1629" s="198" t="s">
        <v>944</v>
      </c>
      <c r="F1629" s="198" t="s">
        <v>953</v>
      </c>
      <c r="G1629" s="225" t="n">
        <v>2893800</v>
      </c>
      <c r="H1629" s="225" t="n">
        <v>2391078</v>
      </c>
      <c r="I1629" s="225" t="n">
        <v>2332199</v>
      </c>
      <c r="J1629" s="198" t="n">
        <v>32</v>
      </c>
      <c r="K1629" s="198" t="n">
        <v>2</v>
      </c>
      <c r="L1629" s="226" t="n">
        <v>44613</v>
      </c>
      <c r="M1629" s="226" t="n">
        <v>41712</v>
      </c>
      <c r="N1629" s="227" t="n">
        <v>1</v>
      </c>
      <c r="O1629" s="227" t="s">
        <v>135</v>
      </c>
      <c r="P1629" s="228" t="n">
        <f aca="false">VLOOKUP(B1629,'NIVEL ENERO'!A:D,3,0)</f>
        <v>0.212149747706793</v>
      </c>
      <c r="Q1629" s="229" t="n">
        <f aca="false">VLOOKUP(B1629,'NIVEL ENERO'!A:D,4,0)</f>
        <v>809248.26</v>
      </c>
      <c r="R1629" s="186" t="str">
        <f aca="false">+PROPER(C1629&amp;" "&amp;D1629)</f>
        <v>Botero Rivera Maria Marcela</v>
      </c>
      <c r="S1629" s="230" t="n">
        <f aca="false">+YEARFRAC(L1629,$S$1)</f>
        <v>4.225</v>
      </c>
      <c r="T1629" s="230" t="n">
        <f aca="false">+YEARFRAC(M1629,$S$1)</f>
        <v>12.1611111111111</v>
      </c>
      <c r="U1629" s="231" t="n">
        <f aca="false">+$I1629</f>
        <v>2332199</v>
      </c>
      <c r="V1629" s="232" t="str">
        <f aca="false">+PROPER(F1629)</f>
        <v>Soltero(A)</v>
      </c>
    </row>
    <row r="1630" customFormat="false" ht="14.25" hidden="false" customHeight="false" outlineLevel="0" collapsed="false">
      <c r="B1630" s="197" t="n">
        <v>1144156406</v>
      </c>
      <c r="C1630" s="197" t="s">
        <v>3725</v>
      </c>
      <c r="D1630" s="197" t="s">
        <v>3726</v>
      </c>
      <c r="E1630" s="198" t="s">
        <v>944</v>
      </c>
      <c r="F1630" s="198" t="s">
        <v>953</v>
      </c>
      <c r="G1630" s="225" t="n">
        <v>2600900</v>
      </c>
      <c r="H1630" s="225" t="n">
        <v>4811351</v>
      </c>
      <c r="I1630" s="225" t="n">
        <v>1177150</v>
      </c>
      <c r="J1630" s="198" t="n">
        <v>32</v>
      </c>
      <c r="K1630" s="198" t="n">
        <v>2</v>
      </c>
      <c r="L1630" s="226" t="n">
        <v>44939</v>
      </c>
      <c r="M1630" s="226" t="n">
        <v>45644</v>
      </c>
      <c r="N1630" s="227" t="n">
        <v>0</v>
      </c>
      <c r="O1630" s="227" t="s">
        <v>135</v>
      </c>
      <c r="P1630" s="228" t="n">
        <f aca="false">VLOOKUP(B1630,'NIVEL ENERO'!A:D,3,0)</f>
        <v>0.463108926135297</v>
      </c>
      <c r="Q1630" s="229" t="n">
        <f aca="false">VLOOKUP(B1630,'NIVEL ENERO'!A:D,4,0)</f>
        <v>-104435.9</v>
      </c>
      <c r="R1630" s="186" t="str">
        <f aca="false">+PROPER(C1630&amp;" "&amp;D1630)</f>
        <v>Soto Marroquin Alejandro</v>
      </c>
      <c r="S1630" s="230" t="n">
        <f aca="false">+YEARFRAC(L1630,$S$1)</f>
        <v>3.33055555555556</v>
      </c>
      <c r="T1630" s="230" t="n">
        <f aca="false">+YEARFRAC(M1630,$S$1)</f>
        <v>1.4</v>
      </c>
      <c r="U1630" s="231" t="n">
        <f aca="false">+$I1630</f>
        <v>1177150</v>
      </c>
      <c r="V1630" s="232" t="str">
        <f aca="false">+PROPER(F1630)</f>
        <v>Soltero(A)</v>
      </c>
    </row>
    <row r="1631" customFormat="false" ht="14.25" hidden="false" customHeight="false" outlineLevel="0" collapsed="false">
      <c r="B1631" s="197" t="n">
        <v>1144156511</v>
      </c>
      <c r="C1631" s="197" t="s">
        <v>3727</v>
      </c>
      <c r="D1631" s="197" t="s">
        <v>3728</v>
      </c>
      <c r="E1631" s="198" t="s">
        <v>944</v>
      </c>
      <c r="F1631" s="198" t="s">
        <v>953</v>
      </c>
      <c r="G1631" s="225" t="n">
        <v>4705400</v>
      </c>
      <c r="H1631" s="225" t="n">
        <v>7335966</v>
      </c>
      <c r="I1631" s="225" t="n">
        <v>3837345</v>
      </c>
      <c r="J1631" s="198" t="n">
        <v>32</v>
      </c>
      <c r="K1631" s="198" t="n">
        <v>1</v>
      </c>
      <c r="L1631" s="226" t="n">
        <v>43928</v>
      </c>
      <c r="M1631" s="226" t="n">
        <v>41201</v>
      </c>
      <c r="N1631" s="227" t="n">
        <v>2</v>
      </c>
      <c r="O1631" s="227" t="s">
        <v>135</v>
      </c>
      <c r="P1631" s="228" t="n">
        <f aca="false">VLOOKUP(B1631,'NIVEL ENERO'!A:D,3,0)</f>
        <v>0.264407678866602</v>
      </c>
      <c r="Q1631" s="229" t="n">
        <f aca="false">VLOOKUP(B1631,'NIVEL ENERO'!A:D,4,0)</f>
        <v>976023.94</v>
      </c>
      <c r="R1631" s="186" t="str">
        <f aca="false">+PROPER(C1631&amp;" "&amp;D1631)</f>
        <v>Villegas Tegue Hjonatan</v>
      </c>
      <c r="S1631" s="230" t="n">
        <f aca="false">+YEARFRAC(L1631,$S$1)</f>
        <v>6.09722222222222</v>
      </c>
      <c r="T1631" s="230" t="n">
        <f aca="false">+YEARFRAC(M1631,$S$1)</f>
        <v>13.5638888888889</v>
      </c>
      <c r="U1631" s="231" t="n">
        <f aca="false">+$I1631</f>
        <v>3837345</v>
      </c>
      <c r="V1631" s="232" t="str">
        <f aca="false">+PROPER(F1631)</f>
        <v>Soltero(A)</v>
      </c>
    </row>
    <row r="1632" customFormat="false" ht="14.25" hidden="false" customHeight="false" outlineLevel="0" collapsed="false">
      <c r="B1632" s="197" t="n">
        <v>1144157341</v>
      </c>
      <c r="C1632" s="197" t="s">
        <v>3729</v>
      </c>
      <c r="D1632" s="197" t="s">
        <v>1661</v>
      </c>
      <c r="E1632" s="198" t="s">
        <v>944</v>
      </c>
      <c r="F1632" s="198" t="s">
        <v>953</v>
      </c>
      <c r="G1632" s="225" t="n">
        <v>2893800</v>
      </c>
      <c r="H1632" s="225" t="n">
        <v>1401699</v>
      </c>
      <c r="I1632" s="225" t="n">
        <v>2176357</v>
      </c>
      <c r="J1632" s="198" t="n">
        <v>32</v>
      </c>
      <c r="K1632" s="198" t="n">
        <v>2</v>
      </c>
      <c r="L1632" s="226" t="n">
        <v>45051</v>
      </c>
      <c r="M1632" s="226" t="n">
        <v>44764</v>
      </c>
      <c r="N1632" s="227" t="n">
        <v>0</v>
      </c>
      <c r="O1632" s="227" t="s">
        <v>135</v>
      </c>
      <c r="P1632" s="228" t="n">
        <f aca="false">VLOOKUP(B1632,'NIVEL ENERO'!A:D,3,0)</f>
        <v>0.150487672717421</v>
      </c>
      <c r="Q1632" s="229" t="n">
        <f aca="false">VLOOKUP(B1632,'NIVEL ENERO'!A:D,4,0)</f>
        <v>1067719.8</v>
      </c>
      <c r="R1632" s="186" t="str">
        <f aca="false">+PROPER(C1632&amp;" "&amp;D1632)</f>
        <v>Jaramillo Gutierrez Maria Alejandra</v>
      </c>
      <c r="S1632" s="230" t="n">
        <f aca="false">+YEARFRAC(L1632,$S$1)</f>
        <v>3.01944444444444</v>
      </c>
      <c r="T1632" s="230" t="n">
        <f aca="false">+YEARFRAC(M1632,$S$1)</f>
        <v>3.80555555555556</v>
      </c>
      <c r="U1632" s="231" t="n">
        <f aca="false">+$I1632</f>
        <v>2176357</v>
      </c>
      <c r="V1632" s="232" t="str">
        <f aca="false">+PROPER(F1632)</f>
        <v>Soltero(A)</v>
      </c>
    </row>
    <row r="1633" customFormat="false" ht="14.25" hidden="false" customHeight="false" outlineLevel="0" collapsed="false">
      <c r="B1633" s="197" t="n">
        <v>1144157555</v>
      </c>
      <c r="C1633" s="197" t="s">
        <v>3730</v>
      </c>
      <c r="D1633" s="197" t="s">
        <v>3731</v>
      </c>
      <c r="E1633" s="198" t="s">
        <v>944</v>
      </c>
      <c r="F1633" s="198" t="s">
        <v>953</v>
      </c>
      <c r="G1633" s="225" t="n">
        <v>2600900</v>
      </c>
      <c r="H1633" s="225" t="n">
        <v>1910716</v>
      </c>
      <c r="I1633" s="225" t="n">
        <v>1079665</v>
      </c>
      <c r="J1633" s="198" t="n">
        <v>32</v>
      </c>
      <c r="K1633" s="198" t="n">
        <v>1</v>
      </c>
      <c r="L1633" s="226" t="n">
        <v>44631</v>
      </c>
      <c r="M1633" s="226" t="n">
        <v>42506</v>
      </c>
      <c r="N1633" s="227" t="n">
        <v>2</v>
      </c>
      <c r="O1633" s="227" t="s">
        <v>135</v>
      </c>
      <c r="P1633" s="228" t="n">
        <f aca="false">VLOOKUP(B1633,'NIVEL ENERO'!A:D,3,0)</f>
        <v>0.305740755409779</v>
      </c>
      <c r="Q1633" s="229" t="n">
        <f aca="false">VLOOKUP(B1633,'NIVEL ENERO'!A:D,4,0)</f>
        <v>434653.44</v>
      </c>
      <c r="R1633" s="186" t="str">
        <f aca="false">+PROPER(C1633&amp;" "&amp;D1633)</f>
        <v>Aguirre Cortes Julieth Katherine</v>
      </c>
      <c r="S1633" s="230" t="n">
        <f aca="false">+YEARFRAC(L1633,$S$1)</f>
        <v>4.16944444444444</v>
      </c>
      <c r="T1633" s="230" t="n">
        <f aca="false">+YEARFRAC(M1633,$S$1)</f>
        <v>9.98888888888889</v>
      </c>
      <c r="U1633" s="231" t="n">
        <f aca="false">+$I1633</f>
        <v>1079665</v>
      </c>
      <c r="V1633" s="232" t="str">
        <f aca="false">+PROPER(F1633)</f>
        <v>Soltero(A)</v>
      </c>
    </row>
    <row r="1634" customFormat="false" ht="14.25" hidden="false" customHeight="false" outlineLevel="0" collapsed="false">
      <c r="B1634" s="197" t="n">
        <v>1144157995</v>
      </c>
      <c r="C1634" s="197" t="s">
        <v>3732</v>
      </c>
      <c r="D1634" s="197" t="s">
        <v>3733</v>
      </c>
      <c r="E1634" s="198" t="s">
        <v>944</v>
      </c>
      <c r="F1634" s="198" t="s">
        <v>948</v>
      </c>
      <c r="G1634" s="225" t="n">
        <v>2893800</v>
      </c>
      <c r="H1634" s="225" t="n">
        <v>1456149</v>
      </c>
      <c r="I1634" s="225"/>
      <c r="J1634" s="198" t="n">
        <v>32</v>
      </c>
      <c r="K1634" s="198" t="n">
        <v>2</v>
      </c>
      <c r="L1634" s="226" t="n">
        <v>44938</v>
      </c>
      <c r="M1634" s="226" t="n">
        <v>43514</v>
      </c>
      <c r="N1634" s="227" t="n">
        <v>0</v>
      </c>
      <c r="O1634" s="227" t="s">
        <v>135</v>
      </c>
      <c r="P1634" s="228" t="n">
        <f aca="false">VLOOKUP(B1634,'NIVEL ENERO'!A:D,3,0)</f>
        <v>0.295314692777674</v>
      </c>
      <c r="Q1634" s="229" t="n">
        <f aca="false">VLOOKUP(B1634,'NIVEL ENERO'!A:D,4,0)</f>
        <v>467333</v>
      </c>
      <c r="R1634" s="186" t="str">
        <f aca="false">+PROPER(C1634&amp;" "&amp;D1634)</f>
        <v>Naranjo Pelaez Sandra Ximena</v>
      </c>
      <c r="S1634" s="230" t="n">
        <f aca="false">+YEARFRAC(L1634,$S$1)</f>
        <v>3.33333333333333</v>
      </c>
      <c r="T1634" s="230" t="n">
        <f aca="false">+YEARFRAC(M1634,$S$1)</f>
        <v>7.23333333333333</v>
      </c>
      <c r="U1634" s="231" t="n">
        <f aca="false">+$I1634</f>
        <v>0</v>
      </c>
      <c r="V1634" s="232" t="str">
        <f aca="false">+PROPER(F1634)</f>
        <v>Casado(A)</v>
      </c>
    </row>
    <row r="1635" customFormat="false" ht="14.25" hidden="false" customHeight="false" outlineLevel="0" collapsed="false">
      <c r="B1635" s="197" t="n">
        <v>1144158585</v>
      </c>
      <c r="C1635" s="197" t="s">
        <v>3734</v>
      </c>
      <c r="D1635" s="197" t="s">
        <v>2813</v>
      </c>
      <c r="E1635" s="198" t="s">
        <v>944</v>
      </c>
      <c r="F1635" s="198" t="s">
        <v>945</v>
      </c>
      <c r="G1635" s="225" t="n">
        <v>2600900</v>
      </c>
      <c r="H1635" s="225" t="n">
        <v>3011765</v>
      </c>
      <c r="I1635" s="225"/>
      <c r="J1635" s="198" t="n">
        <v>32</v>
      </c>
      <c r="K1635" s="198" t="n">
        <v>2</v>
      </c>
      <c r="L1635" s="226" t="n">
        <v>44733</v>
      </c>
      <c r="M1635" s="226" t="n">
        <v>43358</v>
      </c>
      <c r="N1635" s="227" t="n">
        <v>3</v>
      </c>
      <c r="O1635" s="227" t="s">
        <v>135</v>
      </c>
      <c r="P1635" s="228" t="n">
        <f aca="false">VLOOKUP(B1635,'NIVEL ENERO'!A:D,3,0)</f>
        <v>0.403727189110641</v>
      </c>
      <c r="Q1635" s="229" t="n">
        <f aca="false">VLOOKUP(B1635,'NIVEL ENERO'!A:D,4,0)</f>
        <v>66443.3333333335</v>
      </c>
      <c r="R1635" s="186" t="str">
        <f aca="false">+PROPER(C1635&amp;" "&amp;D1635)</f>
        <v>Mosquera Gamboa Tatiana</v>
      </c>
      <c r="S1635" s="230" t="n">
        <f aca="false">+YEARFRAC(L1635,$S$1)</f>
        <v>3.89166666666667</v>
      </c>
      <c r="T1635" s="230" t="n">
        <f aca="false">+YEARFRAC(M1635,$S$1)</f>
        <v>7.65833333333333</v>
      </c>
      <c r="U1635" s="231" t="n">
        <f aca="false">+$I1635</f>
        <v>0</v>
      </c>
      <c r="V1635" s="232" t="str">
        <f aca="false">+PROPER(F1635)</f>
        <v>Union Libre</v>
      </c>
    </row>
    <row r="1636" customFormat="false" ht="14.25" hidden="false" customHeight="false" outlineLevel="0" collapsed="false">
      <c r="B1636" s="197" t="n">
        <v>1144158639</v>
      </c>
      <c r="C1636" s="197" t="s">
        <v>3735</v>
      </c>
      <c r="D1636" s="197" t="s">
        <v>1434</v>
      </c>
      <c r="E1636" s="198" t="s">
        <v>944</v>
      </c>
      <c r="F1636" s="198" t="s">
        <v>948</v>
      </c>
      <c r="G1636" s="225" t="n">
        <v>5418800</v>
      </c>
      <c r="H1636" s="225" t="n">
        <v>1557164</v>
      </c>
      <c r="I1636" s="225" t="n">
        <v>0</v>
      </c>
      <c r="J1636" s="198" t="n">
        <v>32</v>
      </c>
      <c r="K1636" s="198" t="n">
        <v>2</v>
      </c>
      <c r="L1636" s="226" t="n">
        <v>44839</v>
      </c>
      <c r="M1636" s="226" t="n">
        <v>42325</v>
      </c>
      <c r="N1636" s="227" t="n">
        <v>2</v>
      </c>
      <c r="O1636" s="227" t="s">
        <v>135</v>
      </c>
      <c r="P1636" s="228" t="n">
        <f aca="false">VLOOKUP(B1636,'NIVEL ENERO'!A:D,3,0)</f>
        <v>0.264384667742683</v>
      </c>
      <c r="Q1636" s="229" t="n">
        <f aca="false">VLOOKUP(B1636,'NIVEL ENERO'!A:D,4,0)</f>
        <v>883639.1</v>
      </c>
      <c r="R1636" s="186" t="str">
        <f aca="false">+PROPER(C1636&amp;" "&amp;D1636)</f>
        <v>Gonzalez Nieto Diana Marcela</v>
      </c>
      <c r="S1636" s="230" t="n">
        <f aca="false">+YEARFRAC(L1636,$S$1)</f>
        <v>3.60277777777778</v>
      </c>
      <c r="T1636" s="230" t="n">
        <f aca="false">+YEARFRAC(M1636,$S$1)</f>
        <v>10.4861111111111</v>
      </c>
      <c r="U1636" s="231" t="n">
        <f aca="false">+$I1636</f>
        <v>0</v>
      </c>
      <c r="V1636" s="232" t="str">
        <f aca="false">+PROPER(F1636)</f>
        <v>Casado(A)</v>
      </c>
    </row>
    <row r="1637" customFormat="false" ht="14.25" hidden="false" customHeight="false" outlineLevel="0" collapsed="false">
      <c r="B1637" s="197" t="n">
        <v>1144159356</v>
      </c>
      <c r="C1637" s="197" t="s">
        <v>3736</v>
      </c>
      <c r="D1637" s="197" t="s">
        <v>1184</v>
      </c>
      <c r="E1637" s="198" t="s">
        <v>944</v>
      </c>
      <c r="F1637" s="198" t="s">
        <v>953</v>
      </c>
      <c r="G1637" s="225" t="n">
        <v>1991000</v>
      </c>
      <c r="H1637" s="225" t="n">
        <v>1607671</v>
      </c>
      <c r="I1637" s="225" t="n">
        <v>3599787</v>
      </c>
      <c r="J1637" s="198" t="n">
        <v>32</v>
      </c>
      <c r="K1637" s="198" t="n">
        <v>1</v>
      </c>
      <c r="L1637" s="226" t="n">
        <v>44838</v>
      </c>
      <c r="M1637" s="226" t="n">
        <v>44348</v>
      </c>
      <c r="N1637" s="227" t="n">
        <v>2</v>
      </c>
      <c r="O1637" s="227" t="s">
        <v>135</v>
      </c>
      <c r="P1637" s="228" t="n">
        <f aca="false">VLOOKUP(B1637,'NIVEL ENERO'!A:D,3,0)</f>
        <v>0.464171772978403</v>
      </c>
      <c r="Q1637" s="229" t="n">
        <f aca="false">VLOOKUP(B1637,'NIVEL ENERO'!A:D,4,0)</f>
        <v>-87946</v>
      </c>
      <c r="R1637" s="186" t="str">
        <f aca="false">+PROPER(C1637&amp;" "&amp;D1637)</f>
        <v>Lucumi Munoz Paola Andrea</v>
      </c>
      <c r="S1637" s="230" t="n">
        <f aca="false">+YEARFRAC(L1637,$S$1)</f>
        <v>3.60555555555556</v>
      </c>
      <c r="T1637" s="230" t="n">
        <f aca="false">+YEARFRAC(M1637,$S$1)</f>
        <v>4.94722222222222</v>
      </c>
      <c r="U1637" s="231" t="n">
        <f aca="false">+$I1637</f>
        <v>3599787</v>
      </c>
      <c r="V1637" s="232" t="str">
        <f aca="false">+PROPER(F1637)</f>
        <v>Soltero(A)</v>
      </c>
    </row>
    <row r="1638" customFormat="false" ht="14.25" hidden="false" customHeight="false" outlineLevel="0" collapsed="false">
      <c r="B1638" s="197" t="n">
        <v>1144160285</v>
      </c>
      <c r="C1638" s="197" t="s">
        <v>3737</v>
      </c>
      <c r="D1638" s="197" t="s">
        <v>3738</v>
      </c>
      <c r="E1638" s="198" t="s">
        <v>944</v>
      </c>
      <c r="F1638" s="198" t="s">
        <v>945</v>
      </c>
      <c r="G1638" s="225" t="n">
        <v>2893800</v>
      </c>
      <c r="H1638" s="225" t="n">
        <v>3590696</v>
      </c>
      <c r="I1638" s="225" t="n">
        <v>0</v>
      </c>
      <c r="J1638" s="198" t="n">
        <v>32</v>
      </c>
      <c r="K1638" s="198" t="n">
        <v>1</v>
      </c>
      <c r="L1638" s="226" t="n">
        <v>43420</v>
      </c>
      <c r="M1638" s="226" t="n">
        <v>42109</v>
      </c>
      <c r="N1638" s="227" t="n">
        <v>4</v>
      </c>
      <c r="O1638" s="227" t="s">
        <v>135</v>
      </c>
      <c r="P1638" s="228" t="n">
        <f aca="false">VLOOKUP(B1638,'NIVEL ENERO'!A:D,3,0)</f>
        <v>0.310623288079039</v>
      </c>
      <c r="Q1638" s="229" t="n">
        <f aca="false">VLOOKUP(B1638,'NIVEL ENERO'!A:D,4,0)</f>
        <v>446399.94</v>
      </c>
      <c r="R1638" s="186" t="str">
        <f aca="false">+PROPER(C1638&amp;" "&amp;D1638)</f>
        <v>Narvaez Caicedo Nestor Stiven</v>
      </c>
      <c r="S1638" s="230" t="n">
        <f aca="false">+YEARFRAC(L1638,$S$1)</f>
        <v>7.48888888888889</v>
      </c>
      <c r="T1638" s="230" t="n">
        <f aca="false">+YEARFRAC(M1638,$S$1)</f>
        <v>11.075</v>
      </c>
      <c r="U1638" s="231" t="n">
        <f aca="false">+$I1638</f>
        <v>0</v>
      </c>
      <c r="V1638" s="232" t="str">
        <f aca="false">+PROPER(F1638)</f>
        <v>Union Libre</v>
      </c>
    </row>
    <row r="1639" customFormat="false" ht="14.25" hidden="false" customHeight="false" outlineLevel="0" collapsed="false">
      <c r="B1639" s="197" t="n">
        <v>1144160528</v>
      </c>
      <c r="C1639" s="197" t="s">
        <v>3739</v>
      </c>
      <c r="D1639" s="197" t="s">
        <v>2619</v>
      </c>
      <c r="E1639" s="198" t="s">
        <v>944</v>
      </c>
      <c r="F1639" s="198" t="s">
        <v>953</v>
      </c>
      <c r="G1639" s="225" t="n">
        <v>1918500</v>
      </c>
      <c r="H1639" s="225" t="n">
        <v>455000</v>
      </c>
      <c r="I1639" s="225"/>
      <c r="J1639" s="198" t="n">
        <v>32</v>
      </c>
      <c r="K1639" s="198" t="n">
        <v>2</v>
      </c>
      <c r="L1639" s="226" t="n">
        <v>45448</v>
      </c>
      <c r="M1639" s="226" t="n">
        <v>44502</v>
      </c>
      <c r="N1639" s="227" t="n">
        <v>0</v>
      </c>
      <c r="O1639" s="227" t="s">
        <v>135</v>
      </c>
      <c r="P1639" s="228" t="n">
        <f aca="false">VLOOKUP(B1639,'NIVEL ENERO'!A:D,3,0)</f>
        <v>0.389763721657545</v>
      </c>
      <c r="Q1639" s="229" t="n">
        <f aca="false">VLOOKUP(B1639,'NIVEL ENERO'!A:D,4,0)</f>
        <v>138115</v>
      </c>
      <c r="R1639" s="186" t="str">
        <f aca="false">+PROPER(C1639&amp;" "&amp;D1639)</f>
        <v>Duque Ayala Stephany</v>
      </c>
      <c r="S1639" s="230" t="n">
        <f aca="false">+YEARFRAC(L1639,$S$1)</f>
        <v>1.93611111111111</v>
      </c>
      <c r="T1639" s="230" t="n">
        <f aca="false">+YEARFRAC(M1639,$S$1)</f>
        <v>4.52777777777778</v>
      </c>
      <c r="U1639" s="231" t="n">
        <f aca="false">+$I1639</f>
        <v>0</v>
      </c>
      <c r="V1639" s="232" t="str">
        <f aca="false">+PROPER(F1639)</f>
        <v>Soltero(A)</v>
      </c>
    </row>
    <row r="1640" customFormat="false" ht="14.25" hidden="false" customHeight="false" outlineLevel="0" collapsed="false">
      <c r="B1640" s="197" t="n">
        <v>1144161138</v>
      </c>
      <c r="C1640" s="197" t="s">
        <v>3740</v>
      </c>
      <c r="D1640" s="197" t="s">
        <v>3741</v>
      </c>
      <c r="E1640" s="198" t="s">
        <v>944</v>
      </c>
      <c r="F1640" s="198" t="s">
        <v>953</v>
      </c>
      <c r="G1640" s="225" t="n">
        <v>2600900</v>
      </c>
      <c r="H1640" s="225" t="n">
        <v>1680232</v>
      </c>
      <c r="I1640" s="225" t="n">
        <v>0</v>
      </c>
      <c r="J1640" s="198" t="n">
        <v>32</v>
      </c>
      <c r="K1640" s="198" t="n">
        <v>2</v>
      </c>
      <c r="L1640" s="226" t="n">
        <v>44816</v>
      </c>
      <c r="M1640" s="226" t="n">
        <v>44454</v>
      </c>
      <c r="N1640" s="227" t="n">
        <v>2</v>
      </c>
      <c r="O1640" s="227" t="s">
        <v>135</v>
      </c>
      <c r="P1640" s="228" t="n">
        <f aca="false">VLOOKUP(B1640,'NIVEL ENERO'!A:D,3,0)</f>
        <v>0.137991848975355</v>
      </c>
      <c r="Q1640" s="229" t="n">
        <f aca="false">VLOOKUP(B1640,'NIVEL ENERO'!A:D,4,0)</f>
        <v>733475</v>
      </c>
      <c r="R1640" s="186" t="str">
        <f aca="false">+PROPER(C1640&amp;" "&amp;D1640)</f>
        <v>Santamaria Ayala Jenifer Andrea</v>
      </c>
      <c r="S1640" s="230" t="n">
        <f aca="false">+YEARFRAC(L1640,$S$1)</f>
        <v>3.66666666666667</v>
      </c>
      <c r="T1640" s="230" t="n">
        <f aca="false">+YEARFRAC(M1640,$S$1)</f>
        <v>4.65833333333333</v>
      </c>
      <c r="U1640" s="231" t="n">
        <f aca="false">+$I1640</f>
        <v>0</v>
      </c>
      <c r="V1640" s="232" t="str">
        <f aca="false">+PROPER(F1640)</f>
        <v>Soltero(A)</v>
      </c>
    </row>
    <row r="1641" customFormat="false" ht="14.25" hidden="false" customHeight="false" outlineLevel="0" collapsed="false">
      <c r="B1641" s="197" t="n">
        <v>1144161155</v>
      </c>
      <c r="C1641" s="197" t="s">
        <v>3742</v>
      </c>
      <c r="D1641" s="197" t="s">
        <v>3743</v>
      </c>
      <c r="E1641" s="198" t="s">
        <v>944</v>
      </c>
      <c r="F1641" s="198" t="s">
        <v>953</v>
      </c>
      <c r="G1641" s="225" t="n">
        <v>1991000</v>
      </c>
      <c r="H1641" s="225" t="n">
        <v>1607671</v>
      </c>
      <c r="I1641" s="225" t="n">
        <v>0</v>
      </c>
      <c r="J1641" s="198" t="n">
        <v>32</v>
      </c>
      <c r="K1641" s="198" t="n">
        <v>1</v>
      </c>
      <c r="L1641" s="226" t="n">
        <v>44852</v>
      </c>
      <c r="M1641" s="226" t="n">
        <v>44186</v>
      </c>
      <c r="N1641" s="227" t="n">
        <v>0</v>
      </c>
      <c r="O1641" s="227" t="s">
        <v>135</v>
      </c>
      <c r="P1641" s="228" t="n">
        <f aca="false">VLOOKUP(B1641,'NIVEL ENERO'!A:D,3,0)</f>
        <v>0.387960321446509</v>
      </c>
      <c r="Q1641" s="229" t="n">
        <f aca="false">VLOOKUP(B1641,'NIVEL ENERO'!A:D,4,0)</f>
        <v>63791</v>
      </c>
      <c r="R1641" s="186" t="str">
        <f aca="false">+PROPER(C1641&amp;" "&amp;D1641)</f>
        <v>Nunez Torres Douglas Alberto</v>
      </c>
      <c r="S1641" s="230" t="n">
        <f aca="false">+YEARFRAC(L1641,$S$1)</f>
        <v>3.56666666666667</v>
      </c>
      <c r="T1641" s="230" t="n">
        <f aca="false">+YEARFRAC(M1641,$S$1)</f>
        <v>5.39166666666667</v>
      </c>
      <c r="U1641" s="231" t="n">
        <f aca="false">+$I1641</f>
        <v>0</v>
      </c>
      <c r="V1641" s="232" t="str">
        <f aca="false">+PROPER(F1641)</f>
        <v>Soltero(A)</v>
      </c>
    </row>
    <row r="1642" customFormat="false" ht="14.25" hidden="false" customHeight="false" outlineLevel="0" collapsed="false">
      <c r="B1642" s="197" t="n">
        <v>1144161715</v>
      </c>
      <c r="C1642" s="197" t="s">
        <v>3744</v>
      </c>
      <c r="D1642" s="197" t="s">
        <v>3662</v>
      </c>
      <c r="E1642" s="198" t="s">
        <v>944</v>
      </c>
      <c r="F1642" s="198" t="s">
        <v>945</v>
      </c>
      <c r="G1642" s="225" t="n">
        <v>2600900</v>
      </c>
      <c r="H1642" s="225" t="n">
        <v>2415791</v>
      </c>
      <c r="I1642" s="225" t="n">
        <v>4430786</v>
      </c>
      <c r="J1642" s="198" t="n">
        <v>33</v>
      </c>
      <c r="K1642" s="198" t="n">
        <v>2</v>
      </c>
      <c r="L1642" s="226" t="n">
        <v>44460</v>
      </c>
      <c r="M1642" s="226" t="n">
        <v>42716</v>
      </c>
      <c r="N1642" s="227" t="n">
        <v>1</v>
      </c>
      <c r="O1642" s="227" t="s">
        <v>135</v>
      </c>
      <c r="P1642" s="228" t="n">
        <f aca="false">VLOOKUP(B1642,'NIVEL ENERO'!A:D,3,0)</f>
        <v>0.410104472615139</v>
      </c>
      <c r="Q1642" s="229" t="n">
        <f aca="false">VLOOKUP(B1642,'NIVEL ENERO'!A:D,4,0)</f>
        <v>30828.7799999998</v>
      </c>
      <c r="R1642" s="186" t="str">
        <f aca="false">+PROPER(C1642&amp;" "&amp;D1642)</f>
        <v>Gomez Garcia Manuel Alejandro</v>
      </c>
      <c r="S1642" s="230" t="n">
        <f aca="false">+YEARFRAC(L1642,$S$1)</f>
        <v>4.64166666666667</v>
      </c>
      <c r="T1642" s="230" t="n">
        <f aca="false">+YEARFRAC(M1642,$S$1)</f>
        <v>9.41666666666667</v>
      </c>
      <c r="U1642" s="231" t="n">
        <f aca="false">+$I1642</f>
        <v>4430786</v>
      </c>
      <c r="V1642" s="232" t="str">
        <f aca="false">+PROPER(F1642)</f>
        <v>Union Libre</v>
      </c>
    </row>
    <row r="1643" customFormat="false" ht="14.25" hidden="false" customHeight="false" outlineLevel="0" collapsed="false">
      <c r="B1643" s="197" t="n">
        <v>1144163128</v>
      </c>
      <c r="C1643" s="197" t="s">
        <v>3745</v>
      </c>
      <c r="D1643" s="197" t="s">
        <v>3746</v>
      </c>
      <c r="E1643" s="198" t="s">
        <v>944</v>
      </c>
      <c r="F1643" s="198" t="s">
        <v>953</v>
      </c>
      <c r="G1643" s="225" t="n">
        <v>2893800</v>
      </c>
      <c r="H1643" s="225" t="n">
        <v>1120080</v>
      </c>
      <c r="I1643" s="225" t="n">
        <v>221751</v>
      </c>
      <c r="J1643" s="198" t="n">
        <v>32</v>
      </c>
      <c r="K1643" s="198" t="n">
        <v>2</v>
      </c>
      <c r="L1643" s="226" t="n">
        <v>45249</v>
      </c>
      <c r="M1643" s="226" t="n">
        <v>44714</v>
      </c>
      <c r="N1643" s="227" t="n">
        <v>0</v>
      </c>
      <c r="O1643" s="227" t="s">
        <v>135</v>
      </c>
      <c r="P1643" s="228" t="n">
        <f aca="false">VLOOKUP(B1643,'NIVEL ENERO'!A:D,3,0)</f>
        <v>0.173678368876458</v>
      </c>
      <c r="Q1643" s="229" t="n">
        <f aca="false">VLOOKUP(B1643,'NIVEL ENERO'!A:D,4,0)</f>
        <v>917453.16</v>
      </c>
      <c r="R1643" s="186" t="str">
        <f aca="false">+PROPER(C1643&amp;" "&amp;D1643)</f>
        <v>Restrepo Osorio Yessica Nathalia</v>
      </c>
      <c r="S1643" s="230" t="n">
        <f aca="false">+YEARFRAC(L1643,$S$1)</f>
        <v>2.48055555555556</v>
      </c>
      <c r="T1643" s="230" t="n">
        <f aca="false">+YEARFRAC(M1643,$S$1)</f>
        <v>3.94444444444444</v>
      </c>
      <c r="U1643" s="231" t="n">
        <f aca="false">+$I1643</f>
        <v>221751</v>
      </c>
      <c r="V1643" s="232" t="str">
        <f aca="false">+PROPER(F1643)</f>
        <v>Soltero(A)</v>
      </c>
    </row>
    <row r="1644" customFormat="false" ht="14.25" hidden="false" customHeight="false" outlineLevel="0" collapsed="false">
      <c r="B1644" s="197" t="n">
        <v>1144163849</v>
      </c>
      <c r="C1644" s="197" t="s">
        <v>3747</v>
      </c>
      <c r="D1644" s="197" t="s">
        <v>1434</v>
      </c>
      <c r="E1644" s="198" t="s">
        <v>944</v>
      </c>
      <c r="F1644" s="198" t="s">
        <v>953</v>
      </c>
      <c r="G1644" s="225" t="n">
        <v>4870200</v>
      </c>
      <c r="H1644" s="225" t="n">
        <v>2006719</v>
      </c>
      <c r="I1644" s="225" t="n">
        <v>1892327</v>
      </c>
      <c r="J1644" s="198" t="n">
        <v>32</v>
      </c>
      <c r="K1644" s="198" t="n">
        <v>2</v>
      </c>
      <c r="L1644" s="226" t="n">
        <v>45051</v>
      </c>
      <c r="M1644" s="226" t="n">
        <v>44105</v>
      </c>
      <c r="N1644" s="227" t="n">
        <v>0</v>
      </c>
      <c r="O1644" s="227" t="s">
        <v>135</v>
      </c>
      <c r="P1644" s="228" t="n">
        <f aca="false">VLOOKUP(B1644,'NIVEL ENERO'!A:D,3,0)</f>
        <v>0.349279647885903</v>
      </c>
      <c r="Q1644" s="229" t="n">
        <f aca="false">VLOOKUP(B1644,'NIVEL ENERO'!A:D,4,0)</f>
        <v>476500.72</v>
      </c>
      <c r="R1644" s="186" t="str">
        <f aca="false">+PROPER(C1644&amp;" "&amp;D1644)</f>
        <v>Ocampo Patino Diana Marcela</v>
      </c>
      <c r="S1644" s="230" t="n">
        <f aca="false">+YEARFRAC(L1644,$S$1)</f>
        <v>3.01944444444444</v>
      </c>
      <c r="T1644" s="230" t="n">
        <f aca="false">+YEARFRAC(M1644,$S$1)</f>
        <v>5.61388888888889</v>
      </c>
      <c r="U1644" s="231" t="n">
        <f aca="false">+$I1644</f>
        <v>1892327</v>
      </c>
      <c r="V1644" s="232" t="str">
        <f aca="false">+PROPER(F1644)</f>
        <v>Soltero(A)</v>
      </c>
    </row>
    <row r="1645" customFormat="false" ht="14.25" hidden="false" customHeight="false" outlineLevel="0" collapsed="false">
      <c r="B1645" s="197" t="n">
        <v>1144164907</v>
      </c>
      <c r="C1645" s="197" t="s">
        <v>3748</v>
      </c>
      <c r="D1645" s="197" t="s">
        <v>1691</v>
      </c>
      <c r="E1645" s="198" t="s">
        <v>944</v>
      </c>
      <c r="F1645" s="198" t="s">
        <v>953</v>
      </c>
      <c r="G1645" s="225" t="n">
        <v>5418800</v>
      </c>
      <c r="H1645" s="225" t="n">
        <v>8364548</v>
      </c>
      <c r="I1645" s="225" t="n">
        <v>14345889</v>
      </c>
      <c r="J1645" s="198" t="n">
        <v>32</v>
      </c>
      <c r="K1645" s="198" t="n">
        <v>4</v>
      </c>
      <c r="L1645" s="226" t="n">
        <v>43419</v>
      </c>
      <c r="M1645" s="226" t="n">
        <v>43344</v>
      </c>
      <c r="N1645" s="227" t="n">
        <v>3</v>
      </c>
      <c r="O1645" s="227" t="s">
        <v>135</v>
      </c>
      <c r="P1645" s="228" t="n">
        <f aca="false">VLOOKUP(B1645,'NIVEL ENERO'!A:D,3,0)</f>
        <v>0.339087251790064</v>
      </c>
      <c r="Q1645" s="229" t="n">
        <f aca="false">VLOOKUP(B1645,'NIVEL ENERO'!A:D,4,0)</f>
        <v>438450</v>
      </c>
      <c r="R1645" s="186" t="str">
        <f aca="false">+PROPER(C1645&amp;" "&amp;D1645)</f>
        <v>Navarrete Oliva Vanessa</v>
      </c>
      <c r="S1645" s="230" t="n">
        <f aca="false">+YEARFRAC(L1645,$S$1)</f>
        <v>7.49166666666667</v>
      </c>
      <c r="T1645" s="230" t="n">
        <f aca="false">+YEARFRAC(M1645,$S$1)</f>
        <v>7.69722222222222</v>
      </c>
      <c r="U1645" s="231" t="n">
        <f aca="false">+$I1645</f>
        <v>14345889</v>
      </c>
      <c r="V1645" s="232" t="str">
        <f aca="false">+PROPER(F1645)</f>
        <v>Soltero(A)</v>
      </c>
    </row>
    <row r="1646" customFormat="false" ht="14.25" hidden="false" customHeight="false" outlineLevel="0" collapsed="false">
      <c r="B1646" s="197" t="n">
        <v>1144165348</v>
      </c>
      <c r="C1646" s="197" t="s">
        <v>3749</v>
      </c>
      <c r="D1646" s="197" t="s">
        <v>1917</v>
      </c>
      <c r="E1646" s="198" t="s">
        <v>944</v>
      </c>
      <c r="F1646" s="198" t="s">
        <v>953</v>
      </c>
      <c r="G1646" s="225" t="n">
        <v>4705400</v>
      </c>
      <c r="H1646" s="225" t="n">
        <v>5812910</v>
      </c>
      <c r="I1646" s="225" t="n">
        <v>10202143</v>
      </c>
      <c r="J1646" s="198" t="n">
        <v>31</v>
      </c>
      <c r="K1646" s="198" t="n">
        <v>1</v>
      </c>
      <c r="L1646" s="226" t="n">
        <v>43693</v>
      </c>
      <c r="M1646" s="226" t="n">
        <v>42955</v>
      </c>
      <c r="N1646" s="227" t="n">
        <v>1</v>
      </c>
      <c r="O1646" s="227" t="s">
        <v>135</v>
      </c>
      <c r="P1646" s="228" t="n">
        <f aca="false">VLOOKUP(B1646,'NIVEL ENERO'!A:D,3,0)</f>
        <v>0.367923662175373</v>
      </c>
      <c r="Q1646" s="229" t="n">
        <f aca="false">VLOOKUP(B1646,'NIVEL ENERO'!A:D,4,0)</f>
        <v>122520</v>
      </c>
      <c r="R1646" s="186" t="str">
        <f aca="false">+PROPER(C1646&amp;" "&amp;D1646)</f>
        <v>Ruiz Perez Luz Elena</v>
      </c>
      <c r="S1646" s="230" t="n">
        <f aca="false">+YEARFRAC(L1646,$S$1)</f>
        <v>6.73888888888889</v>
      </c>
      <c r="T1646" s="230" t="n">
        <f aca="false">+YEARFRAC(M1646,$S$1)</f>
        <v>8.76111111111111</v>
      </c>
      <c r="U1646" s="231" t="n">
        <f aca="false">+$I1646</f>
        <v>10202143</v>
      </c>
      <c r="V1646" s="232" t="str">
        <f aca="false">+PROPER(F1646)</f>
        <v>Soltero(A)</v>
      </c>
    </row>
    <row r="1647" customFormat="false" ht="14.25" hidden="false" customHeight="false" outlineLevel="0" collapsed="false">
      <c r="B1647" s="197" t="n">
        <v>1144165375</v>
      </c>
      <c r="C1647" s="197" t="s">
        <v>3750</v>
      </c>
      <c r="D1647" s="197" t="s">
        <v>3751</v>
      </c>
      <c r="E1647" s="198" t="s">
        <v>944</v>
      </c>
      <c r="F1647" s="198" t="s">
        <v>945</v>
      </c>
      <c r="G1647" s="225" t="n">
        <v>1991000</v>
      </c>
      <c r="H1647" s="225" t="n">
        <v>715000</v>
      </c>
      <c r="I1647" s="225"/>
      <c r="J1647" s="198" t="n">
        <v>31</v>
      </c>
      <c r="K1647" s="198" t="n">
        <v>2</v>
      </c>
      <c r="L1647" s="226" t="n">
        <v>45343</v>
      </c>
      <c r="M1647" s="226" t="n">
        <v>43658</v>
      </c>
      <c r="N1647" s="227" t="n">
        <v>0</v>
      </c>
      <c r="O1647" s="227" t="s">
        <v>135</v>
      </c>
      <c r="P1647" s="228" t="n">
        <f aca="false">VLOOKUP(B1647,'NIVEL ENERO'!A:D,3,0)</f>
        <v>0.346338987348987</v>
      </c>
      <c r="Q1647" s="229" t="n">
        <f aca="false">VLOOKUP(B1647,'NIVEL ENERO'!A:D,4,0)</f>
        <v>178350.18</v>
      </c>
      <c r="R1647" s="186" t="str">
        <f aca="false">+PROPER(C1647&amp;" "&amp;D1647)</f>
        <v>Restrepo Patino Carlos Eduardo</v>
      </c>
      <c r="S1647" s="230" t="n">
        <f aca="false">+YEARFRAC(L1647,$S$1)</f>
        <v>2.225</v>
      </c>
      <c r="T1647" s="230" t="n">
        <f aca="false">+YEARFRAC(M1647,$S$1)</f>
        <v>6.83333333333333</v>
      </c>
      <c r="U1647" s="231" t="n">
        <f aca="false">+$I1647</f>
        <v>0</v>
      </c>
      <c r="V1647" s="232" t="str">
        <f aca="false">+PROPER(F1647)</f>
        <v>Union Libre</v>
      </c>
    </row>
    <row r="1648" customFormat="false" ht="14.25" hidden="false" customHeight="false" outlineLevel="0" collapsed="false">
      <c r="B1648" s="197" t="n">
        <v>1144165620</v>
      </c>
      <c r="C1648" s="197" t="s">
        <v>3752</v>
      </c>
      <c r="D1648" s="197" t="s">
        <v>2488</v>
      </c>
      <c r="E1648" s="198" t="s">
        <v>981</v>
      </c>
      <c r="F1648" s="198" t="s">
        <v>945</v>
      </c>
      <c r="G1648" s="225" t="n">
        <v>6000000</v>
      </c>
      <c r="H1648" s="225" t="n">
        <v>420000</v>
      </c>
      <c r="I1648" s="225"/>
      <c r="J1648" s="198" t="n">
        <v>31</v>
      </c>
      <c r="K1648" s="198" t="n">
        <v>2</v>
      </c>
      <c r="L1648" s="226" t="n">
        <v>45475</v>
      </c>
      <c r="M1648" s="226" t="n">
        <v>44972</v>
      </c>
      <c r="N1648" s="227" t="n">
        <v>0</v>
      </c>
      <c r="O1648" s="227" t="s">
        <v>158</v>
      </c>
      <c r="P1648" s="228" t="e">
        <f aca="false">VLOOKUP(B1648,'NIVEL ENERO'!A:D,3,0)</f>
        <v>#N/A</v>
      </c>
      <c r="Q1648" s="229" t="e">
        <f aca="false">VLOOKUP(B1648,'NIVEL ENERO'!A:D,4,0)</f>
        <v>#N/A</v>
      </c>
      <c r="R1648" s="186" t="str">
        <f aca="false">+PROPER(C1648&amp;" "&amp;D1648)</f>
        <v>Hoyos Calvo Natalia Andrea</v>
      </c>
      <c r="S1648" s="230" t="n">
        <f aca="false">+YEARFRAC(L1648,$S$1)</f>
        <v>1.86111111111111</v>
      </c>
      <c r="T1648" s="230" t="n">
        <f aca="false">+YEARFRAC(M1648,$S$1)</f>
        <v>3.24166666666667</v>
      </c>
      <c r="U1648" s="231" t="n">
        <f aca="false">+$I1648</f>
        <v>0</v>
      </c>
      <c r="V1648" s="232" t="str">
        <f aca="false">+PROPER(F1648)</f>
        <v>Union Libre</v>
      </c>
    </row>
    <row r="1649" customFormat="false" ht="14.25" hidden="false" customHeight="false" outlineLevel="0" collapsed="false">
      <c r="B1649" s="197" t="n">
        <v>1144165820</v>
      </c>
      <c r="C1649" s="197" t="s">
        <v>3753</v>
      </c>
      <c r="D1649" s="197" t="s">
        <v>1202</v>
      </c>
      <c r="E1649" s="198" t="s">
        <v>944</v>
      </c>
      <c r="F1649" s="198" t="s">
        <v>953</v>
      </c>
      <c r="G1649" s="225" t="n">
        <v>2893800</v>
      </c>
      <c r="H1649" s="225" t="n">
        <v>4628005</v>
      </c>
      <c r="I1649" s="225" t="n">
        <v>0</v>
      </c>
      <c r="J1649" s="198" t="n">
        <v>31</v>
      </c>
      <c r="K1649" s="198" t="n">
        <v>1</v>
      </c>
      <c r="L1649" s="226" t="n">
        <v>44249</v>
      </c>
      <c r="M1649" s="226" t="n">
        <v>43344</v>
      </c>
      <c r="N1649" s="227" t="n">
        <v>2</v>
      </c>
      <c r="O1649" s="227" t="s">
        <v>135</v>
      </c>
      <c r="P1649" s="228" t="n">
        <f aca="false">VLOOKUP(B1649,'NIVEL ENERO'!A:D,3,0)</f>
        <v>0.125174078730934</v>
      </c>
      <c r="Q1649" s="229" t="n">
        <f aca="false">VLOOKUP(B1649,'NIVEL ENERO'!A:D,4,0)</f>
        <v>1075176.28</v>
      </c>
      <c r="R1649" s="186" t="str">
        <f aca="false">+PROPER(C1649&amp;" "&amp;D1649)</f>
        <v>Chavarriaga Cardona Carolina</v>
      </c>
      <c r="S1649" s="230" t="n">
        <f aca="false">+YEARFRAC(L1649,$S$1)</f>
        <v>5.22222222222222</v>
      </c>
      <c r="T1649" s="230" t="n">
        <f aca="false">+YEARFRAC(M1649,$S$1)</f>
        <v>7.69722222222222</v>
      </c>
      <c r="U1649" s="231" t="n">
        <f aca="false">+$I1649</f>
        <v>0</v>
      </c>
      <c r="V1649" s="232" t="str">
        <f aca="false">+PROPER(F1649)</f>
        <v>Soltero(A)</v>
      </c>
    </row>
    <row r="1650" customFormat="false" ht="14.25" hidden="false" customHeight="false" outlineLevel="0" collapsed="false">
      <c r="B1650" s="197" t="n">
        <v>1144166828</v>
      </c>
      <c r="C1650" s="197" t="s">
        <v>3754</v>
      </c>
      <c r="D1650" s="197" t="s">
        <v>3755</v>
      </c>
      <c r="E1650" s="198" t="s">
        <v>944</v>
      </c>
      <c r="F1650" s="198" t="s">
        <v>953</v>
      </c>
      <c r="G1650" s="225" t="n">
        <v>5418800</v>
      </c>
      <c r="H1650" s="225" t="n">
        <v>3920900</v>
      </c>
      <c r="I1650" s="225" t="n">
        <v>1578685</v>
      </c>
      <c r="J1650" s="198" t="n">
        <v>32</v>
      </c>
      <c r="K1650" s="198" t="n">
        <v>2</v>
      </c>
      <c r="L1650" s="226" t="n">
        <v>44459</v>
      </c>
      <c r="M1650" s="226" t="n">
        <v>42719</v>
      </c>
      <c r="N1650" s="227" t="n">
        <v>2</v>
      </c>
      <c r="O1650" s="227" t="s">
        <v>135</v>
      </c>
      <c r="P1650" s="228" t="n">
        <f aca="false">VLOOKUP(B1650,'NIVEL ENERO'!A:D,3,0)</f>
        <v>0.206032263745103</v>
      </c>
      <c r="Q1650" s="229" t="n">
        <f aca="false">VLOOKUP(B1650,'NIVEL ENERO'!A:D,4,0)</f>
        <v>1472638.08</v>
      </c>
      <c r="R1650" s="186" t="str">
        <f aca="false">+PROPER(C1650&amp;" "&amp;D1650)</f>
        <v>Rosas Palomino Claudia Nathaly</v>
      </c>
      <c r="S1650" s="230" t="n">
        <f aca="false">+YEARFRAC(L1650,$S$1)</f>
        <v>4.64444444444445</v>
      </c>
      <c r="T1650" s="230" t="n">
        <f aca="false">+YEARFRAC(M1650,$S$1)</f>
        <v>9.40833333333333</v>
      </c>
      <c r="U1650" s="231" t="n">
        <f aca="false">+$I1650</f>
        <v>1578685</v>
      </c>
      <c r="V1650" s="232" t="str">
        <f aca="false">+PROPER(F1650)</f>
        <v>Soltero(A)</v>
      </c>
    </row>
    <row r="1651" customFormat="false" ht="14.25" hidden="false" customHeight="false" outlineLevel="0" collapsed="false">
      <c r="B1651" s="197" t="n">
        <v>1144167005</v>
      </c>
      <c r="C1651" s="197" t="s">
        <v>3756</v>
      </c>
      <c r="D1651" s="197" t="s">
        <v>3757</v>
      </c>
      <c r="E1651" s="198" t="s">
        <v>944</v>
      </c>
      <c r="F1651" s="198" t="s">
        <v>953</v>
      </c>
      <c r="G1651" s="225" t="n">
        <v>1991000</v>
      </c>
      <c r="H1651" s="225" t="n">
        <v>2782586</v>
      </c>
      <c r="I1651" s="225" t="n">
        <v>3239829</v>
      </c>
      <c r="J1651" s="198" t="n">
        <v>32</v>
      </c>
      <c r="K1651" s="198" t="n">
        <v>2</v>
      </c>
      <c r="L1651" s="226" t="n">
        <v>44183</v>
      </c>
      <c r="M1651" s="226" t="n">
        <v>44075</v>
      </c>
      <c r="N1651" s="227" t="n">
        <v>1</v>
      </c>
      <c r="O1651" s="227" t="s">
        <v>135</v>
      </c>
      <c r="P1651" s="228" t="n">
        <f aca="false">VLOOKUP(B1651,'NIVEL ENERO'!A:D,3,0)</f>
        <v>0.28690858864892</v>
      </c>
      <c r="Q1651" s="229" t="n">
        <f aca="false">VLOOKUP(B1651,'NIVEL ENERO'!A:D,4,0)</f>
        <v>264985</v>
      </c>
      <c r="R1651" s="186" t="str">
        <f aca="false">+PROPER(C1651&amp;" "&amp;D1651)</f>
        <v>Vargas Marquez Monica Tatiana</v>
      </c>
      <c r="S1651" s="230" t="n">
        <f aca="false">+YEARFRAC(L1651,$S$1)</f>
        <v>5.4</v>
      </c>
      <c r="T1651" s="230" t="n">
        <f aca="false">+YEARFRAC(M1651,$S$1)</f>
        <v>5.69722222222222</v>
      </c>
      <c r="U1651" s="231" t="n">
        <f aca="false">+$I1651</f>
        <v>3239829</v>
      </c>
      <c r="V1651" s="232" t="str">
        <f aca="false">+PROPER(F1651)</f>
        <v>Soltero(A)</v>
      </c>
    </row>
    <row r="1652" customFormat="false" ht="14.25" hidden="false" customHeight="false" outlineLevel="0" collapsed="false">
      <c r="B1652" s="197" t="n">
        <v>1144167122</v>
      </c>
      <c r="C1652" s="197" t="s">
        <v>3758</v>
      </c>
      <c r="D1652" s="197" t="s">
        <v>3759</v>
      </c>
      <c r="E1652" s="198" t="s">
        <v>944</v>
      </c>
      <c r="F1652" s="198" t="s">
        <v>953</v>
      </c>
      <c r="G1652" s="225" t="n">
        <v>3945300</v>
      </c>
      <c r="H1652" s="225" t="n">
        <v>4934518</v>
      </c>
      <c r="I1652" s="225" t="n">
        <v>5709870</v>
      </c>
      <c r="J1652" s="198" t="n">
        <v>31</v>
      </c>
      <c r="K1652" s="198" t="n">
        <v>1</v>
      </c>
      <c r="L1652" s="226" t="n">
        <v>43693</v>
      </c>
      <c r="M1652" s="226" t="n">
        <v>41183</v>
      </c>
      <c r="N1652" s="227" t="n">
        <v>3</v>
      </c>
      <c r="O1652" s="227" t="s">
        <v>135</v>
      </c>
      <c r="P1652" s="228" t="n">
        <f aca="false">VLOOKUP(B1652,'NIVEL ENERO'!A:D,3,0)</f>
        <v>0.328175939147902</v>
      </c>
      <c r="Q1652" s="229" t="n">
        <f aca="false">VLOOKUP(B1652,'NIVEL ENERO'!A:D,4,0)</f>
        <v>458485.8</v>
      </c>
      <c r="R1652" s="186" t="str">
        <f aca="false">+PROPER(C1652&amp;" "&amp;D1652)</f>
        <v>Gonzalez Hincapie Leonardo</v>
      </c>
      <c r="S1652" s="230" t="n">
        <f aca="false">+YEARFRAC(L1652,$S$1)</f>
        <v>6.73888888888889</v>
      </c>
      <c r="T1652" s="230" t="n">
        <f aca="false">+YEARFRAC(M1652,$S$1)</f>
        <v>13.6138888888889</v>
      </c>
      <c r="U1652" s="231" t="n">
        <f aca="false">+$I1652</f>
        <v>5709870</v>
      </c>
      <c r="V1652" s="232" t="str">
        <f aca="false">+PROPER(F1652)</f>
        <v>Soltero(A)</v>
      </c>
    </row>
    <row r="1653" customFormat="false" ht="14.25" hidden="false" customHeight="false" outlineLevel="0" collapsed="false">
      <c r="B1653" s="197" t="n">
        <v>1144167610</v>
      </c>
      <c r="C1653" s="197" t="s">
        <v>3760</v>
      </c>
      <c r="D1653" s="197" t="s">
        <v>3761</v>
      </c>
      <c r="E1653" s="198" t="s">
        <v>944</v>
      </c>
      <c r="F1653" s="198" t="s">
        <v>953</v>
      </c>
      <c r="G1653" s="225" t="n">
        <v>2893800</v>
      </c>
      <c r="H1653" s="225" t="n">
        <v>4406170</v>
      </c>
      <c r="I1653" s="225" t="n">
        <v>265101</v>
      </c>
      <c r="J1653" s="198" t="n">
        <v>31</v>
      </c>
      <c r="K1653" s="198" t="n">
        <v>1</v>
      </c>
      <c r="L1653" s="226" t="n">
        <v>45344</v>
      </c>
      <c r="M1653" s="226" t="n">
        <v>42019</v>
      </c>
      <c r="N1653" s="227" t="n">
        <v>2</v>
      </c>
      <c r="O1653" s="227" t="s">
        <v>135</v>
      </c>
      <c r="P1653" s="228" t="n">
        <f aca="false">VLOOKUP(B1653,'NIVEL ENERO'!A:D,3,0)</f>
        <v>0.353069650740913</v>
      </c>
      <c r="Q1653" s="229" t="n">
        <f aca="false">VLOOKUP(B1653,'NIVEL ENERO'!A:D,4,0)</f>
        <v>259408.96</v>
      </c>
      <c r="R1653" s="186" t="str">
        <f aca="false">+PROPER(C1653&amp;" "&amp;D1653)</f>
        <v>Beltran Camacho Dayan Lorena</v>
      </c>
      <c r="S1653" s="230" t="n">
        <f aca="false">+YEARFRAC(L1653,$S$1)</f>
        <v>2.22222222222222</v>
      </c>
      <c r="T1653" s="230" t="n">
        <f aca="false">+YEARFRAC(M1653,$S$1)</f>
        <v>11.325</v>
      </c>
      <c r="U1653" s="231" t="n">
        <f aca="false">+$I1653</f>
        <v>265101</v>
      </c>
      <c r="V1653" s="232" t="str">
        <f aca="false">+PROPER(F1653)</f>
        <v>Soltero(A)</v>
      </c>
    </row>
    <row r="1654" customFormat="false" ht="14.25" hidden="false" customHeight="false" outlineLevel="0" collapsed="false">
      <c r="B1654" s="197" t="n">
        <v>1144168040</v>
      </c>
      <c r="C1654" s="197" t="s">
        <v>3762</v>
      </c>
      <c r="D1654" s="197" t="s">
        <v>3763</v>
      </c>
      <c r="E1654" s="198" t="s">
        <v>944</v>
      </c>
      <c r="F1654" s="198" t="s">
        <v>945</v>
      </c>
      <c r="G1654" s="225" t="n">
        <v>2893800</v>
      </c>
      <c r="H1654" s="225" t="n">
        <v>1456132</v>
      </c>
      <c r="I1654" s="225" t="n">
        <v>3138297</v>
      </c>
      <c r="J1654" s="198" t="n">
        <v>31</v>
      </c>
      <c r="K1654" s="198" t="n">
        <v>4</v>
      </c>
      <c r="L1654" s="226" t="n">
        <v>44938</v>
      </c>
      <c r="M1654" s="226" t="n">
        <v>40098</v>
      </c>
      <c r="N1654" s="227" t="n">
        <v>1</v>
      </c>
      <c r="O1654" s="227" t="s">
        <v>135</v>
      </c>
      <c r="P1654" s="228" t="n">
        <f aca="false">VLOOKUP(B1654,'NIVEL ENERO'!A:D,3,0)</f>
        <v>0.523512770312832</v>
      </c>
      <c r="Q1654" s="229" t="n">
        <f aca="false">VLOOKUP(B1654,'NIVEL ENERO'!A:D,4,0)</f>
        <v>-357221.666666667</v>
      </c>
      <c r="R1654" s="186" t="str">
        <f aca="false">+PROPER(C1654&amp;" "&amp;D1654)</f>
        <v>Hernandez Lopez Derly</v>
      </c>
      <c r="S1654" s="230" t="n">
        <f aca="false">+YEARFRAC(L1654,$S$1)</f>
        <v>3.33333333333333</v>
      </c>
      <c r="T1654" s="230" t="n">
        <f aca="false">+YEARFRAC(M1654,$S$1)</f>
        <v>16.5833333333333</v>
      </c>
      <c r="U1654" s="231" t="n">
        <f aca="false">+$I1654</f>
        <v>3138297</v>
      </c>
      <c r="V1654" s="232" t="str">
        <f aca="false">+PROPER(F1654)</f>
        <v>Union Libre</v>
      </c>
    </row>
    <row r="1655" customFormat="false" ht="14.25" hidden="false" customHeight="false" outlineLevel="0" collapsed="false">
      <c r="B1655" s="197" t="n">
        <v>1144168142</v>
      </c>
      <c r="C1655" s="197" t="s">
        <v>3764</v>
      </c>
      <c r="D1655" s="197" t="s">
        <v>3587</v>
      </c>
      <c r="E1655" s="198" t="s">
        <v>944</v>
      </c>
      <c r="F1655" s="198" t="s">
        <v>945</v>
      </c>
      <c r="G1655" s="225" t="n">
        <v>4469100</v>
      </c>
      <c r="H1655" s="225" t="n">
        <v>6025516</v>
      </c>
      <c r="I1655" s="225" t="n">
        <v>0</v>
      </c>
      <c r="J1655" s="198" t="n">
        <v>31</v>
      </c>
      <c r="K1655" s="198" t="n">
        <v>1</v>
      </c>
      <c r="L1655" s="226" t="n">
        <v>44635</v>
      </c>
      <c r="M1655" s="226" t="n">
        <v>44454</v>
      </c>
      <c r="N1655" s="227" t="n">
        <v>2</v>
      </c>
      <c r="O1655" s="227" t="s">
        <v>135</v>
      </c>
      <c r="P1655" s="228" t="n">
        <f aca="false">VLOOKUP(B1655,'NIVEL ENERO'!A:D,3,0)</f>
        <v>0.108950229368855</v>
      </c>
      <c r="Q1655" s="229" t="n">
        <f aca="false">VLOOKUP(B1655,'NIVEL ENERO'!A:D,4,0)</f>
        <v>2232476.16</v>
      </c>
      <c r="R1655" s="186" t="str">
        <f aca="false">+PROPER(C1655&amp;" "&amp;D1655)</f>
        <v>Reinosa Claudia Marcela</v>
      </c>
      <c r="S1655" s="230" t="n">
        <f aca="false">+YEARFRAC(L1655,$S$1)</f>
        <v>4.15833333333333</v>
      </c>
      <c r="T1655" s="230" t="n">
        <f aca="false">+YEARFRAC(M1655,$S$1)</f>
        <v>4.65833333333333</v>
      </c>
      <c r="U1655" s="231" t="n">
        <f aca="false">+$I1655</f>
        <v>0</v>
      </c>
      <c r="V1655" s="232" t="str">
        <f aca="false">+PROPER(F1655)</f>
        <v>Union Libre</v>
      </c>
    </row>
    <row r="1656" customFormat="false" ht="14.25" hidden="false" customHeight="false" outlineLevel="0" collapsed="false">
      <c r="B1656" s="197" t="n">
        <v>1144168203</v>
      </c>
      <c r="C1656" s="197" t="s">
        <v>3765</v>
      </c>
      <c r="D1656" s="197" t="s">
        <v>2466</v>
      </c>
      <c r="E1656" s="198" t="s">
        <v>944</v>
      </c>
      <c r="F1656" s="198" t="s">
        <v>948</v>
      </c>
      <c r="G1656" s="225" t="n">
        <v>2893800</v>
      </c>
      <c r="H1656" s="225" t="n">
        <v>1759203</v>
      </c>
      <c r="I1656" s="225" t="n">
        <v>5492503</v>
      </c>
      <c r="J1656" s="198" t="n">
        <v>31</v>
      </c>
      <c r="K1656" s="198" t="n">
        <v>2</v>
      </c>
      <c r="L1656" s="226" t="n">
        <v>44721</v>
      </c>
      <c r="M1656" s="226" t="n">
        <v>44357</v>
      </c>
      <c r="N1656" s="227" t="n">
        <v>2</v>
      </c>
      <c r="O1656" s="227" t="s">
        <v>135</v>
      </c>
      <c r="P1656" s="228" t="n">
        <f aca="false">VLOOKUP(B1656,'NIVEL ENERO'!A:D,3,0)</f>
        <v>0.537217905344417</v>
      </c>
      <c r="Q1656" s="229" t="n">
        <f aca="false">VLOOKUP(B1656,'NIVEL ENERO'!A:D,4,0)</f>
        <v>-240247.24</v>
      </c>
      <c r="R1656" s="186" t="str">
        <f aca="false">+PROPER(C1656&amp;" "&amp;D1656)</f>
        <v>Carvajal Barona Mayra Alejandra</v>
      </c>
      <c r="S1656" s="230" t="n">
        <f aca="false">+YEARFRAC(L1656,$S$1)</f>
        <v>3.925</v>
      </c>
      <c r="T1656" s="230" t="n">
        <f aca="false">+YEARFRAC(M1656,$S$1)</f>
        <v>4.92222222222222</v>
      </c>
      <c r="U1656" s="231" t="n">
        <f aca="false">+$I1656</f>
        <v>5492503</v>
      </c>
      <c r="V1656" s="232" t="str">
        <f aca="false">+PROPER(F1656)</f>
        <v>Casado(A)</v>
      </c>
    </row>
    <row r="1657" customFormat="false" ht="14.25" hidden="false" customHeight="false" outlineLevel="0" collapsed="false">
      <c r="B1657" s="197" t="n">
        <v>1144169695</v>
      </c>
      <c r="C1657" s="197" t="s">
        <v>3766</v>
      </c>
      <c r="D1657" s="197" t="s">
        <v>3767</v>
      </c>
      <c r="E1657" s="198" t="s">
        <v>944</v>
      </c>
      <c r="F1657" s="198" t="s">
        <v>948</v>
      </c>
      <c r="G1657" s="225" t="n">
        <v>2600900</v>
      </c>
      <c r="H1657" s="225" t="n">
        <v>3224130</v>
      </c>
      <c r="I1657" s="225" t="n">
        <v>4941057</v>
      </c>
      <c r="J1657" s="198" t="n">
        <v>31</v>
      </c>
      <c r="K1657" s="198" t="n">
        <v>2</v>
      </c>
      <c r="L1657" s="226" t="n">
        <v>43810</v>
      </c>
      <c r="M1657" s="226" t="n">
        <v>43327</v>
      </c>
      <c r="N1657" s="227" t="n">
        <v>4</v>
      </c>
      <c r="O1657" s="227" t="s">
        <v>135</v>
      </c>
      <c r="P1657" s="228" t="n">
        <f aca="false">VLOOKUP(B1657,'NIVEL ENERO'!A:D,3,0)</f>
        <v>0.361564225521934</v>
      </c>
      <c r="Q1657" s="229" t="n">
        <f aca="false">VLOOKUP(B1657,'NIVEL ENERO'!A:D,4,0)</f>
        <v>195023.32</v>
      </c>
      <c r="R1657" s="186" t="str">
        <f aca="false">+PROPER(C1657&amp;" "&amp;D1657)</f>
        <v>Gaviria Valderrama Gabriel</v>
      </c>
      <c r="S1657" s="230" t="n">
        <f aca="false">+YEARFRAC(L1657,$S$1)</f>
        <v>6.41944444444444</v>
      </c>
      <c r="T1657" s="230" t="n">
        <f aca="false">+YEARFRAC(M1657,$S$1)</f>
        <v>7.74166666666667</v>
      </c>
      <c r="U1657" s="231" t="n">
        <f aca="false">+$I1657</f>
        <v>4941057</v>
      </c>
      <c r="V1657" s="232" t="str">
        <f aca="false">+PROPER(F1657)</f>
        <v>Casado(A)</v>
      </c>
    </row>
    <row r="1658" customFormat="false" ht="14.25" hidden="false" customHeight="false" outlineLevel="0" collapsed="false">
      <c r="B1658" s="197" t="n">
        <v>1144169857</v>
      </c>
      <c r="C1658" s="197" t="s">
        <v>3768</v>
      </c>
      <c r="D1658" s="197" t="s">
        <v>2451</v>
      </c>
      <c r="E1658" s="198" t="s">
        <v>944</v>
      </c>
      <c r="F1658" s="198" t="s">
        <v>953</v>
      </c>
      <c r="G1658" s="225" t="n">
        <v>1670000</v>
      </c>
      <c r="H1658" s="225" t="n">
        <v>4920971</v>
      </c>
      <c r="I1658" s="225" t="n">
        <v>5103124</v>
      </c>
      <c r="J1658" s="198" t="n">
        <v>31</v>
      </c>
      <c r="K1658" s="198" t="n">
        <v>1</v>
      </c>
      <c r="L1658" s="226" t="n">
        <v>43654</v>
      </c>
      <c r="M1658" s="226" t="n">
        <v>43296</v>
      </c>
      <c r="N1658" s="227" t="n">
        <v>1</v>
      </c>
      <c r="O1658" s="227" t="s">
        <v>135</v>
      </c>
      <c r="P1658" s="228" t="n">
        <f aca="false">VLOOKUP(B1658,'NIVEL ENERO'!A:D,3,0)</f>
        <v>0.384343235055292</v>
      </c>
      <c r="Q1658" s="229" t="n">
        <f aca="false">VLOOKUP(B1658,'NIVEL ENERO'!A:D,4,0)</f>
        <v>72893.6</v>
      </c>
      <c r="R1658" s="186" t="str">
        <f aca="false">+PROPER(C1658&amp;" "&amp;D1658)</f>
        <v>Zuluaga Giraldo Juan Camilo</v>
      </c>
      <c r="S1658" s="230" t="n">
        <f aca="false">+YEARFRAC(L1658,$S$1)</f>
        <v>6.84444444444444</v>
      </c>
      <c r="T1658" s="230" t="n">
        <f aca="false">+YEARFRAC(M1658,$S$1)</f>
        <v>7.825</v>
      </c>
      <c r="U1658" s="231" t="n">
        <f aca="false">+$I1658</f>
        <v>5103124</v>
      </c>
      <c r="V1658" s="232" t="str">
        <f aca="false">+PROPER(F1658)</f>
        <v>Soltero(A)</v>
      </c>
    </row>
    <row r="1659" customFormat="false" ht="14.25" hidden="false" customHeight="false" outlineLevel="0" collapsed="false">
      <c r="B1659" s="197" t="n">
        <v>1144169886</v>
      </c>
      <c r="C1659" s="197" t="s">
        <v>3769</v>
      </c>
      <c r="D1659" s="197" t="s">
        <v>3770</v>
      </c>
      <c r="E1659" s="198" t="s">
        <v>944</v>
      </c>
      <c r="F1659" s="198" t="s">
        <v>945</v>
      </c>
      <c r="G1659" s="225" t="n">
        <v>2600900</v>
      </c>
      <c r="H1659" s="225" t="n">
        <v>3819885</v>
      </c>
      <c r="I1659" s="225" t="n">
        <v>4728714</v>
      </c>
      <c r="J1659" s="198" t="n">
        <v>31</v>
      </c>
      <c r="K1659" s="198" t="n">
        <v>1</v>
      </c>
      <c r="L1659" s="226" t="n">
        <v>44459</v>
      </c>
      <c r="M1659" s="226" t="n">
        <v>43669</v>
      </c>
      <c r="N1659" s="227" t="n">
        <v>2</v>
      </c>
      <c r="O1659" s="227" t="s">
        <v>135</v>
      </c>
      <c r="P1659" s="228" t="n">
        <f aca="false">VLOOKUP(B1659,'NIVEL ENERO'!A:D,3,0)</f>
        <v>0.451179137146135</v>
      </c>
      <c r="Q1659" s="229" t="n">
        <f aca="false">VLOOKUP(B1659,'NIVEL ENERO'!A:D,4,0)</f>
        <v>-101414.28</v>
      </c>
      <c r="R1659" s="186" t="str">
        <f aca="false">+PROPER(C1659&amp;" "&amp;D1659)</f>
        <v>Morales Antolinez Joan Stiven</v>
      </c>
      <c r="S1659" s="230" t="n">
        <f aca="false">+YEARFRAC(L1659,$S$1)</f>
        <v>4.64444444444445</v>
      </c>
      <c r="T1659" s="230" t="n">
        <f aca="false">+YEARFRAC(M1659,$S$1)</f>
        <v>6.80277777777778</v>
      </c>
      <c r="U1659" s="231" t="n">
        <f aca="false">+$I1659</f>
        <v>4728714</v>
      </c>
      <c r="V1659" s="232" t="str">
        <f aca="false">+PROPER(F1659)</f>
        <v>Union Libre</v>
      </c>
    </row>
    <row r="1660" customFormat="false" ht="14.25" hidden="false" customHeight="false" outlineLevel="0" collapsed="false">
      <c r="B1660" s="197" t="n">
        <v>1144170609</v>
      </c>
      <c r="C1660" s="197" t="s">
        <v>3771</v>
      </c>
      <c r="D1660" s="197" t="s">
        <v>1241</v>
      </c>
      <c r="E1660" s="198" t="s">
        <v>944</v>
      </c>
      <c r="F1660" s="198" t="s">
        <v>953</v>
      </c>
      <c r="G1660" s="225" t="n">
        <v>2893800</v>
      </c>
      <c r="H1660" s="225" t="n">
        <v>2825791</v>
      </c>
      <c r="I1660" s="225" t="n">
        <v>1041105</v>
      </c>
      <c r="J1660" s="198" t="n">
        <v>31</v>
      </c>
      <c r="K1660" s="198" t="n">
        <v>1</v>
      </c>
      <c r="L1660" s="226" t="n">
        <v>44328</v>
      </c>
      <c r="M1660" s="226" t="n">
        <v>41164</v>
      </c>
      <c r="N1660" s="227" t="n">
        <v>2</v>
      </c>
      <c r="O1660" s="227" t="s">
        <v>135</v>
      </c>
      <c r="P1660" s="228" t="n">
        <f aca="false">VLOOKUP(B1660,'NIVEL ENERO'!A:D,3,0)</f>
        <v>0.387010159651669</v>
      </c>
      <c r="Q1660" s="229" t="n">
        <f aca="false">VLOOKUP(B1660,'NIVEL ENERO'!A:D,4,0)</f>
        <v>95466</v>
      </c>
      <c r="R1660" s="186" t="str">
        <f aca="false">+PROPER(C1660&amp;" "&amp;D1660)</f>
        <v>Lombana Rodriguez Diana Carolina</v>
      </c>
      <c r="S1660" s="230" t="n">
        <f aca="false">+YEARFRAC(L1660,$S$1)</f>
        <v>5</v>
      </c>
      <c r="T1660" s="230" t="n">
        <f aca="false">+YEARFRAC(M1660,$S$1)</f>
        <v>13.6666666666667</v>
      </c>
      <c r="U1660" s="231" t="n">
        <f aca="false">+$I1660</f>
        <v>1041105</v>
      </c>
      <c r="V1660" s="232" t="str">
        <f aca="false">+PROPER(F1660)</f>
        <v>Soltero(A)</v>
      </c>
    </row>
    <row r="1661" customFormat="false" ht="14.25" hidden="false" customHeight="false" outlineLevel="0" collapsed="false">
      <c r="B1661" s="197" t="n">
        <v>1144170930</v>
      </c>
      <c r="C1661" s="197" t="s">
        <v>3772</v>
      </c>
      <c r="D1661" s="197" t="s">
        <v>3773</v>
      </c>
      <c r="E1661" s="198" t="s">
        <v>944</v>
      </c>
      <c r="F1661" s="198" t="s">
        <v>953</v>
      </c>
      <c r="G1661" s="225" t="n">
        <v>2893800</v>
      </c>
      <c r="H1661" s="225" t="n">
        <v>1557164</v>
      </c>
      <c r="I1661" s="225" t="n">
        <v>0</v>
      </c>
      <c r="J1661" s="198" t="n">
        <v>31</v>
      </c>
      <c r="K1661" s="198" t="n">
        <v>2</v>
      </c>
      <c r="L1661" s="226" t="n">
        <v>44846</v>
      </c>
      <c r="M1661" s="226" t="n">
        <v>44428</v>
      </c>
      <c r="N1661" s="227" t="n">
        <v>1</v>
      </c>
      <c r="O1661" s="227" t="s">
        <v>135</v>
      </c>
      <c r="P1661" s="228" t="n">
        <f aca="false">VLOOKUP(B1661,'NIVEL ENERO'!A:D,3,0)</f>
        <v>0.2845375966715</v>
      </c>
      <c r="Q1661" s="229" t="n">
        <f aca="false">VLOOKUP(B1661,'NIVEL ENERO'!A:D,4,0)</f>
        <v>404329.22</v>
      </c>
      <c r="R1661" s="186" t="str">
        <f aca="false">+PROPER(C1661&amp;" "&amp;D1661)</f>
        <v>Cruz Velasco Linda Yesenia</v>
      </c>
      <c r="S1661" s="230" t="n">
        <f aca="false">+YEARFRAC(L1661,$S$1)</f>
        <v>3.58333333333333</v>
      </c>
      <c r="T1661" s="230" t="n">
        <f aca="false">+YEARFRAC(M1661,$S$1)</f>
        <v>4.72777777777778</v>
      </c>
      <c r="U1661" s="231" t="n">
        <f aca="false">+$I1661</f>
        <v>0</v>
      </c>
      <c r="V1661" s="232" t="str">
        <f aca="false">+PROPER(F1661)</f>
        <v>Soltero(A)</v>
      </c>
    </row>
    <row r="1662" customFormat="false" ht="14.25" hidden="false" customHeight="false" outlineLevel="0" collapsed="false">
      <c r="B1662" s="197" t="n">
        <v>1144171386</v>
      </c>
      <c r="C1662" s="197" t="s">
        <v>3774</v>
      </c>
      <c r="D1662" s="197" t="s">
        <v>3775</v>
      </c>
      <c r="E1662" s="198" t="s">
        <v>944</v>
      </c>
      <c r="F1662" s="198" t="s">
        <v>953</v>
      </c>
      <c r="G1662" s="225" t="n">
        <v>2893800</v>
      </c>
      <c r="H1662" s="225" t="n">
        <v>4211576</v>
      </c>
      <c r="I1662" s="225" t="n">
        <v>46690</v>
      </c>
      <c r="J1662" s="198" t="n">
        <v>31</v>
      </c>
      <c r="K1662" s="198" t="n">
        <v>2</v>
      </c>
      <c r="L1662" s="226" t="n">
        <v>45020</v>
      </c>
      <c r="M1662" s="226" t="n">
        <v>41518</v>
      </c>
      <c r="N1662" s="227" t="n">
        <v>2</v>
      </c>
      <c r="O1662" s="227" t="s">
        <v>135</v>
      </c>
      <c r="P1662" s="228" t="n">
        <f aca="false">VLOOKUP(B1662,'NIVEL ENERO'!A:D,3,0)</f>
        <v>0.354383784468232</v>
      </c>
      <c r="Q1662" s="229" t="n">
        <f aca="false">VLOOKUP(B1662,'NIVEL ENERO'!A:D,4,0)</f>
        <v>224554</v>
      </c>
      <c r="R1662" s="186" t="str">
        <f aca="false">+PROPER(C1662&amp;" "&amp;D1662)</f>
        <v>Benitez Pechene Xiomara Katherine</v>
      </c>
      <c r="S1662" s="230" t="n">
        <f aca="false">+YEARFRAC(L1662,$S$1)</f>
        <v>3.10555555555556</v>
      </c>
      <c r="T1662" s="230" t="n">
        <f aca="false">+YEARFRAC(M1662,$S$1)</f>
        <v>12.6972222222222</v>
      </c>
      <c r="U1662" s="231" t="n">
        <f aca="false">+$I1662</f>
        <v>46690</v>
      </c>
      <c r="V1662" s="232" t="str">
        <f aca="false">+PROPER(F1662)</f>
        <v>Soltero(A)</v>
      </c>
    </row>
    <row r="1663" customFormat="false" ht="14.25" hidden="false" customHeight="false" outlineLevel="0" collapsed="false">
      <c r="B1663" s="197" t="n">
        <v>1144171571</v>
      </c>
      <c r="C1663" s="197" t="s">
        <v>3776</v>
      </c>
      <c r="D1663" s="197" t="s">
        <v>2252</v>
      </c>
      <c r="E1663" s="198" t="s">
        <v>944</v>
      </c>
      <c r="F1663" s="198" t="s">
        <v>953</v>
      </c>
      <c r="G1663" s="225" t="n">
        <v>2893800</v>
      </c>
      <c r="H1663" s="225" t="n">
        <v>1405682</v>
      </c>
      <c r="I1663" s="225" t="n">
        <v>9963528</v>
      </c>
      <c r="J1663" s="198" t="n">
        <v>31</v>
      </c>
      <c r="K1663" s="198" t="n">
        <v>4</v>
      </c>
      <c r="L1663" s="226" t="n">
        <v>44974</v>
      </c>
      <c r="M1663" s="226" t="n">
        <v>42170</v>
      </c>
      <c r="N1663" s="227" t="n">
        <v>0</v>
      </c>
      <c r="O1663" s="227" t="s">
        <v>135</v>
      </c>
      <c r="P1663" s="228" t="n">
        <f aca="false">VLOOKUP(B1663,'NIVEL ENERO'!A:D,3,0)</f>
        <v>0.193566534685712</v>
      </c>
      <c r="Q1663" s="229" t="n">
        <f aca="false">VLOOKUP(B1663,'NIVEL ENERO'!A:D,4,0)</f>
        <v>874620.62</v>
      </c>
      <c r="R1663" s="186" t="str">
        <f aca="false">+PROPER(C1663&amp;" "&amp;D1663)</f>
        <v>Correa Segura Natalia</v>
      </c>
      <c r="S1663" s="230" t="n">
        <f aca="false">+YEARFRAC(L1663,$S$1)</f>
        <v>3.23611111111111</v>
      </c>
      <c r="T1663" s="230" t="n">
        <f aca="false">+YEARFRAC(M1663,$S$1)</f>
        <v>10.9083333333333</v>
      </c>
      <c r="U1663" s="231" t="n">
        <f aca="false">+$I1663</f>
        <v>9963528</v>
      </c>
      <c r="V1663" s="232" t="str">
        <f aca="false">+PROPER(F1663)</f>
        <v>Soltero(A)</v>
      </c>
    </row>
    <row r="1664" customFormat="false" ht="14.25" hidden="false" customHeight="false" outlineLevel="0" collapsed="false">
      <c r="B1664" s="197" t="n">
        <v>1144171743</v>
      </c>
      <c r="C1664" s="197" t="s">
        <v>3777</v>
      </c>
      <c r="D1664" s="197" t="s">
        <v>3778</v>
      </c>
      <c r="E1664" s="198" t="s">
        <v>944</v>
      </c>
      <c r="F1664" s="198" t="s">
        <v>953</v>
      </c>
      <c r="G1664" s="225" t="n">
        <v>3894900</v>
      </c>
      <c r="H1664" s="225" t="n">
        <v>750000</v>
      </c>
      <c r="I1664" s="225"/>
      <c r="J1664" s="198" t="n">
        <v>31</v>
      </c>
      <c r="K1664" s="198" t="n">
        <v>2</v>
      </c>
      <c r="L1664" s="226" t="n">
        <v>45519</v>
      </c>
      <c r="M1664" s="226" t="n">
        <v>45252</v>
      </c>
      <c r="N1664" s="227" t="n">
        <v>0</v>
      </c>
      <c r="O1664" s="227" t="s">
        <v>135</v>
      </c>
      <c r="P1664" s="228" t="n">
        <f aca="false">VLOOKUP(B1664,'NIVEL ENERO'!A:D,3,0)</f>
        <v>0.129218208426404</v>
      </c>
      <c r="Q1664" s="229" t="n">
        <f aca="false">VLOOKUP(B1664,'NIVEL ENERO'!A:D,4,0)</f>
        <v>1132566</v>
      </c>
      <c r="R1664" s="186" t="str">
        <f aca="false">+PROPER(C1664&amp;" "&amp;D1664)</f>
        <v>Arias Ceballos Jessica Maria</v>
      </c>
      <c r="S1664" s="230" t="n">
        <f aca="false">+YEARFRAC(L1664,$S$1)</f>
        <v>1.74166666666667</v>
      </c>
      <c r="T1664" s="230" t="n">
        <f aca="false">+YEARFRAC(M1664,$S$1)</f>
        <v>2.47222222222222</v>
      </c>
      <c r="U1664" s="231" t="n">
        <f aca="false">+$I1664</f>
        <v>0</v>
      </c>
      <c r="V1664" s="232" t="str">
        <f aca="false">+PROPER(F1664)</f>
        <v>Soltero(A)</v>
      </c>
    </row>
    <row r="1665" customFormat="false" ht="14.25" hidden="false" customHeight="false" outlineLevel="0" collapsed="false">
      <c r="B1665" s="197" t="n">
        <v>1144173564</v>
      </c>
      <c r="C1665" s="197" t="s">
        <v>3779</v>
      </c>
      <c r="D1665" s="197" t="s">
        <v>2488</v>
      </c>
      <c r="E1665" s="198" t="s">
        <v>944</v>
      </c>
      <c r="F1665" s="198" t="s">
        <v>948</v>
      </c>
      <c r="G1665" s="225" t="n">
        <v>2893800</v>
      </c>
      <c r="H1665" s="225" t="n">
        <v>3250390</v>
      </c>
      <c r="I1665" s="225" t="n">
        <v>3777177</v>
      </c>
      <c r="J1665" s="198" t="n">
        <v>31</v>
      </c>
      <c r="K1665" s="198" t="n">
        <v>4</v>
      </c>
      <c r="L1665" s="226" t="n">
        <v>45118</v>
      </c>
      <c r="M1665" s="226" t="n">
        <v>42139</v>
      </c>
      <c r="N1665" s="227" t="n">
        <v>4</v>
      </c>
      <c r="O1665" s="227" t="s">
        <v>135</v>
      </c>
      <c r="P1665" s="228" t="n">
        <f aca="false">VLOOKUP(B1665,'NIVEL ENERO'!A:D,3,0)</f>
        <v>0.347927315432267</v>
      </c>
      <c r="Q1665" s="229" t="n">
        <f aca="false">VLOOKUP(B1665,'NIVEL ENERO'!A:D,4,0)</f>
        <v>277476.28</v>
      </c>
      <c r="R1665" s="186" t="str">
        <f aca="false">+PROPER(C1665&amp;" "&amp;D1665)</f>
        <v>Villalobos Torijano Natalia Andrea</v>
      </c>
      <c r="S1665" s="230" t="n">
        <f aca="false">+YEARFRAC(L1665,$S$1)</f>
        <v>2.83611111111111</v>
      </c>
      <c r="T1665" s="230" t="n">
        <f aca="false">+YEARFRAC(M1665,$S$1)</f>
        <v>10.9916666666667</v>
      </c>
      <c r="U1665" s="231" t="n">
        <f aca="false">+$I1665</f>
        <v>3777177</v>
      </c>
      <c r="V1665" s="232" t="str">
        <f aca="false">+PROPER(F1665)</f>
        <v>Casado(A)</v>
      </c>
    </row>
    <row r="1666" customFormat="false" ht="14.25" hidden="false" customHeight="false" outlineLevel="0" collapsed="false">
      <c r="B1666" s="197" t="n">
        <v>1144174417</v>
      </c>
      <c r="C1666" s="197" t="s">
        <v>3780</v>
      </c>
      <c r="D1666" s="197" t="s">
        <v>3781</v>
      </c>
      <c r="E1666" s="198" t="s">
        <v>944</v>
      </c>
      <c r="F1666" s="198" t="s">
        <v>953</v>
      </c>
      <c r="G1666" s="225" t="n">
        <v>2893800</v>
      </c>
      <c r="H1666" s="225" t="n">
        <v>1607671</v>
      </c>
      <c r="I1666" s="225"/>
      <c r="J1666" s="198" t="n">
        <v>31</v>
      </c>
      <c r="K1666" s="198" t="n">
        <v>3</v>
      </c>
      <c r="L1666" s="226" t="n">
        <v>44809</v>
      </c>
      <c r="M1666" s="226" t="n">
        <v>42659</v>
      </c>
      <c r="N1666" s="227" t="n">
        <v>2</v>
      </c>
      <c r="O1666" s="227" t="s">
        <v>135</v>
      </c>
      <c r="P1666" s="228" t="n">
        <f aca="false">VLOOKUP(B1666,'NIVEL ENERO'!A:D,3,0)</f>
        <v>0.116233959816655</v>
      </c>
      <c r="Q1666" s="229" t="n">
        <f aca="false">VLOOKUP(B1666,'NIVEL ENERO'!A:D,4,0)</f>
        <v>1779420.86</v>
      </c>
      <c r="R1666" s="186" t="str">
        <f aca="false">+PROPER(C1666&amp;" "&amp;D1666)</f>
        <v>Arboleda Criollo Cindy Dahiana</v>
      </c>
      <c r="S1666" s="230" t="n">
        <f aca="false">+YEARFRAC(L1666,$S$1)</f>
        <v>3.68611111111111</v>
      </c>
      <c r="T1666" s="230" t="n">
        <f aca="false">+YEARFRAC(M1666,$S$1)</f>
        <v>9.57222222222222</v>
      </c>
      <c r="U1666" s="231" t="n">
        <f aca="false">+$I1666</f>
        <v>0</v>
      </c>
      <c r="V1666" s="232" t="str">
        <f aca="false">+PROPER(F1666)</f>
        <v>Soltero(A)</v>
      </c>
    </row>
    <row r="1667" customFormat="false" ht="14.25" hidden="false" customHeight="false" outlineLevel="0" collapsed="false">
      <c r="B1667" s="197" t="n">
        <v>1144175317</v>
      </c>
      <c r="C1667" s="197" t="s">
        <v>3782</v>
      </c>
      <c r="D1667" s="197" t="s">
        <v>1150</v>
      </c>
      <c r="E1667" s="198" t="s">
        <v>944</v>
      </c>
      <c r="F1667" s="198" t="s">
        <v>945</v>
      </c>
      <c r="G1667" s="225" t="n">
        <v>1625000</v>
      </c>
      <c r="H1667" s="225" t="n">
        <v>700000</v>
      </c>
      <c r="I1667" s="225" t="n">
        <v>386232</v>
      </c>
      <c r="J1667" s="198" t="n">
        <v>31</v>
      </c>
      <c r="K1667" s="198" t="n">
        <v>2</v>
      </c>
      <c r="L1667" s="226" t="n">
        <v>45448</v>
      </c>
      <c r="M1667" s="226" t="n">
        <v>45317</v>
      </c>
      <c r="N1667" s="227" t="n">
        <v>0</v>
      </c>
      <c r="O1667" s="227" t="s">
        <v>135</v>
      </c>
      <c r="P1667" s="228" t="n">
        <f aca="false">VLOOKUP(B1667,'NIVEL ENERO'!A:D,3,0)</f>
        <v>0.367026231856178</v>
      </c>
      <c r="Q1667" s="229" t="n">
        <f aca="false">VLOOKUP(B1667,'NIVEL ENERO'!A:D,4,0)</f>
        <v>234068</v>
      </c>
      <c r="R1667" s="186" t="str">
        <f aca="false">+PROPER(C1667&amp;" "&amp;D1667)</f>
        <v>Mina Campo Diana Lizeth</v>
      </c>
      <c r="S1667" s="230" t="n">
        <f aca="false">+YEARFRAC(L1667,$S$1)</f>
        <v>1.93611111111111</v>
      </c>
      <c r="T1667" s="230" t="n">
        <f aca="false">+YEARFRAC(M1667,$S$1)</f>
        <v>2.29444444444444</v>
      </c>
      <c r="U1667" s="231" t="n">
        <f aca="false">+$I1667</f>
        <v>386232</v>
      </c>
      <c r="V1667" s="232" t="str">
        <f aca="false">+PROPER(F1667)</f>
        <v>Union Libre</v>
      </c>
    </row>
    <row r="1668" customFormat="false" ht="14.25" hidden="false" customHeight="false" outlineLevel="0" collapsed="false">
      <c r="B1668" s="197" t="n">
        <v>1144175329</v>
      </c>
      <c r="C1668" s="197" t="s">
        <v>3783</v>
      </c>
      <c r="D1668" s="197" t="s">
        <v>3784</v>
      </c>
      <c r="E1668" s="198" t="s">
        <v>944</v>
      </c>
      <c r="F1668" s="198" t="s">
        <v>953</v>
      </c>
      <c r="G1668" s="225" t="n">
        <v>2893800</v>
      </c>
      <c r="H1668" s="225" t="n">
        <v>2617821</v>
      </c>
      <c r="I1668" s="225" t="n">
        <v>2860693</v>
      </c>
      <c r="J1668" s="198" t="n">
        <v>30</v>
      </c>
      <c r="K1668" s="198" t="n">
        <v>3</v>
      </c>
      <c r="L1668" s="226" t="n">
        <v>44169</v>
      </c>
      <c r="M1668" s="226" t="n">
        <v>42078</v>
      </c>
      <c r="N1668" s="227" t="n">
        <v>2</v>
      </c>
      <c r="O1668" s="227" t="s">
        <v>135</v>
      </c>
      <c r="P1668" s="228" t="n">
        <f aca="false">VLOOKUP(B1668,'NIVEL ENERO'!A:D,3,0)</f>
        <v>0.171933283155013</v>
      </c>
      <c r="Q1668" s="229" t="n">
        <f aca="false">VLOOKUP(B1668,'NIVEL ENERO'!A:D,4,0)</f>
        <v>954903.72</v>
      </c>
      <c r="R1668" s="186" t="str">
        <f aca="false">+PROPER(C1668&amp;" "&amp;D1668)</f>
        <v>Joly Grajales Julie Yanine</v>
      </c>
      <c r="S1668" s="230" t="n">
        <f aca="false">+YEARFRAC(L1668,$S$1)</f>
        <v>5.43888888888889</v>
      </c>
      <c r="T1668" s="230" t="n">
        <f aca="false">+YEARFRAC(M1668,$S$1)</f>
        <v>11.1583333333333</v>
      </c>
      <c r="U1668" s="231" t="n">
        <f aca="false">+$I1668</f>
        <v>2860693</v>
      </c>
      <c r="V1668" s="232" t="str">
        <f aca="false">+PROPER(F1668)</f>
        <v>Soltero(A)</v>
      </c>
    </row>
    <row r="1669" customFormat="false" ht="14.25" hidden="false" customHeight="false" outlineLevel="0" collapsed="false">
      <c r="B1669" s="197" t="n">
        <v>1144175696</v>
      </c>
      <c r="C1669" s="197" t="s">
        <v>3785</v>
      </c>
      <c r="D1669" s="197" t="s">
        <v>1451</v>
      </c>
      <c r="E1669" s="198" t="s">
        <v>944</v>
      </c>
      <c r="F1669" s="198" t="s">
        <v>945</v>
      </c>
      <c r="G1669" s="225" t="n">
        <v>2600900</v>
      </c>
      <c r="H1669" s="225" t="n">
        <v>2708720</v>
      </c>
      <c r="I1669" s="225" t="n">
        <v>1608361</v>
      </c>
      <c r="J1669" s="198" t="n">
        <v>30</v>
      </c>
      <c r="K1669" s="198" t="n">
        <v>1</v>
      </c>
      <c r="L1669" s="226" t="n">
        <v>44848</v>
      </c>
      <c r="M1669" s="226" t="n">
        <v>43678</v>
      </c>
      <c r="N1669" s="227" t="n">
        <v>0</v>
      </c>
      <c r="O1669" s="227" t="s">
        <v>135</v>
      </c>
      <c r="P1669" s="228" t="n">
        <f aca="false">VLOOKUP(B1669,'NIVEL ENERO'!A:D,3,0)</f>
        <v>0.249389442116191</v>
      </c>
      <c r="Q1669" s="229" t="n">
        <f aca="false">VLOOKUP(B1669,'NIVEL ENERO'!A:D,4,0)</f>
        <v>443741</v>
      </c>
      <c r="R1669" s="186" t="str">
        <f aca="false">+PROPER(C1669&amp;" "&amp;D1669)</f>
        <v>Vaca Benavides Marcela</v>
      </c>
      <c r="S1669" s="230" t="n">
        <f aca="false">+YEARFRAC(L1669,$S$1)</f>
        <v>3.57777777777778</v>
      </c>
      <c r="T1669" s="230" t="n">
        <f aca="false">+YEARFRAC(M1669,$S$1)</f>
        <v>6.78055555555556</v>
      </c>
      <c r="U1669" s="231" t="n">
        <f aca="false">+$I1669</f>
        <v>1608361</v>
      </c>
      <c r="V1669" s="232" t="str">
        <f aca="false">+PROPER(F1669)</f>
        <v>Union Libre</v>
      </c>
    </row>
    <row r="1670" customFormat="false" ht="14.25" hidden="false" customHeight="false" outlineLevel="0" collapsed="false">
      <c r="B1670" s="197" t="n">
        <v>1144175903</v>
      </c>
      <c r="C1670" s="197" t="s">
        <v>3786</v>
      </c>
      <c r="D1670" s="197" t="s">
        <v>3787</v>
      </c>
      <c r="E1670" s="198" t="s">
        <v>944</v>
      </c>
      <c r="F1670" s="198" t="s">
        <v>953</v>
      </c>
      <c r="G1670" s="225" t="n">
        <v>2600000</v>
      </c>
      <c r="H1670" s="225" t="n">
        <v>2214464</v>
      </c>
      <c r="I1670" s="225" t="n">
        <v>13711929</v>
      </c>
      <c r="J1670" s="198" t="n">
        <v>30</v>
      </c>
      <c r="K1670" s="198" t="n">
        <v>4</v>
      </c>
      <c r="L1670" s="226" t="n">
        <v>44840</v>
      </c>
      <c r="M1670" s="226" t="n">
        <v>44830</v>
      </c>
      <c r="N1670" s="227" t="n">
        <v>2</v>
      </c>
      <c r="O1670" s="227" t="s">
        <v>153</v>
      </c>
      <c r="P1670" s="228" t="e">
        <f aca="false">VLOOKUP(B1670,'NIVEL ENERO'!A:D,3,0)</f>
        <v>#N/A</v>
      </c>
      <c r="Q1670" s="229" t="e">
        <f aca="false">VLOOKUP(B1670,'NIVEL ENERO'!A:D,4,0)</f>
        <v>#N/A</v>
      </c>
      <c r="R1670" s="186" t="str">
        <f aca="false">+PROPER(C1670&amp;" "&amp;D1670)</f>
        <v>Agudelo Ospina Marilyn Gisela</v>
      </c>
      <c r="S1670" s="230" t="n">
        <f aca="false">+YEARFRAC(L1670,$S$1)</f>
        <v>3.6</v>
      </c>
      <c r="T1670" s="230" t="n">
        <f aca="false">+YEARFRAC(M1670,$S$1)</f>
        <v>3.62777777777778</v>
      </c>
      <c r="U1670" s="231" t="n">
        <f aca="false">+$I1670</f>
        <v>13711929</v>
      </c>
      <c r="V1670" s="232" t="str">
        <f aca="false">+PROPER(F1670)</f>
        <v>Soltero(A)</v>
      </c>
    </row>
    <row r="1671" customFormat="false" ht="14.25" hidden="false" customHeight="false" outlineLevel="0" collapsed="false">
      <c r="B1671" s="197" t="n">
        <v>1144176050</v>
      </c>
      <c r="C1671" s="197" t="s">
        <v>3788</v>
      </c>
      <c r="D1671" s="197" t="s">
        <v>3789</v>
      </c>
      <c r="E1671" s="198" t="s">
        <v>944</v>
      </c>
      <c r="F1671" s="198" t="s">
        <v>953</v>
      </c>
      <c r="G1671" s="225" t="n">
        <v>2916600</v>
      </c>
      <c r="H1671" s="225" t="n">
        <v>600000</v>
      </c>
      <c r="I1671" s="225"/>
      <c r="J1671" s="198" t="n">
        <v>30</v>
      </c>
      <c r="K1671" s="198" t="n">
        <v>1</v>
      </c>
      <c r="L1671" s="226" t="n">
        <v>45476</v>
      </c>
      <c r="M1671" s="226" t="n">
        <v>43358</v>
      </c>
      <c r="N1671" s="227" t="n">
        <v>0</v>
      </c>
      <c r="O1671" s="227" t="s">
        <v>135</v>
      </c>
      <c r="P1671" s="228" t="n">
        <f aca="false">VLOOKUP(B1671,'NIVEL ENERO'!A:D,3,0)</f>
        <v>0.126734523153518</v>
      </c>
      <c r="Q1671" s="229" t="n">
        <f aca="false">VLOOKUP(B1671,'NIVEL ENERO'!A:D,4,0)</f>
        <v>1131277.54</v>
      </c>
      <c r="R1671" s="186" t="str">
        <f aca="false">+PROPER(C1671&amp;" "&amp;D1671)</f>
        <v>Lindo Sanclemente Juliana Alejandra</v>
      </c>
      <c r="S1671" s="230" t="n">
        <f aca="false">+YEARFRAC(L1671,$S$1)</f>
        <v>1.85833333333333</v>
      </c>
      <c r="T1671" s="230" t="n">
        <f aca="false">+YEARFRAC(M1671,$S$1)</f>
        <v>7.65833333333333</v>
      </c>
      <c r="U1671" s="231" t="n">
        <f aca="false">+$I1671</f>
        <v>0</v>
      </c>
      <c r="V1671" s="232" t="str">
        <f aca="false">+PROPER(F1671)</f>
        <v>Soltero(A)</v>
      </c>
    </row>
    <row r="1672" customFormat="false" ht="14.25" hidden="false" customHeight="false" outlineLevel="0" collapsed="false">
      <c r="B1672" s="197" t="n">
        <v>1144179107</v>
      </c>
      <c r="C1672" s="197" t="s">
        <v>3790</v>
      </c>
      <c r="D1672" s="197" t="s">
        <v>2052</v>
      </c>
      <c r="E1672" s="198" t="s">
        <v>944</v>
      </c>
      <c r="F1672" s="198" t="s">
        <v>948</v>
      </c>
      <c r="G1672" s="225" t="n">
        <v>2893800</v>
      </c>
      <c r="H1672" s="225" t="n">
        <v>2864297</v>
      </c>
      <c r="I1672" s="225" t="n">
        <v>3875279</v>
      </c>
      <c r="J1672" s="198" t="n">
        <v>30</v>
      </c>
      <c r="K1672" s="198" t="n">
        <v>2</v>
      </c>
      <c r="L1672" s="226" t="n">
        <v>43901</v>
      </c>
      <c r="M1672" s="226" t="n">
        <v>42339</v>
      </c>
      <c r="N1672" s="227" t="n">
        <v>4</v>
      </c>
      <c r="O1672" s="227" t="s">
        <v>135</v>
      </c>
      <c r="P1672" s="228" t="n">
        <f aca="false">VLOOKUP(B1672,'NIVEL ENERO'!A:D,3,0)</f>
        <v>0.375171055359735</v>
      </c>
      <c r="Q1672" s="229" t="n">
        <f aca="false">VLOOKUP(B1672,'NIVEL ENERO'!A:D,4,0)</f>
        <v>129726</v>
      </c>
      <c r="R1672" s="186" t="str">
        <f aca="false">+PROPER(C1672&amp;" "&amp;D1672)</f>
        <v>Balanta Castellar Kelly Johanna</v>
      </c>
      <c r="S1672" s="230" t="n">
        <f aca="false">+YEARFRAC(L1672,$S$1)</f>
        <v>6.16944444444444</v>
      </c>
      <c r="T1672" s="230" t="n">
        <f aca="false">+YEARFRAC(M1672,$S$1)</f>
        <v>10.4472222222222</v>
      </c>
      <c r="U1672" s="231" t="n">
        <f aca="false">+$I1672</f>
        <v>3875279</v>
      </c>
      <c r="V1672" s="232" t="str">
        <f aca="false">+PROPER(F1672)</f>
        <v>Casado(A)</v>
      </c>
    </row>
    <row r="1673" customFormat="false" ht="14.25" hidden="false" customHeight="false" outlineLevel="0" collapsed="false">
      <c r="B1673" s="197" t="n">
        <v>1144179372</v>
      </c>
      <c r="C1673" s="197" t="s">
        <v>3791</v>
      </c>
      <c r="D1673" s="197" t="s">
        <v>1789</v>
      </c>
      <c r="E1673" s="198" t="s">
        <v>944</v>
      </c>
      <c r="F1673" s="198" t="s">
        <v>945</v>
      </c>
      <c r="G1673" s="225" t="n">
        <v>1625000</v>
      </c>
      <c r="H1673" s="225" t="n">
        <v>715000</v>
      </c>
      <c r="I1673" s="225"/>
      <c r="J1673" s="198" t="n">
        <v>30</v>
      </c>
      <c r="K1673" s="198" t="n">
        <v>1</v>
      </c>
      <c r="L1673" s="226" t="n">
        <v>45342</v>
      </c>
      <c r="M1673" s="226" t="n">
        <v>45271</v>
      </c>
      <c r="N1673" s="227" t="n">
        <v>0</v>
      </c>
      <c r="O1673" s="227" t="s">
        <v>135</v>
      </c>
      <c r="P1673" s="228" t="n">
        <f aca="false">VLOOKUP(B1673,'NIVEL ENERO'!A:D,3,0)</f>
        <v>0.396045009230769</v>
      </c>
      <c r="Q1673" s="229" t="n">
        <f aca="false">VLOOKUP(B1673,'NIVEL ENERO'!A:D,4,0)</f>
        <v>92683</v>
      </c>
      <c r="R1673" s="186" t="str">
        <f aca="false">+PROPER(C1673&amp;" "&amp;D1673)</f>
        <v>Castaneda Perez Lina Maria</v>
      </c>
      <c r="S1673" s="230" t="n">
        <f aca="false">+YEARFRAC(L1673,$S$1)</f>
        <v>2.22777777777778</v>
      </c>
      <c r="T1673" s="230" t="n">
        <f aca="false">+YEARFRAC(M1673,$S$1)</f>
        <v>2.41944444444444</v>
      </c>
      <c r="U1673" s="231" t="n">
        <f aca="false">+$I1673</f>
        <v>0</v>
      </c>
      <c r="V1673" s="232" t="str">
        <f aca="false">+PROPER(F1673)</f>
        <v>Union Libre</v>
      </c>
    </row>
    <row r="1674" customFormat="false" ht="14.25" hidden="false" customHeight="false" outlineLevel="0" collapsed="false">
      <c r="B1674" s="197" t="n">
        <v>1144179414</v>
      </c>
      <c r="C1674" s="197" t="s">
        <v>3792</v>
      </c>
      <c r="D1674" s="197" t="s">
        <v>2754</v>
      </c>
      <c r="E1674" s="198" t="s">
        <v>944</v>
      </c>
      <c r="F1674" s="198" t="s">
        <v>953</v>
      </c>
      <c r="G1674" s="225" t="n">
        <v>1918500</v>
      </c>
      <c r="H1674" s="225" t="n">
        <v>2365283</v>
      </c>
      <c r="I1674" s="225" t="n">
        <v>2843707</v>
      </c>
      <c r="J1674" s="198" t="n">
        <v>30</v>
      </c>
      <c r="K1674" s="198" t="n">
        <v>2</v>
      </c>
      <c r="L1674" s="226" t="n">
        <v>44364</v>
      </c>
      <c r="M1674" s="226" t="n">
        <v>44229</v>
      </c>
      <c r="N1674" s="227" t="n">
        <v>2</v>
      </c>
      <c r="O1674" s="227" t="s">
        <v>135</v>
      </c>
      <c r="P1674" s="228" t="n">
        <f aca="false">VLOOKUP(B1674,'NIVEL ENERO'!A:D,3,0)</f>
        <v>0.377030836591087</v>
      </c>
      <c r="Q1674" s="229" t="n">
        <f aca="false">VLOOKUP(B1674,'NIVEL ENERO'!A:D,4,0)</f>
        <v>196277</v>
      </c>
      <c r="R1674" s="186" t="str">
        <f aca="false">+PROPER(C1674&amp;" "&amp;D1674)</f>
        <v>Mina Lopez Leidy Johana</v>
      </c>
      <c r="S1674" s="230" t="n">
        <f aca="false">+YEARFRAC(L1674,$S$1)</f>
        <v>4.90277777777778</v>
      </c>
      <c r="T1674" s="230" t="n">
        <f aca="false">+YEARFRAC(M1674,$S$1)</f>
        <v>5.27777777777778</v>
      </c>
      <c r="U1674" s="231" t="n">
        <f aca="false">+$I1674</f>
        <v>2843707</v>
      </c>
      <c r="V1674" s="232" t="str">
        <f aca="false">+PROPER(F1674)</f>
        <v>Soltero(A)</v>
      </c>
    </row>
    <row r="1675" customFormat="false" ht="14.25" hidden="false" customHeight="false" outlineLevel="0" collapsed="false">
      <c r="B1675" s="197" t="n">
        <v>1144180163</v>
      </c>
      <c r="C1675" s="197" t="s">
        <v>3793</v>
      </c>
      <c r="D1675" s="197" t="s">
        <v>3794</v>
      </c>
      <c r="E1675" s="198" t="s">
        <v>944</v>
      </c>
      <c r="F1675" s="198" t="s">
        <v>953</v>
      </c>
      <c r="G1675" s="225" t="n">
        <v>2600900</v>
      </c>
      <c r="H1675" s="225" t="n">
        <v>1506656</v>
      </c>
      <c r="I1675" s="225"/>
      <c r="J1675" s="198" t="n">
        <v>30</v>
      </c>
      <c r="K1675" s="198" t="n">
        <v>6</v>
      </c>
      <c r="L1675" s="226" t="n">
        <v>44875</v>
      </c>
      <c r="M1675" s="226" t="n">
        <v>43788</v>
      </c>
      <c r="N1675" s="227" t="n">
        <v>0</v>
      </c>
      <c r="O1675" s="227" t="s">
        <v>135</v>
      </c>
      <c r="P1675" s="228" t="n">
        <f aca="false">VLOOKUP(B1675,'NIVEL ENERO'!A:D,3,0)</f>
        <v>0.343544926756123</v>
      </c>
      <c r="Q1675" s="229" t="n">
        <f aca="false">VLOOKUP(B1675,'NIVEL ENERO'!A:D,4,0)</f>
        <v>198852</v>
      </c>
      <c r="R1675" s="186" t="str">
        <f aca="false">+PROPER(C1675&amp;" "&amp;D1675)</f>
        <v>Rojo Castillo Yuly Marcela</v>
      </c>
      <c r="S1675" s="230" t="n">
        <f aca="false">+YEARFRAC(L1675,$S$1)</f>
        <v>3.50555555555556</v>
      </c>
      <c r="T1675" s="230" t="n">
        <f aca="false">+YEARFRAC(M1675,$S$1)</f>
        <v>6.48055555555556</v>
      </c>
      <c r="U1675" s="231" t="n">
        <f aca="false">+$I1675</f>
        <v>0</v>
      </c>
      <c r="V1675" s="232" t="str">
        <f aca="false">+PROPER(F1675)</f>
        <v>Soltero(A)</v>
      </c>
    </row>
    <row r="1676" customFormat="false" ht="14.25" hidden="false" customHeight="false" outlineLevel="0" collapsed="false">
      <c r="B1676" s="197" t="n">
        <v>1144181518</v>
      </c>
      <c r="C1676" s="197" t="s">
        <v>3795</v>
      </c>
      <c r="D1676" s="197" t="s">
        <v>3796</v>
      </c>
      <c r="E1676" s="198" t="s">
        <v>944</v>
      </c>
      <c r="F1676" s="198" t="s">
        <v>945</v>
      </c>
      <c r="G1676" s="225" t="n">
        <v>2893800</v>
      </c>
      <c r="H1676" s="225" t="n">
        <v>3965825</v>
      </c>
      <c r="I1676" s="225" t="n">
        <v>830425</v>
      </c>
      <c r="J1676" s="198" t="n">
        <v>30</v>
      </c>
      <c r="K1676" s="198" t="n">
        <v>2</v>
      </c>
      <c r="L1676" s="226" t="n">
        <v>44609</v>
      </c>
      <c r="M1676" s="226" t="n">
        <v>42352</v>
      </c>
      <c r="N1676" s="227" t="n">
        <v>4</v>
      </c>
      <c r="O1676" s="227" t="s">
        <v>135</v>
      </c>
      <c r="P1676" s="228" t="n">
        <f aca="false">VLOOKUP(B1676,'NIVEL ENERO'!A:D,3,0)</f>
        <v>0.256128274241482</v>
      </c>
      <c r="Q1676" s="229" t="n">
        <f aca="false">VLOOKUP(B1676,'NIVEL ENERO'!A:D,4,0)</f>
        <v>474212</v>
      </c>
      <c r="R1676" s="186" t="str">
        <f aca="false">+PROPER(C1676&amp;" "&amp;D1676)</f>
        <v>Bustos Cruz Eylen Andrea</v>
      </c>
      <c r="S1676" s="230" t="n">
        <f aca="false">+YEARFRAC(L1676,$S$1)</f>
        <v>4.23611111111111</v>
      </c>
      <c r="T1676" s="230" t="n">
        <f aca="false">+YEARFRAC(M1676,$S$1)</f>
        <v>10.4111111111111</v>
      </c>
      <c r="U1676" s="231" t="n">
        <f aca="false">+$I1676</f>
        <v>830425</v>
      </c>
      <c r="V1676" s="232" t="str">
        <f aca="false">+PROPER(F1676)</f>
        <v>Union Libre</v>
      </c>
    </row>
    <row r="1677" customFormat="false" ht="14.25" hidden="false" customHeight="false" outlineLevel="0" collapsed="false">
      <c r="B1677" s="197" t="n">
        <v>1144181904</v>
      </c>
      <c r="C1677" s="197" t="s">
        <v>3797</v>
      </c>
      <c r="D1677" s="197" t="s">
        <v>3798</v>
      </c>
      <c r="E1677" s="198" t="s">
        <v>944</v>
      </c>
      <c r="F1677" s="198" t="s">
        <v>953</v>
      </c>
      <c r="G1677" s="225" t="n">
        <v>2600900</v>
      </c>
      <c r="H1677" s="225" t="n">
        <v>5088921</v>
      </c>
      <c r="I1677" s="225" t="n">
        <v>1872972</v>
      </c>
      <c r="J1677" s="198" t="n">
        <v>30</v>
      </c>
      <c r="K1677" s="198" t="n">
        <v>4</v>
      </c>
      <c r="L1677" s="226" t="n">
        <v>42752</v>
      </c>
      <c r="M1677" s="226" t="n">
        <v>42566</v>
      </c>
      <c r="N1677" s="227" t="n">
        <v>2</v>
      </c>
      <c r="O1677" s="227" t="s">
        <v>135</v>
      </c>
      <c r="P1677" s="228" t="n">
        <f aca="false">VLOOKUP(B1677,'NIVEL ENERO'!A:D,3,0)</f>
        <v>0.418802851841284</v>
      </c>
      <c r="Q1677" s="229" t="n">
        <f aca="false">VLOOKUP(B1677,'NIVEL ENERO'!A:D,4,0)</f>
        <v>3952.31999999983</v>
      </c>
      <c r="R1677" s="186" t="str">
        <f aca="false">+PROPER(C1677&amp;" "&amp;D1677)</f>
        <v>Giron Campos Bryhan Eduardo</v>
      </c>
      <c r="S1677" s="230" t="n">
        <f aca="false">+YEARFRAC(L1677,$S$1)</f>
        <v>9.31944444444445</v>
      </c>
      <c r="T1677" s="230" t="n">
        <f aca="false">+YEARFRAC(M1677,$S$1)</f>
        <v>9.825</v>
      </c>
      <c r="U1677" s="231" t="n">
        <f aca="false">+$I1677</f>
        <v>1872972</v>
      </c>
      <c r="V1677" s="232" t="str">
        <f aca="false">+PROPER(F1677)</f>
        <v>Soltero(A)</v>
      </c>
    </row>
    <row r="1678" customFormat="false" ht="14.25" hidden="false" customHeight="false" outlineLevel="0" collapsed="false">
      <c r="B1678" s="197" t="n">
        <v>1144182000</v>
      </c>
      <c r="C1678" s="197" t="s">
        <v>3799</v>
      </c>
      <c r="D1678" s="197" t="s">
        <v>2672</v>
      </c>
      <c r="E1678" s="198" t="s">
        <v>944</v>
      </c>
      <c r="F1678" s="198" t="s">
        <v>953</v>
      </c>
      <c r="G1678" s="225" t="n">
        <v>4469100</v>
      </c>
      <c r="H1678" s="225" t="n">
        <v>2086164</v>
      </c>
      <c r="I1678" s="225" t="n">
        <v>1362849</v>
      </c>
      <c r="J1678" s="198" t="n">
        <v>30</v>
      </c>
      <c r="K1678" s="198" t="n">
        <v>4</v>
      </c>
      <c r="L1678" s="226" t="n">
        <v>44882</v>
      </c>
      <c r="M1678" s="226" t="n">
        <v>44476</v>
      </c>
      <c r="N1678" s="227" t="n">
        <v>0</v>
      </c>
      <c r="O1678" s="227" t="s">
        <v>135</v>
      </c>
      <c r="P1678" s="228" t="n">
        <f aca="false">VLOOKUP(B1678,'NIVEL ENERO'!A:D,3,0)</f>
        <v>0.356393539728445</v>
      </c>
      <c r="Q1678" s="229" t="n">
        <f aca="false">VLOOKUP(B1678,'NIVEL ENERO'!A:D,4,0)</f>
        <v>295798.96</v>
      </c>
      <c r="R1678" s="186" t="str">
        <f aca="false">+PROPER(C1678&amp;" "&amp;D1678)</f>
        <v>Cuero Ramos Maira Alejandra</v>
      </c>
      <c r="S1678" s="230" t="n">
        <f aca="false">+YEARFRAC(L1678,$S$1)</f>
        <v>3.48611111111111</v>
      </c>
      <c r="T1678" s="230" t="n">
        <f aca="false">+YEARFRAC(M1678,$S$1)</f>
        <v>4.59722222222222</v>
      </c>
      <c r="U1678" s="231" t="n">
        <f aca="false">+$I1678</f>
        <v>1362849</v>
      </c>
      <c r="V1678" s="232" t="str">
        <f aca="false">+PROPER(F1678)</f>
        <v>Soltero(A)</v>
      </c>
    </row>
    <row r="1679" customFormat="false" ht="14.25" hidden="false" customHeight="false" outlineLevel="0" collapsed="false">
      <c r="B1679" s="197" t="n">
        <v>1144185524</v>
      </c>
      <c r="C1679" s="197" t="s">
        <v>3800</v>
      </c>
      <c r="D1679" s="197" t="s">
        <v>2619</v>
      </c>
      <c r="E1679" s="198" t="s">
        <v>944</v>
      </c>
      <c r="F1679" s="198" t="s">
        <v>945</v>
      </c>
      <c r="G1679" s="225" t="n">
        <v>1625000</v>
      </c>
      <c r="H1679" s="225" t="n">
        <v>1200220</v>
      </c>
      <c r="I1679" s="225"/>
      <c r="J1679" s="198" t="n">
        <v>29</v>
      </c>
      <c r="K1679" s="198" t="n">
        <v>2</v>
      </c>
      <c r="L1679" s="226" t="n">
        <v>45220</v>
      </c>
      <c r="M1679" s="226" t="n">
        <v>45058</v>
      </c>
      <c r="N1679" s="227" t="n">
        <v>0</v>
      </c>
      <c r="O1679" s="227" t="s">
        <v>135</v>
      </c>
      <c r="P1679" s="228" t="n">
        <f aca="false">VLOOKUP(B1679,'NIVEL ENERO'!A:D,3,0)</f>
        <v>0.289732890399487</v>
      </c>
      <c r="Q1679" s="229" t="n">
        <f aca="false">VLOOKUP(B1679,'NIVEL ENERO'!A:D,4,0)</f>
        <v>284807.02</v>
      </c>
      <c r="R1679" s="186" t="str">
        <f aca="false">+PROPER(C1679&amp;" "&amp;D1679)</f>
        <v>Alvarez Lemos Stephany</v>
      </c>
      <c r="S1679" s="230" t="n">
        <f aca="false">+YEARFRAC(L1679,$S$1)</f>
        <v>2.55833333333333</v>
      </c>
      <c r="T1679" s="230" t="n">
        <f aca="false">+YEARFRAC(M1679,$S$1)</f>
        <v>3</v>
      </c>
      <c r="U1679" s="231" t="n">
        <f aca="false">+$I1679</f>
        <v>0</v>
      </c>
      <c r="V1679" s="232" t="str">
        <f aca="false">+PROPER(F1679)</f>
        <v>Union Libre</v>
      </c>
    </row>
    <row r="1680" customFormat="false" ht="14.25" hidden="false" customHeight="false" outlineLevel="0" collapsed="false">
      <c r="B1680" s="197" t="n">
        <v>1144185994</v>
      </c>
      <c r="C1680" s="197" t="s">
        <v>3801</v>
      </c>
      <c r="D1680" s="197" t="s">
        <v>3802</v>
      </c>
      <c r="E1680" s="198" t="s">
        <v>944</v>
      </c>
      <c r="F1680" s="198" t="s">
        <v>948</v>
      </c>
      <c r="G1680" s="225" t="n">
        <v>2893800</v>
      </c>
      <c r="H1680" s="225" t="n">
        <v>3823930</v>
      </c>
      <c r="I1680" s="225" t="n">
        <v>0</v>
      </c>
      <c r="J1680" s="198" t="n">
        <v>29</v>
      </c>
      <c r="K1680" s="198" t="n">
        <v>2</v>
      </c>
      <c r="L1680" s="226" t="n">
        <v>45079</v>
      </c>
      <c r="M1680" s="226" t="n">
        <v>42430</v>
      </c>
      <c r="N1680" s="227" t="n">
        <v>2</v>
      </c>
      <c r="O1680" s="227" t="s">
        <v>135</v>
      </c>
      <c r="P1680" s="228" t="n">
        <f aca="false">VLOOKUP(B1680,'NIVEL ENERO'!A:D,3,0)</f>
        <v>0.193842854532596</v>
      </c>
      <c r="Q1680" s="229" t="n">
        <f aca="false">VLOOKUP(B1680,'NIVEL ENERO'!A:D,4,0)</f>
        <v>639910.06</v>
      </c>
      <c r="R1680" s="186" t="str">
        <f aca="false">+PROPER(C1680&amp;" "&amp;D1680)</f>
        <v>Mera Caicedo Joseph William</v>
      </c>
      <c r="S1680" s="230" t="n">
        <f aca="false">+YEARFRAC(L1680,$S$1)</f>
        <v>2.94444444444444</v>
      </c>
      <c r="T1680" s="230" t="n">
        <f aca="false">+YEARFRAC(M1680,$S$1)</f>
        <v>10.1972222222222</v>
      </c>
      <c r="U1680" s="231" t="n">
        <f aca="false">+$I1680</f>
        <v>0</v>
      </c>
      <c r="V1680" s="232" t="str">
        <f aca="false">+PROPER(F1680)</f>
        <v>Casado(A)</v>
      </c>
    </row>
    <row r="1681" customFormat="false" ht="14.25" hidden="false" customHeight="false" outlineLevel="0" collapsed="false">
      <c r="B1681" s="197" t="n">
        <v>1144186814</v>
      </c>
      <c r="C1681" s="197" t="s">
        <v>3803</v>
      </c>
      <c r="D1681" s="197" t="s">
        <v>2649</v>
      </c>
      <c r="E1681" s="198" t="s">
        <v>944</v>
      </c>
      <c r="F1681" s="198" t="s">
        <v>945</v>
      </c>
      <c r="G1681" s="225" t="n">
        <v>2893800</v>
      </c>
      <c r="H1681" s="225" t="n">
        <v>520000</v>
      </c>
      <c r="I1681" s="225"/>
      <c r="J1681" s="198" t="n">
        <v>29</v>
      </c>
      <c r="K1681" s="198" t="n">
        <v>1</v>
      </c>
      <c r="L1681" s="226" t="n">
        <v>45414</v>
      </c>
      <c r="M1681" s="226" t="n">
        <v>42114</v>
      </c>
      <c r="N1681" s="227" t="n">
        <v>0</v>
      </c>
      <c r="O1681" s="227" t="s">
        <v>135</v>
      </c>
      <c r="P1681" s="228" t="n">
        <f aca="false">VLOOKUP(B1681,'NIVEL ENERO'!A:D,3,0)</f>
        <v>0.492566697509578</v>
      </c>
      <c r="Q1681" s="229" t="n">
        <f aca="false">VLOOKUP(B1681,'NIVEL ENERO'!A:D,4,0)</f>
        <v>-210652.56</v>
      </c>
      <c r="R1681" s="186" t="str">
        <f aca="false">+PROPER(C1681&amp;" "&amp;D1681)</f>
        <v>Trejos Quigua Maria Del Mar</v>
      </c>
      <c r="S1681" s="230" t="n">
        <f aca="false">+YEARFRAC(L1681,$S$1)</f>
        <v>2.02777777777778</v>
      </c>
      <c r="T1681" s="230" t="n">
        <f aca="false">+YEARFRAC(M1681,$S$1)</f>
        <v>11.0611111111111</v>
      </c>
      <c r="U1681" s="231" t="n">
        <f aca="false">+$I1681</f>
        <v>0</v>
      </c>
      <c r="V1681" s="232" t="str">
        <f aca="false">+PROPER(F1681)</f>
        <v>Union Libre</v>
      </c>
    </row>
    <row r="1682" customFormat="false" ht="14.25" hidden="false" customHeight="false" outlineLevel="0" collapsed="false">
      <c r="B1682" s="197" t="n">
        <v>1144186978</v>
      </c>
      <c r="C1682" s="197" t="s">
        <v>3804</v>
      </c>
      <c r="D1682" s="197" t="s">
        <v>3805</v>
      </c>
      <c r="E1682" s="198" t="s">
        <v>944</v>
      </c>
      <c r="F1682" s="198" t="s">
        <v>948</v>
      </c>
      <c r="G1682" s="225" t="n">
        <v>2600900</v>
      </c>
      <c r="H1682" s="225" t="n">
        <v>3155220</v>
      </c>
      <c r="I1682" s="225" t="n">
        <v>4846617</v>
      </c>
      <c r="J1682" s="198" t="n">
        <v>29</v>
      </c>
      <c r="K1682" s="198" t="n">
        <v>3</v>
      </c>
      <c r="L1682" s="226" t="n">
        <v>44154</v>
      </c>
      <c r="M1682" s="226" t="n">
        <v>42870</v>
      </c>
      <c r="N1682" s="227" t="n">
        <v>3</v>
      </c>
      <c r="O1682" s="227" t="s">
        <v>135</v>
      </c>
      <c r="P1682" s="228" t="n">
        <f aca="false">VLOOKUP(B1682,'NIVEL ENERO'!A:D,3,0)</f>
        <v>0.460184335103047</v>
      </c>
      <c r="Q1682" s="229" t="n">
        <f aca="false">VLOOKUP(B1682,'NIVEL ENERO'!A:D,4,0)</f>
        <v>-120249.56</v>
      </c>
      <c r="R1682" s="186" t="str">
        <f aca="false">+PROPER(C1682&amp;" "&amp;D1682)</f>
        <v>Cisneros Garcia Mayra  Alejandra</v>
      </c>
      <c r="S1682" s="230" t="n">
        <f aca="false">+YEARFRAC(L1682,$S$1)</f>
        <v>5.48055555555556</v>
      </c>
      <c r="T1682" s="230" t="n">
        <f aca="false">+YEARFRAC(M1682,$S$1)</f>
        <v>8.99166666666667</v>
      </c>
      <c r="U1682" s="231" t="n">
        <f aca="false">+$I1682</f>
        <v>4846617</v>
      </c>
      <c r="V1682" s="232" t="str">
        <f aca="false">+PROPER(F1682)</f>
        <v>Casado(A)</v>
      </c>
    </row>
    <row r="1683" customFormat="false" ht="14.25" hidden="false" customHeight="false" outlineLevel="0" collapsed="false">
      <c r="B1683" s="197" t="n">
        <v>1144187352</v>
      </c>
      <c r="C1683" s="197" t="s">
        <v>3806</v>
      </c>
      <c r="D1683" s="197" t="s">
        <v>3807</v>
      </c>
      <c r="E1683" s="198" t="s">
        <v>944</v>
      </c>
      <c r="F1683" s="198" t="s">
        <v>953</v>
      </c>
      <c r="G1683" s="225" t="n">
        <v>4383200</v>
      </c>
      <c r="H1683" s="225" t="n">
        <v>1910716</v>
      </c>
      <c r="I1683" s="225" t="n">
        <v>1851644</v>
      </c>
      <c r="J1683" s="198" t="n">
        <v>29</v>
      </c>
      <c r="K1683" s="198" t="n">
        <v>2</v>
      </c>
      <c r="L1683" s="226" t="n">
        <v>44642</v>
      </c>
      <c r="M1683" s="226" t="n">
        <v>44105</v>
      </c>
      <c r="N1683" s="227" t="n">
        <v>2</v>
      </c>
      <c r="O1683" s="227" t="s">
        <v>135</v>
      </c>
      <c r="P1683" s="228" t="n">
        <f aca="false">VLOOKUP(B1683,'NIVEL ENERO'!A:D,3,0)</f>
        <v>0.358589450860157</v>
      </c>
      <c r="Q1683" s="229" t="n">
        <f aca="false">VLOOKUP(B1683,'NIVEL ENERO'!A:D,4,0)</f>
        <v>296891.92</v>
      </c>
      <c r="R1683" s="186" t="str">
        <f aca="false">+PROPER(C1683&amp;" "&amp;D1683)</f>
        <v>Ordonez Liscano Melissa Andrea</v>
      </c>
      <c r="S1683" s="230" t="n">
        <f aca="false">+YEARFRAC(L1683,$S$1)</f>
        <v>4.13888888888889</v>
      </c>
      <c r="T1683" s="230" t="n">
        <f aca="false">+YEARFRAC(M1683,$S$1)</f>
        <v>5.61388888888889</v>
      </c>
      <c r="U1683" s="231" t="n">
        <f aca="false">+$I1683</f>
        <v>1851644</v>
      </c>
      <c r="V1683" s="232" t="str">
        <f aca="false">+PROPER(F1683)</f>
        <v>Soltero(A)</v>
      </c>
    </row>
    <row r="1684" customFormat="false" ht="14.25" hidden="false" customHeight="false" outlineLevel="0" collapsed="false">
      <c r="B1684" s="197" t="n">
        <v>1144187518</v>
      </c>
      <c r="C1684" s="197" t="s">
        <v>3808</v>
      </c>
      <c r="D1684" s="197" t="s">
        <v>3809</v>
      </c>
      <c r="E1684" s="198" t="s">
        <v>944</v>
      </c>
      <c r="F1684" s="198" t="s">
        <v>953</v>
      </c>
      <c r="G1684" s="225" t="n">
        <v>1918500</v>
      </c>
      <c r="H1684" s="225" t="n">
        <v>100000</v>
      </c>
      <c r="I1684" s="225"/>
      <c r="J1684" s="198" t="n">
        <v>29</v>
      </c>
      <c r="K1684" s="198" t="n">
        <v>4</v>
      </c>
      <c r="L1684" s="226" t="n">
        <v>45643</v>
      </c>
      <c r="M1684" s="226" t="n">
        <v>44937</v>
      </c>
      <c r="N1684" s="227" t="n">
        <v>0</v>
      </c>
      <c r="O1684" s="227" t="s">
        <v>135</v>
      </c>
      <c r="P1684" s="228" t="e">
        <f aca="false">VLOOKUP(B1684,'NIVEL ENERO'!A:D,3,0)</f>
        <v>#N/A</v>
      </c>
      <c r="Q1684" s="229" t="e">
        <f aca="false">VLOOKUP(B1684,'NIVEL ENERO'!A:D,4,0)</f>
        <v>#N/A</v>
      </c>
      <c r="R1684" s="186" t="str">
        <f aca="false">+PROPER(C1684&amp;" "&amp;D1684)</f>
        <v>Otalvaro Sierra Jorge Jhonnyer</v>
      </c>
      <c r="S1684" s="230" t="n">
        <f aca="false">+YEARFRAC(L1684,$S$1)</f>
        <v>1.40277777777778</v>
      </c>
      <c r="T1684" s="230" t="n">
        <f aca="false">+YEARFRAC(M1684,$S$1)</f>
        <v>3.33611111111111</v>
      </c>
      <c r="U1684" s="231" t="n">
        <f aca="false">+$I1684</f>
        <v>0</v>
      </c>
      <c r="V1684" s="232" t="str">
        <f aca="false">+PROPER(F1684)</f>
        <v>Soltero(A)</v>
      </c>
    </row>
    <row r="1685" customFormat="false" ht="14.25" hidden="false" customHeight="false" outlineLevel="0" collapsed="false">
      <c r="B1685" s="197" t="n">
        <v>1144188314</v>
      </c>
      <c r="C1685" s="197" t="s">
        <v>3810</v>
      </c>
      <c r="D1685" s="197" t="s">
        <v>3811</v>
      </c>
      <c r="E1685" s="198" t="s">
        <v>944</v>
      </c>
      <c r="F1685" s="198" t="s">
        <v>948</v>
      </c>
      <c r="G1685" s="225" t="n">
        <v>1670000</v>
      </c>
      <c r="H1685" s="225" t="n">
        <v>1500275</v>
      </c>
      <c r="I1685" s="225"/>
      <c r="J1685" s="198" t="n">
        <v>29</v>
      </c>
      <c r="K1685" s="198" t="n">
        <v>2</v>
      </c>
      <c r="L1685" s="226" t="n">
        <v>45219</v>
      </c>
      <c r="M1685" s="226" t="n">
        <v>43630</v>
      </c>
      <c r="N1685" s="227" t="n">
        <v>0</v>
      </c>
      <c r="O1685" s="227" t="s">
        <v>135</v>
      </c>
      <c r="P1685" s="228" t="n">
        <f aca="false">VLOOKUP(B1685,'NIVEL ENERO'!A:D,3,0)</f>
        <v>0.417596478895601</v>
      </c>
      <c r="Q1685" s="229" t="n">
        <f aca="false">VLOOKUP(B1685,'NIVEL ENERO'!A:D,4,0)</f>
        <v>10032.3333333333</v>
      </c>
      <c r="R1685" s="186" t="str">
        <f aca="false">+PROPER(C1685&amp;" "&amp;D1685)</f>
        <v>Lopez Castano Eva Maria</v>
      </c>
      <c r="S1685" s="230" t="n">
        <f aca="false">+YEARFRAC(L1685,$S$1)</f>
        <v>2.56111111111111</v>
      </c>
      <c r="T1685" s="230" t="n">
        <f aca="false">+YEARFRAC(M1685,$S$1)</f>
        <v>6.91111111111111</v>
      </c>
      <c r="U1685" s="231" t="n">
        <f aca="false">+$I1685</f>
        <v>0</v>
      </c>
      <c r="V1685" s="232" t="str">
        <f aca="false">+PROPER(F1685)</f>
        <v>Casado(A)</v>
      </c>
    </row>
    <row r="1686" customFormat="false" ht="14.25" hidden="false" customHeight="false" outlineLevel="0" collapsed="false">
      <c r="B1686" s="197" t="n">
        <v>1144188603</v>
      </c>
      <c r="C1686" s="197" t="s">
        <v>3812</v>
      </c>
      <c r="D1686" s="197" t="s">
        <v>3813</v>
      </c>
      <c r="E1686" s="198" t="s">
        <v>944</v>
      </c>
      <c r="F1686" s="198" t="s">
        <v>953</v>
      </c>
      <c r="G1686" s="225" t="n">
        <v>2893800</v>
      </c>
      <c r="H1686" s="225" t="n">
        <v>2852740</v>
      </c>
      <c r="I1686" s="225" t="n">
        <v>2271442</v>
      </c>
      <c r="J1686" s="198" t="n">
        <v>29</v>
      </c>
      <c r="K1686" s="198" t="n">
        <v>2</v>
      </c>
      <c r="L1686" s="226" t="n">
        <v>45099</v>
      </c>
      <c r="M1686" s="226" t="n">
        <v>44699</v>
      </c>
      <c r="N1686" s="227" t="n">
        <v>0</v>
      </c>
      <c r="O1686" s="227" t="s">
        <v>135</v>
      </c>
      <c r="P1686" s="228" t="n">
        <f aca="false">VLOOKUP(B1686,'NIVEL ENERO'!A:D,3,0)</f>
        <v>0.372719907489728</v>
      </c>
      <c r="Q1686" s="229" t="n">
        <f aca="false">VLOOKUP(B1686,'NIVEL ENERO'!A:D,4,0)</f>
        <v>170618.74</v>
      </c>
      <c r="R1686" s="186" t="str">
        <f aca="false">+PROPER(C1686&amp;" "&amp;D1686)</f>
        <v>Cordoba Murilo Steven</v>
      </c>
      <c r="S1686" s="230" t="n">
        <f aca="false">+YEARFRAC(L1686,$S$1)</f>
        <v>2.88888888888889</v>
      </c>
      <c r="T1686" s="230" t="n">
        <f aca="false">+YEARFRAC(M1686,$S$1)</f>
        <v>3.98333333333333</v>
      </c>
      <c r="U1686" s="231" t="n">
        <f aca="false">+$I1686</f>
        <v>2271442</v>
      </c>
      <c r="V1686" s="232" t="str">
        <f aca="false">+PROPER(F1686)</f>
        <v>Soltero(A)</v>
      </c>
    </row>
    <row r="1687" customFormat="false" ht="14.25" hidden="false" customHeight="false" outlineLevel="0" collapsed="false">
      <c r="B1687" s="197" t="n">
        <v>1144188979</v>
      </c>
      <c r="C1687" s="197" t="s">
        <v>3814</v>
      </c>
      <c r="D1687" s="197" t="s">
        <v>3815</v>
      </c>
      <c r="E1687" s="198" t="s">
        <v>944</v>
      </c>
      <c r="F1687" s="198" t="s">
        <v>945</v>
      </c>
      <c r="G1687" s="225" t="n">
        <v>1670000</v>
      </c>
      <c r="H1687" s="225" t="n">
        <v>1557164</v>
      </c>
      <c r="I1687" s="225" t="n">
        <v>659773</v>
      </c>
      <c r="J1687" s="198" t="n">
        <v>29</v>
      </c>
      <c r="K1687" s="198" t="n">
        <v>2</v>
      </c>
      <c r="L1687" s="226" t="n">
        <v>44875</v>
      </c>
      <c r="M1687" s="226" t="n">
        <v>44698</v>
      </c>
      <c r="N1687" s="227" t="n">
        <v>0</v>
      </c>
      <c r="O1687" s="227" t="s">
        <v>135</v>
      </c>
      <c r="P1687" s="228" t="n">
        <f aca="false">VLOOKUP(B1687,'NIVEL ENERO'!A:D,3,0)</f>
        <v>0.240232605122452</v>
      </c>
      <c r="Q1687" s="229" t="n">
        <f aca="false">VLOOKUP(B1687,'NIVEL ENERO'!A:D,4,0)</f>
        <v>366606.12</v>
      </c>
      <c r="R1687" s="186" t="str">
        <f aca="false">+PROPER(C1687&amp;" "&amp;D1687)</f>
        <v>Millan Reina Briggety Johana</v>
      </c>
      <c r="S1687" s="230" t="n">
        <f aca="false">+YEARFRAC(L1687,$S$1)</f>
        <v>3.50555555555556</v>
      </c>
      <c r="T1687" s="230" t="n">
        <f aca="false">+YEARFRAC(M1687,$S$1)</f>
        <v>3.98611111111111</v>
      </c>
      <c r="U1687" s="231" t="n">
        <f aca="false">+$I1687</f>
        <v>659773</v>
      </c>
      <c r="V1687" s="232" t="str">
        <f aca="false">+PROPER(F1687)</f>
        <v>Union Libre</v>
      </c>
    </row>
    <row r="1688" customFormat="false" ht="14.25" hidden="false" customHeight="false" outlineLevel="0" collapsed="false">
      <c r="B1688" s="197" t="n">
        <v>1144189200</v>
      </c>
      <c r="C1688" s="197" t="s">
        <v>3816</v>
      </c>
      <c r="D1688" s="197" t="s">
        <v>3817</v>
      </c>
      <c r="E1688" s="198" t="s">
        <v>944</v>
      </c>
      <c r="F1688" s="198" t="s">
        <v>945</v>
      </c>
      <c r="G1688" s="225" t="n">
        <v>3394800</v>
      </c>
      <c r="H1688" s="225" t="n">
        <v>2108236</v>
      </c>
      <c r="I1688" s="225" t="n">
        <v>4157471</v>
      </c>
      <c r="J1688" s="198" t="n">
        <v>29</v>
      </c>
      <c r="K1688" s="198" t="n">
        <v>2</v>
      </c>
      <c r="L1688" s="226" t="n">
        <v>44755</v>
      </c>
      <c r="M1688" s="226" t="n">
        <v>41927</v>
      </c>
      <c r="N1688" s="227" t="n">
        <v>4</v>
      </c>
      <c r="O1688" s="227" t="s">
        <v>135</v>
      </c>
      <c r="P1688" s="228" t="n">
        <f aca="false">VLOOKUP(B1688,'NIVEL ENERO'!A:D,3,0)</f>
        <v>0.378447836232913</v>
      </c>
      <c r="Q1688" s="229" t="n">
        <f aca="false">VLOOKUP(B1688,'NIVEL ENERO'!A:D,4,0)</f>
        <v>140633.88</v>
      </c>
      <c r="R1688" s="186" t="str">
        <f aca="false">+PROPER(C1688&amp;" "&amp;D1688)</f>
        <v>Betancourt Palomino Katherine Michelle</v>
      </c>
      <c r="S1688" s="230" t="n">
        <f aca="false">+YEARFRAC(L1688,$S$1)</f>
        <v>3.83055555555556</v>
      </c>
      <c r="T1688" s="230" t="n">
        <f aca="false">+YEARFRAC(M1688,$S$1)</f>
        <v>11.575</v>
      </c>
      <c r="U1688" s="231" t="n">
        <f aca="false">+$I1688</f>
        <v>4157471</v>
      </c>
      <c r="V1688" s="232" t="str">
        <f aca="false">+PROPER(F1688)</f>
        <v>Union Libre</v>
      </c>
    </row>
    <row r="1689" customFormat="false" ht="14.25" hidden="false" customHeight="false" outlineLevel="0" collapsed="false">
      <c r="B1689" s="197" t="n">
        <v>1144189435</v>
      </c>
      <c r="C1689" s="197" t="s">
        <v>3818</v>
      </c>
      <c r="D1689" s="197" t="s">
        <v>2491</v>
      </c>
      <c r="E1689" s="198" t="s">
        <v>944</v>
      </c>
      <c r="F1689" s="198" t="s">
        <v>948</v>
      </c>
      <c r="G1689" s="225" t="n">
        <v>2893800</v>
      </c>
      <c r="H1689" s="225" t="n">
        <v>1120376</v>
      </c>
      <c r="I1689" s="225" t="n">
        <v>14501912</v>
      </c>
      <c r="J1689" s="198" t="n">
        <v>29</v>
      </c>
      <c r="K1689" s="198" t="n">
        <v>4</v>
      </c>
      <c r="L1689" s="226" t="n">
        <v>45190</v>
      </c>
      <c r="M1689" s="226" t="n">
        <v>42353</v>
      </c>
      <c r="N1689" s="227" t="n">
        <v>0</v>
      </c>
      <c r="O1689" s="227" t="s">
        <v>135</v>
      </c>
      <c r="P1689" s="228" t="n">
        <f aca="false">VLOOKUP(B1689,'NIVEL ENERO'!A:D,3,0)</f>
        <v>0.283797877799747</v>
      </c>
      <c r="Q1689" s="229" t="n">
        <f aca="false">VLOOKUP(B1689,'NIVEL ENERO'!A:D,4,0)</f>
        <v>519495.96</v>
      </c>
      <c r="R1689" s="186" t="str">
        <f aca="false">+PROPER(C1689&amp;" "&amp;D1689)</f>
        <v>Gallego Lemos Laura Marcela</v>
      </c>
      <c r="S1689" s="230" t="n">
        <f aca="false">+YEARFRAC(L1689,$S$1)</f>
        <v>2.64166666666667</v>
      </c>
      <c r="T1689" s="230" t="n">
        <f aca="false">+YEARFRAC(M1689,$S$1)</f>
        <v>10.4083333333333</v>
      </c>
      <c r="U1689" s="231" t="n">
        <f aca="false">+$I1689</f>
        <v>14501912</v>
      </c>
      <c r="V1689" s="232" t="str">
        <f aca="false">+PROPER(F1689)</f>
        <v>Casado(A)</v>
      </c>
    </row>
    <row r="1690" customFormat="false" ht="14.25" hidden="false" customHeight="false" outlineLevel="0" collapsed="false">
      <c r="B1690" s="197" t="n">
        <v>1144189605</v>
      </c>
      <c r="C1690" s="197" t="s">
        <v>3819</v>
      </c>
      <c r="D1690" s="197" t="s">
        <v>3820</v>
      </c>
      <c r="E1690" s="198" t="s">
        <v>944</v>
      </c>
      <c r="F1690" s="198" t="s">
        <v>953</v>
      </c>
      <c r="G1690" s="225" t="n">
        <v>2600900</v>
      </c>
      <c r="H1690" s="225" t="n">
        <v>6732686</v>
      </c>
      <c r="I1690" s="225" t="n">
        <v>9216512</v>
      </c>
      <c r="J1690" s="198" t="n">
        <v>29</v>
      </c>
      <c r="K1690" s="198" t="n">
        <v>4</v>
      </c>
      <c r="L1690" s="226" t="n">
        <v>42930</v>
      </c>
      <c r="M1690" s="226" t="n">
        <v>42480</v>
      </c>
      <c r="N1690" s="227" t="n">
        <v>2</v>
      </c>
      <c r="O1690" s="227" t="s">
        <v>135</v>
      </c>
      <c r="P1690" s="228" t="n">
        <f aca="false">VLOOKUP(B1690,'NIVEL ENERO'!A:D,3,0)</f>
        <v>0.25927801316059</v>
      </c>
      <c r="Q1690" s="229" t="n">
        <f aca="false">VLOOKUP(B1690,'NIVEL ENERO'!A:D,4,0)</f>
        <v>576204.02</v>
      </c>
      <c r="R1690" s="186" t="str">
        <f aca="false">+PROPER(C1690&amp;" "&amp;D1690)</f>
        <v>Alzate Zambrano Anggie Yolanda</v>
      </c>
      <c r="S1690" s="230" t="n">
        <f aca="false">+YEARFRAC(L1690,$S$1)</f>
        <v>8.82777777777778</v>
      </c>
      <c r="T1690" s="230" t="n">
        <f aca="false">+YEARFRAC(M1690,$S$1)</f>
        <v>10.0611111111111</v>
      </c>
      <c r="U1690" s="231" t="n">
        <f aca="false">+$I1690</f>
        <v>9216512</v>
      </c>
      <c r="V1690" s="232" t="str">
        <f aca="false">+PROPER(F1690)</f>
        <v>Soltero(A)</v>
      </c>
    </row>
    <row r="1691" customFormat="false" ht="14.25" hidden="false" customHeight="false" outlineLevel="0" collapsed="false">
      <c r="B1691" s="197" t="n">
        <v>1144191800</v>
      </c>
      <c r="C1691" s="197" t="s">
        <v>3821</v>
      </c>
      <c r="D1691" s="197" t="s">
        <v>3822</v>
      </c>
      <c r="E1691" s="198" t="s">
        <v>944</v>
      </c>
      <c r="F1691" s="198" t="s">
        <v>945</v>
      </c>
      <c r="G1691" s="225" t="n">
        <v>2893800</v>
      </c>
      <c r="H1691" s="225" t="n">
        <v>350000</v>
      </c>
      <c r="I1691" s="225" t="n">
        <v>0</v>
      </c>
      <c r="J1691" s="198" t="n">
        <v>29</v>
      </c>
      <c r="K1691" s="198" t="n">
        <v>2</v>
      </c>
      <c r="L1691" s="226" t="n">
        <v>45520</v>
      </c>
      <c r="M1691" s="226" t="n">
        <v>42394</v>
      </c>
      <c r="N1691" s="227" t="n">
        <v>2</v>
      </c>
      <c r="O1691" s="227" t="s">
        <v>135</v>
      </c>
      <c r="P1691" s="228" t="n">
        <f aca="false">VLOOKUP(B1691,'NIVEL ENERO'!A:D,3,0)</f>
        <v>0.36066245075679</v>
      </c>
      <c r="Q1691" s="229" t="n">
        <f aca="false">VLOOKUP(B1691,'NIVEL ENERO'!A:D,4,0)</f>
        <v>171711</v>
      </c>
      <c r="R1691" s="186" t="str">
        <f aca="false">+PROPER(C1691&amp;" "&amp;D1691)</f>
        <v>Aguirre Sanchez Dayan Lizeth</v>
      </c>
      <c r="S1691" s="230" t="n">
        <f aca="false">+YEARFRAC(L1691,$S$1)</f>
        <v>1.73888888888889</v>
      </c>
      <c r="T1691" s="230" t="n">
        <f aca="false">+YEARFRAC(M1691,$S$1)</f>
        <v>10.2972222222222</v>
      </c>
      <c r="U1691" s="231" t="n">
        <f aca="false">+$I1691</f>
        <v>0</v>
      </c>
      <c r="V1691" s="232" t="str">
        <f aca="false">+PROPER(F1691)</f>
        <v>Union Libre</v>
      </c>
    </row>
    <row r="1692" customFormat="false" ht="14.25" hidden="false" customHeight="false" outlineLevel="0" collapsed="false">
      <c r="B1692" s="197" t="n">
        <v>1144192371</v>
      </c>
      <c r="C1692" s="197" t="s">
        <v>3823</v>
      </c>
      <c r="D1692" s="197" t="s">
        <v>1479</v>
      </c>
      <c r="E1692" s="198" t="s">
        <v>944</v>
      </c>
      <c r="F1692" s="198" t="s">
        <v>953</v>
      </c>
      <c r="G1692" s="225" t="n">
        <v>4469100</v>
      </c>
      <c r="H1692" s="225" t="n">
        <v>3158282</v>
      </c>
      <c r="I1692" s="225" t="n">
        <v>4903787</v>
      </c>
      <c r="J1692" s="198" t="n">
        <v>28</v>
      </c>
      <c r="K1692" s="198" t="n">
        <v>1</v>
      </c>
      <c r="L1692" s="226" t="n">
        <v>45020</v>
      </c>
      <c r="M1692" s="226" t="n">
        <v>43952</v>
      </c>
      <c r="N1692" s="227" t="n">
        <v>1</v>
      </c>
      <c r="O1692" s="227" t="s">
        <v>135</v>
      </c>
      <c r="P1692" s="228" t="n">
        <f aca="false">VLOOKUP(B1692,'NIVEL ENERO'!A:D,3,0)</f>
        <v>0.16933901303762</v>
      </c>
      <c r="Q1692" s="229" t="n">
        <f aca="false">VLOOKUP(B1692,'NIVEL ENERO'!A:D,4,0)</f>
        <v>1519127.82</v>
      </c>
      <c r="R1692" s="186" t="str">
        <f aca="false">+PROPER(C1692&amp;" "&amp;D1692)</f>
        <v>Guevara Mendoza Maria Fernanda</v>
      </c>
      <c r="S1692" s="230" t="n">
        <f aca="false">+YEARFRAC(L1692,$S$1)</f>
        <v>3.10555555555556</v>
      </c>
      <c r="T1692" s="230" t="n">
        <f aca="false">+YEARFRAC(M1692,$S$1)</f>
        <v>6.03055555555556</v>
      </c>
      <c r="U1692" s="231" t="n">
        <f aca="false">+$I1692</f>
        <v>4903787</v>
      </c>
      <c r="V1692" s="232" t="str">
        <f aca="false">+PROPER(F1692)</f>
        <v>Soltero(A)</v>
      </c>
    </row>
    <row r="1693" customFormat="false" ht="14.25" hidden="false" customHeight="false" outlineLevel="0" collapsed="false">
      <c r="B1693" s="197" t="n">
        <v>1144193504</v>
      </c>
      <c r="C1693" s="197" t="s">
        <v>3824</v>
      </c>
      <c r="D1693" s="197" t="s">
        <v>1414</v>
      </c>
      <c r="E1693" s="198" t="s">
        <v>944</v>
      </c>
      <c r="F1693" s="198" t="s">
        <v>953</v>
      </c>
      <c r="G1693" s="225" t="n">
        <v>5418800</v>
      </c>
      <c r="H1693" s="225" t="n">
        <v>2100150</v>
      </c>
      <c r="I1693" s="225"/>
      <c r="J1693" s="198" t="n">
        <v>28</v>
      </c>
      <c r="K1693" s="198" t="n">
        <v>2</v>
      </c>
      <c r="L1693" s="226" t="n">
        <v>45249</v>
      </c>
      <c r="M1693" s="226" t="n">
        <v>44082</v>
      </c>
      <c r="N1693" s="227" t="n">
        <v>0</v>
      </c>
      <c r="O1693" s="227" t="s">
        <v>135</v>
      </c>
      <c r="P1693" s="228" t="n">
        <f aca="false">VLOOKUP(B1693,'NIVEL ENERO'!A:D,3,0)</f>
        <v>0.147729046686727</v>
      </c>
      <c r="Q1693" s="229" t="n">
        <f aca="false">VLOOKUP(B1693,'NIVEL ENERO'!A:D,4,0)</f>
        <v>1796437.76</v>
      </c>
      <c r="R1693" s="186" t="str">
        <f aca="false">+PROPER(C1693&amp;" "&amp;D1693)</f>
        <v>Preciado Henao Isabel Cristina</v>
      </c>
      <c r="S1693" s="230" t="n">
        <f aca="false">+YEARFRAC(L1693,$S$1)</f>
        <v>2.48055555555556</v>
      </c>
      <c r="T1693" s="230" t="n">
        <f aca="false">+YEARFRAC(M1693,$S$1)</f>
        <v>5.67777777777778</v>
      </c>
      <c r="U1693" s="231" t="n">
        <f aca="false">+$I1693</f>
        <v>0</v>
      </c>
      <c r="V1693" s="232" t="str">
        <f aca="false">+PROPER(F1693)</f>
        <v>Soltero(A)</v>
      </c>
    </row>
    <row r="1694" customFormat="false" ht="14.25" hidden="false" customHeight="false" outlineLevel="0" collapsed="false">
      <c r="B1694" s="197" t="n">
        <v>1144193830</v>
      </c>
      <c r="C1694" s="197" t="s">
        <v>3825</v>
      </c>
      <c r="D1694" s="197" t="s">
        <v>3826</v>
      </c>
      <c r="E1694" s="198" t="s">
        <v>944</v>
      </c>
      <c r="F1694" s="198" t="s">
        <v>948</v>
      </c>
      <c r="G1694" s="225" t="n">
        <v>2893800</v>
      </c>
      <c r="H1694" s="225" t="n">
        <v>2405675</v>
      </c>
      <c r="I1694" s="225" t="n">
        <v>3023308</v>
      </c>
      <c r="J1694" s="198" t="n">
        <v>28</v>
      </c>
      <c r="K1694" s="198" t="n">
        <v>4</v>
      </c>
      <c r="L1694" s="226" t="n">
        <v>44938</v>
      </c>
      <c r="M1694" s="226" t="n">
        <v>42019</v>
      </c>
      <c r="N1694" s="227" t="n">
        <v>2</v>
      </c>
      <c r="O1694" s="227" t="s">
        <v>135</v>
      </c>
      <c r="P1694" s="228" t="n">
        <f aca="false">VLOOKUP(B1694,'NIVEL ENERO'!A:D,3,0)</f>
        <v>0.243727276156056</v>
      </c>
      <c r="Q1694" s="229" t="n">
        <f aca="false">VLOOKUP(B1694,'NIVEL ENERO'!A:D,4,0)</f>
        <v>704157.12</v>
      </c>
      <c r="R1694" s="186" t="str">
        <f aca="false">+PROPER(C1694&amp;" "&amp;D1694)</f>
        <v>Reinel Bermudez Jimena Marbel</v>
      </c>
      <c r="S1694" s="230" t="n">
        <f aca="false">+YEARFRAC(L1694,$S$1)</f>
        <v>3.33333333333333</v>
      </c>
      <c r="T1694" s="230" t="n">
        <f aca="false">+YEARFRAC(M1694,$S$1)</f>
        <v>11.325</v>
      </c>
      <c r="U1694" s="231" t="n">
        <f aca="false">+$I1694</f>
        <v>3023308</v>
      </c>
      <c r="V1694" s="232" t="str">
        <f aca="false">+PROPER(F1694)</f>
        <v>Casado(A)</v>
      </c>
    </row>
    <row r="1695" customFormat="false" ht="14.25" hidden="false" customHeight="false" outlineLevel="0" collapsed="false">
      <c r="B1695" s="197" t="n">
        <v>1144193840</v>
      </c>
      <c r="C1695" s="197" t="s">
        <v>3827</v>
      </c>
      <c r="D1695" s="197" t="s">
        <v>2658</v>
      </c>
      <c r="E1695" s="198" t="s">
        <v>944</v>
      </c>
      <c r="F1695" s="198" t="s">
        <v>953</v>
      </c>
      <c r="G1695" s="225" t="n">
        <v>1991000</v>
      </c>
      <c r="H1695" s="225" t="n">
        <v>1238408</v>
      </c>
      <c r="I1695" s="225" t="n">
        <v>2191874</v>
      </c>
      <c r="J1695" s="198" t="n">
        <v>28</v>
      </c>
      <c r="K1695" s="198" t="n">
        <v>2</v>
      </c>
      <c r="L1695" s="226" t="n">
        <v>45064</v>
      </c>
      <c r="M1695" s="226" t="n">
        <v>44726</v>
      </c>
      <c r="N1695" s="227" t="n">
        <v>0</v>
      </c>
      <c r="O1695" s="227" t="s">
        <v>135</v>
      </c>
      <c r="P1695" s="228" t="n">
        <f aca="false">VLOOKUP(B1695,'NIVEL ENERO'!A:D,3,0)</f>
        <v>0.21619638372677</v>
      </c>
      <c r="Q1695" s="229" t="n">
        <f aca="false">VLOOKUP(B1695,'NIVEL ENERO'!A:D,4,0)</f>
        <v>405773</v>
      </c>
      <c r="R1695" s="186" t="str">
        <f aca="false">+PROPER(C1695&amp;" "&amp;D1695)</f>
        <v>Ballesteros Moreno Daniela</v>
      </c>
      <c r="S1695" s="230" t="n">
        <f aca="false">+YEARFRAC(L1695,$S$1)</f>
        <v>2.98333333333333</v>
      </c>
      <c r="T1695" s="230" t="n">
        <f aca="false">+YEARFRAC(M1695,$S$1)</f>
        <v>3.91111111111111</v>
      </c>
      <c r="U1695" s="231" t="n">
        <f aca="false">+$I1695</f>
        <v>2191874</v>
      </c>
      <c r="V1695" s="232" t="str">
        <f aca="false">+PROPER(F1695)</f>
        <v>Soltero(A)</v>
      </c>
    </row>
    <row r="1696" customFormat="false" ht="14.25" hidden="false" customHeight="false" outlineLevel="0" collapsed="false">
      <c r="B1696" s="197" t="n">
        <v>1144193870</v>
      </c>
      <c r="C1696" s="197" t="s">
        <v>3828</v>
      </c>
      <c r="D1696" s="197" t="s">
        <v>3829</v>
      </c>
      <c r="E1696" s="198" t="s">
        <v>944</v>
      </c>
      <c r="F1696" s="198" t="s">
        <v>945</v>
      </c>
      <c r="G1696" s="225" t="n">
        <v>2600900</v>
      </c>
      <c r="H1696" s="225" t="n">
        <v>420000</v>
      </c>
      <c r="I1696" s="225" t="n">
        <v>2128250</v>
      </c>
      <c r="J1696" s="198" t="n">
        <v>28</v>
      </c>
      <c r="K1696" s="198" t="n">
        <v>2</v>
      </c>
      <c r="L1696" s="226" t="n">
        <v>45475</v>
      </c>
      <c r="M1696" s="226" t="n">
        <v>44102</v>
      </c>
      <c r="N1696" s="227" t="n">
        <v>0</v>
      </c>
      <c r="O1696" s="227" t="s">
        <v>135</v>
      </c>
      <c r="P1696" s="228" t="n">
        <f aca="false">VLOOKUP(B1696,'NIVEL ENERO'!A:D,3,0)</f>
        <v>0.200125214568035</v>
      </c>
      <c r="Q1696" s="229" t="n">
        <f aca="false">VLOOKUP(B1696,'NIVEL ENERO'!A:D,4,0)</f>
        <v>618340.52</v>
      </c>
      <c r="R1696" s="186" t="str">
        <f aca="false">+PROPER(C1696&amp;" "&amp;D1696)</f>
        <v>Castaneda Henao Fabian</v>
      </c>
      <c r="S1696" s="230" t="n">
        <f aca="false">+YEARFRAC(L1696,$S$1)</f>
        <v>1.86111111111111</v>
      </c>
      <c r="T1696" s="230" t="n">
        <f aca="false">+YEARFRAC(M1696,$S$1)</f>
        <v>5.62222222222222</v>
      </c>
      <c r="U1696" s="231" t="n">
        <f aca="false">+$I1696</f>
        <v>2128250</v>
      </c>
      <c r="V1696" s="232" t="str">
        <f aca="false">+PROPER(F1696)</f>
        <v>Union Libre</v>
      </c>
    </row>
    <row r="1697" customFormat="false" ht="14.25" hidden="false" customHeight="false" outlineLevel="0" collapsed="false">
      <c r="B1697" s="197" t="n">
        <v>1144194544</v>
      </c>
      <c r="C1697" s="197" t="s">
        <v>3830</v>
      </c>
      <c r="D1697" s="197" t="s">
        <v>3831</v>
      </c>
      <c r="E1697" s="198" t="s">
        <v>944</v>
      </c>
      <c r="F1697" s="198" t="s">
        <v>945</v>
      </c>
      <c r="G1697" s="225" t="n">
        <v>1356991</v>
      </c>
      <c r="H1697" s="225" t="n">
        <v>1067822</v>
      </c>
      <c r="I1697" s="225" t="n">
        <v>1873893</v>
      </c>
      <c r="J1697" s="198" t="n">
        <v>28</v>
      </c>
      <c r="K1697" s="198" t="n">
        <v>4</v>
      </c>
      <c r="L1697" s="226" t="n">
        <v>45142</v>
      </c>
      <c r="M1697" s="226" t="n">
        <v>42311</v>
      </c>
      <c r="N1697" s="227" t="n">
        <v>2</v>
      </c>
      <c r="O1697" s="227" t="s">
        <v>135</v>
      </c>
      <c r="P1697" s="228" t="n">
        <f aca="false">VLOOKUP(B1697,'NIVEL ENERO'!A:D,3,0)</f>
        <v>0.436369070097866</v>
      </c>
      <c r="Q1697" s="229" t="n">
        <f aca="false">VLOOKUP(B1697,'NIVEL ENERO'!A:D,4,0)</f>
        <v>-61371.3333333333</v>
      </c>
      <c r="R1697" s="186" t="str">
        <f aca="false">+PROPER(C1697&amp;" "&amp;D1697)</f>
        <v>Zuleta Acevedo Yoselin Andrea</v>
      </c>
      <c r="S1697" s="230" t="n">
        <f aca="false">+YEARFRAC(L1697,$S$1)</f>
        <v>2.77222222222222</v>
      </c>
      <c r="T1697" s="230" t="n">
        <f aca="false">+YEARFRAC(M1697,$S$1)</f>
        <v>10.525</v>
      </c>
      <c r="U1697" s="231" t="n">
        <f aca="false">+$I1697</f>
        <v>1873893</v>
      </c>
      <c r="V1697" s="232" t="str">
        <f aca="false">+PROPER(F1697)</f>
        <v>Union Libre</v>
      </c>
    </row>
    <row r="1698" customFormat="false" ht="14.25" hidden="false" customHeight="false" outlineLevel="0" collapsed="false">
      <c r="B1698" s="197" t="n">
        <v>1144194647</v>
      </c>
      <c r="C1698" s="197" t="s">
        <v>3832</v>
      </c>
      <c r="D1698" s="197" t="s">
        <v>3833</v>
      </c>
      <c r="E1698" s="198" t="s">
        <v>944</v>
      </c>
      <c r="F1698" s="198" t="s">
        <v>953</v>
      </c>
      <c r="G1698" s="225" t="n">
        <v>2080700</v>
      </c>
      <c r="H1698" s="225" t="n">
        <v>1355255</v>
      </c>
      <c r="I1698" s="225" t="n">
        <v>0</v>
      </c>
      <c r="J1698" s="198" t="n">
        <v>28</v>
      </c>
      <c r="K1698" s="198" t="n">
        <v>4</v>
      </c>
      <c r="L1698" s="226" t="n">
        <v>45001</v>
      </c>
      <c r="M1698" s="226" t="n">
        <v>44600</v>
      </c>
      <c r="N1698" s="227" t="n">
        <v>0</v>
      </c>
      <c r="O1698" s="227" t="s">
        <v>135</v>
      </c>
      <c r="P1698" s="228" t="n">
        <f aca="false">VLOOKUP(B1698,'NIVEL ENERO'!A:D,3,0)</f>
        <v>0.142491156821556</v>
      </c>
      <c r="Q1698" s="229" t="n">
        <f aca="false">VLOOKUP(B1698,'NIVEL ENERO'!A:D,4,0)</f>
        <v>586199.32</v>
      </c>
      <c r="R1698" s="186" t="str">
        <f aca="false">+PROPER(C1698&amp;" "&amp;D1698)</f>
        <v>Cuero Vallecilla Katterin</v>
      </c>
      <c r="S1698" s="230" t="n">
        <f aca="false">+YEARFRAC(L1698,$S$1)</f>
        <v>3.15555555555556</v>
      </c>
      <c r="T1698" s="230" t="n">
        <f aca="false">+YEARFRAC(M1698,$S$1)</f>
        <v>4.26111111111111</v>
      </c>
      <c r="U1698" s="231" t="n">
        <f aca="false">+$I1698</f>
        <v>0</v>
      </c>
      <c r="V1698" s="232" t="str">
        <f aca="false">+PROPER(F1698)</f>
        <v>Soltero(A)</v>
      </c>
    </row>
    <row r="1699" customFormat="false" ht="14.25" hidden="false" customHeight="false" outlineLevel="0" collapsed="false">
      <c r="B1699" s="197" t="n">
        <v>1144195001</v>
      </c>
      <c r="C1699" s="197" t="s">
        <v>3834</v>
      </c>
      <c r="D1699" s="197" t="s">
        <v>2658</v>
      </c>
      <c r="E1699" s="198" t="s">
        <v>944</v>
      </c>
      <c r="F1699" s="198" t="s">
        <v>945</v>
      </c>
      <c r="G1699" s="225" t="n">
        <v>2893800</v>
      </c>
      <c r="H1699" s="225" t="n">
        <v>5136632</v>
      </c>
      <c r="I1699" s="225" t="n">
        <v>3587363</v>
      </c>
      <c r="J1699" s="198" t="n">
        <v>28</v>
      </c>
      <c r="K1699" s="198" t="n">
        <v>1</v>
      </c>
      <c r="L1699" s="226" t="n">
        <v>43908</v>
      </c>
      <c r="M1699" s="226" t="n">
        <v>43266</v>
      </c>
      <c r="N1699" s="227" t="n">
        <v>3</v>
      </c>
      <c r="O1699" s="227" t="s">
        <v>135</v>
      </c>
      <c r="P1699" s="228" t="n">
        <f aca="false">VLOOKUP(B1699,'NIVEL ENERO'!A:D,3,0)</f>
        <v>0.200066229550309</v>
      </c>
      <c r="Q1699" s="229" t="n">
        <f aca="false">VLOOKUP(B1699,'NIVEL ENERO'!A:D,4,0)</f>
        <v>737434.56</v>
      </c>
      <c r="R1699" s="186" t="str">
        <f aca="false">+PROPER(C1699&amp;" "&amp;D1699)</f>
        <v>Orozco Guzman Daniela</v>
      </c>
      <c r="S1699" s="230" t="n">
        <f aca="false">+YEARFRAC(L1699,$S$1)</f>
        <v>6.15</v>
      </c>
      <c r="T1699" s="230" t="n">
        <f aca="false">+YEARFRAC(M1699,$S$1)</f>
        <v>7.90833333333333</v>
      </c>
      <c r="U1699" s="231" t="n">
        <f aca="false">+$I1699</f>
        <v>3587363</v>
      </c>
      <c r="V1699" s="232" t="str">
        <f aca="false">+PROPER(F1699)</f>
        <v>Union Libre</v>
      </c>
    </row>
    <row r="1700" customFormat="false" ht="14.25" hidden="false" customHeight="false" outlineLevel="0" collapsed="false">
      <c r="B1700" s="197" t="n">
        <v>1144197594</v>
      </c>
      <c r="C1700" s="197" t="s">
        <v>3835</v>
      </c>
      <c r="D1700" s="197" t="s">
        <v>2658</v>
      </c>
      <c r="E1700" s="198" t="s">
        <v>944</v>
      </c>
      <c r="F1700" s="198" t="s">
        <v>953</v>
      </c>
      <c r="G1700" s="225" t="n">
        <v>5418800</v>
      </c>
      <c r="H1700" s="225" t="n">
        <v>600000</v>
      </c>
      <c r="I1700" s="225"/>
      <c r="J1700" s="198" t="n">
        <v>28</v>
      </c>
      <c r="K1700" s="198" t="n">
        <v>1</v>
      </c>
      <c r="L1700" s="226" t="n">
        <v>45476</v>
      </c>
      <c r="M1700" s="226" t="n">
        <v>44329</v>
      </c>
      <c r="N1700" s="227" t="n">
        <v>0</v>
      </c>
      <c r="O1700" s="227" t="s">
        <v>135</v>
      </c>
      <c r="P1700" s="228" t="n">
        <f aca="false">VLOOKUP(B1700,'NIVEL ENERO'!A:D,3,0)</f>
        <v>0.150538016580329</v>
      </c>
      <c r="Q1700" s="229" t="n">
        <f aca="false">VLOOKUP(B1700,'NIVEL ENERO'!A:D,4,0)</f>
        <v>1849889.66</v>
      </c>
      <c r="R1700" s="186" t="str">
        <f aca="false">+PROPER(C1700&amp;" "&amp;D1700)</f>
        <v>Orozco Mejia Daniela</v>
      </c>
      <c r="S1700" s="230" t="n">
        <f aca="false">+YEARFRAC(L1700,$S$1)</f>
        <v>1.85833333333333</v>
      </c>
      <c r="T1700" s="230" t="n">
        <f aca="false">+YEARFRAC(M1700,$S$1)</f>
        <v>4.99722222222222</v>
      </c>
      <c r="U1700" s="231" t="n">
        <f aca="false">+$I1700</f>
        <v>0</v>
      </c>
      <c r="V1700" s="232" t="str">
        <f aca="false">+PROPER(F1700)</f>
        <v>Soltero(A)</v>
      </c>
    </row>
    <row r="1701" customFormat="false" ht="14.25" hidden="false" customHeight="false" outlineLevel="0" collapsed="false">
      <c r="B1701" s="197" t="n">
        <v>1144198209</v>
      </c>
      <c r="C1701" s="197" t="s">
        <v>3836</v>
      </c>
      <c r="D1701" s="197" t="s">
        <v>3837</v>
      </c>
      <c r="E1701" s="198" t="s">
        <v>944</v>
      </c>
      <c r="F1701" s="198" t="s">
        <v>945</v>
      </c>
      <c r="G1701" s="225" t="n">
        <v>1991000</v>
      </c>
      <c r="H1701" s="225" t="n">
        <v>2777222</v>
      </c>
      <c r="I1701" s="225" t="n">
        <v>0</v>
      </c>
      <c r="J1701" s="198" t="n">
        <v>28</v>
      </c>
      <c r="K1701" s="198" t="n">
        <v>2</v>
      </c>
      <c r="L1701" s="226" t="n">
        <v>44028</v>
      </c>
      <c r="M1701" s="226" t="n">
        <v>43809</v>
      </c>
      <c r="N1701" s="227" t="n">
        <v>2</v>
      </c>
      <c r="O1701" s="227" t="s">
        <v>135</v>
      </c>
      <c r="P1701" s="228" t="n">
        <f aca="false">VLOOKUP(B1701,'NIVEL ENERO'!A:D,3,0)</f>
        <v>0.147863887493722</v>
      </c>
      <c r="Q1701" s="229" t="n">
        <f aca="false">VLOOKUP(B1701,'NIVEL ENERO'!A:D,4,0)</f>
        <v>541823</v>
      </c>
      <c r="R1701" s="186" t="str">
        <f aca="false">+PROPER(C1701&amp;" "&amp;D1701)</f>
        <v>Munoz Martinez Deisy Daniela</v>
      </c>
      <c r="S1701" s="230" t="n">
        <f aca="false">+YEARFRAC(L1701,$S$1)</f>
        <v>5.82222222222222</v>
      </c>
      <c r="T1701" s="230" t="n">
        <f aca="false">+YEARFRAC(M1701,$S$1)</f>
        <v>6.42222222222222</v>
      </c>
      <c r="U1701" s="231" t="n">
        <f aca="false">+$I1701</f>
        <v>0</v>
      </c>
      <c r="V1701" s="232" t="str">
        <f aca="false">+PROPER(F1701)</f>
        <v>Union Libre</v>
      </c>
    </row>
    <row r="1702" customFormat="false" ht="14.25" hidden="false" customHeight="false" outlineLevel="0" collapsed="false">
      <c r="B1702" s="197" t="n">
        <v>1144199664</v>
      </c>
      <c r="C1702" s="197" t="s">
        <v>3838</v>
      </c>
      <c r="D1702" s="197" t="s">
        <v>2805</v>
      </c>
      <c r="E1702" s="198" t="s">
        <v>944</v>
      </c>
      <c r="F1702" s="198" t="s">
        <v>945</v>
      </c>
      <c r="G1702" s="225" t="n">
        <v>1630481</v>
      </c>
      <c r="H1702" s="225" t="n">
        <v>1557164</v>
      </c>
      <c r="I1702" s="225" t="n">
        <v>184275</v>
      </c>
      <c r="J1702" s="198" t="n">
        <v>27</v>
      </c>
      <c r="K1702" s="198" t="n">
        <v>2</v>
      </c>
      <c r="L1702" s="226" t="n">
        <v>44874</v>
      </c>
      <c r="M1702" s="226" t="n">
        <v>44805</v>
      </c>
      <c r="N1702" s="227" t="n">
        <v>0</v>
      </c>
      <c r="O1702" s="227" t="s">
        <v>135</v>
      </c>
      <c r="P1702" s="228" t="n">
        <f aca="false">VLOOKUP(B1702,'NIVEL ENERO'!A:D,3,0)</f>
        <v>0.348517822132476</v>
      </c>
      <c r="Q1702" s="229" t="n">
        <f aca="false">VLOOKUP(B1702,'NIVEL ENERO'!A:D,4,0)</f>
        <v>330481</v>
      </c>
      <c r="R1702" s="186" t="str">
        <f aca="false">+PROPER(C1702&amp;" "&amp;D1702)</f>
        <v>Alayon Lima Yina Marcela</v>
      </c>
      <c r="S1702" s="230" t="n">
        <f aca="false">+YEARFRAC(L1702,$S$1)</f>
        <v>3.50833333333333</v>
      </c>
      <c r="T1702" s="230" t="n">
        <f aca="false">+YEARFRAC(M1702,$S$1)</f>
        <v>3.69722222222222</v>
      </c>
      <c r="U1702" s="231" t="n">
        <f aca="false">+$I1702</f>
        <v>184275</v>
      </c>
      <c r="V1702" s="232" t="str">
        <f aca="false">+PROPER(F1702)</f>
        <v>Union Libre</v>
      </c>
    </row>
    <row r="1703" customFormat="false" ht="14.25" hidden="false" customHeight="false" outlineLevel="0" collapsed="false">
      <c r="B1703" s="197" t="n">
        <v>1144202165</v>
      </c>
      <c r="C1703" s="197" t="s">
        <v>3839</v>
      </c>
      <c r="D1703" s="197" t="s">
        <v>3840</v>
      </c>
      <c r="E1703" s="198" t="s">
        <v>944</v>
      </c>
      <c r="F1703" s="198" t="s">
        <v>953</v>
      </c>
      <c r="G1703" s="225" t="n">
        <v>4486200</v>
      </c>
      <c r="H1703" s="225" t="n">
        <v>1801313</v>
      </c>
      <c r="I1703" s="225"/>
      <c r="J1703" s="198" t="n">
        <v>27</v>
      </c>
      <c r="K1703" s="198" t="n">
        <v>2</v>
      </c>
      <c r="L1703" s="226" t="n">
        <v>45124</v>
      </c>
      <c r="M1703" s="226" t="n">
        <v>44460</v>
      </c>
      <c r="N1703" s="227" t="n">
        <v>0</v>
      </c>
      <c r="O1703" s="227" t="s">
        <v>135</v>
      </c>
      <c r="P1703" s="228" t="n">
        <f aca="false">VLOOKUP(B1703,'NIVEL ENERO'!A:D,3,0)</f>
        <v>0.121067046524457</v>
      </c>
      <c r="Q1703" s="229" t="n">
        <f aca="false">VLOOKUP(B1703,'NIVEL ENERO'!A:D,4,0)</f>
        <v>2036443.08</v>
      </c>
      <c r="R1703" s="186" t="str">
        <f aca="false">+PROPER(C1703&amp;" "&amp;D1703)</f>
        <v>Bolanos Pena Manuela</v>
      </c>
      <c r="S1703" s="230" t="n">
        <f aca="false">+YEARFRAC(L1703,$S$1)</f>
        <v>2.81944444444444</v>
      </c>
      <c r="T1703" s="230" t="n">
        <f aca="false">+YEARFRAC(M1703,$S$1)</f>
        <v>4.64166666666667</v>
      </c>
      <c r="U1703" s="231" t="n">
        <f aca="false">+$I1703</f>
        <v>0</v>
      </c>
      <c r="V1703" s="232" t="str">
        <f aca="false">+PROPER(F1703)</f>
        <v>Soltero(A)</v>
      </c>
    </row>
    <row r="1704" customFormat="false" ht="14.25" hidden="false" customHeight="false" outlineLevel="0" collapsed="false">
      <c r="B1704" s="197" t="n">
        <v>1144202961</v>
      </c>
      <c r="C1704" s="197" t="s">
        <v>3841</v>
      </c>
      <c r="D1704" s="197" t="s">
        <v>1139</v>
      </c>
      <c r="E1704" s="198" t="s">
        <v>944</v>
      </c>
      <c r="F1704" s="198" t="s">
        <v>953</v>
      </c>
      <c r="G1704" s="225" t="n">
        <v>1918500</v>
      </c>
      <c r="H1704" s="225" t="n">
        <v>1607671</v>
      </c>
      <c r="I1704" s="225" t="n">
        <v>0</v>
      </c>
      <c r="J1704" s="198" t="n">
        <v>27</v>
      </c>
      <c r="K1704" s="198" t="n">
        <v>2</v>
      </c>
      <c r="L1704" s="226" t="n">
        <v>44846</v>
      </c>
      <c r="M1704" s="226" t="n">
        <v>44827</v>
      </c>
      <c r="N1704" s="227" t="n">
        <v>1</v>
      </c>
      <c r="O1704" s="227" t="s">
        <v>135</v>
      </c>
      <c r="P1704" s="228" t="n">
        <f aca="false">VLOOKUP(B1704,'NIVEL ENERO'!A:D,3,0)</f>
        <v>0.336984487881157</v>
      </c>
      <c r="Q1704" s="229" t="n">
        <f aca="false">VLOOKUP(B1704,'NIVEL ENERO'!A:D,4,0)</f>
        <v>379203</v>
      </c>
      <c r="R1704" s="186" t="str">
        <f aca="false">+PROPER(C1704&amp;" "&amp;D1704)</f>
        <v>Tarapues Calpa Sandra Liliana</v>
      </c>
      <c r="S1704" s="230" t="n">
        <f aca="false">+YEARFRAC(L1704,$S$1)</f>
        <v>3.58333333333333</v>
      </c>
      <c r="T1704" s="230" t="n">
        <f aca="false">+YEARFRAC(M1704,$S$1)</f>
        <v>3.63611111111111</v>
      </c>
      <c r="U1704" s="231" t="n">
        <f aca="false">+$I1704</f>
        <v>0</v>
      </c>
      <c r="V1704" s="232" t="str">
        <f aca="false">+PROPER(F1704)</f>
        <v>Soltero(A)</v>
      </c>
    </row>
    <row r="1705" customFormat="false" ht="14.25" hidden="false" customHeight="false" outlineLevel="0" collapsed="false">
      <c r="B1705" s="197" t="n">
        <v>1144203070</v>
      </c>
      <c r="C1705" s="197" t="s">
        <v>3842</v>
      </c>
      <c r="D1705" s="197" t="s">
        <v>3843</v>
      </c>
      <c r="E1705" s="198" t="s">
        <v>944</v>
      </c>
      <c r="F1705" s="198" t="s">
        <v>945</v>
      </c>
      <c r="G1705" s="225" t="n">
        <v>2893800</v>
      </c>
      <c r="H1705" s="225" t="n">
        <v>2809735</v>
      </c>
      <c r="I1705" s="225" t="n">
        <v>1565935</v>
      </c>
      <c r="J1705" s="198" t="n">
        <v>27</v>
      </c>
      <c r="K1705" s="198" t="n">
        <v>2</v>
      </c>
      <c r="L1705" s="226" t="n">
        <v>44818</v>
      </c>
      <c r="M1705" s="226" t="n">
        <v>44610</v>
      </c>
      <c r="N1705" s="227" t="n">
        <v>3</v>
      </c>
      <c r="O1705" s="227" t="s">
        <v>135</v>
      </c>
      <c r="P1705" s="228" t="n">
        <f aca="false">VLOOKUP(B1705,'NIVEL ENERO'!A:D,3,0)</f>
        <v>0.1555720534674</v>
      </c>
      <c r="Q1705" s="229" t="n">
        <f aca="false">VLOOKUP(B1705,'NIVEL ENERO'!A:D,4,0)</f>
        <v>1095125.52</v>
      </c>
      <c r="R1705" s="186" t="str">
        <f aca="false">+PROPER(C1705&amp;" "&amp;D1705)</f>
        <v>Durango Cavadia Mayerly</v>
      </c>
      <c r="S1705" s="230" t="n">
        <f aca="false">+YEARFRAC(L1705,$S$1)</f>
        <v>3.66111111111111</v>
      </c>
      <c r="T1705" s="230" t="n">
        <f aca="false">+YEARFRAC(M1705,$S$1)</f>
        <v>4.23333333333333</v>
      </c>
      <c r="U1705" s="231" t="n">
        <f aca="false">+$I1705</f>
        <v>1565935</v>
      </c>
      <c r="V1705" s="232" t="str">
        <f aca="false">+PROPER(F1705)</f>
        <v>Union Libre</v>
      </c>
    </row>
    <row r="1706" customFormat="false" ht="14.25" hidden="false" customHeight="false" outlineLevel="0" collapsed="false">
      <c r="B1706" s="197" t="n">
        <v>1144205254</v>
      </c>
      <c r="C1706" s="197" t="s">
        <v>3844</v>
      </c>
      <c r="D1706" s="197" t="s">
        <v>2297</v>
      </c>
      <c r="E1706" s="198" t="s">
        <v>944</v>
      </c>
      <c r="F1706" s="198" t="s">
        <v>953</v>
      </c>
      <c r="G1706" s="225" t="n">
        <v>1670000</v>
      </c>
      <c r="H1706" s="225" t="n">
        <v>2819810</v>
      </c>
      <c r="I1706" s="225" t="n">
        <v>2606218</v>
      </c>
      <c r="J1706" s="198" t="n">
        <v>26</v>
      </c>
      <c r="K1706" s="198" t="n">
        <v>2</v>
      </c>
      <c r="L1706" s="226" t="n">
        <v>44182</v>
      </c>
      <c r="M1706" s="226" t="n">
        <v>43132</v>
      </c>
      <c r="N1706" s="227" t="n">
        <v>3</v>
      </c>
      <c r="O1706" s="227" t="s">
        <v>135</v>
      </c>
      <c r="P1706" s="228" t="n">
        <f aca="false">VLOOKUP(B1706,'NIVEL ENERO'!A:D,3,0)</f>
        <v>0.469104453326484</v>
      </c>
      <c r="Q1706" s="229" t="n">
        <f aca="false">VLOOKUP(B1706,'NIVEL ENERO'!A:D,4,0)</f>
        <v>-201191</v>
      </c>
      <c r="R1706" s="186" t="str">
        <f aca="false">+PROPER(C1706&amp;" "&amp;D1706)</f>
        <v>Bermudez Gutierrez Valentina</v>
      </c>
      <c r="S1706" s="230" t="n">
        <f aca="false">+YEARFRAC(L1706,$S$1)</f>
        <v>5.40277777777778</v>
      </c>
      <c r="T1706" s="230" t="n">
        <f aca="false">+YEARFRAC(M1706,$S$1)</f>
        <v>8.28055555555556</v>
      </c>
      <c r="U1706" s="231" t="n">
        <f aca="false">+$I1706</f>
        <v>2606218</v>
      </c>
      <c r="V1706" s="232" t="str">
        <f aca="false">+PROPER(F1706)</f>
        <v>Soltero(A)</v>
      </c>
    </row>
    <row r="1707" customFormat="false" ht="14.25" hidden="false" customHeight="false" outlineLevel="0" collapsed="false">
      <c r="B1707" s="197" t="n">
        <v>1144207702</v>
      </c>
      <c r="C1707" s="197" t="s">
        <v>3845</v>
      </c>
      <c r="D1707" s="197" t="s">
        <v>3846</v>
      </c>
      <c r="E1707" s="198" t="s">
        <v>944</v>
      </c>
      <c r="F1707" s="198" t="s">
        <v>953</v>
      </c>
      <c r="G1707" s="225" t="n">
        <v>2600900</v>
      </c>
      <c r="H1707" s="225" t="n">
        <v>2349703</v>
      </c>
      <c r="I1707" s="225" t="n">
        <v>2525839</v>
      </c>
      <c r="J1707" s="198" t="n">
        <v>26</v>
      </c>
      <c r="K1707" s="198" t="n">
        <v>2</v>
      </c>
      <c r="L1707" s="226" t="n">
        <v>44798</v>
      </c>
      <c r="M1707" s="226" t="n">
        <v>44728</v>
      </c>
      <c r="N1707" s="227" t="n">
        <v>2</v>
      </c>
      <c r="O1707" s="227" t="s">
        <v>135</v>
      </c>
      <c r="P1707" s="228" t="n">
        <f aca="false">VLOOKUP(B1707,'NIVEL ENERO'!A:D,3,0)</f>
        <v>0.167854746180204</v>
      </c>
      <c r="Q1707" s="229" t="n">
        <f aca="false">VLOOKUP(B1707,'NIVEL ENERO'!A:D,4,0)</f>
        <v>879348.42</v>
      </c>
      <c r="R1707" s="186" t="str">
        <f aca="false">+PROPER(C1707&amp;" "&amp;D1707)</f>
        <v>Marquez Patino Diana Vanessa</v>
      </c>
      <c r="S1707" s="230" t="n">
        <f aca="false">+YEARFRAC(L1707,$S$1)</f>
        <v>3.71388888888889</v>
      </c>
      <c r="T1707" s="230" t="n">
        <f aca="false">+YEARFRAC(M1707,$S$1)</f>
        <v>3.90555555555556</v>
      </c>
      <c r="U1707" s="231" t="n">
        <f aca="false">+$I1707</f>
        <v>2525839</v>
      </c>
      <c r="V1707" s="232" t="str">
        <f aca="false">+PROPER(F1707)</f>
        <v>Soltero(A)</v>
      </c>
    </row>
    <row r="1708" customFormat="false" ht="14.25" hidden="false" customHeight="false" outlineLevel="0" collapsed="false">
      <c r="B1708" s="197" t="n">
        <v>1144209482</v>
      </c>
      <c r="C1708" s="197" t="s">
        <v>3847</v>
      </c>
      <c r="D1708" s="197" t="s">
        <v>3848</v>
      </c>
      <c r="E1708" s="198" t="s">
        <v>944</v>
      </c>
      <c r="F1708" s="198" t="s">
        <v>953</v>
      </c>
      <c r="G1708" s="225" t="n">
        <v>1918500</v>
      </c>
      <c r="H1708" s="225" t="n">
        <v>420000</v>
      </c>
      <c r="I1708" s="225"/>
      <c r="J1708" s="198" t="n">
        <v>25</v>
      </c>
      <c r="K1708" s="198" t="n">
        <v>1</v>
      </c>
      <c r="L1708" s="226" t="n">
        <v>45475</v>
      </c>
      <c r="M1708" s="226" t="n">
        <v>45019</v>
      </c>
      <c r="N1708" s="227" t="n">
        <v>0</v>
      </c>
      <c r="O1708" s="227" t="s">
        <v>135</v>
      </c>
      <c r="P1708" s="228" t="n">
        <f aca="false">VLOOKUP(B1708,'NIVEL ENERO'!A:D,3,0)</f>
        <v>0.259493558339483</v>
      </c>
      <c r="Q1708" s="229" t="n">
        <f aca="false">VLOOKUP(B1708,'NIVEL ENERO'!A:D,4,0)</f>
        <v>349011.52</v>
      </c>
      <c r="R1708" s="186" t="str">
        <f aca="false">+PROPER(C1708&amp;" "&amp;D1708)</f>
        <v>Espinosa Erazo Sebastian Allen</v>
      </c>
      <c r="S1708" s="230" t="n">
        <f aca="false">+YEARFRAC(L1708,$S$1)</f>
        <v>1.86111111111111</v>
      </c>
      <c r="T1708" s="230" t="n">
        <f aca="false">+YEARFRAC(M1708,$S$1)</f>
        <v>3.10833333333333</v>
      </c>
      <c r="U1708" s="231" t="n">
        <f aca="false">+$I1708</f>
        <v>0</v>
      </c>
      <c r="V1708" s="232" t="str">
        <f aca="false">+PROPER(F1708)</f>
        <v>Soltero(A)</v>
      </c>
    </row>
    <row r="1709" customFormat="false" ht="14.25" hidden="false" customHeight="false" outlineLevel="0" collapsed="false">
      <c r="B1709" s="197" t="n">
        <v>1144212141</v>
      </c>
      <c r="C1709" s="197" t="s">
        <v>3849</v>
      </c>
      <c r="D1709" s="197" t="s">
        <v>1527</v>
      </c>
      <c r="E1709" s="198" t="s">
        <v>944</v>
      </c>
      <c r="F1709" s="198" t="s">
        <v>953</v>
      </c>
      <c r="G1709" s="225" t="n">
        <v>2893800</v>
      </c>
      <c r="H1709" s="225" t="n">
        <v>3375433</v>
      </c>
      <c r="I1709" s="225" t="n">
        <v>7556447</v>
      </c>
      <c r="J1709" s="198" t="n">
        <v>25</v>
      </c>
      <c r="K1709" s="198" t="n">
        <v>1</v>
      </c>
      <c r="L1709" s="226" t="n">
        <v>43649</v>
      </c>
      <c r="M1709" s="226" t="n">
        <v>43376</v>
      </c>
      <c r="N1709" s="227" t="n">
        <v>4</v>
      </c>
      <c r="O1709" s="227" t="s">
        <v>135</v>
      </c>
      <c r="P1709" s="228" t="n">
        <f aca="false">VLOOKUP(B1709,'NIVEL ENERO'!A:D,3,0)</f>
        <v>0.302520438320556</v>
      </c>
      <c r="Q1709" s="229" t="n">
        <f aca="false">VLOOKUP(B1709,'NIVEL ENERO'!A:D,4,0)</f>
        <v>469295.84</v>
      </c>
      <c r="R1709" s="186" t="str">
        <f aca="false">+PROPER(C1709&amp;" "&amp;D1709)</f>
        <v>Acosta Rosales Alejandra</v>
      </c>
      <c r="S1709" s="230" t="n">
        <f aca="false">+YEARFRAC(L1709,$S$1)</f>
        <v>6.85833333333333</v>
      </c>
      <c r="T1709" s="230" t="n">
        <f aca="false">+YEARFRAC(M1709,$S$1)</f>
        <v>7.60833333333333</v>
      </c>
      <c r="U1709" s="231" t="n">
        <f aca="false">+$I1709</f>
        <v>7556447</v>
      </c>
      <c r="V1709" s="232" t="str">
        <f aca="false">+PROPER(F1709)</f>
        <v>Soltero(A)</v>
      </c>
    </row>
    <row r="1710" customFormat="false" ht="14.25" hidden="false" customHeight="false" outlineLevel="0" collapsed="false">
      <c r="B1710" s="197" t="n">
        <v>1144212279</v>
      </c>
      <c r="C1710" s="197" t="s">
        <v>3850</v>
      </c>
      <c r="D1710" s="197" t="s">
        <v>3851</v>
      </c>
      <c r="E1710" s="198" t="s">
        <v>944</v>
      </c>
      <c r="F1710" s="198" t="s">
        <v>953</v>
      </c>
      <c r="G1710" s="225" t="n">
        <v>1625000</v>
      </c>
      <c r="H1710" s="225" t="n">
        <v>500000</v>
      </c>
      <c r="I1710" s="225"/>
      <c r="J1710" s="198" t="n">
        <v>25</v>
      </c>
      <c r="K1710" s="198" t="n">
        <v>1</v>
      </c>
      <c r="L1710" s="226" t="n">
        <v>45519</v>
      </c>
      <c r="M1710" s="226" t="n">
        <v>45447</v>
      </c>
      <c r="N1710" s="227" t="n">
        <v>0</v>
      </c>
      <c r="O1710" s="227" t="s">
        <v>135</v>
      </c>
      <c r="P1710" s="228" t="n">
        <f aca="false">VLOOKUP(B1710,'NIVEL ENERO'!A:D,3,0)</f>
        <v>0.361327194954881</v>
      </c>
      <c r="Q1710" s="229" t="n">
        <f aca="false">VLOOKUP(B1710,'NIVEL ENERO'!A:D,4,0)</f>
        <v>264579.333333333</v>
      </c>
      <c r="R1710" s="186" t="str">
        <f aca="false">+PROPER(C1710&amp;" "&amp;D1710)</f>
        <v>Valencia Jaramillo Jesus David</v>
      </c>
      <c r="S1710" s="230" t="n">
        <f aca="false">+YEARFRAC(L1710,$S$1)</f>
        <v>1.74166666666667</v>
      </c>
      <c r="T1710" s="230" t="n">
        <f aca="false">+YEARFRAC(M1710,$S$1)</f>
        <v>1.93888888888889</v>
      </c>
      <c r="U1710" s="231" t="n">
        <f aca="false">+$I1710</f>
        <v>0</v>
      </c>
      <c r="V1710" s="232" t="str">
        <f aca="false">+PROPER(F1710)</f>
        <v>Soltero(A)</v>
      </c>
    </row>
    <row r="1711" customFormat="false" ht="14.25" hidden="false" customHeight="false" outlineLevel="0" collapsed="false">
      <c r="B1711" s="197" t="n">
        <v>1144212406</v>
      </c>
      <c r="C1711" s="197" t="s">
        <v>3852</v>
      </c>
      <c r="D1711" s="197" t="s">
        <v>2305</v>
      </c>
      <c r="E1711" s="198" t="s">
        <v>944</v>
      </c>
      <c r="F1711" s="198" t="s">
        <v>953</v>
      </c>
      <c r="G1711" s="225" t="n">
        <v>5679200</v>
      </c>
      <c r="H1711" s="225" t="n">
        <v>1000000</v>
      </c>
      <c r="I1711" s="225"/>
      <c r="J1711" s="198" t="n">
        <v>25</v>
      </c>
      <c r="K1711" s="198" t="n">
        <v>2</v>
      </c>
      <c r="L1711" s="226" t="n">
        <v>45519</v>
      </c>
      <c r="M1711" s="226" t="n">
        <v>44413</v>
      </c>
      <c r="N1711" s="227" t="n">
        <v>0</v>
      </c>
      <c r="O1711" s="227" t="s">
        <v>135</v>
      </c>
      <c r="P1711" s="228" t="n">
        <f aca="false">VLOOKUP(B1711,'NIVEL ENERO'!A:D,3,0)</f>
        <v>0.140763212294823</v>
      </c>
      <c r="Q1711" s="229" t="n">
        <f aca="false">VLOOKUP(B1711,'NIVEL ENERO'!A:D,4,0)</f>
        <v>1891518.26</v>
      </c>
      <c r="R1711" s="186" t="str">
        <f aca="false">+PROPER(C1711&amp;" "&amp;D1711)</f>
        <v>Gonzalez Izquierdo Isabella</v>
      </c>
      <c r="S1711" s="230" t="n">
        <f aca="false">+YEARFRAC(L1711,$S$1)</f>
        <v>1.74166666666667</v>
      </c>
      <c r="T1711" s="230" t="n">
        <f aca="false">+YEARFRAC(M1711,$S$1)</f>
        <v>4.76944444444445</v>
      </c>
      <c r="U1711" s="231" t="n">
        <f aca="false">+$I1711</f>
        <v>0</v>
      </c>
      <c r="V1711" s="232" t="str">
        <f aca="false">+PROPER(F1711)</f>
        <v>Soltero(A)</v>
      </c>
    </row>
    <row r="1712" customFormat="false" ht="14.25" hidden="false" customHeight="false" outlineLevel="0" collapsed="false">
      <c r="B1712" s="197" t="n">
        <v>1144212725</v>
      </c>
      <c r="C1712" s="197" t="s">
        <v>3853</v>
      </c>
      <c r="D1712" s="197" t="s">
        <v>3854</v>
      </c>
      <c r="E1712" s="198" t="s">
        <v>944</v>
      </c>
      <c r="F1712" s="198" t="s">
        <v>953</v>
      </c>
      <c r="G1712" s="225" t="n">
        <v>2600900</v>
      </c>
      <c r="H1712" s="225" t="n">
        <v>400000</v>
      </c>
      <c r="I1712" s="225"/>
      <c r="J1712" s="198" t="n">
        <v>25</v>
      </c>
      <c r="K1712" s="198" t="n">
        <v>2</v>
      </c>
      <c r="L1712" s="226" t="n">
        <v>45518</v>
      </c>
      <c r="M1712" s="226" t="n">
        <v>44825</v>
      </c>
      <c r="N1712" s="227" t="n">
        <v>0</v>
      </c>
      <c r="O1712" s="227" t="s">
        <v>135</v>
      </c>
      <c r="P1712" s="228" t="n">
        <f aca="false">VLOOKUP(B1712,'NIVEL ENERO'!A:D,3,0)</f>
        <v>0.111753124890457</v>
      </c>
      <c r="Q1712" s="229" t="n">
        <f aca="false">VLOOKUP(B1712,'NIVEL ENERO'!A:D,4,0)</f>
        <v>1178333.48</v>
      </c>
      <c r="R1712" s="186" t="str">
        <f aca="false">+PROPER(C1712&amp;" "&amp;D1712)</f>
        <v>Londono Gutierrez Luisa Maria</v>
      </c>
      <c r="S1712" s="230" t="n">
        <f aca="false">+YEARFRAC(L1712,$S$1)</f>
        <v>1.74444444444444</v>
      </c>
      <c r="T1712" s="230" t="n">
        <f aca="false">+YEARFRAC(M1712,$S$1)</f>
        <v>3.64166666666667</v>
      </c>
      <c r="U1712" s="231" t="n">
        <f aca="false">+$I1712</f>
        <v>0</v>
      </c>
      <c r="V1712" s="232" t="str">
        <f aca="false">+PROPER(F1712)</f>
        <v>Soltero(A)</v>
      </c>
    </row>
    <row r="1713" customFormat="false" ht="14.25" hidden="false" customHeight="false" outlineLevel="0" collapsed="false">
      <c r="B1713" s="197" t="n">
        <v>1148207872</v>
      </c>
      <c r="C1713" s="197" t="s">
        <v>3855</v>
      </c>
      <c r="D1713" s="197" t="s">
        <v>3515</v>
      </c>
      <c r="E1713" s="198" t="s">
        <v>944</v>
      </c>
      <c r="F1713" s="198" t="s">
        <v>953</v>
      </c>
      <c r="G1713" s="225" t="n">
        <v>2320800</v>
      </c>
      <c r="H1713" s="225" t="n">
        <v>2607705</v>
      </c>
      <c r="I1713" s="225" t="n">
        <v>2774681</v>
      </c>
      <c r="J1713" s="198" t="n">
        <v>27</v>
      </c>
      <c r="K1713" s="198" t="n">
        <v>2</v>
      </c>
      <c r="L1713" s="226" t="n">
        <v>44886</v>
      </c>
      <c r="M1713" s="226" t="n">
        <v>44886</v>
      </c>
      <c r="N1713" s="227" t="n">
        <v>0</v>
      </c>
      <c r="O1713" s="227" t="s">
        <v>135</v>
      </c>
      <c r="P1713" s="228" t="n">
        <f aca="false">VLOOKUP(B1713,'NIVEL ENERO'!A:D,3,0)</f>
        <v>0.128130924134074</v>
      </c>
      <c r="Q1713" s="229" t="n">
        <f aca="false">VLOOKUP(B1713,'NIVEL ENERO'!A:D,4,0)</f>
        <v>1040987.64</v>
      </c>
      <c r="R1713" s="186" t="str">
        <f aca="false">+PROPER(C1713&amp;" "&amp;D1713)</f>
        <v>Agudelo Castro Daniel Felipe</v>
      </c>
      <c r="S1713" s="230" t="n">
        <f aca="false">+YEARFRAC(L1713,$S$1)</f>
        <v>3.475</v>
      </c>
      <c r="T1713" s="230" t="n">
        <f aca="false">+YEARFRAC(M1713,$S$1)</f>
        <v>3.475</v>
      </c>
      <c r="U1713" s="231" t="n">
        <f aca="false">+$I1713</f>
        <v>2774681</v>
      </c>
      <c r="V1713" s="232" t="str">
        <f aca="false">+PROPER(F1713)</f>
        <v>Soltero(A)</v>
      </c>
    </row>
    <row r="1714" customFormat="false" ht="14.25" hidden="false" customHeight="false" outlineLevel="0" collapsed="false">
      <c r="B1714" s="197" t="n">
        <v>1150934479</v>
      </c>
      <c r="C1714" s="197" t="s">
        <v>3856</v>
      </c>
      <c r="D1714" s="197" t="s">
        <v>3857</v>
      </c>
      <c r="E1714" s="198" t="s">
        <v>944</v>
      </c>
      <c r="F1714" s="198" t="s">
        <v>945</v>
      </c>
      <c r="G1714" s="225" t="n">
        <v>1670000</v>
      </c>
      <c r="H1714" s="225" t="n">
        <v>1557164</v>
      </c>
      <c r="I1714" s="225" t="n">
        <v>3067688</v>
      </c>
      <c r="J1714" s="198" t="n">
        <v>24</v>
      </c>
      <c r="K1714" s="198" t="n">
        <v>2</v>
      </c>
      <c r="L1714" s="226" t="n">
        <v>44876</v>
      </c>
      <c r="M1714" s="226" t="n">
        <v>44683</v>
      </c>
      <c r="N1714" s="227" t="n">
        <v>0</v>
      </c>
      <c r="O1714" s="227" t="s">
        <v>135</v>
      </c>
      <c r="P1714" s="228" t="n">
        <f aca="false">VLOOKUP(B1714,'NIVEL ENERO'!A:D,3,0)</f>
        <v>0.417374622754491</v>
      </c>
      <c r="Q1714" s="229" t="n">
        <f aca="false">VLOOKUP(B1714,'NIVEL ENERO'!A:D,4,0)</f>
        <v>10439</v>
      </c>
      <c r="R1714" s="186" t="str">
        <f aca="false">+PROPER(C1714&amp;" "&amp;D1714)</f>
        <v>Riascos Cuero Nancy Johana</v>
      </c>
      <c r="S1714" s="230" t="n">
        <f aca="false">+YEARFRAC(L1714,$S$1)</f>
        <v>3.50277777777778</v>
      </c>
      <c r="T1714" s="230" t="n">
        <f aca="false">+YEARFRAC(M1714,$S$1)</f>
        <v>4.02777777777778</v>
      </c>
      <c r="U1714" s="231" t="n">
        <f aca="false">+$I1714</f>
        <v>3067688</v>
      </c>
      <c r="V1714" s="232" t="str">
        <f aca="false">+PROPER(F1714)</f>
        <v>Union Libre</v>
      </c>
    </row>
    <row r="1715" customFormat="false" ht="14.25" hidden="false" customHeight="false" outlineLevel="0" collapsed="false">
      <c r="B1715" s="197" t="n">
        <v>1151934960</v>
      </c>
      <c r="C1715" s="197" t="s">
        <v>3858</v>
      </c>
      <c r="D1715" s="197" t="s">
        <v>3859</v>
      </c>
      <c r="E1715" s="198" t="s">
        <v>944</v>
      </c>
      <c r="F1715" s="198" t="s">
        <v>948</v>
      </c>
      <c r="G1715" s="225" t="n">
        <v>2600900</v>
      </c>
      <c r="H1715" s="225" t="n">
        <v>2551322</v>
      </c>
      <c r="I1715" s="225" t="n">
        <v>7419366</v>
      </c>
      <c r="J1715" s="198" t="n">
        <v>34</v>
      </c>
      <c r="K1715" s="198" t="n">
        <v>2</v>
      </c>
      <c r="L1715" s="226" t="n">
        <v>45148</v>
      </c>
      <c r="M1715" s="226" t="n">
        <v>42339</v>
      </c>
      <c r="N1715" s="227" t="n">
        <v>0</v>
      </c>
      <c r="O1715" s="227" t="s">
        <v>135</v>
      </c>
      <c r="P1715" s="228" t="n">
        <f aca="false">VLOOKUP(B1715,'NIVEL ENERO'!A:D,3,0)</f>
        <v>0.229856865441572</v>
      </c>
      <c r="Q1715" s="229" t="n">
        <f aca="false">VLOOKUP(B1715,'NIVEL ENERO'!A:D,4,0)</f>
        <v>649571.92</v>
      </c>
      <c r="R1715" s="186" t="str">
        <f aca="false">+PROPER(C1715&amp;" "&amp;D1715)</f>
        <v>Restrepo Gonzalez Orlando Andrey</v>
      </c>
      <c r="S1715" s="230" t="n">
        <f aca="false">+YEARFRAC(L1715,$S$1)</f>
        <v>2.75555555555556</v>
      </c>
      <c r="T1715" s="230" t="n">
        <f aca="false">+YEARFRAC(M1715,$S$1)</f>
        <v>10.4472222222222</v>
      </c>
      <c r="U1715" s="231" t="n">
        <f aca="false">+$I1715</f>
        <v>7419366</v>
      </c>
      <c r="V1715" s="232" t="str">
        <f aca="false">+PROPER(F1715)</f>
        <v>Casado(A)</v>
      </c>
    </row>
    <row r="1716" customFormat="false" ht="14.25" hidden="false" customHeight="false" outlineLevel="0" collapsed="false">
      <c r="B1716" s="197" t="n">
        <v>1151935482</v>
      </c>
      <c r="C1716" s="197" t="s">
        <v>3602</v>
      </c>
      <c r="D1716" s="197" t="s">
        <v>2252</v>
      </c>
      <c r="E1716" s="198" t="s">
        <v>944</v>
      </c>
      <c r="F1716" s="198" t="s">
        <v>953</v>
      </c>
      <c r="G1716" s="225" t="n">
        <v>4000000</v>
      </c>
      <c r="H1716" s="225" t="n">
        <v>6205289</v>
      </c>
      <c r="I1716" s="225" t="n">
        <v>4582121</v>
      </c>
      <c r="J1716" s="198" t="n">
        <v>34</v>
      </c>
      <c r="K1716" s="198" t="n">
        <v>2</v>
      </c>
      <c r="L1716" s="226" t="n">
        <v>41716</v>
      </c>
      <c r="M1716" s="226" t="n">
        <v>44666</v>
      </c>
      <c r="N1716" s="227" t="n">
        <v>0</v>
      </c>
      <c r="O1716" s="227" t="s">
        <v>158</v>
      </c>
      <c r="P1716" s="228" t="e">
        <f aca="false">VLOOKUP(B1716,'NIVEL ENERO'!A:D,3,0)</f>
        <v>#N/A</v>
      </c>
      <c r="Q1716" s="229" t="e">
        <f aca="false">VLOOKUP(B1716,'NIVEL ENERO'!A:D,4,0)</f>
        <v>#N/A</v>
      </c>
      <c r="R1716" s="186" t="str">
        <f aca="false">+PROPER(C1716&amp;" "&amp;D1716)</f>
        <v>Dominguez Arciniegas Natalia</v>
      </c>
      <c r="S1716" s="230" t="n">
        <f aca="false">+YEARFRAC(L1716,$S$1)</f>
        <v>12.15</v>
      </c>
      <c r="T1716" s="230" t="n">
        <f aca="false">+YEARFRAC(M1716,$S$1)</f>
        <v>4.075</v>
      </c>
      <c r="U1716" s="231" t="n">
        <f aca="false">+$I1716</f>
        <v>4582121</v>
      </c>
      <c r="V1716" s="232" t="str">
        <f aca="false">+PROPER(F1716)</f>
        <v>Soltero(A)</v>
      </c>
    </row>
    <row r="1717" customFormat="false" ht="14.25" hidden="false" customHeight="false" outlineLevel="0" collapsed="false">
      <c r="B1717" s="197" t="n">
        <v>1151936475</v>
      </c>
      <c r="C1717" s="197" t="s">
        <v>3860</v>
      </c>
      <c r="D1717" s="197" t="s">
        <v>3861</v>
      </c>
      <c r="E1717" s="198" t="s">
        <v>944</v>
      </c>
      <c r="F1717" s="198" t="s">
        <v>953</v>
      </c>
      <c r="G1717" s="225" t="n">
        <v>2893800</v>
      </c>
      <c r="H1717" s="225" t="n">
        <v>2277452</v>
      </c>
      <c r="I1717" s="225" t="n">
        <v>3227152</v>
      </c>
      <c r="J1717" s="198" t="n">
        <v>34</v>
      </c>
      <c r="K1717" s="198" t="n">
        <v>2</v>
      </c>
      <c r="L1717" s="226" t="n">
        <v>44669</v>
      </c>
      <c r="M1717" s="226" t="n">
        <v>43591</v>
      </c>
      <c r="N1717" s="227" t="n">
        <v>3</v>
      </c>
      <c r="O1717" s="227" t="s">
        <v>135</v>
      </c>
      <c r="P1717" s="228" t="n">
        <f aca="false">VLOOKUP(B1717,'NIVEL ENERO'!A:D,3,0)</f>
        <v>0.182980717395812</v>
      </c>
      <c r="Q1717" s="229" t="n">
        <f aca="false">VLOOKUP(B1717,'NIVEL ENERO'!A:D,4,0)</f>
        <v>571572</v>
      </c>
      <c r="R1717" s="186" t="str">
        <f aca="false">+PROPER(C1717&amp;" "&amp;D1717)</f>
        <v>Alvarez Dorado Gloria Lizeth</v>
      </c>
      <c r="S1717" s="230" t="n">
        <f aca="false">+YEARFRAC(L1717,$S$1)</f>
        <v>4.06666666666667</v>
      </c>
      <c r="T1717" s="230" t="n">
        <f aca="false">+YEARFRAC(M1717,$S$1)</f>
        <v>7.01666666666667</v>
      </c>
      <c r="U1717" s="231" t="n">
        <f aca="false">+$I1717</f>
        <v>3227152</v>
      </c>
      <c r="V1717" s="232" t="str">
        <f aca="false">+PROPER(F1717)</f>
        <v>Soltero(A)</v>
      </c>
    </row>
    <row r="1718" customFormat="false" ht="14.25" hidden="false" customHeight="false" outlineLevel="0" collapsed="false">
      <c r="B1718" s="197" t="n">
        <v>1151939341</v>
      </c>
      <c r="C1718" s="197" t="s">
        <v>3862</v>
      </c>
      <c r="D1718" s="197" t="s">
        <v>3863</v>
      </c>
      <c r="E1718" s="198" t="s">
        <v>944</v>
      </c>
      <c r="F1718" s="198" t="s">
        <v>945</v>
      </c>
      <c r="G1718" s="225" t="n">
        <v>1991000</v>
      </c>
      <c r="H1718" s="225" t="n">
        <v>1238408</v>
      </c>
      <c r="I1718" s="225"/>
      <c r="J1718" s="198" t="n">
        <v>33</v>
      </c>
      <c r="K1718" s="198" t="n">
        <v>2</v>
      </c>
      <c r="L1718" s="226" t="n">
        <v>45058</v>
      </c>
      <c r="M1718" s="226" t="n">
        <v>42292</v>
      </c>
      <c r="N1718" s="227" t="n">
        <v>0</v>
      </c>
      <c r="O1718" s="227" t="s">
        <v>135</v>
      </c>
      <c r="P1718" s="228" t="n">
        <f aca="false">VLOOKUP(B1718,'NIVEL ENERO'!A:D,3,0)</f>
        <v>0.137823534922706</v>
      </c>
      <c r="Q1718" s="229" t="n">
        <f aca="false">VLOOKUP(B1718,'NIVEL ENERO'!A:D,4,0)</f>
        <v>716841.28</v>
      </c>
      <c r="R1718" s="186" t="str">
        <f aca="false">+PROPER(C1718&amp;" "&amp;D1718)</f>
        <v>Rengifo Barrios Andres Eduardo</v>
      </c>
      <c r="S1718" s="230" t="n">
        <f aca="false">+YEARFRAC(L1718,$S$1)</f>
        <v>3</v>
      </c>
      <c r="T1718" s="230" t="n">
        <f aca="false">+YEARFRAC(M1718,$S$1)</f>
        <v>10.575</v>
      </c>
      <c r="U1718" s="231" t="n">
        <f aca="false">+$I1718</f>
        <v>0</v>
      </c>
      <c r="V1718" s="232" t="str">
        <f aca="false">+PROPER(F1718)</f>
        <v>Union Libre</v>
      </c>
    </row>
    <row r="1719" customFormat="false" ht="14.25" hidden="false" customHeight="false" outlineLevel="0" collapsed="false">
      <c r="B1719" s="197" t="n">
        <v>1151939688</v>
      </c>
      <c r="C1719" s="197" t="s">
        <v>3864</v>
      </c>
      <c r="D1719" s="197" t="s">
        <v>3865</v>
      </c>
      <c r="E1719" s="198" t="s">
        <v>944</v>
      </c>
      <c r="F1719" s="198" t="s">
        <v>953</v>
      </c>
      <c r="G1719" s="225" t="n">
        <v>1625000</v>
      </c>
      <c r="H1719" s="225" t="n">
        <v>195000</v>
      </c>
      <c r="I1719" s="225"/>
      <c r="J1719" s="198" t="n">
        <v>33</v>
      </c>
      <c r="K1719" s="198" t="n">
        <v>2</v>
      </c>
      <c r="L1719" s="226" t="n">
        <v>45580</v>
      </c>
      <c r="M1719" s="226" t="n">
        <v>45231</v>
      </c>
      <c r="N1719" s="227" t="n">
        <v>0</v>
      </c>
      <c r="O1719" s="227" t="s">
        <v>135</v>
      </c>
      <c r="P1719" s="228" t="n">
        <f aca="false">VLOOKUP(B1719,'NIVEL ENERO'!A:D,3,0)</f>
        <v>0.122763892852774</v>
      </c>
      <c r="Q1719" s="229" t="n">
        <f aca="false">VLOOKUP(B1719,'NIVEL ENERO'!A:D,4,0)</f>
        <v>729031</v>
      </c>
      <c r="R1719" s="186" t="str">
        <f aca="false">+PROPER(C1719&amp;" "&amp;D1719)</f>
        <v>Velasquez Hernandez Leydy Yulieth</v>
      </c>
      <c r="S1719" s="230" t="n">
        <f aca="false">+YEARFRAC(L1719,$S$1)</f>
        <v>1.575</v>
      </c>
      <c r="T1719" s="230" t="n">
        <f aca="false">+YEARFRAC(M1719,$S$1)</f>
        <v>2.53055555555556</v>
      </c>
      <c r="U1719" s="231" t="n">
        <f aca="false">+$I1719</f>
        <v>0</v>
      </c>
      <c r="V1719" s="232" t="str">
        <f aca="false">+PROPER(F1719)</f>
        <v>Soltero(A)</v>
      </c>
    </row>
    <row r="1720" customFormat="false" ht="14.25" hidden="false" customHeight="false" outlineLevel="0" collapsed="false">
      <c r="B1720" s="197" t="n">
        <v>1151940448</v>
      </c>
      <c r="C1720" s="197" t="s">
        <v>3866</v>
      </c>
      <c r="D1720" s="197" t="s">
        <v>1298</v>
      </c>
      <c r="E1720" s="198" t="s">
        <v>944</v>
      </c>
      <c r="F1720" s="198" t="s">
        <v>948</v>
      </c>
      <c r="G1720" s="225" t="n">
        <v>7500000</v>
      </c>
      <c r="H1720" s="225" t="n">
        <v>2000000</v>
      </c>
      <c r="I1720" s="225"/>
      <c r="J1720" s="198" t="n">
        <v>33</v>
      </c>
      <c r="K1720" s="198" t="n">
        <v>2</v>
      </c>
      <c r="L1720" s="226" t="n">
        <v>45352</v>
      </c>
      <c r="M1720" s="226" t="n">
        <v>43480</v>
      </c>
      <c r="N1720" s="227" t="n">
        <v>0</v>
      </c>
      <c r="O1720" s="227" t="s">
        <v>158</v>
      </c>
      <c r="P1720" s="228" t="e">
        <f aca="false">VLOOKUP(B1720,'NIVEL ENERO'!A:D,3,0)</f>
        <v>#N/A</v>
      </c>
      <c r="Q1720" s="229" t="e">
        <f aca="false">VLOOKUP(B1720,'NIVEL ENERO'!A:D,4,0)</f>
        <v>#N/A</v>
      </c>
      <c r="R1720" s="186" t="str">
        <f aca="false">+PROPER(C1720&amp;" "&amp;D1720)</f>
        <v>Ramos Diaz Monica</v>
      </c>
      <c r="S1720" s="230" t="n">
        <f aca="false">+YEARFRAC(L1720,$S$1)</f>
        <v>2.19722222222222</v>
      </c>
      <c r="T1720" s="230" t="n">
        <f aca="false">+YEARFRAC(M1720,$S$1)</f>
        <v>7.325</v>
      </c>
      <c r="U1720" s="231" t="n">
        <f aca="false">+$I1720</f>
        <v>0</v>
      </c>
      <c r="V1720" s="232" t="str">
        <f aca="false">+PROPER(F1720)</f>
        <v>Casado(A)</v>
      </c>
    </row>
    <row r="1721" customFormat="false" ht="14.25" hidden="false" customHeight="false" outlineLevel="0" collapsed="false">
      <c r="B1721" s="197" t="n">
        <v>1151942037</v>
      </c>
      <c r="C1721" s="197" t="s">
        <v>3867</v>
      </c>
      <c r="D1721" s="197" t="s">
        <v>3868</v>
      </c>
      <c r="E1721" s="198" t="s">
        <v>944</v>
      </c>
      <c r="F1721" s="198" t="s">
        <v>945</v>
      </c>
      <c r="G1721" s="225" t="n">
        <v>2893800</v>
      </c>
      <c r="H1721" s="225" t="n">
        <v>3920900</v>
      </c>
      <c r="I1721" s="225" t="n">
        <v>4135514</v>
      </c>
      <c r="J1721" s="198" t="n">
        <v>33</v>
      </c>
      <c r="K1721" s="198" t="n">
        <v>2</v>
      </c>
      <c r="L1721" s="226" t="n">
        <v>44432</v>
      </c>
      <c r="M1721" s="226" t="n">
        <v>44105</v>
      </c>
      <c r="N1721" s="227" t="n">
        <v>3</v>
      </c>
      <c r="O1721" s="227" t="s">
        <v>135</v>
      </c>
      <c r="P1721" s="228" t="n">
        <f aca="false">VLOOKUP(B1721,'NIVEL ENERO'!A:D,3,0)</f>
        <v>0.181492220183259</v>
      </c>
      <c r="Q1721" s="229" t="n">
        <f aca="false">VLOOKUP(B1721,'NIVEL ENERO'!A:D,4,0)</f>
        <v>796383.36</v>
      </c>
      <c r="R1721" s="186" t="str">
        <f aca="false">+PROPER(C1721&amp;" "&amp;D1721)</f>
        <v>Trujillo Rosero Jenifer</v>
      </c>
      <c r="S1721" s="230" t="n">
        <f aca="false">+YEARFRAC(L1721,$S$1)</f>
        <v>4.71666666666667</v>
      </c>
      <c r="T1721" s="230" t="n">
        <f aca="false">+YEARFRAC(M1721,$S$1)</f>
        <v>5.61388888888889</v>
      </c>
      <c r="U1721" s="231" t="n">
        <f aca="false">+$I1721</f>
        <v>4135514</v>
      </c>
      <c r="V1721" s="232" t="str">
        <f aca="false">+PROPER(F1721)</f>
        <v>Union Libre</v>
      </c>
    </row>
    <row r="1722" customFormat="false" ht="14.25" hidden="false" customHeight="false" outlineLevel="0" collapsed="false">
      <c r="B1722" s="197" t="n">
        <v>1151942706</v>
      </c>
      <c r="C1722" s="197" t="s">
        <v>3869</v>
      </c>
      <c r="D1722" s="197" t="s">
        <v>2224</v>
      </c>
      <c r="E1722" s="198" t="s">
        <v>944</v>
      </c>
      <c r="F1722" s="198" t="s">
        <v>945</v>
      </c>
      <c r="G1722" s="225" t="n">
        <v>2089800</v>
      </c>
      <c r="H1722" s="225" t="n">
        <v>2819851</v>
      </c>
      <c r="I1722" s="225" t="n">
        <v>0</v>
      </c>
      <c r="J1722" s="198" t="n">
        <v>33</v>
      </c>
      <c r="K1722" s="198" t="n">
        <v>2</v>
      </c>
      <c r="L1722" s="226" t="n">
        <v>44062</v>
      </c>
      <c r="M1722" s="226" t="n">
        <v>44044</v>
      </c>
      <c r="N1722" s="227" t="n">
        <v>4</v>
      </c>
      <c r="O1722" s="227" t="s">
        <v>135</v>
      </c>
      <c r="P1722" s="228" t="n">
        <f aca="false">VLOOKUP(B1722,'NIVEL ENERO'!A:D,3,0)</f>
        <v>0.135463950772941</v>
      </c>
      <c r="Q1722" s="229" t="n">
        <f aca="false">VLOOKUP(B1722,'NIVEL ENERO'!A:D,4,0)</f>
        <v>702302.12</v>
      </c>
      <c r="R1722" s="186" t="str">
        <f aca="false">+PROPER(C1722&amp;" "&amp;D1722)</f>
        <v>Ceballos Lozada Cristian Andres</v>
      </c>
      <c r="S1722" s="230" t="n">
        <f aca="false">+YEARFRAC(L1722,$S$1)</f>
        <v>5.73055555555556</v>
      </c>
      <c r="T1722" s="230" t="n">
        <f aca="false">+YEARFRAC(M1722,$S$1)</f>
        <v>5.78055555555556</v>
      </c>
      <c r="U1722" s="231" t="n">
        <f aca="false">+$I1722</f>
        <v>0</v>
      </c>
      <c r="V1722" s="232" t="str">
        <f aca="false">+PROPER(F1722)</f>
        <v>Union Libre</v>
      </c>
    </row>
    <row r="1723" customFormat="false" ht="14.25" hidden="false" customHeight="false" outlineLevel="0" collapsed="false">
      <c r="B1723" s="197" t="n">
        <v>1151943115</v>
      </c>
      <c r="C1723" s="197" t="s">
        <v>3870</v>
      </c>
      <c r="D1723" s="197" t="s">
        <v>3871</v>
      </c>
      <c r="E1723" s="198" t="s">
        <v>944</v>
      </c>
      <c r="F1723" s="198" t="s">
        <v>945</v>
      </c>
      <c r="G1723" s="225" t="n">
        <v>5291000</v>
      </c>
      <c r="H1723" s="225" t="n">
        <v>1801313</v>
      </c>
      <c r="I1723" s="225"/>
      <c r="J1723" s="198" t="n">
        <v>33</v>
      </c>
      <c r="K1723" s="198" t="n">
        <v>1</v>
      </c>
      <c r="L1723" s="226" t="n">
        <v>45121</v>
      </c>
      <c r="M1723" s="226" t="n">
        <v>40643</v>
      </c>
      <c r="N1723" s="227" t="n">
        <v>0</v>
      </c>
      <c r="O1723" s="227" t="s">
        <v>135</v>
      </c>
      <c r="P1723" s="228" t="n">
        <f aca="false">VLOOKUP(B1723,'NIVEL ENERO'!A:D,3,0)</f>
        <v>0.11283441450871</v>
      </c>
      <c r="Q1723" s="229" t="n">
        <f aca="false">VLOOKUP(B1723,'NIVEL ENERO'!A:D,4,0)</f>
        <v>1625213.42</v>
      </c>
      <c r="R1723" s="186" t="str">
        <f aca="false">+PROPER(C1723&amp;" "&amp;D1723)</f>
        <v>Giraldo Silva Julieth</v>
      </c>
      <c r="S1723" s="230" t="n">
        <f aca="false">+YEARFRAC(L1723,$S$1)</f>
        <v>2.82777777777778</v>
      </c>
      <c r="T1723" s="230" t="n">
        <f aca="false">+YEARFRAC(M1723,$S$1)</f>
        <v>15.0888888888889</v>
      </c>
      <c r="U1723" s="231" t="n">
        <f aca="false">+$I1723</f>
        <v>0</v>
      </c>
      <c r="V1723" s="232" t="str">
        <f aca="false">+PROPER(F1723)</f>
        <v>Union Libre</v>
      </c>
    </row>
    <row r="1724" customFormat="false" ht="14.25" hidden="false" customHeight="false" outlineLevel="0" collapsed="false">
      <c r="B1724" s="197" t="n">
        <v>1151944100</v>
      </c>
      <c r="C1724" s="197" t="s">
        <v>3872</v>
      </c>
      <c r="D1724" s="197" t="s">
        <v>1241</v>
      </c>
      <c r="E1724" s="198" t="s">
        <v>944</v>
      </c>
      <c r="F1724" s="198" t="s">
        <v>945</v>
      </c>
      <c r="G1724" s="225" t="n">
        <v>2893800</v>
      </c>
      <c r="H1724" s="225" t="n">
        <v>4922745</v>
      </c>
      <c r="I1724" s="225" t="n">
        <v>384185</v>
      </c>
      <c r="J1724" s="198" t="n">
        <v>33</v>
      </c>
      <c r="K1724" s="198" t="n">
        <v>2</v>
      </c>
      <c r="L1724" s="226" t="n">
        <v>42752</v>
      </c>
      <c r="M1724" s="226" t="n">
        <v>41982</v>
      </c>
      <c r="N1724" s="227" t="n">
        <v>4</v>
      </c>
      <c r="O1724" s="227" t="s">
        <v>135</v>
      </c>
      <c r="P1724" s="228" t="n">
        <f aca="false">VLOOKUP(B1724,'NIVEL ENERO'!A:D,3,0)</f>
        <v>0.339906351510125</v>
      </c>
      <c r="Q1724" s="229" t="n">
        <f aca="false">VLOOKUP(B1724,'NIVEL ENERO'!A:D,4,0)</f>
        <v>231775</v>
      </c>
      <c r="R1724" s="186" t="str">
        <f aca="false">+PROPER(C1724&amp;" "&amp;D1724)</f>
        <v>Rojas Bolanos Diana Carolina</v>
      </c>
      <c r="S1724" s="230" t="n">
        <f aca="false">+YEARFRAC(L1724,$S$1)</f>
        <v>9.31944444444445</v>
      </c>
      <c r="T1724" s="230" t="n">
        <f aca="false">+YEARFRAC(M1724,$S$1)</f>
        <v>11.425</v>
      </c>
      <c r="U1724" s="231" t="n">
        <f aca="false">+$I1724</f>
        <v>384185</v>
      </c>
      <c r="V1724" s="232" t="str">
        <f aca="false">+PROPER(F1724)</f>
        <v>Union Libre</v>
      </c>
    </row>
    <row r="1725" customFormat="false" ht="14.25" hidden="false" customHeight="false" outlineLevel="0" collapsed="false">
      <c r="B1725" s="197" t="n">
        <v>1151944121</v>
      </c>
      <c r="C1725" s="197" t="s">
        <v>3873</v>
      </c>
      <c r="D1725" s="197" t="s">
        <v>3874</v>
      </c>
      <c r="E1725" s="198" t="s">
        <v>944</v>
      </c>
      <c r="F1725" s="198" t="s">
        <v>953</v>
      </c>
      <c r="G1725" s="225" t="n">
        <v>2893800</v>
      </c>
      <c r="H1725" s="225" t="n">
        <v>1456149</v>
      </c>
      <c r="I1725" s="225" t="n">
        <v>2841219</v>
      </c>
      <c r="J1725" s="198" t="n">
        <v>32</v>
      </c>
      <c r="K1725" s="198" t="n">
        <v>2</v>
      </c>
      <c r="L1725" s="226" t="n">
        <v>44936</v>
      </c>
      <c r="M1725" s="226" t="n">
        <v>44785</v>
      </c>
      <c r="N1725" s="227" t="n">
        <v>0</v>
      </c>
      <c r="O1725" s="227" t="s">
        <v>135</v>
      </c>
      <c r="P1725" s="228" t="n">
        <f aca="false">VLOOKUP(B1725,'NIVEL ENERO'!A:D,3,0)</f>
        <v>0.393491430947732</v>
      </c>
      <c r="Q1725" s="229" t="n">
        <f aca="false">VLOOKUP(B1725,'NIVEL ENERO'!A:D,4,0)</f>
        <v>80212.5</v>
      </c>
      <c r="R1725" s="186" t="str">
        <f aca="false">+PROPER(C1725&amp;" "&amp;D1725)</f>
        <v>Palma Lopez Juan Diego</v>
      </c>
      <c r="S1725" s="230" t="n">
        <f aca="false">+YEARFRAC(L1725,$S$1)</f>
        <v>3.33888888888889</v>
      </c>
      <c r="T1725" s="230" t="n">
        <f aca="false">+YEARFRAC(M1725,$S$1)</f>
        <v>3.75</v>
      </c>
      <c r="U1725" s="231" t="n">
        <f aca="false">+$I1725</f>
        <v>2841219</v>
      </c>
      <c r="V1725" s="232" t="str">
        <f aca="false">+PROPER(F1725)</f>
        <v>Soltero(A)</v>
      </c>
    </row>
    <row r="1726" customFormat="false" ht="14.25" hidden="false" customHeight="false" outlineLevel="0" collapsed="false">
      <c r="B1726" s="197" t="n">
        <v>1151944557</v>
      </c>
      <c r="C1726" s="197" t="s">
        <v>3875</v>
      </c>
      <c r="D1726" s="197" t="s">
        <v>3876</v>
      </c>
      <c r="E1726" s="198" t="s">
        <v>944</v>
      </c>
      <c r="F1726" s="198" t="s">
        <v>953</v>
      </c>
      <c r="G1726" s="225" t="n">
        <v>8000000</v>
      </c>
      <c r="H1726" s="225" t="n">
        <v>4811351</v>
      </c>
      <c r="I1726" s="225" t="n">
        <v>1704089</v>
      </c>
      <c r="J1726" s="198" t="n">
        <v>33</v>
      </c>
      <c r="K1726" s="198" t="n">
        <v>1</v>
      </c>
      <c r="L1726" s="226" t="n">
        <v>44909</v>
      </c>
      <c r="M1726" s="226" t="n">
        <v>44580</v>
      </c>
      <c r="N1726" s="227" t="n">
        <v>2</v>
      </c>
      <c r="O1726" s="227" t="s">
        <v>158</v>
      </c>
      <c r="P1726" s="228" t="e">
        <f aca="false">VLOOKUP(B1726,'NIVEL ENERO'!A:D,3,0)</f>
        <v>#N/A</v>
      </c>
      <c r="Q1726" s="229" t="e">
        <f aca="false">VLOOKUP(B1726,'NIVEL ENERO'!A:D,4,0)</f>
        <v>#N/A</v>
      </c>
      <c r="R1726" s="186" t="str">
        <f aca="false">+PROPER(C1726&amp;" "&amp;D1726)</f>
        <v>Velasco Villani Gina Paola</v>
      </c>
      <c r="S1726" s="230" t="n">
        <f aca="false">+YEARFRAC(L1726,$S$1)</f>
        <v>3.41111111111111</v>
      </c>
      <c r="T1726" s="230" t="n">
        <f aca="false">+YEARFRAC(M1726,$S$1)</f>
        <v>4.31388888888889</v>
      </c>
      <c r="U1726" s="231" t="n">
        <f aca="false">+$I1726</f>
        <v>1704089</v>
      </c>
      <c r="V1726" s="232" t="str">
        <f aca="false">+PROPER(F1726)</f>
        <v>Soltero(A)</v>
      </c>
    </row>
    <row r="1727" customFormat="false" ht="14.25" hidden="false" customHeight="false" outlineLevel="0" collapsed="false">
      <c r="B1727" s="197" t="n">
        <v>1151945599</v>
      </c>
      <c r="C1727" s="197" t="s">
        <v>3877</v>
      </c>
      <c r="D1727" s="197" t="s">
        <v>2484</v>
      </c>
      <c r="E1727" s="198" t="s">
        <v>944</v>
      </c>
      <c r="F1727" s="198" t="s">
        <v>953</v>
      </c>
      <c r="G1727" s="225" t="n">
        <v>2893800</v>
      </c>
      <c r="H1727" s="225" t="n">
        <v>3819885</v>
      </c>
      <c r="I1727" s="225" t="n">
        <v>3177854</v>
      </c>
      <c r="J1727" s="198" t="n">
        <v>32</v>
      </c>
      <c r="K1727" s="198" t="n">
        <v>1</v>
      </c>
      <c r="L1727" s="226" t="n">
        <v>44491</v>
      </c>
      <c r="M1727" s="226" t="n">
        <v>44105</v>
      </c>
      <c r="N1727" s="227" t="n">
        <v>3</v>
      </c>
      <c r="O1727" s="227" t="s">
        <v>135</v>
      </c>
      <c r="P1727" s="228" t="n">
        <f aca="false">VLOOKUP(B1727,'NIVEL ENERO'!A:D,3,0)</f>
        <v>0.232091170294797</v>
      </c>
      <c r="Q1727" s="229" t="n">
        <f aca="false">VLOOKUP(B1727,'NIVEL ENERO'!A:D,4,0)</f>
        <v>578524.56</v>
      </c>
      <c r="R1727" s="186" t="str">
        <f aca="false">+PROPER(C1727&amp;" "&amp;D1727)</f>
        <v>Cortes Lorza Gustavo Adolfo</v>
      </c>
      <c r="S1727" s="230" t="n">
        <f aca="false">+YEARFRAC(L1727,$S$1)</f>
        <v>4.55555555555556</v>
      </c>
      <c r="T1727" s="230" t="n">
        <f aca="false">+YEARFRAC(M1727,$S$1)</f>
        <v>5.61388888888889</v>
      </c>
      <c r="U1727" s="231" t="n">
        <f aca="false">+$I1727</f>
        <v>3177854</v>
      </c>
      <c r="V1727" s="232" t="str">
        <f aca="false">+PROPER(F1727)</f>
        <v>Soltero(A)</v>
      </c>
    </row>
    <row r="1728" customFormat="false" ht="14.25" hidden="false" customHeight="false" outlineLevel="0" collapsed="false">
      <c r="B1728" s="197" t="n">
        <v>1151946155</v>
      </c>
      <c r="C1728" s="197" t="s">
        <v>3878</v>
      </c>
      <c r="D1728" s="197" t="s">
        <v>1243</v>
      </c>
      <c r="E1728" s="198" t="s">
        <v>944</v>
      </c>
      <c r="F1728" s="198" t="s">
        <v>948</v>
      </c>
      <c r="G1728" s="225" t="n">
        <v>3945300</v>
      </c>
      <c r="H1728" s="225" t="n">
        <v>4764469</v>
      </c>
      <c r="I1728" s="225" t="n">
        <v>10764299</v>
      </c>
      <c r="J1728" s="198" t="n">
        <v>32</v>
      </c>
      <c r="K1728" s="198" t="n">
        <v>1</v>
      </c>
      <c r="L1728" s="226" t="n">
        <v>42321</v>
      </c>
      <c r="M1728" s="226" t="n">
        <v>41654</v>
      </c>
      <c r="N1728" s="227" t="n">
        <v>4</v>
      </c>
      <c r="O1728" s="227" t="s">
        <v>135</v>
      </c>
      <c r="P1728" s="228" t="n">
        <f aca="false">VLOOKUP(B1728,'NIVEL ENERO'!A:D,3,0)</f>
        <v>0.386699392407245</v>
      </c>
      <c r="Q1728" s="229" t="n">
        <f aca="false">VLOOKUP(B1728,'NIVEL ENERO'!A:D,4,0)</f>
        <v>148374.72</v>
      </c>
      <c r="R1728" s="186" t="str">
        <f aca="false">+PROPER(C1728&amp;" "&amp;D1728)</f>
        <v>Bejarano Herrera Lady Johanna</v>
      </c>
      <c r="S1728" s="230" t="n">
        <f aca="false">+YEARFRAC(L1728,$S$1)</f>
        <v>10.4972222222222</v>
      </c>
      <c r="T1728" s="230" t="n">
        <f aca="false">+YEARFRAC(M1728,$S$1)</f>
        <v>12.325</v>
      </c>
      <c r="U1728" s="231" t="n">
        <f aca="false">+$I1728</f>
        <v>10764299</v>
      </c>
      <c r="V1728" s="232" t="str">
        <f aca="false">+PROPER(F1728)</f>
        <v>Casado(A)</v>
      </c>
    </row>
    <row r="1729" customFormat="false" ht="14.25" hidden="false" customHeight="false" outlineLevel="0" collapsed="false">
      <c r="B1729" s="197" t="n">
        <v>1151947279</v>
      </c>
      <c r="C1729" s="197" t="s">
        <v>3879</v>
      </c>
      <c r="D1729" s="197" t="s">
        <v>3880</v>
      </c>
      <c r="E1729" s="198" t="s">
        <v>944</v>
      </c>
      <c r="F1729" s="198" t="s">
        <v>945</v>
      </c>
      <c r="G1729" s="225" t="n">
        <v>1625000</v>
      </c>
      <c r="H1729" s="225" t="n">
        <v>1405682</v>
      </c>
      <c r="I1729" s="225" t="n">
        <v>850565</v>
      </c>
      <c r="J1729" s="198" t="n">
        <v>32</v>
      </c>
      <c r="K1729" s="198" t="n">
        <v>2</v>
      </c>
      <c r="L1729" s="226" t="n">
        <v>44977</v>
      </c>
      <c r="M1729" s="226" t="n">
        <v>44235</v>
      </c>
      <c r="N1729" s="227" t="n">
        <v>1</v>
      </c>
      <c r="O1729" s="227" t="s">
        <v>135</v>
      </c>
      <c r="P1729" s="228" t="n">
        <f aca="false">VLOOKUP(B1729,'NIVEL ENERO'!A:D,3,0)</f>
        <v>0.4259461289723</v>
      </c>
      <c r="Q1729" s="229" t="n">
        <f aca="false">VLOOKUP(B1729,'NIVEL ENERO'!A:D,4,0)</f>
        <v>-11601.96</v>
      </c>
      <c r="R1729" s="186" t="str">
        <f aca="false">+PROPER(C1729&amp;" "&amp;D1729)</f>
        <v>Cabal Gomez Olga Patricia</v>
      </c>
      <c r="S1729" s="230" t="n">
        <f aca="false">+YEARFRAC(L1729,$S$1)</f>
        <v>3.22777777777778</v>
      </c>
      <c r="T1729" s="230" t="n">
        <f aca="false">+YEARFRAC(M1729,$S$1)</f>
        <v>5.26111111111111</v>
      </c>
      <c r="U1729" s="231" t="n">
        <f aca="false">+$I1729</f>
        <v>850565</v>
      </c>
      <c r="V1729" s="232" t="str">
        <f aca="false">+PROPER(F1729)</f>
        <v>Union Libre</v>
      </c>
    </row>
    <row r="1730" customFormat="false" ht="14.25" hidden="false" customHeight="false" outlineLevel="0" collapsed="false">
      <c r="B1730" s="197" t="n">
        <v>1151947582</v>
      </c>
      <c r="C1730" s="197" t="s">
        <v>3508</v>
      </c>
      <c r="D1730" s="197" t="s">
        <v>3881</v>
      </c>
      <c r="E1730" s="198" t="s">
        <v>944</v>
      </c>
      <c r="F1730" s="198" t="s">
        <v>945</v>
      </c>
      <c r="G1730" s="225" t="n">
        <v>2893000</v>
      </c>
      <c r="H1730" s="225" t="n">
        <v>1607671</v>
      </c>
      <c r="I1730" s="225" t="n">
        <v>2371241</v>
      </c>
      <c r="J1730" s="198" t="n">
        <v>32</v>
      </c>
      <c r="K1730" s="198" t="n">
        <v>2</v>
      </c>
      <c r="L1730" s="226" t="n">
        <v>44848</v>
      </c>
      <c r="M1730" s="226" t="n">
        <v>41834</v>
      </c>
      <c r="N1730" s="227" t="n">
        <v>0</v>
      </c>
      <c r="O1730" s="227" t="s">
        <v>135</v>
      </c>
      <c r="P1730" s="228" t="n">
        <f aca="false">VLOOKUP(B1730,'NIVEL ENERO'!A:D,3,0)</f>
        <v>0.300865105039933</v>
      </c>
      <c r="Q1730" s="229" t="n">
        <f aca="false">VLOOKUP(B1730,'NIVEL ENERO'!A:D,4,0)</f>
        <v>299068.02</v>
      </c>
      <c r="R1730" s="186" t="str">
        <f aca="false">+PROPER(C1730&amp;" "&amp;D1730)</f>
        <v>Munoz Rojas Kerly Viviana</v>
      </c>
      <c r="S1730" s="230" t="n">
        <f aca="false">+YEARFRAC(L1730,$S$1)</f>
        <v>3.57777777777778</v>
      </c>
      <c r="T1730" s="230" t="n">
        <f aca="false">+YEARFRAC(M1730,$S$1)</f>
        <v>11.8277777777778</v>
      </c>
      <c r="U1730" s="231" t="n">
        <f aca="false">+$I1730</f>
        <v>2371241</v>
      </c>
      <c r="V1730" s="232" t="str">
        <f aca="false">+PROPER(F1730)</f>
        <v>Union Libre</v>
      </c>
    </row>
    <row r="1731" customFormat="false" ht="14.25" hidden="false" customHeight="false" outlineLevel="0" collapsed="false">
      <c r="B1731" s="197" t="n">
        <v>1151947795</v>
      </c>
      <c r="C1731" s="197" t="s">
        <v>3882</v>
      </c>
      <c r="D1731" s="197" t="s">
        <v>3883</v>
      </c>
      <c r="E1731" s="198" t="s">
        <v>944</v>
      </c>
      <c r="F1731" s="198" t="s">
        <v>948</v>
      </c>
      <c r="G1731" s="225" t="n">
        <v>2893800</v>
      </c>
      <c r="H1731" s="225" t="n">
        <v>1708686</v>
      </c>
      <c r="I1731" s="225" t="n">
        <v>418611</v>
      </c>
      <c r="J1731" s="198" t="n">
        <v>32</v>
      </c>
      <c r="K1731" s="198" t="n">
        <v>1</v>
      </c>
      <c r="L1731" s="226" t="n">
        <v>44754</v>
      </c>
      <c r="M1731" s="226" t="n">
        <v>44097</v>
      </c>
      <c r="N1731" s="227" t="n">
        <v>2</v>
      </c>
      <c r="O1731" s="227" t="s">
        <v>135</v>
      </c>
      <c r="P1731" s="228" t="n">
        <f aca="false">VLOOKUP(B1731,'NIVEL ENERO'!A:D,3,0)</f>
        <v>0.188660081573707</v>
      </c>
      <c r="Q1731" s="229" t="n">
        <f aca="false">VLOOKUP(B1731,'NIVEL ENERO'!A:D,4,0)</f>
        <v>762495.6</v>
      </c>
      <c r="R1731" s="186" t="str">
        <f aca="false">+PROPER(C1731&amp;" "&amp;D1731)</f>
        <v>Hoyos Gutierrez Heider Hernando</v>
      </c>
      <c r="S1731" s="230" t="n">
        <f aca="false">+YEARFRAC(L1731,$S$1)</f>
        <v>3.83333333333333</v>
      </c>
      <c r="T1731" s="230" t="n">
        <f aca="false">+YEARFRAC(M1731,$S$1)</f>
        <v>5.63611111111111</v>
      </c>
      <c r="U1731" s="231" t="n">
        <f aca="false">+$I1731</f>
        <v>418611</v>
      </c>
      <c r="V1731" s="232" t="str">
        <f aca="false">+PROPER(F1731)</f>
        <v>Casado(A)</v>
      </c>
    </row>
    <row r="1732" customFormat="false" ht="14.25" hidden="false" customHeight="false" outlineLevel="0" collapsed="false">
      <c r="B1732" s="197" t="n">
        <v>1151947941</v>
      </c>
      <c r="C1732" s="197" t="s">
        <v>3884</v>
      </c>
      <c r="D1732" s="197" t="s">
        <v>3885</v>
      </c>
      <c r="E1732" s="198" t="s">
        <v>944</v>
      </c>
      <c r="F1732" s="198" t="s">
        <v>945</v>
      </c>
      <c r="G1732" s="225" t="n">
        <v>1991000</v>
      </c>
      <c r="H1732" s="225" t="n">
        <v>260000</v>
      </c>
      <c r="I1732" s="225" t="n">
        <v>1697804</v>
      </c>
      <c r="J1732" s="198" t="n">
        <v>32</v>
      </c>
      <c r="K1732" s="198" t="n">
        <v>2</v>
      </c>
      <c r="L1732" s="226" t="n">
        <v>45555</v>
      </c>
      <c r="M1732" s="226" t="n">
        <v>44158</v>
      </c>
      <c r="N1732" s="227" t="n">
        <v>3</v>
      </c>
      <c r="O1732" s="227" t="s">
        <v>135</v>
      </c>
      <c r="P1732" s="228" t="n">
        <f aca="false">VLOOKUP(B1732,'NIVEL ENERO'!A:D,3,0)</f>
        <v>0.225135610246107</v>
      </c>
      <c r="Q1732" s="229" t="n">
        <f aca="false">VLOOKUP(B1732,'NIVEL ENERO'!A:D,4,0)</f>
        <v>387975</v>
      </c>
      <c r="R1732" s="186" t="str">
        <f aca="false">+PROPER(C1732&amp;" "&amp;D1732)</f>
        <v>Tapiero Portela Diana Milena</v>
      </c>
      <c r="S1732" s="230" t="n">
        <f aca="false">+YEARFRAC(L1732,$S$1)</f>
        <v>1.64444444444444</v>
      </c>
      <c r="T1732" s="230" t="n">
        <f aca="false">+YEARFRAC(M1732,$S$1)</f>
        <v>5.46944444444444</v>
      </c>
      <c r="U1732" s="231" t="n">
        <f aca="false">+$I1732</f>
        <v>1697804</v>
      </c>
      <c r="V1732" s="232" t="str">
        <f aca="false">+PROPER(F1732)</f>
        <v>Union Libre</v>
      </c>
    </row>
    <row r="1733" customFormat="false" ht="14.25" hidden="false" customHeight="false" outlineLevel="0" collapsed="false">
      <c r="B1733" s="197" t="n">
        <v>1151948109</v>
      </c>
      <c r="C1733" s="197" t="s">
        <v>3886</v>
      </c>
      <c r="D1733" s="197" t="s">
        <v>2395</v>
      </c>
      <c r="E1733" s="198" t="s">
        <v>944</v>
      </c>
      <c r="F1733" s="198" t="s">
        <v>953</v>
      </c>
      <c r="G1733" s="225" t="n">
        <v>8000000</v>
      </c>
      <c r="H1733" s="225" t="n">
        <v>455000</v>
      </c>
      <c r="I1733" s="225" t="n">
        <v>3031374</v>
      </c>
      <c r="J1733" s="198" t="n">
        <v>31</v>
      </c>
      <c r="K1733" s="198" t="n">
        <v>4</v>
      </c>
      <c r="L1733" s="226" t="n">
        <v>45444</v>
      </c>
      <c r="M1733" s="226" t="n">
        <v>44305</v>
      </c>
      <c r="N1733" s="227" t="n">
        <v>0</v>
      </c>
      <c r="O1733" s="227" t="s">
        <v>158</v>
      </c>
      <c r="P1733" s="228" t="e">
        <f aca="false">VLOOKUP(B1733,'NIVEL ENERO'!A:D,3,0)</f>
        <v>#N/A</v>
      </c>
      <c r="Q1733" s="229" t="e">
        <f aca="false">VLOOKUP(B1733,'NIVEL ENERO'!A:D,4,0)</f>
        <v>#N/A</v>
      </c>
      <c r="R1733" s="186" t="str">
        <f aca="false">+PROPER(C1733&amp;" "&amp;D1733)</f>
        <v>Valdes Manrique Luisa Fernanda</v>
      </c>
      <c r="S1733" s="230" t="n">
        <f aca="false">+YEARFRAC(L1733,$S$1)</f>
        <v>1.94722222222222</v>
      </c>
      <c r="T1733" s="230" t="n">
        <f aca="false">+YEARFRAC(M1733,$S$1)</f>
        <v>5.06388888888889</v>
      </c>
      <c r="U1733" s="231" t="n">
        <f aca="false">+$I1733</f>
        <v>3031374</v>
      </c>
      <c r="V1733" s="232" t="str">
        <f aca="false">+PROPER(F1733)</f>
        <v>Soltero(A)</v>
      </c>
    </row>
    <row r="1734" customFormat="false" ht="14.25" hidden="false" customHeight="false" outlineLevel="0" collapsed="false">
      <c r="B1734" s="197" t="n">
        <v>1151948942</v>
      </c>
      <c r="C1734" s="197" t="s">
        <v>3887</v>
      </c>
      <c r="D1734" s="197" t="s">
        <v>3888</v>
      </c>
      <c r="E1734" s="198" t="s">
        <v>944</v>
      </c>
      <c r="F1734" s="198" t="s">
        <v>945</v>
      </c>
      <c r="G1734" s="225" t="n">
        <v>2600900</v>
      </c>
      <c r="H1734" s="225" t="n">
        <v>3001138</v>
      </c>
      <c r="I1734" s="225" t="n">
        <v>2140123</v>
      </c>
      <c r="J1734" s="198" t="n">
        <v>31</v>
      </c>
      <c r="K1734" s="198" t="n">
        <v>2</v>
      </c>
      <c r="L1734" s="226" t="n">
        <v>44218</v>
      </c>
      <c r="M1734" s="226" t="n">
        <v>45127</v>
      </c>
      <c r="N1734" s="227" t="n">
        <v>3</v>
      </c>
      <c r="O1734" s="227" t="s">
        <v>135</v>
      </c>
      <c r="P1734" s="228" t="n">
        <f aca="false">VLOOKUP(B1734,'NIVEL ENERO'!A:D,3,0)</f>
        <v>0.53489484409243</v>
      </c>
      <c r="Q1734" s="229" t="n">
        <f aca="false">VLOOKUP(B1734,'NIVEL ENERO'!A:D,4,0)</f>
        <v>-298830</v>
      </c>
      <c r="R1734" s="186" t="str">
        <f aca="false">+PROPER(C1734&amp;" "&amp;D1734)</f>
        <v>Mora Cordoba Giovanny</v>
      </c>
      <c r="S1734" s="230" t="n">
        <f aca="false">+YEARFRAC(L1734,$S$1)</f>
        <v>5.30555555555556</v>
      </c>
      <c r="T1734" s="230" t="n">
        <f aca="false">+YEARFRAC(M1734,$S$1)</f>
        <v>2.81111111111111</v>
      </c>
      <c r="U1734" s="231" t="n">
        <f aca="false">+$I1734</f>
        <v>2140123</v>
      </c>
      <c r="V1734" s="232" t="str">
        <f aca="false">+PROPER(F1734)</f>
        <v>Union Libre</v>
      </c>
    </row>
    <row r="1735" customFormat="false" ht="14.25" hidden="false" customHeight="false" outlineLevel="0" collapsed="false">
      <c r="B1735" s="197" t="n">
        <v>1151948975</v>
      </c>
      <c r="C1735" s="197" t="s">
        <v>3889</v>
      </c>
      <c r="D1735" s="197" t="s">
        <v>1732</v>
      </c>
      <c r="E1735" s="198" t="s">
        <v>944</v>
      </c>
      <c r="F1735" s="198" t="s">
        <v>953</v>
      </c>
      <c r="G1735" s="225" t="n">
        <v>5000000</v>
      </c>
      <c r="H1735" s="225" t="n">
        <v>600000</v>
      </c>
      <c r="I1735" s="225"/>
      <c r="J1735" s="198" t="n">
        <v>31</v>
      </c>
      <c r="K1735" s="198" t="n">
        <v>1</v>
      </c>
      <c r="L1735" s="226" t="n">
        <v>45475</v>
      </c>
      <c r="M1735" s="226" t="n">
        <v>44993</v>
      </c>
      <c r="N1735" s="227" t="n">
        <v>0</v>
      </c>
      <c r="O1735" s="227" t="s">
        <v>158</v>
      </c>
      <c r="P1735" s="228" t="e">
        <f aca="false">VLOOKUP(B1735,'NIVEL ENERO'!A:D,3,0)</f>
        <v>#N/A</v>
      </c>
      <c r="Q1735" s="229" t="e">
        <f aca="false">VLOOKUP(B1735,'NIVEL ENERO'!A:D,4,0)</f>
        <v>#N/A</v>
      </c>
      <c r="R1735" s="186" t="str">
        <f aca="false">+PROPER(C1735&amp;" "&amp;D1735)</f>
        <v>Vanegas Correa Dahiana</v>
      </c>
      <c r="S1735" s="230" t="n">
        <f aca="false">+YEARFRAC(L1735,$S$1)</f>
        <v>1.86111111111111</v>
      </c>
      <c r="T1735" s="230" t="n">
        <f aca="false">+YEARFRAC(M1735,$S$1)</f>
        <v>3.17777777777778</v>
      </c>
      <c r="U1735" s="231" t="n">
        <f aca="false">+$I1735</f>
        <v>0</v>
      </c>
      <c r="V1735" s="232" t="str">
        <f aca="false">+PROPER(F1735)</f>
        <v>Soltero(A)</v>
      </c>
    </row>
    <row r="1736" customFormat="false" ht="14.25" hidden="false" customHeight="false" outlineLevel="0" collapsed="false">
      <c r="B1736" s="197" t="n">
        <v>1151949440</v>
      </c>
      <c r="C1736" s="197" t="s">
        <v>3890</v>
      </c>
      <c r="D1736" s="197" t="s">
        <v>1039</v>
      </c>
      <c r="E1736" s="198" t="s">
        <v>944</v>
      </c>
      <c r="F1736" s="198" t="s">
        <v>945</v>
      </c>
      <c r="G1736" s="225" t="n">
        <v>2600900</v>
      </c>
      <c r="H1736" s="225" t="n">
        <v>1196096</v>
      </c>
      <c r="I1736" s="225" t="n">
        <v>990533</v>
      </c>
      <c r="J1736" s="198" t="n">
        <v>31</v>
      </c>
      <c r="K1736" s="198" t="n">
        <v>1</v>
      </c>
      <c r="L1736" s="226" t="n">
        <v>45097</v>
      </c>
      <c r="M1736" s="226" t="n">
        <v>42394</v>
      </c>
      <c r="N1736" s="227" t="n">
        <v>4</v>
      </c>
      <c r="O1736" s="227" t="s">
        <v>135</v>
      </c>
      <c r="P1736" s="228" t="n">
        <f aca="false">VLOOKUP(B1736,'NIVEL ENERO'!A:D,3,0)</f>
        <v>0.265611480956823</v>
      </c>
      <c r="Q1736" s="229" t="n">
        <f aca="false">VLOOKUP(B1736,'NIVEL ENERO'!A:D,4,0)</f>
        <v>544535.46</v>
      </c>
      <c r="R1736" s="186" t="str">
        <f aca="false">+PROPER(C1736&amp;" "&amp;D1736)</f>
        <v>Neira Diaz Miguel Angel</v>
      </c>
      <c r="S1736" s="230" t="n">
        <f aca="false">+YEARFRAC(L1736,$S$1)</f>
        <v>2.89444444444444</v>
      </c>
      <c r="T1736" s="230" t="n">
        <f aca="false">+YEARFRAC(M1736,$S$1)</f>
        <v>10.2972222222222</v>
      </c>
      <c r="U1736" s="231" t="n">
        <f aca="false">+$I1736</f>
        <v>990533</v>
      </c>
      <c r="V1736" s="232" t="str">
        <f aca="false">+PROPER(F1736)</f>
        <v>Union Libre</v>
      </c>
    </row>
    <row r="1737" customFormat="false" ht="14.25" hidden="false" customHeight="false" outlineLevel="0" collapsed="false">
      <c r="B1737" s="197" t="n">
        <v>1151952941</v>
      </c>
      <c r="C1737" s="197" t="s">
        <v>3891</v>
      </c>
      <c r="D1737" s="197" t="s">
        <v>3892</v>
      </c>
      <c r="E1737" s="198" t="s">
        <v>944</v>
      </c>
      <c r="F1737" s="198" t="s">
        <v>948</v>
      </c>
      <c r="G1737" s="225" t="n">
        <v>2893800</v>
      </c>
      <c r="H1737" s="225" t="n">
        <v>140000</v>
      </c>
      <c r="I1737" s="225" t="n">
        <v>462633</v>
      </c>
      <c r="J1737" s="198" t="n">
        <v>30</v>
      </c>
      <c r="K1737" s="198" t="n">
        <v>2</v>
      </c>
      <c r="L1737" s="226" t="n">
        <v>45615</v>
      </c>
      <c r="M1737" s="226" t="n">
        <v>43151</v>
      </c>
      <c r="N1737" s="227" t="n">
        <v>2</v>
      </c>
      <c r="O1737" s="227" t="s">
        <v>135</v>
      </c>
      <c r="P1737" s="228" t="n">
        <f aca="false">VLOOKUP(B1737,'NIVEL ENERO'!A:D,3,0)</f>
        <v>0.446136506317124</v>
      </c>
      <c r="Q1737" s="229" t="n">
        <f aca="false">VLOOKUP(B1737,'NIVEL ENERO'!A:D,4,0)</f>
        <v>-98307.52</v>
      </c>
      <c r="R1737" s="186" t="str">
        <f aca="false">+PROPER(C1737&amp;" "&amp;D1737)</f>
        <v>Vargas Azcarate Nathalia Andrea</v>
      </c>
      <c r="S1737" s="230" t="n">
        <f aca="false">+YEARFRAC(L1737,$S$1)</f>
        <v>1.48055555555556</v>
      </c>
      <c r="T1737" s="230" t="n">
        <f aca="false">+YEARFRAC(M1737,$S$1)</f>
        <v>8.22777777777778</v>
      </c>
      <c r="U1737" s="231" t="n">
        <f aca="false">+$I1737</f>
        <v>462633</v>
      </c>
      <c r="V1737" s="232" t="str">
        <f aca="false">+PROPER(F1737)</f>
        <v>Casado(A)</v>
      </c>
    </row>
    <row r="1738" customFormat="false" ht="14.25" hidden="false" customHeight="false" outlineLevel="0" collapsed="false">
      <c r="B1738" s="197" t="n">
        <v>1151953084</v>
      </c>
      <c r="C1738" s="197" t="s">
        <v>3893</v>
      </c>
      <c r="D1738" s="197" t="s">
        <v>3894</v>
      </c>
      <c r="E1738" s="198" t="s">
        <v>944</v>
      </c>
      <c r="F1738" s="198" t="s">
        <v>945</v>
      </c>
      <c r="G1738" s="225" t="n">
        <v>4705400</v>
      </c>
      <c r="H1738" s="225" t="n">
        <v>4183553</v>
      </c>
      <c r="I1738" s="225" t="n">
        <v>0</v>
      </c>
      <c r="J1738" s="198" t="n">
        <v>30</v>
      </c>
      <c r="K1738" s="198" t="n">
        <v>3</v>
      </c>
      <c r="L1738" s="226" t="n">
        <v>43909</v>
      </c>
      <c r="M1738" s="226" t="n">
        <v>43577</v>
      </c>
      <c r="N1738" s="227" t="n">
        <v>4</v>
      </c>
      <c r="O1738" s="227" t="s">
        <v>135</v>
      </c>
      <c r="P1738" s="228" t="n">
        <f aca="false">VLOOKUP(B1738,'NIVEL ENERO'!A:D,3,0)</f>
        <v>0.197955115399328</v>
      </c>
      <c r="Q1738" s="229" t="n">
        <f aca="false">VLOOKUP(B1738,'NIVEL ENERO'!A:D,4,0)</f>
        <v>1044810</v>
      </c>
      <c r="R1738" s="186" t="str">
        <f aca="false">+PROPER(C1738&amp;" "&amp;D1738)</f>
        <v>Londono Oviedo Kelyn Andrea</v>
      </c>
      <c r="S1738" s="230" t="n">
        <f aca="false">+YEARFRAC(L1738,$S$1)</f>
        <v>6.14722222222222</v>
      </c>
      <c r="T1738" s="230" t="n">
        <f aca="false">+YEARFRAC(M1738,$S$1)</f>
        <v>7.05555555555556</v>
      </c>
      <c r="U1738" s="231" t="n">
        <f aca="false">+$I1738</f>
        <v>0</v>
      </c>
      <c r="V1738" s="232" t="str">
        <f aca="false">+PROPER(F1738)</f>
        <v>Union Libre</v>
      </c>
    </row>
    <row r="1739" customFormat="false" ht="14.25" hidden="false" customHeight="false" outlineLevel="0" collapsed="false">
      <c r="B1739" s="197" t="n">
        <v>1151953296</v>
      </c>
      <c r="C1739" s="197" t="s">
        <v>3895</v>
      </c>
      <c r="D1739" s="197" t="s">
        <v>3896</v>
      </c>
      <c r="E1739" s="198" t="s">
        <v>944</v>
      </c>
      <c r="F1739" s="198" t="s">
        <v>945</v>
      </c>
      <c r="G1739" s="225" t="n">
        <v>2893800</v>
      </c>
      <c r="H1739" s="225" t="n">
        <v>2490224</v>
      </c>
      <c r="I1739" s="225" t="n">
        <v>0</v>
      </c>
      <c r="J1739" s="198" t="n">
        <v>30</v>
      </c>
      <c r="K1739" s="198" t="n">
        <v>1</v>
      </c>
      <c r="L1739" s="226" t="n">
        <v>44733</v>
      </c>
      <c r="M1739" s="226" t="n">
        <v>41732</v>
      </c>
      <c r="N1739" s="227" t="n">
        <v>3</v>
      </c>
      <c r="O1739" s="227" t="s">
        <v>135</v>
      </c>
      <c r="P1739" s="228" t="n">
        <f aca="false">VLOOKUP(B1739,'NIVEL ENERO'!A:D,3,0)</f>
        <v>0.153456714393293</v>
      </c>
      <c r="Q1739" s="229" t="n">
        <f aca="false">VLOOKUP(B1739,'NIVEL ENERO'!A:D,4,0)</f>
        <v>1336161.5</v>
      </c>
      <c r="R1739" s="186" t="str">
        <f aca="false">+PROPER(C1739&amp;" "&amp;D1739)</f>
        <v>Pastrana Rubiano Ximena Brigitte</v>
      </c>
      <c r="S1739" s="230" t="n">
        <f aca="false">+YEARFRAC(L1739,$S$1)</f>
        <v>3.89166666666667</v>
      </c>
      <c r="T1739" s="230" t="n">
        <f aca="false">+YEARFRAC(M1739,$S$1)</f>
        <v>12.1083333333333</v>
      </c>
      <c r="U1739" s="231" t="n">
        <f aca="false">+$I1739</f>
        <v>0</v>
      </c>
      <c r="V1739" s="232" t="str">
        <f aca="false">+PROPER(F1739)</f>
        <v>Union Libre</v>
      </c>
    </row>
    <row r="1740" customFormat="false" ht="14.25" hidden="false" customHeight="false" outlineLevel="0" collapsed="false">
      <c r="B1740" s="197" t="n">
        <v>1151953406</v>
      </c>
      <c r="C1740" s="197" t="s">
        <v>3897</v>
      </c>
      <c r="D1740" s="197" t="s">
        <v>3898</v>
      </c>
      <c r="E1740" s="198" t="s">
        <v>981</v>
      </c>
      <c r="F1740" s="198" t="s">
        <v>953</v>
      </c>
      <c r="G1740" s="225" t="n">
        <v>1625000</v>
      </c>
      <c r="H1740" s="225" t="n">
        <v>490000</v>
      </c>
      <c r="I1740" s="225" t="n">
        <v>63483</v>
      </c>
      <c r="J1740" s="198" t="n">
        <v>30</v>
      </c>
      <c r="K1740" s="198" t="n">
        <v>2</v>
      </c>
      <c r="L1740" s="226" t="n">
        <v>45448</v>
      </c>
      <c r="M1740" s="226" t="n">
        <v>45261</v>
      </c>
      <c r="N1740" s="227" t="n">
        <v>0</v>
      </c>
      <c r="O1740" s="227" t="s">
        <v>135</v>
      </c>
      <c r="P1740" s="228" t="n">
        <f aca="false">VLOOKUP(B1740,'NIVEL ENERO'!A:D,3,0)</f>
        <v>0.400344516923077</v>
      </c>
      <c r="Q1740" s="229" t="n">
        <f aca="false">VLOOKUP(B1740,'NIVEL ENERO'!A:D,4,0)</f>
        <v>76048</v>
      </c>
      <c r="R1740" s="186" t="str">
        <f aca="false">+PROPER(C1740&amp;" "&amp;D1740)</f>
        <v>Murillo Murillo Karen Gisela</v>
      </c>
      <c r="S1740" s="230" t="n">
        <f aca="false">+YEARFRAC(L1740,$S$1)</f>
        <v>1.93611111111111</v>
      </c>
      <c r="T1740" s="230" t="n">
        <f aca="false">+YEARFRAC(M1740,$S$1)</f>
        <v>2.44722222222222</v>
      </c>
      <c r="U1740" s="231" t="n">
        <f aca="false">+$I1740</f>
        <v>63483</v>
      </c>
      <c r="V1740" s="232" t="str">
        <f aca="false">+PROPER(F1740)</f>
        <v>Soltero(A)</v>
      </c>
    </row>
    <row r="1741" customFormat="false" ht="14.25" hidden="false" customHeight="false" outlineLevel="0" collapsed="false">
      <c r="B1741" s="197" t="n">
        <v>1151953867</v>
      </c>
      <c r="C1741" s="197" t="s">
        <v>3899</v>
      </c>
      <c r="D1741" s="197" t="s">
        <v>2672</v>
      </c>
      <c r="E1741" s="198" t="s">
        <v>944</v>
      </c>
      <c r="F1741" s="198" t="s">
        <v>945</v>
      </c>
      <c r="G1741" s="225" t="n">
        <v>2893800</v>
      </c>
      <c r="H1741" s="225" t="n">
        <v>1506629</v>
      </c>
      <c r="I1741" s="225" t="n">
        <v>1920102</v>
      </c>
      <c r="J1741" s="198" t="n">
        <v>30</v>
      </c>
      <c r="K1741" s="198" t="n">
        <v>2</v>
      </c>
      <c r="L1741" s="226" t="n">
        <v>44866</v>
      </c>
      <c r="M1741" s="226" t="n">
        <v>42994</v>
      </c>
      <c r="N1741" s="227" t="n">
        <v>2</v>
      </c>
      <c r="O1741" s="227" t="s">
        <v>135</v>
      </c>
      <c r="P1741" s="228" t="n">
        <f aca="false">VLOOKUP(B1741,'NIVEL ENERO'!A:D,3,0)</f>
        <v>0.386819579537616</v>
      </c>
      <c r="Q1741" s="229" t="n">
        <f aca="false">VLOOKUP(B1741,'NIVEL ENERO'!A:D,4,0)</f>
        <v>126701.36</v>
      </c>
      <c r="R1741" s="186" t="str">
        <f aca="false">+PROPER(C1741&amp;" "&amp;D1741)</f>
        <v>Leon Motato Maira Alejandra</v>
      </c>
      <c r="S1741" s="230" t="n">
        <f aca="false">+YEARFRAC(L1741,$S$1)</f>
        <v>3.53055555555556</v>
      </c>
      <c r="T1741" s="230" t="n">
        <f aca="false">+YEARFRAC(M1741,$S$1)</f>
        <v>8.65555555555556</v>
      </c>
      <c r="U1741" s="231" t="n">
        <f aca="false">+$I1741</f>
        <v>1920102</v>
      </c>
      <c r="V1741" s="232" t="str">
        <f aca="false">+PROPER(F1741)</f>
        <v>Union Libre</v>
      </c>
    </row>
    <row r="1742" customFormat="false" ht="14.25" hidden="false" customHeight="false" outlineLevel="0" collapsed="false">
      <c r="B1742" s="197" t="n">
        <v>1151957438</v>
      </c>
      <c r="C1742" s="197" t="s">
        <v>3900</v>
      </c>
      <c r="D1742" s="197" t="s">
        <v>3901</v>
      </c>
      <c r="E1742" s="198" t="s">
        <v>944</v>
      </c>
      <c r="F1742" s="198" t="s">
        <v>953</v>
      </c>
      <c r="G1742" s="225" t="n">
        <v>2600900</v>
      </c>
      <c r="H1742" s="225" t="n">
        <v>1578928</v>
      </c>
      <c r="I1742" s="225" t="n">
        <v>0</v>
      </c>
      <c r="J1742" s="198" t="n">
        <v>29</v>
      </c>
      <c r="K1742" s="198" t="n">
        <v>4</v>
      </c>
      <c r="L1742" s="226" t="n">
        <v>45160</v>
      </c>
      <c r="M1742" s="226" t="n">
        <v>44958</v>
      </c>
      <c r="N1742" s="227" t="n">
        <v>0</v>
      </c>
      <c r="O1742" s="227" t="s">
        <v>135</v>
      </c>
      <c r="P1742" s="228" t="n">
        <f aca="false">VLOOKUP(B1742,'NIVEL ENERO'!A:D,3,0)</f>
        <v>0.379432888615479</v>
      </c>
      <c r="Q1742" s="229" t="n">
        <f aca="false">VLOOKUP(B1742,'NIVEL ENERO'!A:D,4,0)</f>
        <v>105511</v>
      </c>
      <c r="R1742" s="186" t="str">
        <f aca="false">+PROPER(C1742&amp;" "&amp;D1742)</f>
        <v>Aponte Caceres David Mauricio</v>
      </c>
      <c r="S1742" s="230" t="n">
        <f aca="false">+YEARFRAC(L1742,$S$1)</f>
        <v>2.72222222222222</v>
      </c>
      <c r="T1742" s="230" t="n">
        <f aca="false">+YEARFRAC(M1742,$S$1)</f>
        <v>3.28055555555556</v>
      </c>
      <c r="U1742" s="231" t="n">
        <f aca="false">+$I1742</f>
        <v>0</v>
      </c>
      <c r="V1742" s="232" t="str">
        <f aca="false">+PROPER(F1742)</f>
        <v>Soltero(A)</v>
      </c>
    </row>
    <row r="1743" customFormat="false" ht="14.25" hidden="false" customHeight="false" outlineLevel="0" collapsed="false">
      <c r="B1743" s="197" t="n">
        <v>1151958029</v>
      </c>
      <c r="C1743" s="197" t="s">
        <v>3902</v>
      </c>
      <c r="D1743" s="197" t="s">
        <v>3903</v>
      </c>
      <c r="E1743" s="198" t="s">
        <v>944</v>
      </c>
      <c r="F1743" s="198" t="s">
        <v>953</v>
      </c>
      <c r="G1743" s="225" t="n">
        <v>2893800</v>
      </c>
      <c r="H1743" s="225" t="n">
        <v>900000</v>
      </c>
      <c r="I1743" s="225" t="n">
        <v>0</v>
      </c>
      <c r="J1743" s="198" t="n">
        <v>29</v>
      </c>
      <c r="K1743" s="198" t="n">
        <v>2</v>
      </c>
      <c r="L1743" s="226" t="n">
        <v>45475</v>
      </c>
      <c r="M1743" s="226" t="n">
        <v>42415</v>
      </c>
      <c r="N1743" s="227" t="n">
        <v>1</v>
      </c>
      <c r="O1743" s="227" t="s">
        <v>135</v>
      </c>
      <c r="P1743" s="228" t="n">
        <f aca="false">VLOOKUP(B1743,'NIVEL ENERO'!A:D,3,0)</f>
        <v>0.207057847812565</v>
      </c>
      <c r="Q1743" s="229" t="n">
        <f aca="false">VLOOKUP(B1743,'NIVEL ENERO'!A:D,4,0)</f>
        <v>616212</v>
      </c>
      <c r="R1743" s="186" t="str">
        <f aca="false">+PROPER(C1743&amp;" "&amp;D1743)</f>
        <v>Tangarife Rivera Nathaly</v>
      </c>
      <c r="S1743" s="230" t="n">
        <f aca="false">+YEARFRAC(L1743,$S$1)</f>
        <v>1.86111111111111</v>
      </c>
      <c r="T1743" s="230" t="n">
        <f aca="false">+YEARFRAC(M1743,$S$1)</f>
        <v>10.2416666666667</v>
      </c>
      <c r="U1743" s="231" t="n">
        <f aca="false">+$I1743</f>
        <v>0</v>
      </c>
      <c r="V1743" s="232" t="str">
        <f aca="false">+PROPER(F1743)</f>
        <v>Soltero(A)</v>
      </c>
    </row>
    <row r="1744" customFormat="false" ht="14.25" hidden="false" customHeight="false" outlineLevel="0" collapsed="false">
      <c r="B1744" s="197" t="n">
        <v>1151958276</v>
      </c>
      <c r="C1744" s="197" t="s">
        <v>3904</v>
      </c>
      <c r="D1744" s="197" t="s">
        <v>2612</v>
      </c>
      <c r="E1744" s="198" t="s">
        <v>944</v>
      </c>
      <c r="F1744" s="198" t="s">
        <v>953</v>
      </c>
      <c r="G1744" s="225" t="n">
        <v>1670000</v>
      </c>
      <c r="H1744" s="225" t="n">
        <v>65000</v>
      </c>
      <c r="I1744" s="225"/>
      <c r="J1744" s="198" t="n">
        <v>29</v>
      </c>
      <c r="K1744" s="198" t="n">
        <v>2</v>
      </c>
      <c r="L1744" s="226" t="n">
        <v>45643</v>
      </c>
      <c r="M1744" s="226" t="n">
        <v>44747</v>
      </c>
      <c r="N1744" s="227" t="n">
        <v>0</v>
      </c>
      <c r="O1744" s="227" t="s">
        <v>135</v>
      </c>
      <c r="P1744" s="228" t="e">
        <f aca="false">VLOOKUP(B1744,'NIVEL ENERO'!A:D,3,0)</f>
        <v>#N/A</v>
      </c>
      <c r="Q1744" s="229" t="e">
        <f aca="false">VLOOKUP(B1744,'NIVEL ENERO'!A:D,4,0)</f>
        <v>#N/A</v>
      </c>
      <c r="R1744" s="186" t="str">
        <f aca="false">+PROPER(C1744&amp;" "&amp;D1744)</f>
        <v>Torres Ordoñez Katherin</v>
      </c>
      <c r="S1744" s="230" t="n">
        <f aca="false">+YEARFRAC(L1744,$S$1)</f>
        <v>1.40277777777778</v>
      </c>
      <c r="T1744" s="230" t="n">
        <f aca="false">+YEARFRAC(M1744,$S$1)</f>
        <v>3.85277777777778</v>
      </c>
      <c r="U1744" s="231" t="n">
        <f aca="false">+$I1744</f>
        <v>0</v>
      </c>
      <c r="V1744" s="232" t="str">
        <f aca="false">+PROPER(F1744)</f>
        <v>Soltero(A)</v>
      </c>
    </row>
    <row r="1745" customFormat="false" ht="14.25" hidden="false" customHeight="false" outlineLevel="0" collapsed="false">
      <c r="B1745" s="197" t="n">
        <v>1151963191</v>
      </c>
      <c r="C1745" s="197" t="s">
        <v>3905</v>
      </c>
      <c r="D1745" s="197" t="s">
        <v>1202</v>
      </c>
      <c r="E1745" s="198" t="s">
        <v>944</v>
      </c>
      <c r="F1745" s="198" t="s">
        <v>953</v>
      </c>
      <c r="G1745" s="225" t="n">
        <v>2893800</v>
      </c>
      <c r="H1745" s="225" t="n">
        <v>1500000</v>
      </c>
      <c r="I1745" s="225" t="n">
        <v>0</v>
      </c>
      <c r="J1745" s="198" t="n">
        <v>27</v>
      </c>
      <c r="K1745" s="198" t="n">
        <v>4</v>
      </c>
      <c r="L1745" s="226" t="n">
        <v>45370</v>
      </c>
      <c r="M1745" s="226" t="n">
        <v>42983</v>
      </c>
      <c r="N1745" s="227" t="n">
        <v>0</v>
      </c>
      <c r="O1745" s="227" t="s">
        <v>135</v>
      </c>
      <c r="P1745" s="228" t="n">
        <f aca="false">VLOOKUP(B1745,'NIVEL ENERO'!A:D,3,0)</f>
        <v>0.398289033562755</v>
      </c>
      <c r="Q1745" s="229" t="n">
        <f aca="false">VLOOKUP(B1745,'NIVEL ENERO'!A:D,4,0)</f>
        <v>80705.6399999999</v>
      </c>
      <c r="R1745" s="186" t="str">
        <f aca="false">+PROPER(C1745&amp;" "&amp;D1745)</f>
        <v>Silva Ruiz Carolina</v>
      </c>
      <c r="S1745" s="230" t="n">
        <f aca="false">+YEARFRAC(L1745,$S$1)</f>
        <v>2.14722222222222</v>
      </c>
      <c r="T1745" s="230" t="n">
        <f aca="false">+YEARFRAC(M1745,$S$1)</f>
        <v>8.68611111111111</v>
      </c>
      <c r="U1745" s="231" t="n">
        <f aca="false">+$I1745</f>
        <v>0</v>
      </c>
      <c r="V1745" s="232" t="str">
        <f aca="false">+PROPER(F1745)</f>
        <v>Soltero(A)</v>
      </c>
    </row>
    <row r="1746" customFormat="false" ht="14.25" hidden="false" customHeight="false" outlineLevel="0" collapsed="false">
      <c r="B1746" s="197" t="n">
        <v>1151963609</v>
      </c>
      <c r="C1746" s="197" t="s">
        <v>3906</v>
      </c>
      <c r="D1746" s="197" t="s">
        <v>3907</v>
      </c>
      <c r="E1746" s="198" t="s">
        <v>944</v>
      </c>
      <c r="F1746" s="198" t="s">
        <v>953</v>
      </c>
      <c r="G1746" s="225" t="n">
        <v>2340800</v>
      </c>
      <c r="H1746" s="225" t="n">
        <v>1113960</v>
      </c>
      <c r="I1746" s="225"/>
      <c r="J1746" s="198" t="n">
        <v>27</v>
      </c>
      <c r="K1746" s="198" t="n">
        <v>2</v>
      </c>
      <c r="L1746" s="226" t="n">
        <v>45303</v>
      </c>
      <c r="M1746" s="226" t="n">
        <v>45170</v>
      </c>
      <c r="N1746" s="227" t="n">
        <v>0</v>
      </c>
      <c r="O1746" s="227" t="s">
        <v>135</v>
      </c>
      <c r="P1746" s="228" t="n">
        <f aca="false">VLOOKUP(B1746,'NIVEL ENERO'!A:D,3,0)</f>
        <v>0.121839905492501</v>
      </c>
      <c r="Q1746" s="229" t="n">
        <f aca="false">VLOOKUP(B1746,'NIVEL ENERO'!A:D,4,0)</f>
        <v>897248.7</v>
      </c>
      <c r="R1746" s="186" t="str">
        <f aca="false">+PROPER(C1746&amp;" "&amp;D1746)</f>
        <v>Ramos Carabali Yineth</v>
      </c>
      <c r="S1746" s="230" t="n">
        <f aca="false">+YEARFRAC(L1746,$S$1)</f>
        <v>2.33333333333333</v>
      </c>
      <c r="T1746" s="230" t="n">
        <f aca="false">+YEARFRAC(M1746,$S$1)</f>
        <v>2.69722222222222</v>
      </c>
      <c r="U1746" s="231" t="n">
        <f aca="false">+$I1746</f>
        <v>0</v>
      </c>
      <c r="V1746" s="232" t="str">
        <f aca="false">+PROPER(F1746)</f>
        <v>Soltero(A)</v>
      </c>
    </row>
    <row r="1747" customFormat="false" ht="14.25" hidden="false" customHeight="false" outlineLevel="0" collapsed="false">
      <c r="B1747" s="197" t="n">
        <v>1151963823</v>
      </c>
      <c r="C1747" s="197" t="s">
        <v>3908</v>
      </c>
      <c r="D1747" s="197" t="s">
        <v>2885</v>
      </c>
      <c r="E1747" s="198" t="s">
        <v>944</v>
      </c>
      <c r="F1747" s="198" t="s">
        <v>953</v>
      </c>
      <c r="G1747" s="225" t="n">
        <v>2600900</v>
      </c>
      <c r="H1747" s="225" t="n">
        <v>2415791</v>
      </c>
      <c r="I1747" s="225" t="n">
        <v>0</v>
      </c>
      <c r="J1747" s="198" t="n">
        <v>27</v>
      </c>
      <c r="K1747" s="198" t="n">
        <v>1</v>
      </c>
      <c r="L1747" s="226" t="n">
        <v>44335</v>
      </c>
      <c r="M1747" s="226" t="n">
        <v>43637</v>
      </c>
      <c r="N1747" s="227" t="n">
        <v>1</v>
      </c>
      <c r="O1747" s="227" t="s">
        <v>135</v>
      </c>
      <c r="P1747" s="228" t="n">
        <f aca="false">VLOOKUP(B1747,'NIVEL ENERO'!A:D,3,0)</f>
        <v>0.26978592153318</v>
      </c>
      <c r="Q1747" s="229" t="n">
        <f aca="false">VLOOKUP(B1747,'NIVEL ENERO'!A:D,4,0)</f>
        <v>633376.36</v>
      </c>
      <c r="R1747" s="186" t="str">
        <f aca="false">+PROPER(C1747&amp;" "&amp;D1747)</f>
        <v>Villanueva Medina Leydi Johana</v>
      </c>
      <c r="S1747" s="230" t="n">
        <f aca="false">+YEARFRAC(L1747,$S$1)</f>
        <v>4.98055555555556</v>
      </c>
      <c r="T1747" s="230" t="n">
        <f aca="false">+YEARFRAC(M1747,$S$1)</f>
        <v>6.89166666666667</v>
      </c>
      <c r="U1747" s="231" t="n">
        <f aca="false">+$I1747</f>
        <v>0</v>
      </c>
      <c r="V1747" s="232" t="str">
        <f aca="false">+PROPER(F1747)</f>
        <v>Soltero(A)</v>
      </c>
    </row>
    <row r="1748" customFormat="false" ht="14.25" hidden="false" customHeight="false" outlineLevel="0" collapsed="false">
      <c r="B1748" s="197" t="n">
        <v>1151965024</v>
      </c>
      <c r="C1748" s="197" t="s">
        <v>3909</v>
      </c>
      <c r="D1748" s="197" t="s">
        <v>1591</v>
      </c>
      <c r="E1748" s="198" t="s">
        <v>944</v>
      </c>
      <c r="F1748" s="198" t="s">
        <v>953</v>
      </c>
      <c r="G1748" s="225" t="n">
        <v>2893800</v>
      </c>
      <c r="H1748" s="225" t="n">
        <v>1860209</v>
      </c>
      <c r="I1748" s="225" t="n">
        <v>1233371</v>
      </c>
      <c r="J1748" s="198" t="n">
        <v>26</v>
      </c>
      <c r="K1748" s="198" t="n">
        <v>2</v>
      </c>
      <c r="L1748" s="226" t="n">
        <v>44669</v>
      </c>
      <c r="M1748" s="226" t="n">
        <v>43604</v>
      </c>
      <c r="N1748" s="227" t="n">
        <v>1</v>
      </c>
      <c r="O1748" s="227" t="s">
        <v>135</v>
      </c>
      <c r="P1748" s="228" t="n">
        <f aca="false">VLOOKUP(B1748,'NIVEL ENERO'!A:D,3,0)</f>
        <v>0.257800598724342</v>
      </c>
      <c r="Q1748" s="229" t="n">
        <f aca="false">VLOOKUP(B1748,'NIVEL ENERO'!A:D,4,0)</f>
        <v>492764.16</v>
      </c>
      <c r="R1748" s="186" t="str">
        <f aca="false">+PROPER(C1748&amp;" "&amp;D1748)</f>
        <v>Ramirez Alzate Paula Andrea</v>
      </c>
      <c r="S1748" s="230" t="n">
        <f aca="false">+YEARFRAC(L1748,$S$1)</f>
        <v>4.06666666666667</v>
      </c>
      <c r="T1748" s="230" t="n">
        <f aca="false">+YEARFRAC(M1748,$S$1)</f>
        <v>6.98055555555556</v>
      </c>
      <c r="U1748" s="231" t="n">
        <f aca="false">+$I1748</f>
        <v>1233371</v>
      </c>
      <c r="V1748" s="232" t="str">
        <f aca="false">+PROPER(F1748)</f>
        <v>Soltero(A)</v>
      </c>
    </row>
    <row r="1749" customFormat="false" ht="14.25" hidden="false" customHeight="false" outlineLevel="0" collapsed="false">
      <c r="B1749" s="197" t="n">
        <v>1151965144</v>
      </c>
      <c r="C1749" s="197" t="s">
        <v>3910</v>
      </c>
      <c r="D1749" s="197" t="s">
        <v>3911</v>
      </c>
      <c r="E1749" s="198" t="s">
        <v>944</v>
      </c>
      <c r="F1749" s="198" t="s">
        <v>953</v>
      </c>
      <c r="G1749" s="225" t="n">
        <v>2600000</v>
      </c>
      <c r="H1749" s="225" t="n">
        <v>3672612</v>
      </c>
      <c r="I1749" s="225" t="n">
        <v>5516286</v>
      </c>
      <c r="J1749" s="198" t="n">
        <v>26</v>
      </c>
      <c r="K1749" s="198" t="n">
        <v>2</v>
      </c>
      <c r="L1749" s="226" t="n">
        <v>44431</v>
      </c>
      <c r="M1749" s="226" t="n">
        <v>45641</v>
      </c>
      <c r="N1749" s="227" t="n">
        <v>1</v>
      </c>
      <c r="O1749" s="227" t="s">
        <v>135</v>
      </c>
      <c r="P1749" s="228" t="n">
        <f aca="false">VLOOKUP(B1749,'NIVEL ENERO'!A:D,3,0)</f>
        <v>0.24078189080325</v>
      </c>
      <c r="Q1749" s="229" t="n">
        <f aca="false">VLOOKUP(B1749,'NIVEL ENERO'!A:D,4,0)</f>
        <v>622179.98</v>
      </c>
      <c r="R1749" s="186" t="str">
        <f aca="false">+PROPER(C1749&amp;" "&amp;D1749)</f>
        <v>Sandoval Munoz Mabel Yojana</v>
      </c>
      <c r="S1749" s="230" t="n">
        <f aca="false">+YEARFRAC(L1749,$S$1)</f>
        <v>4.71944444444444</v>
      </c>
      <c r="T1749" s="230" t="n">
        <f aca="false">+YEARFRAC(M1749,$S$1)</f>
        <v>1.40833333333333</v>
      </c>
      <c r="U1749" s="231" t="n">
        <f aca="false">+$I1749</f>
        <v>5516286</v>
      </c>
      <c r="V1749" s="232" t="str">
        <f aca="false">+PROPER(F1749)</f>
        <v>Soltero(A)</v>
      </c>
    </row>
    <row r="1750" customFormat="false" ht="14.25" hidden="false" customHeight="false" outlineLevel="0" collapsed="false">
      <c r="B1750" s="197" t="n">
        <v>1151966279</v>
      </c>
      <c r="C1750" s="197" t="s">
        <v>3912</v>
      </c>
      <c r="D1750" s="197" t="s">
        <v>3913</v>
      </c>
      <c r="E1750" s="198" t="s">
        <v>944</v>
      </c>
      <c r="F1750" s="198" t="s">
        <v>953</v>
      </c>
      <c r="G1750" s="225" t="n">
        <v>2893800</v>
      </c>
      <c r="H1750" s="225" t="n">
        <v>2607705</v>
      </c>
      <c r="I1750" s="225" t="n">
        <v>4074686</v>
      </c>
      <c r="J1750" s="198" t="n">
        <v>26</v>
      </c>
      <c r="K1750" s="198" t="n">
        <v>2</v>
      </c>
      <c r="L1750" s="226" t="n">
        <v>44853</v>
      </c>
      <c r="M1750" s="226" t="n">
        <v>44026</v>
      </c>
      <c r="N1750" s="227" t="n">
        <v>2</v>
      </c>
      <c r="O1750" s="227" t="s">
        <v>135</v>
      </c>
      <c r="P1750" s="228" t="n">
        <f aca="false">VLOOKUP(B1750,'NIVEL ENERO'!A:D,3,0)</f>
        <v>0.330312609125416</v>
      </c>
      <c r="Q1750" s="229" t="n">
        <f aca="false">VLOOKUP(B1750,'NIVEL ENERO'!A:D,4,0)</f>
        <v>262828.6</v>
      </c>
      <c r="R1750" s="186" t="str">
        <f aca="false">+PROPER(C1750&amp;" "&amp;D1750)</f>
        <v>Cortes David Jailene Daniela</v>
      </c>
      <c r="S1750" s="230" t="n">
        <f aca="false">+YEARFRAC(L1750,$S$1)</f>
        <v>3.56388888888889</v>
      </c>
      <c r="T1750" s="230" t="n">
        <f aca="false">+YEARFRAC(M1750,$S$1)</f>
        <v>5.82777777777778</v>
      </c>
      <c r="U1750" s="231" t="n">
        <f aca="false">+$I1750</f>
        <v>4074686</v>
      </c>
      <c r="V1750" s="232" t="str">
        <f aca="false">+PROPER(F1750)</f>
        <v>Soltero(A)</v>
      </c>
    </row>
    <row r="1751" customFormat="false" ht="14.25" hidden="false" customHeight="false" outlineLevel="0" collapsed="false">
      <c r="B1751" s="197" t="n">
        <v>1151966415</v>
      </c>
      <c r="C1751" s="197" t="s">
        <v>3914</v>
      </c>
      <c r="D1751" s="197" t="s">
        <v>3915</v>
      </c>
      <c r="E1751" s="198" t="s">
        <v>944</v>
      </c>
      <c r="F1751" s="198" t="s">
        <v>953</v>
      </c>
      <c r="G1751" s="225" t="n">
        <v>4469100</v>
      </c>
      <c r="H1751" s="225" t="n">
        <v>1121761</v>
      </c>
      <c r="I1751" s="225"/>
      <c r="J1751" s="198" t="n">
        <v>26</v>
      </c>
      <c r="K1751" s="198" t="n">
        <v>4</v>
      </c>
      <c r="L1751" s="226" t="n">
        <v>45124</v>
      </c>
      <c r="M1751" s="226" t="n">
        <v>44958</v>
      </c>
      <c r="N1751" s="227" t="n">
        <v>0</v>
      </c>
      <c r="O1751" s="227" t="s">
        <v>135</v>
      </c>
      <c r="P1751" s="228" t="n">
        <f aca="false">VLOOKUP(B1751,'NIVEL ENERO'!A:D,3,0)</f>
        <v>0.187038647988446</v>
      </c>
      <c r="Q1751" s="229" t="n">
        <f aca="false">VLOOKUP(B1751,'NIVEL ENERO'!A:D,4,0)</f>
        <v>1090920.66</v>
      </c>
      <c r="R1751" s="186" t="str">
        <f aca="false">+PROPER(C1751&amp;" "&amp;D1751)</f>
        <v>Nanez Barco Laura Gisella</v>
      </c>
      <c r="S1751" s="230" t="n">
        <f aca="false">+YEARFRAC(L1751,$S$1)</f>
        <v>2.81944444444444</v>
      </c>
      <c r="T1751" s="230" t="n">
        <f aca="false">+YEARFRAC(M1751,$S$1)</f>
        <v>3.28055555555556</v>
      </c>
      <c r="U1751" s="231" t="n">
        <f aca="false">+$I1751</f>
        <v>0</v>
      </c>
      <c r="V1751" s="232" t="str">
        <f aca="false">+PROPER(F1751)</f>
        <v>Soltero(A)</v>
      </c>
    </row>
    <row r="1752" customFormat="false" ht="14.25" hidden="false" customHeight="false" outlineLevel="0" collapsed="false">
      <c r="B1752" s="197" t="n">
        <v>1151966662</v>
      </c>
      <c r="C1752" s="197" t="s">
        <v>3916</v>
      </c>
      <c r="D1752" s="197" t="s">
        <v>3917</v>
      </c>
      <c r="E1752" s="198" t="s">
        <v>944</v>
      </c>
      <c r="F1752" s="198" t="s">
        <v>953</v>
      </c>
      <c r="G1752" s="225" t="n">
        <v>2893800</v>
      </c>
      <c r="H1752" s="225" t="n">
        <v>3911558</v>
      </c>
      <c r="I1752" s="225" t="n">
        <v>1951666</v>
      </c>
      <c r="J1752" s="198" t="n">
        <v>26</v>
      </c>
      <c r="K1752" s="198" t="n">
        <v>2</v>
      </c>
      <c r="L1752" s="226" t="n">
        <v>44887</v>
      </c>
      <c r="M1752" s="226" t="n">
        <v>44181</v>
      </c>
      <c r="N1752" s="227" t="n">
        <v>0</v>
      </c>
      <c r="O1752" s="227" t="s">
        <v>135</v>
      </c>
      <c r="P1752" s="228" t="n">
        <f aca="false">VLOOKUP(B1752,'NIVEL ENERO'!A:D,3,0)</f>
        <v>0.227466246836359</v>
      </c>
      <c r="Q1752" s="229" t="n">
        <f aca="false">VLOOKUP(B1752,'NIVEL ENERO'!A:D,4,0)</f>
        <v>732657.74</v>
      </c>
      <c r="R1752" s="186" t="str">
        <f aca="false">+PROPER(C1752&amp;" "&amp;D1752)</f>
        <v>Tellez Cubillos Marian</v>
      </c>
      <c r="S1752" s="230" t="n">
        <f aca="false">+YEARFRAC(L1752,$S$1)</f>
        <v>3.47222222222222</v>
      </c>
      <c r="T1752" s="230" t="n">
        <f aca="false">+YEARFRAC(M1752,$S$1)</f>
        <v>5.40555555555556</v>
      </c>
      <c r="U1752" s="231" t="n">
        <f aca="false">+$I1752</f>
        <v>1951666</v>
      </c>
      <c r="V1752" s="232" t="str">
        <f aca="false">+PROPER(F1752)</f>
        <v>Soltero(A)</v>
      </c>
    </row>
    <row r="1753" customFormat="false" ht="14.25" hidden="false" customHeight="false" outlineLevel="0" collapsed="false">
      <c r="B1753" s="197" t="n">
        <v>1151967554</v>
      </c>
      <c r="C1753" s="197" t="s">
        <v>3918</v>
      </c>
      <c r="D1753" s="197" t="s">
        <v>2388</v>
      </c>
      <c r="E1753" s="198" t="s">
        <v>944</v>
      </c>
      <c r="F1753" s="198" t="s">
        <v>953</v>
      </c>
      <c r="G1753" s="225" t="n">
        <v>1918500</v>
      </c>
      <c r="H1753" s="225" t="n">
        <v>2304741</v>
      </c>
      <c r="I1753" s="225" t="n">
        <v>0</v>
      </c>
      <c r="J1753" s="198" t="n">
        <v>26</v>
      </c>
      <c r="K1753" s="198" t="n">
        <v>2</v>
      </c>
      <c r="L1753" s="226" t="n">
        <v>44974</v>
      </c>
      <c r="M1753" s="226" t="n">
        <v>44348</v>
      </c>
      <c r="N1753" s="227" t="n">
        <v>0</v>
      </c>
      <c r="O1753" s="227" t="s">
        <v>135</v>
      </c>
      <c r="P1753" s="228" t="n">
        <f aca="false">VLOOKUP(B1753,'NIVEL ENERO'!A:D,3,0)</f>
        <v>0.344646724003127</v>
      </c>
      <c r="Q1753" s="229" t="n">
        <f aca="false">VLOOKUP(B1753,'NIVEL ENERO'!A:D,4,0)</f>
        <v>344203</v>
      </c>
      <c r="R1753" s="186" t="str">
        <f aca="false">+PROPER(C1753&amp;" "&amp;D1753)</f>
        <v>Diaz Herrera Laura</v>
      </c>
      <c r="S1753" s="230" t="n">
        <f aca="false">+YEARFRAC(L1753,$S$1)</f>
        <v>3.23611111111111</v>
      </c>
      <c r="T1753" s="230" t="n">
        <f aca="false">+YEARFRAC(M1753,$S$1)</f>
        <v>4.94722222222222</v>
      </c>
      <c r="U1753" s="231" t="n">
        <f aca="false">+$I1753</f>
        <v>0</v>
      </c>
      <c r="V1753" s="232" t="str">
        <f aca="false">+PROPER(F1753)</f>
        <v>Soltero(A)</v>
      </c>
    </row>
    <row r="1754" customFormat="false" ht="14.25" hidden="false" customHeight="false" outlineLevel="0" collapsed="false">
      <c r="B1754" s="197" t="n">
        <v>1151968212</v>
      </c>
      <c r="C1754" s="197" t="s">
        <v>3919</v>
      </c>
      <c r="D1754" s="197" t="s">
        <v>2837</v>
      </c>
      <c r="E1754" s="198" t="s">
        <v>944</v>
      </c>
      <c r="F1754" s="198" t="s">
        <v>953</v>
      </c>
      <c r="G1754" s="225" t="n">
        <v>2893800</v>
      </c>
      <c r="H1754" s="225" t="n">
        <v>200000</v>
      </c>
      <c r="I1754" s="225" t="n">
        <v>0</v>
      </c>
      <c r="J1754" s="198" t="n">
        <v>25</v>
      </c>
      <c r="K1754" s="198" t="n">
        <v>2</v>
      </c>
      <c r="L1754" s="226" t="n">
        <v>45643</v>
      </c>
      <c r="M1754" s="226" t="n">
        <v>44105</v>
      </c>
      <c r="N1754" s="227" t="n">
        <v>2</v>
      </c>
      <c r="O1754" s="227" t="s">
        <v>135</v>
      </c>
      <c r="P1754" s="228" t="e">
        <f aca="false">VLOOKUP(B1754,'NIVEL ENERO'!A:D,3,0)</f>
        <v>#N/A</v>
      </c>
      <c r="Q1754" s="229" t="e">
        <f aca="false">VLOOKUP(B1754,'NIVEL ENERO'!A:D,4,0)</f>
        <v>#N/A</v>
      </c>
      <c r="R1754" s="186" t="str">
        <f aca="false">+PROPER(C1754&amp;" "&amp;D1754)</f>
        <v>Velasco Mejia Angie Tatiana</v>
      </c>
      <c r="S1754" s="230" t="n">
        <f aca="false">+YEARFRAC(L1754,$S$1)</f>
        <v>1.40277777777778</v>
      </c>
      <c r="T1754" s="230" t="n">
        <f aca="false">+YEARFRAC(M1754,$S$1)</f>
        <v>5.61388888888889</v>
      </c>
      <c r="U1754" s="231" t="n">
        <f aca="false">+$I1754</f>
        <v>0</v>
      </c>
      <c r="V1754" s="232" t="str">
        <f aca="false">+PROPER(F1754)</f>
        <v>Soltero(A)</v>
      </c>
    </row>
    <row r="1755" customFormat="false" ht="14.25" hidden="false" customHeight="false" outlineLevel="0" collapsed="false">
      <c r="B1755" s="197" t="n">
        <v>1151968713</v>
      </c>
      <c r="C1755" s="197" t="s">
        <v>3920</v>
      </c>
      <c r="D1755" s="197" t="s">
        <v>3921</v>
      </c>
      <c r="E1755" s="198" t="s">
        <v>944</v>
      </c>
      <c r="F1755" s="198" t="s">
        <v>953</v>
      </c>
      <c r="G1755" s="225" t="n">
        <v>2893800</v>
      </c>
      <c r="H1755" s="225" t="n">
        <v>1557164</v>
      </c>
      <c r="I1755" s="225" t="n">
        <v>0</v>
      </c>
      <c r="J1755" s="198" t="n">
        <v>25</v>
      </c>
      <c r="K1755" s="198" t="n">
        <v>2</v>
      </c>
      <c r="L1755" s="226" t="n">
        <v>44866</v>
      </c>
      <c r="M1755" s="226" t="n">
        <v>43511</v>
      </c>
      <c r="N1755" s="227" t="n">
        <v>3</v>
      </c>
      <c r="O1755" s="227" t="s">
        <v>135</v>
      </c>
      <c r="P1755" s="228" t="n">
        <f aca="false">VLOOKUP(B1755,'NIVEL ENERO'!A:D,3,0)</f>
        <v>0.140919951754905</v>
      </c>
      <c r="Q1755" s="229" t="n">
        <f aca="false">VLOOKUP(B1755,'NIVEL ENERO'!A:D,4,0)</f>
        <v>1195953.08</v>
      </c>
      <c r="R1755" s="186" t="str">
        <f aca="false">+PROPER(C1755&amp;" "&amp;D1755)</f>
        <v>Menza Triana Lizbet Tatiana</v>
      </c>
      <c r="S1755" s="230" t="n">
        <f aca="false">+YEARFRAC(L1755,$S$1)</f>
        <v>3.53055555555556</v>
      </c>
      <c r="T1755" s="230" t="n">
        <f aca="false">+YEARFRAC(M1755,$S$1)</f>
        <v>7.24166666666667</v>
      </c>
      <c r="U1755" s="231" t="n">
        <f aca="false">+$I1755</f>
        <v>0</v>
      </c>
      <c r="V1755" s="232" t="str">
        <f aca="false">+PROPER(F1755)</f>
        <v>Soltero(A)</v>
      </c>
    </row>
    <row r="1756" customFormat="false" ht="14.25" hidden="false" customHeight="false" outlineLevel="0" collapsed="false">
      <c r="B1756" s="197" t="n">
        <v>1151969735</v>
      </c>
      <c r="C1756" s="197" t="s">
        <v>3922</v>
      </c>
      <c r="D1756" s="197" t="s">
        <v>1661</v>
      </c>
      <c r="E1756" s="198" t="s">
        <v>944</v>
      </c>
      <c r="F1756" s="198" t="s">
        <v>945</v>
      </c>
      <c r="G1756" s="225" t="n">
        <v>1918500</v>
      </c>
      <c r="H1756" s="225" t="n">
        <v>1557164</v>
      </c>
      <c r="I1756" s="225" t="n">
        <v>1011177</v>
      </c>
      <c r="J1756" s="198" t="n">
        <v>25</v>
      </c>
      <c r="K1756" s="198" t="n">
        <v>2</v>
      </c>
      <c r="L1756" s="226" t="n">
        <v>44886</v>
      </c>
      <c r="M1756" s="226" t="n">
        <v>44384</v>
      </c>
      <c r="N1756" s="227" t="n">
        <v>0</v>
      </c>
      <c r="O1756" s="227" t="s">
        <v>135</v>
      </c>
      <c r="P1756" s="228" t="n">
        <f aca="false">VLOOKUP(B1756,'NIVEL ENERO'!A:D,3,0)</f>
        <v>0.432435809225958</v>
      </c>
      <c r="Q1756" s="229" t="n">
        <f aca="false">VLOOKUP(B1756,'NIVEL ENERO'!A:D,4,0)</f>
        <v>-56805</v>
      </c>
      <c r="R1756" s="186" t="str">
        <f aca="false">+PROPER(C1756&amp;" "&amp;D1756)</f>
        <v>Angulo Preciado Maria Alejandra</v>
      </c>
      <c r="S1756" s="230" t="n">
        <f aca="false">+YEARFRAC(L1756,$S$1)</f>
        <v>3.475</v>
      </c>
      <c r="T1756" s="230" t="n">
        <f aca="false">+YEARFRAC(M1756,$S$1)</f>
        <v>4.84722222222222</v>
      </c>
      <c r="U1756" s="231" t="n">
        <f aca="false">+$I1756</f>
        <v>1011177</v>
      </c>
      <c r="V1756" s="232" t="str">
        <f aca="false">+PROPER(F1756)</f>
        <v>Union Libre</v>
      </c>
    </row>
    <row r="1757" customFormat="false" ht="14.25" hidden="false" customHeight="false" outlineLevel="0" collapsed="false">
      <c r="B1757" s="197" t="n">
        <v>1152443072</v>
      </c>
      <c r="C1757" s="197" t="s">
        <v>3923</v>
      </c>
      <c r="D1757" s="197" t="s">
        <v>3610</v>
      </c>
      <c r="E1757" s="198" t="s">
        <v>944</v>
      </c>
      <c r="F1757" s="198" t="s">
        <v>953</v>
      </c>
      <c r="G1757" s="225" t="n">
        <v>5291000</v>
      </c>
      <c r="H1757" s="225" t="n">
        <v>5432419</v>
      </c>
      <c r="I1757" s="225" t="n">
        <v>0</v>
      </c>
      <c r="J1757" s="198" t="n">
        <v>32</v>
      </c>
      <c r="K1757" s="198" t="n">
        <v>2</v>
      </c>
      <c r="L1757" s="226" t="n">
        <v>44154</v>
      </c>
      <c r="M1757" s="226" t="n">
        <v>42143</v>
      </c>
      <c r="N1757" s="227" t="n">
        <v>3</v>
      </c>
      <c r="O1757" s="227" t="s">
        <v>135</v>
      </c>
      <c r="P1757" s="228" t="n">
        <f aca="false">VLOOKUP(B1757,'NIVEL ENERO'!A:D,3,0)</f>
        <v>0.116992661714079</v>
      </c>
      <c r="Q1757" s="229" t="n">
        <f aca="false">VLOOKUP(B1757,'NIVEL ENERO'!A:D,4,0)</f>
        <v>2006757</v>
      </c>
      <c r="R1757" s="186" t="str">
        <f aca="false">+PROPER(C1757&amp;" "&amp;D1757)</f>
        <v>Henao Pelaez Jessica Natalia</v>
      </c>
      <c r="S1757" s="230" t="n">
        <f aca="false">+YEARFRAC(L1757,$S$1)</f>
        <v>5.48055555555556</v>
      </c>
      <c r="T1757" s="230" t="n">
        <f aca="false">+YEARFRAC(M1757,$S$1)</f>
        <v>10.9805555555556</v>
      </c>
      <c r="U1757" s="231" t="n">
        <f aca="false">+$I1757</f>
        <v>0</v>
      </c>
      <c r="V1757" s="232" t="str">
        <f aca="false">+PROPER(F1757)</f>
        <v>Soltero(A)</v>
      </c>
    </row>
    <row r="1758" customFormat="false" ht="14.25" hidden="false" customHeight="false" outlineLevel="0" collapsed="false">
      <c r="B1758" s="197" t="n">
        <v>1152458312</v>
      </c>
      <c r="C1758" s="197" t="s">
        <v>3924</v>
      </c>
      <c r="D1758" s="197" t="s">
        <v>1267</v>
      </c>
      <c r="E1758" s="198" t="s">
        <v>944</v>
      </c>
      <c r="F1758" s="198" t="s">
        <v>945</v>
      </c>
      <c r="G1758" s="225" t="n">
        <v>7551500</v>
      </c>
      <c r="H1758" s="225" t="n">
        <v>9035296</v>
      </c>
      <c r="I1758" s="225"/>
      <c r="J1758" s="198" t="n">
        <v>28</v>
      </c>
      <c r="K1758" s="198" t="n">
        <v>1</v>
      </c>
      <c r="L1758" s="226" t="n">
        <v>44754</v>
      </c>
      <c r="M1758" s="226" t="n">
        <v>44757</v>
      </c>
      <c r="N1758" s="227" t="n">
        <v>1</v>
      </c>
      <c r="O1758" s="227" t="s">
        <v>135</v>
      </c>
      <c r="P1758" s="228" t="n">
        <f aca="false">VLOOKUP(B1758,'NIVEL ENERO'!A:D,3,0)</f>
        <v>0.158836257697146</v>
      </c>
      <c r="Q1758" s="229" t="n">
        <f aca="false">VLOOKUP(B1758,'NIVEL ENERO'!A:D,4,0)</f>
        <v>1972178</v>
      </c>
      <c r="R1758" s="186" t="str">
        <f aca="false">+PROPER(C1758&amp;" "&amp;D1758)</f>
        <v>Arboleda Caicedo Ana Maria</v>
      </c>
      <c r="S1758" s="230" t="n">
        <f aca="false">+YEARFRAC(L1758,$S$1)</f>
        <v>3.83333333333333</v>
      </c>
      <c r="T1758" s="230" t="n">
        <f aca="false">+YEARFRAC(M1758,$S$1)</f>
        <v>3.825</v>
      </c>
      <c r="U1758" s="231" t="n">
        <f aca="false">+$I1758</f>
        <v>0</v>
      </c>
      <c r="V1758" s="232" t="str">
        <f aca="false">+PROPER(F1758)</f>
        <v>Union Libre</v>
      </c>
    </row>
    <row r="1759" customFormat="false" ht="14.25" hidden="false" customHeight="false" outlineLevel="0" collapsed="false">
      <c r="B1759" s="197" t="n">
        <v>1192747716</v>
      </c>
      <c r="C1759" s="197" t="s">
        <v>3925</v>
      </c>
      <c r="D1759" s="197" t="s">
        <v>3926</v>
      </c>
      <c r="E1759" s="198" t="s">
        <v>944</v>
      </c>
      <c r="F1759" s="198" t="s">
        <v>945</v>
      </c>
      <c r="G1759" s="225" t="n">
        <v>1991000</v>
      </c>
      <c r="H1759" s="225" t="n">
        <v>130000</v>
      </c>
      <c r="I1759" s="225" t="n">
        <v>462657</v>
      </c>
      <c r="J1759" s="198" t="n">
        <v>25</v>
      </c>
      <c r="K1759" s="198" t="n">
        <v>1</v>
      </c>
      <c r="L1759" s="226" t="n">
        <v>45615</v>
      </c>
      <c r="M1759" s="226" t="n">
        <v>43368</v>
      </c>
      <c r="N1759" s="227" t="n">
        <v>2</v>
      </c>
      <c r="O1759" s="227" t="s">
        <v>135</v>
      </c>
      <c r="P1759" s="228" t="n">
        <f aca="false">VLOOKUP(B1759,'NIVEL ENERO'!A:D,3,0)</f>
        <v>0.417843211989587</v>
      </c>
      <c r="Q1759" s="229" t="n">
        <f aca="false">VLOOKUP(B1759,'NIVEL ENERO'!A:D,4,0)</f>
        <v>9997</v>
      </c>
      <c r="R1759" s="186" t="str">
        <f aca="false">+PROPER(C1759&amp;" "&amp;D1759)</f>
        <v>Osorio Murillo Karen Natalia</v>
      </c>
      <c r="S1759" s="230" t="n">
        <f aca="false">+YEARFRAC(L1759,$S$1)</f>
        <v>1.48055555555556</v>
      </c>
      <c r="T1759" s="230" t="n">
        <f aca="false">+YEARFRAC(M1759,$S$1)</f>
        <v>7.63055555555556</v>
      </c>
      <c r="U1759" s="231" t="n">
        <f aca="false">+$I1759</f>
        <v>462657</v>
      </c>
      <c r="V1759" s="232" t="str">
        <f aca="false">+PROPER(F1759)</f>
        <v>Union Libre</v>
      </c>
    </row>
    <row r="1760" customFormat="false" ht="14.25" hidden="false" customHeight="false" outlineLevel="0" collapsed="false">
      <c r="B1760" s="197" t="n">
        <v>1192766509</v>
      </c>
      <c r="C1760" s="197" t="s">
        <v>3927</v>
      </c>
      <c r="D1760" s="197" t="s">
        <v>2649</v>
      </c>
      <c r="E1760" s="198" t="s">
        <v>944</v>
      </c>
      <c r="F1760" s="198" t="s">
        <v>948</v>
      </c>
      <c r="G1760" s="225" t="n">
        <v>2600900</v>
      </c>
      <c r="H1760" s="225" t="n">
        <v>1557164</v>
      </c>
      <c r="I1760" s="225" t="n">
        <v>2051247</v>
      </c>
      <c r="J1760" s="198" t="n">
        <v>24</v>
      </c>
      <c r="K1760" s="198" t="n">
        <v>2</v>
      </c>
      <c r="L1760" s="226" t="n">
        <v>44875</v>
      </c>
      <c r="M1760" s="226" t="n">
        <v>44085</v>
      </c>
      <c r="N1760" s="227" t="n">
        <v>0</v>
      </c>
      <c r="O1760" s="227" t="s">
        <v>135</v>
      </c>
      <c r="P1760" s="228" t="n">
        <f aca="false">VLOOKUP(B1760,'NIVEL ENERO'!A:D,3,0)</f>
        <v>0.180912376485063</v>
      </c>
      <c r="Q1760" s="229" t="n">
        <f aca="false">VLOOKUP(B1760,'NIVEL ENERO'!A:D,4,0)</f>
        <v>621843</v>
      </c>
      <c r="R1760" s="186" t="str">
        <f aca="false">+PROPER(C1760&amp;" "&amp;D1760)</f>
        <v>Maya Solano Maria Del Mar</v>
      </c>
      <c r="S1760" s="230" t="n">
        <f aca="false">+YEARFRAC(L1760,$S$1)</f>
        <v>3.50555555555556</v>
      </c>
      <c r="T1760" s="230" t="n">
        <f aca="false">+YEARFRAC(M1760,$S$1)</f>
        <v>5.66944444444444</v>
      </c>
      <c r="U1760" s="231" t="n">
        <f aca="false">+$I1760</f>
        <v>2051247</v>
      </c>
      <c r="V1760" s="232" t="str">
        <f aca="false">+PROPER(F1760)</f>
        <v>Casado(A)</v>
      </c>
    </row>
    <row r="1761" customFormat="false" ht="14.25" hidden="false" customHeight="false" outlineLevel="0" collapsed="false">
      <c r="B1761" s="197" t="n">
        <v>1192767362</v>
      </c>
      <c r="C1761" s="197" t="s">
        <v>3928</v>
      </c>
      <c r="D1761" s="197" t="s">
        <v>2488</v>
      </c>
      <c r="E1761" s="198" t="s">
        <v>944</v>
      </c>
      <c r="F1761" s="198" t="s">
        <v>953</v>
      </c>
      <c r="G1761" s="225" t="n">
        <v>2080700</v>
      </c>
      <c r="H1761" s="225" t="n">
        <v>1860209</v>
      </c>
      <c r="I1761" s="225" t="n">
        <v>134806</v>
      </c>
      <c r="J1761" s="198" t="n">
        <v>24</v>
      </c>
      <c r="K1761" s="198" t="n">
        <v>2</v>
      </c>
      <c r="L1761" s="226" t="n">
        <v>44704</v>
      </c>
      <c r="M1761" s="226" t="n">
        <v>43863</v>
      </c>
      <c r="N1761" s="227" t="n">
        <v>0</v>
      </c>
      <c r="O1761" s="227" t="s">
        <v>135</v>
      </c>
      <c r="P1761" s="228" t="n">
        <f aca="false">VLOOKUP(B1761,'NIVEL ENERO'!A:D,3,0)</f>
        <v>0.230605939090522</v>
      </c>
      <c r="Q1761" s="229" t="n">
        <f aca="false">VLOOKUP(B1761,'NIVEL ENERO'!A:D,4,0)</f>
        <v>499539.02</v>
      </c>
      <c r="R1761" s="186" t="str">
        <f aca="false">+PROPER(C1761&amp;" "&amp;D1761)</f>
        <v>Quenoran Lopez Natalia Andrea</v>
      </c>
      <c r="S1761" s="230" t="n">
        <f aca="false">+YEARFRAC(L1761,$S$1)</f>
        <v>3.96944444444444</v>
      </c>
      <c r="T1761" s="230" t="n">
        <f aca="false">+YEARFRAC(M1761,$S$1)</f>
        <v>6.27777777777778</v>
      </c>
      <c r="U1761" s="231" t="n">
        <f aca="false">+$I1761</f>
        <v>134806</v>
      </c>
      <c r="V1761" s="232" t="str">
        <f aca="false">+PROPER(F1761)</f>
        <v>Soltero(A)</v>
      </c>
    </row>
    <row r="1762" customFormat="false" ht="14.25" hidden="false" customHeight="false" outlineLevel="0" collapsed="false">
      <c r="B1762" s="197" t="n">
        <v>1192806606</v>
      </c>
      <c r="C1762" s="197" t="s">
        <v>3929</v>
      </c>
      <c r="D1762" s="197" t="s">
        <v>3930</v>
      </c>
      <c r="E1762" s="198" t="s">
        <v>944</v>
      </c>
      <c r="F1762" s="198" t="s">
        <v>945</v>
      </c>
      <c r="G1762" s="225" t="n">
        <v>1625000</v>
      </c>
      <c r="H1762" s="225" t="n">
        <v>260000</v>
      </c>
      <c r="I1762" s="225" t="n">
        <v>0</v>
      </c>
      <c r="J1762" s="198" t="n">
        <v>29</v>
      </c>
      <c r="K1762" s="198" t="n">
        <v>2</v>
      </c>
      <c r="L1762" s="226" t="n">
        <v>45555</v>
      </c>
      <c r="M1762" s="226" t="n">
        <v>44546</v>
      </c>
      <c r="N1762" s="227" t="n">
        <v>2</v>
      </c>
      <c r="O1762" s="227" t="s">
        <v>135</v>
      </c>
      <c r="P1762" s="228" t="str">
        <f aca="false">VLOOKUP(B1762,'NIVEL ENERO'!A:D,3,0)</f>
        <v>0</v>
      </c>
      <c r="Q1762" s="229" t="n">
        <f aca="false">VLOOKUP(B1762,'NIVEL ENERO'!A:D,4,0)</f>
        <v>0</v>
      </c>
      <c r="R1762" s="186" t="str">
        <f aca="false">+PROPER(C1762&amp;" "&amp;D1762)</f>
        <v>Rodriguez Albaran Rudy Rubiela</v>
      </c>
      <c r="S1762" s="230" t="n">
        <f aca="false">+YEARFRAC(L1762,$S$1)</f>
        <v>1.64444444444444</v>
      </c>
      <c r="T1762" s="230" t="n">
        <f aca="false">+YEARFRAC(M1762,$S$1)</f>
        <v>4.40555555555556</v>
      </c>
      <c r="U1762" s="231" t="n">
        <f aca="false">+$I1762</f>
        <v>0</v>
      </c>
      <c r="V1762" s="232" t="str">
        <f aca="false">+PROPER(F1762)</f>
        <v>Union Libre</v>
      </c>
    </row>
    <row r="1763" customFormat="false" ht="14.25" hidden="false" customHeight="false" outlineLevel="0" collapsed="false">
      <c r="B1763" s="197" t="n">
        <v>1192898686</v>
      </c>
      <c r="C1763" s="197" t="s">
        <v>3931</v>
      </c>
      <c r="D1763" s="197" t="s">
        <v>2297</v>
      </c>
      <c r="E1763" s="198" t="s">
        <v>944</v>
      </c>
      <c r="F1763" s="198" t="s">
        <v>953</v>
      </c>
      <c r="G1763" s="225" t="n">
        <v>1625000</v>
      </c>
      <c r="H1763" s="225" t="n">
        <v>200000</v>
      </c>
      <c r="I1763" s="225"/>
      <c r="J1763" s="198" t="n">
        <v>24</v>
      </c>
      <c r="K1763" s="198" t="n">
        <v>1</v>
      </c>
      <c r="L1763" s="226" t="n">
        <v>45615</v>
      </c>
      <c r="M1763" s="226" t="n">
        <v>45399</v>
      </c>
      <c r="N1763" s="227" t="n">
        <v>0</v>
      </c>
      <c r="O1763" s="227" t="s">
        <v>135</v>
      </c>
      <c r="P1763" s="228" t="n">
        <f aca="false">VLOOKUP(B1763,'NIVEL ENERO'!A:D,3,0)</f>
        <v>0.467586648423931</v>
      </c>
      <c r="Q1763" s="229" t="n">
        <f aca="false">VLOOKUP(B1763,'NIVEL ENERO'!A:D,4,0)</f>
        <v>-206529</v>
      </c>
      <c r="R1763" s="186" t="str">
        <f aca="false">+PROPER(C1763&amp;" "&amp;D1763)</f>
        <v>Cruz Castillo Valentina</v>
      </c>
      <c r="S1763" s="230" t="n">
        <f aca="false">+YEARFRAC(L1763,$S$1)</f>
        <v>1.48055555555556</v>
      </c>
      <c r="T1763" s="230" t="n">
        <f aca="false">+YEARFRAC(M1763,$S$1)</f>
        <v>2.06944444444444</v>
      </c>
      <c r="U1763" s="231" t="n">
        <f aca="false">+$I1763</f>
        <v>0</v>
      </c>
      <c r="V1763" s="232" t="str">
        <f aca="false">+PROPER(F1763)</f>
        <v>Soltero(A)</v>
      </c>
    </row>
    <row r="1764" customFormat="false" ht="14.25" hidden="false" customHeight="false" outlineLevel="0" collapsed="false">
      <c r="B1764" s="197" t="n">
        <v>1192910903</v>
      </c>
      <c r="C1764" s="197" t="s">
        <v>3932</v>
      </c>
      <c r="D1764" s="197" t="s">
        <v>1150</v>
      </c>
      <c r="E1764" s="198" t="s">
        <v>944</v>
      </c>
      <c r="F1764" s="198" t="s">
        <v>945</v>
      </c>
      <c r="G1764" s="225" t="n">
        <v>1625000</v>
      </c>
      <c r="H1764" s="225" t="n">
        <v>900000</v>
      </c>
      <c r="I1764" s="225" t="n">
        <v>463943</v>
      </c>
      <c r="J1764" s="198" t="n">
        <v>24</v>
      </c>
      <c r="K1764" s="198" t="n">
        <v>2</v>
      </c>
      <c r="L1764" s="226" t="n">
        <v>45390</v>
      </c>
      <c r="M1764" s="226" t="n">
        <v>45383</v>
      </c>
      <c r="N1764" s="227" t="n">
        <v>0</v>
      </c>
      <c r="O1764" s="227" t="s">
        <v>135</v>
      </c>
      <c r="P1764" s="228" t="n">
        <f aca="false">VLOOKUP(B1764,'NIVEL ENERO'!A:D,3,0)</f>
        <v>0.411468850096044</v>
      </c>
      <c r="Q1764" s="229" t="n">
        <f aca="false">VLOOKUP(B1764,'NIVEL ENERO'!A:D,4,0)</f>
        <v>33426</v>
      </c>
      <c r="R1764" s="186" t="str">
        <f aca="false">+PROPER(C1764&amp;" "&amp;D1764)</f>
        <v>Olave Carabali Diana Lizeth</v>
      </c>
      <c r="S1764" s="230" t="n">
        <f aca="false">+YEARFRAC(L1764,$S$1)</f>
        <v>2.09444444444444</v>
      </c>
      <c r="T1764" s="230" t="n">
        <f aca="false">+YEARFRAC(M1764,$S$1)</f>
        <v>2.11388888888889</v>
      </c>
      <c r="U1764" s="231" t="n">
        <f aca="false">+$I1764</f>
        <v>463943</v>
      </c>
      <c r="V1764" s="232" t="str">
        <f aca="false">+PROPER(F1764)</f>
        <v>Union Libre</v>
      </c>
    </row>
    <row r="1765" customFormat="false" ht="14.25" hidden="false" customHeight="false" outlineLevel="0" collapsed="false">
      <c r="B1765" s="197" t="n">
        <v>1193034560</v>
      </c>
      <c r="C1765" s="197" t="s">
        <v>3933</v>
      </c>
      <c r="D1765" s="197" t="s">
        <v>3934</v>
      </c>
      <c r="E1765" s="198" t="s">
        <v>944</v>
      </c>
      <c r="F1765" s="198" t="s">
        <v>953</v>
      </c>
      <c r="G1765" s="225" t="n">
        <v>2600900</v>
      </c>
      <c r="H1765" s="225" t="n">
        <v>1805756</v>
      </c>
      <c r="I1765" s="225" t="n">
        <v>0</v>
      </c>
      <c r="J1765" s="198" t="n">
        <v>23</v>
      </c>
      <c r="K1765" s="198" t="n">
        <v>2</v>
      </c>
      <c r="L1765" s="226" t="n">
        <v>45114</v>
      </c>
      <c r="M1765" s="226" t="n">
        <v>44470</v>
      </c>
      <c r="N1765" s="227" t="n">
        <v>0</v>
      </c>
      <c r="O1765" s="227" t="s">
        <v>135</v>
      </c>
      <c r="P1765" s="228" t="n">
        <f aca="false">VLOOKUP(B1765,'NIVEL ENERO'!A:D,3,0)</f>
        <v>0.232451643321953</v>
      </c>
      <c r="Q1765" s="229" t="n">
        <f aca="false">VLOOKUP(B1765,'NIVEL ENERO'!A:D,4,0)</f>
        <v>648377.8</v>
      </c>
      <c r="R1765" s="186" t="str">
        <f aca="false">+PROPER(C1765&amp;" "&amp;D1765)</f>
        <v>Saldarriaga Millan Laura Camila</v>
      </c>
      <c r="S1765" s="230" t="n">
        <f aca="false">+YEARFRAC(L1765,$S$1)</f>
        <v>2.84722222222222</v>
      </c>
      <c r="T1765" s="230" t="n">
        <f aca="false">+YEARFRAC(M1765,$S$1)</f>
        <v>4.61388888888889</v>
      </c>
      <c r="U1765" s="231" t="n">
        <f aca="false">+$I1765</f>
        <v>0</v>
      </c>
      <c r="V1765" s="232" t="str">
        <f aca="false">+PROPER(F1765)</f>
        <v>Soltero(A)</v>
      </c>
    </row>
    <row r="1766" customFormat="false" ht="14.25" hidden="false" customHeight="false" outlineLevel="0" collapsed="false">
      <c r="B1766" s="197" t="n">
        <v>1193037577</v>
      </c>
      <c r="C1766" s="197" t="s">
        <v>3935</v>
      </c>
      <c r="D1766" s="197" t="s">
        <v>3936</v>
      </c>
      <c r="E1766" s="198" t="s">
        <v>944</v>
      </c>
      <c r="F1766" s="198" t="s">
        <v>953</v>
      </c>
      <c r="G1766" s="225" t="n">
        <v>1625000</v>
      </c>
      <c r="H1766" s="225" t="n">
        <v>900111</v>
      </c>
      <c r="I1766" s="225" t="n">
        <v>463289</v>
      </c>
      <c r="J1766" s="198" t="n">
        <v>25</v>
      </c>
      <c r="K1766" s="198" t="n">
        <v>2</v>
      </c>
      <c r="L1766" s="226" t="n">
        <v>45250</v>
      </c>
      <c r="M1766" s="226" t="n">
        <v>44483</v>
      </c>
      <c r="N1766" s="227" t="n">
        <v>3</v>
      </c>
      <c r="O1766" s="227" t="s">
        <v>135</v>
      </c>
      <c r="P1766" s="228" t="str">
        <f aca="false">VLOOKUP(B1766,'NIVEL ENERO'!A:D,3,0)</f>
        <v>0</v>
      </c>
      <c r="Q1766" s="229" t="n">
        <f aca="false">VLOOKUP(B1766,'NIVEL ENERO'!A:D,4,0)</f>
        <v>0</v>
      </c>
      <c r="R1766" s="186" t="str">
        <f aca="false">+PROPER(C1766&amp;" "&amp;D1766)</f>
        <v>Cuero Ortiz Luz Diana</v>
      </c>
      <c r="S1766" s="230" t="n">
        <f aca="false">+YEARFRAC(L1766,$S$1)</f>
        <v>2.47777777777778</v>
      </c>
      <c r="T1766" s="230" t="n">
        <f aca="false">+YEARFRAC(M1766,$S$1)</f>
        <v>4.57777777777778</v>
      </c>
      <c r="U1766" s="231" t="n">
        <f aca="false">+$I1766</f>
        <v>463289</v>
      </c>
      <c r="V1766" s="232" t="str">
        <f aca="false">+PROPER(F1766)</f>
        <v>Soltero(A)</v>
      </c>
    </row>
    <row r="1767" customFormat="false" ht="14.25" hidden="false" customHeight="false" outlineLevel="0" collapsed="false">
      <c r="B1767" s="197" t="n">
        <v>1193101208</v>
      </c>
      <c r="C1767" s="197" t="s">
        <v>3937</v>
      </c>
      <c r="D1767" s="197" t="s">
        <v>3938</v>
      </c>
      <c r="E1767" s="198" t="s">
        <v>944</v>
      </c>
      <c r="F1767" s="198" t="s">
        <v>953</v>
      </c>
      <c r="G1767" s="225" t="n">
        <v>1625000</v>
      </c>
      <c r="H1767" s="225" t="n">
        <v>1063511</v>
      </c>
      <c r="I1767" s="225" t="n">
        <v>2493394</v>
      </c>
      <c r="J1767" s="198" t="n">
        <v>25</v>
      </c>
      <c r="K1767" s="198" t="n">
        <v>2</v>
      </c>
      <c r="L1767" s="226" t="n">
        <v>45160</v>
      </c>
      <c r="M1767" s="226" t="n">
        <v>45039</v>
      </c>
      <c r="N1767" s="227" t="n">
        <v>0</v>
      </c>
      <c r="O1767" s="227" t="s">
        <v>135</v>
      </c>
      <c r="P1767" s="228" t="n">
        <f aca="false">VLOOKUP(B1767,'NIVEL ENERO'!A:D,3,0)</f>
        <v>0.446662093942667</v>
      </c>
      <c r="Q1767" s="229" t="n">
        <f aca="false">VLOOKUP(B1767,'NIVEL ENERO'!A:D,4,0)</f>
        <v>-113652</v>
      </c>
      <c r="R1767" s="186" t="str">
        <f aca="false">+PROPER(C1767&amp;" "&amp;D1767)</f>
        <v>Jimenez Larrahondo Michel Alejandra</v>
      </c>
      <c r="S1767" s="230" t="n">
        <f aca="false">+YEARFRAC(L1767,$S$1)</f>
        <v>2.72222222222222</v>
      </c>
      <c r="T1767" s="230" t="n">
        <f aca="false">+YEARFRAC(M1767,$S$1)</f>
        <v>3.05277777777778</v>
      </c>
      <c r="U1767" s="231" t="n">
        <f aca="false">+$I1767</f>
        <v>2493394</v>
      </c>
      <c r="V1767" s="232" t="str">
        <f aca="false">+PROPER(F1767)</f>
        <v>Soltero(A)</v>
      </c>
    </row>
    <row r="1768" customFormat="false" ht="14.25" hidden="false" customHeight="false" outlineLevel="0" collapsed="false">
      <c r="B1768" s="197" t="n">
        <v>1193123792</v>
      </c>
      <c r="C1768" s="197" t="s">
        <v>3939</v>
      </c>
      <c r="D1768" s="197" t="s">
        <v>3940</v>
      </c>
      <c r="E1768" s="198" t="s">
        <v>944</v>
      </c>
      <c r="F1768" s="198" t="s">
        <v>945</v>
      </c>
      <c r="G1768" s="225" t="n">
        <v>2340800</v>
      </c>
      <c r="H1768" s="225" t="n">
        <v>1296808</v>
      </c>
      <c r="I1768" s="225" t="n">
        <v>65130</v>
      </c>
      <c r="J1768" s="198" t="n">
        <v>21</v>
      </c>
      <c r="K1768" s="198" t="n">
        <v>4</v>
      </c>
      <c r="L1768" s="226" t="n">
        <v>45027</v>
      </c>
      <c r="M1768" s="226" t="n">
        <v>44841</v>
      </c>
      <c r="N1768" s="227" t="n">
        <v>0</v>
      </c>
      <c r="O1768" s="227" t="s">
        <v>135</v>
      </c>
      <c r="P1768" s="228" t="n">
        <f aca="false">VLOOKUP(B1768,'NIVEL ENERO'!A:D,3,0)</f>
        <v>0.448387730690362</v>
      </c>
      <c r="Q1768" s="229" t="n">
        <f aca="false">VLOOKUP(B1768,'NIVEL ENERO'!A:D,4,0)</f>
        <v>-66450</v>
      </c>
      <c r="R1768" s="186" t="str">
        <f aca="false">+PROPER(C1768&amp;" "&amp;D1768)</f>
        <v>Martinez Urbano Jhany Natalia</v>
      </c>
      <c r="S1768" s="230" t="n">
        <f aca="false">+YEARFRAC(L1768,$S$1)</f>
        <v>3.08611111111111</v>
      </c>
      <c r="T1768" s="230" t="n">
        <f aca="false">+YEARFRAC(M1768,$S$1)</f>
        <v>3.59722222222222</v>
      </c>
      <c r="U1768" s="231" t="n">
        <f aca="false">+$I1768</f>
        <v>65130</v>
      </c>
      <c r="V1768" s="232" t="str">
        <f aca="false">+PROPER(F1768)</f>
        <v>Union Libre</v>
      </c>
    </row>
    <row r="1769" customFormat="false" ht="14.25" hidden="false" customHeight="false" outlineLevel="0" collapsed="false">
      <c r="B1769" s="197" t="n">
        <v>1193153919</v>
      </c>
      <c r="C1769" s="197" t="s">
        <v>3941</v>
      </c>
      <c r="D1769" s="197" t="s">
        <v>3942</v>
      </c>
      <c r="E1769" s="198" t="s">
        <v>944</v>
      </c>
      <c r="F1769" s="198" t="s">
        <v>953</v>
      </c>
      <c r="G1769" s="225" t="n">
        <v>1918500</v>
      </c>
      <c r="H1769" s="225" t="n">
        <v>3528656</v>
      </c>
      <c r="I1769" s="225" t="n">
        <v>385635</v>
      </c>
      <c r="J1769" s="198" t="n">
        <v>25</v>
      </c>
      <c r="K1769" s="198" t="n">
        <v>2</v>
      </c>
      <c r="L1769" s="226" t="n">
        <v>43909</v>
      </c>
      <c r="M1769" s="226" t="n">
        <v>43313</v>
      </c>
      <c r="N1769" s="227" t="n">
        <v>2</v>
      </c>
      <c r="O1769" s="227" t="s">
        <v>135</v>
      </c>
      <c r="P1769" s="228" t="n">
        <f aca="false">VLOOKUP(B1769,'NIVEL ENERO'!A:D,3,0)</f>
        <v>0.439603849638863</v>
      </c>
      <c r="Q1769" s="229" t="n">
        <f aca="false">VLOOKUP(B1769,'NIVEL ENERO'!A:D,4,0)</f>
        <v>-87623</v>
      </c>
      <c r="R1769" s="186" t="str">
        <f aca="false">+PROPER(C1769&amp;" "&amp;D1769)</f>
        <v>Valencia Ospina Fernanda</v>
      </c>
      <c r="S1769" s="230" t="n">
        <f aca="false">+YEARFRAC(L1769,$S$1)</f>
        <v>6.14722222222222</v>
      </c>
      <c r="T1769" s="230" t="n">
        <f aca="false">+YEARFRAC(M1769,$S$1)</f>
        <v>7.78055555555556</v>
      </c>
      <c r="U1769" s="231" t="n">
        <f aca="false">+$I1769</f>
        <v>385635</v>
      </c>
      <c r="V1769" s="232" t="str">
        <f aca="false">+PROPER(F1769)</f>
        <v>Soltero(A)</v>
      </c>
    </row>
    <row r="1770" customFormat="false" ht="14.25" hidden="false" customHeight="false" outlineLevel="0" collapsed="false">
      <c r="B1770" s="197" t="n">
        <v>1193226482</v>
      </c>
      <c r="C1770" s="197" t="s">
        <v>3943</v>
      </c>
      <c r="D1770" s="197" t="s">
        <v>2395</v>
      </c>
      <c r="E1770" s="198" t="s">
        <v>944</v>
      </c>
      <c r="F1770" s="198" t="s">
        <v>953</v>
      </c>
      <c r="G1770" s="225" t="n">
        <v>3894900</v>
      </c>
      <c r="H1770" s="225" t="n">
        <v>650000</v>
      </c>
      <c r="I1770" s="225" t="n">
        <v>2270826</v>
      </c>
      <c r="J1770" s="198" t="n">
        <v>22</v>
      </c>
      <c r="K1770" s="198" t="n">
        <v>1</v>
      </c>
      <c r="L1770" s="226" t="n">
        <v>45014</v>
      </c>
      <c r="M1770" s="226" t="n">
        <v>45341</v>
      </c>
      <c r="N1770" s="227" t="n">
        <v>0</v>
      </c>
      <c r="O1770" s="227" t="s">
        <v>135</v>
      </c>
      <c r="P1770" s="228" t="n">
        <f aca="false">VLOOKUP(B1770,'NIVEL ENERO'!A:D,3,0)</f>
        <v>0.243897661043929</v>
      </c>
      <c r="Q1770" s="229" t="n">
        <f aca="false">VLOOKUP(B1770,'NIVEL ENERO'!A:D,4,0)</f>
        <v>685901</v>
      </c>
      <c r="R1770" s="186" t="str">
        <f aca="false">+PROPER(C1770&amp;" "&amp;D1770)</f>
        <v>Bacca Alvarez Luisa Fernanda</v>
      </c>
      <c r="S1770" s="230" t="n">
        <f aca="false">+YEARFRAC(L1770,$S$1)</f>
        <v>3.11944444444444</v>
      </c>
      <c r="T1770" s="230" t="n">
        <f aca="false">+YEARFRAC(M1770,$S$1)</f>
        <v>2.23055555555556</v>
      </c>
      <c r="U1770" s="231" t="n">
        <f aca="false">+$I1770</f>
        <v>2270826</v>
      </c>
      <c r="V1770" s="232" t="str">
        <f aca="false">+PROPER(F1770)</f>
        <v>Soltero(A)</v>
      </c>
    </row>
    <row r="1771" customFormat="false" ht="14.25" hidden="false" customHeight="false" outlineLevel="0" collapsed="false">
      <c r="B1771" s="197" t="n">
        <v>1193236208</v>
      </c>
      <c r="C1771" s="197" t="s">
        <v>3944</v>
      </c>
      <c r="D1771" s="197" t="s">
        <v>3945</v>
      </c>
      <c r="E1771" s="198" t="s">
        <v>944</v>
      </c>
      <c r="F1771" s="198" t="s">
        <v>953</v>
      </c>
      <c r="G1771" s="225" t="n">
        <v>1828100</v>
      </c>
      <c r="H1771" s="225" t="n">
        <v>773000</v>
      </c>
      <c r="I1771" s="225" t="n">
        <v>848384</v>
      </c>
      <c r="J1771" s="198" t="n">
        <v>23</v>
      </c>
      <c r="K1771" s="198" t="n">
        <v>2</v>
      </c>
      <c r="L1771" s="226" t="n">
        <v>45310</v>
      </c>
      <c r="M1771" s="226" t="n">
        <v>45071</v>
      </c>
      <c r="N1771" s="227" t="n">
        <v>0</v>
      </c>
      <c r="O1771" s="227" t="s">
        <v>135</v>
      </c>
      <c r="P1771" s="228" t="n">
        <f aca="false">VLOOKUP(B1771,'NIVEL ENERO'!A:D,3,0)</f>
        <v>0.378861779990154</v>
      </c>
      <c r="Q1771" s="229" t="n">
        <f aca="false">VLOOKUP(B1771,'NIVEL ENERO'!A:D,4,0)</f>
        <v>179059</v>
      </c>
      <c r="R1771" s="186" t="str">
        <f aca="false">+PROPER(C1771&amp;" "&amp;D1771)</f>
        <v>Galeano Ramos Dahiana Michel</v>
      </c>
      <c r="S1771" s="230" t="n">
        <f aca="false">+YEARFRAC(L1771,$S$1)</f>
        <v>2.31388888888889</v>
      </c>
      <c r="T1771" s="230" t="n">
        <f aca="false">+YEARFRAC(M1771,$S$1)</f>
        <v>2.96388888888889</v>
      </c>
      <c r="U1771" s="231" t="n">
        <f aca="false">+$I1771</f>
        <v>848384</v>
      </c>
      <c r="V1771" s="232" t="str">
        <f aca="false">+PROPER(F1771)</f>
        <v>Soltero(A)</v>
      </c>
    </row>
    <row r="1772" customFormat="false" ht="14.25" hidden="false" customHeight="false" outlineLevel="0" collapsed="false">
      <c r="B1772" s="197" t="n">
        <v>1193238666</v>
      </c>
      <c r="C1772" s="197" t="s">
        <v>3946</v>
      </c>
      <c r="D1772" s="197" t="s">
        <v>3947</v>
      </c>
      <c r="E1772" s="198" t="s">
        <v>944</v>
      </c>
      <c r="F1772" s="198" t="s">
        <v>945</v>
      </c>
      <c r="G1772" s="225" t="n">
        <v>2600900</v>
      </c>
      <c r="H1772" s="225" t="n">
        <v>700000</v>
      </c>
      <c r="I1772" s="225" t="n">
        <v>3455253</v>
      </c>
      <c r="J1772" s="198" t="n">
        <v>25</v>
      </c>
      <c r="K1772" s="198" t="n">
        <v>2</v>
      </c>
      <c r="L1772" s="226" t="n">
        <v>45447</v>
      </c>
      <c r="M1772" s="226" t="n">
        <v>44573</v>
      </c>
      <c r="N1772" s="227" t="n">
        <v>0</v>
      </c>
      <c r="O1772" s="227" t="s">
        <v>135</v>
      </c>
      <c r="P1772" s="228" t="n">
        <f aca="false">VLOOKUP(B1772,'NIVEL ENERO'!A:D,3,0)</f>
        <v>0.179582836710369</v>
      </c>
      <c r="Q1772" s="229" t="n">
        <f aca="false">VLOOKUP(B1772,'NIVEL ENERO'!A:D,4,0)</f>
        <v>625301</v>
      </c>
      <c r="R1772" s="186" t="str">
        <f aca="false">+PROPER(C1772&amp;" "&amp;D1772)</f>
        <v>Duque Parra Kevin Eduardo</v>
      </c>
      <c r="S1772" s="230" t="n">
        <f aca="false">+YEARFRAC(L1772,$S$1)</f>
        <v>1.93888888888889</v>
      </c>
      <c r="T1772" s="230" t="n">
        <f aca="false">+YEARFRAC(M1772,$S$1)</f>
        <v>4.33333333333333</v>
      </c>
      <c r="U1772" s="231" t="n">
        <f aca="false">+$I1772</f>
        <v>3455253</v>
      </c>
      <c r="V1772" s="232" t="str">
        <f aca="false">+PROPER(F1772)</f>
        <v>Union Libre</v>
      </c>
    </row>
    <row r="1773" customFormat="false" ht="14.25" hidden="false" customHeight="false" outlineLevel="0" collapsed="false">
      <c r="B1773" s="197" t="n">
        <v>1193399281</v>
      </c>
      <c r="C1773" s="197" t="s">
        <v>3948</v>
      </c>
      <c r="D1773" s="197" t="s">
        <v>3441</v>
      </c>
      <c r="E1773" s="198" t="s">
        <v>944</v>
      </c>
      <c r="F1773" s="198" t="s">
        <v>945</v>
      </c>
      <c r="G1773" s="225" t="n">
        <v>2893800</v>
      </c>
      <c r="H1773" s="225" t="n">
        <v>2899412</v>
      </c>
      <c r="I1773" s="225" t="n">
        <v>1838241</v>
      </c>
      <c r="J1773" s="198" t="n">
        <v>23</v>
      </c>
      <c r="K1773" s="198" t="n">
        <v>4</v>
      </c>
      <c r="L1773" s="226" t="n">
        <v>44753</v>
      </c>
      <c r="M1773" s="226" t="n">
        <v>44181</v>
      </c>
      <c r="N1773" s="227" t="n">
        <v>1</v>
      </c>
      <c r="O1773" s="227" t="s">
        <v>135</v>
      </c>
      <c r="P1773" s="228" t="n">
        <f aca="false">VLOOKUP(B1773,'NIVEL ENERO'!A:D,3,0)</f>
        <v>0.406724472673178</v>
      </c>
      <c r="Q1773" s="229" t="n">
        <f aca="false">VLOOKUP(B1773,'NIVEL ENERO'!A:D,4,0)</f>
        <v>54282.6399999999</v>
      </c>
      <c r="R1773" s="186" t="str">
        <f aca="false">+PROPER(C1773&amp;" "&amp;D1773)</f>
        <v>Aguilar Trujillano Yurani Andrea</v>
      </c>
      <c r="S1773" s="230" t="n">
        <f aca="false">+YEARFRAC(L1773,$S$1)</f>
        <v>3.83611111111111</v>
      </c>
      <c r="T1773" s="230" t="n">
        <f aca="false">+YEARFRAC(M1773,$S$1)</f>
        <v>5.40555555555556</v>
      </c>
      <c r="U1773" s="231" t="n">
        <f aca="false">+$I1773</f>
        <v>1838241</v>
      </c>
      <c r="V1773" s="232" t="str">
        <f aca="false">+PROPER(F1773)</f>
        <v>Union Libre</v>
      </c>
    </row>
    <row r="1774" customFormat="false" ht="14.25" hidden="false" customHeight="false" outlineLevel="0" collapsed="false">
      <c r="B1774" s="197" t="n">
        <v>1193439718</v>
      </c>
      <c r="C1774" s="197" t="s">
        <v>3949</v>
      </c>
      <c r="D1774" s="197" t="s">
        <v>1495</v>
      </c>
      <c r="E1774" s="198" t="s">
        <v>944</v>
      </c>
      <c r="F1774" s="198" t="s">
        <v>945</v>
      </c>
      <c r="G1774" s="225" t="n">
        <v>2600900</v>
      </c>
      <c r="H1774" s="225" t="n">
        <v>2370334</v>
      </c>
      <c r="I1774" s="225" t="n">
        <v>1653354</v>
      </c>
      <c r="J1774" s="198" t="n">
        <v>24</v>
      </c>
      <c r="K1774" s="198" t="n">
        <v>1</v>
      </c>
      <c r="L1774" s="226" t="n">
        <v>44305</v>
      </c>
      <c r="M1774" s="226" t="n">
        <v>43314</v>
      </c>
      <c r="N1774" s="227" t="n">
        <v>3</v>
      </c>
      <c r="O1774" s="227" t="s">
        <v>135</v>
      </c>
      <c r="P1774" s="228" t="str">
        <f aca="false">VLOOKUP(B1774,'NIVEL ENERO'!A:D,3,0)</f>
        <v>0</v>
      </c>
      <c r="Q1774" s="229" t="n">
        <f aca="false">VLOOKUP(B1774,'NIVEL ENERO'!A:D,4,0)</f>
        <v>0</v>
      </c>
      <c r="R1774" s="186" t="str">
        <f aca="false">+PROPER(C1774&amp;" "&amp;D1774)</f>
        <v>Ramirez Morales Marlene</v>
      </c>
      <c r="S1774" s="230" t="n">
        <f aca="false">+YEARFRAC(L1774,$S$1)</f>
        <v>5.06388888888889</v>
      </c>
      <c r="T1774" s="230" t="n">
        <f aca="false">+YEARFRAC(M1774,$S$1)</f>
        <v>7.77777777777778</v>
      </c>
      <c r="U1774" s="231" t="n">
        <f aca="false">+$I1774</f>
        <v>1653354</v>
      </c>
      <c r="V1774" s="232" t="str">
        <f aca="false">+PROPER(F1774)</f>
        <v>Union Libre</v>
      </c>
    </row>
    <row r="1775" customFormat="false" ht="14.25" hidden="false" customHeight="false" outlineLevel="0" collapsed="false">
      <c r="B1775" s="197" t="n">
        <v>1193461219</v>
      </c>
      <c r="C1775" s="197" t="s">
        <v>3950</v>
      </c>
      <c r="D1775" s="197" t="s">
        <v>1241</v>
      </c>
      <c r="E1775" s="198" t="s">
        <v>944</v>
      </c>
      <c r="F1775" s="198" t="s">
        <v>953</v>
      </c>
      <c r="G1775" s="225" t="n">
        <v>2600900</v>
      </c>
      <c r="H1775" s="225" t="n">
        <v>1506656</v>
      </c>
      <c r="I1775" s="225" t="n">
        <v>2916410</v>
      </c>
      <c r="J1775" s="198" t="n">
        <v>23</v>
      </c>
      <c r="K1775" s="198" t="n">
        <v>1</v>
      </c>
      <c r="L1775" s="226" t="n">
        <v>44908</v>
      </c>
      <c r="M1775" s="226" t="n">
        <v>44817</v>
      </c>
      <c r="N1775" s="227" t="n">
        <v>0</v>
      </c>
      <c r="O1775" s="227" t="s">
        <v>135</v>
      </c>
      <c r="P1775" s="228" t="n">
        <f aca="false">VLOOKUP(B1775,'NIVEL ENERO'!A:D,3,0)</f>
        <v>0.406450074974047</v>
      </c>
      <c r="Q1775" s="229" t="n">
        <f aca="false">VLOOKUP(B1775,'NIVEL ENERO'!A:D,4,0)</f>
        <v>35242</v>
      </c>
      <c r="R1775" s="186" t="str">
        <f aca="false">+PROPER(C1775&amp;" "&amp;D1775)</f>
        <v>Garces Benavides Diana Carolina</v>
      </c>
      <c r="S1775" s="230" t="n">
        <f aca="false">+YEARFRAC(L1775,$S$1)</f>
        <v>3.41388888888889</v>
      </c>
      <c r="T1775" s="230" t="n">
        <f aca="false">+YEARFRAC(M1775,$S$1)</f>
        <v>3.66388888888889</v>
      </c>
      <c r="U1775" s="231" t="n">
        <f aca="false">+$I1775</f>
        <v>2916410</v>
      </c>
      <c r="V1775" s="232" t="str">
        <f aca="false">+PROPER(F1775)</f>
        <v>Soltero(A)</v>
      </c>
    </row>
    <row r="1776" customFormat="false" ht="14.25" hidden="false" customHeight="false" outlineLevel="0" collapsed="false">
      <c r="B1776" s="197" t="n">
        <v>1193471979</v>
      </c>
      <c r="C1776" s="197" t="s">
        <v>3951</v>
      </c>
      <c r="D1776" s="197" t="s">
        <v>2297</v>
      </c>
      <c r="E1776" s="198" t="s">
        <v>944</v>
      </c>
      <c r="F1776" s="198" t="s">
        <v>953</v>
      </c>
      <c r="G1776" s="225" t="n">
        <v>4335000</v>
      </c>
      <c r="H1776" s="225" t="n">
        <v>200000</v>
      </c>
      <c r="I1776" s="225"/>
      <c r="J1776" s="198" t="n">
        <v>24</v>
      </c>
      <c r="K1776" s="198" t="n">
        <v>1</v>
      </c>
      <c r="L1776" s="226" t="n">
        <v>45615</v>
      </c>
      <c r="M1776" s="226" t="n">
        <v>45325</v>
      </c>
      <c r="N1776" s="227" t="n">
        <v>0</v>
      </c>
      <c r="O1776" s="227" t="s">
        <v>135</v>
      </c>
      <c r="P1776" s="228" t="n">
        <f aca="false">VLOOKUP(B1776,'NIVEL ENERO'!A:D,3,0)</f>
        <v>0.109040745364618</v>
      </c>
      <c r="Q1776" s="229" t="n">
        <f aca="false">VLOOKUP(B1776,'NIVEL ENERO'!A:D,4,0)</f>
        <v>1887504.64</v>
      </c>
      <c r="R1776" s="186" t="str">
        <f aca="false">+PROPER(C1776&amp;" "&amp;D1776)</f>
        <v>Piedrahita Colorado Valentina</v>
      </c>
      <c r="S1776" s="230" t="n">
        <f aca="false">+YEARFRAC(L1776,$S$1)</f>
        <v>1.48055555555556</v>
      </c>
      <c r="T1776" s="230" t="n">
        <f aca="false">+YEARFRAC(M1776,$S$1)</f>
        <v>2.275</v>
      </c>
      <c r="U1776" s="231" t="n">
        <f aca="false">+$I1776</f>
        <v>0</v>
      </c>
      <c r="V1776" s="232" t="str">
        <f aca="false">+PROPER(F1776)</f>
        <v>Soltero(A)</v>
      </c>
    </row>
    <row r="1777" customFormat="false" ht="14.25" hidden="false" customHeight="false" outlineLevel="0" collapsed="false">
      <c r="B1777" s="197" t="n">
        <v>1193485143</v>
      </c>
      <c r="C1777" s="197" t="s">
        <v>3952</v>
      </c>
      <c r="D1777" s="197" t="s">
        <v>2313</v>
      </c>
      <c r="E1777" s="198" t="s">
        <v>944</v>
      </c>
      <c r="F1777" s="198" t="s">
        <v>953</v>
      </c>
      <c r="G1777" s="225" t="n">
        <v>2893800</v>
      </c>
      <c r="H1777" s="225" t="n">
        <v>195000</v>
      </c>
      <c r="I1777" s="225"/>
      <c r="J1777" s="198" t="n">
        <v>24</v>
      </c>
      <c r="K1777" s="198" t="n">
        <v>4</v>
      </c>
      <c r="L1777" s="226" t="n">
        <v>45555</v>
      </c>
      <c r="M1777" s="226" t="n">
        <v>44413</v>
      </c>
      <c r="N1777" s="227" t="n">
        <v>0</v>
      </c>
      <c r="O1777" s="227" t="s">
        <v>135</v>
      </c>
      <c r="P1777" s="228" t="n">
        <f aca="false">VLOOKUP(B1777,'NIVEL ENERO'!A:D,3,0)</f>
        <v>0.0984134428336113</v>
      </c>
      <c r="Q1777" s="229" t="n">
        <f aca="false">VLOOKUP(B1777,'NIVEL ENERO'!A:D,4,0)</f>
        <v>1339872.06</v>
      </c>
      <c r="R1777" s="186" t="str">
        <f aca="false">+PROPER(C1777&amp;" "&amp;D1777)</f>
        <v>Ocampo Garcia Maria Camila</v>
      </c>
      <c r="S1777" s="230" t="n">
        <f aca="false">+YEARFRAC(L1777,$S$1)</f>
        <v>1.64444444444444</v>
      </c>
      <c r="T1777" s="230" t="n">
        <f aca="false">+YEARFRAC(M1777,$S$1)</f>
        <v>4.76944444444445</v>
      </c>
      <c r="U1777" s="231" t="n">
        <f aca="false">+$I1777</f>
        <v>0</v>
      </c>
      <c r="V1777" s="232" t="str">
        <f aca="false">+PROPER(F1777)</f>
        <v>Soltero(A)</v>
      </c>
    </row>
    <row r="1778" customFormat="false" ht="14.25" hidden="false" customHeight="false" outlineLevel="0" collapsed="false">
      <c r="B1778" s="197" t="n">
        <v>1193575066</v>
      </c>
      <c r="C1778" s="197" t="s">
        <v>3953</v>
      </c>
      <c r="D1778" s="197" t="s">
        <v>1281</v>
      </c>
      <c r="E1778" s="198" t="s">
        <v>944</v>
      </c>
      <c r="F1778" s="198" t="s">
        <v>953</v>
      </c>
      <c r="G1778" s="225" t="n">
        <v>1991000</v>
      </c>
      <c r="H1778" s="225" t="n">
        <v>2062239</v>
      </c>
      <c r="I1778" s="225" t="n">
        <v>543435</v>
      </c>
      <c r="J1778" s="198" t="n">
        <v>23</v>
      </c>
      <c r="K1778" s="198" t="n">
        <v>1</v>
      </c>
      <c r="L1778" s="226" t="n">
        <v>44552</v>
      </c>
      <c r="M1778" s="226" t="n">
        <v>44350</v>
      </c>
      <c r="N1778" s="227" t="n">
        <v>3</v>
      </c>
      <c r="O1778" s="227" t="s">
        <v>135</v>
      </c>
      <c r="P1778" s="228" t="n">
        <f aca="false">VLOOKUP(B1778,'NIVEL ENERO'!A:D,3,0)</f>
        <v>0.322640883977901</v>
      </c>
      <c r="Q1778" s="229" t="n">
        <f aca="false">VLOOKUP(B1778,'NIVEL ENERO'!A:D,4,0)</f>
        <v>193842</v>
      </c>
      <c r="R1778" s="186" t="str">
        <f aca="false">+PROPER(C1778&amp;" "&amp;D1778)</f>
        <v>Guerrero Collazos Catalina</v>
      </c>
      <c r="S1778" s="230" t="n">
        <f aca="false">+YEARFRAC(L1778,$S$1)</f>
        <v>4.38888888888889</v>
      </c>
      <c r="T1778" s="230" t="n">
        <f aca="false">+YEARFRAC(M1778,$S$1)</f>
        <v>4.94166666666667</v>
      </c>
      <c r="U1778" s="231" t="n">
        <f aca="false">+$I1778</f>
        <v>543435</v>
      </c>
      <c r="V1778" s="232" t="str">
        <f aca="false">+PROPER(F1778)</f>
        <v>Soltero(A)</v>
      </c>
    </row>
    <row r="1779" customFormat="false" ht="14.25" hidden="false" customHeight="false" outlineLevel="0" collapsed="false">
      <c r="B1779" s="197" t="n">
        <v>1193586630</v>
      </c>
      <c r="C1779" s="197" t="s">
        <v>3954</v>
      </c>
      <c r="D1779" s="197" t="s">
        <v>3955</v>
      </c>
      <c r="E1779" s="198" t="s">
        <v>944</v>
      </c>
      <c r="F1779" s="198" t="s">
        <v>945</v>
      </c>
      <c r="G1779" s="225" t="n">
        <v>1828100</v>
      </c>
      <c r="H1779" s="225" t="n">
        <v>325000</v>
      </c>
      <c r="I1779" s="225"/>
      <c r="J1779" s="198" t="n">
        <v>21</v>
      </c>
      <c r="K1779" s="198" t="n">
        <v>2</v>
      </c>
      <c r="L1779" s="226" t="n">
        <v>45520</v>
      </c>
      <c r="M1779" s="226" t="n">
        <v>45313</v>
      </c>
      <c r="N1779" s="227" t="n">
        <v>0</v>
      </c>
      <c r="O1779" s="227" t="s">
        <v>135</v>
      </c>
      <c r="P1779" s="228" t="n">
        <f aca="false">VLOOKUP(B1779,'NIVEL ENERO'!A:D,3,0)</f>
        <v>0.349249034516711</v>
      </c>
      <c r="Q1779" s="229" t="n">
        <f aca="false">VLOOKUP(B1779,'NIVEL ENERO'!A:D,4,0)</f>
        <v>307952</v>
      </c>
      <c r="R1779" s="186" t="str">
        <f aca="false">+PROPER(C1779&amp;" "&amp;D1779)</f>
        <v>Moreno Melo Gisel Daniela</v>
      </c>
      <c r="S1779" s="230" t="n">
        <f aca="false">+YEARFRAC(L1779,$S$1)</f>
        <v>1.73888888888889</v>
      </c>
      <c r="T1779" s="230" t="n">
        <f aca="false">+YEARFRAC(M1779,$S$1)</f>
        <v>2.30555555555556</v>
      </c>
      <c r="U1779" s="231" t="n">
        <f aca="false">+$I1779</f>
        <v>0</v>
      </c>
      <c r="V1779" s="232" t="str">
        <f aca="false">+PROPER(F1779)</f>
        <v>Union Libre</v>
      </c>
    </row>
    <row r="1780" customFormat="false" ht="14.25" hidden="false" customHeight="false" outlineLevel="0" collapsed="false">
      <c r="B1780" s="197" t="n">
        <v>1193595791</v>
      </c>
      <c r="C1780" s="197" t="s">
        <v>3956</v>
      </c>
      <c r="D1780" s="197" t="s">
        <v>1355</v>
      </c>
      <c r="E1780" s="198" t="s">
        <v>944</v>
      </c>
      <c r="F1780" s="198" t="s">
        <v>953</v>
      </c>
      <c r="G1780" s="225" t="n">
        <v>2893800</v>
      </c>
      <c r="H1780" s="225" t="n">
        <v>1901827</v>
      </c>
      <c r="I1780" s="225"/>
      <c r="J1780" s="242" t="n">
        <v>25</v>
      </c>
      <c r="K1780" s="242" t="n">
        <v>4</v>
      </c>
      <c r="L1780" s="226" t="n">
        <v>45096</v>
      </c>
      <c r="M1780" s="226" t="n">
        <v>43806</v>
      </c>
      <c r="N1780" s="227" t="n">
        <v>0</v>
      </c>
      <c r="O1780" s="227" t="s">
        <v>135</v>
      </c>
      <c r="P1780" s="228" t="n">
        <f aca="false">VLOOKUP(B1780,'NIVEL ENERO'!A:D,3,0)</f>
        <v>0.117622547358752</v>
      </c>
      <c r="Q1780" s="229" t="n">
        <f aca="false">VLOOKUP(B1780,'NIVEL ENERO'!A:D,4,0)</f>
        <v>1285138.04</v>
      </c>
      <c r="R1780" s="186" t="str">
        <f aca="false">+PROPER(C1780&amp;" "&amp;D1780)</f>
        <v>Cumbe Torres Angelica Maria</v>
      </c>
      <c r="S1780" s="230" t="n">
        <f aca="false">+YEARFRAC(L1780,$S$1)</f>
        <v>2.89722222222222</v>
      </c>
      <c r="T1780" s="230" t="n">
        <f aca="false">+YEARFRAC(M1780,$S$1)</f>
        <v>6.43055555555556</v>
      </c>
      <c r="U1780" s="231" t="n">
        <f aca="false">+$I1780</f>
        <v>0</v>
      </c>
      <c r="V1780" s="232" t="str">
        <f aca="false">+PROPER(F1780)</f>
        <v>Soltero(A)</v>
      </c>
    </row>
    <row r="1781" customFormat="false" ht="14.25" hidden="false" customHeight="false" outlineLevel="0" collapsed="false">
      <c r="B1781" s="197" t="n">
        <v>1234188409</v>
      </c>
      <c r="C1781" s="197" t="s">
        <v>3957</v>
      </c>
      <c r="D1781" s="197" t="s">
        <v>1527</v>
      </c>
      <c r="E1781" s="198" t="s">
        <v>944</v>
      </c>
      <c r="F1781" s="198" t="s">
        <v>953</v>
      </c>
      <c r="G1781" s="225" t="n">
        <v>2893800</v>
      </c>
      <c r="H1781" s="225" t="n">
        <v>2405675</v>
      </c>
      <c r="I1781" s="225" t="n">
        <v>0</v>
      </c>
      <c r="J1781" s="198" t="n">
        <v>27</v>
      </c>
      <c r="K1781" s="198" t="n">
        <v>1</v>
      </c>
      <c r="L1781" s="226" t="n">
        <v>44936</v>
      </c>
      <c r="M1781" s="226" t="n">
        <v>43327</v>
      </c>
      <c r="N1781" s="227" t="n">
        <v>0</v>
      </c>
      <c r="O1781" s="227" t="s">
        <v>135</v>
      </c>
      <c r="P1781" s="228" t="n">
        <f aca="false">VLOOKUP(B1781,'NIVEL ENERO'!A:D,3,0)</f>
        <v>0.479789143317383</v>
      </c>
      <c r="Q1781" s="229" t="n">
        <f aca="false">VLOOKUP(B1781,'NIVEL ENERO'!A:D,4,0)</f>
        <v>-228045.04</v>
      </c>
      <c r="R1781" s="186" t="str">
        <f aca="false">+PROPER(C1781&amp;" "&amp;D1781)</f>
        <v>Diaz Anacona Alejandra</v>
      </c>
      <c r="S1781" s="230" t="n">
        <f aca="false">+YEARFRAC(L1781,$S$1)</f>
        <v>3.33888888888889</v>
      </c>
      <c r="T1781" s="230" t="n">
        <f aca="false">+YEARFRAC(M1781,$S$1)</f>
        <v>7.74166666666667</v>
      </c>
      <c r="U1781" s="231" t="n">
        <f aca="false">+$I1781</f>
        <v>0</v>
      </c>
      <c r="V1781" s="232" t="str">
        <f aca="false">+PROPER(F1781)</f>
        <v>Soltero(A)</v>
      </c>
    </row>
    <row r="1782" customFormat="false" ht="14.25" hidden="false" customHeight="false" outlineLevel="0" collapsed="false">
      <c r="B1782" s="197" t="n">
        <v>1234189691</v>
      </c>
      <c r="C1782" s="197" t="s">
        <v>3958</v>
      </c>
      <c r="D1782" s="197" t="s">
        <v>3959</v>
      </c>
      <c r="E1782" s="198" t="s">
        <v>944</v>
      </c>
      <c r="F1782" s="198" t="s">
        <v>953</v>
      </c>
      <c r="G1782" s="225" t="n">
        <v>2600900</v>
      </c>
      <c r="H1782" s="225" t="n">
        <v>1600537</v>
      </c>
      <c r="I1782" s="225" t="n">
        <v>1145924</v>
      </c>
      <c r="J1782" s="198" t="n">
        <v>27</v>
      </c>
      <c r="K1782" s="198" t="n">
        <v>2</v>
      </c>
      <c r="L1782" s="226" t="n">
        <v>45190</v>
      </c>
      <c r="M1782" s="226" t="n">
        <v>44963</v>
      </c>
      <c r="N1782" s="227" t="n">
        <v>0</v>
      </c>
      <c r="O1782" s="227" t="s">
        <v>135</v>
      </c>
      <c r="P1782" s="228" t="n">
        <f aca="false">VLOOKUP(B1782,'NIVEL ENERO'!A:D,3,0)</f>
        <v>0.372874271821823</v>
      </c>
      <c r="Q1782" s="229" t="n">
        <f aca="false">VLOOKUP(B1782,'NIVEL ENERO'!A:D,4,0)</f>
        <v>121207.42</v>
      </c>
      <c r="R1782" s="186" t="str">
        <f aca="false">+PROPER(C1782&amp;" "&amp;D1782)</f>
        <v>Castano Lopez Ana Sofia</v>
      </c>
      <c r="S1782" s="230" t="n">
        <f aca="false">+YEARFRAC(L1782,$S$1)</f>
        <v>2.64166666666667</v>
      </c>
      <c r="T1782" s="230" t="n">
        <f aca="false">+YEARFRAC(M1782,$S$1)</f>
        <v>3.26666666666667</v>
      </c>
      <c r="U1782" s="231" t="n">
        <f aca="false">+$I1782</f>
        <v>1145924</v>
      </c>
      <c r="V1782" s="232" t="str">
        <f aca="false">+PROPER(F1782)</f>
        <v>Soltero(A)</v>
      </c>
    </row>
    <row r="1783" customFormat="false" ht="14.25" hidden="false" customHeight="false" outlineLevel="0" collapsed="false">
      <c r="B1783" s="197" t="n">
        <v>1234191313</v>
      </c>
      <c r="C1783" s="197" t="s">
        <v>3960</v>
      </c>
      <c r="D1783" s="197" t="s">
        <v>2297</v>
      </c>
      <c r="E1783" s="198" t="s">
        <v>944</v>
      </c>
      <c r="F1783" s="198" t="s">
        <v>953</v>
      </c>
      <c r="G1783" s="225" t="n">
        <v>2600900</v>
      </c>
      <c r="H1783" s="225" t="n">
        <v>1299746</v>
      </c>
      <c r="I1783" s="225" t="n">
        <v>3863662</v>
      </c>
      <c r="J1783" s="198" t="n">
        <v>26</v>
      </c>
      <c r="K1783" s="198" t="n">
        <v>1</v>
      </c>
      <c r="L1783" s="226" t="n">
        <v>45020</v>
      </c>
      <c r="M1783" s="226" t="n">
        <v>44096</v>
      </c>
      <c r="N1783" s="227" t="n">
        <v>1</v>
      </c>
      <c r="O1783" s="227" t="s">
        <v>135</v>
      </c>
      <c r="P1783" s="228" t="n">
        <f aca="false">VLOOKUP(B1783,'NIVEL ENERO'!A:D,3,0)</f>
        <v>0.264853917485873</v>
      </c>
      <c r="Q1783" s="229" t="n">
        <f aca="false">VLOOKUP(B1783,'NIVEL ENERO'!A:D,4,0)</f>
        <v>526329.62</v>
      </c>
      <c r="R1783" s="186" t="str">
        <f aca="false">+PROPER(C1783&amp;" "&amp;D1783)</f>
        <v>Restrepo Perea Valentina</v>
      </c>
      <c r="S1783" s="230" t="n">
        <f aca="false">+YEARFRAC(L1783,$S$1)</f>
        <v>3.10555555555556</v>
      </c>
      <c r="T1783" s="230" t="n">
        <f aca="false">+YEARFRAC(M1783,$S$1)</f>
        <v>5.63888888888889</v>
      </c>
      <c r="U1783" s="231" t="n">
        <f aca="false">+$I1783</f>
        <v>3863662</v>
      </c>
      <c r="V1783" s="232" t="str">
        <f aca="false">+PROPER(F1783)</f>
        <v>Soltero(A)</v>
      </c>
    </row>
    <row r="1784" customFormat="false" ht="14.25" hidden="false" customHeight="false" outlineLevel="0" collapsed="false">
      <c r="B1784" s="197" t="n">
        <v>1234191678</v>
      </c>
      <c r="C1784" s="197" t="s">
        <v>3961</v>
      </c>
      <c r="D1784" s="197" t="s">
        <v>3962</v>
      </c>
      <c r="E1784" s="198" t="s">
        <v>944</v>
      </c>
      <c r="F1784" s="198" t="s">
        <v>953</v>
      </c>
      <c r="G1784" s="225" t="n">
        <v>2893800</v>
      </c>
      <c r="H1784" s="225" t="n">
        <v>500000</v>
      </c>
      <c r="I1784" s="225" t="n">
        <v>5837278</v>
      </c>
      <c r="J1784" s="198" t="n">
        <v>26</v>
      </c>
      <c r="K1784" s="198" t="n">
        <v>1</v>
      </c>
      <c r="L1784" s="226" t="n">
        <v>45519</v>
      </c>
      <c r="M1784" s="226" t="n">
        <v>44337</v>
      </c>
      <c r="N1784" s="227" t="n">
        <v>0</v>
      </c>
      <c r="O1784" s="227" t="s">
        <v>135</v>
      </c>
      <c r="P1784" s="228" t="n">
        <f aca="false">VLOOKUP(B1784,'NIVEL ENERO'!A:D,3,0)</f>
        <v>0.256756897396246</v>
      </c>
      <c r="Q1784" s="229" t="n">
        <f aca="false">VLOOKUP(B1784,'NIVEL ENERO'!A:D,4,0)</f>
        <v>481019.2</v>
      </c>
      <c r="R1784" s="186" t="str">
        <f aca="false">+PROPER(C1784&amp;" "&amp;D1784)</f>
        <v>Rojas Charry Juan Felipe</v>
      </c>
      <c r="S1784" s="230" t="n">
        <f aca="false">+YEARFRAC(L1784,$S$1)</f>
        <v>1.74166666666667</v>
      </c>
      <c r="T1784" s="230" t="n">
        <f aca="false">+YEARFRAC(M1784,$S$1)</f>
        <v>4.975</v>
      </c>
      <c r="U1784" s="231" t="n">
        <f aca="false">+$I1784</f>
        <v>5837278</v>
      </c>
      <c r="V1784" s="232" t="str">
        <f aca="false">+PROPER(F1784)</f>
        <v>Soltero(A)</v>
      </c>
    </row>
    <row r="1785" customFormat="false" ht="14.25" hidden="false" customHeight="false" outlineLevel="0" collapsed="false">
      <c r="B1785" s="197" t="n">
        <v>1234193404</v>
      </c>
      <c r="C1785" s="197" t="s">
        <v>3963</v>
      </c>
      <c r="D1785" s="197" t="s">
        <v>3964</v>
      </c>
      <c r="E1785" s="198" t="s">
        <v>944</v>
      </c>
      <c r="F1785" s="198" t="s">
        <v>953</v>
      </c>
      <c r="G1785" s="225" t="n">
        <v>2893800</v>
      </c>
      <c r="H1785" s="225" t="n">
        <v>6167648</v>
      </c>
      <c r="I1785" s="225" t="n">
        <v>5014895</v>
      </c>
      <c r="J1785" s="198" t="n">
        <v>26</v>
      </c>
      <c r="K1785" s="198" t="n">
        <v>1</v>
      </c>
      <c r="L1785" s="226" t="n">
        <v>44725</v>
      </c>
      <c r="M1785" s="226" t="n">
        <v>44107</v>
      </c>
      <c r="N1785" s="227" t="n">
        <v>3</v>
      </c>
      <c r="O1785" s="227" t="s">
        <v>135</v>
      </c>
      <c r="P1785" s="228" t="n">
        <f aca="false">VLOOKUP(B1785,'NIVEL ENERO'!A:D,3,0)</f>
        <v>0.189539588457311</v>
      </c>
      <c r="Q1785" s="229" t="n">
        <f aca="false">VLOOKUP(B1785,'NIVEL ENERO'!A:D,4,0)</f>
        <v>1147534.6</v>
      </c>
      <c r="R1785" s="186" t="str">
        <f aca="false">+PROPER(C1785&amp;" "&amp;D1785)</f>
        <v>Galindo Espinosa Gisell Natalia</v>
      </c>
      <c r="S1785" s="230" t="n">
        <f aca="false">+YEARFRAC(L1785,$S$1)</f>
        <v>3.91388888888889</v>
      </c>
      <c r="T1785" s="230" t="n">
        <f aca="false">+YEARFRAC(M1785,$S$1)</f>
        <v>5.60833333333333</v>
      </c>
      <c r="U1785" s="231" t="n">
        <f aca="false">+$I1785</f>
        <v>5014895</v>
      </c>
      <c r="V1785" s="232" t="str">
        <f aca="false">+PROPER(F1785)</f>
        <v>Soltero(A)</v>
      </c>
    </row>
    <row r="1786" customFormat="false" ht="14.25" hidden="false" customHeight="false" outlineLevel="0" collapsed="false">
      <c r="B1786" s="197" t="n">
        <v>1234196269</v>
      </c>
      <c r="C1786" s="197" t="s">
        <v>3965</v>
      </c>
      <c r="D1786" s="197" t="s">
        <v>3966</v>
      </c>
      <c r="E1786" s="198" t="s">
        <v>944</v>
      </c>
      <c r="F1786" s="198" t="s">
        <v>945</v>
      </c>
      <c r="G1786" s="225" t="n">
        <v>2600900</v>
      </c>
      <c r="H1786" s="225" t="n">
        <v>6730643</v>
      </c>
      <c r="I1786" s="225" t="n">
        <v>1293499</v>
      </c>
      <c r="J1786" s="198" t="n">
        <v>25</v>
      </c>
      <c r="K1786" s="198" t="n">
        <v>1</v>
      </c>
      <c r="L1786" s="226" t="n">
        <v>43025</v>
      </c>
      <c r="M1786" s="226" t="n">
        <v>42903</v>
      </c>
      <c r="N1786" s="227" t="n">
        <v>2</v>
      </c>
      <c r="O1786" s="227" t="s">
        <v>135</v>
      </c>
      <c r="P1786" s="228" t="n">
        <f aca="false">VLOOKUP(B1786,'NIVEL ENERO'!A:D,3,0)</f>
        <v>0.182201603428019</v>
      </c>
      <c r="Q1786" s="229" t="n">
        <f aca="false">VLOOKUP(B1786,'NIVEL ENERO'!A:D,4,0)</f>
        <v>688141</v>
      </c>
      <c r="R1786" s="186" t="str">
        <f aca="false">+PROPER(C1786&amp;" "&amp;D1786)</f>
        <v>Galindez Pipicano Ingrith Camila</v>
      </c>
      <c r="S1786" s="230" t="n">
        <f aca="false">+YEARFRAC(L1786,$S$1)</f>
        <v>8.56944444444445</v>
      </c>
      <c r="T1786" s="230" t="n">
        <f aca="false">+YEARFRAC(M1786,$S$1)</f>
        <v>8.90277777777778</v>
      </c>
      <c r="U1786" s="231" t="n">
        <f aca="false">+$I1786</f>
        <v>1293499</v>
      </c>
      <c r="V1786" s="232" t="str">
        <f aca="false">+PROPER(F1786)</f>
        <v>Union Libre</v>
      </c>
    </row>
    <row r="1787" customFormat="false" ht="14.25" hidden="false" customHeight="false" outlineLevel="0" collapsed="false">
      <c r="B1787" s="197" t="n">
        <v>1234197111</v>
      </c>
      <c r="C1787" s="197" t="s">
        <v>3967</v>
      </c>
      <c r="D1787" s="197" t="s">
        <v>2297</v>
      </c>
      <c r="E1787" s="198" t="s">
        <v>944</v>
      </c>
      <c r="F1787" s="198" t="s">
        <v>953</v>
      </c>
      <c r="G1787" s="225" t="n">
        <v>2893800</v>
      </c>
      <c r="H1787" s="225" t="n">
        <v>797215</v>
      </c>
      <c r="I1787" s="225" t="n">
        <v>1500000</v>
      </c>
      <c r="J1787" s="198" t="n">
        <v>25</v>
      </c>
      <c r="K1787" s="198" t="n">
        <v>2</v>
      </c>
      <c r="L1787" s="226" t="n">
        <v>45414</v>
      </c>
      <c r="M1787" s="226" t="n">
        <v>44691</v>
      </c>
      <c r="N1787" s="227" t="n">
        <v>0</v>
      </c>
      <c r="O1787" s="227" t="s">
        <v>135</v>
      </c>
      <c r="P1787" s="228" t="n">
        <f aca="false">VLOOKUP(B1787,'NIVEL ENERO'!A:D,3,0)</f>
        <v>0.125101666707412</v>
      </c>
      <c r="Q1787" s="229" t="n">
        <f aca="false">VLOOKUP(B1787,'NIVEL ENERO'!A:D,4,0)</f>
        <v>956968.88</v>
      </c>
      <c r="R1787" s="186" t="str">
        <f aca="false">+PROPER(C1787&amp;" "&amp;D1787)</f>
        <v>Trujillo Andrade Valentina</v>
      </c>
      <c r="S1787" s="230" t="n">
        <f aca="false">+YEARFRAC(L1787,$S$1)</f>
        <v>2.02777777777778</v>
      </c>
      <c r="T1787" s="230" t="n">
        <f aca="false">+YEARFRAC(M1787,$S$1)</f>
        <v>4.00555555555556</v>
      </c>
      <c r="U1787" s="231" t="n">
        <f aca="false">+$I1787</f>
        <v>1500000</v>
      </c>
      <c r="V1787" s="232" t="str">
        <f aca="false">+PROPER(F1787)</f>
        <v>Soltero(A)</v>
      </c>
    </row>
    <row r="1788" customFormat="false" ht="14.25" hidden="false" customHeight="false" outlineLevel="0" collapsed="false">
      <c r="B1788" s="242" t="n">
        <v>1234197935</v>
      </c>
      <c r="C1788" s="197" t="s">
        <v>3968</v>
      </c>
      <c r="D1788" s="197" t="s">
        <v>3969</v>
      </c>
      <c r="E1788" s="198" t="s">
        <v>944</v>
      </c>
      <c r="F1788" s="242" t="s">
        <v>945</v>
      </c>
      <c r="G1788" s="225" t="n">
        <v>2600900</v>
      </c>
      <c r="H1788" s="225" t="n">
        <v>1296808</v>
      </c>
      <c r="I1788" s="225" t="n">
        <v>1412726</v>
      </c>
      <c r="J1788" s="198" t="n">
        <v>25</v>
      </c>
      <c r="K1788" s="198" t="n">
        <v>2</v>
      </c>
      <c r="L1788" s="226" t="n">
        <v>45027</v>
      </c>
      <c r="M1788" s="226" t="n">
        <v>44901</v>
      </c>
      <c r="N1788" s="227" t="n">
        <v>0</v>
      </c>
      <c r="O1788" s="227" t="s">
        <v>135</v>
      </c>
      <c r="P1788" s="228" t="n">
        <f aca="false">VLOOKUP(B1788,'NIVEL ENERO'!A:D,3,0)</f>
        <v>0.210618632011996</v>
      </c>
      <c r="Q1788" s="229" t="n">
        <f aca="false">VLOOKUP(B1788,'NIVEL ENERO'!A:D,4,0)</f>
        <v>544580</v>
      </c>
      <c r="R1788" s="186" t="str">
        <f aca="false">+PROPER(C1788&amp;" "&amp;D1788)</f>
        <v>Valencia Otero Alisson Dahiana</v>
      </c>
      <c r="S1788" s="230" t="n">
        <f aca="false">+YEARFRAC(L1788,$S$1)</f>
        <v>3.08611111111111</v>
      </c>
      <c r="T1788" s="230" t="n">
        <f aca="false">+YEARFRAC(M1788,$S$1)</f>
        <v>3.43333333333333</v>
      </c>
      <c r="U1788" s="231" t="n">
        <f aca="false">+$I1788</f>
        <v>1412726</v>
      </c>
      <c r="V1788" s="232" t="str">
        <f aca="false">+PROPER(F1788)</f>
        <v>Union Libre</v>
      </c>
    </row>
    <row r="1789" customFormat="false" ht="14.25" hidden="false" customHeight="false" outlineLevel="0" collapsed="false">
      <c r="B1789" s="197" t="n">
        <v>1151968713</v>
      </c>
      <c r="C1789" s="197" t="s">
        <v>3920</v>
      </c>
      <c r="D1789" s="197" t="s">
        <v>3921</v>
      </c>
      <c r="E1789" s="198" t="s">
        <v>944</v>
      </c>
      <c r="F1789" s="198" t="s">
        <v>953</v>
      </c>
      <c r="G1789" s="225" t="n">
        <f aca="false">VLOOKUP(B1789,'NIVEL ENERO'!A:F,4,0)</f>
        <v>1195953.08</v>
      </c>
      <c r="H1789" s="225" t="n">
        <v>1297164</v>
      </c>
      <c r="I1789" s="225" t="n">
        <v>412384</v>
      </c>
      <c r="J1789" s="198" t="n">
        <v>25</v>
      </c>
      <c r="K1789" s="198" t="n">
        <v>1</v>
      </c>
      <c r="L1789" s="226" t="n">
        <v>43718</v>
      </c>
      <c r="M1789" s="226" t="n">
        <f aca="false">VLOOKUP(B1789,'NIVEL ENERO'!A:F,3,0)</f>
        <v>0.140919951754905</v>
      </c>
      <c r="N1789" s="227" t="n">
        <v>3</v>
      </c>
      <c r="O1789" s="227" t="s">
        <v>135</v>
      </c>
      <c r="P1789" s="228" t="n">
        <f aca="false">VLOOKUP(B1789,'NIVEL ENERO'!A:D,3,0)</f>
        <v>0.140919951754905</v>
      </c>
      <c r="Q1789" s="229" t="n">
        <f aca="false">VLOOKUP(B1789,'NIVEL ENERO'!A:D,4,0)</f>
        <v>1195953.08</v>
      </c>
      <c r="R1789" s="186" t="str">
        <f aca="false">+PROPER(C1789&amp;" "&amp;D1789)</f>
        <v>Menza Triana Lizbet Tatiana</v>
      </c>
      <c r="S1789" s="230" t="n">
        <f aca="false">+YEARFRAC(L1789,$S$1)</f>
        <v>6.67222222222222</v>
      </c>
      <c r="T1789" s="230" t="n">
        <f aca="false">+YEARFRAC(M1789,$S$1)</f>
        <v>126.366666666667</v>
      </c>
      <c r="U1789" s="231" t="n">
        <f aca="false">+$I1789</f>
        <v>412384</v>
      </c>
      <c r="V1789" s="232" t="str">
        <f aca="false">+PROPER(F1789)</f>
        <v>Soltero(A)</v>
      </c>
    </row>
    <row r="1790" customFormat="false" ht="14.25" hidden="false" customHeight="false" outlineLevel="0" collapsed="false">
      <c r="B1790" s="197" t="n">
        <v>1151969735</v>
      </c>
      <c r="C1790" s="197" t="s">
        <v>3922</v>
      </c>
      <c r="D1790" s="197" t="s">
        <v>1661</v>
      </c>
      <c r="E1790" s="198" t="s">
        <v>944</v>
      </c>
      <c r="F1790" s="198" t="s">
        <v>945</v>
      </c>
      <c r="G1790" s="225" t="n">
        <f aca="false">VLOOKUP(B1790,'NIVEL ENERO'!A:F,4,0)</f>
        <v>-56805</v>
      </c>
      <c r="H1790" s="225" t="n">
        <v>1297164</v>
      </c>
      <c r="I1790" s="225" t="n">
        <v>2387382</v>
      </c>
      <c r="J1790" s="198" t="n">
        <v>25</v>
      </c>
      <c r="K1790" s="198" t="n">
        <v>4</v>
      </c>
      <c r="L1790" s="226" t="n">
        <v>44886</v>
      </c>
      <c r="M1790" s="226" t="n">
        <f aca="false">VLOOKUP(B1790,'NIVEL ENERO'!A:F,3,0)</f>
        <v>0.432435809225958</v>
      </c>
      <c r="N1790" s="227" t="n">
        <v>0</v>
      </c>
      <c r="O1790" s="227" t="s">
        <v>135</v>
      </c>
      <c r="P1790" s="228" t="n">
        <f aca="false">VLOOKUP(B1790,'NIVEL ENERO'!A:D,3,0)</f>
        <v>0.432435809225958</v>
      </c>
      <c r="Q1790" s="229" t="n">
        <f aca="false">VLOOKUP(B1790,'NIVEL ENERO'!A:D,4,0)</f>
        <v>-56805</v>
      </c>
      <c r="R1790" s="186" t="str">
        <f aca="false">+PROPER(C1790&amp;" "&amp;D1790)</f>
        <v>Angulo Preciado Maria Alejandra</v>
      </c>
      <c r="S1790" s="230" t="n">
        <f aca="false">+YEARFRAC(L1790,$S$1)</f>
        <v>3.475</v>
      </c>
      <c r="T1790" s="230" t="n">
        <f aca="false">+YEARFRAC(M1790,$S$1)</f>
        <v>126.366666666667</v>
      </c>
      <c r="U1790" s="231" t="n">
        <f aca="false">+$I1790</f>
        <v>2387382</v>
      </c>
      <c r="V1790" s="232" t="str">
        <f aca="false">+PROPER(F1790)</f>
        <v>Union Libre</v>
      </c>
    </row>
    <row r="1791" customFormat="false" ht="14.25" hidden="false" customHeight="false" outlineLevel="0" collapsed="false">
      <c r="B1791" s="197" t="n">
        <v>1152443072</v>
      </c>
      <c r="C1791" s="197" t="s">
        <v>3923</v>
      </c>
      <c r="D1791" s="197" t="s">
        <v>3610</v>
      </c>
      <c r="E1791" s="198" t="s">
        <v>944</v>
      </c>
      <c r="F1791" s="198" t="s">
        <v>953</v>
      </c>
      <c r="G1791" s="225" t="n">
        <f aca="false">VLOOKUP(B1791,'NIVEL ENERO'!A:F,4,0)</f>
        <v>2006757</v>
      </c>
      <c r="H1791" s="225" t="n">
        <v>5055819</v>
      </c>
      <c r="I1791" s="225" t="n">
        <v>0</v>
      </c>
      <c r="J1791" s="198" t="n">
        <v>32</v>
      </c>
      <c r="K1791" s="198" t="n">
        <v>2</v>
      </c>
      <c r="L1791" s="226" t="n">
        <v>44154</v>
      </c>
      <c r="M1791" s="226" t="n">
        <f aca="false">VLOOKUP(B1791,'NIVEL ENERO'!A:F,3,0)</f>
        <v>0.116992661714079</v>
      </c>
      <c r="N1791" s="227" t="n">
        <v>3</v>
      </c>
      <c r="O1791" s="227" t="s">
        <v>3970</v>
      </c>
      <c r="P1791" s="228" t="n">
        <f aca="false">VLOOKUP(B1791,'NIVEL ENERO'!A:D,3,0)</f>
        <v>0.116992661714079</v>
      </c>
      <c r="Q1791" s="229" t="n">
        <f aca="false">VLOOKUP(B1791,'NIVEL ENERO'!A:D,4,0)</f>
        <v>2006757</v>
      </c>
      <c r="R1791" s="186" t="str">
        <f aca="false">+PROPER(C1791&amp;" "&amp;D1791)</f>
        <v>Henao Pelaez Jessica Natalia</v>
      </c>
      <c r="S1791" s="230" t="n">
        <f aca="false">+YEARFRAC(L1791,$S$1)</f>
        <v>5.48055555555556</v>
      </c>
      <c r="T1791" s="230" t="n">
        <f aca="false">+YEARFRAC(M1791,$S$1)</f>
        <v>126.366666666667</v>
      </c>
      <c r="U1791" s="231" t="n">
        <f aca="false">+$I1791</f>
        <v>0</v>
      </c>
      <c r="V1791" s="232" t="str">
        <f aca="false">+PROPER(F1791)</f>
        <v>Soltero(A)</v>
      </c>
    </row>
    <row r="1792" customFormat="false" ht="14.25" hidden="false" customHeight="false" outlineLevel="0" collapsed="false">
      <c r="B1792" s="197" t="n">
        <v>1152458312</v>
      </c>
      <c r="C1792" s="197" t="s">
        <v>3924</v>
      </c>
      <c r="D1792" s="197" t="s">
        <v>1267</v>
      </c>
      <c r="E1792" s="198" t="s">
        <v>944</v>
      </c>
      <c r="F1792" s="198" t="s">
        <v>953</v>
      </c>
      <c r="G1792" s="225" t="n">
        <f aca="false">VLOOKUP(B1792,'NIVEL ENERO'!A:F,4,0)</f>
        <v>1972178</v>
      </c>
      <c r="H1792" s="225" t="n">
        <v>7835296</v>
      </c>
      <c r="I1792" s="225"/>
      <c r="J1792" s="198" t="n">
        <v>28</v>
      </c>
      <c r="K1792" s="198" t="n">
        <v>4</v>
      </c>
      <c r="L1792" s="226" t="n">
        <v>44754</v>
      </c>
      <c r="M1792" s="226" t="n">
        <f aca="false">VLOOKUP(B1792,'NIVEL ENERO'!A:F,3,0)</f>
        <v>0.158836257697146</v>
      </c>
      <c r="N1792" s="227" t="n">
        <v>1</v>
      </c>
      <c r="O1792" s="227" t="s">
        <v>135</v>
      </c>
      <c r="P1792" s="228" t="n">
        <f aca="false">VLOOKUP(B1792,'NIVEL ENERO'!A:D,3,0)</f>
        <v>0.158836257697146</v>
      </c>
      <c r="Q1792" s="229" t="n">
        <f aca="false">VLOOKUP(B1792,'NIVEL ENERO'!A:D,4,0)</f>
        <v>1972178</v>
      </c>
      <c r="R1792" s="186" t="str">
        <f aca="false">+PROPER(C1792&amp;" "&amp;D1792)</f>
        <v>Arboleda Caicedo Ana Maria</v>
      </c>
      <c r="S1792" s="230" t="n">
        <f aca="false">+YEARFRAC(L1792,$S$1)</f>
        <v>3.83333333333333</v>
      </c>
      <c r="T1792" s="230" t="n">
        <f aca="false">+YEARFRAC(M1792,$S$1)</f>
        <v>126.366666666667</v>
      </c>
      <c r="U1792" s="231" t="n">
        <f aca="false">+$I1792</f>
        <v>0</v>
      </c>
      <c r="V1792" s="232" t="str">
        <f aca="false">+PROPER(F1792)</f>
        <v>Soltero(A)</v>
      </c>
    </row>
    <row r="1793" customFormat="false" ht="14.25" hidden="false" customHeight="false" outlineLevel="0" collapsed="false">
      <c r="B1793" s="197" t="n">
        <v>1192747716</v>
      </c>
      <c r="C1793" s="197" t="s">
        <v>3925</v>
      </c>
      <c r="D1793" s="197" t="s">
        <v>3926</v>
      </c>
      <c r="E1793" s="198" t="s">
        <v>944</v>
      </c>
      <c r="F1793" s="198" t="s">
        <v>945</v>
      </c>
      <c r="G1793" s="225" t="n">
        <f aca="false">VLOOKUP(B1793,'NIVEL ENERO'!A:F,4,0)</f>
        <v>9997</v>
      </c>
      <c r="H1793" s="225" t="n">
        <v>2004268</v>
      </c>
      <c r="I1793" s="225" t="n">
        <v>1918867</v>
      </c>
      <c r="J1793" s="198" t="n">
        <v>24</v>
      </c>
      <c r="K1793" s="198" t="s">
        <v>1533</v>
      </c>
      <c r="L1793" s="226" t="n">
        <v>44399</v>
      </c>
      <c r="M1793" s="226" t="n">
        <f aca="false">VLOOKUP(B1793,'NIVEL ENERO'!A:F,3,0)</f>
        <v>0.417843211989587</v>
      </c>
      <c r="N1793" s="227" t="n">
        <v>2</v>
      </c>
      <c r="O1793" s="227" t="s">
        <v>135</v>
      </c>
      <c r="P1793" s="228" t="n">
        <f aca="false">VLOOKUP(B1793,'NIVEL ENERO'!A:D,3,0)</f>
        <v>0.417843211989587</v>
      </c>
      <c r="Q1793" s="229" t="n">
        <f aca="false">VLOOKUP(B1793,'NIVEL ENERO'!A:D,4,0)</f>
        <v>9997</v>
      </c>
      <c r="R1793" s="186" t="str">
        <f aca="false">+PROPER(C1793&amp;" "&amp;D1793)</f>
        <v>Osorio Murillo Karen Natalia</v>
      </c>
      <c r="S1793" s="230" t="n">
        <f aca="false">+YEARFRAC(L1793,$S$1)</f>
        <v>4.80555555555556</v>
      </c>
      <c r="T1793" s="230" t="n">
        <f aca="false">+YEARFRAC(M1793,$S$1)</f>
        <v>126.366666666667</v>
      </c>
      <c r="U1793" s="231" t="n">
        <f aca="false">+$I1793</f>
        <v>1918867</v>
      </c>
      <c r="V1793" s="232" t="str">
        <f aca="false">+PROPER(F1793)</f>
        <v>Union Libre</v>
      </c>
    </row>
    <row r="1794" customFormat="false" ht="14.25" hidden="false" customHeight="false" outlineLevel="0" collapsed="false">
      <c r="B1794" s="197" t="n">
        <v>1192766509</v>
      </c>
      <c r="C1794" s="197" t="s">
        <v>3927</v>
      </c>
      <c r="D1794" s="197" t="s">
        <v>2649</v>
      </c>
      <c r="E1794" s="198" t="s">
        <v>944</v>
      </c>
      <c r="F1794" s="198" t="s">
        <v>948</v>
      </c>
      <c r="G1794" s="225" t="n">
        <f aca="false">VLOOKUP(B1794,'NIVEL ENERO'!A:F,4,0)</f>
        <v>621843</v>
      </c>
      <c r="H1794" s="225" t="n">
        <v>1297164</v>
      </c>
      <c r="I1794" s="225" t="n">
        <v>3238717</v>
      </c>
      <c r="J1794" s="198" t="n">
        <v>24</v>
      </c>
      <c r="K1794" s="198" t="n">
        <v>1</v>
      </c>
      <c r="L1794" s="226" t="n">
        <v>44875</v>
      </c>
      <c r="M1794" s="226" t="n">
        <f aca="false">VLOOKUP(B1794,'NIVEL ENERO'!A:F,3,0)</f>
        <v>0.180912376485063</v>
      </c>
      <c r="N1794" s="227" t="n">
        <v>0</v>
      </c>
      <c r="O1794" s="227" t="s">
        <v>135</v>
      </c>
      <c r="P1794" s="228" t="n">
        <f aca="false">VLOOKUP(B1794,'NIVEL ENERO'!A:D,3,0)</f>
        <v>0.180912376485063</v>
      </c>
      <c r="Q1794" s="229" t="n">
        <f aca="false">VLOOKUP(B1794,'NIVEL ENERO'!A:D,4,0)</f>
        <v>621843</v>
      </c>
      <c r="R1794" s="186" t="str">
        <f aca="false">+PROPER(C1794&amp;" "&amp;D1794)</f>
        <v>Maya Solano Maria Del Mar</v>
      </c>
      <c r="S1794" s="230" t="n">
        <f aca="false">+YEARFRAC(L1794,$S$1)</f>
        <v>3.50555555555556</v>
      </c>
      <c r="T1794" s="230" t="n">
        <f aca="false">+YEARFRAC(M1794,$S$1)</f>
        <v>126.366666666667</v>
      </c>
      <c r="U1794" s="231" t="n">
        <f aca="false">+$I1794</f>
        <v>3238717</v>
      </c>
      <c r="V1794" s="232" t="str">
        <f aca="false">+PROPER(F1794)</f>
        <v>Casado(A)</v>
      </c>
    </row>
    <row r="1795" customFormat="false" ht="14.25" hidden="false" customHeight="false" outlineLevel="0" collapsed="false">
      <c r="B1795" s="197" t="n">
        <v>1192767362</v>
      </c>
      <c r="C1795" s="197" t="s">
        <v>3928</v>
      </c>
      <c r="D1795" s="197" t="s">
        <v>2488</v>
      </c>
      <c r="E1795" s="198" t="s">
        <v>944</v>
      </c>
      <c r="F1795" s="198" t="s">
        <v>953</v>
      </c>
      <c r="G1795" s="225" t="n">
        <f aca="false">VLOOKUP(B1795,'NIVEL ENERO'!A:F,4,0)</f>
        <v>499539.02</v>
      </c>
      <c r="H1795" s="225" t="n">
        <v>1600209</v>
      </c>
      <c r="I1795" s="225" t="n">
        <v>2607239</v>
      </c>
      <c r="J1795" s="198" t="n">
        <v>24</v>
      </c>
      <c r="K1795" s="198" t="n">
        <v>1</v>
      </c>
      <c r="L1795" s="226" t="n">
        <v>44704</v>
      </c>
      <c r="M1795" s="226" t="n">
        <f aca="false">VLOOKUP(B1795,'NIVEL ENERO'!A:F,3,0)</f>
        <v>0.230605939090522</v>
      </c>
      <c r="N1795" s="227" t="n">
        <v>0</v>
      </c>
      <c r="O1795" s="227" t="s">
        <v>760</v>
      </c>
      <c r="P1795" s="228" t="n">
        <f aca="false">VLOOKUP(B1795,'NIVEL ENERO'!A:D,3,0)</f>
        <v>0.230605939090522</v>
      </c>
      <c r="Q1795" s="229" t="n">
        <f aca="false">VLOOKUP(B1795,'NIVEL ENERO'!A:D,4,0)</f>
        <v>499539.02</v>
      </c>
      <c r="R1795" s="186" t="str">
        <f aca="false">+PROPER(C1795&amp;" "&amp;D1795)</f>
        <v>Quenoran Lopez Natalia Andrea</v>
      </c>
      <c r="S1795" s="230" t="n">
        <f aca="false">+YEARFRAC(L1795,$S$1)</f>
        <v>3.96944444444444</v>
      </c>
      <c r="T1795" s="230" t="n">
        <f aca="false">+YEARFRAC(M1795,$S$1)</f>
        <v>126.366666666667</v>
      </c>
      <c r="U1795" s="231" t="n">
        <f aca="false">+$I1795</f>
        <v>2607239</v>
      </c>
      <c r="V1795" s="232" t="str">
        <f aca="false">+PROPER(F1795)</f>
        <v>Soltero(A)</v>
      </c>
    </row>
    <row r="1796" customFormat="false" ht="14.25" hidden="false" customHeight="false" outlineLevel="0" collapsed="false">
      <c r="B1796" s="197" t="n">
        <v>1192910903</v>
      </c>
      <c r="C1796" s="197" t="s">
        <v>3932</v>
      </c>
      <c r="D1796" s="197" t="s">
        <v>1150</v>
      </c>
      <c r="E1796" s="198" t="s">
        <v>944</v>
      </c>
      <c r="F1796" s="198" t="s">
        <v>945</v>
      </c>
      <c r="G1796" s="225" t="n">
        <f aca="false">VLOOKUP(B1796,'NIVEL ENERO'!A:F,4,0)</f>
        <v>33426</v>
      </c>
      <c r="H1796" s="225" t="n">
        <v>500000</v>
      </c>
      <c r="I1796" s="225" t="n">
        <v>255703</v>
      </c>
      <c r="J1796" s="198" t="n">
        <v>24</v>
      </c>
      <c r="K1796" s="198" t="n">
        <v>2</v>
      </c>
      <c r="L1796" s="226" t="n">
        <v>45390</v>
      </c>
      <c r="M1796" s="226" t="n">
        <f aca="false">VLOOKUP(B1796,'NIVEL ENERO'!A:F,3,0)</f>
        <v>0.411468850096044</v>
      </c>
      <c r="N1796" s="227" t="n">
        <v>0</v>
      </c>
      <c r="O1796" s="227" t="s">
        <v>760</v>
      </c>
      <c r="P1796" s="228" t="n">
        <f aca="false">VLOOKUP(B1796,'NIVEL ENERO'!A:D,3,0)</f>
        <v>0.411468850096044</v>
      </c>
      <c r="Q1796" s="229" t="n">
        <f aca="false">VLOOKUP(B1796,'NIVEL ENERO'!A:D,4,0)</f>
        <v>33426</v>
      </c>
      <c r="R1796" s="186" t="str">
        <f aca="false">+PROPER(C1796&amp;" "&amp;D1796)</f>
        <v>Olave Carabali Diana Lizeth</v>
      </c>
      <c r="S1796" s="230" t="n">
        <f aca="false">+YEARFRAC(L1796,$S$1)</f>
        <v>2.09444444444444</v>
      </c>
      <c r="T1796" s="230" t="n">
        <f aca="false">+YEARFRAC(M1796,$S$1)</f>
        <v>126.366666666667</v>
      </c>
      <c r="U1796" s="231" t="n">
        <f aca="false">+$I1796</f>
        <v>255703</v>
      </c>
      <c r="V1796" s="232" t="str">
        <f aca="false">+PROPER(F1796)</f>
        <v>Union Libre</v>
      </c>
    </row>
    <row r="1797" customFormat="false" ht="14.25" hidden="false" customHeight="false" outlineLevel="0" collapsed="false">
      <c r="B1797" s="197" t="n">
        <v>1193034560</v>
      </c>
      <c r="C1797" s="197" t="s">
        <v>3933</v>
      </c>
      <c r="D1797" s="197" t="s">
        <v>3934</v>
      </c>
      <c r="E1797" s="198" t="s">
        <v>944</v>
      </c>
      <c r="F1797" s="198" t="s">
        <v>953</v>
      </c>
      <c r="G1797" s="225" t="n">
        <f aca="false">VLOOKUP(B1797,'NIVEL ENERO'!A:F,4,0)</f>
        <v>648377.8</v>
      </c>
      <c r="H1797" s="225" t="n">
        <v>1405756</v>
      </c>
      <c r="I1797" s="225" t="n">
        <v>0</v>
      </c>
      <c r="J1797" s="198" t="n">
        <v>23</v>
      </c>
      <c r="K1797" s="198" t="n">
        <v>2</v>
      </c>
      <c r="L1797" s="226" t="n">
        <v>44613</v>
      </c>
      <c r="M1797" s="226" t="n">
        <f aca="false">VLOOKUP(B1797,'NIVEL ENERO'!A:F,3,0)</f>
        <v>0.232451643321953</v>
      </c>
      <c r="N1797" s="227" t="n">
        <v>0</v>
      </c>
      <c r="O1797" s="227" t="s">
        <v>135</v>
      </c>
      <c r="P1797" s="228" t="n">
        <f aca="false">VLOOKUP(B1797,'NIVEL ENERO'!A:D,3,0)</f>
        <v>0.232451643321953</v>
      </c>
      <c r="Q1797" s="229" t="n">
        <f aca="false">VLOOKUP(B1797,'NIVEL ENERO'!A:D,4,0)</f>
        <v>648377.8</v>
      </c>
      <c r="R1797" s="186" t="str">
        <f aca="false">+PROPER(C1797&amp;" "&amp;D1797)</f>
        <v>Saldarriaga Millan Laura Camila</v>
      </c>
      <c r="S1797" s="230" t="n">
        <f aca="false">+YEARFRAC(L1797,$S$1)</f>
        <v>4.225</v>
      </c>
      <c r="T1797" s="230" t="n">
        <f aca="false">+YEARFRAC(M1797,$S$1)</f>
        <v>126.366666666667</v>
      </c>
      <c r="U1797" s="231" t="n">
        <f aca="false">+$I1797</f>
        <v>0</v>
      </c>
      <c r="V1797" s="232" t="str">
        <f aca="false">+PROPER(F1797)</f>
        <v>Soltero(A)</v>
      </c>
    </row>
    <row r="1798" customFormat="false" ht="14.25" hidden="false" customHeight="false" outlineLevel="0" collapsed="false">
      <c r="B1798" s="197" t="n">
        <v>1193037577</v>
      </c>
      <c r="C1798" s="197" t="s">
        <v>3935</v>
      </c>
      <c r="D1798" s="197" t="s">
        <v>3936</v>
      </c>
      <c r="E1798" s="198" t="s">
        <v>944</v>
      </c>
      <c r="F1798" s="198" t="s">
        <v>953</v>
      </c>
      <c r="G1798" s="225" t="n">
        <f aca="false">VLOOKUP(B1798,'NIVEL ENERO'!A:F,4,0)</f>
        <v>0</v>
      </c>
      <c r="H1798" s="225" t="n">
        <v>640111</v>
      </c>
      <c r="I1798" s="225" t="n">
        <v>0</v>
      </c>
      <c r="J1798" s="198" t="n">
        <v>24</v>
      </c>
      <c r="K1798" s="198" t="n">
        <v>1</v>
      </c>
      <c r="L1798" s="226" t="n">
        <v>44671</v>
      </c>
      <c r="M1798" s="226" t="str">
        <f aca="false">VLOOKUP(B1798,'NIVEL ENERO'!A:F,3,0)</f>
        <v>0</v>
      </c>
      <c r="N1798" s="227" t="n">
        <v>3</v>
      </c>
      <c r="O1798" s="227" t="s">
        <v>135</v>
      </c>
      <c r="P1798" s="228" t="str">
        <f aca="false">VLOOKUP(B1798,'NIVEL ENERO'!A:D,3,0)</f>
        <v>0</v>
      </c>
      <c r="Q1798" s="229" t="n">
        <f aca="false">VLOOKUP(B1798,'NIVEL ENERO'!A:D,4,0)</f>
        <v>0</v>
      </c>
      <c r="R1798" s="186" t="str">
        <f aca="false">+PROPER(C1798&amp;" "&amp;D1798)</f>
        <v>Cuero Ortiz Luz Diana</v>
      </c>
      <c r="S1798" s="230" t="n">
        <f aca="false">+YEARFRAC(L1798,$S$1)</f>
        <v>4.06111111111111</v>
      </c>
      <c r="T1798" s="230" t="n">
        <f aca="false">+YEARFRAC(M1798,$S$1)</f>
        <v>126.366666666667</v>
      </c>
      <c r="U1798" s="231" t="n">
        <f aca="false">+$I1798</f>
        <v>0</v>
      </c>
      <c r="V1798" s="232" t="str">
        <f aca="false">+PROPER(F1798)</f>
        <v>Soltero(A)</v>
      </c>
    </row>
    <row r="1799" customFormat="false" ht="14.25" hidden="false" customHeight="false" outlineLevel="0" collapsed="false">
      <c r="B1799" s="197" t="n">
        <v>1193101208</v>
      </c>
      <c r="C1799" s="197" t="s">
        <v>3937</v>
      </c>
      <c r="D1799" s="197" t="s">
        <v>3938</v>
      </c>
      <c r="E1799" s="198" t="s">
        <v>944</v>
      </c>
      <c r="F1799" s="198" t="s">
        <v>953</v>
      </c>
      <c r="G1799" s="225" t="n">
        <f aca="false">VLOOKUP(B1799,'NIVEL ENERO'!A:F,4,0)</f>
        <v>-113652</v>
      </c>
      <c r="H1799" s="225" t="n">
        <v>803511</v>
      </c>
      <c r="I1799" s="225" t="n">
        <v>2742513</v>
      </c>
      <c r="J1799" s="198" t="n">
        <v>25</v>
      </c>
      <c r="K1799" s="198" t="n">
        <v>2</v>
      </c>
      <c r="L1799" s="226" t="n">
        <v>45160</v>
      </c>
      <c r="M1799" s="226" t="n">
        <f aca="false">VLOOKUP(B1799,'NIVEL ENERO'!A:F,3,0)</f>
        <v>0.446662093942667</v>
      </c>
      <c r="N1799" s="227" t="n">
        <v>0</v>
      </c>
      <c r="O1799" s="227" t="s">
        <v>135</v>
      </c>
      <c r="P1799" s="228" t="n">
        <f aca="false">VLOOKUP(B1799,'NIVEL ENERO'!A:D,3,0)</f>
        <v>0.446662093942667</v>
      </c>
      <c r="Q1799" s="229" t="n">
        <f aca="false">VLOOKUP(B1799,'NIVEL ENERO'!A:D,4,0)</f>
        <v>-113652</v>
      </c>
      <c r="R1799" s="186" t="str">
        <f aca="false">+PROPER(C1799&amp;" "&amp;D1799)</f>
        <v>Jimenez Larrahondo Michel Alejandra</v>
      </c>
      <c r="S1799" s="230" t="n">
        <f aca="false">+YEARFRAC(L1799,$S$1)</f>
        <v>2.72222222222222</v>
      </c>
      <c r="T1799" s="230" t="n">
        <f aca="false">+YEARFRAC(M1799,$S$1)</f>
        <v>126.366666666667</v>
      </c>
      <c r="U1799" s="231" t="n">
        <f aca="false">+$I1799</f>
        <v>2742513</v>
      </c>
      <c r="V1799" s="232" t="str">
        <f aca="false">+PROPER(F1799)</f>
        <v>Soltero(A)</v>
      </c>
    </row>
    <row r="1800" customFormat="false" ht="14.25" hidden="false" customHeight="false" outlineLevel="0" collapsed="false">
      <c r="B1800" s="197" t="n">
        <v>1193123792</v>
      </c>
      <c r="C1800" s="197" t="s">
        <v>3939</v>
      </c>
      <c r="D1800" s="197" t="s">
        <v>3940</v>
      </c>
      <c r="E1800" s="198" t="s">
        <v>944</v>
      </c>
      <c r="F1800" s="198" t="s">
        <v>945</v>
      </c>
      <c r="G1800" s="225" t="n">
        <f aca="false">VLOOKUP(B1800,'NIVEL ENERO'!A:F,4,0)</f>
        <v>-66450</v>
      </c>
      <c r="H1800" s="225" t="n">
        <v>1036808</v>
      </c>
      <c r="I1800" s="225" t="n">
        <v>116091</v>
      </c>
      <c r="J1800" s="198" t="n">
        <v>21</v>
      </c>
      <c r="K1800" s="198" t="n">
        <v>2</v>
      </c>
      <c r="L1800" s="226" t="n">
        <v>45027</v>
      </c>
      <c r="M1800" s="226" t="n">
        <f aca="false">VLOOKUP(B1800,'NIVEL ENERO'!A:F,3,0)</f>
        <v>0.448387730690362</v>
      </c>
      <c r="N1800" s="227" t="n">
        <v>0</v>
      </c>
      <c r="O1800" s="227" t="s">
        <v>135</v>
      </c>
      <c r="P1800" s="228" t="n">
        <f aca="false">VLOOKUP(B1800,'NIVEL ENERO'!A:D,3,0)</f>
        <v>0.448387730690362</v>
      </c>
      <c r="Q1800" s="229" t="n">
        <f aca="false">VLOOKUP(B1800,'NIVEL ENERO'!A:D,4,0)</f>
        <v>-66450</v>
      </c>
      <c r="R1800" s="186" t="str">
        <f aca="false">+PROPER(C1800&amp;" "&amp;D1800)</f>
        <v>Martinez Urbano Jhany Natalia</v>
      </c>
      <c r="S1800" s="230" t="n">
        <f aca="false">+YEARFRAC(L1800,$S$1)</f>
        <v>3.08611111111111</v>
      </c>
      <c r="T1800" s="230" t="n">
        <f aca="false">+YEARFRAC(M1800,$S$1)</f>
        <v>126.366666666667</v>
      </c>
      <c r="U1800" s="231" t="n">
        <f aca="false">+$I1800</f>
        <v>116091</v>
      </c>
      <c r="V1800" s="232" t="str">
        <f aca="false">+PROPER(F1800)</f>
        <v>Union Libre</v>
      </c>
    </row>
    <row r="1801" customFormat="false" ht="14.25" hidden="false" customHeight="false" outlineLevel="0" collapsed="false">
      <c r="B1801" s="197" t="n">
        <v>1193153919</v>
      </c>
      <c r="C1801" s="197" t="s">
        <v>3941</v>
      </c>
      <c r="D1801" s="197" t="s">
        <v>3942</v>
      </c>
      <c r="E1801" s="198" t="s">
        <v>944</v>
      </c>
      <c r="F1801" s="198" t="s">
        <v>953</v>
      </c>
      <c r="G1801" s="225" t="n">
        <f aca="false">VLOOKUP(B1801,'NIVEL ENERO'!A:F,4,0)</f>
        <v>-87623</v>
      </c>
      <c r="H1801" s="225" t="n">
        <v>3268656</v>
      </c>
      <c r="I1801" s="225" t="n">
        <v>588931</v>
      </c>
      <c r="J1801" s="198" t="n">
        <v>25</v>
      </c>
      <c r="K1801" s="198" t="n">
        <v>4</v>
      </c>
      <c r="L1801" s="226" t="n">
        <v>43909</v>
      </c>
      <c r="M1801" s="226" t="n">
        <f aca="false">VLOOKUP(B1801,'NIVEL ENERO'!A:F,3,0)</f>
        <v>0.439603849638863</v>
      </c>
      <c r="N1801" s="227" t="n">
        <v>2</v>
      </c>
      <c r="O1801" s="227" t="s">
        <v>129</v>
      </c>
      <c r="P1801" s="228" t="n">
        <f aca="false">VLOOKUP(B1801,'NIVEL ENERO'!A:D,3,0)</f>
        <v>0.439603849638863</v>
      </c>
      <c r="Q1801" s="229" t="n">
        <f aca="false">VLOOKUP(B1801,'NIVEL ENERO'!A:D,4,0)</f>
        <v>-87623</v>
      </c>
      <c r="R1801" s="186" t="str">
        <f aca="false">+PROPER(C1801&amp;" "&amp;D1801)</f>
        <v>Valencia Ospina Fernanda</v>
      </c>
      <c r="S1801" s="230" t="n">
        <f aca="false">+YEARFRAC(L1801,$S$1)</f>
        <v>6.14722222222222</v>
      </c>
      <c r="T1801" s="230" t="n">
        <f aca="false">+YEARFRAC(M1801,$S$1)</f>
        <v>126.366666666667</v>
      </c>
      <c r="U1801" s="231" t="n">
        <f aca="false">+$I1801</f>
        <v>588931</v>
      </c>
      <c r="V1801" s="232" t="str">
        <f aca="false">+PROPER(F1801)</f>
        <v>Soltero(A)</v>
      </c>
    </row>
    <row r="1802" customFormat="false" ht="14.25" hidden="false" customHeight="false" outlineLevel="0" collapsed="false">
      <c r="B1802" s="197" t="n">
        <v>1193226482</v>
      </c>
      <c r="C1802" s="197" t="s">
        <v>3943</v>
      </c>
      <c r="D1802" s="197" t="s">
        <v>2395</v>
      </c>
      <c r="E1802" s="198" t="s">
        <v>944</v>
      </c>
      <c r="F1802" s="198" t="s">
        <v>953</v>
      </c>
      <c r="G1802" s="225" t="n">
        <f aca="false">VLOOKUP(B1802,'NIVEL ENERO'!A:F,4,0)</f>
        <v>685901</v>
      </c>
      <c r="H1802" s="225" t="n">
        <v>390000</v>
      </c>
      <c r="I1802" s="225" t="n">
        <v>348281</v>
      </c>
      <c r="J1802" s="198" t="n">
        <v>22</v>
      </c>
      <c r="K1802" s="198" t="n">
        <v>1</v>
      </c>
      <c r="L1802" s="226" t="n">
        <v>45014</v>
      </c>
      <c r="M1802" s="226" t="n">
        <f aca="false">VLOOKUP(B1802,'NIVEL ENERO'!A:F,3,0)</f>
        <v>0.243897661043929</v>
      </c>
      <c r="N1802" s="227" t="n">
        <v>0</v>
      </c>
      <c r="O1802" s="227" t="s">
        <v>135</v>
      </c>
      <c r="P1802" s="228" t="n">
        <f aca="false">VLOOKUP(B1802,'NIVEL ENERO'!A:D,3,0)</f>
        <v>0.243897661043929</v>
      </c>
      <c r="Q1802" s="229" t="n">
        <f aca="false">VLOOKUP(B1802,'NIVEL ENERO'!A:D,4,0)</f>
        <v>685901</v>
      </c>
      <c r="R1802" s="186" t="str">
        <f aca="false">+PROPER(C1802&amp;" "&amp;D1802)</f>
        <v>Bacca Alvarez Luisa Fernanda</v>
      </c>
      <c r="S1802" s="230" t="n">
        <f aca="false">+YEARFRAC(L1802,$S$1)</f>
        <v>3.11944444444444</v>
      </c>
      <c r="T1802" s="230" t="n">
        <f aca="false">+YEARFRAC(M1802,$S$1)</f>
        <v>126.366666666667</v>
      </c>
      <c r="U1802" s="231" t="n">
        <f aca="false">+$I1802</f>
        <v>348281</v>
      </c>
      <c r="V1802" s="232" t="str">
        <f aca="false">+PROPER(F1802)</f>
        <v>Soltero(A)</v>
      </c>
    </row>
    <row r="1803" customFormat="false" ht="14.25" hidden="false" customHeight="false" outlineLevel="0" collapsed="false">
      <c r="B1803" s="197" t="n">
        <v>1193236208</v>
      </c>
      <c r="C1803" s="197" t="s">
        <v>3971</v>
      </c>
      <c r="D1803" s="197" t="s">
        <v>3945</v>
      </c>
      <c r="E1803" s="198" t="s">
        <v>944</v>
      </c>
      <c r="F1803" s="198" t="s">
        <v>953</v>
      </c>
      <c r="G1803" s="225" t="n">
        <f aca="false">VLOOKUP(B1803,'NIVEL ENERO'!A:F,4,0)</f>
        <v>179059</v>
      </c>
      <c r="H1803" s="225" t="n">
        <v>513000</v>
      </c>
      <c r="I1803" s="225" t="n">
        <v>225624</v>
      </c>
      <c r="J1803" s="198" t="n">
        <v>23</v>
      </c>
      <c r="K1803" s="198" t="n">
        <v>4</v>
      </c>
      <c r="L1803" s="226" t="n">
        <v>45310</v>
      </c>
      <c r="M1803" s="226" t="n">
        <f aca="false">VLOOKUP(B1803,'NIVEL ENERO'!A:F,3,0)</f>
        <v>0.378861779990154</v>
      </c>
      <c r="N1803" s="227" t="n">
        <v>0</v>
      </c>
      <c r="O1803" s="227" t="s">
        <v>135</v>
      </c>
      <c r="P1803" s="228" t="n">
        <f aca="false">VLOOKUP(B1803,'NIVEL ENERO'!A:D,3,0)</f>
        <v>0.378861779990154</v>
      </c>
      <c r="Q1803" s="229" t="n">
        <f aca="false">VLOOKUP(B1803,'NIVEL ENERO'!A:D,4,0)</f>
        <v>179059</v>
      </c>
      <c r="R1803" s="186" t="str">
        <f aca="false">+PROPER(C1803&amp;" "&amp;D1803)</f>
        <v>Galeano Ramos  Dahiana Michel</v>
      </c>
      <c r="S1803" s="230" t="n">
        <f aca="false">+YEARFRAC(L1803,$S$1)</f>
        <v>2.31388888888889</v>
      </c>
      <c r="T1803" s="230" t="n">
        <f aca="false">+YEARFRAC(M1803,$S$1)</f>
        <v>126.366666666667</v>
      </c>
      <c r="U1803" s="231" t="n">
        <f aca="false">+$I1803</f>
        <v>225624</v>
      </c>
      <c r="V1803" s="232" t="str">
        <f aca="false">+PROPER(F1803)</f>
        <v>Soltero(A)</v>
      </c>
    </row>
    <row r="1804" customFormat="false" ht="14.25" hidden="false" customHeight="false" outlineLevel="0" collapsed="false">
      <c r="B1804" s="197" t="n">
        <v>1193238666</v>
      </c>
      <c r="C1804" s="197" t="s">
        <v>3946</v>
      </c>
      <c r="D1804" s="197" t="s">
        <v>3947</v>
      </c>
      <c r="E1804" s="198" t="s">
        <v>944</v>
      </c>
      <c r="F1804" s="198" t="s">
        <v>945</v>
      </c>
      <c r="G1804" s="225" t="n">
        <f aca="false">VLOOKUP(B1804,'NIVEL ENERO'!A:F,4,0)</f>
        <v>625301</v>
      </c>
      <c r="H1804" s="225" t="n">
        <v>300000</v>
      </c>
      <c r="I1804" s="225" t="n">
        <v>425681</v>
      </c>
      <c r="J1804" s="198" t="n">
        <v>24</v>
      </c>
      <c r="K1804" s="198" t="n">
        <v>1</v>
      </c>
      <c r="L1804" s="226" t="n">
        <v>45096</v>
      </c>
      <c r="M1804" s="226" t="n">
        <f aca="false">VLOOKUP(B1804,'NIVEL ENERO'!A:F,3,0)</f>
        <v>0.179582836710369</v>
      </c>
      <c r="N1804" s="227" t="n">
        <v>0</v>
      </c>
      <c r="O1804" s="227" t="s">
        <v>760</v>
      </c>
      <c r="P1804" s="228" t="n">
        <f aca="false">VLOOKUP(B1804,'NIVEL ENERO'!A:D,3,0)</f>
        <v>0.179582836710369</v>
      </c>
      <c r="Q1804" s="229" t="n">
        <f aca="false">VLOOKUP(B1804,'NIVEL ENERO'!A:D,4,0)</f>
        <v>625301</v>
      </c>
      <c r="R1804" s="186" t="str">
        <f aca="false">+PROPER(C1804&amp;" "&amp;D1804)</f>
        <v>Duque Parra Kevin Eduardo</v>
      </c>
      <c r="S1804" s="230" t="n">
        <f aca="false">+YEARFRAC(L1804,$S$1)</f>
        <v>2.89722222222222</v>
      </c>
      <c r="T1804" s="230" t="n">
        <f aca="false">+YEARFRAC(M1804,$S$1)</f>
        <v>126.366666666667</v>
      </c>
      <c r="U1804" s="231" t="n">
        <f aca="false">+$I1804</f>
        <v>425681</v>
      </c>
      <c r="V1804" s="232" t="str">
        <f aca="false">+PROPER(F1804)</f>
        <v>Union Libre</v>
      </c>
    </row>
    <row r="1805" customFormat="false" ht="14.25" hidden="false" customHeight="false" outlineLevel="0" collapsed="false">
      <c r="B1805" s="197" t="n">
        <v>1193260347</v>
      </c>
      <c r="C1805" s="197" t="s">
        <v>3972</v>
      </c>
      <c r="D1805" s="197" t="s">
        <v>3973</v>
      </c>
      <c r="E1805" s="198" t="s">
        <v>944</v>
      </c>
      <c r="F1805" s="198" t="s">
        <v>953</v>
      </c>
      <c r="G1805" s="225" t="e">
        <f aca="false">VLOOKUP(B1805,'NIVEL ENERO'!A:F,4,0)</f>
        <v>#N/A</v>
      </c>
      <c r="H1805" s="225" t="n">
        <v>861761</v>
      </c>
      <c r="I1805" s="225"/>
      <c r="J1805" s="198" t="n">
        <v>23</v>
      </c>
      <c r="K1805" s="198" t="n">
        <v>1</v>
      </c>
      <c r="L1805" s="226" t="n">
        <v>45118</v>
      </c>
      <c r="M1805" s="226" t="e">
        <f aca="false">VLOOKUP(B1805,'NIVEL ENERO'!A:F,3,0)</f>
        <v>#N/A</v>
      </c>
      <c r="N1805" s="227" t="n">
        <v>0</v>
      </c>
      <c r="O1805" s="227" t="s">
        <v>135</v>
      </c>
      <c r="P1805" s="228" t="e">
        <f aca="false">VLOOKUP(B1805,'NIVEL ENERO'!A:D,3,0)</f>
        <v>#N/A</v>
      </c>
      <c r="Q1805" s="229" t="e">
        <f aca="false">VLOOKUP(B1805,'NIVEL ENERO'!A:D,4,0)</f>
        <v>#N/A</v>
      </c>
      <c r="R1805" s="186" t="str">
        <f aca="false">+PROPER(C1805&amp;" "&amp;D1805)</f>
        <v>Suarez Orozco Jhostin Fabian</v>
      </c>
      <c r="S1805" s="230" t="n">
        <f aca="false">+YEARFRAC(L1805,$S$1)</f>
        <v>2.83611111111111</v>
      </c>
      <c r="T1805" s="230" t="e">
        <f aca="false">+YEARFRAC(M1805,$S$1)</f>
        <v>#N/A</v>
      </c>
      <c r="U1805" s="231" t="n">
        <f aca="false">+$I1805</f>
        <v>0</v>
      </c>
      <c r="V1805" s="232" t="str">
        <f aca="false">+PROPER(F1805)</f>
        <v>Soltero(A)</v>
      </c>
    </row>
    <row r="1806" customFormat="false" ht="14.25" hidden="false" customHeight="false" outlineLevel="0" collapsed="false">
      <c r="B1806" s="197" t="n">
        <v>1193399281</v>
      </c>
      <c r="C1806" s="197" t="s">
        <v>3948</v>
      </c>
      <c r="D1806" s="197" t="s">
        <v>3441</v>
      </c>
      <c r="E1806" s="198" t="s">
        <v>1550</v>
      </c>
      <c r="F1806" s="198" t="s">
        <v>945</v>
      </c>
      <c r="G1806" s="225" t="n">
        <f aca="false">VLOOKUP(B1806,'NIVEL ENERO'!A:F,4,0)</f>
        <v>54282.6399999999</v>
      </c>
      <c r="H1806" s="225" t="n">
        <v>2299412</v>
      </c>
      <c r="I1806" s="225" t="n">
        <v>2367965</v>
      </c>
      <c r="J1806" s="198" t="n">
        <v>23</v>
      </c>
      <c r="K1806" s="198" t="n">
        <v>4</v>
      </c>
      <c r="L1806" s="226" t="n">
        <v>44753</v>
      </c>
      <c r="M1806" s="226" t="n">
        <f aca="false">VLOOKUP(B1806,'NIVEL ENERO'!A:F,3,0)</f>
        <v>0.406724472673178</v>
      </c>
      <c r="N1806" s="227" t="n">
        <v>1</v>
      </c>
      <c r="O1806" s="227" t="s">
        <v>135</v>
      </c>
      <c r="P1806" s="228" t="n">
        <f aca="false">VLOOKUP(B1806,'NIVEL ENERO'!A:D,3,0)</f>
        <v>0.406724472673178</v>
      </c>
      <c r="Q1806" s="229" t="n">
        <f aca="false">VLOOKUP(B1806,'NIVEL ENERO'!A:D,4,0)</f>
        <v>54282.6399999999</v>
      </c>
      <c r="R1806" s="186" t="str">
        <f aca="false">+PROPER(C1806&amp;" "&amp;D1806)</f>
        <v>Aguilar Trujillano Yurani Andrea</v>
      </c>
      <c r="S1806" s="230" t="n">
        <f aca="false">+YEARFRAC(L1806,$S$1)</f>
        <v>3.83611111111111</v>
      </c>
      <c r="T1806" s="230" t="n">
        <f aca="false">+YEARFRAC(M1806,$S$1)</f>
        <v>126.366666666667</v>
      </c>
      <c r="U1806" s="231" t="n">
        <f aca="false">+$I1806</f>
        <v>2367965</v>
      </c>
      <c r="V1806" s="232" t="str">
        <f aca="false">+PROPER(F1806)</f>
        <v>Union Libre</v>
      </c>
    </row>
    <row r="1807" customFormat="false" ht="14.25" hidden="false" customHeight="false" outlineLevel="0" collapsed="false">
      <c r="B1807" s="197" t="n">
        <v>1193439718</v>
      </c>
      <c r="C1807" s="197" t="s">
        <v>3949</v>
      </c>
      <c r="D1807" s="197" t="s">
        <v>1495</v>
      </c>
      <c r="E1807" s="198" t="s">
        <v>944</v>
      </c>
      <c r="F1807" s="198" t="s">
        <v>953</v>
      </c>
      <c r="G1807" s="225" t="n">
        <f aca="false">VLOOKUP(B1807,'NIVEL ENERO'!A:F,4,0)</f>
        <v>0</v>
      </c>
      <c r="H1807" s="225" t="n">
        <v>2110334</v>
      </c>
      <c r="I1807" s="225" t="n">
        <v>716685</v>
      </c>
      <c r="J1807" s="198" t="n">
        <v>24</v>
      </c>
      <c r="K1807" s="198" t="n">
        <v>1</v>
      </c>
      <c r="L1807" s="226" t="n">
        <v>44305</v>
      </c>
      <c r="M1807" s="226" t="str">
        <f aca="false">VLOOKUP(B1807,'NIVEL ENERO'!A:F,3,0)</f>
        <v>0</v>
      </c>
      <c r="N1807" s="227" t="n">
        <v>3</v>
      </c>
      <c r="O1807" s="227" t="s">
        <v>129</v>
      </c>
      <c r="P1807" s="228" t="str">
        <f aca="false">VLOOKUP(B1807,'NIVEL ENERO'!A:D,3,0)</f>
        <v>0</v>
      </c>
      <c r="Q1807" s="229" t="n">
        <f aca="false">VLOOKUP(B1807,'NIVEL ENERO'!A:D,4,0)</f>
        <v>0</v>
      </c>
      <c r="R1807" s="186" t="str">
        <f aca="false">+PROPER(C1807&amp;" "&amp;D1807)</f>
        <v>Ramirez Morales Marlene</v>
      </c>
      <c r="S1807" s="230" t="n">
        <f aca="false">+YEARFRAC(L1807,$S$1)</f>
        <v>5.06388888888889</v>
      </c>
      <c r="T1807" s="230" t="n">
        <f aca="false">+YEARFRAC(M1807,$S$1)</f>
        <v>126.366666666667</v>
      </c>
      <c r="U1807" s="231" t="n">
        <f aca="false">+$I1807</f>
        <v>716685</v>
      </c>
      <c r="V1807" s="232" t="str">
        <f aca="false">+PROPER(F1807)</f>
        <v>Soltero(A)</v>
      </c>
    </row>
    <row r="1808" customFormat="false" ht="14.25" hidden="false" customHeight="false" outlineLevel="0" collapsed="false">
      <c r="B1808" s="197" t="n">
        <v>1193461219</v>
      </c>
      <c r="C1808" s="197" t="s">
        <v>3950</v>
      </c>
      <c r="D1808" s="197" t="s">
        <v>1241</v>
      </c>
      <c r="E1808" s="198" t="s">
        <v>944</v>
      </c>
      <c r="F1808" s="198" t="s">
        <v>953</v>
      </c>
      <c r="G1808" s="225" t="n">
        <f aca="false">VLOOKUP(B1808,'NIVEL ENERO'!A:F,4,0)</f>
        <v>35242</v>
      </c>
      <c r="H1808" s="225" t="n">
        <v>1246656</v>
      </c>
      <c r="I1808" s="225" t="n">
        <v>120393</v>
      </c>
      <c r="J1808" s="198" t="n">
        <v>23</v>
      </c>
      <c r="K1808" s="198" t="n">
        <v>2</v>
      </c>
      <c r="L1808" s="226" t="n">
        <v>44908</v>
      </c>
      <c r="M1808" s="226" t="n">
        <f aca="false">VLOOKUP(B1808,'NIVEL ENERO'!A:F,3,0)</f>
        <v>0.406450074974047</v>
      </c>
      <c r="N1808" s="227" t="n">
        <v>0</v>
      </c>
      <c r="O1808" s="227" t="s">
        <v>135</v>
      </c>
      <c r="P1808" s="228" t="n">
        <f aca="false">VLOOKUP(B1808,'NIVEL ENERO'!A:D,3,0)</f>
        <v>0.406450074974047</v>
      </c>
      <c r="Q1808" s="229" t="n">
        <f aca="false">VLOOKUP(B1808,'NIVEL ENERO'!A:D,4,0)</f>
        <v>35242</v>
      </c>
      <c r="R1808" s="186" t="str">
        <f aca="false">+PROPER(C1808&amp;" "&amp;D1808)</f>
        <v>Garces Benavides Diana Carolina</v>
      </c>
      <c r="S1808" s="230" t="n">
        <f aca="false">+YEARFRAC(L1808,$S$1)</f>
        <v>3.41388888888889</v>
      </c>
      <c r="T1808" s="230" t="n">
        <f aca="false">+YEARFRAC(M1808,$S$1)</f>
        <v>126.366666666667</v>
      </c>
      <c r="U1808" s="231" t="n">
        <f aca="false">+$I1808</f>
        <v>120393</v>
      </c>
      <c r="V1808" s="232" t="str">
        <f aca="false">+PROPER(F1808)</f>
        <v>Soltero(A)</v>
      </c>
    </row>
    <row r="1809" customFormat="false" ht="14.25" hidden="false" customHeight="false" outlineLevel="0" collapsed="false">
      <c r="B1809" s="197" t="n">
        <v>1193575066</v>
      </c>
      <c r="C1809" s="197" t="s">
        <v>3953</v>
      </c>
      <c r="D1809" s="197" t="s">
        <v>1281</v>
      </c>
      <c r="E1809" s="198" t="s">
        <v>944</v>
      </c>
      <c r="F1809" s="198" t="s">
        <v>998</v>
      </c>
      <c r="G1809" s="225" t="n">
        <f aca="false">VLOOKUP(B1809,'NIVEL ENERO'!A:F,4,0)</f>
        <v>193842</v>
      </c>
      <c r="H1809" s="225" t="n">
        <v>1802239</v>
      </c>
      <c r="I1809" s="225" t="n">
        <v>857041</v>
      </c>
      <c r="J1809" s="198" t="n">
        <v>23</v>
      </c>
      <c r="K1809" s="198" t="n">
        <v>1</v>
      </c>
      <c r="L1809" s="226" t="n">
        <v>44552</v>
      </c>
      <c r="M1809" s="226" t="n">
        <f aca="false">VLOOKUP(B1809,'NIVEL ENERO'!A:F,3,0)</f>
        <v>0.322640883977901</v>
      </c>
      <c r="N1809" s="227" t="n">
        <v>3</v>
      </c>
      <c r="O1809" s="227" t="s">
        <v>135</v>
      </c>
      <c r="P1809" s="228" t="n">
        <f aca="false">VLOOKUP(B1809,'NIVEL ENERO'!A:D,3,0)</f>
        <v>0.322640883977901</v>
      </c>
      <c r="Q1809" s="229" t="n">
        <f aca="false">VLOOKUP(B1809,'NIVEL ENERO'!A:D,4,0)</f>
        <v>193842</v>
      </c>
      <c r="R1809" s="186" t="str">
        <f aca="false">+PROPER(C1809&amp;" "&amp;D1809)</f>
        <v>Guerrero Collazos Catalina</v>
      </c>
      <c r="S1809" s="230" t="n">
        <f aca="false">+YEARFRAC(L1809,$S$1)</f>
        <v>4.38888888888889</v>
      </c>
      <c r="T1809" s="230" t="n">
        <f aca="false">+YEARFRAC(M1809,$S$1)</f>
        <v>126.366666666667</v>
      </c>
      <c r="U1809" s="231" t="n">
        <f aca="false">+$I1809</f>
        <v>857041</v>
      </c>
      <c r="V1809" s="232" t="str">
        <f aca="false">+PROPER(F1809)</f>
        <v>Separado(A)</v>
      </c>
    </row>
    <row r="1810" customFormat="false" ht="14.25" hidden="false" customHeight="false" outlineLevel="0" collapsed="false">
      <c r="B1810" s="197" t="n">
        <v>1193586630</v>
      </c>
      <c r="C1810" s="197" t="s">
        <v>3954</v>
      </c>
      <c r="D1810" s="197" t="s">
        <v>3955</v>
      </c>
      <c r="E1810" s="198" t="s">
        <v>944</v>
      </c>
      <c r="F1810" s="198" t="s">
        <v>953</v>
      </c>
      <c r="G1810" s="225" t="n">
        <f aca="false">VLOOKUP(B1810,'NIVEL ENERO'!A:F,4,0)</f>
        <v>307952</v>
      </c>
      <c r="H1810" s="225" t="n">
        <v>65000</v>
      </c>
      <c r="I1810" s="225"/>
      <c r="J1810" s="198" t="n">
        <v>20</v>
      </c>
      <c r="K1810" s="198" t="n">
        <v>1</v>
      </c>
      <c r="L1810" s="226" t="n">
        <v>45520</v>
      </c>
      <c r="M1810" s="226" t="n">
        <f aca="false">VLOOKUP(B1810,'NIVEL ENERO'!A:F,3,0)</f>
        <v>0.349249034516711</v>
      </c>
      <c r="N1810" s="227" t="n">
        <v>0</v>
      </c>
      <c r="O1810" s="227" t="s">
        <v>135</v>
      </c>
      <c r="P1810" s="228" t="n">
        <f aca="false">VLOOKUP(B1810,'NIVEL ENERO'!A:D,3,0)</f>
        <v>0.349249034516711</v>
      </c>
      <c r="Q1810" s="229" t="n">
        <f aca="false">VLOOKUP(B1810,'NIVEL ENERO'!A:D,4,0)</f>
        <v>307952</v>
      </c>
      <c r="R1810" s="186" t="str">
        <f aca="false">+PROPER(C1810&amp;" "&amp;D1810)</f>
        <v>Moreno Melo Gisel Daniela</v>
      </c>
      <c r="S1810" s="230" t="n">
        <f aca="false">+YEARFRAC(L1810,$S$1)</f>
        <v>1.73888888888889</v>
      </c>
      <c r="T1810" s="230" t="n">
        <f aca="false">+YEARFRAC(M1810,$S$1)</f>
        <v>126.366666666667</v>
      </c>
      <c r="U1810" s="231" t="n">
        <f aca="false">+$I1810</f>
        <v>0</v>
      </c>
      <c r="V1810" s="232" t="str">
        <f aca="false">+PROPER(F1810)</f>
        <v>Soltero(A)</v>
      </c>
    </row>
    <row r="1811" customFormat="false" ht="14.25" hidden="false" customHeight="false" outlineLevel="0" collapsed="false">
      <c r="B1811" s="197" t="n">
        <v>1193595791</v>
      </c>
      <c r="C1811" s="197" t="s">
        <v>3956</v>
      </c>
      <c r="D1811" s="197" t="s">
        <v>1355</v>
      </c>
      <c r="E1811" s="198" t="s">
        <v>944</v>
      </c>
      <c r="F1811" s="198" t="s">
        <v>953</v>
      </c>
      <c r="G1811" s="225" t="n">
        <f aca="false">VLOOKUP(B1811,'NIVEL ENERO'!A:F,4,0)</f>
        <v>1285138.04</v>
      </c>
      <c r="H1811" s="225" t="n">
        <v>1501827</v>
      </c>
      <c r="I1811" s="225"/>
      <c r="J1811" s="198" t="n">
        <v>25</v>
      </c>
      <c r="K1811" s="198" t="n">
        <v>4</v>
      </c>
      <c r="L1811" s="226" t="n">
        <v>45096</v>
      </c>
      <c r="M1811" s="226" t="n">
        <f aca="false">VLOOKUP(B1811,'NIVEL ENERO'!A:F,3,0)</f>
        <v>0.117622547358752</v>
      </c>
      <c r="N1811" s="227" t="n">
        <v>0</v>
      </c>
      <c r="O1811" s="227" t="s">
        <v>760</v>
      </c>
      <c r="P1811" s="228" t="n">
        <f aca="false">VLOOKUP(B1811,'NIVEL ENERO'!A:D,3,0)</f>
        <v>0.117622547358752</v>
      </c>
      <c r="Q1811" s="229" t="n">
        <f aca="false">VLOOKUP(B1811,'NIVEL ENERO'!A:D,4,0)</f>
        <v>1285138.04</v>
      </c>
      <c r="R1811" s="186" t="str">
        <f aca="false">+PROPER(C1811&amp;" "&amp;D1811)</f>
        <v>Cumbe Torres Angelica Maria</v>
      </c>
      <c r="S1811" s="230" t="n">
        <f aca="false">+YEARFRAC(L1811,$S$1)</f>
        <v>2.89722222222222</v>
      </c>
      <c r="T1811" s="230" t="n">
        <f aca="false">+YEARFRAC(M1811,$S$1)</f>
        <v>126.366666666667</v>
      </c>
      <c r="U1811" s="231" t="n">
        <f aca="false">+$I1811</f>
        <v>0</v>
      </c>
      <c r="V1811" s="232" t="str">
        <f aca="false">+PROPER(F1811)</f>
        <v>Soltero(A)</v>
      </c>
    </row>
    <row r="1812" customFormat="false" ht="14.25" hidden="false" customHeight="false" outlineLevel="0" collapsed="false">
      <c r="B1812" s="197" t="n">
        <v>1234188409</v>
      </c>
      <c r="C1812" s="197" t="s">
        <v>3957</v>
      </c>
      <c r="D1812" s="197" t="s">
        <v>1527</v>
      </c>
      <c r="E1812" s="198" t="s">
        <v>944</v>
      </c>
      <c r="F1812" s="198" t="s">
        <v>953</v>
      </c>
      <c r="G1812" s="225" t="n">
        <f aca="false">VLOOKUP(B1812,'NIVEL ENERO'!A:F,4,0)</f>
        <v>-228045.04</v>
      </c>
      <c r="H1812" s="225" t="n">
        <v>2005675</v>
      </c>
      <c r="I1812" s="225" t="n">
        <v>3615099</v>
      </c>
      <c r="J1812" s="198" t="n">
        <v>27</v>
      </c>
      <c r="K1812" s="198" t="n">
        <v>2</v>
      </c>
      <c r="L1812" s="226" t="n">
        <v>44936</v>
      </c>
      <c r="M1812" s="226" t="n">
        <f aca="false">VLOOKUP(B1812,'NIVEL ENERO'!A:F,3,0)</f>
        <v>0.479789143317383</v>
      </c>
      <c r="N1812" s="227" t="n">
        <v>0</v>
      </c>
      <c r="O1812" s="227" t="s">
        <v>135</v>
      </c>
      <c r="P1812" s="228" t="n">
        <f aca="false">VLOOKUP(B1812,'NIVEL ENERO'!A:D,3,0)</f>
        <v>0.479789143317383</v>
      </c>
      <c r="Q1812" s="229" t="n">
        <f aca="false">VLOOKUP(B1812,'NIVEL ENERO'!A:D,4,0)</f>
        <v>-228045.04</v>
      </c>
      <c r="R1812" s="186" t="str">
        <f aca="false">+PROPER(C1812&amp;" "&amp;D1812)</f>
        <v>Diaz Anacona Alejandra</v>
      </c>
      <c r="S1812" s="230" t="n">
        <f aca="false">+YEARFRAC(L1812,$S$1)</f>
        <v>3.33888888888889</v>
      </c>
      <c r="T1812" s="230" t="n">
        <f aca="false">+YEARFRAC(M1812,$S$1)</f>
        <v>126.366666666667</v>
      </c>
      <c r="U1812" s="231" t="n">
        <f aca="false">+$I1812</f>
        <v>3615099</v>
      </c>
      <c r="V1812" s="232" t="str">
        <f aca="false">+PROPER(F1812)</f>
        <v>Soltero(A)</v>
      </c>
    </row>
    <row r="1813" customFormat="false" ht="14.25" hidden="false" customHeight="false" outlineLevel="0" collapsed="false">
      <c r="B1813" s="197" t="n">
        <v>1234189691</v>
      </c>
      <c r="C1813" s="197" t="s">
        <v>3974</v>
      </c>
      <c r="D1813" s="197" t="s">
        <v>3959</v>
      </c>
      <c r="E1813" s="198" t="s">
        <v>944</v>
      </c>
      <c r="F1813" s="198" t="s">
        <v>953</v>
      </c>
      <c r="G1813" s="225" t="n">
        <f aca="false">VLOOKUP(B1813,'NIVEL ENERO'!A:F,4,0)</f>
        <v>121207.42</v>
      </c>
      <c r="H1813" s="225" t="n">
        <v>1200537</v>
      </c>
      <c r="I1813" s="225" t="n">
        <v>2056646</v>
      </c>
      <c r="J1813" s="198" t="n">
        <v>26</v>
      </c>
      <c r="K1813" s="198" t="n">
        <v>4</v>
      </c>
      <c r="L1813" s="226" t="n">
        <v>45190</v>
      </c>
      <c r="M1813" s="226" t="n">
        <f aca="false">VLOOKUP(B1813,'NIVEL ENERO'!A:F,3,0)</f>
        <v>0.372874271821823</v>
      </c>
      <c r="N1813" s="227" t="n">
        <v>0</v>
      </c>
      <c r="O1813" s="227" t="s">
        <v>135</v>
      </c>
      <c r="P1813" s="228" t="n">
        <f aca="false">VLOOKUP(B1813,'NIVEL ENERO'!A:D,3,0)</f>
        <v>0.372874271821823</v>
      </c>
      <c r="Q1813" s="229" t="n">
        <f aca="false">VLOOKUP(B1813,'NIVEL ENERO'!A:D,4,0)</f>
        <v>121207.42</v>
      </c>
      <c r="R1813" s="186" t="str">
        <f aca="false">+PROPER(C1813&amp;" "&amp;D1813)</f>
        <v>Castaño Lopez Ana Sofia</v>
      </c>
      <c r="S1813" s="230" t="n">
        <f aca="false">+YEARFRAC(L1813,$S$1)</f>
        <v>2.64166666666667</v>
      </c>
      <c r="T1813" s="230" t="n">
        <f aca="false">+YEARFRAC(M1813,$S$1)</f>
        <v>126.366666666667</v>
      </c>
      <c r="U1813" s="231" t="n">
        <f aca="false">+$I1813</f>
        <v>2056646</v>
      </c>
      <c r="V1813" s="232" t="str">
        <f aca="false">+PROPER(F1813)</f>
        <v>Soltero(A)</v>
      </c>
    </row>
    <row r="1814" customFormat="false" ht="14.25" hidden="false" customHeight="false" outlineLevel="0" collapsed="false">
      <c r="B1814" s="197" t="n">
        <v>1234190116</v>
      </c>
      <c r="C1814" s="197" t="s">
        <v>3975</v>
      </c>
      <c r="D1814" s="197" t="s">
        <v>3976</v>
      </c>
      <c r="E1814" s="198" t="s">
        <v>944</v>
      </c>
      <c r="F1814" s="198" t="s">
        <v>953</v>
      </c>
      <c r="G1814" s="225" t="e">
        <f aca="false">VLOOKUP(B1814,'NIVEL ENERO'!A:F,4,0)</f>
        <v>#N/A</v>
      </c>
      <c r="H1814" s="225" t="n">
        <v>4126990</v>
      </c>
      <c r="I1814" s="225" t="n">
        <v>3949830</v>
      </c>
      <c r="J1814" s="198" t="n">
        <v>26</v>
      </c>
      <c r="K1814" s="198" t="n">
        <v>4</v>
      </c>
      <c r="L1814" s="226" t="n">
        <v>44272</v>
      </c>
      <c r="M1814" s="226" t="e">
        <f aca="false">VLOOKUP(B1814,'NIVEL ENERO'!A:F,3,0)</f>
        <v>#N/A</v>
      </c>
      <c r="N1814" s="227" t="n">
        <v>2</v>
      </c>
      <c r="O1814" s="227" t="s">
        <v>135</v>
      </c>
      <c r="P1814" s="228" t="e">
        <f aca="false">VLOOKUP(B1814,'NIVEL ENERO'!A:D,3,0)</f>
        <v>#N/A</v>
      </c>
      <c r="Q1814" s="229" t="e">
        <f aca="false">VLOOKUP(B1814,'NIVEL ENERO'!A:D,4,0)</f>
        <v>#N/A</v>
      </c>
      <c r="R1814" s="186" t="str">
        <f aca="false">+PROPER(C1814&amp;" "&amp;D1814)</f>
        <v>Ortega Conda Hebert Augusto</v>
      </c>
      <c r="S1814" s="230" t="n">
        <f aca="false">+YEARFRAC(L1814,$S$1)</f>
        <v>5.15277777777778</v>
      </c>
      <c r="T1814" s="230" t="e">
        <f aca="false">+YEARFRAC(M1814,$S$1)</f>
        <v>#N/A</v>
      </c>
      <c r="U1814" s="231" t="n">
        <f aca="false">+$I1814</f>
        <v>3949830</v>
      </c>
      <c r="V1814" s="232" t="str">
        <f aca="false">+PROPER(F1814)</f>
        <v>Soltero(A)</v>
      </c>
    </row>
    <row r="1815" customFormat="false" ht="14.25" hidden="false" customHeight="false" outlineLevel="0" collapsed="false">
      <c r="B1815" s="197" t="n">
        <v>1234191313</v>
      </c>
      <c r="C1815" s="197" t="s">
        <v>3960</v>
      </c>
      <c r="D1815" s="197" t="s">
        <v>2297</v>
      </c>
      <c r="E1815" s="198" t="s">
        <v>944</v>
      </c>
      <c r="F1815" s="198" t="s">
        <v>953</v>
      </c>
      <c r="G1815" s="225" t="n">
        <f aca="false">VLOOKUP(B1815,'NIVEL ENERO'!A:F,4,0)</f>
        <v>526329.62</v>
      </c>
      <c r="H1815" s="225" t="n">
        <v>1039746</v>
      </c>
      <c r="I1815" s="225" t="n">
        <v>2832797</v>
      </c>
      <c r="J1815" s="198" t="n">
        <v>26</v>
      </c>
      <c r="K1815" s="198" t="n">
        <v>2</v>
      </c>
      <c r="L1815" s="226" t="n">
        <v>44459</v>
      </c>
      <c r="M1815" s="226" t="n">
        <f aca="false">VLOOKUP(B1815,'NIVEL ENERO'!A:F,3,0)</f>
        <v>0.264853917485873</v>
      </c>
      <c r="N1815" s="227" t="n">
        <v>1</v>
      </c>
      <c r="O1815" s="227" t="s">
        <v>135</v>
      </c>
      <c r="P1815" s="228" t="n">
        <f aca="false">VLOOKUP(B1815,'NIVEL ENERO'!A:D,3,0)</f>
        <v>0.264853917485873</v>
      </c>
      <c r="Q1815" s="229" t="n">
        <f aca="false">VLOOKUP(B1815,'NIVEL ENERO'!A:D,4,0)</f>
        <v>526329.62</v>
      </c>
      <c r="R1815" s="186" t="str">
        <f aca="false">+PROPER(C1815&amp;" "&amp;D1815)</f>
        <v>Restrepo Perea Valentina</v>
      </c>
      <c r="S1815" s="230" t="n">
        <f aca="false">+YEARFRAC(L1815,$S$1)</f>
        <v>4.64444444444445</v>
      </c>
      <c r="T1815" s="230" t="n">
        <f aca="false">+YEARFRAC(M1815,$S$1)</f>
        <v>126.366666666667</v>
      </c>
      <c r="U1815" s="231" t="n">
        <f aca="false">+$I1815</f>
        <v>2832797</v>
      </c>
      <c r="V1815" s="232" t="str">
        <f aca="false">+PROPER(F1815)</f>
        <v>Soltero(A)</v>
      </c>
    </row>
    <row r="1816" customFormat="false" ht="14.25" hidden="false" customHeight="false" outlineLevel="0" collapsed="false">
      <c r="B1816" s="197" t="n">
        <v>1234191678</v>
      </c>
      <c r="C1816" s="197" t="s">
        <v>3961</v>
      </c>
      <c r="D1816" s="197" t="s">
        <v>3962</v>
      </c>
      <c r="E1816" s="198" t="s">
        <v>944</v>
      </c>
      <c r="F1816" s="198" t="s">
        <v>953</v>
      </c>
      <c r="G1816" s="225" t="n">
        <f aca="false">VLOOKUP(B1816,'NIVEL ENERO'!A:F,4,0)</f>
        <v>481019.2</v>
      </c>
      <c r="H1816" s="225" t="n">
        <v>100000</v>
      </c>
      <c r="I1816" s="225"/>
      <c r="J1816" s="198" t="n">
        <v>26</v>
      </c>
      <c r="K1816" s="198" t="n">
        <v>1</v>
      </c>
      <c r="L1816" s="226" t="n">
        <v>45519</v>
      </c>
      <c r="M1816" s="226" t="n">
        <f aca="false">VLOOKUP(B1816,'NIVEL ENERO'!A:F,3,0)</f>
        <v>0.256756897396246</v>
      </c>
      <c r="N1816" s="227" t="n">
        <v>0</v>
      </c>
      <c r="O1816" s="227" t="s">
        <v>135</v>
      </c>
      <c r="P1816" s="228" t="n">
        <f aca="false">VLOOKUP(B1816,'NIVEL ENERO'!A:D,3,0)</f>
        <v>0.256756897396246</v>
      </c>
      <c r="Q1816" s="229" t="n">
        <f aca="false">VLOOKUP(B1816,'NIVEL ENERO'!A:D,4,0)</f>
        <v>481019.2</v>
      </c>
      <c r="R1816" s="186" t="str">
        <f aca="false">+PROPER(C1816&amp;" "&amp;D1816)</f>
        <v>Rojas Charry Juan Felipe</v>
      </c>
      <c r="S1816" s="230" t="n">
        <f aca="false">+YEARFRAC(L1816,$S$1)</f>
        <v>1.74166666666667</v>
      </c>
      <c r="T1816" s="230" t="n">
        <f aca="false">+YEARFRAC(M1816,$S$1)</f>
        <v>126.366666666667</v>
      </c>
      <c r="U1816" s="231" t="n">
        <f aca="false">+$I1816</f>
        <v>0</v>
      </c>
      <c r="V1816" s="232" t="str">
        <f aca="false">+PROPER(F1816)</f>
        <v>Soltero(A)</v>
      </c>
    </row>
    <row r="1817" customFormat="false" ht="14.25" hidden="false" customHeight="false" outlineLevel="0" collapsed="false">
      <c r="B1817" s="197" t="n">
        <v>1234193404</v>
      </c>
      <c r="C1817" s="197" t="s">
        <v>3963</v>
      </c>
      <c r="D1817" s="197" t="s">
        <v>3964</v>
      </c>
      <c r="E1817" s="198" t="s">
        <v>944</v>
      </c>
      <c r="F1817" s="198" t="s">
        <v>945</v>
      </c>
      <c r="G1817" s="225" t="n">
        <f aca="false">VLOOKUP(B1817,'NIVEL ENERO'!A:F,4,0)</f>
        <v>1147534.6</v>
      </c>
      <c r="H1817" s="225" t="n">
        <v>4967648</v>
      </c>
      <c r="I1817" s="225" t="n">
        <v>0</v>
      </c>
      <c r="J1817" s="198" t="n">
        <v>26</v>
      </c>
      <c r="K1817" s="198" t="n">
        <v>2</v>
      </c>
      <c r="L1817" s="226" t="n">
        <v>44725</v>
      </c>
      <c r="M1817" s="226" t="n">
        <f aca="false">VLOOKUP(B1817,'NIVEL ENERO'!A:F,3,0)</f>
        <v>0.189539588457311</v>
      </c>
      <c r="N1817" s="227" t="n">
        <v>3</v>
      </c>
      <c r="O1817" s="227" t="s">
        <v>849</v>
      </c>
      <c r="P1817" s="228" t="n">
        <f aca="false">VLOOKUP(B1817,'NIVEL ENERO'!A:D,3,0)</f>
        <v>0.189539588457311</v>
      </c>
      <c r="Q1817" s="229" t="n">
        <f aca="false">VLOOKUP(B1817,'NIVEL ENERO'!A:D,4,0)</f>
        <v>1147534.6</v>
      </c>
      <c r="R1817" s="186" t="str">
        <f aca="false">+PROPER(C1817&amp;" "&amp;D1817)</f>
        <v>Galindo Espinosa Gisell Natalia</v>
      </c>
      <c r="S1817" s="230" t="n">
        <f aca="false">+YEARFRAC(L1817,$S$1)</f>
        <v>3.91388888888889</v>
      </c>
      <c r="T1817" s="230" t="n">
        <f aca="false">+YEARFRAC(M1817,$S$1)</f>
        <v>126.366666666667</v>
      </c>
      <c r="U1817" s="231" t="n">
        <f aca="false">+$I1817</f>
        <v>0</v>
      </c>
      <c r="V1817" s="232" t="str">
        <f aca="false">+PROPER(F1817)</f>
        <v>Union Libre</v>
      </c>
    </row>
    <row r="1818" customFormat="false" ht="14.25" hidden="false" customHeight="false" outlineLevel="0" collapsed="false">
      <c r="B1818" s="197" t="n">
        <v>1234196269</v>
      </c>
      <c r="C1818" s="197" t="s">
        <v>3965</v>
      </c>
      <c r="D1818" s="197" t="s">
        <v>3966</v>
      </c>
      <c r="E1818" s="198" t="s">
        <v>944</v>
      </c>
      <c r="F1818" s="198" t="s">
        <v>945</v>
      </c>
      <c r="G1818" s="225" t="n">
        <f aca="false">VLOOKUP(B1818,'NIVEL ENERO'!A:F,4,0)</f>
        <v>688141</v>
      </c>
      <c r="H1818" s="225" t="n">
        <v>6330643</v>
      </c>
      <c r="I1818" s="225" t="n">
        <v>1799145</v>
      </c>
      <c r="J1818" s="198" t="n">
        <v>25</v>
      </c>
      <c r="K1818" s="198" t="n">
        <v>4</v>
      </c>
      <c r="L1818" s="226" t="n">
        <v>43025</v>
      </c>
      <c r="M1818" s="226" t="n">
        <f aca="false">VLOOKUP(B1818,'NIVEL ENERO'!A:F,3,0)</f>
        <v>0.182201603428019</v>
      </c>
      <c r="N1818" s="227" t="n">
        <v>2</v>
      </c>
      <c r="O1818" s="227" t="s">
        <v>135</v>
      </c>
      <c r="P1818" s="228" t="n">
        <f aca="false">VLOOKUP(B1818,'NIVEL ENERO'!A:D,3,0)</f>
        <v>0.182201603428019</v>
      </c>
      <c r="Q1818" s="229" t="n">
        <f aca="false">VLOOKUP(B1818,'NIVEL ENERO'!A:D,4,0)</f>
        <v>688141</v>
      </c>
      <c r="R1818" s="186" t="str">
        <f aca="false">+PROPER(C1818&amp;" "&amp;D1818)</f>
        <v>Galindez Pipicano Ingrith Camila</v>
      </c>
      <c r="S1818" s="230" t="n">
        <f aca="false">+YEARFRAC(L1818,$S$1)</f>
        <v>8.56944444444445</v>
      </c>
      <c r="T1818" s="230" t="n">
        <f aca="false">+YEARFRAC(M1818,$S$1)</f>
        <v>126.366666666667</v>
      </c>
      <c r="U1818" s="231" t="n">
        <f aca="false">+$I1818</f>
        <v>1799145</v>
      </c>
      <c r="V1818" s="232" t="str">
        <f aca="false">+PROPER(F1818)</f>
        <v>Union Libre</v>
      </c>
    </row>
    <row r="1819" customFormat="false" ht="14.25" hidden="false" customHeight="false" outlineLevel="0" collapsed="false">
      <c r="B1819" s="197" t="n">
        <v>1234197111</v>
      </c>
      <c r="C1819" s="197" t="s">
        <v>3967</v>
      </c>
      <c r="D1819" s="197" t="s">
        <v>2297</v>
      </c>
      <c r="E1819" s="198" t="s">
        <v>944</v>
      </c>
      <c r="F1819" s="198" t="s">
        <v>953</v>
      </c>
      <c r="G1819" s="225" t="n">
        <f aca="false">VLOOKUP(B1819,'NIVEL ENERO'!A:F,4,0)</f>
        <v>956968.88</v>
      </c>
      <c r="H1819" s="225" t="n">
        <v>477215</v>
      </c>
      <c r="I1819" s="225"/>
      <c r="J1819" s="198" t="n">
        <v>25</v>
      </c>
      <c r="K1819" s="198" t="n">
        <v>1</v>
      </c>
      <c r="L1819" s="226" t="n">
        <v>45414</v>
      </c>
      <c r="M1819" s="226" t="n">
        <f aca="false">VLOOKUP(B1819,'NIVEL ENERO'!A:F,3,0)</f>
        <v>0.125101666707412</v>
      </c>
      <c r="N1819" s="227" t="n">
        <v>0</v>
      </c>
      <c r="O1819" s="227" t="s">
        <v>135</v>
      </c>
      <c r="P1819" s="228" t="n">
        <f aca="false">VLOOKUP(B1819,'NIVEL ENERO'!A:D,3,0)</f>
        <v>0.125101666707412</v>
      </c>
      <c r="Q1819" s="229" t="n">
        <f aca="false">VLOOKUP(B1819,'NIVEL ENERO'!A:D,4,0)</f>
        <v>956968.88</v>
      </c>
      <c r="R1819" s="186" t="str">
        <f aca="false">+PROPER(C1819&amp;" "&amp;D1819)</f>
        <v>Trujillo Andrade Valentina</v>
      </c>
      <c r="S1819" s="230" t="n">
        <f aca="false">+YEARFRAC(L1819,$S$1)</f>
        <v>2.02777777777778</v>
      </c>
      <c r="T1819" s="230" t="n">
        <f aca="false">+YEARFRAC(M1819,$S$1)</f>
        <v>126.366666666667</v>
      </c>
      <c r="U1819" s="231" t="n">
        <f aca="false">+$I1819</f>
        <v>0</v>
      </c>
      <c r="V1819" s="232" t="str">
        <f aca="false">+PROPER(F1819)</f>
        <v>Soltero(A)</v>
      </c>
    </row>
    <row r="1820" customFormat="false" ht="14.25" hidden="false" customHeight="false" outlineLevel="0" collapsed="false">
      <c r="B1820" s="197" t="n">
        <v>1151947941</v>
      </c>
      <c r="C1820" s="197" t="s">
        <v>3884</v>
      </c>
      <c r="D1820" s="197" t="s">
        <v>3885</v>
      </c>
      <c r="E1820" s="198" t="s">
        <v>944</v>
      </c>
      <c r="F1820" s="198" t="s">
        <v>945</v>
      </c>
      <c r="G1820" s="225" t="n">
        <v>1991000</v>
      </c>
      <c r="H1820" s="225" t="n">
        <v>65000</v>
      </c>
      <c r="I1820" s="225" t="n">
        <v>0</v>
      </c>
      <c r="J1820" s="198" t="n">
        <v>31</v>
      </c>
      <c r="K1820" s="198" t="n">
        <v>4</v>
      </c>
      <c r="L1820" s="226" t="n">
        <v>45557</v>
      </c>
      <c r="M1820" s="226" t="n">
        <v>44158</v>
      </c>
      <c r="N1820" s="227" t="n">
        <v>1</v>
      </c>
      <c r="O1820" s="227" t="s">
        <v>135</v>
      </c>
      <c r="P1820" s="228" t="n">
        <f aca="false">VLOOKUP(B1820,'NIVEL ENERO'!A:D,3,0)</f>
        <v>0.225135610246107</v>
      </c>
      <c r="Q1820" s="229" t="n">
        <f aca="false">VLOOKUP(B1820,'NIVEL ENERO'!A:D,4,0)</f>
        <v>387975</v>
      </c>
      <c r="R1820" s="186" t="str">
        <f aca="false">+PROPER(C1820&amp;" "&amp;D1820)</f>
        <v>Tapiero Portela Diana Milena</v>
      </c>
      <c r="S1820" s="230" t="n">
        <f aca="false">+YEARFRAC(L1820,$S$1)</f>
        <v>1.63888888888889</v>
      </c>
      <c r="T1820" s="230" t="n">
        <f aca="false">+YEARFRAC(M1820,$S$1)</f>
        <v>5.46944444444444</v>
      </c>
      <c r="U1820" s="231" t="n">
        <f aca="false">+$I1820</f>
        <v>0</v>
      </c>
      <c r="V1820" s="232" t="str">
        <f aca="false">+PROPER(F1820)</f>
        <v>Union Libre</v>
      </c>
    </row>
    <row r="1821" customFormat="false" ht="14.25" hidden="false" customHeight="false" outlineLevel="0" collapsed="false">
      <c r="B1821" s="242" t="n">
        <v>1234197935</v>
      </c>
      <c r="C1821" s="242" t="s">
        <v>3968</v>
      </c>
      <c r="D1821" s="242" t="s">
        <v>3969</v>
      </c>
      <c r="E1821" s="242" t="s">
        <v>944</v>
      </c>
      <c r="F1821" s="242" t="s">
        <v>945</v>
      </c>
      <c r="G1821" s="225" t="n">
        <f aca="false">VLOOKUP(B1821,'NIVEL ENERO'!A:F,4,0)</f>
        <v>544580</v>
      </c>
      <c r="H1821" s="225" t="n">
        <v>1036808</v>
      </c>
      <c r="I1821" s="225" t="n">
        <v>834035</v>
      </c>
      <c r="J1821" s="198" t="n">
        <v>24</v>
      </c>
      <c r="K1821" s="198" t="n">
        <v>2</v>
      </c>
      <c r="L1821" s="226" t="n">
        <v>45027</v>
      </c>
      <c r="M1821" s="226" t="n">
        <f aca="false">VLOOKUP(B1821,'NIVEL ENERO'!A:F,3,0)</f>
        <v>0.210618632011996</v>
      </c>
      <c r="N1821" s="227" t="n">
        <v>0</v>
      </c>
      <c r="O1821" s="227" t="s">
        <v>135</v>
      </c>
      <c r="P1821" s="228" t="n">
        <f aca="false">VLOOKUP(B1821,'NIVEL ENERO'!A:D,3,0)</f>
        <v>0.210618632011996</v>
      </c>
      <c r="Q1821" s="229" t="n">
        <f aca="false">VLOOKUP(B1821,'NIVEL ENERO'!A:D,4,0)</f>
        <v>544580</v>
      </c>
      <c r="R1821" s="186" t="str">
        <f aca="false">+PROPER(C1821&amp;" "&amp;D1821)</f>
        <v>Valencia Otero Alisson Dahiana</v>
      </c>
      <c r="S1821" s="230" t="n">
        <f aca="false">+YEARFRAC(L1821,$S$1)</f>
        <v>3.08611111111111</v>
      </c>
      <c r="T1821" s="230" t="n">
        <f aca="false">+YEARFRAC(M1821,$S$1)</f>
        <v>126.366666666667</v>
      </c>
      <c r="U1821" s="231" t="n">
        <f aca="false">+$I1821</f>
        <v>834035</v>
      </c>
      <c r="V1821" s="232" t="str">
        <f aca="false">+PROPER(F1821)</f>
        <v>Union Libre</v>
      </c>
    </row>
    <row r="1822" customFormat="false" ht="14.25" hidden="false" customHeight="false" outlineLevel="0" collapsed="false">
      <c r="G1822" s="225" t="e">
        <f aca="false">VLOOKUP(B1822,'NIVEL ENERO'!A:F,4,0)</f>
        <v>#N/A</v>
      </c>
      <c r="H1822" s="225"/>
      <c r="I1822" s="225"/>
      <c r="L1822" s="226"/>
      <c r="M1822" s="226"/>
      <c r="P1822" s="228"/>
      <c r="Q1822" s="229"/>
      <c r="R1822" s="186" t="str">
        <f aca="false">+PROPER(C1822&amp;" "&amp;D1822)</f>
        <v> </v>
      </c>
      <c r="S1822" s="230" t="n">
        <f aca="false">+YEARFRAC(L1822,$S$1)</f>
        <v>126.366666666667</v>
      </c>
      <c r="T1822" s="230" t="n">
        <f aca="false">+YEARFRAC(M1822,$S$1)</f>
        <v>126.366666666667</v>
      </c>
      <c r="U1822" s="231" t="n">
        <f aca="false">+$I1822</f>
        <v>0</v>
      </c>
      <c r="V1822" s="232" t="str">
        <f aca="false">+PROPER(F1822)</f>
        <v/>
      </c>
    </row>
    <row r="1823" customFormat="false" ht="14.25" hidden="false" customHeight="false" outlineLevel="0" collapsed="false">
      <c r="G1823" s="225" t="e">
        <f aca="false">VLOOKUP(B1823,'NIVEL ENERO'!A:F,4,0)</f>
        <v>#N/A</v>
      </c>
      <c r="H1823" s="225"/>
      <c r="I1823" s="225"/>
      <c r="L1823" s="226"/>
      <c r="M1823" s="226"/>
      <c r="P1823" s="228"/>
      <c r="Q1823" s="229"/>
      <c r="R1823" s="186" t="str">
        <f aca="false">+PROPER(C1823&amp;" "&amp;D1823)</f>
        <v> </v>
      </c>
      <c r="S1823" s="230" t="n">
        <f aca="false">+YEARFRAC(L1823,$S$1)</f>
        <v>126.366666666667</v>
      </c>
      <c r="T1823" s="230" t="n">
        <f aca="false">+YEARFRAC(M1823,$S$1)</f>
        <v>126.366666666667</v>
      </c>
      <c r="U1823" s="231" t="n">
        <f aca="false">+$I1823</f>
        <v>0</v>
      </c>
      <c r="V1823" s="232" t="str">
        <f aca="false">+PROPER(F1823)</f>
        <v/>
      </c>
    </row>
    <row r="1824" customFormat="false" ht="14.25" hidden="false" customHeight="false" outlineLevel="0" collapsed="false">
      <c r="G1824" s="225" t="e">
        <f aca="false">VLOOKUP(B1824,'NIVEL ENERO'!A:F,4,0)</f>
        <v>#N/A</v>
      </c>
      <c r="H1824" s="225"/>
      <c r="I1824" s="225"/>
      <c r="L1824" s="226"/>
      <c r="M1824" s="226"/>
      <c r="P1824" s="228"/>
      <c r="Q1824" s="229"/>
      <c r="R1824" s="186" t="str">
        <f aca="false">+PROPER(C1824&amp;" "&amp;D1824)</f>
        <v> </v>
      </c>
      <c r="S1824" s="230" t="n">
        <f aca="false">+YEARFRAC(L1824,$S$1)</f>
        <v>126.366666666667</v>
      </c>
      <c r="T1824" s="230" t="n">
        <f aca="false">+YEARFRAC(M1824,$S$1)</f>
        <v>126.366666666667</v>
      </c>
      <c r="U1824" s="231" t="n">
        <f aca="false">+$I1824</f>
        <v>0</v>
      </c>
      <c r="V1824" s="232" t="str">
        <f aca="false">+PROPER(F1824)</f>
        <v/>
      </c>
    </row>
    <row r="1825" customFormat="false" ht="14.25" hidden="false" customHeight="false" outlineLevel="0" collapsed="false">
      <c r="G1825" s="225" t="e">
        <f aca="false">VLOOKUP(B1825,'NIVEL ENERO'!A:F,4,0)</f>
        <v>#N/A</v>
      </c>
      <c r="H1825" s="225"/>
      <c r="I1825" s="225"/>
      <c r="L1825" s="226"/>
      <c r="M1825" s="226"/>
      <c r="P1825" s="228"/>
      <c r="Q1825" s="229"/>
      <c r="R1825" s="186" t="str">
        <f aca="false">+PROPER(C1825&amp;" "&amp;D1825)</f>
        <v> </v>
      </c>
      <c r="S1825" s="230" t="n">
        <f aca="false">+YEARFRAC(L1825,$S$1)</f>
        <v>126.366666666667</v>
      </c>
      <c r="T1825" s="230" t="n">
        <f aca="false">+YEARFRAC(M1825,$S$1)</f>
        <v>126.366666666667</v>
      </c>
      <c r="U1825" s="231" t="n">
        <f aca="false">+$I1825</f>
        <v>0</v>
      </c>
      <c r="V1825" s="232" t="str">
        <f aca="false">+PROPER(F1825)</f>
        <v/>
      </c>
    </row>
    <row r="1826" customFormat="false" ht="14.25" hidden="false" customHeight="false" outlineLevel="0" collapsed="false">
      <c r="G1826" s="225" t="e">
        <f aca="false">VLOOKUP(B1826,'NIVEL ENERO'!A:F,4,0)</f>
        <v>#N/A</v>
      </c>
      <c r="H1826" s="225"/>
      <c r="I1826" s="225"/>
      <c r="L1826" s="226"/>
      <c r="M1826" s="226"/>
      <c r="P1826" s="228"/>
      <c r="Q1826" s="229"/>
      <c r="R1826" s="186" t="str">
        <f aca="false">+PROPER(C1826&amp;" "&amp;D1826)</f>
        <v> </v>
      </c>
      <c r="S1826" s="230" t="n">
        <f aca="false">+YEARFRAC(L1826,$S$1)</f>
        <v>126.366666666667</v>
      </c>
      <c r="T1826" s="230" t="n">
        <f aca="false">+YEARFRAC(M1826,$S$1)</f>
        <v>126.366666666667</v>
      </c>
      <c r="U1826" s="231" t="n">
        <f aca="false">+$I1826</f>
        <v>0</v>
      </c>
      <c r="V1826" s="232" t="str">
        <f aca="false">+PROPER(F1826)</f>
        <v/>
      </c>
    </row>
    <row r="1827" customFormat="false" ht="14.25" hidden="false" customHeight="false" outlineLevel="0" collapsed="false">
      <c r="G1827" s="225" t="e">
        <f aca="false">VLOOKUP(B1827,'NIVEL ENERO'!A:F,4,0)</f>
        <v>#N/A</v>
      </c>
      <c r="H1827" s="225"/>
      <c r="I1827" s="225"/>
      <c r="L1827" s="226"/>
      <c r="M1827" s="226"/>
      <c r="P1827" s="228"/>
      <c r="Q1827" s="229"/>
      <c r="R1827" s="186" t="str">
        <f aca="false">+PROPER(C1827&amp;" "&amp;D1827)</f>
        <v> </v>
      </c>
      <c r="S1827" s="230" t="n">
        <f aca="false">+YEARFRAC(L1827,$S$1)</f>
        <v>126.366666666667</v>
      </c>
      <c r="T1827" s="230" t="n">
        <f aca="false">+YEARFRAC(M1827,$S$1)</f>
        <v>126.366666666667</v>
      </c>
      <c r="U1827" s="231" t="n">
        <f aca="false">+$I1827</f>
        <v>0</v>
      </c>
      <c r="V1827" s="232" t="str">
        <f aca="false">+PROPER(F1827)</f>
        <v/>
      </c>
    </row>
    <row r="1828" customFormat="false" ht="14.25" hidden="false" customHeight="false" outlineLevel="0" collapsed="false">
      <c r="G1828" s="225" t="e">
        <f aca="false">VLOOKUP(B1828,'NIVEL ENERO'!A:F,4,0)</f>
        <v>#N/A</v>
      </c>
      <c r="H1828" s="225"/>
      <c r="I1828" s="225"/>
      <c r="L1828" s="226"/>
      <c r="M1828" s="226"/>
      <c r="P1828" s="228"/>
      <c r="Q1828" s="229"/>
      <c r="R1828" s="186" t="str">
        <f aca="false">+PROPER(C1828&amp;" "&amp;D1828)</f>
        <v> </v>
      </c>
      <c r="S1828" s="230" t="n">
        <f aca="false">+YEARFRAC(L1828,$S$1)</f>
        <v>126.366666666667</v>
      </c>
      <c r="T1828" s="230" t="n">
        <f aca="false">+YEARFRAC(M1828,$S$1)</f>
        <v>126.366666666667</v>
      </c>
      <c r="U1828" s="231" t="n">
        <f aca="false">+$I1828</f>
        <v>0</v>
      </c>
      <c r="V1828" s="232" t="str">
        <f aca="false">+PROPER(F1828)</f>
        <v/>
      </c>
    </row>
    <row r="1829" customFormat="false" ht="14.25" hidden="false" customHeight="false" outlineLevel="0" collapsed="false">
      <c r="G1829" s="225" t="e">
        <f aca="false">VLOOKUP(B1829,'NIVEL ENERO'!A:F,4,0)</f>
        <v>#N/A</v>
      </c>
      <c r="H1829" s="225"/>
      <c r="I1829" s="225"/>
      <c r="L1829" s="226"/>
      <c r="M1829" s="226"/>
      <c r="P1829" s="228"/>
      <c r="Q1829" s="229"/>
      <c r="R1829" s="186" t="str">
        <f aca="false">+PROPER(C1829&amp;" "&amp;D1829)</f>
        <v> </v>
      </c>
      <c r="S1829" s="230" t="n">
        <f aca="false">+YEARFRAC(L1829,$S$1)</f>
        <v>126.366666666667</v>
      </c>
      <c r="T1829" s="230" t="n">
        <f aca="false">+YEARFRAC(M1829,$S$1)</f>
        <v>126.366666666667</v>
      </c>
      <c r="U1829" s="231" t="n">
        <f aca="false">+$I1829</f>
        <v>0</v>
      </c>
      <c r="V1829" s="232" t="str">
        <f aca="false">+PROPER(F1829)</f>
        <v/>
      </c>
    </row>
    <row r="1830" customFormat="false" ht="14.25" hidden="false" customHeight="false" outlineLevel="0" collapsed="false">
      <c r="G1830" s="225" t="e">
        <f aca="false">VLOOKUP(B1830,'NIVEL ENERO'!A:F,4,0)</f>
        <v>#N/A</v>
      </c>
      <c r="H1830" s="225"/>
      <c r="I1830" s="225"/>
      <c r="L1830" s="226"/>
      <c r="M1830" s="226"/>
      <c r="P1830" s="228"/>
      <c r="Q1830" s="229"/>
      <c r="R1830" s="186" t="str">
        <f aca="false">+PROPER(C1830&amp;" "&amp;D1830)</f>
        <v> </v>
      </c>
      <c r="S1830" s="230" t="n">
        <f aca="false">+YEARFRAC(L1830,$S$1)</f>
        <v>126.366666666667</v>
      </c>
      <c r="T1830" s="230" t="n">
        <f aca="false">+YEARFRAC(M1830,$S$1)</f>
        <v>126.366666666667</v>
      </c>
      <c r="U1830" s="231" t="n">
        <f aca="false">+$I1830</f>
        <v>0</v>
      </c>
      <c r="V1830" s="232" t="str">
        <f aca="false">+PROPER(F1830)</f>
        <v/>
      </c>
    </row>
    <row r="1831" customFormat="false" ht="14.25" hidden="false" customHeight="false" outlineLevel="0" collapsed="false">
      <c r="G1831" s="225" t="e">
        <f aca="false">VLOOKUP(B1831,'NIVEL ENERO'!A:F,4,0)</f>
        <v>#N/A</v>
      </c>
      <c r="H1831" s="225"/>
      <c r="I1831" s="225"/>
      <c r="L1831" s="226"/>
      <c r="M1831" s="226"/>
      <c r="P1831" s="228"/>
      <c r="Q1831" s="229"/>
      <c r="R1831" s="186" t="str">
        <f aca="false">+PROPER(C1831&amp;" "&amp;D1831)</f>
        <v> </v>
      </c>
      <c r="S1831" s="230" t="n">
        <f aca="false">+YEARFRAC(L1831,$S$1)</f>
        <v>126.366666666667</v>
      </c>
      <c r="T1831" s="230" t="n">
        <f aca="false">+YEARFRAC(M1831,$S$1)</f>
        <v>126.366666666667</v>
      </c>
      <c r="U1831" s="231" t="n">
        <f aca="false">+$I1831</f>
        <v>0</v>
      </c>
      <c r="V1831" s="232" t="str">
        <f aca="false">+PROPER(F1831)</f>
        <v/>
      </c>
    </row>
    <row r="1832" customFormat="false" ht="14.25" hidden="false" customHeight="false" outlineLevel="0" collapsed="false">
      <c r="G1832" s="225" t="e">
        <f aca="false">VLOOKUP(B1832,'NIVEL ENERO'!A:F,4,0)</f>
        <v>#N/A</v>
      </c>
      <c r="H1832" s="225"/>
      <c r="I1832" s="225"/>
      <c r="L1832" s="226"/>
      <c r="M1832" s="226"/>
      <c r="P1832" s="228"/>
      <c r="Q1832" s="229"/>
      <c r="R1832" s="186" t="str">
        <f aca="false">+PROPER(C1832&amp;" "&amp;D1832)</f>
        <v> </v>
      </c>
      <c r="S1832" s="230" t="n">
        <f aca="false">+YEARFRAC(L1832,$S$1)</f>
        <v>126.366666666667</v>
      </c>
      <c r="T1832" s="230" t="n">
        <f aca="false">+YEARFRAC(M1832,$S$1)</f>
        <v>126.366666666667</v>
      </c>
      <c r="U1832" s="231" t="n">
        <f aca="false">+$I1832</f>
        <v>0</v>
      </c>
      <c r="V1832" s="232" t="str">
        <f aca="false">+PROPER(F1832)</f>
        <v/>
      </c>
    </row>
    <row r="1833" customFormat="false" ht="14.25" hidden="false" customHeight="false" outlineLevel="0" collapsed="false">
      <c r="G1833" s="225" t="e">
        <f aca="false">VLOOKUP(B1833,'NIVEL ENERO'!A:F,4,0)</f>
        <v>#N/A</v>
      </c>
      <c r="H1833" s="225"/>
      <c r="I1833" s="225"/>
      <c r="L1833" s="226"/>
      <c r="M1833" s="226"/>
      <c r="P1833" s="228"/>
      <c r="Q1833" s="229"/>
      <c r="R1833" s="186" t="str">
        <f aca="false">+PROPER(C1833&amp;" "&amp;D1833)</f>
        <v> </v>
      </c>
      <c r="S1833" s="230" t="n">
        <f aca="false">+YEARFRAC(L1833,$S$1)</f>
        <v>126.366666666667</v>
      </c>
      <c r="T1833" s="230" t="n">
        <f aca="false">+YEARFRAC(M1833,$S$1)</f>
        <v>126.366666666667</v>
      </c>
      <c r="U1833" s="231" t="n">
        <f aca="false">+$I1833</f>
        <v>0</v>
      </c>
      <c r="V1833" s="232" t="str">
        <f aca="false">+PROPER(F1833)</f>
        <v/>
      </c>
    </row>
    <row r="1834" customFormat="false" ht="14.25" hidden="false" customHeight="false" outlineLevel="0" collapsed="false">
      <c r="G1834" s="225" t="e">
        <f aca="false">VLOOKUP(B1834,'NIVEL ENERO'!A:F,4,0)</f>
        <v>#N/A</v>
      </c>
      <c r="H1834" s="225"/>
      <c r="I1834" s="225"/>
      <c r="L1834" s="226"/>
      <c r="M1834" s="226"/>
      <c r="P1834" s="228"/>
      <c r="Q1834" s="229"/>
      <c r="R1834" s="186" t="str">
        <f aca="false">+PROPER(C1834&amp;" "&amp;D1834)</f>
        <v> </v>
      </c>
      <c r="S1834" s="230" t="n">
        <f aca="false">+YEARFRAC(L1834,$S$1)</f>
        <v>126.366666666667</v>
      </c>
      <c r="T1834" s="230" t="n">
        <f aca="false">+YEARFRAC(M1834,$S$1)</f>
        <v>126.366666666667</v>
      </c>
      <c r="U1834" s="231" t="n">
        <f aca="false">+$I1834</f>
        <v>0</v>
      </c>
      <c r="V1834" s="232" t="str">
        <f aca="false">+PROPER(F1834)</f>
        <v/>
      </c>
    </row>
    <row r="1835" customFormat="false" ht="14.25" hidden="false" customHeight="false" outlineLevel="0" collapsed="false">
      <c r="G1835" s="225" t="e">
        <f aca="false">VLOOKUP(B1835,'NIVEL ENERO'!A:F,4,0)</f>
        <v>#N/A</v>
      </c>
      <c r="H1835" s="225"/>
      <c r="I1835" s="225"/>
      <c r="L1835" s="226"/>
      <c r="M1835" s="226"/>
      <c r="P1835" s="228"/>
      <c r="Q1835" s="229"/>
      <c r="R1835" s="186" t="str">
        <f aca="false">+PROPER(C1835&amp;" "&amp;D1835)</f>
        <v> </v>
      </c>
      <c r="S1835" s="230" t="n">
        <f aca="false">+YEARFRAC(L1835,$S$1)</f>
        <v>126.366666666667</v>
      </c>
      <c r="T1835" s="230" t="n">
        <f aca="false">+YEARFRAC(M1835,$S$1)</f>
        <v>126.366666666667</v>
      </c>
      <c r="U1835" s="231" t="n">
        <f aca="false">+$I1835</f>
        <v>0</v>
      </c>
      <c r="V1835" s="232" t="str">
        <f aca="false">+PROPER(F1835)</f>
        <v/>
      </c>
    </row>
    <row r="1836" customFormat="false" ht="14.25" hidden="false" customHeight="false" outlineLevel="0" collapsed="false">
      <c r="G1836" s="225" t="e">
        <f aca="false">VLOOKUP(B1836,'NIVEL ENERO'!A:F,4,0)</f>
        <v>#N/A</v>
      </c>
      <c r="H1836" s="225"/>
      <c r="I1836" s="225"/>
      <c r="L1836" s="226"/>
      <c r="M1836" s="226"/>
      <c r="P1836" s="228"/>
      <c r="Q1836" s="229"/>
      <c r="R1836" s="186" t="str">
        <f aca="false">+PROPER(C1836&amp;" "&amp;D1836)</f>
        <v> </v>
      </c>
      <c r="S1836" s="230" t="n">
        <f aca="false">+YEARFRAC(L1836,$S$1)</f>
        <v>126.366666666667</v>
      </c>
      <c r="T1836" s="230" t="n">
        <f aca="false">+YEARFRAC(M1836,$S$1)</f>
        <v>126.366666666667</v>
      </c>
      <c r="U1836" s="231" t="n">
        <f aca="false">+$I1836</f>
        <v>0</v>
      </c>
      <c r="V1836" s="232" t="str">
        <f aca="false">+PROPER(F1836)</f>
        <v/>
      </c>
    </row>
    <row r="1837" customFormat="false" ht="14.25" hidden="false" customHeight="false" outlineLevel="0" collapsed="false">
      <c r="G1837" s="225" t="e">
        <f aca="false">VLOOKUP(B1837,'NIVEL ENERO'!A:F,4,0)</f>
        <v>#N/A</v>
      </c>
      <c r="H1837" s="225"/>
      <c r="I1837" s="225"/>
      <c r="L1837" s="226"/>
      <c r="M1837" s="226"/>
      <c r="P1837" s="228"/>
      <c r="Q1837" s="229"/>
      <c r="R1837" s="186" t="str">
        <f aca="false">+PROPER(C1837&amp;" "&amp;D1837)</f>
        <v> </v>
      </c>
      <c r="S1837" s="230" t="n">
        <f aca="false">+YEARFRAC(L1837,$S$1)</f>
        <v>126.366666666667</v>
      </c>
      <c r="T1837" s="230" t="n">
        <f aca="false">+YEARFRAC(M1837,$S$1)</f>
        <v>126.366666666667</v>
      </c>
      <c r="U1837" s="231" t="n">
        <f aca="false">+$I1837</f>
        <v>0</v>
      </c>
      <c r="V1837" s="232" t="str">
        <f aca="false">+PROPER(F1837)</f>
        <v/>
      </c>
    </row>
    <row r="1838" customFormat="false" ht="14.25" hidden="false" customHeight="false" outlineLevel="0" collapsed="false">
      <c r="G1838" s="225" t="e">
        <f aca="false">VLOOKUP(B1838,'NIVEL ENERO'!A:F,4,0)</f>
        <v>#N/A</v>
      </c>
      <c r="H1838" s="225"/>
      <c r="I1838" s="225"/>
      <c r="L1838" s="226"/>
      <c r="M1838" s="226"/>
      <c r="P1838" s="228"/>
      <c r="Q1838" s="229"/>
      <c r="R1838" s="186" t="str">
        <f aca="false">+PROPER(C1838&amp;" "&amp;D1838)</f>
        <v> </v>
      </c>
      <c r="S1838" s="230" t="n">
        <f aca="false">+YEARFRAC(L1838,$S$1)</f>
        <v>126.366666666667</v>
      </c>
      <c r="T1838" s="230" t="n">
        <f aca="false">+YEARFRAC(M1838,$S$1)</f>
        <v>126.366666666667</v>
      </c>
      <c r="U1838" s="231" t="n">
        <f aca="false">+$I1838</f>
        <v>0</v>
      </c>
      <c r="V1838" s="232" t="str">
        <f aca="false">+PROPER(F1838)</f>
        <v/>
      </c>
    </row>
    <row r="1839" customFormat="false" ht="14.25" hidden="false" customHeight="false" outlineLevel="0" collapsed="false">
      <c r="B1839" s="242"/>
      <c r="C1839" s="242"/>
      <c r="D1839" s="242"/>
      <c r="E1839" s="242"/>
      <c r="F1839" s="242"/>
      <c r="G1839" s="225" t="e">
        <f aca="false">VLOOKUP(B1839,'NIVEL ENERO'!A:F,4,0)</f>
        <v>#N/A</v>
      </c>
      <c r="H1839" s="243"/>
      <c r="I1839" s="243"/>
      <c r="J1839" s="242"/>
      <c r="K1839" s="242"/>
      <c r="L1839" s="226"/>
      <c r="M1839" s="226"/>
      <c r="P1839" s="228"/>
      <c r="Q1839" s="229"/>
      <c r="R1839" s="186" t="str">
        <f aca="false">+PROPER(C1839&amp;" "&amp;D1839)</f>
        <v> </v>
      </c>
      <c r="S1839" s="230" t="n">
        <f aca="false">+YEARFRAC(L1839,$S$1)</f>
        <v>126.366666666667</v>
      </c>
      <c r="T1839" s="230" t="n">
        <f aca="false">+YEARFRAC(M1839,$S$1)</f>
        <v>126.366666666667</v>
      </c>
      <c r="U1839" s="231" t="n">
        <f aca="false">+$I1839</f>
        <v>0</v>
      </c>
      <c r="V1839" s="232" t="str">
        <f aca="false">+PROPER(F1839)</f>
        <v/>
      </c>
    </row>
    <row r="1840" customFormat="false" ht="14.25" hidden="false" customHeight="false" outlineLevel="0" collapsed="false">
      <c r="B1840" s="244"/>
      <c r="C1840" s="245"/>
      <c r="D1840" s="245"/>
      <c r="E1840" s="246"/>
      <c r="F1840" s="246"/>
      <c r="G1840" s="225" t="e">
        <f aca="false">VLOOKUP(B1840,'NIVEL ENERO'!A:F,4,0)</f>
        <v>#N/A</v>
      </c>
      <c r="H1840" s="247"/>
      <c r="I1840" s="247"/>
      <c r="J1840" s="227"/>
      <c r="K1840" s="246"/>
      <c r="L1840" s="226"/>
      <c r="M1840" s="226"/>
      <c r="N1840" s="246"/>
      <c r="P1840" s="228"/>
      <c r="Q1840" s="229"/>
      <c r="R1840" s="186" t="str">
        <f aca="false">+PROPER(C1840&amp;" "&amp;D1840)</f>
        <v> </v>
      </c>
      <c r="S1840" s="230" t="n">
        <f aca="false">+YEARFRAC(L1840,$S$1)</f>
        <v>126.366666666667</v>
      </c>
      <c r="T1840" s="230" t="n">
        <f aca="false">+YEARFRAC(M1840,$S$1)</f>
        <v>126.366666666667</v>
      </c>
      <c r="U1840" s="231" t="n">
        <f aca="false">+$I1840</f>
        <v>0</v>
      </c>
      <c r="V1840" s="232" t="str">
        <f aca="false">+PROPER(F1840)</f>
        <v/>
      </c>
    </row>
    <row r="1841" customFormat="false" ht="14.25" hidden="false" customHeight="false" outlineLevel="0" collapsed="false">
      <c r="B1841" s="244"/>
      <c r="C1841" s="245"/>
      <c r="D1841" s="245"/>
      <c r="E1841" s="246"/>
      <c r="F1841" s="246"/>
      <c r="G1841" s="225" t="e">
        <f aca="false">VLOOKUP(B1841,'NIVEL ENERO'!A:F,4,0)</f>
        <v>#N/A</v>
      </c>
      <c r="H1841" s="247"/>
      <c r="I1841" s="247"/>
      <c r="J1841" s="227"/>
      <c r="K1841" s="246"/>
      <c r="L1841" s="226"/>
      <c r="M1841" s="226"/>
      <c r="N1841" s="246"/>
      <c r="P1841" s="228"/>
      <c r="Q1841" s="245"/>
      <c r="R1841" s="186" t="str">
        <f aca="false">+PROPER(C1841&amp;" "&amp;D1841)</f>
        <v> </v>
      </c>
      <c r="S1841" s="230" t="n">
        <f aca="false">+YEARFRAC(L1841,$S$1)</f>
        <v>126.366666666667</v>
      </c>
      <c r="T1841" s="230" t="n">
        <f aca="false">+YEARFRAC(M1841,$S$1)</f>
        <v>126.366666666667</v>
      </c>
      <c r="U1841" s="231" t="n">
        <f aca="false">+$I1841</f>
        <v>0</v>
      </c>
      <c r="V1841" s="232" t="str">
        <f aca="false">+PROPER(F1841)</f>
        <v/>
      </c>
    </row>
    <row r="1842" customFormat="false" ht="14.25" hidden="false" customHeight="false" outlineLevel="0" collapsed="false">
      <c r="B1842" s="244"/>
      <c r="C1842" s="245"/>
      <c r="D1842" s="245"/>
      <c r="E1842" s="246"/>
      <c r="F1842" s="246"/>
      <c r="G1842" s="225" t="e">
        <f aca="false">VLOOKUP(B1842,'NIVEL ENERO'!A:F,4,0)</f>
        <v>#N/A</v>
      </c>
      <c r="H1842" s="247"/>
      <c r="I1842" s="247"/>
      <c r="J1842" s="227"/>
      <c r="K1842" s="246"/>
      <c r="L1842" s="226"/>
      <c r="M1842" s="226"/>
      <c r="N1842" s="246"/>
      <c r="P1842" s="228"/>
      <c r="Q1842" s="245"/>
      <c r="R1842" s="186" t="str">
        <f aca="false">+PROPER(C1842&amp;" "&amp;D1842)</f>
        <v> </v>
      </c>
      <c r="S1842" s="230" t="n">
        <f aca="false">+YEARFRAC(L1842,$S$1)</f>
        <v>126.366666666667</v>
      </c>
      <c r="T1842" s="230" t="n">
        <f aca="false">+YEARFRAC(M1842,$S$1)</f>
        <v>126.366666666667</v>
      </c>
      <c r="U1842" s="231" t="n">
        <f aca="false">+$I1842</f>
        <v>0</v>
      </c>
      <c r="V1842" s="232" t="str">
        <f aca="false">+PROPER(F1842)</f>
        <v/>
      </c>
    </row>
    <row r="1843" customFormat="false" ht="14.25" hidden="false" customHeight="false" outlineLevel="0" collapsed="false">
      <c r="B1843" s="244"/>
      <c r="C1843" s="245"/>
      <c r="D1843" s="245"/>
      <c r="E1843" s="246"/>
      <c r="F1843" s="246"/>
      <c r="G1843" s="225" t="e">
        <f aca="false">VLOOKUP(B1843,'NIVEL ENERO'!A:F,4,0)</f>
        <v>#N/A</v>
      </c>
      <c r="H1843" s="247"/>
      <c r="I1843" s="247"/>
      <c r="J1843" s="248"/>
      <c r="K1843" s="246"/>
      <c r="L1843" s="226"/>
      <c r="M1843" s="226"/>
      <c r="N1843" s="246"/>
      <c r="P1843" s="228"/>
      <c r="Q1843" s="245"/>
      <c r="R1843" s="186" t="str">
        <f aca="false">+PROPER(C1843&amp;" "&amp;D1843)</f>
        <v> </v>
      </c>
      <c r="S1843" s="230" t="n">
        <f aca="false">+YEARFRAC(L1843,$S$1)</f>
        <v>126.366666666667</v>
      </c>
      <c r="T1843" s="230" t="n">
        <f aca="false">+YEARFRAC(M1843,$S$1)</f>
        <v>126.366666666667</v>
      </c>
      <c r="U1843" s="231" t="n">
        <f aca="false">+$I1843</f>
        <v>0</v>
      </c>
      <c r="V1843" s="232" t="str">
        <f aca="false">+PROPER(F1843)</f>
        <v/>
      </c>
    </row>
    <row r="1844" customFormat="false" ht="14.25" hidden="false" customHeight="false" outlineLevel="0" collapsed="false">
      <c r="B1844" s="244"/>
      <c r="C1844" s="245"/>
      <c r="D1844" s="245"/>
      <c r="E1844" s="246"/>
      <c r="F1844" s="246"/>
      <c r="G1844" s="225" t="e">
        <f aca="false">VLOOKUP(B1844,'NIVEL ENERO'!A:F,4,0)</f>
        <v>#N/A</v>
      </c>
      <c r="H1844" s="247"/>
      <c r="I1844" s="247"/>
      <c r="J1844" s="246"/>
      <c r="K1844" s="246"/>
      <c r="L1844" s="226"/>
      <c r="M1844" s="226"/>
      <c r="N1844" s="246"/>
      <c r="P1844" s="228"/>
      <c r="Q1844" s="245"/>
      <c r="R1844" s="186" t="str">
        <f aca="false">+PROPER(C1844&amp;" "&amp;D1844)</f>
        <v> </v>
      </c>
      <c r="S1844" s="230" t="n">
        <f aca="false">+YEARFRAC(L1844,$S$1)</f>
        <v>126.366666666667</v>
      </c>
      <c r="T1844" s="230" t="n">
        <f aca="false">+YEARFRAC(M1844,$S$1)</f>
        <v>126.366666666667</v>
      </c>
      <c r="U1844" s="231" t="n">
        <f aca="false">+$I1844</f>
        <v>0</v>
      </c>
      <c r="V1844" s="232" t="str">
        <f aca="false">+PROPER(F1844)</f>
        <v/>
      </c>
    </row>
    <row r="1845" customFormat="false" ht="14.25" hidden="false" customHeight="false" outlineLevel="0" collapsed="false">
      <c r="B1845" s="244"/>
      <c r="C1845" s="245"/>
      <c r="D1845" s="245"/>
      <c r="E1845" s="246"/>
      <c r="F1845" s="246"/>
      <c r="G1845" s="225" t="e">
        <f aca="false">VLOOKUP(B1845,'NIVEL ENERO'!A:F,4,0)</f>
        <v>#N/A</v>
      </c>
      <c r="H1845" s="247"/>
      <c r="I1845" s="247"/>
      <c r="J1845" s="246"/>
      <c r="K1845" s="246"/>
      <c r="L1845" s="226"/>
      <c r="M1845" s="226"/>
      <c r="N1845" s="246"/>
      <c r="P1845" s="228"/>
      <c r="Q1845" s="245"/>
      <c r="R1845" s="186" t="str">
        <f aca="false">+PROPER(C1845&amp;" "&amp;D1845)</f>
        <v> </v>
      </c>
      <c r="S1845" s="230" t="n">
        <f aca="false">+YEARFRAC(L1845,$S$1)</f>
        <v>126.366666666667</v>
      </c>
      <c r="T1845" s="230" t="n">
        <f aca="false">+YEARFRAC(M1845,$S$1)</f>
        <v>126.366666666667</v>
      </c>
      <c r="U1845" s="231" t="n">
        <f aca="false">+$I1845</f>
        <v>0</v>
      </c>
      <c r="V1845" s="232" t="str">
        <f aca="false">+PROPER(F1845)</f>
        <v/>
      </c>
    </row>
    <row r="1846" customFormat="false" ht="14.25" hidden="false" customHeight="false" outlineLevel="0" collapsed="false">
      <c r="B1846" s="244"/>
      <c r="C1846" s="245"/>
      <c r="D1846" s="245"/>
      <c r="E1846" s="246"/>
      <c r="F1846" s="246"/>
      <c r="G1846" s="225" t="e">
        <f aca="false">VLOOKUP(B1846,'NIVEL ENERO'!A:F,4,0)</f>
        <v>#N/A</v>
      </c>
      <c r="H1846" s="247"/>
      <c r="I1846" s="247"/>
      <c r="J1846" s="246"/>
      <c r="K1846" s="246"/>
      <c r="L1846" s="226"/>
      <c r="M1846" s="226"/>
      <c r="N1846" s="246"/>
      <c r="P1846" s="228"/>
      <c r="Q1846" s="245"/>
      <c r="R1846" s="186" t="str">
        <f aca="false">+PROPER(C1846&amp;" "&amp;D1846)</f>
        <v> </v>
      </c>
      <c r="S1846" s="230" t="n">
        <f aca="false">+YEARFRAC(L1846,$S$1)</f>
        <v>126.366666666667</v>
      </c>
      <c r="T1846" s="230" t="n">
        <f aca="false">+YEARFRAC(M1846,$S$1)</f>
        <v>126.366666666667</v>
      </c>
      <c r="U1846" s="231" t="n">
        <f aca="false">+$I1846</f>
        <v>0</v>
      </c>
      <c r="V1846" s="232" t="str">
        <f aca="false">+PROPER(F1846)</f>
        <v/>
      </c>
    </row>
    <row r="1847" customFormat="false" ht="14.25" hidden="false" customHeight="false" outlineLevel="0" collapsed="false">
      <c r="B1847" s="244"/>
      <c r="C1847" s="245"/>
      <c r="D1847" s="245"/>
      <c r="E1847" s="246"/>
      <c r="F1847" s="246"/>
      <c r="G1847" s="225" t="e">
        <f aca="false">VLOOKUP(B1847,'NIVEL ENERO'!A:F,4,0)</f>
        <v>#N/A</v>
      </c>
      <c r="H1847" s="247"/>
      <c r="I1847" s="247"/>
      <c r="J1847" s="246"/>
      <c r="K1847" s="246"/>
      <c r="L1847" s="226"/>
      <c r="M1847" s="226"/>
      <c r="N1847" s="246"/>
      <c r="P1847" s="228"/>
      <c r="Q1847" s="245"/>
      <c r="R1847" s="186" t="str">
        <f aca="false">+PROPER(C1847&amp;" "&amp;D1847)</f>
        <v> </v>
      </c>
      <c r="S1847" s="230" t="n">
        <f aca="false">+YEARFRAC(L1847,$S$1)</f>
        <v>126.366666666667</v>
      </c>
      <c r="T1847" s="230" t="n">
        <f aca="false">+YEARFRAC(M1847,$S$1)</f>
        <v>126.366666666667</v>
      </c>
      <c r="U1847" s="231" t="n">
        <f aca="false">+$I1847</f>
        <v>0</v>
      </c>
      <c r="V1847" s="232" t="str">
        <f aca="false">+PROPER(F1847)</f>
        <v/>
      </c>
    </row>
    <row r="1848" customFormat="false" ht="14.25" hidden="false" customHeight="false" outlineLevel="0" collapsed="false">
      <c r="B1848" s="244"/>
      <c r="C1848" s="245"/>
      <c r="D1848" s="245"/>
      <c r="E1848" s="246"/>
      <c r="F1848" s="246"/>
      <c r="G1848" s="225" t="e">
        <f aca="false">VLOOKUP(B1848,'NIVEL ENERO'!A:F,4,0)</f>
        <v>#N/A</v>
      </c>
      <c r="H1848" s="247"/>
      <c r="I1848" s="247"/>
      <c r="J1848" s="246"/>
      <c r="K1848" s="246"/>
      <c r="L1848" s="226"/>
      <c r="M1848" s="226"/>
      <c r="N1848" s="246"/>
      <c r="P1848" s="228"/>
      <c r="Q1848" s="245"/>
      <c r="R1848" s="186" t="str">
        <f aca="false">+PROPER(C1848&amp;" "&amp;D1848)</f>
        <v> </v>
      </c>
      <c r="S1848" s="230" t="n">
        <f aca="false">+YEARFRAC(L1848,$S$1)</f>
        <v>126.366666666667</v>
      </c>
      <c r="T1848" s="230" t="n">
        <f aca="false">+YEARFRAC(M1848,$S$1)</f>
        <v>126.366666666667</v>
      </c>
      <c r="U1848" s="231" t="n">
        <f aca="false">+$I1848</f>
        <v>0</v>
      </c>
      <c r="V1848" s="232" t="str">
        <f aca="false">+PROPER(F1848)</f>
        <v/>
      </c>
    </row>
    <row r="1849" customFormat="false" ht="14.25" hidden="false" customHeight="false" outlineLevel="0" collapsed="false">
      <c r="B1849" s="244"/>
      <c r="C1849" s="245"/>
      <c r="D1849" s="245"/>
      <c r="E1849" s="246"/>
      <c r="F1849" s="246"/>
      <c r="G1849" s="225" t="e">
        <f aca="false">VLOOKUP(B1849,'NIVEL ENERO'!A:F,4,0)</f>
        <v>#N/A</v>
      </c>
      <c r="H1849" s="247"/>
      <c r="I1849" s="247"/>
      <c r="J1849" s="246"/>
      <c r="K1849" s="246"/>
      <c r="L1849" s="226"/>
      <c r="M1849" s="226"/>
      <c r="N1849" s="246"/>
      <c r="P1849" s="228"/>
      <c r="Q1849" s="245"/>
      <c r="R1849" s="186" t="str">
        <f aca="false">+PROPER(C1849&amp;" "&amp;D1849)</f>
        <v> </v>
      </c>
      <c r="S1849" s="230" t="n">
        <f aca="false">+YEARFRAC(L1849,$S$1)</f>
        <v>126.366666666667</v>
      </c>
      <c r="T1849" s="230" t="n">
        <f aca="false">+YEARFRAC(M1849,$S$1)</f>
        <v>126.366666666667</v>
      </c>
      <c r="U1849" s="231" t="n">
        <f aca="false">+$I1849</f>
        <v>0</v>
      </c>
      <c r="V1849" s="232" t="str">
        <f aca="false">+PROPER(F1849)</f>
        <v/>
      </c>
    </row>
    <row r="1850" customFormat="false" ht="14.25" hidden="false" customHeight="false" outlineLevel="0" collapsed="false">
      <c r="B1850" s="244"/>
      <c r="C1850" s="245"/>
      <c r="D1850" s="245"/>
      <c r="E1850" s="246"/>
      <c r="F1850" s="246"/>
      <c r="G1850" s="225" t="e">
        <f aca="false">VLOOKUP(B1850,'NIVEL ENERO'!A:F,4,0)</f>
        <v>#N/A</v>
      </c>
      <c r="H1850" s="247"/>
      <c r="I1850" s="247"/>
      <c r="J1850" s="246"/>
      <c r="K1850" s="246"/>
      <c r="L1850" s="226"/>
      <c r="M1850" s="226"/>
      <c r="N1850" s="246"/>
      <c r="P1850" s="228"/>
      <c r="Q1850" s="245"/>
      <c r="R1850" s="186" t="str">
        <f aca="false">+PROPER(C1850&amp;" "&amp;D1850)</f>
        <v> </v>
      </c>
      <c r="S1850" s="230" t="n">
        <f aca="false">+YEARFRAC(L1850,$S$1)</f>
        <v>126.366666666667</v>
      </c>
      <c r="T1850" s="230" t="n">
        <f aca="false">+YEARFRAC(M1850,$S$1)</f>
        <v>126.366666666667</v>
      </c>
      <c r="U1850" s="231" t="n">
        <f aca="false">+$I1850</f>
        <v>0</v>
      </c>
      <c r="V1850" s="232" t="str">
        <f aca="false">+PROPER(F1850)</f>
        <v/>
      </c>
    </row>
    <row r="1851" customFormat="false" ht="14.25" hidden="false" customHeight="false" outlineLevel="0" collapsed="false">
      <c r="B1851" s="244"/>
      <c r="C1851" s="245"/>
      <c r="D1851" s="245"/>
      <c r="E1851" s="246"/>
      <c r="F1851" s="246"/>
      <c r="G1851" s="225" t="e">
        <f aca="false">VLOOKUP(B1851,'NIVEL ENERO'!A:F,4,0)</f>
        <v>#N/A</v>
      </c>
      <c r="H1851" s="247"/>
      <c r="I1851" s="247"/>
      <c r="J1851" s="246"/>
      <c r="K1851" s="246"/>
      <c r="L1851" s="226"/>
      <c r="M1851" s="226"/>
      <c r="N1851" s="246"/>
      <c r="P1851" s="228"/>
      <c r="Q1851" s="245"/>
      <c r="R1851" s="186" t="str">
        <f aca="false">+PROPER(C1851&amp;" "&amp;D1851)</f>
        <v> </v>
      </c>
      <c r="S1851" s="230" t="n">
        <f aca="false">+YEARFRAC(L1851,$S$1)</f>
        <v>126.366666666667</v>
      </c>
      <c r="T1851" s="230" t="n">
        <f aca="false">+YEARFRAC(M1851,$S$1)</f>
        <v>126.366666666667</v>
      </c>
      <c r="U1851" s="231" t="n">
        <f aca="false">+$I1851</f>
        <v>0</v>
      </c>
      <c r="V1851" s="232" t="str">
        <f aca="false">+PROPER(F1851)</f>
        <v/>
      </c>
    </row>
    <row r="1852" customFormat="false" ht="14.25" hidden="false" customHeight="false" outlineLevel="0" collapsed="false">
      <c r="B1852" s="244"/>
      <c r="C1852" s="245"/>
      <c r="D1852" s="245"/>
      <c r="E1852" s="246"/>
      <c r="F1852" s="246"/>
      <c r="G1852" s="225" t="e">
        <f aca="false">VLOOKUP(B1852,'NIVEL ENERO'!A:F,4,0)</f>
        <v>#N/A</v>
      </c>
      <c r="H1852" s="247"/>
      <c r="I1852" s="247"/>
      <c r="J1852" s="246"/>
      <c r="K1852" s="246"/>
      <c r="L1852" s="226"/>
      <c r="M1852" s="226"/>
      <c r="N1852" s="246"/>
      <c r="P1852" s="228"/>
      <c r="Q1852" s="245"/>
      <c r="R1852" s="186" t="str">
        <f aca="false">+PROPER(C1852&amp;" "&amp;D1852)</f>
        <v> </v>
      </c>
      <c r="S1852" s="230" t="n">
        <f aca="false">+YEARFRAC(L1852,$S$1)</f>
        <v>126.366666666667</v>
      </c>
      <c r="T1852" s="230" t="n">
        <f aca="false">+YEARFRAC(M1852,$S$1)</f>
        <v>126.366666666667</v>
      </c>
      <c r="U1852" s="231" t="n">
        <f aca="false">+$I1852</f>
        <v>0</v>
      </c>
      <c r="V1852" s="232" t="str">
        <f aca="false">+PROPER(F1852)</f>
        <v/>
      </c>
    </row>
    <row r="1853" customFormat="false" ht="14.25" hidden="false" customHeight="false" outlineLevel="0" collapsed="false">
      <c r="B1853" s="244"/>
      <c r="C1853" s="245"/>
      <c r="D1853" s="245"/>
      <c r="E1853" s="246"/>
      <c r="F1853" s="246"/>
      <c r="G1853" s="225" t="e">
        <f aca="false">VLOOKUP(B1853,'NIVEL ENERO'!A:F,4,0)</f>
        <v>#N/A</v>
      </c>
      <c r="H1853" s="247"/>
      <c r="I1853" s="247"/>
      <c r="J1853" s="246"/>
      <c r="K1853" s="246"/>
      <c r="L1853" s="226"/>
      <c r="M1853" s="226"/>
      <c r="N1853" s="246"/>
      <c r="P1853" s="228"/>
      <c r="Q1853" s="245"/>
      <c r="R1853" s="186" t="str">
        <f aca="false">+PROPER(C1853&amp;" "&amp;D1853)</f>
        <v> </v>
      </c>
      <c r="S1853" s="230" t="n">
        <f aca="false">+YEARFRAC(L1853,$S$1)</f>
        <v>126.366666666667</v>
      </c>
      <c r="T1853" s="230" t="n">
        <f aca="false">+YEARFRAC(M1853,$S$1)</f>
        <v>126.366666666667</v>
      </c>
      <c r="U1853" s="231" t="n">
        <f aca="false">+$I1853</f>
        <v>0</v>
      </c>
      <c r="V1853" s="232" t="str">
        <f aca="false">+PROPER(F1853)</f>
        <v/>
      </c>
    </row>
    <row r="1854" customFormat="false" ht="14.25" hidden="false" customHeight="false" outlineLevel="0" collapsed="false">
      <c r="B1854" s="244"/>
      <c r="C1854" s="245"/>
      <c r="D1854" s="245"/>
      <c r="E1854" s="246"/>
      <c r="F1854" s="246"/>
      <c r="G1854" s="225" t="e">
        <f aca="false">VLOOKUP(B1854,'NIVEL ENERO'!A:F,4,0)</f>
        <v>#N/A</v>
      </c>
      <c r="H1854" s="247"/>
      <c r="I1854" s="247"/>
      <c r="J1854" s="246"/>
      <c r="K1854" s="246"/>
      <c r="L1854" s="226"/>
      <c r="M1854" s="226"/>
      <c r="N1854" s="246"/>
      <c r="P1854" s="228"/>
      <c r="Q1854" s="245"/>
      <c r="R1854" s="186" t="str">
        <f aca="false">+PROPER(C1854&amp;" "&amp;D1854)</f>
        <v> </v>
      </c>
      <c r="S1854" s="230" t="n">
        <f aca="false">+YEARFRAC(L1854,$S$1)</f>
        <v>126.366666666667</v>
      </c>
      <c r="T1854" s="230" t="n">
        <f aca="false">+YEARFRAC(M1854,$S$1)</f>
        <v>126.366666666667</v>
      </c>
      <c r="U1854" s="231" t="n">
        <f aca="false">+$I1854</f>
        <v>0</v>
      </c>
      <c r="V1854" s="232" t="str">
        <f aca="false">+PROPER(F1854)</f>
        <v/>
      </c>
    </row>
    <row r="1855" customFormat="false" ht="14.25" hidden="false" customHeight="false" outlineLevel="0" collapsed="false">
      <c r="B1855" s="244"/>
      <c r="C1855" s="245"/>
      <c r="D1855" s="245"/>
      <c r="E1855" s="246"/>
      <c r="F1855" s="246"/>
      <c r="G1855" s="225" t="e">
        <f aca="false">VLOOKUP(B1855,'NIVEL ENERO'!A:F,4,0)</f>
        <v>#N/A</v>
      </c>
      <c r="H1855" s="247"/>
      <c r="I1855" s="247"/>
      <c r="J1855" s="246"/>
      <c r="K1855" s="246"/>
      <c r="L1855" s="226"/>
      <c r="M1855" s="226"/>
      <c r="N1855" s="246"/>
      <c r="P1855" s="228"/>
      <c r="Q1855" s="245"/>
      <c r="R1855" s="186" t="str">
        <f aca="false">+PROPER(C1855&amp;" "&amp;D1855)</f>
        <v> </v>
      </c>
      <c r="S1855" s="230" t="n">
        <f aca="false">+YEARFRAC(L1855,$S$1)</f>
        <v>126.366666666667</v>
      </c>
      <c r="T1855" s="230" t="n">
        <f aca="false">+YEARFRAC(M1855,$S$1)</f>
        <v>126.366666666667</v>
      </c>
      <c r="U1855" s="231" t="n">
        <f aca="false">+$I1855</f>
        <v>0</v>
      </c>
      <c r="V1855" s="232" t="str">
        <f aca="false">+PROPER(F1855)</f>
        <v/>
      </c>
    </row>
    <row r="1856" customFormat="false" ht="14.25" hidden="false" customHeight="false" outlineLevel="0" collapsed="false">
      <c r="B1856" s="244"/>
      <c r="C1856" s="245"/>
      <c r="D1856" s="245"/>
      <c r="E1856" s="246"/>
      <c r="F1856" s="246"/>
      <c r="G1856" s="225" t="e">
        <f aca="false">VLOOKUP(B1856,'NIVEL ENERO'!A:F,4,0)</f>
        <v>#N/A</v>
      </c>
      <c r="H1856" s="247"/>
      <c r="I1856" s="247"/>
      <c r="J1856" s="246"/>
      <c r="K1856" s="246"/>
      <c r="L1856" s="226"/>
      <c r="M1856" s="226"/>
      <c r="N1856" s="246"/>
      <c r="P1856" s="228"/>
      <c r="Q1856" s="245"/>
      <c r="R1856" s="186" t="str">
        <f aca="false">+PROPER(C1856&amp;" "&amp;D1856)</f>
        <v> </v>
      </c>
      <c r="S1856" s="230" t="n">
        <f aca="false">+YEARFRAC(L1856,$S$1)</f>
        <v>126.366666666667</v>
      </c>
      <c r="T1856" s="230" t="n">
        <f aca="false">+YEARFRAC(M1856,$S$1)</f>
        <v>126.366666666667</v>
      </c>
      <c r="U1856" s="231" t="n">
        <f aca="false">+$I1856</f>
        <v>0</v>
      </c>
      <c r="V1856" s="232" t="str">
        <f aca="false">+PROPER(F1856)</f>
        <v/>
      </c>
    </row>
    <row r="1857" customFormat="false" ht="14.25" hidden="false" customHeight="false" outlineLevel="0" collapsed="false">
      <c r="B1857" s="244"/>
      <c r="C1857" s="245"/>
      <c r="D1857" s="245"/>
      <c r="E1857" s="246"/>
      <c r="F1857" s="246"/>
      <c r="G1857" s="225" t="e">
        <f aca="false">VLOOKUP(B1857,'NIVEL ENERO'!A:F,4,0)</f>
        <v>#N/A</v>
      </c>
      <c r="H1857" s="247"/>
      <c r="I1857" s="247"/>
      <c r="J1857" s="246"/>
      <c r="K1857" s="246"/>
      <c r="L1857" s="226"/>
      <c r="M1857" s="226"/>
      <c r="N1857" s="246"/>
      <c r="P1857" s="228"/>
      <c r="Q1857" s="245"/>
      <c r="R1857" s="186" t="str">
        <f aca="false">+PROPER(C1857&amp;" "&amp;D1857)</f>
        <v> </v>
      </c>
      <c r="S1857" s="230" t="n">
        <f aca="false">+YEARFRAC(L1857,$S$1)</f>
        <v>126.366666666667</v>
      </c>
      <c r="T1857" s="230" t="n">
        <f aca="false">+YEARFRAC(M1857,$S$1)</f>
        <v>126.366666666667</v>
      </c>
      <c r="U1857" s="231" t="n">
        <f aca="false">+$I1857</f>
        <v>0</v>
      </c>
      <c r="V1857" s="232" t="str">
        <f aca="false">+PROPER(F1857)</f>
        <v/>
      </c>
    </row>
    <row r="1858" customFormat="false" ht="14.25" hidden="false" customHeight="false" outlineLevel="0" collapsed="false">
      <c r="B1858" s="244"/>
      <c r="C1858" s="245"/>
      <c r="D1858" s="245"/>
      <c r="E1858" s="246"/>
      <c r="F1858" s="246"/>
      <c r="G1858" s="225" t="e">
        <f aca="false">VLOOKUP(B1858,'NIVEL ENERO'!A:F,4,0)</f>
        <v>#N/A</v>
      </c>
      <c r="H1858" s="247"/>
      <c r="I1858" s="247"/>
      <c r="J1858" s="246"/>
      <c r="K1858" s="246"/>
      <c r="L1858" s="226"/>
      <c r="M1858" s="226"/>
      <c r="N1858" s="246"/>
      <c r="P1858" s="228"/>
      <c r="Q1858" s="245"/>
      <c r="R1858" s="186" t="str">
        <f aca="false">+PROPER(C1858&amp;" "&amp;D1858)</f>
        <v> </v>
      </c>
      <c r="S1858" s="230" t="n">
        <f aca="false">+YEARFRAC(L1858,$S$1)</f>
        <v>126.366666666667</v>
      </c>
      <c r="T1858" s="230" t="n">
        <f aca="false">+YEARFRAC(M1858,$S$1)</f>
        <v>126.366666666667</v>
      </c>
      <c r="U1858" s="231" t="n">
        <f aca="false">+$I1858</f>
        <v>0</v>
      </c>
      <c r="V1858" s="232" t="str">
        <f aca="false">+PROPER(F1858)</f>
        <v/>
      </c>
    </row>
    <row r="1859" customFormat="false" ht="14.25" hidden="false" customHeight="false" outlineLevel="0" collapsed="false">
      <c r="B1859" s="244"/>
      <c r="C1859" s="245"/>
      <c r="D1859" s="245"/>
      <c r="E1859" s="246"/>
      <c r="F1859" s="246"/>
      <c r="G1859" s="225" t="e">
        <f aca="false">VLOOKUP(B1859,'NIVEL ENERO'!A:F,4,0)</f>
        <v>#N/A</v>
      </c>
      <c r="H1859" s="247"/>
      <c r="I1859" s="247"/>
      <c r="J1859" s="246"/>
      <c r="K1859" s="246"/>
      <c r="L1859" s="226"/>
      <c r="M1859" s="226"/>
      <c r="N1859" s="246"/>
      <c r="P1859" s="228"/>
      <c r="Q1859" s="245"/>
      <c r="R1859" s="186" t="str">
        <f aca="false">+PROPER(C1859&amp;" "&amp;D1859)</f>
        <v> </v>
      </c>
      <c r="S1859" s="230" t="n">
        <f aca="false">+YEARFRAC(L1859,$S$1)</f>
        <v>126.366666666667</v>
      </c>
      <c r="T1859" s="230" t="n">
        <f aca="false">+YEARFRAC(M1859,$S$1)</f>
        <v>126.366666666667</v>
      </c>
      <c r="U1859" s="231" t="n">
        <f aca="false">+$I1859</f>
        <v>0</v>
      </c>
      <c r="V1859" s="232" t="str">
        <f aca="false">+PROPER(F1859)</f>
        <v/>
      </c>
    </row>
    <row r="1860" customFormat="false" ht="14.25" hidden="false" customHeight="false" outlineLevel="0" collapsed="false">
      <c r="B1860" s="244"/>
      <c r="C1860" s="245"/>
      <c r="D1860" s="245"/>
      <c r="E1860" s="246"/>
      <c r="F1860" s="246"/>
      <c r="G1860" s="225" t="e">
        <f aca="false">VLOOKUP(B1860,'NIVEL ENERO'!A:F,4,0)</f>
        <v>#N/A</v>
      </c>
      <c r="H1860" s="247"/>
      <c r="I1860" s="247"/>
      <c r="J1860" s="246"/>
      <c r="K1860" s="246"/>
      <c r="L1860" s="226"/>
      <c r="M1860" s="226"/>
      <c r="N1860" s="246"/>
      <c r="P1860" s="228"/>
      <c r="Q1860" s="245"/>
      <c r="R1860" s="186" t="str">
        <f aca="false">+PROPER(C1860&amp;" "&amp;D1860)</f>
        <v> </v>
      </c>
      <c r="S1860" s="230" t="n">
        <f aca="false">+YEARFRAC(L1860,$S$1)</f>
        <v>126.366666666667</v>
      </c>
      <c r="T1860" s="230" t="n">
        <f aca="false">+YEARFRAC(M1860,$S$1)</f>
        <v>126.366666666667</v>
      </c>
      <c r="U1860" s="231" t="n">
        <f aca="false">+$I1860</f>
        <v>0</v>
      </c>
      <c r="V1860" s="232" t="str">
        <f aca="false">+PROPER(F1860)</f>
        <v/>
      </c>
    </row>
    <row r="1861" customFormat="false" ht="14.25" hidden="false" customHeight="false" outlineLevel="0" collapsed="false">
      <c r="B1861" s="244"/>
      <c r="C1861" s="245"/>
      <c r="D1861" s="245"/>
      <c r="E1861" s="246"/>
      <c r="F1861" s="246"/>
      <c r="G1861" s="225" t="e">
        <f aca="false">VLOOKUP(B1861,'NIVEL ENERO'!A:F,4,0)</f>
        <v>#N/A</v>
      </c>
      <c r="H1861" s="247"/>
      <c r="I1861" s="247"/>
      <c r="J1861" s="246"/>
      <c r="K1861" s="246"/>
      <c r="L1861" s="226"/>
      <c r="M1861" s="226"/>
      <c r="N1861" s="246"/>
      <c r="P1861" s="228"/>
      <c r="Q1861" s="245"/>
      <c r="R1861" s="186" t="str">
        <f aca="false">+PROPER(C1861&amp;" "&amp;D1861)</f>
        <v> </v>
      </c>
      <c r="S1861" s="230" t="n">
        <f aca="false">+YEARFRAC(L1861,$S$1)</f>
        <v>126.366666666667</v>
      </c>
      <c r="T1861" s="230" t="n">
        <f aca="false">+YEARFRAC(M1861,$S$1)</f>
        <v>126.366666666667</v>
      </c>
      <c r="U1861" s="231" t="n">
        <f aca="false">+$I1861</f>
        <v>0</v>
      </c>
      <c r="V1861" s="232" t="str">
        <f aca="false">+PROPER(F1861)</f>
        <v/>
      </c>
    </row>
    <row r="1862" customFormat="false" ht="14.25" hidden="false" customHeight="false" outlineLevel="0" collapsed="false">
      <c r="B1862" s="244"/>
      <c r="C1862" s="245"/>
      <c r="D1862" s="245"/>
      <c r="E1862" s="246"/>
      <c r="F1862" s="246"/>
      <c r="G1862" s="225" t="e">
        <f aca="false">VLOOKUP(B1862,'NIVEL ENERO'!A:F,4,0)</f>
        <v>#N/A</v>
      </c>
      <c r="H1862" s="247"/>
      <c r="I1862" s="247"/>
      <c r="J1862" s="246"/>
      <c r="K1862" s="246"/>
      <c r="L1862" s="226"/>
      <c r="M1862" s="226"/>
      <c r="N1862" s="246"/>
      <c r="P1862" s="228"/>
      <c r="Q1862" s="245"/>
      <c r="R1862" s="186" t="str">
        <f aca="false">+PROPER(C1862&amp;" "&amp;D1862)</f>
        <v> </v>
      </c>
      <c r="S1862" s="230" t="n">
        <f aca="false">+YEARFRAC(L1862,$S$1)</f>
        <v>126.366666666667</v>
      </c>
      <c r="T1862" s="230" t="n">
        <f aca="false">+YEARFRAC(M1862,$S$1)</f>
        <v>126.366666666667</v>
      </c>
      <c r="U1862" s="231" t="n">
        <f aca="false">+$I1862</f>
        <v>0</v>
      </c>
      <c r="V1862" s="232" t="str">
        <f aca="false">+PROPER(F1862)</f>
        <v/>
      </c>
    </row>
    <row r="1863" customFormat="false" ht="14.25" hidden="false" customHeight="false" outlineLevel="0" collapsed="false">
      <c r="B1863" s="244"/>
      <c r="C1863" s="245"/>
      <c r="D1863" s="245"/>
      <c r="E1863" s="246"/>
      <c r="F1863" s="246"/>
      <c r="G1863" s="225" t="e">
        <f aca="false">VLOOKUP(B1863,'NIVEL ENERO'!A:F,4,0)</f>
        <v>#N/A</v>
      </c>
      <c r="H1863" s="247"/>
      <c r="I1863" s="247"/>
      <c r="J1863" s="246"/>
      <c r="K1863" s="246"/>
      <c r="L1863" s="226"/>
      <c r="M1863" s="226"/>
      <c r="N1863" s="246"/>
      <c r="P1863" s="228"/>
      <c r="Q1863" s="245"/>
      <c r="R1863" s="186" t="str">
        <f aca="false">+PROPER(C1863&amp;" "&amp;D1863)</f>
        <v> </v>
      </c>
      <c r="S1863" s="230" t="n">
        <f aca="false">+YEARFRAC(L1863,$S$1)</f>
        <v>126.366666666667</v>
      </c>
      <c r="T1863" s="230" t="n">
        <f aca="false">+YEARFRAC(M1863,$S$1)</f>
        <v>126.366666666667</v>
      </c>
      <c r="U1863" s="231" t="n">
        <f aca="false">+$I1863</f>
        <v>0</v>
      </c>
      <c r="V1863" s="232" t="str">
        <f aca="false">+PROPER(F1863)</f>
        <v/>
      </c>
    </row>
    <row r="1864" customFormat="false" ht="14.25" hidden="false" customHeight="false" outlineLevel="0" collapsed="false">
      <c r="B1864" s="244"/>
      <c r="C1864" s="245"/>
      <c r="D1864" s="245"/>
      <c r="E1864" s="246"/>
      <c r="F1864" s="246"/>
      <c r="G1864" s="225" t="e">
        <f aca="false">VLOOKUP(B1864,'NIVEL ENERO'!A:F,4,0)</f>
        <v>#N/A</v>
      </c>
      <c r="H1864" s="247"/>
      <c r="I1864" s="247"/>
      <c r="J1864" s="246"/>
      <c r="K1864" s="246"/>
      <c r="L1864" s="226"/>
      <c r="M1864" s="226"/>
      <c r="N1864" s="246"/>
      <c r="P1864" s="228"/>
      <c r="Q1864" s="245"/>
      <c r="R1864" s="186" t="str">
        <f aca="false">+PROPER(C1864&amp;" "&amp;D1864)</f>
        <v> </v>
      </c>
      <c r="S1864" s="230" t="n">
        <f aca="false">+YEARFRAC(L1864,$S$1)</f>
        <v>126.366666666667</v>
      </c>
      <c r="T1864" s="230" t="n">
        <f aca="false">+YEARFRAC(M1864,$S$1)</f>
        <v>126.366666666667</v>
      </c>
      <c r="U1864" s="231" t="n">
        <f aca="false">+$I1864</f>
        <v>0</v>
      </c>
      <c r="V1864" s="232" t="str">
        <f aca="false">+PROPER(F1864)</f>
        <v/>
      </c>
    </row>
    <row r="1865" customFormat="false" ht="14.25" hidden="false" customHeight="false" outlineLevel="0" collapsed="false">
      <c r="B1865" s="244"/>
      <c r="C1865" s="245"/>
      <c r="D1865" s="245"/>
      <c r="E1865" s="246"/>
      <c r="F1865" s="246"/>
      <c r="G1865" s="225" t="e">
        <f aca="false">VLOOKUP(B1865,'NIVEL ENERO'!A:F,4,0)</f>
        <v>#N/A</v>
      </c>
      <c r="H1865" s="247"/>
      <c r="I1865" s="247"/>
      <c r="J1865" s="246"/>
      <c r="K1865" s="246"/>
      <c r="L1865" s="226"/>
      <c r="M1865" s="226"/>
      <c r="N1865" s="246"/>
      <c r="P1865" s="228"/>
      <c r="Q1865" s="245"/>
      <c r="R1865" s="186" t="str">
        <f aca="false">+PROPER(C1865&amp;" "&amp;D1865)</f>
        <v> </v>
      </c>
      <c r="S1865" s="230" t="n">
        <f aca="false">+YEARFRAC(L1865,$S$1)</f>
        <v>126.366666666667</v>
      </c>
      <c r="T1865" s="230" t="n">
        <f aca="false">+YEARFRAC(M1865,$S$1)</f>
        <v>126.366666666667</v>
      </c>
      <c r="U1865" s="231" t="n">
        <f aca="false">+$I1865</f>
        <v>0</v>
      </c>
      <c r="V1865" s="232" t="str">
        <f aca="false">+PROPER(F1865)</f>
        <v/>
      </c>
    </row>
    <row r="1866" customFormat="false" ht="14.25" hidden="false" customHeight="false" outlineLevel="0" collapsed="false">
      <c r="B1866" s="244"/>
      <c r="C1866" s="245"/>
      <c r="D1866" s="245"/>
      <c r="E1866" s="246"/>
      <c r="F1866" s="246"/>
      <c r="G1866" s="225" t="e">
        <f aca="false">VLOOKUP(B1866,'NIVEL ENERO'!A:F,4,0)</f>
        <v>#N/A</v>
      </c>
      <c r="H1866" s="247"/>
      <c r="I1866" s="247"/>
      <c r="J1866" s="246"/>
      <c r="K1866" s="246"/>
      <c r="L1866" s="226"/>
      <c r="M1866" s="226"/>
      <c r="N1866" s="246"/>
      <c r="P1866" s="228"/>
      <c r="Q1866" s="245"/>
      <c r="R1866" s="186" t="str">
        <f aca="false">+PROPER(C1866&amp;" "&amp;D1866)</f>
        <v> </v>
      </c>
      <c r="S1866" s="230" t="n">
        <f aca="false">+YEARFRAC(L1866,$S$1)</f>
        <v>126.366666666667</v>
      </c>
      <c r="T1866" s="230" t="n">
        <f aca="false">+YEARFRAC(M1866,$S$1)</f>
        <v>126.366666666667</v>
      </c>
      <c r="U1866" s="231" t="n">
        <f aca="false">+$I1866</f>
        <v>0</v>
      </c>
      <c r="V1866" s="232" t="str">
        <f aca="false">+PROPER(F1866)</f>
        <v/>
      </c>
    </row>
    <row r="1867" customFormat="false" ht="14.25" hidden="false" customHeight="false" outlineLevel="0" collapsed="false">
      <c r="B1867" s="244"/>
      <c r="C1867" s="245"/>
      <c r="D1867" s="245"/>
      <c r="E1867" s="246"/>
      <c r="F1867" s="246"/>
      <c r="G1867" s="225" t="e">
        <f aca="false">VLOOKUP(B1867,'NIVEL ENERO'!A:F,4,0)</f>
        <v>#N/A</v>
      </c>
      <c r="H1867" s="247"/>
      <c r="I1867" s="247"/>
      <c r="J1867" s="246"/>
      <c r="K1867" s="246"/>
      <c r="L1867" s="226"/>
      <c r="M1867" s="226"/>
      <c r="N1867" s="246"/>
      <c r="P1867" s="228"/>
      <c r="Q1867" s="245"/>
      <c r="R1867" s="186" t="str">
        <f aca="false">+PROPER(C1867&amp;" "&amp;D1867)</f>
        <v> </v>
      </c>
      <c r="S1867" s="230" t="n">
        <f aca="false">+YEARFRAC(L1867,$S$1)</f>
        <v>126.366666666667</v>
      </c>
      <c r="T1867" s="230" t="n">
        <f aca="false">+YEARFRAC(M1867,$S$1)</f>
        <v>126.366666666667</v>
      </c>
      <c r="U1867" s="231" t="n">
        <f aca="false">+$I1867</f>
        <v>0</v>
      </c>
      <c r="V1867" s="232" t="str">
        <f aca="false">+PROPER(F1867)</f>
        <v/>
      </c>
    </row>
    <row r="1868" customFormat="false" ht="14.25" hidden="false" customHeight="false" outlineLevel="0" collapsed="false">
      <c r="B1868" s="244"/>
      <c r="C1868" s="245"/>
      <c r="D1868" s="245"/>
      <c r="E1868" s="246"/>
      <c r="F1868" s="246"/>
      <c r="G1868" s="225" t="e">
        <f aca="false">VLOOKUP(B1868,'NIVEL ENERO'!A:F,4,0)</f>
        <v>#N/A</v>
      </c>
      <c r="H1868" s="247"/>
      <c r="I1868" s="247"/>
      <c r="J1868" s="246"/>
      <c r="K1868" s="246"/>
      <c r="L1868" s="226"/>
      <c r="M1868" s="226"/>
      <c r="N1868" s="246"/>
      <c r="P1868" s="228"/>
      <c r="Q1868" s="245"/>
      <c r="R1868" s="186" t="str">
        <f aca="false">+PROPER(C1868&amp;" "&amp;D1868)</f>
        <v> </v>
      </c>
      <c r="S1868" s="230" t="n">
        <f aca="false">+YEARFRAC(L1868,$S$1)</f>
        <v>126.366666666667</v>
      </c>
      <c r="T1868" s="230" t="n">
        <f aca="false">+YEARFRAC(M1868,$S$1)</f>
        <v>126.366666666667</v>
      </c>
      <c r="U1868" s="231" t="n">
        <f aca="false">+$I1868</f>
        <v>0</v>
      </c>
      <c r="V1868" s="232" t="str">
        <f aca="false">+PROPER(F1868)</f>
        <v/>
      </c>
    </row>
    <row r="1869" customFormat="false" ht="14.25" hidden="false" customHeight="false" outlineLevel="0" collapsed="false">
      <c r="B1869" s="244"/>
      <c r="C1869" s="245"/>
      <c r="D1869" s="245"/>
      <c r="E1869" s="246"/>
      <c r="F1869" s="246"/>
      <c r="G1869" s="225" t="e">
        <f aca="false">VLOOKUP(B1869,'NIVEL ENERO'!A:F,4,0)</f>
        <v>#N/A</v>
      </c>
      <c r="H1869" s="247"/>
      <c r="I1869" s="247"/>
      <c r="J1869" s="246"/>
      <c r="K1869" s="246"/>
      <c r="L1869" s="226"/>
      <c r="M1869" s="226"/>
      <c r="N1869" s="246"/>
      <c r="P1869" s="228"/>
      <c r="Q1869" s="245"/>
      <c r="R1869" s="186" t="str">
        <f aca="false">+PROPER(C1869&amp;" "&amp;D1869)</f>
        <v> </v>
      </c>
      <c r="S1869" s="230" t="n">
        <f aca="false">+YEARFRAC(L1869,$S$1)</f>
        <v>126.366666666667</v>
      </c>
      <c r="T1869" s="230" t="n">
        <f aca="false">+YEARFRAC(M1869,$S$1)</f>
        <v>126.366666666667</v>
      </c>
      <c r="U1869" s="231" t="n">
        <f aca="false">+$I1869</f>
        <v>0</v>
      </c>
      <c r="V1869" s="232" t="str">
        <f aca="false">+PROPER(F1869)</f>
        <v/>
      </c>
    </row>
    <row r="1870" customFormat="false" ht="14.25" hidden="false" customHeight="false" outlineLevel="0" collapsed="false">
      <c r="B1870" s="244"/>
      <c r="C1870" s="245"/>
      <c r="D1870" s="245"/>
      <c r="E1870" s="246"/>
      <c r="F1870" s="246"/>
      <c r="G1870" s="225" t="e">
        <f aca="false">VLOOKUP(B1870,'NIVEL ENERO'!A:F,4,0)</f>
        <v>#N/A</v>
      </c>
      <c r="H1870" s="247"/>
      <c r="I1870" s="247"/>
      <c r="J1870" s="246"/>
      <c r="K1870" s="246"/>
      <c r="L1870" s="226"/>
      <c r="M1870" s="226"/>
      <c r="N1870" s="246"/>
      <c r="P1870" s="228"/>
      <c r="Q1870" s="245"/>
      <c r="R1870" s="186" t="str">
        <f aca="false">+PROPER(C1870&amp;" "&amp;D1870)</f>
        <v> </v>
      </c>
      <c r="S1870" s="230" t="n">
        <f aca="false">+YEARFRAC(L1870,$S$1)</f>
        <v>126.366666666667</v>
      </c>
      <c r="T1870" s="230" t="n">
        <f aca="false">+YEARFRAC(M1870,$S$1)</f>
        <v>126.366666666667</v>
      </c>
      <c r="U1870" s="231" t="n">
        <f aca="false">+$I1870</f>
        <v>0</v>
      </c>
      <c r="V1870" s="232" t="str">
        <f aca="false">+PROPER(F1870)</f>
        <v/>
      </c>
    </row>
    <row r="1871" customFormat="false" ht="14.25" hidden="false" customHeight="false" outlineLevel="0" collapsed="false">
      <c r="B1871" s="244"/>
      <c r="C1871" s="245"/>
      <c r="D1871" s="245"/>
      <c r="E1871" s="246"/>
      <c r="F1871" s="246"/>
      <c r="G1871" s="225" t="e">
        <f aca="false">VLOOKUP(B1871,'NIVEL ENERO'!A:F,4,0)</f>
        <v>#N/A</v>
      </c>
      <c r="H1871" s="247"/>
      <c r="I1871" s="247"/>
      <c r="J1871" s="246"/>
      <c r="K1871" s="246"/>
      <c r="L1871" s="226"/>
      <c r="M1871" s="226"/>
      <c r="N1871" s="246"/>
      <c r="P1871" s="228"/>
      <c r="Q1871" s="245"/>
      <c r="R1871" s="186" t="str">
        <f aca="false">+PROPER(C1871&amp;" "&amp;D1871)</f>
        <v> </v>
      </c>
      <c r="S1871" s="230" t="n">
        <f aca="false">+YEARFRAC(L1871,$S$1)</f>
        <v>126.366666666667</v>
      </c>
      <c r="T1871" s="230" t="n">
        <f aca="false">+YEARFRAC(M1871,$S$1)</f>
        <v>126.366666666667</v>
      </c>
      <c r="U1871" s="231" t="n">
        <f aca="false">+$I1871</f>
        <v>0</v>
      </c>
      <c r="V1871" s="232" t="str">
        <f aca="false">+PROPER(F1871)</f>
        <v/>
      </c>
    </row>
    <row r="1872" customFormat="false" ht="14.25" hidden="false" customHeight="false" outlineLevel="0" collapsed="false">
      <c r="B1872" s="244"/>
      <c r="C1872" s="245"/>
      <c r="D1872" s="245"/>
      <c r="E1872" s="246"/>
      <c r="F1872" s="246"/>
      <c r="G1872" s="225" t="e">
        <f aca="false">VLOOKUP(B1872,'NIVEL ENERO'!A:F,4,0)</f>
        <v>#N/A</v>
      </c>
      <c r="H1872" s="247"/>
      <c r="I1872" s="247"/>
      <c r="J1872" s="246"/>
      <c r="K1872" s="246"/>
      <c r="L1872" s="226"/>
      <c r="M1872" s="226"/>
      <c r="N1872" s="246"/>
      <c r="P1872" s="228"/>
      <c r="Q1872" s="245"/>
      <c r="R1872" s="186" t="str">
        <f aca="false">+PROPER(C1872&amp;" "&amp;D1872)</f>
        <v> </v>
      </c>
      <c r="S1872" s="230" t="n">
        <f aca="false">+YEARFRAC(L1872,$S$1)</f>
        <v>126.366666666667</v>
      </c>
      <c r="T1872" s="230" t="n">
        <f aca="false">+YEARFRAC(M1872,$S$1)</f>
        <v>126.366666666667</v>
      </c>
      <c r="U1872" s="231" t="n">
        <f aca="false">+$I1872</f>
        <v>0</v>
      </c>
      <c r="V1872" s="232" t="str">
        <f aca="false">+PROPER(F1872)</f>
        <v/>
      </c>
    </row>
    <row r="1873" customFormat="false" ht="14.25" hidden="false" customHeight="false" outlineLevel="0" collapsed="false">
      <c r="B1873" s="244"/>
      <c r="C1873" s="245"/>
      <c r="D1873" s="245"/>
      <c r="E1873" s="246"/>
      <c r="F1873" s="246"/>
      <c r="G1873" s="225" t="e">
        <f aca="false">VLOOKUP(B1873,'NIVEL ENERO'!A:F,4,0)</f>
        <v>#N/A</v>
      </c>
      <c r="H1873" s="247"/>
      <c r="I1873" s="247"/>
      <c r="J1873" s="246"/>
      <c r="K1873" s="246"/>
      <c r="L1873" s="226"/>
      <c r="M1873" s="226"/>
      <c r="N1873" s="246"/>
      <c r="P1873" s="228"/>
      <c r="Q1873" s="245"/>
      <c r="R1873" s="186" t="str">
        <f aca="false">+PROPER(C1873&amp;" "&amp;D1873)</f>
        <v> </v>
      </c>
      <c r="S1873" s="230" t="n">
        <f aca="false">+YEARFRAC(L1873,$S$1)</f>
        <v>126.366666666667</v>
      </c>
      <c r="T1873" s="230" t="n">
        <f aca="false">+YEARFRAC(M1873,$S$1)</f>
        <v>126.366666666667</v>
      </c>
      <c r="U1873" s="231" t="n">
        <f aca="false">+$I1873</f>
        <v>0</v>
      </c>
      <c r="V1873" s="232" t="str">
        <f aca="false">+PROPER(F1873)</f>
        <v/>
      </c>
    </row>
    <row r="1874" customFormat="false" ht="14.25" hidden="false" customHeight="false" outlineLevel="0" collapsed="false">
      <c r="B1874" s="244"/>
      <c r="C1874" s="245"/>
      <c r="D1874" s="245"/>
      <c r="E1874" s="246"/>
      <c r="F1874" s="246"/>
      <c r="G1874" s="225" t="e">
        <f aca="false">VLOOKUP(B1874,'NIVEL ENERO'!A:F,4,0)</f>
        <v>#N/A</v>
      </c>
      <c r="H1874" s="247"/>
      <c r="I1874" s="247"/>
      <c r="J1874" s="246"/>
      <c r="K1874" s="246"/>
      <c r="L1874" s="226"/>
      <c r="M1874" s="226"/>
      <c r="N1874" s="246"/>
      <c r="P1874" s="228"/>
      <c r="Q1874" s="245"/>
      <c r="R1874" s="186" t="str">
        <f aca="false">+PROPER(C1874&amp;" "&amp;D1874)</f>
        <v> </v>
      </c>
      <c r="S1874" s="230" t="n">
        <f aca="false">+YEARFRAC(L1874,$S$1)</f>
        <v>126.366666666667</v>
      </c>
      <c r="T1874" s="230" t="n">
        <f aca="false">+YEARFRAC(M1874,$S$1)</f>
        <v>126.366666666667</v>
      </c>
      <c r="U1874" s="231" t="n">
        <f aca="false">+$I1874</f>
        <v>0</v>
      </c>
      <c r="V1874" s="232" t="str">
        <f aca="false">+PROPER(F1874)</f>
        <v/>
      </c>
    </row>
    <row r="1875" customFormat="false" ht="14.25" hidden="false" customHeight="false" outlineLevel="0" collapsed="false">
      <c r="B1875" s="244"/>
      <c r="C1875" s="245"/>
      <c r="D1875" s="245"/>
      <c r="E1875" s="246"/>
      <c r="F1875" s="246"/>
      <c r="G1875" s="225" t="e">
        <f aca="false">VLOOKUP(B1875,'NIVEL ENERO'!A:F,4,0)</f>
        <v>#N/A</v>
      </c>
      <c r="H1875" s="247"/>
      <c r="I1875" s="247"/>
      <c r="J1875" s="246"/>
      <c r="K1875" s="246"/>
      <c r="L1875" s="226"/>
      <c r="M1875" s="226"/>
      <c r="N1875" s="246"/>
      <c r="P1875" s="228"/>
      <c r="Q1875" s="245"/>
      <c r="R1875" s="186" t="str">
        <f aca="false">+PROPER(C1875&amp;" "&amp;D1875)</f>
        <v> </v>
      </c>
      <c r="S1875" s="230" t="n">
        <f aca="false">+YEARFRAC(L1875,$S$1)</f>
        <v>126.366666666667</v>
      </c>
      <c r="T1875" s="230" t="n">
        <f aca="false">+YEARFRAC(M1875,$S$1)</f>
        <v>126.366666666667</v>
      </c>
      <c r="U1875" s="231" t="n">
        <f aca="false">+$I1875</f>
        <v>0</v>
      </c>
      <c r="V1875" s="232" t="str">
        <f aca="false">+PROPER(F1875)</f>
        <v/>
      </c>
    </row>
    <row r="1876" customFormat="false" ht="14.25" hidden="false" customHeight="false" outlineLevel="0" collapsed="false">
      <c r="B1876" s="244"/>
      <c r="C1876" s="245"/>
      <c r="D1876" s="245"/>
      <c r="E1876" s="246"/>
      <c r="F1876" s="246"/>
      <c r="G1876" s="225" t="e">
        <f aca="false">VLOOKUP(B1876,'NIVEL ENERO'!A:F,4,0)</f>
        <v>#N/A</v>
      </c>
      <c r="H1876" s="247"/>
      <c r="I1876" s="247"/>
      <c r="J1876" s="246"/>
      <c r="K1876" s="246"/>
      <c r="L1876" s="226"/>
      <c r="M1876" s="226"/>
      <c r="N1876" s="246"/>
      <c r="P1876" s="228"/>
      <c r="Q1876" s="245"/>
      <c r="R1876" s="186" t="str">
        <f aca="false">+PROPER(C1876&amp;" "&amp;D1876)</f>
        <v> </v>
      </c>
      <c r="S1876" s="230" t="n">
        <f aca="false">+YEARFRAC(L1876,$S$1)</f>
        <v>126.366666666667</v>
      </c>
      <c r="T1876" s="230" t="n">
        <f aca="false">+YEARFRAC(M1876,$S$1)</f>
        <v>126.366666666667</v>
      </c>
      <c r="U1876" s="231" t="n">
        <f aca="false">+$I1876</f>
        <v>0</v>
      </c>
      <c r="V1876" s="232" t="str">
        <f aca="false">+PROPER(F1876)</f>
        <v/>
      </c>
    </row>
    <row r="1877" customFormat="false" ht="14.25" hidden="false" customHeight="false" outlineLevel="0" collapsed="false">
      <c r="B1877" s="244"/>
      <c r="C1877" s="245"/>
      <c r="D1877" s="245"/>
      <c r="E1877" s="246"/>
      <c r="F1877" s="246"/>
      <c r="G1877" s="225" t="e">
        <f aca="false">VLOOKUP(B1877,'NIVEL ENERO'!A:F,4,0)</f>
        <v>#N/A</v>
      </c>
      <c r="H1877" s="247"/>
      <c r="I1877" s="247"/>
      <c r="J1877" s="246"/>
      <c r="K1877" s="246"/>
      <c r="L1877" s="226"/>
      <c r="M1877" s="226"/>
      <c r="N1877" s="246"/>
      <c r="P1877" s="228"/>
      <c r="Q1877" s="245"/>
      <c r="R1877" s="186" t="str">
        <f aca="false">+PROPER(C1877&amp;" "&amp;D1877)</f>
        <v> </v>
      </c>
      <c r="S1877" s="230" t="n">
        <f aca="false">+YEARFRAC(L1877,$S$1)</f>
        <v>126.366666666667</v>
      </c>
      <c r="T1877" s="230" t="n">
        <f aca="false">+YEARFRAC(M1877,$S$1)</f>
        <v>126.366666666667</v>
      </c>
      <c r="U1877" s="231" t="n">
        <f aca="false">+$I1877</f>
        <v>0</v>
      </c>
      <c r="V1877" s="232" t="str">
        <f aca="false">+PROPER(F1877)</f>
        <v/>
      </c>
    </row>
    <row r="1878" customFormat="false" ht="14.25" hidden="false" customHeight="false" outlineLevel="0" collapsed="false">
      <c r="B1878" s="244"/>
      <c r="C1878" s="245"/>
      <c r="D1878" s="245"/>
      <c r="E1878" s="246"/>
      <c r="F1878" s="246"/>
      <c r="G1878" s="225" t="e">
        <f aca="false">VLOOKUP(B1878,'NIVEL ENERO'!A:F,4,0)</f>
        <v>#N/A</v>
      </c>
      <c r="H1878" s="247"/>
      <c r="I1878" s="247"/>
      <c r="J1878" s="246"/>
      <c r="K1878" s="246"/>
      <c r="L1878" s="226"/>
      <c r="M1878" s="226"/>
      <c r="N1878" s="246"/>
      <c r="P1878" s="228"/>
      <c r="Q1878" s="245"/>
      <c r="R1878" s="186" t="str">
        <f aca="false">+PROPER(C1878&amp;" "&amp;D1878)</f>
        <v> </v>
      </c>
      <c r="S1878" s="230" t="n">
        <f aca="false">+YEARFRAC(L1878,$S$1)</f>
        <v>126.366666666667</v>
      </c>
      <c r="T1878" s="230" t="n">
        <f aca="false">+YEARFRAC(M1878,$S$1)</f>
        <v>126.366666666667</v>
      </c>
      <c r="U1878" s="231" t="n">
        <f aca="false">+$I1878</f>
        <v>0</v>
      </c>
      <c r="V1878" s="232" t="str">
        <f aca="false">+PROPER(F1878)</f>
        <v/>
      </c>
    </row>
    <row r="1879" customFormat="false" ht="14.25" hidden="false" customHeight="false" outlineLevel="0" collapsed="false">
      <c r="B1879" s="244"/>
      <c r="C1879" s="245"/>
      <c r="D1879" s="245"/>
      <c r="E1879" s="246"/>
      <c r="F1879" s="246"/>
      <c r="G1879" s="225" t="e">
        <f aca="false">VLOOKUP(B1879,'NIVEL ENERO'!A:F,4,0)</f>
        <v>#N/A</v>
      </c>
      <c r="H1879" s="247"/>
      <c r="I1879" s="247"/>
      <c r="J1879" s="246"/>
      <c r="K1879" s="246"/>
      <c r="L1879" s="226"/>
      <c r="M1879" s="226"/>
      <c r="N1879" s="246"/>
      <c r="P1879" s="228"/>
      <c r="Q1879" s="245"/>
      <c r="R1879" s="186" t="str">
        <f aca="false">+PROPER(C1879&amp;" "&amp;D1879)</f>
        <v> </v>
      </c>
      <c r="S1879" s="230" t="n">
        <f aca="false">+YEARFRAC(L1879,$S$1)</f>
        <v>126.366666666667</v>
      </c>
      <c r="T1879" s="230" t="n">
        <f aca="false">+YEARFRAC(M1879,$S$1)</f>
        <v>126.366666666667</v>
      </c>
      <c r="U1879" s="231" t="n">
        <f aca="false">+$I1879</f>
        <v>0</v>
      </c>
      <c r="V1879" s="232" t="str">
        <f aca="false">+PROPER(F1879)</f>
        <v/>
      </c>
    </row>
    <row r="1880" customFormat="false" ht="14.25" hidden="false" customHeight="false" outlineLevel="0" collapsed="false">
      <c r="B1880" s="244"/>
      <c r="C1880" s="245"/>
      <c r="D1880" s="245"/>
      <c r="E1880" s="246"/>
      <c r="F1880" s="246"/>
      <c r="G1880" s="225" t="e">
        <f aca="false">VLOOKUP(B1880,'NIVEL ENERO'!A:F,4,0)</f>
        <v>#N/A</v>
      </c>
      <c r="H1880" s="247"/>
      <c r="I1880" s="247"/>
      <c r="J1880" s="246"/>
      <c r="K1880" s="246"/>
      <c r="L1880" s="226"/>
      <c r="M1880" s="226"/>
      <c r="N1880" s="246"/>
      <c r="P1880" s="228"/>
      <c r="Q1880" s="245"/>
      <c r="R1880" s="186" t="str">
        <f aca="false">+PROPER(C1880&amp;" "&amp;D1880)</f>
        <v> </v>
      </c>
      <c r="S1880" s="230" t="n">
        <f aca="false">+YEARFRAC(L1880,$S$1)</f>
        <v>126.366666666667</v>
      </c>
      <c r="T1880" s="230" t="n">
        <f aca="false">+YEARFRAC(M1880,$S$1)</f>
        <v>126.366666666667</v>
      </c>
      <c r="U1880" s="231" t="n">
        <f aca="false">+$I1880</f>
        <v>0</v>
      </c>
      <c r="V1880" s="232" t="str">
        <f aca="false">+PROPER(F1880)</f>
        <v/>
      </c>
    </row>
    <row r="1881" customFormat="false" ht="14.25" hidden="false" customHeight="false" outlineLevel="0" collapsed="false">
      <c r="B1881" s="244"/>
      <c r="C1881" s="245"/>
      <c r="D1881" s="245"/>
      <c r="E1881" s="246"/>
      <c r="F1881" s="246"/>
      <c r="G1881" s="225" t="e">
        <f aca="false">VLOOKUP(B1881,'NIVEL ENERO'!A:F,4,0)</f>
        <v>#N/A</v>
      </c>
      <c r="H1881" s="247"/>
      <c r="I1881" s="247"/>
      <c r="J1881" s="246"/>
      <c r="K1881" s="246"/>
      <c r="L1881" s="226"/>
      <c r="M1881" s="226"/>
      <c r="N1881" s="246"/>
      <c r="P1881" s="228"/>
      <c r="Q1881" s="245"/>
      <c r="R1881" s="186" t="str">
        <f aca="false">+PROPER(C1881&amp;" "&amp;D1881)</f>
        <v> </v>
      </c>
      <c r="S1881" s="230" t="n">
        <f aca="false">+YEARFRAC(L1881,$S$1)</f>
        <v>126.366666666667</v>
      </c>
      <c r="T1881" s="230" t="n">
        <f aca="false">+YEARFRAC(M1881,$S$1)</f>
        <v>126.366666666667</v>
      </c>
      <c r="U1881" s="231" t="n">
        <f aca="false">+$I1881</f>
        <v>0</v>
      </c>
      <c r="V1881" s="232" t="str">
        <f aca="false">+PROPER(F1881)</f>
        <v/>
      </c>
    </row>
    <row r="1882" customFormat="false" ht="14.25" hidden="false" customHeight="false" outlineLevel="0" collapsed="false">
      <c r="B1882" s="244"/>
      <c r="C1882" s="245"/>
      <c r="D1882" s="245"/>
      <c r="E1882" s="246"/>
      <c r="F1882" s="246"/>
      <c r="G1882" s="225" t="e">
        <f aca="false">VLOOKUP(B1882,'NIVEL ENERO'!A:F,4,0)</f>
        <v>#N/A</v>
      </c>
      <c r="H1882" s="247"/>
      <c r="I1882" s="247"/>
      <c r="J1882" s="246"/>
      <c r="K1882" s="246"/>
      <c r="L1882" s="226"/>
      <c r="M1882" s="226"/>
      <c r="N1882" s="246"/>
      <c r="P1882" s="228"/>
      <c r="Q1882" s="245"/>
      <c r="R1882" s="186" t="str">
        <f aca="false">+PROPER(C1882&amp;" "&amp;D1882)</f>
        <v> </v>
      </c>
      <c r="S1882" s="230" t="n">
        <f aca="false">+YEARFRAC(L1882,$S$1)</f>
        <v>126.366666666667</v>
      </c>
      <c r="T1882" s="230" t="n">
        <f aca="false">+YEARFRAC(M1882,$S$1)</f>
        <v>126.366666666667</v>
      </c>
      <c r="U1882" s="231" t="n">
        <f aca="false">+$I1882</f>
        <v>0</v>
      </c>
      <c r="V1882" s="232" t="str">
        <f aca="false">+PROPER(F1882)</f>
        <v/>
      </c>
    </row>
    <row r="1883" customFormat="false" ht="14.25" hidden="false" customHeight="false" outlineLevel="0" collapsed="false">
      <c r="B1883" s="244"/>
      <c r="C1883" s="245"/>
      <c r="D1883" s="245"/>
      <c r="E1883" s="246"/>
      <c r="F1883" s="246"/>
      <c r="G1883" s="225" t="e">
        <f aca="false">VLOOKUP(B1883,'NIVEL ENERO'!A:F,4,0)</f>
        <v>#N/A</v>
      </c>
      <c r="H1883" s="247"/>
      <c r="I1883" s="247"/>
      <c r="J1883" s="246"/>
      <c r="K1883" s="246"/>
      <c r="L1883" s="226"/>
      <c r="M1883" s="226"/>
      <c r="N1883" s="246"/>
      <c r="P1883" s="228"/>
      <c r="Q1883" s="245"/>
      <c r="R1883" s="186" t="str">
        <f aca="false">+PROPER(C1883&amp;" "&amp;D1883)</f>
        <v> </v>
      </c>
      <c r="S1883" s="230" t="n">
        <f aca="false">+YEARFRAC(L1883,$S$1)</f>
        <v>126.366666666667</v>
      </c>
      <c r="T1883" s="230" t="n">
        <f aca="false">+YEARFRAC(M1883,$S$1)</f>
        <v>126.366666666667</v>
      </c>
      <c r="U1883" s="231" t="n">
        <f aca="false">+$I1883</f>
        <v>0</v>
      </c>
      <c r="V1883" s="232" t="str">
        <f aca="false">+PROPER(F1883)</f>
        <v/>
      </c>
    </row>
    <row r="1884" customFormat="false" ht="14.25" hidden="false" customHeight="false" outlineLevel="0" collapsed="false">
      <c r="B1884" s="244"/>
      <c r="C1884" s="245"/>
      <c r="D1884" s="245"/>
      <c r="E1884" s="246"/>
      <c r="F1884" s="246"/>
      <c r="G1884" s="225" t="e">
        <f aca="false">VLOOKUP(B1884,'NIVEL ENERO'!A:F,4,0)</f>
        <v>#N/A</v>
      </c>
      <c r="H1884" s="247"/>
      <c r="I1884" s="247"/>
      <c r="J1884" s="246"/>
      <c r="K1884" s="246"/>
      <c r="L1884" s="226"/>
      <c r="M1884" s="226"/>
      <c r="N1884" s="246"/>
      <c r="P1884" s="228"/>
      <c r="Q1884" s="245"/>
      <c r="R1884" s="186" t="str">
        <f aca="false">+PROPER(C1884&amp;" "&amp;D1884)</f>
        <v> </v>
      </c>
      <c r="S1884" s="230" t="n">
        <f aca="false">+YEARFRAC(L1884,$S$1)</f>
        <v>126.366666666667</v>
      </c>
      <c r="T1884" s="230" t="n">
        <f aca="false">+YEARFRAC(M1884,$S$1)</f>
        <v>126.366666666667</v>
      </c>
      <c r="U1884" s="231" t="n">
        <f aca="false">+$I1884</f>
        <v>0</v>
      </c>
      <c r="V1884" s="232" t="str">
        <f aca="false">+PROPER(F1884)</f>
        <v/>
      </c>
    </row>
    <row r="1885" customFormat="false" ht="14.25" hidden="false" customHeight="false" outlineLevel="0" collapsed="false">
      <c r="B1885" s="244"/>
      <c r="C1885" s="245"/>
      <c r="D1885" s="245"/>
      <c r="E1885" s="246"/>
      <c r="F1885" s="246"/>
      <c r="G1885" s="225" t="e">
        <f aca="false">VLOOKUP(B1885,'NIVEL ENERO'!A:F,4,0)</f>
        <v>#N/A</v>
      </c>
      <c r="H1885" s="247"/>
      <c r="I1885" s="247"/>
      <c r="J1885" s="246"/>
      <c r="K1885" s="246"/>
      <c r="L1885" s="226"/>
      <c r="M1885" s="226"/>
      <c r="N1885" s="246"/>
      <c r="P1885" s="228"/>
      <c r="Q1885" s="245"/>
      <c r="R1885" s="186" t="str">
        <f aca="false">+PROPER(C1885&amp;" "&amp;D1885)</f>
        <v> </v>
      </c>
      <c r="S1885" s="230" t="n">
        <f aca="false">+YEARFRAC(L1885,$S$1)</f>
        <v>126.366666666667</v>
      </c>
      <c r="T1885" s="230" t="n">
        <f aca="false">+YEARFRAC(M1885,$S$1)</f>
        <v>126.366666666667</v>
      </c>
      <c r="U1885" s="231" t="n">
        <f aca="false">+$I1885</f>
        <v>0</v>
      </c>
      <c r="V1885" s="232" t="str">
        <f aca="false">+PROPER(F1885)</f>
        <v/>
      </c>
    </row>
    <row r="1886" customFormat="false" ht="14.25" hidden="false" customHeight="false" outlineLevel="0" collapsed="false">
      <c r="B1886" s="244"/>
      <c r="C1886" s="245"/>
      <c r="D1886" s="245"/>
      <c r="E1886" s="246"/>
      <c r="F1886" s="246"/>
      <c r="G1886" s="225" t="e">
        <f aca="false">VLOOKUP(B1886,'NIVEL ENERO'!A:F,4,0)</f>
        <v>#N/A</v>
      </c>
      <c r="H1886" s="247"/>
      <c r="I1886" s="247"/>
      <c r="J1886" s="246"/>
      <c r="K1886" s="246"/>
      <c r="L1886" s="226"/>
      <c r="M1886" s="226"/>
      <c r="N1886" s="246"/>
      <c r="P1886" s="228"/>
      <c r="Q1886" s="245"/>
      <c r="R1886" s="186" t="str">
        <f aca="false">+PROPER(C1886&amp;" "&amp;D1886)</f>
        <v> </v>
      </c>
      <c r="S1886" s="230" t="n">
        <f aca="false">+YEARFRAC(L1886,$S$1)</f>
        <v>126.366666666667</v>
      </c>
      <c r="T1886" s="230" t="n">
        <f aca="false">+YEARFRAC(M1886,$S$1)</f>
        <v>126.366666666667</v>
      </c>
      <c r="U1886" s="231" t="n">
        <f aca="false">+$I1886</f>
        <v>0</v>
      </c>
      <c r="V1886" s="232" t="str">
        <f aca="false">+PROPER(F1886)</f>
        <v/>
      </c>
    </row>
    <row r="1887" customFormat="false" ht="14.25" hidden="false" customHeight="false" outlineLevel="0" collapsed="false">
      <c r="B1887" s="244"/>
      <c r="C1887" s="245"/>
      <c r="D1887" s="245"/>
      <c r="E1887" s="246"/>
      <c r="F1887" s="246"/>
      <c r="G1887" s="225" t="e">
        <f aca="false">VLOOKUP(B1887,'NIVEL ENERO'!A:F,4,0)</f>
        <v>#N/A</v>
      </c>
      <c r="H1887" s="247"/>
      <c r="I1887" s="247"/>
      <c r="J1887" s="246"/>
      <c r="K1887" s="246"/>
      <c r="L1887" s="226"/>
      <c r="M1887" s="226"/>
      <c r="N1887" s="246"/>
      <c r="P1887" s="228"/>
      <c r="Q1887" s="245"/>
      <c r="R1887" s="186" t="str">
        <f aca="false">+PROPER(C1887&amp;" "&amp;D1887)</f>
        <v> </v>
      </c>
      <c r="S1887" s="230" t="n">
        <f aca="false">+YEARFRAC(L1887,$S$1)</f>
        <v>126.366666666667</v>
      </c>
      <c r="T1887" s="230" t="n">
        <f aca="false">+YEARFRAC(M1887,$S$1)</f>
        <v>126.366666666667</v>
      </c>
      <c r="U1887" s="231" t="n">
        <f aca="false">+$I1887</f>
        <v>0</v>
      </c>
      <c r="V1887" s="232" t="str">
        <f aca="false">+PROPER(F1887)</f>
        <v/>
      </c>
    </row>
    <row r="1888" customFormat="false" ht="14.25" hidden="false" customHeight="false" outlineLevel="0" collapsed="false">
      <c r="B1888" s="244"/>
      <c r="C1888" s="245"/>
      <c r="D1888" s="245"/>
      <c r="E1888" s="246"/>
      <c r="F1888" s="246"/>
      <c r="G1888" s="225" t="e">
        <f aca="false">VLOOKUP(B1888,'NIVEL ENERO'!A:F,4,0)</f>
        <v>#N/A</v>
      </c>
      <c r="H1888" s="247"/>
      <c r="I1888" s="247"/>
      <c r="J1888" s="246"/>
      <c r="K1888" s="246"/>
      <c r="L1888" s="226"/>
      <c r="M1888" s="226"/>
      <c r="N1888" s="246"/>
      <c r="P1888" s="228"/>
      <c r="Q1888" s="245"/>
      <c r="R1888" s="186" t="str">
        <f aca="false">+PROPER(C1888&amp;" "&amp;D1888)</f>
        <v> </v>
      </c>
      <c r="S1888" s="230" t="n">
        <f aca="false">+YEARFRAC(L1888,$S$1)</f>
        <v>126.366666666667</v>
      </c>
      <c r="T1888" s="230" t="n">
        <f aca="false">+YEARFRAC(M1888,$S$1)</f>
        <v>126.366666666667</v>
      </c>
      <c r="U1888" s="231" t="n">
        <f aca="false">+$I1888</f>
        <v>0</v>
      </c>
      <c r="V1888" s="232" t="str">
        <f aca="false">+PROPER(F1888)</f>
        <v/>
      </c>
    </row>
    <row r="1889" customFormat="false" ht="14.25" hidden="false" customHeight="false" outlineLevel="0" collapsed="false">
      <c r="B1889" s="244"/>
      <c r="C1889" s="245"/>
      <c r="D1889" s="245"/>
      <c r="E1889" s="246"/>
      <c r="F1889" s="246"/>
      <c r="G1889" s="225" t="e">
        <f aca="false">VLOOKUP(B1889,'NIVEL ENERO'!A:F,4,0)</f>
        <v>#N/A</v>
      </c>
      <c r="H1889" s="247"/>
      <c r="I1889" s="247"/>
      <c r="J1889" s="246"/>
      <c r="K1889" s="246"/>
      <c r="L1889" s="226"/>
      <c r="M1889" s="226"/>
      <c r="N1889" s="246"/>
      <c r="P1889" s="228"/>
      <c r="Q1889" s="245"/>
      <c r="R1889" s="186" t="str">
        <f aca="false">+PROPER(C1889&amp;" "&amp;D1889)</f>
        <v> </v>
      </c>
      <c r="S1889" s="230" t="n">
        <f aca="false">+YEARFRAC(L1889,$S$1)</f>
        <v>126.366666666667</v>
      </c>
      <c r="T1889" s="230" t="n">
        <f aca="false">+YEARFRAC(M1889,$S$1)</f>
        <v>126.366666666667</v>
      </c>
      <c r="U1889" s="231" t="n">
        <f aca="false">+$I1889</f>
        <v>0</v>
      </c>
      <c r="V1889" s="232" t="str">
        <f aca="false">+PROPER(F1889)</f>
        <v/>
      </c>
    </row>
    <row r="1890" customFormat="false" ht="14.25" hidden="false" customHeight="false" outlineLevel="0" collapsed="false">
      <c r="B1890" s="244"/>
      <c r="C1890" s="245"/>
      <c r="D1890" s="245"/>
      <c r="E1890" s="246"/>
      <c r="F1890" s="246"/>
      <c r="G1890" s="225" t="e">
        <f aca="false">VLOOKUP(B1890,'NIVEL ENERO'!A:F,4,0)</f>
        <v>#N/A</v>
      </c>
      <c r="H1890" s="247"/>
      <c r="I1890" s="247"/>
      <c r="J1890" s="246"/>
      <c r="K1890" s="246"/>
      <c r="L1890" s="226"/>
      <c r="M1890" s="226"/>
      <c r="N1890" s="246"/>
      <c r="P1890" s="228"/>
      <c r="Q1890" s="245"/>
      <c r="R1890" s="186" t="str">
        <f aca="false">+PROPER(C1890&amp;" "&amp;D1890)</f>
        <v> </v>
      </c>
      <c r="S1890" s="230" t="n">
        <f aca="false">+YEARFRAC(L1890,$S$1)</f>
        <v>126.366666666667</v>
      </c>
      <c r="T1890" s="230" t="n">
        <f aca="false">+YEARFRAC(M1890,$S$1)</f>
        <v>126.366666666667</v>
      </c>
      <c r="U1890" s="231" t="n">
        <f aca="false">+$I1890</f>
        <v>0</v>
      </c>
      <c r="V1890" s="232" t="str">
        <f aca="false">+PROPER(F1890)</f>
        <v/>
      </c>
    </row>
    <row r="1891" customFormat="false" ht="14.25" hidden="false" customHeight="false" outlineLevel="0" collapsed="false">
      <c r="B1891" s="244"/>
      <c r="C1891" s="245"/>
      <c r="D1891" s="245"/>
      <c r="E1891" s="246"/>
      <c r="F1891" s="246"/>
      <c r="G1891" s="225" t="e">
        <f aca="false">VLOOKUP(B1891,'NIVEL ENERO'!A:F,4,0)</f>
        <v>#N/A</v>
      </c>
      <c r="H1891" s="247"/>
      <c r="I1891" s="247"/>
      <c r="J1891" s="246"/>
      <c r="K1891" s="246"/>
      <c r="L1891" s="226"/>
      <c r="M1891" s="226"/>
      <c r="N1891" s="246"/>
      <c r="P1891" s="228"/>
      <c r="Q1891" s="245"/>
      <c r="R1891" s="186" t="str">
        <f aca="false">+PROPER(C1891&amp;" "&amp;D1891)</f>
        <v> </v>
      </c>
      <c r="S1891" s="230" t="n">
        <f aca="false">+YEARFRAC(L1891,$S$1)</f>
        <v>126.366666666667</v>
      </c>
      <c r="T1891" s="230" t="n">
        <f aca="false">+YEARFRAC(M1891,$S$1)</f>
        <v>126.366666666667</v>
      </c>
      <c r="U1891" s="231" t="n">
        <f aca="false">+$I1891</f>
        <v>0</v>
      </c>
      <c r="V1891" s="232" t="str">
        <f aca="false">+PROPER(F1891)</f>
        <v/>
      </c>
    </row>
    <row r="1892" customFormat="false" ht="14.25" hidden="false" customHeight="false" outlineLevel="0" collapsed="false">
      <c r="B1892" s="244"/>
      <c r="C1892" s="245"/>
      <c r="D1892" s="245"/>
      <c r="E1892" s="246"/>
      <c r="F1892" s="246"/>
      <c r="G1892" s="225" t="e">
        <f aca="false">VLOOKUP(B1892,'NIVEL ENERO'!A:F,4,0)</f>
        <v>#N/A</v>
      </c>
      <c r="H1892" s="247"/>
      <c r="I1892" s="247"/>
      <c r="J1892" s="246"/>
      <c r="K1892" s="246"/>
      <c r="L1892" s="226"/>
      <c r="M1892" s="226"/>
      <c r="N1892" s="246"/>
      <c r="P1892" s="228"/>
      <c r="Q1892" s="245"/>
      <c r="R1892" s="186" t="str">
        <f aca="false">+PROPER(C1892&amp;" "&amp;D1892)</f>
        <v> </v>
      </c>
      <c r="S1892" s="230" t="n">
        <f aca="false">+YEARFRAC(L1892,$S$1)</f>
        <v>126.366666666667</v>
      </c>
      <c r="T1892" s="230" t="n">
        <f aca="false">+YEARFRAC(M1892,$S$1)</f>
        <v>126.366666666667</v>
      </c>
      <c r="U1892" s="231" t="n">
        <f aca="false">+$I1892</f>
        <v>0</v>
      </c>
      <c r="V1892" s="232" t="str">
        <f aca="false">+PROPER(F1892)</f>
        <v/>
      </c>
    </row>
    <row r="1893" customFormat="false" ht="14.25" hidden="false" customHeight="false" outlineLevel="0" collapsed="false">
      <c r="B1893" s="244"/>
      <c r="C1893" s="245"/>
      <c r="D1893" s="245"/>
      <c r="E1893" s="246"/>
      <c r="F1893" s="246"/>
      <c r="G1893" s="225" t="e">
        <f aca="false">VLOOKUP(B1893,'NIVEL ENERO'!A:F,4,0)</f>
        <v>#N/A</v>
      </c>
      <c r="H1893" s="247"/>
      <c r="I1893" s="247"/>
      <c r="J1893" s="246"/>
      <c r="K1893" s="246"/>
      <c r="L1893" s="226"/>
      <c r="M1893" s="226"/>
      <c r="N1893" s="246"/>
      <c r="P1893" s="228"/>
      <c r="Q1893" s="245"/>
      <c r="R1893" s="186" t="str">
        <f aca="false">+PROPER(C1893&amp;" "&amp;D1893)</f>
        <v> </v>
      </c>
      <c r="S1893" s="230" t="n">
        <f aca="false">+YEARFRAC(L1893,$S$1)</f>
        <v>126.366666666667</v>
      </c>
      <c r="T1893" s="230" t="n">
        <f aca="false">+YEARFRAC(M1893,$S$1)</f>
        <v>126.366666666667</v>
      </c>
      <c r="U1893" s="231" t="n">
        <f aca="false">+$I1893</f>
        <v>0</v>
      </c>
      <c r="V1893" s="232" t="str">
        <f aca="false">+PROPER(F1893)</f>
        <v/>
      </c>
    </row>
    <row r="1894" customFormat="false" ht="14.25" hidden="false" customHeight="false" outlineLevel="0" collapsed="false">
      <c r="B1894" s="244"/>
      <c r="C1894" s="245"/>
      <c r="D1894" s="245"/>
      <c r="E1894" s="246"/>
      <c r="F1894" s="246"/>
      <c r="G1894" s="225" t="e">
        <f aca="false">VLOOKUP(B1894,'NIVEL ENERO'!A:F,4,0)</f>
        <v>#N/A</v>
      </c>
      <c r="H1894" s="247"/>
      <c r="I1894" s="247"/>
      <c r="J1894" s="246"/>
      <c r="K1894" s="246"/>
      <c r="L1894" s="226"/>
      <c r="M1894" s="226"/>
      <c r="N1894" s="246"/>
      <c r="P1894" s="228"/>
      <c r="Q1894" s="245"/>
      <c r="R1894" s="186" t="str">
        <f aca="false">+PROPER(C1894&amp;" "&amp;D1894)</f>
        <v> </v>
      </c>
      <c r="S1894" s="230" t="n">
        <f aca="false">+YEARFRAC(L1894,$S$1)</f>
        <v>126.366666666667</v>
      </c>
      <c r="T1894" s="230" t="n">
        <f aca="false">+YEARFRAC(M1894,$S$1)</f>
        <v>126.366666666667</v>
      </c>
      <c r="U1894" s="231" t="n">
        <f aca="false">+$I1894</f>
        <v>0</v>
      </c>
      <c r="V1894" s="232" t="str">
        <f aca="false">+PROPER(F1894)</f>
        <v/>
      </c>
    </row>
    <row r="1895" customFormat="false" ht="14.25" hidden="false" customHeight="false" outlineLevel="0" collapsed="false">
      <c r="B1895" s="244"/>
      <c r="C1895" s="245"/>
      <c r="D1895" s="245"/>
      <c r="E1895" s="246"/>
      <c r="F1895" s="246"/>
      <c r="G1895" s="225" t="e">
        <f aca="false">VLOOKUP(B1895,'NIVEL ENERO'!A:F,4,0)</f>
        <v>#N/A</v>
      </c>
      <c r="H1895" s="247"/>
      <c r="I1895" s="247"/>
      <c r="J1895" s="246"/>
      <c r="K1895" s="246"/>
      <c r="L1895" s="226"/>
      <c r="M1895" s="226"/>
      <c r="N1895" s="246"/>
      <c r="P1895" s="228"/>
      <c r="Q1895" s="245"/>
      <c r="R1895" s="186" t="str">
        <f aca="false">+PROPER(C1895&amp;" "&amp;D1895)</f>
        <v> </v>
      </c>
      <c r="S1895" s="230" t="n">
        <f aca="false">+YEARFRAC(L1895,$S$1)</f>
        <v>126.366666666667</v>
      </c>
      <c r="T1895" s="230" t="n">
        <f aca="false">+YEARFRAC(M1895,$S$1)</f>
        <v>126.366666666667</v>
      </c>
      <c r="U1895" s="231" t="n">
        <f aca="false">+$I1895</f>
        <v>0</v>
      </c>
      <c r="V1895" s="232" t="str">
        <f aca="false">+PROPER(F1895)</f>
        <v/>
      </c>
    </row>
    <row r="1896" customFormat="false" ht="14.25" hidden="false" customHeight="false" outlineLevel="0" collapsed="false">
      <c r="B1896" s="244"/>
      <c r="C1896" s="245"/>
      <c r="D1896" s="245"/>
      <c r="E1896" s="246"/>
      <c r="F1896" s="246"/>
      <c r="G1896" s="225" t="e">
        <f aca="false">VLOOKUP(B1896,'NIVEL ENERO'!A:F,4,0)</f>
        <v>#N/A</v>
      </c>
      <c r="H1896" s="247"/>
      <c r="I1896" s="247"/>
      <c r="J1896" s="246"/>
      <c r="K1896" s="246"/>
      <c r="L1896" s="226"/>
      <c r="M1896" s="226"/>
      <c r="N1896" s="246"/>
      <c r="P1896" s="228"/>
      <c r="Q1896" s="245"/>
      <c r="R1896" s="186" t="str">
        <f aca="false">+PROPER(C1896&amp;" "&amp;D1896)</f>
        <v> </v>
      </c>
      <c r="S1896" s="230" t="n">
        <f aca="false">+YEARFRAC(L1896,$S$1)</f>
        <v>126.366666666667</v>
      </c>
      <c r="T1896" s="230" t="n">
        <f aca="false">+YEARFRAC(M1896,$S$1)</f>
        <v>126.366666666667</v>
      </c>
      <c r="U1896" s="231" t="n">
        <f aca="false">+$I1896</f>
        <v>0</v>
      </c>
      <c r="V1896" s="232" t="str">
        <f aca="false">+PROPER(F1896)</f>
        <v/>
      </c>
    </row>
    <row r="1897" customFormat="false" ht="14.25" hidden="false" customHeight="false" outlineLevel="0" collapsed="false">
      <c r="B1897" s="244"/>
      <c r="C1897" s="245"/>
      <c r="D1897" s="245"/>
      <c r="E1897" s="246"/>
      <c r="F1897" s="246"/>
      <c r="G1897" s="225" t="e">
        <f aca="false">VLOOKUP(B1897,'NIVEL ENERO'!A:F,4,0)</f>
        <v>#N/A</v>
      </c>
      <c r="H1897" s="247"/>
      <c r="I1897" s="247"/>
      <c r="J1897" s="246"/>
      <c r="K1897" s="246"/>
      <c r="L1897" s="226"/>
      <c r="M1897" s="226"/>
      <c r="N1897" s="246"/>
      <c r="P1897" s="228"/>
      <c r="Q1897" s="245"/>
      <c r="R1897" s="186" t="str">
        <f aca="false">+PROPER(C1897&amp;" "&amp;D1897)</f>
        <v> </v>
      </c>
      <c r="S1897" s="230" t="n">
        <f aca="false">+YEARFRAC(L1897,$S$1)</f>
        <v>126.366666666667</v>
      </c>
      <c r="T1897" s="230" t="n">
        <f aca="false">+YEARFRAC(M1897,$S$1)</f>
        <v>126.366666666667</v>
      </c>
      <c r="U1897" s="231" t="n">
        <f aca="false">+$I1897</f>
        <v>0</v>
      </c>
      <c r="V1897" s="232" t="str">
        <f aca="false">+PROPER(F1897)</f>
        <v/>
      </c>
    </row>
    <row r="1898" customFormat="false" ht="14.25" hidden="false" customHeight="false" outlineLevel="0" collapsed="false">
      <c r="B1898" s="244"/>
      <c r="C1898" s="245"/>
      <c r="D1898" s="245"/>
      <c r="E1898" s="246"/>
      <c r="F1898" s="246"/>
      <c r="G1898" s="225" t="e">
        <f aca="false">VLOOKUP(B1898,'NIVEL ENERO'!A:F,4,0)</f>
        <v>#N/A</v>
      </c>
      <c r="H1898" s="247"/>
      <c r="I1898" s="247"/>
      <c r="J1898" s="246"/>
      <c r="K1898" s="246"/>
      <c r="L1898" s="226"/>
      <c r="M1898" s="226"/>
      <c r="N1898" s="246"/>
      <c r="P1898" s="228"/>
      <c r="Q1898" s="245"/>
      <c r="R1898" s="186" t="str">
        <f aca="false">+PROPER(C1898&amp;" "&amp;D1898)</f>
        <v> </v>
      </c>
      <c r="S1898" s="230" t="n">
        <f aca="false">+YEARFRAC(L1898,$S$1)</f>
        <v>126.366666666667</v>
      </c>
      <c r="T1898" s="230" t="n">
        <f aca="false">+YEARFRAC(M1898,$S$1)</f>
        <v>126.366666666667</v>
      </c>
      <c r="U1898" s="231" t="n">
        <f aca="false">+$I1898</f>
        <v>0</v>
      </c>
      <c r="V1898" s="232" t="str">
        <f aca="false">+PROPER(F1898)</f>
        <v/>
      </c>
    </row>
    <row r="1899" customFormat="false" ht="14.25" hidden="false" customHeight="false" outlineLevel="0" collapsed="false">
      <c r="B1899" s="244"/>
      <c r="C1899" s="245"/>
      <c r="D1899" s="245"/>
      <c r="E1899" s="246"/>
      <c r="F1899" s="246"/>
      <c r="G1899" s="225" t="e">
        <f aca="false">VLOOKUP(B1899,'NIVEL ENERO'!A:F,4,0)</f>
        <v>#N/A</v>
      </c>
      <c r="H1899" s="247"/>
      <c r="I1899" s="247"/>
      <c r="J1899" s="246"/>
      <c r="K1899" s="246"/>
      <c r="L1899" s="226"/>
      <c r="M1899" s="226"/>
      <c r="N1899" s="246"/>
      <c r="P1899" s="228"/>
      <c r="Q1899" s="245"/>
      <c r="R1899" s="186" t="str">
        <f aca="false">+PROPER(C1899&amp;" "&amp;D1899)</f>
        <v> </v>
      </c>
      <c r="S1899" s="230" t="n">
        <f aca="false">+YEARFRAC(L1899,$S$1)</f>
        <v>126.366666666667</v>
      </c>
      <c r="T1899" s="230" t="n">
        <f aca="false">+YEARFRAC(M1899,$S$1)</f>
        <v>126.366666666667</v>
      </c>
      <c r="U1899" s="231" t="n">
        <f aca="false">+$I1899</f>
        <v>0</v>
      </c>
      <c r="V1899" s="232" t="str">
        <f aca="false">+PROPER(F1899)</f>
        <v/>
      </c>
    </row>
    <row r="1900" customFormat="false" ht="14.25" hidden="false" customHeight="false" outlineLevel="0" collapsed="false">
      <c r="B1900" s="244"/>
      <c r="C1900" s="245"/>
      <c r="D1900" s="245"/>
      <c r="E1900" s="246"/>
      <c r="F1900" s="246"/>
      <c r="G1900" s="225" t="e">
        <f aca="false">VLOOKUP(B1900,'NIVEL ENERO'!A:F,4,0)</f>
        <v>#N/A</v>
      </c>
      <c r="H1900" s="247"/>
      <c r="I1900" s="247"/>
      <c r="J1900" s="246"/>
      <c r="K1900" s="246"/>
      <c r="L1900" s="226"/>
      <c r="M1900" s="226"/>
      <c r="N1900" s="246"/>
      <c r="P1900" s="228"/>
      <c r="Q1900" s="245"/>
      <c r="R1900" s="186" t="str">
        <f aca="false">+PROPER(C1900&amp;" "&amp;D1900)</f>
        <v> </v>
      </c>
      <c r="S1900" s="230" t="n">
        <f aca="false">+YEARFRAC(L1900,$S$1)</f>
        <v>126.366666666667</v>
      </c>
      <c r="T1900" s="230" t="n">
        <f aca="false">+YEARFRAC(M1900,$S$1)</f>
        <v>126.366666666667</v>
      </c>
      <c r="U1900" s="231" t="n">
        <f aca="false">+$I1900</f>
        <v>0</v>
      </c>
      <c r="V1900" s="232" t="str">
        <f aca="false">+PROPER(F1900)</f>
        <v/>
      </c>
    </row>
    <row r="1901" customFormat="false" ht="14.25" hidden="false" customHeight="false" outlineLevel="0" collapsed="false">
      <c r="B1901" s="244"/>
      <c r="C1901" s="245"/>
      <c r="D1901" s="245"/>
      <c r="E1901" s="246"/>
      <c r="F1901" s="246"/>
      <c r="G1901" s="225" t="e">
        <f aca="false">VLOOKUP(B1901,'NIVEL ENERO'!A:F,4,0)</f>
        <v>#N/A</v>
      </c>
      <c r="H1901" s="247"/>
      <c r="I1901" s="247"/>
      <c r="J1901" s="246"/>
      <c r="K1901" s="246"/>
      <c r="L1901" s="226"/>
      <c r="M1901" s="226"/>
      <c r="N1901" s="246"/>
      <c r="P1901" s="228"/>
      <c r="Q1901" s="245"/>
      <c r="R1901" s="186" t="str">
        <f aca="false">+PROPER(C1901&amp;" "&amp;D1901)</f>
        <v> </v>
      </c>
      <c r="S1901" s="230" t="n">
        <f aca="false">+YEARFRAC(L1901,$S$1)</f>
        <v>126.366666666667</v>
      </c>
      <c r="T1901" s="230" t="n">
        <f aca="false">+YEARFRAC(M1901,$S$1)</f>
        <v>126.366666666667</v>
      </c>
      <c r="U1901" s="231" t="n">
        <f aca="false">+$I1901</f>
        <v>0</v>
      </c>
      <c r="V1901" s="232" t="str">
        <f aca="false">+PROPER(F1901)</f>
        <v/>
      </c>
    </row>
    <row r="1902" customFormat="false" ht="14.25" hidden="false" customHeight="false" outlineLevel="0" collapsed="false">
      <c r="B1902" s="244"/>
      <c r="C1902" s="245"/>
      <c r="D1902" s="245"/>
      <c r="E1902" s="246"/>
      <c r="F1902" s="246"/>
      <c r="G1902" s="225" t="e">
        <f aca="false">VLOOKUP(B1902,'NIVEL ENERO'!A:F,4,0)</f>
        <v>#N/A</v>
      </c>
      <c r="H1902" s="247"/>
      <c r="I1902" s="247"/>
      <c r="J1902" s="246"/>
      <c r="K1902" s="246"/>
      <c r="L1902" s="226"/>
      <c r="M1902" s="226"/>
      <c r="N1902" s="246"/>
      <c r="P1902" s="228"/>
      <c r="Q1902" s="245"/>
      <c r="R1902" s="186" t="str">
        <f aca="false">+PROPER(C1902&amp;" "&amp;D1902)</f>
        <v> </v>
      </c>
      <c r="S1902" s="230" t="n">
        <f aca="false">+YEARFRAC(L1902,$S$1)</f>
        <v>126.366666666667</v>
      </c>
      <c r="T1902" s="230" t="n">
        <f aca="false">+YEARFRAC(M1902,$S$1)</f>
        <v>126.366666666667</v>
      </c>
      <c r="U1902" s="231" t="n">
        <f aca="false">+$I1902</f>
        <v>0</v>
      </c>
      <c r="V1902" s="232" t="str">
        <f aca="false">+PROPER(F1902)</f>
        <v/>
      </c>
    </row>
    <row r="1903" customFormat="false" ht="14.25" hidden="false" customHeight="false" outlineLevel="0" collapsed="false">
      <c r="B1903" s="244"/>
      <c r="C1903" s="245"/>
      <c r="D1903" s="245"/>
      <c r="E1903" s="246"/>
      <c r="F1903" s="246"/>
      <c r="G1903" s="225" t="e">
        <f aca="false">VLOOKUP(B1903,'NIVEL ENERO'!A:F,4,0)</f>
        <v>#N/A</v>
      </c>
      <c r="H1903" s="247"/>
      <c r="I1903" s="247"/>
      <c r="J1903" s="246"/>
      <c r="K1903" s="246"/>
      <c r="L1903" s="226"/>
      <c r="M1903" s="226"/>
      <c r="N1903" s="246"/>
      <c r="P1903" s="228"/>
      <c r="Q1903" s="245"/>
      <c r="R1903" s="186" t="str">
        <f aca="false">+PROPER(C1903&amp;" "&amp;D1903)</f>
        <v> </v>
      </c>
      <c r="S1903" s="230" t="n">
        <f aca="false">+YEARFRAC(L1903,$S$1)</f>
        <v>126.366666666667</v>
      </c>
      <c r="T1903" s="230" t="n">
        <f aca="false">+YEARFRAC(M1903,$S$1)</f>
        <v>126.366666666667</v>
      </c>
      <c r="U1903" s="231" t="n">
        <f aca="false">+$I1903</f>
        <v>0</v>
      </c>
      <c r="V1903" s="232" t="str">
        <f aca="false">+PROPER(F1903)</f>
        <v/>
      </c>
    </row>
    <row r="1904" customFormat="false" ht="14.25" hidden="false" customHeight="false" outlineLevel="0" collapsed="false">
      <c r="B1904" s="244"/>
      <c r="C1904" s="245"/>
      <c r="D1904" s="245"/>
      <c r="E1904" s="246"/>
      <c r="F1904" s="246"/>
      <c r="G1904" s="225" t="e">
        <f aca="false">VLOOKUP(B1904,'NIVEL ENERO'!A:F,4,0)</f>
        <v>#N/A</v>
      </c>
      <c r="H1904" s="247"/>
      <c r="I1904" s="247"/>
      <c r="J1904" s="246"/>
      <c r="K1904" s="246"/>
      <c r="L1904" s="226"/>
      <c r="M1904" s="226"/>
      <c r="N1904" s="246"/>
      <c r="P1904" s="228"/>
      <c r="Q1904" s="245"/>
      <c r="R1904" s="186" t="str">
        <f aca="false">+PROPER(C1904&amp;" "&amp;D1904)</f>
        <v> </v>
      </c>
      <c r="S1904" s="230" t="n">
        <f aca="false">+YEARFRAC(L1904,$S$1)</f>
        <v>126.366666666667</v>
      </c>
      <c r="T1904" s="230" t="n">
        <f aca="false">+YEARFRAC(M1904,$S$1)</f>
        <v>126.366666666667</v>
      </c>
      <c r="U1904" s="231" t="n">
        <f aca="false">+$I1904</f>
        <v>0</v>
      </c>
      <c r="V1904" s="232" t="str">
        <f aca="false">+PROPER(F1904)</f>
        <v/>
      </c>
    </row>
    <row r="1905" customFormat="false" ht="14.25" hidden="false" customHeight="false" outlineLevel="0" collapsed="false">
      <c r="B1905" s="244"/>
      <c r="C1905" s="245"/>
      <c r="D1905" s="245"/>
      <c r="E1905" s="246"/>
      <c r="F1905" s="246"/>
      <c r="G1905" s="225" t="e">
        <f aca="false">VLOOKUP(B1905,'NIVEL ENERO'!A:F,4,0)</f>
        <v>#N/A</v>
      </c>
      <c r="H1905" s="247"/>
      <c r="I1905" s="247"/>
      <c r="J1905" s="246"/>
      <c r="K1905" s="246"/>
      <c r="L1905" s="226"/>
      <c r="M1905" s="226"/>
      <c r="N1905" s="246"/>
      <c r="P1905" s="228"/>
      <c r="Q1905" s="245"/>
      <c r="R1905" s="186" t="str">
        <f aca="false">+PROPER(C1905&amp;" "&amp;D1905)</f>
        <v> </v>
      </c>
      <c r="S1905" s="230" t="n">
        <f aca="false">+YEARFRAC(L1905,$S$1)</f>
        <v>126.366666666667</v>
      </c>
      <c r="T1905" s="230" t="n">
        <f aca="false">+YEARFRAC(M1905,$S$1)</f>
        <v>126.366666666667</v>
      </c>
      <c r="U1905" s="231" t="n">
        <f aca="false">+$I1905</f>
        <v>0</v>
      </c>
      <c r="V1905" s="232" t="str">
        <f aca="false">+PROPER(F1905)</f>
        <v/>
      </c>
    </row>
    <row r="1906" customFormat="false" ht="14.25" hidden="false" customHeight="false" outlineLevel="0" collapsed="false">
      <c r="B1906" s="244"/>
      <c r="C1906" s="245"/>
      <c r="D1906" s="245"/>
      <c r="E1906" s="246"/>
      <c r="F1906" s="246"/>
      <c r="G1906" s="225" t="e">
        <f aca="false">VLOOKUP(B1906,'NIVEL ENERO'!A:F,4,0)</f>
        <v>#N/A</v>
      </c>
      <c r="H1906" s="247"/>
      <c r="I1906" s="247"/>
      <c r="J1906" s="246"/>
      <c r="K1906" s="246"/>
      <c r="L1906" s="226"/>
      <c r="M1906" s="226"/>
      <c r="N1906" s="246"/>
      <c r="P1906" s="228"/>
      <c r="Q1906" s="245"/>
      <c r="R1906" s="186" t="str">
        <f aca="false">+PROPER(C1906&amp;" "&amp;D1906)</f>
        <v> </v>
      </c>
      <c r="S1906" s="230" t="n">
        <f aca="false">+YEARFRAC(L1906,$S$1)</f>
        <v>126.366666666667</v>
      </c>
      <c r="T1906" s="230" t="n">
        <f aca="false">+YEARFRAC(M1906,$S$1)</f>
        <v>126.366666666667</v>
      </c>
      <c r="U1906" s="231" t="n">
        <f aca="false">+$I1906</f>
        <v>0</v>
      </c>
      <c r="V1906" s="232" t="str">
        <f aca="false">+PROPER(F1906)</f>
        <v/>
      </c>
    </row>
    <row r="1907" customFormat="false" ht="14.25" hidden="false" customHeight="false" outlineLevel="0" collapsed="false">
      <c r="B1907" s="244"/>
      <c r="C1907" s="245"/>
      <c r="D1907" s="245"/>
      <c r="E1907" s="246"/>
      <c r="F1907" s="246"/>
      <c r="G1907" s="225" t="e">
        <f aca="false">VLOOKUP(B1907,'NIVEL ENERO'!A:F,4,0)</f>
        <v>#N/A</v>
      </c>
      <c r="H1907" s="247"/>
      <c r="I1907" s="247"/>
      <c r="J1907" s="246"/>
      <c r="K1907" s="246"/>
      <c r="L1907" s="226"/>
      <c r="M1907" s="226"/>
      <c r="N1907" s="246"/>
      <c r="P1907" s="228"/>
      <c r="Q1907" s="245"/>
      <c r="R1907" s="186" t="str">
        <f aca="false">+PROPER(C1907&amp;" "&amp;D1907)</f>
        <v> </v>
      </c>
      <c r="S1907" s="230" t="n">
        <f aca="false">+YEARFRAC(L1907,$S$1)</f>
        <v>126.366666666667</v>
      </c>
      <c r="T1907" s="230" t="n">
        <f aca="false">+YEARFRAC(M1907,$S$1)</f>
        <v>126.366666666667</v>
      </c>
      <c r="U1907" s="231" t="n">
        <f aca="false">+$I1907</f>
        <v>0</v>
      </c>
      <c r="V1907" s="232" t="str">
        <f aca="false">+PROPER(F1907)</f>
        <v/>
      </c>
    </row>
    <row r="1908" customFormat="false" ht="14.25" hidden="false" customHeight="false" outlineLevel="0" collapsed="false">
      <c r="B1908" s="244"/>
      <c r="C1908" s="245"/>
      <c r="D1908" s="245"/>
      <c r="E1908" s="246"/>
      <c r="F1908" s="246"/>
      <c r="G1908" s="225" t="e">
        <f aca="false">VLOOKUP(B1908,'NIVEL ENERO'!A:F,4,0)</f>
        <v>#N/A</v>
      </c>
      <c r="H1908" s="247"/>
      <c r="I1908" s="247"/>
      <c r="J1908" s="246"/>
      <c r="K1908" s="246"/>
      <c r="L1908" s="226"/>
      <c r="M1908" s="226"/>
      <c r="N1908" s="246"/>
      <c r="P1908" s="228"/>
      <c r="Q1908" s="245"/>
      <c r="R1908" s="186" t="str">
        <f aca="false">+PROPER(C1908&amp;" "&amp;D1908)</f>
        <v> </v>
      </c>
      <c r="S1908" s="230" t="n">
        <f aca="false">+YEARFRAC(L1908,$S$1)</f>
        <v>126.366666666667</v>
      </c>
      <c r="T1908" s="230" t="n">
        <f aca="false">+YEARFRAC(M1908,$S$1)</f>
        <v>126.366666666667</v>
      </c>
      <c r="U1908" s="231" t="n">
        <f aca="false">+$I1908</f>
        <v>0</v>
      </c>
      <c r="V1908" s="232" t="str">
        <f aca="false">+PROPER(F1908)</f>
        <v/>
      </c>
    </row>
    <row r="1909" customFormat="false" ht="14.25" hidden="false" customHeight="false" outlineLevel="0" collapsed="false">
      <c r="B1909" s="244"/>
      <c r="C1909" s="245"/>
      <c r="D1909" s="245"/>
      <c r="E1909" s="246"/>
      <c r="F1909" s="246"/>
      <c r="G1909" s="225" t="e">
        <f aca="false">VLOOKUP(B1909,'NIVEL ENERO'!A:F,4,0)</f>
        <v>#N/A</v>
      </c>
      <c r="H1909" s="247"/>
      <c r="I1909" s="247"/>
      <c r="J1909" s="246"/>
      <c r="K1909" s="246"/>
      <c r="L1909" s="226"/>
      <c r="M1909" s="226"/>
      <c r="N1909" s="246"/>
      <c r="P1909" s="228"/>
      <c r="Q1909" s="245"/>
      <c r="R1909" s="186" t="str">
        <f aca="false">+PROPER(C1909&amp;" "&amp;D1909)</f>
        <v> </v>
      </c>
      <c r="S1909" s="230" t="n">
        <f aca="false">+YEARFRAC(L1909,$S$1)</f>
        <v>126.366666666667</v>
      </c>
      <c r="T1909" s="230" t="n">
        <f aca="false">+YEARFRAC(M1909,$S$1)</f>
        <v>126.366666666667</v>
      </c>
      <c r="U1909" s="231" t="n">
        <f aca="false">+$I1909</f>
        <v>0</v>
      </c>
      <c r="V1909" s="232" t="str">
        <f aca="false">+PROPER(F1909)</f>
        <v/>
      </c>
    </row>
    <row r="1910" customFormat="false" ht="14.25" hidden="false" customHeight="false" outlineLevel="0" collapsed="false">
      <c r="B1910" s="244"/>
      <c r="C1910" s="245"/>
      <c r="D1910" s="245"/>
      <c r="E1910" s="246"/>
      <c r="F1910" s="246"/>
      <c r="G1910" s="225" t="e">
        <f aca="false">VLOOKUP(B1910,'NIVEL ENERO'!A:F,4,0)</f>
        <v>#N/A</v>
      </c>
      <c r="H1910" s="247"/>
      <c r="I1910" s="247"/>
      <c r="J1910" s="246"/>
      <c r="K1910" s="246"/>
      <c r="L1910" s="226"/>
      <c r="M1910" s="226"/>
      <c r="N1910" s="246"/>
      <c r="P1910" s="228"/>
      <c r="Q1910" s="245"/>
      <c r="R1910" s="186" t="str">
        <f aca="false">+PROPER(C1910&amp;" "&amp;D1910)</f>
        <v> </v>
      </c>
      <c r="S1910" s="230" t="n">
        <f aca="false">+YEARFRAC(L1910,$S$1)</f>
        <v>126.366666666667</v>
      </c>
      <c r="T1910" s="230" t="n">
        <f aca="false">+YEARFRAC(M1910,$S$1)</f>
        <v>126.366666666667</v>
      </c>
      <c r="U1910" s="231" t="n">
        <f aca="false">+$I1910</f>
        <v>0</v>
      </c>
      <c r="V1910" s="232" t="str">
        <f aca="false">+PROPER(F1910)</f>
        <v/>
      </c>
    </row>
    <row r="1911" customFormat="false" ht="14.25" hidden="false" customHeight="false" outlineLevel="0" collapsed="false">
      <c r="B1911" s="244"/>
      <c r="C1911" s="245"/>
      <c r="D1911" s="245"/>
      <c r="E1911" s="246"/>
      <c r="F1911" s="246"/>
      <c r="G1911" s="225" t="e">
        <f aca="false">VLOOKUP(B1911,'NIVEL ENERO'!A:F,4,0)</f>
        <v>#N/A</v>
      </c>
      <c r="H1911" s="247"/>
      <c r="I1911" s="247"/>
      <c r="J1911" s="246"/>
      <c r="K1911" s="246"/>
      <c r="L1911" s="226"/>
      <c r="M1911" s="226"/>
      <c r="N1911" s="246"/>
      <c r="P1911" s="228"/>
      <c r="Q1911" s="245"/>
      <c r="R1911" s="186" t="str">
        <f aca="false">+PROPER(C1911&amp;" "&amp;D1911)</f>
        <v> </v>
      </c>
      <c r="S1911" s="230" t="n">
        <f aca="false">+YEARFRAC(L1911,$S$1)</f>
        <v>126.366666666667</v>
      </c>
      <c r="T1911" s="230" t="n">
        <f aca="false">+YEARFRAC(M1911,$S$1)</f>
        <v>126.366666666667</v>
      </c>
      <c r="U1911" s="231" t="n">
        <f aca="false">+$I1911</f>
        <v>0</v>
      </c>
      <c r="V1911" s="232" t="str">
        <f aca="false">+PROPER(F1911)</f>
        <v/>
      </c>
    </row>
    <row r="1912" customFormat="false" ht="14.25" hidden="false" customHeight="false" outlineLevel="0" collapsed="false">
      <c r="B1912" s="244"/>
      <c r="C1912" s="245"/>
      <c r="D1912" s="245"/>
      <c r="E1912" s="246"/>
      <c r="F1912" s="246"/>
      <c r="G1912" s="225" t="e">
        <f aca="false">VLOOKUP(B1912,'NIVEL ENERO'!A:F,4,0)</f>
        <v>#N/A</v>
      </c>
      <c r="H1912" s="247"/>
      <c r="I1912" s="247"/>
      <c r="J1912" s="246"/>
      <c r="K1912" s="246"/>
      <c r="L1912" s="226"/>
      <c r="M1912" s="226"/>
      <c r="N1912" s="246"/>
      <c r="P1912" s="228"/>
      <c r="Q1912" s="245"/>
      <c r="R1912" s="186" t="str">
        <f aca="false">+PROPER(C1912&amp;" "&amp;D1912)</f>
        <v> </v>
      </c>
      <c r="S1912" s="230" t="n">
        <f aca="false">+YEARFRAC(L1912,$S$1)</f>
        <v>126.366666666667</v>
      </c>
      <c r="T1912" s="230" t="n">
        <f aca="false">+YEARFRAC(M1912,$S$1)</f>
        <v>126.366666666667</v>
      </c>
      <c r="U1912" s="231" t="n">
        <f aca="false">+$I1912</f>
        <v>0</v>
      </c>
      <c r="V1912" s="232" t="str">
        <f aca="false">+PROPER(F1912)</f>
        <v/>
      </c>
    </row>
    <row r="1913" customFormat="false" ht="14.25" hidden="false" customHeight="false" outlineLevel="0" collapsed="false">
      <c r="B1913" s="244"/>
      <c r="C1913" s="245"/>
      <c r="D1913" s="245"/>
      <c r="E1913" s="246"/>
      <c r="F1913" s="246"/>
      <c r="G1913" s="225" t="e">
        <f aca="false">VLOOKUP(B1913,'NIVEL ENERO'!A:F,4,0)</f>
        <v>#N/A</v>
      </c>
      <c r="H1913" s="247"/>
      <c r="I1913" s="247"/>
      <c r="J1913" s="246"/>
      <c r="K1913" s="246"/>
      <c r="L1913" s="226"/>
      <c r="M1913" s="226"/>
      <c r="N1913" s="246"/>
      <c r="P1913" s="228"/>
      <c r="Q1913" s="245"/>
      <c r="R1913" s="186" t="str">
        <f aca="false">+PROPER(C1913&amp;" "&amp;D1913)</f>
        <v> </v>
      </c>
      <c r="S1913" s="230" t="n">
        <f aca="false">+YEARFRAC(L1913,$S$1)</f>
        <v>126.366666666667</v>
      </c>
      <c r="T1913" s="230" t="n">
        <f aca="false">+YEARFRAC(M1913,$S$1)</f>
        <v>126.366666666667</v>
      </c>
      <c r="U1913" s="231" t="n">
        <f aca="false">+$I1913</f>
        <v>0</v>
      </c>
      <c r="V1913" s="232" t="str">
        <f aca="false">+PROPER(F1913)</f>
        <v/>
      </c>
    </row>
    <row r="1914" customFormat="false" ht="14.25" hidden="false" customHeight="false" outlineLevel="0" collapsed="false">
      <c r="B1914" s="244"/>
      <c r="C1914" s="245"/>
      <c r="D1914" s="245"/>
      <c r="E1914" s="246"/>
      <c r="F1914" s="246"/>
      <c r="G1914" s="225" t="e">
        <f aca="false">VLOOKUP(B1914,'NIVEL ENERO'!A:F,4,0)</f>
        <v>#N/A</v>
      </c>
      <c r="H1914" s="247"/>
      <c r="I1914" s="247"/>
      <c r="J1914" s="246"/>
      <c r="K1914" s="246"/>
      <c r="L1914" s="226"/>
      <c r="M1914" s="226"/>
      <c r="N1914" s="246"/>
      <c r="P1914" s="228"/>
      <c r="Q1914" s="245"/>
      <c r="R1914" s="186" t="str">
        <f aca="false">+PROPER(C1914&amp;" "&amp;D1914)</f>
        <v> </v>
      </c>
      <c r="S1914" s="230" t="n">
        <f aca="false">+YEARFRAC(L1914,$S$1)</f>
        <v>126.366666666667</v>
      </c>
      <c r="T1914" s="230" t="n">
        <f aca="false">+YEARFRAC(M1914,$S$1)</f>
        <v>126.366666666667</v>
      </c>
      <c r="U1914" s="231" t="n">
        <f aca="false">+$I1914</f>
        <v>0</v>
      </c>
      <c r="V1914" s="232" t="str">
        <f aca="false">+PROPER(F1914)</f>
        <v/>
      </c>
    </row>
    <row r="1915" customFormat="false" ht="14.25" hidden="false" customHeight="false" outlineLevel="0" collapsed="false">
      <c r="B1915" s="244"/>
      <c r="C1915" s="245"/>
      <c r="D1915" s="245"/>
      <c r="E1915" s="246"/>
      <c r="F1915" s="246"/>
      <c r="G1915" s="225" t="e">
        <f aca="false">VLOOKUP(B1915,'NIVEL ENERO'!A:F,4,0)</f>
        <v>#N/A</v>
      </c>
      <c r="H1915" s="247"/>
      <c r="I1915" s="247"/>
      <c r="J1915" s="246"/>
      <c r="K1915" s="246"/>
      <c r="L1915" s="226"/>
      <c r="M1915" s="226"/>
      <c r="N1915" s="246"/>
      <c r="P1915" s="228"/>
      <c r="Q1915" s="245"/>
      <c r="R1915" s="186" t="str">
        <f aca="false">+PROPER(C1915&amp;" "&amp;D1915)</f>
        <v> </v>
      </c>
      <c r="S1915" s="230" t="n">
        <f aca="false">+YEARFRAC(L1915,$S$1)</f>
        <v>126.366666666667</v>
      </c>
      <c r="T1915" s="230" t="n">
        <f aca="false">+YEARFRAC(M1915,$S$1)</f>
        <v>126.366666666667</v>
      </c>
      <c r="U1915" s="231" t="n">
        <f aca="false">+$I1915</f>
        <v>0</v>
      </c>
      <c r="V1915" s="232" t="str">
        <f aca="false">+PROPER(F1915)</f>
        <v/>
      </c>
    </row>
    <row r="1916" customFormat="false" ht="14.25" hidden="false" customHeight="false" outlineLevel="0" collapsed="false">
      <c r="B1916" s="244"/>
      <c r="C1916" s="245"/>
      <c r="D1916" s="245"/>
      <c r="E1916" s="246"/>
      <c r="F1916" s="246"/>
      <c r="G1916" s="225" t="e">
        <f aca="false">VLOOKUP(B1916,'NIVEL ENERO'!A:F,4,0)</f>
        <v>#N/A</v>
      </c>
      <c r="H1916" s="247"/>
      <c r="I1916" s="247"/>
      <c r="J1916" s="246"/>
      <c r="K1916" s="246"/>
      <c r="L1916" s="226"/>
      <c r="M1916" s="226"/>
      <c r="N1916" s="246"/>
      <c r="P1916" s="228"/>
      <c r="Q1916" s="245"/>
      <c r="R1916" s="186" t="str">
        <f aca="false">+PROPER(C1916&amp;" "&amp;D1916)</f>
        <v> </v>
      </c>
      <c r="S1916" s="230" t="n">
        <f aca="false">+YEARFRAC(L1916,$S$1)</f>
        <v>126.366666666667</v>
      </c>
      <c r="T1916" s="230" t="n">
        <f aca="false">+YEARFRAC(M1916,$S$1)</f>
        <v>126.366666666667</v>
      </c>
      <c r="U1916" s="231" t="n">
        <f aca="false">+$I1916</f>
        <v>0</v>
      </c>
      <c r="V1916" s="232" t="str">
        <f aca="false">+PROPER(F1916)</f>
        <v/>
      </c>
    </row>
    <row r="1917" customFormat="false" ht="14.25" hidden="false" customHeight="false" outlineLevel="0" collapsed="false">
      <c r="B1917" s="244"/>
      <c r="C1917" s="245"/>
      <c r="D1917" s="245"/>
      <c r="E1917" s="246"/>
      <c r="F1917" s="246"/>
      <c r="G1917" s="225" t="e">
        <f aca="false">VLOOKUP(B1917,'NIVEL ENERO'!A:F,4,0)</f>
        <v>#N/A</v>
      </c>
      <c r="H1917" s="247"/>
      <c r="I1917" s="247"/>
      <c r="J1917" s="246"/>
      <c r="K1917" s="246"/>
      <c r="L1917" s="226"/>
      <c r="M1917" s="226"/>
      <c r="N1917" s="246"/>
      <c r="P1917" s="228"/>
      <c r="Q1917" s="245"/>
      <c r="R1917" s="186" t="str">
        <f aca="false">+PROPER(C1917&amp;" "&amp;D1917)</f>
        <v> </v>
      </c>
      <c r="S1917" s="230" t="n">
        <f aca="false">+YEARFRAC(L1917,$S$1)</f>
        <v>126.366666666667</v>
      </c>
      <c r="T1917" s="230" t="n">
        <f aca="false">+YEARFRAC(M1917,$S$1)</f>
        <v>126.366666666667</v>
      </c>
      <c r="U1917" s="231" t="n">
        <f aca="false">+$I1917</f>
        <v>0</v>
      </c>
      <c r="V1917" s="232" t="str">
        <f aca="false">+PROPER(F1917)</f>
        <v/>
      </c>
    </row>
    <row r="1918" customFormat="false" ht="14.25" hidden="false" customHeight="false" outlineLevel="0" collapsed="false">
      <c r="B1918" s="244"/>
      <c r="C1918" s="245"/>
      <c r="D1918" s="245"/>
      <c r="E1918" s="246"/>
      <c r="F1918" s="246"/>
      <c r="G1918" s="225" t="e">
        <f aca="false">VLOOKUP(B1918,'NIVEL ENERO'!A:F,4,0)</f>
        <v>#N/A</v>
      </c>
      <c r="H1918" s="247"/>
      <c r="I1918" s="247"/>
      <c r="J1918" s="246"/>
      <c r="K1918" s="246"/>
      <c r="L1918" s="226"/>
      <c r="M1918" s="226"/>
      <c r="N1918" s="246"/>
      <c r="P1918" s="228"/>
      <c r="Q1918" s="245"/>
      <c r="R1918" s="186" t="str">
        <f aca="false">+PROPER(C1918&amp;" "&amp;D1918)</f>
        <v> </v>
      </c>
      <c r="S1918" s="230" t="n">
        <f aca="false">+YEARFRAC(L1918,$S$1)</f>
        <v>126.366666666667</v>
      </c>
      <c r="T1918" s="230" t="n">
        <f aca="false">+YEARFRAC(M1918,$S$1)</f>
        <v>126.366666666667</v>
      </c>
      <c r="U1918" s="231" t="n">
        <f aca="false">+$I1918</f>
        <v>0</v>
      </c>
      <c r="V1918" s="232" t="str">
        <f aca="false">+PROPER(F1918)</f>
        <v/>
      </c>
    </row>
    <row r="1919" customFormat="false" ht="14.25" hidden="false" customHeight="false" outlineLevel="0" collapsed="false">
      <c r="B1919" s="244"/>
      <c r="C1919" s="245"/>
      <c r="D1919" s="245"/>
      <c r="E1919" s="246"/>
      <c r="F1919" s="246"/>
      <c r="G1919" s="225" t="e">
        <f aca="false">VLOOKUP(B1919,'NIVEL ENERO'!A:F,4,0)</f>
        <v>#N/A</v>
      </c>
      <c r="H1919" s="247"/>
      <c r="I1919" s="247"/>
      <c r="J1919" s="246"/>
      <c r="K1919" s="246"/>
      <c r="L1919" s="226"/>
      <c r="M1919" s="226"/>
      <c r="N1919" s="246"/>
      <c r="P1919" s="228"/>
      <c r="Q1919" s="245"/>
      <c r="R1919" s="186" t="str">
        <f aca="false">+PROPER(C1919&amp;" "&amp;D1919)</f>
        <v> </v>
      </c>
      <c r="S1919" s="230" t="n">
        <f aca="false">+YEARFRAC(L1919,$S$1)</f>
        <v>126.366666666667</v>
      </c>
      <c r="T1919" s="230" t="n">
        <f aca="false">+YEARFRAC(M1919,$S$1)</f>
        <v>126.366666666667</v>
      </c>
      <c r="U1919" s="231" t="n">
        <f aca="false">+$I1919</f>
        <v>0</v>
      </c>
      <c r="V1919" s="232" t="str">
        <f aca="false">+PROPER(F1919)</f>
        <v/>
      </c>
    </row>
    <row r="1920" customFormat="false" ht="14.25" hidden="false" customHeight="false" outlineLevel="0" collapsed="false">
      <c r="B1920" s="244"/>
      <c r="C1920" s="245"/>
      <c r="D1920" s="245"/>
      <c r="E1920" s="246"/>
      <c r="F1920" s="246"/>
      <c r="G1920" s="225" t="e">
        <f aca="false">VLOOKUP(B1920,'NIVEL ENERO'!A:F,4,0)</f>
        <v>#N/A</v>
      </c>
      <c r="H1920" s="247"/>
      <c r="I1920" s="247"/>
      <c r="J1920" s="246"/>
      <c r="K1920" s="246"/>
      <c r="L1920" s="226"/>
      <c r="M1920" s="226"/>
      <c r="N1920" s="246"/>
      <c r="P1920" s="228"/>
      <c r="Q1920" s="245"/>
      <c r="R1920" s="186" t="str">
        <f aca="false">+PROPER(C1920&amp;" "&amp;D1920)</f>
        <v> </v>
      </c>
      <c r="S1920" s="230" t="n">
        <f aca="false">+YEARFRAC(L1920,$S$1)</f>
        <v>126.366666666667</v>
      </c>
      <c r="T1920" s="230" t="n">
        <f aca="false">+YEARFRAC(M1920,$S$1)</f>
        <v>126.366666666667</v>
      </c>
      <c r="U1920" s="231" t="n">
        <f aca="false">+$I1920</f>
        <v>0</v>
      </c>
      <c r="V1920" s="232" t="str">
        <f aca="false">+PROPER(F1920)</f>
        <v/>
      </c>
    </row>
    <row r="1921" customFormat="false" ht="14.25" hidden="false" customHeight="false" outlineLevel="0" collapsed="false">
      <c r="B1921" s="244"/>
      <c r="C1921" s="245"/>
      <c r="D1921" s="245"/>
      <c r="E1921" s="246"/>
      <c r="F1921" s="246"/>
      <c r="G1921" s="225" t="e">
        <f aca="false">VLOOKUP(B1921,'NIVEL ENERO'!A:F,4,0)</f>
        <v>#N/A</v>
      </c>
      <c r="H1921" s="247"/>
      <c r="I1921" s="247"/>
      <c r="J1921" s="246"/>
      <c r="K1921" s="246"/>
      <c r="L1921" s="226"/>
      <c r="M1921" s="226"/>
      <c r="N1921" s="246"/>
      <c r="P1921" s="228"/>
      <c r="Q1921" s="245"/>
      <c r="R1921" s="186" t="str">
        <f aca="false">+PROPER(C1921&amp;" "&amp;D1921)</f>
        <v> </v>
      </c>
      <c r="S1921" s="230" t="n">
        <f aca="false">+YEARFRAC(L1921,$S$1)</f>
        <v>126.366666666667</v>
      </c>
      <c r="T1921" s="230" t="n">
        <f aca="false">+YEARFRAC(M1921,$S$1)</f>
        <v>126.366666666667</v>
      </c>
      <c r="U1921" s="231" t="n">
        <f aca="false">+$I1921</f>
        <v>0</v>
      </c>
      <c r="V1921" s="232" t="str">
        <f aca="false">+PROPER(F1921)</f>
        <v/>
      </c>
    </row>
    <row r="1922" customFormat="false" ht="14.25" hidden="false" customHeight="false" outlineLevel="0" collapsed="false">
      <c r="B1922" s="244"/>
      <c r="C1922" s="245"/>
      <c r="D1922" s="245"/>
      <c r="E1922" s="246"/>
      <c r="F1922" s="246"/>
      <c r="G1922" s="225" t="e">
        <f aca="false">VLOOKUP(B1922,'NIVEL ENERO'!A:F,4,0)</f>
        <v>#N/A</v>
      </c>
      <c r="H1922" s="247"/>
      <c r="I1922" s="247"/>
      <c r="J1922" s="246"/>
      <c r="K1922" s="246"/>
      <c r="L1922" s="226"/>
      <c r="M1922" s="226"/>
      <c r="N1922" s="246"/>
      <c r="P1922" s="228"/>
      <c r="Q1922" s="245"/>
      <c r="R1922" s="186" t="str">
        <f aca="false">+PROPER(C1922&amp;" "&amp;D1922)</f>
        <v> </v>
      </c>
      <c r="S1922" s="230" t="n">
        <f aca="false">+YEARFRAC(L1922,$S$1)</f>
        <v>126.366666666667</v>
      </c>
      <c r="T1922" s="230" t="n">
        <f aca="false">+YEARFRAC(M1922,$S$1)</f>
        <v>126.366666666667</v>
      </c>
      <c r="U1922" s="231" t="n">
        <f aca="false">+$I1922</f>
        <v>0</v>
      </c>
      <c r="V1922" s="232" t="str">
        <f aca="false">+PROPER(F1922)</f>
        <v/>
      </c>
    </row>
    <row r="1923" customFormat="false" ht="14.25" hidden="false" customHeight="false" outlineLevel="0" collapsed="false">
      <c r="B1923" s="244"/>
      <c r="C1923" s="245"/>
      <c r="D1923" s="245"/>
      <c r="E1923" s="246"/>
      <c r="F1923" s="246"/>
      <c r="G1923" s="225" t="e">
        <f aca="false">VLOOKUP(B1923,'NIVEL ENERO'!A:F,4,0)</f>
        <v>#N/A</v>
      </c>
      <c r="H1923" s="247"/>
      <c r="I1923" s="247"/>
      <c r="J1923" s="246"/>
      <c r="K1923" s="246"/>
      <c r="L1923" s="226"/>
      <c r="M1923" s="226"/>
      <c r="N1923" s="246"/>
      <c r="P1923" s="228"/>
      <c r="Q1923" s="245"/>
      <c r="R1923" s="186" t="str">
        <f aca="false">+PROPER(C1923&amp;" "&amp;D1923)</f>
        <v> </v>
      </c>
      <c r="S1923" s="230" t="n">
        <f aca="false">+YEARFRAC(L1923,$S$1)</f>
        <v>126.366666666667</v>
      </c>
      <c r="T1923" s="230" t="n">
        <f aca="false">+YEARFRAC(M1923,$S$1)</f>
        <v>126.366666666667</v>
      </c>
      <c r="U1923" s="231" t="n">
        <f aca="false">+$I1923</f>
        <v>0</v>
      </c>
      <c r="V1923" s="232" t="str">
        <f aca="false">+PROPER(F1923)</f>
        <v/>
      </c>
    </row>
    <row r="1924" customFormat="false" ht="14.25" hidden="false" customHeight="false" outlineLevel="0" collapsed="false">
      <c r="B1924" s="244"/>
      <c r="C1924" s="245"/>
      <c r="D1924" s="245"/>
      <c r="E1924" s="246"/>
      <c r="F1924" s="246"/>
      <c r="G1924" s="225" t="e">
        <f aca="false">VLOOKUP(B1924,'NIVEL ENERO'!A:F,4,0)</f>
        <v>#N/A</v>
      </c>
      <c r="H1924" s="247"/>
      <c r="I1924" s="247"/>
      <c r="J1924" s="246"/>
      <c r="K1924" s="246"/>
      <c r="L1924" s="226"/>
      <c r="M1924" s="226"/>
      <c r="N1924" s="246"/>
      <c r="P1924" s="228"/>
      <c r="Q1924" s="245"/>
      <c r="R1924" s="186" t="str">
        <f aca="false">+PROPER(C1924&amp;" "&amp;D1924)</f>
        <v> </v>
      </c>
      <c r="S1924" s="230" t="n">
        <f aca="false">+YEARFRAC(L1924,$S$1)</f>
        <v>126.366666666667</v>
      </c>
      <c r="T1924" s="230" t="n">
        <f aca="false">+YEARFRAC(M1924,$S$1)</f>
        <v>126.366666666667</v>
      </c>
      <c r="U1924" s="231" t="n">
        <f aca="false">+$I1924</f>
        <v>0</v>
      </c>
      <c r="V1924" s="232" t="str">
        <f aca="false">+PROPER(F1924)</f>
        <v/>
      </c>
    </row>
    <row r="1925" customFormat="false" ht="14.25" hidden="false" customHeight="false" outlineLevel="0" collapsed="false">
      <c r="B1925" s="244"/>
      <c r="C1925" s="245"/>
      <c r="D1925" s="245"/>
      <c r="E1925" s="246"/>
      <c r="F1925" s="246"/>
      <c r="G1925" s="225" t="e">
        <f aca="false">VLOOKUP(B1925,'NIVEL ENERO'!A:F,4,0)</f>
        <v>#N/A</v>
      </c>
      <c r="H1925" s="247"/>
      <c r="I1925" s="247"/>
      <c r="J1925" s="246"/>
      <c r="K1925" s="246"/>
      <c r="L1925" s="226"/>
      <c r="M1925" s="226"/>
      <c r="N1925" s="246"/>
      <c r="P1925" s="228"/>
      <c r="Q1925" s="245"/>
      <c r="R1925" s="186" t="str">
        <f aca="false">+PROPER(C1925&amp;" "&amp;D1925)</f>
        <v> </v>
      </c>
      <c r="S1925" s="230" t="n">
        <f aca="false">+YEARFRAC(L1925,$S$1)</f>
        <v>126.366666666667</v>
      </c>
      <c r="T1925" s="230" t="n">
        <f aca="false">+YEARFRAC(M1925,$S$1)</f>
        <v>126.366666666667</v>
      </c>
      <c r="U1925" s="231" t="n">
        <f aca="false">+$I1925</f>
        <v>0</v>
      </c>
      <c r="V1925" s="232" t="str">
        <f aca="false">+PROPER(F1925)</f>
        <v/>
      </c>
    </row>
    <row r="1926" customFormat="false" ht="14.25" hidden="false" customHeight="false" outlineLevel="0" collapsed="false">
      <c r="B1926" s="244"/>
      <c r="C1926" s="245"/>
      <c r="D1926" s="245"/>
      <c r="E1926" s="246"/>
      <c r="F1926" s="246"/>
      <c r="G1926" s="225" t="e">
        <f aca="false">VLOOKUP(B1926,'NIVEL ENERO'!A:F,4,0)</f>
        <v>#N/A</v>
      </c>
      <c r="H1926" s="247"/>
      <c r="I1926" s="247"/>
      <c r="J1926" s="246"/>
      <c r="K1926" s="246"/>
      <c r="L1926" s="226"/>
      <c r="M1926" s="226"/>
      <c r="N1926" s="246"/>
      <c r="P1926" s="228"/>
      <c r="Q1926" s="245"/>
      <c r="R1926" s="186" t="str">
        <f aca="false">+PROPER(C1926&amp;" "&amp;D1926)</f>
        <v> </v>
      </c>
      <c r="S1926" s="230" t="n">
        <f aca="false">+YEARFRAC(L1926,$S$1)</f>
        <v>126.366666666667</v>
      </c>
      <c r="T1926" s="230" t="n">
        <f aca="false">+YEARFRAC(M1926,$S$1)</f>
        <v>126.366666666667</v>
      </c>
      <c r="U1926" s="231" t="n">
        <f aca="false">+$I1926</f>
        <v>0</v>
      </c>
      <c r="V1926" s="232" t="str">
        <f aca="false">+PROPER(F1926)</f>
        <v/>
      </c>
    </row>
    <row r="1927" customFormat="false" ht="14.25" hidden="false" customHeight="false" outlineLevel="0" collapsed="false">
      <c r="B1927" s="244"/>
      <c r="C1927" s="245"/>
      <c r="D1927" s="245"/>
      <c r="E1927" s="246"/>
      <c r="F1927" s="246"/>
      <c r="G1927" s="225" t="e">
        <f aca="false">VLOOKUP(B1927,'NIVEL ENERO'!A:F,4,0)</f>
        <v>#N/A</v>
      </c>
      <c r="H1927" s="247"/>
      <c r="I1927" s="247"/>
      <c r="J1927" s="246"/>
      <c r="K1927" s="246"/>
      <c r="L1927" s="226"/>
      <c r="M1927" s="226"/>
      <c r="N1927" s="246"/>
      <c r="P1927" s="228"/>
      <c r="Q1927" s="245"/>
      <c r="R1927" s="186" t="str">
        <f aca="false">+PROPER(C1927&amp;" "&amp;D1927)</f>
        <v> </v>
      </c>
      <c r="S1927" s="230" t="n">
        <f aca="false">+YEARFRAC(L1927,$S$1)</f>
        <v>126.366666666667</v>
      </c>
      <c r="T1927" s="230" t="n">
        <f aca="false">+YEARFRAC(M1927,$S$1)</f>
        <v>126.366666666667</v>
      </c>
      <c r="U1927" s="231" t="n">
        <f aca="false">+$I1927</f>
        <v>0</v>
      </c>
      <c r="V1927" s="232" t="str">
        <f aca="false">+PROPER(F1927)</f>
        <v/>
      </c>
    </row>
    <row r="1928" customFormat="false" ht="14.25" hidden="false" customHeight="false" outlineLevel="0" collapsed="false">
      <c r="B1928" s="244"/>
      <c r="C1928" s="245"/>
      <c r="D1928" s="245"/>
      <c r="E1928" s="246"/>
      <c r="F1928" s="246"/>
      <c r="G1928" s="225" t="e">
        <f aca="false">VLOOKUP(B1928,'NIVEL ENERO'!A:F,4,0)</f>
        <v>#N/A</v>
      </c>
      <c r="H1928" s="247"/>
      <c r="I1928" s="247"/>
      <c r="J1928" s="246"/>
      <c r="K1928" s="246"/>
      <c r="L1928" s="226"/>
      <c r="M1928" s="226"/>
      <c r="N1928" s="246"/>
      <c r="P1928" s="228"/>
      <c r="Q1928" s="245"/>
      <c r="R1928" s="186" t="str">
        <f aca="false">+PROPER(C1928&amp;" "&amp;D1928)</f>
        <v> </v>
      </c>
      <c r="S1928" s="230" t="n">
        <f aca="false">+YEARFRAC(L1928,$S$1)</f>
        <v>126.366666666667</v>
      </c>
      <c r="T1928" s="230" t="n">
        <f aca="false">+YEARFRAC(M1928,$S$1)</f>
        <v>126.366666666667</v>
      </c>
      <c r="U1928" s="231" t="n">
        <f aca="false">+$I1928</f>
        <v>0</v>
      </c>
      <c r="V1928" s="232" t="str">
        <f aca="false">+PROPER(F1928)</f>
        <v/>
      </c>
    </row>
    <row r="1929" customFormat="false" ht="14.25" hidden="false" customHeight="false" outlineLevel="0" collapsed="false">
      <c r="B1929" s="244"/>
      <c r="C1929" s="245"/>
      <c r="D1929" s="245"/>
      <c r="E1929" s="246"/>
      <c r="F1929" s="246"/>
      <c r="G1929" s="225" t="e">
        <f aca="false">VLOOKUP(B1929,'NIVEL ENERO'!A:F,4,0)</f>
        <v>#N/A</v>
      </c>
      <c r="H1929" s="247"/>
      <c r="I1929" s="247"/>
      <c r="J1929" s="246"/>
      <c r="K1929" s="246"/>
      <c r="L1929" s="226"/>
      <c r="M1929" s="226"/>
      <c r="N1929" s="246"/>
      <c r="P1929" s="228"/>
      <c r="Q1929" s="245"/>
      <c r="R1929" s="186" t="str">
        <f aca="false">+PROPER(C1929&amp;" "&amp;D1929)</f>
        <v> </v>
      </c>
      <c r="S1929" s="230" t="n">
        <f aca="false">+YEARFRAC(L1929,$S$1)</f>
        <v>126.366666666667</v>
      </c>
      <c r="T1929" s="230" t="n">
        <f aca="false">+YEARFRAC(M1929,$S$1)</f>
        <v>126.366666666667</v>
      </c>
      <c r="U1929" s="231" t="n">
        <f aca="false">+$I1929</f>
        <v>0</v>
      </c>
      <c r="V1929" s="232" t="str">
        <f aca="false">+PROPER(F1929)</f>
        <v/>
      </c>
    </row>
    <row r="1930" customFormat="false" ht="14.25" hidden="false" customHeight="false" outlineLevel="0" collapsed="false">
      <c r="B1930" s="244"/>
      <c r="C1930" s="245"/>
      <c r="D1930" s="245"/>
      <c r="E1930" s="246"/>
      <c r="F1930" s="246"/>
      <c r="G1930" s="225" t="e">
        <f aca="false">VLOOKUP(B1930,'NIVEL ENERO'!A:F,4,0)</f>
        <v>#N/A</v>
      </c>
      <c r="H1930" s="247"/>
      <c r="I1930" s="247"/>
      <c r="J1930" s="246"/>
      <c r="K1930" s="246"/>
      <c r="L1930" s="226"/>
      <c r="M1930" s="226"/>
      <c r="N1930" s="246"/>
      <c r="P1930" s="228"/>
      <c r="Q1930" s="245"/>
      <c r="R1930" s="186" t="str">
        <f aca="false">+PROPER(C1930&amp;" "&amp;D1930)</f>
        <v> </v>
      </c>
      <c r="S1930" s="230" t="n">
        <f aca="false">+YEARFRAC(L1930,$S$1)</f>
        <v>126.366666666667</v>
      </c>
      <c r="T1930" s="230" t="n">
        <f aca="false">+YEARFRAC(M1930,$S$1)</f>
        <v>126.366666666667</v>
      </c>
      <c r="U1930" s="231" t="n">
        <f aca="false">+$I1930</f>
        <v>0</v>
      </c>
      <c r="V1930" s="232" t="str">
        <f aca="false">+PROPER(F1930)</f>
        <v/>
      </c>
    </row>
    <row r="1931" customFormat="false" ht="14.25" hidden="false" customHeight="false" outlineLevel="0" collapsed="false">
      <c r="B1931" s="244"/>
      <c r="C1931" s="245"/>
      <c r="D1931" s="245"/>
      <c r="E1931" s="246"/>
      <c r="F1931" s="246"/>
      <c r="G1931" s="225" t="e">
        <f aca="false">VLOOKUP(B1931,'NIVEL ENERO'!A:F,4,0)</f>
        <v>#N/A</v>
      </c>
      <c r="H1931" s="247"/>
      <c r="I1931" s="247"/>
      <c r="J1931" s="246"/>
      <c r="K1931" s="246"/>
      <c r="L1931" s="226"/>
      <c r="M1931" s="226"/>
      <c r="N1931" s="246"/>
      <c r="P1931" s="228"/>
      <c r="Q1931" s="245"/>
      <c r="R1931" s="186" t="str">
        <f aca="false">+PROPER(C1931&amp;" "&amp;D1931)</f>
        <v> </v>
      </c>
      <c r="S1931" s="230" t="n">
        <f aca="false">+YEARFRAC(L1931,$S$1)</f>
        <v>126.366666666667</v>
      </c>
      <c r="T1931" s="230" t="n">
        <f aca="false">+YEARFRAC(M1931,$S$1)</f>
        <v>126.366666666667</v>
      </c>
      <c r="U1931" s="231" t="n">
        <f aca="false">+$I1931</f>
        <v>0</v>
      </c>
      <c r="V1931" s="232" t="str">
        <f aca="false">+PROPER(F1931)</f>
        <v/>
      </c>
    </row>
    <row r="1932" customFormat="false" ht="14.25" hidden="false" customHeight="false" outlineLevel="0" collapsed="false">
      <c r="B1932" s="244"/>
      <c r="C1932" s="245"/>
      <c r="D1932" s="245"/>
      <c r="E1932" s="246"/>
      <c r="F1932" s="246"/>
      <c r="G1932" s="225" t="e">
        <f aca="false">VLOOKUP(B1932,'NIVEL ENERO'!A:F,4,0)</f>
        <v>#N/A</v>
      </c>
      <c r="H1932" s="247"/>
      <c r="I1932" s="247"/>
      <c r="J1932" s="246"/>
      <c r="K1932" s="246"/>
      <c r="L1932" s="226"/>
      <c r="M1932" s="226"/>
      <c r="N1932" s="246"/>
      <c r="P1932" s="228"/>
      <c r="Q1932" s="245"/>
      <c r="R1932" s="186" t="str">
        <f aca="false">+PROPER(C1932&amp;" "&amp;D1932)</f>
        <v> </v>
      </c>
      <c r="S1932" s="230" t="n">
        <f aca="false">+YEARFRAC(L1932,$S$1)</f>
        <v>126.366666666667</v>
      </c>
      <c r="T1932" s="230" t="n">
        <f aca="false">+YEARFRAC(M1932,$S$1)</f>
        <v>126.366666666667</v>
      </c>
      <c r="U1932" s="231" t="n">
        <f aca="false">+$I1932</f>
        <v>0</v>
      </c>
      <c r="V1932" s="232" t="str">
        <f aca="false">+PROPER(F1932)</f>
        <v/>
      </c>
    </row>
    <row r="1933" customFormat="false" ht="14.25" hidden="false" customHeight="false" outlineLevel="0" collapsed="false">
      <c r="B1933" s="244"/>
      <c r="C1933" s="245"/>
      <c r="D1933" s="245"/>
      <c r="E1933" s="246"/>
      <c r="F1933" s="246"/>
      <c r="G1933" s="225" t="e">
        <f aca="false">VLOOKUP(B1933,'NIVEL ENERO'!A:F,4,0)</f>
        <v>#N/A</v>
      </c>
      <c r="H1933" s="247"/>
      <c r="I1933" s="247"/>
      <c r="J1933" s="246"/>
      <c r="K1933" s="246"/>
      <c r="L1933" s="226"/>
      <c r="M1933" s="226"/>
      <c r="N1933" s="246"/>
      <c r="P1933" s="228"/>
      <c r="Q1933" s="245"/>
      <c r="R1933" s="186" t="str">
        <f aca="false">+PROPER(C1933&amp;" "&amp;D1933)</f>
        <v> </v>
      </c>
      <c r="S1933" s="230" t="n">
        <f aca="false">+YEARFRAC(L1933,$S$1)</f>
        <v>126.366666666667</v>
      </c>
      <c r="T1933" s="230" t="n">
        <f aca="false">+YEARFRAC(M1933,$S$1)</f>
        <v>126.366666666667</v>
      </c>
      <c r="U1933" s="231" t="n">
        <f aca="false">+$I1933</f>
        <v>0</v>
      </c>
      <c r="V1933" s="232" t="str">
        <f aca="false">+PROPER(F1933)</f>
        <v/>
      </c>
    </row>
    <row r="1934" customFormat="false" ht="14.25" hidden="false" customHeight="false" outlineLevel="0" collapsed="false">
      <c r="B1934" s="244"/>
      <c r="C1934" s="245"/>
      <c r="D1934" s="245"/>
      <c r="E1934" s="246"/>
      <c r="F1934" s="246"/>
      <c r="G1934" s="225" t="e">
        <f aca="false">VLOOKUP(B1934,'NIVEL ENERO'!A:F,4,0)</f>
        <v>#N/A</v>
      </c>
      <c r="H1934" s="247"/>
      <c r="I1934" s="247"/>
      <c r="J1934" s="246"/>
      <c r="K1934" s="246"/>
      <c r="L1934" s="226"/>
      <c r="M1934" s="226"/>
      <c r="N1934" s="246"/>
      <c r="P1934" s="228"/>
      <c r="Q1934" s="245"/>
      <c r="R1934" s="186" t="str">
        <f aca="false">+PROPER(C1934&amp;" "&amp;D1934)</f>
        <v> </v>
      </c>
      <c r="S1934" s="230" t="n">
        <f aca="false">+YEARFRAC(L1934,$S$1)</f>
        <v>126.366666666667</v>
      </c>
      <c r="T1934" s="230" t="n">
        <f aca="false">+YEARFRAC(M1934,$S$1)</f>
        <v>126.366666666667</v>
      </c>
      <c r="U1934" s="231" t="n">
        <f aca="false">+$I1934</f>
        <v>0</v>
      </c>
      <c r="V1934" s="232" t="str">
        <f aca="false">+PROPER(F1934)</f>
        <v/>
      </c>
    </row>
    <row r="1935" customFormat="false" ht="14.25" hidden="false" customHeight="false" outlineLevel="0" collapsed="false">
      <c r="B1935" s="244"/>
      <c r="C1935" s="245"/>
      <c r="D1935" s="245"/>
      <c r="E1935" s="246"/>
      <c r="F1935" s="246"/>
      <c r="G1935" s="225" t="e">
        <f aca="false">VLOOKUP(B1935,'NIVEL ENERO'!A:F,4,0)</f>
        <v>#N/A</v>
      </c>
      <c r="H1935" s="247"/>
      <c r="I1935" s="247"/>
      <c r="J1935" s="246"/>
      <c r="K1935" s="246"/>
      <c r="L1935" s="226"/>
      <c r="M1935" s="226"/>
      <c r="N1935" s="246"/>
      <c r="P1935" s="228"/>
      <c r="Q1935" s="245"/>
      <c r="R1935" s="186" t="str">
        <f aca="false">+PROPER(C1935&amp;" "&amp;D1935)</f>
        <v> </v>
      </c>
      <c r="S1935" s="230" t="n">
        <f aca="false">+YEARFRAC(L1935,$S$1)</f>
        <v>126.366666666667</v>
      </c>
      <c r="T1935" s="230" t="n">
        <f aca="false">+YEARFRAC(M1935,$S$1)</f>
        <v>126.366666666667</v>
      </c>
      <c r="U1935" s="231" t="n">
        <f aca="false">+$I1935</f>
        <v>0</v>
      </c>
      <c r="V1935" s="232" t="str">
        <f aca="false">+PROPER(F1935)</f>
        <v/>
      </c>
    </row>
    <row r="1936" customFormat="false" ht="14.25" hidden="false" customHeight="false" outlineLevel="0" collapsed="false">
      <c r="B1936" s="244"/>
      <c r="C1936" s="245"/>
      <c r="D1936" s="245"/>
      <c r="E1936" s="246"/>
      <c r="F1936" s="246"/>
      <c r="G1936" s="225" t="e">
        <f aca="false">VLOOKUP(B1936,'NIVEL ENERO'!A:F,4,0)</f>
        <v>#N/A</v>
      </c>
      <c r="H1936" s="247"/>
      <c r="I1936" s="247"/>
      <c r="J1936" s="246"/>
      <c r="K1936" s="246"/>
      <c r="L1936" s="226"/>
      <c r="M1936" s="226"/>
      <c r="N1936" s="246"/>
      <c r="P1936" s="228"/>
      <c r="Q1936" s="245"/>
      <c r="R1936" s="186" t="str">
        <f aca="false">+PROPER(C1936&amp;" "&amp;D1936)</f>
        <v> </v>
      </c>
      <c r="S1936" s="230" t="n">
        <f aca="false">+YEARFRAC(L1936,$S$1)</f>
        <v>126.366666666667</v>
      </c>
      <c r="T1936" s="230" t="n">
        <f aca="false">+YEARFRAC(M1936,$S$1)</f>
        <v>126.366666666667</v>
      </c>
      <c r="U1936" s="231" t="n">
        <f aca="false">+$I1936</f>
        <v>0</v>
      </c>
      <c r="V1936" s="232" t="str">
        <f aca="false">+PROPER(F1936)</f>
        <v/>
      </c>
    </row>
    <row r="1937" customFormat="false" ht="14.25" hidden="false" customHeight="false" outlineLevel="0" collapsed="false">
      <c r="B1937" s="244"/>
      <c r="C1937" s="245"/>
      <c r="D1937" s="245"/>
      <c r="E1937" s="246"/>
      <c r="F1937" s="246"/>
      <c r="G1937" s="225" t="e">
        <f aca="false">VLOOKUP(B1937,'NIVEL ENERO'!A:F,4,0)</f>
        <v>#N/A</v>
      </c>
      <c r="H1937" s="247"/>
      <c r="I1937" s="247"/>
      <c r="J1937" s="246"/>
      <c r="K1937" s="246"/>
      <c r="L1937" s="226"/>
      <c r="M1937" s="226"/>
      <c r="N1937" s="246"/>
      <c r="P1937" s="228"/>
      <c r="Q1937" s="245"/>
      <c r="R1937" s="186" t="str">
        <f aca="false">+PROPER(C1937&amp;" "&amp;D1937)</f>
        <v> </v>
      </c>
      <c r="S1937" s="230" t="n">
        <f aca="false">+YEARFRAC(L1937,$S$1)</f>
        <v>126.366666666667</v>
      </c>
      <c r="T1937" s="230" t="n">
        <f aca="false">+YEARFRAC(M1937,$S$1)</f>
        <v>126.366666666667</v>
      </c>
      <c r="U1937" s="231" t="n">
        <f aca="false">+$I1937</f>
        <v>0</v>
      </c>
      <c r="V1937" s="232" t="str">
        <f aca="false">+PROPER(F1937)</f>
        <v/>
      </c>
    </row>
    <row r="1938" customFormat="false" ht="14.25" hidden="false" customHeight="false" outlineLevel="0" collapsed="false">
      <c r="B1938" s="244"/>
      <c r="C1938" s="245"/>
      <c r="D1938" s="245"/>
      <c r="E1938" s="246"/>
      <c r="F1938" s="246"/>
      <c r="G1938" s="225" t="e">
        <f aca="false">VLOOKUP(B1938,'NIVEL ENERO'!A:F,4,0)</f>
        <v>#N/A</v>
      </c>
      <c r="H1938" s="247"/>
      <c r="I1938" s="247"/>
      <c r="J1938" s="246"/>
      <c r="K1938" s="246"/>
      <c r="L1938" s="226"/>
      <c r="M1938" s="226"/>
      <c r="N1938" s="246"/>
      <c r="P1938" s="228"/>
      <c r="Q1938" s="245"/>
      <c r="R1938" s="186" t="str">
        <f aca="false">+PROPER(C1938&amp;" "&amp;D1938)</f>
        <v> </v>
      </c>
      <c r="S1938" s="230" t="n">
        <f aca="false">+YEARFRAC(L1938,$S$1)</f>
        <v>126.366666666667</v>
      </c>
      <c r="T1938" s="230" t="n">
        <f aca="false">+YEARFRAC(M1938,$S$1)</f>
        <v>126.366666666667</v>
      </c>
      <c r="U1938" s="231" t="n">
        <f aca="false">+$I1938</f>
        <v>0</v>
      </c>
      <c r="V1938" s="232" t="str">
        <f aca="false">+PROPER(F1938)</f>
        <v/>
      </c>
    </row>
    <row r="1939" customFormat="false" ht="14.25" hidden="false" customHeight="false" outlineLevel="0" collapsed="false">
      <c r="B1939" s="244"/>
      <c r="C1939" s="245"/>
      <c r="D1939" s="245"/>
      <c r="E1939" s="246"/>
      <c r="F1939" s="246"/>
      <c r="G1939" s="225" t="e">
        <f aca="false">VLOOKUP(B1939,'NIVEL ENERO'!A:F,4,0)</f>
        <v>#N/A</v>
      </c>
      <c r="H1939" s="247"/>
      <c r="I1939" s="247"/>
      <c r="J1939" s="246"/>
      <c r="K1939" s="246"/>
      <c r="L1939" s="226"/>
      <c r="M1939" s="226"/>
      <c r="N1939" s="246"/>
      <c r="P1939" s="228"/>
      <c r="Q1939" s="245"/>
      <c r="R1939" s="186" t="str">
        <f aca="false">+PROPER(C1939&amp;" "&amp;D1939)</f>
        <v> </v>
      </c>
      <c r="S1939" s="230" t="n">
        <f aca="false">+YEARFRAC(L1939,$S$1)</f>
        <v>126.366666666667</v>
      </c>
      <c r="T1939" s="230" t="n">
        <f aca="false">+YEARFRAC(M1939,$S$1)</f>
        <v>126.366666666667</v>
      </c>
      <c r="U1939" s="231" t="n">
        <f aca="false">+$I1939</f>
        <v>0</v>
      </c>
      <c r="V1939" s="232" t="str">
        <f aca="false">+PROPER(F1939)</f>
        <v/>
      </c>
    </row>
    <row r="1940" customFormat="false" ht="14.25" hidden="false" customHeight="false" outlineLevel="0" collapsed="false">
      <c r="B1940" s="244"/>
      <c r="C1940" s="245"/>
      <c r="D1940" s="245"/>
      <c r="E1940" s="246"/>
      <c r="F1940" s="246"/>
      <c r="G1940" s="225" t="e">
        <f aca="false">VLOOKUP(B1940,'NIVEL ENERO'!A:F,4,0)</f>
        <v>#N/A</v>
      </c>
      <c r="H1940" s="247"/>
      <c r="I1940" s="247"/>
      <c r="J1940" s="246"/>
      <c r="K1940" s="246"/>
      <c r="L1940" s="226"/>
      <c r="M1940" s="226"/>
      <c r="N1940" s="246"/>
      <c r="P1940" s="228"/>
      <c r="Q1940" s="245"/>
      <c r="R1940" s="186" t="str">
        <f aca="false">+PROPER(C1940&amp;" "&amp;D1940)</f>
        <v> </v>
      </c>
      <c r="S1940" s="230" t="n">
        <f aca="false">+YEARFRAC(L1940,$S$1)</f>
        <v>126.366666666667</v>
      </c>
      <c r="T1940" s="230" t="n">
        <f aca="false">+YEARFRAC(M1940,$S$1)</f>
        <v>126.366666666667</v>
      </c>
      <c r="U1940" s="231" t="n">
        <f aca="false">+$I1940</f>
        <v>0</v>
      </c>
      <c r="V1940" s="232" t="str">
        <f aca="false">+PROPER(F1940)</f>
        <v/>
      </c>
    </row>
    <row r="1941" customFormat="false" ht="14.25" hidden="false" customHeight="false" outlineLevel="0" collapsed="false">
      <c r="B1941" s="244"/>
      <c r="C1941" s="245"/>
      <c r="D1941" s="245"/>
      <c r="E1941" s="246"/>
      <c r="F1941" s="246"/>
      <c r="G1941" s="225" t="e">
        <f aca="false">VLOOKUP(B1941,'NIVEL ENERO'!A:F,4,0)</f>
        <v>#N/A</v>
      </c>
      <c r="H1941" s="247"/>
      <c r="I1941" s="247"/>
      <c r="J1941" s="246"/>
      <c r="K1941" s="246"/>
      <c r="L1941" s="226"/>
      <c r="M1941" s="226"/>
      <c r="N1941" s="246"/>
      <c r="P1941" s="228"/>
      <c r="Q1941" s="245"/>
      <c r="R1941" s="186" t="str">
        <f aca="false">+PROPER(C1941&amp;" "&amp;D1941)</f>
        <v> </v>
      </c>
      <c r="S1941" s="230" t="n">
        <f aca="false">+YEARFRAC(L1941,$S$1)</f>
        <v>126.366666666667</v>
      </c>
      <c r="T1941" s="230" t="n">
        <f aca="false">+YEARFRAC(M1941,$S$1)</f>
        <v>126.366666666667</v>
      </c>
      <c r="U1941" s="231" t="n">
        <f aca="false">+$I1941</f>
        <v>0</v>
      </c>
      <c r="V1941" s="232" t="str">
        <f aca="false">+PROPER(F1941)</f>
        <v/>
      </c>
    </row>
    <row r="1942" customFormat="false" ht="14.25" hidden="false" customHeight="false" outlineLevel="0" collapsed="false">
      <c r="B1942" s="244"/>
      <c r="C1942" s="245"/>
      <c r="D1942" s="245"/>
      <c r="E1942" s="246"/>
      <c r="F1942" s="246"/>
      <c r="G1942" s="225" t="e">
        <f aca="false">VLOOKUP(B1942,'NIVEL ENERO'!A:F,4,0)</f>
        <v>#N/A</v>
      </c>
      <c r="H1942" s="247"/>
      <c r="I1942" s="247"/>
      <c r="J1942" s="246"/>
      <c r="K1942" s="246"/>
      <c r="L1942" s="226"/>
      <c r="M1942" s="226"/>
      <c r="N1942" s="246"/>
      <c r="P1942" s="228"/>
      <c r="Q1942" s="245"/>
      <c r="R1942" s="186" t="str">
        <f aca="false">+PROPER(C1942&amp;" "&amp;D1942)</f>
        <v> </v>
      </c>
      <c r="S1942" s="230" t="n">
        <f aca="false">+YEARFRAC(L1942,$S$1)</f>
        <v>126.366666666667</v>
      </c>
      <c r="T1942" s="230" t="n">
        <f aca="false">+YEARFRAC(M1942,$S$1)</f>
        <v>126.366666666667</v>
      </c>
      <c r="U1942" s="231" t="n">
        <f aca="false">+$I1942</f>
        <v>0</v>
      </c>
      <c r="V1942" s="232" t="str">
        <f aca="false">+PROPER(F1942)</f>
        <v/>
      </c>
    </row>
    <row r="1943" customFormat="false" ht="14.25" hidden="false" customHeight="false" outlineLevel="0" collapsed="false">
      <c r="B1943" s="244"/>
      <c r="C1943" s="245"/>
      <c r="D1943" s="245"/>
      <c r="E1943" s="246"/>
      <c r="F1943" s="246"/>
      <c r="G1943" s="225" t="e">
        <f aca="false">VLOOKUP(B1943,'NIVEL ENERO'!A:F,4,0)</f>
        <v>#N/A</v>
      </c>
      <c r="H1943" s="247"/>
      <c r="I1943" s="247"/>
      <c r="J1943" s="246"/>
      <c r="K1943" s="246"/>
      <c r="L1943" s="226"/>
      <c r="M1943" s="226"/>
      <c r="N1943" s="246"/>
      <c r="P1943" s="228"/>
      <c r="Q1943" s="245"/>
      <c r="R1943" s="186" t="str">
        <f aca="false">+PROPER(C1943&amp;" "&amp;D1943)</f>
        <v> </v>
      </c>
      <c r="S1943" s="230" t="n">
        <f aca="false">+YEARFRAC(L1943,$S$1)</f>
        <v>126.366666666667</v>
      </c>
      <c r="T1943" s="230" t="n">
        <f aca="false">+YEARFRAC(M1943,$S$1)</f>
        <v>126.366666666667</v>
      </c>
      <c r="U1943" s="231" t="n">
        <f aca="false">+$I1943</f>
        <v>0</v>
      </c>
      <c r="V1943" s="232" t="str">
        <f aca="false">+PROPER(F1943)</f>
        <v/>
      </c>
    </row>
    <row r="1944" customFormat="false" ht="14.25" hidden="false" customHeight="false" outlineLevel="0" collapsed="false">
      <c r="B1944" s="244"/>
      <c r="C1944" s="245"/>
      <c r="D1944" s="245"/>
      <c r="E1944" s="246"/>
      <c r="F1944" s="246"/>
      <c r="G1944" s="225" t="e">
        <f aca="false">VLOOKUP(B1944,'NIVEL ENERO'!A:F,4,0)</f>
        <v>#N/A</v>
      </c>
      <c r="H1944" s="247"/>
      <c r="I1944" s="247"/>
      <c r="J1944" s="246"/>
      <c r="K1944" s="246"/>
      <c r="L1944" s="226"/>
      <c r="M1944" s="226"/>
      <c r="N1944" s="246"/>
      <c r="P1944" s="228"/>
      <c r="Q1944" s="245"/>
      <c r="R1944" s="186" t="str">
        <f aca="false">+PROPER(C1944&amp;" "&amp;D1944)</f>
        <v> </v>
      </c>
      <c r="S1944" s="230" t="n">
        <f aca="false">+YEARFRAC(L1944,$S$1)</f>
        <v>126.366666666667</v>
      </c>
      <c r="T1944" s="230" t="n">
        <f aca="false">+YEARFRAC(M1944,$S$1)</f>
        <v>126.366666666667</v>
      </c>
      <c r="U1944" s="231" t="n">
        <f aca="false">+$I1944</f>
        <v>0</v>
      </c>
      <c r="V1944" s="232" t="str">
        <f aca="false">+PROPER(F1944)</f>
        <v/>
      </c>
    </row>
    <row r="1945" customFormat="false" ht="14.25" hidden="false" customHeight="false" outlineLevel="0" collapsed="false">
      <c r="B1945" s="244"/>
      <c r="C1945" s="245"/>
      <c r="D1945" s="245"/>
      <c r="E1945" s="246"/>
      <c r="F1945" s="246"/>
      <c r="G1945" s="225" t="e">
        <f aca="false">VLOOKUP(B1945,'NIVEL ENERO'!A:F,4,0)</f>
        <v>#N/A</v>
      </c>
      <c r="H1945" s="247"/>
      <c r="I1945" s="247"/>
      <c r="J1945" s="246"/>
      <c r="K1945" s="246"/>
      <c r="L1945" s="226"/>
      <c r="M1945" s="226"/>
      <c r="N1945" s="246"/>
      <c r="P1945" s="228"/>
      <c r="Q1945" s="245"/>
      <c r="R1945" s="186" t="str">
        <f aca="false">+PROPER(C1945&amp;" "&amp;D1945)</f>
        <v> </v>
      </c>
      <c r="S1945" s="230" t="n">
        <f aca="false">+YEARFRAC(L1945,$S$1)</f>
        <v>126.366666666667</v>
      </c>
      <c r="T1945" s="230" t="n">
        <f aca="false">+YEARFRAC(M1945,$S$1)</f>
        <v>126.366666666667</v>
      </c>
      <c r="U1945" s="231" t="n">
        <f aca="false">+$I1945</f>
        <v>0</v>
      </c>
      <c r="V1945" s="232" t="str">
        <f aca="false">+PROPER(F1945)</f>
        <v/>
      </c>
    </row>
    <row r="1946" customFormat="false" ht="14.25" hidden="false" customHeight="false" outlineLevel="0" collapsed="false">
      <c r="B1946" s="244"/>
      <c r="C1946" s="245"/>
      <c r="D1946" s="245"/>
      <c r="E1946" s="246"/>
      <c r="F1946" s="246"/>
      <c r="G1946" s="225" t="e">
        <f aca="false">VLOOKUP(B1946,'NIVEL ENERO'!A:F,4,0)</f>
        <v>#N/A</v>
      </c>
      <c r="H1946" s="247"/>
      <c r="I1946" s="247"/>
      <c r="J1946" s="246"/>
      <c r="K1946" s="246"/>
      <c r="L1946" s="226"/>
      <c r="M1946" s="226"/>
      <c r="N1946" s="246"/>
      <c r="P1946" s="228"/>
      <c r="Q1946" s="245"/>
      <c r="R1946" s="186" t="str">
        <f aca="false">+PROPER(C1946&amp;" "&amp;D1946)</f>
        <v> </v>
      </c>
      <c r="S1946" s="230" t="n">
        <f aca="false">+YEARFRAC(L1946,$S$1)</f>
        <v>126.366666666667</v>
      </c>
      <c r="T1946" s="230" t="n">
        <f aca="false">+YEARFRAC(M1946,$S$1)</f>
        <v>126.366666666667</v>
      </c>
      <c r="U1946" s="231" t="n">
        <f aca="false">+$I1946</f>
        <v>0</v>
      </c>
      <c r="V1946" s="232" t="str">
        <f aca="false">+PROPER(F1946)</f>
        <v/>
      </c>
    </row>
    <row r="1947" customFormat="false" ht="14.25" hidden="false" customHeight="false" outlineLevel="0" collapsed="false">
      <c r="B1947" s="244"/>
      <c r="C1947" s="245"/>
      <c r="D1947" s="245"/>
      <c r="E1947" s="246"/>
      <c r="F1947" s="246"/>
      <c r="G1947" s="225" t="e">
        <f aca="false">VLOOKUP(B1947,'NIVEL ENERO'!A:F,4,0)</f>
        <v>#N/A</v>
      </c>
      <c r="H1947" s="247"/>
      <c r="I1947" s="247"/>
      <c r="J1947" s="246"/>
      <c r="K1947" s="246"/>
      <c r="L1947" s="226"/>
      <c r="M1947" s="226"/>
      <c r="N1947" s="246"/>
      <c r="P1947" s="228"/>
      <c r="Q1947" s="245"/>
      <c r="R1947" s="186" t="str">
        <f aca="false">+PROPER(C1947&amp;" "&amp;D1947)</f>
        <v> </v>
      </c>
      <c r="S1947" s="230" t="n">
        <f aca="false">+YEARFRAC(L1947,$S$1)</f>
        <v>126.366666666667</v>
      </c>
      <c r="T1947" s="230" t="n">
        <f aca="false">+YEARFRAC(M1947,$S$1)</f>
        <v>126.366666666667</v>
      </c>
      <c r="U1947" s="231" t="n">
        <f aca="false">+$I1947</f>
        <v>0</v>
      </c>
      <c r="V1947" s="232" t="str">
        <f aca="false">+PROPER(F1947)</f>
        <v/>
      </c>
    </row>
    <row r="1948" customFormat="false" ht="14.25" hidden="false" customHeight="false" outlineLevel="0" collapsed="false">
      <c r="B1948" s="244"/>
      <c r="C1948" s="245"/>
      <c r="D1948" s="245"/>
      <c r="E1948" s="246"/>
      <c r="F1948" s="246"/>
      <c r="G1948" s="225" t="e">
        <f aca="false">VLOOKUP(B1948,'NIVEL ENERO'!A:F,4,0)</f>
        <v>#N/A</v>
      </c>
      <c r="H1948" s="247"/>
      <c r="I1948" s="247"/>
      <c r="J1948" s="246"/>
      <c r="K1948" s="246"/>
      <c r="L1948" s="226"/>
      <c r="M1948" s="226"/>
      <c r="N1948" s="246"/>
      <c r="P1948" s="228"/>
      <c r="Q1948" s="245"/>
      <c r="R1948" s="186" t="str">
        <f aca="false">+PROPER(C1948&amp;" "&amp;D1948)</f>
        <v> </v>
      </c>
      <c r="S1948" s="230" t="n">
        <f aca="false">+YEARFRAC(L1948,$S$1)</f>
        <v>126.366666666667</v>
      </c>
      <c r="T1948" s="230" t="n">
        <f aca="false">+YEARFRAC(M1948,$S$1)</f>
        <v>126.366666666667</v>
      </c>
      <c r="U1948" s="231" t="n">
        <f aca="false">+$I1948</f>
        <v>0</v>
      </c>
      <c r="V1948" s="232" t="str">
        <f aca="false">+PROPER(F1948)</f>
        <v/>
      </c>
    </row>
    <row r="1949" customFormat="false" ht="14.25" hidden="false" customHeight="false" outlineLevel="0" collapsed="false">
      <c r="B1949" s="244"/>
      <c r="C1949" s="245"/>
      <c r="D1949" s="245"/>
      <c r="E1949" s="246"/>
      <c r="F1949" s="246"/>
      <c r="G1949" s="225" t="e">
        <f aca="false">VLOOKUP(B1949,'NIVEL ENERO'!A:F,4,0)</f>
        <v>#N/A</v>
      </c>
      <c r="H1949" s="247"/>
      <c r="I1949" s="247"/>
      <c r="J1949" s="246"/>
      <c r="K1949" s="246"/>
      <c r="L1949" s="226"/>
      <c r="M1949" s="226"/>
      <c r="N1949" s="246"/>
      <c r="P1949" s="228"/>
      <c r="Q1949" s="245"/>
      <c r="R1949" s="186" t="str">
        <f aca="false">+PROPER(C1949&amp;" "&amp;D1949)</f>
        <v> </v>
      </c>
      <c r="S1949" s="230" t="n">
        <f aca="false">+YEARFRAC(L1949,$S$1)</f>
        <v>126.366666666667</v>
      </c>
      <c r="T1949" s="230" t="n">
        <f aca="false">+YEARFRAC(M1949,$S$1)</f>
        <v>126.366666666667</v>
      </c>
      <c r="U1949" s="231" t="n">
        <f aca="false">+$I1949</f>
        <v>0</v>
      </c>
      <c r="V1949" s="232" t="str">
        <f aca="false">+PROPER(F1949)</f>
        <v/>
      </c>
    </row>
    <row r="1950" customFormat="false" ht="14.25" hidden="false" customHeight="false" outlineLevel="0" collapsed="false">
      <c r="B1950" s="244"/>
      <c r="C1950" s="245"/>
      <c r="D1950" s="245"/>
      <c r="E1950" s="246"/>
      <c r="F1950" s="246"/>
      <c r="G1950" s="225" t="e">
        <f aca="false">VLOOKUP(B1950,'NIVEL ENERO'!A:F,4,0)</f>
        <v>#N/A</v>
      </c>
      <c r="H1950" s="247"/>
      <c r="I1950" s="247"/>
      <c r="J1950" s="246"/>
      <c r="K1950" s="246"/>
      <c r="L1950" s="226"/>
      <c r="M1950" s="226"/>
      <c r="N1950" s="246"/>
      <c r="P1950" s="228"/>
      <c r="Q1950" s="245"/>
      <c r="R1950" s="186" t="str">
        <f aca="false">+PROPER(C1950&amp;" "&amp;D1950)</f>
        <v> </v>
      </c>
      <c r="S1950" s="230" t="n">
        <f aca="false">+YEARFRAC(L1950,$S$1)</f>
        <v>126.366666666667</v>
      </c>
      <c r="T1950" s="230" t="n">
        <f aca="false">+YEARFRAC(M1950,$S$1)</f>
        <v>126.366666666667</v>
      </c>
      <c r="U1950" s="231" t="n">
        <f aca="false">+$I1950</f>
        <v>0</v>
      </c>
      <c r="V1950" s="232" t="str">
        <f aca="false">+PROPER(F1950)</f>
        <v/>
      </c>
    </row>
    <row r="1951" customFormat="false" ht="14.25" hidden="false" customHeight="false" outlineLevel="0" collapsed="false">
      <c r="B1951" s="244"/>
      <c r="C1951" s="245"/>
      <c r="D1951" s="245"/>
      <c r="E1951" s="246"/>
      <c r="F1951" s="246"/>
      <c r="G1951" s="225" t="e">
        <f aca="false">VLOOKUP(B1951,'NIVEL ENERO'!A:F,4,0)</f>
        <v>#N/A</v>
      </c>
      <c r="H1951" s="247"/>
      <c r="I1951" s="247"/>
      <c r="J1951" s="246"/>
      <c r="K1951" s="246"/>
      <c r="L1951" s="226"/>
      <c r="M1951" s="226"/>
      <c r="N1951" s="246"/>
      <c r="P1951" s="228"/>
      <c r="Q1951" s="245"/>
      <c r="R1951" s="186" t="str">
        <f aca="false">+PROPER(C1951&amp;" "&amp;D1951)</f>
        <v> </v>
      </c>
      <c r="S1951" s="230" t="n">
        <f aca="false">+YEARFRAC(L1951,$S$1)</f>
        <v>126.366666666667</v>
      </c>
      <c r="T1951" s="230" t="n">
        <f aca="false">+YEARFRAC(M1951,$S$1)</f>
        <v>126.366666666667</v>
      </c>
      <c r="U1951" s="231" t="n">
        <f aca="false">+$I1951</f>
        <v>0</v>
      </c>
      <c r="V1951" s="232" t="str">
        <f aca="false">+PROPER(F1951)</f>
        <v/>
      </c>
    </row>
    <row r="1952" customFormat="false" ht="14.25" hidden="false" customHeight="false" outlineLevel="0" collapsed="false">
      <c r="B1952" s="244"/>
      <c r="C1952" s="245"/>
      <c r="D1952" s="245"/>
      <c r="E1952" s="246"/>
      <c r="F1952" s="246"/>
      <c r="G1952" s="225" t="e">
        <f aca="false">VLOOKUP(B1952,'NIVEL ENERO'!A:F,4,0)</f>
        <v>#N/A</v>
      </c>
      <c r="H1952" s="247"/>
      <c r="I1952" s="247"/>
      <c r="J1952" s="246"/>
      <c r="K1952" s="246"/>
      <c r="L1952" s="226"/>
      <c r="M1952" s="226"/>
      <c r="N1952" s="246"/>
      <c r="P1952" s="228"/>
      <c r="Q1952" s="245"/>
      <c r="R1952" s="186" t="str">
        <f aca="false">+PROPER(C1952&amp;" "&amp;D1952)</f>
        <v> </v>
      </c>
      <c r="S1952" s="230" t="n">
        <f aca="false">+YEARFRAC(L1952,$S$1)</f>
        <v>126.366666666667</v>
      </c>
      <c r="T1952" s="230" t="n">
        <f aca="false">+YEARFRAC(M1952,$S$1)</f>
        <v>126.366666666667</v>
      </c>
      <c r="U1952" s="231" t="n">
        <f aca="false">+$I1952</f>
        <v>0</v>
      </c>
      <c r="V1952" s="232" t="str">
        <f aca="false">+PROPER(F1952)</f>
        <v/>
      </c>
    </row>
    <row r="1953" customFormat="false" ht="14.25" hidden="false" customHeight="false" outlineLevel="0" collapsed="false">
      <c r="B1953" s="244"/>
      <c r="C1953" s="245"/>
      <c r="D1953" s="245"/>
      <c r="E1953" s="246"/>
      <c r="F1953" s="246"/>
      <c r="G1953" s="225" t="e">
        <f aca="false">VLOOKUP(B1953,'NIVEL ENERO'!A:F,4,0)</f>
        <v>#N/A</v>
      </c>
      <c r="H1953" s="247"/>
      <c r="I1953" s="247"/>
      <c r="J1953" s="246"/>
      <c r="K1953" s="246"/>
      <c r="L1953" s="226"/>
      <c r="M1953" s="226"/>
      <c r="N1953" s="246"/>
      <c r="P1953" s="228"/>
      <c r="Q1953" s="245"/>
      <c r="R1953" s="186" t="str">
        <f aca="false">+PROPER(C1953&amp;" "&amp;D1953)</f>
        <v> </v>
      </c>
      <c r="S1953" s="230" t="n">
        <f aca="false">+YEARFRAC(L1953,$S$1)</f>
        <v>126.366666666667</v>
      </c>
      <c r="T1953" s="230" t="n">
        <f aca="false">+YEARFRAC(M1953,$S$1)</f>
        <v>126.366666666667</v>
      </c>
      <c r="U1953" s="231" t="n">
        <f aca="false">+$I1953</f>
        <v>0</v>
      </c>
      <c r="V1953" s="232" t="str">
        <f aca="false">+PROPER(F1953)</f>
        <v/>
      </c>
    </row>
    <row r="1954" customFormat="false" ht="14.25" hidden="false" customHeight="false" outlineLevel="0" collapsed="false">
      <c r="B1954" s="244"/>
      <c r="C1954" s="245"/>
      <c r="D1954" s="245"/>
      <c r="E1954" s="246"/>
      <c r="F1954" s="246"/>
      <c r="G1954" s="225" t="e">
        <f aca="false">VLOOKUP(B1954,'NIVEL ENERO'!A:F,4,0)</f>
        <v>#N/A</v>
      </c>
      <c r="H1954" s="247"/>
      <c r="I1954" s="247"/>
      <c r="J1954" s="246"/>
      <c r="K1954" s="246"/>
      <c r="L1954" s="226"/>
      <c r="M1954" s="226"/>
      <c r="N1954" s="246"/>
      <c r="P1954" s="228"/>
      <c r="Q1954" s="245"/>
      <c r="R1954" s="186" t="str">
        <f aca="false">+PROPER(C1954&amp;" "&amp;D1954)</f>
        <v> </v>
      </c>
      <c r="S1954" s="230" t="n">
        <f aca="false">+YEARFRAC(L1954,$S$1)</f>
        <v>126.366666666667</v>
      </c>
      <c r="T1954" s="230" t="n">
        <f aca="false">+YEARFRAC(M1954,$S$1)</f>
        <v>126.366666666667</v>
      </c>
      <c r="U1954" s="231" t="n">
        <f aca="false">+$I1954</f>
        <v>0</v>
      </c>
      <c r="V1954" s="232" t="str">
        <f aca="false">+PROPER(F1954)</f>
        <v/>
      </c>
    </row>
    <row r="1955" customFormat="false" ht="14.25" hidden="false" customHeight="false" outlineLevel="0" collapsed="false">
      <c r="B1955" s="244"/>
      <c r="C1955" s="245"/>
      <c r="D1955" s="245"/>
      <c r="E1955" s="246"/>
      <c r="F1955" s="246"/>
      <c r="G1955" s="225" t="e">
        <f aca="false">VLOOKUP(B1955,'NIVEL ENERO'!A:F,4,0)</f>
        <v>#N/A</v>
      </c>
      <c r="H1955" s="247"/>
      <c r="I1955" s="247"/>
      <c r="J1955" s="246"/>
      <c r="K1955" s="246"/>
      <c r="L1955" s="226"/>
      <c r="M1955" s="226"/>
      <c r="N1955" s="246"/>
      <c r="P1955" s="228"/>
      <c r="Q1955" s="245"/>
      <c r="R1955" s="186" t="str">
        <f aca="false">+PROPER(C1955&amp;" "&amp;D1955)</f>
        <v> </v>
      </c>
      <c r="S1955" s="230" t="n">
        <f aca="false">+YEARFRAC(L1955,$S$1)</f>
        <v>126.366666666667</v>
      </c>
      <c r="T1955" s="230" t="n">
        <f aca="false">+YEARFRAC(M1955,$S$1)</f>
        <v>126.366666666667</v>
      </c>
      <c r="U1955" s="231" t="n">
        <f aca="false">+$I1955</f>
        <v>0</v>
      </c>
      <c r="V1955" s="232" t="str">
        <f aca="false">+PROPER(F1955)</f>
        <v/>
      </c>
    </row>
    <row r="1956" customFormat="false" ht="14.25" hidden="false" customHeight="false" outlineLevel="0" collapsed="false">
      <c r="B1956" s="244"/>
      <c r="C1956" s="245"/>
      <c r="D1956" s="245"/>
      <c r="E1956" s="246"/>
      <c r="F1956" s="246"/>
      <c r="G1956" s="225" t="e">
        <f aca="false">VLOOKUP(B1956,'NIVEL ENERO'!A:F,4,0)</f>
        <v>#N/A</v>
      </c>
      <c r="H1956" s="247"/>
      <c r="I1956" s="247"/>
      <c r="J1956" s="246"/>
      <c r="K1956" s="246"/>
      <c r="L1956" s="226"/>
      <c r="M1956" s="226"/>
      <c r="N1956" s="246"/>
      <c r="P1956" s="228"/>
      <c r="Q1956" s="245"/>
      <c r="R1956" s="186" t="str">
        <f aca="false">+PROPER(C1956&amp;" "&amp;D1956)</f>
        <v> </v>
      </c>
      <c r="S1956" s="230" t="n">
        <f aca="false">+YEARFRAC(L1956,$S$1)</f>
        <v>126.366666666667</v>
      </c>
      <c r="T1956" s="230" t="n">
        <f aca="false">+YEARFRAC(M1956,$S$1)</f>
        <v>126.366666666667</v>
      </c>
      <c r="U1956" s="231" t="n">
        <f aca="false">+$I1956</f>
        <v>0</v>
      </c>
      <c r="V1956" s="232" t="str">
        <f aca="false">+PROPER(F1956)</f>
        <v/>
      </c>
    </row>
    <row r="1957" customFormat="false" ht="14.25" hidden="false" customHeight="false" outlineLevel="0" collapsed="false">
      <c r="B1957" s="244"/>
      <c r="C1957" s="245"/>
      <c r="D1957" s="245"/>
      <c r="E1957" s="246"/>
      <c r="F1957" s="246"/>
      <c r="G1957" s="225" t="e">
        <f aca="false">VLOOKUP(B1957,'NIVEL ENERO'!A:F,4,0)</f>
        <v>#N/A</v>
      </c>
      <c r="H1957" s="247"/>
      <c r="I1957" s="247"/>
      <c r="J1957" s="246"/>
      <c r="K1957" s="246"/>
      <c r="L1957" s="226"/>
      <c r="M1957" s="226"/>
      <c r="N1957" s="246"/>
      <c r="P1957" s="228"/>
      <c r="Q1957" s="245"/>
      <c r="R1957" s="186" t="str">
        <f aca="false">+PROPER(C1957&amp;" "&amp;D1957)</f>
        <v> </v>
      </c>
      <c r="S1957" s="230" t="n">
        <f aca="false">+YEARFRAC(L1957,$S$1)</f>
        <v>126.366666666667</v>
      </c>
      <c r="T1957" s="230" t="n">
        <f aca="false">+YEARFRAC(M1957,$S$1)</f>
        <v>126.366666666667</v>
      </c>
      <c r="U1957" s="231" t="n">
        <f aca="false">+$I1957</f>
        <v>0</v>
      </c>
      <c r="V1957" s="232" t="str">
        <f aca="false">+PROPER(F1957)</f>
        <v/>
      </c>
    </row>
    <row r="1958" customFormat="false" ht="14.25" hidden="false" customHeight="false" outlineLevel="0" collapsed="false">
      <c r="B1958" s="244"/>
      <c r="C1958" s="245"/>
      <c r="D1958" s="245"/>
      <c r="E1958" s="246"/>
      <c r="F1958" s="246"/>
      <c r="G1958" s="225" t="e">
        <f aca="false">VLOOKUP(B1958,'NIVEL ENERO'!A:F,4,0)</f>
        <v>#N/A</v>
      </c>
      <c r="H1958" s="247"/>
      <c r="I1958" s="247"/>
      <c r="J1958" s="246"/>
      <c r="K1958" s="246"/>
      <c r="L1958" s="226"/>
      <c r="M1958" s="226"/>
      <c r="N1958" s="246"/>
      <c r="P1958" s="228"/>
      <c r="Q1958" s="245"/>
      <c r="R1958" s="186" t="str">
        <f aca="false">+PROPER(C1958&amp;" "&amp;D1958)</f>
        <v> </v>
      </c>
      <c r="S1958" s="230" t="n">
        <f aca="false">+YEARFRAC(L1958,$S$1)</f>
        <v>126.366666666667</v>
      </c>
      <c r="T1958" s="230" t="n">
        <f aca="false">+YEARFRAC(M1958,$S$1)</f>
        <v>126.366666666667</v>
      </c>
      <c r="U1958" s="231" t="n">
        <f aca="false">+$I1958</f>
        <v>0</v>
      </c>
      <c r="V1958" s="232" t="str">
        <f aca="false">+PROPER(F1958)</f>
        <v/>
      </c>
    </row>
    <row r="1959" customFormat="false" ht="14.25" hidden="false" customHeight="false" outlineLevel="0" collapsed="false">
      <c r="B1959" s="244"/>
      <c r="C1959" s="245"/>
      <c r="D1959" s="245"/>
      <c r="E1959" s="246"/>
      <c r="F1959" s="246"/>
      <c r="G1959" s="225" t="e">
        <f aca="false">VLOOKUP(B1959,'NIVEL ENERO'!A:F,4,0)</f>
        <v>#N/A</v>
      </c>
      <c r="H1959" s="247"/>
      <c r="I1959" s="247"/>
      <c r="J1959" s="246"/>
      <c r="K1959" s="246"/>
      <c r="L1959" s="226"/>
      <c r="M1959" s="226"/>
      <c r="N1959" s="246"/>
      <c r="P1959" s="228"/>
      <c r="Q1959" s="245"/>
      <c r="R1959" s="186" t="str">
        <f aca="false">+PROPER(C1959&amp;" "&amp;D1959)</f>
        <v> </v>
      </c>
      <c r="S1959" s="230" t="n">
        <f aca="false">+YEARFRAC(L1959,$S$1)</f>
        <v>126.366666666667</v>
      </c>
      <c r="T1959" s="230" t="n">
        <f aca="false">+YEARFRAC(M1959,$S$1)</f>
        <v>126.366666666667</v>
      </c>
      <c r="U1959" s="231" t="n">
        <f aca="false">+$I1959</f>
        <v>0</v>
      </c>
      <c r="V1959" s="232" t="str">
        <f aca="false">+PROPER(F1959)</f>
        <v/>
      </c>
    </row>
    <row r="1960" customFormat="false" ht="14.25" hidden="false" customHeight="false" outlineLevel="0" collapsed="false">
      <c r="B1960" s="244"/>
      <c r="C1960" s="245"/>
      <c r="D1960" s="245"/>
      <c r="E1960" s="246"/>
      <c r="F1960" s="246"/>
      <c r="G1960" s="225" t="e">
        <f aca="false">VLOOKUP(B1960,'NIVEL ENERO'!A:F,4,0)</f>
        <v>#N/A</v>
      </c>
      <c r="H1960" s="247"/>
      <c r="I1960" s="247"/>
      <c r="J1960" s="246"/>
      <c r="K1960" s="246"/>
      <c r="L1960" s="226"/>
      <c r="M1960" s="226"/>
      <c r="N1960" s="246"/>
      <c r="P1960" s="228"/>
      <c r="Q1960" s="245"/>
      <c r="R1960" s="186" t="str">
        <f aca="false">+PROPER(C1960&amp;" "&amp;D1960)</f>
        <v> </v>
      </c>
      <c r="S1960" s="230" t="n">
        <f aca="false">+YEARFRAC(L1960,$S$1)</f>
        <v>126.366666666667</v>
      </c>
      <c r="T1960" s="230" t="n">
        <f aca="false">+YEARFRAC(M1960,$S$1)</f>
        <v>126.366666666667</v>
      </c>
      <c r="U1960" s="231" t="n">
        <f aca="false">+$I1960</f>
        <v>0</v>
      </c>
      <c r="V1960" s="232" t="str">
        <f aca="false">+PROPER(F1960)</f>
        <v/>
      </c>
    </row>
    <row r="1961" customFormat="false" ht="14.25" hidden="false" customHeight="false" outlineLevel="0" collapsed="false">
      <c r="B1961" s="244"/>
      <c r="C1961" s="245"/>
      <c r="D1961" s="245"/>
      <c r="E1961" s="246"/>
      <c r="F1961" s="246"/>
      <c r="G1961" s="225" t="e">
        <f aca="false">VLOOKUP(B1961,'NIVEL ENERO'!A:F,4,0)</f>
        <v>#N/A</v>
      </c>
      <c r="H1961" s="247"/>
      <c r="I1961" s="247"/>
      <c r="J1961" s="246"/>
      <c r="K1961" s="246"/>
      <c r="L1961" s="226"/>
      <c r="M1961" s="226"/>
      <c r="N1961" s="246"/>
      <c r="P1961" s="228"/>
      <c r="Q1961" s="245"/>
      <c r="R1961" s="186" t="str">
        <f aca="false">+PROPER(C1961&amp;" "&amp;D1961)</f>
        <v> </v>
      </c>
      <c r="S1961" s="230" t="n">
        <f aca="false">+YEARFRAC(L1961,$S$1)</f>
        <v>126.366666666667</v>
      </c>
      <c r="T1961" s="230" t="n">
        <f aca="false">+YEARFRAC(M1961,$S$1)</f>
        <v>126.366666666667</v>
      </c>
      <c r="U1961" s="231" t="n">
        <f aca="false">+$I1961</f>
        <v>0</v>
      </c>
      <c r="V1961" s="232" t="str">
        <f aca="false">+PROPER(F1961)</f>
        <v/>
      </c>
    </row>
    <row r="1962" customFormat="false" ht="14.25" hidden="false" customHeight="false" outlineLevel="0" collapsed="false">
      <c r="B1962" s="244"/>
      <c r="C1962" s="245"/>
      <c r="D1962" s="245"/>
      <c r="E1962" s="246"/>
      <c r="F1962" s="246"/>
      <c r="G1962" s="225" t="e">
        <f aca="false">VLOOKUP(B1962,'NIVEL ENERO'!A:F,4,0)</f>
        <v>#N/A</v>
      </c>
      <c r="H1962" s="247"/>
      <c r="I1962" s="247"/>
      <c r="J1962" s="246"/>
      <c r="K1962" s="246"/>
      <c r="L1962" s="226"/>
      <c r="M1962" s="226"/>
      <c r="N1962" s="246"/>
      <c r="P1962" s="228"/>
      <c r="Q1962" s="245"/>
      <c r="R1962" s="186" t="str">
        <f aca="false">+PROPER(C1962&amp;" "&amp;D1962)</f>
        <v> </v>
      </c>
      <c r="S1962" s="230" t="n">
        <f aca="false">+YEARFRAC(L1962,$S$1)</f>
        <v>126.366666666667</v>
      </c>
      <c r="T1962" s="230" t="n">
        <f aca="false">+YEARFRAC(M1962,$S$1)</f>
        <v>126.366666666667</v>
      </c>
      <c r="U1962" s="231" t="n">
        <f aca="false">+$I1962</f>
        <v>0</v>
      </c>
      <c r="V1962" s="232" t="str">
        <f aca="false">+PROPER(F1962)</f>
        <v/>
      </c>
    </row>
    <row r="1963" customFormat="false" ht="14.25" hidden="false" customHeight="false" outlineLevel="0" collapsed="false">
      <c r="B1963" s="244"/>
      <c r="C1963" s="245"/>
      <c r="D1963" s="245"/>
      <c r="E1963" s="246"/>
      <c r="F1963" s="246"/>
      <c r="G1963" s="225" t="e">
        <f aca="false">VLOOKUP(B1963,'NIVEL ENERO'!A:F,4,0)</f>
        <v>#N/A</v>
      </c>
      <c r="H1963" s="247"/>
      <c r="I1963" s="247"/>
      <c r="J1963" s="246"/>
      <c r="K1963" s="246"/>
      <c r="L1963" s="226"/>
      <c r="M1963" s="226"/>
      <c r="N1963" s="246"/>
      <c r="P1963" s="228"/>
      <c r="Q1963" s="245"/>
      <c r="R1963" s="186" t="str">
        <f aca="false">+PROPER(C1963&amp;" "&amp;D1963)</f>
        <v> </v>
      </c>
      <c r="S1963" s="230" t="n">
        <f aca="false">+YEARFRAC(L1963,$S$1)</f>
        <v>126.366666666667</v>
      </c>
      <c r="T1963" s="230" t="n">
        <f aca="false">+YEARFRAC(M1963,$S$1)</f>
        <v>126.366666666667</v>
      </c>
      <c r="U1963" s="231" t="n">
        <f aca="false">+$I1963</f>
        <v>0</v>
      </c>
      <c r="V1963" s="232" t="str">
        <f aca="false">+PROPER(F1963)</f>
        <v/>
      </c>
    </row>
    <row r="1964" customFormat="false" ht="14.25" hidden="false" customHeight="false" outlineLevel="0" collapsed="false">
      <c r="B1964" s="244"/>
      <c r="C1964" s="245"/>
      <c r="D1964" s="245"/>
      <c r="E1964" s="246"/>
      <c r="F1964" s="246"/>
      <c r="G1964" s="225" t="e">
        <f aca="false">VLOOKUP(B1964,'NIVEL ENERO'!A:F,4,0)</f>
        <v>#N/A</v>
      </c>
      <c r="H1964" s="247"/>
      <c r="I1964" s="247"/>
      <c r="J1964" s="246"/>
      <c r="K1964" s="246"/>
      <c r="L1964" s="226"/>
      <c r="M1964" s="226"/>
      <c r="N1964" s="246"/>
      <c r="P1964" s="228"/>
      <c r="Q1964" s="245"/>
      <c r="R1964" s="186" t="str">
        <f aca="false">+PROPER(C1964&amp;" "&amp;D1964)</f>
        <v> </v>
      </c>
      <c r="S1964" s="230" t="n">
        <f aca="false">+YEARFRAC(L1964,$S$1)</f>
        <v>126.366666666667</v>
      </c>
      <c r="T1964" s="230" t="n">
        <f aca="false">+YEARFRAC(M1964,$S$1)</f>
        <v>126.366666666667</v>
      </c>
      <c r="U1964" s="231" t="n">
        <f aca="false">+$I1964</f>
        <v>0</v>
      </c>
      <c r="V1964" s="232" t="str">
        <f aca="false">+PROPER(F1964)</f>
        <v/>
      </c>
    </row>
    <row r="1965" customFormat="false" ht="14.25" hidden="false" customHeight="false" outlineLevel="0" collapsed="false">
      <c r="B1965" s="244"/>
      <c r="C1965" s="245"/>
      <c r="D1965" s="245"/>
      <c r="E1965" s="246"/>
      <c r="F1965" s="246"/>
      <c r="G1965" s="225" t="e">
        <f aca="false">VLOOKUP(B1965,'NIVEL ENERO'!A:F,4,0)</f>
        <v>#N/A</v>
      </c>
      <c r="H1965" s="247"/>
      <c r="I1965" s="247"/>
      <c r="J1965" s="246"/>
      <c r="K1965" s="246"/>
      <c r="L1965" s="226"/>
      <c r="M1965" s="226"/>
      <c r="N1965" s="246"/>
      <c r="P1965" s="228"/>
      <c r="Q1965" s="245"/>
      <c r="R1965" s="186" t="str">
        <f aca="false">+PROPER(C1965&amp;" "&amp;D1965)</f>
        <v> </v>
      </c>
      <c r="S1965" s="230" t="n">
        <f aca="false">+YEARFRAC(L1965,$S$1)</f>
        <v>126.366666666667</v>
      </c>
      <c r="T1965" s="230" t="n">
        <f aca="false">+YEARFRAC(M1965,$S$1)</f>
        <v>126.366666666667</v>
      </c>
      <c r="U1965" s="231" t="n">
        <f aca="false">+$I1965</f>
        <v>0</v>
      </c>
      <c r="V1965" s="232" t="str">
        <f aca="false">+PROPER(F1965)</f>
        <v/>
      </c>
    </row>
    <row r="1966" customFormat="false" ht="14.25" hidden="false" customHeight="false" outlineLevel="0" collapsed="false">
      <c r="B1966" s="244"/>
      <c r="C1966" s="245"/>
      <c r="D1966" s="245"/>
      <c r="E1966" s="246"/>
      <c r="F1966" s="246"/>
      <c r="G1966" s="225" t="e">
        <f aca="false">VLOOKUP(B1966,'NIVEL ENERO'!A:F,4,0)</f>
        <v>#N/A</v>
      </c>
      <c r="H1966" s="247"/>
      <c r="I1966" s="247"/>
      <c r="J1966" s="246"/>
      <c r="K1966" s="246"/>
      <c r="L1966" s="226"/>
      <c r="M1966" s="226"/>
      <c r="N1966" s="246"/>
      <c r="P1966" s="228"/>
      <c r="Q1966" s="245"/>
      <c r="R1966" s="186" t="str">
        <f aca="false">+PROPER(C1966&amp;" "&amp;D1966)</f>
        <v> </v>
      </c>
      <c r="S1966" s="230" t="n">
        <f aca="false">+YEARFRAC(L1966,$S$1)</f>
        <v>126.366666666667</v>
      </c>
      <c r="T1966" s="230" t="n">
        <f aca="false">+YEARFRAC(M1966,$S$1)</f>
        <v>126.366666666667</v>
      </c>
      <c r="U1966" s="231" t="n">
        <f aca="false">+$I1966</f>
        <v>0</v>
      </c>
      <c r="V1966" s="232" t="str">
        <f aca="false">+PROPER(F1966)</f>
        <v/>
      </c>
    </row>
    <row r="1967" customFormat="false" ht="14.25" hidden="false" customHeight="false" outlineLevel="0" collapsed="false">
      <c r="B1967" s="244"/>
      <c r="C1967" s="245"/>
      <c r="D1967" s="245"/>
      <c r="E1967" s="246"/>
      <c r="F1967" s="246"/>
      <c r="G1967" s="225" t="e">
        <f aca="false">VLOOKUP(B1967,'NIVEL ENERO'!A:F,4,0)</f>
        <v>#N/A</v>
      </c>
      <c r="H1967" s="247"/>
      <c r="I1967" s="247"/>
      <c r="J1967" s="246"/>
      <c r="K1967" s="246"/>
      <c r="L1967" s="226"/>
      <c r="M1967" s="226"/>
      <c r="N1967" s="246"/>
      <c r="P1967" s="228"/>
      <c r="Q1967" s="245"/>
      <c r="R1967" s="186" t="str">
        <f aca="false">+PROPER(C1967&amp;" "&amp;D1967)</f>
        <v> </v>
      </c>
      <c r="S1967" s="230" t="n">
        <f aca="false">+YEARFRAC(L1967,$S$1)</f>
        <v>126.366666666667</v>
      </c>
      <c r="T1967" s="230" t="n">
        <f aca="false">+YEARFRAC(M1967,$S$1)</f>
        <v>126.366666666667</v>
      </c>
      <c r="U1967" s="231" t="n">
        <f aca="false">+$I1967</f>
        <v>0</v>
      </c>
      <c r="V1967" s="232" t="str">
        <f aca="false">+PROPER(F1967)</f>
        <v/>
      </c>
    </row>
    <row r="1968" customFormat="false" ht="14.25" hidden="false" customHeight="false" outlineLevel="0" collapsed="false">
      <c r="B1968" s="244"/>
      <c r="C1968" s="245"/>
      <c r="D1968" s="245"/>
      <c r="E1968" s="246"/>
      <c r="F1968" s="246"/>
      <c r="G1968" s="225" t="e">
        <f aca="false">VLOOKUP(B1968,'NIVEL ENERO'!A:F,4,0)</f>
        <v>#N/A</v>
      </c>
      <c r="H1968" s="247"/>
      <c r="I1968" s="247"/>
      <c r="J1968" s="246"/>
      <c r="K1968" s="246"/>
      <c r="L1968" s="226"/>
      <c r="M1968" s="226"/>
      <c r="N1968" s="246"/>
      <c r="P1968" s="228"/>
      <c r="Q1968" s="245"/>
      <c r="R1968" s="186" t="str">
        <f aca="false">+PROPER(C1968&amp;" "&amp;D1968)</f>
        <v> </v>
      </c>
      <c r="S1968" s="230" t="n">
        <f aca="false">+YEARFRAC(L1968,$S$1)</f>
        <v>126.366666666667</v>
      </c>
      <c r="T1968" s="230" t="n">
        <f aca="false">+YEARFRAC(M1968,$S$1)</f>
        <v>126.366666666667</v>
      </c>
      <c r="U1968" s="231" t="n">
        <f aca="false">+$I1968</f>
        <v>0</v>
      </c>
      <c r="V1968" s="232" t="str">
        <f aca="false">+PROPER(F1968)</f>
        <v/>
      </c>
    </row>
    <row r="1969" customFormat="false" ht="14.25" hidden="false" customHeight="false" outlineLevel="0" collapsed="false">
      <c r="B1969" s="244"/>
      <c r="C1969" s="245"/>
      <c r="D1969" s="245"/>
      <c r="E1969" s="246"/>
      <c r="F1969" s="246"/>
      <c r="G1969" s="225" t="e">
        <f aca="false">VLOOKUP(B1969,'NIVEL ENERO'!A:F,4,0)</f>
        <v>#N/A</v>
      </c>
      <c r="H1969" s="247"/>
      <c r="I1969" s="247"/>
      <c r="J1969" s="246"/>
      <c r="K1969" s="246"/>
      <c r="L1969" s="226"/>
      <c r="M1969" s="226"/>
      <c r="N1969" s="246"/>
      <c r="P1969" s="228"/>
      <c r="Q1969" s="245"/>
      <c r="R1969" s="186" t="str">
        <f aca="false">+PROPER(C1969&amp;" "&amp;D1969)</f>
        <v> </v>
      </c>
      <c r="S1969" s="230" t="n">
        <f aca="false">+YEARFRAC(L1969,$S$1)</f>
        <v>126.366666666667</v>
      </c>
      <c r="T1969" s="230" t="n">
        <f aca="false">+YEARFRAC(M1969,$S$1)</f>
        <v>126.366666666667</v>
      </c>
      <c r="U1969" s="231" t="n">
        <f aca="false">+$I1969</f>
        <v>0</v>
      </c>
      <c r="V1969" s="232" t="str">
        <f aca="false">+PROPER(F1969)</f>
        <v/>
      </c>
    </row>
    <row r="1970" customFormat="false" ht="14.25" hidden="false" customHeight="false" outlineLevel="0" collapsed="false">
      <c r="B1970" s="244"/>
      <c r="C1970" s="245"/>
      <c r="D1970" s="245"/>
      <c r="E1970" s="246"/>
      <c r="F1970" s="246"/>
      <c r="G1970" s="225" t="e">
        <f aca="false">VLOOKUP(B1970,'NIVEL ENERO'!A:F,4,0)</f>
        <v>#N/A</v>
      </c>
      <c r="H1970" s="247"/>
      <c r="I1970" s="247"/>
      <c r="J1970" s="246"/>
      <c r="K1970" s="246"/>
      <c r="L1970" s="226"/>
      <c r="M1970" s="226"/>
      <c r="N1970" s="246"/>
      <c r="P1970" s="228"/>
      <c r="Q1970" s="245"/>
      <c r="R1970" s="186" t="str">
        <f aca="false">+PROPER(C1970&amp;" "&amp;D1970)</f>
        <v> </v>
      </c>
      <c r="S1970" s="230" t="n">
        <f aca="false">+YEARFRAC(L1970,$S$1)</f>
        <v>126.366666666667</v>
      </c>
      <c r="T1970" s="230" t="n">
        <f aca="false">+YEARFRAC(M1970,$S$1)</f>
        <v>126.366666666667</v>
      </c>
      <c r="U1970" s="231" t="n">
        <f aca="false">+$I1970</f>
        <v>0</v>
      </c>
      <c r="V1970" s="232" t="str">
        <f aca="false">+PROPER(F1970)</f>
        <v/>
      </c>
    </row>
    <row r="1971" customFormat="false" ht="14.25" hidden="false" customHeight="false" outlineLevel="0" collapsed="false">
      <c r="B1971" s="244"/>
      <c r="C1971" s="245"/>
      <c r="D1971" s="245"/>
      <c r="E1971" s="246"/>
      <c r="F1971" s="246"/>
      <c r="G1971" s="225" t="e">
        <f aca="false">VLOOKUP(B1971,'NIVEL ENERO'!A:F,4,0)</f>
        <v>#N/A</v>
      </c>
      <c r="H1971" s="247"/>
      <c r="I1971" s="247"/>
      <c r="J1971" s="246"/>
      <c r="K1971" s="246"/>
      <c r="L1971" s="226"/>
      <c r="M1971" s="226"/>
      <c r="N1971" s="246"/>
      <c r="P1971" s="228"/>
      <c r="Q1971" s="245"/>
      <c r="R1971" s="186" t="str">
        <f aca="false">+PROPER(C1971&amp;" "&amp;D1971)</f>
        <v> </v>
      </c>
      <c r="S1971" s="230" t="n">
        <f aca="false">+YEARFRAC(L1971,$S$1)</f>
        <v>126.366666666667</v>
      </c>
      <c r="T1971" s="230" t="n">
        <f aca="false">+YEARFRAC(M1971,$S$1)</f>
        <v>126.366666666667</v>
      </c>
      <c r="U1971" s="231" t="n">
        <f aca="false">+$I1971</f>
        <v>0</v>
      </c>
      <c r="V1971" s="232" t="str">
        <f aca="false">+PROPER(F1971)</f>
        <v/>
      </c>
    </row>
    <row r="1972" customFormat="false" ht="14.25" hidden="false" customHeight="false" outlineLevel="0" collapsed="false">
      <c r="B1972" s="244"/>
      <c r="C1972" s="245"/>
      <c r="D1972" s="245"/>
      <c r="E1972" s="246"/>
      <c r="F1972" s="246"/>
      <c r="G1972" s="225" t="e">
        <f aca="false">VLOOKUP(B1972,'NIVEL ENERO'!A:F,4,0)</f>
        <v>#N/A</v>
      </c>
      <c r="H1972" s="247"/>
      <c r="I1972" s="247"/>
      <c r="J1972" s="246"/>
      <c r="K1972" s="246"/>
      <c r="L1972" s="226"/>
      <c r="M1972" s="226"/>
      <c r="N1972" s="246"/>
      <c r="P1972" s="228"/>
      <c r="Q1972" s="245"/>
      <c r="R1972" s="186" t="str">
        <f aca="false">+PROPER(C1972&amp;" "&amp;D1972)</f>
        <v> </v>
      </c>
      <c r="S1972" s="230" t="n">
        <f aca="false">+YEARFRAC(L1972,$S$1)</f>
        <v>126.366666666667</v>
      </c>
      <c r="T1972" s="230" t="n">
        <f aca="false">+YEARFRAC(M1972,$S$1)</f>
        <v>126.366666666667</v>
      </c>
      <c r="U1972" s="231" t="n">
        <f aca="false">+$I1972</f>
        <v>0</v>
      </c>
      <c r="V1972" s="232" t="str">
        <f aca="false">+PROPER(F1972)</f>
        <v/>
      </c>
    </row>
    <row r="1973" customFormat="false" ht="14.25" hidden="false" customHeight="false" outlineLevel="0" collapsed="false">
      <c r="B1973" s="244"/>
      <c r="C1973" s="245"/>
      <c r="D1973" s="245"/>
      <c r="E1973" s="246"/>
      <c r="F1973" s="246"/>
      <c r="G1973" s="225" t="e">
        <f aca="false">VLOOKUP(B1973,'NIVEL ENERO'!A:F,4,0)</f>
        <v>#N/A</v>
      </c>
      <c r="H1973" s="247"/>
      <c r="I1973" s="247"/>
      <c r="J1973" s="246"/>
      <c r="K1973" s="246"/>
      <c r="L1973" s="226"/>
      <c r="M1973" s="226"/>
      <c r="N1973" s="246"/>
      <c r="P1973" s="228"/>
      <c r="Q1973" s="245"/>
      <c r="R1973" s="186" t="str">
        <f aca="false">+PROPER(C1973&amp;" "&amp;D1973)</f>
        <v> </v>
      </c>
      <c r="S1973" s="230" t="n">
        <f aca="false">+YEARFRAC(L1973,$S$1)</f>
        <v>126.366666666667</v>
      </c>
      <c r="T1973" s="230" t="n">
        <f aca="false">+YEARFRAC(M1973,$S$1)</f>
        <v>126.366666666667</v>
      </c>
      <c r="U1973" s="231" t="n">
        <f aca="false">+$I1973</f>
        <v>0</v>
      </c>
      <c r="V1973" s="232" t="str">
        <f aca="false">+PROPER(F1973)</f>
        <v/>
      </c>
    </row>
    <row r="1974" customFormat="false" ht="14.25" hidden="false" customHeight="false" outlineLevel="0" collapsed="false">
      <c r="B1974" s="244"/>
      <c r="C1974" s="245"/>
      <c r="D1974" s="245"/>
      <c r="E1974" s="246"/>
      <c r="F1974" s="246"/>
      <c r="G1974" s="225" t="e">
        <f aca="false">VLOOKUP(B1974,'NIVEL ENERO'!A:F,4,0)</f>
        <v>#N/A</v>
      </c>
      <c r="H1974" s="247"/>
      <c r="I1974" s="247"/>
      <c r="J1974" s="246"/>
      <c r="K1974" s="246"/>
      <c r="L1974" s="226"/>
      <c r="M1974" s="226"/>
      <c r="N1974" s="246"/>
      <c r="P1974" s="228"/>
      <c r="Q1974" s="245"/>
      <c r="R1974" s="186" t="str">
        <f aca="false">+PROPER(C1974&amp;" "&amp;D1974)</f>
        <v> </v>
      </c>
      <c r="S1974" s="230" t="n">
        <f aca="false">+YEARFRAC(L1974,$S$1)</f>
        <v>126.366666666667</v>
      </c>
      <c r="T1974" s="230" t="n">
        <f aca="false">+YEARFRAC(M1974,$S$1)</f>
        <v>126.366666666667</v>
      </c>
      <c r="U1974" s="231" t="n">
        <f aca="false">+$I1974</f>
        <v>0</v>
      </c>
      <c r="V1974" s="232" t="str">
        <f aca="false">+PROPER(F1974)</f>
        <v/>
      </c>
    </row>
    <row r="1975" customFormat="false" ht="14.25" hidden="false" customHeight="false" outlineLevel="0" collapsed="false">
      <c r="B1975" s="244"/>
      <c r="C1975" s="245"/>
      <c r="D1975" s="245"/>
      <c r="E1975" s="246"/>
      <c r="F1975" s="246"/>
      <c r="G1975" s="225" t="e">
        <f aca="false">VLOOKUP(B1975,'NIVEL ENERO'!A:F,4,0)</f>
        <v>#N/A</v>
      </c>
      <c r="H1975" s="247"/>
      <c r="I1975" s="247"/>
      <c r="J1975" s="246"/>
      <c r="K1975" s="246"/>
      <c r="L1975" s="226"/>
      <c r="M1975" s="226"/>
      <c r="N1975" s="246"/>
      <c r="P1975" s="228"/>
      <c r="Q1975" s="245"/>
      <c r="R1975" s="186" t="str">
        <f aca="false">+PROPER(C1975&amp;" "&amp;D1975)</f>
        <v> </v>
      </c>
      <c r="S1975" s="230" t="n">
        <f aca="false">+YEARFRAC(L1975,$S$1)</f>
        <v>126.366666666667</v>
      </c>
      <c r="T1975" s="230" t="n">
        <f aca="false">+YEARFRAC(M1975,$S$1)</f>
        <v>126.366666666667</v>
      </c>
      <c r="U1975" s="231" t="n">
        <f aca="false">+$I1975</f>
        <v>0</v>
      </c>
      <c r="V1975" s="232" t="str">
        <f aca="false">+PROPER(F1975)</f>
        <v/>
      </c>
    </row>
    <row r="1976" customFormat="false" ht="14.25" hidden="false" customHeight="false" outlineLevel="0" collapsed="false">
      <c r="B1976" s="244"/>
      <c r="C1976" s="245"/>
      <c r="D1976" s="245"/>
      <c r="E1976" s="246"/>
      <c r="F1976" s="246"/>
      <c r="G1976" s="225" t="e">
        <f aca="false">VLOOKUP(B1976,'NIVEL ENERO'!A:F,4,0)</f>
        <v>#N/A</v>
      </c>
      <c r="H1976" s="247"/>
      <c r="I1976" s="247"/>
      <c r="J1976" s="246"/>
      <c r="K1976" s="246"/>
      <c r="L1976" s="226"/>
      <c r="M1976" s="226"/>
      <c r="N1976" s="246"/>
      <c r="P1976" s="228"/>
      <c r="Q1976" s="245"/>
      <c r="R1976" s="186" t="str">
        <f aca="false">+PROPER(C1976&amp;" "&amp;D1976)</f>
        <v> </v>
      </c>
      <c r="S1976" s="230" t="n">
        <f aca="false">+YEARFRAC(L1976,$S$1)</f>
        <v>126.366666666667</v>
      </c>
      <c r="T1976" s="230" t="n">
        <f aca="false">+YEARFRAC(M1976,$S$1)</f>
        <v>126.366666666667</v>
      </c>
      <c r="U1976" s="231" t="n">
        <f aca="false">+$I1976</f>
        <v>0</v>
      </c>
      <c r="V1976" s="232" t="str">
        <f aca="false">+PROPER(F1976)</f>
        <v/>
      </c>
    </row>
    <row r="1977" customFormat="false" ht="14.25" hidden="false" customHeight="false" outlineLevel="0" collapsed="false">
      <c r="B1977" s="244"/>
      <c r="C1977" s="245"/>
      <c r="D1977" s="245"/>
      <c r="E1977" s="246"/>
      <c r="F1977" s="246"/>
      <c r="G1977" s="225" t="e">
        <f aca="false">VLOOKUP(B1977,'NIVEL ENERO'!A:F,4,0)</f>
        <v>#N/A</v>
      </c>
      <c r="H1977" s="247"/>
      <c r="I1977" s="247"/>
      <c r="J1977" s="246"/>
      <c r="K1977" s="246"/>
      <c r="L1977" s="226"/>
      <c r="M1977" s="226"/>
      <c r="N1977" s="246"/>
      <c r="P1977" s="228"/>
      <c r="Q1977" s="245"/>
      <c r="R1977" s="186" t="str">
        <f aca="false">+PROPER(C1977&amp;" "&amp;D1977)</f>
        <v> </v>
      </c>
      <c r="S1977" s="230" t="n">
        <f aca="false">+YEARFRAC(L1977,$S$1)</f>
        <v>126.366666666667</v>
      </c>
      <c r="T1977" s="230" t="n">
        <f aca="false">+YEARFRAC(M1977,$S$1)</f>
        <v>126.366666666667</v>
      </c>
      <c r="U1977" s="231" t="n">
        <f aca="false">+$I1977</f>
        <v>0</v>
      </c>
      <c r="V1977" s="232" t="str">
        <f aca="false">+PROPER(F1977)</f>
        <v/>
      </c>
    </row>
    <row r="1978" customFormat="false" ht="14.25" hidden="false" customHeight="false" outlineLevel="0" collapsed="false">
      <c r="B1978" s="244"/>
      <c r="C1978" s="245"/>
      <c r="D1978" s="245"/>
      <c r="E1978" s="246"/>
      <c r="F1978" s="246"/>
      <c r="G1978" s="225" t="e">
        <f aca="false">VLOOKUP(B1978,'NIVEL ENERO'!A:F,4,0)</f>
        <v>#N/A</v>
      </c>
      <c r="H1978" s="247"/>
      <c r="I1978" s="247"/>
      <c r="J1978" s="246"/>
      <c r="K1978" s="246"/>
      <c r="L1978" s="226"/>
      <c r="M1978" s="226"/>
      <c r="N1978" s="246"/>
      <c r="P1978" s="228"/>
      <c r="Q1978" s="245"/>
      <c r="R1978" s="186" t="str">
        <f aca="false">+PROPER(C1978&amp;" "&amp;D1978)</f>
        <v> </v>
      </c>
      <c r="S1978" s="230" t="n">
        <f aca="false">+YEARFRAC(L1978,$S$1)</f>
        <v>126.366666666667</v>
      </c>
      <c r="T1978" s="230" t="n">
        <f aca="false">+YEARFRAC(M1978,$S$1)</f>
        <v>126.366666666667</v>
      </c>
      <c r="U1978" s="231" t="n">
        <f aca="false">+$I1978</f>
        <v>0</v>
      </c>
      <c r="V1978" s="232" t="str">
        <f aca="false">+PROPER(F1978)</f>
        <v/>
      </c>
    </row>
    <row r="1979" customFormat="false" ht="14.25" hidden="false" customHeight="false" outlineLevel="0" collapsed="false">
      <c r="B1979" s="244"/>
      <c r="C1979" s="245"/>
      <c r="D1979" s="245"/>
      <c r="E1979" s="246"/>
      <c r="F1979" s="246"/>
      <c r="G1979" s="225" t="e">
        <f aca="false">VLOOKUP(B1979,'NIVEL ENERO'!A:F,4,0)</f>
        <v>#N/A</v>
      </c>
      <c r="H1979" s="247"/>
      <c r="I1979" s="247"/>
      <c r="J1979" s="246"/>
      <c r="K1979" s="246"/>
      <c r="L1979" s="226"/>
      <c r="M1979" s="226"/>
      <c r="N1979" s="246"/>
      <c r="P1979" s="228"/>
      <c r="Q1979" s="245"/>
      <c r="R1979" s="186" t="str">
        <f aca="false">+PROPER(C1979&amp;" "&amp;D1979)</f>
        <v> </v>
      </c>
      <c r="S1979" s="230" t="n">
        <f aca="false">+YEARFRAC(L1979,$S$1)</f>
        <v>126.366666666667</v>
      </c>
      <c r="T1979" s="230" t="n">
        <f aca="false">+YEARFRAC(M1979,$S$1)</f>
        <v>126.366666666667</v>
      </c>
      <c r="U1979" s="231" t="n">
        <f aca="false">+$I1979</f>
        <v>0</v>
      </c>
      <c r="V1979" s="232" t="str">
        <f aca="false">+PROPER(F1979)</f>
        <v/>
      </c>
    </row>
    <row r="1980" customFormat="false" ht="14.25" hidden="false" customHeight="false" outlineLevel="0" collapsed="false">
      <c r="B1980" s="244"/>
      <c r="C1980" s="245"/>
      <c r="D1980" s="245"/>
      <c r="E1980" s="246"/>
      <c r="F1980" s="246"/>
      <c r="G1980" s="225" t="e">
        <f aca="false">VLOOKUP(B1980,'NIVEL ENERO'!A:F,4,0)</f>
        <v>#N/A</v>
      </c>
      <c r="H1980" s="247"/>
      <c r="I1980" s="247"/>
      <c r="J1980" s="246"/>
      <c r="K1980" s="246"/>
      <c r="L1980" s="226"/>
      <c r="M1980" s="226"/>
      <c r="N1980" s="246"/>
      <c r="P1980" s="228"/>
      <c r="Q1980" s="245"/>
      <c r="R1980" s="186" t="str">
        <f aca="false">+PROPER(C1980&amp;" "&amp;D1980)</f>
        <v> </v>
      </c>
      <c r="S1980" s="230" t="n">
        <f aca="false">+YEARFRAC(L1980,$S$1)</f>
        <v>126.366666666667</v>
      </c>
      <c r="T1980" s="230" t="n">
        <f aca="false">+YEARFRAC(M1980,$S$1)</f>
        <v>126.366666666667</v>
      </c>
      <c r="U1980" s="231" t="n">
        <f aca="false">+$I1980</f>
        <v>0</v>
      </c>
      <c r="V1980" s="232" t="str">
        <f aca="false">+PROPER(F1980)</f>
        <v/>
      </c>
    </row>
    <row r="1981" customFormat="false" ht="14.25" hidden="false" customHeight="false" outlineLevel="0" collapsed="false">
      <c r="B1981" s="244"/>
      <c r="C1981" s="245"/>
      <c r="D1981" s="245"/>
      <c r="E1981" s="246"/>
      <c r="F1981" s="246"/>
      <c r="G1981" s="225" t="e">
        <f aca="false">VLOOKUP(B1981,'NIVEL ENERO'!A:F,4,0)</f>
        <v>#N/A</v>
      </c>
      <c r="H1981" s="247"/>
      <c r="I1981" s="247"/>
      <c r="J1981" s="246"/>
      <c r="K1981" s="246"/>
      <c r="L1981" s="226"/>
      <c r="M1981" s="226"/>
      <c r="N1981" s="246"/>
      <c r="P1981" s="228"/>
      <c r="Q1981" s="245"/>
      <c r="R1981" s="186" t="str">
        <f aca="false">+PROPER(C1981&amp;" "&amp;D1981)</f>
        <v> </v>
      </c>
      <c r="S1981" s="230" t="n">
        <f aca="false">+YEARFRAC(L1981,$S$1)</f>
        <v>126.366666666667</v>
      </c>
      <c r="T1981" s="230" t="n">
        <f aca="false">+YEARFRAC(M1981,$S$1)</f>
        <v>126.366666666667</v>
      </c>
      <c r="U1981" s="231" t="n">
        <f aca="false">+$I1981</f>
        <v>0</v>
      </c>
      <c r="V1981" s="232" t="str">
        <f aca="false">+PROPER(F1981)</f>
        <v/>
      </c>
    </row>
    <row r="1982" customFormat="false" ht="14.25" hidden="false" customHeight="false" outlineLevel="0" collapsed="false">
      <c r="B1982" s="244"/>
      <c r="C1982" s="245"/>
      <c r="D1982" s="245"/>
      <c r="E1982" s="246"/>
      <c r="F1982" s="246"/>
      <c r="G1982" s="225" t="e">
        <f aca="false">VLOOKUP(B1982,'NIVEL ENERO'!A:F,4,0)</f>
        <v>#N/A</v>
      </c>
      <c r="H1982" s="247"/>
      <c r="I1982" s="247"/>
      <c r="J1982" s="246"/>
      <c r="K1982" s="246"/>
      <c r="L1982" s="226"/>
      <c r="M1982" s="226"/>
      <c r="N1982" s="246"/>
      <c r="P1982" s="228"/>
      <c r="Q1982" s="245"/>
      <c r="R1982" s="186" t="str">
        <f aca="false">+PROPER(C1982&amp;" "&amp;D1982)</f>
        <v> </v>
      </c>
      <c r="S1982" s="230" t="n">
        <f aca="false">+YEARFRAC(L1982,$S$1)</f>
        <v>126.366666666667</v>
      </c>
      <c r="T1982" s="230" t="n">
        <f aca="false">+YEARFRAC(M1982,$S$1)</f>
        <v>126.366666666667</v>
      </c>
      <c r="U1982" s="231" t="n">
        <f aca="false">+$I1982</f>
        <v>0</v>
      </c>
      <c r="V1982" s="232" t="str">
        <f aca="false">+PROPER(F1982)</f>
        <v/>
      </c>
    </row>
    <row r="1983" customFormat="false" ht="14.25" hidden="false" customHeight="false" outlineLevel="0" collapsed="false">
      <c r="B1983" s="244"/>
      <c r="C1983" s="245"/>
      <c r="D1983" s="245"/>
      <c r="E1983" s="246"/>
      <c r="F1983" s="246"/>
      <c r="G1983" s="225" t="e">
        <f aca="false">VLOOKUP(B1983,'NIVEL ENERO'!A:F,4,0)</f>
        <v>#N/A</v>
      </c>
      <c r="H1983" s="247"/>
      <c r="I1983" s="247"/>
      <c r="J1983" s="246"/>
      <c r="K1983" s="246"/>
      <c r="L1983" s="226"/>
      <c r="M1983" s="226"/>
      <c r="N1983" s="246"/>
      <c r="P1983" s="228"/>
      <c r="Q1983" s="245"/>
      <c r="R1983" s="186" t="str">
        <f aca="false">+PROPER(C1983&amp;" "&amp;D1983)</f>
        <v> </v>
      </c>
      <c r="S1983" s="230" t="n">
        <f aca="false">+YEARFRAC(L1983,$S$1)</f>
        <v>126.366666666667</v>
      </c>
      <c r="T1983" s="230" t="n">
        <f aca="false">+YEARFRAC(M1983,$S$1)</f>
        <v>126.366666666667</v>
      </c>
      <c r="U1983" s="231" t="n">
        <f aca="false">+$I1983</f>
        <v>0</v>
      </c>
      <c r="V1983" s="232" t="str">
        <f aca="false">+PROPER(F1983)</f>
        <v/>
      </c>
    </row>
    <row r="1984" customFormat="false" ht="14.25" hidden="false" customHeight="false" outlineLevel="0" collapsed="false">
      <c r="B1984" s="244"/>
      <c r="C1984" s="245"/>
      <c r="D1984" s="245"/>
      <c r="E1984" s="246"/>
      <c r="F1984" s="246"/>
      <c r="G1984" s="225" t="e">
        <f aca="false">VLOOKUP(B1984,'NIVEL ENERO'!A:F,4,0)</f>
        <v>#N/A</v>
      </c>
      <c r="H1984" s="247"/>
      <c r="I1984" s="247"/>
      <c r="J1984" s="246"/>
      <c r="K1984" s="246"/>
      <c r="L1984" s="226"/>
      <c r="M1984" s="226"/>
      <c r="N1984" s="246"/>
      <c r="P1984" s="228"/>
      <c r="Q1984" s="245"/>
      <c r="R1984" s="186" t="str">
        <f aca="false">+PROPER(C1984&amp;" "&amp;D1984)</f>
        <v> </v>
      </c>
      <c r="S1984" s="230" t="n">
        <f aca="false">+YEARFRAC(L1984,$S$1)</f>
        <v>126.366666666667</v>
      </c>
      <c r="T1984" s="230" t="n">
        <f aca="false">+YEARFRAC(M1984,$S$1)</f>
        <v>126.366666666667</v>
      </c>
      <c r="U1984" s="231" t="n">
        <f aca="false">+$I1984</f>
        <v>0</v>
      </c>
      <c r="V1984" s="232" t="str">
        <f aca="false">+PROPER(F1984)</f>
        <v/>
      </c>
    </row>
    <row r="1985" customFormat="false" ht="14.25" hidden="false" customHeight="false" outlineLevel="0" collapsed="false">
      <c r="B1985" s="244"/>
      <c r="C1985" s="245"/>
      <c r="D1985" s="245"/>
      <c r="E1985" s="246"/>
      <c r="F1985" s="246"/>
      <c r="G1985" s="225" t="e">
        <f aca="false">VLOOKUP(B1985,'NIVEL ENERO'!A:F,4,0)</f>
        <v>#N/A</v>
      </c>
      <c r="H1985" s="247"/>
      <c r="I1985" s="247"/>
      <c r="J1985" s="246"/>
      <c r="K1985" s="246"/>
      <c r="L1985" s="226"/>
      <c r="M1985" s="226"/>
      <c r="N1985" s="246"/>
      <c r="P1985" s="228"/>
      <c r="Q1985" s="245"/>
      <c r="R1985" s="186" t="str">
        <f aca="false">+PROPER(C1985&amp;" "&amp;D1985)</f>
        <v> </v>
      </c>
      <c r="S1985" s="230" t="n">
        <f aca="false">+YEARFRAC(L1985,$S$1)</f>
        <v>126.366666666667</v>
      </c>
      <c r="T1985" s="230" t="n">
        <f aca="false">+YEARFRAC(M1985,$S$1)</f>
        <v>126.366666666667</v>
      </c>
      <c r="U1985" s="231" t="n">
        <f aca="false">+$I1985</f>
        <v>0</v>
      </c>
      <c r="V1985" s="232" t="str">
        <f aca="false">+PROPER(F1985)</f>
        <v/>
      </c>
    </row>
    <row r="1986" customFormat="false" ht="14.25" hidden="false" customHeight="false" outlineLevel="0" collapsed="false">
      <c r="B1986" s="244"/>
      <c r="C1986" s="245"/>
      <c r="D1986" s="245"/>
      <c r="E1986" s="246"/>
      <c r="F1986" s="246"/>
      <c r="G1986" s="225" t="e">
        <f aca="false">VLOOKUP(B1986,'NIVEL ENERO'!A:F,4,0)</f>
        <v>#N/A</v>
      </c>
      <c r="H1986" s="247"/>
      <c r="I1986" s="247"/>
      <c r="J1986" s="246"/>
      <c r="K1986" s="246"/>
      <c r="L1986" s="226"/>
      <c r="M1986" s="226"/>
      <c r="N1986" s="246"/>
      <c r="P1986" s="228"/>
      <c r="Q1986" s="245"/>
      <c r="R1986" s="186" t="str">
        <f aca="false">+PROPER(C1986&amp;" "&amp;D1986)</f>
        <v> </v>
      </c>
      <c r="S1986" s="230" t="n">
        <f aca="false">+YEARFRAC(L1986,$S$1)</f>
        <v>126.366666666667</v>
      </c>
      <c r="T1986" s="230" t="n">
        <f aca="false">+YEARFRAC(M1986,$S$1)</f>
        <v>126.366666666667</v>
      </c>
      <c r="U1986" s="231" t="n">
        <f aca="false">+$I1986</f>
        <v>0</v>
      </c>
      <c r="V1986" s="232" t="str">
        <f aca="false">+PROPER(F1986)</f>
        <v/>
      </c>
    </row>
    <row r="1987" customFormat="false" ht="14.25" hidden="false" customHeight="false" outlineLevel="0" collapsed="false">
      <c r="B1987" s="244"/>
      <c r="C1987" s="245"/>
      <c r="D1987" s="245"/>
      <c r="E1987" s="246"/>
      <c r="F1987" s="246"/>
      <c r="G1987" s="225" t="e">
        <f aca="false">VLOOKUP(B1987,'NIVEL ENERO'!A:F,4,0)</f>
        <v>#N/A</v>
      </c>
      <c r="H1987" s="247"/>
      <c r="I1987" s="247"/>
      <c r="J1987" s="246"/>
      <c r="K1987" s="246"/>
      <c r="L1987" s="226"/>
      <c r="M1987" s="226"/>
      <c r="N1987" s="246"/>
      <c r="P1987" s="228"/>
      <c r="Q1987" s="245"/>
      <c r="R1987" s="186" t="str">
        <f aca="false">+PROPER(C1987&amp;" "&amp;D1987)</f>
        <v> </v>
      </c>
      <c r="S1987" s="230" t="n">
        <f aca="false">+YEARFRAC(L1987,$S$1)</f>
        <v>126.366666666667</v>
      </c>
      <c r="T1987" s="230" t="n">
        <f aca="false">+YEARFRAC(M1987,$S$1)</f>
        <v>126.366666666667</v>
      </c>
      <c r="U1987" s="231" t="n">
        <f aca="false">+$I1987</f>
        <v>0</v>
      </c>
      <c r="V1987" s="232" t="str">
        <f aca="false">+PROPER(F1987)</f>
        <v/>
      </c>
    </row>
    <row r="1988" customFormat="false" ht="14.25" hidden="false" customHeight="false" outlineLevel="0" collapsed="false">
      <c r="B1988" s="244"/>
      <c r="C1988" s="245"/>
      <c r="D1988" s="245"/>
      <c r="E1988" s="246"/>
      <c r="F1988" s="246"/>
      <c r="G1988" s="225" t="e">
        <f aca="false">VLOOKUP(B1988,'NIVEL ENERO'!A:F,4,0)</f>
        <v>#N/A</v>
      </c>
      <c r="H1988" s="247"/>
      <c r="I1988" s="247"/>
      <c r="J1988" s="246"/>
      <c r="K1988" s="246"/>
      <c r="L1988" s="226"/>
      <c r="M1988" s="226"/>
      <c r="N1988" s="246"/>
      <c r="P1988" s="228"/>
      <c r="Q1988" s="245"/>
      <c r="R1988" s="186" t="str">
        <f aca="false">+PROPER(C1988&amp;" "&amp;D1988)</f>
        <v> </v>
      </c>
      <c r="S1988" s="230" t="n">
        <f aca="false">+YEARFRAC(L1988,$S$1)</f>
        <v>126.366666666667</v>
      </c>
      <c r="T1988" s="230" t="n">
        <f aca="false">+YEARFRAC(M1988,$S$1)</f>
        <v>126.366666666667</v>
      </c>
      <c r="U1988" s="231" t="n">
        <f aca="false">+$I1988</f>
        <v>0</v>
      </c>
      <c r="V1988" s="232" t="str">
        <f aca="false">+PROPER(F1988)</f>
        <v/>
      </c>
    </row>
    <row r="1989" customFormat="false" ht="14.25" hidden="false" customHeight="false" outlineLevel="0" collapsed="false">
      <c r="B1989" s="244"/>
      <c r="C1989" s="245"/>
      <c r="D1989" s="245"/>
      <c r="E1989" s="246"/>
      <c r="F1989" s="246"/>
      <c r="G1989" s="225" t="e">
        <f aca="false">VLOOKUP(B1989,'NIVEL ENERO'!A:F,4,0)</f>
        <v>#N/A</v>
      </c>
      <c r="H1989" s="247"/>
      <c r="I1989" s="247"/>
      <c r="J1989" s="246"/>
      <c r="K1989" s="246"/>
      <c r="L1989" s="226"/>
      <c r="M1989" s="226"/>
      <c r="N1989" s="246"/>
      <c r="P1989" s="228"/>
      <c r="Q1989" s="245"/>
      <c r="R1989" s="186" t="str">
        <f aca="false">+PROPER(C1989&amp;" "&amp;D1989)</f>
        <v> </v>
      </c>
      <c r="S1989" s="230" t="n">
        <f aca="false">+YEARFRAC(L1989,$S$1)</f>
        <v>126.366666666667</v>
      </c>
      <c r="T1989" s="230" t="n">
        <f aca="false">+YEARFRAC(M1989,$S$1)</f>
        <v>126.366666666667</v>
      </c>
      <c r="U1989" s="231" t="n">
        <f aca="false">+$I1989</f>
        <v>0</v>
      </c>
      <c r="V1989" s="232" t="str">
        <f aca="false">+PROPER(F1989)</f>
        <v/>
      </c>
    </row>
    <row r="1990" customFormat="false" ht="14.25" hidden="false" customHeight="false" outlineLevel="0" collapsed="false">
      <c r="B1990" s="244"/>
      <c r="C1990" s="245"/>
      <c r="D1990" s="245"/>
      <c r="E1990" s="246"/>
      <c r="F1990" s="246"/>
      <c r="G1990" s="225" t="e">
        <f aca="false">VLOOKUP(B1990,'NIVEL ENERO'!A:F,4,0)</f>
        <v>#N/A</v>
      </c>
      <c r="H1990" s="247"/>
      <c r="I1990" s="247"/>
      <c r="J1990" s="246"/>
      <c r="K1990" s="246"/>
      <c r="L1990" s="226"/>
      <c r="M1990" s="226"/>
      <c r="N1990" s="246"/>
      <c r="P1990" s="228"/>
      <c r="Q1990" s="245"/>
      <c r="R1990" s="186" t="str">
        <f aca="false">+PROPER(C1990&amp;" "&amp;D1990)</f>
        <v> </v>
      </c>
      <c r="S1990" s="230" t="n">
        <f aca="false">+YEARFRAC(L1990,$S$1)</f>
        <v>126.366666666667</v>
      </c>
      <c r="T1990" s="230" t="n">
        <f aca="false">+YEARFRAC(M1990,$S$1)</f>
        <v>126.366666666667</v>
      </c>
      <c r="U1990" s="231" t="n">
        <f aca="false">+$I1990</f>
        <v>0</v>
      </c>
      <c r="V1990" s="232" t="str">
        <f aca="false">+PROPER(F1990)</f>
        <v/>
      </c>
    </row>
    <row r="1991" customFormat="false" ht="14.25" hidden="false" customHeight="false" outlineLevel="0" collapsed="false">
      <c r="B1991" s="244"/>
      <c r="C1991" s="245"/>
      <c r="D1991" s="245"/>
      <c r="E1991" s="246"/>
      <c r="F1991" s="246"/>
      <c r="G1991" s="225" t="e">
        <f aca="false">VLOOKUP(B1991,'NIVEL ENERO'!A:F,4,0)</f>
        <v>#N/A</v>
      </c>
      <c r="H1991" s="247"/>
      <c r="I1991" s="247"/>
      <c r="J1991" s="246"/>
      <c r="K1991" s="246"/>
      <c r="L1991" s="226"/>
      <c r="M1991" s="226"/>
      <c r="N1991" s="246"/>
      <c r="P1991" s="228"/>
      <c r="Q1991" s="245"/>
      <c r="R1991" s="186" t="str">
        <f aca="false">+PROPER(C1991&amp;" "&amp;D1991)</f>
        <v> </v>
      </c>
      <c r="S1991" s="230" t="n">
        <f aca="false">+YEARFRAC(L1991,$S$1)</f>
        <v>126.366666666667</v>
      </c>
      <c r="T1991" s="230" t="n">
        <f aca="false">+YEARFRAC(M1991,$S$1)</f>
        <v>126.366666666667</v>
      </c>
      <c r="U1991" s="231" t="n">
        <f aca="false">+$I1991</f>
        <v>0</v>
      </c>
      <c r="V1991" s="232" t="str">
        <f aca="false">+PROPER(F1991)</f>
        <v/>
      </c>
    </row>
    <row r="1992" customFormat="false" ht="14.25" hidden="false" customHeight="false" outlineLevel="0" collapsed="false">
      <c r="B1992" s="244"/>
      <c r="C1992" s="245"/>
      <c r="D1992" s="245"/>
      <c r="E1992" s="246"/>
      <c r="F1992" s="246"/>
      <c r="G1992" s="225" t="e">
        <f aca="false">VLOOKUP(B1992,'NIVEL ENERO'!A:F,4,0)</f>
        <v>#N/A</v>
      </c>
      <c r="H1992" s="247"/>
      <c r="I1992" s="247"/>
      <c r="J1992" s="246"/>
      <c r="K1992" s="246"/>
      <c r="L1992" s="226"/>
      <c r="M1992" s="226"/>
      <c r="N1992" s="246"/>
      <c r="P1992" s="228"/>
      <c r="Q1992" s="245"/>
      <c r="R1992" s="186" t="str">
        <f aca="false">+PROPER(C1992&amp;" "&amp;D1992)</f>
        <v> </v>
      </c>
      <c r="S1992" s="230" t="n">
        <f aca="false">+YEARFRAC(L1992,$S$1)</f>
        <v>126.366666666667</v>
      </c>
      <c r="T1992" s="230" t="n">
        <f aca="false">+YEARFRAC(M1992,$S$1)</f>
        <v>126.366666666667</v>
      </c>
      <c r="U1992" s="231" t="n">
        <f aca="false">+$I1992</f>
        <v>0</v>
      </c>
      <c r="V1992" s="232" t="str">
        <f aca="false">+PROPER(F1992)</f>
        <v/>
      </c>
    </row>
    <row r="1993" customFormat="false" ht="14.25" hidden="false" customHeight="false" outlineLevel="0" collapsed="false">
      <c r="B1993" s="244"/>
      <c r="C1993" s="245"/>
      <c r="D1993" s="245"/>
      <c r="E1993" s="246"/>
      <c r="F1993" s="246"/>
      <c r="G1993" s="225" t="e">
        <f aca="false">VLOOKUP(B1993,'NIVEL ENERO'!A:F,4,0)</f>
        <v>#N/A</v>
      </c>
      <c r="H1993" s="247"/>
      <c r="I1993" s="247"/>
      <c r="J1993" s="246"/>
      <c r="K1993" s="246"/>
      <c r="L1993" s="226"/>
      <c r="M1993" s="226"/>
      <c r="N1993" s="246"/>
      <c r="P1993" s="228"/>
      <c r="Q1993" s="245"/>
      <c r="R1993" s="186" t="str">
        <f aca="false">+PROPER(C1993&amp;" "&amp;D1993)</f>
        <v> </v>
      </c>
      <c r="S1993" s="230" t="n">
        <f aca="false">+YEARFRAC(L1993,$S$1)</f>
        <v>126.366666666667</v>
      </c>
      <c r="T1993" s="230" t="n">
        <f aca="false">+YEARFRAC(M1993,$S$1)</f>
        <v>126.366666666667</v>
      </c>
      <c r="U1993" s="231" t="n">
        <f aca="false">+$I1993</f>
        <v>0</v>
      </c>
      <c r="V1993" s="232" t="str">
        <f aca="false">+PROPER(F1993)</f>
        <v/>
      </c>
    </row>
    <row r="1994" customFormat="false" ht="14.25" hidden="false" customHeight="false" outlineLevel="0" collapsed="false">
      <c r="B1994" s="244"/>
      <c r="C1994" s="245"/>
      <c r="D1994" s="245"/>
      <c r="E1994" s="246"/>
      <c r="F1994" s="246"/>
      <c r="G1994" s="225" t="e">
        <f aca="false">VLOOKUP(B1994,'NIVEL ENERO'!A:F,4,0)</f>
        <v>#N/A</v>
      </c>
      <c r="H1994" s="247"/>
      <c r="I1994" s="247"/>
      <c r="J1994" s="246"/>
      <c r="K1994" s="246"/>
      <c r="L1994" s="226"/>
      <c r="M1994" s="226"/>
      <c r="N1994" s="246"/>
      <c r="P1994" s="228"/>
      <c r="Q1994" s="245"/>
      <c r="R1994" s="186" t="str">
        <f aca="false">+PROPER(C1994&amp;" "&amp;D1994)</f>
        <v> </v>
      </c>
      <c r="S1994" s="230" t="n">
        <f aca="false">+YEARFRAC(L1994,$S$1)</f>
        <v>126.366666666667</v>
      </c>
      <c r="T1994" s="230" t="n">
        <f aca="false">+YEARFRAC(M1994,$S$1)</f>
        <v>126.366666666667</v>
      </c>
      <c r="U1994" s="231" t="n">
        <f aca="false">+$I1994</f>
        <v>0</v>
      </c>
      <c r="V1994" s="232" t="str">
        <f aca="false">+PROPER(F1994)</f>
        <v/>
      </c>
    </row>
    <row r="1995" customFormat="false" ht="14.25" hidden="false" customHeight="false" outlineLevel="0" collapsed="false">
      <c r="B1995" s="244"/>
      <c r="C1995" s="245"/>
      <c r="D1995" s="245"/>
      <c r="E1995" s="246"/>
      <c r="F1995" s="246"/>
      <c r="G1995" s="225" t="e">
        <f aca="false">VLOOKUP(B1995,'NIVEL ENERO'!A:F,4,0)</f>
        <v>#N/A</v>
      </c>
      <c r="H1995" s="247"/>
      <c r="I1995" s="247"/>
      <c r="J1995" s="246"/>
      <c r="K1995" s="246"/>
      <c r="L1995" s="226"/>
      <c r="M1995" s="226"/>
      <c r="N1995" s="246"/>
      <c r="P1995" s="228"/>
      <c r="Q1995" s="245"/>
      <c r="R1995" s="186" t="str">
        <f aca="false">+PROPER(C1995&amp;" "&amp;D1995)</f>
        <v> </v>
      </c>
      <c r="S1995" s="230" t="n">
        <f aca="false">+YEARFRAC(L1995,$S$1)</f>
        <v>126.366666666667</v>
      </c>
      <c r="T1995" s="230" t="n">
        <f aca="false">+YEARFRAC(M1995,$S$1)</f>
        <v>126.366666666667</v>
      </c>
      <c r="U1995" s="231" t="n">
        <f aca="false">+$I1995</f>
        <v>0</v>
      </c>
      <c r="V1995" s="232" t="str">
        <f aca="false">+PROPER(F1995)</f>
        <v/>
      </c>
    </row>
    <row r="1996" customFormat="false" ht="14.25" hidden="false" customHeight="false" outlineLevel="0" collapsed="false">
      <c r="B1996" s="244"/>
      <c r="C1996" s="245"/>
      <c r="D1996" s="245"/>
      <c r="E1996" s="246"/>
      <c r="F1996" s="246"/>
      <c r="G1996" s="225" t="e">
        <f aca="false">VLOOKUP(B1996,'NIVEL ENERO'!A:F,4,0)</f>
        <v>#N/A</v>
      </c>
      <c r="H1996" s="247"/>
      <c r="I1996" s="247"/>
      <c r="J1996" s="246"/>
      <c r="K1996" s="246"/>
      <c r="L1996" s="226"/>
      <c r="M1996" s="226"/>
      <c r="N1996" s="246"/>
      <c r="P1996" s="228"/>
      <c r="Q1996" s="245"/>
      <c r="R1996" s="186" t="str">
        <f aca="false">+PROPER(C1996&amp;" "&amp;D1996)</f>
        <v> </v>
      </c>
      <c r="S1996" s="230" t="n">
        <f aca="false">+YEARFRAC(L1996,$S$1)</f>
        <v>126.366666666667</v>
      </c>
      <c r="T1996" s="230" t="n">
        <f aca="false">+YEARFRAC(M1996,$S$1)</f>
        <v>126.366666666667</v>
      </c>
      <c r="U1996" s="231" t="n">
        <f aca="false">+$I1996</f>
        <v>0</v>
      </c>
      <c r="V1996" s="232" t="str">
        <f aca="false">+PROPER(F1996)</f>
        <v/>
      </c>
    </row>
    <row r="1997" customFormat="false" ht="14.25" hidden="false" customHeight="false" outlineLevel="0" collapsed="false">
      <c r="B1997" s="244"/>
      <c r="C1997" s="245"/>
      <c r="D1997" s="245"/>
      <c r="E1997" s="246"/>
      <c r="F1997" s="246"/>
      <c r="G1997" s="225" t="e">
        <f aca="false">VLOOKUP(B1997,'NIVEL ENERO'!A:F,4,0)</f>
        <v>#N/A</v>
      </c>
      <c r="H1997" s="247"/>
      <c r="I1997" s="247"/>
      <c r="J1997" s="246"/>
      <c r="K1997" s="246"/>
      <c r="L1997" s="226"/>
      <c r="M1997" s="226"/>
      <c r="N1997" s="246"/>
      <c r="P1997" s="228"/>
      <c r="Q1997" s="245"/>
      <c r="R1997" s="186" t="str">
        <f aca="false">+PROPER(C1997&amp;" "&amp;D1997)</f>
        <v> </v>
      </c>
      <c r="S1997" s="230" t="n">
        <f aca="false">+YEARFRAC(L1997,$S$1)</f>
        <v>126.366666666667</v>
      </c>
      <c r="T1997" s="230" t="n">
        <f aca="false">+YEARFRAC(M1997,$S$1)</f>
        <v>126.366666666667</v>
      </c>
      <c r="U1997" s="231" t="n">
        <f aca="false">+$I1997</f>
        <v>0</v>
      </c>
      <c r="V1997" s="232" t="str">
        <f aca="false">+PROPER(F1997)</f>
        <v/>
      </c>
    </row>
    <row r="1998" customFormat="false" ht="14.25" hidden="false" customHeight="false" outlineLevel="0" collapsed="false">
      <c r="B1998" s="244"/>
      <c r="C1998" s="245"/>
      <c r="D1998" s="245"/>
      <c r="E1998" s="246"/>
      <c r="F1998" s="246"/>
      <c r="G1998" s="225" t="e">
        <f aca="false">VLOOKUP(B1998,'NIVEL ENERO'!A:F,4,0)</f>
        <v>#N/A</v>
      </c>
      <c r="H1998" s="247"/>
      <c r="I1998" s="247"/>
      <c r="J1998" s="246"/>
      <c r="K1998" s="246"/>
      <c r="L1998" s="226"/>
      <c r="M1998" s="226"/>
      <c r="N1998" s="246"/>
      <c r="P1998" s="228"/>
      <c r="Q1998" s="245"/>
      <c r="R1998" s="186" t="str">
        <f aca="false">+PROPER(C1998&amp;" "&amp;D1998)</f>
        <v> </v>
      </c>
      <c r="S1998" s="230" t="n">
        <f aca="false">+YEARFRAC(L1998,$S$1)</f>
        <v>126.366666666667</v>
      </c>
      <c r="T1998" s="230" t="n">
        <f aca="false">+YEARFRAC(M1998,$S$1)</f>
        <v>126.366666666667</v>
      </c>
      <c r="U1998" s="231" t="n">
        <f aca="false">+$I1998</f>
        <v>0</v>
      </c>
      <c r="V1998" s="232" t="str">
        <f aca="false">+PROPER(F1998)</f>
        <v/>
      </c>
    </row>
    <row r="1999" customFormat="false" ht="14.25" hidden="false" customHeight="false" outlineLevel="0" collapsed="false">
      <c r="B1999" s="244"/>
      <c r="C1999" s="245"/>
      <c r="D1999" s="245"/>
      <c r="E1999" s="246"/>
      <c r="F1999" s="246"/>
      <c r="G1999" s="225" t="e">
        <f aca="false">VLOOKUP(B1999,'NIVEL ENERO'!A:F,4,0)</f>
        <v>#N/A</v>
      </c>
      <c r="H1999" s="247"/>
      <c r="I1999" s="247"/>
      <c r="J1999" s="246"/>
      <c r="K1999" s="246"/>
      <c r="L1999" s="226"/>
      <c r="M1999" s="226"/>
      <c r="N1999" s="246"/>
      <c r="P1999" s="228"/>
      <c r="Q1999" s="245"/>
      <c r="R1999" s="186" t="str">
        <f aca="false">+PROPER(C1999&amp;" "&amp;D1999)</f>
        <v> </v>
      </c>
      <c r="S1999" s="230" t="n">
        <f aca="false">+YEARFRAC(L1999,$S$1)</f>
        <v>126.366666666667</v>
      </c>
      <c r="T1999" s="230" t="n">
        <f aca="false">+YEARFRAC(M1999,$S$1)</f>
        <v>126.366666666667</v>
      </c>
      <c r="U1999" s="231" t="n">
        <f aca="false">+$I1999</f>
        <v>0</v>
      </c>
      <c r="V1999" s="232" t="str">
        <f aca="false">+PROPER(F1999)</f>
        <v/>
      </c>
    </row>
    <row r="2000" customFormat="false" ht="14.25" hidden="false" customHeight="false" outlineLevel="0" collapsed="false">
      <c r="B2000" s="244"/>
      <c r="C2000" s="245"/>
      <c r="D2000" s="245"/>
      <c r="E2000" s="246"/>
      <c r="F2000" s="246"/>
      <c r="G2000" s="225" t="e">
        <f aca="false">VLOOKUP(B2000,'NIVEL ENERO'!A:F,4,0)</f>
        <v>#N/A</v>
      </c>
      <c r="H2000" s="247"/>
      <c r="I2000" s="247"/>
      <c r="J2000" s="246"/>
      <c r="K2000" s="246"/>
      <c r="L2000" s="226"/>
      <c r="M2000" s="226"/>
      <c r="N2000" s="246"/>
      <c r="P2000" s="228"/>
      <c r="Q2000" s="245"/>
      <c r="R2000" s="186" t="str">
        <f aca="false">+PROPER(C2000&amp;" "&amp;D2000)</f>
        <v> </v>
      </c>
      <c r="S2000" s="230" t="n">
        <f aca="false">+YEARFRAC(L2000,$S$1)</f>
        <v>126.366666666667</v>
      </c>
      <c r="T2000" s="230" t="n">
        <f aca="false">+YEARFRAC(M2000,$S$1)</f>
        <v>126.366666666667</v>
      </c>
      <c r="U2000" s="231" t="n">
        <f aca="false">+$I2000</f>
        <v>0</v>
      </c>
      <c r="V2000" s="232" t="str">
        <f aca="false">+PROPER(F2000)</f>
        <v/>
      </c>
    </row>
    <row r="2001" customFormat="false" ht="14.25" hidden="false" customHeight="false" outlineLevel="0" collapsed="false">
      <c r="B2001" s="244"/>
      <c r="C2001" s="245"/>
      <c r="D2001" s="245"/>
      <c r="E2001" s="246"/>
      <c r="F2001" s="246"/>
      <c r="G2001" s="225" t="e">
        <f aca="false">VLOOKUP(B2001,'NIVEL ENERO'!A:F,4,0)</f>
        <v>#N/A</v>
      </c>
      <c r="H2001" s="247"/>
      <c r="I2001" s="247"/>
      <c r="J2001" s="246"/>
      <c r="K2001" s="246"/>
      <c r="L2001" s="226"/>
      <c r="M2001" s="226"/>
      <c r="N2001" s="246"/>
      <c r="P2001" s="228"/>
      <c r="Q2001" s="245"/>
      <c r="R2001" s="186" t="str">
        <f aca="false">+PROPER(C2001&amp;" "&amp;D2001)</f>
        <v> </v>
      </c>
      <c r="S2001" s="230" t="n">
        <f aca="false">+YEARFRAC(L2001,$S$1)</f>
        <v>126.366666666667</v>
      </c>
      <c r="T2001" s="230" t="n">
        <f aca="false">+YEARFRAC(M2001,$S$1)</f>
        <v>126.366666666667</v>
      </c>
      <c r="U2001" s="231" t="n">
        <f aca="false">+$I2001</f>
        <v>0</v>
      </c>
      <c r="V2001" s="232" t="str">
        <f aca="false">+PROPER(F2001)</f>
        <v/>
      </c>
    </row>
    <row r="2002" customFormat="false" ht="14.25" hidden="false" customHeight="false" outlineLevel="0" collapsed="false">
      <c r="B2002" s="244"/>
      <c r="C2002" s="245"/>
      <c r="D2002" s="245"/>
      <c r="E2002" s="246"/>
      <c r="F2002" s="246"/>
      <c r="G2002" s="225" t="e">
        <f aca="false">VLOOKUP(B2002,'NIVEL ENERO'!A:F,4,0)</f>
        <v>#N/A</v>
      </c>
      <c r="H2002" s="247"/>
      <c r="I2002" s="247"/>
      <c r="J2002" s="246"/>
      <c r="K2002" s="246"/>
      <c r="L2002" s="226"/>
      <c r="M2002" s="226"/>
      <c r="N2002" s="246"/>
      <c r="P2002" s="228"/>
      <c r="Q2002" s="245"/>
      <c r="R2002" s="186" t="str">
        <f aca="false">+PROPER(C2002&amp;" "&amp;D2002)</f>
        <v> </v>
      </c>
      <c r="S2002" s="230" t="n">
        <f aca="false">+YEARFRAC(L2002,$S$1)</f>
        <v>126.366666666667</v>
      </c>
      <c r="T2002" s="230" t="n">
        <f aca="false">+YEARFRAC(M2002,$S$1)</f>
        <v>126.366666666667</v>
      </c>
      <c r="U2002" s="231" t="n">
        <f aca="false">+$I2002</f>
        <v>0</v>
      </c>
      <c r="V2002" s="232" t="str">
        <f aca="false">+PROPER(F2002)</f>
        <v/>
      </c>
    </row>
    <row r="2003" customFormat="false" ht="14.25" hidden="false" customHeight="false" outlineLevel="0" collapsed="false">
      <c r="B2003" s="244"/>
      <c r="C2003" s="245"/>
      <c r="D2003" s="245"/>
      <c r="E2003" s="246"/>
      <c r="F2003" s="246"/>
      <c r="G2003" s="225" t="e">
        <f aca="false">VLOOKUP(B2003,'NIVEL ENERO'!A:F,4,0)</f>
        <v>#N/A</v>
      </c>
      <c r="H2003" s="247"/>
      <c r="I2003" s="247"/>
      <c r="J2003" s="246"/>
      <c r="K2003" s="246"/>
      <c r="L2003" s="226"/>
      <c r="M2003" s="226"/>
      <c r="N2003" s="246"/>
      <c r="P2003" s="228"/>
      <c r="Q2003" s="245"/>
      <c r="R2003" s="186" t="str">
        <f aca="false">+PROPER(C2003&amp;" "&amp;D2003)</f>
        <v> </v>
      </c>
      <c r="S2003" s="230" t="n">
        <f aca="false">+YEARFRAC(L2003,$S$1)</f>
        <v>126.366666666667</v>
      </c>
      <c r="T2003" s="230" t="n">
        <f aca="false">+YEARFRAC(M2003,$S$1)</f>
        <v>126.366666666667</v>
      </c>
      <c r="U2003" s="231" t="n">
        <f aca="false">+$I2003</f>
        <v>0</v>
      </c>
      <c r="V2003" s="232" t="str">
        <f aca="false">+PROPER(F2003)</f>
        <v/>
      </c>
    </row>
    <row r="2004" customFormat="false" ht="14.25" hidden="false" customHeight="false" outlineLevel="0" collapsed="false">
      <c r="B2004" s="244"/>
      <c r="C2004" s="245"/>
      <c r="D2004" s="245"/>
      <c r="E2004" s="246"/>
      <c r="F2004" s="246"/>
      <c r="G2004" s="225" t="e">
        <f aca="false">VLOOKUP(B2004,'NIVEL ENERO'!A:F,4,0)</f>
        <v>#N/A</v>
      </c>
      <c r="H2004" s="247"/>
      <c r="I2004" s="247"/>
      <c r="J2004" s="246"/>
      <c r="K2004" s="246"/>
      <c r="L2004" s="226"/>
      <c r="M2004" s="226"/>
      <c r="N2004" s="246"/>
      <c r="P2004" s="228"/>
      <c r="Q2004" s="245"/>
      <c r="R2004" s="186" t="str">
        <f aca="false">+PROPER(C2004&amp;" "&amp;D2004)</f>
        <v> </v>
      </c>
      <c r="S2004" s="230" t="n">
        <f aca="false">+YEARFRAC(L2004,$S$1)</f>
        <v>126.366666666667</v>
      </c>
      <c r="T2004" s="230" t="n">
        <f aca="false">+YEARFRAC(M2004,$S$1)</f>
        <v>126.366666666667</v>
      </c>
      <c r="U2004" s="231" t="n">
        <f aca="false">+$I2004</f>
        <v>0</v>
      </c>
      <c r="V2004" s="232" t="str">
        <f aca="false">+PROPER(F2004)</f>
        <v/>
      </c>
    </row>
    <row r="2005" customFormat="false" ht="14.25" hidden="false" customHeight="false" outlineLevel="0" collapsed="false">
      <c r="B2005" s="244"/>
      <c r="C2005" s="245"/>
      <c r="D2005" s="245"/>
      <c r="E2005" s="246"/>
      <c r="F2005" s="246"/>
      <c r="G2005" s="225" t="e">
        <f aca="false">VLOOKUP(B2005,'NIVEL ENERO'!A:F,4,0)</f>
        <v>#N/A</v>
      </c>
      <c r="H2005" s="247"/>
      <c r="I2005" s="247"/>
      <c r="J2005" s="246"/>
      <c r="K2005" s="246"/>
      <c r="L2005" s="226"/>
      <c r="M2005" s="226"/>
      <c r="N2005" s="246"/>
      <c r="P2005" s="228"/>
      <c r="Q2005" s="245"/>
      <c r="R2005" s="186" t="str">
        <f aca="false">+PROPER(C2005&amp;" "&amp;D2005)</f>
        <v> </v>
      </c>
      <c r="S2005" s="230" t="n">
        <f aca="false">+YEARFRAC(L2005,$S$1)</f>
        <v>126.366666666667</v>
      </c>
      <c r="T2005" s="230" t="n">
        <f aca="false">+YEARFRAC(M2005,$S$1)</f>
        <v>126.366666666667</v>
      </c>
      <c r="U2005" s="231" t="n">
        <f aca="false">+$I2005</f>
        <v>0</v>
      </c>
      <c r="V2005" s="232" t="str">
        <f aca="false">+PROPER(F2005)</f>
        <v/>
      </c>
    </row>
    <row r="2006" customFormat="false" ht="14.25" hidden="false" customHeight="false" outlineLevel="0" collapsed="false">
      <c r="B2006" s="244"/>
      <c r="C2006" s="245"/>
      <c r="D2006" s="245"/>
      <c r="E2006" s="246"/>
      <c r="F2006" s="246"/>
      <c r="G2006" s="225" t="e">
        <f aca="false">VLOOKUP(B2006,'NIVEL ENERO'!A:F,4,0)</f>
        <v>#N/A</v>
      </c>
      <c r="H2006" s="247"/>
      <c r="I2006" s="247"/>
      <c r="J2006" s="246"/>
      <c r="K2006" s="246"/>
      <c r="L2006" s="226"/>
      <c r="M2006" s="226"/>
      <c r="N2006" s="246"/>
      <c r="P2006" s="228"/>
      <c r="Q2006" s="245"/>
      <c r="R2006" s="186" t="str">
        <f aca="false">+PROPER(C2006&amp;" "&amp;D2006)</f>
        <v> </v>
      </c>
      <c r="S2006" s="230" t="n">
        <f aca="false">+YEARFRAC(L2006,$S$1)</f>
        <v>126.366666666667</v>
      </c>
      <c r="T2006" s="230" t="n">
        <f aca="false">+YEARFRAC(M2006,$S$1)</f>
        <v>126.366666666667</v>
      </c>
      <c r="U2006" s="231" t="n">
        <f aca="false">+$I2006</f>
        <v>0</v>
      </c>
      <c r="V2006" s="232" t="str">
        <f aca="false">+PROPER(F2006)</f>
        <v/>
      </c>
    </row>
    <row r="2007" customFormat="false" ht="14.25" hidden="false" customHeight="false" outlineLevel="0" collapsed="false">
      <c r="B2007" s="244"/>
      <c r="C2007" s="245"/>
      <c r="D2007" s="245"/>
      <c r="E2007" s="246"/>
      <c r="F2007" s="246"/>
      <c r="G2007" s="225" t="e">
        <f aca="false">VLOOKUP(B2007,'NIVEL ENERO'!A:F,4,0)</f>
        <v>#N/A</v>
      </c>
      <c r="H2007" s="247"/>
      <c r="I2007" s="247"/>
      <c r="J2007" s="246"/>
      <c r="K2007" s="246"/>
      <c r="L2007" s="226"/>
      <c r="M2007" s="226"/>
      <c r="N2007" s="246"/>
      <c r="P2007" s="228"/>
      <c r="Q2007" s="245"/>
      <c r="R2007" s="186" t="str">
        <f aca="false">+PROPER(C2007&amp;" "&amp;D2007)</f>
        <v> </v>
      </c>
      <c r="S2007" s="230" t="n">
        <f aca="false">+YEARFRAC(L2007,$S$1)</f>
        <v>126.366666666667</v>
      </c>
      <c r="T2007" s="230" t="n">
        <f aca="false">+YEARFRAC(M2007,$S$1)</f>
        <v>126.366666666667</v>
      </c>
      <c r="U2007" s="231" t="n">
        <f aca="false">+$I2007</f>
        <v>0</v>
      </c>
      <c r="V2007" s="232" t="str">
        <f aca="false">+PROPER(F2007)</f>
        <v/>
      </c>
    </row>
    <row r="2008" customFormat="false" ht="14.25" hidden="false" customHeight="false" outlineLevel="0" collapsed="false">
      <c r="B2008" s="244"/>
      <c r="C2008" s="245"/>
      <c r="D2008" s="245"/>
      <c r="E2008" s="246"/>
      <c r="F2008" s="246"/>
      <c r="G2008" s="225" t="e">
        <f aca="false">VLOOKUP(B2008,'NIVEL ENERO'!A:F,4,0)</f>
        <v>#N/A</v>
      </c>
      <c r="H2008" s="247"/>
      <c r="I2008" s="247"/>
      <c r="J2008" s="246"/>
      <c r="K2008" s="246"/>
      <c r="L2008" s="226"/>
      <c r="M2008" s="226"/>
      <c r="N2008" s="246"/>
      <c r="P2008" s="228"/>
      <c r="Q2008" s="245"/>
      <c r="R2008" s="186" t="str">
        <f aca="false">+PROPER(C2008&amp;" "&amp;D2008)</f>
        <v> </v>
      </c>
      <c r="S2008" s="230" t="n">
        <f aca="false">+YEARFRAC(L2008,$S$1)</f>
        <v>126.366666666667</v>
      </c>
      <c r="T2008" s="230" t="n">
        <f aca="false">+YEARFRAC(M2008,$S$1)</f>
        <v>126.366666666667</v>
      </c>
      <c r="U2008" s="231" t="n">
        <f aca="false">+$I2008</f>
        <v>0</v>
      </c>
      <c r="V2008" s="232" t="str">
        <f aca="false">+PROPER(F2008)</f>
        <v/>
      </c>
    </row>
    <row r="2009" customFormat="false" ht="14.25" hidden="false" customHeight="false" outlineLevel="0" collapsed="false">
      <c r="B2009" s="244"/>
      <c r="C2009" s="245"/>
      <c r="D2009" s="245"/>
      <c r="E2009" s="246"/>
      <c r="F2009" s="246"/>
      <c r="G2009" s="225" t="e">
        <f aca="false">VLOOKUP(B2009,'NIVEL ENERO'!A:F,4,0)</f>
        <v>#N/A</v>
      </c>
      <c r="H2009" s="247"/>
      <c r="I2009" s="247"/>
      <c r="J2009" s="246"/>
      <c r="K2009" s="246"/>
      <c r="L2009" s="226"/>
      <c r="M2009" s="226"/>
      <c r="N2009" s="246"/>
      <c r="P2009" s="228"/>
      <c r="Q2009" s="245"/>
      <c r="R2009" s="186" t="str">
        <f aca="false">+PROPER(C2009&amp;" "&amp;D2009)</f>
        <v> </v>
      </c>
      <c r="S2009" s="230" t="n">
        <f aca="false">+YEARFRAC(L2009,$S$1)</f>
        <v>126.366666666667</v>
      </c>
      <c r="T2009" s="230" t="n">
        <f aca="false">+YEARFRAC(M2009,$S$1)</f>
        <v>126.366666666667</v>
      </c>
      <c r="U2009" s="231" t="n">
        <f aca="false">+$I2009</f>
        <v>0</v>
      </c>
      <c r="V2009" s="232" t="str">
        <f aca="false">+PROPER(F2009)</f>
        <v/>
      </c>
    </row>
    <row r="2010" customFormat="false" ht="14.25" hidden="false" customHeight="false" outlineLevel="0" collapsed="false">
      <c r="B2010" s="244"/>
      <c r="C2010" s="245"/>
      <c r="D2010" s="245"/>
      <c r="E2010" s="246"/>
      <c r="F2010" s="246"/>
      <c r="G2010" s="225" t="e">
        <f aca="false">VLOOKUP(B2010,'NIVEL ENERO'!A:F,4,0)</f>
        <v>#N/A</v>
      </c>
      <c r="H2010" s="247"/>
      <c r="I2010" s="247"/>
      <c r="J2010" s="246"/>
      <c r="K2010" s="246"/>
      <c r="L2010" s="226"/>
      <c r="M2010" s="226"/>
      <c r="N2010" s="246"/>
      <c r="P2010" s="228"/>
      <c r="Q2010" s="245"/>
      <c r="R2010" s="186" t="str">
        <f aca="false">+PROPER(C2010&amp;" "&amp;D2010)</f>
        <v> </v>
      </c>
      <c r="S2010" s="230" t="n">
        <f aca="false">+YEARFRAC(L2010,$S$1)</f>
        <v>126.366666666667</v>
      </c>
      <c r="T2010" s="230" t="n">
        <f aca="false">+YEARFRAC(M2010,$S$1)</f>
        <v>126.366666666667</v>
      </c>
      <c r="U2010" s="231" t="n">
        <f aca="false">+$I2010</f>
        <v>0</v>
      </c>
      <c r="V2010" s="232" t="str">
        <f aca="false">+PROPER(F2010)</f>
        <v/>
      </c>
    </row>
    <row r="2011" customFormat="false" ht="14.25" hidden="false" customHeight="false" outlineLevel="0" collapsed="false">
      <c r="B2011" s="244"/>
      <c r="C2011" s="245"/>
      <c r="D2011" s="245"/>
      <c r="E2011" s="246"/>
      <c r="F2011" s="246"/>
      <c r="G2011" s="225" t="e">
        <f aca="false">VLOOKUP(B2011,'NIVEL ENERO'!A:F,4,0)</f>
        <v>#N/A</v>
      </c>
      <c r="H2011" s="247"/>
      <c r="I2011" s="247"/>
      <c r="J2011" s="246"/>
      <c r="K2011" s="246"/>
      <c r="L2011" s="226"/>
      <c r="M2011" s="226"/>
      <c r="N2011" s="246"/>
      <c r="P2011" s="228"/>
      <c r="Q2011" s="245"/>
      <c r="R2011" s="186" t="str">
        <f aca="false">+PROPER(C2011&amp;" "&amp;D2011)</f>
        <v> </v>
      </c>
      <c r="S2011" s="230" t="n">
        <f aca="false">+YEARFRAC(L2011,$S$1)</f>
        <v>126.366666666667</v>
      </c>
      <c r="T2011" s="230" t="n">
        <f aca="false">+YEARFRAC(M2011,$S$1)</f>
        <v>126.366666666667</v>
      </c>
      <c r="U2011" s="231" t="n">
        <f aca="false">+$I2011</f>
        <v>0</v>
      </c>
      <c r="V2011" s="232" t="str">
        <f aca="false">+PROPER(F2011)</f>
        <v/>
      </c>
    </row>
    <row r="2012" customFormat="false" ht="14.25" hidden="false" customHeight="false" outlineLevel="0" collapsed="false">
      <c r="B2012" s="244"/>
      <c r="C2012" s="245"/>
      <c r="D2012" s="245"/>
      <c r="E2012" s="246"/>
      <c r="F2012" s="246"/>
      <c r="G2012" s="225" t="e">
        <f aca="false">VLOOKUP(B2012,'NIVEL ENERO'!A:F,4,0)</f>
        <v>#N/A</v>
      </c>
      <c r="H2012" s="247"/>
      <c r="I2012" s="247"/>
      <c r="J2012" s="246"/>
      <c r="K2012" s="246"/>
      <c r="L2012" s="226"/>
      <c r="M2012" s="226"/>
      <c r="N2012" s="246"/>
      <c r="P2012" s="228"/>
      <c r="Q2012" s="245"/>
      <c r="R2012" s="186" t="str">
        <f aca="false">+PROPER(C2012&amp;" "&amp;D2012)</f>
        <v> </v>
      </c>
      <c r="S2012" s="230" t="n">
        <f aca="false">+YEARFRAC(L2012,$S$1)</f>
        <v>126.366666666667</v>
      </c>
      <c r="T2012" s="230" t="n">
        <f aca="false">+YEARFRAC(M2012,$S$1)</f>
        <v>126.366666666667</v>
      </c>
      <c r="U2012" s="231" t="n">
        <f aca="false">+$I2012</f>
        <v>0</v>
      </c>
      <c r="V2012" s="232" t="str">
        <f aca="false">+PROPER(F2012)</f>
        <v/>
      </c>
    </row>
    <row r="2013" customFormat="false" ht="14.25" hidden="false" customHeight="false" outlineLevel="0" collapsed="false">
      <c r="B2013" s="244"/>
      <c r="C2013" s="245"/>
      <c r="D2013" s="245"/>
      <c r="E2013" s="246"/>
      <c r="F2013" s="246"/>
      <c r="G2013" s="225" t="e">
        <f aca="false">VLOOKUP(B2013,'NIVEL ENERO'!A:F,4,0)</f>
        <v>#N/A</v>
      </c>
      <c r="H2013" s="247"/>
      <c r="I2013" s="247"/>
      <c r="J2013" s="246"/>
      <c r="K2013" s="246"/>
      <c r="L2013" s="226"/>
      <c r="M2013" s="226"/>
      <c r="N2013" s="246"/>
      <c r="P2013" s="228"/>
      <c r="Q2013" s="245"/>
      <c r="R2013" s="186" t="str">
        <f aca="false">+PROPER(C2013&amp;" "&amp;D2013)</f>
        <v> </v>
      </c>
      <c r="S2013" s="230" t="n">
        <f aca="false">+YEARFRAC(L2013,$S$1)</f>
        <v>126.366666666667</v>
      </c>
      <c r="T2013" s="230" t="n">
        <f aca="false">+YEARFRAC(M2013,$S$1)</f>
        <v>126.366666666667</v>
      </c>
      <c r="U2013" s="231" t="n">
        <f aca="false">+$I2013</f>
        <v>0</v>
      </c>
      <c r="V2013" s="232" t="str">
        <f aca="false">+PROPER(F2013)</f>
        <v/>
      </c>
    </row>
    <row r="2014" customFormat="false" ht="14.25" hidden="false" customHeight="false" outlineLevel="0" collapsed="false">
      <c r="B2014" s="244"/>
      <c r="C2014" s="245"/>
      <c r="D2014" s="245"/>
      <c r="E2014" s="246"/>
      <c r="F2014" s="246"/>
      <c r="G2014" s="225" t="e">
        <f aca="false">VLOOKUP(B2014,'NIVEL ENERO'!A:F,4,0)</f>
        <v>#N/A</v>
      </c>
      <c r="H2014" s="247"/>
      <c r="I2014" s="247"/>
      <c r="J2014" s="246"/>
      <c r="K2014" s="246"/>
      <c r="L2014" s="226"/>
      <c r="M2014" s="226"/>
      <c r="N2014" s="246"/>
      <c r="P2014" s="228"/>
      <c r="Q2014" s="245"/>
      <c r="R2014" s="186" t="str">
        <f aca="false">+PROPER(C2014&amp;" "&amp;D2014)</f>
        <v> </v>
      </c>
      <c r="S2014" s="230" t="n">
        <f aca="false">+YEARFRAC(L2014,$S$1)</f>
        <v>126.366666666667</v>
      </c>
      <c r="T2014" s="230" t="n">
        <f aca="false">+YEARFRAC(M2014,$S$1)</f>
        <v>126.366666666667</v>
      </c>
      <c r="U2014" s="231" t="n">
        <f aca="false">+$I2014</f>
        <v>0</v>
      </c>
      <c r="V2014" s="232" t="str">
        <f aca="false">+PROPER(F2014)</f>
        <v/>
      </c>
    </row>
    <row r="2015" customFormat="false" ht="14.25" hidden="false" customHeight="false" outlineLevel="0" collapsed="false">
      <c r="B2015" s="244"/>
      <c r="C2015" s="245"/>
      <c r="D2015" s="245"/>
      <c r="E2015" s="246"/>
      <c r="F2015" s="246"/>
      <c r="G2015" s="225" t="e">
        <f aca="false">VLOOKUP(B2015,'NIVEL ENERO'!A:F,4,0)</f>
        <v>#N/A</v>
      </c>
      <c r="H2015" s="247"/>
      <c r="I2015" s="247"/>
      <c r="J2015" s="246"/>
      <c r="K2015" s="246"/>
      <c r="L2015" s="226"/>
      <c r="M2015" s="226"/>
      <c r="N2015" s="246"/>
      <c r="P2015" s="228"/>
      <c r="Q2015" s="245"/>
      <c r="R2015" s="186" t="str">
        <f aca="false">+PROPER(C2015&amp;" "&amp;D2015)</f>
        <v> </v>
      </c>
      <c r="S2015" s="230" t="n">
        <f aca="false">+YEARFRAC(L2015,$S$1)</f>
        <v>126.366666666667</v>
      </c>
      <c r="T2015" s="230" t="n">
        <f aca="false">+YEARFRAC(M2015,$S$1)</f>
        <v>126.366666666667</v>
      </c>
      <c r="U2015" s="231" t="n">
        <f aca="false">+$I2015</f>
        <v>0</v>
      </c>
      <c r="V2015" s="232" t="str">
        <f aca="false">+PROPER(F2015)</f>
        <v/>
      </c>
    </row>
    <row r="2016" customFormat="false" ht="14.25" hidden="false" customHeight="false" outlineLevel="0" collapsed="false">
      <c r="B2016" s="244"/>
      <c r="C2016" s="245"/>
      <c r="D2016" s="245"/>
      <c r="E2016" s="246"/>
      <c r="F2016" s="246"/>
      <c r="G2016" s="225" t="e">
        <f aca="false">VLOOKUP(B2016,'NIVEL ENERO'!A:F,4,0)</f>
        <v>#N/A</v>
      </c>
      <c r="H2016" s="247"/>
      <c r="I2016" s="247"/>
      <c r="J2016" s="246"/>
      <c r="K2016" s="246"/>
      <c r="L2016" s="226"/>
      <c r="M2016" s="226"/>
      <c r="N2016" s="246"/>
      <c r="P2016" s="228"/>
      <c r="Q2016" s="245"/>
      <c r="R2016" s="186" t="str">
        <f aca="false">+PROPER(C2016&amp;" "&amp;D2016)</f>
        <v> </v>
      </c>
      <c r="S2016" s="230" t="n">
        <f aca="false">+YEARFRAC(L2016,$S$1)</f>
        <v>126.366666666667</v>
      </c>
      <c r="T2016" s="230" t="n">
        <f aca="false">+YEARFRAC(M2016,$S$1)</f>
        <v>126.366666666667</v>
      </c>
      <c r="U2016" s="231" t="n">
        <f aca="false">+$I2016</f>
        <v>0</v>
      </c>
      <c r="V2016" s="232" t="str">
        <f aca="false">+PROPER(F2016)</f>
        <v/>
      </c>
    </row>
    <row r="2017" customFormat="false" ht="14.25" hidden="false" customHeight="false" outlineLevel="0" collapsed="false">
      <c r="B2017" s="244"/>
      <c r="C2017" s="245"/>
      <c r="D2017" s="245"/>
      <c r="E2017" s="246"/>
      <c r="F2017" s="246"/>
      <c r="G2017" s="225" t="e">
        <f aca="false">VLOOKUP(B2017,'NIVEL ENERO'!A:F,4,0)</f>
        <v>#N/A</v>
      </c>
      <c r="H2017" s="247"/>
      <c r="I2017" s="247"/>
      <c r="J2017" s="246"/>
      <c r="K2017" s="246"/>
      <c r="L2017" s="226"/>
      <c r="M2017" s="226"/>
      <c r="N2017" s="246"/>
      <c r="P2017" s="228"/>
      <c r="Q2017" s="245"/>
      <c r="R2017" s="186" t="str">
        <f aca="false">+PROPER(C2017&amp;" "&amp;D2017)</f>
        <v> </v>
      </c>
      <c r="S2017" s="230" t="n">
        <f aca="false">+YEARFRAC(L2017,$S$1)</f>
        <v>126.366666666667</v>
      </c>
      <c r="T2017" s="230" t="n">
        <f aca="false">+YEARFRAC(M2017,$S$1)</f>
        <v>126.366666666667</v>
      </c>
      <c r="U2017" s="231" t="n">
        <f aca="false">+$I2017</f>
        <v>0</v>
      </c>
      <c r="V2017" s="232" t="str">
        <f aca="false">+PROPER(F2017)</f>
        <v/>
      </c>
    </row>
    <row r="2018" customFormat="false" ht="14.25" hidden="false" customHeight="false" outlineLevel="0" collapsed="false">
      <c r="B2018" s="244"/>
      <c r="C2018" s="245"/>
      <c r="D2018" s="245"/>
      <c r="E2018" s="246"/>
      <c r="F2018" s="246"/>
      <c r="G2018" s="225" t="e">
        <f aca="false">VLOOKUP(B2018,'NIVEL ENERO'!A:F,4,0)</f>
        <v>#N/A</v>
      </c>
      <c r="H2018" s="247"/>
      <c r="I2018" s="247"/>
      <c r="J2018" s="246"/>
      <c r="K2018" s="246"/>
      <c r="L2018" s="226"/>
      <c r="M2018" s="226"/>
      <c r="N2018" s="246"/>
      <c r="P2018" s="228"/>
      <c r="Q2018" s="245"/>
      <c r="R2018" s="186" t="str">
        <f aca="false">+PROPER(C2018&amp;" "&amp;D2018)</f>
        <v> </v>
      </c>
      <c r="S2018" s="230" t="n">
        <f aca="false">+YEARFRAC(L2018,$S$1)</f>
        <v>126.366666666667</v>
      </c>
      <c r="T2018" s="230" t="n">
        <f aca="false">+YEARFRAC(M2018,$S$1)</f>
        <v>126.366666666667</v>
      </c>
      <c r="U2018" s="231" t="n">
        <f aca="false">+$I2018</f>
        <v>0</v>
      </c>
      <c r="V2018" s="232" t="str">
        <f aca="false">+PROPER(F2018)</f>
        <v/>
      </c>
    </row>
    <row r="2019" customFormat="false" ht="14.25" hidden="false" customHeight="false" outlineLevel="0" collapsed="false">
      <c r="B2019" s="244"/>
      <c r="C2019" s="245"/>
      <c r="D2019" s="245"/>
      <c r="E2019" s="246"/>
      <c r="F2019" s="246"/>
      <c r="G2019" s="225" t="e">
        <f aca="false">VLOOKUP(B2019,'NIVEL ENERO'!A:F,4,0)</f>
        <v>#N/A</v>
      </c>
      <c r="H2019" s="247"/>
      <c r="I2019" s="247"/>
      <c r="J2019" s="246"/>
      <c r="K2019" s="246"/>
      <c r="L2019" s="226"/>
      <c r="M2019" s="226"/>
      <c r="N2019" s="246"/>
      <c r="P2019" s="228"/>
      <c r="Q2019" s="245"/>
      <c r="R2019" s="186" t="str">
        <f aca="false">+PROPER(C2019&amp;" "&amp;D2019)</f>
        <v> </v>
      </c>
      <c r="S2019" s="230" t="n">
        <f aca="false">+YEARFRAC(L2019,$S$1)</f>
        <v>126.366666666667</v>
      </c>
      <c r="T2019" s="230" t="n">
        <f aca="false">+YEARFRAC(M2019,$S$1)</f>
        <v>126.366666666667</v>
      </c>
      <c r="U2019" s="231" t="n">
        <f aca="false">+$I2019</f>
        <v>0</v>
      </c>
      <c r="V2019" s="232" t="str">
        <f aca="false">+PROPER(F2019)</f>
        <v/>
      </c>
    </row>
    <row r="2020" customFormat="false" ht="14.25" hidden="false" customHeight="false" outlineLevel="0" collapsed="false">
      <c r="B2020" s="244"/>
      <c r="C2020" s="245"/>
      <c r="D2020" s="245"/>
      <c r="E2020" s="246"/>
      <c r="F2020" s="246"/>
      <c r="G2020" s="225" t="e">
        <f aca="false">VLOOKUP(B2020,'NIVEL ENERO'!A:F,4,0)</f>
        <v>#N/A</v>
      </c>
      <c r="H2020" s="247"/>
      <c r="I2020" s="247"/>
      <c r="J2020" s="246"/>
      <c r="K2020" s="246"/>
      <c r="L2020" s="226"/>
      <c r="M2020" s="226"/>
      <c r="N2020" s="246"/>
      <c r="P2020" s="228"/>
      <c r="Q2020" s="245"/>
      <c r="R2020" s="186" t="str">
        <f aca="false">+PROPER(C2020&amp;" "&amp;D2020)</f>
        <v> </v>
      </c>
      <c r="S2020" s="230" t="n">
        <f aca="false">+YEARFRAC(L2020,$S$1)</f>
        <v>126.366666666667</v>
      </c>
      <c r="T2020" s="230" t="n">
        <f aca="false">+YEARFRAC(M2020,$S$1)</f>
        <v>126.366666666667</v>
      </c>
      <c r="U2020" s="231" t="n">
        <f aca="false">+$I2020</f>
        <v>0</v>
      </c>
      <c r="V2020" s="232" t="str">
        <f aca="false">+PROPER(F2020)</f>
        <v/>
      </c>
    </row>
    <row r="2021" customFormat="false" ht="14.25" hidden="false" customHeight="false" outlineLevel="0" collapsed="false">
      <c r="B2021" s="244"/>
      <c r="C2021" s="245"/>
      <c r="D2021" s="245"/>
      <c r="E2021" s="246"/>
      <c r="F2021" s="246"/>
      <c r="G2021" s="225" t="e">
        <f aca="false">VLOOKUP(B2021,'NIVEL ENERO'!A:F,4,0)</f>
        <v>#N/A</v>
      </c>
      <c r="H2021" s="247"/>
      <c r="I2021" s="247"/>
      <c r="J2021" s="246"/>
      <c r="K2021" s="246"/>
      <c r="L2021" s="226"/>
      <c r="M2021" s="226"/>
      <c r="N2021" s="246"/>
      <c r="P2021" s="228"/>
      <c r="Q2021" s="245"/>
      <c r="R2021" s="186" t="str">
        <f aca="false">+PROPER(C2021&amp;" "&amp;D2021)</f>
        <v> </v>
      </c>
      <c r="S2021" s="230" t="n">
        <f aca="false">+YEARFRAC(L2021,$S$1)</f>
        <v>126.366666666667</v>
      </c>
      <c r="T2021" s="230" t="n">
        <f aca="false">+YEARFRAC(M2021,$S$1)</f>
        <v>126.366666666667</v>
      </c>
      <c r="U2021" s="231" t="n">
        <f aca="false">+$I2021</f>
        <v>0</v>
      </c>
      <c r="V2021" s="232" t="str">
        <f aca="false">+PROPER(F2021)</f>
        <v/>
      </c>
    </row>
    <row r="2022" customFormat="false" ht="14.25" hidden="false" customHeight="false" outlineLevel="0" collapsed="false">
      <c r="B2022" s="244"/>
      <c r="C2022" s="245"/>
      <c r="D2022" s="245"/>
      <c r="E2022" s="246"/>
      <c r="F2022" s="246"/>
      <c r="G2022" s="225" t="e">
        <f aca="false">VLOOKUP(B2022,'NIVEL ENERO'!A:F,4,0)</f>
        <v>#N/A</v>
      </c>
      <c r="H2022" s="247"/>
      <c r="I2022" s="247"/>
      <c r="J2022" s="246"/>
      <c r="K2022" s="246"/>
      <c r="L2022" s="226"/>
      <c r="M2022" s="226"/>
      <c r="N2022" s="246"/>
      <c r="P2022" s="228"/>
      <c r="Q2022" s="245"/>
      <c r="R2022" s="186" t="str">
        <f aca="false">+PROPER(C2022&amp;" "&amp;D2022)</f>
        <v> </v>
      </c>
      <c r="S2022" s="230" t="n">
        <f aca="false">+YEARFRAC(L2022,$S$1)</f>
        <v>126.366666666667</v>
      </c>
      <c r="T2022" s="230" t="n">
        <f aca="false">+YEARFRAC(M2022,$S$1)</f>
        <v>126.366666666667</v>
      </c>
      <c r="U2022" s="231" t="n">
        <f aca="false">+$I2022</f>
        <v>0</v>
      </c>
      <c r="V2022" s="232" t="str">
        <f aca="false">+PROPER(F2022)</f>
        <v/>
      </c>
    </row>
    <row r="2023" customFormat="false" ht="14.25" hidden="false" customHeight="false" outlineLevel="0" collapsed="false">
      <c r="B2023" s="244"/>
      <c r="C2023" s="245"/>
      <c r="D2023" s="245"/>
      <c r="E2023" s="246"/>
      <c r="F2023" s="246"/>
      <c r="G2023" s="225" t="e">
        <f aca="false">VLOOKUP(B2023,'NIVEL ENERO'!A:F,4,0)</f>
        <v>#N/A</v>
      </c>
      <c r="H2023" s="247"/>
      <c r="I2023" s="247"/>
      <c r="J2023" s="246"/>
      <c r="K2023" s="246"/>
      <c r="L2023" s="226"/>
      <c r="M2023" s="226"/>
      <c r="N2023" s="246"/>
      <c r="P2023" s="228"/>
      <c r="Q2023" s="245"/>
      <c r="R2023" s="186" t="str">
        <f aca="false">+PROPER(C2023&amp;" "&amp;D2023)</f>
        <v> </v>
      </c>
      <c r="S2023" s="230" t="n">
        <f aca="false">+YEARFRAC(L2023,$S$1)</f>
        <v>126.366666666667</v>
      </c>
      <c r="T2023" s="230" t="n">
        <f aca="false">+YEARFRAC(M2023,$S$1)</f>
        <v>126.366666666667</v>
      </c>
      <c r="U2023" s="231" t="n">
        <f aca="false">+$I2023</f>
        <v>0</v>
      </c>
      <c r="V2023" s="232" t="str">
        <f aca="false">+PROPER(F2023)</f>
        <v/>
      </c>
    </row>
    <row r="2024" customFormat="false" ht="14.25" hidden="false" customHeight="false" outlineLevel="0" collapsed="false">
      <c r="B2024" s="244"/>
      <c r="C2024" s="245"/>
      <c r="D2024" s="245"/>
      <c r="E2024" s="246"/>
      <c r="F2024" s="246"/>
      <c r="G2024" s="225" t="e">
        <f aca="false">VLOOKUP(B2024,'NIVEL ENERO'!A:F,4,0)</f>
        <v>#N/A</v>
      </c>
      <c r="H2024" s="247"/>
      <c r="I2024" s="247"/>
      <c r="J2024" s="246"/>
      <c r="K2024" s="246"/>
      <c r="L2024" s="226"/>
      <c r="M2024" s="226"/>
      <c r="N2024" s="246"/>
      <c r="P2024" s="228"/>
      <c r="Q2024" s="245"/>
      <c r="R2024" s="186" t="str">
        <f aca="false">+PROPER(C2024&amp;" "&amp;D2024)</f>
        <v> </v>
      </c>
      <c r="S2024" s="230" t="n">
        <f aca="false">+YEARFRAC(L2024,$S$1)</f>
        <v>126.366666666667</v>
      </c>
      <c r="T2024" s="230" t="n">
        <f aca="false">+YEARFRAC(M2024,$S$1)</f>
        <v>126.366666666667</v>
      </c>
      <c r="U2024" s="231" t="n">
        <f aca="false">+$I2024</f>
        <v>0</v>
      </c>
      <c r="V2024" s="232" t="str">
        <f aca="false">+PROPER(F2024)</f>
        <v/>
      </c>
    </row>
    <row r="2025" customFormat="false" ht="14.25" hidden="false" customHeight="false" outlineLevel="0" collapsed="false">
      <c r="B2025" s="244"/>
      <c r="C2025" s="245"/>
      <c r="D2025" s="245"/>
      <c r="E2025" s="246"/>
      <c r="F2025" s="246"/>
      <c r="G2025" s="225" t="e">
        <f aca="false">VLOOKUP(B2025,'NIVEL ENERO'!A:F,4,0)</f>
        <v>#N/A</v>
      </c>
      <c r="H2025" s="247"/>
      <c r="I2025" s="247"/>
      <c r="J2025" s="246"/>
      <c r="K2025" s="246"/>
      <c r="L2025" s="226"/>
      <c r="M2025" s="226"/>
      <c r="N2025" s="246"/>
      <c r="P2025" s="228"/>
      <c r="Q2025" s="245"/>
      <c r="R2025" s="186" t="str">
        <f aca="false">+PROPER(C2025&amp;" "&amp;D2025)</f>
        <v> </v>
      </c>
      <c r="S2025" s="230" t="n">
        <f aca="false">+YEARFRAC(L2025,$S$1)</f>
        <v>126.366666666667</v>
      </c>
      <c r="T2025" s="230" t="n">
        <f aca="false">+YEARFRAC(M2025,$S$1)</f>
        <v>126.366666666667</v>
      </c>
      <c r="U2025" s="231" t="n">
        <f aca="false">+$I2025</f>
        <v>0</v>
      </c>
      <c r="V2025" s="232" t="str">
        <f aca="false">+PROPER(F2025)</f>
        <v/>
      </c>
    </row>
    <row r="2026" customFormat="false" ht="14.25" hidden="false" customHeight="false" outlineLevel="0" collapsed="false">
      <c r="B2026" s="244"/>
      <c r="C2026" s="245"/>
      <c r="D2026" s="245"/>
      <c r="E2026" s="246"/>
      <c r="F2026" s="246"/>
      <c r="G2026" s="225" t="e">
        <f aca="false">VLOOKUP(B2026,'NIVEL ENERO'!A:F,4,0)</f>
        <v>#N/A</v>
      </c>
      <c r="H2026" s="247"/>
      <c r="I2026" s="247"/>
      <c r="J2026" s="246"/>
      <c r="K2026" s="246"/>
      <c r="L2026" s="226"/>
      <c r="M2026" s="226"/>
      <c r="N2026" s="246"/>
      <c r="P2026" s="228"/>
      <c r="Q2026" s="245"/>
      <c r="R2026" s="186" t="str">
        <f aca="false">+PROPER(C2026&amp;" "&amp;D2026)</f>
        <v> </v>
      </c>
      <c r="S2026" s="230" t="n">
        <f aca="false">+YEARFRAC(L2026,$S$1)</f>
        <v>126.366666666667</v>
      </c>
      <c r="T2026" s="230" t="n">
        <f aca="false">+YEARFRAC(M2026,$S$1)</f>
        <v>126.366666666667</v>
      </c>
      <c r="U2026" s="231" t="n">
        <f aca="false">+$I2026</f>
        <v>0</v>
      </c>
      <c r="V2026" s="232" t="str">
        <f aca="false">+PROPER(F2026)</f>
        <v/>
      </c>
    </row>
    <row r="2027" customFormat="false" ht="14.25" hidden="false" customHeight="false" outlineLevel="0" collapsed="false">
      <c r="B2027" s="244"/>
      <c r="C2027" s="245"/>
      <c r="D2027" s="245"/>
      <c r="E2027" s="246"/>
      <c r="F2027" s="246"/>
      <c r="G2027" s="225" t="e">
        <f aca="false">VLOOKUP(B2027,'NIVEL ENERO'!A:F,4,0)</f>
        <v>#N/A</v>
      </c>
      <c r="H2027" s="247"/>
      <c r="I2027" s="247"/>
      <c r="J2027" s="246"/>
      <c r="K2027" s="246"/>
      <c r="L2027" s="226"/>
      <c r="M2027" s="226"/>
      <c r="N2027" s="246"/>
      <c r="P2027" s="228"/>
      <c r="Q2027" s="245"/>
      <c r="R2027" s="186" t="str">
        <f aca="false">+PROPER(C2027&amp;" "&amp;D2027)</f>
        <v> </v>
      </c>
      <c r="S2027" s="230" t="n">
        <f aca="false">+YEARFRAC(L2027,$S$1)</f>
        <v>126.366666666667</v>
      </c>
      <c r="T2027" s="230" t="n">
        <f aca="false">+YEARFRAC(M2027,$S$1)</f>
        <v>126.366666666667</v>
      </c>
      <c r="U2027" s="231" t="n">
        <f aca="false">+$I2027</f>
        <v>0</v>
      </c>
      <c r="V2027" s="232" t="str">
        <f aca="false">+PROPER(F2027)</f>
        <v/>
      </c>
    </row>
    <row r="2028" customFormat="false" ht="14.25" hidden="false" customHeight="false" outlineLevel="0" collapsed="false">
      <c r="B2028" s="244"/>
      <c r="C2028" s="245"/>
      <c r="D2028" s="245"/>
      <c r="E2028" s="246"/>
      <c r="F2028" s="246"/>
      <c r="G2028" s="225" t="e">
        <f aca="false">VLOOKUP(B2028,'NIVEL ENERO'!A:F,4,0)</f>
        <v>#N/A</v>
      </c>
      <c r="H2028" s="247"/>
      <c r="I2028" s="247"/>
      <c r="J2028" s="246"/>
      <c r="K2028" s="246"/>
      <c r="L2028" s="226"/>
      <c r="M2028" s="226"/>
      <c r="N2028" s="246"/>
      <c r="P2028" s="228"/>
      <c r="Q2028" s="245"/>
      <c r="R2028" s="186" t="str">
        <f aca="false">+PROPER(C2028&amp;" "&amp;D2028)</f>
        <v> </v>
      </c>
      <c r="S2028" s="230" t="n">
        <f aca="false">+YEARFRAC(L2028,$S$1)</f>
        <v>126.366666666667</v>
      </c>
      <c r="T2028" s="230" t="n">
        <f aca="false">+YEARFRAC(M2028,$S$1)</f>
        <v>126.366666666667</v>
      </c>
      <c r="U2028" s="231" t="n">
        <f aca="false">+$I2028</f>
        <v>0</v>
      </c>
      <c r="V2028" s="232" t="str">
        <f aca="false">+PROPER(F2028)</f>
        <v/>
      </c>
    </row>
    <row r="2029" customFormat="false" ht="14.25" hidden="false" customHeight="false" outlineLevel="0" collapsed="false">
      <c r="B2029" s="244"/>
      <c r="C2029" s="245"/>
      <c r="D2029" s="245"/>
      <c r="E2029" s="246"/>
      <c r="F2029" s="246"/>
      <c r="G2029" s="225" t="e">
        <f aca="false">VLOOKUP(B2029,'NIVEL ENERO'!A:F,4,0)</f>
        <v>#N/A</v>
      </c>
      <c r="H2029" s="247"/>
      <c r="I2029" s="247"/>
      <c r="J2029" s="246"/>
      <c r="K2029" s="246"/>
      <c r="L2029" s="226"/>
      <c r="M2029" s="226"/>
      <c r="N2029" s="246"/>
      <c r="P2029" s="228"/>
      <c r="Q2029" s="245"/>
      <c r="R2029" s="186" t="str">
        <f aca="false">+PROPER(C2029&amp;" "&amp;D2029)</f>
        <v> </v>
      </c>
      <c r="S2029" s="230" t="n">
        <f aca="false">+YEARFRAC(L2029,$S$1)</f>
        <v>126.366666666667</v>
      </c>
      <c r="T2029" s="230" t="n">
        <f aca="false">+YEARFRAC(M2029,$S$1)</f>
        <v>126.366666666667</v>
      </c>
      <c r="U2029" s="231" t="n">
        <f aca="false">+$I2029</f>
        <v>0</v>
      </c>
      <c r="V2029" s="232" t="str">
        <f aca="false">+PROPER(F2029)</f>
        <v/>
      </c>
    </row>
    <row r="2030" customFormat="false" ht="14.25" hidden="false" customHeight="false" outlineLevel="0" collapsed="false">
      <c r="B2030" s="244"/>
      <c r="C2030" s="245"/>
      <c r="D2030" s="245"/>
      <c r="E2030" s="246"/>
      <c r="F2030" s="246"/>
      <c r="G2030" s="225" t="e">
        <f aca="false">VLOOKUP(B2030,'NIVEL ENERO'!A:F,4,0)</f>
        <v>#N/A</v>
      </c>
      <c r="H2030" s="247"/>
      <c r="I2030" s="247"/>
      <c r="J2030" s="246"/>
      <c r="K2030" s="246"/>
      <c r="L2030" s="226"/>
      <c r="M2030" s="226"/>
      <c r="N2030" s="246"/>
      <c r="P2030" s="228"/>
      <c r="Q2030" s="245"/>
      <c r="R2030" s="186" t="str">
        <f aca="false">+PROPER(C2030&amp;" "&amp;D2030)</f>
        <v> </v>
      </c>
      <c r="S2030" s="230" t="n">
        <f aca="false">+YEARFRAC(L2030,$S$1)</f>
        <v>126.366666666667</v>
      </c>
      <c r="T2030" s="230" t="n">
        <f aca="false">+YEARFRAC(M2030,$S$1)</f>
        <v>126.366666666667</v>
      </c>
      <c r="U2030" s="231" t="n">
        <f aca="false">+$I2030</f>
        <v>0</v>
      </c>
      <c r="V2030" s="232" t="str">
        <f aca="false">+PROPER(F2030)</f>
        <v/>
      </c>
    </row>
    <row r="2031" customFormat="false" ht="14.25" hidden="false" customHeight="false" outlineLevel="0" collapsed="false">
      <c r="B2031" s="244"/>
      <c r="C2031" s="245"/>
      <c r="D2031" s="245"/>
      <c r="E2031" s="246"/>
      <c r="F2031" s="246"/>
      <c r="G2031" s="225" t="e">
        <f aca="false">VLOOKUP(B2031,'NIVEL ENERO'!A:F,4,0)</f>
        <v>#N/A</v>
      </c>
      <c r="H2031" s="247"/>
      <c r="I2031" s="247"/>
      <c r="J2031" s="246"/>
      <c r="K2031" s="246"/>
      <c r="L2031" s="226"/>
      <c r="M2031" s="226"/>
      <c r="N2031" s="246"/>
      <c r="P2031" s="228"/>
      <c r="Q2031" s="245"/>
      <c r="R2031" s="186" t="str">
        <f aca="false">+PROPER(C2031&amp;" "&amp;D2031)</f>
        <v> </v>
      </c>
      <c r="S2031" s="230" t="n">
        <f aca="false">+YEARFRAC(L2031,$S$1)</f>
        <v>126.366666666667</v>
      </c>
      <c r="T2031" s="230" t="n">
        <f aca="false">+YEARFRAC(M2031,$S$1)</f>
        <v>126.366666666667</v>
      </c>
      <c r="U2031" s="231" t="n">
        <f aca="false">+$I2031</f>
        <v>0</v>
      </c>
      <c r="V2031" s="232" t="str">
        <f aca="false">+PROPER(F2031)</f>
        <v/>
      </c>
    </row>
    <row r="2032" customFormat="false" ht="14.25" hidden="false" customHeight="false" outlineLevel="0" collapsed="false">
      <c r="B2032" s="244"/>
      <c r="C2032" s="245"/>
      <c r="D2032" s="245"/>
      <c r="E2032" s="246"/>
      <c r="F2032" s="246"/>
      <c r="G2032" s="225" t="e">
        <f aca="false">VLOOKUP(B2032,'NIVEL ENERO'!A:F,4,0)</f>
        <v>#N/A</v>
      </c>
      <c r="H2032" s="247"/>
      <c r="I2032" s="247"/>
      <c r="J2032" s="246"/>
      <c r="K2032" s="246"/>
      <c r="L2032" s="226"/>
      <c r="M2032" s="226"/>
      <c r="N2032" s="246"/>
      <c r="P2032" s="228"/>
      <c r="Q2032" s="245"/>
      <c r="R2032" s="186" t="str">
        <f aca="false">+PROPER(C2032&amp;" "&amp;D2032)</f>
        <v> </v>
      </c>
      <c r="S2032" s="230" t="n">
        <f aca="false">+YEARFRAC(L2032,$S$1)</f>
        <v>126.366666666667</v>
      </c>
      <c r="T2032" s="230" t="n">
        <f aca="false">+YEARFRAC(M2032,$S$1)</f>
        <v>126.366666666667</v>
      </c>
      <c r="U2032" s="231" t="n">
        <f aca="false">+$I2032</f>
        <v>0</v>
      </c>
      <c r="V2032" s="232" t="str">
        <f aca="false">+PROPER(F2032)</f>
        <v/>
      </c>
    </row>
    <row r="2033" customFormat="false" ht="14.25" hidden="false" customHeight="false" outlineLevel="0" collapsed="false">
      <c r="B2033" s="244"/>
      <c r="C2033" s="245"/>
      <c r="D2033" s="245"/>
      <c r="E2033" s="246"/>
      <c r="F2033" s="246"/>
      <c r="G2033" s="225" t="e">
        <f aca="false">VLOOKUP(B2033,'NIVEL ENERO'!A:F,4,0)</f>
        <v>#N/A</v>
      </c>
      <c r="H2033" s="247"/>
      <c r="I2033" s="247"/>
      <c r="J2033" s="246"/>
      <c r="K2033" s="246"/>
      <c r="L2033" s="226"/>
      <c r="M2033" s="226"/>
      <c r="N2033" s="246"/>
      <c r="P2033" s="228"/>
      <c r="Q2033" s="245"/>
      <c r="R2033" s="186" t="str">
        <f aca="false">+PROPER(C2033&amp;" "&amp;D2033)</f>
        <v> </v>
      </c>
      <c r="S2033" s="230" t="n">
        <f aca="false">+YEARFRAC(L2033,$S$1)</f>
        <v>126.366666666667</v>
      </c>
      <c r="T2033" s="230" t="n">
        <f aca="false">+YEARFRAC(M2033,$S$1)</f>
        <v>126.366666666667</v>
      </c>
      <c r="U2033" s="231" t="n">
        <f aca="false">+$I2033</f>
        <v>0</v>
      </c>
      <c r="V2033" s="232" t="str">
        <f aca="false">+PROPER(F2033)</f>
        <v/>
      </c>
    </row>
    <row r="2034" customFormat="false" ht="14.25" hidden="false" customHeight="false" outlineLevel="0" collapsed="false">
      <c r="B2034" s="244"/>
      <c r="C2034" s="245"/>
      <c r="D2034" s="245"/>
      <c r="E2034" s="246"/>
      <c r="F2034" s="246"/>
      <c r="G2034" s="225" t="e">
        <f aca="false">VLOOKUP(B2034,'NIVEL ENERO'!A:F,4,0)</f>
        <v>#N/A</v>
      </c>
      <c r="H2034" s="247"/>
      <c r="I2034" s="247"/>
      <c r="J2034" s="246"/>
      <c r="K2034" s="246"/>
      <c r="L2034" s="226"/>
      <c r="M2034" s="226"/>
      <c r="N2034" s="246"/>
      <c r="P2034" s="228"/>
      <c r="Q2034" s="245"/>
      <c r="R2034" s="186" t="str">
        <f aca="false">+PROPER(C2034&amp;" "&amp;D2034)</f>
        <v> </v>
      </c>
      <c r="S2034" s="230" t="n">
        <f aca="false">+YEARFRAC(L2034,$S$1)</f>
        <v>126.366666666667</v>
      </c>
      <c r="T2034" s="230" t="n">
        <f aca="false">+YEARFRAC(M2034,$S$1)</f>
        <v>126.366666666667</v>
      </c>
      <c r="U2034" s="231" t="n">
        <f aca="false">+$I2034</f>
        <v>0</v>
      </c>
      <c r="V2034" s="232" t="str">
        <f aca="false">+PROPER(F2034)</f>
        <v/>
      </c>
    </row>
    <row r="2035" customFormat="false" ht="14.25" hidden="false" customHeight="false" outlineLevel="0" collapsed="false">
      <c r="B2035" s="244"/>
      <c r="C2035" s="245"/>
      <c r="D2035" s="245"/>
      <c r="E2035" s="246"/>
      <c r="F2035" s="246"/>
      <c r="G2035" s="225" t="e">
        <f aca="false">VLOOKUP(B2035,'NIVEL ENERO'!A:F,4,0)</f>
        <v>#N/A</v>
      </c>
      <c r="H2035" s="247"/>
      <c r="I2035" s="247"/>
      <c r="J2035" s="246"/>
      <c r="K2035" s="246"/>
      <c r="L2035" s="226"/>
      <c r="M2035" s="226"/>
      <c r="N2035" s="246"/>
      <c r="P2035" s="228"/>
      <c r="Q2035" s="245"/>
      <c r="R2035" s="186" t="str">
        <f aca="false">+PROPER(C2035&amp;" "&amp;D2035)</f>
        <v> </v>
      </c>
      <c r="S2035" s="230" t="n">
        <f aca="false">+YEARFRAC(L2035,$S$1)</f>
        <v>126.366666666667</v>
      </c>
      <c r="T2035" s="230" t="n">
        <f aca="false">+YEARFRAC(M2035,$S$1)</f>
        <v>126.366666666667</v>
      </c>
      <c r="U2035" s="231" t="n">
        <f aca="false">+$I2035</f>
        <v>0</v>
      </c>
      <c r="V2035" s="232" t="str">
        <f aca="false">+PROPER(F2035)</f>
        <v/>
      </c>
    </row>
    <row r="2036" customFormat="false" ht="14.25" hidden="false" customHeight="false" outlineLevel="0" collapsed="false">
      <c r="B2036" s="244"/>
      <c r="C2036" s="245"/>
      <c r="D2036" s="245"/>
      <c r="E2036" s="246"/>
      <c r="F2036" s="246"/>
      <c r="G2036" s="225" t="e">
        <f aca="false">VLOOKUP(B2036,'NIVEL ENERO'!A:F,4,0)</f>
        <v>#N/A</v>
      </c>
      <c r="H2036" s="247"/>
      <c r="I2036" s="247"/>
      <c r="J2036" s="246"/>
      <c r="K2036" s="246"/>
      <c r="L2036" s="226"/>
      <c r="M2036" s="226"/>
      <c r="N2036" s="246"/>
      <c r="P2036" s="228"/>
      <c r="Q2036" s="245"/>
      <c r="R2036" s="186" t="str">
        <f aca="false">+PROPER(C2036&amp;" "&amp;D2036)</f>
        <v> </v>
      </c>
      <c r="S2036" s="230" t="n">
        <f aca="false">+YEARFRAC(L2036,$S$1)</f>
        <v>126.366666666667</v>
      </c>
      <c r="T2036" s="230" t="n">
        <f aca="false">+YEARFRAC(M2036,$S$1)</f>
        <v>126.366666666667</v>
      </c>
      <c r="U2036" s="231" t="n">
        <f aca="false">+$I2036</f>
        <v>0</v>
      </c>
      <c r="V2036" s="232" t="str">
        <f aca="false">+PROPER(F2036)</f>
        <v/>
      </c>
    </row>
    <row r="2037" customFormat="false" ht="14.25" hidden="false" customHeight="false" outlineLevel="0" collapsed="false">
      <c r="B2037" s="244"/>
      <c r="C2037" s="245"/>
      <c r="D2037" s="245"/>
      <c r="E2037" s="246"/>
      <c r="F2037" s="246"/>
      <c r="G2037" s="225" t="e">
        <f aca="false">VLOOKUP(B2037,'NIVEL ENERO'!A:F,4,0)</f>
        <v>#N/A</v>
      </c>
      <c r="H2037" s="247"/>
      <c r="I2037" s="247"/>
      <c r="J2037" s="246"/>
      <c r="K2037" s="246"/>
      <c r="L2037" s="226"/>
      <c r="M2037" s="226"/>
      <c r="N2037" s="246"/>
      <c r="P2037" s="228"/>
      <c r="Q2037" s="245"/>
      <c r="R2037" s="186" t="str">
        <f aca="false">+PROPER(C2037&amp;" "&amp;D2037)</f>
        <v> </v>
      </c>
      <c r="S2037" s="230" t="n">
        <f aca="false">+YEARFRAC(L2037,$S$1)</f>
        <v>126.366666666667</v>
      </c>
      <c r="T2037" s="230" t="n">
        <f aca="false">+YEARFRAC(M2037,$S$1)</f>
        <v>126.366666666667</v>
      </c>
      <c r="U2037" s="231" t="n">
        <f aca="false">+$I2037</f>
        <v>0</v>
      </c>
      <c r="V2037" s="232" t="str">
        <f aca="false">+PROPER(F2037)</f>
        <v/>
      </c>
    </row>
    <row r="2038" customFormat="false" ht="14.25" hidden="false" customHeight="false" outlineLevel="0" collapsed="false">
      <c r="B2038" s="244"/>
      <c r="C2038" s="245"/>
      <c r="D2038" s="245"/>
      <c r="E2038" s="246"/>
      <c r="F2038" s="246"/>
      <c r="G2038" s="225" t="e">
        <f aca="false">VLOOKUP(B2038,'NIVEL ENERO'!A:F,4,0)</f>
        <v>#N/A</v>
      </c>
      <c r="H2038" s="247"/>
      <c r="I2038" s="247"/>
      <c r="J2038" s="246"/>
      <c r="K2038" s="246"/>
      <c r="L2038" s="226"/>
      <c r="M2038" s="226"/>
      <c r="N2038" s="246"/>
      <c r="P2038" s="228"/>
      <c r="Q2038" s="245"/>
      <c r="R2038" s="186" t="str">
        <f aca="false">+PROPER(C2038&amp;" "&amp;D2038)</f>
        <v> </v>
      </c>
      <c r="S2038" s="230" t="n">
        <f aca="false">+YEARFRAC(L2038,$S$1)</f>
        <v>126.366666666667</v>
      </c>
      <c r="T2038" s="230" t="n">
        <f aca="false">+YEARFRAC(M2038,$S$1)</f>
        <v>126.366666666667</v>
      </c>
      <c r="U2038" s="231" t="n">
        <f aca="false">+$I2038</f>
        <v>0</v>
      </c>
      <c r="V2038" s="232" t="str">
        <f aca="false">+PROPER(F2038)</f>
        <v/>
      </c>
    </row>
    <row r="2039" customFormat="false" ht="14.25" hidden="false" customHeight="false" outlineLevel="0" collapsed="false">
      <c r="B2039" s="244"/>
      <c r="C2039" s="245"/>
      <c r="D2039" s="245"/>
      <c r="E2039" s="246"/>
      <c r="F2039" s="246"/>
      <c r="G2039" s="225" t="e">
        <f aca="false">VLOOKUP(B2039,'NIVEL ENERO'!A:F,4,0)</f>
        <v>#N/A</v>
      </c>
      <c r="H2039" s="247"/>
      <c r="I2039" s="247"/>
      <c r="J2039" s="246"/>
      <c r="K2039" s="246"/>
      <c r="L2039" s="226"/>
      <c r="M2039" s="226"/>
      <c r="N2039" s="246"/>
      <c r="P2039" s="228"/>
      <c r="Q2039" s="245"/>
      <c r="R2039" s="186" t="str">
        <f aca="false">+PROPER(C2039&amp;" "&amp;D2039)</f>
        <v> </v>
      </c>
      <c r="S2039" s="230" t="n">
        <f aca="false">+YEARFRAC(L2039,$S$1)</f>
        <v>126.366666666667</v>
      </c>
      <c r="T2039" s="230" t="n">
        <f aca="false">+YEARFRAC(M2039,$S$1)</f>
        <v>126.366666666667</v>
      </c>
      <c r="U2039" s="231" t="n">
        <f aca="false">+$I2039</f>
        <v>0</v>
      </c>
      <c r="V2039" s="232" t="str">
        <f aca="false">+PROPER(F2039)</f>
        <v/>
      </c>
    </row>
    <row r="2040" customFormat="false" ht="14.25" hidden="false" customHeight="false" outlineLevel="0" collapsed="false">
      <c r="B2040" s="244"/>
      <c r="C2040" s="245"/>
      <c r="D2040" s="245"/>
      <c r="E2040" s="246"/>
      <c r="F2040" s="246"/>
      <c r="G2040" s="225" t="e">
        <f aca="false">VLOOKUP(B2040,'NIVEL ENERO'!A:F,4,0)</f>
        <v>#N/A</v>
      </c>
      <c r="H2040" s="247"/>
      <c r="I2040" s="247"/>
      <c r="J2040" s="246"/>
      <c r="K2040" s="246"/>
      <c r="L2040" s="226"/>
      <c r="M2040" s="226"/>
      <c r="N2040" s="246"/>
      <c r="P2040" s="228"/>
      <c r="Q2040" s="245"/>
      <c r="R2040" s="186" t="str">
        <f aca="false">+PROPER(C2040&amp;" "&amp;D2040)</f>
        <v> </v>
      </c>
      <c r="S2040" s="230" t="n">
        <f aca="false">+YEARFRAC(L2040,$S$1)</f>
        <v>126.366666666667</v>
      </c>
      <c r="T2040" s="230" t="n">
        <f aca="false">+YEARFRAC(M2040,$S$1)</f>
        <v>126.366666666667</v>
      </c>
      <c r="U2040" s="231" t="n">
        <f aca="false">+$I2040</f>
        <v>0</v>
      </c>
      <c r="V2040" s="232" t="str">
        <f aca="false">+PROPER(F2040)</f>
        <v/>
      </c>
    </row>
    <row r="2041" customFormat="false" ht="14.25" hidden="false" customHeight="false" outlineLevel="0" collapsed="false">
      <c r="B2041" s="244"/>
      <c r="C2041" s="245"/>
      <c r="D2041" s="245"/>
      <c r="E2041" s="246"/>
      <c r="F2041" s="246"/>
      <c r="G2041" s="225" t="e">
        <f aca="false">VLOOKUP(B2041,'NIVEL ENERO'!A:F,4,0)</f>
        <v>#N/A</v>
      </c>
      <c r="H2041" s="247"/>
      <c r="I2041" s="247"/>
      <c r="J2041" s="246"/>
      <c r="K2041" s="246"/>
      <c r="L2041" s="226"/>
      <c r="M2041" s="226"/>
      <c r="N2041" s="246"/>
      <c r="P2041" s="228"/>
      <c r="Q2041" s="245"/>
      <c r="R2041" s="186" t="str">
        <f aca="false">+PROPER(C2041&amp;" "&amp;D2041)</f>
        <v> </v>
      </c>
      <c r="S2041" s="230" t="n">
        <f aca="false">+YEARFRAC(L2041,$S$1)</f>
        <v>126.366666666667</v>
      </c>
      <c r="T2041" s="230" t="n">
        <f aca="false">+YEARFRAC(M2041,$S$1)</f>
        <v>126.366666666667</v>
      </c>
      <c r="U2041" s="231" t="n">
        <f aca="false">+$I2041</f>
        <v>0</v>
      </c>
      <c r="V2041" s="232" t="str">
        <f aca="false">+PROPER(F2041)</f>
        <v/>
      </c>
    </row>
    <row r="2042" customFormat="false" ht="14.25" hidden="false" customHeight="false" outlineLevel="0" collapsed="false">
      <c r="B2042" s="244"/>
      <c r="C2042" s="245"/>
      <c r="D2042" s="245"/>
      <c r="E2042" s="246"/>
      <c r="F2042" s="246"/>
      <c r="G2042" s="225" t="e">
        <f aca="false">VLOOKUP(B2042,'NIVEL ENERO'!A:F,4,0)</f>
        <v>#N/A</v>
      </c>
      <c r="H2042" s="247"/>
      <c r="I2042" s="247"/>
      <c r="J2042" s="246"/>
      <c r="K2042" s="246"/>
      <c r="L2042" s="226"/>
      <c r="M2042" s="226"/>
      <c r="N2042" s="246"/>
      <c r="P2042" s="228"/>
      <c r="Q2042" s="245"/>
      <c r="R2042" s="186" t="str">
        <f aca="false">+PROPER(C2042&amp;" "&amp;D2042)</f>
        <v> </v>
      </c>
      <c r="S2042" s="230" t="n">
        <f aca="false">+YEARFRAC(L2042,$S$1)</f>
        <v>126.366666666667</v>
      </c>
      <c r="T2042" s="230" t="n">
        <f aca="false">+YEARFRAC(M2042,$S$1)</f>
        <v>126.366666666667</v>
      </c>
      <c r="U2042" s="231" t="n">
        <f aca="false">+$I2042</f>
        <v>0</v>
      </c>
      <c r="V2042" s="232" t="str">
        <f aca="false">+PROPER(F2042)</f>
        <v/>
      </c>
    </row>
    <row r="2043" customFormat="false" ht="14.25" hidden="false" customHeight="false" outlineLevel="0" collapsed="false">
      <c r="B2043" s="244"/>
      <c r="C2043" s="245"/>
      <c r="D2043" s="245"/>
      <c r="E2043" s="246"/>
      <c r="F2043" s="246"/>
      <c r="G2043" s="225" t="e">
        <f aca="false">VLOOKUP(B2043,'NIVEL ENERO'!A:F,4,0)</f>
        <v>#N/A</v>
      </c>
      <c r="H2043" s="247"/>
      <c r="I2043" s="247"/>
      <c r="J2043" s="246"/>
      <c r="K2043" s="246"/>
      <c r="L2043" s="226"/>
      <c r="M2043" s="226"/>
      <c r="N2043" s="246"/>
      <c r="P2043" s="228"/>
      <c r="Q2043" s="245"/>
      <c r="R2043" s="186" t="str">
        <f aca="false">+PROPER(C2043&amp;" "&amp;D2043)</f>
        <v> </v>
      </c>
      <c r="S2043" s="230" t="n">
        <f aca="false">+YEARFRAC(L2043,$S$1)</f>
        <v>126.366666666667</v>
      </c>
      <c r="T2043" s="230" t="n">
        <f aca="false">+YEARFRAC(M2043,$S$1)</f>
        <v>126.366666666667</v>
      </c>
      <c r="U2043" s="231" t="n">
        <f aca="false">+$I2043</f>
        <v>0</v>
      </c>
      <c r="V2043" s="232" t="str">
        <f aca="false">+PROPER(F2043)</f>
        <v/>
      </c>
    </row>
    <row r="2044" customFormat="false" ht="14.25" hidden="false" customHeight="false" outlineLevel="0" collapsed="false">
      <c r="B2044" s="244"/>
      <c r="C2044" s="245"/>
      <c r="D2044" s="245"/>
      <c r="E2044" s="246"/>
      <c r="F2044" s="246"/>
      <c r="G2044" s="225" t="e">
        <f aca="false">VLOOKUP(B2044,'NIVEL ENERO'!A:F,4,0)</f>
        <v>#N/A</v>
      </c>
      <c r="H2044" s="247"/>
      <c r="I2044" s="247"/>
      <c r="J2044" s="246"/>
      <c r="K2044" s="246"/>
      <c r="L2044" s="226"/>
      <c r="M2044" s="226"/>
      <c r="N2044" s="246"/>
      <c r="P2044" s="228"/>
      <c r="Q2044" s="245"/>
      <c r="R2044" s="186" t="str">
        <f aca="false">+PROPER(C2044&amp;" "&amp;D2044)</f>
        <v> </v>
      </c>
      <c r="S2044" s="230" t="n">
        <f aca="false">+YEARFRAC(L2044,$S$1)</f>
        <v>126.366666666667</v>
      </c>
      <c r="T2044" s="230" t="n">
        <f aca="false">+YEARFRAC(M2044,$S$1)</f>
        <v>126.366666666667</v>
      </c>
      <c r="U2044" s="231" t="n">
        <f aca="false">+$I2044</f>
        <v>0</v>
      </c>
      <c r="V2044" s="232" t="str">
        <f aca="false">+PROPER(F2044)</f>
        <v/>
      </c>
    </row>
    <row r="2045" customFormat="false" ht="14.25" hidden="false" customHeight="false" outlineLevel="0" collapsed="false">
      <c r="B2045" s="244"/>
      <c r="C2045" s="245"/>
      <c r="D2045" s="245"/>
      <c r="E2045" s="246"/>
      <c r="F2045" s="246"/>
      <c r="G2045" s="225" t="e">
        <f aca="false">VLOOKUP(B2045,'NIVEL ENERO'!A:F,4,0)</f>
        <v>#N/A</v>
      </c>
      <c r="H2045" s="247"/>
      <c r="I2045" s="247"/>
      <c r="J2045" s="246"/>
      <c r="K2045" s="246"/>
      <c r="L2045" s="226"/>
      <c r="M2045" s="226"/>
      <c r="N2045" s="246"/>
      <c r="P2045" s="228"/>
      <c r="Q2045" s="245"/>
      <c r="R2045" s="186" t="str">
        <f aca="false">+PROPER(C2045&amp;" "&amp;D2045)</f>
        <v> </v>
      </c>
      <c r="S2045" s="230" t="n">
        <f aca="false">+YEARFRAC(L2045,$S$1)</f>
        <v>126.366666666667</v>
      </c>
      <c r="T2045" s="230" t="n">
        <f aca="false">+YEARFRAC(M2045,$S$1)</f>
        <v>126.366666666667</v>
      </c>
      <c r="U2045" s="231" t="n">
        <f aca="false">+$I2045</f>
        <v>0</v>
      </c>
      <c r="V2045" s="232" t="str">
        <f aca="false">+PROPER(F2045)</f>
        <v/>
      </c>
    </row>
    <row r="2046" customFormat="false" ht="14.25" hidden="false" customHeight="false" outlineLevel="0" collapsed="false">
      <c r="B2046" s="244"/>
      <c r="C2046" s="245"/>
      <c r="D2046" s="245"/>
      <c r="E2046" s="246"/>
      <c r="F2046" s="246"/>
      <c r="G2046" s="225" t="e">
        <f aca="false">VLOOKUP(B2046,'NIVEL ENERO'!A:F,4,0)</f>
        <v>#N/A</v>
      </c>
      <c r="H2046" s="247"/>
      <c r="I2046" s="247"/>
      <c r="J2046" s="246"/>
      <c r="K2046" s="246"/>
      <c r="L2046" s="226"/>
      <c r="M2046" s="226"/>
      <c r="N2046" s="246"/>
      <c r="P2046" s="228"/>
      <c r="Q2046" s="245"/>
      <c r="R2046" s="186" t="str">
        <f aca="false">+PROPER(C2046&amp;" "&amp;D2046)</f>
        <v> </v>
      </c>
      <c r="S2046" s="230" t="n">
        <f aca="false">+YEARFRAC(L2046,$S$1)</f>
        <v>126.366666666667</v>
      </c>
      <c r="T2046" s="230" t="n">
        <f aca="false">+YEARFRAC(M2046,$S$1)</f>
        <v>126.366666666667</v>
      </c>
      <c r="U2046" s="231" t="n">
        <f aca="false">+$I2046</f>
        <v>0</v>
      </c>
      <c r="V2046" s="232" t="str">
        <f aca="false">+PROPER(F2046)</f>
        <v/>
      </c>
    </row>
    <row r="2047" customFormat="false" ht="14.25" hidden="false" customHeight="false" outlineLevel="0" collapsed="false">
      <c r="B2047" s="244"/>
      <c r="C2047" s="245"/>
      <c r="D2047" s="245"/>
      <c r="E2047" s="246"/>
      <c r="F2047" s="246"/>
      <c r="G2047" s="225" t="e">
        <f aca="false">VLOOKUP(B2047,'NIVEL ENERO'!A:F,4,0)</f>
        <v>#N/A</v>
      </c>
      <c r="H2047" s="247"/>
      <c r="I2047" s="247"/>
      <c r="J2047" s="246"/>
      <c r="K2047" s="246"/>
      <c r="L2047" s="226"/>
      <c r="M2047" s="226"/>
      <c r="N2047" s="246"/>
      <c r="P2047" s="228"/>
      <c r="Q2047" s="245"/>
      <c r="R2047" s="186" t="str">
        <f aca="false">+PROPER(C2047&amp;" "&amp;D2047)</f>
        <v> </v>
      </c>
      <c r="S2047" s="230" t="n">
        <f aca="false">+YEARFRAC(L2047,$S$1)</f>
        <v>126.366666666667</v>
      </c>
      <c r="T2047" s="230" t="n">
        <f aca="false">+YEARFRAC(M2047,$S$1)</f>
        <v>126.366666666667</v>
      </c>
      <c r="U2047" s="231" t="n">
        <f aca="false">+$I2047</f>
        <v>0</v>
      </c>
      <c r="V2047" s="232" t="str">
        <f aca="false">+PROPER(F2047)</f>
        <v/>
      </c>
    </row>
    <row r="2048" customFormat="false" ht="14.25" hidden="false" customHeight="false" outlineLevel="0" collapsed="false">
      <c r="B2048" s="244"/>
      <c r="C2048" s="245"/>
      <c r="D2048" s="245"/>
      <c r="E2048" s="246"/>
      <c r="F2048" s="246"/>
      <c r="G2048" s="225" t="e">
        <f aca="false">VLOOKUP(B2048,'NIVEL ENERO'!A:F,4,0)</f>
        <v>#N/A</v>
      </c>
      <c r="H2048" s="247"/>
      <c r="I2048" s="247"/>
      <c r="J2048" s="246"/>
      <c r="K2048" s="246"/>
      <c r="L2048" s="226"/>
      <c r="M2048" s="226"/>
      <c r="N2048" s="246"/>
      <c r="P2048" s="228"/>
      <c r="Q2048" s="245"/>
      <c r="R2048" s="186" t="str">
        <f aca="false">+PROPER(C2048&amp;" "&amp;D2048)</f>
        <v> </v>
      </c>
      <c r="S2048" s="230" t="n">
        <f aca="false">+YEARFRAC(L2048,$S$1)</f>
        <v>126.366666666667</v>
      </c>
      <c r="T2048" s="230" t="n">
        <f aca="false">+YEARFRAC(M2048,$S$1)</f>
        <v>126.366666666667</v>
      </c>
      <c r="U2048" s="231" t="n">
        <f aca="false">+$I2048</f>
        <v>0</v>
      </c>
      <c r="V2048" s="232" t="str">
        <f aca="false">+PROPER(F2048)</f>
        <v/>
      </c>
    </row>
    <row r="2049" customFormat="false" ht="14.25" hidden="false" customHeight="false" outlineLevel="0" collapsed="false">
      <c r="B2049" s="244"/>
      <c r="C2049" s="245"/>
      <c r="D2049" s="245"/>
      <c r="E2049" s="246"/>
      <c r="F2049" s="246"/>
      <c r="G2049" s="225" t="e">
        <f aca="false">VLOOKUP(B2049,'NIVEL ENERO'!A:F,4,0)</f>
        <v>#N/A</v>
      </c>
      <c r="H2049" s="247"/>
      <c r="I2049" s="247"/>
      <c r="J2049" s="246"/>
      <c r="K2049" s="246"/>
      <c r="L2049" s="226"/>
      <c r="M2049" s="226"/>
      <c r="N2049" s="246"/>
      <c r="P2049" s="228"/>
      <c r="Q2049" s="245"/>
      <c r="R2049" s="186" t="str">
        <f aca="false">+PROPER(C2049&amp;" "&amp;D2049)</f>
        <v> </v>
      </c>
      <c r="S2049" s="230" t="n">
        <f aca="false">+YEARFRAC(L2049,$S$1)</f>
        <v>126.366666666667</v>
      </c>
      <c r="T2049" s="230" t="n">
        <f aca="false">+YEARFRAC(M2049,$S$1)</f>
        <v>126.366666666667</v>
      </c>
      <c r="U2049" s="231" t="n">
        <f aca="false">+$I2049</f>
        <v>0</v>
      </c>
      <c r="V2049" s="232" t="str">
        <f aca="false">+PROPER(F2049)</f>
        <v/>
      </c>
    </row>
    <row r="2050" customFormat="false" ht="14.25" hidden="false" customHeight="false" outlineLevel="0" collapsed="false">
      <c r="B2050" s="244"/>
      <c r="C2050" s="245"/>
      <c r="D2050" s="245"/>
      <c r="E2050" s="246"/>
      <c r="F2050" s="246"/>
      <c r="G2050" s="225" t="e">
        <f aca="false">VLOOKUP(B2050,'NIVEL ENERO'!A:F,4,0)</f>
        <v>#N/A</v>
      </c>
      <c r="H2050" s="247"/>
      <c r="I2050" s="247"/>
      <c r="J2050" s="246"/>
      <c r="K2050" s="246"/>
      <c r="L2050" s="226"/>
      <c r="M2050" s="226"/>
      <c r="N2050" s="246"/>
      <c r="P2050" s="228"/>
      <c r="Q2050" s="245"/>
      <c r="R2050" s="186" t="str">
        <f aca="false">+PROPER(C2050&amp;" "&amp;D2050)</f>
        <v> </v>
      </c>
      <c r="S2050" s="230" t="n">
        <f aca="false">+YEARFRAC(L2050,$S$1)</f>
        <v>126.366666666667</v>
      </c>
      <c r="T2050" s="230" t="n">
        <f aca="false">+YEARFRAC(M2050,$S$1)</f>
        <v>126.366666666667</v>
      </c>
      <c r="U2050" s="231" t="n">
        <f aca="false">+$I2050</f>
        <v>0</v>
      </c>
      <c r="V2050" s="232" t="str">
        <f aca="false">+PROPER(F2050)</f>
        <v/>
      </c>
    </row>
    <row r="2051" customFormat="false" ht="14.25" hidden="false" customHeight="false" outlineLevel="0" collapsed="false">
      <c r="B2051" s="244"/>
      <c r="C2051" s="245"/>
      <c r="D2051" s="245"/>
      <c r="E2051" s="246"/>
      <c r="F2051" s="246"/>
      <c r="G2051" s="225" t="e">
        <f aca="false">VLOOKUP(B2051,'NIVEL ENERO'!A:F,4,0)</f>
        <v>#N/A</v>
      </c>
      <c r="H2051" s="247"/>
      <c r="I2051" s="247"/>
      <c r="J2051" s="246"/>
      <c r="K2051" s="246"/>
      <c r="L2051" s="226"/>
      <c r="M2051" s="226"/>
      <c r="N2051" s="246"/>
      <c r="P2051" s="228"/>
      <c r="Q2051" s="245"/>
      <c r="R2051" s="186" t="str">
        <f aca="false">+PROPER(C2051&amp;" "&amp;D2051)</f>
        <v> </v>
      </c>
      <c r="S2051" s="230" t="n">
        <f aca="false">+YEARFRAC(L2051,$S$1)</f>
        <v>126.366666666667</v>
      </c>
      <c r="T2051" s="230" t="n">
        <f aca="false">+YEARFRAC(M2051,$S$1)</f>
        <v>126.366666666667</v>
      </c>
      <c r="U2051" s="231" t="n">
        <f aca="false">+$I2051</f>
        <v>0</v>
      </c>
      <c r="V2051" s="232" t="str">
        <f aca="false">+PROPER(F2051)</f>
        <v/>
      </c>
    </row>
    <row r="2052" customFormat="false" ht="14.25" hidden="false" customHeight="false" outlineLevel="0" collapsed="false">
      <c r="B2052" s="244"/>
      <c r="C2052" s="245"/>
      <c r="D2052" s="245"/>
      <c r="E2052" s="246"/>
      <c r="F2052" s="246"/>
      <c r="G2052" s="225" t="e">
        <f aca="false">VLOOKUP(B2052,'NIVEL ENERO'!A:F,4,0)</f>
        <v>#N/A</v>
      </c>
      <c r="H2052" s="247"/>
      <c r="I2052" s="247"/>
      <c r="J2052" s="246"/>
      <c r="K2052" s="246"/>
      <c r="L2052" s="226"/>
      <c r="M2052" s="226"/>
      <c r="N2052" s="246"/>
      <c r="P2052" s="228"/>
      <c r="Q2052" s="245"/>
      <c r="R2052" s="186" t="str">
        <f aca="false">+PROPER(C2052&amp;" "&amp;D2052)</f>
        <v> </v>
      </c>
      <c r="S2052" s="230" t="n">
        <f aca="false">+YEARFRAC(L2052,$S$1)</f>
        <v>126.366666666667</v>
      </c>
      <c r="T2052" s="230" t="n">
        <f aca="false">+YEARFRAC(M2052,$S$1)</f>
        <v>126.366666666667</v>
      </c>
      <c r="U2052" s="231" t="n">
        <f aca="false">+$I2052</f>
        <v>0</v>
      </c>
      <c r="V2052" s="232" t="str">
        <f aca="false">+PROPER(F2052)</f>
        <v/>
      </c>
    </row>
    <row r="2053" customFormat="false" ht="14.25" hidden="false" customHeight="false" outlineLevel="0" collapsed="false">
      <c r="B2053" s="244"/>
      <c r="C2053" s="245"/>
      <c r="D2053" s="245"/>
      <c r="E2053" s="246"/>
      <c r="F2053" s="246"/>
      <c r="G2053" s="225" t="e">
        <f aca="false">VLOOKUP(B2053,'NIVEL ENERO'!A:F,4,0)</f>
        <v>#N/A</v>
      </c>
      <c r="H2053" s="247"/>
      <c r="I2053" s="247"/>
      <c r="J2053" s="246"/>
      <c r="K2053" s="246"/>
      <c r="L2053" s="226"/>
      <c r="M2053" s="226"/>
      <c r="N2053" s="246"/>
      <c r="P2053" s="228"/>
      <c r="Q2053" s="245"/>
      <c r="R2053" s="186" t="str">
        <f aca="false">+PROPER(C2053&amp;" "&amp;D2053)</f>
        <v> </v>
      </c>
      <c r="S2053" s="230" t="n">
        <f aca="false">+YEARFRAC(L2053,$S$1)</f>
        <v>126.366666666667</v>
      </c>
      <c r="T2053" s="230" t="n">
        <f aca="false">+YEARFRAC(M2053,$S$1)</f>
        <v>126.366666666667</v>
      </c>
      <c r="U2053" s="231" t="n">
        <f aca="false">+$I2053</f>
        <v>0</v>
      </c>
      <c r="V2053" s="232" t="str">
        <f aca="false">+PROPER(F2053)</f>
        <v/>
      </c>
    </row>
    <row r="2054" customFormat="false" ht="14.25" hidden="false" customHeight="false" outlineLevel="0" collapsed="false">
      <c r="B2054" s="244"/>
      <c r="C2054" s="245"/>
      <c r="D2054" s="245"/>
      <c r="E2054" s="246"/>
      <c r="F2054" s="246"/>
      <c r="G2054" s="225" t="e">
        <f aca="false">VLOOKUP(B2054,'NIVEL ENERO'!A:F,4,0)</f>
        <v>#N/A</v>
      </c>
      <c r="H2054" s="247"/>
      <c r="I2054" s="247"/>
      <c r="J2054" s="246"/>
      <c r="K2054" s="246"/>
      <c r="L2054" s="226"/>
      <c r="M2054" s="226"/>
      <c r="N2054" s="246"/>
      <c r="P2054" s="228"/>
      <c r="Q2054" s="245"/>
      <c r="R2054" s="186" t="str">
        <f aca="false">+PROPER(C2054&amp;" "&amp;D2054)</f>
        <v> </v>
      </c>
      <c r="S2054" s="230" t="n">
        <f aca="false">+YEARFRAC(L2054,$S$1)</f>
        <v>126.366666666667</v>
      </c>
      <c r="T2054" s="230" t="n">
        <f aca="false">+YEARFRAC(M2054,$S$1)</f>
        <v>126.366666666667</v>
      </c>
      <c r="U2054" s="231" t="n">
        <f aca="false">+$I2054</f>
        <v>0</v>
      </c>
      <c r="V2054" s="232" t="str">
        <f aca="false">+PROPER(F2054)</f>
        <v/>
      </c>
    </row>
    <row r="2055" customFormat="false" ht="14.25" hidden="false" customHeight="false" outlineLevel="0" collapsed="false">
      <c r="B2055" s="244"/>
      <c r="C2055" s="245"/>
      <c r="D2055" s="245"/>
      <c r="E2055" s="246"/>
      <c r="F2055" s="246"/>
      <c r="G2055" s="225" t="e">
        <f aca="false">VLOOKUP(B2055,'NIVEL ENERO'!A:F,4,0)</f>
        <v>#N/A</v>
      </c>
      <c r="H2055" s="247"/>
      <c r="I2055" s="247"/>
      <c r="J2055" s="246"/>
      <c r="K2055" s="246"/>
      <c r="L2055" s="226"/>
      <c r="M2055" s="226"/>
      <c r="N2055" s="246"/>
      <c r="P2055" s="228"/>
      <c r="Q2055" s="245"/>
      <c r="R2055" s="186" t="str">
        <f aca="false">+PROPER(C2055&amp;" "&amp;D2055)</f>
        <v> </v>
      </c>
      <c r="S2055" s="230" t="n">
        <f aca="false">+YEARFRAC(L2055,$S$1)</f>
        <v>126.366666666667</v>
      </c>
      <c r="T2055" s="230" t="n">
        <f aca="false">+YEARFRAC(M2055,$S$1)</f>
        <v>126.366666666667</v>
      </c>
      <c r="U2055" s="231" t="n">
        <f aca="false">+$I2055</f>
        <v>0</v>
      </c>
      <c r="V2055" s="232" t="str">
        <f aca="false">+PROPER(F2055)</f>
        <v/>
      </c>
    </row>
    <row r="2056" customFormat="false" ht="14.25" hidden="false" customHeight="false" outlineLevel="0" collapsed="false">
      <c r="B2056" s="244"/>
      <c r="C2056" s="245"/>
      <c r="D2056" s="245"/>
      <c r="E2056" s="246"/>
      <c r="F2056" s="246"/>
      <c r="G2056" s="225" t="e">
        <f aca="false">VLOOKUP(B2056,'NIVEL ENERO'!A:F,4,0)</f>
        <v>#N/A</v>
      </c>
      <c r="H2056" s="247"/>
      <c r="I2056" s="247"/>
      <c r="J2056" s="246"/>
      <c r="K2056" s="246"/>
      <c r="L2056" s="226"/>
      <c r="M2056" s="226"/>
      <c r="N2056" s="246"/>
      <c r="P2056" s="228"/>
      <c r="Q2056" s="245"/>
      <c r="R2056" s="186" t="str">
        <f aca="false">+PROPER(C2056&amp;" "&amp;D2056)</f>
        <v> </v>
      </c>
      <c r="S2056" s="230" t="n">
        <f aca="false">+YEARFRAC(L2056,$S$1)</f>
        <v>126.366666666667</v>
      </c>
      <c r="T2056" s="230" t="n">
        <f aca="false">+YEARFRAC(M2056,$S$1)</f>
        <v>126.366666666667</v>
      </c>
      <c r="U2056" s="231" t="n">
        <f aca="false">+$I2056</f>
        <v>0</v>
      </c>
      <c r="V2056" s="232" t="str">
        <f aca="false">+PROPER(F2056)</f>
        <v/>
      </c>
    </row>
    <row r="2057" customFormat="false" ht="14.25" hidden="false" customHeight="false" outlineLevel="0" collapsed="false">
      <c r="B2057" s="244"/>
      <c r="C2057" s="245"/>
      <c r="D2057" s="245"/>
      <c r="E2057" s="246"/>
      <c r="F2057" s="246"/>
      <c r="G2057" s="225" t="e">
        <f aca="false">VLOOKUP(B2057,'NIVEL ENERO'!A:F,4,0)</f>
        <v>#N/A</v>
      </c>
      <c r="H2057" s="247"/>
      <c r="I2057" s="247"/>
      <c r="J2057" s="246"/>
      <c r="K2057" s="246"/>
      <c r="L2057" s="226"/>
      <c r="M2057" s="226"/>
      <c r="N2057" s="246"/>
      <c r="P2057" s="228"/>
      <c r="Q2057" s="245"/>
      <c r="R2057" s="186" t="str">
        <f aca="false">+PROPER(C2057&amp;" "&amp;D2057)</f>
        <v> </v>
      </c>
      <c r="S2057" s="230" t="n">
        <f aca="false">+YEARFRAC(L2057,$S$1)</f>
        <v>126.366666666667</v>
      </c>
      <c r="T2057" s="230" t="n">
        <f aca="false">+YEARFRAC(M2057,$S$1)</f>
        <v>126.366666666667</v>
      </c>
      <c r="U2057" s="231" t="n">
        <f aca="false">+$I2057</f>
        <v>0</v>
      </c>
      <c r="V2057" s="232" t="str">
        <f aca="false">+PROPER(F2057)</f>
        <v/>
      </c>
    </row>
    <row r="2058" customFormat="false" ht="14.25" hidden="false" customHeight="false" outlineLevel="0" collapsed="false">
      <c r="B2058" s="244"/>
      <c r="C2058" s="245"/>
      <c r="D2058" s="245"/>
      <c r="E2058" s="246"/>
      <c r="F2058" s="246"/>
      <c r="G2058" s="225" t="e">
        <f aca="false">VLOOKUP(B2058,'NIVEL ENERO'!A:F,4,0)</f>
        <v>#N/A</v>
      </c>
      <c r="H2058" s="247"/>
      <c r="I2058" s="247"/>
      <c r="J2058" s="246"/>
      <c r="K2058" s="246"/>
      <c r="L2058" s="226"/>
      <c r="M2058" s="226"/>
      <c r="N2058" s="246"/>
      <c r="P2058" s="228"/>
      <c r="Q2058" s="245"/>
      <c r="R2058" s="186" t="str">
        <f aca="false">+PROPER(C2058&amp;" "&amp;D2058)</f>
        <v> </v>
      </c>
      <c r="S2058" s="230" t="n">
        <f aca="false">+YEARFRAC(L2058,$S$1)</f>
        <v>126.366666666667</v>
      </c>
      <c r="T2058" s="230" t="n">
        <f aca="false">+YEARFRAC(M2058,$S$1)</f>
        <v>126.366666666667</v>
      </c>
      <c r="U2058" s="231" t="n">
        <f aca="false">+$I2058</f>
        <v>0</v>
      </c>
      <c r="V2058" s="232" t="str">
        <f aca="false">+PROPER(F2058)</f>
        <v/>
      </c>
    </row>
    <row r="2059" customFormat="false" ht="14.25" hidden="false" customHeight="false" outlineLevel="0" collapsed="false">
      <c r="B2059" s="244"/>
      <c r="C2059" s="245"/>
      <c r="D2059" s="245"/>
      <c r="E2059" s="246"/>
      <c r="F2059" s="246"/>
      <c r="G2059" s="225" t="e">
        <f aca="false">VLOOKUP(B2059,'NIVEL ENERO'!A:F,4,0)</f>
        <v>#N/A</v>
      </c>
      <c r="H2059" s="247"/>
      <c r="I2059" s="247"/>
      <c r="J2059" s="246"/>
      <c r="K2059" s="246"/>
      <c r="L2059" s="226"/>
      <c r="M2059" s="226"/>
      <c r="N2059" s="246"/>
      <c r="P2059" s="228"/>
      <c r="Q2059" s="245"/>
      <c r="R2059" s="186" t="str">
        <f aca="false">+PROPER(C2059&amp;" "&amp;D2059)</f>
        <v> </v>
      </c>
      <c r="S2059" s="230" t="n">
        <f aca="false">+YEARFRAC(L2059,$S$1)</f>
        <v>126.366666666667</v>
      </c>
      <c r="T2059" s="230" t="n">
        <f aca="false">+YEARFRAC(M2059,$S$1)</f>
        <v>126.366666666667</v>
      </c>
      <c r="U2059" s="231" t="n">
        <f aca="false">+$I2059</f>
        <v>0</v>
      </c>
      <c r="V2059" s="232" t="str">
        <f aca="false">+PROPER(F2059)</f>
        <v/>
      </c>
    </row>
    <row r="2060" customFormat="false" ht="14.25" hidden="false" customHeight="false" outlineLevel="0" collapsed="false">
      <c r="B2060" s="244"/>
      <c r="C2060" s="245"/>
      <c r="D2060" s="245"/>
      <c r="E2060" s="246"/>
      <c r="F2060" s="246"/>
      <c r="G2060" s="225" t="e">
        <f aca="false">VLOOKUP(B2060,'NIVEL ENERO'!A:F,4,0)</f>
        <v>#N/A</v>
      </c>
      <c r="H2060" s="247"/>
      <c r="I2060" s="247"/>
      <c r="J2060" s="246"/>
      <c r="K2060" s="246"/>
      <c r="L2060" s="226"/>
      <c r="M2060" s="226"/>
      <c r="N2060" s="246"/>
      <c r="P2060" s="228"/>
      <c r="Q2060" s="245"/>
      <c r="R2060" s="186" t="str">
        <f aca="false">+PROPER(C2060&amp;" "&amp;D2060)</f>
        <v> </v>
      </c>
      <c r="S2060" s="230" t="n">
        <f aca="false">+YEARFRAC(L2060,$S$1)</f>
        <v>126.366666666667</v>
      </c>
      <c r="T2060" s="230" t="n">
        <f aca="false">+YEARFRAC(M2060,$S$1)</f>
        <v>126.366666666667</v>
      </c>
      <c r="U2060" s="231" t="n">
        <f aca="false">+$I2060</f>
        <v>0</v>
      </c>
      <c r="V2060" s="232" t="str">
        <f aca="false">+PROPER(F2060)</f>
        <v/>
      </c>
    </row>
    <row r="2061" customFormat="false" ht="14.25" hidden="false" customHeight="false" outlineLevel="0" collapsed="false">
      <c r="B2061" s="244"/>
      <c r="C2061" s="245"/>
      <c r="D2061" s="245"/>
      <c r="E2061" s="246"/>
      <c r="F2061" s="246"/>
      <c r="G2061" s="225" t="e">
        <f aca="false">VLOOKUP(B2061,'NIVEL ENERO'!A:F,4,0)</f>
        <v>#N/A</v>
      </c>
      <c r="H2061" s="247"/>
      <c r="I2061" s="247"/>
      <c r="J2061" s="246"/>
      <c r="K2061" s="246"/>
      <c r="L2061" s="226"/>
      <c r="M2061" s="226"/>
      <c r="N2061" s="246"/>
      <c r="P2061" s="228"/>
      <c r="Q2061" s="245"/>
      <c r="R2061" s="186" t="str">
        <f aca="false">+PROPER(C2061&amp;" "&amp;D2061)</f>
        <v> </v>
      </c>
      <c r="S2061" s="230" t="n">
        <f aca="false">+YEARFRAC(L2061,$S$1)</f>
        <v>126.366666666667</v>
      </c>
      <c r="T2061" s="230" t="n">
        <f aca="false">+YEARFRAC(M2061,$S$1)</f>
        <v>126.366666666667</v>
      </c>
      <c r="U2061" s="231" t="n">
        <f aca="false">+$I2061</f>
        <v>0</v>
      </c>
      <c r="V2061" s="232" t="str">
        <f aca="false">+PROPER(F2061)</f>
        <v/>
      </c>
    </row>
    <row r="2062" customFormat="false" ht="14.25" hidden="false" customHeight="false" outlineLevel="0" collapsed="false">
      <c r="B2062" s="244"/>
      <c r="C2062" s="245"/>
      <c r="D2062" s="245"/>
      <c r="E2062" s="246"/>
      <c r="F2062" s="246"/>
      <c r="G2062" s="225" t="e">
        <f aca="false">VLOOKUP(B2062,'NIVEL ENERO'!A:F,4,0)</f>
        <v>#N/A</v>
      </c>
      <c r="H2062" s="247"/>
      <c r="I2062" s="247"/>
      <c r="J2062" s="246"/>
      <c r="K2062" s="246"/>
      <c r="L2062" s="226"/>
      <c r="M2062" s="226"/>
      <c r="N2062" s="246"/>
      <c r="P2062" s="228"/>
      <c r="Q2062" s="245"/>
      <c r="R2062" s="186" t="str">
        <f aca="false">+PROPER(C2062&amp;" "&amp;D2062)</f>
        <v> </v>
      </c>
      <c r="S2062" s="230" t="n">
        <f aca="false">+YEARFRAC(L2062,$S$1)</f>
        <v>126.366666666667</v>
      </c>
      <c r="T2062" s="230" t="n">
        <f aca="false">+YEARFRAC(M2062,$S$1)</f>
        <v>126.366666666667</v>
      </c>
      <c r="U2062" s="231" t="n">
        <f aca="false">+$I2062</f>
        <v>0</v>
      </c>
      <c r="V2062" s="232" t="str">
        <f aca="false">+PROPER(F2062)</f>
        <v/>
      </c>
    </row>
    <row r="2063" customFormat="false" ht="14.25" hidden="false" customHeight="false" outlineLevel="0" collapsed="false">
      <c r="B2063" s="244"/>
      <c r="C2063" s="245"/>
      <c r="D2063" s="245"/>
      <c r="E2063" s="246"/>
      <c r="F2063" s="246"/>
      <c r="G2063" s="225" t="e">
        <f aca="false">VLOOKUP(B2063,'NIVEL ENERO'!A:F,4,0)</f>
        <v>#N/A</v>
      </c>
      <c r="H2063" s="247"/>
      <c r="I2063" s="247"/>
      <c r="J2063" s="246"/>
      <c r="K2063" s="246"/>
      <c r="L2063" s="226"/>
      <c r="M2063" s="226"/>
      <c r="N2063" s="246"/>
      <c r="P2063" s="228"/>
      <c r="Q2063" s="245"/>
      <c r="R2063" s="186" t="str">
        <f aca="false">+PROPER(C2063&amp;" "&amp;D2063)</f>
        <v> </v>
      </c>
      <c r="S2063" s="230" t="n">
        <f aca="false">+YEARFRAC(L2063,$S$1)</f>
        <v>126.366666666667</v>
      </c>
      <c r="T2063" s="230" t="n">
        <f aca="false">+YEARFRAC(M2063,$S$1)</f>
        <v>126.366666666667</v>
      </c>
      <c r="U2063" s="231" t="n">
        <f aca="false">+$I2063</f>
        <v>0</v>
      </c>
      <c r="V2063" s="232" t="str">
        <f aca="false">+PROPER(F2063)</f>
        <v/>
      </c>
    </row>
    <row r="2064" customFormat="false" ht="14.25" hidden="false" customHeight="false" outlineLevel="0" collapsed="false">
      <c r="B2064" s="244"/>
      <c r="C2064" s="245"/>
      <c r="D2064" s="245"/>
      <c r="E2064" s="246"/>
      <c r="F2064" s="246"/>
      <c r="G2064" s="225" t="e">
        <f aca="false">VLOOKUP(B2064,'NIVEL ENERO'!A:F,4,0)</f>
        <v>#N/A</v>
      </c>
      <c r="H2064" s="247"/>
      <c r="I2064" s="247"/>
      <c r="J2064" s="246"/>
      <c r="K2064" s="246"/>
      <c r="L2064" s="226"/>
      <c r="M2064" s="226"/>
      <c r="N2064" s="246"/>
      <c r="P2064" s="228"/>
      <c r="Q2064" s="245"/>
      <c r="R2064" s="186" t="str">
        <f aca="false">+PROPER(C2064&amp;" "&amp;D2064)</f>
        <v> </v>
      </c>
      <c r="S2064" s="230" t="n">
        <f aca="false">+YEARFRAC(L2064,$S$1)</f>
        <v>126.366666666667</v>
      </c>
      <c r="T2064" s="230" t="n">
        <f aca="false">+YEARFRAC(M2064,$S$1)</f>
        <v>126.366666666667</v>
      </c>
      <c r="U2064" s="231" t="n">
        <f aca="false">+$I2064</f>
        <v>0</v>
      </c>
      <c r="V2064" s="232" t="str">
        <f aca="false">+PROPER(F2064)</f>
        <v/>
      </c>
    </row>
    <row r="2065" customFormat="false" ht="14.25" hidden="false" customHeight="false" outlineLevel="0" collapsed="false">
      <c r="B2065" s="244"/>
      <c r="C2065" s="245"/>
      <c r="D2065" s="245"/>
      <c r="E2065" s="246"/>
      <c r="F2065" s="246"/>
      <c r="G2065" s="225" t="e">
        <f aca="false">VLOOKUP(B2065,'NIVEL ENERO'!A:F,4,0)</f>
        <v>#N/A</v>
      </c>
      <c r="H2065" s="247"/>
      <c r="I2065" s="247"/>
      <c r="J2065" s="246"/>
      <c r="K2065" s="246"/>
      <c r="L2065" s="226"/>
      <c r="M2065" s="226"/>
      <c r="N2065" s="246"/>
      <c r="P2065" s="228"/>
      <c r="Q2065" s="245"/>
      <c r="R2065" s="186" t="str">
        <f aca="false">+PROPER(C2065&amp;" "&amp;D2065)</f>
        <v> </v>
      </c>
      <c r="S2065" s="230" t="n">
        <f aca="false">+YEARFRAC(L2065,$S$1)</f>
        <v>126.366666666667</v>
      </c>
      <c r="T2065" s="230" t="n">
        <f aca="false">+YEARFRAC(M2065,$S$1)</f>
        <v>126.366666666667</v>
      </c>
      <c r="U2065" s="231" t="n">
        <f aca="false">+$I2065</f>
        <v>0</v>
      </c>
      <c r="V2065" s="232" t="str">
        <f aca="false">+PROPER(F2065)</f>
        <v/>
      </c>
    </row>
    <row r="2066" customFormat="false" ht="14.25" hidden="false" customHeight="false" outlineLevel="0" collapsed="false">
      <c r="B2066" s="244"/>
      <c r="C2066" s="245"/>
      <c r="D2066" s="245"/>
      <c r="E2066" s="246"/>
      <c r="F2066" s="246"/>
      <c r="G2066" s="225" t="e">
        <f aca="false">VLOOKUP(B2066,'NIVEL ENERO'!A:F,4,0)</f>
        <v>#N/A</v>
      </c>
      <c r="H2066" s="247"/>
      <c r="I2066" s="247"/>
      <c r="J2066" s="246"/>
      <c r="K2066" s="246"/>
      <c r="L2066" s="226"/>
      <c r="M2066" s="226"/>
      <c r="N2066" s="246"/>
      <c r="P2066" s="228"/>
      <c r="Q2066" s="245"/>
      <c r="R2066" s="186" t="str">
        <f aca="false">+PROPER(C2066&amp;" "&amp;D2066)</f>
        <v> </v>
      </c>
      <c r="S2066" s="230" t="n">
        <f aca="false">+YEARFRAC(L2066,$S$1)</f>
        <v>126.366666666667</v>
      </c>
      <c r="T2066" s="230" t="n">
        <f aca="false">+YEARFRAC(M2066,$S$1)</f>
        <v>126.366666666667</v>
      </c>
      <c r="U2066" s="231" t="n">
        <f aca="false">+$I2066</f>
        <v>0</v>
      </c>
      <c r="V2066" s="232" t="str">
        <f aca="false">+PROPER(F2066)</f>
        <v/>
      </c>
    </row>
    <row r="2067" customFormat="false" ht="14.25" hidden="false" customHeight="false" outlineLevel="0" collapsed="false">
      <c r="B2067" s="244"/>
      <c r="C2067" s="245"/>
      <c r="D2067" s="245"/>
      <c r="E2067" s="246"/>
      <c r="F2067" s="246"/>
      <c r="G2067" s="225" t="e">
        <f aca="false">VLOOKUP(B2067,'NIVEL ENERO'!A:F,4,0)</f>
        <v>#N/A</v>
      </c>
      <c r="H2067" s="247"/>
      <c r="I2067" s="247"/>
      <c r="J2067" s="246"/>
      <c r="K2067" s="246"/>
      <c r="L2067" s="226"/>
      <c r="M2067" s="226"/>
      <c r="N2067" s="246"/>
      <c r="P2067" s="228"/>
      <c r="Q2067" s="245"/>
      <c r="R2067" s="186" t="str">
        <f aca="false">+PROPER(C2067&amp;" "&amp;D2067)</f>
        <v> </v>
      </c>
      <c r="S2067" s="230" t="n">
        <f aca="false">+YEARFRAC(L2067,$S$1)</f>
        <v>126.366666666667</v>
      </c>
      <c r="T2067" s="230" t="n">
        <f aca="false">+YEARFRAC(M2067,$S$1)</f>
        <v>126.366666666667</v>
      </c>
      <c r="U2067" s="231" t="n">
        <f aca="false">+$I2067</f>
        <v>0</v>
      </c>
      <c r="V2067" s="232" t="str">
        <f aca="false">+PROPER(F2067)</f>
        <v/>
      </c>
    </row>
    <row r="2068" customFormat="false" ht="14.25" hidden="false" customHeight="false" outlineLevel="0" collapsed="false">
      <c r="B2068" s="244"/>
      <c r="C2068" s="245"/>
      <c r="D2068" s="245"/>
      <c r="E2068" s="246"/>
      <c r="F2068" s="246"/>
      <c r="G2068" s="225" t="e">
        <f aca="false">VLOOKUP(B2068,'NIVEL ENERO'!A:F,4,0)</f>
        <v>#N/A</v>
      </c>
      <c r="H2068" s="247"/>
      <c r="I2068" s="247"/>
      <c r="J2068" s="246"/>
      <c r="K2068" s="246"/>
      <c r="L2068" s="226"/>
      <c r="M2068" s="226"/>
      <c r="N2068" s="246"/>
      <c r="P2068" s="228"/>
      <c r="Q2068" s="245"/>
      <c r="R2068" s="186" t="str">
        <f aca="false">+PROPER(C2068&amp;" "&amp;D2068)</f>
        <v> </v>
      </c>
      <c r="S2068" s="230" t="n">
        <f aca="false">+YEARFRAC(L2068,$S$1)</f>
        <v>126.366666666667</v>
      </c>
      <c r="T2068" s="230" t="n">
        <f aca="false">+YEARFRAC(M2068,$S$1)</f>
        <v>126.366666666667</v>
      </c>
      <c r="U2068" s="231" t="n">
        <f aca="false">+$I2068</f>
        <v>0</v>
      </c>
      <c r="V2068" s="232" t="str">
        <f aca="false">+PROPER(F2068)</f>
        <v/>
      </c>
    </row>
    <row r="2069" customFormat="false" ht="14.25" hidden="false" customHeight="false" outlineLevel="0" collapsed="false">
      <c r="B2069" s="244"/>
      <c r="C2069" s="245"/>
      <c r="D2069" s="245"/>
      <c r="E2069" s="246"/>
      <c r="F2069" s="246"/>
      <c r="G2069" s="225" t="e">
        <f aca="false">VLOOKUP(B2069,'NIVEL ENERO'!A:F,4,0)</f>
        <v>#N/A</v>
      </c>
      <c r="H2069" s="247"/>
      <c r="I2069" s="247"/>
      <c r="J2069" s="246"/>
      <c r="K2069" s="246"/>
      <c r="L2069" s="226"/>
      <c r="M2069" s="226"/>
      <c r="N2069" s="246"/>
      <c r="P2069" s="228"/>
      <c r="Q2069" s="245"/>
      <c r="R2069" s="186" t="str">
        <f aca="false">+PROPER(C2069&amp;" "&amp;D2069)</f>
        <v> </v>
      </c>
      <c r="S2069" s="230" t="n">
        <f aca="false">+YEARFRAC(L2069,$S$1)</f>
        <v>126.366666666667</v>
      </c>
      <c r="T2069" s="230" t="n">
        <f aca="false">+YEARFRAC(M2069,$S$1)</f>
        <v>126.366666666667</v>
      </c>
      <c r="U2069" s="231" t="n">
        <f aca="false">+$I2069</f>
        <v>0</v>
      </c>
      <c r="V2069" s="232" t="str">
        <f aca="false">+PROPER(F2069)</f>
        <v/>
      </c>
    </row>
    <row r="2070" customFormat="false" ht="14.25" hidden="false" customHeight="false" outlineLevel="0" collapsed="false">
      <c r="B2070" s="244"/>
      <c r="C2070" s="245"/>
      <c r="D2070" s="245"/>
      <c r="E2070" s="246"/>
      <c r="F2070" s="246"/>
      <c r="G2070" s="225" t="e">
        <f aca="false">VLOOKUP(B2070,'NIVEL ENERO'!A:F,4,0)</f>
        <v>#N/A</v>
      </c>
      <c r="H2070" s="247"/>
      <c r="I2070" s="247"/>
      <c r="J2070" s="246"/>
      <c r="K2070" s="246"/>
      <c r="L2070" s="226"/>
      <c r="M2070" s="226"/>
      <c r="N2070" s="246"/>
      <c r="P2070" s="228"/>
      <c r="Q2070" s="245"/>
      <c r="R2070" s="186" t="str">
        <f aca="false">+PROPER(C2070&amp;" "&amp;D2070)</f>
        <v> </v>
      </c>
      <c r="S2070" s="230" t="n">
        <f aca="false">+YEARFRAC(L2070,$S$1)</f>
        <v>126.366666666667</v>
      </c>
      <c r="T2070" s="230" t="n">
        <f aca="false">+YEARFRAC(M2070,$S$1)</f>
        <v>126.366666666667</v>
      </c>
      <c r="U2070" s="231" t="n">
        <f aca="false">+$I2070</f>
        <v>0</v>
      </c>
      <c r="V2070" s="232" t="str">
        <f aca="false">+PROPER(F2070)</f>
        <v/>
      </c>
    </row>
    <row r="2071" customFormat="false" ht="14.25" hidden="false" customHeight="false" outlineLevel="0" collapsed="false">
      <c r="B2071" s="244"/>
      <c r="C2071" s="245"/>
      <c r="D2071" s="245"/>
      <c r="E2071" s="246"/>
      <c r="F2071" s="246"/>
      <c r="G2071" s="225" t="e">
        <f aca="false">VLOOKUP(B2071,'NIVEL ENERO'!A:F,4,0)</f>
        <v>#N/A</v>
      </c>
      <c r="H2071" s="247"/>
      <c r="I2071" s="247"/>
      <c r="J2071" s="246"/>
      <c r="K2071" s="246"/>
      <c r="L2071" s="226"/>
      <c r="M2071" s="226"/>
      <c r="N2071" s="246"/>
      <c r="P2071" s="228"/>
      <c r="Q2071" s="245"/>
      <c r="R2071" s="186" t="str">
        <f aca="false">+PROPER(C2071&amp;" "&amp;D2071)</f>
        <v> </v>
      </c>
      <c r="S2071" s="230" t="n">
        <f aca="false">+YEARFRAC(L2071,$S$1)</f>
        <v>126.366666666667</v>
      </c>
      <c r="T2071" s="230" t="n">
        <f aca="false">+YEARFRAC(M2071,$S$1)</f>
        <v>126.366666666667</v>
      </c>
      <c r="U2071" s="231" t="n">
        <f aca="false">+$I2071</f>
        <v>0</v>
      </c>
      <c r="V2071" s="232" t="str">
        <f aca="false">+PROPER(F2071)</f>
        <v/>
      </c>
    </row>
    <row r="2072" customFormat="false" ht="14.25" hidden="false" customHeight="false" outlineLevel="0" collapsed="false">
      <c r="B2072" s="244"/>
      <c r="C2072" s="245"/>
      <c r="D2072" s="245"/>
      <c r="E2072" s="246"/>
      <c r="F2072" s="246"/>
      <c r="G2072" s="225" t="e">
        <f aca="false">VLOOKUP(B2072,'NIVEL ENERO'!A:F,4,0)</f>
        <v>#N/A</v>
      </c>
      <c r="H2072" s="247"/>
      <c r="I2072" s="247"/>
      <c r="J2072" s="246"/>
      <c r="K2072" s="246"/>
      <c r="L2072" s="226"/>
      <c r="M2072" s="226"/>
      <c r="N2072" s="246"/>
      <c r="P2072" s="228"/>
      <c r="Q2072" s="245"/>
      <c r="R2072" s="186" t="str">
        <f aca="false">+PROPER(C2072&amp;" "&amp;D2072)</f>
        <v> </v>
      </c>
      <c r="S2072" s="230" t="n">
        <f aca="false">+YEARFRAC(L2072,$S$1)</f>
        <v>126.366666666667</v>
      </c>
      <c r="T2072" s="230" t="n">
        <f aca="false">+YEARFRAC(M2072,$S$1)</f>
        <v>126.366666666667</v>
      </c>
      <c r="U2072" s="231" t="n">
        <f aca="false">+$I2072</f>
        <v>0</v>
      </c>
      <c r="V2072" s="232" t="str">
        <f aca="false">+PROPER(F2072)</f>
        <v/>
      </c>
    </row>
    <row r="2073" customFormat="false" ht="14.25" hidden="false" customHeight="false" outlineLevel="0" collapsed="false">
      <c r="B2073" s="244"/>
      <c r="C2073" s="245"/>
      <c r="D2073" s="245"/>
      <c r="E2073" s="246"/>
      <c r="F2073" s="246"/>
      <c r="G2073" s="225" t="e">
        <f aca="false">VLOOKUP(B2073,'NIVEL ENERO'!A:F,4,0)</f>
        <v>#N/A</v>
      </c>
      <c r="H2073" s="247"/>
      <c r="I2073" s="247"/>
      <c r="J2073" s="246"/>
      <c r="K2073" s="246"/>
      <c r="L2073" s="226"/>
      <c r="M2073" s="226"/>
      <c r="N2073" s="246"/>
      <c r="P2073" s="228"/>
      <c r="Q2073" s="245"/>
      <c r="R2073" s="186" t="str">
        <f aca="false">+PROPER(C2073&amp;" "&amp;D2073)</f>
        <v> </v>
      </c>
      <c r="S2073" s="230" t="n">
        <f aca="false">+YEARFRAC(L2073,$S$1)</f>
        <v>126.366666666667</v>
      </c>
      <c r="T2073" s="230" t="n">
        <f aca="false">+YEARFRAC(M2073,$S$1)</f>
        <v>126.366666666667</v>
      </c>
      <c r="U2073" s="231" t="n">
        <f aca="false">+$I2073</f>
        <v>0</v>
      </c>
      <c r="V2073" s="232" t="str">
        <f aca="false">+PROPER(F2073)</f>
        <v/>
      </c>
    </row>
    <row r="2074" customFormat="false" ht="14.25" hidden="false" customHeight="false" outlineLevel="0" collapsed="false">
      <c r="B2074" s="244"/>
      <c r="C2074" s="245"/>
      <c r="D2074" s="245"/>
      <c r="E2074" s="246"/>
      <c r="F2074" s="246"/>
      <c r="G2074" s="225" t="e">
        <f aca="false">VLOOKUP(B2074,'NIVEL ENERO'!A:F,4,0)</f>
        <v>#N/A</v>
      </c>
      <c r="H2074" s="247"/>
      <c r="I2074" s="247"/>
      <c r="J2074" s="246"/>
      <c r="K2074" s="246"/>
      <c r="L2074" s="226"/>
      <c r="M2074" s="226"/>
      <c r="N2074" s="246"/>
      <c r="P2074" s="228"/>
      <c r="Q2074" s="245"/>
      <c r="R2074" s="186" t="str">
        <f aca="false">+PROPER(C2074&amp;" "&amp;D2074)</f>
        <v> </v>
      </c>
      <c r="S2074" s="230" t="n">
        <f aca="false">+YEARFRAC(L2074,$S$1)</f>
        <v>126.366666666667</v>
      </c>
      <c r="T2074" s="230" t="n">
        <f aca="false">+YEARFRAC(M2074,$S$1)</f>
        <v>126.366666666667</v>
      </c>
      <c r="U2074" s="231" t="n">
        <f aca="false">+$I2074</f>
        <v>0</v>
      </c>
      <c r="V2074" s="232" t="str">
        <f aca="false">+PROPER(F2074)</f>
        <v/>
      </c>
    </row>
    <row r="2075" customFormat="false" ht="14.25" hidden="false" customHeight="false" outlineLevel="0" collapsed="false">
      <c r="B2075" s="244"/>
      <c r="C2075" s="245"/>
      <c r="D2075" s="245"/>
      <c r="E2075" s="246"/>
      <c r="F2075" s="246"/>
      <c r="G2075" s="225" t="e">
        <f aca="false">VLOOKUP(B2075,'NIVEL ENERO'!A:F,4,0)</f>
        <v>#N/A</v>
      </c>
      <c r="H2075" s="247"/>
      <c r="I2075" s="247"/>
      <c r="J2075" s="246"/>
      <c r="K2075" s="246"/>
      <c r="L2075" s="226"/>
      <c r="M2075" s="226"/>
      <c r="N2075" s="246"/>
      <c r="P2075" s="228"/>
      <c r="Q2075" s="245"/>
      <c r="R2075" s="186" t="str">
        <f aca="false">+PROPER(C2075&amp;" "&amp;D2075)</f>
        <v> </v>
      </c>
      <c r="S2075" s="230" t="n">
        <f aca="false">+YEARFRAC(L2075,$S$1)</f>
        <v>126.366666666667</v>
      </c>
      <c r="T2075" s="230" t="n">
        <f aca="false">+YEARFRAC(M2075,$S$1)</f>
        <v>126.366666666667</v>
      </c>
      <c r="U2075" s="231" t="n">
        <f aca="false">+$I2075</f>
        <v>0</v>
      </c>
      <c r="V2075" s="232" t="str">
        <f aca="false">+PROPER(F2075)</f>
        <v/>
      </c>
    </row>
    <row r="2076" customFormat="false" ht="14.25" hidden="false" customHeight="false" outlineLevel="0" collapsed="false">
      <c r="B2076" s="244"/>
      <c r="C2076" s="245"/>
      <c r="D2076" s="245"/>
      <c r="E2076" s="246"/>
      <c r="F2076" s="246"/>
      <c r="G2076" s="225" t="e">
        <f aca="false">VLOOKUP(B2076,'NIVEL ENERO'!A:F,4,0)</f>
        <v>#N/A</v>
      </c>
      <c r="H2076" s="247"/>
      <c r="I2076" s="247"/>
      <c r="J2076" s="246"/>
      <c r="K2076" s="246"/>
      <c r="L2076" s="226"/>
      <c r="M2076" s="226"/>
      <c r="N2076" s="246"/>
      <c r="P2076" s="228"/>
      <c r="Q2076" s="245"/>
      <c r="R2076" s="186" t="str">
        <f aca="false">+PROPER(C2076&amp;" "&amp;D2076)</f>
        <v> </v>
      </c>
      <c r="S2076" s="230" t="n">
        <f aca="false">+YEARFRAC(L2076,$S$1)</f>
        <v>126.366666666667</v>
      </c>
      <c r="T2076" s="230" t="n">
        <f aca="false">+YEARFRAC(M2076,$S$1)</f>
        <v>126.366666666667</v>
      </c>
      <c r="U2076" s="231" t="n">
        <f aca="false">+$I2076</f>
        <v>0</v>
      </c>
      <c r="V2076" s="232" t="str">
        <f aca="false">+PROPER(F2076)</f>
        <v/>
      </c>
    </row>
    <row r="2077" customFormat="false" ht="14.25" hidden="false" customHeight="false" outlineLevel="0" collapsed="false">
      <c r="B2077" s="244"/>
      <c r="C2077" s="245"/>
      <c r="D2077" s="245"/>
      <c r="E2077" s="246"/>
      <c r="F2077" s="246"/>
      <c r="G2077" s="225" t="e">
        <f aca="false">VLOOKUP(B2077,'NIVEL ENERO'!A:F,4,0)</f>
        <v>#N/A</v>
      </c>
      <c r="H2077" s="247"/>
      <c r="I2077" s="247"/>
      <c r="J2077" s="246"/>
      <c r="K2077" s="246"/>
      <c r="L2077" s="226"/>
      <c r="M2077" s="226"/>
      <c r="N2077" s="246"/>
      <c r="P2077" s="228"/>
      <c r="Q2077" s="245"/>
      <c r="R2077" s="186" t="str">
        <f aca="false">+PROPER(C2077&amp;" "&amp;D2077)</f>
        <v> </v>
      </c>
      <c r="S2077" s="230" t="n">
        <f aca="false">+YEARFRAC(L2077,$S$1)</f>
        <v>126.366666666667</v>
      </c>
      <c r="T2077" s="230" t="n">
        <f aca="false">+YEARFRAC(M2077,$S$1)</f>
        <v>126.366666666667</v>
      </c>
      <c r="U2077" s="231" t="n">
        <f aca="false">+$I2077</f>
        <v>0</v>
      </c>
      <c r="V2077" s="232" t="str">
        <f aca="false">+PROPER(F2077)</f>
        <v/>
      </c>
    </row>
    <row r="2078" customFormat="false" ht="14.25" hidden="false" customHeight="false" outlineLevel="0" collapsed="false">
      <c r="B2078" s="244"/>
      <c r="C2078" s="245"/>
      <c r="D2078" s="245"/>
      <c r="E2078" s="246"/>
      <c r="F2078" s="246"/>
      <c r="G2078" s="225" t="e">
        <f aca="false">VLOOKUP(B2078,'NIVEL ENERO'!A:F,4,0)</f>
        <v>#N/A</v>
      </c>
      <c r="H2078" s="247"/>
      <c r="I2078" s="247"/>
      <c r="J2078" s="246"/>
      <c r="K2078" s="246"/>
      <c r="L2078" s="226"/>
      <c r="M2078" s="226"/>
      <c r="N2078" s="246"/>
      <c r="P2078" s="228"/>
      <c r="Q2078" s="245"/>
      <c r="R2078" s="186" t="str">
        <f aca="false">+PROPER(C2078&amp;" "&amp;D2078)</f>
        <v> </v>
      </c>
      <c r="S2078" s="230" t="n">
        <f aca="false">+YEARFRAC(L2078,$S$1)</f>
        <v>126.366666666667</v>
      </c>
      <c r="T2078" s="230" t="n">
        <f aca="false">+YEARFRAC(M2078,$S$1)</f>
        <v>126.366666666667</v>
      </c>
      <c r="U2078" s="231" t="n">
        <f aca="false">+$I2078</f>
        <v>0</v>
      </c>
      <c r="V2078" s="232" t="str">
        <f aca="false">+PROPER(F2078)</f>
        <v/>
      </c>
    </row>
    <row r="2079" customFormat="false" ht="14.25" hidden="false" customHeight="false" outlineLevel="0" collapsed="false">
      <c r="B2079" s="244"/>
      <c r="C2079" s="245"/>
      <c r="D2079" s="245"/>
      <c r="E2079" s="246"/>
      <c r="F2079" s="246"/>
      <c r="G2079" s="225" t="e">
        <f aca="false">VLOOKUP(B2079,'NIVEL ENERO'!A:F,4,0)</f>
        <v>#N/A</v>
      </c>
      <c r="H2079" s="247"/>
      <c r="I2079" s="247"/>
      <c r="J2079" s="246"/>
      <c r="K2079" s="246"/>
      <c r="L2079" s="226"/>
      <c r="M2079" s="226"/>
      <c r="N2079" s="246"/>
      <c r="P2079" s="228"/>
      <c r="Q2079" s="245"/>
      <c r="R2079" s="186" t="str">
        <f aca="false">+PROPER(C2079&amp;" "&amp;D2079)</f>
        <v> </v>
      </c>
      <c r="S2079" s="230" t="n">
        <f aca="false">+YEARFRAC(L2079,$S$1)</f>
        <v>126.366666666667</v>
      </c>
      <c r="T2079" s="230" t="n">
        <f aca="false">+YEARFRAC(M2079,$S$1)</f>
        <v>126.366666666667</v>
      </c>
      <c r="U2079" s="231" t="n">
        <f aca="false">+$I2079</f>
        <v>0</v>
      </c>
      <c r="V2079" s="232" t="str">
        <f aca="false">+PROPER(F2079)</f>
        <v/>
      </c>
    </row>
    <row r="2080" customFormat="false" ht="14.25" hidden="false" customHeight="false" outlineLevel="0" collapsed="false">
      <c r="B2080" s="244"/>
      <c r="C2080" s="245"/>
      <c r="D2080" s="245"/>
      <c r="E2080" s="246"/>
      <c r="F2080" s="246"/>
      <c r="G2080" s="225" t="e">
        <f aca="false">VLOOKUP(B2080,'NIVEL ENERO'!A:F,4,0)</f>
        <v>#N/A</v>
      </c>
      <c r="H2080" s="247"/>
      <c r="I2080" s="247"/>
      <c r="J2080" s="246"/>
      <c r="K2080" s="246"/>
      <c r="L2080" s="226"/>
      <c r="M2080" s="226"/>
      <c r="N2080" s="246"/>
      <c r="P2080" s="228"/>
      <c r="Q2080" s="245"/>
      <c r="R2080" s="186" t="str">
        <f aca="false">+PROPER(C2080&amp;" "&amp;D2080)</f>
        <v> </v>
      </c>
      <c r="S2080" s="230" t="n">
        <f aca="false">+YEARFRAC(L2080,$S$1)</f>
        <v>126.366666666667</v>
      </c>
      <c r="T2080" s="230" t="n">
        <f aca="false">+YEARFRAC(M2080,$S$1)</f>
        <v>126.366666666667</v>
      </c>
      <c r="U2080" s="231" t="n">
        <f aca="false">+$I2080</f>
        <v>0</v>
      </c>
      <c r="V2080" s="232" t="str">
        <f aca="false">+PROPER(F2080)</f>
        <v/>
      </c>
    </row>
    <row r="2081" customFormat="false" ht="14.25" hidden="false" customHeight="false" outlineLevel="0" collapsed="false">
      <c r="B2081" s="244"/>
      <c r="C2081" s="245"/>
      <c r="D2081" s="245"/>
      <c r="E2081" s="246"/>
      <c r="F2081" s="246"/>
      <c r="G2081" s="225" t="e">
        <f aca="false">VLOOKUP(B2081,'NIVEL ENERO'!A:F,4,0)</f>
        <v>#N/A</v>
      </c>
      <c r="H2081" s="247"/>
      <c r="I2081" s="247"/>
      <c r="J2081" s="246"/>
      <c r="K2081" s="246"/>
      <c r="L2081" s="226"/>
      <c r="M2081" s="226"/>
      <c r="N2081" s="246"/>
      <c r="P2081" s="228"/>
      <c r="Q2081" s="245"/>
      <c r="R2081" s="186" t="str">
        <f aca="false">+PROPER(C2081&amp;" "&amp;D2081)</f>
        <v> </v>
      </c>
      <c r="S2081" s="230" t="n">
        <f aca="false">+YEARFRAC(L2081,$S$1)</f>
        <v>126.366666666667</v>
      </c>
      <c r="T2081" s="230" t="n">
        <f aca="false">+YEARFRAC(M2081,$S$1)</f>
        <v>126.366666666667</v>
      </c>
      <c r="U2081" s="231" t="n">
        <f aca="false">+$I2081</f>
        <v>0</v>
      </c>
      <c r="V2081" s="232" t="str">
        <f aca="false">+PROPER(F2081)</f>
        <v/>
      </c>
    </row>
    <row r="2082" customFormat="false" ht="14.25" hidden="false" customHeight="false" outlineLevel="0" collapsed="false">
      <c r="B2082" s="244"/>
      <c r="C2082" s="245"/>
      <c r="D2082" s="245"/>
      <c r="E2082" s="246"/>
      <c r="F2082" s="246"/>
      <c r="G2082" s="225" t="e">
        <f aca="false">VLOOKUP(B2082,'NIVEL ENERO'!A:F,4,0)</f>
        <v>#N/A</v>
      </c>
      <c r="H2082" s="247"/>
      <c r="I2082" s="247"/>
      <c r="J2082" s="246"/>
      <c r="K2082" s="246"/>
      <c r="L2082" s="226"/>
      <c r="M2082" s="226"/>
      <c r="N2082" s="246"/>
      <c r="P2082" s="228"/>
      <c r="Q2082" s="245"/>
      <c r="R2082" s="186" t="str">
        <f aca="false">+PROPER(C2082&amp;" "&amp;D2082)</f>
        <v> </v>
      </c>
      <c r="S2082" s="230" t="n">
        <f aca="false">+YEARFRAC(L2082,$S$1)</f>
        <v>126.366666666667</v>
      </c>
      <c r="T2082" s="230" t="n">
        <f aca="false">+YEARFRAC(M2082,$S$1)</f>
        <v>126.366666666667</v>
      </c>
      <c r="U2082" s="231" t="n">
        <f aca="false">+$I2082</f>
        <v>0</v>
      </c>
      <c r="V2082" s="232" t="str">
        <f aca="false">+PROPER(F2082)</f>
        <v/>
      </c>
    </row>
    <row r="2083" customFormat="false" ht="14.25" hidden="false" customHeight="false" outlineLevel="0" collapsed="false">
      <c r="B2083" s="244"/>
      <c r="C2083" s="245"/>
      <c r="D2083" s="245"/>
      <c r="E2083" s="246"/>
      <c r="F2083" s="246"/>
      <c r="G2083" s="225" t="e">
        <f aca="false">VLOOKUP(B2083,'NIVEL ENERO'!A:F,4,0)</f>
        <v>#N/A</v>
      </c>
      <c r="H2083" s="247"/>
      <c r="I2083" s="247"/>
      <c r="J2083" s="246"/>
      <c r="K2083" s="246"/>
      <c r="L2083" s="226"/>
      <c r="M2083" s="226"/>
      <c r="N2083" s="246"/>
      <c r="P2083" s="228"/>
      <c r="Q2083" s="245"/>
      <c r="R2083" s="186" t="str">
        <f aca="false">+PROPER(C2083&amp;" "&amp;D2083)</f>
        <v> </v>
      </c>
      <c r="S2083" s="230" t="n">
        <f aca="false">+YEARFRAC(L2083,$S$1)</f>
        <v>126.366666666667</v>
      </c>
      <c r="T2083" s="230" t="n">
        <f aca="false">+YEARFRAC(M2083,$S$1)</f>
        <v>126.366666666667</v>
      </c>
      <c r="U2083" s="231" t="n">
        <f aca="false">+$I2083</f>
        <v>0</v>
      </c>
      <c r="V2083" s="232" t="str">
        <f aca="false">+PROPER(F2083)</f>
        <v/>
      </c>
    </row>
    <row r="2084" customFormat="false" ht="14.25" hidden="false" customHeight="false" outlineLevel="0" collapsed="false">
      <c r="B2084" s="244"/>
      <c r="C2084" s="245"/>
      <c r="D2084" s="245"/>
      <c r="E2084" s="246"/>
      <c r="F2084" s="246"/>
      <c r="G2084" s="225" t="e">
        <f aca="false">VLOOKUP(B2084,'NIVEL ENERO'!A:F,4,0)</f>
        <v>#N/A</v>
      </c>
      <c r="H2084" s="247"/>
      <c r="I2084" s="247"/>
      <c r="J2084" s="246"/>
      <c r="K2084" s="246"/>
      <c r="L2084" s="226"/>
      <c r="M2084" s="226"/>
      <c r="N2084" s="246"/>
      <c r="P2084" s="228"/>
      <c r="Q2084" s="245"/>
      <c r="R2084" s="186" t="str">
        <f aca="false">+PROPER(C2084&amp;" "&amp;D2084)</f>
        <v> </v>
      </c>
      <c r="S2084" s="230" t="n">
        <f aca="false">+YEARFRAC(L2084,$S$1)</f>
        <v>126.366666666667</v>
      </c>
      <c r="T2084" s="230" t="n">
        <f aca="false">+YEARFRAC(M2084,$S$1)</f>
        <v>126.366666666667</v>
      </c>
      <c r="U2084" s="231" t="n">
        <f aca="false">+$I2084</f>
        <v>0</v>
      </c>
      <c r="V2084" s="232" t="str">
        <f aca="false">+PROPER(F2084)</f>
        <v/>
      </c>
    </row>
    <row r="2085" customFormat="false" ht="14.25" hidden="false" customHeight="false" outlineLevel="0" collapsed="false">
      <c r="B2085" s="244"/>
      <c r="C2085" s="245"/>
      <c r="D2085" s="245"/>
      <c r="E2085" s="246"/>
      <c r="F2085" s="246"/>
      <c r="G2085" s="225" t="e">
        <f aca="false">VLOOKUP(B2085,'NIVEL ENERO'!A:F,4,0)</f>
        <v>#N/A</v>
      </c>
      <c r="H2085" s="247"/>
      <c r="I2085" s="247"/>
      <c r="J2085" s="246"/>
      <c r="K2085" s="246"/>
      <c r="L2085" s="226"/>
      <c r="M2085" s="226"/>
      <c r="N2085" s="246"/>
      <c r="P2085" s="228"/>
      <c r="Q2085" s="245"/>
      <c r="R2085" s="186" t="str">
        <f aca="false">+PROPER(C2085&amp;" "&amp;D2085)</f>
        <v> </v>
      </c>
      <c r="S2085" s="230" t="n">
        <f aca="false">+YEARFRAC(L2085,$S$1)</f>
        <v>126.366666666667</v>
      </c>
      <c r="T2085" s="230" t="n">
        <f aca="false">+YEARFRAC(M2085,$S$1)</f>
        <v>126.366666666667</v>
      </c>
      <c r="U2085" s="231" t="n">
        <f aca="false">+$I2085</f>
        <v>0</v>
      </c>
      <c r="V2085" s="232" t="str">
        <f aca="false">+PROPER(F2085)</f>
        <v/>
      </c>
    </row>
    <row r="2086" customFormat="false" ht="14.25" hidden="false" customHeight="false" outlineLevel="0" collapsed="false">
      <c r="B2086" s="244"/>
      <c r="C2086" s="245"/>
      <c r="D2086" s="245"/>
      <c r="E2086" s="246"/>
      <c r="F2086" s="246"/>
      <c r="G2086" s="225" t="e">
        <f aca="false">VLOOKUP(B2086,'NIVEL ENERO'!A:F,4,0)</f>
        <v>#N/A</v>
      </c>
      <c r="H2086" s="247"/>
      <c r="I2086" s="247"/>
      <c r="J2086" s="246"/>
      <c r="K2086" s="246"/>
      <c r="L2086" s="226"/>
      <c r="M2086" s="226"/>
      <c r="N2086" s="246"/>
      <c r="P2086" s="228"/>
      <c r="Q2086" s="245"/>
      <c r="R2086" s="186" t="str">
        <f aca="false">+PROPER(C2086&amp;" "&amp;D2086)</f>
        <v> </v>
      </c>
      <c r="S2086" s="230" t="n">
        <f aca="false">+YEARFRAC(L2086,$S$1)</f>
        <v>126.366666666667</v>
      </c>
      <c r="T2086" s="230" t="n">
        <f aca="false">+YEARFRAC(M2086,$S$1)</f>
        <v>126.366666666667</v>
      </c>
      <c r="U2086" s="231" t="n">
        <f aca="false">+$I2086</f>
        <v>0</v>
      </c>
      <c r="V2086" s="232" t="str">
        <f aca="false">+PROPER(F2086)</f>
        <v/>
      </c>
    </row>
    <row r="2087" customFormat="false" ht="14.25" hidden="false" customHeight="false" outlineLevel="0" collapsed="false">
      <c r="B2087" s="244"/>
      <c r="C2087" s="245"/>
      <c r="D2087" s="245"/>
      <c r="E2087" s="246"/>
      <c r="F2087" s="246"/>
      <c r="G2087" s="225" t="e">
        <f aca="false">VLOOKUP(B2087,'NIVEL ENERO'!A:F,4,0)</f>
        <v>#N/A</v>
      </c>
      <c r="H2087" s="247"/>
      <c r="I2087" s="247"/>
      <c r="J2087" s="246"/>
      <c r="K2087" s="246"/>
      <c r="L2087" s="226"/>
      <c r="M2087" s="226"/>
      <c r="N2087" s="246"/>
      <c r="P2087" s="228"/>
      <c r="Q2087" s="245"/>
      <c r="R2087" s="186" t="str">
        <f aca="false">+PROPER(C2087&amp;" "&amp;D2087)</f>
        <v> </v>
      </c>
      <c r="S2087" s="230" t="n">
        <f aca="false">+YEARFRAC(L2087,$S$1)</f>
        <v>126.366666666667</v>
      </c>
      <c r="T2087" s="230" t="n">
        <f aca="false">+YEARFRAC(M2087,$S$1)</f>
        <v>126.366666666667</v>
      </c>
      <c r="U2087" s="231" t="n">
        <f aca="false">+$I2087</f>
        <v>0</v>
      </c>
      <c r="V2087" s="232" t="str">
        <f aca="false">+PROPER(F2087)</f>
        <v/>
      </c>
    </row>
    <row r="2088" customFormat="false" ht="14.25" hidden="false" customHeight="false" outlineLevel="0" collapsed="false">
      <c r="B2088" s="244"/>
      <c r="C2088" s="245"/>
      <c r="D2088" s="245"/>
      <c r="E2088" s="246"/>
      <c r="F2088" s="246"/>
      <c r="G2088" s="225" t="e">
        <f aca="false">VLOOKUP(B2088,'NIVEL ENERO'!A:F,4,0)</f>
        <v>#N/A</v>
      </c>
      <c r="H2088" s="247"/>
      <c r="I2088" s="247"/>
      <c r="J2088" s="246"/>
      <c r="K2088" s="246"/>
      <c r="L2088" s="226"/>
      <c r="M2088" s="226"/>
      <c r="N2088" s="246"/>
      <c r="P2088" s="228"/>
      <c r="Q2088" s="245"/>
      <c r="R2088" s="186" t="str">
        <f aca="false">+PROPER(C2088&amp;" "&amp;D2088)</f>
        <v> </v>
      </c>
      <c r="S2088" s="230" t="n">
        <f aca="false">+YEARFRAC(L2088,$S$1)</f>
        <v>126.366666666667</v>
      </c>
      <c r="T2088" s="230" t="n">
        <f aca="false">+YEARFRAC(M2088,$S$1)</f>
        <v>126.366666666667</v>
      </c>
      <c r="U2088" s="231" t="n">
        <f aca="false">+$I2088</f>
        <v>0</v>
      </c>
      <c r="V2088" s="232" t="str">
        <f aca="false">+PROPER(F2088)</f>
        <v/>
      </c>
    </row>
    <row r="2089" customFormat="false" ht="14.25" hidden="false" customHeight="false" outlineLevel="0" collapsed="false">
      <c r="B2089" s="244"/>
      <c r="C2089" s="245"/>
      <c r="D2089" s="245"/>
      <c r="E2089" s="246"/>
      <c r="F2089" s="246"/>
      <c r="G2089" s="225" t="e">
        <f aca="false">VLOOKUP(B2089,'NIVEL ENERO'!A:F,4,0)</f>
        <v>#N/A</v>
      </c>
      <c r="H2089" s="247"/>
      <c r="I2089" s="247"/>
      <c r="J2089" s="246"/>
      <c r="K2089" s="246"/>
      <c r="L2089" s="226"/>
      <c r="M2089" s="226"/>
      <c r="N2089" s="246"/>
      <c r="P2089" s="228"/>
      <c r="Q2089" s="245"/>
      <c r="R2089" s="186" t="str">
        <f aca="false">+PROPER(C2089&amp;" "&amp;D2089)</f>
        <v> </v>
      </c>
      <c r="S2089" s="230" t="n">
        <f aca="false">+YEARFRAC(L2089,$S$1)</f>
        <v>126.366666666667</v>
      </c>
      <c r="T2089" s="230" t="n">
        <f aca="false">+YEARFRAC(M2089,$S$1)</f>
        <v>126.366666666667</v>
      </c>
      <c r="U2089" s="231" t="n">
        <f aca="false">+$I2089</f>
        <v>0</v>
      </c>
      <c r="V2089" s="232" t="str">
        <f aca="false">+PROPER(F2089)</f>
        <v/>
      </c>
    </row>
    <row r="2090" customFormat="false" ht="14.25" hidden="false" customHeight="false" outlineLevel="0" collapsed="false">
      <c r="B2090" s="244"/>
      <c r="C2090" s="245"/>
      <c r="D2090" s="245"/>
      <c r="E2090" s="246"/>
      <c r="F2090" s="246"/>
      <c r="G2090" s="225" t="e">
        <f aca="false">VLOOKUP(B2090,'NIVEL ENERO'!A:F,4,0)</f>
        <v>#N/A</v>
      </c>
      <c r="H2090" s="247"/>
      <c r="I2090" s="247"/>
      <c r="J2090" s="246"/>
      <c r="K2090" s="246"/>
      <c r="L2090" s="226"/>
      <c r="M2090" s="226"/>
      <c r="N2090" s="246"/>
      <c r="P2090" s="228"/>
      <c r="Q2090" s="245"/>
      <c r="R2090" s="186" t="str">
        <f aca="false">+PROPER(C2090&amp;" "&amp;D2090)</f>
        <v> </v>
      </c>
      <c r="S2090" s="230" t="n">
        <f aca="false">+YEARFRAC(L2090,$S$1)</f>
        <v>126.366666666667</v>
      </c>
      <c r="T2090" s="230" t="n">
        <f aca="false">+YEARFRAC(M2090,$S$1)</f>
        <v>126.366666666667</v>
      </c>
      <c r="U2090" s="231" t="n">
        <f aca="false">+$I2090</f>
        <v>0</v>
      </c>
      <c r="V2090" s="232" t="str">
        <f aca="false">+PROPER(F2090)</f>
        <v/>
      </c>
    </row>
    <row r="2091" customFormat="false" ht="14.25" hidden="false" customHeight="false" outlineLevel="0" collapsed="false">
      <c r="B2091" s="244"/>
      <c r="C2091" s="245"/>
      <c r="D2091" s="245"/>
      <c r="E2091" s="246"/>
      <c r="F2091" s="246"/>
      <c r="G2091" s="225" t="e">
        <f aca="false">VLOOKUP(B2091,'NIVEL ENERO'!A:F,4,0)</f>
        <v>#N/A</v>
      </c>
      <c r="H2091" s="247"/>
      <c r="I2091" s="247"/>
      <c r="J2091" s="246"/>
      <c r="K2091" s="246"/>
      <c r="L2091" s="226"/>
      <c r="M2091" s="226"/>
      <c r="N2091" s="246"/>
      <c r="P2091" s="228"/>
      <c r="Q2091" s="245"/>
      <c r="R2091" s="186" t="str">
        <f aca="false">+PROPER(C2091&amp;" "&amp;D2091)</f>
        <v> </v>
      </c>
      <c r="S2091" s="230" t="n">
        <f aca="false">+YEARFRAC(L2091,$S$1)</f>
        <v>126.366666666667</v>
      </c>
      <c r="T2091" s="230" t="n">
        <f aca="false">+YEARFRAC(M2091,$S$1)</f>
        <v>126.366666666667</v>
      </c>
      <c r="U2091" s="231" t="n">
        <f aca="false">+$I2091</f>
        <v>0</v>
      </c>
      <c r="V2091" s="232" t="str">
        <f aca="false">+PROPER(F2091)</f>
        <v/>
      </c>
    </row>
    <row r="2092" customFormat="false" ht="14.25" hidden="false" customHeight="false" outlineLevel="0" collapsed="false">
      <c r="B2092" s="244"/>
      <c r="C2092" s="245"/>
      <c r="D2092" s="245"/>
      <c r="E2092" s="246"/>
      <c r="F2092" s="246"/>
      <c r="G2092" s="225" t="e">
        <f aca="false">VLOOKUP(B2092,'NIVEL ENERO'!A:F,4,0)</f>
        <v>#N/A</v>
      </c>
      <c r="H2092" s="247"/>
      <c r="I2092" s="247"/>
      <c r="J2092" s="246"/>
      <c r="K2092" s="246"/>
      <c r="L2092" s="226"/>
      <c r="M2092" s="226"/>
      <c r="N2092" s="246"/>
      <c r="P2092" s="228"/>
      <c r="Q2092" s="245"/>
      <c r="R2092" s="186" t="str">
        <f aca="false">+PROPER(C2092&amp;" "&amp;D2092)</f>
        <v> </v>
      </c>
      <c r="S2092" s="230" t="n">
        <f aca="false">+YEARFRAC(L2092,$S$1)</f>
        <v>126.366666666667</v>
      </c>
      <c r="T2092" s="230" t="n">
        <f aca="false">+YEARFRAC(M2092,$S$1)</f>
        <v>126.366666666667</v>
      </c>
      <c r="U2092" s="231" t="n">
        <f aca="false">+$I2092</f>
        <v>0</v>
      </c>
      <c r="V2092" s="232" t="str">
        <f aca="false">+PROPER(F2092)</f>
        <v/>
      </c>
    </row>
    <row r="2093" customFormat="false" ht="14.25" hidden="false" customHeight="false" outlineLevel="0" collapsed="false">
      <c r="B2093" s="244"/>
      <c r="C2093" s="245"/>
      <c r="D2093" s="245"/>
      <c r="E2093" s="246"/>
      <c r="F2093" s="246"/>
      <c r="G2093" s="225" t="e">
        <f aca="false">VLOOKUP(B2093,'NIVEL ENERO'!A:F,4,0)</f>
        <v>#N/A</v>
      </c>
      <c r="H2093" s="247"/>
      <c r="I2093" s="247"/>
      <c r="J2093" s="246"/>
      <c r="K2093" s="246"/>
      <c r="L2093" s="226"/>
      <c r="M2093" s="226"/>
      <c r="N2093" s="246"/>
      <c r="P2093" s="228"/>
      <c r="Q2093" s="245"/>
      <c r="R2093" s="186" t="str">
        <f aca="false">+PROPER(C2093&amp;" "&amp;D2093)</f>
        <v> </v>
      </c>
      <c r="S2093" s="230" t="n">
        <f aca="false">+YEARFRAC(L2093,$S$1)</f>
        <v>126.366666666667</v>
      </c>
      <c r="T2093" s="230" t="n">
        <f aca="false">+YEARFRAC(M2093,$S$1)</f>
        <v>126.366666666667</v>
      </c>
      <c r="U2093" s="231" t="n">
        <f aca="false">+$I2093</f>
        <v>0</v>
      </c>
      <c r="V2093" s="232" t="str">
        <f aca="false">+PROPER(F2093)</f>
        <v/>
      </c>
    </row>
    <row r="2094" customFormat="false" ht="14.25" hidden="false" customHeight="false" outlineLevel="0" collapsed="false">
      <c r="B2094" s="244"/>
      <c r="C2094" s="245"/>
      <c r="D2094" s="245"/>
      <c r="E2094" s="246"/>
      <c r="F2094" s="246"/>
      <c r="G2094" s="225" t="e">
        <f aca="false">VLOOKUP(B2094,'NIVEL ENERO'!A:F,4,0)</f>
        <v>#N/A</v>
      </c>
      <c r="H2094" s="247"/>
      <c r="I2094" s="247"/>
      <c r="J2094" s="246"/>
      <c r="K2094" s="246"/>
      <c r="L2094" s="226"/>
      <c r="M2094" s="226"/>
      <c r="N2094" s="246"/>
      <c r="P2094" s="228"/>
      <c r="Q2094" s="245"/>
      <c r="R2094" s="186" t="str">
        <f aca="false">+PROPER(C2094&amp;" "&amp;D2094)</f>
        <v> </v>
      </c>
      <c r="S2094" s="230" t="n">
        <f aca="false">+YEARFRAC(L2094,$S$1)</f>
        <v>126.366666666667</v>
      </c>
      <c r="T2094" s="230" t="n">
        <f aca="false">+YEARFRAC(M2094,$S$1)</f>
        <v>126.366666666667</v>
      </c>
      <c r="U2094" s="231" t="n">
        <f aca="false">+$I2094</f>
        <v>0</v>
      </c>
      <c r="V2094" s="232" t="str">
        <f aca="false">+PROPER(F2094)</f>
        <v/>
      </c>
    </row>
    <row r="2095" customFormat="false" ht="14.25" hidden="false" customHeight="false" outlineLevel="0" collapsed="false">
      <c r="B2095" s="244"/>
      <c r="C2095" s="245"/>
      <c r="D2095" s="245"/>
      <c r="E2095" s="246"/>
      <c r="F2095" s="246"/>
      <c r="G2095" s="225" t="e">
        <f aca="false">VLOOKUP(B2095,'NIVEL ENERO'!A:F,4,0)</f>
        <v>#N/A</v>
      </c>
      <c r="H2095" s="247"/>
      <c r="I2095" s="247"/>
      <c r="J2095" s="246"/>
      <c r="K2095" s="246"/>
      <c r="L2095" s="226"/>
      <c r="M2095" s="226"/>
      <c r="N2095" s="246"/>
      <c r="P2095" s="228"/>
      <c r="Q2095" s="245"/>
      <c r="R2095" s="186" t="str">
        <f aca="false">+PROPER(C2095&amp;" "&amp;D2095)</f>
        <v> </v>
      </c>
      <c r="S2095" s="230" t="n">
        <f aca="false">+YEARFRAC(L2095,$S$1)</f>
        <v>126.366666666667</v>
      </c>
      <c r="T2095" s="230" t="n">
        <f aca="false">+YEARFRAC(M2095,$S$1)</f>
        <v>126.366666666667</v>
      </c>
      <c r="U2095" s="231" t="n">
        <f aca="false">+$I2095</f>
        <v>0</v>
      </c>
      <c r="V2095" s="232" t="str">
        <f aca="false">+PROPER(F2095)</f>
        <v/>
      </c>
    </row>
    <row r="2096" customFormat="false" ht="14.25" hidden="false" customHeight="false" outlineLevel="0" collapsed="false">
      <c r="B2096" s="244"/>
      <c r="C2096" s="245"/>
      <c r="D2096" s="245"/>
      <c r="E2096" s="246"/>
      <c r="F2096" s="246"/>
      <c r="G2096" s="225" t="e">
        <f aca="false">VLOOKUP(B2096,'NIVEL ENERO'!A:F,4,0)</f>
        <v>#N/A</v>
      </c>
      <c r="H2096" s="247"/>
      <c r="I2096" s="247"/>
      <c r="J2096" s="246"/>
      <c r="K2096" s="246"/>
      <c r="L2096" s="226"/>
      <c r="M2096" s="226"/>
      <c r="N2096" s="246"/>
      <c r="P2096" s="228"/>
      <c r="Q2096" s="245"/>
      <c r="R2096" s="186" t="str">
        <f aca="false">+PROPER(C2096&amp;" "&amp;D2096)</f>
        <v> </v>
      </c>
      <c r="S2096" s="230" t="n">
        <f aca="false">+YEARFRAC(L2096,$S$1)</f>
        <v>126.366666666667</v>
      </c>
      <c r="T2096" s="230" t="n">
        <f aca="false">+YEARFRAC(M2096,$S$1)</f>
        <v>126.366666666667</v>
      </c>
      <c r="U2096" s="231" t="n">
        <f aca="false">+$I2096</f>
        <v>0</v>
      </c>
      <c r="V2096" s="232" t="str">
        <f aca="false">+PROPER(F2096)</f>
        <v/>
      </c>
    </row>
    <row r="2097" customFormat="false" ht="14.25" hidden="false" customHeight="false" outlineLevel="0" collapsed="false">
      <c r="B2097" s="244"/>
      <c r="C2097" s="245"/>
      <c r="D2097" s="245"/>
      <c r="E2097" s="246"/>
      <c r="F2097" s="246"/>
      <c r="G2097" s="225" t="e">
        <f aca="false">VLOOKUP(B2097,'NIVEL ENERO'!A:F,4,0)</f>
        <v>#N/A</v>
      </c>
      <c r="H2097" s="247"/>
      <c r="I2097" s="247"/>
      <c r="J2097" s="246"/>
      <c r="K2097" s="246"/>
      <c r="L2097" s="226"/>
      <c r="M2097" s="226"/>
      <c r="N2097" s="246"/>
      <c r="P2097" s="228"/>
      <c r="Q2097" s="245"/>
      <c r="R2097" s="186" t="str">
        <f aca="false">+PROPER(C2097&amp;" "&amp;D2097)</f>
        <v> </v>
      </c>
      <c r="S2097" s="230" t="n">
        <f aca="false">+YEARFRAC(L2097,$S$1)</f>
        <v>126.366666666667</v>
      </c>
      <c r="T2097" s="230" t="n">
        <f aca="false">+YEARFRAC(M2097,$S$1)</f>
        <v>126.366666666667</v>
      </c>
      <c r="U2097" s="231" t="n">
        <f aca="false">+$I2097</f>
        <v>0</v>
      </c>
      <c r="V2097" s="232" t="str">
        <f aca="false">+PROPER(F2097)</f>
        <v/>
      </c>
    </row>
    <row r="2098" customFormat="false" ht="14.25" hidden="false" customHeight="false" outlineLevel="0" collapsed="false">
      <c r="B2098" s="244"/>
      <c r="C2098" s="245"/>
      <c r="D2098" s="245"/>
      <c r="E2098" s="246"/>
      <c r="F2098" s="246"/>
      <c r="G2098" s="225" t="e">
        <f aca="false">VLOOKUP(B2098,'NIVEL ENERO'!A:F,4,0)</f>
        <v>#N/A</v>
      </c>
      <c r="H2098" s="247"/>
      <c r="I2098" s="247"/>
      <c r="J2098" s="246"/>
      <c r="K2098" s="246"/>
      <c r="L2098" s="226"/>
      <c r="M2098" s="226"/>
      <c r="N2098" s="246"/>
      <c r="P2098" s="228"/>
      <c r="Q2098" s="245"/>
      <c r="R2098" s="186" t="str">
        <f aca="false">+PROPER(C2098&amp;" "&amp;D2098)</f>
        <v> </v>
      </c>
      <c r="S2098" s="230" t="n">
        <f aca="false">+YEARFRAC(L2098,$S$1)</f>
        <v>126.366666666667</v>
      </c>
      <c r="T2098" s="230" t="n">
        <f aca="false">+YEARFRAC(M2098,$S$1)</f>
        <v>126.366666666667</v>
      </c>
      <c r="U2098" s="231" t="n">
        <f aca="false">+$I2098</f>
        <v>0</v>
      </c>
      <c r="V2098" s="232" t="str">
        <f aca="false">+PROPER(F2098)</f>
        <v/>
      </c>
    </row>
    <row r="2099" customFormat="false" ht="14.25" hidden="false" customHeight="false" outlineLevel="0" collapsed="false">
      <c r="B2099" s="244"/>
      <c r="C2099" s="245"/>
      <c r="D2099" s="245"/>
      <c r="E2099" s="246"/>
      <c r="F2099" s="246"/>
      <c r="G2099" s="225" t="e">
        <f aca="false">VLOOKUP(B2099,'NIVEL ENERO'!A:F,4,0)</f>
        <v>#N/A</v>
      </c>
      <c r="H2099" s="247"/>
      <c r="I2099" s="247"/>
      <c r="J2099" s="246"/>
      <c r="K2099" s="246"/>
      <c r="L2099" s="226"/>
      <c r="M2099" s="226"/>
      <c r="N2099" s="246"/>
      <c r="P2099" s="228"/>
      <c r="Q2099" s="245"/>
      <c r="R2099" s="186" t="str">
        <f aca="false">+PROPER(C2099&amp;" "&amp;D2099)</f>
        <v> </v>
      </c>
      <c r="S2099" s="230" t="n">
        <f aca="false">+YEARFRAC(L2099,$S$1)</f>
        <v>126.366666666667</v>
      </c>
      <c r="T2099" s="230" t="n">
        <f aca="false">+YEARFRAC(M2099,$S$1)</f>
        <v>126.366666666667</v>
      </c>
      <c r="U2099" s="231" t="n">
        <f aca="false">+$I2099</f>
        <v>0</v>
      </c>
      <c r="V2099" s="232" t="str">
        <f aca="false">+PROPER(F2099)</f>
        <v/>
      </c>
    </row>
    <row r="2100" customFormat="false" ht="14.25" hidden="false" customHeight="false" outlineLevel="0" collapsed="false">
      <c r="B2100" s="244"/>
      <c r="C2100" s="245"/>
      <c r="D2100" s="245"/>
      <c r="E2100" s="246"/>
      <c r="F2100" s="246"/>
      <c r="G2100" s="225" t="e">
        <f aca="false">VLOOKUP(B2100,'NIVEL ENERO'!A:F,4,0)</f>
        <v>#N/A</v>
      </c>
      <c r="H2100" s="247"/>
      <c r="I2100" s="247"/>
      <c r="J2100" s="246"/>
      <c r="K2100" s="246"/>
      <c r="L2100" s="226"/>
      <c r="M2100" s="226"/>
      <c r="N2100" s="246"/>
      <c r="P2100" s="228"/>
      <c r="Q2100" s="245"/>
      <c r="R2100" s="186" t="str">
        <f aca="false">+PROPER(C2100&amp;" "&amp;D2100)</f>
        <v> </v>
      </c>
      <c r="S2100" s="230" t="n">
        <f aca="false">+YEARFRAC(L2100,$S$1)</f>
        <v>126.366666666667</v>
      </c>
      <c r="T2100" s="230" t="n">
        <f aca="false">+YEARFRAC(M2100,$S$1)</f>
        <v>126.366666666667</v>
      </c>
      <c r="U2100" s="231" t="n">
        <f aca="false">+$I2100</f>
        <v>0</v>
      </c>
      <c r="V2100" s="232" t="str">
        <f aca="false">+PROPER(F2100)</f>
        <v/>
      </c>
    </row>
    <row r="2101" customFormat="false" ht="14.25" hidden="false" customHeight="false" outlineLevel="0" collapsed="false">
      <c r="B2101" s="244"/>
      <c r="C2101" s="245"/>
      <c r="D2101" s="245"/>
      <c r="E2101" s="246"/>
      <c r="F2101" s="246"/>
      <c r="G2101" s="225" t="e">
        <f aca="false">VLOOKUP(B2101,'NIVEL ENERO'!A:F,4,0)</f>
        <v>#N/A</v>
      </c>
      <c r="H2101" s="247"/>
      <c r="I2101" s="247"/>
      <c r="J2101" s="246"/>
      <c r="K2101" s="246"/>
      <c r="L2101" s="226"/>
      <c r="M2101" s="226"/>
      <c r="N2101" s="246"/>
      <c r="P2101" s="228"/>
      <c r="Q2101" s="245"/>
      <c r="R2101" s="186" t="str">
        <f aca="false">+PROPER(C2101&amp;" "&amp;D2101)</f>
        <v> </v>
      </c>
      <c r="S2101" s="230" t="n">
        <f aca="false">+YEARFRAC(L2101,$S$1)</f>
        <v>126.366666666667</v>
      </c>
      <c r="T2101" s="230" t="n">
        <f aca="false">+YEARFRAC(M2101,$S$1)</f>
        <v>126.366666666667</v>
      </c>
      <c r="U2101" s="231" t="n">
        <f aca="false">+$I2101</f>
        <v>0</v>
      </c>
      <c r="V2101" s="232" t="str">
        <f aca="false">+PROPER(F2101)</f>
        <v/>
      </c>
    </row>
    <row r="2102" customFormat="false" ht="14.25" hidden="false" customHeight="false" outlineLevel="0" collapsed="false">
      <c r="B2102" s="244"/>
      <c r="C2102" s="245"/>
      <c r="D2102" s="245"/>
      <c r="E2102" s="246"/>
      <c r="F2102" s="246"/>
      <c r="G2102" s="225" t="e">
        <f aca="false">VLOOKUP(B2102,'NIVEL ENERO'!A:F,4,0)</f>
        <v>#N/A</v>
      </c>
      <c r="H2102" s="247"/>
      <c r="I2102" s="247"/>
      <c r="J2102" s="246"/>
      <c r="K2102" s="246"/>
      <c r="L2102" s="226"/>
      <c r="M2102" s="226"/>
      <c r="N2102" s="246"/>
      <c r="P2102" s="228"/>
      <c r="Q2102" s="245"/>
      <c r="R2102" s="186" t="str">
        <f aca="false">+PROPER(C2102&amp;" "&amp;D2102)</f>
        <v> </v>
      </c>
      <c r="S2102" s="230" t="n">
        <f aca="false">+YEARFRAC(L2102,$S$1)</f>
        <v>126.366666666667</v>
      </c>
      <c r="T2102" s="230" t="n">
        <f aca="false">+YEARFRAC(M2102,$S$1)</f>
        <v>126.366666666667</v>
      </c>
      <c r="U2102" s="231" t="n">
        <f aca="false">+$I2102</f>
        <v>0</v>
      </c>
      <c r="V2102" s="232" t="str">
        <f aca="false">+PROPER(F2102)</f>
        <v/>
      </c>
    </row>
    <row r="2103" customFormat="false" ht="14.25" hidden="false" customHeight="false" outlineLevel="0" collapsed="false">
      <c r="B2103" s="244"/>
      <c r="C2103" s="245"/>
      <c r="D2103" s="245"/>
      <c r="E2103" s="246"/>
      <c r="F2103" s="246"/>
      <c r="G2103" s="225" t="e">
        <f aca="false">VLOOKUP(B2103,'NIVEL ENERO'!A:F,4,0)</f>
        <v>#N/A</v>
      </c>
      <c r="H2103" s="247"/>
      <c r="I2103" s="247"/>
      <c r="J2103" s="246"/>
      <c r="K2103" s="246"/>
      <c r="L2103" s="226"/>
      <c r="M2103" s="226"/>
      <c r="N2103" s="246"/>
      <c r="P2103" s="228"/>
      <c r="Q2103" s="245"/>
      <c r="R2103" s="186" t="str">
        <f aca="false">+PROPER(C2103&amp;" "&amp;D2103)</f>
        <v> </v>
      </c>
      <c r="S2103" s="230" t="n">
        <f aca="false">+YEARFRAC(L2103,$S$1)</f>
        <v>126.366666666667</v>
      </c>
      <c r="T2103" s="230" t="n">
        <f aca="false">+YEARFRAC(M2103,$S$1)</f>
        <v>126.366666666667</v>
      </c>
      <c r="U2103" s="231" t="n">
        <f aca="false">+$I2103</f>
        <v>0</v>
      </c>
      <c r="V2103" s="232" t="str">
        <f aca="false">+PROPER(F2103)</f>
        <v/>
      </c>
    </row>
    <row r="2104" customFormat="false" ht="14.25" hidden="false" customHeight="false" outlineLevel="0" collapsed="false">
      <c r="B2104" s="244"/>
      <c r="C2104" s="245"/>
      <c r="D2104" s="245"/>
      <c r="E2104" s="246"/>
      <c r="F2104" s="246"/>
      <c r="G2104" s="225" t="e">
        <f aca="false">VLOOKUP(B2104,'NIVEL ENERO'!A:F,4,0)</f>
        <v>#N/A</v>
      </c>
      <c r="H2104" s="247"/>
      <c r="I2104" s="247"/>
      <c r="J2104" s="246"/>
      <c r="K2104" s="246"/>
      <c r="L2104" s="226"/>
      <c r="M2104" s="226"/>
      <c r="N2104" s="246"/>
      <c r="P2104" s="228"/>
      <c r="Q2104" s="245"/>
      <c r="R2104" s="186" t="str">
        <f aca="false">+PROPER(C2104&amp;" "&amp;D2104)</f>
        <v> </v>
      </c>
      <c r="S2104" s="230" t="n">
        <f aca="false">+YEARFRAC(L2104,$S$1)</f>
        <v>126.366666666667</v>
      </c>
      <c r="T2104" s="230" t="n">
        <f aca="false">+YEARFRAC(M2104,$S$1)</f>
        <v>126.366666666667</v>
      </c>
      <c r="U2104" s="231" t="n">
        <f aca="false">+$I2104</f>
        <v>0</v>
      </c>
      <c r="V2104" s="232" t="str">
        <f aca="false">+PROPER(F2104)</f>
        <v/>
      </c>
    </row>
    <row r="2105" customFormat="false" ht="14.25" hidden="false" customHeight="false" outlineLevel="0" collapsed="false">
      <c r="B2105" s="244"/>
      <c r="C2105" s="245"/>
      <c r="D2105" s="245"/>
      <c r="E2105" s="246"/>
      <c r="F2105" s="246"/>
      <c r="G2105" s="225" t="e">
        <f aca="false">VLOOKUP(B2105,'NIVEL ENERO'!A:F,4,0)</f>
        <v>#N/A</v>
      </c>
      <c r="H2105" s="247"/>
      <c r="I2105" s="247"/>
      <c r="J2105" s="246"/>
      <c r="K2105" s="246"/>
      <c r="L2105" s="226"/>
      <c r="M2105" s="226"/>
      <c r="N2105" s="246"/>
      <c r="P2105" s="228"/>
      <c r="Q2105" s="245"/>
      <c r="R2105" s="186" t="str">
        <f aca="false">+PROPER(C2105&amp;" "&amp;D2105)</f>
        <v> </v>
      </c>
      <c r="S2105" s="230" t="n">
        <f aca="false">+YEARFRAC(L2105,$S$1)</f>
        <v>126.366666666667</v>
      </c>
      <c r="T2105" s="230" t="n">
        <f aca="false">+YEARFRAC(M2105,$S$1)</f>
        <v>126.366666666667</v>
      </c>
      <c r="U2105" s="231" t="n">
        <f aca="false">+$I2105</f>
        <v>0</v>
      </c>
      <c r="V2105" s="232" t="str">
        <f aca="false">+PROPER(F2105)</f>
        <v/>
      </c>
    </row>
    <row r="2106" customFormat="false" ht="14.25" hidden="false" customHeight="false" outlineLevel="0" collapsed="false">
      <c r="B2106" s="244"/>
      <c r="C2106" s="245"/>
      <c r="D2106" s="245"/>
      <c r="E2106" s="246"/>
      <c r="F2106" s="246"/>
      <c r="G2106" s="225" t="e">
        <f aca="false">VLOOKUP(B2106,'NIVEL ENERO'!A:F,4,0)</f>
        <v>#N/A</v>
      </c>
      <c r="H2106" s="247"/>
      <c r="I2106" s="247"/>
      <c r="J2106" s="246"/>
      <c r="K2106" s="246"/>
      <c r="L2106" s="226"/>
      <c r="M2106" s="226"/>
      <c r="N2106" s="246"/>
      <c r="P2106" s="228"/>
      <c r="Q2106" s="245"/>
      <c r="R2106" s="186" t="str">
        <f aca="false">+PROPER(C2106&amp;" "&amp;D2106)</f>
        <v> </v>
      </c>
      <c r="S2106" s="230" t="n">
        <f aca="false">+YEARFRAC(L2106,$S$1)</f>
        <v>126.366666666667</v>
      </c>
      <c r="T2106" s="230" t="n">
        <f aca="false">+YEARFRAC(M2106,$S$1)</f>
        <v>126.366666666667</v>
      </c>
      <c r="U2106" s="231" t="n">
        <f aca="false">+$I2106</f>
        <v>0</v>
      </c>
      <c r="V2106" s="232" t="str">
        <f aca="false">+PROPER(F2106)</f>
        <v/>
      </c>
    </row>
    <row r="2107" customFormat="false" ht="14.25" hidden="false" customHeight="false" outlineLevel="0" collapsed="false">
      <c r="B2107" s="244"/>
      <c r="C2107" s="245"/>
      <c r="D2107" s="245"/>
      <c r="E2107" s="246"/>
      <c r="F2107" s="246"/>
      <c r="G2107" s="225" t="e">
        <f aca="false">VLOOKUP(B2107,'NIVEL ENERO'!A:F,4,0)</f>
        <v>#N/A</v>
      </c>
      <c r="H2107" s="247"/>
      <c r="I2107" s="247"/>
      <c r="J2107" s="246"/>
      <c r="K2107" s="246"/>
      <c r="L2107" s="226"/>
      <c r="M2107" s="226"/>
      <c r="N2107" s="246"/>
      <c r="P2107" s="228"/>
      <c r="Q2107" s="245"/>
      <c r="R2107" s="186" t="str">
        <f aca="false">+PROPER(C2107&amp;" "&amp;D2107)</f>
        <v> </v>
      </c>
      <c r="S2107" s="230" t="n">
        <f aca="false">+YEARFRAC(L2107,$S$1)</f>
        <v>126.366666666667</v>
      </c>
      <c r="T2107" s="230" t="n">
        <f aca="false">+YEARFRAC(M2107,$S$1)</f>
        <v>126.366666666667</v>
      </c>
      <c r="U2107" s="231" t="n">
        <f aca="false">+$I2107</f>
        <v>0</v>
      </c>
      <c r="V2107" s="232" t="str">
        <f aca="false">+PROPER(F2107)</f>
        <v/>
      </c>
    </row>
    <row r="2108" customFormat="false" ht="14.25" hidden="false" customHeight="false" outlineLevel="0" collapsed="false">
      <c r="B2108" s="244"/>
      <c r="C2108" s="245"/>
      <c r="D2108" s="245"/>
      <c r="E2108" s="246"/>
      <c r="F2108" s="246"/>
      <c r="G2108" s="225" t="e">
        <f aca="false">VLOOKUP(B2108,'NIVEL ENERO'!A:F,4,0)</f>
        <v>#N/A</v>
      </c>
      <c r="H2108" s="247"/>
      <c r="I2108" s="247"/>
      <c r="J2108" s="246"/>
      <c r="K2108" s="246"/>
      <c r="L2108" s="226"/>
      <c r="M2108" s="226"/>
      <c r="N2108" s="246"/>
      <c r="P2108" s="228"/>
      <c r="Q2108" s="245"/>
      <c r="R2108" s="186" t="str">
        <f aca="false">+PROPER(C2108&amp;" "&amp;D2108)</f>
        <v> </v>
      </c>
      <c r="S2108" s="230" t="n">
        <f aca="false">+YEARFRAC(L2108,$S$1)</f>
        <v>126.366666666667</v>
      </c>
      <c r="T2108" s="230" t="n">
        <f aca="false">+YEARFRAC(M2108,$S$1)</f>
        <v>126.366666666667</v>
      </c>
      <c r="U2108" s="231" t="n">
        <f aca="false">+$I2108</f>
        <v>0</v>
      </c>
      <c r="V2108" s="232" t="str">
        <f aca="false">+PROPER(F2108)</f>
        <v/>
      </c>
    </row>
    <row r="2109" customFormat="false" ht="14.25" hidden="false" customHeight="false" outlineLevel="0" collapsed="false">
      <c r="B2109" s="244"/>
      <c r="C2109" s="245"/>
      <c r="D2109" s="245"/>
      <c r="E2109" s="246"/>
      <c r="F2109" s="246"/>
      <c r="G2109" s="225" t="e">
        <f aca="false">VLOOKUP(B2109,'NIVEL ENERO'!A:F,4,0)</f>
        <v>#N/A</v>
      </c>
      <c r="H2109" s="247"/>
      <c r="I2109" s="247"/>
      <c r="J2109" s="246"/>
      <c r="K2109" s="246"/>
      <c r="L2109" s="226"/>
      <c r="M2109" s="226"/>
      <c r="N2109" s="246"/>
      <c r="P2109" s="228"/>
      <c r="Q2109" s="245"/>
      <c r="R2109" s="186" t="str">
        <f aca="false">+PROPER(C2109&amp;" "&amp;D2109)</f>
        <v> </v>
      </c>
      <c r="S2109" s="230" t="n">
        <f aca="false">+YEARFRAC(L2109,$S$1)</f>
        <v>126.366666666667</v>
      </c>
      <c r="T2109" s="230" t="n">
        <f aca="false">+YEARFRAC(M2109,$S$1)</f>
        <v>126.366666666667</v>
      </c>
      <c r="U2109" s="231" t="n">
        <f aca="false">+$I2109</f>
        <v>0</v>
      </c>
      <c r="V2109" s="232" t="str">
        <f aca="false">+PROPER(F2109)</f>
        <v/>
      </c>
    </row>
    <row r="2110" customFormat="false" ht="14.25" hidden="false" customHeight="false" outlineLevel="0" collapsed="false">
      <c r="B2110" s="244"/>
      <c r="C2110" s="245"/>
      <c r="D2110" s="245"/>
      <c r="E2110" s="246"/>
      <c r="F2110" s="246"/>
      <c r="G2110" s="225" t="e">
        <f aca="false">VLOOKUP(B2110,'NIVEL ENERO'!A:F,4,0)</f>
        <v>#N/A</v>
      </c>
      <c r="H2110" s="247"/>
      <c r="I2110" s="247"/>
      <c r="J2110" s="246"/>
      <c r="K2110" s="246"/>
      <c r="L2110" s="226"/>
      <c r="M2110" s="226"/>
      <c r="N2110" s="246"/>
      <c r="P2110" s="228"/>
      <c r="Q2110" s="245"/>
      <c r="R2110" s="186" t="str">
        <f aca="false">+PROPER(C2110&amp;" "&amp;D2110)</f>
        <v> </v>
      </c>
      <c r="S2110" s="230" t="n">
        <f aca="false">+YEARFRAC(L2110,$S$1)</f>
        <v>126.366666666667</v>
      </c>
      <c r="T2110" s="230" t="n">
        <f aca="false">+YEARFRAC(M2110,$S$1)</f>
        <v>126.366666666667</v>
      </c>
      <c r="U2110" s="231" t="n">
        <f aca="false">+$I2110</f>
        <v>0</v>
      </c>
      <c r="V2110" s="232" t="str">
        <f aca="false">+PROPER(F2110)</f>
        <v/>
      </c>
    </row>
    <row r="2111" customFormat="false" ht="14.25" hidden="false" customHeight="false" outlineLevel="0" collapsed="false">
      <c r="B2111" s="244"/>
      <c r="C2111" s="245"/>
      <c r="D2111" s="245"/>
      <c r="E2111" s="246"/>
      <c r="F2111" s="246"/>
      <c r="G2111" s="225" t="e">
        <f aca="false">VLOOKUP(B2111,'NIVEL ENERO'!A:F,4,0)</f>
        <v>#N/A</v>
      </c>
      <c r="H2111" s="247"/>
      <c r="I2111" s="247"/>
      <c r="J2111" s="246"/>
      <c r="K2111" s="246"/>
      <c r="L2111" s="226"/>
      <c r="M2111" s="226"/>
      <c r="N2111" s="246"/>
      <c r="P2111" s="228"/>
      <c r="Q2111" s="245"/>
      <c r="R2111" s="186" t="str">
        <f aca="false">+PROPER(C2111&amp;" "&amp;D2111)</f>
        <v> </v>
      </c>
      <c r="S2111" s="230" t="n">
        <f aca="false">+YEARFRAC(L2111,$S$1)</f>
        <v>126.366666666667</v>
      </c>
      <c r="T2111" s="230" t="n">
        <f aca="false">+YEARFRAC(M2111,$S$1)</f>
        <v>126.366666666667</v>
      </c>
      <c r="U2111" s="231" t="n">
        <f aca="false">+$I2111</f>
        <v>0</v>
      </c>
      <c r="V2111" s="232" t="str">
        <f aca="false">+PROPER(F2111)</f>
        <v/>
      </c>
    </row>
    <row r="2112" customFormat="false" ht="14.25" hidden="false" customHeight="false" outlineLevel="0" collapsed="false">
      <c r="B2112" s="244"/>
      <c r="C2112" s="245"/>
      <c r="D2112" s="245"/>
      <c r="E2112" s="246"/>
      <c r="F2112" s="246"/>
      <c r="G2112" s="225" t="e">
        <f aca="false">VLOOKUP(B2112,'NIVEL ENERO'!A:F,4,0)</f>
        <v>#N/A</v>
      </c>
      <c r="H2112" s="247"/>
      <c r="I2112" s="247"/>
      <c r="J2112" s="246"/>
      <c r="K2112" s="246"/>
      <c r="L2112" s="226"/>
      <c r="M2112" s="226"/>
      <c r="N2112" s="246"/>
      <c r="P2112" s="228"/>
      <c r="Q2112" s="245"/>
      <c r="R2112" s="186" t="str">
        <f aca="false">+PROPER(C2112&amp;" "&amp;D2112)</f>
        <v> </v>
      </c>
      <c r="S2112" s="230" t="n">
        <f aca="false">+YEARFRAC(L2112,$S$1)</f>
        <v>126.366666666667</v>
      </c>
      <c r="T2112" s="230" t="n">
        <f aca="false">+YEARFRAC(M2112,$S$1)</f>
        <v>126.366666666667</v>
      </c>
      <c r="U2112" s="231" t="n">
        <f aca="false">+$I2112</f>
        <v>0</v>
      </c>
      <c r="V2112" s="232" t="str">
        <f aca="false">+PROPER(F2112)</f>
        <v/>
      </c>
    </row>
    <row r="2113" customFormat="false" ht="14.25" hidden="false" customHeight="false" outlineLevel="0" collapsed="false">
      <c r="B2113" s="244"/>
      <c r="C2113" s="245"/>
      <c r="D2113" s="245"/>
      <c r="E2113" s="246"/>
      <c r="F2113" s="246"/>
      <c r="G2113" s="225" t="e">
        <f aca="false">VLOOKUP(B2113,'NIVEL ENERO'!A:F,4,0)</f>
        <v>#N/A</v>
      </c>
      <c r="H2113" s="247"/>
      <c r="I2113" s="247"/>
      <c r="J2113" s="246"/>
      <c r="K2113" s="246"/>
      <c r="L2113" s="226"/>
      <c r="M2113" s="226"/>
      <c r="N2113" s="246"/>
      <c r="P2113" s="228"/>
      <c r="Q2113" s="245"/>
      <c r="R2113" s="186" t="str">
        <f aca="false">+PROPER(C2113&amp;" "&amp;D2113)</f>
        <v> </v>
      </c>
      <c r="S2113" s="230" t="n">
        <f aca="false">+YEARFRAC(L2113,$S$1)</f>
        <v>126.366666666667</v>
      </c>
      <c r="T2113" s="230" t="n">
        <f aca="false">+YEARFRAC(M2113,$S$1)</f>
        <v>126.366666666667</v>
      </c>
      <c r="U2113" s="231" t="n">
        <f aca="false">+$I2113</f>
        <v>0</v>
      </c>
      <c r="V2113" s="232" t="str">
        <f aca="false">+PROPER(F2113)</f>
        <v/>
      </c>
    </row>
    <row r="2114" customFormat="false" ht="14.25" hidden="false" customHeight="false" outlineLevel="0" collapsed="false">
      <c r="B2114" s="244"/>
      <c r="C2114" s="245"/>
      <c r="D2114" s="245"/>
      <c r="E2114" s="246"/>
      <c r="F2114" s="246"/>
      <c r="G2114" s="225" t="e">
        <f aca="false">VLOOKUP(B2114,'NIVEL ENERO'!A:F,4,0)</f>
        <v>#N/A</v>
      </c>
      <c r="H2114" s="247"/>
      <c r="I2114" s="247"/>
      <c r="J2114" s="246"/>
      <c r="K2114" s="246"/>
      <c r="L2114" s="226"/>
      <c r="M2114" s="226"/>
      <c r="N2114" s="246"/>
      <c r="P2114" s="228"/>
      <c r="Q2114" s="245"/>
      <c r="R2114" s="186" t="str">
        <f aca="false">+PROPER(C2114&amp;" "&amp;D2114)</f>
        <v> </v>
      </c>
      <c r="S2114" s="230" t="n">
        <f aca="false">+YEARFRAC(L2114,$S$1)</f>
        <v>126.366666666667</v>
      </c>
      <c r="T2114" s="230" t="n">
        <f aca="false">+YEARFRAC(M2114,$S$1)</f>
        <v>126.366666666667</v>
      </c>
      <c r="U2114" s="231" t="n">
        <f aca="false">+$I2114</f>
        <v>0</v>
      </c>
      <c r="V2114" s="232" t="str">
        <f aca="false">+PROPER(F2114)</f>
        <v/>
      </c>
    </row>
    <row r="2115" customFormat="false" ht="14.25" hidden="false" customHeight="false" outlineLevel="0" collapsed="false">
      <c r="B2115" s="244"/>
      <c r="C2115" s="245"/>
      <c r="D2115" s="245"/>
      <c r="E2115" s="246"/>
      <c r="F2115" s="246"/>
      <c r="G2115" s="225" t="e">
        <f aca="false">VLOOKUP(B2115,'NIVEL ENERO'!A:F,4,0)</f>
        <v>#N/A</v>
      </c>
      <c r="H2115" s="247"/>
      <c r="I2115" s="247"/>
      <c r="J2115" s="246"/>
      <c r="K2115" s="246"/>
      <c r="L2115" s="226"/>
      <c r="M2115" s="226"/>
      <c r="N2115" s="246"/>
      <c r="P2115" s="228"/>
      <c r="Q2115" s="245"/>
      <c r="R2115" s="186" t="str">
        <f aca="false">+PROPER(C2115&amp;" "&amp;D2115)</f>
        <v> </v>
      </c>
      <c r="S2115" s="230" t="n">
        <f aca="false">+YEARFRAC(L2115,$S$1)</f>
        <v>126.366666666667</v>
      </c>
      <c r="T2115" s="230" t="n">
        <f aca="false">+YEARFRAC(M2115,$S$1)</f>
        <v>126.366666666667</v>
      </c>
      <c r="U2115" s="231" t="n">
        <f aca="false">+$I2115</f>
        <v>0</v>
      </c>
      <c r="V2115" s="232" t="str">
        <f aca="false">+PROPER(F2115)</f>
        <v/>
      </c>
    </row>
    <row r="2116" customFormat="false" ht="14.25" hidden="false" customHeight="false" outlineLevel="0" collapsed="false">
      <c r="B2116" s="244"/>
      <c r="C2116" s="245"/>
      <c r="D2116" s="245"/>
      <c r="E2116" s="246"/>
      <c r="F2116" s="246"/>
      <c r="G2116" s="225" t="e">
        <f aca="false">VLOOKUP(B2116,'NIVEL ENERO'!A:F,4,0)</f>
        <v>#N/A</v>
      </c>
      <c r="H2116" s="247"/>
      <c r="I2116" s="247"/>
      <c r="J2116" s="246"/>
      <c r="K2116" s="246"/>
      <c r="L2116" s="226"/>
      <c r="M2116" s="226"/>
      <c r="N2116" s="246"/>
      <c r="P2116" s="228"/>
      <c r="Q2116" s="245"/>
      <c r="R2116" s="186" t="str">
        <f aca="false">+PROPER(C2116&amp;" "&amp;D2116)</f>
        <v> </v>
      </c>
      <c r="S2116" s="230" t="n">
        <f aca="false">+YEARFRAC(L2116,$S$1)</f>
        <v>126.366666666667</v>
      </c>
      <c r="T2116" s="230" t="n">
        <f aca="false">+YEARFRAC(M2116,$S$1)</f>
        <v>126.366666666667</v>
      </c>
      <c r="U2116" s="231" t="n">
        <f aca="false">+$I2116</f>
        <v>0</v>
      </c>
      <c r="V2116" s="232" t="str">
        <f aca="false">+PROPER(F2116)</f>
        <v/>
      </c>
    </row>
    <row r="2117" customFormat="false" ht="14.25" hidden="false" customHeight="false" outlineLevel="0" collapsed="false">
      <c r="B2117" s="244"/>
      <c r="C2117" s="245"/>
      <c r="D2117" s="245"/>
      <c r="E2117" s="246"/>
      <c r="F2117" s="246"/>
      <c r="G2117" s="225" t="e">
        <f aca="false">VLOOKUP(B2117,'NIVEL ENERO'!A:F,4,0)</f>
        <v>#N/A</v>
      </c>
      <c r="H2117" s="247"/>
      <c r="I2117" s="247"/>
      <c r="J2117" s="246"/>
      <c r="K2117" s="246"/>
      <c r="L2117" s="226"/>
      <c r="M2117" s="226"/>
      <c r="N2117" s="246"/>
      <c r="P2117" s="228"/>
      <c r="Q2117" s="245"/>
      <c r="R2117" s="186" t="str">
        <f aca="false">+PROPER(C2117&amp;" "&amp;D2117)</f>
        <v> </v>
      </c>
      <c r="S2117" s="230" t="n">
        <f aca="false">+YEARFRAC(L2117,$S$1)</f>
        <v>126.366666666667</v>
      </c>
      <c r="T2117" s="230" t="n">
        <f aca="false">+YEARFRAC(M2117,$S$1)</f>
        <v>126.366666666667</v>
      </c>
      <c r="U2117" s="231" t="n">
        <f aca="false">+$I2117</f>
        <v>0</v>
      </c>
      <c r="V2117" s="232" t="str">
        <f aca="false">+PROPER(F2117)</f>
        <v/>
      </c>
    </row>
    <row r="2118" customFormat="false" ht="14.25" hidden="false" customHeight="false" outlineLevel="0" collapsed="false">
      <c r="B2118" s="244"/>
      <c r="C2118" s="245"/>
      <c r="D2118" s="245"/>
      <c r="E2118" s="246"/>
      <c r="F2118" s="246"/>
      <c r="G2118" s="225" t="e">
        <f aca="false">VLOOKUP(B2118,'NIVEL ENERO'!A:F,4,0)</f>
        <v>#N/A</v>
      </c>
      <c r="H2118" s="247"/>
      <c r="I2118" s="247"/>
      <c r="J2118" s="246"/>
      <c r="K2118" s="246"/>
      <c r="L2118" s="226"/>
      <c r="M2118" s="226"/>
      <c r="N2118" s="246"/>
      <c r="P2118" s="228"/>
      <c r="Q2118" s="245"/>
      <c r="R2118" s="186" t="str">
        <f aca="false">+PROPER(C2118&amp;" "&amp;D2118)</f>
        <v> </v>
      </c>
      <c r="S2118" s="230" t="n">
        <f aca="false">+YEARFRAC(L2118,$S$1)</f>
        <v>126.366666666667</v>
      </c>
      <c r="T2118" s="230" t="n">
        <f aca="false">+YEARFRAC(M2118,$S$1)</f>
        <v>126.366666666667</v>
      </c>
      <c r="U2118" s="231" t="n">
        <f aca="false">+$I2118</f>
        <v>0</v>
      </c>
      <c r="V2118" s="232" t="str">
        <f aca="false">+PROPER(F2118)</f>
        <v/>
      </c>
    </row>
    <row r="2119" customFormat="false" ht="14.25" hidden="false" customHeight="false" outlineLevel="0" collapsed="false">
      <c r="B2119" s="244"/>
      <c r="C2119" s="245"/>
      <c r="D2119" s="245"/>
      <c r="E2119" s="246"/>
      <c r="F2119" s="246"/>
      <c r="G2119" s="225" t="e">
        <f aca="false">VLOOKUP(B2119,'NIVEL ENERO'!A:F,4,0)</f>
        <v>#N/A</v>
      </c>
      <c r="H2119" s="247"/>
      <c r="I2119" s="247"/>
      <c r="J2119" s="246"/>
      <c r="K2119" s="246"/>
      <c r="L2119" s="226"/>
      <c r="M2119" s="226"/>
      <c r="N2119" s="246"/>
      <c r="P2119" s="228"/>
      <c r="Q2119" s="245"/>
      <c r="R2119" s="186" t="str">
        <f aca="false">+PROPER(C2119&amp;" "&amp;D2119)</f>
        <v> </v>
      </c>
      <c r="S2119" s="230" t="n">
        <f aca="false">+YEARFRAC(L2119,$S$1)</f>
        <v>126.366666666667</v>
      </c>
      <c r="T2119" s="230" t="n">
        <f aca="false">+YEARFRAC(M2119,$S$1)</f>
        <v>126.366666666667</v>
      </c>
      <c r="U2119" s="231" t="n">
        <f aca="false">+$I2119</f>
        <v>0</v>
      </c>
      <c r="V2119" s="232" t="str">
        <f aca="false">+PROPER(F2119)</f>
        <v/>
      </c>
    </row>
    <row r="2120" customFormat="false" ht="14.25" hidden="false" customHeight="false" outlineLevel="0" collapsed="false">
      <c r="B2120" s="244"/>
      <c r="C2120" s="245"/>
      <c r="D2120" s="245"/>
      <c r="E2120" s="246"/>
      <c r="F2120" s="246"/>
      <c r="G2120" s="225" t="e">
        <f aca="false">VLOOKUP(B2120,'NIVEL ENERO'!A:F,4,0)</f>
        <v>#N/A</v>
      </c>
      <c r="H2120" s="247"/>
      <c r="I2120" s="247"/>
      <c r="J2120" s="246"/>
      <c r="K2120" s="246"/>
      <c r="L2120" s="226"/>
      <c r="M2120" s="226"/>
      <c r="N2120" s="246"/>
      <c r="P2120" s="228"/>
      <c r="Q2120" s="245"/>
      <c r="R2120" s="186" t="str">
        <f aca="false">+PROPER(C2120&amp;" "&amp;D2120)</f>
        <v> </v>
      </c>
      <c r="S2120" s="230" t="n">
        <f aca="false">+YEARFRAC(L2120,$S$1)</f>
        <v>126.366666666667</v>
      </c>
      <c r="T2120" s="230" t="n">
        <f aca="false">+YEARFRAC(M2120,$S$1)</f>
        <v>126.366666666667</v>
      </c>
      <c r="U2120" s="231" t="n">
        <f aca="false">+$I2120</f>
        <v>0</v>
      </c>
      <c r="V2120" s="232" t="str">
        <f aca="false">+PROPER(F2120)</f>
        <v/>
      </c>
    </row>
    <row r="2121" customFormat="false" ht="14.25" hidden="false" customHeight="false" outlineLevel="0" collapsed="false">
      <c r="B2121" s="244"/>
      <c r="C2121" s="245"/>
      <c r="D2121" s="245"/>
      <c r="E2121" s="246"/>
      <c r="F2121" s="246"/>
      <c r="G2121" s="225" t="e">
        <f aca="false">VLOOKUP(B2121,'NIVEL ENERO'!A:F,4,0)</f>
        <v>#N/A</v>
      </c>
      <c r="H2121" s="247"/>
      <c r="I2121" s="247"/>
      <c r="J2121" s="246"/>
      <c r="K2121" s="246"/>
      <c r="L2121" s="226"/>
      <c r="M2121" s="226"/>
      <c r="N2121" s="246"/>
      <c r="P2121" s="228"/>
      <c r="Q2121" s="245"/>
      <c r="R2121" s="186" t="str">
        <f aca="false">+PROPER(C2121&amp;" "&amp;D2121)</f>
        <v> </v>
      </c>
      <c r="S2121" s="230" t="n">
        <f aca="false">+YEARFRAC(L2121,$S$1)</f>
        <v>126.366666666667</v>
      </c>
      <c r="T2121" s="230" t="n">
        <f aca="false">+YEARFRAC(M2121,$S$1)</f>
        <v>126.366666666667</v>
      </c>
      <c r="U2121" s="231" t="n">
        <f aca="false">+$I2121</f>
        <v>0</v>
      </c>
      <c r="V2121" s="232" t="str">
        <f aca="false">+PROPER(F2121)</f>
        <v/>
      </c>
    </row>
    <row r="2122" customFormat="false" ht="14.25" hidden="false" customHeight="false" outlineLevel="0" collapsed="false">
      <c r="B2122" s="244"/>
      <c r="C2122" s="245"/>
      <c r="D2122" s="245"/>
      <c r="E2122" s="246"/>
      <c r="F2122" s="246"/>
      <c r="G2122" s="225" t="e">
        <f aca="false">VLOOKUP(B2122,'NIVEL ENERO'!A:F,4,0)</f>
        <v>#N/A</v>
      </c>
      <c r="H2122" s="247"/>
      <c r="I2122" s="247"/>
      <c r="J2122" s="246"/>
      <c r="K2122" s="246"/>
      <c r="L2122" s="226"/>
      <c r="M2122" s="226"/>
      <c r="N2122" s="246"/>
      <c r="P2122" s="228"/>
      <c r="Q2122" s="245"/>
      <c r="R2122" s="186" t="str">
        <f aca="false">+PROPER(C2122&amp;" "&amp;D2122)</f>
        <v> </v>
      </c>
      <c r="S2122" s="230" t="n">
        <f aca="false">+YEARFRAC(L2122,$S$1)</f>
        <v>126.366666666667</v>
      </c>
      <c r="T2122" s="230" t="n">
        <f aca="false">+YEARFRAC(M2122,$S$1)</f>
        <v>126.366666666667</v>
      </c>
      <c r="U2122" s="231" t="n">
        <f aca="false">+$I2122</f>
        <v>0</v>
      </c>
      <c r="V2122" s="232" t="str">
        <f aca="false">+PROPER(F2122)</f>
        <v/>
      </c>
    </row>
    <row r="2123" customFormat="false" ht="14.25" hidden="false" customHeight="false" outlineLevel="0" collapsed="false">
      <c r="B2123" s="244"/>
      <c r="C2123" s="245"/>
      <c r="D2123" s="245"/>
      <c r="E2123" s="246"/>
      <c r="F2123" s="246"/>
      <c r="G2123" s="225" t="e">
        <f aca="false">VLOOKUP(B2123,'NIVEL ENERO'!A:F,4,0)</f>
        <v>#N/A</v>
      </c>
      <c r="H2123" s="247"/>
      <c r="I2123" s="247"/>
      <c r="J2123" s="246"/>
      <c r="K2123" s="246"/>
      <c r="L2123" s="226"/>
      <c r="M2123" s="226"/>
      <c r="N2123" s="246"/>
      <c r="P2123" s="228"/>
      <c r="Q2123" s="245"/>
      <c r="R2123" s="186" t="str">
        <f aca="false">+PROPER(C2123&amp;" "&amp;D2123)</f>
        <v> </v>
      </c>
      <c r="S2123" s="230" t="n">
        <f aca="false">+YEARFRAC(L2123,$S$1)</f>
        <v>126.366666666667</v>
      </c>
      <c r="T2123" s="230" t="n">
        <f aca="false">+YEARFRAC(M2123,$S$1)</f>
        <v>126.366666666667</v>
      </c>
      <c r="U2123" s="231" t="n">
        <f aca="false">+$I2123</f>
        <v>0</v>
      </c>
      <c r="V2123" s="232" t="str">
        <f aca="false">+PROPER(F2123)</f>
        <v/>
      </c>
    </row>
    <row r="2124" customFormat="false" ht="14.25" hidden="false" customHeight="false" outlineLevel="0" collapsed="false">
      <c r="B2124" s="244"/>
      <c r="C2124" s="245"/>
      <c r="D2124" s="245"/>
      <c r="E2124" s="246"/>
      <c r="F2124" s="246"/>
      <c r="G2124" s="225" t="e">
        <f aca="false">VLOOKUP(B2124,'NIVEL ENERO'!A:F,4,0)</f>
        <v>#N/A</v>
      </c>
      <c r="H2124" s="247"/>
      <c r="I2124" s="247"/>
      <c r="J2124" s="246"/>
      <c r="K2124" s="246"/>
      <c r="L2124" s="226"/>
      <c r="M2124" s="226"/>
      <c r="N2124" s="246"/>
      <c r="P2124" s="228"/>
      <c r="Q2124" s="245"/>
      <c r="R2124" s="186" t="str">
        <f aca="false">+PROPER(C2124&amp;" "&amp;D2124)</f>
        <v> </v>
      </c>
      <c r="S2124" s="230" t="n">
        <f aca="false">+YEARFRAC(L2124,$S$1)</f>
        <v>126.366666666667</v>
      </c>
      <c r="T2124" s="230" t="n">
        <f aca="false">+YEARFRAC(M2124,$S$1)</f>
        <v>126.366666666667</v>
      </c>
      <c r="U2124" s="231" t="n">
        <f aca="false">+$I2124</f>
        <v>0</v>
      </c>
      <c r="V2124" s="232" t="str">
        <f aca="false">+PROPER(F2124)</f>
        <v/>
      </c>
    </row>
    <row r="2125" customFormat="false" ht="14.25" hidden="false" customHeight="false" outlineLevel="0" collapsed="false">
      <c r="B2125" s="244"/>
      <c r="C2125" s="245"/>
      <c r="D2125" s="245"/>
      <c r="E2125" s="246"/>
      <c r="F2125" s="246"/>
      <c r="G2125" s="225" t="e">
        <f aca="false">VLOOKUP(B2125,'NIVEL ENERO'!A:F,4,0)</f>
        <v>#N/A</v>
      </c>
      <c r="H2125" s="247"/>
      <c r="I2125" s="247"/>
      <c r="J2125" s="246"/>
      <c r="K2125" s="246"/>
      <c r="L2125" s="226"/>
      <c r="M2125" s="226"/>
      <c r="N2125" s="246"/>
      <c r="P2125" s="228"/>
      <c r="Q2125" s="245"/>
      <c r="R2125" s="186" t="str">
        <f aca="false">+PROPER(C2125&amp;" "&amp;D2125)</f>
        <v> </v>
      </c>
      <c r="S2125" s="230" t="n">
        <f aca="false">+YEARFRAC(L2125,$S$1)</f>
        <v>126.366666666667</v>
      </c>
      <c r="T2125" s="230" t="n">
        <f aca="false">+YEARFRAC(M2125,$S$1)</f>
        <v>126.366666666667</v>
      </c>
      <c r="U2125" s="231" t="n">
        <f aca="false">+$I2125</f>
        <v>0</v>
      </c>
      <c r="V2125" s="232" t="str">
        <f aca="false">+PROPER(F2125)</f>
        <v/>
      </c>
    </row>
    <row r="2126" customFormat="false" ht="14.25" hidden="false" customHeight="false" outlineLevel="0" collapsed="false">
      <c r="B2126" s="244"/>
      <c r="C2126" s="245"/>
      <c r="D2126" s="245"/>
      <c r="E2126" s="246"/>
      <c r="F2126" s="246"/>
      <c r="G2126" s="225" t="e">
        <f aca="false">VLOOKUP(B2126,'NIVEL ENERO'!A:F,4,0)</f>
        <v>#N/A</v>
      </c>
      <c r="H2126" s="247"/>
      <c r="I2126" s="247"/>
      <c r="J2126" s="246"/>
      <c r="K2126" s="246"/>
      <c r="L2126" s="226"/>
      <c r="M2126" s="226"/>
      <c r="N2126" s="246"/>
      <c r="P2126" s="228"/>
      <c r="Q2126" s="245"/>
      <c r="R2126" s="186" t="str">
        <f aca="false">+PROPER(C2126&amp;" "&amp;D2126)</f>
        <v> </v>
      </c>
      <c r="S2126" s="230" t="n">
        <f aca="false">+YEARFRAC(L2126,$S$1)</f>
        <v>126.366666666667</v>
      </c>
      <c r="T2126" s="230" t="n">
        <f aca="false">+YEARFRAC(M2126,$S$1)</f>
        <v>126.366666666667</v>
      </c>
      <c r="U2126" s="231" t="n">
        <f aca="false">+$I2126</f>
        <v>0</v>
      </c>
      <c r="V2126" s="232" t="str">
        <f aca="false">+PROPER(F2126)</f>
        <v/>
      </c>
    </row>
    <row r="2127" customFormat="false" ht="14.25" hidden="false" customHeight="false" outlineLevel="0" collapsed="false">
      <c r="B2127" s="244"/>
      <c r="C2127" s="245"/>
      <c r="D2127" s="245"/>
      <c r="E2127" s="246"/>
      <c r="F2127" s="246"/>
      <c r="G2127" s="225" t="e">
        <f aca="false">VLOOKUP(B2127,'NIVEL ENERO'!A:F,4,0)</f>
        <v>#N/A</v>
      </c>
      <c r="H2127" s="247"/>
      <c r="I2127" s="247"/>
      <c r="J2127" s="246"/>
      <c r="K2127" s="246"/>
      <c r="L2127" s="226"/>
      <c r="M2127" s="226"/>
      <c r="N2127" s="246"/>
      <c r="P2127" s="228"/>
      <c r="Q2127" s="245"/>
      <c r="R2127" s="186" t="str">
        <f aca="false">+PROPER(C2127&amp;" "&amp;D2127)</f>
        <v> </v>
      </c>
      <c r="S2127" s="230" t="n">
        <f aca="false">+YEARFRAC(L2127,$S$1)</f>
        <v>126.366666666667</v>
      </c>
      <c r="T2127" s="230" t="n">
        <f aca="false">+YEARFRAC(M2127,$S$1)</f>
        <v>126.366666666667</v>
      </c>
      <c r="U2127" s="231" t="n">
        <f aca="false">+$I2127</f>
        <v>0</v>
      </c>
      <c r="V2127" s="232" t="str">
        <f aca="false">+PROPER(F2127)</f>
        <v/>
      </c>
    </row>
    <row r="2128" customFormat="false" ht="14.25" hidden="false" customHeight="false" outlineLevel="0" collapsed="false">
      <c r="B2128" s="244"/>
      <c r="C2128" s="245"/>
      <c r="D2128" s="245"/>
      <c r="E2128" s="246"/>
      <c r="F2128" s="246"/>
      <c r="G2128" s="225" t="e">
        <f aca="false">VLOOKUP(B2128,'NIVEL ENERO'!A:F,4,0)</f>
        <v>#N/A</v>
      </c>
      <c r="H2128" s="247"/>
      <c r="I2128" s="247"/>
      <c r="J2128" s="246"/>
      <c r="K2128" s="246"/>
      <c r="L2128" s="226"/>
      <c r="M2128" s="226"/>
      <c r="N2128" s="246"/>
      <c r="P2128" s="228"/>
      <c r="Q2128" s="245"/>
      <c r="R2128" s="186" t="str">
        <f aca="false">+PROPER(C2128&amp;" "&amp;D2128)</f>
        <v> </v>
      </c>
      <c r="S2128" s="230" t="n">
        <f aca="false">+YEARFRAC(L2128,$S$1)</f>
        <v>126.366666666667</v>
      </c>
      <c r="T2128" s="230" t="n">
        <f aca="false">+YEARFRAC(M2128,$S$1)</f>
        <v>126.366666666667</v>
      </c>
      <c r="U2128" s="231" t="n">
        <f aca="false">+$I2128</f>
        <v>0</v>
      </c>
      <c r="V2128" s="232" t="str">
        <f aca="false">+PROPER(F2128)</f>
        <v/>
      </c>
    </row>
    <row r="2129" customFormat="false" ht="14.25" hidden="false" customHeight="false" outlineLevel="0" collapsed="false">
      <c r="B2129" s="244"/>
      <c r="C2129" s="245"/>
      <c r="D2129" s="245"/>
      <c r="E2129" s="246"/>
      <c r="F2129" s="246"/>
      <c r="G2129" s="225" t="e">
        <f aca="false">VLOOKUP(B2129,'NIVEL ENERO'!A:F,4,0)</f>
        <v>#N/A</v>
      </c>
      <c r="H2129" s="247"/>
      <c r="I2129" s="247"/>
      <c r="J2129" s="246"/>
      <c r="K2129" s="246"/>
      <c r="L2129" s="226"/>
      <c r="M2129" s="226"/>
      <c r="N2129" s="246"/>
      <c r="P2129" s="228"/>
      <c r="Q2129" s="245"/>
      <c r="R2129" s="186" t="str">
        <f aca="false">+PROPER(C2129&amp;" "&amp;D2129)</f>
        <v> </v>
      </c>
      <c r="S2129" s="230" t="n">
        <f aca="false">+YEARFRAC(L2129,$S$1)</f>
        <v>126.366666666667</v>
      </c>
      <c r="T2129" s="230" t="n">
        <f aca="false">+YEARFRAC(M2129,$S$1)</f>
        <v>126.366666666667</v>
      </c>
      <c r="U2129" s="231" t="n">
        <f aca="false">+$I2129</f>
        <v>0</v>
      </c>
      <c r="V2129" s="232" t="str">
        <f aca="false">+PROPER(F2129)</f>
        <v/>
      </c>
    </row>
    <row r="2130" customFormat="false" ht="14.25" hidden="false" customHeight="false" outlineLevel="0" collapsed="false">
      <c r="B2130" s="244"/>
      <c r="C2130" s="245"/>
      <c r="D2130" s="245"/>
      <c r="E2130" s="246"/>
      <c r="F2130" s="246"/>
      <c r="G2130" s="225" t="e">
        <f aca="false">VLOOKUP(B2130,'NIVEL ENERO'!A:F,4,0)</f>
        <v>#N/A</v>
      </c>
      <c r="H2130" s="247"/>
      <c r="I2130" s="247"/>
      <c r="J2130" s="246"/>
      <c r="K2130" s="246"/>
      <c r="L2130" s="226"/>
      <c r="M2130" s="226"/>
      <c r="N2130" s="246"/>
      <c r="P2130" s="228"/>
      <c r="Q2130" s="245"/>
      <c r="R2130" s="186" t="str">
        <f aca="false">+PROPER(C2130&amp;" "&amp;D2130)</f>
        <v> </v>
      </c>
      <c r="S2130" s="230" t="n">
        <f aca="false">+YEARFRAC(L2130,$S$1)</f>
        <v>126.366666666667</v>
      </c>
      <c r="T2130" s="230" t="n">
        <f aca="false">+YEARFRAC(M2130,$S$1)</f>
        <v>126.366666666667</v>
      </c>
      <c r="U2130" s="231" t="n">
        <f aca="false">+$I2130</f>
        <v>0</v>
      </c>
      <c r="V2130" s="232" t="str">
        <f aca="false">+PROPER(F2130)</f>
        <v/>
      </c>
    </row>
    <row r="2131" customFormat="false" ht="14.25" hidden="false" customHeight="false" outlineLevel="0" collapsed="false">
      <c r="B2131" s="244"/>
      <c r="C2131" s="245"/>
      <c r="D2131" s="245"/>
      <c r="E2131" s="246"/>
      <c r="F2131" s="246"/>
      <c r="G2131" s="225" t="e">
        <f aca="false">VLOOKUP(B2131,'NIVEL ENERO'!A:F,4,0)</f>
        <v>#N/A</v>
      </c>
      <c r="H2131" s="247"/>
      <c r="I2131" s="247"/>
      <c r="J2131" s="246"/>
      <c r="K2131" s="246"/>
      <c r="L2131" s="226"/>
      <c r="M2131" s="226"/>
      <c r="N2131" s="246"/>
      <c r="P2131" s="228"/>
      <c r="Q2131" s="245"/>
      <c r="R2131" s="186" t="str">
        <f aca="false">+PROPER(C2131&amp;" "&amp;D2131)</f>
        <v> </v>
      </c>
      <c r="S2131" s="230" t="n">
        <f aca="false">+YEARFRAC(L2131,$S$1)</f>
        <v>126.366666666667</v>
      </c>
      <c r="T2131" s="230" t="n">
        <f aca="false">+YEARFRAC(M2131,$S$1)</f>
        <v>126.366666666667</v>
      </c>
      <c r="U2131" s="231" t="n">
        <f aca="false">+$I2131</f>
        <v>0</v>
      </c>
      <c r="V2131" s="232" t="str">
        <f aca="false">+PROPER(F2131)</f>
        <v/>
      </c>
    </row>
    <row r="2132" customFormat="false" ht="14.25" hidden="false" customHeight="false" outlineLevel="0" collapsed="false">
      <c r="B2132" s="244"/>
      <c r="C2132" s="245"/>
      <c r="D2132" s="245"/>
      <c r="E2132" s="246"/>
      <c r="F2132" s="246"/>
      <c r="G2132" s="225" t="e">
        <f aca="false">VLOOKUP(B2132,'NIVEL ENERO'!A:F,4,0)</f>
        <v>#N/A</v>
      </c>
      <c r="H2132" s="247"/>
      <c r="I2132" s="247"/>
      <c r="J2132" s="246"/>
      <c r="K2132" s="246"/>
      <c r="L2132" s="226"/>
      <c r="M2132" s="226"/>
      <c r="N2132" s="246"/>
      <c r="P2132" s="228"/>
      <c r="Q2132" s="245"/>
      <c r="R2132" s="186" t="str">
        <f aca="false">+PROPER(C2132&amp;" "&amp;D2132)</f>
        <v> </v>
      </c>
      <c r="S2132" s="230" t="n">
        <f aca="false">+YEARFRAC(L2132,$S$1)</f>
        <v>126.366666666667</v>
      </c>
      <c r="T2132" s="230" t="n">
        <f aca="false">+YEARFRAC(M2132,$S$1)</f>
        <v>126.366666666667</v>
      </c>
      <c r="U2132" s="231" t="n">
        <f aca="false">+$I2132</f>
        <v>0</v>
      </c>
      <c r="V2132" s="232" t="str">
        <f aca="false">+PROPER(F2132)</f>
        <v/>
      </c>
    </row>
    <row r="2133" customFormat="false" ht="14.25" hidden="false" customHeight="false" outlineLevel="0" collapsed="false">
      <c r="B2133" s="244"/>
      <c r="C2133" s="245"/>
      <c r="D2133" s="245"/>
      <c r="E2133" s="246"/>
      <c r="F2133" s="246"/>
      <c r="G2133" s="225" t="e">
        <f aca="false">VLOOKUP(B2133,'NIVEL ENERO'!A:F,4,0)</f>
        <v>#N/A</v>
      </c>
      <c r="H2133" s="247"/>
      <c r="I2133" s="247"/>
      <c r="J2133" s="246"/>
      <c r="K2133" s="246"/>
      <c r="L2133" s="226"/>
      <c r="M2133" s="226"/>
      <c r="N2133" s="246"/>
      <c r="P2133" s="228"/>
      <c r="Q2133" s="245"/>
      <c r="R2133" s="186" t="str">
        <f aca="false">+PROPER(C2133&amp;" "&amp;D2133)</f>
        <v> </v>
      </c>
      <c r="S2133" s="230" t="n">
        <f aca="false">+YEARFRAC(L2133,$S$1)</f>
        <v>126.366666666667</v>
      </c>
      <c r="T2133" s="230" t="n">
        <f aca="false">+YEARFRAC(M2133,$S$1)</f>
        <v>126.366666666667</v>
      </c>
      <c r="U2133" s="231" t="n">
        <f aca="false">+$I2133</f>
        <v>0</v>
      </c>
      <c r="V2133" s="232" t="str">
        <f aca="false">+PROPER(F2133)</f>
        <v/>
      </c>
    </row>
    <row r="2134" customFormat="false" ht="14.25" hidden="false" customHeight="false" outlineLevel="0" collapsed="false">
      <c r="B2134" s="244"/>
      <c r="C2134" s="245"/>
      <c r="D2134" s="245"/>
      <c r="E2134" s="246"/>
      <c r="F2134" s="246"/>
      <c r="G2134" s="225" t="e">
        <f aca="false">VLOOKUP(B2134,'NIVEL ENERO'!A:F,4,0)</f>
        <v>#N/A</v>
      </c>
      <c r="H2134" s="247"/>
      <c r="I2134" s="247"/>
      <c r="J2134" s="246"/>
      <c r="K2134" s="246"/>
      <c r="L2134" s="226"/>
      <c r="M2134" s="226"/>
      <c r="N2134" s="246"/>
      <c r="P2134" s="228"/>
      <c r="Q2134" s="245"/>
      <c r="R2134" s="186" t="str">
        <f aca="false">+PROPER(C2134&amp;" "&amp;D2134)</f>
        <v> </v>
      </c>
      <c r="S2134" s="230" t="n">
        <f aca="false">+YEARFRAC(L2134,$S$1)</f>
        <v>126.366666666667</v>
      </c>
      <c r="T2134" s="230" t="n">
        <f aca="false">+YEARFRAC(M2134,$S$1)</f>
        <v>126.366666666667</v>
      </c>
      <c r="U2134" s="231" t="n">
        <f aca="false">+$I2134</f>
        <v>0</v>
      </c>
      <c r="V2134" s="232" t="str">
        <f aca="false">+PROPER(F2134)</f>
        <v/>
      </c>
    </row>
    <row r="2135" customFormat="false" ht="14.25" hidden="false" customHeight="false" outlineLevel="0" collapsed="false">
      <c r="B2135" s="244"/>
      <c r="C2135" s="245"/>
      <c r="D2135" s="245"/>
      <c r="E2135" s="246"/>
      <c r="F2135" s="246"/>
      <c r="G2135" s="225" t="e">
        <f aca="false">VLOOKUP(B2135,'NIVEL ENERO'!A:F,4,0)</f>
        <v>#N/A</v>
      </c>
      <c r="H2135" s="247"/>
      <c r="I2135" s="247"/>
      <c r="J2135" s="246"/>
      <c r="K2135" s="246"/>
      <c r="L2135" s="226"/>
      <c r="M2135" s="226"/>
      <c r="N2135" s="246"/>
      <c r="P2135" s="228"/>
      <c r="Q2135" s="245"/>
      <c r="R2135" s="186" t="str">
        <f aca="false">+PROPER(C2135&amp;" "&amp;D2135)</f>
        <v> </v>
      </c>
      <c r="S2135" s="230" t="n">
        <f aca="false">+YEARFRAC(L2135,$S$1)</f>
        <v>126.366666666667</v>
      </c>
      <c r="T2135" s="230" t="n">
        <f aca="false">+YEARFRAC(M2135,$S$1)</f>
        <v>126.366666666667</v>
      </c>
      <c r="U2135" s="231" t="n">
        <f aca="false">+$I2135</f>
        <v>0</v>
      </c>
      <c r="V2135" s="232" t="str">
        <f aca="false">+PROPER(F2135)</f>
        <v/>
      </c>
    </row>
    <row r="2136" customFormat="false" ht="14.25" hidden="false" customHeight="false" outlineLevel="0" collapsed="false">
      <c r="B2136" s="244"/>
      <c r="C2136" s="245"/>
      <c r="D2136" s="245"/>
      <c r="E2136" s="246"/>
      <c r="F2136" s="246"/>
      <c r="G2136" s="225" t="e">
        <f aca="false">VLOOKUP(B2136,'NIVEL ENERO'!A:F,4,0)</f>
        <v>#N/A</v>
      </c>
      <c r="H2136" s="247"/>
      <c r="I2136" s="247"/>
      <c r="J2136" s="246"/>
      <c r="K2136" s="246"/>
      <c r="L2136" s="226"/>
      <c r="M2136" s="226"/>
      <c r="N2136" s="246"/>
      <c r="P2136" s="228"/>
      <c r="Q2136" s="245"/>
      <c r="R2136" s="186" t="str">
        <f aca="false">+PROPER(C2136&amp;" "&amp;D2136)</f>
        <v> </v>
      </c>
      <c r="S2136" s="230" t="n">
        <f aca="false">+YEARFRAC(L2136,$S$1)</f>
        <v>126.366666666667</v>
      </c>
      <c r="T2136" s="230" t="n">
        <f aca="false">+YEARFRAC(M2136,$S$1)</f>
        <v>126.366666666667</v>
      </c>
      <c r="U2136" s="231" t="n">
        <f aca="false">+$I2136</f>
        <v>0</v>
      </c>
      <c r="V2136" s="232" t="str">
        <f aca="false">+PROPER(F2136)</f>
        <v/>
      </c>
    </row>
    <row r="2137" customFormat="false" ht="14.25" hidden="false" customHeight="false" outlineLevel="0" collapsed="false">
      <c r="B2137" s="244"/>
      <c r="C2137" s="245"/>
      <c r="D2137" s="245"/>
      <c r="E2137" s="246"/>
      <c r="F2137" s="246"/>
      <c r="G2137" s="225" t="e">
        <f aca="false">VLOOKUP(B2137,'NIVEL ENERO'!A:F,4,0)</f>
        <v>#N/A</v>
      </c>
      <c r="H2137" s="247"/>
      <c r="I2137" s="247"/>
      <c r="J2137" s="246"/>
      <c r="K2137" s="246"/>
      <c r="L2137" s="226"/>
      <c r="M2137" s="226"/>
      <c r="N2137" s="246"/>
      <c r="P2137" s="228"/>
      <c r="Q2137" s="245"/>
      <c r="R2137" s="186" t="str">
        <f aca="false">+PROPER(C2137&amp;" "&amp;D2137)</f>
        <v> </v>
      </c>
      <c r="S2137" s="230" t="n">
        <f aca="false">+YEARFRAC(L2137,$S$1)</f>
        <v>126.366666666667</v>
      </c>
      <c r="T2137" s="230" t="n">
        <f aca="false">+YEARFRAC(M2137,$S$1)</f>
        <v>126.366666666667</v>
      </c>
      <c r="U2137" s="231" t="n">
        <f aca="false">+$I2137</f>
        <v>0</v>
      </c>
      <c r="V2137" s="232" t="str">
        <f aca="false">+PROPER(F2137)</f>
        <v/>
      </c>
    </row>
    <row r="2138" customFormat="false" ht="14.25" hidden="false" customHeight="false" outlineLevel="0" collapsed="false">
      <c r="B2138" s="244"/>
      <c r="C2138" s="245"/>
      <c r="D2138" s="245"/>
      <c r="E2138" s="246"/>
      <c r="F2138" s="246"/>
      <c r="G2138" s="225" t="e">
        <f aca="false">VLOOKUP(B2138,'NIVEL ENERO'!A:F,4,0)</f>
        <v>#N/A</v>
      </c>
      <c r="H2138" s="247"/>
      <c r="I2138" s="247"/>
      <c r="J2138" s="246"/>
      <c r="K2138" s="246"/>
      <c r="L2138" s="226"/>
      <c r="M2138" s="226"/>
      <c r="N2138" s="246"/>
      <c r="P2138" s="228"/>
      <c r="Q2138" s="245"/>
      <c r="R2138" s="186" t="str">
        <f aca="false">+PROPER(C2138&amp;" "&amp;D2138)</f>
        <v> </v>
      </c>
      <c r="S2138" s="230" t="n">
        <f aca="false">+YEARFRAC(L2138,$S$1)</f>
        <v>126.366666666667</v>
      </c>
      <c r="T2138" s="230" t="n">
        <f aca="false">+YEARFRAC(M2138,$S$1)</f>
        <v>126.366666666667</v>
      </c>
      <c r="U2138" s="231" t="n">
        <f aca="false">+$I2138</f>
        <v>0</v>
      </c>
      <c r="V2138" s="232" t="str">
        <f aca="false">+PROPER(F2138)</f>
        <v/>
      </c>
    </row>
    <row r="2139" customFormat="false" ht="14.25" hidden="false" customHeight="false" outlineLevel="0" collapsed="false">
      <c r="B2139" s="244"/>
      <c r="C2139" s="245"/>
      <c r="D2139" s="245"/>
      <c r="E2139" s="246"/>
      <c r="F2139" s="246"/>
      <c r="G2139" s="225" t="e">
        <f aca="false">VLOOKUP(B2139,'NIVEL ENERO'!A:F,4,0)</f>
        <v>#N/A</v>
      </c>
      <c r="H2139" s="247"/>
      <c r="I2139" s="247"/>
      <c r="J2139" s="246"/>
      <c r="K2139" s="246"/>
      <c r="L2139" s="226"/>
      <c r="M2139" s="226"/>
      <c r="N2139" s="246"/>
      <c r="P2139" s="228"/>
      <c r="Q2139" s="245"/>
      <c r="R2139" s="186" t="str">
        <f aca="false">+PROPER(C2139&amp;" "&amp;D2139)</f>
        <v> </v>
      </c>
      <c r="S2139" s="230" t="n">
        <f aca="false">+YEARFRAC(L2139,$S$1)</f>
        <v>126.366666666667</v>
      </c>
      <c r="T2139" s="230" t="n">
        <f aca="false">+YEARFRAC(M2139,$S$1)</f>
        <v>126.366666666667</v>
      </c>
      <c r="U2139" s="231" t="n">
        <f aca="false">+$I2139</f>
        <v>0</v>
      </c>
      <c r="V2139" s="232" t="str">
        <f aca="false">+PROPER(F2139)</f>
        <v/>
      </c>
    </row>
    <row r="2140" customFormat="false" ht="14.25" hidden="false" customHeight="false" outlineLevel="0" collapsed="false">
      <c r="B2140" s="244"/>
      <c r="C2140" s="245"/>
      <c r="D2140" s="245"/>
      <c r="E2140" s="246"/>
      <c r="F2140" s="246"/>
      <c r="G2140" s="225" t="e">
        <f aca="false">VLOOKUP(B2140,'NIVEL ENERO'!A:F,4,0)</f>
        <v>#N/A</v>
      </c>
      <c r="H2140" s="247"/>
      <c r="I2140" s="247"/>
      <c r="J2140" s="246"/>
      <c r="K2140" s="246"/>
      <c r="L2140" s="226"/>
      <c r="M2140" s="226"/>
      <c r="N2140" s="246"/>
      <c r="P2140" s="228"/>
      <c r="Q2140" s="245"/>
      <c r="R2140" s="186" t="str">
        <f aca="false">+PROPER(C2140&amp;" "&amp;D2140)</f>
        <v> </v>
      </c>
      <c r="S2140" s="230" t="n">
        <f aca="false">+YEARFRAC(L2140,$S$1)</f>
        <v>126.366666666667</v>
      </c>
      <c r="T2140" s="230" t="n">
        <f aca="false">+YEARFRAC(M2140,$S$1)</f>
        <v>126.366666666667</v>
      </c>
      <c r="U2140" s="231" t="n">
        <f aca="false">+$I2140</f>
        <v>0</v>
      </c>
      <c r="V2140" s="232" t="str">
        <f aca="false">+PROPER(F2140)</f>
        <v/>
      </c>
    </row>
    <row r="2141" customFormat="false" ht="14.25" hidden="false" customHeight="false" outlineLevel="0" collapsed="false">
      <c r="B2141" s="244"/>
      <c r="C2141" s="245"/>
      <c r="D2141" s="245"/>
      <c r="E2141" s="246"/>
      <c r="F2141" s="246"/>
      <c r="G2141" s="225" t="e">
        <f aca="false">VLOOKUP(B2141,'NIVEL ENERO'!A:F,4,0)</f>
        <v>#N/A</v>
      </c>
      <c r="H2141" s="247"/>
      <c r="I2141" s="247"/>
      <c r="J2141" s="246"/>
      <c r="K2141" s="246"/>
      <c r="L2141" s="226"/>
      <c r="M2141" s="226"/>
      <c r="N2141" s="246"/>
      <c r="P2141" s="228"/>
      <c r="Q2141" s="245"/>
      <c r="R2141" s="186" t="str">
        <f aca="false">+PROPER(C2141&amp;" "&amp;D2141)</f>
        <v> </v>
      </c>
      <c r="S2141" s="230" t="n">
        <f aca="false">+YEARFRAC(L2141,$S$1)</f>
        <v>126.366666666667</v>
      </c>
      <c r="T2141" s="230" t="n">
        <f aca="false">+YEARFRAC(M2141,$S$1)</f>
        <v>126.366666666667</v>
      </c>
      <c r="U2141" s="231" t="n">
        <f aca="false">+$I2141</f>
        <v>0</v>
      </c>
      <c r="V2141" s="232" t="str">
        <f aca="false">+PROPER(F2141)</f>
        <v/>
      </c>
    </row>
    <row r="2142" customFormat="false" ht="14.25" hidden="false" customHeight="false" outlineLevel="0" collapsed="false">
      <c r="B2142" s="244"/>
      <c r="C2142" s="245"/>
      <c r="D2142" s="245"/>
      <c r="E2142" s="246"/>
      <c r="F2142" s="246"/>
      <c r="G2142" s="225" t="e">
        <f aca="false">VLOOKUP(B2142,'NIVEL ENERO'!A:F,4,0)</f>
        <v>#N/A</v>
      </c>
      <c r="H2142" s="247"/>
      <c r="I2142" s="247"/>
      <c r="J2142" s="246"/>
      <c r="K2142" s="246"/>
      <c r="L2142" s="226"/>
      <c r="M2142" s="226"/>
      <c r="N2142" s="246"/>
      <c r="P2142" s="228"/>
      <c r="Q2142" s="245"/>
      <c r="R2142" s="186" t="str">
        <f aca="false">+PROPER(C2142&amp;" "&amp;D2142)</f>
        <v> </v>
      </c>
      <c r="S2142" s="230" t="n">
        <f aca="false">+YEARFRAC(L2142,$S$1)</f>
        <v>126.366666666667</v>
      </c>
      <c r="T2142" s="230" t="n">
        <f aca="false">+YEARFRAC(M2142,$S$1)</f>
        <v>126.366666666667</v>
      </c>
      <c r="U2142" s="231" t="n">
        <f aca="false">+$I2142</f>
        <v>0</v>
      </c>
      <c r="V2142" s="232" t="str">
        <f aca="false">+PROPER(F2142)</f>
        <v/>
      </c>
    </row>
    <row r="2143" customFormat="false" ht="14.25" hidden="false" customHeight="false" outlineLevel="0" collapsed="false">
      <c r="B2143" s="244"/>
      <c r="C2143" s="245"/>
      <c r="D2143" s="245"/>
      <c r="E2143" s="246"/>
      <c r="F2143" s="246"/>
      <c r="G2143" s="225" t="e">
        <f aca="false">VLOOKUP(B2143,'NIVEL ENERO'!A:F,4,0)</f>
        <v>#N/A</v>
      </c>
      <c r="H2143" s="247"/>
      <c r="I2143" s="247"/>
      <c r="J2143" s="246"/>
      <c r="K2143" s="246"/>
      <c r="L2143" s="226"/>
      <c r="M2143" s="226"/>
      <c r="N2143" s="246"/>
      <c r="P2143" s="228"/>
      <c r="Q2143" s="245"/>
      <c r="R2143" s="186" t="str">
        <f aca="false">+PROPER(C2143&amp;" "&amp;D2143)</f>
        <v> </v>
      </c>
      <c r="S2143" s="230" t="n">
        <f aca="false">+YEARFRAC(L2143,$S$1)</f>
        <v>126.366666666667</v>
      </c>
      <c r="T2143" s="230" t="n">
        <f aca="false">+YEARFRAC(M2143,$S$1)</f>
        <v>126.366666666667</v>
      </c>
      <c r="U2143" s="231" t="n">
        <f aca="false">+$I2143</f>
        <v>0</v>
      </c>
      <c r="V2143" s="232" t="str">
        <f aca="false">+PROPER(F2143)</f>
        <v/>
      </c>
    </row>
    <row r="2144" customFormat="false" ht="14.25" hidden="false" customHeight="false" outlineLevel="0" collapsed="false">
      <c r="B2144" s="244"/>
      <c r="C2144" s="245"/>
      <c r="D2144" s="245"/>
      <c r="E2144" s="246"/>
      <c r="F2144" s="246"/>
      <c r="G2144" s="225" t="e">
        <f aca="false">VLOOKUP(B2144,'NIVEL ENERO'!A:F,4,0)</f>
        <v>#N/A</v>
      </c>
      <c r="H2144" s="247"/>
      <c r="I2144" s="247"/>
      <c r="J2144" s="246"/>
      <c r="K2144" s="246"/>
      <c r="L2144" s="226"/>
      <c r="M2144" s="226"/>
      <c r="N2144" s="246"/>
      <c r="P2144" s="228"/>
      <c r="Q2144" s="245"/>
      <c r="R2144" s="186" t="str">
        <f aca="false">+PROPER(C2144&amp;" "&amp;D2144)</f>
        <v> </v>
      </c>
      <c r="S2144" s="230" t="n">
        <f aca="false">+YEARFRAC(L2144,$S$1)</f>
        <v>126.366666666667</v>
      </c>
      <c r="T2144" s="230" t="n">
        <f aca="false">+YEARFRAC(M2144,$S$1)</f>
        <v>126.366666666667</v>
      </c>
      <c r="U2144" s="231" t="n">
        <f aca="false">+$I2144</f>
        <v>0</v>
      </c>
      <c r="V2144" s="232" t="str">
        <f aca="false">+PROPER(F2144)</f>
        <v/>
      </c>
    </row>
    <row r="2145" customFormat="false" ht="14.25" hidden="false" customHeight="false" outlineLevel="0" collapsed="false">
      <c r="B2145" s="244"/>
      <c r="C2145" s="245"/>
      <c r="D2145" s="245"/>
      <c r="E2145" s="246"/>
      <c r="F2145" s="246"/>
      <c r="G2145" s="225" t="e">
        <f aca="false">VLOOKUP(B2145,'NIVEL ENERO'!A:F,4,0)</f>
        <v>#N/A</v>
      </c>
      <c r="H2145" s="247"/>
      <c r="I2145" s="247"/>
      <c r="J2145" s="246"/>
      <c r="K2145" s="246"/>
      <c r="L2145" s="226"/>
      <c r="M2145" s="226"/>
      <c r="N2145" s="246"/>
      <c r="P2145" s="228"/>
      <c r="Q2145" s="245"/>
      <c r="R2145" s="186" t="str">
        <f aca="false">+PROPER(C2145&amp;" "&amp;D2145)</f>
        <v> </v>
      </c>
      <c r="S2145" s="230" t="n">
        <f aca="false">+YEARFRAC(L2145,$S$1)</f>
        <v>126.366666666667</v>
      </c>
      <c r="T2145" s="230" t="n">
        <f aca="false">+YEARFRAC(M2145,$S$1)</f>
        <v>126.366666666667</v>
      </c>
      <c r="U2145" s="231" t="n">
        <f aca="false">+$I2145</f>
        <v>0</v>
      </c>
      <c r="V2145" s="232" t="str">
        <f aca="false">+PROPER(F2145)</f>
        <v/>
      </c>
    </row>
    <row r="2146" customFormat="false" ht="14.25" hidden="false" customHeight="false" outlineLevel="0" collapsed="false">
      <c r="B2146" s="244"/>
      <c r="C2146" s="245"/>
      <c r="D2146" s="245"/>
      <c r="E2146" s="246"/>
      <c r="F2146" s="246"/>
      <c r="G2146" s="225" t="e">
        <f aca="false">VLOOKUP(B2146,'NIVEL ENERO'!A:F,4,0)</f>
        <v>#N/A</v>
      </c>
      <c r="H2146" s="247"/>
      <c r="I2146" s="247"/>
      <c r="J2146" s="246"/>
      <c r="K2146" s="246"/>
      <c r="L2146" s="226"/>
      <c r="M2146" s="226"/>
      <c r="N2146" s="246"/>
      <c r="P2146" s="228"/>
      <c r="Q2146" s="245"/>
      <c r="R2146" s="186" t="str">
        <f aca="false">+PROPER(C2146&amp;" "&amp;D2146)</f>
        <v> </v>
      </c>
      <c r="S2146" s="230" t="n">
        <f aca="false">+YEARFRAC(L2146,$S$1)</f>
        <v>126.366666666667</v>
      </c>
      <c r="T2146" s="230" t="n">
        <f aca="false">+YEARFRAC(M2146,$S$1)</f>
        <v>126.366666666667</v>
      </c>
      <c r="U2146" s="231" t="n">
        <f aca="false">+$I2146</f>
        <v>0</v>
      </c>
      <c r="V2146" s="232" t="str">
        <f aca="false">+PROPER(F2146)</f>
        <v/>
      </c>
    </row>
    <row r="2147" customFormat="false" ht="14.25" hidden="false" customHeight="false" outlineLevel="0" collapsed="false">
      <c r="B2147" s="244"/>
      <c r="C2147" s="245"/>
      <c r="D2147" s="245"/>
      <c r="E2147" s="246"/>
      <c r="F2147" s="246"/>
      <c r="G2147" s="225" t="e">
        <f aca="false">VLOOKUP(B2147,'NIVEL ENERO'!A:F,4,0)</f>
        <v>#N/A</v>
      </c>
      <c r="H2147" s="247"/>
      <c r="I2147" s="247"/>
      <c r="J2147" s="246"/>
      <c r="K2147" s="246"/>
      <c r="L2147" s="226"/>
      <c r="M2147" s="226"/>
      <c r="N2147" s="246"/>
      <c r="P2147" s="228"/>
      <c r="Q2147" s="245"/>
      <c r="R2147" s="186" t="str">
        <f aca="false">+PROPER(C2147&amp;" "&amp;D2147)</f>
        <v> </v>
      </c>
      <c r="S2147" s="230" t="n">
        <f aca="false">+YEARFRAC(L2147,$S$1)</f>
        <v>126.366666666667</v>
      </c>
      <c r="T2147" s="230" t="n">
        <f aca="false">+YEARFRAC(M2147,$S$1)</f>
        <v>126.366666666667</v>
      </c>
      <c r="U2147" s="231" t="n">
        <f aca="false">+$I2147</f>
        <v>0</v>
      </c>
      <c r="V2147" s="232" t="str">
        <f aca="false">+PROPER(F2147)</f>
        <v/>
      </c>
    </row>
    <row r="2148" customFormat="false" ht="14.25" hidden="false" customHeight="false" outlineLevel="0" collapsed="false">
      <c r="B2148" s="244"/>
      <c r="C2148" s="245"/>
      <c r="D2148" s="245"/>
      <c r="E2148" s="246"/>
      <c r="F2148" s="246"/>
      <c r="G2148" s="225" t="e">
        <f aca="false">VLOOKUP(B2148,'NIVEL ENERO'!A:F,4,0)</f>
        <v>#N/A</v>
      </c>
      <c r="H2148" s="247"/>
      <c r="I2148" s="247"/>
      <c r="J2148" s="246"/>
      <c r="K2148" s="246"/>
      <c r="L2148" s="226"/>
      <c r="M2148" s="226"/>
      <c r="N2148" s="246"/>
      <c r="P2148" s="228"/>
      <c r="Q2148" s="245"/>
      <c r="R2148" s="186" t="str">
        <f aca="false">+PROPER(C2148&amp;" "&amp;D2148)</f>
        <v> </v>
      </c>
      <c r="S2148" s="230" t="n">
        <f aca="false">+YEARFRAC(L2148,$S$1)</f>
        <v>126.366666666667</v>
      </c>
      <c r="T2148" s="230" t="n">
        <f aca="false">+YEARFRAC(M2148,$S$1)</f>
        <v>126.366666666667</v>
      </c>
      <c r="U2148" s="231" t="n">
        <f aca="false">+$I2148</f>
        <v>0</v>
      </c>
      <c r="V2148" s="232" t="str">
        <f aca="false">+PROPER(F2148)</f>
        <v/>
      </c>
    </row>
    <row r="2149" customFormat="false" ht="14.25" hidden="false" customHeight="false" outlineLevel="0" collapsed="false">
      <c r="B2149" s="244"/>
      <c r="C2149" s="245"/>
      <c r="D2149" s="245"/>
      <c r="E2149" s="246"/>
      <c r="F2149" s="246"/>
      <c r="G2149" s="225" t="e">
        <f aca="false">VLOOKUP(B2149,'NIVEL ENERO'!A:F,4,0)</f>
        <v>#N/A</v>
      </c>
      <c r="H2149" s="247"/>
      <c r="I2149" s="247"/>
      <c r="J2149" s="246"/>
      <c r="K2149" s="246"/>
      <c r="L2149" s="226"/>
      <c r="M2149" s="226"/>
      <c r="N2149" s="246"/>
      <c r="P2149" s="228"/>
      <c r="Q2149" s="245"/>
      <c r="R2149" s="186" t="str">
        <f aca="false">+PROPER(C2149&amp;" "&amp;D2149)</f>
        <v> </v>
      </c>
      <c r="S2149" s="230" t="n">
        <f aca="false">+YEARFRAC(L2149,$S$1)</f>
        <v>126.366666666667</v>
      </c>
      <c r="T2149" s="230" t="n">
        <f aca="false">+YEARFRAC(M2149,$S$1)</f>
        <v>126.366666666667</v>
      </c>
      <c r="U2149" s="231" t="n">
        <f aca="false">+$I2149</f>
        <v>0</v>
      </c>
      <c r="V2149" s="232" t="str">
        <f aca="false">+PROPER(F2149)</f>
        <v/>
      </c>
    </row>
    <row r="2150" customFormat="false" ht="14.25" hidden="false" customHeight="false" outlineLevel="0" collapsed="false">
      <c r="B2150" s="244"/>
      <c r="C2150" s="245"/>
      <c r="D2150" s="245"/>
      <c r="E2150" s="246"/>
      <c r="F2150" s="246"/>
      <c r="G2150" s="225" t="e">
        <f aca="false">VLOOKUP(B2150,'NIVEL ENERO'!A:F,4,0)</f>
        <v>#N/A</v>
      </c>
      <c r="H2150" s="247"/>
      <c r="I2150" s="247"/>
      <c r="J2150" s="246"/>
      <c r="K2150" s="246"/>
      <c r="L2150" s="226"/>
      <c r="M2150" s="226"/>
      <c r="N2150" s="246"/>
      <c r="P2150" s="228"/>
      <c r="Q2150" s="245"/>
      <c r="R2150" s="186" t="str">
        <f aca="false">+PROPER(C2150&amp;" "&amp;D2150)</f>
        <v> </v>
      </c>
      <c r="S2150" s="230" t="n">
        <f aca="false">+YEARFRAC(L2150,$S$1)</f>
        <v>126.366666666667</v>
      </c>
      <c r="T2150" s="230" t="n">
        <f aca="false">+YEARFRAC(M2150,$S$1)</f>
        <v>126.366666666667</v>
      </c>
      <c r="U2150" s="231" t="n">
        <f aca="false">+$I2150</f>
        <v>0</v>
      </c>
      <c r="V2150" s="232" t="str">
        <f aca="false">+PROPER(F2150)</f>
        <v/>
      </c>
    </row>
    <row r="2151" customFormat="false" ht="14.25" hidden="false" customHeight="false" outlineLevel="0" collapsed="false">
      <c r="B2151" s="244"/>
      <c r="C2151" s="245"/>
      <c r="D2151" s="245"/>
      <c r="E2151" s="246"/>
      <c r="F2151" s="246"/>
      <c r="G2151" s="225" t="e">
        <f aca="false">VLOOKUP(B2151,'NIVEL ENERO'!A:F,4,0)</f>
        <v>#N/A</v>
      </c>
      <c r="H2151" s="247"/>
      <c r="I2151" s="247"/>
      <c r="J2151" s="246"/>
      <c r="K2151" s="246"/>
      <c r="L2151" s="226"/>
      <c r="M2151" s="226"/>
      <c r="N2151" s="246"/>
      <c r="P2151" s="228"/>
      <c r="Q2151" s="245"/>
      <c r="R2151" s="186" t="str">
        <f aca="false">+PROPER(C2151&amp;" "&amp;D2151)</f>
        <v> </v>
      </c>
      <c r="S2151" s="230" t="n">
        <f aca="false">+YEARFRAC(L2151,$S$1)</f>
        <v>126.366666666667</v>
      </c>
      <c r="T2151" s="230" t="n">
        <f aca="false">+YEARFRAC(M2151,$S$1)</f>
        <v>126.366666666667</v>
      </c>
      <c r="U2151" s="231" t="n">
        <f aca="false">+$I2151</f>
        <v>0</v>
      </c>
      <c r="V2151" s="232" t="str">
        <f aca="false">+PROPER(F2151)</f>
        <v/>
      </c>
    </row>
    <row r="2152" customFormat="false" ht="14.25" hidden="false" customHeight="false" outlineLevel="0" collapsed="false">
      <c r="B2152" s="244"/>
      <c r="C2152" s="245"/>
      <c r="D2152" s="245"/>
      <c r="E2152" s="246"/>
      <c r="F2152" s="246"/>
      <c r="G2152" s="225" t="e">
        <f aca="false">VLOOKUP(B2152,'NIVEL ENERO'!A:F,4,0)</f>
        <v>#N/A</v>
      </c>
      <c r="H2152" s="247"/>
      <c r="I2152" s="247"/>
      <c r="J2152" s="246"/>
      <c r="K2152" s="246"/>
      <c r="L2152" s="226"/>
      <c r="M2152" s="226"/>
      <c r="N2152" s="246"/>
      <c r="P2152" s="228"/>
      <c r="Q2152" s="245"/>
      <c r="R2152" s="186" t="str">
        <f aca="false">+PROPER(C2152&amp;" "&amp;D2152)</f>
        <v> </v>
      </c>
      <c r="S2152" s="230" t="n">
        <f aca="false">+YEARFRAC(L2152,$S$1)</f>
        <v>126.366666666667</v>
      </c>
      <c r="T2152" s="230" t="n">
        <f aca="false">+YEARFRAC(M2152,$S$1)</f>
        <v>126.366666666667</v>
      </c>
      <c r="U2152" s="231" t="n">
        <f aca="false">+$I2152</f>
        <v>0</v>
      </c>
      <c r="V2152" s="232" t="str">
        <f aca="false">+PROPER(F2152)</f>
        <v/>
      </c>
    </row>
    <row r="2153" customFormat="false" ht="14.25" hidden="false" customHeight="false" outlineLevel="0" collapsed="false">
      <c r="B2153" s="244"/>
      <c r="C2153" s="245"/>
      <c r="D2153" s="245"/>
      <c r="E2153" s="246"/>
      <c r="F2153" s="246"/>
      <c r="G2153" s="225" t="e">
        <f aca="false">VLOOKUP(B2153,'NIVEL ENERO'!A:F,4,0)</f>
        <v>#N/A</v>
      </c>
      <c r="H2153" s="247"/>
      <c r="I2153" s="247"/>
      <c r="J2153" s="246"/>
      <c r="K2153" s="246"/>
      <c r="L2153" s="226"/>
      <c r="M2153" s="226"/>
      <c r="N2153" s="246"/>
      <c r="P2153" s="228"/>
      <c r="Q2153" s="245"/>
      <c r="R2153" s="186" t="str">
        <f aca="false">+PROPER(C2153&amp;" "&amp;D2153)</f>
        <v> </v>
      </c>
      <c r="S2153" s="230" t="n">
        <f aca="false">+YEARFRAC(L2153,$S$1)</f>
        <v>126.366666666667</v>
      </c>
      <c r="T2153" s="230" t="n">
        <f aca="false">+YEARFRAC(M2153,$S$1)</f>
        <v>126.366666666667</v>
      </c>
      <c r="U2153" s="231" t="n">
        <f aca="false">+$I2153</f>
        <v>0</v>
      </c>
      <c r="V2153" s="232" t="str">
        <f aca="false">+PROPER(F2153)</f>
        <v/>
      </c>
    </row>
    <row r="2154" customFormat="false" ht="14.25" hidden="false" customHeight="false" outlineLevel="0" collapsed="false">
      <c r="B2154" s="244"/>
      <c r="C2154" s="245"/>
      <c r="D2154" s="245"/>
      <c r="E2154" s="246"/>
      <c r="F2154" s="246"/>
      <c r="G2154" s="225" t="e">
        <f aca="false">VLOOKUP(B2154,'NIVEL ENERO'!A:F,4,0)</f>
        <v>#N/A</v>
      </c>
      <c r="H2154" s="247"/>
      <c r="I2154" s="247"/>
      <c r="J2154" s="246"/>
      <c r="K2154" s="246"/>
      <c r="L2154" s="226"/>
      <c r="M2154" s="226"/>
      <c r="N2154" s="246"/>
      <c r="P2154" s="228"/>
      <c r="Q2154" s="245"/>
      <c r="R2154" s="186" t="str">
        <f aca="false">+PROPER(C2154&amp;" "&amp;D2154)</f>
        <v> </v>
      </c>
      <c r="S2154" s="230" t="n">
        <f aca="false">+YEARFRAC(L2154,$S$1)</f>
        <v>126.366666666667</v>
      </c>
      <c r="T2154" s="230" t="n">
        <f aca="false">+YEARFRAC(M2154,$S$1)</f>
        <v>126.366666666667</v>
      </c>
      <c r="U2154" s="231" t="n">
        <f aca="false">+$I2154</f>
        <v>0</v>
      </c>
      <c r="V2154" s="232" t="str">
        <f aca="false">+PROPER(F2154)</f>
        <v/>
      </c>
    </row>
    <row r="2155" customFormat="false" ht="14.25" hidden="false" customHeight="false" outlineLevel="0" collapsed="false">
      <c r="B2155" s="244"/>
      <c r="C2155" s="245"/>
      <c r="D2155" s="245"/>
      <c r="E2155" s="246"/>
      <c r="F2155" s="246"/>
      <c r="G2155" s="225" t="e">
        <f aca="false">VLOOKUP(B2155,'NIVEL ENERO'!A:F,4,0)</f>
        <v>#N/A</v>
      </c>
      <c r="H2155" s="247"/>
      <c r="I2155" s="247"/>
      <c r="J2155" s="246"/>
      <c r="K2155" s="246"/>
      <c r="L2155" s="226"/>
      <c r="M2155" s="226"/>
      <c r="N2155" s="246"/>
      <c r="P2155" s="228"/>
      <c r="Q2155" s="245"/>
      <c r="R2155" s="186" t="str">
        <f aca="false">+PROPER(C2155&amp;" "&amp;D2155)</f>
        <v> </v>
      </c>
      <c r="S2155" s="230" t="n">
        <f aca="false">+YEARFRAC(L2155,$S$1)</f>
        <v>126.366666666667</v>
      </c>
      <c r="T2155" s="230" t="n">
        <f aca="false">+YEARFRAC(M2155,$S$1)</f>
        <v>126.366666666667</v>
      </c>
      <c r="U2155" s="231" t="n">
        <f aca="false">+$I2155</f>
        <v>0</v>
      </c>
      <c r="V2155" s="232" t="str">
        <f aca="false">+PROPER(F2155)</f>
        <v/>
      </c>
    </row>
    <row r="2156" customFormat="false" ht="14.25" hidden="false" customHeight="false" outlineLevel="0" collapsed="false">
      <c r="B2156" s="244"/>
      <c r="C2156" s="245"/>
      <c r="D2156" s="245"/>
      <c r="E2156" s="246"/>
      <c r="F2156" s="246"/>
      <c r="G2156" s="225" t="e">
        <f aca="false">VLOOKUP(B2156,'NIVEL ENERO'!A:F,4,0)</f>
        <v>#N/A</v>
      </c>
      <c r="H2156" s="247"/>
      <c r="I2156" s="247"/>
      <c r="J2156" s="246"/>
      <c r="K2156" s="246"/>
      <c r="L2156" s="226"/>
      <c r="M2156" s="226"/>
      <c r="N2156" s="246"/>
      <c r="P2156" s="228"/>
      <c r="Q2156" s="245"/>
      <c r="R2156" s="186" t="str">
        <f aca="false">+PROPER(C2156&amp;" "&amp;D2156)</f>
        <v> </v>
      </c>
      <c r="S2156" s="230" t="n">
        <f aca="false">+YEARFRAC(L2156,$S$1)</f>
        <v>126.366666666667</v>
      </c>
      <c r="T2156" s="230" t="n">
        <f aca="false">+YEARFRAC(M2156,$S$1)</f>
        <v>126.366666666667</v>
      </c>
      <c r="U2156" s="231" t="n">
        <f aca="false">+$I2156</f>
        <v>0</v>
      </c>
      <c r="V2156" s="232" t="str">
        <f aca="false">+PROPER(F2156)</f>
        <v/>
      </c>
    </row>
    <row r="2157" customFormat="false" ht="14.25" hidden="false" customHeight="false" outlineLevel="0" collapsed="false">
      <c r="B2157" s="244"/>
      <c r="C2157" s="245"/>
      <c r="D2157" s="245"/>
      <c r="E2157" s="246"/>
      <c r="F2157" s="246"/>
      <c r="G2157" s="225" t="e">
        <f aca="false">VLOOKUP(B2157,'NIVEL ENERO'!A:F,4,0)</f>
        <v>#N/A</v>
      </c>
      <c r="H2157" s="247"/>
      <c r="I2157" s="247"/>
      <c r="J2157" s="246"/>
      <c r="K2157" s="246"/>
      <c r="L2157" s="226"/>
      <c r="M2157" s="226"/>
      <c r="N2157" s="246"/>
      <c r="P2157" s="228"/>
      <c r="Q2157" s="245"/>
      <c r="R2157" s="186" t="str">
        <f aca="false">+PROPER(C2157&amp;" "&amp;D2157)</f>
        <v> </v>
      </c>
      <c r="S2157" s="230" t="n">
        <f aca="false">+YEARFRAC(L2157,$S$1)</f>
        <v>126.366666666667</v>
      </c>
      <c r="T2157" s="230" t="n">
        <f aca="false">+YEARFRAC(M2157,$S$1)</f>
        <v>126.366666666667</v>
      </c>
      <c r="U2157" s="231" t="n">
        <f aca="false">+$I2157</f>
        <v>0</v>
      </c>
      <c r="V2157" s="232" t="str">
        <f aca="false">+PROPER(F2157)</f>
        <v/>
      </c>
    </row>
    <row r="2158" customFormat="false" ht="14.25" hidden="false" customHeight="false" outlineLevel="0" collapsed="false">
      <c r="B2158" s="244"/>
      <c r="C2158" s="245"/>
      <c r="D2158" s="245"/>
      <c r="E2158" s="246"/>
      <c r="F2158" s="246"/>
      <c r="G2158" s="225" t="e">
        <f aca="false">VLOOKUP(B2158,'NIVEL ENERO'!A:F,4,0)</f>
        <v>#N/A</v>
      </c>
      <c r="H2158" s="247"/>
      <c r="I2158" s="247"/>
      <c r="J2158" s="246"/>
      <c r="K2158" s="246"/>
      <c r="L2158" s="226"/>
      <c r="M2158" s="226"/>
      <c r="N2158" s="246"/>
      <c r="P2158" s="228"/>
      <c r="Q2158" s="245"/>
      <c r="R2158" s="186" t="str">
        <f aca="false">+PROPER(C2158&amp;" "&amp;D2158)</f>
        <v> </v>
      </c>
      <c r="S2158" s="230" t="n">
        <f aca="false">+YEARFRAC(L2158,$S$1)</f>
        <v>126.366666666667</v>
      </c>
      <c r="T2158" s="230" t="n">
        <f aca="false">+YEARFRAC(M2158,$S$1)</f>
        <v>126.366666666667</v>
      </c>
      <c r="U2158" s="231" t="n">
        <f aca="false">+$I2158</f>
        <v>0</v>
      </c>
      <c r="V2158" s="232" t="str">
        <f aca="false">+PROPER(F2158)</f>
        <v/>
      </c>
    </row>
    <row r="2159" customFormat="false" ht="14.25" hidden="false" customHeight="false" outlineLevel="0" collapsed="false">
      <c r="B2159" s="244"/>
      <c r="C2159" s="245"/>
      <c r="D2159" s="245"/>
      <c r="E2159" s="246"/>
      <c r="F2159" s="246"/>
      <c r="G2159" s="225" t="e">
        <f aca="false">VLOOKUP(B2159,'NIVEL ENERO'!A:F,4,0)</f>
        <v>#N/A</v>
      </c>
      <c r="H2159" s="247"/>
      <c r="I2159" s="247"/>
      <c r="J2159" s="246"/>
      <c r="K2159" s="246"/>
      <c r="L2159" s="226"/>
      <c r="M2159" s="226"/>
      <c r="N2159" s="246"/>
      <c r="P2159" s="228"/>
      <c r="Q2159" s="245"/>
      <c r="R2159" s="186" t="str">
        <f aca="false">+PROPER(C2159&amp;" "&amp;D2159)</f>
        <v> </v>
      </c>
      <c r="S2159" s="230" t="n">
        <f aca="false">+YEARFRAC(L2159,$S$1)</f>
        <v>126.366666666667</v>
      </c>
      <c r="T2159" s="230" t="n">
        <f aca="false">+YEARFRAC(M2159,$S$1)</f>
        <v>126.366666666667</v>
      </c>
      <c r="U2159" s="231" t="n">
        <f aca="false">+$I2159</f>
        <v>0</v>
      </c>
      <c r="V2159" s="232" t="str">
        <f aca="false">+PROPER(F2159)</f>
        <v/>
      </c>
    </row>
    <row r="2160" customFormat="false" ht="14.25" hidden="false" customHeight="false" outlineLevel="0" collapsed="false">
      <c r="B2160" s="244"/>
      <c r="C2160" s="245"/>
      <c r="D2160" s="245"/>
      <c r="E2160" s="246"/>
      <c r="F2160" s="246"/>
      <c r="G2160" s="225" t="e">
        <f aca="false">VLOOKUP(B2160,'NIVEL ENERO'!A:F,4,0)</f>
        <v>#N/A</v>
      </c>
      <c r="H2160" s="247"/>
      <c r="I2160" s="247"/>
      <c r="J2160" s="246"/>
      <c r="K2160" s="246"/>
      <c r="L2160" s="226"/>
      <c r="M2160" s="226"/>
      <c r="N2160" s="246"/>
      <c r="P2160" s="228"/>
      <c r="Q2160" s="245"/>
      <c r="R2160" s="186" t="str">
        <f aca="false">+PROPER(C2160&amp;" "&amp;D2160)</f>
        <v> </v>
      </c>
      <c r="S2160" s="230" t="n">
        <f aca="false">+YEARFRAC(L2160,$S$1)</f>
        <v>126.366666666667</v>
      </c>
      <c r="T2160" s="230" t="n">
        <f aca="false">+YEARFRAC(M2160,$S$1)</f>
        <v>126.366666666667</v>
      </c>
      <c r="U2160" s="231" t="n">
        <f aca="false">+$I2160</f>
        <v>0</v>
      </c>
      <c r="V2160" s="232" t="str">
        <f aca="false">+PROPER(F2160)</f>
        <v/>
      </c>
    </row>
    <row r="2161" customFormat="false" ht="14.25" hidden="false" customHeight="false" outlineLevel="0" collapsed="false">
      <c r="B2161" s="244"/>
      <c r="C2161" s="245"/>
      <c r="D2161" s="245"/>
      <c r="E2161" s="246"/>
      <c r="F2161" s="246"/>
      <c r="G2161" s="225" t="e">
        <f aca="false">VLOOKUP(B2161,'NIVEL ENERO'!A:F,4,0)</f>
        <v>#N/A</v>
      </c>
      <c r="H2161" s="247"/>
      <c r="I2161" s="247"/>
      <c r="J2161" s="246"/>
      <c r="K2161" s="246"/>
      <c r="L2161" s="226"/>
      <c r="M2161" s="226"/>
      <c r="N2161" s="246"/>
      <c r="P2161" s="228"/>
      <c r="Q2161" s="245"/>
      <c r="R2161" s="186" t="str">
        <f aca="false">+PROPER(C2161&amp;" "&amp;D2161)</f>
        <v> </v>
      </c>
      <c r="S2161" s="230" t="n">
        <f aca="false">+YEARFRAC(L2161,$S$1)</f>
        <v>126.366666666667</v>
      </c>
      <c r="T2161" s="230" t="n">
        <f aca="false">+YEARFRAC(M2161,$S$1)</f>
        <v>126.366666666667</v>
      </c>
      <c r="U2161" s="231" t="n">
        <f aca="false">+$I2161</f>
        <v>0</v>
      </c>
      <c r="V2161" s="232" t="str">
        <f aca="false">+PROPER(F2161)</f>
        <v/>
      </c>
    </row>
    <row r="2162" customFormat="false" ht="14.25" hidden="false" customHeight="false" outlineLevel="0" collapsed="false">
      <c r="B2162" s="244"/>
      <c r="C2162" s="245"/>
      <c r="D2162" s="245"/>
      <c r="E2162" s="246"/>
      <c r="F2162" s="246"/>
      <c r="G2162" s="225" t="e">
        <f aca="false">VLOOKUP(B2162,'NIVEL ENERO'!A:F,4,0)</f>
        <v>#N/A</v>
      </c>
      <c r="H2162" s="247"/>
      <c r="I2162" s="247"/>
      <c r="J2162" s="246"/>
      <c r="K2162" s="246"/>
      <c r="L2162" s="226"/>
      <c r="M2162" s="226"/>
      <c r="N2162" s="246"/>
      <c r="P2162" s="228"/>
      <c r="Q2162" s="245"/>
      <c r="R2162" s="186" t="str">
        <f aca="false">+PROPER(C2162&amp;" "&amp;D2162)</f>
        <v> </v>
      </c>
      <c r="S2162" s="230" t="n">
        <f aca="false">+YEARFRAC(L2162,$S$1)</f>
        <v>126.366666666667</v>
      </c>
      <c r="T2162" s="230" t="n">
        <f aca="false">+YEARFRAC(M2162,$S$1)</f>
        <v>126.366666666667</v>
      </c>
      <c r="U2162" s="231" t="n">
        <f aca="false">+$I2162</f>
        <v>0</v>
      </c>
      <c r="V2162" s="232" t="str">
        <f aca="false">+PROPER(F2162)</f>
        <v/>
      </c>
    </row>
    <row r="2163" customFormat="false" ht="14.25" hidden="false" customHeight="false" outlineLevel="0" collapsed="false">
      <c r="B2163" s="244"/>
      <c r="C2163" s="245"/>
      <c r="D2163" s="245"/>
      <c r="E2163" s="246"/>
      <c r="F2163" s="246"/>
      <c r="G2163" s="225" t="e">
        <f aca="false">VLOOKUP(B2163,'NIVEL ENERO'!A:F,4,0)</f>
        <v>#N/A</v>
      </c>
      <c r="H2163" s="247"/>
      <c r="I2163" s="247"/>
      <c r="J2163" s="246"/>
      <c r="K2163" s="246"/>
      <c r="L2163" s="226"/>
      <c r="M2163" s="226"/>
      <c r="N2163" s="246"/>
      <c r="P2163" s="228"/>
      <c r="Q2163" s="245"/>
      <c r="R2163" s="186" t="str">
        <f aca="false">+PROPER(C2163&amp;" "&amp;D2163)</f>
        <v> </v>
      </c>
      <c r="S2163" s="230" t="n">
        <f aca="false">+YEARFRAC(L2163,$S$1)</f>
        <v>126.366666666667</v>
      </c>
      <c r="T2163" s="230" t="n">
        <f aca="false">+YEARFRAC(M2163,$S$1)</f>
        <v>126.366666666667</v>
      </c>
      <c r="U2163" s="231" t="n">
        <f aca="false">+$I2163</f>
        <v>0</v>
      </c>
      <c r="V2163" s="232" t="str">
        <f aca="false">+PROPER(F2163)</f>
        <v/>
      </c>
    </row>
    <row r="2164" customFormat="false" ht="14.25" hidden="false" customHeight="false" outlineLevel="0" collapsed="false">
      <c r="B2164" s="244"/>
      <c r="C2164" s="245"/>
      <c r="D2164" s="245"/>
      <c r="E2164" s="246"/>
      <c r="F2164" s="246"/>
      <c r="G2164" s="225" t="e">
        <f aca="false">VLOOKUP(B2164,'NIVEL ENERO'!A:F,4,0)</f>
        <v>#N/A</v>
      </c>
      <c r="H2164" s="247"/>
      <c r="I2164" s="247"/>
      <c r="J2164" s="246"/>
      <c r="K2164" s="246"/>
      <c r="L2164" s="226"/>
      <c r="M2164" s="226"/>
      <c r="N2164" s="246"/>
      <c r="P2164" s="228"/>
      <c r="Q2164" s="245"/>
      <c r="R2164" s="186" t="str">
        <f aca="false">+PROPER(C2164&amp;" "&amp;D2164)</f>
        <v> </v>
      </c>
      <c r="S2164" s="230" t="n">
        <f aca="false">+YEARFRAC(L2164,$S$1)</f>
        <v>126.366666666667</v>
      </c>
      <c r="T2164" s="230" t="n">
        <f aca="false">+YEARFRAC(M2164,$S$1)</f>
        <v>126.366666666667</v>
      </c>
      <c r="U2164" s="231" t="n">
        <f aca="false">+$I2164</f>
        <v>0</v>
      </c>
      <c r="V2164" s="232" t="str">
        <f aca="false">+PROPER(F2164)</f>
        <v/>
      </c>
    </row>
    <row r="2165" customFormat="false" ht="14.25" hidden="false" customHeight="false" outlineLevel="0" collapsed="false">
      <c r="B2165" s="244"/>
      <c r="C2165" s="245"/>
      <c r="D2165" s="245"/>
      <c r="E2165" s="246"/>
      <c r="F2165" s="246"/>
      <c r="G2165" s="225" t="e">
        <f aca="false">VLOOKUP(B2165,'NIVEL ENERO'!A:F,4,0)</f>
        <v>#N/A</v>
      </c>
      <c r="H2165" s="247"/>
      <c r="I2165" s="247"/>
      <c r="J2165" s="246"/>
      <c r="K2165" s="246"/>
      <c r="L2165" s="226"/>
      <c r="M2165" s="226"/>
      <c r="N2165" s="246"/>
      <c r="P2165" s="228"/>
      <c r="Q2165" s="245"/>
      <c r="R2165" s="186" t="str">
        <f aca="false">+PROPER(C2165&amp;" "&amp;D2165)</f>
        <v> </v>
      </c>
      <c r="S2165" s="230" t="n">
        <f aca="false">+YEARFRAC(L2165,$S$1)</f>
        <v>126.366666666667</v>
      </c>
      <c r="T2165" s="230" t="n">
        <f aca="false">+YEARFRAC(M2165,$S$1)</f>
        <v>126.366666666667</v>
      </c>
      <c r="U2165" s="231" t="n">
        <f aca="false">+$I2165</f>
        <v>0</v>
      </c>
      <c r="V2165" s="232" t="str">
        <f aca="false">+PROPER(F2165)</f>
        <v/>
      </c>
    </row>
    <row r="2166" customFormat="false" ht="14.25" hidden="false" customHeight="false" outlineLevel="0" collapsed="false">
      <c r="B2166" s="244"/>
      <c r="C2166" s="245"/>
      <c r="D2166" s="245"/>
      <c r="E2166" s="246"/>
      <c r="F2166" s="246"/>
      <c r="G2166" s="225" t="e">
        <f aca="false">VLOOKUP(B2166,'NIVEL ENERO'!A:F,4,0)</f>
        <v>#N/A</v>
      </c>
      <c r="H2166" s="247"/>
      <c r="I2166" s="247"/>
      <c r="J2166" s="246"/>
      <c r="K2166" s="246"/>
      <c r="L2166" s="226"/>
      <c r="M2166" s="226"/>
      <c r="N2166" s="246"/>
      <c r="P2166" s="228"/>
      <c r="Q2166" s="245"/>
      <c r="R2166" s="186" t="str">
        <f aca="false">+PROPER(C2166&amp;" "&amp;D2166)</f>
        <v> </v>
      </c>
      <c r="S2166" s="230" t="n">
        <f aca="false">+YEARFRAC(L2166,$S$1)</f>
        <v>126.366666666667</v>
      </c>
      <c r="T2166" s="230" t="n">
        <f aca="false">+YEARFRAC(M2166,$S$1)</f>
        <v>126.366666666667</v>
      </c>
      <c r="U2166" s="231" t="n">
        <f aca="false">+$I2166</f>
        <v>0</v>
      </c>
      <c r="V2166" s="232" t="str">
        <f aca="false">+PROPER(F2166)</f>
        <v/>
      </c>
    </row>
    <row r="2167" customFormat="false" ht="14.25" hidden="false" customHeight="false" outlineLevel="0" collapsed="false">
      <c r="B2167" s="244"/>
      <c r="C2167" s="245"/>
      <c r="D2167" s="245"/>
      <c r="E2167" s="246"/>
      <c r="F2167" s="246"/>
      <c r="G2167" s="225" t="e">
        <f aca="false">VLOOKUP(B2167,'NIVEL ENERO'!A:F,4,0)</f>
        <v>#N/A</v>
      </c>
      <c r="H2167" s="247"/>
      <c r="I2167" s="247"/>
      <c r="J2167" s="246"/>
      <c r="K2167" s="246"/>
      <c r="L2167" s="226"/>
      <c r="M2167" s="226"/>
      <c r="N2167" s="246"/>
      <c r="P2167" s="228"/>
      <c r="Q2167" s="245"/>
      <c r="R2167" s="186" t="str">
        <f aca="false">+PROPER(C2167&amp;" "&amp;D2167)</f>
        <v> </v>
      </c>
      <c r="S2167" s="230" t="n">
        <f aca="false">+YEARFRAC(L2167,$S$1)</f>
        <v>126.366666666667</v>
      </c>
      <c r="T2167" s="230" t="n">
        <f aca="false">+YEARFRAC(M2167,$S$1)</f>
        <v>126.366666666667</v>
      </c>
      <c r="U2167" s="231" t="n">
        <f aca="false">+$I2167</f>
        <v>0</v>
      </c>
      <c r="V2167" s="232" t="str">
        <f aca="false">+PROPER(F2167)</f>
        <v/>
      </c>
    </row>
    <row r="2168" customFormat="false" ht="14.25" hidden="false" customHeight="false" outlineLevel="0" collapsed="false">
      <c r="B2168" s="244"/>
      <c r="C2168" s="245"/>
      <c r="D2168" s="245"/>
      <c r="E2168" s="246"/>
      <c r="F2168" s="246"/>
      <c r="G2168" s="225" t="e">
        <f aca="false">VLOOKUP(B2168,'NIVEL ENERO'!A:F,4,0)</f>
        <v>#N/A</v>
      </c>
      <c r="H2168" s="247"/>
      <c r="I2168" s="247"/>
      <c r="J2168" s="246"/>
      <c r="K2168" s="246"/>
      <c r="L2168" s="226"/>
      <c r="M2168" s="226"/>
      <c r="N2168" s="246"/>
      <c r="P2168" s="228"/>
      <c r="Q2168" s="245"/>
      <c r="R2168" s="186" t="str">
        <f aca="false">+PROPER(C2168&amp;" "&amp;D2168)</f>
        <v> </v>
      </c>
      <c r="S2168" s="230" t="n">
        <f aca="false">+YEARFRAC(L2168,$S$1)</f>
        <v>126.366666666667</v>
      </c>
      <c r="T2168" s="230" t="n">
        <f aca="false">+YEARFRAC(M2168,$S$1)</f>
        <v>126.366666666667</v>
      </c>
      <c r="U2168" s="231" t="n">
        <f aca="false">+$I2168</f>
        <v>0</v>
      </c>
      <c r="V2168" s="232" t="str">
        <f aca="false">+PROPER(F2168)</f>
        <v/>
      </c>
    </row>
    <row r="2169" customFormat="false" ht="14.25" hidden="false" customHeight="false" outlineLevel="0" collapsed="false">
      <c r="B2169" s="244"/>
      <c r="C2169" s="245"/>
      <c r="D2169" s="245"/>
      <c r="E2169" s="246"/>
      <c r="F2169" s="246"/>
      <c r="G2169" s="225" t="e">
        <f aca="false">VLOOKUP(B2169,'NIVEL ENERO'!A:F,4,0)</f>
        <v>#N/A</v>
      </c>
      <c r="H2169" s="247"/>
      <c r="I2169" s="247"/>
      <c r="J2169" s="246"/>
      <c r="K2169" s="246"/>
      <c r="L2169" s="226"/>
      <c r="M2169" s="226"/>
      <c r="N2169" s="246"/>
      <c r="P2169" s="228"/>
      <c r="Q2169" s="245"/>
      <c r="R2169" s="186" t="str">
        <f aca="false">+PROPER(C2169&amp;" "&amp;D2169)</f>
        <v> </v>
      </c>
      <c r="S2169" s="230" t="n">
        <f aca="false">+YEARFRAC(L2169,$S$1)</f>
        <v>126.366666666667</v>
      </c>
      <c r="T2169" s="230" t="n">
        <f aca="false">+YEARFRAC(M2169,$S$1)</f>
        <v>126.366666666667</v>
      </c>
      <c r="U2169" s="231" t="n">
        <f aca="false">+$I2169</f>
        <v>0</v>
      </c>
      <c r="V2169" s="232" t="str">
        <f aca="false">+PROPER(F2169)</f>
        <v/>
      </c>
    </row>
    <row r="2170" customFormat="false" ht="14.25" hidden="false" customHeight="false" outlineLevel="0" collapsed="false">
      <c r="B2170" s="244"/>
      <c r="C2170" s="245"/>
      <c r="D2170" s="245"/>
      <c r="E2170" s="246"/>
      <c r="F2170" s="246"/>
      <c r="G2170" s="225" t="e">
        <f aca="false">VLOOKUP(B2170,'NIVEL ENERO'!A:F,4,0)</f>
        <v>#N/A</v>
      </c>
      <c r="H2170" s="247"/>
      <c r="I2170" s="247"/>
      <c r="J2170" s="246"/>
      <c r="K2170" s="246"/>
      <c r="L2170" s="226"/>
      <c r="M2170" s="226"/>
      <c r="N2170" s="246"/>
      <c r="P2170" s="228"/>
      <c r="Q2170" s="245"/>
      <c r="R2170" s="186" t="str">
        <f aca="false">+PROPER(C2170&amp;" "&amp;D2170)</f>
        <v> </v>
      </c>
      <c r="S2170" s="230" t="n">
        <f aca="false">+YEARFRAC(L2170,$S$1)</f>
        <v>126.366666666667</v>
      </c>
      <c r="T2170" s="230" t="n">
        <f aca="false">+YEARFRAC(M2170,$S$1)</f>
        <v>126.366666666667</v>
      </c>
      <c r="U2170" s="231" t="n">
        <f aca="false">+$I2170</f>
        <v>0</v>
      </c>
      <c r="V2170" s="232" t="str">
        <f aca="false">+PROPER(F2170)</f>
        <v/>
      </c>
    </row>
    <row r="2171" customFormat="false" ht="14.25" hidden="false" customHeight="false" outlineLevel="0" collapsed="false">
      <c r="B2171" s="244"/>
      <c r="C2171" s="245"/>
      <c r="D2171" s="245"/>
      <c r="E2171" s="246"/>
      <c r="F2171" s="246"/>
      <c r="G2171" s="225" t="e">
        <f aca="false">VLOOKUP(B2171,'NIVEL ENERO'!A:F,4,0)</f>
        <v>#N/A</v>
      </c>
      <c r="H2171" s="247"/>
      <c r="I2171" s="247"/>
      <c r="J2171" s="246"/>
      <c r="K2171" s="246"/>
      <c r="L2171" s="226"/>
      <c r="M2171" s="226"/>
      <c r="N2171" s="246"/>
      <c r="P2171" s="228"/>
      <c r="Q2171" s="245"/>
      <c r="R2171" s="186" t="str">
        <f aca="false">+PROPER(C2171&amp;" "&amp;D2171)</f>
        <v> </v>
      </c>
      <c r="S2171" s="230" t="n">
        <f aca="false">+YEARFRAC(L2171,$S$1)</f>
        <v>126.366666666667</v>
      </c>
      <c r="T2171" s="230" t="n">
        <f aca="false">+YEARFRAC(M2171,$S$1)</f>
        <v>126.366666666667</v>
      </c>
      <c r="U2171" s="231" t="n">
        <f aca="false">+$I2171</f>
        <v>0</v>
      </c>
      <c r="V2171" s="232" t="str">
        <f aca="false">+PROPER(F2171)</f>
        <v/>
      </c>
    </row>
    <row r="2172" customFormat="false" ht="14.25" hidden="false" customHeight="false" outlineLevel="0" collapsed="false">
      <c r="B2172" s="244"/>
      <c r="C2172" s="245"/>
      <c r="D2172" s="245"/>
      <c r="E2172" s="246"/>
      <c r="F2172" s="246"/>
      <c r="G2172" s="225" t="e">
        <f aca="false">VLOOKUP(B2172,'NIVEL ENERO'!A:F,4,0)</f>
        <v>#N/A</v>
      </c>
      <c r="H2172" s="247"/>
      <c r="I2172" s="247"/>
      <c r="J2172" s="246"/>
      <c r="K2172" s="246"/>
      <c r="L2172" s="226"/>
      <c r="M2172" s="226"/>
      <c r="N2172" s="246"/>
      <c r="P2172" s="228"/>
      <c r="Q2172" s="245"/>
      <c r="R2172" s="186" t="str">
        <f aca="false">+PROPER(C2172&amp;" "&amp;D2172)</f>
        <v> </v>
      </c>
      <c r="S2172" s="230" t="n">
        <f aca="false">+YEARFRAC(L2172,$S$1)</f>
        <v>126.366666666667</v>
      </c>
      <c r="T2172" s="230" t="n">
        <f aca="false">+YEARFRAC(M2172,$S$1)</f>
        <v>126.366666666667</v>
      </c>
      <c r="U2172" s="231" t="n">
        <f aca="false">+$I2172</f>
        <v>0</v>
      </c>
      <c r="V2172" s="232" t="str">
        <f aca="false">+PROPER(F2172)</f>
        <v/>
      </c>
    </row>
    <row r="2173" customFormat="false" ht="14.25" hidden="false" customHeight="false" outlineLevel="0" collapsed="false">
      <c r="B2173" s="244"/>
      <c r="C2173" s="245"/>
      <c r="D2173" s="245"/>
      <c r="E2173" s="246"/>
      <c r="F2173" s="246"/>
      <c r="G2173" s="225" t="e">
        <f aca="false">VLOOKUP(B2173,'NIVEL ENERO'!A:F,4,0)</f>
        <v>#N/A</v>
      </c>
      <c r="H2173" s="247"/>
      <c r="I2173" s="247"/>
      <c r="J2173" s="246"/>
      <c r="K2173" s="246"/>
      <c r="L2173" s="226"/>
      <c r="M2173" s="226"/>
      <c r="N2173" s="246"/>
      <c r="P2173" s="228"/>
      <c r="Q2173" s="245"/>
      <c r="R2173" s="186" t="str">
        <f aca="false">+PROPER(C2173&amp;" "&amp;D2173)</f>
        <v> </v>
      </c>
      <c r="S2173" s="230" t="n">
        <f aca="false">+YEARFRAC(L2173,$S$1)</f>
        <v>126.366666666667</v>
      </c>
      <c r="T2173" s="230" t="n">
        <f aca="false">+YEARFRAC(M2173,$S$1)</f>
        <v>126.366666666667</v>
      </c>
      <c r="U2173" s="231" t="n">
        <f aca="false">+$I2173</f>
        <v>0</v>
      </c>
      <c r="V2173" s="232" t="str">
        <f aca="false">+PROPER(F2173)</f>
        <v/>
      </c>
    </row>
    <row r="2174" customFormat="false" ht="14.25" hidden="false" customHeight="false" outlineLevel="0" collapsed="false">
      <c r="B2174" s="244"/>
      <c r="C2174" s="245"/>
      <c r="D2174" s="245"/>
      <c r="E2174" s="246"/>
      <c r="F2174" s="246"/>
      <c r="G2174" s="225" t="e">
        <f aca="false">VLOOKUP(B2174,'NIVEL ENERO'!A:F,4,0)</f>
        <v>#N/A</v>
      </c>
      <c r="H2174" s="247"/>
      <c r="I2174" s="247"/>
      <c r="J2174" s="246"/>
      <c r="K2174" s="246"/>
      <c r="L2174" s="226"/>
      <c r="M2174" s="226"/>
      <c r="N2174" s="246"/>
      <c r="P2174" s="228"/>
      <c r="Q2174" s="245"/>
      <c r="R2174" s="186" t="str">
        <f aca="false">+PROPER(C2174&amp;" "&amp;D2174)</f>
        <v> </v>
      </c>
      <c r="S2174" s="230" t="n">
        <f aca="false">+YEARFRAC(L2174,$S$1)</f>
        <v>126.366666666667</v>
      </c>
      <c r="T2174" s="230" t="n">
        <f aca="false">+YEARFRAC(M2174,$S$1)</f>
        <v>126.366666666667</v>
      </c>
      <c r="U2174" s="231" t="n">
        <f aca="false">+$I2174</f>
        <v>0</v>
      </c>
      <c r="V2174" s="232" t="str">
        <f aca="false">+PROPER(F2174)</f>
        <v/>
      </c>
    </row>
    <row r="2175" customFormat="false" ht="14.25" hidden="false" customHeight="false" outlineLevel="0" collapsed="false">
      <c r="B2175" s="244"/>
      <c r="C2175" s="245"/>
      <c r="D2175" s="245"/>
      <c r="E2175" s="246"/>
      <c r="F2175" s="246"/>
      <c r="G2175" s="225" t="e">
        <f aca="false">VLOOKUP(B2175,'NIVEL ENERO'!A:F,4,0)</f>
        <v>#N/A</v>
      </c>
      <c r="H2175" s="247"/>
      <c r="I2175" s="247"/>
      <c r="J2175" s="246"/>
      <c r="K2175" s="246"/>
      <c r="L2175" s="226"/>
      <c r="M2175" s="226"/>
      <c r="N2175" s="246"/>
      <c r="P2175" s="228"/>
      <c r="Q2175" s="245"/>
      <c r="R2175" s="186" t="str">
        <f aca="false">+PROPER(C2175&amp;" "&amp;D2175)</f>
        <v> </v>
      </c>
      <c r="S2175" s="230" t="n">
        <f aca="false">+YEARFRAC(L2175,$S$1)</f>
        <v>126.366666666667</v>
      </c>
      <c r="T2175" s="230" t="n">
        <f aca="false">+YEARFRAC(M2175,$S$1)</f>
        <v>126.366666666667</v>
      </c>
      <c r="U2175" s="231" t="n">
        <f aca="false">+$I2175</f>
        <v>0</v>
      </c>
      <c r="V2175" s="232" t="str">
        <f aca="false">+PROPER(F2175)</f>
        <v/>
      </c>
    </row>
    <row r="2176" customFormat="false" ht="14.25" hidden="false" customHeight="false" outlineLevel="0" collapsed="false">
      <c r="B2176" s="244"/>
      <c r="C2176" s="245"/>
      <c r="D2176" s="245"/>
      <c r="E2176" s="246"/>
      <c r="F2176" s="246"/>
      <c r="G2176" s="225" t="e">
        <f aca="false">VLOOKUP(B2176,'NIVEL ENERO'!A:F,4,0)</f>
        <v>#N/A</v>
      </c>
      <c r="H2176" s="247"/>
      <c r="I2176" s="247"/>
      <c r="J2176" s="246"/>
      <c r="K2176" s="246"/>
      <c r="L2176" s="226"/>
      <c r="M2176" s="226"/>
      <c r="N2176" s="246"/>
      <c r="P2176" s="228"/>
      <c r="Q2176" s="245"/>
      <c r="R2176" s="186" t="str">
        <f aca="false">+PROPER(C2176&amp;" "&amp;D2176)</f>
        <v> </v>
      </c>
      <c r="S2176" s="230" t="n">
        <f aca="false">+YEARFRAC(L2176,$S$1)</f>
        <v>126.366666666667</v>
      </c>
      <c r="T2176" s="230" t="n">
        <f aca="false">+YEARFRAC(M2176,$S$1)</f>
        <v>126.366666666667</v>
      </c>
      <c r="U2176" s="231" t="n">
        <f aca="false">+$I2176</f>
        <v>0</v>
      </c>
      <c r="V2176" s="232" t="str">
        <f aca="false">+PROPER(F2176)</f>
        <v/>
      </c>
    </row>
    <row r="2177" customFormat="false" ht="14.25" hidden="false" customHeight="false" outlineLevel="0" collapsed="false">
      <c r="B2177" s="244"/>
      <c r="C2177" s="245"/>
      <c r="D2177" s="245"/>
      <c r="E2177" s="246"/>
      <c r="F2177" s="246"/>
      <c r="G2177" s="225" t="e">
        <f aca="false">VLOOKUP(B2177,'NIVEL ENERO'!A:F,4,0)</f>
        <v>#N/A</v>
      </c>
      <c r="H2177" s="247"/>
      <c r="I2177" s="247"/>
      <c r="J2177" s="246"/>
      <c r="K2177" s="246"/>
      <c r="L2177" s="226"/>
      <c r="M2177" s="226"/>
      <c r="N2177" s="246"/>
      <c r="P2177" s="228"/>
      <c r="Q2177" s="245"/>
      <c r="R2177" s="186" t="str">
        <f aca="false">+PROPER(C2177&amp;" "&amp;D2177)</f>
        <v> </v>
      </c>
      <c r="S2177" s="230" t="n">
        <f aca="false">+YEARFRAC(L2177,$S$1)</f>
        <v>126.366666666667</v>
      </c>
      <c r="T2177" s="230" t="n">
        <f aca="false">+YEARFRAC(M2177,$S$1)</f>
        <v>126.366666666667</v>
      </c>
      <c r="U2177" s="231" t="n">
        <f aca="false">+$I2177</f>
        <v>0</v>
      </c>
      <c r="V2177" s="232" t="str">
        <f aca="false">+PROPER(F2177)</f>
        <v/>
      </c>
    </row>
    <row r="2178" customFormat="false" ht="14.25" hidden="false" customHeight="false" outlineLevel="0" collapsed="false">
      <c r="B2178" s="244"/>
      <c r="C2178" s="245"/>
      <c r="D2178" s="245"/>
      <c r="E2178" s="246"/>
      <c r="F2178" s="246"/>
      <c r="G2178" s="225" t="e">
        <f aca="false">VLOOKUP(B2178,'NIVEL ENERO'!A:F,4,0)</f>
        <v>#N/A</v>
      </c>
      <c r="H2178" s="247"/>
      <c r="I2178" s="247"/>
      <c r="J2178" s="246"/>
      <c r="K2178" s="246"/>
      <c r="L2178" s="226"/>
      <c r="M2178" s="226"/>
      <c r="N2178" s="246"/>
      <c r="P2178" s="228"/>
      <c r="Q2178" s="245"/>
      <c r="R2178" s="186" t="str">
        <f aca="false">+PROPER(C2178&amp;" "&amp;D2178)</f>
        <v> </v>
      </c>
      <c r="S2178" s="230" t="n">
        <f aca="false">+YEARFRAC(L2178,$S$1)</f>
        <v>126.366666666667</v>
      </c>
      <c r="T2178" s="230" t="n">
        <f aca="false">+YEARFRAC(M2178,$S$1)</f>
        <v>126.366666666667</v>
      </c>
      <c r="U2178" s="231" t="n">
        <f aca="false">+$I2178</f>
        <v>0</v>
      </c>
      <c r="V2178" s="232" t="str">
        <f aca="false">+PROPER(F2178)</f>
        <v/>
      </c>
    </row>
    <row r="2179" customFormat="false" ht="14.25" hidden="false" customHeight="false" outlineLevel="0" collapsed="false">
      <c r="B2179" s="244"/>
      <c r="C2179" s="245"/>
      <c r="D2179" s="245"/>
      <c r="E2179" s="246"/>
      <c r="F2179" s="246"/>
      <c r="G2179" s="225" t="e">
        <f aca="false">VLOOKUP(B2179,'NIVEL ENERO'!A:F,4,0)</f>
        <v>#N/A</v>
      </c>
      <c r="H2179" s="247"/>
      <c r="I2179" s="247"/>
      <c r="J2179" s="246"/>
      <c r="K2179" s="246"/>
      <c r="L2179" s="226"/>
      <c r="M2179" s="226"/>
      <c r="N2179" s="246"/>
      <c r="P2179" s="228"/>
      <c r="Q2179" s="245"/>
      <c r="R2179" s="186" t="str">
        <f aca="false">+PROPER(C2179&amp;" "&amp;D2179)</f>
        <v> </v>
      </c>
      <c r="S2179" s="230" t="n">
        <f aca="false">+YEARFRAC(L2179,$S$1)</f>
        <v>126.366666666667</v>
      </c>
      <c r="T2179" s="230" t="n">
        <f aca="false">+YEARFRAC(M2179,$S$1)</f>
        <v>126.366666666667</v>
      </c>
      <c r="U2179" s="231" t="n">
        <f aca="false">+$I2179</f>
        <v>0</v>
      </c>
      <c r="V2179" s="232" t="str">
        <f aca="false">+PROPER(F2179)</f>
        <v/>
      </c>
    </row>
    <row r="2180" customFormat="false" ht="14.25" hidden="false" customHeight="false" outlineLevel="0" collapsed="false">
      <c r="B2180" s="244"/>
      <c r="C2180" s="245"/>
      <c r="D2180" s="245"/>
      <c r="E2180" s="246"/>
      <c r="F2180" s="246"/>
      <c r="G2180" s="225" t="e">
        <f aca="false">VLOOKUP(B2180,'NIVEL ENERO'!A:F,4,0)</f>
        <v>#N/A</v>
      </c>
      <c r="H2180" s="247"/>
      <c r="I2180" s="247"/>
      <c r="J2180" s="246"/>
      <c r="K2180" s="246"/>
      <c r="L2180" s="226"/>
      <c r="M2180" s="226"/>
      <c r="N2180" s="246"/>
      <c r="P2180" s="228"/>
      <c r="Q2180" s="245"/>
      <c r="R2180" s="186" t="str">
        <f aca="false">+PROPER(C2180&amp;" "&amp;D2180)</f>
        <v> </v>
      </c>
      <c r="S2180" s="230" t="n">
        <f aca="false">+YEARFRAC(L2180,$S$1)</f>
        <v>126.366666666667</v>
      </c>
      <c r="T2180" s="230" t="n">
        <f aca="false">+YEARFRAC(M2180,$S$1)</f>
        <v>126.366666666667</v>
      </c>
      <c r="U2180" s="231" t="n">
        <f aca="false">+$I2180</f>
        <v>0</v>
      </c>
      <c r="V2180" s="232" t="str">
        <f aca="false">+PROPER(F2180)</f>
        <v/>
      </c>
    </row>
    <row r="2181" customFormat="false" ht="14.25" hidden="false" customHeight="false" outlineLevel="0" collapsed="false">
      <c r="B2181" s="244"/>
      <c r="C2181" s="245"/>
      <c r="D2181" s="245"/>
      <c r="E2181" s="246"/>
      <c r="F2181" s="246"/>
      <c r="G2181" s="225" t="e">
        <f aca="false">VLOOKUP(B2181,'NIVEL ENERO'!A:F,4,0)</f>
        <v>#N/A</v>
      </c>
      <c r="H2181" s="247"/>
      <c r="I2181" s="247"/>
      <c r="J2181" s="246"/>
      <c r="K2181" s="246"/>
      <c r="L2181" s="226"/>
      <c r="M2181" s="226"/>
      <c r="N2181" s="246"/>
      <c r="P2181" s="228"/>
      <c r="Q2181" s="245"/>
      <c r="R2181" s="186" t="str">
        <f aca="false">+PROPER(C2181&amp;" "&amp;D2181)</f>
        <v> </v>
      </c>
      <c r="S2181" s="230" t="n">
        <f aca="false">+YEARFRAC(L2181,$S$1)</f>
        <v>126.366666666667</v>
      </c>
      <c r="T2181" s="230" t="n">
        <f aca="false">+YEARFRAC(M2181,$S$1)</f>
        <v>126.366666666667</v>
      </c>
      <c r="U2181" s="231" t="n">
        <f aca="false">+$I2181</f>
        <v>0</v>
      </c>
      <c r="V2181" s="232" t="str">
        <f aca="false">+PROPER(F2181)</f>
        <v/>
      </c>
    </row>
    <row r="2182" customFormat="false" ht="14.25" hidden="false" customHeight="false" outlineLevel="0" collapsed="false">
      <c r="B2182" s="244"/>
      <c r="C2182" s="245"/>
      <c r="D2182" s="245"/>
      <c r="E2182" s="246"/>
      <c r="F2182" s="246"/>
      <c r="G2182" s="225" t="e">
        <f aca="false">VLOOKUP(B2182,'NIVEL ENERO'!A:F,4,0)</f>
        <v>#N/A</v>
      </c>
      <c r="H2182" s="247"/>
      <c r="I2182" s="247"/>
      <c r="J2182" s="246"/>
      <c r="K2182" s="246"/>
      <c r="L2182" s="226"/>
      <c r="M2182" s="226"/>
      <c r="N2182" s="246"/>
      <c r="P2182" s="228"/>
      <c r="Q2182" s="245"/>
      <c r="R2182" s="186" t="str">
        <f aca="false">+PROPER(C2182&amp;" "&amp;D2182)</f>
        <v> </v>
      </c>
      <c r="S2182" s="230" t="n">
        <f aca="false">+YEARFRAC(L2182,$S$1)</f>
        <v>126.366666666667</v>
      </c>
      <c r="T2182" s="230" t="n">
        <f aca="false">+YEARFRAC(M2182,$S$1)</f>
        <v>126.366666666667</v>
      </c>
      <c r="U2182" s="231" t="n">
        <f aca="false">+$I2182</f>
        <v>0</v>
      </c>
      <c r="V2182" s="232" t="str">
        <f aca="false">+PROPER(F2182)</f>
        <v/>
      </c>
    </row>
    <row r="2183" customFormat="false" ht="14.25" hidden="false" customHeight="false" outlineLevel="0" collapsed="false">
      <c r="B2183" s="244"/>
      <c r="C2183" s="245"/>
      <c r="D2183" s="245"/>
      <c r="E2183" s="246"/>
      <c r="F2183" s="246"/>
      <c r="G2183" s="225" t="e">
        <f aca="false">VLOOKUP(B2183,'NIVEL ENERO'!A:F,4,0)</f>
        <v>#N/A</v>
      </c>
      <c r="H2183" s="247"/>
      <c r="I2183" s="247"/>
      <c r="J2183" s="246"/>
      <c r="K2183" s="246"/>
      <c r="L2183" s="226"/>
      <c r="M2183" s="226"/>
      <c r="N2183" s="246"/>
      <c r="P2183" s="228"/>
      <c r="Q2183" s="245"/>
      <c r="R2183" s="186" t="str">
        <f aca="false">+PROPER(C2183&amp;" "&amp;D2183)</f>
        <v> </v>
      </c>
      <c r="S2183" s="230" t="n">
        <f aca="false">+YEARFRAC(L2183,$S$1)</f>
        <v>126.366666666667</v>
      </c>
      <c r="T2183" s="230" t="n">
        <f aca="false">+YEARFRAC(M2183,$S$1)</f>
        <v>126.366666666667</v>
      </c>
      <c r="U2183" s="231" t="n">
        <f aca="false">+$I2183</f>
        <v>0</v>
      </c>
      <c r="V2183" s="232" t="str">
        <f aca="false">+PROPER(F2183)</f>
        <v/>
      </c>
    </row>
    <row r="2184" customFormat="false" ht="14.25" hidden="false" customHeight="false" outlineLevel="0" collapsed="false">
      <c r="B2184" s="244"/>
      <c r="C2184" s="245"/>
      <c r="D2184" s="245"/>
      <c r="E2184" s="246"/>
      <c r="F2184" s="246"/>
      <c r="G2184" s="225" t="e">
        <f aca="false">VLOOKUP(B2184,'NIVEL ENERO'!A:F,4,0)</f>
        <v>#N/A</v>
      </c>
      <c r="H2184" s="247"/>
      <c r="I2184" s="247"/>
      <c r="J2184" s="246"/>
      <c r="K2184" s="246"/>
      <c r="L2184" s="226"/>
      <c r="M2184" s="226"/>
      <c r="N2184" s="246"/>
      <c r="P2184" s="228"/>
      <c r="Q2184" s="245"/>
      <c r="R2184" s="186" t="str">
        <f aca="false">+PROPER(C2184&amp;" "&amp;D2184)</f>
        <v> </v>
      </c>
      <c r="S2184" s="230" t="n">
        <f aca="false">+YEARFRAC(L2184,$S$1)</f>
        <v>126.366666666667</v>
      </c>
      <c r="T2184" s="230" t="n">
        <f aca="false">+YEARFRAC(M2184,$S$1)</f>
        <v>126.366666666667</v>
      </c>
      <c r="U2184" s="231" t="n">
        <f aca="false">+$I2184</f>
        <v>0</v>
      </c>
      <c r="V2184" s="232" t="str">
        <f aca="false">+PROPER(F2184)</f>
        <v/>
      </c>
    </row>
    <row r="2185" customFormat="false" ht="14.25" hidden="false" customHeight="false" outlineLevel="0" collapsed="false">
      <c r="B2185" s="244"/>
      <c r="C2185" s="245"/>
      <c r="D2185" s="245"/>
      <c r="E2185" s="246"/>
      <c r="F2185" s="246"/>
      <c r="G2185" s="225" t="e">
        <f aca="false">VLOOKUP(B2185,'NIVEL ENERO'!A:F,4,0)</f>
        <v>#N/A</v>
      </c>
      <c r="H2185" s="247"/>
      <c r="I2185" s="247"/>
      <c r="J2185" s="246"/>
      <c r="K2185" s="246"/>
      <c r="L2185" s="226"/>
      <c r="M2185" s="226"/>
      <c r="N2185" s="246"/>
      <c r="P2185" s="228"/>
      <c r="Q2185" s="245"/>
      <c r="R2185" s="186" t="str">
        <f aca="false">+PROPER(C2185&amp;" "&amp;D2185)</f>
        <v> </v>
      </c>
      <c r="S2185" s="230" t="n">
        <f aca="false">+YEARFRAC(L2185,$S$1)</f>
        <v>126.366666666667</v>
      </c>
      <c r="T2185" s="230" t="n">
        <f aca="false">+YEARFRAC(M2185,$S$1)</f>
        <v>126.366666666667</v>
      </c>
      <c r="U2185" s="231" t="n">
        <f aca="false">+$I2185</f>
        <v>0</v>
      </c>
      <c r="V2185" s="232" t="str">
        <f aca="false">+PROPER(F2185)</f>
        <v/>
      </c>
    </row>
    <row r="2186" customFormat="false" ht="14.25" hidden="false" customHeight="false" outlineLevel="0" collapsed="false">
      <c r="B2186" s="244"/>
      <c r="C2186" s="245"/>
      <c r="D2186" s="245"/>
      <c r="E2186" s="246"/>
      <c r="F2186" s="246"/>
      <c r="G2186" s="225" t="e">
        <f aca="false">VLOOKUP(B2186,'NIVEL ENERO'!A:F,4,0)</f>
        <v>#N/A</v>
      </c>
      <c r="H2186" s="247"/>
      <c r="I2186" s="247"/>
      <c r="J2186" s="246"/>
      <c r="K2186" s="246"/>
      <c r="L2186" s="226"/>
      <c r="M2186" s="226"/>
      <c r="N2186" s="246"/>
      <c r="P2186" s="228"/>
      <c r="Q2186" s="245"/>
      <c r="R2186" s="186" t="str">
        <f aca="false">+PROPER(C2186&amp;" "&amp;D2186)</f>
        <v> </v>
      </c>
      <c r="S2186" s="230" t="n">
        <f aca="false">+YEARFRAC(L2186,$S$1)</f>
        <v>126.366666666667</v>
      </c>
      <c r="T2186" s="230" t="n">
        <f aca="false">+YEARFRAC(M2186,$S$1)</f>
        <v>126.366666666667</v>
      </c>
      <c r="U2186" s="231" t="n">
        <f aca="false">+$I2186</f>
        <v>0</v>
      </c>
      <c r="V2186" s="232" t="str">
        <f aca="false">+PROPER(F2186)</f>
        <v/>
      </c>
    </row>
    <row r="2187" customFormat="false" ht="14.25" hidden="false" customHeight="false" outlineLevel="0" collapsed="false">
      <c r="B2187" s="244"/>
      <c r="C2187" s="245"/>
      <c r="D2187" s="245"/>
      <c r="E2187" s="246"/>
      <c r="F2187" s="246"/>
      <c r="G2187" s="225" t="e">
        <f aca="false">VLOOKUP(B2187,'NIVEL ENERO'!A:F,4,0)</f>
        <v>#N/A</v>
      </c>
      <c r="H2187" s="247"/>
      <c r="I2187" s="247"/>
      <c r="J2187" s="246"/>
      <c r="K2187" s="246"/>
      <c r="L2187" s="226"/>
      <c r="M2187" s="226"/>
      <c r="N2187" s="246"/>
      <c r="P2187" s="228"/>
      <c r="Q2187" s="245"/>
      <c r="R2187" s="186" t="str">
        <f aca="false">+PROPER(C2187&amp;" "&amp;D2187)</f>
        <v> </v>
      </c>
      <c r="S2187" s="230" t="n">
        <f aca="false">+YEARFRAC(L2187,$S$1)</f>
        <v>126.366666666667</v>
      </c>
      <c r="T2187" s="230" t="n">
        <f aca="false">+YEARFRAC(M2187,$S$1)</f>
        <v>126.366666666667</v>
      </c>
      <c r="U2187" s="231" t="n">
        <f aca="false">+$I2187</f>
        <v>0</v>
      </c>
      <c r="V2187" s="232" t="str">
        <f aca="false">+PROPER(F2187)</f>
        <v/>
      </c>
    </row>
    <row r="2188" customFormat="false" ht="14.25" hidden="false" customHeight="false" outlineLevel="0" collapsed="false">
      <c r="B2188" s="244"/>
      <c r="C2188" s="245"/>
      <c r="D2188" s="245"/>
      <c r="E2188" s="246"/>
      <c r="F2188" s="246"/>
      <c r="G2188" s="225" t="e">
        <f aca="false">VLOOKUP(B2188,'NIVEL ENERO'!A:F,4,0)</f>
        <v>#N/A</v>
      </c>
      <c r="H2188" s="247"/>
      <c r="I2188" s="247"/>
      <c r="J2188" s="246"/>
      <c r="K2188" s="246"/>
      <c r="L2188" s="226"/>
      <c r="M2188" s="226"/>
      <c r="N2188" s="246"/>
      <c r="P2188" s="228"/>
      <c r="Q2188" s="245"/>
      <c r="R2188" s="186" t="str">
        <f aca="false">+PROPER(C2188&amp;" "&amp;D2188)</f>
        <v> </v>
      </c>
      <c r="S2188" s="230" t="n">
        <f aca="false">+YEARFRAC(L2188,$S$1)</f>
        <v>126.366666666667</v>
      </c>
      <c r="T2188" s="230" t="n">
        <f aca="false">+YEARFRAC(M2188,$S$1)</f>
        <v>126.366666666667</v>
      </c>
      <c r="U2188" s="231" t="n">
        <f aca="false">+$I2188</f>
        <v>0</v>
      </c>
      <c r="V2188" s="232" t="str">
        <f aca="false">+PROPER(F2188)</f>
        <v/>
      </c>
    </row>
    <row r="2189" customFormat="false" ht="14.25" hidden="false" customHeight="false" outlineLevel="0" collapsed="false">
      <c r="B2189" s="244"/>
      <c r="C2189" s="245"/>
      <c r="D2189" s="245"/>
      <c r="E2189" s="246"/>
      <c r="F2189" s="246"/>
      <c r="G2189" s="225" t="e">
        <f aca="false">VLOOKUP(B2189,'NIVEL ENERO'!A:F,4,0)</f>
        <v>#N/A</v>
      </c>
      <c r="H2189" s="247"/>
      <c r="I2189" s="247"/>
      <c r="J2189" s="246"/>
      <c r="K2189" s="246"/>
      <c r="L2189" s="226"/>
      <c r="M2189" s="226"/>
      <c r="N2189" s="246"/>
      <c r="P2189" s="228"/>
      <c r="Q2189" s="245"/>
      <c r="R2189" s="186" t="str">
        <f aca="false">+PROPER(C2189&amp;" "&amp;D2189)</f>
        <v> </v>
      </c>
      <c r="S2189" s="230" t="n">
        <f aca="false">+YEARFRAC(L2189,$S$1)</f>
        <v>126.366666666667</v>
      </c>
      <c r="T2189" s="230" t="n">
        <f aca="false">+YEARFRAC(M2189,$S$1)</f>
        <v>126.366666666667</v>
      </c>
      <c r="U2189" s="231" t="n">
        <f aca="false">+$I2189</f>
        <v>0</v>
      </c>
      <c r="V2189" s="232" t="str">
        <f aca="false">+PROPER(F2189)</f>
        <v/>
      </c>
    </row>
    <row r="2190" customFormat="false" ht="14.25" hidden="false" customHeight="false" outlineLevel="0" collapsed="false">
      <c r="B2190" s="244"/>
      <c r="C2190" s="245"/>
      <c r="D2190" s="245"/>
      <c r="E2190" s="246"/>
      <c r="F2190" s="246"/>
      <c r="G2190" s="225" t="e">
        <f aca="false">VLOOKUP(B2190,'NIVEL ENERO'!A:F,4,0)</f>
        <v>#N/A</v>
      </c>
      <c r="H2190" s="247"/>
      <c r="I2190" s="247"/>
      <c r="J2190" s="246"/>
      <c r="K2190" s="246"/>
      <c r="L2190" s="226"/>
      <c r="M2190" s="226"/>
      <c r="N2190" s="246"/>
      <c r="P2190" s="228"/>
      <c r="Q2190" s="245"/>
      <c r="R2190" s="186" t="str">
        <f aca="false">+PROPER(C2190&amp;" "&amp;D2190)</f>
        <v> </v>
      </c>
      <c r="S2190" s="230" t="n">
        <f aca="false">+YEARFRAC(L2190,$S$1)</f>
        <v>126.366666666667</v>
      </c>
      <c r="T2190" s="230" t="n">
        <f aca="false">+YEARFRAC(M2190,$S$1)</f>
        <v>126.366666666667</v>
      </c>
      <c r="U2190" s="231" t="n">
        <f aca="false">+$I2190</f>
        <v>0</v>
      </c>
      <c r="V2190" s="232" t="str">
        <f aca="false">+PROPER(F2190)</f>
        <v/>
      </c>
    </row>
    <row r="2191" customFormat="false" ht="14.25" hidden="false" customHeight="false" outlineLevel="0" collapsed="false">
      <c r="B2191" s="244"/>
      <c r="C2191" s="245"/>
      <c r="D2191" s="245"/>
      <c r="E2191" s="246"/>
      <c r="F2191" s="246"/>
      <c r="G2191" s="225" t="e">
        <f aca="false">VLOOKUP(B2191,'NIVEL ENERO'!A:F,4,0)</f>
        <v>#N/A</v>
      </c>
      <c r="H2191" s="247"/>
      <c r="I2191" s="247"/>
      <c r="J2191" s="246"/>
      <c r="K2191" s="246"/>
      <c r="L2191" s="226"/>
      <c r="M2191" s="226"/>
      <c r="N2191" s="246"/>
      <c r="P2191" s="228"/>
      <c r="Q2191" s="245"/>
      <c r="R2191" s="186" t="str">
        <f aca="false">+PROPER(C2191&amp;" "&amp;D2191)</f>
        <v> </v>
      </c>
      <c r="S2191" s="230" t="n">
        <f aca="false">+YEARFRAC(L2191,$S$1)</f>
        <v>126.366666666667</v>
      </c>
      <c r="T2191" s="230" t="n">
        <f aca="false">+YEARFRAC(M2191,$S$1)</f>
        <v>126.366666666667</v>
      </c>
      <c r="U2191" s="231" t="n">
        <f aca="false">+$I2191</f>
        <v>0</v>
      </c>
      <c r="V2191" s="232" t="str">
        <f aca="false">+PROPER(F2191)</f>
        <v/>
      </c>
    </row>
    <row r="2192" customFormat="false" ht="14.25" hidden="false" customHeight="false" outlineLevel="0" collapsed="false">
      <c r="B2192" s="244"/>
      <c r="C2192" s="245"/>
      <c r="D2192" s="245"/>
      <c r="E2192" s="246"/>
      <c r="F2192" s="246"/>
      <c r="G2192" s="225" t="e">
        <f aca="false">VLOOKUP(B2192,'NIVEL ENERO'!A:F,4,0)</f>
        <v>#N/A</v>
      </c>
      <c r="H2192" s="247"/>
      <c r="I2192" s="247"/>
      <c r="J2192" s="246"/>
      <c r="K2192" s="246"/>
      <c r="L2192" s="226"/>
      <c r="M2192" s="226"/>
      <c r="N2192" s="246"/>
      <c r="P2192" s="228"/>
      <c r="Q2192" s="245"/>
      <c r="R2192" s="186" t="str">
        <f aca="false">+PROPER(C2192&amp;" "&amp;D2192)</f>
        <v> </v>
      </c>
      <c r="S2192" s="230" t="n">
        <f aca="false">+YEARFRAC(L2192,$S$1)</f>
        <v>126.366666666667</v>
      </c>
      <c r="T2192" s="230" t="n">
        <f aca="false">+YEARFRAC(M2192,$S$1)</f>
        <v>126.366666666667</v>
      </c>
      <c r="U2192" s="231" t="n">
        <f aca="false">+$I2192</f>
        <v>0</v>
      </c>
      <c r="V2192" s="232" t="str">
        <f aca="false">+PROPER(F2192)</f>
        <v/>
      </c>
    </row>
    <row r="2193" customFormat="false" ht="14.25" hidden="false" customHeight="false" outlineLevel="0" collapsed="false">
      <c r="B2193" s="244"/>
      <c r="C2193" s="245"/>
      <c r="D2193" s="245"/>
      <c r="E2193" s="246"/>
      <c r="F2193" s="246"/>
      <c r="G2193" s="225" t="e">
        <f aca="false">VLOOKUP(B2193,'NIVEL ENERO'!A:F,4,0)</f>
        <v>#N/A</v>
      </c>
      <c r="H2193" s="247"/>
      <c r="I2193" s="247"/>
      <c r="J2193" s="246"/>
      <c r="K2193" s="246"/>
      <c r="L2193" s="226"/>
      <c r="M2193" s="226"/>
      <c r="N2193" s="246"/>
      <c r="P2193" s="228"/>
      <c r="Q2193" s="245"/>
      <c r="R2193" s="186" t="str">
        <f aca="false">+PROPER(C2193&amp;" "&amp;D2193)</f>
        <v> </v>
      </c>
      <c r="S2193" s="230" t="n">
        <f aca="false">+YEARFRAC(L2193,$S$1)</f>
        <v>126.366666666667</v>
      </c>
      <c r="T2193" s="230" t="n">
        <f aca="false">+YEARFRAC(M2193,$S$1)</f>
        <v>126.366666666667</v>
      </c>
      <c r="U2193" s="231" t="n">
        <f aca="false">+$I2193</f>
        <v>0</v>
      </c>
      <c r="V2193" s="232" t="str">
        <f aca="false">+PROPER(F2193)</f>
        <v/>
      </c>
    </row>
    <row r="2194" customFormat="false" ht="14.25" hidden="false" customHeight="false" outlineLevel="0" collapsed="false">
      <c r="B2194" s="244"/>
      <c r="C2194" s="245"/>
      <c r="D2194" s="245"/>
      <c r="E2194" s="246"/>
      <c r="F2194" s="246"/>
      <c r="G2194" s="225" t="e">
        <f aca="false">VLOOKUP(B2194,'NIVEL ENERO'!A:F,4,0)</f>
        <v>#N/A</v>
      </c>
      <c r="H2194" s="247"/>
      <c r="I2194" s="247"/>
      <c r="J2194" s="246"/>
      <c r="K2194" s="246"/>
      <c r="L2194" s="226"/>
      <c r="M2194" s="226"/>
      <c r="N2194" s="246"/>
      <c r="P2194" s="228"/>
      <c r="Q2194" s="245"/>
      <c r="R2194" s="186" t="str">
        <f aca="false">+PROPER(C2194&amp;" "&amp;D2194)</f>
        <v> </v>
      </c>
      <c r="S2194" s="230" t="n">
        <f aca="false">+YEARFRAC(L2194,$S$1)</f>
        <v>126.366666666667</v>
      </c>
      <c r="T2194" s="230" t="n">
        <f aca="false">+YEARFRAC(M2194,$S$1)</f>
        <v>126.366666666667</v>
      </c>
      <c r="U2194" s="231" t="n">
        <f aca="false">+$I2194</f>
        <v>0</v>
      </c>
      <c r="V2194" s="232" t="str">
        <f aca="false">+PROPER(F2194)</f>
        <v/>
      </c>
    </row>
    <row r="2195" customFormat="false" ht="14.25" hidden="false" customHeight="false" outlineLevel="0" collapsed="false">
      <c r="B2195" s="244"/>
      <c r="C2195" s="245"/>
      <c r="D2195" s="245"/>
      <c r="E2195" s="246"/>
      <c r="F2195" s="246"/>
      <c r="G2195" s="225" t="e">
        <f aca="false">VLOOKUP(B2195,'NIVEL ENERO'!A:F,4,0)</f>
        <v>#N/A</v>
      </c>
      <c r="H2195" s="247"/>
      <c r="I2195" s="247"/>
      <c r="J2195" s="246"/>
      <c r="K2195" s="246"/>
      <c r="L2195" s="226"/>
      <c r="M2195" s="226"/>
      <c r="N2195" s="246"/>
      <c r="P2195" s="228"/>
      <c r="Q2195" s="245"/>
      <c r="R2195" s="186" t="str">
        <f aca="false">+PROPER(C2195&amp;" "&amp;D2195)</f>
        <v> </v>
      </c>
      <c r="S2195" s="230" t="n">
        <f aca="false">+YEARFRAC(L2195,$S$1)</f>
        <v>126.366666666667</v>
      </c>
      <c r="T2195" s="230" t="n">
        <f aca="false">+YEARFRAC(M2195,$S$1)</f>
        <v>126.366666666667</v>
      </c>
      <c r="U2195" s="231" t="n">
        <f aca="false">+$I2195</f>
        <v>0</v>
      </c>
      <c r="V2195" s="232" t="str">
        <f aca="false">+PROPER(F2195)</f>
        <v/>
      </c>
    </row>
    <row r="2196" customFormat="false" ht="14.25" hidden="false" customHeight="false" outlineLevel="0" collapsed="false">
      <c r="B2196" s="244"/>
      <c r="C2196" s="245"/>
      <c r="D2196" s="245"/>
      <c r="E2196" s="246"/>
      <c r="F2196" s="246"/>
      <c r="G2196" s="225" t="e">
        <f aca="false">VLOOKUP(B2196,'NIVEL ENERO'!A:F,4,0)</f>
        <v>#N/A</v>
      </c>
      <c r="H2196" s="247"/>
      <c r="I2196" s="247"/>
      <c r="J2196" s="246"/>
      <c r="K2196" s="246"/>
      <c r="L2196" s="226"/>
      <c r="M2196" s="226"/>
      <c r="N2196" s="246"/>
      <c r="P2196" s="228"/>
      <c r="Q2196" s="245"/>
      <c r="R2196" s="186" t="str">
        <f aca="false">+PROPER(C2196&amp;" "&amp;D2196)</f>
        <v> </v>
      </c>
      <c r="S2196" s="230" t="n">
        <f aca="false">+YEARFRAC(L2196,$S$1)</f>
        <v>126.366666666667</v>
      </c>
      <c r="T2196" s="230" t="n">
        <f aca="false">+YEARFRAC(M2196,$S$1)</f>
        <v>126.366666666667</v>
      </c>
      <c r="U2196" s="231" t="n">
        <f aca="false">+$I2196</f>
        <v>0</v>
      </c>
      <c r="V2196" s="232" t="str">
        <f aca="false">+PROPER(F2196)</f>
        <v/>
      </c>
    </row>
    <row r="2197" customFormat="false" ht="14.25" hidden="false" customHeight="false" outlineLevel="0" collapsed="false">
      <c r="B2197" s="244"/>
      <c r="C2197" s="245"/>
      <c r="D2197" s="245"/>
      <c r="E2197" s="246"/>
      <c r="F2197" s="246"/>
      <c r="G2197" s="225" t="e">
        <f aca="false">VLOOKUP(B2197,'NIVEL ENERO'!A:F,4,0)</f>
        <v>#N/A</v>
      </c>
      <c r="H2197" s="247"/>
      <c r="I2197" s="247"/>
      <c r="J2197" s="246"/>
      <c r="K2197" s="246"/>
      <c r="L2197" s="226"/>
      <c r="M2197" s="226"/>
      <c r="N2197" s="246"/>
      <c r="P2197" s="228"/>
      <c r="Q2197" s="245"/>
      <c r="R2197" s="186" t="str">
        <f aca="false">+PROPER(C2197&amp;" "&amp;D2197)</f>
        <v> </v>
      </c>
      <c r="S2197" s="230" t="n">
        <f aca="false">+YEARFRAC(L2197,$S$1)</f>
        <v>126.366666666667</v>
      </c>
      <c r="T2197" s="230" t="n">
        <f aca="false">+YEARFRAC(M2197,$S$1)</f>
        <v>126.366666666667</v>
      </c>
      <c r="U2197" s="231" t="n">
        <f aca="false">+$I2197</f>
        <v>0</v>
      </c>
      <c r="V2197" s="232" t="str">
        <f aca="false">+PROPER(F2197)</f>
        <v/>
      </c>
    </row>
    <row r="2198" customFormat="false" ht="14.25" hidden="false" customHeight="false" outlineLevel="0" collapsed="false">
      <c r="B2198" s="244"/>
      <c r="C2198" s="245"/>
      <c r="D2198" s="245"/>
      <c r="E2198" s="246"/>
      <c r="F2198" s="246"/>
      <c r="G2198" s="225" t="e">
        <f aca="false">VLOOKUP(B2198,'NIVEL ENERO'!A:F,4,0)</f>
        <v>#N/A</v>
      </c>
      <c r="H2198" s="247"/>
      <c r="I2198" s="247"/>
      <c r="J2198" s="246"/>
      <c r="K2198" s="246"/>
      <c r="L2198" s="226"/>
      <c r="M2198" s="226"/>
      <c r="N2198" s="246"/>
      <c r="P2198" s="228"/>
      <c r="Q2198" s="245"/>
      <c r="R2198" s="186" t="str">
        <f aca="false">+PROPER(C2198&amp;" "&amp;D2198)</f>
        <v> </v>
      </c>
      <c r="S2198" s="230" t="n">
        <f aca="false">+YEARFRAC(L2198,$S$1)</f>
        <v>126.366666666667</v>
      </c>
      <c r="T2198" s="230" t="n">
        <f aca="false">+YEARFRAC(M2198,$S$1)</f>
        <v>126.366666666667</v>
      </c>
      <c r="U2198" s="231" t="n">
        <f aca="false">+$I2198</f>
        <v>0</v>
      </c>
      <c r="V2198" s="232" t="str">
        <f aca="false">+PROPER(F2198)</f>
        <v/>
      </c>
    </row>
    <row r="2199" customFormat="false" ht="14.25" hidden="false" customHeight="false" outlineLevel="0" collapsed="false">
      <c r="B2199" s="244"/>
      <c r="C2199" s="245"/>
      <c r="D2199" s="245"/>
      <c r="E2199" s="246"/>
      <c r="F2199" s="246"/>
      <c r="G2199" s="225" t="e">
        <f aca="false">VLOOKUP(B2199,'NIVEL ENERO'!A:F,4,0)</f>
        <v>#N/A</v>
      </c>
      <c r="H2199" s="247"/>
      <c r="I2199" s="247"/>
      <c r="J2199" s="246"/>
      <c r="K2199" s="246"/>
      <c r="L2199" s="226"/>
      <c r="M2199" s="226"/>
      <c r="N2199" s="246"/>
      <c r="P2199" s="228"/>
      <c r="Q2199" s="245"/>
      <c r="R2199" s="186" t="str">
        <f aca="false">+PROPER(C2199&amp;" "&amp;D2199)</f>
        <v> </v>
      </c>
      <c r="S2199" s="230" t="n">
        <f aca="false">+YEARFRAC(L2199,$S$1)</f>
        <v>126.366666666667</v>
      </c>
      <c r="T2199" s="230" t="n">
        <f aca="false">+YEARFRAC(M2199,$S$1)</f>
        <v>126.366666666667</v>
      </c>
      <c r="U2199" s="231" t="n">
        <f aca="false">+$I2199</f>
        <v>0</v>
      </c>
      <c r="V2199" s="232" t="str">
        <f aca="false">+PROPER(F2199)</f>
        <v/>
      </c>
    </row>
    <row r="2200" customFormat="false" ht="14.25" hidden="false" customHeight="false" outlineLevel="0" collapsed="false">
      <c r="B2200" s="244"/>
      <c r="C2200" s="245"/>
      <c r="D2200" s="245"/>
      <c r="E2200" s="246"/>
      <c r="F2200" s="246"/>
      <c r="G2200" s="225" t="e">
        <f aca="false">VLOOKUP(B2200,'NIVEL ENERO'!A:F,4,0)</f>
        <v>#N/A</v>
      </c>
      <c r="H2200" s="247"/>
      <c r="I2200" s="247"/>
      <c r="J2200" s="246"/>
      <c r="K2200" s="246"/>
      <c r="L2200" s="226"/>
      <c r="M2200" s="226"/>
      <c r="N2200" s="246"/>
      <c r="P2200" s="228"/>
      <c r="Q2200" s="245"/>
      <c r="R2200" s="186" t="str">
        <f aca="false">+PROPER(C2200&amp;" "&amp;D2200)</f>
        <v> </v>
      </c>
      <c r="S2200" s="230" t="n">
        <f aca="false">+YEARFRAC(L2200,$S$1)</f>
        <v>126.366666666667</v>
      </c>
      <c r="T2200" s="230" t="n">
        <f aca="false">+YEARFRAC(M2200,$S$1)</f>
        <v>126.366666666667</v>
      </c>
      <c r="U2200" s="231" t="n">
        <f aca="false">+$I2200</f>
        <v>0</v>
      </c>
      <c r="V2200" s="232" t="str">
        <f aca="false">+PROPER(F2200)</f>
        <v/>
      </c>
    </row>
    <row r="2201" customFormat="false" ht="14.25" hidden="false" customHeight="false" outlineLevel="0" collapsed="false">
      <c r="B2201" s="244"/>
      <c r="C2201" s="245"/>
      <c r="D2201" s="245"/>
      <c r="E2201" s="246"/>
      <c r="F2201" s="246"/>
      <c r="G2201" s="225" t="e">
        <f aca="false">VLOOKUP(B2201,'NIVEL ENERO'!A:F,4,0)</f>
        <v>#N/A</v>
      </c>
      <c r="H2201" s="247"/>
      <c r="I2201" s="247"/>
      <c r="J2201" s="246"/>
      <c r="K2201" s="246"/>
      <c r="L2201" s="226"/>
      <c r="M2201" s="226"/>
      <c r="N2201" s="246"/>
      <c r="P2201" s="228"/>
      <c r="Q2201" s="245"/>
      <c r="R2201" s="186" t="str">
        <f aca="false">+PROPER(C2201&amp;" "&amp;D2201)</f>
        <v> </v>
      </c>
      <c r="S2201" s="230" t="n">
        <f aca="false">+YEARFRAC(L2201,$S$1)</f>
        <v>126.366666666667</v>
      </c>
      <c r="T2201" s="230" t="n">
        <f aca="false">+YEARFRAC(M2201,$S$1)</f>
        <v>126.366666666667</v>
      </c>
      <c r="U2201" s="231" t="n">
        <f aca="false">+$I2201</f>
        <v>0</v>
      </c>
      <c r="V2201" s="232" t="str">
        <f aca="false">+PROPER(F2201)</f>
        <v/>
      </c>
    </row>
    <row r="2202" customFormat="false" ht="14.25" hidden="false" customHeight="false" outlineLevel="0" collapsed="false">
      <c r="B2202" s="244"/>
      <c r="C2202" s="245"/>
      <c r="D2202" s="245"/>
      <c r="E2202" s="246"/>
      <c r="F2202" s="246"/>
      <c r="G2202" s="225" t="e">
        <f aca="false">VLOOKUP(B2202,'NIVEL ENERO'!A:F,4,0)</f>
        <v>#N/A</v>
      </c>
      <c r="H2202" s="247"/>
      <c r="I2202" s="247"/>
      <c r="J2202" s="246"/>
      <c r="K2202" s="246"/>
      <c r="L2202" s="226"/>
      <c r="M2202" s="226"/>
      <c r="N2202" s="246"/>
      <c r="P2202" s="228"/>
      <c r="Q2202" s="245"/>
      <c r="R2202" s="186" t="str">
        <f aca="false">+PROPER(C2202&amp;" "&amp;D2202)</f>
        <v> </v>
      </c>
      <c r="S2202" s="230" t="n">
        <f aca="false">+YEARFRAC(L2202,$S$1)</f>
        <v>126.366666666667</v>
      </c>
      <c r="T2202" s="230" t="n">
        <f aca="false">+YEARFRAC(M2202,$S$1)</f>
        <v>126.366666666667</v>
      </c>
      <c r="U2202" s="231" t="n">
        <f aca="false">+$I2202</f>
        <v>0</v>
      </c>
      <c r="V2202" s="232" t="str">
        <f aca="false">+PROPER(F2202)</f>
        <v/>
      </c>
    </row>
    <row r="2203" customFormat="false" ht="14.25" hidden="false" customHeight="false" outlineLevel="0" collapsed="false">
      <c r="B2203" s="244"/>
      <c r="C2203" s="245"/>
      <c r="D2203" s="245"/>
      <c r="E2203" s="246"/>
      <c r="F2203" s="246"/>
      <c r="G2203" s="225" t="e">
        <f aca="false">VLOOKUP(B2203,'NIVEL ENERO'!A:F,4,0)</f>
        <v>#N/A</v>
      </c>
      <c r="H2203" s="247"/>
      <c r="I2203" s="247"/>
      <c r="J2203" s="246"/>
      <c r="K2203" s="246"/>
      <c r="L2203" s="226"/>
      <c r="M2203" s="226"/>
      <c r="N2203" s="246"/>
      <c r="P2203" s="228"/>
      <c r="Q2203" s="245"/>
      <c r="R2203" s="186" t="str">
        <f aca="false">+PROPER(C2203&amp;" "&amp;D2203)</f>
        <v> </v>
      </c>
      <c r="S2203" s="230" t="n">
        <f aca="false">+YEARFRAC(L2203,$S$1)</f>
        <v>126.366666666667</v>
      </c>
      <c r="T2203" s="230" t="n">
        <f aca="false">+YEARFRAC(M2203,$S$1)</f>
        <v>126.366666666667</v>
      </c>
      <c r="U2203" s="231" t="n">
        <f aca="false">+$I2203</f>
        <v>0</v>
      </c>
      <c r="V2203" s="232" t="str">
        <f aca="false">+PROPER(F2203)</f>
        <v/>
      </c>
    </row>
    <row r="2204" customFormat="false" ht="14.25" hidden="false" customHeight="false" outlineLevel="0" collapsed="false">
      <c r="B2204" s="244"/>
      <c r="C2204" s="245"/>
      <c r="D2204" s="245"/>
      <c r="E2204" s="246"/>
      <c r="F2204" s="246"/>
      <c r="G2204" s="225" t="e">
        <f aca="false">VLOOKUP(B2204,'NIVEL ENERO'!A:F,4,0)</f>
        <v>#N/A</v>
      </c>
      <c r="H2204" s="247"/>
      <c r="I2204" s="247"/>
      <c r="J2204" s="246"/>
      <c r="K2204" s="246"/>
      <c r="L2204" s="226"/>
      <c r="M2204" s="226"/>
      <c r="N2204" s="246"/>
      <c r="P2204" s="228"/>
      <c r="Q2204" s="245"/>
      <c r="R2204" s="186" t="str">
        <f aca="false">+PROPER(C2204&amp;" "&amp;D2204)</f>
        <v> </v>
      </c>
      <c r="S2204" s="230" t="n">
        <f aca="false">+YEARFRAC(L2204,$S$1)</f>
        <v>126.366666666667</v>
      </c>
      <c r="T2204" s="230" t="n">
        <f aca="false">+YEARFRAC(M2204,$S$1)</f>
        <v>126.366666666667</v>
      </c>
      <c r="U2204" s="231" t="n">
        <f aca="false">+$I2204</f>
        <v>0</v>
      </c>
      <c r="V2204" s="232" t="str">
        <f aca="false">+PROPER(F2204)</f>
        <v/>
      </c>
    </row>
    <row r="2205" customFormat="false" ht="14.25" hidden="false" customHeight="false" outlineLevel="0" collapsed="false">
      <c r="B2205" s="244"/>
      <c r="C2205" s="245"/>
      <c r="D2205" s="245"/>
      <c r="E2205" s="246"/>
      <c r="F2205" s="246"/>
      <c r="G2205" s="225" t="e">
        <f aca="false">VLOOKUP(B2205,'NIVEL ENERO'!A:F,4,0)</f>
        <v>#N/A</v>
      </c>
      <c r="H2205" s="247"/>
      <c r="I2205" s="247"/>
      <c r="J2205" s="246"/>
      <c r="K2205" s="246"/>
      <c r="L2205" s="226"/>
      <c r="M2205" s="226"/>
      <c r="N2205" s="246"/>
      <c r="P2205" s="228"/>
      <c r="Q2205" s="245"/>
      <c r="R2205" s="186" t="str">
        <f aca="false">+PROPER(C2205&amp;" "&amp;D2205)</f>
        <v> </v>
      </c>
      <c r="S2205" s="230" t="n">
        <f aca="false">+YEARFRAC(L2205,$S$1)</f>
        <v>126.366666666667</v>
      </c>
      <c r="T2205" s="230" t="n">
        <f aca="false">+YEARFRAC(M2205,$S$1)</f>
        <v>126.366666666667</v>
      </c>
      <c r="U2205" s="231" t="n">
        <f aca="false">+$I2205</f>
        <v>0</v>
      </c>
      <c r="V2205" s="232" t="str">
        <f aca="false">+PROPER(F2205)</f>
        <v/>
      </c>
    </row>
    <row r="2206" customFormat="false" ht="14.25" hidden="false" customHeight="false" outlineLevel="0" collapsed="false">
      <c r="B2206" s="244"/>
      <c r="C2206" s="245"/>
      <c r="D2206" s="245"/>
      <c r="E2206" s="246"/>
      <c r="F2206" s="246"/>
      <c r="G2206" s="225" t="e">
        <f aca="false">VLOOKUP(B2206,'NIVEL ENERO'!A:F,4,0)</f>
        <v>#N/A</v>
      </c>
      <c r="H2206" s="247"/>
      <c r="I2206" s="247"/>
      <c r="J2206" s="246"/>
      <c r="K2206" s="246"/>
      <c r="L2206" s="226"/>
      <c r="M2206" s="226"/>
      <c r="N2206" s="246"/>
      <c r="P2206" s="228"/>
      <c r="Q2206" s="245"/>
      <c r="R2206" s="186" t="str">
        <f aca="false">+PROPER(C2206&amp;" "&amp;D2206)</f>
        <v> </v>
      </c>
      <c r="S2206" s="230" t="n">
        <f aca="false">+YEARFRAC(L2206,$S$1)</f>
        <v>126.366666666667</v>
      </c>
      <c r="T2206" s="230" t="n">
        <f aca="false">+YEARFRAC(M2206,$S$1)</f>
        <v>126.366666666667</v>
      </c>
      <c r="U2206" s="231" t="n">
        <f aca="false">+$I2206</f>
        <v>0</v>
      </c>
      <c r="V2206" s="232" t="str">
        <f aca="false">+PROPER(F2206)</f>
        <v/>
      </c>
    </row>
    <row r="2207" customFormat="false" ht="14.25" hidden="false" customHeight="false" outlineLevel="0" collapsed="false">
      <c r="B2207" s="244"/>
      <c r="C2207" s="245"/>
      <c r="D2207" s="245"/>
      <c r="E2207" s="246"/>
      <c r="F2207" s="246"/>
      <c r="G2207" s="225" t="e">
        <f aca="false">VLOOKUP(B2207,'NIVEL ENERO'!A:F,4,0)</f>
        <v>#N/A</v>
      </c>
      <c r="H2207" s="247"/>
      <c r="I2207" s="247"/>
      <c r="J2207" s="246"/>
      <c r="K2207" s="246"/>
      <c r="L2207" s="226"/>
      <c r="M2207" s="226"/>
      <c r="N2207" s="246"/>
      <c r="P2207" s="228"/>
      <c r="Q2207" s="245"/>
      <c r="R2207" s="186" t="str">
        <f aca="false">+PROPER(C2207&amp;" "&amp;D2207)</f>
        <v> </v>
      </c>
      <c r="S2207" s="230" t="n">
        <f aca="false">+YEARFRAC(L2207,$S$1)</f>
        <v>126.366666666667</v>
      </c>
      <c r="T2207" s="230" t="n">
        <f aca="false">+YEARFRAC(M2207,$S$1)</f>
        <v>126.366666666667</v>
      </c>
      <c r="U2207" s="231" t="n">
        <f aca="false">+$I2207</f>
        <v>0</v>
      </c>
      <c r="V2207" s="232" t="str">
        <f aca="false">+PROPER(F2207)</f>
        <v/>
      </c>
    </row>
    <row r="2208" customFormat="false" ht="14.25" hidden="false" customHeight="false" outlineLevel="0" collapsed="false">
      <c r="B2208" s="244"/>
      <c r="C2208" s="245"/>
      <c r="D2208" s="245"/>
      <c r="E2208" s="246"/>
      <c r="F2208" s="246"/>
      <c r="G2208" s="225" t="e">
        <f aca="false">VLOOKUP(B2208,'NIVEL ENERO'!A:F,4,0)</f>
        <v>#N/A</v>
      </c>
      <c r="H2208" s="247"/>
      <c r="I2208" s="247"/>
      <c r="J2208" s="246"/>
      <c r="K2208" s="246"/>
      <c r="L2208" s="226"/>
      <c r="M2208" s="226"/>
      <c r="N2208" s="246"/>
      <c r="P2208" s="228"/>
      <c r="Q2208" s="245"/>
      <c r="R2208" s="186" t="str">
        <f aca="false">+PROPER(C2208&amp;" "&amp;D2208)</f>
        <v> </v>
      </c>
      <c r="S2208" s="230" t="n">
        <f aca="false">+YEARFRAC(L2208,$S$1)</f>
        <v>126.366666666667</v>
      </c>
      <c r="T2208" s="230" t="n">
        <f aca="false">+YEARFRAC(M2208,$S$1)</f>
        <v>126.366666666667</v>
      </c>
      <c r="U2208" s="231" t="n">
        <f aca="false">+$I2208</f>
        <v>0</v>
      </c>
      <c r="V2208" s="232" t="str">
        <f aca="false">+PROPER(F2208)</f>
        <v/>
      </c>
    </row>
    <row r="2209" customFormat="false" ht="14.25" hidden="false" customHeight="false" outlineLevel="0" collapsed="false">
      <c r="B2209" s="244"/>
      <c r="C2209" s="245"/>
      <c r="D2209" s="245"/>
      <c r="E2209" s="246"/>
      <c r="F2209" s="246"/>
      <c r="G2209" s="225" t="e">
        <f aca="false">VLOOKUP(B2209,'NIVEL ENERO'!A:F,4,0)</f>
        <v>#N/A</v>
      </c>
      <c r="H2209" s="247"/>
      <c r="I2209" s="247"/>
      <c r="J2209" s="246"/>
      <c r="K2209" s="246"/>
      <c r="L2209" s="226"/>
      <c r="M2209" s="226"/>
      <c r="N2209" s="246"/>
      <c r="P2209" s="228"/>
      <c r="Q2209" s="245"/>
      <c r="R2209" s="186" t="str">
        <f aca="false">+PROPER(C2209&amp;" "&amp;D2209)</f>
        <v> </v>
      </c>
      <c r="S2209" s="230" t="n">
        <f aca="false">+YEARFRAC(L2209,$S$1)</f>
        <v>126.366666666667</v>
      </c>
      <c r="T2209" s="230" t="n">
        <f aca="false">+YEARFRAC(M2209,$S$1)</f>
        <v>126.366666666667</v>
      </c>
      <c r="U2209" s="231" t="n">
        <f aca="false">+$I2209</f>
        <v>0</v>
      </c>
      <c r="V2209" s="232" t="str">
        <f aca="false">+PROPER(F2209)</f>
        <v/>
      </c>
    </row>
    <row r="2210" customFormat="false" ht="14.25" hidden="false" customHeight="false" outlineLevel="0" collapsed="false">
      <c r="B2210" s="244"/>
      <c r="C2210" s="245"/>
      <c r="D2210" s="245"/>
      <c r="E2210" s="246"/>
      <c r="F2210" s="246"/>
      <c r="G2210" s="225" t="e">
        <f aca="false">VLOOKUP(B2210,'NIVEL ENERO'!A:F,4,0)</f>
        <v>#N/A</v>
      </c>
      <c r="H2210" s="247"/>
      <c r="I2210" s="247"/>
      <c r="J2210" s="246"/>
      <c r="K2210" s="246"/>
      <c r="L2210" s="226"/>
      <c r="M2210" s="226"/>
      <c r="N2210" s="246"/>
      <c r="P2210" s="228"/>
      <c r="Q2210" s="245"/>
      <c r="R2210" s="186" t="str">
        <f aca="false">+PROPER(C2210&amp;" "&amp;D2210)</f>
        <v> </v>
      </c>
      <c r="S2210" s="230" t="n">
        <f aca="false">+YEARFRAC(L2210,$S$1)</f>
        <v>126.366666666667</v>
      </c>
      <c r="T2210" s="230" t="n">
        <f aca="false">+YEARFRAC(M2210,$S$1)</f>
        <v>126.366666666667</v>
      </c>
      <c r="U2210" s="231" t="n">
        <f aca="false">+$I2210</f>
        <v>0</v>
      </c>
      <c r="V2210" s="232" t="str">
        <f aca="false">+PROPER(F2210)</f>
        <v/>
      </c>
    </row>
    <row r="2211" customFormat="false" ht="14.25" hidden="false" customHeight="false" outlineLevel="0" collapsed="false">
      <c r="B2211" s="244"/>
      <c r="C2211" s="245"/>
      <c r="D2211" s="245"/>
      <c r="E2211" s="246"/>
      <c r="F2211" s="246"/>
      <c r="G2211" s="225" t="e">
        <f aca="false">VLOOKUP(B2211,'NIVEL ENERO'!A:F,4,0)</f>
        <v>#N/A</v>
      </c>
      <c r="H2211" s="247"/>
      <c r="I2211" s="247"/>
      <c r="J2211" s="246"/>
      <c r="K2211" s="246"/>
      <c r="L2211" s="226"/>
      <c r="M2211" s="226"/>
      <c r="N2211" s="246"/>
      <c r="P2211" s="228"/>
      <c r="Q2211" s="245"/>
      <c r="R2211" s="186" t="str">
        <f aca="false">+PROPER(C2211&amp;" "&amp;D2211)</f>
        <v> </v>
      </c>
      <c r="S2211" s="230" t="n">
        <f aca="false">+YEARFRAC(L2211,$S$1)</f>
        <v>126.366666666667</v>
      </c>
      <c r="T2211" s="230" t="n">
        <f aca="false">+YEARFRAC(M2211,$S$1)</f>
        <v>126.366666666667</v>
      </c>
      <c r="U2211" s="231" t="n">
        <f aca="false">+$I2211</f>
        <v>0</v>
      </c>
      <c r="V2211" s="232" t="str">
        <f aca="false">+PROPER(F2211)</f>
        <v/>
      </c>
    </row>
    <row r="2212" customFormat="false" ht="14.25" hidden="false" customHeight="false" outlineLevel="0" collapsed="false">
      <c r="B2212" s="244"/>
      <c r="C2212" s="245"/>
      <c r="D2212" s="245"/>
      <c r="E2212" s="246"/>
      <c r="F2212" s="246"/>
      <c r="G2212" s="225" t="e">
        <f aca="false">VLOOKUP(B2212,'NIVEL ENERO'!A:F,4,0)</f>
        <v>#N/A</v>
      </c>
      <c r="H2212" s="247"/>
      <c r="I2212" s="247"/>
      <c r="J2212" s="246"/>
      <c r="K2212" s="246"/>
      <c r="L2212" s="226"/>
      <c r="M2212" s="226"/>
      <c r="N2212" s="246"/>
      <c r="P2212" s="228"/>
      <c r="Q2212" s="245"/>
      <c r="R2212" s="186" t="str">
        <f aca="false">+PROPER(C2212&amp;" "&amp;D2212)</f>
        <v> </v>
      </c>
      <c r="S2212" s="230" t="n">
        <f aca="false">+YEARFRAC(L2212,$S$1)</f>
        <v>126.366666666667</v>
      </c>
      <c r="T2212" s="230" t="n">
        <f aca="false">+YEARFRAC(M2212,$S$1)</f>
        <v>126.366666666667</v>
      </c>
      <c r="U2212" s="231" t="n">
        <f aca="false">+$I2212</f>
        <v>0</v>
      </c>
      <c r="V2212" s="232" t="str">
        <f aca="false">+PROPER(F2212)</f>
        <v/>
      </c>
    </row>
    <row r="2213" customFormat="false" ht="14.25" hidden="false" customHeight="false" outlineLevel="0" collapsed="false">
      <c r="B2213" s="244"/>
      <c r="C2213" s="245"/>
      <c r="D2213" s="245"/>
      <c r="E2213" s="246"/>
      <c r="F2213" s="246"/>
      <c r="G2213" s="225" t="e">
        <f aca="false">VLOOKUP(B2213,'NIVEL ENERO'!A:F,4,0)</f>
        <v>#N/A</v>
      </c>
      <c r="H2213" s="247"/>
      <c r="I2213" s="247"/>
      <c r="J2213" s="246"/>
      <c r="K2213" s="246"/>
      <c r="L2213" s="226"/>
      <c r="M2213" s="226"/>
      <c r="N2213" s="246"/>
      <c r="P2213" s="228"/>
      <c r="Q2213" s="245"/>
      <c r="R2213" s="186" t="str">
        <f aca="false">+PROPER(C2213&amp;" "&amp;D2213)</f>
        <v> </v>
      </c>
      <c r="S2213" s="230" t="n">
        <f aca="false">+YEARFRAC(L2213,$S$1)</f>
        <v>126.366666666667</v>
      </c>
      <c r="T2213" s="230" t="n">
        <f aca="false">+YEARFRAC(M2213,$S$1)</f>
        <v>126.366666666667</v>
      </c>
      <c r="U2213" s="231" t="n">
        <f aca="false">+$I2213</f>
        <v>0</v>
      </c>
      <c r="V2213" s="232" t="str">
        <f aca="false">+PROPER(F2213)</f>
        <v/>
      </c>
    </row>
    <row r="2214" customFormat="false" ht="14.25" hidden="false" customHeight="false" outlineLevel="0" collapsed="false">
      <c r="B2214" s="244"/>
      <c r="C2214" s="245"/>
      <c r="D2214" s="245"/>
      <c r="E2214" s="246"/>
      <c r="F2214" s="246"/>
      <c r="G2214" s="225" t="e">
        <f aca="false">VLOOKUP(B2214,'NIVEL ENERO'!A:F,4,0)</f>
        <v>#N/A</v>
      </c>
      <c r="H2214" s="247"/>
      <c r="I2214" s="247"/>
      <c r="J2214" s="246"/>
      <c r="K2214" s="246"/>
      <c r="L2214" s="226"/>
      <c r="M2214" s="226"/>
      <c r="N2214" s="246"/>
      <c r="P2214" s="228"/>
      <c r="Q2214" s="245"/>
      <c r="R2214" s="186" t="str">
        <f aca="false">+PROPER(C2214&amp;" "&amp;D2214)</f>
        <v> </v>
      </c>
      <c r="S2214" s="230" t="n">
        <f aca="false">+YEARFRAC(L2214,$S$1)</f>
        <v>126.366666666667</v>
      </c>
      <c r="T2214" s="230" t="n">
        <f aca="false">+YEARFRAC(M2214,$S$1)</f>
        <v>126.366666666667</v>
      </c>
      <c r="U2214" s="231" t="n">
        <f aca="false">+$I2214</f>
        <v>0</v>
      </c>
      <c r="V2214" s="232" t="str">
        <f aca="false">+PROPER(F2214)</f>
        <v/>
      </c>
    </row>
    <row r="2215" customFormat="false" ht="14.25" hidden="false" customHeight="false" outlineLevel="0" collapsed="false">
      <c r="B2215" s="244"/>
      <c r="C2215" s="245"/>
      <c r="D2215" s="245"/>
      <c r="E2215" s="246"/>
      <c r="F2215" s="246"/>
      <c r="G2215" s="225" t="e">
        <f aca="false">VLOOKUP(B2215,'NIVEL ENERO'!A:F,4,0)</f>
        <v>#N/A</v>
      </c>
      <c r="H2215" s="247"/>
      <c r="I2215" s="247"/>
      <c r="J2215" s="246"/>
      <c r="K2215" s="246"/>
      <c r="L2215" s="226"/>
      <c r="M2215" s="226"/>
      <c r="N2215" s="246"/>
      <c r="P2215" s="228"/>
      <c r="Q2215" s="245"/>
      <c r="R2215" s="186" t="str">
        <f aca="false">+PROPER(C2215&amp;" "&amp;D2215)</f>
        <v> </v>
      </c>
      <c r="S2215" s="230" t="n">
        <f aca="false">+YEARFRAC(L2215,$S$1)</f>
        <v>126.366666666667</v>
      </c>
      <c r="T2215" s="230" t="n">
        <f aca="false">+YEARFRAC(M2215,$S$1)</f>
        <v>126.366666666667</v>
      </c>
      <c r="U2215" s="231" t="n">
        <f aca="false">+$I2215</f>
        <v>0</v>
      </c>
      <c r="V2215" s="232" t="str">
        <f aca="false">+PROPER(F2215)</f>
        <v/>
      </c>
    </row>
    <row r="2216" customFormat="false" ht="14.25" hidden="false" customHeight="false" outlineLevel="0" collapsed="false">
      <c r="B2216" s="244"/>
      <c r="C2216" s="245"/>
      <c r="D2216" s="245"/>
      <c r="E2216" s="246"/>
      <c r="F2216" s="246"/>
      <c r="G2216" s="225" t="e">
        <f aca="false">VLOOKUP(B2216,'NIVEL ENERO'!A:F,4,0)</f>
        <v>#N/A</v>
      </c>
      <c r="H2216" s="247"/>
      <c r="I2216" s="247"/>
      <c r="J2216" s="246"/>
      <c r="K2216" s="246"/>
      <c r="L2216" s="226"/>
      <c r="M2216" s="226"/>
      <c r="N2216" s="246"/>
      <c r="P2216" s="228"/>
      <c r="Q2216" s="245"/>
      <c r="R2216" s="186" t="str">
        <f aca="false">+PROPER(C2216&amp;" "&amp;D2216)</f>
        <v> </v>
      </c>
      <c r="S2216" s="230" t="n">
        <f aca="false">+YEARFRAC(L2216,$S$1)</f>
        <v>126.366666666667</v>
      </c>
      <c r="T2216" s="230" t="n">
        <f aca="false">+YEARFRAC(M2216,$S$1)</f>
        <v>126.366666666667</v>
      </c>
      <c r="U2216" s="231" t="n">
        <f aca="false">+$I2216</f>
        <v>0</v>
      </c>
      <c r="V2216" s="232" t="str">
        <f aca="false">+PROPER(F2216)</f>
        <v/>
      </c>
    </row>
    <row r="2217" customFormat="false" ht="14.25" hidden="false" customHeight="false" outlineLevel="0" collapsed="false">
      <c r="B2217" s="244"/>
      <c r="C2217" s="245"/>
      <c r="D2217" s="245"/>
      <c r="E2217" s="246"/>
      <c r="F2217" s="246"/>
      <c r="G2217" s="225" t="e">
        <f aca="false">VLOOKUP(B2217,'NIVEL ENERO'!A:F,4,0)</f>
        <v>#N/A</v>
      </c>
      <c r="H2217" s="247"/>
      <c r="I2217" s="247"/>
      <c r="J2217" s="246"/>
      <c r="K2217" s="246"/>
      <c r="L2217" s="226"/>
      <c r="M2217" s="226"/>
      <c r="N2217" s="246"/>
      <c r="P2217" s="228"/>
      <c r="Q2217" s="245"/>
      <c r="R2217" s="186" t="str">
        <f aca="false">+PROPER(C2217&amp;" "&amp;D2217)</f>
        <v> </v>
      </c>
      <c r="S2217" s="230" t="n">
        <f aca="false">+YEARFRAC(L2217,$S$1)</f>
        <v>126.366666666667</v>
      </c>
      <c r="T2217" s="230" t="n">
        <f aca="false">+YEARFRAC(M2217,$S$1)</f>
        <v>126.366666666667</v>
      </c>
      <c r="U2217" s="231" t="n">
        <f aca="false">+$I2217</f>
        <v>0</v>
      </c>
      <c r="V2217" s="232" t="str">
        <f aca="false">+PROPER(F2217)</f>
        <v/>
      </c>
    </row>
    <row r="2218" customFormat="false" ht="14.25" hidden="false" customHeight="false" outlineLevel="0" collapsed="false">
      <c r="B2218" s="244"/>
      <c r="C2218" s="245"/>
      <c r="D2218" s="245"/>
      <c r="E2218" s="246"/>
      <c r="F2218" s="246"/>
      <c r="G2218" s="225" t="e">
        <f aca="false">VLOOKUP(B2218,'NIVEL ENERO'!A:F,4,0)</f>
        <v>#N/A</v>
      </c>
      <c r="H2218" s="247"/>
      <c r="I2218" s="247"/>
      <c r="J2218" s="246"/>
      <c r="K2218" s="246"/>
      <c r="L2218" s="226"/>
      <c r="M2218" s="226"/>
      <c r="N2218" s="246"/>
      <c r="P2218" s="228"/>
      <c r="Q2218" s="245"/>
      <c r="R2218" s="186" t="str">
        <f aca="false">+PROPER(C2218&amp;" "&amp;D2218)</f>
        <v> </v>
      </c>
      <c r="S2218" s="230" t="n">
        <f aca="false">+YEARFRAC(L2218,$S$1)</f>
        <v>126.366666666667</v>
      </c>
      <c r="T2218" s="230" t="n">
        <f aca="false">+YEARFRAC(M2218,$S$1)</f>
        <v>126.366666666667</v>
      </c>
      <c r="U2218" s="231" t="n">
        <f aca="false">+$I2218</f>
        <v>0</v>
      </c>
      <c r="V2218" s="232" t="str">
        <f aca="false">+PROPER(F2218)</f>
        <v/>
      </c>
    </row>
    <row r="2219" customFormat="false" ht="14.25" hidden="false" customHeight="false" outlineLevel="0" collapsed="false">
      <c r="B2219" s="244"/>
      <c r="C2219" s="245"/>
      <c r="D2219" s="245"/>
      <c r="E2219" s="246"/>
      <c r="F2219" s="246"/>
      <c r="G2219" s="225" t="e">
        <f aca="false">VLOOKUP(B2219,'NIVEL ENERO'!A:F,4,0)</f>
        <v>#N/A</v>
      </c>
      <c r="H2219" s="247"/>
      <c r="I2219" s="247"/>
      <c r="J2219" s="246"/>
      <c r="K2219" s="246"/>
      <c r="L2219" s="226"/>
      <c r="M2219" s="226"/>
      <c r="N2219" s="246"/>
      <c r="P2219" s="228"/>
      <c r="Q2219" s="245"/>
      <c r="R2219" s="186" t="str">
        <f aca="false">+PROPER(C2219&amp;" "&amp;D2219)</f>
        <v> </v>
      </c>
      <c r="S2219" s="230" t="n">
        <f aca="false">+YEARFRAC(L2219,$S$1)</f>
        <v>126.366666666667</v>
      </c>
      <c r="T2219" s="230" t="n">
        <f aca="false">+YEARFRAC(M2219,$S$1)</f>
        <v>126.366666666667</v>
      </c>
      <c r="U2219" s="231" t="n">
        <f aca="false">+$I2219</f>
        <v>0</v>
      </c>
      <c r="V2219" s="232" t="str">
        <f aca="false">+PROPER(F2219)</f>
        <v/>
      </c>
    </row>
    <row r="2220" customFormat="false" ht="14.25" hidden="false" customHeight="false" outlineLevel="0" collapsed="false">
      <c r="B2220" s="244"/>
      <c r="C2220" s="245"/>
      <c r="D2220" s="245"/>
      <c r="E2220" s="246"/>
      <c r="F2220" s="246"/>
      <c r="G2220" s="225" t="e">
        <f aca="false">VLOOKUP(B2220,'NIVEL ENERO'!A:F,4,0)</f>
        <v>#N/A</v>
      </c>
      <c r="H2220" s="247"/>
      <c r="I2220" s="247"/>
      <c r="J2220" s="246"/>
      <c r="K2220" s="246"/>
      <c r="L2220" s="226"/>
      <c r="M2220" s="226"/>
      <c r="N2220" s="246"/>
      <c r="P2220" s="228"/>
      <c r="Q2220" s="245"/>
      <c r="R2220" s="186" t="str">
        <f aca="false">+PROPER(C2220&amp;" "&amp;D2220)</f>
        <v> </v>
      </c>
      <c r="S2220" s="230" t="n">
        <f aca="false">+YEARFRAC(L2220,$S$1)</f>
        <v>126.366666666667</v>
      </c>
      <c r="T2220" s="230" t="n">
        <f aca="false">+YEARFRAC(M2220,$S$1)</f>
        <v>126.366666666667</v>
      </c>
      <c r="U2220" s="231" t="n">
        <f aca="false">+$I2220</f>
        <v>0</v>
      </c>
      <c r="V2220" s="232" t="str">
        <f aca="false">+PROPER(F2220)</f>
        <v/>
      </c>
    </row>
    <row r="2221" customFormat="false" ht="14.25" hidden="false" customHeight="false" outlineLevel="0" collapsed="false">
      <c r="B2221" s="244"/>
      <c r="C2221" s="245"/>
      <c r="D2221" s="245"/>
      <c r="E2221" s="246"/>
      <c r="F2221" s="246"/>
      <c r="G2221" s="225" t="e">
        <f aca="false">VLOOKUP(B2221,'NIVEL ENERO'!A:F,4,0)</f>
        <v>#N/A</v>
      </c>
      <c r="H2221" s="247"/>
      <c r="I2221" s="247"/>
      <c r="J2221" s="246"/>
      <c r="K2221" s="246"/>
      <c r="L2221" s="226"/>
      <c r="M2221" s="226"/>
      <c r="N2221" s="246"/>
      <c r="P2221" s="228"/>
      <c r="Q2221" s="245"/>
      <c r="R2221" s="186" t="str">
        <f aca="false">+PROPER(C2221&amp;" "&amp;D2221)</f>
        <v> </v>
      </c>
      <c r="S2221" s="230" t="n">
        <f aca="false">+YEARFRAC(L2221,$S$1)</f>
        <v>126.366666666667</v>
      </c>
      <c r="T2221" s="230" t="n">
        <f aca="false">+YEARFRAC(M2221,$S$1)</f>
        <v>126.366666666667</v>
      </c>
      <c r="U2221" s="231" t="n">
        <f aca="false">+$I2221</f>
        <v>0</v>
      </c>
      <c r="V2221" s="232" t="str">
        <f aca="false">+PROPER(F2221)</f>
        <v/>
      </c>
    </row>
    <row r="2222" customFormat="false" ht="14.25" hidden="false" customHeight="false" outlineLevel="0" collapsed="false">
      <c r="B2222" s="244"/>
      <c r="C2222" s="245"/>
      <c r="D2222" s="245"/>
      <c r="E2222" s="246"/>
      <c r="F2222" s="246"/>
      <c r="G2222" s="225" t="e">
        <f aca="false">VLOOKUP(B2222,'NIVEL ENERO'!A:F,4,0)</f>
        <v>#N/A</v>
      </c>
      <c r="H2222" s="247"/>
      <c r="I2222" s="247"/>
      <c r="J2222" s="246"/>
      <c r="K2222" s="246"/>
      <c r="L2222" s="226"/>
      <c r="M2222" s="226"/>
      <c r="N2222" s="246"/>
      <c r="P2222" s="228"/>
      <c r="Q2222" s="245"/>
      <c r="R2222" s="186" t="str">
        <f aca="false">+PROPER(C2222&amp;" "&amp;D2222)</f>
        <v> </v>
      </c>
      <c r="S2222" s="230" t="n">
        <f aca="false">+YEARFRAC(L2222,$S$1)</f>
        <v>126.366666666667</v>
      </c>
      <c r="T2222" s="230" t="n">
        <f aca="false">+YEARFRAC(M2222,$S$1)</f>
        <v>126.366666666667</v>
      </c>
      <c r="U2222" s="231" t="n">
        <f aca="false">+$I2222</f>
        <v>0</v>
      </c>
      <c r="V2222" s="232" t="str">
        <f aca="false">+PROPER(F2222)</f>
        <v/>
      </c>
    </row>
    <row r="2223" customFormat="false" ht="14.25" hidden="false" customHeight="false" outlineLevel="0" collapsed="false">
      <c r="B2223" s="244"/>
      <c r="C2223" s="245"/>
      <c r="D2223" s="245"/>
      <c r="E2223" s="246"/>
      <c r="F2223" s="246"/>
      <c r="G2223" s="225" t="e">
        <f aca="false">VLOOKUP(B2223,'NIVEL ENERO'!A:F,4,0)</f>
        <v>#N/A</v>
      </c>
      <c r="H2223" s="247"/>
      <c r="I2223" s="247"/>
      <c r="J2223" s="246"/>
      <c r="K2223" s="246"/>
      <c r="L2223" s="226"/>
      <c r="M2223" s="226"/>
      <c r="N2223" s="246"/>
      <c r="P2223" s="228"/>
      <c r="Q2223" s="245"/>
      <c r="R2223" s="186" t="str">
        <f aca="false">+PROPER(C2223&amp;" "&amp;D2223)</f>
        <v> </v>
      </c>
      <c r="S2223" s="230" t="n">
        <f aca="false">+YEARFRAC(L2223,$S$1)</f>
        <v>126.366666666667</v>
      </c>
      <c r="T2223" s="230" t="n">
        <f aca="false">+YEARFRAC(M2223,$S$1)</f>
        <v>126.366666666667</v>
      </c>
      <c r="U2223" s="231" t="n">
        <f aca="false">+$I2223</f>
        <v>0</v>
      </c>
      <c r="V2223" s="232" t="str">
        <f aca="false">+PROPER(F2223)</f>
        <v/>
      </c>
    </row>
    <row r="2224" customFormat="false" ht="14.25" hidden="false" customHeight="false" outlineLevel="0" collapsed="false">
      <c r="B2224" s="244"/>
      <c r="C2224" s="245"/>
      <c r="D2224" s="245"/>
      <c r="E2224" s="246"/>
      <c r="F2224" s="246"/>
      <c r="G2224" s="225" t="e">
        <f aca="false">VLOOKUP(B2224,'NIVEL ENERO'!A:F,4,0)</f>
        <v>#N/A</v>
      </c>
      <c r="H2224" s="247"/>
      <c r="I2224" s="247"/>
      <c r="J2224" s="246"/>
      <c r="K2224" s="246"/>
      <c r="L2224" s="226"/>
      <c r="M2224" s="226"/>
      <c r="N2224" s="246"/>
      <c r="P2224" s="228"/>
      <c r="Q2224" s="245"/>
      <c r="R2224" s="186" t="str">
        <f aca="false">+PROPER(C2224&amp;" "&amp;D2224)</f>
        <v> </v>
      </c>
      <c r="S2224" s="230" t="n">
        <f aca="false">+YEARFRAC(L2224,$S$1)</f>
        <v>126.366666666667</v>
      </c>
      <c r="T2224" s="230" t="n">
        <f aca="false">+YEARFRAC(M2224,$S$1)</f>
        <v>126.366666666667</v>
      </c>
      <c r="U2224" s="231" t="n">
        <f aca="false">+$I2224</f>
        <v>0</v>
      </c>
      <c r="V2224" s="232" t="str">
        <f aca="false">+PROPER(F2224)</f>
        <v/>
      </c>
    </row>
    <row r="2225" customFormat="false" ht="14.25" hidden="false" customHeight="false" outlineLevel="0" collapsed="false">
      <c r="B2225" s="244"/>
      <c r="C2225" s="245"/>
      <c r="D2225" s="245"/>
      <c r="E2225" s="246"/>
      <c r="F2225" s="246"/>
      <c r="G2225" s="225" t="e">
        <f aca="false">VLOOKUP(B2225,'NIVEL ENERO'!A:F,4,0)</f>
        <v>#N/A</v>
      </c>
      <c r="H2225" s="247"/>
      <c r="I2225" s="247"/>
      <c r="J2225" s="246"/>
      <c r="K2225" s="246"/>
      <c r="L2225" s="226"/>
      <c r="M2225" s="226"/>
      <c r="N2225" s="246"/>
      <c r="P2225" s="228"/>
      <c r="Q2225" s="245"/>
      <c r="R2225" s="186" t="str">
        <f aca="false">+PROPER(C2225&amp;" "&amp;D2225)</f>
        <v> </v>
      </c>
      <c r="S2225" s="230" t="n">
        <f aca="false">+YEARFRAC(L2225,$S$1)</f>
        <v>126.366666666667</v>
      </c>
      <c r="T2225" s="230" t="n">
        <f aca="false">+YEARFRAC(M2225,$S$1)</f>
        <v>126.366666666667</v>
      </c>
      <c r="U2225" s="231" t="n">
        <f aca="false">+$I2225</f>
        <v>0</v>
      </c>
      <c r="V2225" s="232" t="str">
        <f aca="false">+PROPER(F2225)</f>
        <v/>
      </c>
    </row>
    <row r="2226" customFormat="false" ht="14.25" hidden="false" customHeight="false" outlineLevel="0" collapsed="false">
      <c r="B2226" s="244"/>
      <c r="C2226" s="245"/>
      <c r="D2226" s="245"/>
      <c r="E2226" s="246"/>
      <c r="F2226" s="246"/>
      <c r="G2226" s="225" t="e">
        <f aca="false">VLOOKUP(B2226,'NIVEL ENERO'!A:F,4,0)</f>
        <v>#N/A</v>
      </c>
      <c r="H2226" s="247"/>
      <c r="I2226" s="247"/>
      <c r="J2226" s="246"/>
      <c r="K2226" s="246"/>
      <c r="L2226" s="226"/>
      <c r="M2226" s="226"/>
      <c r="N2226" s="246"/>
      <c r="P2226" s="228"/>
      <c r="Q2226" s="245"/>
      <c r="R2226" s="186" t="str">
        <f aca="false">+PROPER(C2226&amp;" "&amp;D2226)</f>
        <v> </v>
      </c>
      <c r="S2226" s="230" t="n">
        <f aca="false">+YEARFRAC(L2226,$S$1)</f>
        <v>126.366666666667</v>
      </c>
      <c r="T2226" s="230" t="n">
        <f aca="false">+YEARFRAC(M2226,$S$1)</f>
        <v>126.366666666667</v>
      </c>
      <c r="U2226" s="231" t="n">
        <f aca="false">+$I2226</f>
        <v>0</v>
      </c>
      <c r="V2226" s="232" t="str">
        <f aca="false">+PROPER(F2226)</f>
        <v/>
      </c>
    </row>
    <row r="2227" customFormat="false" ht="14.25" hidden="false" customHeight="false" outlineLevel="0" collapsed="false">
      <c r="B2227" s="244"/>
      <c r="C2227" s="245"/>
      <c r="D2227" s="245"/>
      <c r="E2227" s="246"/>
      <c r="F2227" s="246"/>
      <c r="G2227" s="225" t="e">
        <f aca="false">VLOOKUP(B2227,'NIVEL ENERO'!A:F,4,0)</f>
        <v>#N/A</v>
      </c>
      <c r="H2227" s="247"/>
      <c r="I2227" s="247"/>
      <c r="J2227" s="246"/>
      <c r="K2227" s="246"/>
      <c r="L2227" s="226"/>
      <c r="M2227" s="226"/>
      <c r="N2227" s="246"/>
      <c r="P2227" s="228"/>
      <c r="Q2227" s="245"/>
      <c r="R2227" s="186" t="str">
        <f aca="false">+PROPER(C2227&amp;" "&amp;D2227)</f>
        <v> </v>
      </c>
      <c r="S2227" s="230" t="n">
        <f aca="false">+YEARFRAC(L2227,$S$1)</f>
        <v>126.366666666667</v>
      </c>
      <c r="T2227" s="230" t="n">
        <f aca="false">+YEARFRAC(M2227,$S$1)</f>
        <v>126.366666666667</v>
      </c>
      <c r="U2227" s="231" t="n">
        <f aca="false">+$I2227</f>
        <v>0</v>
      </c>
      <c r="V2227" s="232" t="str">
        <f aca="false">+PROPER(F2227)</f>
        <v/>
      </c>
    </row>
    <row r="2228" customFormat="false" ht="14.25" hidden="false" customHeight="false" outlineLevel="0" collapsed="false">
      <c r="B2228" s="244"/>
      <c r="C2228" s="245"/>
      <c r="D2228" s="245"/>
      <c r="E2228" s="246"/>
      <c r="F2228" s="246"/>
      <c r="G2228" s="225" t="e">
        <f aca="false">VLOOKUP(B2228,'NIVEL ENERO'!A:F,4,0)</f>
        <v>#N/A</v>
      </c>
      <c r="H2228" s="247"/>
      <c r="I2228" s="247"/>
      <c r="J2228" s="246"/>
      <c r="K2228" s="246"/>
      <c r="L2228" s="226"/>
      <c r="M2228" s="226"/>
      <c r="N2228" s="246"/>
      <c r="P2228" s="228"/>
      <c r="Q2228" s="245"/>
      <c r="R2228" s="186" t="str">
        <f aca="false">+PROPER(C2228&amp;" "&amp;D2228)</f>
        <v> </v>
      </c>
      <c r="S2228" s="230" t="n">
        <f aca="false">+YEARFRAC(L2228,$S$1)</f>
        <v>126.366666666667</v>
      </c>
      <c r="T2228" s="230" t="n">
        <f aca="false">+YEARFRAC(M2228,$S$1)</f>
        <v>126.366666666667</v>
      </c>
      <c r="U2228" s="231" t="n">
        <f aca="false">+$I2228</f>
        <v>0</v>
      </c>
      <c r="V2228" s="232" t="str">
        <f aca="false">+PROPER(F2228)</f>
        <v/>
      </c>
    </row>
    <row r="2229" customFormat="false" ht="14.25" hidden="false" customHeight="false" outlineLevel="0" collapsed="false">
      <c r="B2229" s="244"/>
      <c r="C2229" s="245"/>
      <c r="D2229" s="245"/>
      <c r="E2229" s="246"/>
      <c r="F2229" s="246"/>
      <c r="G2229" s="225" t="e">
        <f aca="false">VLOOKUP(B2229,'NIVEL ENERO'!A:F,4,0)</f>
        <v>#N/A</v>
      </c>
      <c r="H2229" s="247"/>
      <c r="I2229" s="247"/>
      <c r="J2229" s="246"/>
      <c r="K2229" s="246"/>
      <c r="L2229" s="226"/>
      <c r="M2229" s="226"/>
      <c r="N2229" s="246"/>
      <c r="P2229" s="228"/>
      <c r="Q2229" s="245"/>
      <c r="R2229" s="186" t="str">
        <f aca="false">+PROPER(C2229&amp;" "&amp;D2229)</f>
        <v> </v>
      </c>
      <c r="S2229" s="230" t="n">
        <f aca="false">+YEARFRAC(L2229,$S$1)</f>
        <v>126.366666666667</v>
      </c>
      <c r="T2229" s="230" t="n">
        <f aca="false">+YEARFRAC(M2229,$S$1)</f>
        <v>126.366666666667</v>
      </c>
      <c r="U2229" s="231" t="n">
        <f aca="false">+$I2229</f>
        <v>0</v>
      </c>
      <c r="V2229" s="232" t="str">
        <f aca="false">+PROPER(F2229)</f>
        <v/>
      </c>
    </row>
    <row r="2230" customFormat="false" ht="14.25" hidden="false" customHeight="false" outlineLevel="0" collapsed="false">
      <c r="B2230" s="244"/>
      <c r="C2230" s="245"/>
      <c r="D2230" s="245"/>
      <c r="E2230" s="246"/>
      <c r="F2230" s="246"/>
      <c r="G2230" s="225" t="e">
        <f aca="false">VLOOKUP(B2230,'NIVEL ENERO'!A:F,4,0)</f>
        <v>#N/A</v>
      </c>
      <c r="H2230" s="247"/>
      <c r="I2230" s="247"/>
      <c r="J2230" s="246"/>
      <c r="K2230" s="246"/>
      <c r="L2230" s="226"/>
      <c r="M2230" s="226"/>
      <c r="N2230" s="246"/>
      <c r="P2230" s="228"/>
      <c r="Q2230" s="245"/>
      <c r="R2230" s="186" t="str">
        <f aca="false">+PROPER(C2230&amp;" "&amp;D2230)</f>
        <v> </v>
      </c>
      <c r="S2230" s="230" t="n">
        <f aca="false">+YEARFRAC(L2230,$S$1)</f>
        <v>126.366666666667</v>
      </c>
      <c r="T2230" s="230" t="n">
        <f aca="false">+YEARFRAC(M2230,$S$1)</f>
        <v>126.366666666667</v>
      </c>
      <c r="U2230" s="231" t="n">
        <f aca="false">+$I2230</f>
        <v>0</v>
      </c>
      <c r="V2230" s="232" t="str">
        <f aca="false">+PROPER(F2230)</f>
        <v/>
      </c>
    </row>
    <row r="2231" customFormat="false" ht="14.25" hidden="false" customHeight="false" outlineLevel="0" collapsed="false">
      <c r="B2231" s="244"/>
      <c r="C2231" s="245"/>
      <c r="D2231" s="245"/>
      <c r="E2231" s="246"/>
      <c r="F2231" s="246"/>
      <c r="G2231" s="225" t="e">
        <f aca="false">VLOOKUP(B2231,'NIVEL ENERO'!A:F,4,0)</f>
        <v>#N/A</v>
      </c>
      <c r="H2231" s="247"/>
      <c r="I2231" s="247"/>
      <c r="J2231" s="246"/>
      <c r="K2231" s="246"/>
      <c r="L2231" s="226"/>
      <c r="M2231" s="226"/>
      <c r="N2231" s="246"/>
      <c r="P2231" s="228"/>
      <c r="Q2231" s="245"/>
      <c r="R2231" s="186" t="str">
        <f aca="false">+PROPER(C2231&amp;" "&amp;D2231)</f>
        <v> </v>
      </c>
      <c r="S2231" s="230" t="n">
        <f aca="false">+YEARFRAC(L2231,$S$1)</f>
        <v>126.366666666667</v>
      </c>
      <c r="T2231" s="230" t="n">
        <f aca="false">+YEARFRAC(M2231,$S$1)</f>
        <v>126.366666666667</v>
      </c>
      <c r="U2231" s="231" t="n">
        <f aca="false">+$I2231</f>
        <v>0</v>
      </c>
      <c r="V2231" s="232" t="str">
        <f aca="false">+PROPER(F2231)</f>
        <v/>
      </c>
    </row>
    <row r="2232" customFormat="false" ht="14.25" hidden="false" customHeight="false" outlineLevel="0" collapsed="false">
      <c r="B2232" s="244"/>
      <c r="C2232" s="245"/>
      <c r="D2232" s="245"/>
      <c r="E2232" s="246"/>
      <c r="F2232" s="246"/>
      <c r="G2232" s="225" t="e">
        <f aca="false">VLOOKUP(B2232,'NIVEL ENERO'!A:F,4,0)</f>
        <v>#N/A</v>
      </c>
      <c r="H2232" s="247"/>
      <c r="I2232" s="247"/>
      <c r="J2232" s="246"/>
      <c r="K2232" s="246"/>
      <c r="L2232" s="226"/>
      <c r="M2232" s="226"/>
      <c r="N2232" s="246"/>
      <c r="P2232" s="228"/>
      <c r="Q2232" s="245"/>
      <c r="R2232" s="186" t="str">
        <f aca="false">+PROPER(C2232&amp;" "&amp;D2232)</f>
        <v> </v>
      </c>
      <c r="S2232" s="230" t="n">
        <f aca="false">+YEARFRAC(L2232,$S$1)</f>
        <v>126.366666666667</v>
      </c>
      <c r="T2232" s="230" t="n">
        <f aca="false">+YEARFRAC(M2232,$S$1)</f>
        <v>126.366666666667</v>
      </c>
      <c r="U2232" s="231" t="n">
        <f aca="false">+$I2232</f>
        <v>0</v>
      </c>
      <c r="V2232" s="232" t="str">
        <f aca="false">+PROPER(F2232)</f>
        <v/>
      </c>
    </row>
    <row r="2233" customFormat="false" ht="14.25" hidden="false" customHeight="false" outlineLevel="0" collapsed="false">
      <c r="B2233" s="244"/>
      <c r="C2233" s="245"/>
      <c r="D2233" s="245"/>
      <c r="E2233" s="246"/>
      <c r="F2233" s="246"/>
      <c r="G2233" s="225" t="e">
        <f aca="false">VLOOKUP(B2233,'NIVEL ENERO'!A:F,4,0)</f>
        <v>#N/A</v>
      </c>
      <c r="H2233" s="247"/>
      <c r="I2233" s="247"/>
      <c r="J2233" s="246"/>
      <c r="K2233" s="246"/>
      <c r="L2233" s="226"/>
      <c r="M2233" s="226"/>
      <c r="N2233" s="246"/>
      <c r="P2233" s="228"/>
      <c r="Q2233" s="245"/>
      <c r="R2233" s="186" t="str">
        <f aca="false">+PROPER(C2233&amp;" "&amp;D2233)</f>
        <v> </v>
      </c>
      <c r="S2233" s="230" t="n">
        <f aca="false">+YEARFRAC(L2233,$S$1)</f>
        <v>126.366666666667</v>
      </c>
      <c r="T2233" s="230" t="n">
        <f aca="false">+YEARFRAC(M2233,$S$1)</f>
        <v>126.366666666667</v>
      </c>
      <c r="U2233" s="231" t="n">
        <f aca="false">+$I2233</f>
        <v>0</v>
      </c>
      <c r="V2233" s="232" t="str">
        <f aca="false">+PROPER(F2233)</f>
        <v/>
      </c>
    </row>
    <row r="2234" customFormat="false" ht="14.25" hidden="false" customHeight="false" outlineLevel="0" collapsed="false">
      <c r="B2234" s="244"/>
      <c r="C2234" s="245"/>
      <c r="D2234" s="245"/>
      <c r="E2234" s="246"/>
      <c r="F2234" s="246"/>
      <c r="G2234" s="225" t="e">
        <f aca="false">VLOOKUP(B2234,'NIVEL ENERO'!A:F,4,0)</f>
        <v>#N/A</v>
      </c>
      <c r="H2234" s="247"/>
      <c r="I2234" s="247"/>
      <c r="J2234" s="246"/>
      <c r="K2234" s="246"/>
      <c r="L2234" s="226"/>
      <c r="M2234" s="226"/>
      <c r="N2234" s="246"/>
      <c r="P2234" s="228"/>
      <c r="Q2234" s="245"/>
      <c r="R2234" s="186" t="str">
        <f aca="false">+PROPER(C2234&amp;" "&amp;D2234)</f>
        <v> </v>
      </c>
      <c r="S2234" s="230" t="n">
        <f aca="false">+YEARFRAC(L2234,$S$1)</f>
        <v>126.366666666667</v>
      </c>
      <c r="T2234" s="230" t="n">
        <f aca="false">+YEARFRAC(M2234,$S$1)</f>
        <v>126.366666666667</v>
      </c>
      <c r="U2234" s="231" t="n">
        <f aca="false">+$I2234</f>
        <v>0</v>
      </c>
      <c r="V2234" s="232" t="str">
        <f aca="false">+PROPER(F2234)</f>
        <v/>
      </c>
    </row>
    <row r="2235" customFormat="false" ht="14.25" hidden="false" customHeight="false" outlineLevel="0" collapsed="false">
      <c r="B2235" s="244"/>
      <c r="C2235" s="245"/>
      <c r="D2235" s="245"/>
      <c r="E2235" s="246"/>
      <c r="F2235" s="246"/>
      <c r="G2235" s="225" t="e">
        <f aca="false">VLOOKUP(B2235,'NIVEL ENERO'!A:F,4,0)</f>
        <v>#N/A</v>
      </c>
      <c r="H2235" s="247"/>
      <c r="I2235" s="247"/>
      <c r="J2235" s="246"/>
      <c r="K2235" s="246"/>
      <c r="L2235" s="226"/>
      <c r="M2235" s="226"/>
      <c r="N2235" s="246"/>
      <c r="P2235" s="228"/>
      <c r="Q2235" s="245"/>
      <c r="R2235" s="186" t="str">
        <f aca="false">+PROPER(C2235&amp;" "&amp;D2235)</f>
        <v> </v>
      </c>
      <c r="S2235" s="230" t="n">
        <f aca="false">+YEARFRAC(L2235,$S$1)</f>
        <v>126.366666666667</v>
      </c>
      <c r="T2235" s="230" t="n">
        <f aca="false">+YEARFRAC(M2235,$S$1)</f>
        <v>126.366666666667</v>
      </c>
      <c r="U2235" s="231" t="n">
        <f aca="false">+$I2235</f>
        <v>0</v>
      </c>
      <c r="V2235" s="232" t="str">
        <f aca="false">+PROPER(F2235)</f>
        <v/>
      </c>
    </row>
    <row r="2236" customFormat="false" ht="14.25" hidden="false" customHeight="false" outlineLevel="0" collapsed="false">
      <c r="B2236" s="244"/>
      <c r="C2236" s="245"/>
      <c r="D2236" s="245"/>
      <c r="E2236" s="246"/>
      <c r="F2236" s="246"/>
      <c r="G2236" s="225" t="e">
        <f aca="false">VLOOKUP(B2236,'NIVEL ENERO'!A:F,4,0)</f>
        <v>#N/A</v>
      </c>
      <c r="H2236" s="247"/>
      <c r="I2236" s="247"/>
      <c r="J2236" s="246"/>
      <c r="K2236" s="246"/>
      <c r="L2236" s="226"/>
      <c r="M2236" s="226"/>
      <c r="N2236" s="246"/>
      <c r="P2236" s="228"/>
      <c r="Q2236" s="245"/>
      <c r="R2236" s="186" t="str">
        <f aca="false">+PROPER(C2236&amp;" "&amp;D2236)</f>
        <v> </v>
      </c>
      <c r="S2236" s="230" t="n">
        <f aca="false">+YEARFRAC(L2236,$S$1)</f>
        <v>126.366666666667</v>
      </c>
      <c r="T2236" s="230" t="n">
        <f aca="false">+YEARFRAC(M2236,$S$1)</f>
        <v>126.366666666667</v>
      </c>
      <c r="U2236" s="231" t="n">
        <f aca="false">+$I2236</f>
        <v>0</v>
      </c>
      <c r="V2236" s="232" t="str">
        <f aca="false">+PROPER(F2236)</f>
        <v/>
      </c>
    </row>
    <row r="2237" customFormat="false" ht="14.25" hidden="false" customHeight="false" outlineLevel="0" collapsed="false">
      <c r="B2237" s="244"/>
      <c r="C2237" s="245"/>
      <c r="D2237" s="245"/>
      <c r="E2237" s="246"/>
      <c r="F2237" s="246"/>
      <c r="G2237" s="225" t="e">
        <f aca="false">VLOOKUP(B2237,'NIVEL ENERO'!A:F,4,0)</f>
        <v>#N/A</v>
      </c>
      <c r="H2237" s="247"/>
      <c r="I2237" s="247"/>
      <c r="J2237" s="246"/>
      <c r="K2237" s="246"/>
      <c r="L2237" s="226"/>
      <c r="M2237" s="226"/>
      <c r="N2237" s="246"/>
      <c r="P2237" s="228"/>
      <c r="Q2237" s="245"/>
      <c r="R2237" s="186" t="str">
        <f aca="false">+PROPER(C2237&amp;" "&amp;D2237)</f>
        <v> </v>
      </c>
      <c r="S2237" s="230" t="n">
        <f aca="false">+YEARFRAC(L2237,$S$1)</f>
        <v>126.366666666667</v>
      </c>
      <c r="T2237" s="230" t="n">
        <f aca="false">+YEARFRAC(M2237,$S$1)</f>
        <v>126.366666666667</v>
      </c>
      <c r="U2237" s="231" t="n">
        <f aca="false">+$I2237</f>
        <v>0</v>
      </c>
      <c r="V2237" s="232" t="str">
        <f aca="false">+PROPER(F2237)</f>
        <v/>
      </c>
    </row>
    <row r="2238" customFormat="false" ht="14.25" hidden="false" customHeight="false" outlineLevel="0" collapsed="false">
      <c r="B2238" s="244"/>
      <c r="C2238" s="245"/>
      <c r="D2238" s="245"/>
      <c r="E2238" s="246"/>
      <c r="F2238" s="246"/>
      <c r="G2238" s="225" t="e">
        <f aca="false">VLOOKUP(B2238,'NIVEL ENERO'!A:F,4,0)</f>
        <v>#N/A</v>
      </c>
      <c r="H2238" s="247"/>
      <c r="I2238" s="247"/>
      <c r="J2238" s="246"/>
      <c r="K2238" s="246"/>
      <c r="L2238" s="226"/>
      <c r="M2238" s="226"/>
      <c r="N2238" s="246"/>
      <c r="P2238" s="228"/>
      <c r="Q2238" s="245"/>
      <c r="R2238" s="186" t="str">
        <f aca="false">+PROPER(C2238&amp;" "&amp;D2238)</f>
        <v> </v>
      </c>
      <c r="S2238" s="230" t="n">
        <f aca="false">+YEARFRAC(L2238,$S$1)</f>
        <v>126.366666666667</v>
      </c>
      <c r="T2238" s="230" t="n">
        <f aca="false">+YEARFRAC(M2238,$S$1)</f>
        <v>126.366666666667</v>
      </c>
      <c r="U2238" s="231" t="n">
        <f aca="false">+$I2238</f>
        <v>0</v>
      </c>
      <c r="V2238" s="232" t="str">
        <f aca="false">+PROPER(F2238)</f>
        <v/>
      </c>
    </row>
    <row r="2239" customFormat="false" ht="14.25" hidden="false" customHeight="false" outlineLevel="0" collapsed="false">
      <c r="B2239" s="244"/>
      <c r="C2239" s="245"/>
      <c r="D2239" s="245"/>
      <c r="E2239" s="246"/>
      <c r="F2239" s="246"/>
      <c r="G2239" s="225" t="e">
        <f aca="false">VLOOKUP(B2239,'NIVEL ENERO'!A:F,4,0)</f>
        <v>#N/A</v>
      </c>
      <c r="H2239" s="247"/>
      <c r="I2239" s="247"/>
      <c r="J2239" s="246"/>
      <c r="K2239" s="246"/>
      <c r="L2239" s="226"/>
      <c r="M2239" s="226"/>
      <c r="N2239" s="246"/>
      <c r="P2239" s="228"/>
      <c r="Q2239" s="245"/>
      <c r="R2239" s="186" t="str">
        <f aca="false">+PROPER(C2239&amp;" "&amp;D2239)</f>
        <v> </v>
      </c>
      <c r="S2239" s="230" t="n">
        <f aca="false">+YEARFRAC(L2239,$S$1)</f>
        <v>126.366666666667</v>
      </c>
      <c r="T2239" s="230" t="n">
        <f aca="false">+YEARFRAC(M2239,$S$1)</f>
        <v>126.366666666667</v>
      </c>
      <c r="U2239" s="231" t="n">
        <f aca="false">+$I2239</f>
        <v>0</v>
      </c>
      <c r="V2239" s="232" t="str">
        <f aca="false">+PROPER(F2239)</f>
        <v/>
      </c>
    </row>
    <row r="2240" customFormat="false" ht="14.25" hidden="false" customHeight="false" outlineLevel="0" collapsed="false">
      <c r="B2240" s="244"/>
      <c r="C2240" s="245"/>
      <c r="D2240" s="245"/>
      <c r="E2240" s="246"/>
      <c r="F2240" s="246"/>
      <c r="G2240" s="225" t="e">
        <f aca="false">VLOOKUP(B2240,'NIVEL ENERO'!A:F,4,0)</f>
        <v>#N/A</v>
      </c>
      <c r="H2240" s="247"/>
      <c r="I2240" s="247"/>
      <c r="J2240" s="246"/>
      <c r="K2240" s="246"/>
      <c r="L2240" s="226"/>
      <c r="M2240" s="226"/>
      <c r="N2240" s="246"/>
      <c r="P2240" s="228"/>
      <c r="Q2240" s="245"/>
      <c r="R2240" s="186" t="str">
        <f aca="false">+PROPER(C2240&amp;" "&amp;D2240)</f>
        <v> </v>
      </c>
      <c r="S2240" s="230" t="n">
        <f aca="false">+YEARFRAC(L2240,$S$1)</f>
        <v>126.366666666667</v>
      </c>
      <c r="T2240" s="230" t="n">
        <f aca="false">+YEARFRAC(M2240,$S$1)</f>
        <v>126.366666666667</v>
      </c>
      <c r="U2240" s="231" t="n">
        <f aca="false">+$I2240</f>
        <v>0</v>
      </c>
      <c r="V2240" s="232" t="str">
        <f aca="false">+PROPER(F2240)</f>
        <v/>
      </c>
    </row>
    <row r="2241" customFormat="false" ht="14.25" hidden="false" customHeight="false" outlineLevel="0" collapsed="false">
      <c r="B2241" s="244"/>
      <c r="C2241" s="245"/>
      <c r="D2241" s="245"/>
      <c r="E2241" s="246"/>
      <c r="F2241" s="246"/>
      <c r="G2241" s="225" t="e">
        <f aca="false">VLOOKUP(B2241,'NIVEL ENERO'!A:F,4,0)</f>
        <v>#N/A</v>
      </c>
      <c r="H2241" s="247"/>
      <c r="I2241" s="247"/>
      <c r="J2241" s="246"/>
      <c r="K2241" s="246"/>
      <c r="L2241" s="226"/>
      <c r="M2241" s="226"/>
      <c r="N2241" s="246"/>
      <c r="P2241" s="228"/>
      <c r="Q2241" s="245"/>
      <c r="R2241" s="186" t="str">
        <f aca="false">+PROPER(C2241&amp;" "&amp;D2241)</f>
        <v> </v>
      </c>
      <c r="S2241" s="230" t="n">
        <f aca="false">+YEARFRAC(L2241,$S$1)</f>
        <v>126.366666666667</v>
      </c>
      <c r="T2241" s="230" t="n">
        <f aca="false">+YEARFRAC(M2241,$S$1)</f>
        <v>126.366666666667</v>
      </c>
      <c r="U2241" s="231" t="n">
        <f aca="false">+$I2241</f>
        <v>0</v>
      </c>
      <c r="V2241" s="232" t="str">
        <f aca="false">+PROPER(F2241)</f>
        <v/>
      </c>
    </row>
    <row r="2242" customFormat="false" ht="14.25" hidden="false" customHeight="false" outlineLevel="0" collapsed="false">
      <c r="B2242" s="244"/>
      <c r="C2242" s="245"/>
      <c r="D2242" s="245"/>
      <c r="E2242" s="246"/>
      <c r="F2242" s="246"/>
      <c r="G2242" s="225" t="e">
        <f aca="false">VLOOKUP(B2242,'NIVEL ENERO'!A:F,4,0)</f>
        <v>#N/A</v>
      </c>
      <c r="H2242" s="247"/>
      <c r="I2242" s="247"/>
      <c r="J2242" s="246"/>
      <c r="K2242" s="246"/>
      <c r="L2242" s="226"/>
      <c r="M2242" s="226"/>
      <c r="N2242" s="246"/>
      <c r="P2242" s="228"/>
      <c r="Q2242" s="245"/>
      <c r="R2242" s="186" t="str">
        <f aca="false">+PROPER(C2242&amp;" "&amp;D2242)</f>
        <v> </v>
      </c>
      <c r="S2242" s="230" t="n">
        <f aca="false">+YEARFRAC(L2242,$S$1)</f>
        <v>126.366666666667</v>
      </c>
      <c r="T2242" s="230" t="n">
        <f aca="false">+YEARFRAC(M2242,$S$1)</f>
        <v>126.366666666667</v>
      </c>
      <c r="U2242" s="231" t="n">
        <f aca="false">+$I2242</f>
        <v>0</v>
      </c>
      <c r="V2242" s="232" t="str">
        <f aca="false">+PROPER(F2242)</f>
        <v/>
      </c>
    </row>
    <row r="2243" customFormat="false" ht="14.25" hidden="false" customHeight="false" outlineLevel="0" collapsed="false">
      <c r="B2243" s="244"/>
      <c r="C2243" s="245"/>
      <c r="D2243" s="245"/>
      <c r="E2243" s="246"/>
      <c r="F2243" s="246"/>
      <c r="G2243" s="225" t="e">
        <f aca="false">VLOOKUP(B2243,'NIVEL ENERO'!A:F,4,0)</f>
        <v>#N/A</v>
      </c>
      <c r="H2243" s="247"/>
      <c r="I2243" s="247"/>
      <c r="J2243" s="246"/>
      <c r="K2243" s="246"/>
      <c r="L2243" s="226"/>
      <c r="M2243" s="226"/>
      <c r="N2243" s="246"/>
      <c r="P2243" s="228"/>
      <c r="Q2243" s="245"/>
      <c r="R2243" s="186" t="str">
        <f aca="false">+PROPER(C2243&amp;" "&amp;D2243)</f>
        <v> </v>
      </c>
      <c r="S2243" s="230" t="n">
        <f aca="false">+YEARFRAC(L2243,$S$1)</f>
        <v>126.366666666667</v>
      </c>
      <c r="T2243" s="230" t="n">
        <f aca="false">+YEARFRAC(M2243,$S$1)</f>
        <v>126.366666666667</v>
      </c>
      <c r="U2243" s="231" t="n">
        <f aca="false">+$I2243</f>
        <v>0</v>
      </c>
      <c r="V2243" s="232" t="str">
        <f aca="false">+PROPER(F2243)</f>
        <v/>
      </c>
    </row>
    <row r="2244" customFormat="false" ht="14.25" hidden="false" customHeight="false" outlineLevel="0" collapsed="false">
      <c r="B2244" s="244"/>
      <c r="C2244" s="245"/>
      <c r="D2244" s="245"/>
      <c r="E2244" s="246"/>
      <c r="F2244" s="246"/>
      <c r="G2244" s="225" t="e">
        <f aca="false">VLOOKUP(B2244,'NIVEL ENERO'!A:F,4,0)</f>
        <v>#N/A</v>
      </c>
      <c r="H2244" s="247"/>
      <c r="I2244" s="247"/>
      <c r="J2244" s="246"/>
      <c r="K2244" s="246"/>
      <c r="L2244" s="226"/>
      <c r="M2244" s="226"/>
      <c r="N2244" s="246"/>
      <c r="P2244" s="228"/>
      <c r="Q2244" s="245"/>
      <c r="R2244" s="186" t="str">
        <f aca="false">+PROPER(C2244&amp;" "&amp;D2244)</f>
        <v> </v>
      </c>
      <c r="S2244" s="230" t="n">
        <f aca="false">+YEARFRAC(L2244,$S$1)</f>
        <v>126.366666666667</v>
      </c>
      <c r="T2244" s="230" t="n">
        <f aca="false">+YEARFRAC(M2244,$S$1)</f>
        <v>126.366666666667</v>
      </c>
      <c r="U2244" s="231" t="n">
        <f aca="false">+$I2244</f>
        <v>0</v>
      </c>
      <c r="V2244" s="232" t="str">
        <f aca="false">+PROPER(F2244)</f>
        <v/>
      </c>
    </row>
    <row r="2245" customFormat="false" ht="14.25" hidden="false" customHeight="false" outlineLevel="0" collapsed="false">
      <c r="B2245" s="244"/>
      <c r="C2245" s="245"/>
      <c r="D2245" s="245"/>
      <c r="E2245" s="246"/>
      <c r="F2245" s="246"/>
      <c r="G2245" s="225" t="e">
        <f aca="false">VLOOKUP(B2245,'NIVEL ENERO'!A:F,4,0)</f>
        <v>#N/A</v>
      </c>
      <c r="H2245" s="247"/>
      <c r="I2245" s="247"/>
      <c r="J2245" s="246"/>
      <c r="K2245" s="246"/>
      <c r="L2245" s="226"/>
      <c r="M2245" s="226"/>
      <c r="N2245" s="246"/>
      <c r="P2245" s="228"/>
      <c r="Q2245" s="245"/>
      <c r="R2245" s="186" t="str">
        <f aca="false">+PROPER(C2245&amp;" "&amp;D2245)</f>
        <v> </v>
      </c>
      <c r="S2245" s="230" t="n">
        <f aca="false">+YEARFRAC(L2245,$S$1)</f>
        <v>126.366666666667</v>
      </c>
      <c r="T2245" s="230" t="n">
        <f aca="false">+YEARFRAC(M2245,$S$1)</f>
        <v>126.366666666667</v>
      </c>
      <c r="U2245" s="231" t="n">
        <f aca="false">+$I2245</f>
        <v>0</v>
      </c>
      <c r="V2245" s="232" t="str">
        <f aca="false">+PROPER(F2245)</f>
        <v/>
      </c>
    </row>
    <row r="2246" customFormat="false" ht="14.25" hidden="false" customHeight="false" outlineLevel="0" collapsed="false">
      <c r="B2246" s="244"/>
      <c r="C2246" s="245"/>
      <c r="D2246" s="245"/>
      <c r="E2246" s="246"/>
      <c r="F2246" s="246"/>
      <c r="G2246" s="225" t="e">
        <f aca="false">VLOOKUP(B2246,'NIVEL ENERO'!A:F,4,0)</f>
        <v>#N/A</v>
      </c>
      <c r="H2246" s="247"/>
      <c r="I2246" s="247"/>
      <c r="J2246" s="246"/>
      <c r="K2246" s="246"/>
      <c r="L2246" s="226"/>
      <c r="M2246" s="226"/>
      <c r="N2246" s="246"/>
      <c r="P2246" s="228"/>
      <c r="Q2246" s="245"/>
      <c r="R2246" s="186" t="str">
        <f aca="false">+PROPER(C2246&amp;" "&amp;D2246)</f>
        <v> </v>
      </c>
      <c r="S2246" s="230" t="n">
        <f aca="false">+YEARFRAC(L2246,$S$1)</f>
        <v>126.366666666667</v>
      </c>
      <c r="T2246" s="230" t="n">
        <f aca="false">+YEARFRAC(M2246,$S$1)</f>
        <v>126.366666666667</v>
      </c>
      <c r="U2246" s="231" t="n">
        <f aca="false">+$I2246</f>
        <v>0</v>
      </c>
      <c r="V2246" s="232" t="str">
        <f aca="false">+PROPER(F2246)</f>
        <v/>
      </c>
    </row>
    <row r="2247" customFormat="false" ht="14.25" hidden="false" customHeight="false" outlineLevel="0" collapsed="false">
      <c r="B2247" s="244"/>
      <c r="C2247" s="245"/>
      <c r="D2247" s="245"/>
      <c r="E2247" s="246"/>
      <c r="F2247" s="246"/>
      <c r="G2247" s="225" t="e">
        <f aca="false">VLOOKUP(B2247,'NIVEL ENERO'!A:F,4,0)</f>
        <v>#N/A</v>
      </c>
      <c r="H2247" s="247"/>
      <c r="I2247" s="247"/>
      <c r="J2247" s="246"/>
      <c r="K2247" s="246"/>
      <c r="L2247" s="226"/>
      <c r="M2247" s="226"/>
      <c r="N2247" s="246"/>
      <c r="P2247" s="228"/>
      <c r="Q2247" s="245"/>
      <c r="R2247" s="186" t="str">
        <f aca="false">+PROPER(C2247&amp;" "&amp;D2247)</f>
        <v> </v>
      </c>
      <c r="S2247" s="230" t="n">
        <f aca="false">+YEARFRAC(L2247,$S$1)</f>
        <v>126.366666666667</v>
      </c>
      <c r="T2247" s="230" t="n">
        <f aca="false">+YEARFRAC(M2247,$S$1)</f>
        <v>126.366666666667</v>
      </c>
      <c r="U2247" s="231" t="n">
        <f aca="false">+$I2247</f>
        <v>0</v>
      </c>
      <c r="V2247" s="232" t="str">
        <f aca="false">+PROPER(F2247)</f>
        <v/>
      </c>
    </row>
    <row r="2248" customFormat="false" ht="14.25" hidden="false" customHeight="false" outlineLevel="0" collapsed="false">
      <c r="B2248" s="244"/>
      <c r="C2248" s="245"/>
      <c r="D2248" s="245"/>
      <c r="E2248" s="246"/>
      <c r="F2248" s="246"/>
      <c r="G2248" s="225" t="e">
        <f aca="false">VLOOKUP(B2248,'NIVEL ENERO'!A:F,4,0)</f>
        <v>#N/A</v>
      </c>
      <c r="H2248" s="247"/>
      <c r="I2248" s="247"/>
      <c r="J2248" s="246"/>
      <c r="K2248" s="246"/>
      <c r="L2248" s="226"/>
      <c r="M2248" s="226"/>
      <c r="N2248" s="246"/>
      <c r="P2248" s="228"/>
      <c r="Q2248" s="245"/>
      <c r="R2248" s="186" t="str">
        <f aca="false">+PROPER(C2248&amp;" "&amp;D2248)</f>
        <v> </v>
      </c>
      <c r="S2248" s="230" t="n">
        <f aca="false">+YEARFRAC(L2248,$S$1)</f>
        <v>126.366666666667</v>
      </c>
      <c r="T2248" s="230" t="n">
        <f aca="false">+YEARFRAC(M2248,$S$1)</f>
        <v>126.366666666667</v>
      </c>
      <c r="U2248" s="231" t="n">
        <f aca="false">+$I2248</f>
        <v>0</v>
      </c>
      <c r="V2248" s="232" t="str">
        <f aca="false">+PROPER(F2248)</f>
        <v/>
      </c>
    </row>
    <row r="2249" customFormat="false" ht="14.25" hidden="false" customHeight="false" outlineLevel="0" collapsed="false">
      <c r="B2249" s="244"/>
      <c r="C2249" s="245"/>
      <c r="D2249" s="245"/>
      <c r="E2249" s="246"/>
      <c r="F2249" s="246"/>
      <c r="G2249" s="225" t="e">
        <f aca="false">VLOOKUP(B2249,'NIVEL ENERO'!A:F,4,0)</f>
        <v>#N/A</v>
      </c>
      <c r="H2249" s="247"/>
      <c r="I2249" s="247"/>
      <c r="J2249" s="246"/>
      <c r="K2249" s="246"/>
      <c r="L2249" s="226"/>
      <c r="M2249" s="226"/>
      <c r="N2249" s="246"/>
      <c r="P2249" s="228"/>
      <c r="Q2249" s="245"/>
      <c r="R2249" s="186" t="str">
        <f aca="false">+PROPER(C2249&amp;" "&amp;D2249)</f>
        <v> </v>
      </c>
      <c r="S2249" s="230" t="n">
        <f aca="false">+YEARFRAC(L2249,$S$1)</f>
        <v>126.366666666667</v>
      </c>
      <c r="T2249" s="230" t="n">
        <f aca="false">+YEARFRAC(M2249,$S$1)</f>
        <v>126.366666666667</v>
      </c>
      <c r="U2249" s="231" t="n">
        <f aca="false">+$I2249</f>
        <v>0</v>
      </c>
      <c r="V2249" s="232" t="str">
        <f aca="false">+PROPER(F2249)</f>
        <v/>
      </c>
    </row>
    <row r="2250" customFormat="false" ht="14.25" hidden="false" customHeight="false" outlineLevel="0" collapsed="false">
      <c r="B2250" s="244"/>
      <c r="C2250" s="245"/>
      <c r="D2250" s="245"/>
      <c r="E2250" s="246"/>
      <c r="F2250" s="246"/>
      <c r="G2250" s="225" t="e">
        <f aca="false">VLOOKUP(B2250,'NIVEL ENERO'!A:F,4,0)</f>
        <v>#N/A</v>
      </c>
      <c r="H2250" s="247"/>
      <c r="I2250" s="247"/>
      <c r="J2250" s="246"/>
      <c r="K2250" s="246"/>
      <c r="L2250" s="226"/>
      <c r="M2250" s="226"/>
      <c r="N2250" s="246"/>
      <c r="P2250" s="228"/>
      <c r="Q2250" s="245"/>
      <c r="R2250" s="186" t="str">
        <f aca="false">+PROPER(C2250&amp;" "&amp;D2250)</f>
        <v> </v>
      </c>
      <c r="S2250" s="230" t="n">
        <f aca="false">+YEARFRAC(L2250,$S$1)</f>
        <v>126.366666666667</v>
      </c>
      <c r="T2250" s="230" t="n">
        <f aca="false">+YEARFRAC(M2250,$S$1)</f>
        <v>126.366666666667</v>
      </c>
      <c r="U2250" s="231" t="n">
        <f aca="false">+$I2250</f>
        <v>0</v>
      </c>
      <c r="V2250" s="232" t="str">
        <f aca="false">+PROPER(F2250)</f>
        <v/>
      </c>
    </row>
    <row r="2251" customFormat="false" ht="14.25" hidden="false" customHeight="false" outlineLevel="0" collapsed="false">
      <c r="B2251" s="244"/>
      <c r="C2251" s="245"/>
      <c r="D2251" s="245"/>
      <c r="E2251" s="246"/>
      <c r="F2251" s="246"/>
      <c r="G2251" s="225" t="e">
        <f aca="false">VLOOKUP(B2251,'NIVEL ENERO'!A:F,4,0)</f>
        <v>#N/A</v>
      </c>
      <c r="H2251" s="247"/>
      <c r="I2251" s="247"/>
      <c r="J2251" s="246"/>
      <c r="K2251" s="246"/>
      <c r="L2251" s="226"/>
      <c r="M2251" s="226"/>
      <c r="N2251" s="246"/>
      <c r="P2251" s="228"/>
      <c r="Q2251" s="245"/>
      <c r="R2251" s="186" t="str">
        <f aca="false">+PROPER(C2251&amp;" "&amp;D2251)</f>
        <v> </v>
      </c>
      <c r="S2251" s="230" t="n">
        <f aca="false">+YEARFRAC(L2251,$S$1)</f>
        <v>126.366666666667</v>
      </c>
      <c r="T2251" s="230" t="n">
        <f aca="false">+YEARFRAC(M2251,$S$1)</f>
        <v>126.366666666667</v>
      </c>
      <c r="U2251" s="231" t="n">
        <f aca="false">+$I2251</f>
        <v>0</v>
      </c>
      <c r="V2251" s="232" t="str">
        <f aca="false">+PROPER(F2251)</f>
        <v/>
      </c>
    </row>
    <row r="2252" customFormat="false" ht="14.25" hidden="false" customHeight="false" outlineLevel="0" collapsed="false">
      <c r="B2252" s="244"/>
      <c r="C2252" s="245"/>
      <c r="D2252" s="245"/>
      <c r="E2252" s="246"/>
      <c r="F2252" s="246"/>
      <c r="G2252" s="225" t="e">
        <f aca="false">VLOOKUP(B2252,'NIVEL ENERO'!A:F,4,0)</f>
        <v>#N/A</v>
      </c>
      <c r="H2252" s="247"/>
      <c r="I2252" s="247"/>
      <c r="J2252" s="246"/>
      <c r="K2252" s="246"/>
      <c r="L2252" s="226"/>
      <c r="M2252" s="226"/>
      <c r="N2252" s="246"/>
      <c r="P2252" s="228"/>
      <c r="Q2252" s="245"/>
      <c r="R2252" s="186" t="str">
        <f aca="false">+PROPER(C2252&amp;" "&amp;D2252)</f>
        <v> </v>
      </c>
      <c r="S2252" s="230" t="n">
        <f aca="false">+YEARFRAC(L2252,$S$1)</f>
        <v>126.366666666667</v>
      </c>
      <c r="T2252" s="230" t="n">
        <f aca="false">+YEARFRAC(M2252,$S$1)</f>
        <v>126.366666666667</v>
      </c>
      <c r="U2252" s="231" t="n">
        <f aca="false">+$I2252</f>
        <v>0</v>
      </c>
      <c r="V2252" s="232" t="str">
        <f aca="false">+PROPER(F2252)</f>
        <v/>
      </c>
    </row>
    <row r="2253" customFormat="false" ht="14.25" hidden="false" customHeight="false" outlineLevel="0" collapsed="false">
      <c r="B2253" s="244"/>
      <c r="C2253" s="245"/>
      <c r="D2253" s="245"/>
      <c r="E2253" s="246"/>
      <c r="F2253" s="246"/>
      <c r="G2253" s="225" t="e">
        <f aca="false">VLOOKUP(B2253,'NIVEL ENERO'!A:F,4,0)</f>
        <v>#N/A</v>
      </c>
      <c r="H2253" s="247"/>
      <c r="I2253" s="247"/>
      <c r="J2253" s="246"/>
      <c r="K2253" s="246"/>
      <c r="L2253" s="226"/>
      <c r="M2253" s="226"/>
      <c r="N2253" s="246"/>
      <c r="P2253" s="228"/>
      <c r="Q2253" s="245"/>
      <c r="R2253" s="186" t="str">
        <f aca="false">+PROPER(C2253&amp;" "&amp;D2253)</f>
        <v> </v>
      </c>
      <c r="S2253" s="230" t="n">
        <f aca="false">+YEARFRAC(L2253,$S$1)</f>
        <v>126.366666666667</v>
      </c>
      <c r="T2253" s="230" t="n">
        <f aca="false">+YEARFRAC(M2253,$S$1)</f>
        <v>126.366666666667</v>
      </c>
      <c r="U2253" s="231" t="n">
        <f aca="false">+$I2253</f>
        <v>0</v>
      </c>
      <c r="V2253" s="232" t="str">
        <f aca="false">+PROPER(F2253)</f>
        <v/>
      </c>
    </row>
    <row r="2254" customFormat="false" ht="14.25" hidden="false" customHeight="false" outlineLevel="0" collapsed="false">
      <c r="B2254" s="244"/>
      <c r="C2254" s="245"/>
      <c r="D2254" s="245"/>
      <c r="E2254" s="246"/>
      <c r="F2254" s="246"/>
      <c r="G2254" s="225" t="e">
        <f aca="false">VLOOKUP(B2254,'NIVEL ENERO'!A:F,4,0)</f>
        <v>#N/A</v>
      </c>
      <c r="H2254" s="247"/>
      <c r="I2254" s="247"/>
      <c r="J2254" s="246"/>
      <c r="K2254" s="246"/>
      <c r="L2254" s="226"/>
      <c r="M2254" s="226"/>
      <c r="N2254" s="246"/>
      <c r="P2254" s="228"/>
      <c r="Q2254" s="245"/>
      <c r="R2254" s="186" t="str">
        <f aca="false">+PROPER(C2254&amp;" "&amp;D2254)</f>
        <v> </v>
      </c>
      <c r="S2254" s="230" t="n">
        <f aca="false">+YEARFRAC(L2254,$S$1)</f>
        <v>126.366666666667</v>
      </c>
      <c r="T2254" s="230" t="n">
        <f aca="false">+YEARFRAC(M2254,$S$1)</f>
        <v>126.366666666667</v>
      </c>
      <c r="U2254" s="231" t="n">
        <f aca="false">+$I2254</f>
        <v>0</v>
      </c>
      <c r="V2254" s="232" t="str">
        <f aca="false">+PROPER(F2254)</f>
        <v/>
      </c>
    </row>
    <row r="2255" customFormat="false" ht="14.25" hidden="false" customHeight="false" outlineLevel="0" collapsed="false">
      <c r="B2255" s="244"/>
      <c r="C2255" s="245"/>
      <c r="D2255" s="245"/>
      <c r="E2255" s="246"/>
      <c r="F2255" s="246"/>
      <c r="G2255" s="225" t="e">
        <f aca="false">VLOOKUP(B2255,'NIVEL ENERO'!A:F,4,0)</f>
        <v>#N/A</v>
      </c>
      <c r="H2255" s="247"/>
      <c r="I2255" s="247"/>
      <c r="J2255" s="246"/>
      <c r="K2255" s="246"/>
      <c r="L2255" s="226"/>
      <c r="M2255" s="226"/>
      <c r="N2255" s="246"/>
      <c r="P2255" s="228"/>
      <c r="Q2255" s="245"/>
      <c r="R2255" s="186" t="str">
        <f aca="false">+PROPER(C2255&amp;" "&amp;D2255)</f>
        <v> </v>
      </c>
      <c r="S2255" s="230" t="n">
        <f aca="false">+YEARFRAC(L2255,$S$1)</f>
        <v>126.366666666667</v>
      </c>
      <c r="T2255" s="230" t="n">
        <f aca="false">+YEARFRAC(M2255,$S$1)</f>
        <v>126.366666666667</v>
      </c>
      <c r="U2255" s="231" t="n">
        <f aca="false">+$I2255</f>
        <v>0</v>
      </c>
      <c r="V2255" s="232" t="str">
        <f aca="false">+PROPER(F2255)</f>
        <v/>
      </c>
    </row>
    <row r="2256" customFormat="false" ht="14.25" hidden="false" customHeight="false" outlineLevel="0" collapsed="false">
      <c r="B2256" s="244"/>
      <c r="C2256" s="245"/>
      <c r="D2256" s="245"/>
      <c r="E2256" s="246"/>
      <c r="F2256" s="246"/>
      <c r="G2256" s="225" t="e">
        <f aca="false">VLOOKUP(B2256,'NIVEL ENERO'!A:F,4,0)</f>
        <v>#N/A</v>
      </c>
      <c r="H2256" s="247"/>
      <c r="I2256" s="247"/>
      <c r="J2256" s="246"/>
      <c r="K2256" s="246"/>
      <c r="L2256" s="226"/>
      <c r="M2256" s="226"/>
      <c r="N2256" s="246"/>
      <c r="P2256" s="228"/>
      <c r="Q2256" s="245"/>
      <c r="R2256" s="186" t="str">
        <f aca="false">+PROPER(C2256&amp;" "&amp;D2256)</f>
        <v> </v>
      </c>
      <c r="S2256" s="230" t="n">
        <f aca="false">+YEARFRAC(L2256,$S$1)</f>
        <v>126.366666666667</v>
      </c>
      <c r="T2256" s="230" t="n">
        <f aca="false">+YEARFRAC(M2256,$S$1)</f>
        <v>126.366666666667</v>
      </c>
      <c r="U2256" s="231" t="n">
        <f aca="false">+$I2256</f>
        <v>0</v>
      </c>
      <c r="V2256" s="232" t="str">
        <f aca="false">+PROPER(F2256)</f>
        <v/>
      </c>
    </row>
    <row r="2257" customFormat="false" ht="14.25" hidden="false" customHeight="false" outlineLevel="0" collapsed="false">
      <c r="B2257" s="244"/>
      <c r="C2257" s="245"/>
      <c r="D2257" s="245"/>
      <c r="E2257" s="246"/>
      <c r="F2257" s="246"/>
      <c r="G2257" s="225" t="e">
        <f aca="false">VLOOKUP(B2257,'NIVEL ENERO'!A:F,4,0)</f>
        <v>#N/A</v>
      </c>
      <c r="H2257" s="247"/>
      <c r="I2257" s="247"/>
      <c r="J2257" s="246"/>
      <c r="K2257" s="246"/>
      <c r="L2257" s="226"/>
      <c r="M2257" s="226"/>
      <c r="N2257" s="246"/>
      <c r="P2257" s="228"/>
      <c r="Q2257" s="245"/>
      <c r="R2257" s="186" t="str">
        <f aca="false">+PROPER(C2257&amp;" "&amp;D2257)</f>
        <v> </v>
      </c>
      <c r="S2257" s="230" t="n">
        <f aca="false">+YEARFRAC(L2257,$S$1)</f>
        <v>126.366666666667</v>
      </c>
      <c r="T2257" s="230" t="n">
        <f aca="false">+YEARFRAC(M2257,$S$1)</f>
        <v>126.366666666667</v>
      </c>
      <c r="U2257" s="231" t="n">
        <f aca="false">+$I2257</f>
        <v>0</v>
      </c>
      <c r="V2257" s="232" t="str">
        <f aca="false">+PROPER(F2257)</f>
        <v/>
      </c>
    </row>
    <row r="2258" customFormat="false" ht="14.25" hidden="false" customHeight="false" outlineLevel="0" collapsed="false">
      <c r="B2258" s="244"/>
      <c r="C2258" s="245"/>
      <c r="D2258" s="245"/>
      <c r="E2258" s="246"/>
      <c r="F2258" s="246"/>
      <c r="G2258" s="225" t="e">
        <f aca="false">VLOOKUP(B2258,'NIVEL ENERO'!A:F,4,0)</f>
        <v>#N/A</v>
      </c>
      <c r="H2258" s="247"/>
      <c r="I2258" s="247"/>
      <c r="J2258" s="246"/>
      <c r="K2258" s="246"/>
      <c r="L2258" s="226"/>
      <c r="M2258" s="226"/>
      <c r="N2258" s="246"/>
      <c r="P2258" s="228"/>
      <c r="Q2258" s="245"/>
      <c r="R2258" s="186" t="str">
        <f aca="false">+PROPER(C2258&amp;" "&amp;D2258)</f>
        <v> </v>
      </c>
      <c r="S2258" s="230" t="n">
        <f aca="false">+YEARFRAC(L2258,$S$1)</f>
        <v>126.366666666667</v>
      </c>
      <c r="T2258" s="230" t="n">
        <f aca="false">+YEARFRAC(M2258,$S$1)</f>
        <v>126.366666666667</v>
      </c>
      <c r="U2258" s="231" t="n">
        <f aca="false">+$I2258</f>
        <v>0</v>
      </c>
      <c r="V2258" s="232" t="str">
        <f aca="false">+PROPER(F2258)</f>
        <v/>
      </c>
    </row>
    <row r="2259" customFormat="false" ht="14.25" hidden="false" customHeight="false" outlineLevel="0" collapsed="false">
      <c r="B2259" s="244"/>
      <c r="C2259" s="245"/>
      <c r="D2259" s="245"/>
      <c r="E2259" s="246"/>
      <c r="F2259" s="246"/>
      <c r="G2259" s="225" t="e">
        <f aca="false">VLOOKUP(B2259,'NIVEL ENERO'!A:F,4,0)</f>
        <v>#N/A</v>
      </c>
      <c r="H2259" s="247"/>
      <c r="I2259" s="247"/>
      <c r="J2259" s="246"/>
      <c r="K2259" s="246"/>
      <c r="L2259" s="226"/>
      <c r="M2259" s="226"/>
      <c r="N2259" s="246"/>
      <c r="P2259" s="228"/>
      <c r="Q2259" s="245"/>
      <c r="R2259" s="186" t="str">
        <f aca="false">+PROPER(C2259&amp;" "&amp;D2259)</f>
        <v> </v>
      </c>
      <c r="S2259" s="230" t="n">
        <f aca="false">+YEARFRAC(L2259,$S$1)</f>
        <v>126.366666666667</v>
      </c>
      <c r="T2259" s="230" t="n">
        <f aca="false">+YEARFRAC(M2259,$S$1)</f>
        <v>126.366666666667</v>
      </c>
      <c r="U2259" s="231" t="n">
        <f aca="false">+$I2259</f>
        <v>0</v>
      </c>
      <c r="V2259" s="232" t="str">
        <f aca="false">+PROPER(F2259)</f>
        <v/>
      </c>
    </row>
    <row r="2260" customFormat="false" ht="14.25" hidden="false" customHeight="false" outlineLevel="0" collapsed="false">
      <c r="B2260" s="244"/>
      <c r="C2260" s="245"/>
      <c r="D2260" s="245"/>
      <c r="E2260" s="246"/>
      <c r="F2260" s="246"/>
      <c r="G2260" s="225" t="e">
        <f aca="false">VLOOKUP(B2260,'NIVEL ENERO'!A:F,4,0)</f>
        <v>#N/A</v>
      </c>
      <c r="H2260" s="247"/>
      <c r="I2260" s="247"/>
      <c r="J2260" s="246"/>
      <c r="K2260" s="246"/>
      <c r="L2260" s="226"/>
      <c r="M2260" s="226"/>
      <c r="N2260" s="246"/>
      <c r="P2260" s="228"/>
      <c r="Q2260" s="245"/>
      <c r="R2260" s="186" t="str">
        <f aca="false">+PROPER(C2260&amp;" "&amp;D2260)</f>
        <v> </v>
      </c>
      <c r="S2260" s="230" t="n">
        <f aca="false">+YEARFRAC(L2260,$S$1)</f>
        <v>126.366666666667</v>
      </c>
      <c r="T2260" s="230" t="n">
        <f aca="false">+YEARFRAC(M2260,$S$1)</f>
        <v>126.366666666667</v>
      </c>
      <c r="U2260" s="231" t="n">
        <f aca="false">+$I2260</f>
        <v>0</v>
      </c>
      <c r="V2260" s="232" t="str">
        <f aca="false">+PROPER(F2260)</f>
        <v/>
      </c>
    </row>
    <row r="2261" customFormat="false" ht="14.25" hidden="false" customHeight="false" outlineLevel="0" collapsed="false">
      <c r="B2261" s="244"/>
      <c r="C2261" s="245"/>
      <c r="D2261" s="245"/>
      <c r="E2261" s="246"/>
      <c r="F2261" s="246"/>
      <c r="G2261" s="225" t="e">
        <f aca="false">VLOOKUP(B2261,'NIVEL ENERO'!A:F,4,0)</f>
        <v>#N/A</v>
      </c>
      <c r="H2261" s="247"/>
      <c r="I2261" s="247"/>
      <c r="J2261" s="246"/>
      <c r="K2261" s="246"/>
      <c r="L2261" s="226"/>
      <c r="M2261" s="226"/>
      <c r="N2261" s="246"/>
      <c r="P2261" s="228"/>
      <c r="Q2261" s="245"/>
      <c r="R2261" s="186" t="str">
        <f aca="false">+PROPER(C2261&amp;" "&amp;D2261)</f>
        <v> </v>
      </c>
      <c r="S2261" s="230" t="n">
        <f aca="false">+YEARFRAC(L2261,$S$1)</f>
        <v>126.366666666667</v>
      </c>
      <c r="T2261" s="230" t="n">
        <f aca="false">+YEARFRAC(M2261,$S$1)</f>
        <v>126.366666666667</v>
      </c>
      <c r="U2261" s="231" t="n">
        <f aca="false">+$I2261</f>
        <v>0</v>
      </c>
      <c r="V2261" s="232" t="str">
        <f aca="false">+PROPER(F2261)</f>
        <v/>
      </c>
    </row>
    <row r="2262" customFormat="false" ht="14.25" hidden="false" customHeight="false" outlineLevel="0" collapsed="false">
      <c r="B2262" s="244"/>
      <c r="C2262" s="245"/>
      <c r="D2262" s="245"/>
      <c r="E2262" s="246"/>
      <c r="F2262" s="246"/>
      <c r="G2262" s="225" t="e">
        <f aca="false">VLOOKUP(B2262,'NIVEL ENERO'!A:F,4,0)</f>
        <v>#N/A</v>
      </c>
      <c r="H2262" s="247"/>
      <c r="I2262" s="247"/>
      <c r="J2262" s="246"/>
      <c r="K2262" s="246"/>
      <c r="L2262" s="226"/>
      <c r="M2262" s="226"/>
      <c r="N2262" s="246"/>
      <c r="P2262" s="228"/>
      <c r="Q2262" s="245"/>
      <c r="R2262" s="186" t="str">
        <f aca="false">+PROPER(C2262&amp;" "&amp;D2262)</f>
        <v> </v>
      </c>
      <c r="S2262" s="230" t="n">
        <f aca="false">+YEARFRAC(L2262,$S$1)</f>
        <v>126.366666666667</v>
      </c>
      <c r="T2262" s="230" t="n">
        <f aca="false">+YEARFRAC(M2262,$S$1)</f>
        <v>126.366666666667</v>
      </c>
      <c r="U2262" s="231" t="n">
        <f aca="false">+$I2262</f>
        <v>0</v>
      </c>
      <c r="V2262" s="232" t="str">
        <f aca="false">+PROPER(F2262)</f>
        <v/>
      </c>
    </row>
    <row r="2263" customFormat="false" ht="14.25" hidden="false" customHeight="false" outlineLevel="0" collapsed="false">
      <c r="B2263" s="244"/>
      <c r="C2263" s="245"/>
      <c r="D2263" s="245"/>
      <c r="E2263" s="246"/>
      <c r="F2263" s="246"/>
      <c r="G2263" s="225" t="e">
        <f aca="false">VLOOKUP(B2263,'NIVEL ENERO'!A:F,4,0)</f>
        <v>#N/A</v>
      </c>
      <c r="H2263" s="247"/>
      <c r="I2263" s="247"/>
      <c r="J2263" s="246"/>
      <c r="K2263" s="246"/>
      <c r="L2263" s="226"/>
      <c r="M2263" s="226"/>
      <c r="N2263" s="246"/>
      <c r="P2263" s="228"/>
      <c r="Q2263" s="245"/>
      <c r="R2263" s="186" t="str">
        <f aca="false">+PROPER(C2263&amp;" "&amp;D2263)</f>
        <v> </v>
      </c>
      <c r="S2263" s="230" t="n">
        <f aca="false">+YEARFRAC(L2263,$S$1)</f>
        <v>126.366666666667</v>
      </c>
      <c r="T2263" s="230" t="n">
        <f aca="false">+YEARFRAC(M2263,$S$1)</f>
        <v>126.366666666667</v>
      </c>
      <c r="U2263" s="231" t="n">
        <f aca="false">+$I2263</f>
        <v>0</v>
      </c>
      <c r="V2263" s="232" t="str">
        <f aca="false">+PROPER(F2263)</f>
        <v/>
      </c>
    </row>
    <row r="2264" customFormat="false" ht="14.25" hidden="false" customHeight="false" outlineLevel="0" collapsed="false">
      <c r="B2264" s="244"/>
      <c r="C2264" s="245"/>
      <c r="D2264" s="245"/>
      <c r="E2264" s="246"/>
      <c r="F2264" s="246"/>
      <c r="G2264" s="225" t="e">
        <f aca="false">VLOOKUP(B2264,'NIVEL ENERO'!A:F,4,0)</f>
        <v>#N/A</v>
      </c>
      <c r="H2264" s="247"/>
      <c r="I2264" s="247"/>
      <c r="J2264" s="246"/>
      <c r="K2264" s="246"/>
      <c r="L2264" s="226"/>
      <c r="M2264" s="226"/>
      <c r="N2264" s="246"/>
      <c r="P2264" s="228"/>
      <c r="Q2264" s="245"/>
      <c r="R2264" s="186" t="str">
        <f aca="false">+PROPER(C2264&amp;" "&amp;D2264)</f>
        <v> </v>
      </c>
      <c r="S2264" s="230" t="n">
        <f aca="false">+YEARFRAC(L2264,$S$1)</f>
        <v>126.366666666667</v>
      </c>
      <c r="T2264" s="230" t="n">
        <f aca="false">+YEARFRAC(M2264,$S$1)</f>
        <v>126.366666666667</v>
      </c>
      <c r="U2264" s="231" t="n">
        <f aca="false">+$I2264</f>
        <v>0</v>
      </c>
      <c r="V2264" s="232" t="str">
        <f aca="false">+PROPER(F2264)</f>
        <v/>
      </c>
    </row>
    <row r="2265" customFormat="false" ht="14.25" hidden="false" customHeight="false" outlineLevel="0" collapsed="false">
      <c r="B2265" s="244"/>
      <c r="C2265" s="245"/>
      <c r="D2265" s="245"/>
      <c r="E2265" s="246"/>
      <c r="F2265" s="246"/>
      <c r="G2265" s="225" t="e">
        <f aca="false">VLOOKUP(B2265,'NIVEL ENERO'!A:F,4,0)</f>
        <v>#N/A</v>
      </c>
      <c r="H2265" s="247"/>
      <c r="I2265" s="247"/>
      <c r="J2265" s="246"/>
      <c r="K2265" s="246"/>
      <c r="L2265" s="226"/>
      <c r="M2265" s="226"/>
      <c r="N2265" s="246"/>
      <c r="P2265" s="228"/>
      <c r="Q2265" s="245"/>
      <c r="R2265" s="186" t="str">
        <f aca="false">+PROPER(C2265&amp;" "&amp;D2265)</f>
        <v> </v>
      </c>
      <c r="S2265" s="230" t="n">
        <f aca="false">+YEARFRAC(L2265,$S$1)</f>
        <v>126.366666666667</v>
      </c>
      <c r="T2265" s="230" t="n">
        <f aca="false">+YEARFRAC(M2265,$S$1)</f>
        <v>126.366666666667</v>
      </c>
      <c r="U2265" s="231" t="n">
        <f aca="false">+$I2265</f>
        <v>0</v>
      </c>
      <c r="V2265" s="232" t="str">
        <f aca="false">+PROPER(F2265)</f>
        <v/>
      </c>
    </row>
    <row r="2266" customFormat="false" ht="14.25" hidden="false" customHeight="false" outlineLevel="0" collapsed="false">
      <c r="B2266" s="244"/>
      <c r="C2266" s="245"/>
      <c r="D2266" s="245"/>
      <c r="E2266" s="246"/>
      <c r="F2266" s="246"/>
      <c r="G2266" s="225" t="e">
        <f aca="false">VLOOKUP(B2266,'NIVEL ENERO'!A:F,4,0)</f>
        <v>#N/A</v>
      </c>
      <c r="H2266" s="247"/>
      <c r="I2266" s="247"/>
      <c r="J2266" s="246"/>
      <c r="K2266" s="246"/>
      <c r="L2266" s="226"/>
      <c r="M2266" s="226"/>
      <c r="N2266" s="246"/>
      <c r="P2266" s="228"/>
      <c r="Q2266" s="245"/>
      <c r="R2266" s="186" t="str">
        <f aca="false">+PROPER(C2266&amp;" "&amp;D2266)</f>
        <v> </v>
      </c>
      <c r="S2266" s="230" t="n">
        <f aca="false">+YEARFRAC(L2266,$S$1)</f>
        <v>126.366666666667</v>
      </c>
      <c r="T2266" s="230" t="n">
        <f aca="false">+YEARFRAC(M2266,$S$1)</f>
        <v>126.366666666667</v>
      </c>
      <c r="U2266" s="231" t="n">
        <f aca="false">+$I2266</f>
        <v>0</v>
      </c>
      <c r="V2266" s="232" t="str">
        <f aca="false">+PROPER(F2266)</f>
        <v/>
      </c>
    </row>
    <row r="2267" customFormat="false" ht="14.25" hidden="false" customHeight="false" outlineLevel="0" collapsed="false">
      <c r="B2267" s="244"/>
      <c r="C2267" s="245"/>
      <c r="D2267" s="245"/>
      <c r="E2267" s="246"/>
      <c r="F2267" s="246"/>
      <c r="G2267" s="225" t="e">
        <f aca="false">VLOOKUP(B2267,'NIVEL ENERO'!A:F,4,0)</f>
        <v>#N/A</v>
      </c>
      <c r="H2267" s="247"/>
      <c r="I2267" s="247"/>
      <c r="J2267" s="246"/>
      <c r="K2267" s="246"/>
      <c r="L2267" s="226"/>
      <c r="M2267" s="226"/>
      <c r="N2267" s="246"/>
      <c r="P2267" s="228"/>
      <c r="Q2267" s="245"/>
      <c r="R2267" s="186" t="str">
        <f aca="false">+PROPER(C2267&amp;" "&amp;D2267)</f>
        <v> </v>
      </c>
      <c r="S2267" s="230" t="n">
        <f aca="false">+YEARFRAC(L2267,$S$1)</f>
        <v>126.366666666667</v>
      </c>
      <c r="T2267" s="230" t="n">
        <f aca="false">+YEARFRAC(M2267,$S$1)</f>
        <v>126.366666666667</v>
      </c>
      <c r="U2267" s="231" t="n">
        <f aca="false">+$I2267</f>
        <v>0</v>
      </c>
      <c r="V2267" s="232" t="str">
        <f aca="false">+PROPER(F2267)</f>
        <v/>
      </c>
    </row>
    <row r="2268" customFormat="false" ht="14.25" hidden="false" customHeight="false" outlineLevel="0" collapsed="false">
      <c r="B2268" s="244"/>
      <c r="C2268" s="245"/>
      <c r="D2268" s="245"/>
      <c r="E2268" s="246"/>
      <c r="F2268" s="246"/>
      <c r="G2268" s="225" t="e">
        <f aca="false">VLOOKUP(B2268,'NIVEL ENERO'!A:F,4,0)</f>
        <v>#N/A</v>
      </c>
      <c r="H2268" s="247"/>
      <c r="I2268" s="247"/>
      <c r="J2268" s="246"/>
      <c r="K2268" s="246"/>
      <c r="L2268" s="226"/>
      <c r="M2268" s="226"/>
      <c r="N2268" s="246"/>
      <c r="P2268" s="228"/>
      <c r="Q2268" s="245"/>
      <c r="R2268" s="186" t="str">
        <f aca="false">+PROPER(C2268&amp;" "&amp;D2268)</f>
        <v> </v>
      </c>
      <c r="S2268" s="230" t="n">
        <f aca="false">+YEARFRAC(L2268,$S$1)</f>
        <v>126.366666666667</v>
      </c>
      <c r="T2268" s="230" t="n">
        <f aca="false">+YEARFRAC(M2268,$S$1)</f>
        <v>126.366666666667</v>
      </c>
      <c r="U2268" s="231" t="n">
        <f aca="false">+$I2268</f>
        <v>0</v>
      </c>
      <c r="V2268" s="232" t="str">
        <f aca="false">+PROPER(F2268)</f>
        <v/>
      </c>
    </row>
    <row r="2269" customFormat="false" ht="14.25" hidden="false" customHeight="false" outlineLevel="0" collapsed="false">
      <c r="B2269" s="244"/>
      <c r="C2269" s="245"/>
      <c r="D2269" s="245"/>
      <c r="E2269" s="246"/>
      <c r="F2269" s="246"/>
      <c r="G2269" s="225" t="e">
        <f aca="false">VLOOKUP(B2269,'NIVEL ENERO'!A:F,4,0)</f>
        <v>#N/A</v>
      </c>
      <c r="H2269" s="247"/>
      <c r="I2269" s="247"/>
      <c r="J2269" s="246"/>
      <c r="K2269" s="246"/>
      <c r="L2269" s="226"/>
      <c r="M2269" s="226"/>
      <c r="N2269" s="246"/>
      <c r="P2269" s="228"/>
      <c r="Q2269" s="245"/>
      <c r="R2269" s="186" t="str">
        <f aca="false">+PROPER(C2269&amp;" "&amp;D2269)</f>
        <v> </v>
      </c>
      <c r="S2269" s="230" t="n">
        <f aca="false">+YEARFRAC(L2269,$S$1)</f>
        <v>126.366666666667</v>
      </c>
      <c r="T2269" s="230" t="n">
        <f aca="false">+YEARFRAC(M2269,$S$1)</f>
        <v>126.366666666667</v>
      </c>
      <c r="U2269" s="231" t="n">
        <f aca="false">+$I2269</f>
        <v>0</v>
      </c>
      <c r="V2269" s="232" t="str">
        <f aca="false">+PROPER(F2269)</f>
        <v/>
      </c>
    </row>
    <row r="2270" customFormat="false" ht="14.25" hidden="false" customHeight="false" outlineLevel="0" collapsed="false">
      <c r="B2270" s="244"/>
      <c r="C2270" s="245"/>
      <c r="D2270" s="245"/>
      <c r="E2270" s="246"/>
      <c r="F2270" s="246"/>
      <c r="G2270" s="225" t="e">
        <f aca="false">VLOOKUP(B2270,'NIVEL ENERO'!A:F,4,0)</f>
        <v>#N/A</v>
      </c>
      <c r="H2270" s="247"/>
      <c r="I2270" s="247"/>
      <c r="J2270" s="246"/>
      <c r="K2270" s="246"/>
      <c r="L2270" s="226"/>
      <c r="M2270" s="226"/>
      <c r="N2270" s="246"/>
      <c r="P2270" s="228"/>
      <c r="Q2270" s="245"/>
      <c r="R2270" s="186" t="str">
        <f aca="false">+PROPER(C2270&amp;" "&amp;D2270)</f>
        <v> </v>
      </c>
      <c r="S2270" s="230" t="n">
        <f aca="false">+YEARFRAC(L2270,$S$1)</f>
        <v>126.366666666667</v>
      </c>
      <c r="T2270" s="230" t="n">
        <f aca="false">+YEARFRAC(M2270,$S$1)</f>
        <v>126.366666666667</v>
      </c>
      <c r="U2270" s="231" t="n">
        <f aca="false">+$I2270</f>
        <v>0</v>
      </c>
      <c r="V2270" s="232" t="str">
        <f aca="false">+PROPER(F2270)</f>
        <v/>
      </c>
    </row>
    <row r="2271" customFormat="false" ht="14.25" hidden="false" customHeight="false" outlineLevel="0" collapsed="false">
      <c r="B2271" s="244"/>
      <c r="C2271" s="245"/>
      <c r="D2271" s="245"/>
      <c r="E2271" s="246"/>
      <c r="F2271" s="246"/>
      <c r="G2271" s="225" t="e">
        <f aca="false">VLOOKUP(B2271,'NIVEL ENERO'!A:F,4,0)</f>
        <v>#N/A</v>
      </c>
      <c r="H2271" s="247"/>
      <c r="I2271" s="247"/>
      <c r="J2271" s="246"/>
      <c r="K2271" s="246"/>
      <c r="L2271" s="226"/>
      <c r="M2271" s="226"/>
      <c r="N2271" s="246"/>
      <c r="P2271" s="228"/>
      <c r="Q2271" s="245"/>
      <c r="R2271" s="186" t="str">
        <f aca="false">+PROPER(C2271&amp;" "&amp;D2271)</f>
        <v> </v>
      </c>
      <c r="S2271" s="230" t="n">
        <f aca="false">+YEARFRAC(L2271,$S$1)</f>
        <v>126.366666666667</v>
      </c>
      <c r="T2271" s="230" t="n">
        <f aca="false">+YEARFRAC(M2271,$S$1)</f>
        <v>126.366666666667</v>
      </c>
      <c r="U2271" s="231" t="n">
        <f aca="false">+$I2271</f>
        <v>0</v>
      </c>
      <c r="V2271" s="232" t="str">
        <f aca="false">+PROPER(F2271)</f>
        <v/>
      </c>
    </row>
    <row r="2272" customFormat="false" ht="14.25" hidden="false" customHeight="false" outlineLevel="0" collapsed="false">
      <c r="B2272" s="244"/>
      <c r="C2272" s="245"/>
      <c r="D2272" s="245"/>
      <c r="E2272" s="246"/>
      <c r="F2272" s="246"/>
      <c r="G2272" s="225" t="e">
        <f aca="false">VLOOKUP(B2272,'NIVEL ENERO'!A:F,4,0)</f>
        <v>#N/A</v>
      </c>
      <c r="H2272" s="247"/>
      <c r="I2272" s="247"/>
      <c r="J2272" s="246"/>
      <c r="K2272" s="246"/>
      <c r="L2272" s="226"/>
      <c r="M2272" s="226"/>
      <c r="N2272" s="246"/>
      <c r="P2272" s="228"/>
      <c r="Q2272" s="245"/>
      <c r="R2272" s="186" t="str">
        <f aca="false">+PROPER(C2272&amp;" "&amp;D2272)</f>
        <v> </v>
      </c>
      <c r="S2272" s="230" t="n">
        <f aca="false">+YEARFRAC(L2272,$S$1)</f>
        <v>126.366666666667</v>
      </c>
      <c r="T2272" s="230" t="n">
        <f aca="false">+YEARFRAC(M2272,$S$1)</f>
        <v>126.366666666667</v>
      </c>
      <c r="U2272" s="231" t="n">
        <f aca="false">+$I2272</f>
        <v>0</v>
      </c>
      <c r="V2272" s="232" t="str">
        <f aca="false">+PROPER(F2272)</f>
        <v/>
      </c>
    </row>
    <row r="2273" customFormat="false" ht="14.25" hidden="false" customHeight="false" outlineLevel="0" collapsed="false">
      <c r="B2273" s="244"/>
      <c r="C2273" s="245"/>
      <c r="D2273" s="245"/>
      <c r="E2273" s="246"/>
      <c r="F2273" s="246"/>
      <c r="G2273" s="225" t="e">
        <f aca="false">VLOOKUP(B2273,'NIVEL ENERO'!A:F,4,0)</f>
        <v>#N/A</v>
      </c>
      <c r="H2273" s="247"/>
      <c r="I2273" s="247"/>
      <c r="J2273" s="246"/>
      <c r="K2273" s="246"/>
      <c r="L2273" s="226"/>
      <c r="M2273" s="226"/>
      <c r="N2273" s="246"/>
      <c r="P2273" s="228"/>
      <c r="Q2273" s="245"/>
      <c r="R2273" s="186" t="str">
        <f aca="false">+PROPER(C2273&amp;" "&amp;D2273)</f>
        <v> </v>
      </c>
      <c r="S2273" s="230" t="n">
        <f aca="false">+YEARFRAC(L2273,$S$1)</f>
        <v>126.366666666667</v>
      </c>
      <c r="T2273" s="230" t="n">
        <f aca="false">+YEARFRAC(M2273,$S$1)</f>
        <v>126.366666666667</v>
      </c>
      <c r="U2273" s="231" t="n">
        <f aca="false">+$I2273</f>
        <v>0</v>
      </c>
      <c r="V2273" s="232" t="str">
        <f aca="false">+PROPER(F2273)</f>
        <v/>
      </c>
    </row>
    <row r="2274" customFormat="false" ht="14.25" hidden="false" customHeight="false" outlineLevel="0" collapsed="false">
      <c r="B2274" s="244"/>
      <c r="C2274" s="245"/>
      <c r="D2274" s="245"/>
      <c r="E2274" s="246"/>
      <c r="F2274" s="246"/>
      <c r="G2274" s="225" t="e">
        <f aca="false">VLOOKUP(B2274,'NIVEL ENERO'!A:F,4,0)</f>
        <v>#N/A</v>
      </c>
      <c r="H2274" s="247"/>
      <c r="I2274" s="247"/>
      <c r="J2274" s="246"/>
      <c r="K2274" s="246"/>
      <c r="L2274" s="226"/>
      <c r="M2274" s="226"/>
      <c r="N2274" s="246"/>
      <c r="P2274" s="228"/>
      <c r="Q2274" s="245"/>
      <c r="R2274" s="186" t="str">
        <f aca="false">+PROPER(C2274&amp;" "&amp;D2274)</f>
        <v> </v>
      </c>
      <c r="S2274" s="230" t="n">
        <f aca="false">+YEARFRAC(L2274,$S$1)</f>
        <v>126.366666666667</v>
      </c>
      <c r="T2274" s="230" t="n">
        <f aca="false">+YEARFRAC(M2274,$S$1)</f>
        <v>126.366666666667</v>
      </c>
      <c r="U2274" s="231" t="n">
        <f aca="false">+$I2274</f>
        <v>0</v>
      </c>
      <c r="V2274" s="232" t="str">
        <f aca="false">+PROPER(F2274)</f>
        <v/>
      </c>
    </row>
    <row r="2275" customFormat="false" ht="14.25" hidden="false" customHeight="false" outlineLevel="0" collapsed="false">
      <c r="B2275" s="244"/>
      <c r="C2275" s="245"/>
      <c r="D2275" s="245"/>
      <c r="E2275" s="246"/>
      <c r="F2275" s="246"/>
      <c r="G2275" s="225" t="e">
        <f aca="false">VLOOKUP(B2275,'NIVEL ENERO'!A:F,4,0)</f>
        <v>#N/A</v>
      </c>
      <c r="H2275" s="247"/>
      <c r="I2275" s="247"/>
      <c r="J2275" s="246"/>
      <c r="K2275" s="246"/>
      <c r="L2275" s="226"/>
      <c r="M2275" s="226"/>
      <c r="N2275" s="246"/>
      <c r="P2275" s="228"/>
      <c r="Q2275" s="245"/>
      <c r="R2275" s="186" t="str">
        <f aca="false">+PROPER(C2275&amp;" "&amp;D2275)</f>
        <v> </v>
      </c>
      <c r="S2275" s="230" t="n">
        <f aca="false">+YEARFRAC(L2275,$S$1)</f>
        <v>126.366666666667</v>
      </c>
      <c r="T2275" s="230" t="n">
        <f aca="false">+YEARFRAC(M2275,$S$1)</f>
        <v>126.366666666667</v>
      </c>
      <c r="U2275" s="231" t="n">
        <f aca="false">+$I2275</f>
        <v>0</v>
      </c>
      <c r="V2275" s="232" t="str">
        <f aca="false">+PROPER(F2275)</f>
        <v/>
      </c>
    </row>
    <row r="2276" customFormat="false" ht="14.25" hidden="false" customHeight="false" outlineLevel="0" collapsed="false">
      <c r="B2276" s="244"/>
      <c r="C2276" s="245"/>
      <c r="D2276" s="245"/>
      <c r="E2276" s="246"/>
      <c r="F2276" s="246"/>
      <c r="G2276" s="225" t="e">
        <f aca="false">VLOOKUP(B2276,'NIVEL ENERO'!A:F,4,0)</f>
        <v>#N/A</v>
      </c>
      <c r="H2276" s="247"/>
      <c r="I2276" s="247"/>
      <c r="J2276" s="246"/>
      <c r="K2276" s="246"/>
      <c r="L2276" s="226"/>
      <c r="M2276" s="226"/>
      <c r="N2276" s="246"/>
      <c r="P2276" s="228"/>
      <c r="Q2276" s="245"/>
      <c r="R2276" s="186" t="str">
        <f aca="false">+PROPER(C2276&amp;" "&amp;D2276)</f>
        <v> </v>
      </c>
      <c r="S2276" s="230" t="n">
        <f aca="false">+YEARFRAC(L2276,$S$1)</f>
        <v>126.366666666667</v>
      </c>
      <c r="T2276" s="230" t="n">
        <f aca="false">+YEARFRAC(M2276,$S$1)</f>
        <v>126.366666666667</v>
      </c>
      <c r="U2276" s="231" t="n">
        <f aca="false">+$I2276</f>
        <v>0</v>
      </c>
      <c r="V2276" s="232" t="str">
        <f aca="false">+PROPER(F2276)</f>
        <v/>
      </c>
    </row>
    <row r="2277" customFormat="false" ht="14.25" hidden="false" customHeight="false" outlineLevel="0" collapsed="false">
      <c r="B2277" s="244"/>
      <c r="C2277" s="245"/>
      <c r="D2277" s="245"/>
      <c r="E2277" s="246"/>
      <c r="F2277" s="246"/>
      <c r="G2277" s="225" t="e">
        <f aca="false">VLOOKUP(B2277,'NIVEL ENERO'!A:F,4,0)</f>
        <v>#N/A</v>
      </c>
      <c r="H2277" s="247"/>
      <c r="I2277" s="247"/>
      <c r="J2277" s="246"/>
      <c r="K2277" s="246"/>
      <c r="L2277" s="226"/>
      <c r="M2277" s="226"/>
      <c r="N2277" s="246"/>
      <c r="P2277" s="228"/>
      <c r="Q2277" s="245"/>
      <c r="R2277" s="186" t="str">
        <f aca="false">+PROPER(C2277&amp;" "&amp;D2277)</f>
        <v> </v>
      </c>
      <c r="S2277" s="230" t="n">
        <f aca="false">+YEARFRAC(L2277,$S$1)</f>
        <v>126.366666666667</v>
      </c>
      <c r="T2277" s="230" t="n">
        <f aca="false">+YEARFRAC(M2277,$S$1)</f>
        <v>126.366666666667</v>
      </c>
      <c r="U2277" s="231" t="n">
        <f aca="false">+$I2277</f>
        <v>0</v>
      </c>
      <c r="V2277" s="232" t="str">
        <f aca="false">+PROPER(F2277)</f>
        <v/>
      </c>
    </row>
    <row r="2278" customFormat="false" ht="14.25" hidden="false" customHeight="false" outlineLevel="0" collapsed="false">
      <c r="B2278" s="244"/>
      <c r="C2278" s="245"/>
      <c r="D2278" s="245"/>
      <c r="E2278" s="246"/>
      <c r="F2278" s="246"/>
      <c r="G2278" s="225" t="e">
        <f aca="false">VLOOKUP(B2278,'NIVEL ENERO'!A:F,4,0)</f>
        <v>#N/A</v>
      </c>
      <c r="H2278" s="247"/>
      <c r="I2278" s="247"/>
      <c r="J2278" s="246"/>
      <c r="K2278" s="246"/>
      <c r="L2278" s="226"/>
      <c r="M2278" s="226"/>
      <c r="N2278" s="246"/>
      <c r="P2278" s="228"/>
      <c r="Q2278" s="245"/>
      <c r="R2278" s="186" t="str">
        <f aca="false">+PROPER(C2278&amp;" "&amp;D2278)</f>
        <v> </v>
      </c>
      <c r="S2278" s="230" t="n">
        <f aca="false">+YEARFRAC(L2278,$S$1)</f>
        <v>126.366666666667</v>
      </c>
      <c r="T2278" s="230" t="n">
        <f aca="false">+YEARFRAC(M2278,$S$1)</f>
        <v>126.366666666667</v>
      </c>
      <c r="U2278" s="231" t="n">
        <f aca="false">+$I2278</f>
        <v>0</v>
      </c>
      <c r="V2278" s="232" t="str">
        <f aca="false">+PROPER(F2278)</f>
        <v/>
      </c>
    </row>
    <row r="2279" customFormat="false" ht="14.25" hidden="false" customHeight="false" outlineLevel="0" collapsed="false">
      <c r="B2279" s="244"/>
      <c r="C2279" s="245"/>
      <c r="D2279" s="245"/>
      <c r="E2279" s="246"/>
      <c r="F2279" s="246"/>
      <c r="G2279" s="225" t="e">
        <f aca="false">VLOOKUP(B2279,'NIVEL ENERO'!A:F,4,0)</f>
        <v>#N/A</v>
      </c>
      <c r="H2279" s="247"/>
      <c r="I2279" s="247"/>
      <c r="J2279" s="246"/>
      <c r="K2279" s="246"/>
      <c r="L2279" s="226"/>
      <c r="M2279" s="226"/>
      <c r="N2279" s="246"/>
      <c r="P2279" s="228"/>
      <c r="Q2279" s="245"/>
      <c r="R2279" s="186" t="str">
        <f aca="false">+PROPER(C2279&amp;" "&amp;D2279)</f>
        <v> </v>
      </c>
      <c r="S2279" s="230" t="n">
        <f aca="false">+YEARFRAC(L2279,$S$1)</f>
        <v>126.366666666667</v>
      </c>
      <c r="T2279" s="230" t="n">
        <f aca="false">+YEARFRAC(M2279,$S$1)</f>
        <v>126.366666666667</v>
      </c>
      <c r="U2279" s="231" t="n">
        <f aca="false">+$I2279</f>
        <v>0</v>
      </c>
      <c r="V2279" s="232" t="str">
        <f aca="false">+PROPER(F2279)</f>
        <v/>
      </c>
    </row>
    <row r="2280" customFormat="false" ht="14.25" hidden="false" customHeight="false" outlineLevel="0" collapsed="false">
      <c r="B2280" s="244"/>
      <c r="C2280" s="245"/>
      <c r="D2280" s="245"/>
      <c r="E2280" s="246"/>
      <c r="F2280" s="246"/>
      <c r="G2280" s="225" t="e">
        <f aca="false">VLOOKUP(B2280,'NIVEL ENERO'!A:F,4,0)</f>
        <v>#N/A</v>
      </c>
      <c r="H2280" s="247"/>
      <c r="I2280" s="247"/>
      <c r="J2280" s="246"/>
      <c r="K2280" s="246"/>
      <c r="L2280" s="226"/>
      <c r="M2280" s="226"/>
      <c r="N2280" s="246"/>
      <c r="P2280" s="228"/>
      <c r="Q2280" s="245"/>
      <c r="R2280" s="186" t="str">
        <f aca="false">+PROPER(C2280&amp;" "&amp;D2280)</f>
        <v> </v>
      </c>
      <c r="S2280" s="230" t="n">
        <f aca="false">+YEARFRAC(L2280,$S$1)</f>
        <v>126.366666666667</v>
      </c>
      <c r="T2280" s="230" t="n">
        <f aca="false">+YEARFRAC(M2280,$S$1)</f>
        <v>126.366666666667</v>
      </c>
      <c r="U2280" s="231" t="n">
        <f aca="false">+$I2280</f>
        <v>0</v>
      </c>
      <c r="V2280" s="232" t="str">
        <f aca="false">+PROPER(F2280)</f>
        <v/>
      </c>
    </row>
    <row r="2281" customFormat="false" ht="14.25" hidden="false" customHeight="false" outlineLevel="0" collapsed="false">
      <c r="B2281" s="244"/>
      <c r="C2281" s="245"/>
      <c r="D2281" s="245"/>
      <c r="E2281" s="246"/>
      <c r="F2281" s="246"/>
      <c r="G2281" s="225" t="e">
        <f aca="false">VLOOKUP(B2281,'NIVEL ENERO'!A:F,4,0)</f>
        <v>#N/A</v>
      </c>
      <c r="H2281" s="247"/>
      <c r="I2281" s="247"/>
      <c r="J2281" s="246"/>
      <c r="K2281" s="246"/>
      <c r="L2281" s="226"/>
      <c r="M2281" s="226"/>
      <c r="N2281" s="246"/>
      <c r="P2281" s="228"/>
      <c r="Q2281" s="245"/>
      <c r="R2281" s="186" t="str">
        <f aca="false">+PROPER(C2281&amp;" "&amp;D2281)</f>
        <v> </v>
      </c>
      <c r="S2281" s="230" t="n">
        <f aca="false">+YEARFRAC(L2281,$S$1)</f>
        <v>126.366666666667</v>
      </c>
      <c r="T2281" s="230" t="n">
        <f aca="false">+YEARFRAC(M2281,$S$1)</f>
        <v>126.366666666667</v>
      </c>
      <c r="U2281" s="231" t="n">
        <f aca="false">+$I2281</f>
        <v>0</v>
      </c>
      <c r="V2281" s="232" t="str">
        <f aca="false">+PROPER(F2281)</f>
        <v/>
      </c>
    </row>
    <row r="2282" customFormat="false" ht="14.25" hidden="false" customHeight="false" outlineLevel="0" collapsed="false">
      <c r="B2282" s="244"/>
      <c r="C2282" s="245"/>
      <c r="D2282" s="245"/>
      <c r="E2282" s="246"/>
      <c r="F2282" s="246"/>
      <c r="G2282" s="225" t="e">
        <f aca="false">VLOOKUP(B2282,'NIVEL ENERO'!A:F,4,0)</f>
        <v>#N/A</v>
      </c>
      <c r="H2282" s="247"/>
      <c r="I2282" s="247"/>
      <c r="J2282" s="246"/>
      <c r="K2282" s="246"/>
      <c r="L2282" s="226"/>
      <c r="M2282" s="226"/>
      <c r="N2282" s="246"/>
      <c r="P2282" s="228"/>
      <c r="Q2282" s="245"/>
      <c r="R2282" s="186" t="str">
        <f aca="false">+PROPER(C2282&amp;" "&amp;D2282)</f>
        <v> </v>
      </c>
      <c r="S2282" s="230" t="n">
        <f aca="false">+YEARFRAC(L2282,$S$1)</f>
        <v>126.366666666667</v>
      </c>
      <c r="T2282" s="230" t="n">
        <f aca="false">+YEARFRAC(M2282,$S$1)</f>
        <v>126.366666666667</v>
      </c>
      <c r="U2282" s="231" t="n">
        <f aca="false">+$I2282</f>
        <v>0</v>
      </c>
      <c r="V2282" s="232" t="str">
        <f aca="false">+PROPER(F2282)</f>
        <v/>
      </c>
    </row>
    <row r="2283" customFormat="false" ht="14.25" hidden="false" customHeight="false" outlineLevel="0" collapsed="false">
      <c r="B2283" s="244"/>
      <c r="C2283" s="245"/>
      <c r="D2283" s="245"/>
      <c r="E2283" s="246"/>
      <c r="F2283" s="246"/>
      <c r="G2283" s="225" t="e">
        <f aca="false">VLOOKUP(B2283,'NIVEL ENERO'!A:F,4,0)</f>
        <v>#N/A</v>
      </c>
      <c r="H2283" s="247"/>
      <c r="I2283" s="247"/>
      <c r="J2283" s="246"/>
      <c r="K2283" s="246"/>
      <c r="L2283" s="226"/>
      <c r="M2283" s="226"/>
      <c r="N2283" s="246"/>
      <c r="P2283" s="228"/>
      <c r="Q2283" s="245"/>
      <c r="R2283" s="186" t="str">
        <f aca="false">+PROPER(C2283&amp;" "&amp;D2283)</f>
        <v> </v>
      </c>
      <c r="S2283" s="230" t="n">
        <f aca="false">+YEARFRAC(L2283,$S$1)</f>
        <v>126.366666666667</v>
      </c>
      <c r="T2283" s="230" t="n">
        <f aca="false">+YEARFRAC(M2283,$S$1)</f>
        <v>126.366666666667</v>
      </c>
      <c r="U2283" s="231" t="n">
        <f aca="false">+$I2283</f>
        <v>0</v>
      </c>
      <c r="V2283" s="232" t="str">
        <f aca="false">+PROPER(F2283)</f>
        <v/>
      </c>
    </row>
    <row r="2284" customFormat="false" ht="14.25" hidden="false" customHeight="false" outlineLevel="0" collapsed="false">
      <c r="B2284" s="244"/>
      <c r="C2284" s="245"/>
      <c r="D2284" s="245"/>
      <c r="E2284" s="246"/>
      <c r="F2284" s="246"/>
      <c r="G2284" s="225" t="e">
        <f aca="false">VLOOKUP(B2284,'NIVEL ENERO'!A:F,4,0)</f>
        <v>#N/A</v>
      </c>
      <c r="H2284" s="247"/>
      <c r="I2284" s="247"/>
      <c r="J2284" s="246"/>
      <c r="K2284" s="246"/>
      <c r="L2284" s="226"/>
      <c r="M2284" s="226"/>
      <c r="N2284" s="246"/>
      <c r="P2284" s="228"/>
      <c r="Q2284" s="245"/>
      <c r="R2284" s="186" t="str">
        <f aca="false">+PROPER(C2284&amp;" "&amp;D2284)</f>
        <v> </v>
      </c>
      <c r="S2284" s="230" t="n">
        <f aca="false">+YEARFRAC(L2284,$S$1)</f>
        <v>126.366666666667</v>
      </c>
      <c r="T2284" s="230" t="n">
        <f aca="false">+YEARFRAC(M2284,$S$1)</f>
        <v>126.366666666667</v>
      </c>
      <c r="U2284" s="231" t="n">
        <f aca="false">+$I2284</f>
        <v>0</v>
      </c>
      <c r="V2284" s="232" t="str">
        <f aca="false">+PROPER(F2284)</f>
        <v/>
      </c>
    </row>
    <row r="2285" customFormat="false" ht="14.25" hidden="false" customHeight="false" outlineLevel="0" collapsed="false">
      <c r="B2285" s="244"/>
      <c r="C2285" s="245"/>
      <c r="D2285" s="245"/>
      <c r="E2285" s="246"/>
      <c r="F2285" s="246"/>
      <c r="G2285" s="225" t="e">
        <f aca="false">VLOOKUP(B2285,'NIVEL ENERO'!A:F,4,0)</f>
        <v>#N/A</v>
      </c>
      <c r="H2285" s="247"/>
      <c r="I2285" s="247"/>
      <c r="J2285" s="246"/>
      <c r="K2285" s="246"/>
      <c r="L2285" s="226"/>
      <c r="M2285" s="226"/>
      <c r="N2285" s="246"/>
      <c r="P2285" s="228"/>
      <c r="Q2285" s="245"/>
      <c r="R2285" s="186" t="str">
        <f aca="false">+PROPER(C2285&amp;" "&amp;D2285)</f>
        <v> </v>
      </c>
      <c r="S2285" s="230" t="n">
        <f aca="false">+YEARFRAC(L2285,$S$1)</f>
        <v>126.366666666667</v>
      </c>
      <c r="T2285" s="230" t="n">
        <f aca="false">+YEARFRAC(M2285,$S$1)</f>
        <v>126.366666666667</v>
      </c>
      <c r="U2285" s="231" t="n">
        <f aca="false">+$I2285</f>
        <v>0</v>
      </c>
      <c r="V2285" s="232" t="str">
        <f aca="false">+PROPER(F2285)</f>
        <v/>
      </c>
    </row>
    <row r="2286" customFormat="false" ht="14.25" hidden="false" customHeight="false" outlineLevel="0" collapsed="false">
      <c r="B2286" s="244"/>
      <c r="C2286" s="245"/>
      <c r="D2286" s="245"/>
      <c r="E2286" s="246"/>
      <c r="F2286" s="246"/>
      <c r="G2286" s="225" t="e">
        <f aca="false">VLOOKUP(B2286,'NIVEL ENERO'!A:F,4,0)</f>
        <v>#N/A</v>
      </c>
      <c r="H2286" s="247"/>
      <c r="I2286" s="247"/>
      <c r="J2286" s="246"/>
      <c r="K2286" s="246"/>
      <c r="L2286" s="226"/>
      <c r="M2286" s="226"/>
      <c r="N2286" s="246"/>
      <c r="P2286" s="228"/>
      <c r="Q2286" s="245"/>
      <c r="R2286" s="186" t="str">
        <f aca="false">+PROPER(C2286&amp;" "&amp;D2286)</f>
        <v> </v>
      </c>
      <c r="S2286" s="230" t="n">
        <f aca="false">+YEARFRAC(L2286,$S$1)</f>
        <v>126.366666666667</v>
      </c>
      <c r="T2286" s="230" t="n">
        <f aca="false">+YEARFRAC(M2286,$S$1)</f>
        <v>126.366666666667</v>
      </c>
      <c r="U2286" s="231" t="n">
        <f aca="false">+$I2286</f>
        <v>0</v>
      </c>
      <c r="V2286" s="232" t="str">
        <f aca="false">+PROPER(F2286)</f>
        <v/>
      </c>
    </row>
    <row r="2287" customFormat="false" ht="14.25" hidden="false" customHeight="false" outlineLevel="0" collapsed="false">
      <c r="B2287" s="244"/>
      <c r="C2287" s="245"/>
      <c r="D2287" s="245"/>
      <c r="E2287" s="246"/>
      <c r="F2287" s="246"/>
      <c r="G2287" s="225" t="e">
        <f aca="false">VLOOKUP(B2287,'NIVEL ENERO'!A:F,4,0)</f>
        <v>#N/A</v>
      </c>
      <c r="H2287" s="247"/>
      <c r="I2287" s="247"/>
      <c r="J2287" s="246"/>
      <c r="K2287" s="246"/>
      <c r="L2287" s="226"/>
      <c r="M2287" s="226"/>
      <c r="N2287" s="246"/>
      <c r="P2287" s="228"/>
      <c r="Q2287" s="245"/>
      <c r="R2287" s="186" t="str">
        <f aca="false">+PROPER(C2287&amp;" "&amp;D2287)</f>
        <v> </v>
      </c>
      <c r="S2287" s="230" t="n">
        <f aca="false">+YEARFRAC(L2287,$S$1)</f>
        <v>126.366666666667</v>
      </c>
      <c r="T2287" s="230" t="n">
        <f aca="false">+YEARFRAC(M2287,$S$1)</f>
        <v>126.366666666667</v>
      </c>
      <c r="U2287" s="231" t="n">
        <f aca="false">+$I2287</f>
        <v>0</v>
      </c>
      <c r="V2287" s="232" t="str">
        <f aca="false">+PROPER(F2287)</f>
        <v/>
      </c>
    </row>
    <row r="2288" customFormat="false" ht="14.25" hidden="false" customHeight="false" outlineLevel="0" collapsed="false">
      <c r="B2288" s="244"/>
      <c r="C2288" s="245"/>
      <c r="D2288" s="245"/>
      <c r="E2288" s="246"/>
      <c r="F2288" s="246"/>
      <c r="G2288" s="225" t="e">
        <f aca="false">VLOOKUP(B2288,'NIVEL ENERO'!A:F,4,0)</f>
        <v>#N/A</v>
      </c>
      <c r="H2288" s="247"/>
      <c r="I2288" s="247"/>
      <c r="J2288" s="246"/>
      <c r="K2288" s="246"/>
      <c r="L2288" s="226"/>
      <c r="M2288" s="226"/>
      <c r="N2288" s="246"/>
      <c r="P2288" s="228"/>
      <c r="Q2288" s="245"/>
      <c r="R2288" s="186" t="str">
        <f aca="false">+PROPER(C2288&amp;" "&amp;D2288)</f>
        <v> </v>
      </c>
      <c r="S2288" s="230" t="n">
        <f aca="false">+YEARFRAC(L2288,$S$1)</f>
        <v>126.366666666667</v>
      </c>
      <c r="T2288" s="230" t="n">
        <f aca="false">+YEARFRAC(M2288,$S$1)</f>
        <v>126.366666666667</v>
      </c>
      <c r="U2288" s="231" t="n">
        <f aca="false">+$I2288</f>
        <v>0</v>
      </c>
      <c r="V2288" s="232" t="str">
        <f aca="false">+PROPER(F2288)</f>
        <v/>
      </c>
    </row>
    <row r="2289" customFormat="false" ht="14.25" hidden="false" customHeight="false" outlineLevel="0" collapsed="false">
      <c r="B2289" s="244"/>
      <c r="C2289" s="245"/>
      <c r="D2289" s="245"/>
      <c r="E2289" s="246"/>
      <c r="F2289" s="246"/>
      <c r="G2289" s="225" t="e">
        <f aca="false">VLOOKUP(B2289,'NIVEL ENERO'!A:F,4,0)</f>
        <v>#N/A</v>
      </c>
      <c r="H2289" s="247"/>
      <c r="I2289" s="247"/>
      <c r="J2289" s="246"/>
      <c r="K2289" s="246"/>
      <c r="L2289" s="226"/>
      <c r="M2289" s="226"/>
      <c r="N2289" s="246"/>
      <c r="P2289" s="228"/>
      <c r="Q2289" s="245"/>
      <c r="R2289" s="186" t="str">
        <f aca="false">+PROPER(C2289&amp;" "&amp;D2289)</f>
        <v> </v>
      </c>
      <c r="S2289" s="230" t="n">
        <f aca="false">+YEARFRAC(L2289,$S$1)</f>
        <v>126.366666666667</v>
      </c>
      <c r="T2289" s="230" t="n">
        <f aca="false">+YEARFRAC(M2289,$S$1)</f>
        <v>126.366666666667</v>
      </c>
      <c r="U2289" s="231" t="n">
        <f aca="false">+$I2289</f>
        <v>0</v>
      </c>
      <c r="V2289" s="232" t="str">
        <f aca="false">+PROPER(F2289)</f>
        <v/>
      </c>
    </row>
    <row r="2290" customFormat="false" ht="14.25" hidden="false" customHeight="false" outlineLevel="0" collapsed="false">
      <c r="B2290" s="244"/>
      <c r="C2290" s="245"/>
      <c r="D2290" s="245"/>
      <c r="E2290" s="246"/>
      <c r="F2290" s="246"/>
      <c r="G2290" s="225" t="e">
        <f aca="false">VLOOKUP(B2290,'NIVEL ENERO'!A:F,4,0)</f>
        <v>#N/A</v>
      </c>
      <c r="H2290" s="247"/>
      <c r="I2290" s="247"/>
      <c r="J2290" s="246"/>
      <c r="K2290" s="246"/>
      <c r="L2290" s="226"/>
      <c r="M2290" s="226"/>
      <c r="N2290" s="246"/>
      <c r="P2290" s="228"/>
      <c r="Q2290" s="245"/>
      <c r="R2290" s="186" t="str">
        <f aca="false">+PROPER(C2290&amp;" "&amp;D2290)</f>
        <v> </v>
      </c>
      <c r="S2290" s="230" t="n">
        <f aca="false">+YEARFRAC(L2290,$S$1)</f>
        <v>126.366666666667</v>
      </c>
      <c r="T2290" s="230" t="n">
        <f aca="false">+YEARFRAC(M2290,$S$1)</f>
        <v>126.366666666667</v>
      </c>
      <c r="U2290" s="231" t="n">
        <f aca="false">+$I2290</f>
        <v>0</v>
      </c>
      <c r="V2290" s="232" t="str">
        <f aca="false">+PROPER(F2290)</f>
        <v/>
      </c>
    </row>
    <row r="2291" customFormat="false" ht="14.25" hidden="false" customHeight="false" outlineLevel="0" collapsed="false">
      <c r="B2291" s="244"/>
      <c r="C2291" s="245"/>
      <c r="D2291" s="245"/>
      <c r="E2291" s="246"/>
      <c r="F2291" s="246"/>
      <c r="G2291" s="225" t="e">
        <f aca="false">VLOOKUP(B2291,'NIVEL ENERO'!A:F,4,0)</f>
        <v>#N/A</v>
      </c>
      <c r="H2291" s="247"/>
      <c r="I2291" s="247"/>
      <c r="J2291" s="246"/>
      <c r="K2291" s="246"/>
      <c r="L2291" s="226"/>
      <c r="M2291" s="226"/>
      <c r="N2291" s="246"/>
      <c r="P2291" s="228"/>
      <c r="Q2291" s="245"/>
      <c r="R2291" s="186" t="str">
        <f aca="false">+PROPER(C2291&amp;" "&amp;D2291)</f>
        <v> </v>
      </c>
      <c r="S2291" s="230" t="n">
        <f aca="false">+YEARFRAC(L2291,$S$1)</f>
        <v>126.366666666667</v>
      </c>
      <c r="T2291" s="230" t="n">
        <f aca="false">+YEARFRAC(M2291,$S$1)</f>
        <v>126.366666666667</v>
      </c>
      <c r="U2291" s="231" t="n">
        <f aca="false">+$I2291</f>
        <v>0</v>
      </c>
      <c r="V2291" s="232" t="str">
        <f aca="false">+PROPER(F2291)</f>
        <v/>
      </c>
    </row>
    <row r="2292" customFormat="false" ht="14.25" hidden="false" customHeight="false" outlineLevel="0" collapsed="false">
      <c r="B2292" s="244"/>
      <c r="C2292" s="245"/>
      <c r="D2292" s="245"/>
      <c r="E2292" s="246"/>
      <c r="F2292" s="246"/>
      <c r="G2292" s="225" t="e">
        <f aca="false">VLOOKUP(B2292,'NIVEL ENERO'!A:F,4,0)</f>
        <v>#N/A</v>
      </c>
      <c r="H2292" s="247"/>
      <c r="I2292" s="247"/>
      <c r="J2292" s="246"/>
      <c r="K2292" s="246"/>
      <c r="L2292" s="226"/>
      <c r="M2292" s="226"/>
      <c r="N2292" s="246"/>
      <c r="P2292" s="228"/>
      <c r="Q2292" s="245"/>
      <c r="R2292" s="186" t="str">
        <f aca="false">+PROPER(C2292&amp;" "&amp;D2292)</f>
        <v> </v>
      </c>
      <c r="S2292" s="230" t="n">
        <f aca="false">+YEARFRAC(L2292,$S$1)</f>
        <v>126.366666666667</v>
      </c>
      <c r="T2292" s="230" t="n">
        <f aca="false">+YEARFRAC(M2292,$S$1)</f>
        <v>126.366666666667</v>
      </c>
      <c r="U2292" s="231" t="n">
        <f aca="false">+$I2292</f>
        <v>0</v>
      </c>
      <c r="V2292" s="232" t="str">
        <f aca="false">+PROPER(F2292)</f>
        <v/>
      </c>
    </row>
    <row r="2293" customFormat="false" ht="14.25" hidden="false" customHeight="false" outlineLevel="0" collapsed="false">
      <c r="B2293" s="244"/>
      <c r="C2293" s="245"/>
      <c r="D2293" s="245"/>
      <c r="E2293" s="246"/>
      <c r="F2293" s="246"/>
      <c r="G2293" s="225" t="e">
        <f aca="false">VLOOKUP(B2293,'NIVEL ENERO'!A:F,4,0)</f>
        <v>#N/A</v>
      </c>
      <c r="H2293" s="247"/>
      <c r="I2293" s="247"/>
      <c r="J2293" s="246"/>
      <c r="K2293" s="246"/>
      <c r="L2293" s="226"/>
      <c r="M2293" s="226"/>
      <c r="N2293" s="246"/>
      <c r="P2293" s="228"/>
      <c r="Q2293" s="245"/>
      <c r="R2293" s="186" t="str">
        <f aca="false">+PROPER(C2293&amp;" "&amp;D2293)</f>
        <v> </v>
      </c>
      <c r="S2293" s="230" t="n">
        <f aca="false">+YEARFRAC(L2293,$S$1)</f>
        <v>126.366666666667</v>
      </c>
      <c r="T2293" s="230" t="n">
        <f aca="false">+YEARFRAC(M2293,$S$1)</f>
        <v>126.366666666667</v>
      </c>
      <c r="U2293" s="231" t="n">
        <f aca="false">+$I2293</f>
        <v>0</v>
      </c>
      <c r="V2293" s="232" t="str">
        <f aca="false">+PROPER(F2293)</f>
        <v/>
      </c>
    </row>
    <row r="2294" customFormat="false" ht="14.25" hidden="false" customHeight="false" outlineLevel="0" collapsed="false">
      <c r="B2294" s="244"/>
      <c r="C2294" s="245"/>
      <c r="D2294" s="245"/>
      <c r="E2294" s="246"/>
      <c r="F2294" s="246"/>
      <c r="G2294" s="225" t="e">
        <f aca="false">VLOOKUP(B2294,'NIVEL ENERO'!A:F,4,0)</f>
        <v>#N/A</v>
      </c>
      <c r="H2294" s="247"/>
      <c r="I2294" s="247"/>
      <c r="J2294" s="246"/>
      <c r="K2294" s="246"/>
      <c r="L2294" s="226"/>
      <c r="M2294" s="226"/>
      <c r="N2294" s="246"/>
      <c r="P2294" s="228"/>
      <c r="Q2294" s="245"/>
      <c r="R2294" s="186" t="str">
        <f aca="false">+PROPER(C2294&amp;" "&amp;D2294)</f>
        <v> </v>
      </c>
      <c r="S2294" s="230" t="n">
        <f aca="false">+YEARFRAC(L2294,$S$1)</f>
        <v>126.366666666667</v>
      </c>
      <c r="T2294" s="230" t="n">
        <f aca="false">+YEARFRAC(M2294,$S$1)</f>
        <v>126.366666666667</v>
      </c>
      <c r="U2294" s="231" t="n">
        <f aca="false">+$I2294</f>
        <v>0</v>
      </c>
      <c r="V2294" s="232" t="str">
        <f aca="false">+PROPER(F2294)</f>
        <v/>
      </c>
    </row>
    <row r="2295" customFormat="false" ht="14.25" hidden="false" customHeight="false" outlineLevel="0" collapsed="false">
      <c r="B2295" s="244"/>
      <c r="C2295" s="245"/>
      <c r="D2295" s="245"/>
      <c r="E2295" s="246"/>
      <c r="F2295" s="246"/>
      <c r="G2295" s="225" t="e">
        <f aca="false">VLOOKUP(B2295,'NIVEL ENERO'!A:F,4,0)</f>
        <v>#N/A</v>
      </c>
      <c r="H2295" s="247"/>
      <c r="I2295" s="247"/>
      <c r="J2295" s="246"/>
      <c r="K2295" s="246"/>
      <c r="L2295" s="226"/>
      <c r="M2295" s="226"/>
      <c r="N2295" s="246"/>
      <c r="P2295" s="228"/>
      <c r="Q2295" s="245"/>
      <c r="R2295" s="186" t="str">
        <f aca="false">+PROPER(C2295&amp;" "&amp;D2295)</f>
        <v> </v>
      </c>
      <c r="S2295" s="230" t="n">
        <f aca="false">+YEARFRAC(L2295,$S$1)</f>
        <v>126.366666666667</v>
      </c>
      <c r="T2295" s="230" t="n">
        <f aca="false">+YEARFRAC(M2295,$S$1)</f>
        <v>126.366666666667</v>
      </c>
      <c r="U2295" s="231" t="n">
        <f aca="false">+$I2295</f>
        <v>0</v>
      </c>
      <c r="V2295" s="232" t="str">
        <f aca="false">+PROPER(F2295)</f>
        <v/>
      </c>
    </row>
    <row r="2296" customFormat="false" ht="14.25" hidden="false" customHeight="false" outlineLevel="0" collapsed="false">
      <c r="B2296" s="244"/>
      <c r="C2296" s="245"/>
      <c r="D2296" s="245"/>
      <c r="E2296" s="246"/>
      <c r="F2296" s="246"/>
      <c r="G2296" s="225" t="e">
        <f aca="false">VLOOKUP(B2296,'NIVEL ENERO'!A:F,4,0)</f>
        <v>#N/A</v>
      </c>
      <c r="H2296" s="247"/>
      <c r="I2296" s="247"/>
      <c r="J2296" s="246"/>
      <c r="K2296" s="246"/>
      <c r="L2296" s="226"/>
      <c r="M2296" s="226"/>
      <c r="N2296" s="246"/>
      <c r="P2296" s="228"/>
      <c r="Q2296" s="245"/>
      <c r="R2296" s="186" t="str">
        <f aca="false">+PROPER(C2296&amp;" "&amp;D2296)</f>
        <v> </v>
      </c>
      <c r="S2296" s="230" t="n">
        <f aca="false">+YEARFRAC(L2296,$S$1)</f>
        <v>126.366666666667</v>
      </c>
      <c r="T2296" s="230" t="n">
        <f aca="false">+YEARFRAC(M2296,$S$1)</f>
        <v>126.366666666667</v>
      </c>
      <c r="U2296" s="231" t="n">
        <f aca="false">+$I2296</f>
        <v>0</v>
      </c>
      <c r="V2296" s="232" t="str">
        <f aca="false">+PROPER(F2296)</f>
        <v/>
      </c>
    </row>
    <row r="2297" customFormat="false" ht="14.25" hidden="false" customHeight="false" outlineLevel="0" collapsed="false">
      <c r="B2297" s="244"/>
      <c r="C2297" s="245"/>
      <c r="D2297" s="245"/>
      <c r="E2297" s="246"/>
      <c r="F2297" s="246"/>
      <c r="G2297" s="225" t="e">
        <f aca="false">VLOOKUP(B2297,'NIVEL ENERO'!A:F,4,0)</f>
        <v>#N/A</v>
      </c>
      <c r="H2297" s="247"/>
      <c r="I2297" s="247"/>
      <c r="J2297" s="246"/>
      <c r="K2297" s="246"/>
      <c r="L2297" s="226"/>
      <c r="M2297" s="226"/>
      <c r="N2297" s="246"/>
      <c r="P2297" s="228"/>
      <c r="Q2297" s="245"/>
      <c r="R2297" s="186" t="str">
        <f aca="false">+PROPER(C2297&amp;" "&amp;D2297)</f>
        <v> </v>
      </c>
      <c r="S2297" s="230" t="n">
        <f aca="false">+YEARFRAC(L2297,$S$1)</f>
        <v>126.366666666667</v>
      </c>
      <c r="T2297" s="230" t="n">
        <f aca="false">+YEARFRAC(M2297,$S$1)</f>
        <v>126.366666666667</v>
      </c>
      <c r="U2297" s="231" t="n">
        <f aca="false">+$I2297</f>
        <v>0</v>
      </c>
      <c r="V2297" s="232" t="str">
        <f aca="false">+PROPER(F2297)</f>
        <v/>
      </c>
    </row>
    <row r="2298" customFormat="false" ht="14.25" hidden="false" customHeight="false" outlineLevel="0" collapsed="false">
      <c r="B2298" s="244"/>
      <c r="C2298" s="245"/>
      <c r="D2298" s="245"/>
      <c r="E2298" s="246"/>
      <c r="F2298" s="246"/>
      <c r="G2298" s="225" t="e">
        <f aca="false">VLOOKUP(B2298,'NIVEL ENERO'!A:F,4,0)</f>
        <v>#N/A</v>
      </c>
      <c r="H2298" s="247"/>
      <c r="I2298" s="247"/>
      <c r="J2298" s="246"/>
      <c r="K2298" s="246"/>
      <c r="L2298" s="226"/>
      <c r="M2298" s="226"/>
      <c r="N2298" s="246"/>
      <c r="P2298" s="228"/>
      <c r="Q2298" s="245"/>
      <c r="R2298" s="186" t="str">
        <f aca="false">+PROPER(C2298&amp;" "&amp;D2298)</f>
        <v> </v>
      </c>
      <c r="S2298" s="230" t="n">
        <f aca="false">+YEARFRAC(L2298,$S$1)</f>
        <v>126.366666666667</v>
      </c>
      <c r="T2298" s="230" t="n">
        <f aca="false">+YEARFRAC(M2298,$S$1)</f>
        <v>126.366666666667</v>
      </c>
      <c r="U2298" s="231" t="n">
        <f aca="false">+$I2298</f>
        <v>0</v>
      </c>
      <c r="V2298" s="232" t="str">
        <f aca="false">+PROPER(F2298)</f>
        <v/>
      </c>
    </row>
    <row r="2299" customFormat="false" ht="14.25" hidden="false" customHeight="false" outlineLevel="0" collapsed="false">
      <c r="B2299" s="244"/>
      <c r="C2299" s="245"/>
      <c r="D2299" s="245"/>
      <c r="E2299" s="246"/>
      <c r="F2299" s="246"/>
      <c r="G2299" s="225" t="e">
        <f aca="false">VLOOKUP(B2299,'NIVEL ENERO'!A:F,4,0)</f>
        <v>#N/A</v>
      </c>
      <c r="H2299" s="247"/>
      <c r="I2299" s="247"/>
      <c r="J2299" s="246"/>
      <c r="K2299" s="246"/>
      <c r="L2299" s="226"/>
      <c r="M2299" s="226"/>
      <c r="N2299" s="246"/>
      <c r="P2299" s="228"/>
      <c r="Q2299" s="245"/>
      <c r="R2299" s="186" t="str">
        <f aca="false">+PROPER(C2299&amp;" "&amp;D2299)</f>
        <v> </v>
      </c>
      <c r="S2299" s="230" t="n">
        <f aca="false">+YEARFRAC(L2299,$S$1)</f>
        <v>126.366666666667</v>
      </c>
      <c r="T2299" s="230" t="n">
        <f aca="false">+YEARFRAC(M2299,$S$1)</f>
        <v>126.366666666667</v>
      </c>
      <c r="U2299" s="231" t="n">
        <f aca="false">+$I2299</f>
        <v>0</v>
      </c>
      <c r="V2299" s="232" t="str">
        <f aca="false">+PROPER(F2299)</f>
        <v/>
      </c>
    </row>
    <row r="2300" customFormat="false" ht="14.25" hidden="false" customHeight="false" outlineLevel="0" collapsed="false">
      <c r="B2300" s="244"/>
      <c r="C2300" s="245"/>
      <c r="D2300" s="245"/>
      <c r="E2300" s="246"/>
      <c r="F2300" s="246"/>
      <c r="G2300" s="225" t="e">
        <f aca="false">VLOOKUP(B2300,'NIVEL ENERO'!A:F,4,0)</f>
        <v>#N/A</v>
      </c>
      <c r="H2300" s="247"/>
      <c r="I2300" s="247"/>
      <c r="J2300" s="246"/>
      <c r="K2300" s="246"/>
      <c r="L2300" s="226"/>
      <c r="M2300" s="226"/>
      <c r="N2300" s="246"/>
      <c r="P2300" s="228"/>
      <c r="Q2300" s="245"/>
      <c r="R2300" s="186" t="str">
        <f aca="false">+PROPER(C2300&amp;" "&amp;D2300)</f>
        <v> </v>
      </c>
      <c r="S2300" s="230" t="n">
        <f aca="false">+YEARFRAC(L2300,$S$1)</f>
        <v>126.366666666667</v>
      </c>
      <c r="T2300" s="230" t="n">
        <f aca="false">+YEARFRAC(M2300,$S$1)</f>
        <v>126.366666666667</v>
      </c>
      <c r="U2300" s="231" t="n">
        <f aca="false">+$I2300</f>
        <v>0</v>
      </c>
      <c r="V2300" s="232" t="str">
        <f aca="false">+PROPER(F2300)</f>
        <v/>
      </c>
    </row>
    <row r="2301" customFormat="false" ht="14.25" hidden="false" customHeight="false" outlineLevel="0" collapsed="false">
      <c r="B2301" s="244"/>
      <c r="C2301" s="245"/>
      <c r="D2301" s="245"/>
      <c r="E2301" s="246"/>
      <c r="F2301" s="246"/>
      <c r="G2301" s="225" t="e">
        <f aca="false">VLOOKUP(B2301,'NIVEL ENERO'!A:F,4,0)</f>
        <v>#N/A</v>
      </c>
      <c r="H2301" s="247"/>
      <c r="I2301" s="247"/>
      <c r="J2301" s="246"/>
      <c r="K2301" s="246"/>
      <c r="L2301" s="226"/>
      <c r="M2301" s="226"/>
      <c r="N2301" s="246"/>
      <c r="P2301" s="228"/>
      <c r="Q2301" s="245"/>
      <c r="R2301" s="186" t="str">
        <f aca="false">+PROPER(C2301&amp;" "&amp;D2301)</f>
        <v> </v>
      </c>
      <c r="S2301" s="230" t="n">
        <f aca="false">+YEARFRAC(L2301,$S$1)</f>
        <v>126.366666666667</v>
      </c>
      <c r="T2301" s="230" t="n">
        <f aca="false">+YEARFRAC(M2301,$S$1)</f>
        <v>126.366666666667</v>
      </c>
      <c r="U2301" s="231" t="n">
        <f aca="false">+$I2301</f>
        <v>0</v>
      </c>
      <c r="V2301" s="232" t="str">
        <f aca="false">+PROPER(F2301)</f>
        <v/>
      </c>
    </row>
    <row r="2302" customFormat="false" ht="14.25" hidden="false" customHeight="false" outlineLevel="0" collapsed="false">
      <c r="B2302" s="244"/>
      <c r="C2302" s="245"/>
      <c r="D2302" s="245"/>
      <c r="E2302" s="246"/>
      <c r="F2302" s="246"/>
      <c r="G2302" s="225" t="e">
        <f aca="false">VLOOKUP(B2302,'NIVEL ENERO'!A:F,4,0)</f>
        <v>#N/A</v>
      </c>
      <c r="H2302" s="247"/>
      <c r="I2302" s="247"/>
      <c r="J2302" s="246"/>
      <c r="K2302" s="246"/>
      <c r="L2302" s="226"/>
      <c r="M2302" s="226"/>
      <c r="N2302" s="246"/>
      <c r="P2302" s="228"/>
      <c r="Q2302" s="245"/>
      <c r="R2302" s="186" t="str">
        <f aca="false">+PROPER(C2302&amp;" "&amp;D2302)</f>
        <v> </v>
      </c>
      <c r="S2302" s="230" t="n">
        <f aca="false">+YEARFRAC(L2302,$S$1)</f>
        <v>126.366666666667</v>
      </c>
      <c r="T2302" s="230" t="n">
        <f aca="false">+YEARFRAC(M2302,$S$1)</f>
        <v>126.366666666667</v>
      </c>
      <c r="U2302" s="231" t="n">
        <f aca="false">+$I2302</f>
        <v>0</v>
      </c>
      <c r="V2302" s="232" t="str">
        <f aca="false">+PROPER(F2302)</f>
        <v/>
      </c>
    </row>
    <row r="2303" customFormat="false" ht="14.25" hidden="false" customHeight="false" outlineLevel="0" collapsed="false">
      <c r="B2303" s="244"/>
      <c r="C2303" s="245"/>
      <c r="D2303" s="245"/>
      <c r="E2303" s="246"/>
      <c r="F2303" s="246"/>
      <c r="G2303" s="225" t="e">
        <f aca="false">VLOOKUP(B2303,'NIVEL ENERO'!A:F,4,0)</f>
        <v>#N/A</v>
      </c>
      <c r="H2303" s="247"/>
      <c r="I2303" s="247"/>
      <c r="J2303" s="246"/>
      <c r="K2303" s="246"/>
      <c r="L2303" s="226"/>
      <c r="M2303" s="226"/>
      <c r="N2303" s="246"/>
      <c r="P2303" s="228"/>
      <c r="Q2303" s="245"/>
      <c r="R2303" s="186" t="str">
        <f aca="false">+PROPER(C2303&amp;" "&amp;D2303)</f>
        <v> </v>
      </c>
      <c r="S2303" s="230" t="n">
        <f aca="false">+YEARFRAC(L2303,$S$1)</f>
        <v>126.366666666667</v>
      </c>
      <c r="T2303" s="230" t="n">
        <f aca="false">+YEARFRAC(M2303,$S$1)</f>
        <v>126.366666666667</v>
      </c>
      <c r="U2303" s="231" t="n">
        <f aca="false">+$I2303</f>
        <v>0</v>
      </c>
      <c r="V2303" s="232" t="str">
        <f aca="false">+PROPER(F2303)</f>
        <v/>
      </c>
    </row>
    <row r="2304" customFormat="false" ht="14.25" hidden="false" customHeight="false" outlineLevel="0" collapsed="false">
      <c r="B2304" s="244"/>
      <c r="C2304" s="245"/>
      <c r="D2304" s="245"/>
      <c r="E2304" s="246"/>
      <c r="F2304" s="246"/>
      <c r="G2304" s="225" t="e">
        <f aca="false">VLOOKUP(B2304,'NIVEL ENERO'!A:F,4,0)</f>
        <v>#N/A</v>
      </c>
      <c r="H2304" s="247"/>
      <c r="I2304" s="247"/>
      <c r="J2304" s="246"/>
      <c r="K2304" s="246"/>
      <c r="L2304" s="226"/>
      <c r="M2304" s="226"/>
      <c r="N2304" s="246"/>
      <c r="P2304" s="228"/>
      <c r="Q2304" s="245"/>
      <c r="R2304" s="186" t="str">
        <f aca="false">+PROPER(C2304&amp;" "&amp;D2304)</f>
        <v> </v>
      </c>
      <c r="S2304" s="230" t="n">
        <f aca="false">+YEARFRAC(L2304,$S$1)</f>
        <v>126.366666666667</v>
      </c>
      <c r="T2304" s="230" t="n">
        <f aca="false">+YEARFRAC(M2304,$S$1)</f>
        <v>126.366666666667</v>
      </c>
      <c r="U2304" s="231" t="n">
        <f aca="false">+$I2304</f>
        <v>0</v>
      </c>
      <c r="V2304" s="232" t="str">
        <f aca="false">+PROPER(F2304)</f>
        <v/>
      </c>
    </row>
    <row r="2305" customFormat="false" ht="14.25" hidden="false" customHeight="false" outlineLevel="0" collapsed="false">
      <c r="B2305" s="244"/>
      <c r="C2305" s="245"/>
      <c r="D2305" s="245"/>
      <c r="E2305" s="246"/>
      <c r="F2305" s="246"/>
      <c r="G2305" s="225" t="e">
        <f aca="false">VLOOKUP(B2305,'NIVEL ENERO'!A:F,4,0)</f>
        <v>#N/A</v>
      </c>
      <c r="H2305" s="247"/>
      <c r="I2305" s="247"/>
      <c r="J2305" s="246"/>
      <c r="K2305" s="246"/>
      <c r="L2305" s="226"/>
      <c r="M2305" s="226"/>
      <c r="N2305" s="246"/>
      <c r="P2305" s="228"/>
      <c r="Q2305" s="245"/>
      <c r="R2305" s="186" t="str">
        <f aca="false">+PROPER(C2305&amp;" "&amp;D2305)</f>
        <v> </v>
      </c>
      <c r="S2305" s="230" t="n">
        <f aca="false">+YEARFRAC(L2305,$S$1)</f>
        <v>126.366666666667</v>
      </c>
      <c r="T2305" s="230" t="n">
        <f aca="false">+YEARFRAC(M2305,$S$1)</f>
        <v>126.366666666667</v>
      </c>
      <c r="U2305" s="231" t="n">
        <f aca="false">+$I2305</f>
        <v>0</v>
      </c>
      <c r="V2305" s="232" t="str">
        <f aca="false">+PROPER(F2305)</f>
        <v/>
      </c>
    </row>
    <row r="2306" customFormat="false" ht="14.25" hidden="false" customHeight="false" outlineLevel="0" collapsed="false">
      <c r="B2306" s="244"/>
      <c r="C2306" s="245"/>
      <c r="D2306" s="245"/>
      <c r="E2306" s="246"/>
      <c r="F2306" s="246"/>
      <c r="G2306" s="225" t="e">
        <f aca="false">VLOOKUP(B2306,'NIVEL ENERO'!A:F,4,0)</f>
        <v>#N/A</v>
      </c>
      <c r="H2306" s="247"/>
      <c r="I2306" s="247"/>
      <c r="J2306" s="246"/>
      <c r="K2306" s="246"/>
      <c r="L2306" s="226"/>
      <c r="M2306" s="226"/>
      <c r="N2306" s="246"/>
      <c r="P2306" s="228"/>
      <c r="Q2306" s="245"/>
      <c r="R2306" s="186" t="str">
        <f aca="false">+PROPER(C2306&amp;" "&amp;D2306)</f>
        <v> </v>
      </c>
      <c r="S2306" s="230" t="n">
        <f aca="false">+YEARFRAC(L2306,$S$1)</f>
        <v>126.366666666667</v>
      </c>
      <c r="T2306" s="230" t="n">
        <f aca="false">+YEARFRAC(M2306,$S$1)</f>
        <v>126.366666666667</v>
      </c>
      <c r="U2306" s="231" t="n">
        <f aca="false">+$I2306</f>
        <v>0</v>
      </c>
      <c r="V2306" s="232" t="str">
        <f aca="false">+PROPER(F2306)</f>
        <v/>
      </c>
    </row>
    <row r="2307" customFormat="false" ht="14.25" hidden="false" customHeight="false" outlineLevel="0" collapsed="false">
      <c r="B2307" s="244"/>
      <c r="C2307" s="245"/>
      <c r="D2307" s="245"/>
      <c r="E2307" s="246"/>
      <c r="F2307" s="246"/>
      <c r="G2307" s="225" t="e">
        <f aca="false">VLOOKUP(B2307,'NIVEL ENERO'!A:F,4,0)</f>
        <v>#N/A</v>
      </c>
      <c r="H2307" s="247"/>
      <c r="I2307" s="247"/>
      <c r="J2307" s="246"/>
      <c r="K2307" s="246"/>
      <c r="L2307" s="226"/>
      <c r="M2307" s="226"/>
      <c r="N2307" s="246"/>
      <c r="P2307" s="228"/>
      <c r="Q2307" s="245"/>
      <c r="R2307" s="186" t="str">
        <f aca="false">+PROPER(C2307&amp;" "&amp;D2307)</f>
        <v> </v>
      </c>
      <c r="S2307" s="230" t="n">
        <f aca="false">+YEARFRAC(L2307,$S$1)</f>
        <v>126.366666666667</v>
      </c>
      <c r="T2307" s="230" t="n">
        <f aca="false">+YEARFRAC(M2307,$S$1)</f>
        <v>126.366666666667</v>
      </c>
      <c r="U2307" s="231" t="n">
        <f aca="false">+$I2307</f>
        <v>0</v>
      </c>
      <c r="V2307" s="232" t="str">
        <f aca="false">+PROPER(F2307)</f>
        <v/>
      </c>
    </row>
    <row r="2308" customFormat="false" ht="14.25" hidden="false" customHeight="false" outlineLevel="0" collapsed="false">
      <c r="B2308" s="244"/>
      <c r="C2308" s="245"/>
      <c r="D2308" s="245"/>
      <c r="E2308" s="246"/>
      <c r="F2308" s="246"/>
      <c r="G2308" s="225" t="e">
        <f aca="false">VLOOKUP(B2308,'NIVEL ENERO'!A:F,4,0)</f>
        <v>#N/A</v>
      </c>
      <c r="H2308" s="247"/>
      <c r="I2308" s="247"/>
      <c r="J2308" s="246"/>
      <c r="K2308" s="246"/>
      <c r="L2308" s="226"/>
      <c r="M2308" s="226"/>
      <c r="N2308" s="246"/>
      <c r="P2308" s="228"/>
      <c r="Q2308" s="245"/>
      <c r="R2308" s="186" t="str">
        <f aca="false">+PROPER(C2308&amp;" "&amp;D2308)</f>
        <v> </v>
      </c>
      <c r="S2308" s="230" t="n">
        <f aca="false">+YEARFRAC(L2308,$S$1)</f>
        <v>126.366666666667</v>
      </c>
      <c r="T2308" s="230" t="n">
        <f aca="false">+YEARFRAC(M2308,$S$1)</f>
        <v>126.366666666667</v>
      </c>
      <c r="U2308" s="231" t="n">
        <f aca="false">+$I2308</f>
        <v>0</v>
      </c>
      <c r="V2308" s="232" t="str">
        <f aca="false">+PROPER(F2308)</f>
        <v/>
      </c>
    </row>
    <row r="2309" customFormat="false" ht="14.25" hidden="false" customHeight="false" outlineLevel="0" collapsed="false">
      <c r="B2309" s="244"/>
      <c r="C2309" s="245"/>
      <c r="D2309" s="245"/>
      <c r="E2309" s="246"/>
      <c r="F2309" s="246"/>
      <c r="G2309" s="225" t="e">
        <f aca="false">VLOOKUP(B2309,'NIVEL ENERO'!A:F,4,0)</f>
        <v>#N/A</v>
      </c>
      <c r="H2309" s="247"/>
      <c r="I2309" s="247"/>
      <c r="J2309" s="246"/>
      <c r="K2309" s="246"/>
      <c r="L2309" s="226"/>
      <c r="M2309" s="226"/>
      <c r="N2309" s="246"/>
      <c r="P2309" s="228"/>
      <c r="Q2309" s="245"/>
      <c r="R2309" s="186" t="str">
        <f aca="false">+PROPER(C2309&amp;" "&amp;D2309)</f>
        <v> </v>
      </c>
      <c r="S2309" s="230" t="n">
        <f aca="false">+YEARFRAC(L2309,$S$1)</f>
        <v>126.366666666667</v>
      </c>
      <c r="T2309" s="230" t="n">
        <f aca="false">+YEARFRAC(M2309,$S$1)</f>
        <v>126.366666666667</v>
      </c>
      <c r="U2309" s="231" t="n">
        <f aca="false">+$I2309</f>
        <v>0</v>
      </c>
      <c r="V2309" s="232" t="str">
        <f aca="false">+PROPER(F2309)</f>
        <v/>
      </c>
    </row>
    <row r="2310" customFormat="false" ht="14.25" hidden="false" customHeight="false" outlineLevel="0" collapsed="false">
      <c r="B2310" s="244"/>
      <c r="C2310" s="245"/>
      <c r="D2310" s="245"/>
      <c r="E2310" s="246"/>
      <c r="F2310" s="246"/>
      <c r="G2310" s="225" t="e">
        <f aca="false">VLOOKUP(B2310,'NIVEL ENERO'!A:F,4,0)</f>
        <v>#N/A</v>
      </c>
      <c r="H2310" s="247"/>
      <c r="I2310" s="247"/>
      <c r="J2310" s="246"/>
      <c r="K2310" s="246"/>
      <c r="L2310" s="226"/>
      <c r="M2310" s="226"/>
      <c r="N2310" s="246"/>
      <c r="P2310" s="228"/>
      <c r="Q2310" s="245"/>
      <c r="R2310" s="186" t="str">
        <f aca="false">+PROPER(C2310&amp;" "&amp;D2310)</f>
        <v> </v>
      </c>
      <c r="S2310" s="230" t="n">
        <f aca="false">+YEARFRAC(L2310,$S$1)</f>
        <v>126.366666666667</v>
      </c>
      <c r="T2310" s="230" t="n">
        <f aca="false">+YEARFRAC(M2310,$S$1)</f>
        <v>126.366666666667</v>
      </c>
      <c r="U2310" s="231" t="n">
        <f aca="false">+$I2310</f>
        <v>0</v>
      </c>
      <c r="V2310" s="232" t="str">
        <f aca="false">+PROPER(F2310)</f>
        <v/>
      </c>
    </row>
    <row r="2311" customFormat="false" ht="14.25" hidden="false" customHeight="false" outlineLevel="0" collapsed="false">
      <c r="B2311" s="244"/>
      <c r="C2311" s="245"/>
      <c r="D2311" s="245"/>
      <c r="E2311" s="246"/>
      <c r="F2311" s="246"/>
      <c r="G2311" s="225" t="e">
        <f aca="false">VLOOKUP(B2311,'NIVEL ENERO'!A:F,4,0)</f>
        <v>#N/A</v>
      </c>
      <c r="H2311" s="247"/>
      <c r="I2311" s="247"/>
      <c r="J2311" s="246"/>
      <c r="K2311" s="246"/>
      <c r="L2311" s="226"/>
      <c r="M2311" s="226"/>
      <c r="N2311" s="246"/>
      <c r="P2311" s="228"/>
      <c r="Q2311" s="245"/>
      <c r="R2311" s="186" t="str">
        <f aca="false">+PROPER(C2311&amp;" "&amp;D2311)</f>
        <v> </v>
      </c>
      <c r="S2311" s="230" t="n">
        <f aca="false">+YEARFRAC(L2311,$S$1)</f>
        <v>126.366666666667</v>
      </c>
      <c r="T2311" s="230" t="n">
        <f aca="false">+YEARFRAC(M2311,$S$1)</f>
        <v>126.366666666667</v>
      </c>
      <c r="U2311" s="231" t="n">
        <f aca="false">+$I2311</f>
        <v>0</v>
      </c>
      <c r="V2311" s="232" t="str">
        <f aca="false">+PROPER(F2311)</f>
        <v/>
      </c>
    </row>
    <row r="2312" customFormat="false" ht="14.25" hidden="false" customHeight="false" outlineLevel="0" collapsed="false">
      <c r="B2312" s="244"/>
      <c r="C2312" s="245"/>
      <c r="D2312" s="245"/>
      <c r="E2312" s="246"/>
      <c r="F2312" s="246"/>
      <c r="G2312" s="225" t="e">
        <f aca="false">VLOOKUP(B2312,'NIVEL ENERO'!A:F,4,0)</f>
        <v>#N/A</v>
      </c>
      <c r="H2312" s="247"/>
      <c r="I2312" s="247"/>
      <c r="J2312" s="246"/>
      <c r="K2312" s="246"/>
      <c r="L2312" s="226"/>
      <c r="M2312" s="226"/>
      <c r="N2312" s="246"/>
      <c r="P2312" s="228"/>
      <c r="Q2312" s="245"/>
      <c r="R2312" s="186" t="str">
        <f aca="false">+PROPER(C2312&amp;" "&amp;D2312)</f>
        <v> </v>
      </c>
      <c r="S2312" s="230" t="n">
        <f aca="false">+YEARFRAC(L2312,$S$1)</f>
        <v>126.366666666667</v>
      </c>
      <c r="T2312" s="230" t="n">
        <f aca="false">+YEARFRAC(M2312,$S$1)</f>
        <v>126.366666666667</v>
      </c>
      <c r="U2312" s="231" t="n">
        <f aca="false">+$I2312</f>
        <v>0</v>
      </c>
      <c r="V2312" s="232" t="str">
        <f aca="false">+PROPER(F2312)</f>
        <v/>
      </c>
    </row>
    <row r="2313" customFormat="false" ht="14.25" hidden="false" customHeight="false" outlineLevel="0" collapsed="false">
      <c r="B2313" s="244"/>
      <c r="C2313" s="245"/>
      <c r="D2313" s="245"/>
      <c r="E2313" s="246"/>
      <c r="F2313" s="246"/>
      <c r="G2313" s="225" t="e">
        <f aca="false">VLOOKUP(B2313,'NIVEL ENERO'!A:F,4,0)</f>
        <v>#N/A</v>
      </c>
      <c r="H2313" s="247"/>
      <c r="I2313" s="247"/>
      <c r="J2313" s="246"/>
      <c r="K2313" s="246"/>
      <c r="L2313" s="226"/>
      <c r="M2313" s="226"/>
      <c r="N2313" s="246"/>
      <c r="P2313" s="228"/>
      <c r="Q2313" s="245"/>
      <c r="R2313" s="186" t="str">
        <f aca="false">+PROPER(C2313&amp;" "&amp;D2313)</f>
        <v> </v>
      </c>
      <c r="S2313" s="230" t="n">
        <f aca="false">+YEARFRAC(L2313,$S$1)</f>
        <v>126.366666666667</v>
      </c>
      <c r="T2313" s="230" t="n">
        <f aca="false">+YEARFRAC(M2313,$S$1)</f>
        <v>126.366666666667</v>
      </c>
      <c r="U2313" s="231" t="n">
        <f aca="false">+$I2313</f>
        <v>0</v>
      </c>
      <c r="V2313" s="232" t="str">
        <f aca="false">+PROPER(F2313)</f>
        <v/>
      </c>
    </row>
    <row r="2314" customFormat="false" ht="14.25" hidden="false" customHeight="false" outlineLevel="0" collapsed="false">
      <c r="B2314" s="244"/>
      <c r="C2314" s="245"/>
      <c r="D2314" s="245"/>
      <c r="E2314" s="246"/>
      <c r="F2314" s="246"/>
      <c r="G2314" s="225" t="e">
        <f aca="false">VLOOKUP(B2314,'NIVEL ENERO'!A:F,4,0)</f>
        <v>#N/A</v>
      </c>
      <c r="H2314" s="247"/>
      <c r="I2314" s="247"/>
      <c r="J2314" s="246"/>
      <c r="K2314" s="246"/>
      <c r="L2314" s="226"/>
      <c r="M2314" s="226"/>
      <c r="N2314" s="246"/>
      <c r="P2314" s="228"/>
      <c r="Q2314" s="245"/>
      <c r="R2314" s="186" t="str">
        <f aca="false">+PROPER(C2314&amp;" "&amp;D2314)</f>
        <v> </v>
      </c>
      <c r="S2314" s="230" t="n">
        <f aca="false">+YEARFRAC(L2314,$S$1)</f>
        <v>126.366666666667</v>
      </c>
      <c r="T2314" s="230" t="n">
        <f aca="false">+YEARFRAC(M2314,$S$1)</f>
        <v>126.366666666667</v>
      </c>
      <c r="U2314" s="231" t="n">
        <f aca="false">+$I2314</f>
        <v>0</v>
      </c>
      <c r="V2314" s="232" t="str">
        <f aca="false">+PROPER(F2314)</f>
        <v/>
      </c>
    </row>
    <row r="2315" customFormat="false" ht="14.25" hidden="false" customHeight="false" outlineLevel="0" collapsed="false">
      <c r="B2315" s="244"/>
      <c r="C2315" s="245"/>
      <c r="D2315" s="245"/>
      <c r="E2315" s="246"/>
      <c r="F2315" s="246"/>
      <c r="G2315" s="225" t="e">
        <f aca="false">VLOOKUP(B2315,'NIVEL ENERO'!A:F,4,0)</f>
        <v>#N/A</v>
      </c>
      <c r="H2315" s="247"/>
      <c r="I2315" s="247"/>
      <c r="J2315" s="246"/>
      <c r="K2315" s="246"/>
      <c r="L2315" s="226"/>
      <c r="M2315" s="226"/>
      <c r="N2315" s="246"/>
      <c r="P2315" s="228"/>
      <c r="Q2315" s="245"/>
      <c r="R2315" s="186" t="str">
        <f aca="false">+PROPER(C2315&amp;" "&amp;D2315)</f>
        <v> </v>
      </c>
      <c r="S2315" s="230" t="n">
        <f aca="false">+YEARFRAC(L2315,$S$1)</f>
        <v>126.366666666667</v>
      </c>
      <c r="T2315" s="230" t="n">
        <f aca="false">+YEARFRAC(M2315,$S$1)</f>
        <v>126.366666666667</v>
      </c>
      <c r="U2315" s="231" t="n">
        <f aca="false">+$I2315</f>
        <v>0</v>
      </c>
      <c r="V2315" s="232" t="str">
        <f aca="false">+PROPER(F2315)</f>
        <v/>
      </c>
    </row>
    <row r="2316" customFormat="false" ht="14.25" hidden="false" customHeight="false" outlineLevel="0" collapsed="false">
      <c r="B2316" s="244"/>
      <c r="C2316" s="245"/>
      <c r="D2316" s="245"/>
      <c r="E2316" s="246"/>
      <c r="F2316" s="246"/>
      <c r="G2316" s="225" t="e">
        <f aca="false">VLOOKUP(B2316,'NIVEL ENERO'!A:F,4,0)</f>
        <v>#N/A</v>
      </c>
      <c r="H2316" s="247"/>
      <c r="I2316" s="247"/>
      <c r="J2316" s="246"/>
      <c r="K2316" s="246"/>
      <c r="L2316" s="226"/>
      <c r="M2316" s="226"/>
      <c r="N2316" s="246"/>
      <c r="P2316" s="228"/>
      <c r="Q2316" s="245"/>
      <c r="R2316" s="186" t="str">
        <f aca="false">+PROPER(C2316&amp;" "&amp;D2316)</f>
        <v> </v>
      </c>
      <c r="S2316" s="230" t="n">
        <f aca="false">+YEARFRAC(L2316,$S$1)</f>
        <v>126.366666666667</v>
      </c>
      <c r="T2316" s="230" t="n">
        <f aca="false">+YEARFRAC(M2316,$S$1)</f>
        <v>126.366666666667</v>
      </c>
      <c r="U2316" s="231" t="n">
        <f aca="false">+$I2316</f>
        <v>0</v>
      </c>
      <c r="V2316" s="232" t="str">
        <f aca="false">+PROPER(F2316)</f>
        <v/>
      </c>
    </row>
    <row r="2317" customFormat="false" ht="14.25" hidden="false" customHeight="false" outlineLevel="0" collapsed="false">
      <c r="B2317" s="244"/>
      <c r="C2317" s="245"/>
      <c r="D2317" s="245"/>
      <c r="E2317" s="246"/>
      <c r="F2317" s="246"/>
      <c r="G2317" s="225" t="e">
        <f aca="false">VLOOKUP(B2317,'NIVEL ENERO'!A:F,4,0)</f>
        <v>#N/A</v>
      </c>
      <c r="H2317" s="247"/>
      <c r="I2317" s="247"/>
      <c r="J2317" s="246"/>
      <c r="K2317" s="246"/>
      <c r="L2317" s="226"/>
      <c r="M2317" s="226"/>
      <c r="N2317" s="246"/>
      <c r="P2317" s="228"/>
      <c r="Q2317" s="245"/>
      <c r="R2317" s="186" t="str">
        <f aca="false">+PROPER(C2317&amp;" "&amp;D2317)</f>
        <v> </v>
      </c>
      <c r="S2317" s="230" t="n">
        <f aca="false">+YEARFRAC(L2317,$S$1)</f>
        <v>126.366666666667</v>
      </c>
      <c r="T2317" s="230" t="n">
        <f aca="false">+YEARFRAC(M2317,$S$1)</f>
        <v>126.366666666667</v>
      </c>
      <c r="U2317" s="231" t="n">
        <f aca="false">+$I2317</f>
        <v>0</v>
      </c>
      <c r="V2317" s="232" t="str">
        <f aca="false">+PROPER(F2317)</f>
        <v/>
      </c>
    </row>
    <row r="2318" customFormat="false" ht="14.25" hidden="false" customHeight="false" outlineLevel="0" collapsed="false">
      <c r="B2318" s="244"/>
      <c r="C2318" s="245"/>
      <c r="D2318" s="245"/>
      <c r="E2318" s="246"/>
      <c r="F2318" s="246"/>
      <c r="G2318" s="225" t="e">
        <f aca="false">VLOOKUP(B2318,'NIVEL ENERO'!A:F,4,0)</f>
        <v>#N/A</v>
      </c>
      <c r="H2318" s="247"/>
      <c r="I2318" s="247"/>
      <c r="J2318" s="246"/>
      <c r="K2318" s="246"/>
      <c r="L2318" s="226"/>
      <c r="M2318" s="226"/>
      <c r="N2318" s="246"/>
      <c r="P2318" s="228"/>
      <c r="Q2318" s="245"/>
      <c r="R2318" s="186" t="str">
        <f aca="false">+PROPER(C2318&amp;" "&amp;D2318)</f>
        <v> </v>
      </c>
      <c r="S2318" s="230" t="n">
        <f aca="false">+YEARFRAC(L2318,$S$1)</f>
        <v>126.366666666667</v>
      </c>
      <c r="T2318" s="230" t="n">
        <f aca="false">+YEARFRAC(M2318,$S$1)</f>
        <v>126.366666666667</v>
      </c>
      <c r="U2318" s="231" t="n">
        <f aca="false">+$I2318</f>
        <v>0</v>
      </c>
      <c r="V2318" s="232" t="str">
        <f aca="false">+PROPER(F2318)</f>
        <v/>
      </c>
    </row>
    <row r="2319" customFormat="false" ht="14.25" hidden="false" customHeight="false" outlineLevel="0" collapsed="false">
      <c r="B2319" s="244"/>
      <c r="C2319" s="245"/>
      <c r="D2319" s="245"/>
      <c r="E2319" s="246"/>
      <c r="F2319" s="246"/>
      <c r="G2319" s="225" t="e">
        <f aca="false">VLOOKUP(B2319,'NIVEL ENERO'!A:F,4,0)</f>
        <v>#N/A</v>
      </c>
      <c r="H2319" s="247"/>
      <c r="I2319" s="247"/>
      <c r="J2319" s="246"/>
      <c r="K2319" s="246"/>
      <c r="L2319" s="226"/>
      <c r="M2319" s="226"/>
      <c r="N2319" s="246"/>
      <c r="P2319" s="228"/>
      <c r="Q2319" s="245"/>
      <c r="R2319" s="186" t="str">
        <f aca="false">+PROPER(C2319&amp;" "&amp;D2319)</f>
        <v> </v>
      </c>
      <c r="S2319" s="230" t="n">
        <f aca="false">+YEARFRAC(L2319,$S$1)</f>
        <v>126.366666666667</v>
      </c>
      <c r="T2319" s="230" t="n">
        <f aca="false">+YEARFRAC(M2319,$S$1)</f>
        <v>126.366666666667</v>
      </c>
      <c r="U2319" s="231" t="n">
        <f aca="false">+$I2319</f>
        <v>0</v>
      </c>
      <c r="V2319" s="232" t="str">
        <f aca="false">+PROPER(F2319)</f>
        <v/>
      </c>
    </row>
    <row r="2320" customFormat="false" ht="14.25" hidden="false" customHeight="false" outlineLevel="0" collapsed="false">
      <c r="B2320" s="244"/>
      <c r="C2320" s="245"/>
      <c r="D2320" s="245"/>
      <c r="E2320" s="246"/>
      <c r="F2320" s="246"/>
      <c r="G2320" s="225" t="e">
        <f aca="false">VLOOKUP(B2320,'NIVEL ENERO'!A:F,4,0)</f>
        <v>#N/A</v>
      </c>
      <c r="H2320" s="247"/>
      <c r="I2320" s="247"/>
      <c r="J2320" s="246"/>
      <c r="K2320" s="246"/>
      <c r="L2320" s="226"/>
      <c r="M2320" s="226"/>
      <c r="N2320" s="246"/>
      <c r="P2320" s="228"/>
      <c r="Q2320" s="245"/>
      <c r="R2320" s="186" t="str">
        <f aca="false">+PROPER(C2320&amp;" "&amp;D2320)</f>
        <v> </v>
      </c>
      <c r="S2320" s="230" t="n">
        <f aca="false">+YEARFRAC(L2320,$S$1)</f>
        <v>126.366666666667</v>
      </c>
      <c r="T2320" s="230" t="n">
        <f aca="false">+YEARFRAC(M2320,$S$1)</f>
        <v>126.366666666667</v>
      </c>
      <c r="U2320" s="231" t="n">
        <f aca="false">+$I2320</f>
        <v>0</v>
      </c>
      <c r="V2320" s="232" t="str">
        <f aca="false">+PROPER(F2320)</f>
        <v/>
      </c>
    </row>
    <row r="2321" customFormat="false" ht="14.25" hidden="false" customHeight="false" outlineLevel="0" collapsed="false">
      <c r="B2321" s="244"/>
      <c r="C2321" s="245"/>
      <c r="D2321" s="245"/>
      <c r="E2321" s="246"/>
      <c r="F2321" s="246"/>
      <c r="G2321" s="225" t="e">
        <f aca="false">VLOOKUP(B2321,'NIVEL ENERO'!A:F,4,0)</f>
        <v>#N/A</v>
      </c>
      <c r="H2321" s="247"/>
      <c r="I2321" s="247"/>
      <c r="J2321" s="246"/>
      <c r="K2321" s="246"/>
      <c r="L2321" s="226"/>
      <c r="M2321" s="226"/>
      <c r="N2321" s="246"/>
      <c r="P2321" s="228"/>
      <c r="Q2321" s="245"/>
      <c r="R2321" s="186" t="str">
        <f aca="false">+PROPER(C2321&amp;" "&amp;D2321)</f>
        <v> </v>
      </c>
      <c r="S2321" s="230" t="n">
        <f aca="false">+YEARFRAC(L2321,$S$1)</f>
        <v>126.366666666667</v>
      </c>
      <c r="T2321" s="230" t="n">
        <f aca="false">+YEARFRAC(M2321,$S$1)</f>
        <v>126.366666666667</v>
      </c>
      <c r="U2321" s="231" t="n">
        <f aca="false">+$I2321</f>
        <v>0</v>
      </c>
      <c r="V2321" s="232" t="str">
        <f aca="false">+PROPER(F2321)</f>
        <v/>
      </c>
    </row>
    <row r="2322" customFormat="false" ht="14.25" hidden="false" customHeight="false" outlineLevel="0" collapsed="false">
      <c r="B2322" s="244"/>
      <c r="C2322" s="245"/>
      <c r="D2322" s="245"/>
      <c r="E2322" s="246"/>
      <c r="F2322" s="246"/>
      <c r="G2322" s="225" t="e">
        <f aca="false">VLOOKUP(B2322,'NIVEL ENERO'!A:F,4,0)</f>
        <v>#N/A</v>
      </c>
      <c r="H2322" s="247"/>
      <c r="I2322" s="247"/>
      <c r="J2322" s="246"/>
      <c r="K2322" s="246"/>
      <c r="L2322" s="226"/>
      <c r="M2322" s="226"/>
      <c r="N2322" s="246"/>
      <c r="P2322" s="228"/>
      <c r="Q2322" s="245"/>
      <c r="R2322" s="186" t="str">
        <f aca="false">+PROPER(C2322&amp;" "&amp;D2322)</f>
        <v> </v>
      </c>
      <c r="S2322" s="230" t="n">
        <f aca="false">+YEARFRAC(L2322,$S$1)</f>
        <v>126.366666666667</v>
      </c>
      <c r="T2322" s="230" t="n">
        <f aca="false">+YEARFRAC(M2322,$S$1)</f>
        <v>126.366666666667</v>
      </c>
      <c r="U2322" s="231" t="n">
        <f aca="false">+$I2322</f>
        <v>0</v>
      </c>
      <c r="V2322" s="232" t="str">
        <f aca="false">+PROPER(F2322)</f>
        <v/>
      </c>
    </row>
    <row r="2323" customFormat="false" ht="14.25" hidden="false" customHeight="false" outlineLevel="0" collapsed="false">
      <c r="B2323" s="244"/>
      <c r="C2323" s="245"/>
      <c r="D2323" s="245"/>
      <c r="E2323" s="246"/>
      <c r="F2323" s="246"/>
      <c r="G2323" s="225" t="e">
        <f aca="false">VLOOKUP(B2323,'NIVEL ENERO'!A:F,4,0)</f>
        <v>#N/A</v>
      </c>
      <c r="H2323" s="247"/>
      <c r="I2323" s="247"/>
      <c r="J2323" s="246"/>
      <c r="K2323" s="246"/>
      <c r="L2323" s="226"/>
      <c r="M2323" s="226"/>
      <c r="N2323" s="246"/>
      <c r="P2323" s="228"/>
      <c r="Q2323" s="245"/>
      <c r="R2323" s="186" t="str">
        <f aca="false">+PROPER(C2323&amp;" "&amp;D2323)</f>
        <v> </v>
      </c>
      <c r="S2323" s="230" t="n">
        <f aca="false">+YEARFRAC(L2323,$S$1)</f>
        <v>126.366666666667</v>
      </c>
      <c r="T2323" s="230" t="n">
        <f aca="false">+YEARFRAC(M2323,$S$1)</f>
        <v>126.366666666667</v>
      </c>
      <c r="U2323" s="231" t="n">
        <f aca="false">+$I2323</f>
        <v>0</v>
      </c>
      <c r="V2323" s="232" t="str">
        <f aca="false">+PROPER(F2323)</f>
        <v/>
      </c>
    </row>
    <row r="2324" customFormat="false" ht="14.25" hidden="false" customHeight="false" outlineLevel="0" collapsed="false">
      <c r="B2324" s="244"/>
      <c r="C2324" s="245"/>
      <c r="D2324" s="245"/>
      <c r="E2324" s="246"/>
      <c r="F2324" s="246"/>
      <c r="G2324" s="225" t="e">
        <f aca="false">VLOOKUP(B2324,'NIVEL ENERO'!A:F,4,0)</f>
        <v>#N/A</v>
      </c>
      <c r="H2324" s="247"/>
      <c r="I2324" s="247"/>
      <c r="J2324" s="246"/>
      <c r="K2324" s="246"/>
      <c r="L2324" s="226"/>
      <c r="M2324" s="226"/>
      <c r="N2324" s="246"/>
      <c r="P2324" s="228"/>
      <c r="Q2324" s="245"/>
      <c r="R2324" s="186" t="str">
        <f aca="false">+PROPER(C2324&amp;" "&amp;D2324)</f>
        <v> </v>
      </c>
      <c r="S2324" s="230" t="n">
        <f aca="false">+YEARFRAC(L2324,$S$1)</f>
        <v>126.366666666667</v>
      </c>
      <c r="T2324" s="230" t="n">
        <f aca="false">+YEARFRAC(M2324,$S$1)</f>
        <v>126.366666666667</v>
      </c>
      <c r="U2324" s="231" t="n">
        <f aca="false">+$I2324</f>
        <v>0</v>
      </c>
      <c r="V2324" s="232" t="str">
        <f aca="false">+PROPER(F2324)</f>
        <v/>
      </c>
    </row>
    <row r="2325" customFormat="false" ht="14.25" hidden="false" customHeight="false" outlineLevel="0" collapsed="false">
      <c r="B2325" s="244"/>
      <c r="C2325" s="245"/>
      <c r="D2325" s="245"/>
      <c r="E2325" s="246"/>
      <c r="F2325" s="246"/>
      <c r="G2325" s="225" t="e">
        <f aca="false">VLOOKUP(B2325,'NIVEL ENERO'!A:F,4,0)</f>
        <v>#N/A</v>
      </c>
      <c r="H2325" s="247"/>
      <c r="I2325" s="247"/>
      <c r="J2325" s="246"/>
      <c r="K2325" s="246"/>
      <c r="L2325" s="226"/>
      <c r="M2325" s="226"/>
      <c r="N2325" s="246"/>
      <c r="P2325" s="228"/>
      <c r="Q2325" s="245"/>
      <c r="R2325" s="186" t="str">
        <f aca="false">+PROPER(C2325&amp;" "&amp;D2325)</f>
        <v> </v>
      </c>
      <c r="S2325" s="230" t="n">
        <f aca="false">+YEARFRAC(L2325,$S$1)</f>
        <v>126.366666666667</v>
      </c>
      <c r="T2325" s="230" t="n">
        <f aca="false">+YEARFRAC(M2325,$S$1)</f>
        <v>126.366666666667</v>
      </c>
      <c r="U2325" s="231" t="n">
        <f aca="false">+$I2325</f>
        <v>0</v>
      </c>
      <c r="V2325" s="232" t="str">
        <f aca="false">+PROPER(F2325)</f>
        <v/>
      </c>
    </row>
    <row r="2326" customFormat="false" ht="14.25" hidden="false" customHeight="false" outlineLevel="0" collapsed="false">
      <c r="B2326" s="244"/>
      <c r="C2326" s="245"/>
      <c r="D2326" s="245"/>
      <c r="E2326" s="246"/>
      <c r="F2326" s="246"/>
      <c r="G2326" s="225" t="e">
        <f aca="false">VLOOKUP(B2326,'NIVEL ENERO'!A:F,4,0)</f>
        <v>#N/A</v>
      </c>
      <c r="H2326" s="247"/>
      <c r="I2326" s="247"/>
      <c r="J2326" s="246"/>
      <c r="K2326" s="246"/>
      <c r="L2326" s="226"/>
      <c r="M2326" s="226"/>
      <c r="N2326" s="246"/>
      <c r="P2326" s="228"/>
      <c r="Q2326" s="245"/>
      <c r="R2326" s="186" t="str">
        <f aca="false">+PROPER(C2326&amp;" "&amp;D2326)</f>
        <v> </v>
      </c>
      <c r="S2326" s="230" t="n">
        <f aca="false">+YEARFRAC(L2326,$S$1)</f>
        <v>126.366666666667</v>
      </c>
      <c r="T2326" s="230" t="n">
        <f aca="false">+YEARFRAC(M2326,$S$1)</f>
        <v>126.366666666667</v>
      </c>
      <c r="U2326" s="231" t="n">
        <f aca="false">+$I2326</f>
        <v>0</v>
      </c>
      <c r="V2326" s="232" t="str">
        <f aca="false">+PROPER(F2326)</f>
        <v/>
      </c>
    </row>
    <row r="2327" customFormat="false" ht="14.25" hidden="false" customHeight="false" outlineLevel="0" collapsed="false">
      <c r="B2327" s="244"/>
      <c r="C2327" s="245"/>
      <c r="D2327" s="245"/>
      <c r="E2327" s="246"/>
      <c r="F2327" s="246"/>
      <c r="G2327" s="225" t="e">
        <f aca="false">VLOOKUP(B2327,'NIVEL ENERO'!A:F,4,0)</f>
        <v>#N/A</v>
      </c>
      <c r="H2327" s="247"/>
      <c r="I2327" s="247"/>
      <c r="J2327" s="246"/>
      <c r="K2327" s="246"/>
      <c r="L2327" s="226"/>
      <c r="M2327" s="226"/>
      <c r="N2327" s="246"/>
      <c r="P2327" s="228"/>
      <c r="Q2327" s="245"/>
      <c r="R2327" s="186" t="str">
        <f aca="false">+PROPER(C2327&amp;" "&amp;D2327)</f>
        <v> </v>
      </c>
      <c r="S2327" s="230" t="n">
        <f aca="false">+YEARFRAC(L2327,$S$1)</f>
        <v>126.366666666667</v>
      </c>
      <c r="T2327" s="230" t="n">
        <f aca="false">+YEARFRAC(M2327,$S$1)</f>
        <v>126.366666666667</v>
      </c>
      <c r="U2327" s="231" t="n">
        <f aca="false">+$I2327</f>
        <v>0</v>
      </c>
      <c r="V2327" s="232" t="str">
        <f aca="false">+PROPER(F2327)</f>
        <v/>
      </c>
    </row>
    <row r="2328" customFormat="false" ht="14.25" hidden="false" customHeight="false" outlineLevel="0" collapsed="false">
      <c r="B2328" s="244"/>
      <c r="C2328" s="245"/>
      <c r="D2328" s="245"/>
      <c r="E2328" s="246"/>
      <c r="F2328" s="246"/>
      <c r="G2328" s="225" t="e">
        <f aca="false">VLOOKUP(B2328,'NIVEL ENERO'!A:F,4,0)</f>
        <v>#N/A</v>
      </c>
      <c r="H2328" s="247"/>
      <c r="I2328" s="247"/>
      <c r="J2328" s="246"/>
      <c r="K2328" s="246"/>
      <c r="L2328" s="226"/>
      <c r="M2328" s="226"/>
      <c r="N2328" s="246"/>
      <c r="P2328" s="228"/>
      <c r="Q2328" s="245"/>
      <c r="R2328" s="186" t="str">
        <f aca="false">+PROPER(C2328&amp;" "&amp;D2328)</f>
        <v> </v>
      </c>
      <c r="S2328" s="230" t="n">
        <f aca="false">+YEARFRAC(L2328,$S$1)</f>
        <v>126.366666666667</v>
      </c>
      <c r="T2328" s="230" t="n">
        <f aca="false">+YEARFRAC(M2328,$S$1)</f>
        <v>126.366666666667</v>
      </c>
      <c r="U2328" s="231" t="n">
        <f aca="false">+$I2328</f>
        <v>0</v>
      </c>
      <c r="V2328" s="232" t="str">
        <f aca="false">+PROPER(F2328)</f>
        <v/>
      </c>
    </row>
    <row r="2329" customFormat="false" ht="14.25" hidden="false" customHeight="false" outlineLevel="0" collapsed="false">
      <c r="B2329" s="244"/>
      <c r="C2329" s="245"/>
      <c r="D2329" s="245"/>
      <c r="E2329" s="246"/>
      <c r="F2329" s="246"/>
      <c r="G2329" s="225" t="e">
        <f aca="false">VLOOKUP(B2329,'NIVEL ENERO'!A:F,4,0)</f>
        <v>#N/A</v>
      </c>
      <c r="H2329" s="247"/>
      <c r="I2329" s="247"/>
      <c r="J2329" s="246"/>
      <c r="K2329" s="246"/>
      <c r="L2329" s="226"/>
      <c r="M2329" s="226"/>
      <c r="N2329" s="246"/>
      <c r="P2329" s="228"/>
      <c r="Q2329" s="245"/>
      <c r="R2329" s="186" t="str">
        <f aca="false">+PROPER(C2329&amp;" "&amp;D2329)</f>
        <v> </v>
      </c>
      <c r="S2329" s="230" t="n">
        <f aca="false">+YEARFRAC(L2329,$S$1)</f>
        <v>126.366666666667</v>
      </c>
      <c r="T2329" s="230" t="n">
        <f aca="false">+YEARFRAC(M2329,$S$1)</f>
        <v>126.366666666667</v>
      </c>
      <c r="U2329" s="231" t="n">
        <f aca="false">+$I2329</f>
        <v>0</v>
      </c>
      <c r="V2329" s="232" t="str">
        <f aca="false">+PROPER(F2329)</f>
        <v/>
      </c>
    </row>
    <row r="2330" customFormat="false" ht="14.25" hidden="false" customHeight="false" outlineLevel="0" collapsed="false">
      <c r="B2330" s="244"/>
      <c r="C2330" s="245"/>
      <c r="D2330" s="245"/>
      <c r="E2330" s="246"/>
      <c r="F2330" s="246"/>
      <c r="G2330" s="225" t="e">
        <f aca="false">VLOOKUP(B2330,'NIVEL ENERO'!A:F,4,0)</f>
        <v>#N/A</v>
      </c>
      <c r="H2330" s="247"/>
      <c r="I2330" s="247"/>
      <c r="J2330" s="246"/>
      <c r="K2330" s="246"/>
      <c r="L2330" s="226"/>
      <c r="M2330" s="226"/>
      <c r="N2330" s="246"/>
      <c r="P2330" s="228"/>
      <c r="Q2330" s="245"/>
      <c r="R2330" s="186" t="str">
        <f aca="false">+PROPER(C2330&amp;" "&amp;D2330)</f>
        <v> </v>
      </c>
      <c r="S2330" s="230" t="n">
        <f aca="false">+YEARFRAC(L2330,$S$1)</f>
        <v>126.366666666667</v>
      </c>
      <c r="T2330" s="230" t="n">
        <f aca="false">+YEARFRAC(M2330,$S$1)</f>
        <v>126.366666666667</v>
      </c>
      <c r="U2330" s="231" t="n">
        <f aca="false">+$I2330</f>
        <v>0</v>
      </c>
      <c r="V2330" s="232" t="str">
        <f aca="false">+PROPER(F2330)</f>
        <v/>
      </c>
    </row>
    <row r="2331" customFormat="false" ht="14.25" hidden="false" customHeight="false" outlineLevel="0" collapsed="false">
      <c r="B2331" s="244"/>
      <c r="C2331" s="245"/>
      <c r="D2331" s="245"/>
      <c r="E2331" s="246"/>
      <c r="F2331" s="246"/>
      <c r="G2331" s="225" t="e">
        <f aca="false">VLOOKUP(B2331,'NIVEL ENERO'!A:F,4,0)</f>
        <v>#N/A</v>
      </c>
      <c r="H2331" s="247"/>
      <c r="I2331" s="247"/>
      <c r="J2331" s="246"/>
      <c r="K2331" s="246"/>
      <c r="L2331" s="226"/>
      <c r="M2331" s="226"/>
      <c r="N2331" s="246"/>
      <c r="P2331" s="228"/>
      <c r="Q2331" s="245"/>
      <c r="R2331" s="186" t="str">
        <f aca="false">+PROPER(C2331&amp;" "&amp;D2331)</f>
        <v> </v>
      </c>
      <c r="S2331" s="230" t="n">
        <f aca="false">+YEARFRAC(L2331,$S$1)</f>
        <v>126.366666666667</v>
      </c>
      <c r="T2331" s="230" t="n">
        <f aca="false">+YEARFRAC(M2331,$S$1)</f>
        <v>126.366666666667</v>
      </c>
      <c r="U2331" s="231" t="n">
        <f aca="false">+$I2331</f>
        <v>0</v>
      </c>
      <c r="V2331" s="232" t="str">
        <f aca="false">+PROPER(F2331)</f>
        <v/>
      </c>
    </row>
    <row r="2332" customFormat="false" ht="14.25" hidden="false" customHeight="false" outlineLevel="0" collapsed="false">
      <c r="B2332" s="244"/>
      <c r="C2332" s="245"/>
      <c r="D2332" s="245"/>
      <c r="E2332" s="246"/>
      <c r="F2332" s="246"/>
      <c r="G2332" s="225" t="e">
        <f aca="false">VLOOKUP(B2332,'NIVEL ENERO'!A:F,4,0)</f>
        <v>#N/A</v>
      </c>
      <c r="H2332" s="247"/>
      <c r="I2332" s="247"/>
      <c r="J2332" s="246"/>
      <c r="K2332" s="246"/>
      <c r="L2332" s="226"/>
      <c r="M2332" s="226"/>
      <c r="N2332" s="246"/>
      <c r="P2332" s="228"/>
      <c r="Q2332" s="245"/>
      <c r="R2332" s="186" t="str">
        <f aca="false">+PROPER(C2332&amp;" "&amp;D2332)</f>
        <v> </v>
      </c>
      <c r="S2332" s="230" t="n">
        <f aca="false">+YEARFRAC(L2332,$S$1)</f>
        <v>126.366666666667</v>
      </c>
      <c r="T2332" s="230" t="n">
        <f aca="false">+YEARFRAC(M2332,$S$1)</f>
        <v>126.366666666667</v>
      </c>
      <c r="U2332" s="231" t="n">
        <f aca="false">+$I2332</f>
        <v>0</v>
      </c>
      <c r="V2332" s="232" t="str">
        <f aca="false">+PROPER(F2332)</f>
        <v/>
      </c>
    </row>
    <row r="2333" customFormat="false" ht="14.25" hidden="false" customHeight="false" outlineLevel="0" collapsed="false">
      <c r="B2333" s="244"/>
      <c r="C2333" s="245"/>
      <c r="D2333" s="245"/>
      <c r="E2333" s="246"/>
      <c r="F2333" s="246"/>
      <c r="G2333" s="225" t="e">
        <f aca="false">VLOOKUP(B2333,'NIVEL ENERO'!A:F,4,0)</f>
        <v>#N/A</v>
      </c>
      <c r="H2333" s="247"/>
      <c r="I2333" s="247"/>
      <c r="J2333" s="246"/>
      <c r="K2333" s="246"/>
      <c r="L2333" s="226"/>
      <c r="M2333" s="226"/>
      <c r="N2333" s="246"/>
      <c r="P2333" s="228"/>
      <c r="Q2333" s="245"/>
      <c r="R2333" s="186" t="str">
        <f aca="false">+PROPER(C2333&amp;" "&amp;D2333)</f>
        <v> </v>
      </c>
      <c r="S2333" s="230" t="n">
        <f aca="false">+YEARFRAC(L2333,$S$1)</f>
        <v>126.366666666667</v>
      </c>
      <c r="T2333" s="230" t="n">
        <f aca="false">+YEARFRAC(M2333,$S$1)</f>
        <v>126.366666666667</v>
      </c>
      <c r="U2333" s="231" t="n">
        <f aca="false">+$I2333</f>
        <v>0</v>
      </c>
      <c r="V2333" s="232" t="str">
        <f aca="false">+PROPER(F2333)</f>
        <v/>
      </c>
    </row>
    <row r="2334" customFormat="false" ht="14.25" hidden="false" customHeight="false" outlineLevel="0" collapsed="false">
      <c r="B2334" s="244"/>
      <c r="C2334" s="245"/>
      <c r="D2334" s="245"/>
      <c r="E2334" s="246"/>
      <c r="F2334" s="246"/>
      <c r="G2334" s="225" t="e">
        <f aca="false">VLOOKUP(B2334,'NIVEL ENERO'!A:F,4,0)</f>
        <v>#N/A</v>
      </c>
      <c r="H2334" s="247"/>
      <c r="I2334" s="247"/>
      <c r="J2334" s="246"/>
      <c r="K2334" s="246"/>
      <c r="L2334" s="226"/>
      <c r="M2334" s="226"/>
      <c r="N2334" s="246"/>
      <c r="P2334" s="228"/>
      <c r="Q2334" s="245"/>
      <c r="R2334" s="186" t="str">
        <f aca="false">+PROPER(C2334&amp;" "&amp;D2334)</f>
        <v> </v>
      </c>
      <c r="S2334" s="230" t="n">
        <f aca="false">+YEARFRAC(L2334,$S$1)</f>
        <v>126.366666666667</v>
      </c>
      <c r="T2334" s="230" t="n">
        <f aca="false">+YEARFRAC(M2334,$S$1)</f>
        <v>126.366666666667</v>
      </c>
      <c r="U2334" s="231" t="n">
        <f aca="false">+$I2334</f>
        <v>0</v>
      </c>
      <c r="V2334" s="232" t="str">
        <f aca="false">+PROPER(F2334)</f>
        <v/>
      </c>
    </row>
    <row r="2335" customFormat="false" ht="14.25" hidden="false" customHeight="false" outlineLevel="0" collapsed="false">
      <c r="B2335" s="244"/>
      <c r="C2335" s="245"/>
      <c r="D2335" s="245"/>
      <c r="E2335" s="246"/>
      <c r="F2335" s="246"/>
      <c r="G2335" s="225" t="e">
        <f aca="false">VLOOKUP(B2335,'NIVEL ENERO'!A:F,4,0)</f>
        <v>#N/A</v>
      </c>
      <c r="H2335" s="247"/>
      <c r="I2335" s="247"/>
      <c r="J2335" s="246"/>
      <c r="K2335" s="246"/>
      <c r="L2335" s="226"/>
      <c r="M2335" s="226"/>
      <c r="N2335" s="246"/>
      <c r="P2335" s="228"/>
      <c r="Q2335" s="245"/>
      <c r="R2335" s="186" t="str">
        <f aca="false">+PROPER(C2335&amp;" "&amp;D2335)</f>
        <v> </v>
      </c>
      <c r="S2335" s="230" t="n">
        <f aca="false">+YEARFRAC(L2335,$S$1)</f>
        <v>126.366666666667</v>
      </c>
      <c r="T2335" s="230" t="n">
        <f aca="false">+YEARFRAC(M2335,$S$1)</f>
        <v>126.366666666667</v>
      </c>
      <c r="U2335" s="231" t="n">
        <f aca="false">+$I2335</f>
        <v>0</v>
      </c>
      <c r="V2335" s="232" t="str">
        <f aca="false">+PROPER(F2335)</f>
        <v/>
      </c>
    </row>
    <row r="2336" customFormat="false" ht="14.25" hidden="false" customHeight="false" outlineLevel="0" collapsed="false">
      <c r="B2336" s="244"/>
      <c r="C2336" s="245"/>
      <c r="D2336" s="245"/>
      <c r="E2336" s="246"/>
      <c r="F2336" s="246"/>
      <c r="G2336" s="225" t="e">
        <f aca="false">VLOOKUP(B2336,'NIVEL ENERO'!A:F,4,0)</f>
        <v>#N/A</v>
      </c>
      <c r="H2336" s="247"/>
      <c r="I2336" s="247"/>
      <c r="J2336" s="246"/>
      <c r="K2336" s="246"/>
      <c r="L2336" s="226"/>
      <c r="M2336" s="226"/>
      <c r="N2336" s="246"/>
      <c r="P2336" s="228"/>
      <c r="Q2336" s="245"/>
      <c r="R2336" s="186" t="str">
        <f aca="false">+PROPER(C2336&amp;" "&amp;D2336)</f>
        <v> </v>
      </c>
      <c r="S2336" s="230" t="n">
        <f aca="false">+YEARFRAC(L2336,$S$1)</f>
        <v>126.366666666667</v>
      </c>
      <c r="T2336" s="230" t="n">
        <f aca="false">+YEARFRAC(M2336,$S$1)</f>
        <v>126.366666666667</v>
      </c>
      <c r="U2336" s="231" t="n">
        <f aca="false">+$I2336</f>
        <v>0</v>
      </c>
      <c r="V2336" s="232" t="str">
        <f aca="false">+PROPER(F2336)</f>
        <v/>
      </c>
    </row>
    <row r="2337" customFormat="false" ht="14.25" hidden="false" customHeight="false" outlineLevel="0" collapsed="false">
      <c r="B2337" s="244"/>
      <c r="C2337" s="245"/>
      <c r="D2337" s="245"/>
      <c r="E2337" s="246"/>
      <c r="F2337" s="246"/>
      <c r="G2337" s="225" t="e">
        <f aca="false">VLOOKUP(B2337,'NIVEL ENERO'!A:F,4,0)</f>
        <v>#N/A</v>
      </c>
      <c r="H2337" s="247"/>
      <c r="I2337" s="247"/>
      <c r="J2337" s="246"/>
      <c r="K2337" s="246"/>
      <c r="L2337" s="226"/>
      <c r="M2337" s="226"/>
      <c r="N2337" s="246"/>
      <c r="P2337" s="228"/>
      <c r="Q2337" s="245"/>
      <c r="R2337" s="186" t="str">
        <f aca="false">+PROPER(C2337&amp;" "&amp;D2337)</f>
        <v> </v>
      </c>
      <c r="S2337" s="230" t="n">
        <f aca="false">+YEARFRAC(L2337,$S$1)</f>
        <v>126.366666666667</v>
      </c>
      <c r="T2337" s="230" t="n">
        <f aca="false">+YEARFRAC(M2337,$S$1)</f>
        <v>126.366666666667</v>
      </c>
      <c r="U2337" s="231" t="n">
        <f aca="false">+$I2337</f>
        <v>0</v>
      </c>
      <c r="V2337" s="232" t="str">
        <f aca="false">+PROPER(F2337)</f>
        <v/>
      </c>
    </row>
    <row r="2338" customFormat="false" ht="14.25" hidden="false" customHeight="false" outlineLevel="0" collapsed="false">
      <c r="B2338" s="244"/>
      <c r="C2338" s="245"/>
      <c r="D2338" s="245"/>
      <c r="E2338" s="246"/>
      <c r="F2338" s="246"/>
      <c r="G2338" s="225" t="e">
        <f aca="false">VLOOKUP(B2338,'NIVEL ENERO'!A:F,4,0)</f>
        <v>#N/A</v>
      </c>
      <c r="H2338" s="247"/>
      <c r="I2338" s="247"/>
      <c r="J2338" s="246"/>
      <c r="K2338" s="246"/>
      <c r="L2338" s="226"/>
      <c r="M2338" s="226"/>
      <c r="N2338" s="246"/>
      <c r="P2338" s="228"/>
      <c r="Q2338" s="245"/>
      <c r="R2338" s="186" t="str">
        <f aca="false">+PROPER(C2338&amp;" "&amp;D2338)</f>
        <v> </v>
      </c>
      <c r="S2338" s="230" t="n">
        <f aca="false">+YEARFRAC(L2338,$S$1)</f>
        <v>126.366666666667</v>
      </c>
      <c r="T2338" s="230" t="n">
        <f aca="false">+YEARFRAC(M2338,$S$1)</f>
        <v>126.366666666667</v>
      </c>
      <c r="U2338" s="231" t="n">
        <f aca="false">+$I2338</f>
        <v>0</v>
      </c>
      <c r="V2338" s="232" t="str">
        <f aca="false">+PROPER(F2338)</f>
        <v/>
      </c>
    </row>
    <row r="2339" customFormat="false" ht="14.25" hidden="false" customHeight="false" outlineLevel="0" collapsed="false">
      <c r="B2339" s="244"/>
      <c r="C2339" s="245"/>
      <c r="D2339" s="245"/>
      <c r="E2339" s="246"/>
      <c r="F2339" s="246"/>
      <c r="G2339" s="225" t="e">
        <f aca="false">VLOOKUP(B2339,'NIVEL ENERO'!A:F,4,0)</f>
        <v>#N/A</v>
      </c>
      <c r="H2339" s="247"/>
      <c r="I2339" s="247"/>
      <c r="J2339" s="246"/>
      <c r="K2339" s="246"/>
      <c r="L2339" s="226"/>
      <c r="M2339" s="226"/>
      <c r="N2339" s="246"/>
      <c r="P2339" s="228"/>
      <c r="Q2339" s="245"/>
      <c r="R2339" s="186" t="str">
        <f aca="false">+PROPER(C2339&amp;" "&amp;D2339)</f>
        <v> </v>
      </c>
      <c r="S2339" s="230" t="n">
        <f aca="false">+YEARFRAC(L2339,$S$1)</f>
        <v>126.366666666667</v>
      </c>
      <c r="T2339" s="230" t="n">
        <f aca="false">+YEARFRAC(M2339,$S$1)</f>
        <v>126.366666666667</v>
      </c>
      <c r="U2339" s="231" t="n">
        <f aca="false">+$I2339</f>
        <v>0</v>
      </c>
      <c r="V2339" s="232" t="str">
        <f aca="false">+PROPER(F2339)</f>
        <v/>
      </c>
    </row>
    <row r="2340" customFormat="false" ht="14.25" hidden="false" customHeight="false" outlineLevel="0" collapsed="false">
      <c r="B2340" s="244"/>
      <c r="C2340" s="245"/>
      <c r="D2340" s="245"/>
      <c r="E2340" s="246"/>
      <c r="F2340" s="246"/>
      <c r="G2340" s="225" t="e">
        <f aca="false">VLOOKUP(B2340,'NIVEL ENERO'!A:F,4,0)</f>
        <v>#N/A</v>
      </c>
      <c r="H2340" s="247"/>
      <c r="I2340" s="247"/>
      <c r="J2340" s="246"/>
      <c r="K2340" s="246"/>
      <c r="L2340" s="226"/>
      <c r="M2340" s="226"/>
      <c r="N2340" s="246"/>
      <c r="P2340" s="228"/>
      <c r="Q2340" s="245"/>
      <c r="R2340" s="186" t="str">
        <f aca="false">+PROPER(C2340&amp;" "&amp;D2340)</f>
        <v> </v>
      </c>
      <c r="S2340" s="230" t="n">
        <f aca="false">+YEARFRAC(L2340,$S$1)</f>
        <v>126.366666666667</v>
      </c>
      <c r="T2340" s="230" t="n">
        <f aca="false">+YEARFRAC(M2340,$S$1)</f>
        <v>126.366666666667</v>
      </c>
      <c r="U2340" s="231" t="n">
        <f aca="false">+$I2340</f>
        <v>0</v>
      </c>
      <c r="V2340" s="232" t="str">
        <f aca="false">+PROPER(F2340)</f>
        <v/>
      </c>
    </row>
    <row r="2341" customFormat="false" ht="14.25" hidden="false" customHeight="false" outlineLevel="0" collapsed="false">
      <c r="B2341" s="244"/>
      <c r="C2341" s="245"/>
      <c r="D2341" s="245"/>
      <c r="E2341" s="246"/>
      <c r="F2341" s="246"/>
      <c r="G2341" s="225" t="e">
        <f aca="false">VLOOKUP(B2341,'NIVEL ENERO'!A:F,4,0)</f>
        <v>#N/A</v>
      </c>
      <c r="H2341" s="247"/>
      <c r="I2341" s="247"/>
      <c r="J2341" s="246"/>
      <c r="K2341" s="246"/>
      <c r="L2341" s="226"/>
      <c r="M2341" s="226"/>
      <c r="N2341" s="246"/>
      <c r="P2341" s="228"/>
      <c r="Q2341" s="245"/>
      <c r="R2341" s="186" t="str">
        <f aca="false">+PROPER(C2341&amp;" "&amp;D2341)</f>
        <v> </v>
      </c>
      <c r="S2341" s="230" t="n">
        <f aca="false">+YEARFRAC(L2341,$S$1)</f>
        <v>126.366666666667</v>
      </c>
      <c r="T2341" s="230" t="n">
        <f aca="false">+YEARFRAC(M2341,$S$1)</f>
        <v>126.366666666667</v>
      </c>
      <c r="U2341" s="231" t="n">
        <f aca="false">+$I2341</f>
        <v>0</v>
      </c>
      <c r="V2341" s="232" t="str">
        <f aca="false">+PROPER(F2341)</f>
        <v/>
      </c>
    </row>
    <row r="2342" customFormat="false" ht="14.25" hidden="false" customHeight="false" outlineLevel="0" collapsed="false">
      <c r="B2342" s="244"/>
      <c r="C2342" s="245"/>
      <c r="D2342" s="245"/>
      <c r="E2342" s="246"/>
      <c r="F2342" s="246"/>
      <c r="G2342" s="225" t="e">
        <f aca="false">VLOOKUP(B2342,'NIVEL ENERO'!A:F,4,0)</f>
        <v>#N/A</v>
      </c>
      <c r="H2342" s="247"/>
      <c r="I2342" s="247"/>
      <c r="J2342" s="246"/>
      <c r="K2342" s="246"/>
      <c r="L2342" s="226"/>
      <c r="M2342" s="226"/>
      <c r="N2342" s="246"/>
      <c r="P2342" s="228"/>
      <c r="Q2342" s="245"/>
      <c r="R2342" s="186" t="str">
        <f aca="false">+PROPER(C2342&amp;" "&amp;D2342)</f>
        <v> </v>
      </c>
      <c r="S2342" s="230" t="n">
        <f aca="false">+YEARFRAC(L2342,$S$1)</f>
        <v>126.366666666667</v>
      </c>
      <c r="T2342" s="230" t="n">
        <f aca="false">+YEARFRAC(M2342,$S$1)</f>
        <v>126.366666666667</v>
      </c>
      <c r="U2342" s="231" t="n">
        <f aca="false">+$I2342</f>
        <v>0</v>
      </c>
      <c r="V2342" s="232" t="str">
        <f aca="false">+PROPER(F2342)</f>
        <v/>
      </c>
    </row>
    <row r="2343" customFormat="false" ht="14.25" hidden="false" customHeight="false" outlineLevel="0" collapsed="false">
      <c r="B2343" s="244"/>
      <c r="C2343" s="245"/>
      <c r="D2343" s="245"/>
      <c r="E2343" s="246"/>
      <c r="F2343" s="246"/>
      <c r="G2343" s="225" t="e">
        <f aca="false">VLOOKUP(B2343,'NIVEL ENERO'!A:F,4,0)</f>
        <v>#N/A</v>
      </c>
      <c r="H2343" s="247"/>
      <c r="I2343" s="247"/>
      <c r="J2343" s="246"/>
      <c r="K2343" s="246"/>
      <c r="L2343" s="226"/>
      <c r="M2343" s="226"/>
      <c r="N2343" s="246"/>
      <c r="P2343" s="228"/>
      <c r="Q2343" s="245"/>
      <c r="R2343" s="186" t="str">
        <f aca="false">+PROPER(C2343&amp;" "&amp;D2343)</f>
        <v> </v>
      </c>
      <c r="S2343" s="230" t="n">
        <f aca="false">+YEARFRAC(L2343,$S$1)</f>
        <v>126.366666666667</v>
      </c>
      <c r="T2343" s="230" t="n">
        <f aca="false">+YEARFRAC(M2343,$S$1)</f>
        <v>126.366666666667</v>
      </c>
      <c r="U2343" s="231" t="n">
        <f aca="false">+$I2343</f>
        <v>0</v>
      </c>
      <c r="V2343" s="232" t="str">
        <f aca="false">+PROPER(F2343)</f>
        <v/>
      </c>
    </row>
    <row r="2344" customFormat="false" ht="14.25" hidden="false" customHeight="false" outlineLevel="0" collapsed="false">
      <c r="B2344" s="244"/>
      <c r="C2344" s="245"/>
      <c r="D2344" s="245"/>
      <c r="E2344" s="246"/>
      <c r="F2344" s="246"/>
      <c r="G2344" s="225" t="e">
        <f aca="false">VLOOKUP(B2344,'NIVEL ENERO'!A:F,4,0)</f>
        <v>#N/A</v>
      </c>
      <c r="H2344" s="247"/>
      <c r="I2344" s="247"/>
      <c r="J2344" s="246"/>
      <c r="K2344" s="246"/>
      <c r="L2344" s="226"/>
      <c r="M2344" s="226"/>
      <c r="N2344" s="246"/>
      <c r="P2344" s="228"/>
      <c r="Q2344" s="245"/>
      <c r="R2344" s="186" t="str">
        <f aca="false">+PROPER(C2344&amp;" "&amp;D2344)</f>
        <v> </v>
      </c>
      <c r="S2344" s="230" t="n">
        <f aca="false">+YEARFRAC(L2344,$S$1)</f>
        <v>126.366666666667</v>
      </c>
      <c r="T2344" s="230" t="n">
        <f aca="false">+YEARFRAC(M2344,$S$1)</f>
        <v>126.366666666667</v>
      </c>
      <c r="U2344" s="231" t="n">
        <f aca="false">+$I2344</f>
        <v>0</v>
      </c>
      <c r="V2344" s="232" t="str">
        <f aca="false">+PROPER(F2344)</f>
        <v/>
      </c>
    </row>
    <row r="2345" customFormat="false" ht="14.25" hidden="false" customHeight="false" outlineLevel="0" collapsed="false">
      <c r="B2345" s="244"/>
      <c r="C2345" s="245"/>
      <c r="D2345" s="245"/>
      <c r="E2345" s="246"/>
      <c r="F2345" s="246"/>
      <c r="G2345" s="225" t="e">
        <f aca="false">VLOOKUP(B2345,'NIVEL ENERO'!A:F,4,0)</f>
        <v>#N/A</v>
      </c>
      <c r="H2345" s="247"/>
      <c r="I2345" s="247"/>
      <c r="J2345" s="246"/>
      <c r="K2345" s="246"/>
      <c r="L2345" s="226"/>
      <c r="M2345" s="226"/>
      <c r="N2345" s="246"/>
      <c r="P2345" s="228"/>
      <c r="Q2345" s="245"/>
      <c r="R2345" s="186" t="str">
        <f aca="false">+PROPER(C2345&amp;" "&amp;D2345)</f>
        <v> </v>
      </c>
      <c r="S2345" s="230" t="n">
        <f aca="false">+YEARFRAC(L2345,$S$1)</f>
        <v>126.366666666667</v>
      </c>
      <c r="T2345" s="230" t="n">
        <f aca="false">+YEARFRAC(M2345,$S$1)</f>
        <v>126.366666666667</v>
      </c>
      <c r="U2345" s="231" t="n">
        <f aca="false">+$I2345</f>
        <v>0</v>
      </c>
      <c r="V2345" s="232" t="str">
        <f aca="false">+PROPER(F2345)</f>
        <v/>
      </c>
    </row>
    <row r="2346" customFormat="false" ht="14.25" hidden="false" customHeight="false" outlineLevel="0" collapsed="false">
      <c r="B2346" s="244"/>
      <c r="C2346" s="245"/>
      <c r="D2346" s="245"/>
      <c r="E2346" s="246"/>
      <c r="F2346" s="246"/>
      <c r="G2346" s="225" t="e">
        <f aca="false">VLOOKUP(B2346,'NIVEL ENERO'!A:F,4,0)</f>
        <v>#N/A</v>
      </c>
      <c r="H2346" s="247"/>
      <c r="I2346" s="247"/>
      <c r="J2346" s="246"/>
      <c r="K2346" s="246"/>
      <c r="L2346" s="226"/>
      <c r="M2346" s="226"/>
      <c r="N2346" s="246"/>
      <c r="P2346" s="228"/>
      <c r="Q2346" s="245"/>
      <c r="R2346" s="186" t="str">
        <f aca="false">+PROPER(C2346&amp;" "&amp;D2346)</f>
        <v> </v>
      </c>
      <c r="S2346" s="230" t="n">
        <f aca="false">+YEARFRAC(L2346,$S$1)</f>
        <v>126.366666666667</v>
      </c>
      <c r="T2346" s="230" t="n">
        <f aca="false">+YEARFRAC(M2346,$S$1)</f>
        <v>126.366666666667</v>
      </c>
      <c r="U2346" s="231" t="n">
        <f aca="false">+$I2346</f>
        <v>0</v>
      </c>
      <c r="V2346" s="232" t="str">
        <f aca="false">+PROPER(F2346)</f>
        <v/>
      </c>
    </row>
    <row r="2347" customFormat="false" ht="14.25" hidden="false" customHeight="false" outlineLevel="0" collapsed="false">
      <c r="B2347" s="244"/>
      <c r="C2347" s="245"/>
      <c r="D2347" s="245"/>
      <c r="E2347" s="246"/>
      <c r="F2347" s="246"/>
      <c r="G2347" s="225" t="e">
        <f aca="false">VLOOKUP(B2347,'NIVEL ENERO'!A:F,4,0)</f>
        <v>#N/A</v>
      </c>
      <c r="H2347" s="247"/>
      <c r="I2347" s="247"/>
      <c r="J2347" s="246"/>
      <c r="K2347" s="246"/>
      <c r="L2347" s="226"/>
      <c r="M2347" s="226"/>
      <c r="N2347" s="246"/>
      <c r="P2347" s="228"/>
      <c r="Q2347" s="245"/>
      <c r="R2347" s="186" t="str">
        <f aca="false">+PROPER(C2347&amp;" "&amp;D2347)</f>
        <v> </v>
      </c>
      <c r="S2347" s="230" t="n">
        <f aca="false">+YEARFRAC(L2347,$S$1)</f>
        <v>126.366666666667</v>
      </c>
      <c r="T2347" s="230" t="n">
        <f aca="false">+YEARFRAC(M2347,$S$1)</f>
        <v>126.366666666667</v>
      </c>
      <c r="U2347" s="231" t="n">
        <f aca="false">+$I2347</f>
        <v>0</v>
      </c>
      <c r="V2347" s="232" t="str">
        <f aca="false">+PROPER(F2347)</f>
        <v/>
      </c>
    </row>
    <row r="2348" customFormat="false" ht="14.25" hidden="false" customHeight="false" outlineLevel="0" collapsed="false">
      <c r="B2348" s="244"/>
      <c r="C2348" s="245"/>
      <c r="D2348" s="245"/>
      <c r="E2348" s="246"/>
      <c r="F2348" s="246"/>
      <c r="G2348" s="225" t="e">
        <f aca="false">VLOOKUP(B2348,'NIVEL ENERO'!A:F,4,0)</f>
        <v>#N/A</v>
      </c>
      <c r="H2348" s="247"/>
      <c r="I2348" s="247"/>
      <c r="J2348" s="246"/>
      <c r="K2348" s="246"/>
      <c r="L2348" s="226"/>
      <c r="M2348" s="226"/>
      <c r="N2348" s="246"/>
      <c r="P2348" s="228"/>
      <c r="Q2348" s="245"/>
      <c r="R2348" s="186" t="str">
        <f aca="false">+PROPER(C2348&amp;" "&amp;D2348)</f>
        <v> </v>
      </c>
      <c r="S2348" s="230" t="n">
        <f aca="false">+YEARFRAC(L2348,$S$1)</f>
        <v>126.366666666667</v>
      </c>
      <c r="T2348" s="230" t="n">
        <f aca="false">+YEARFRAC(M2348,$S$1)</f>
        <v>126.366666666667</v>
      </c>
      <c r="U2348" s="231" t="n">
        <f aca="false">+$I2348</f>
        <v>0</v>
      </c>
      <c r="V2348" s="232" t="str">
        <f aca="false">+PROPER(F2348)</f>
        <v/>
      </c>
    </row>
    <row r="2349" customFormat="false" ht="14.25" hidden="false" customHeight="false" outlineLevel="0" collapsed="false">
      <c r="B2349" s="244"/>
      <c r="C2349" s="245"/>
      <c r="D2349" s="245"/>
      <c r="E2349" s="246"/>
      <c r="F2349" s="246"/>
      <c r="G2349" s="225" t="e">
        <f aca="false">VLOOKUP(B2349,'NIVEL ENERO'!A:F,4,0)</f>
        <v>#N/A</v>
      </c>
      <c r="H2349" s="247"/>
      <c r="I2349" s="247"/>
      <c r="J2349" s="246"/>
      <c r="K2349" s="246"/>
      <c r="L2349" s="226"/>
      <c r="M2349" s="226"/>
      <c r="N2349" s="246"/>
      <c r="P2349" s="228"/>
      <c r="Q2349" s="245"/>
      <c r="R2349" s="186" t="str">
        <f aca="false">+PROPER(C2349&amp;" "&amp;D2349)</f>
        <v> </v>
      </c>
      <c r="S2349" s="230" t="n">
        <f aca="false">+YEARFRAC(L2349,$S$1)</f>
        <v>126.366666666667</v>
      </c>
      <c r="T2349" s="230" t="n">
        <f aca="false">+YEARFRAC(M2349,$S$1)</f>
        <v>126.366666666667</v>
      </c>
      <c r="U2349" s="231" t="n">
        <f aca="false">+$I2349</f>
        <v>0</v>
      </c>
      <c r="V2349" s="232" t="str">
        <f aca="false">+PROPER(F2349)</f>
        <v/>
      </c>
    </row>
    <row r="2350" customFormat="false" ht="14.25" hidden="false" customHeight="false" outlineLevel="0" collapsed="false">
      <c r="B2350" s="244"/>
      <c r="C2350" s="245"/>
      <c r="D2350" s="245"/>
      <c r="E2350" s="246"/>
      <c r="F2350" s="246"/>
      <c r="G2350" s="225" t="e">
        <f aca="false">VLOOKUP(B2350,'NIVEL ENERO'!A:F,4,0)</f>
        <v>#N/A</v>
      </c>
      <c r="H2350" s="247"/>
      <c r="I2350" s="247"/>
      <c r="J2350" s="246"/>
      <c r="K2350" s="246"/>
      <c r="L2350" s="226"/>
      <c r="M2350" s="226"/>
      <c r="N2350" s="246"/>
      <c r="P2350" s="228"/>
      <c r="Q2350" s="245"/>
      <c r="R2350" s="186" t="str">
        <f aca="false">+PROPER(C2350&amp;" "&amp;D2350)</f>
        <v> </v>
      </c>
      <c r="S2350" s="230" t="n">
        <f aca="false">+YEARFRAC(L2350,$S$1)</f>
        <v>126.366666666667</v>
      </c>
      <c r="T2350" s="230" t="n">
        <f aca="false">+YEARFRAC(M2350,$S$1)</f>
        <v>126.366666666667</v>
      </c>
      <c r="U2350" s="231" t="n">
        <f aca="false">+$I2350</f>
        <v>0</v>
      </c>
      <c r="V2350" s="232" t="str">
        <f aca="false">+PROPER(F2350)</f>
        <v/>
      </c>
    </row>
    <row r="2351" customFormat="false" ht="14.25" hidden="false" customHeight="false" outlineLevel="0" collapsed="false">
      <c r="B2351" s="244"/>
      <c r="C2351" s="245"/>
      <c r="D2351" s="245"/>
      <c r="E2351" s="246"/>
      <c r="F2351" s="246"/>
      <c r="G2351" s="225" t="e">
        <f aca="false">VLOOKUP(B2351,'NIVEL ENERO'!A:F,4,0)</f>
        <v>#N/A</v>
      </c>
      <c r="H2351" s="247"/>
      <c r="I2351" s="247"/>
      <c r="J2351" s="246"/>
      <c r="K2351" s="246"/>
      <c r="L2351" s="226"/>
      <c r="M2351" s="226"/>
      <c r="N2351" s="246"/>
      <c r="P2351" s="228"/>
      <c r="Q2351" s="245"/>
      <c r="R2351" s="186" t="str">
        <f aca="false">+PROPER(C2351&amp;" "&amp;D2351)</f>
        <v> </v>
      </c>
      <c r="S2351" s="230" t="n">
        <f aca="false">+YEARFRAC(L2351,$S$1)</f>
        <v>126.366666666667</v>
      </c>
      <c r="T2351" s="230" t="n">
        <f aca="false">+YEARFRAC(M2351,$S$1)</f>
        <v>126.366666666667</v>
      </c>
      <c r="U2351" s="231" t="n">
        <f aca="false">+$I2351</f>
        <v>0</v>
      </c>
      <c r="V2351" s="232" t="str">
        <f aca="false">+PROPER(F2351)</f>
        <v/>
      </c>
    </row>
    <row r="2352" customFormat="false" ht="14.25" hidden="false" customHeight="false" outlineLevel="0" collapsed="false">
      <c r="B2352" s="244"/>
      <c r="C2352" s="245"/>
      <c r="D2352" s="245"/>
      <c r="E2352" s="246"/>
      <c r="F2352" s="246"/>
      <c r="G2352" s="225" t="e">
        <f aca="false">VLOOKUP(B2352,'NIVEL ENERO'!A:F,4,0)</f>
        <v>#N/A</v>
      </c>
      <c r="H2352" s="247"/>
      <c r="I2352" s="247"/>
      <c r="J2352" s="246"/>
      <c r="K2352" s="246"/>
      <c r="L2352" s="226"/>
      <c r="M2352" s="226"/>
      <c r="N2352" s="246"/>
      <c r="P2352" s="228"/>
      <c r="Q2352" s="245"/>
      <c r="R2352" s="186" t="str">
        <f aca="false">+PROPER(C2352&amp;" "&amp;D2352)</f>
        <v> </v>
      </c>
      <c r="S2352" s="230" t="n">
        <f aca="false">+YEARFRAC(L2352,$S$1)</f>
        <v>126.366666666667</v>
      </c>
      <c r="T2352" s="230" t="n">
        <f aca="false">+YEARFRAC(M2352,$S$1)</f>
        <v>126.366666666667</v>
      </c>
      <c r="U2352" s="231" t="n">
        <f aca="false">+$I2352</f>
        <v>0</v>
      </c>
      <c r="V2352" s="232" t="str">
        <f aca="false">+PROPER(F2352)</f>
        <v/>
      </c>
    </row>
    <row r="2353" customFormat="false" ht="14.25" hidden="false" customHeight="false" outlineLevel="0" collapsed="false">
      <c r="B2353" s="244"/>
      <c r="C2353" s="245"/>
      <c r="D2353" s="245"/>
      <c r="E2353" s="246"/>
      <c r="F2353" s="246"/>
      <c r="G2353" s="225" t="e">
        <f aca="false">VLOOKUP(B2353,'NIVEL ENERO'!A:F,4,0)</f>
        <v>#N/A</v>
      </c>
      <c r="H2353" s="247"/>
      <c r="I2353" s="247"/>
      <c r="J2353" s="246"/>
      <c r="K2353" s="246"/>
      <c r="L2353" s="226"/>
      <c r="M2353" s="226"/>
      <c r="N2353" s="246"/>
      <c r="P2353" s="228"/>
      <c r="Q2353" s="245"/>
      <c r="R2353" s="186" t="str">
        <f aca="false">+PROPER(C2353&amp;" "&amp;D2353)</f>
        <v> </v>
      </c>
      <c r="S2353" s="230" t="n">
        <f aca="false">+YEARFRAC(L2353,$S$1)</f>
        <v>126.366666666667</v>
      </c>
      <c r="T2353" s="230" t="n">
        <f aca="false">+YEARFRAC(M2353,$S$1)</f>
        <v>126.366666666667</v>
      </c>
      <c r="U2353" s="231" t="n">
        <f aca="false">+$I2353</f>
        <v>0</v>
      </c>
      <c r="V2353" s="232" t="str">
        <f aca="false">+PROPER(F2353)</f>
        <v/>
      </c>
    </row>
    <row r="2354" customFormat="false" ht="14.25" hidden="false" customHeight="false" outlineLevel="0" collapsed="false">
      <c r="B2354" s="244"/>
      <c r="C2354" s="245"/>
      <c r="D2354" s="245"/>
      <c r="E2354" s="246"/>
      <c r="F2354" s="246"/>
      <c r="G2354" s="225" t="e">
        <f aca="false">VLOOKUP(B2354,'NIVEL ENERO'!A:F,4,0)</f>
        <v>#N/A</v>
      </c>
      <c r="H2354" s="247"/>
      <c r="I2354" s="247"/>
      <c r="J2354" s="246"/>
      <c r="K2354" s="246"/>
      <c r="L2354" s="226"/>
      <c r="M2354" s="226"/>
      <c r="N2354" s="246"/>
      <c r="P2354" s="228"/>
      <c r="Q2354" s="245"/>
      <c r="R2354" s="186" t="str">
        <f aca="false">+PROPER(C2354&amp;" "&amp;D2354)</f>
        <v> </v>
      </c>
      <c r="S2354" s="230" t="n">
        <f aca="false">+YEARFRAC(L2354,$S$1)</f>
        <v>126.366666666667</v>
      </c>
      <c r="T2354" s="230" t="n">
        <f aca="false">+YEARFRAC(M2354,$S$1)</f>
        <v>126.366666666667</v>
      </c>
      <c r="U2354" s="231" t="n">
        <f aca="false">+$I2354</f>
        <v>0</v>
      </c>
      <c r="V2354" s="232" t="str">
        <f aca="false">+PROPER(F2354)</f>
        <v/>
      </c>
    </row>
    <row r="2355" customFormat="false" ht="14.25" hidden="false" customHeight="false" outlineLevel="0" collapsed="false">
      <c r="B2355" s="244"/>
      <c r="C2355" s="245"/>
      <c r="D2355" s="245"/>
      <c r="E2355" s="246"/>
      <c r="F2355" s="246"/>
      <c r="G2355" s="225" t="e">
        <f aca="false">VLOOKUP(B2355,'NIVEL ENERO'!A:F,4,0)</f>
        <v>#N/A</v>
      </c>
      <c r="H2355" s="247"/>
      <c r="I2355" s="247"/>
      <c r="J2355" s="246"/>
      <c r="K2355" s="246"/>
      <c r="L2355" s="226"/>
      <c r="M2355" s="226"/>
      <c r="N2355" s="246"/>
      <c r="P2355" s="228"/>
      <c r="Q2355" s="245"/>
      <c r="R2355" s="186" t="str">
        <f aca="false">+PROPER(C2355&amp;" "&amp;D2355)</f>
        <v> </v>
      </c>
      <c r="S2355" s="230" t="n">
        <f aca="false">+YEARFRAC(L2355,$S$1)</f>
        <v>126.366666666667</v>
      </c>
      <c r="T2355" s="230" t="n">
        <f aca="false">+YEARFRAC(M2355,$S$1)</f>
        <v>126.366666666667</v>
      </c>
      <c r="U2355" s="231" t="n">
        <f aca="false">+$I2355</f>
        <v>0</v>
      </c>
      <c r="V2355" s="232" t="str">
        <f aca="false">+PROPER(F2355)</f>
        <v/>
      </c>
    </row>
    <row r="2356" customFormat="false" ht="14.25" hidden="false" customHeight="false" outlineLevel="0" collapsed="false">
      <c r="B2356" s="244"/>
      <c r="C2356" s="245"/>
      <c r="D2356" s="245"/>
      <c r="E2356" s="246"/>
      <c r="F2356" s="246"/>
      <c r="G2356" s="225" t="e">
        <f aca="false">VLOOKUP(B2356,'NIVEL ENERO'!A:F,4,0)</f>
        <v>#N/A</v>
      </c>
      <c r="H2356" s="247"/>
      <c r="I2356" s="247"/>
      <c r="J2356" s="246"/>
      <c r="K2356" s="246"/>
      <c r="L2356" s="226"/>
      <c r="M2356" s="226"/>
      <c r="N2356" s="246"/>
      <c r="P2356" s="228"/>
      <c r="Q2356" s="245"/>
      <c r="R2356" s="186" t="str">
        <f aca="false">+PROPER(C2356&amp;" "&amp;D2356)</f>
        <v> </v>
      </c>
      <c r="S2356" s="230" t="n">
        <f aca="false">+YEARFRAC(L2356,$S$1)</f>
        <v>126.366666666667</v>
      </c>
      <c r="T2356" s="230" t="n">
        <f aca="false">+YEARFRAC(M2356,$S$1)</f>
        <v>126.366666666667</v>
      </c>
      <c r="U2356" s="231" t="n">
        <f aca="false">+$I2356</f>
        <v>0</v>
      </c>
      <c r="V2356" s="232" t="str">
        <f aca="false">+PROPER(F2356)</f>
        <v/>
      </c>
    </row>
    <row r="2357" customFormat="false" ht="14.25" hidden="false" customHeight="false" outlineLevel="0" collapsed="false">
      <c r="B2357" s="244"/>
      <c r="C2357" s="245"/>
      <c r="D2357" s="245"/>
      <c r="E2357" s="246"/>
      <c r="F2357" s="246"/>
      <c r="G2357" s="225" t="e">
        <f aca="false">VLOOKUP(B2357,'NIVEL ENERO'!A:F,4,0)</f>
        <v>#N/A</v>
      </c>
      <c r="H2357" s="247"/>
      <c r="I2357" s="247"/>
      <c r="J2357" s="246"/>
      <c r="K2357" s="246"/>
      <c r="L2357" s="226"/>
      <c r="M2357" s="226"/>
      <c r="N2357" s="246"/>
      <c r="P2357" s="228"/>
      <c r="Q2357" s="245"/>
      <c r="R2357" s="186" t="str">
        <f aca="false">+PROPER(C2357&amp;" "&amp;D2357)</f>
        <v> </v>
      </c>
      <c r="S2357" s="230" t="n">
        <f aca="false">+YEARFRAC(L2357,$S$1)</f>
        <v>126.366666666667</v>
      </c>
      <c r="T2357" s="230" t="n">
        <f aca="false">+YEARFRAC(M2357,$S$1)</f>
        <v>126.366666666667</v>
      </c>
      <c r="U2357" s="231" t="n">
        <f aca="false">+$I2357</f>
        <v>0</v>
      </c>
      <c r="V2357" s="232" t="str">
        <f aca="false">+PROPER(F2357)</f>
        <v/>
      </c>
    </row>
    <row r="2358" customFormat="false" ht="14.25" hidden="false" customHeight="false" outlineLevel="0" collapsed="false">
      <c r="B2358" s="244"/>
      <c r="C2358" s="245"/>
      <c r="D2358" s="245"/>
      <c r="E2358" s="246"/>
      <c r="F2358" s="246"/>
      <c r="G2358" s="225" t="e">
        <f aca="false">VLOOKUP(B2358,'NIVEL ENERO'!A:F,4,0)</f>
        <v>#N/A</v>
      </c>
      <c r="H2358" s="247"/>
      <c r="I2358" s="247"/>
      <c r="J2358" s="246"/>
      <c r="K2358" s="246"/>
      <c r="L2358" s="226"/>
      <c r="M2358" s="226"/>
      <c r="N2358" s="246"/>
      <c r="P2358" s="228"/>
      <c r="Q2358" s="245"/>
      <c r="R2358" s="186" t="str">
        <f aca="false">+PROPER(C2358&amp;" "&amp;D2358)</f>
        <v> </v>
      </c>
      <c r="S2358" s="230" t="n">
        <f aca="false">+YEARFRAC(L2358,$S$1)</f>
        <v>126.366666666667</v>
      </c>
      <c r="T2358" s="230" t="n">
        <f aca="false">+YEARFRAC(M2358,$S$1)</f>
        <v>126.366666666667</v>
      </c>
      <c r="U2358" s="231" t="n">
        <f aca="false">+$I2358</f>
        <v>0</v>
      </c>
      <c r="V2358" s="232" t="str">
        <f aca="false">+PROPER(F2358)</f>
        <v/>
      </c>
    </row>
    <row r="2359" customFormat="false" ht="14.25" hidden="false" customHeight="false" outlineLevel="0" collapsed="false">
      <c r="B2359" s="244"/>
      <c r="C2359" s="245"/>
      <c r="D2359" s="245"/>
      <c r="E2359" s="246"/>
      <c r="F2359" s="246"/>
      <c r="G2359" s="225" t="e">
        <f aca="false">VLOOKUP(B2359,'NIVEL ENERO'!A:F,4,0)</f>
        <v>#N/A</v>
      </c>
      <c r="H2359" s="247"/>
      <c r="I2359" s="247"/>
      <c r="J2359" s="246"/>
      <c r="K2359" s="246"/>
      <c r="L2359" s="226"/>
      <c r="M2359" s="226"/>
      <c r="N2359" s="246"/>
      <c r="P2359" s="228"/>
      <c r="Q2359" s="245"/>
      <c r="R2359" s="186" t="str">
        <f aca="false">+PROPER(C2359&amp;" "&amp;D2359)</f>
        <v> </v>
      </c>
      <c r="S2359" s="230" t="n">
        <f aca="false">+YEARFRAC(L2359,$S$1)</f>
        <v>126.366666666667</v>
      </c>
      <c r="T2359" s="230" t="n">
        <f aca="false">+YEARFRAC(M2359,$S$1)</f>
        <v>126.366666666667</v>
      </c>
      <c r="U2359" s="231" t="n">
        <f aca="false">+$I2359</f>
        <v>0</v>
      </c>
      <c r="V2359" s="232" t="str">
        <f aca="false">+PROPER(F2359)</f>
        <v/>
      </c>
    </row>
    <row r="2360" customFormat="false" ht="14.25" hidden="false" customHeight="false" outlineLevel="0" collapsed="false">
      <c r="B2360" s="244"/>
      <c r="C2360" s="245"/>
      <c r="D2360" s="245"/>
      <c r="E2360" s="246"/>
      <c r="F2360" s="246"/>
      <c r="G2360" s="225" t="e">
        <f aca="false">VLOOKUP(B2360,'NIVEL ENERO'!A:F,4,0)</f>
        <v>#N/A</v>
      </c>
      <c r="H2360" s="247"/>
      <c r="I2360" s="247"/>
      <c r="J2360" s="246"/>
      <c r="K2360" s="246"/>
      <c r="L2360" s="226"/>
      <c r="M2360" s="226"/>
      <c r="N2360" s="246"/>
      <c r="P2360" s="228"/>
      <c r="Q2360" s="245"/>
      <c r="R2360" s="186" t="str">
        <f aca="false">+PROPER(C2360&amp;" "&amp;D2360)</f>
        <v> </v>
      </c>
      <c r="S2360" s="230" t="n">
        <f aca="false">+YEARFRAC(L2360,$S$1)</f>
        <v>126.366666666667</v>
      </c>
      <c r="T2360" s="230" t="n">
        <f aca="false">+YEARFRAC(M2360,$S$1)</f>
        <v>126.366666666667</v>
      </c>
      <c r="U2360" s="231" t="n">
        <f aca="false">+$I2360</f>
        <v>0</v>
      </c>
      <c r="V2360" s="232" t="str">
        <f aca="false">+PROPER(F2360)</f>
        <v/>
      </c>
    </row>
    <row r="2361" customFormat="false" ht="14.25" hidden="false" customHeight="false" outlineLevel="0" collapsed="false">
      <c r="B2361" s="244"/>
      <c r="C2361" s="245"/>
      <c r="D2361" s="245"/>
      <c r="E2361" s="246"/>
      <c r="F2361" s="246"/>
      <c r="G2361" s="225" t="e">
        <f aca="false">VLOOKUP(B2361,'NIVEL ENERO'!A:F,4,0)</f>
        <v>#N/A</v>
      </c>
      <c r="H2361" s="247"/>
      <c r="I2361" s="247"/>
      <c r="J2361" s="246"/>
      <c r="K2361" s="246"/>
      <c r="L2361" s="226"/>
      <c r="M2361" s="226"/>
      <c r="N2361" s="246"/>
      <c r="P2361" s="228"/>
      <c r="Q2361" s="245"/>
      <c r="R2361" s="186" t="str">
        <f aca="false">+PROPER(C2361&amp;" "&amp;D2361)</f>
        <v> </v>
      </c>
      <c r="S2361" s="230" t="n">
        <f aca="false">+YEARFRAC(L2361,$S$1)</f>
        <v>126.366666666667</v>
      </c>
      <c r="T2361" s="230" t="n">
        <f aca="false">+YEARFRAC(M2361,$S$1)</f>
        <v>126.366666666667</v>
      </c>
      <c r="U2361" s="231" t="n">
        <f aca="false">+$I2361</f>
        <v>0</v>
      </c>
      <c r="V2361" s="232" t="str">
        <f aca="false">+PROPER(F2361)</f>
        <v/>
      </c>
    </row>
    <row r="2362" customFormat="false" ht="14.25" hidden="false" customHeight="false" outlineLevel="0" collapsed="false">
      <c r="B2362" s="244"/>
      <c r="C2362" s="245"/>
      <c r="D2362" s="245"/>
      <c r="E2362" s="246"/>
      <c r="F2362" s="246"/>
      <c r="G2362" s="225" t="e">
        <f aca="false">VLOOKUP(B2362,'NIVEL ENERO'!A:F,4,0)</f>
        <v>#N/A</v>
      </c>
      <c r="H2362" s="247"/>
      <c r="I2362" s="247"/>
      <c r="J2362" s="246"/>
      <c r="K2362" s="246"/>
      <c r="L2362" s="226"/>
      <c r="M2362" s="226"/>
      <c r="N2362" s="246"/>
      <c r="P2362" s="228"/>
      <c r="Q2362" s="245"/>
      <c r="R2362" s="186" t="str">
        <f aca="false">+PROPER(C2362&amp;" "&amp;D2362)</f>
        <v> </v>
      </c>
      <c r="S2362" s="230" t="n">
        <f aca="false">+YEARFRAC(L2362,$S$1)</f>
        <v>126.366666666667</v>
      </c>
      <c r="T2362" s="230" t="n">
        <f aca="false">+YEARFRAC(M2362,$S$1)</f>
        <v>126.366666666667</v>
      </c>
      <c r="U2362" s="231" t="n">
        <f aca="false">+$I2362</f>
        <v>0</v>
      </c>
      <c r="V2362" s="232" t="str">
        <f aca="false">+PROPER(F2362)</f>
        <v/>
      </c>
    </row>
    <row r="2363" customFormat="false" ht="14.25" hidden="false" customHeight="false" outlineLevel="0" collapsed="false">
      <c r="B2363" s="244"/>
      <c r="C2363" s="245"/>
      <c r="D2363" s="245"/>
      <c r="E2363" s="246"/>
      <c r="F2363" s="246"/>
      <c r="G2363" s="225" t="e">
        <f aca="false">VLOOKUP(B2363,'NIVEL ENERO'!A:F,4,0)</f>
        <v>#N/A</v>
      </c>
      <c r="H2363" s="247"/>
      <c r="I2363" s="247"/>
      <c r="J2363" s="246"/>
      <c r="K2363" s="246"/>
      <c r="L2363" s="226"/>
      <c r="M2363" s="226"/>
      <c r="N2363" s="246"/>
      <c r="P2363" s="228"/>
      <c r="Q2363" s="245"/>
      <c r="R2363" s="186" t="str">
        <f aca="false">+PROPER(C2363&amp;" "&amp;D2363)</f>
        <v> </v>
      </c>
      <c r="S2363" s="230" t="n">
        <f aca="false">+YEARFRAC(L2363,$S$1)</f>
        <v>126.366666666667</v>
      </c>
      <c r="T2363" s="230" t="n">
        <f aca="false">+YEARFRAC(M2363,$S$1)</f>
        <v>126.366666666667</v>
      </c>
      <c r="U2363" s="231" t="n">
        <f aca="false">+$I2363</f>
        <v>0</v>
      </c>
      <c r="V2363" s="232" t="str">
        <f aca="false">+PROPER(F2363)</f>
        <v/>
      </c>
    </row>
    <row r="2364" customFormat="false" ht="14.25" hidden="false" customHeight="false" outlineLevel="0" collapsed="false">
      <c r="B2364" s="244"/>
      <c r="C2364" s="245"/>
      <c r="D2364" s="245"/>
      <c r="E2364" s="246"/>
      <c r="F2364" s="246"/>
      <c r="G2364" s="225" t="e">
        <f aca="false">VLOOKUP(B2364,'NIVEL ENERO'!A:F,4,0)</f>
        <v>#N/A</v>
      </c>
      <c r="H2364" s="247"/>
      <c r="I2364" s="247"/>
      <c r="J2364" s="246"/>
      <c r="K2364" s="246"/>
      <c r="L2364" s="226"/>
      <c r="M2364" s="226"/>
      <c r="N2364" s="246"/>
      <c r="P2364" s="228"/>
      <c r="Q2364" s="245"/>
      <c r="R2364" s="186" t="str">
        <f aca="false">+PROPER(C2364&amp;" "&amp;D2364)</f>
        <v> </v>
      </c>
      <c r="S2364" s="230" t="n">
        <f aca="false">+YEARFRAC(L2364,$S$1)</f>
        <v>126.366666666667</v>
      </c>
      <c r="T2364" s="230" t="n">
        <f aca="false">+YEARFRAC(M2364,$S$1)</f>
        <v>126.366666666667</v>
      </c>
      <c r="U2364" s="231" t="n">
        <f aca="false">+$I2364</f>
        <v>0</v>
      </c>
      <c r="V2364" s="232" t="str">
        <f aca="false">+PROPER(F2364)</f>
        <v/>
      </c>
    </row>
    <row r="2365" customFormat="false" ht="14.25" hidden="false" customHeight="false" outlineLevel="0" collapsed="false">
      <c r="B2365" s="244"/>
      <c r="C2365" s="245"/>
      <c r="D2365" s="245"/>
      <c r="E2365" s="246"/>
      <c r="F2365" s="246"/>
      <c r="G2365" s="225" t="e">
        <f aca="false">VLOOKUP(B2365,'NIVEL ENERO'!A:F,4,0)</f>
        <v>#N/A</v>
      </c>
      <c r="H2365" s="247"/>
      <c r="I2365" s="247"/>
      <c r="J2365" s="246"/>
      <c r="K2365" s="246"/>
      <c r="L2365" s="226"/>
      <c r="M2365" s="226"/>
      <c r="N2365" s="246"/>
      <c r="P2365" s="228"/>
      <c r="Q2365" s="245"/>
      <c r="R2365" s="186" t="str">
        <f aca="false">+PROPER(C2365&amp;" "&amp;D2365)</f>
        <v> </v>
      </c>
      <c r="S2365" s="230" t="n">
        <f aca="false">+YEARFRAC(L2365,$S$1)</f>
        <v>126.366666666667</v>
      </c>
      <c r="T2365" s="230" t="n">
        <f aca="false">+YEARFRAC(M2365,$S$1)</f>
        <v>126.366666666667</v>
      </c>
      <c r="U2365" s="231" t="n">
        <f aca="false">+$I2365</f>
        <v>0</v>
      </c>
      <c r="V2365" s="232" t="str">
        <f aca="false">+PROPER(F2365)</f>
        <v/>
      </c>
    </row>
    <row r="2366" customFormat="false" ht="14.25" hidden="false" customHeight="false" outlineLevel="0" collapsed="false">
      <c r="B2366" s="244"/>
      <c r="C2366" s="245"/>
      <c r="D2366" s="245"/>
      <c r="E2366" s="246"/>
      <c r="F2366" s="246"/>
      <c r="G2366" s="225" t="e">
        <f aca="false">VLOOKUP(B2366,'NIVEL ENERO'!A:F,4,0)</f>
        <v>#N/A</v>
      </c>
      <c r="H2366" s="247"/>
      <c r="I2366" s="247"/>
      <c r="J2366" s="246"/>
      <c r="K2366" s="246"/>
      <c r="L2366" s="226"/>
      <c r="M2366" s="226"/>
      <c r="N2366" s="246"/>
      <c r="P2366" s="228"/>
      <c r="Q2366" s="245"/>
      <c r="R2366" s="186" t="str">
        <f aca="false">+PROPER(C2366&amp;" "&amp;D2366)</f>
        <v> </v>
      </c>
      <c r="S2366" s="230" t="n">
        <f aca="false">+YEARFRAC(L2366,$S$1)</f>
        <v>126.366666666667</v>
      </c>
      <c r="T2366" s="230" t="n">
        <f aca="false">+YEARFRAC(M2366,$S$1)</f>
        <v>126.366666666667</v>
      </c>
      <c r="U2366" s="231" t="n">
        <f aca="false">+$I2366</f>
        <v>0</v>
      </c>
      <c r="V2366" s="232" t="str">
        <f aca="false">+PROPER(F2366)</f>
        <v/>
      </c>
    </row>
    <row r="2367" customFormat="false" ht="14.25" hidden="false" customHeight="false" outlineLevel="0" collapsed="false">
      <c r="B2367" s="244"/>
      <c r="C2367" s="245"/>
      <c r="D2367" s="245"/>
      <c r="E2367" s="246"/>
      <c r="F2367" s="246"/>
      <c r="G2367" s="225" t="e">
        <f aca="false">VLOOKUP(B2367,'NIVEL ENERO'!A:F,4,0)</f>
        <v>#N/A</v>
      </c>
      <c r="H2367" s="247"/>
      <c r="I2367" s="247"/>
      <c r="J2367" s="246"/>
      <c r="K2367" s="246"/>
      <c r="L2367" s="226"/>
      <c r="M2367" s="226"/>
      <c r="N2367" s="246"/>
      <c r="P2367" s="228"/>
      <c r="Q2367" s="245"/>
      <c r="R2367" s="186" t="str">
        <f aca="false">+PROPER(C2367&amp;" "&amp;D2367)</f>
        <v> </v>
      </c>
      <c r="S2367" s="230" t="n">
        <f aca="false">+YEARFRAC(L2367,$S$1)</f>
        <v>126.366666666667</v>
      </c>
      <c r="T2367" s="230" t="n">
        <f aca="false">+YEARFRAC(M2367,$S$1)</f>
        <v>126.366666666667</v>
      </c>
      <c r="U2367" s="231" t="n">
        <f aca="false">+$I2367</f>
        <v>0</v>
      </c>
      <c r="V2367" s="232" t="str">
        <f aca="false">+PROPER(F2367)</f>
        <v/>
      </c>
    </row>
    <row r="2368" customFormat="false" ht="14.25" hidden="false" customHeight="false" outlineLevel="0" collapsed="false">
      <c r="B2368" s="244"/>
      <c r="C2368" s="245"/>
      <c r="D2368" s="245"/>
      <c r="E2368" s="246"/>
      <c r="F2368" s="246"/>
      <c r="G2368" s="225" t="e">
        <f aca="false">VLOOKUP(B2368,'NIVEL ENERO'!A:F,4,0)</f>
        <v>#N/A</v>
      </c>
      <c r="H2368" s="247"/>
      <c r="I2368" s="247"/>
      <c r="J2368" s="246"/>
      <c r="K2368" s="246"/>
      <c r="L2368" s="226"/>
      <c r="M2368" s="226"/>
      <c r="N2368" s="246"/>
      <c r="P2368" s="228"/>
      <c r="Q2368" s="245"/>
      <c r="R2368" s="186" t="str">
        <f aca="false">+PROPER(C2368&amp;" "&amp;D2368)</f>
        <v> </v>
      </c>
      <c r="S2368" s="230" t="n">
        <f aca="false">+YEARFRAC(L2368,$S$1)</f>
        <v>126.366666666667</v>
      </c>
      <c r="T2368" s="230" t="n">
        <f aca="false">+YEARFRAC(M2368,$S$1)</f>
        <v>126.366666666667</v>
      </c>
      <c r="U2368" s="231" t="n">
        <f aca="false">+$I2368</f>
        <v>0</v>
      </c>
      <c r="V2368" s="232" t="str">
        <f aca="false">+PROPER(F2368)</f>
        <v/>
      </c>
    </row>
    <row r="2369" customFormat="false" ht="14.25" hidden="false" customHeight="false" outlineLevel="0" collapsed="false">
      <c r="B2369" s="244"/>
      <c r="C2369" s="245"/>
      <c r="D2369" s="245"/>
      <c r="E2369" s="246"/>
      <c r="F2369" s="246"/>
      <c r="G2369" s="225" t="e">
        <f aca="false">VLOOKUP(B2369,'NIVEL ENERO'!A:F,4,0)</f>
        <v>#N/A</v>
      </c>
      <c r="H2369" s="247"/>
      <c r="I2369" s="247"/>
      <c r="J2369" s="246"/>
      <c r="K2369" s="246"/>
      <c r="L2369" s="226"/>
      <c r="M2369" s="226"/>
      <c r="N2369" s="246"/>
      <c r="P2369" s="228"/>
      <c r="Q2369" s="245"/>
      <c r="R2369" s="186" t="str">
        <f aca="false">+PROPER(C2369&amp;" "&amp;D2369)</f>
        <v> </v>
      </c>
      <c r="S2369" s="230" t="n">
        <f aca="false">+YEARFRAC(L2369,$S$1)</f>
        <v>126.366666666667</v>
      </c>
      <c r="T2369" s="230" t="n">
        <f aca="false">+YEARFRAC(M2369,$S$1)</f>
        <v>126.366666666667</v>
      </c>
      <c r="U2369" s="231" t="n">
        <f aca="false">+$I2369</f>
        <v>0</v>
      </c>
      <c r="V2369" s="232" t="str">
        <f aca="false">+PROPER(F2369)</f>
        <v/>
      </c>
    </row>
    <row r="2370" customFormat="false" ht="14.25" hidden="false" customHeight="false" outlineLevel="0" collapsed="false">
      <c r="B2370" s="244"/>
      <c r="C2370" s="245"/>
      <c r="D2370" s="245"/>
      <c r="E2370" s="246"/>
      <c r="F2370" s="246"/>
      <c r="G2370" s="225" t="e">
        <f aca="false">VLOOKUP(B2370,'NIVEL ENERO'!A:F,4,0)</f>
        <v>#N/A</v>
      </c>
      <c r="H2370" s="247"/>
      <c r="I2370" s="247"/>
      <c r="J2370" s="246"/>
      <c r="K2370" s="246"/>
      <c r="L2370" s="226"/>
      <c r="M2370" s="226"/>
      <c r="N2370" s="246"/>
      <c r="P2370" s="228"/>
      <c r="Q2370" s="245"/>
      <c r="R2370" s="186" t="str">
        <f aca="false">+PROPER(C2370&amp;" "&amp;D2370)</f>
        <v> </v>
      </c>
      <c r="S2370" s="230" t="n">
        <f aca="false">+YEARFRAC(L2370,$S$1)</f>
        <v>126.366666666667</v>
      </c>
      <c r="T2370" s="230" t="n">
        <f aca="false">+YEARFRAC(M2370,$S$1)</f>
        <v>126.366666666667</v>
      </c>
      <c r="U2370" s="231" t="n">
        <f aca="false">+$I2370</f>
        <v>0</v>
      </c>
      <c r="V2370" s="232" t="str">
        <f aca="false">+PROPER(F2370)</f>
        <v/>
      </c>
    </row>
    <row r="2371" customFormat="false" ht="14.25" hidden="false" customHeight="false" outlineLevel="0" collapsed="false">
      <c r="B2371" s="244"/>
      <c r="C2371" s="245"/>
      <c r="D2371" s="245"/>
      <c r="E2371" s="246"/>
      <c r="F2371" s="246"/>
      <c r="G2371" s="225" t="e">
        <f aca="false">VLOOKUP(B2371,'NIVEL ENERO'!A:F,4,0)</f>
        <v>#N/A</v>
      </c>
      <c r="H2371" s="247"/>
      <c r="I2371" s="247"/>
      <c r="J2371" s="246"/>
      <c r="K2371" s="246"/>
      <c r="L2371" s="226"/>
      <c r="M2371" s="226"/>
      <c r="N2371" s="246"/>
      <c r="P2371" s="228"/>
      <c r="Q2371" s="245"/>
      <c r="R2371" s="186" t="str">
        <f aca="false">+PROPER(C2371&amp;" "&amp;D2371)</f>
        <v> </v>
      </c>
      <c r="S2371" s="230" t="n">
        <f aca="false">+YEARFRAC(L2371,$S$1)</f>
        <v>126.366666666667</v>
      </c>
      <c r="T2371" s="230" t="n">
        <f aca="false">+YEARFRAC(M2371,$S$1)</f>
        <v>126.366666666667</v>
      </c>
      <c r="U2371" s="231" t="n">
        <f aca="false">+$I2371</f>
        <v>0</v>
      </c>
      <c r="V2371" s="232" t="str">
        <f aca="false">+PROPER(F2371)</f>
        <v/>
      </c>
    </row>
    <row r="2372" customFormat="false" ht="14.25" hidden="false" customHeight="false" outlineLevel="0" collapsed="false">
      <c r="B2372" s="244"/>
      <c r="C2372" s="245"/>
      <c r="D2372" s="245"/>
      <c r="E2372" s="246"/>
      <c r="F2372" s="246"/>
      <c r="G2372" s="225" t="e">
        <f aca="false">VLOOKUP(B2372,'NIVEL ENERO'!A:F,4,0)</f>
        <v>#N/A</v>
      </c>
      <c r="H2372" s="247"/>
      <c r="I2372" s="247"/>
      <c r="J2372" s="246"/>
      <c r="K2372" s="246"/>
      <c r="L2372" s="226"/>
      <c r="M2372" s="226"/>
      <c r="N2372" s="246"/>
      <c r="P2372" s="228"/>
      <c r="Q2372" s="245"/>
      <c r="R2372" s="186" t="str">
        <f aca="false">+PROPER(C2372&amp;" "&amp;D2372)</f>
        <v> </v>
      </c>
      <c r="S2372" s="230" t="n">
        <f aca="false">+YEARFRAC(L2372,$S$1)</f>
        <v>126.366666666667</v>
      </c>
      <c r="T2372" s="230" t="n">
        <f aca="false">+YEARFRAC(M2372,$S$1)</f>
        <v>126.366666666667</v>
      </c>
      <c r="U2372" s="231" t="n">
        <f aca="false">+$I2372</f>
        <v>0</v>
      </c>
      <c r="V2372" s="232" t="str">
        <f aca="false">+PROPER(F2372)</f>
        <v/>
      </c>
    </row>
    <row r="2373" customFormat="false" ht="14.25" hidden="false" customHeight="false" outlineLevel="0" collapsed="false">
      <c r="B2373" s="244"/>
      <c r="C2373" s="245"/>
      <c r="D2373" s="245"/>
      <c r="E2373" s="246"/>
      <c r="F2373" s="246"/>
      <c r="G2373" s="225" t="e">
        <f aca="false">VLOOKUP(B2373,'NIVEL ENERO'!A:F,4,0)</f>
        <v>#N/A</v>
      </c>
      <c r="H2373" s="247"/>
      <c r="I2373" s="247"/>
      <c r="J2373" s="246"/>
      <c r="K2373" s="246"/>
      <c r="L2373" s="226"/>
      <c r="M2373" s="226"/>
      <c r="N2373" s="246"/>
      <c r="P2373" s="228"/>
      <c r="Q2373" s="245"/>
      <c r="R2373" s="186" t="str">
        <f aca="false">+PROPER(C2373&amp;" "&amp;D2373)</f>
        <v> </v>
      </c>
      <c r="S2373" s="230" t="n">
        <f aca="false">+YEARFRAC(L2373,$S$1)</f>
        <v>126.366666666667</v>
      </c>
      <c r="T2373" s="230" t="n">
        <f aca="false">+YEARFRAC(M2373,$S$1)</f>
        <v>126.366666666667</v>
      </c>
      <c r="U2373" s="231" t="n">
        <f aca="false">+$I2373</f>
        <v>0</v>
      </c>
      <c r="V2373" s="232" t="str">
        <f aca="false">+PROPER(F2373)</f>
        <v/>
      </c>
    </row>
    <row r="2374" customFormat="false" ht="14.25" hidden="false" customHeight="false" outlineLevel="0" collapsed="false">
      <c r="B2374" s="244"/>
      <c r="C2374" s="245"/>
      <c r="D2374" s="245"/>
      <c r="E2374" s="246"/>
      <c r="F2374" s="246"/>
      <c r="G2374" s="225" t="e">
        <f aca="false">VLOOKUP(B2374,'NIVEL ENERO'!A:F,4,0)</f>
        <v>#N/A</v>
      </c>
      <c r="H2374" s="247"/>
      <c r="I2374" s="247"/>
      <c r="J2374" s="246"/>
      <c r="K2374" s="246"/>
      <c r="L2374" s="226"/>
      <c r="M2374" s="226"/>
      <c r="N2374" s="246"/>
      <c r="P2374" s="228"/>
      <c r="Q2374" s="245"/>
      <c r="R2374" s="186" t="str">
        <f aca="false">+PROPER(C2374&amp;" "&amp;D2374)</f>
        <v> </v>
      </c>
      <c r="S2374" s="230" t="n">
        <f aca="false">+YEARFRAC(L2374,$S$1)</f>
        <v>126.366666666667</v>
      </c>
      <c r="T2374" s="230" t="n">
        <f aca="false">+YEARFRAC(M2374,$S$1)</f>
        <v>126.366666666667</v>
      </c>
      <c r="U2374" s="231" t="n">
        <f aca="false">+$I2374</f>
        <v>0</v>
      </c>
      <c r="V2374" s="232" t="str">
        <f aca="false">+PROPER(F2374)</f>
        <v/>
      </c>
    </row>
    <row r="2375" customFormat="false" ht="14.25" hidden="false" customHeight="false" outlineLevel="0" collapsed="false">
      <c r="B2375" s="244"/>
      <c r="C2375" s="245"/>
      <c r="D2375" s="245"/>
      <c r="E2375" s="246"/>
      <c r="F2375" s="246"/>
      <c r="G2375" s="225" t="e">
        <f aca="false">VLOOKUP(B2375,'NIVEL ENERO'!A:F,4,0)</f>
        <v>#N/A</v>
      </c>
      <c r="H2375" s="247"/>
      <c r="I2375" s="247"/>
      <c r="J2375" s="246"/>
      <c r="K2375" s="246"/>
      <c r="L2375" s="226"/>
      <c r="M2375" s="226"/>
      <c r="N2375" s="246"/>
      <c r="P2375" s="228"/>
      <c r="Q2375" s="245"/>
      <c r="R2375" s="186" t="str">
        <f aca="false">+PROPER(C2375&amp;" "&amp;D2375)</f>
        <v> </v>
      </c>
      <c r="S2375" s="230" t="n">
        <f aca="false">+YEARFRAC(L2375,$S$1)</f>
        <v>126.366666666667</v>
      </c>
      <c r="T2375" s="230" t="n">
        <f aca="false">+YEARFRAC(M2375,$S$1)</f>
        <v>126.366666666667</v>
      </c>
      <c r="U2375" s="231" t="n">
        <f aca="false">+$I2375</f>
        <v>0</v>
      </c>
      <c r="V2375" s="232" t="str">
        <f aca="false">+PROPER(F2375)</f>
        <v/>
      </c>
    </row>
    <row r="2376" customFormat="false" ht="14.25" hidden="false" customHeight="false" outlineLevel="0" collapsed="false">
      <c r="B2376" s="244"/>
      <c r="C2376" s="245"/>
      <c r="D2376" s="245"/>
      <c r="E2376" s="246"/>
      <c r="F2376" s="246"/>
      <c r="G2376" s="225" t="e">
        <f aca="false">VLOOKUP(B2376,'NIVEL ENERO'!A:F,4,0)</f>
        <v>#N/A</v>
      </c>
      <c r="H2376" s="247"/>
      <c r="I2376" s="247"/>
      <c r="J2376" s="246"/>
      <c r="K2376" s="246"/>
      <c r="L2376" s="226"/>
      <c r="M2376" s="226"/>
      <c r="N2376" s="246"/>
      <c r="P2376" s="228"/>
      <c r="Q2376" s="245"/>
      <c r="R2376" s="186" t="str">
        <f aca="false">+PROPER(C2376&amp;" "&amp;D2376)</f>
        <v> </v>
      </c>
      <c r="S2376" s="230" t="n">
        <f aca="false">+YEARFRAC(L2376,$S$1)</f>
        <v>126.366666666667</v>
      </c>
      <c r="T2376" s="230" t="n">
        <f aca="false">+YEARFRAC(M2376,$S$1)</f>
        <v>126.366666666667</v>
      </c>
      <c r="U2376" s="231" t="n">
        <f aca="false">+$I2376</f>
        <v>0</v>
      </c>
      <c r="V2376" s="232" t="str">
        <f aca="false">+PROPER(F2376)</f>
        <v/>
      </c>
    </row>
    <row r="2377" customFormat="false" ht="14.25" hidden="false" customHeight="false" outlineLevel="0" collapsed="false">
      <c r="B2377" s="244"/>
      <c r="C2377" s="245"/>
      <c r="D2377" s="245"/>
      <c r="E2377" s="246"/>
      <c r="F2377" s="246"/>
      <c r="G2377" s="225" t="e">
        <f aca="false">VLOOKUP(B2377,'NIVEL ENERO'!A:F,4,0)</f>
        <v>#N/A</v>
      </c>
      <c r="H2377" s="247"/>
      <c r="I2377" s="247"/>
      <c r="J2377" s="246"/>
      <c r="K2377" s="246"/>
      <c r="L2377" s="226"/>
      <c r="M2377" s="226"/>
      <c r="N2377" s="246"/>
      <c r="P2377" s="228"/>
      <c r="Q2377" s="245"/>
      <c r="R2377" s="186" t="str">
        <f aca="false">+PROPER(C2377&amp;" "&amp;D2377)</f>
        <v> </v>
      </c>
      <c r="S2377" s="230" t="n">
        <f aca="false">+YEARFRAC(L2377,$S$1)</f>
        <v>126.366666666667</v>
      </c>
      <c r="T2377" s="230" t="n">
        <f aca="false">+YEARFRAC(M2377,$S$1)</f>
        <v>126.366666666667</v>
      </c>
      <c r="U2377" s="231" t="n">
        <f aca="false">+$I2377</f>
        <v>0</v>
      </c>
      <c r="V2377" s="232" t="str">
        <f aca="false">+PROPER(F2377)</f>
        <v/>
      </c>
    </row>
    <row r="2378" customFormat="false" ht="14.25" hidden="false" customHeight="false" outlineLevel="0" collapsed="false">
      <c r="B2378" s="244"/>
      <c r="C2378" s="245"/>
      <c r="D2378" s="245"/>
      <c r="E2378" s="246"/>
      <c r="F2378" s="246"/>
      <c r="G2378" s="225" t="e">
        <f aca="false">VLOOKUP(B2378,'NIVEL ENERO'!A:F,4,0)</f>
        <v>#N/A</v>
      </c>
      <c r="H2378" s="247"/>
      <c r="I2378" s="247"/>
      <c r="J2378" s="246"/>
      <c r="K2378" s="246"/>
      <c r="L2378" s="226"/>
      <c r="M2378" s="226"/>
      <c r="N2378" s="246"/>
      <c r="P2378" s="228"/>
      <c r="Q2378" s="245"/>
      <c r="R2378" s="186" t="str">
        <f aca="false">+PROPER(C2378&amp;" "&amp;D2378)</f>
        <v> </v>
      </c>
      <c r="S2378" s="230" t="n">
        <f aca="false">+YEARFRAC(L2378,$S$1)</f>
        <v>126.366666666667</v>
      </c>
      <c r="T2378" s="230" t="n">
        <f aca="false">+YEARFRAC(M2378,$S$1)</f>
        <v>126.366666666667</v>
      </c>
      <c r="U2378" s="231" t="n">
        <f aca="false">+$I2378</f>
        <v>0</v>
      </c>
      <c r="V2378" s="232" t="str">
        <f aca="false">+PROPER(F2378)</f>
        <v/>
      </c>
    </row>
    <row r="2379" customFormat="false" ht="14.25" hidden="false" customHeight="false" outlineLevel="0" collapsed="false">
      <c r="B2379" s="244"/>
      <c r="C2379" s="245"/>
      <c r="D2379" s="245"/>
      <c r="E2379" s="246"/>
      <c r="F2379" s="246"/>
      <c r="G2379" s="225" t="e">
        <f aca="false">VLOOKUP(B2379,'NIVEL ENERO'!A:F,4,0)</f>
        <v>#N/A</v>
      </c>
      <c r="H2379" s="247"/>
      <c r="I2379" s="247"/>
      <c r="J2379" s="246"/>
      <c r="K2379" s="246"/>
      <c r="L2379" s="226"/>
      <c r="M2379" s="226"/>
      <c r="N2379" s="246"/>
      <c r="P2379" s="228"/>
      <c r="Q2379" s="245"/>
      <c r="R2379" s="186" t="str">
        <f aca="false">+PROPER(C2379&amp;" "&amp;D2379)</f>
        <v> </v>
      </c>
      <c r="S2379" s="230" t="n">
        <f aca="false">+YEARFRAC(L2379,$S$1)</f>
        <v>126.366666666667</v>
      </c>
      <c r="T2379" s="230" t="n">
        <f aca="false">+YEARFRAC(M2379,$S$1)</f>
        <v>126.366666666667</v>
      </c>
      <c r="U2379" s="231" t="n">
        <f aca="false">+$I2379</f>
        <v>0</v>
      </c>
      <c r="V2379" s="232" t="str">
        <f aca="false">+PROPER(F2379)</f>
        <v/>
      </c>
    </row>
    <row r="2380" customFormat="false" ht="14.25" hidden="false" customHeight="false" outlineLevel="0" collapsed="false">
      <c r="B2380" s="244"/>
      <c r="C2380" s="245"/>
      <c r="D2380" s="245"/>
      <c r="E2380" s="246"/>
      <c r="F2380" s="246"/>
      <c r="G2380" s="225" t="e">
        <f aca="false">VLOOKUP(B2380,'NIVEL ENERO'!A:F,4,0)</f>
        <v>#N/A</v>
      </c>
      <c r="H2380" s="247"/>
      <c r="I2380" s="247"/>
      <c r="J2380" s="246"/>
      <c r="K2380" s="246"/>
      <c r="L2380" s="226"/>
      <c r="M2380" s="226"/>
      <c r="N2380" s="246"/>
      <c r="P2380" s="228"/>
      <c r="Q2380" s="245"/>
      <c r="R2380" s="186" t="str">
        <f aca="false">+PROPER(C2380&amp;" "&amp;D2380)</f>
        <v> </v>
      </c>
      <c r="S2380" s="230" t="n">
        <f aca="false">+YEARFRAC(L2380,$S$1)</f>
        <v>126.366666666667</v>
      </c>
      <c r="T2380" s="230" t="n">
        <f aca="false">+YEARFRAC(M2380,$S$1)</f>
        <v>126.366666666667</v>
      </c>
      <c r="U2380" s="231" t="n">
        <f aca="false">+$I2380</f>
        <v>0</v>
      </c>
      <c r="V2380" s="232" t="str">
        <f aca="false">+PROPER(F2380)</f>
        <v/>
      </c>
    </row>
    <row r="2381" customFormat="false" ht="14.25" hidden="false" customHeight="false" outlineLevel="0" collapsed="false">
      <c r="B2381" s="244"/>
      <c r="C2381" s="245"/>
      <c r="D2381" s="245"/>
      <c r="E2381" s="246"/>
      <c r="F2381" s="246"/>
      <c r="G2381" s="225" t="e">
        <f aca="false">VLOOKUP(B2381,'NIVEL ENERO'!A:F,4,0)</f>
        <v>#N/A</v>
      </c>
      <c r="H2381" s="247"/>
      <c r="I2381" s="247"/>
      <c r="J2381" s="246"/>
      <c r="K2381" s="246"/>
      <c r="L2381" s="226"/>
      <c r="M2381" s="226"/>
      <c r="N2381" s="246"/>
      <c r="P2381" s="228"/>
      <c r="Q2381" s="245"/>
      <c r="R2381" s="186" t="str">
        <f aca="false">+PROPER(C2381&amp;" "&amp;D2381)</f>
        <v> </v>
      </c>
      <c r="S2381" s="230" t="n">
        <f aca="false">+YEARFRAC(L2381,$S$1)</f>
        <v>126.366666666667</v>
      </c>
      <c r="T2381" s="230" t="n">
        <f aca="false">+YEARFRAC(M2381,$S$1)</f>
        <v>126.366666666667</v>
      </c>
      <c r="U2381" s="231" t="n">
        <f aca="false">+$I2381</f>
        <v>0</v>
      </c>
      <c r="V2381" s="232" t="str">
        <f aca="false">+PROPER(F2381)</f>
        <v/>
      </c>
    </row>
    <row r="2382" customFormat="false" ht="14.25" hidden="false" customHeight="false" outlineLevel="0" collapsed="false">
      <c r="B2382" s="244"/>
      <c r="C2382" s="245"/>
      <c r="D2382" s="245"/>
      <c r="E2382" s="246"/>
      <c r="F2382" s="246"/>
      <c r="G2382" s="225" t="e">
        <f aca="false">VLOOKUP(B2382,'NIVEL ENERO'!A:F,4,0)</f>
        <v>#N/A</v>
      </c>
      <c r="H2382" s="247"/>
      <c r="I2382" s="247"/>
      <c r="J2382" s="246"/>
      <c r="K2382" s="246"/>
      <c r="L2382" s="226"/>
      <c r="M2382" s="226"/>
      <c r="N2382" s="246"/>
      <c r="P2382" s="228"/>
      <c r="Q2382" s="245"/>
      <c r="R2382" s="186" t="str">
        <f aca="false">+PROPER(C2382&amp;" "&amp;D2382)</f>
        <v> </v>
      </c>
      <c r="S2382" s="230" t="n">
        <f aca="false">+YEARFRAC(L2382,$S$1)</f>
        <v>126.366666666667</v>
      </c>
      <c r="T2382" s="230" t="n">
        <f aca="false">+YEARFRAC(M2382,$S$1)</f>
        <v>126.366666666667</v>
      </c>
      <c r="U2382" s="231" t="n">
        <f aca="false">+$I2382</f>
        <v>0</v>
      </c>
      <c r="V2382" s="232" t="str">
        <f aca="false">+PROPER(F2382)</f>
        <v/>
      </c>
    </row>
    <row r="2383" customFormat="false" ht="14.25" hidden="false" customHeight="false" outlineLevel="0" collapsed="false">
      <c r="B2383" s="244"/>
      <c r="C2383" s="245"/>
      <c r="D2383" s="245"/>
      <c r="E2383" s="246"/>
      <c r="F2383" s="246"/>
      <c r="G2383" s="225" t="e">
        <f aca="false">VLOOKUP(B2383,'NIVEL ENERO'!A:F,4,0)</f>
        <v>#N/A</v>
      </c>
      <c r="H2383" s="247"/>
      <c r="I2383" s="247"/>
      <c r="J2383" s="246"/>
      <c r="K2383" s="246"/>
      <c r="L2383" s="226"/>
      <c r="M2383" s="226"/>
      <c r="N2383" s="246"/>
      <c r="P2383" s="228"/>
      <c r="Q2383" s="245"/>
      <c r="R2383" s="186" t="str">
        <f aca="false">+PROPER(C2383&amp;" "&amp;D2383)</f>
        <v> </v>
      </c>
      <c r="S2383" s="230" t="n">
        <f aca="false">+YEARFRAC(L2383,$S$1)</f>
        <v>126.366666666667</v>
      </c>
      <c r="T2383" s="230" t="n">
        <f aca="false">+YEARFRAC(M2383,$S$1)</f>
        <v>126.366666666667</v>
      </c>
      <c r="U2383" s="231" t="n">
        <f aca="false">+$I2383</f>
        <v>0</v>
      </c>
      <c r="V2383" s="232" t="str">
        <f aca="false">+PROPER(F2383)</f>
        <v/>
      </c>
    </row>
    <row r="2384" customFormat="false" ht="14.25" hidden="false" customHeight="false" outlineLevel="0" collapsed="false">
      <c r="B2384" s="244"/>
      <c r="C2384" s="245"/>
      <c r="D2384" s="245"/>
      <c r="E2384" s="246"/>
      <c r="F2384" s="246"/>
      <c r="G2384" s="225" t="e">
        <f aca="false">VLOOKUP(B2384,'NIVEL ENERO'!A:F,4,0)</f>
        <v>#N/A</v>
      </c>
      <c r="H2384" s="247"/>
      <c r="I2384" s="247"/>
      <c r="J2384" s="246"/>
      <c r="K2384" s="246"/>
      <c r="L2384" s="226"/>
      <c r="M2384" s="226"/>
      <c r="N2384" s="246"/>
      <c r="P2384" s="228"/>
      <c r="Q2384" s="245"/>
      <c r="R2384" s="186" t="str">
        <f aca="false">+PROPER(C2384&amp;" "&amp;D2384)</f>
        <v> </v>
      </c>
      <c r="S2384" s="230" t="n">
        <f aca="false">+YEARFRAC(L2384,$S$1)</f>
        <v>126.366666666667</v>
      </c>
      <c r="T2384" s="230" t="n">
        <f aca="false">+YEARFRAC(M2384,$S$1)</f>
        <v>126.366666666667</v>
      </c>
      <c r="U2384" s="231" t="n">
        <f aca="false">+$I2384</f>
        <v>0</v>
      </c>
      <c r="V2384" s="232" t="str">
        <f aca="false">+PROPER(F2384)</f>
        <v/>
      </c>
    </row>
    <row r="2385" customFormat="false" ht="14.25" hidden="false" customHeight="false" outlineLevel="0" collapsed="false">
      <c r="B2385" s="244"/>
      <c r="C2385" s="245"/>
      <c r="D2385" s="245"/>
      <c r="E2385" s="246"/>
      <c r="F2385" s="246"/>
      <c r="G2385" s="225" t="e">
        <f aca="false">VLOOKUP(B2385,'NIVEL ENERO'!A:F,4,0)</f>
        <v>#N/A</v>
      </c>
      <c r="H2385" s="247"/>
      <c r="I2385" s="247"/>
      <c r="J2385" s="246"/>
      <c r="K2385" s="246"/>
      <c r="L2385" s="226"/>
      <c r="M2385" s="226"/>
      <c r="N2385" s="246"/>
      <c r="P2385" s="228"/>
      <c r="Q2385" s="245"/>
      <c r="R2385" s="186" t="str">
        <f aca="false">+PROPER(C2385&amp;" "&amp;D2385)</f>
        <v> </v>
      </c>
      <c r="S2385" s="230" t="n">
        <f aca="false">+YEARFRAC(L2385,$S$1)</f>
        <v>126.366666666667</v>
      </c>
      <c r="T2385" s="230" t="n">
        <f aca="false">+YEARFRAC(M2385,$S$1)</f>
        <v>126.366666666667</v>
      </c>
      <c r="U2385" s="231" t="n">
        <f aca="false">+$I2385</f>
        <v>0</v>
      </c>
      <c r="V2385" s="232" t="str">
        <f aca="false">+PROPER(F2385)</f>
        <v/>
      </c>
    </row>
    <row r="2386" customFormat="false" ht="14.25" hidden="false" customHeight="false" outlineLevel="0" collapsed="false">
      <c r="B2386" s="244"/>
      <c r="C2386" s="245"/>
      <c r="D2386" s="245"/>
      <c r="E2386" s="246"/>
      <c r="F2386" s="246"/>
      <c r="G2386" s="225" t="e">
        <f aca="false">VLOOKUP(B2386,'NIVEL ENERO'!A:F,4,0)</f>
        <v>#N/A</v>
      </c>
      <c r="H2386" s="247"/>
      <c r="I2386" s="247"/>
      <c r="J2386" s="246"/>
      <c r="K2386" s="246"/>
      <c r="L2386" s="226"/>
      <c r="M2386" s="226"/>
      <c r="N2386" s="246"/>
      <c r="P2386" s="228"/>
      <c r="Q2386" s="245"/>
      <c r="R2386" s="186" t="str">
        <f aca="false">+PROPER(C2386&amp;" "&amp;D2386)</f>
        <v> </v>
      </c>
      <c r="S2386" s="230" t="n">
        <f aca="false">+YEARFRAC(L2386,$S$1)</f>
        <v>126.366666666667</v>
      </c>
      <c r="T2386" s="230" t="n">
        <f aca="false">+YEARFRAC(M2386,$S$1)</f>
        <v>126.366666666667</v>
      </c>
      <c r="U2386" s="231" t="n">
        <f aca="false">+$I2386</f>
        <v>0</v>
      </c>
      <c r="V2386" s="232" t="str">
        <f aca="false">+PROPER(F2386)</f>
        <v/>
      </c>
    </row>
    <row r="2387" customFormat="false" ht="14.25" hidden="false" customHeight="false" outlineLevel="0" collapsed="false">
      <c r="B2387" s="244"/>
      <c r="C2387" s="245"/>
      <c r="D2387" s="245"/>
      <c r="E2387" s="246"/>
      <c r="F2387" s="246"/>
      <c r="G2387" s="225" t="e">
        <f aca="false">VLOOKUP(B2387,'NIVEL ENERO'!A:F,4,0)</f>
        <v>#N/A</v>
      </c>
      <c r="H2387" s="247"/>
      <c r="I2387" s="247"/>
      <c r="J2387" s="246"/>
      <c r="K2387" s="246"/>
      <c r="L2387" s="226"/>
      <c r="M2387" s="226"/>
      <c r="N2387" s="246"/>
      <c r="P2387" s="228"/>
      <c r="Q2387" s="245"/>
      <c r="R2387" s="186" t="str">
        <f aca="false">+PROPER(C2387&amp;" "&amp;D2387)</f>
        <v> </v>
      </c>
      <c r="S2387" s="230" t="n">
        <f aca="false">+YEARFRAC(L2387,$S$1)</f>
        <v>126.366666666667</v>
      </c>
      <c r="T2387" s="230" t="n">
        <f aca="false">+YEARFRAC(M2387,$S$1)</f>
        <v>126.366666666667</v>
      </c>
      <c r="U2387" s="231" t="n">
        <f aca="false">+$I2387</f>
        <v>0</v>
      </c>
      <c r="V2387" s="232" t="str">
        <f aca="false">+PROPER(F2387)</f>
        <v/>
      </c>
    </row>
    <row r="2388" customFormat="false" ht="14.25" hidden="false" customHeight="false" outlineLevel="0" collapsed="false">
      <c r="B2388" s="244"/>
      <c r="C2388" s="245"/>
      <c r="D2388" s="245"/>
      <c r="E2388" s="246"/>
      <c r="F2388" s="246"/>
      <c r="G2388" s="225" t="e">
        <f aca="false">VLOOKUP(B2388,'NIVEL ENERO'!A:F,4,0)</f>
        <v>#N/A</v>
      </c>
      <c r="H2388" s="247"/>
      <c r="I2388" s="247"/>
      <c r="J2388" s="246"/>
      <c r="K2388" s="246"/>
      <c r="L2388" s="226"/>
      <c r="M2388" s="226"/>
      <c r="N2388" s="246"/>
      <c r="P2388" s="228"/>
      <c r="Q2388" s="245"/>
      <c r="R2388" s="186" t="str">
        <f aca="false">+PROPER(C2388&amp;" "&amp;D2388)</f>
        <v> </v>
      </c>
      <c r="S2388" s="230" t="n">
        <f aca="false">+YEARFRAC(L2388,$S$1)</f>
        <v>126.366666666667</v>
      </c>
      <c r="T2388" s="230" t="n">
        <f aca="false">+YEARFRAC(M2388,$S$1)</f>
        <v>126.366666666667</v>
      </c>
      <c r="U2388" s="231" t="n">
        <f aca="false">+$I2388</f>
        <v>0</v>
      </c>
      <c r="V2388" s="232" t="str">
        <f aca="false">+PROPER(F2388)</f>
        <v/>
      </c>
    </row>
    <row r="2389" customFormat="false" ht="14.25" hidden="false" customHeight="false" outlineLevel="0" collapsed="false">
      <c r="B2389" s="244"/>
      <c r="C2389" s="245"/>
      <c r="D2389" s="245"/>
      <c r="E2389" s="246"/>
      <c r="F2389" s="246"/>
      <c r="G2389" s="225" t="e">
        <f aca="false">VLOOKUP(B2389,'NIVEL ENERO'!A:F,4,0)</f>
        <v>#N/A</v>
      </c>
      <c r="H2389" s="247"/>
      <c r="I2389" s="247"/>
      <c r="J2389" s="246"/>
      <c r="K2389" s="246"/>
      <c r="L2389" s="226"/>
      <c r="M2389" s="226"/>
      <c r="N2389" s="246"/>
      <c r="P2389" s="228"/>
      <c r="Q2389" s="245"/>
      <c r="R2389" s="186" t="str">
        <f aca="false">+PROPER(C2389&amp;" "&amp;D2389)</f>
        <v> </v>
      </c>
      <c r="S2389" s="230" t="n">
        <f aca="false">+YEARFRAC(L2389,$S$1)</f>
        <v>126.366666666667</v>
      </c>
      <c r="T2389" s="230" t="n">
        <f aca="false">+YEARFRAC(M2389,$S$1)</f>
        <v>126.366666666667</v>
      </c>
      <c r="U2389" s="231" t="n">
        <f aca="false">+$I2389</f>
        <v>0</v>
      </c>
      <c r="V2389" s="232" t="str">
        <f aca="false">+PROPER(F2389)</f>
        <v/>
      </c>
    </row>
    <row r="2390" customFormat="false" ht="14.25" hidden="false" customHeight="false" outlineLevel="0" collapsed="false">
      <c r="B2390" s="244"/>
      <c r="C2390" s="245"/>
      <c r="D2390" s="245"/>
      <c r="E2390" s="246"/>
      <c r="F2390" s="246"/>
      <c r="G2390" s="225" t="e">
        <f aca="false">VLOOKUP(B2390,'NIVEL ENERO'!A:F,4,0)</f>
        <v>#N/A</v>
      </c>
      <c r="H2390" s="247"/>
      <c r="I2390" s="247"/>
      <c r="J2390" s="246"/>
      <c r="K2390" s="246"/>
      <c r="L2390" s="226"/>
      <c r="M2390" s="226"/>
      <c r="N2390" s="246"/>
      <c r="P2390" s="228"/>
      <c r="Q2390" s="245"/>
      <c r="R2390" s="186" t="str">
        <f aca="false">+PROPER(C2390&amp;" "&amp;D2390)</f>
        <v> </v>
      </c>
      <c r="S2390" s="230" t="n">
        <f aca="false">+YEARFRAC(L2390,$S$1)</f>
        <v>126.366666666667</v>
      </c>
      <c r="T2390" s="230" t="n">
        <f aca="false">+YEARFRAC(M2390,$S$1)</f>
        <v>126.366666666667</v>
      </c>
      <c r="U2390" s="231" t="n">
        <f aca="false">+$I2390</f>
        <v>0</v>
      </c>
      <c r="V2390" s="232" t="str">
        <f aca="false">+PROPER(F2390)</f>
        <v/>
      </c>
    </row>
    <row r="2391" customFormat="false" ht="14.25" hidden="false" customHeight="false" outlineLevel="0" collapsed="false">
      <c r="B2391" s="244"/>
      <c r="C2391" s="245"/>
      <c r="D2391" s="245"/>
      <c r="E2391" s="246"/>
      <c r="F2391" s="246"/>
      <c r="G2391" s="225" t="e">
        <f aca="false">VLOOKUP(B2391,'NIVEL ENERO'!A:F,4,0)</f>
        <v>#N/A</v>
      </c>
      <c r="H2391" s="247"/>
      <c r="I2391" s="247"/>
      <c r="J2391" s="246"/>
      <c r="K2391" s="246"/>
      <c r="L2391" s="226"/>
      <c r="M2391" s="226"/>
      <c r="N2391" s="246"/>
      <c r="P2391" s="228"/>
      <c r="Q2391" s="245"/>
      <c r="R2391" s="186" t="str">
        <f aca="false">+PROPER(C2391&amp;" "&amp;D2391)</f>
        <v> </v>
      </c>
      <c r="S2391" s="230" t="n">
        <f aca="false">+YEARFRAC(L2391,$S$1)</f>
        <v>126.366666666667</v>
      </c>
      <c r="T2391" s="230" t="n">
        <f aca="false">+YEARFRAC(M2391,$S$1)</f>
        <v>126.366666666667</v>
      </c>
      <c r="U2391" s="231" t="n">
        <f aca="false">+$I2391</f>
        <v>0</v>
      </c>
      <c r="V2391" s="232" t="str">
        <f aca="false">+PROPER(F2391)</f>
        <v/>
      </c>
    </row>
    <row r="2392" customFormat="false" ht="14.25" hidden="false" customHeight="false" outlineLevel="0" collapsed="false">
      <c r="B2392" s="244"/>
      <c r="C2392" s="245"/>
      <c r="D2392" s="245"/>
      <c r="E2392" s="246"/>
      <c r="F2392" s="246"/>
      <c r="G2392" s="225" t="e">
        <f aca="false">VLOOKUP(B2392,'NIVEL ENERO'!A:F,4,0)</f>
        <v>#N/A</v>
      </c>
      <c r="H2392" s="247"/>
      <c r="I2392" s="247"/>
      <c r="J2392" s="246"/>
      <c r="K2392" s="246"/>
      <c r="L2392" s="226"/>
      <c r="M2392" s="226"/>
      <c r="N2392" s="246"/>
      <c r="P2392" s="228"/>
      <c r="Q2392" s="245"/>
      <c r="R2392" s="186" t="str">
        <f aca="false">+PROPER(C2392&amp;" "&amp;D2392)</f>
        <v> </v>
      </c>
      <c r="S2392" s="230" t="n">
        <f aca="false">+YEARFRAC(L2392,$S$1)</f>
        <v>126.366666666667</v>
      </c>
      <c r="T2392" s="230" t="n">
        <f aca="false">+YEARFRAC(M2392,$S$1)</f>
        <v>126.366666666667</v>
      </c>
      <c r="U2392" s="231" t="n">
        <f aca="false">+$I2392</f>
        <v>0</v>
      </c>
      <c r="V2392" s="232" t="str">
        <f aca="false">+PROPER(F2392)</f>
        <v/>
      </c>
    </row>
    <row r="2393" customFormat="false" ht="14.25" hidden="false" customHeight="false" outlineLevel="0" collapsed="false">
      <c r="B2393" s="244"/>
      <c r="C2393" s="245"/>
      <c r="D2393" s="245"/>
      <c r="E2393" s="246"/>
      <c r="F2393" s="246"/>
      <c r="G2393" s="225" t="e">
        <f aca="false">VLOOKUP(B2393,'NIVEL ENERO'!A:F,4,0)</f>
        <v>#N/A</v>
      </c>
      <c r="H2393" s="247"/>
      <c r="I2393" s="247"/>
      <c r="J2393" s="246"/>
      <c r="K2393" s="246"/>
      <c r="L2393" s="226"/>
      <c r="M2393" s="226"/>
      <c r="N2393" s="246"/>
      <c r="P2393" s="228"/>
      <c r="Q2393" s="245"/>
      <c r="R2393" s="186" t="str">
        <f aca="false">+PROPER(C2393&amp;" "&amp;D2393)</f>
        <v> </v>
      </c>
      <c r="S2393" s="230" t="n">
        <f aca="false">+YEARFRAC(L2393,$S$1)</f>
        <v>126.366666666667</v>
      </c>
      <c r="T2393" s="230" t="n">
        <f aca="false">+YEARFRAC(M2393,$S$1)</f>
        <v>126.366666666667</v>
      </c>
      <c r="U2393" s="231" t="n">
        <f aca="false">+$I2393</f>
        <v>0</v>
      </c>
      <c r="V2393" s="232" t="str">
        <f aca="false">+PROPER(F2393)</f>
        <v/>
      </c>
    </row>
    <row r="2394" customFormat="false" ht="14.25" hidden="false" customHeight="false" outlineLevel="0" collapsed="false">
      <c r="B2394" s="244"/>
      <c r="C2394" s="245"/>
      <c r="D2394" s="245"/>
      <c r="E2394" s="246"/>
      <c r="F2394" s="246"/>
      <c r="G2394" s="225" t="e">
        <f aca="false">VLOOKUP(B2394,'NIVEL ENERO'!A:F,4,0)</f>
        <v>#N/A</v>
      </c>
      <c r="H2394" s="247"/>
      <c r="I2394" s="247"/>
      <c r="J2394" s="246"/>
      <c r="K2394" s="246"/>
      <c r="L2394" s="226"/>
      <c r="M2394" s="226"/>
      <c r="N2394" s="246"/>
      <c r="P2394" s="228"/>
      <c r="Q2394" s="245"/>
      <c r="R2394" s="186" t="str">
        <f aca="false">+PROPER(C2394&amp;" "&amp;D2394)</f>
        <v> </v>
      </c>
      <c r="S2394" s="230" t="n">
        <f aca="false">+YEARFRAC(L2394,$S$1)</f>
        <v>126.366666666667</v>
      </c>
      <c r="T2394" s="230" t="n">
        <f aca="false">+YEARFRAC(M2394,$S$1)</f>
        <v>126.366666666667</v>
      </c>
      <c r="U2394" s="231" t="n">
        <f aca="false">+$I2394</f>
        <v>0</v>
      </c>
      <c r="V2394" s="232" t="str">
        <f aca="false">+PROPER(F2394)</f>
        <v/>
      </c>
    </row>
    <row r="2395" customFormat="false" ht="14.25" hidden="false" customHeight="false" outlineLevel="0" collapsed="false">
      <c r="B2395" s="244"/>
      <c r="C2395" s="245"/>
      <c r="D2395" s="245"/>
      <c r="E2395" s="246"/>
      <c r="F2395" s="246"/>
      <c r="G2395" s="225" t="e">
        <f aca="false">VLOOKUP(B2395,'NIVEL ENERO'!A:F,4,0)</f>
        <v>#N/A</v>
      </c>
      <c r="H2395" s="247"/>
      <c r="I2395" s="247"/>
      <c r="J2395" s="246"/>
      <c r="K2395" s="246"/>
      <c r="L2395" s="226"/>
      <c r="M2395" s="226"/>
      <c r="N2395" s="246"/>
      <c r="P2395" s="228"/>
      <c r="Q2395" s="245"/>
      <c r="R2395" s="186" t="str">
        <f aca="false">+PROPER(C2395&amp;" "&amp;D2395)</f>
        <v> </v>
      </c>
      <c r="S2395" s="230" t="n">
        <f aca="false">+YEARFRAC(L2395,$S$1)</f>
        <v>126.366666666667</v>
      </c>
      <c r="T2395" s="230" t="n">
        <f aca="false">+YEARFRAC(M2395,$S$1)</f>
        <v>126.366666666667</v>
      </c>
      <c r="U2395" s="231" t="n">
        <f aca="false">+$I2395</f>
        <v>0</v>
      </c>
      <c r="V2395" s="232" t="str">
        <f aca="false">+PROPER(F2395)</f>
        <v/>
      </c>
    </row>
    <row r="2396" customFormat="false" ht="14.25" hidden="false" customHeight="false" outlineLevel="0" collapsed="false">
      <c r="B2396" s="244"/>
      <c r="C2396" s="245"/>
      <c r="D2396" s="245"/>
      <c r="E2396" s="246"/>
      <c r="F2396" s="246"/>
      <c r="G2396" s="225" t="e">
        <f aca="false">VLOOKUP(B2396,'NIVEL ENERO'!A:F,4,0)</f>
        <v>#N/A</v>
      </c>
      <c r="H2396" s="247"/>
      <c r="I2396" s="247"/>
      <c r="J2396" s="246"/>
      <c r="K2396" s="246"/>
      <c r="L2396" s="226"/>
      <c r="M2396" s="226"/>
      <c r="N2396" s="246"/>
      <c r="P2396" s="228"/>
      <c r="Q2396" s="245"/>
      <c r="R2396" s="186" t="str">
        <f aca="false">+PROPER(C2396&amp;" "&amp;D2396)</f>
        <v> </v>
      </c>
      <c r="S2396" s="230" t="n">
        <f aca="false">+YEARFRAC(L2396,$S$1)</f>
        <v>126.366666666667</v>
      </c>
      <c r="T2396" s="230" t="n">
        <f aca="false">+YEARFRAC(M2396,$S$1)</f>
        <v>126.366666666667</v>
      </c>
      <c r="U2396" s="231" t="n">
        <f aca="false">+$I2396</f>
        <v>0</v>
      </c>
      <c r="V2396" s="232" t="str">
        <f aca="false">+PROPER(F2396)</f>
        <v/>
      </c>
    </row>
    <row r="2397" customFormat="false" ht="14.25" hidden="false" customHeight="false" outlineLevel="0" collapsed="false">
      <c r="B2397" s="244"/>
      <c r="C2397" s="245"/>
      <c r="D2397" s="245"/>
      <c r="E2397" s="246"/>
      <c r="F2397" s="246"/>
      <c r="G2397" s="225" t="e">
        <f aca="false">VLOOKUP(B2397,'NIVEL ENERO'!A:F,4,0)</f>
        <v>#N/A</v>
      </c>
      <c r="H2397" s="247"/>
      <c r="I2397" s="247"/>
      <c r="J2397" s="246"/>
      <c r="K2397" s="246"/>
      <c r="L2397" s="226"/>
      <c r="M2397" s="226"/>
      <c r="N2397" s="246"/>
      <c r="P2397" s="228"/>
      <c r="Q2397" s="245"/>
      <c r="R2397" s="186" t="str">
        <f aca="false">+PROPER(C2397&amp;" "&amp;D2397)</f>
        <v> </v>
      </c>
      <c r="S2397" s="230" t="n">
        <f aca="false">+YEARFRAC(L2397,$S$1)</f>
        <v>126.366666666667</v>
      </c>
      <c r="T2397" s="230" t="n">
        <f aca="false">+YEARFRAC(M2397,$S$1)</f>
        <v>126.366666666667</v>
      </c>
      <c r="U2397" s="231" t="n">
        <f aca="false">+$I2397</f>
        <v>0</v>
      </c>
      <c r="V2397" s="232" t="str">
        <f aca="false">+PROPER(F2397)</f>
        <v/>
      </c>
    </row>
    <row r="2398" customFormat="false" ht="14.25" hidden="false" customHeight="false" outlineLevel="0" collapsed="false">
      <c r="B2398" s="244"/>
      <c r="C2398" s="245"/>
      <c r="D2398" s="245"/>
      <c r="E2398" s="246"/>
      <c r="F2398" s="246"/>
      <c r="G2398" s="225" t="e">
        <f aca="false">VLOOKUP(B2398,'NIVEL ENERO'!A:F,4,0)</f>
        <v>#N/A</v>
      </c>
      <c r="H2398" s="247"/>
      <c r="I2398" s="247"/>
      <c r="J2398" s="246"/>
      <c r="K2398" s="246"/>
      <c r="L2398" s="226"/>
      <c r="M2398" s="226"/>
      <c r="N2398" s="246"/>
      <c r="P2398" s="228"/>
      <c r="Q2398" s="245"/>
      <c r="R2398" s="186" t="str">
        <f aca="false">+PROPER(C2398&amp;" "&amp;D2398)</f>
        <v> </v>
      </c>
      <c r="S2398" s="230" t="n">
        <f aca="false">+YEARFRAC(L2398,$S$1)</f>
        <v>126.366666666667</v>
      </c>
      <c r="T2398" s="230" t="n">
        <f aca="false">+YEARFRAC(M2398,$S$1)</f>
        <v>126.366666666667</v>
      </c>
      <c r="U2398" s="231" t="n">
        <f aca="false">+$I2398</f>
        <v>0</v>
      </c>
      <c r="V2398" s="232" t="str">
        <f aca="false">+PROPER(F2398)</f>
        <v/>
      </c>
    </row>
    <row r="2399" customFormat="false" ht="14.25" hidden="false" customHeight="false" outlineLevel="0" collapsed="false">
      <c r="B2399" s="244"/>
      <c r="C2399" s="245"/>
      <c r="D2399" s="245"/>
      <c r="E2399" s="246"/>
      <c r="F2399" s="246"/>
      <c r="G2399" s="225" t="e">
        <f aca="false">VLOOKUP(B2399,'NIVEL ENERO'!A:F,4,0)</f>
        <v>#N/A</v>
      </c>
      <c r="H2399" s="247"/>
      <c r="I2399" s="247"/>
      <c r="J2399" s="246"/>
      <c r="K2399" s="246"/>
      <c r="L2399" s="226"/>
      <c r="M2399" s="226"/>
      <c r="N2399" s="246"/>
      <c r="P2399" s="228"/>
      <c r="Q2399" s="245"/>
      <c r="R2399" s="186" t="str">
        <f aca="false">+PROPER(C2399&amp;" "&amp;D2399)</f>
        <v> </v>
      </c>
      <c r="S2399" s="230" t="n">
        <f aca="false">+YEARFRAC(L2399,$S$1)</f>
        <v>126.366666666667</v>
      </c>
      <c r="T2399" s="230" t="n">
        <f aca="false">+YEARFRAC(M2399,$S$1)</f>
        <v>126.366666666667</v>
      </c>
      <c r="U2399" s="231" t="n">
        <f aca="false">+$I2399</f>
        <v>0</v>
      </c>
      <c r="V2399" s="232" t="str">
        <f aca="false">+PROPER(F2399)</f>
        <v/>
      </c>
    </row>
    <row r="2400" customFormat="false" ht="14.25" hidden="false" customHeight="false" outlineLevel="0" collapsed="false">
      <c r="B2400" s="244"/>
      <c r="C2400" s="245"/>
      <c r="D2400" s="245"/>
      <c r="E2400" s="246"/>
      <c r="F2400" s="246"/>
      <c r="G2400" s="225" t="e">
        <f aca="false">VLOOKUP(B2400,'NIVEL ENERO'!A:F,4,0)</f>
        <v>#N/A</v>
      </c>
      <c r="H2400" s="247"/>
      <c r="I2400" s="247"/>
      <c r="J2400" s="246"/>
      <c r="K2400" s="246"/>
      <c r="L2400" s="226"/>
      <c r="M2400" s="226"/>
      <c r="N2400" s="246"/>
      <c r="P2400" s="228"/>
      <c r="Q2400" s="245"/>
      <c r="R2400" s="186" t="str">
        <f aca="false">+PROPER(C2400&amp;" "&amp;D2400)</f>
        <v> </v>
      </c>
      <c r="S2400" s="230" t="n">
        <f aca="false">+YEARFRAC(L2400,$S$1)</f>
        <v>126.366666666667</v>
      </c>
      <c r="T2400" s="230" t="n">
        <f aca="false">+YEARFRAC(M2400,$S$1)</f>
        <v>126.366666666667</v>
      </c>
      <c r="U2400" s="231" t="n">
        <f aca="false">+$I2400</f>
        <v>0</v>
      </c>
      <c r="V2400" s="232" t="str">
        <f aca="false">+PROPER(F2400)</f>
        <v/>
      </c>
    </row>
    <row r="2401" customFormat="false" ht="14.25" hidden="false" customHeight="false" outlineLevel="0" collapsed="false">
      <c r="B2401" s="244"/>
      <c r="C2401" s="245"/>
      <c r="D2401" s="245"/>
      <c r="E2401" s="246"/>
      <c r="F2401" s="246"/>
      <c r="G2401" s="225" t="e">
        <f aca="false">VLOOKUP(B2401,'NIVEL ENERO'!A:F,4,0)</f>
        <v>#N/A</v>
      </c>
      <c r="H2401" s="247"/>
      <c r="I2401" s="247"/>
      <c r="J2401" s="246"/>
      <c r="K2401" s="246"/>
      <c r="L2401" s="226"/>
      <c r="M2401" s="226"/>
      <c r="N2401" s="246"/>
      <c r="P2401" s="228"/>
      <c r="Q2401" s="245"/>
      <c r="R2401" s="186" t="str">
        <f aca="false">+PROPER(C2401&amp;" "&amp;D2401)</f>
        <v> </v>
      </c>
      <c r="S2401" s="230" t="n">
        <f aca="false">+YEARFRAC(L2401,$S$1)</f>
        <v>126.366666666667</v>
      </c>
      <c r="T2401" s="230" t="n">
        <f aca="false">+YEARFRAC(M2401,$S$1)</f>
        <v>126.366666666667</v>
      </c>
      <c r="U2401" s="231" t="n">
        <f aca="false">+$I2401</f>
        <v>0</v>
      </c>
      <c r="V2401" s="232" t="str">
        <f aca="false">+PROPER(F2401)</f>
        <v/>
      </c>
    </row>
    <row r="2402" customFormat="false" ht="14.25" hidden="false" customHeight="false" outlineLevel="0" collapsed="false">
      <c r="B2402" s="244"/>
      <c r="C2402" s="245"/>
      <c r="D2402" s="245"/>
      <c r="E2402" s="246"/>
      <c r="F2402" s="246"/>
      <c r="G2402" s="225" t="e">
        <f aca="false">VLOOKUP(B2402,'NIVEL ENERO'!A:F,4,0)</f>
        <v>#N/A</v>
      </c>
      <c r="H2402" s="247"/>
      <c r="I2402" s="247"/>
      <c r="J2402" s="246"/>
      <c r="K2402" s="246"/>
      <c r="L2402" s="226"/>
      <c r="M2402" s="226"/>
      <c r="N2402" s="246"/>
      <c r="P2402" s="228"/>
      <c r="Q2402" s="245"/>
      <c r="R2402" s="186" t="str">
        <f aca="false">+PROPER(C2402&amp;" "&amp;D2402)</f>
        <v> </v>
      </c>
      <c r="S2402" s="230" t="n">
        <f aca="false">+YEARFRAC(L2402,$S$1)</f>
        <v>126.366666666667</v>
      </c>
      <c r="T2402" s="230" t="n">
        <f aca="false">+YEARFRAC(M2402,$S$1)</f>
        <v>126.366666666667</v>
      </c>
      <c r="U2402" s="231" t="n">
        <f aca="false">+$I2402</f>
        <v>0</v>
      </c>
      <c r="V2402" s="232" t="str">
        <f aca="false">+PROPER(F2402)</f>
        <v/>
      </c>
    </row>
    <row r="2403" customFormat="false" ht="14.25" hidden="false" customHeight="false" outlineLevel="0" collapsed="false">
      <c r="B2403" s="244"/>
      <c r="C2403" s="245"/>
      <c r="D2403" s="245"/>
      <c r="E2403" s="246"/>
      <c r="F2403" s="246"/>
      <c r="G2403" s="225" t="e">
        <f aca="false">VLOOKUP(B2403,'NIVEL ENERO'!A:F,4,0)</f>
        <v>#N/A</v>
      </c>
      <c r="H2403" s="247"/>
      <c r="I2403" s="247"/>
      <c r="J2403" s="246"/>
      <c r="K2403" s="246"/>
      <c r="L2403" s="226"/>
      <c r="M2403" s="226"/>
      <c r="N2403" s="246"/>
      <c r="P2403" s="228"/>
      <c r="Q2403" s="245"/>
      <c r="R2403" s="186" t="str">
        <f aca="false">+PROPER(C2403&amp;" "&amp;D2403)</f>
        <v> </v>
      </c>
      <c r="S2403" s="230" t="n">
        <f aca="false">+YEARFRAC(L2403,$S$1)</f>
        <v>126.366666666667</v>
      </c>
      <c r="T2403" s="230" t="n">
        <f aca="false">+YEARFRAC(M2403,$S$1)</f>
        <v>126.366666666667</v>
      </c>
      <c r="U2403" s="231" t="n">
        <f aca="false">+$I2403</f>
        <v>0</v>
      </c>
      <c r="V2403" s="232" t="str">
        <f aca="false">+PROPER(F2403)</f>
        <v/>
      </c>
    </row>
    <row r="2404" customFormat="false" ht="14.25" hidden="false" customHeight="false" outlineLevel="0" collapsed="false">
      <c r="B2404" s="244"/>
      <c r="C2404" s="245"/>
      <c r="D2404" s="245"/>
      <c r="E2404" s="246"/>
      <c r="F2404" s="246"/>
      <c r="G2404" s="225" t="e">
        <f aca="false">VLOOKUP(B2404,'NIVEL ENERO'!A:F,4,0)</f>
        <v>#N/A</v>
      </c>
      <c r="H2404" s="247"/>
      <c r="I2404" s="247"/>
      <c r="J2404" s="246"/>
      <c r="K2404" s="246"/>
      <c r="L2404" s="226"/>
      <c r="M2404" s="226"/>
      <c r="N2404" s="246"/>
      <c r="P2404" s="228"/>
      <c r="Q2404" s="245"/>
      <c r="R2404" s="186" t="str">
        <f aca="false">+PROPER(C2404&amp;" "&amp;D2404)</f>
        <v> </v>
      </c>
      <c r="S2404" s="230" t="n">
        <f aca="false">+YEARFRAC(L2404,$S$1)</f>
        <v>126.366666666667</v>
      </c>
      <c r="T2404" s="230" t="n">
        <f aca="false">+YEARFRAC(M2404,$S$1)</f>
        <v>126.366666666667</v>
      </c>
      <c r="U2404" s="231" t="n">
        <f aca="false">+$I2404</f>
        <v>0</v>
      </c>
      <c r="V2404" s="232" t="str">
        <f aca="false">+PROPER(F2404)</f>
        <v/>
      </c>
    </row>
    <row r="2405" customFormat="false" ht="14.25" hidden="false" customHeight="false" outlineLevel="0" collapsed="false">
      <c r="B2405" s="244"/>
      <c r="C2405" s="245"/>
      <c r="D2405" s="245"/>
      <c r="E2405" s="246"/>
      <c r="F2405" s="246"/>
      <c r="G2405" s="225" t="e">
        <f aca="false">VLOOKUP(B2405,'NIVEL ENERO'!A:F,4,0)</f>
        <v>#N/A</v>
      </c>
      <c r="H2405" s="247"/>
      <c r="I2405" s="247"/>
      <c r="J2405" s="246"/>
      <c r="K2405" s="246"/>
      <c r="L2405" s="226"/>
      <c r="M2405" s="226"/>
      <c r="N2405" s="246"/>
      <c r="P2405" s="228"/>
      <c r="Q2405" s="245"/>
      <c r="R2405" s="186" t="str">
        <f aca="false">+PROPER(C2405&amp;" "&amp;D2405)</f>
        <v> </v>
      </c>
      <c r="S2405" s="230" t="n">
        <f aca="false">+YEARFRAC(L2405,$S$1)</f>
        <v>126.366666666667</v>
      </c>
      <c r="T2405" s="230" t="n">
        <f aca="false">+YEARFRAC(M2405,$S$1)</f>
        <v>126.366666666667</v>
      </c>
      <c r="U2405" s="231" t="n">
        <f aca="false">+$I2405</f>
        <v>0</v>
      </c>
      <c r="V2405" s="232" t="str">
        <f aca="false">+PROPER(F2405)</f>
        <v/>
      </c>
    </row>
    <row r="2406" customFormat="false" ht="14.25" hidden="false" customHeight="false" outlineLevel="0" collapsed="false">
      <c r="B2406" s="244"/>
      <c r="C2406" s="245"/>
      <c r="D2406" s="245"/>
      <c r="E2406" s="246"/>
      <c r="F2406" s="246"/>
      <c r="G2406" s="225" t="e">
        <f aca="false">VLOOKUP(B2406,'NIVEL ENERO'!A:F,4,0)</f>
        <v>#N/A</v>
      </c>
      <c r="H2406" s="247"/>
      <c r="I2406" s="247"/>
      <c r="J2406" s="246"/>
      <c r="K2406" s="246"/>
      <c r="L2406" s="226"/>
      <c r="M2406" s="226"/>
      <c r="N2406" s="246"/>
      <c r="P2406" s="228"/>
      <c r="Q2406" s="245"/>
      <c r="R2406" s="186" t="str">
        <f aca="false">+PROPER(C2406&amp;" "&amp;D2406)</f>
        <v> </v>
      </c>
      <c r="S2406" s="230" t="n">
        <f aca="false">+YEARFRAC(L2406,$S$1)</f>
        <v>126.366666666667</v>
      </c>
      <c r="T2406" s="230" t="n">
        <f aca="false">+YEARFRAC(M2406,$S$1)</f>
        <v>126.366666666667</v>
      </c>
      <c r="U2406" s="231" t="n">
        <f aca="false">+$I2406</f>
        <v>0</v>
      </c>
      <c r="V2406" s="232" t="str">
        <f aca="false">+PROPER(F2406)</f>
        <v/>
      </c>
    </row>
    <row r="2407" customFormat="false" ht="14.25" hidden="false" customHeight="false" outlineLevel="0" collapsed="false">
      <c r="B2407" s="244"/>
      <c r="C2407" s="245"/>
      <c r="D2407" s="245"/>
      <c r="E2407" s="246"/>
      <c r="F2407" s="246"/>
      <c r="G2407" s="225" t="e">
        <f aca="false">VLOOKUP(B2407,'NIVEL ENERO'!A:F,4,0)</f>
        <v>#N/A</v>
      </c>
      <c r="H2407" s="247"/>
      <c r="I2407" s="247"/>
      <c r="J2407" s="246"/>
      <c r="K2407" s="246"/>
      <c r="L2407" s="226"/>
      <c r="M2407" s="226"/>
      <c r="N2407" s="246"/>
      <c r="P2407" s="228"/>
      <c r="Q2407" s="245"/>
      <c r="R2407" s="186" t="str">
        <f aca="false">+PROPER(C2407&amp;" "&amp;D2407)</f>
        <v> </v>
      </c>
      <c r="S2407" s="230" t="n">
        <f aca="false">+YEARFRAC(L2407,$S$1)</f>
        <v>126.366666666667</v>
      </c>
      <c r="T2407" s="230" t="n">
        <f aca="false">+YEARFRAC(M2407,$S$1)</f>
        <v>126.366666666667</v>
      </c>
      <c r="U2407" s="231" t="n">
        <f aca="false">+$I2407</f>
        <v>0</v>
      </c>
      <c r="V2407" s="232" t="str">
        <f aca="false">+PROPER(F2407)</f>
        <v/>
      </c>
    </row>
    <row r="2408" customFormat="false" ht="14.25" hidden="false" customHeight="false" outlineLevel="0" collapsed="false">
      <c r="B2408" s="244"/>
      <c r="C2408" s="245"/>
      <c r="D2408" s="245"/>
      <c r="E2408" s="246"/>
      <c r="F2408" s="246"/>
      <c r="G2408" s="225" t="e">
        <f aca="false">VLOOKUP(B2408,'NIVEL ENERO'!A:F,4,0)</f>
        <v>#N/A</v>
      </c>
      <c r="H2408" s="247"/>
      <c r="I2408" s="247"/>
      <c r="J2408" s="246"/>
      <c r="K2408" s="246"/>
      <c r="L2408" s="226"/>
      <c r="M2408" s="226"/>
      <c r="N2408" s="246"/>
      <c r="P2408" s="228"/>
      <c r="Q2408" s="245"/>
      <c r="R2408" s="186" t="str">
        <f aca="false">+PROPER(C2408&amp;" "&amp;D2408)</f>
        <v> </v>
      </c>
      <c r="S2408" s="230" t="n">
        <f aca="false">+YEARFRAC(L2408,$S$1)</f>
        <v>126.366666666667</v>
      </c>
      <c r="T2408" s="230" t="n">
        <f aca="false">+YEARFRAC(M2408,$S$1)</f>
        <v>126.366666666667</v>
      </c>
      <c r="U2408" s="231" t="n">
        <f aca="false">+$I2408</f>
        <v>0</v>
      </c>
      <c r="V2408" s="232" t="str">
        <f aca="false">+PROPER(F2408)</f>
        <v/>
      </c>
    </row>
    <row r="2409" customFormat="false" ht="14.25" hidden="false" customHeight="false" outlineLevel="0" collapsed="false">
      <c r="B2409" s="244"/>
      <c r="C2409" s="245"/>
      <c r="D2409" s="245"/>
      <c r="E2409" s="246"/>
      <c r="F2409" s="246"/>
      <c r="G2409" s="225" t="e">
        <f aca="false">VLOOKUP(B2409,'NIVEL ENERO'!A:F,4,0)</f>
        <v>#N/A</v>
      </c>
      <c r="H2409" s="247"/>
      <c r="I2409" s="247"/>
      <c r="J2409" s="246"/>
      <c r="K2409" s="246"/>
      <c r="L2409" s="226"/>
      <c r="M2409" s="226"/>
      <c r="N2409" s="246"/>
      <c r="P2409" s="228"/>
      <c r="Q2409" s="245"/>
      <c r="R2409" s="186" t="str">
        <f aca="false">+PROPER(C2409&amp;" "&amp;D2409)</f>
        <v> </v>
      </c>
      <c r="S2409" s="230" t="n">
        <f aca="false">+YEARFRAC(L2409,$S$1)</f>
        <v>126.366666666667</v>
      </c>
      <c r="T2409" s="230" t="n">
        <f aca="false">+YEARFRAC(M2409,$S$1)</f>
        <v>126.366666666667</v>
      </c>
      <c r="U2409" s="231" t="n">
        <f aca="false">+$I2409</f>
        <v>0</v>
      </c>
      <c r="V2409" s="232" t="str">
        <f aca="false">+PROPER(F2409)</f>
        <v/>
      </c>
    </row>
    <row r="2410" customFormat="false" ht="14.25" hidden="false" customHeight="false" outlineLevel="0" collapsed="false">
      <c r="B2410" s="244"/>
      <c r="C2410" s="245"/>
      <c r="D2410" s="245"/>
      <c r="E2410" s="246"/>
      <c r="F2410" s="246"/>
      <c r="G2410" s="225" t="e">
        <f aca="false">VLOOKUP(B2410,'NIVEL ENERO'!A:F,4,0)</f>
        <v>#N/A</v>
      </c>
      <c r="H2410" s="247"/>
      <c r="I2410" s="247"/>
      <c r="J2410" s="246"/>
      <c r="K2410" s="246"/>
      <c r="L2410" s="226"/>
      <c r="M2410" s="226"/>
      <c r="N2410" s="246"/>
      <c r="P2410" s="228"/>
      <c r="Q2410" s="245"/>
      <c r="R2410" s="186" t="str">
        <f aca="false">+PROPER(C2410&amp;" "&amp;D2410)</f>
        <v> </v>
      </c>
      <c r="S2410" s="230" t="n">
        <f aca="false">+YEARFRAC(L2410,$S$1)</f>
        <v>126.366666666667</v>
      </c>
      <c r="T2410" s="230" t="n">
        <f aca="false">+YEARFRAC(M2410,$S$1)</f>
        <v>126.366666666667</v>
      </c>
      <c r="U2410" s="231" t="n">
        <f aca="false">+$I2410</f>
        <v>0</v>
      </c>
      <c r="V2410" s="232" t="str">
        <f aca="false">+PROPER(F2410)</f>
        <v/>
      </c>
    </row>
    <row r="2411" customFormat="false" ht="14.25" hidden="false" customHeight="false" outlineLevel="0" collapsed="false">
      <c r="B2411" s="244"/>
      <c r="C2411" s="245"/>
      <c r="D2411" s="245"/>
      <c r="E2411" s="246"/>
      <c r="F2411" s="246"/>
      <c r="G2411" s="225" t="e">
        <f aca="false">VLOOKUP(B2411,'NIVEL ENERO'!A:F,4,0)</f>
        <v>#N/A</v>
      </c>
      <c r="H2411" s="247"/>
      <c r="I2411" s="247"/>
      <c r="J2411" s="246"/>
      <c r="K2411" s="246"/>
      <c r="L2411" s="226"/>
      <c r="M2411" s="226"/>
      <c r="N2411" s="246"/>
      <c r="P2411" s="228"/>
      <c r="Q2411" s="245"/>
      <c r="R2411" s="186" t="str">
        <f aca="false">+PROPER(C2411&amp;" "&amp;D2411)</f>
        <v> </v>
      </c>
      <c r="S2411" s="230" t="n">
        <f aca="false">+YEARFRAC(L2411,$S$1)</f>
        <v>126.366666666667</v>
      </c>
      <c r="T2411" s="230" t="n">
        <f aca="false">+YEARFRAC(M2411,$S$1)</f>
        <v>126.366666666667</v>
      </c>
      <c r="U2411" s="231" t="n">
        <f aca="false">+$I2411</f>
        <v>0</v>
      </c>
      <c r="V2411" s="232" t="str">
        <f aca="false">+PROPER(F2411)</f>
        <v/>
      </c>
    </row>
    <row r="2412" customFormat="false" ht="14.25" hidden="false" customHeight="false" outlineLevel="0" collapsed="false">
      <c r="B2412" s="244"/>
      <c r="C2412" s="245"/>
      <c r="D2412" s="245"/>
      <c r="E2412" s="246"/>
      <c r="F2412" s="246"/>
      <c r="G2412" s="225" t="e">
        <f aca="false">VLOOKUP(B2412,'NIVEL ENERO'!A:F,4,0)</f>
        <v>#N/A</v>
      </c>
      <c r="H2412" s="247"/>
      <c r="I2412" s="247"/>
      <c r="J2412" s="246"/>
      <c r="K2412" s="246"/>
      <c r="L2412" s="226"/>
      <c r="M2412" s="226"/>
      <c r="N2412" s="246"/>
      <c r="P2412" s="228"/>
      <c r="Q2412" s="245"/>
      <c r="R2412" s="186" t="str">
        <f aca="false">+PROPER(C2412&amp;" "&amp;D2412)</f>
        <v> </v>
      </c>
      <c r="S2412" s="230" t="n">
        <f aca="false">+YEARFRAC(L2412,$S$1)</f>
        <v>126.366666666667</v>
      </c>
      <c r="T2412" s="230" t="n">
        <f aca="false">+YEARFRAC(M2412,$S$1)</f>
        <v>126.366666666667</v>
      </c>
      <c r="U2412" s="231" t="n">
        <f aca="false">+$I2412</f>
        <v>0</v>
      </c>
      <c r="V2412" s="232" t="str">
        <f aca="false">+PROPER(F2412)</f>
        <v/>
      </c>
    </row>
    <row r="2413" customFormat="false" ht="14.25" hidden="false" customHeight="false" outlineLevel="0" collapsed="false">
      <c r="B2413" s="244"/>
      <c r="C2413" s="245"/>
      <c r="D2413" s="245"/>
      <c r="E2413" s="246"/>
      <c r="F2413" s="246"/>
      <c r="G2413" s="225" t="e">
        <f aca="false">VLOOKUP(B2413,'NIVEL ENERO'!A:F,4,0)</f>
        <v>#N/A</v>
      </c>
      <c r="H2413" s="247"/>
      <c r="I2413" s="247"/>
      <c r="J2413" s="246"/>
      <c r="K2413" s="246"/>
      <c r="L2413" s="226"/>
      <c r="M2413" s="226"/>
      <c r="N2413" s="246"/>
      <c r="P2413" s="228"/>
      <c r="Q2413" s="245"/>
      <c r="R2413" s="186" t="str">
        <f aca="false">+PROPER(C2413&amp;" "&amp;D2413)</f>
        <v> </v>
      </c>
      <c r="S2413" s="230" t="n">
        <f aca="false">+YEARFRAC(L2413,$S$1)</f>
        <v>126.366666666667</v>
      </c>
      <c r="T2413" s="230" t="n">
        <f aca="false">+YEARFRAC(M2413,$S$1)</f>
        <v>126.366666666667</v>
      </c>
      <c r="U2413" s="231" t="n">
        <f aca="false">+$I2413</f>
        <v>0</v>
      </c>
      <c r="V2413" s="232" t="str">
        <f aca="false">+PROPER(F2413)</f>
        <v/>
      </c>
    </row>
    <row r="2414" customFormat="false" ht="14.25" hidden="false" customHeight="false" outlineLevel="0" collapsed="false">
      <c r="B2414" s="244"/>
      <c r="C2414" s="245"/>
      <c r="D2414" s="245"/>
      <c r="E2414" s="246"/>
      <c r="F2414" s="246"/>
      <c r="G2414" s="225" t="e">
        <f aca="false">VLOOKUP(B2414,'NIVEL ENERO'!A:F,4,0)</f>
        <v>#N/A</v>
      </c>
      <c r="H2414" s="247"/>
      <c r="I2414" s="247"/>
      <c r="J2414" s="246"/>
      <c r="K2414" s="246"/>
      <c r="L2414" s="226"/>
      <c r="M2414" s="226"/>
      <c r="N2414" s="246"/>
      <c r="P2414" s="228"/>
      <c r="Q2414" s="245"/>
      <c r="R2414" s="186" t="str">
        <f aca="false">+PROPER(C2414&amp;" "&amp;D2414)</f>
        <v> </v>
      </c>
      <c r="S2414" s="230" t="n">
        <f aca="false">+YEARFRAC(L2414,$S$1)</f>
        <v>126.366666666667</v>
      </c>
      <c r="T2414" s="230" t="n">
        <f aca="false">+YEARFRAC(M2414,$S$1)</f>
        <v>126.366666666667</v>
      </c>
      <c r="U2414" s="231" t="n">
        <f aca="false">+$I2414</f>
        <v>0</v>
      </c>
      <c r="V2414" s="232" t="str">
        <f aca="false">+PROPER(F2414)</f>
        <v/>
      </c>
    </row>
    <row r="2415" customFormat="false" ht="14.25" hidden="false" customHeight="false" outlineLevel="0" collapsed="false">
      <c r="B2415" s="244"/>
      <c r="C2415" s="245"/>
      <c r="D2415" s="245"/>
      <c r="E2415" s="246"/>
      <c r="F2415" s="246"/>
      <c r="G2415" s="225" t="e">
        <f aca="false">VLOOKUP(B2415,'NIVEL ENERO'!A:F,4,0)</f>
        <v>#N/A</v>
      </c>
      <c r="H2415" s="247"/>
      <c r="I2415" s="247"/>
      <c r="J2415" s="246"/>
      <c r="K2415" s="246"/>
      <c r="L2415" s="226"/>
      <c r="M2415" s="226"/>
      <c r="N2415" s="246"/>
      <c r="P2415" s="228"/>
      <c r="Q2415" s="245"/>
      <c r="R2415" s="186" t="str">
        <f aca="false">+PROPER(C2415&amp;" "&amp;D2415)</f>
        <v> </v>
      </c>
      <c r="S2415" s="230" t="n">
        <f aca="false">+YEARFRAC(L2415,$S$1)</f>
        <v>126.366666666667</v>
      </c>
      <c r="T2415" s="230" t="n">
        <f aca="false">+YEARFRAC(M2415,$S$1)</f>
        <v>126.366666666667</v>
      </c>
      <c r="U2415" s="231" t="n">
        <f aca="false">+$I2415</f>
        <v>0</v>
      </c>
      <c r="V2415" s="232" t="str">
        <f aca="false">+PROPER(F2415)</f>
        <v/>
      </c>
    </row>
    <row r="2416" customFormat="false" ht="14.25" hidden="false" customHeight="false" outlineLevel="0" collapsed="false">
      <c r="B2416" s="244"/>
      <c r="C2416" s="245"/>
      <c r="D2416" s="245"/>
      <c r="E2416" s="246"/>
      <c r="F2416" s="246"/>
      <c r="G2416" s="225" t="e">
        <f aca="false">VLOOKUP(B2416,'NIVEL ENERO'!A:F,4,0)</f>
        <v>#N/A</v>
      </c>
      <c r="H2416" s="247"/>
      <c r="I2416" s="247"/>
      <c r="J2416" s="246"/>
      <c r="K2416" s="246"/>
      <c r="L2416" s="226"/>
      <c r="M2416" s="226"/>
      <c r="N2416" s="246"/>
      <c r="P2416" s="228"/>
      <c r="Q2416" s="245"/>
      <c r="R2416" s="186" t="str">
        <f aca="false">+PROPER(C2416&amp;" "&amp;D2416)</f>
        <v> </v>
      </c>
      <c r="S2416" s="230" t="n">
        <f aca="false">+YEARFRAC(L2416,$S$1)</f>
        <v>126.366666666667</v>
      </c>
      <c r="T2416" s="230" t="n">
        <f aca="false">+YEARFRAC(M2416,$S$1)</f>
        <v>126.366666666667</v>
      </c>
      <c r="U2416" s="231" t="n">
        <f aca="false">+$I2416</f>
        <v>0</v>
      </c>
      <c r="V2416" s="232" t="str">
        <f aca="false">+PROPER(F2416)</f>
        <v/>
      </c>
    </row>
    <row r="2417" customFormat="false" ht="14.25" hidden="false" customHeight="false" outlineLevel="0" collapsed="false">
      <c r="B2417" s="244"/>
      <c r="C2417" s="245"/>
      <c r="D2417" s="245"/>
      <c r="E2417" s="246"/>
      <c r="F2417" s="246"/>
      <c r="G2417" s="225" t="e">
        <f aca="false">VLOOKUP(B2417,'NIVEL ENERO'!A:F,4,0)</f>
        <v>#N/A</v>
      </c>
      <c r="H2417" s="247"/>
      <c r="I2417" s="247"/>
      <c r="J2417" s="246"/>
      <c r="K2417" s="246"/>
      <c r="L2417" s="226"/>
      <c r="M2417" s="226"/>
      <c r="N2417" s="246"/>
      <c r="P2417" s="228"/>
      <c r="Q2417" s="245"/>
      <c r="R2417" s="186" t="str">
        <f aca="false">+PROPER(C2417&amp;" "&amp;D2417)</f>
        <v> </v>
      </c>
      <c r="S2417" s="230" t="n">
        <f aca="false">+YEARFRAC(L2417,$S$1)</f>
        <v>126.366666666667</v>
      </c>
      <c r="T2417" s="230" t="n">
        <f aca="false">+YEARFRAC(M2417,$S$1)</f>
        <v>126.366666666667</v>
      </c>
      <c r="U2417" s="231" t="n">
        <f aca="false">+$I2417</f>
        <v>0</v>
      </c>
      <c r="V2417" s="232" t="str">
        <f aca="false">+PROPER(F2417)</f>
        <v/>
      </c>
    </row>
    <row r="2418" customFormat="false" ht="14.25" hidden="false" customHeight="false" outlineLevel="0" collapsed="false">
      <c r="B2418" s="244"/>
      <c r="C2418" s="245"/>
      <c r="D2418" s="245"/>
      <c r="E2418" s="246"/>
      <c r="F2418" s="246"/>
      <c r="G2418" s="225" t="e">
        <f aca="false">VLOOKUP(B2418,'NIVEL ENERO'!A:F,4,0)</f>
        <v>#N/A</v>
      </c>
      <c r="H2418" s="247"/>
      <c r="I2418" s="247"/>
      <c r="J2418" s="246"/>
      <c r="K2418" s="246"/>
      <c r="L2418" s="226"/>
      <c r="M2418" s="226"/>
      <c r="N2418" s="246"/>
      <c r="P2418" s="228"/>
      <c r="Q2418" s="245"/>
      <c r="R2418" s="186" t="str">
        <f aca="false">+PROPER(C2418&amp;" "&amp;D2418)</f>
        <v> </v>
      </c>
      <c r="S2418" s="230" t="n">
        <f aca="false">+YEARFRAC(L2418,$S$1)</f>
        <v>126.366666666667</v>
      </c>
      <c r="T2418" s="230" t="n">
        <f aca="false">+YEARFRAC(M2418,$S$1)</f>
        <v>126.366666666667</v>
      </c>
      <c r="U2418" s="231" t="n">
        <f aca="false">+$I2418</f>
        <v>0</v>
      </c>
      <c r="V2418" s="232" t="str">
        <f aca="false">+PROPER(F2418)</f>
        <v/>
      </c>
    </row>
    <row r="2419" customFormat="false" ht="14.25" hidden="false" customHeight="false" outlineLevel="0" collapsed="false">
      <c r="B2419" s="244"/>
      <c r="C2419" s="245"/>
      <c r="D2419" s="245"/>
      <c r="E2419" s="246"/>
      <c r="F2419" s="246"/>
      <c r="G2419" s="225" t="e">
        <f aca="false">VLOOKUP(B2419,'NIVEL ENERO'!A:F,4,0)</f>
        <v>#N/A</v>
      </c>
      <c r="H2419" s="247"/>
      <c r="I2419" s="247"/>
      <c r="J2419" s="246"/>
      <c r="K2419" s="246"/>
      <c r="L2419" s="226"/>
      <c r="M2419" s="226"/>
      <c r="N2419" s="246"/>
      <c r="P2419" s="228"/>
      <c r="Q2419" s="245"/>
      <c r="R2419" s="186" t="str">
        <f aca="false">+PROPER(C2419&amp;" "&amp;D2419)</f>
        <v> </v>
      </c>
      <c r="S2419" s="230" t="n">
        <f aca="false">+YEARFRAC(L2419,$S$1)</f>
        <v>126.366666666667</v>
      </c>
      <c r="T2419" s="230" t="n">
        <f aca="false">+YEARFRAC(M2419,$S$1)</f>
        <v>126.366666666667</v>
      </c>
      <c r="U2419" s="231" t="n">
        <f aca="false">+$I2419</f>
        <v>0</v>
      </c>
      <c r="V2419" s="232" t="str">
        <f aca="false">+PROPER(F2419)</f>
        <v/>
      </c>
    </row>
    <row r="2420" customFormat="false" ht="14.25" hidden="false" customHeight="false" outlineLevel="0" collapsed="false">
      <c r="B2420" s="244"/>
      <c r="C2420" s="245"/>
      <c r="D2420" s="245"/>
      <c r="E2420" s="246"/>
      <c r="F2420" s="246"/>
      <c r="G2420" s="225" t="e">
        <f aca="false">VLOOKUP(B2420,'NIVEL ENERO'!A:F,4,0)</f>
        <v>#N/A</v>
      </c>
      <c r="H2420" s="247"/>
      <c r="I2420" s="247"/>
      <c r="J2420" s="246"/>
      <c r="K2420" s="246"/>
      <c r="L2420" s="226"/>
      <c r="M2420" s="226"/>
      <c r="N2420" s="246"/>
      <c r="P2420" s="228"/>
      <c r="Q2420" s="245"/>
      <c r="R2420" s="186" t="str">
        <f aca="false">+PROPER(C2420&amp;" "&amp;D2420)</f>
        <v> </v>
      </c>
      <c r="S2420" s="230" t="n">
        <f aca="false">+YEARFRAC(L2420,$S$1)</f>
        <v>126.366666666667</v>
      </c>
      <c r="T2420" s="230" t="n">
        <f aca="false">+YEARFRAC(M2420,$S$1)</f>
        <v>126.366666666667</v>
      </c>
      <c r="U2420" s="231" t="n">
        <f aca="false">+$I2420</f>
        <v>0</v>
      </c>
      <c r="V2420" s="232" t="str">
        <f aca="false">+PROPER(F2420)</f>
        <v/>
      </c>
    </row>
    <row r="2421" customFormat="false" ht="14.25" hidden="false" customHeight="false" outlineLevel="0" collapsed="false">
      <c r="B2421" s="244"/>
      <c r="C2421" s="245"/>
      <c r="D2421" s="245"/>
      <c r="E2421" s="246"/>
      <c r="F2421" s="246"/>
      <c r="G2421" s="225" t="e">
        <f aca="false">VLOOKUP(B2421,'NIVEL ENERO'!A:F,4,0)</f>
        <v>#N/A</v>
      </c>
      <c r="H2421" s="247"/>
      <c r="I2421" s="247"/>
      <c r="J2421" s="246"/>
      <c r="K2421" s="246"/>
      <c r="L2421" s="226"/>
      <c r="M2421" s="226"/>
      <c r="N2421" s="246"/>
      <c r="P2421" s="228"/>
      <c r="Q2421" s="245"/>
      <c r="R2421" s="186" t="str">
        <f aca="false">+PROPER(C2421&amp;" "&amp;D2421)</f>
        <v> </v>
      </c>
      <c r="S2421" s="230" t="n">
        <f aca="false">+YEARFRAC(L2421,$S$1)</f>
        <v>126.366666666667</v>
      </c>
      <c r="T2421" s="230" t="n">
        <f aca="false">+YEARFRAC(M2421,$S$1)</f>
        <v>126.366666666667</v>
      </c>
      <c r="U2421" s="231" t="n">
        <f aca="false">+$I2421</f>
        <v>0</v>
      </c>
      <c r="V2421" s="232" t="str">
        <f aca="false">+PROPER(F2421)</f>
        <v/>
      </c>
    </row>
    <row r="2422" customFormat="false" ht="14.25" hidden="false" customHeight="false" outlineLevel="0" collapsed="false">
      <c r="B2422" s="244"/>
      <c r="C2422" s="245"/>
      <c r="D2422" s="245"/>
      <c r="E2422" s="246"/>
      <c r="F2422" s="246"/>
      <c r="G2422" s="225" t="e">
        <f aca="false">VLOOKUP(B2422,'NIVEL ENERO'!A:F,4,0)</f>
        <v>#N/A</v>
      </c>
      <c r="H2422" s="247"/>
      <c r="I2422" s="247"/>
      <c r="J2422" s="246"/>
      <c r="K2422" s="246"/>
      <c r="L2422" s="226"/>
      <c r="M2422" s="226"/>
      <c r="N2422" s="246"/>
      <c r="P2422" s="228"/>
      <c r="Q2422" s="245"/>
      <c r="R2422" s="186" t="str">
        <f aca="false">+PROPER(C2422&amp;" "&amp;D2422)</f>
        <v> </v>
      </c>
      <c r="S2422" s="230" t="n">
        <f aca="false">+YEARFRAC(L2422,$S$1)</f>
        <v>126.366666666667</v>
      </c>
      <c r="T2422" s="230" t="n">
        <f aca="false">+YEARFRAC(M2422,$S$1)</f>
        <v>126.366666666667</v>
      </c>
      <c r="U2422" s="231" t="n">
        <f aca="false">+$I2422</f>
        <v>0</v>
      </c>
      <c r="V2422" s="232" t="str">
        <f aca="false">+PROPER(F2422)</f>
        <v/>
      </c>
    </row>
    <row r="2423" customFormat="false" ht="14.25" hidden="false" customHeight="false" outlineLevel="0" collapsed="false">
      <c r="B2423" s="244"/>
      <c r="C2423" s="245"/>
      <c r="D2423" s="245"/>
      <c r="E2423" s="246"/>
      <c r="F2423" s="246"/>
      <c r="G2423" s="225" t="e">
        <f aca="false">VLOOKUP(B2423,'NIVEL ENERO'!A:F,4,0)</f>
        <v>#N/A</v>
      </c>
      <c r="H2423" s="247"/>
      <c r="I2423" s="247"/>
      <c r="J2423" s="246"/>
      <c r="K2423" s="246"/>
      <c r="L2423" s="226"/>
      <c r="M2423" s="226"/>
      <c r="N2423" s="246"/>
      <c r="P2423" s="228"/>
      <c r="Q2423" s="245"/>
      <c r="R2423" s="186" t="str">
        <f aca="false">+PROPER(C2423&amp;" "&amp;D2423)</f>
        <v> </v>
      </c>
      <c r="S2423" s="230" t="n">
        <f aca="false">+YEARFRAC(L2423,$S$1)</f>
        <v>126.366666666667</v>
      </c>
      <c r="T2423" s="230" t="n">
        <f aca="false">+YEARFRAC(M2423,$S$1)</f>
        <v>126.366666666667</v>
      </c>
      <c r="U2423" s="231" t="n">
        <f aca="false">+$I2423</f>
        <v>0</v>
      </c>
      <c r="V2423" s="232" t="str">
        <f aca="false">+PROPER(F2423)</f>
        <v/>
      </c>
    </row>
    <row r="2424" customFormat="false" ht="14.25" hidden="false" customHeight="false" outlineLevel="0" collapsed="false">
      <c r="B2424" s="244"/>
      <c r="C2424" s="245"/>
      <c r="D2424" s="245"/>
      <c r="E2424" s="246"/>
      <c r="F2424" s="246"/>
      <c r="G2424" s="225" t="e">
        <f aca="false">VLOOKUP(B2424,'NIVEL ENERO'!A:F,4,0)</f>
        <v>#N/A</v>
      </c>
      <c r="H2424" s="247"/>
      <c r="I2424" s="247"/>
      <c r="J2424" s="246"/>
      <c r="K2424" s="246"/>
      <c r="L2424" s="226"/>
      <c r="M2424" s="226"/>
      <c r="N2424" s="246"/>
      <c r="P2424" s="228"/>
      <c r="Q2424" s="245"/>
      <c r="R2424" s="186" t="str">
        <f aca="false">+PROPER(C2424&amp;" "&amp;D2424)</f>
        <v> </v>
      </c>
      <c r="S2424" s="230" t="n">
        <f aca="false">+YEARFRAC(L2424,$S$1)</f>
        <v>126.366666666667</v>
      </c>
      <c r="T2424" s="230" t="n">
        <f aca="false">+YEARFRAC(M2424,$S$1)</f>
        <v>126.366666666667</v>
      </c>
      <c r="U2424" s="231" t="n">
        <f aca="false">+$I2424</f>
        <v>0</v>
      </c>
      <c r="V2424" s="232" t="str">
        <f aca="false">+PROPER(F2424)</f>
        <v/>
      </c>
    </row>
    <row r="2425" customFormat="false" ht="14.25" hidden="false" customHeight="false" outlineLevel="0" collapsed="false">
      <c r="B2425" s="244"/>
      <c r="C2425" s="245"/>
      <c r="D2425" s="245"/>
      <c r="E2425" s="246"/>
      <c r="F2425" s="246"/>
      <c r="G2425" s="225" t="e">
        <f aca="false">VLOOKUP(B2425,'NIVEL ENERO'!A:F,4,0)</f>
        <v>#N/A</v>
      </c>
      <c r="H2425" s="247"/>
      <c r="I2425" s="247"/>
      <c r="J2425" s="246"/>
      <c r="K2425" s="246"/>
      <c r="L2425" s="226"/>
      <c r="M2425" s="226"/>
      <c r="N2425" s="246"/>
      <c r="P2425" s="228"/>
      <c r="Q2425" s="245"/>
      <c r="R2425" s="186" t="str">
        <f aca="false">+PROPER(C2425&amp;" "&amp;D2425)</f>
        <v> </v>
      </c>
      <c r="S2425" s="230" t="n">
        <f aca="false">+YEARFRAC(L2425,$S$1)</f>
        <v>126.366666666667</v>
      </c>
      <c r="T2425" s="230" t="n">
        <f aca="false">+YEARFRAC(M2425,$S$1)</f>
        <v>126.366666666667</v>
      </c>
      <c r="U2425" s="231" t="n">
        <f aca="false">+$I2425</f>
        <v>0</v>
      </c>
      <c r="V2425" s="232" t="str">
        <f aca="false">+PROPER(F2425)</f>
        <v/>
      </c>
    </row>
    <row r="2426" customFormat="false" ht="14.25" hidden="false" customHeight="false" outlineLevel="0" collapsed="false">
      <c r="B2426" s="244"/>
      <c r="C2426" s="245"/>
      <c r="D2426" s="245"/>
      <c r="E2426" s="246"/>
      <c r="F2426" s="246"/>
      <c r="G2426" s="225" t="e">
        <f aca="false">VLOOKUP(B2426,'NIVEL ENERO'!A:F,4,0)</f>
        <v>#N/A</v>
      </c>
      <c r="H2426" s="247"/>
      <c r="I2426" s="247"/>
      <c r="J2426" s="246"/>
      <c r="K2426" s="246"/>
      <c r="L2426" s="226"/>
      <c r="M2426" s="226"/>
      <c r="N2426" s="246"/>
      <c r="P2426" s="228"/>
      <c r="Q2426" s="245"/>
      <c r="R2426" s="186" t="str">
        <f aca="false">+PROPER(C2426&amp;" "&amp;D2426)</f>
        <v> </v>
      </c>
      <c r="S2426" s="230" t="n">
        <f aca="false">+YEARFRAC(L2426,$S$1)</f>
        <v>126.366666666667</v>
      </c>
      <c r="T2426" s="230" t="n">
        <f aca="false">+YEARFRAC(M2426,$S$1)</f>
        <v>126.366666666667</v>
      </c>
      <c r="U2426" s="231" t="n">
        <f aca="false">+$I2426</f>
        <v>0</v>
      </c>
      <c r="V2426" s="232" t="str">
        <f aca="false">+PROPER(F2426)</f>
        <v/>
      </c>
    </row>
    <row r="2427" customFormat="false" ht="14.25" hidden="false" customHeight="false" outlineLevel="0" collapsed="false">
      <c r="B2427" s="244"/>
      <c r="C2427" s="245"/>
      <c r="D2427" s="245"/>
      <c r="E2427" s="246"/>
      <c r="F2427" s="246"/>
      <c r="G2427" s="225" t="e">
        <f aca="false">VLOOKUP(B2427,'NIVEL ENERO'!A:F,4,0)</f>
        <v>#N/A</v>
      </c>
      <c r="H2427" s="247"/>
      <c r="I2427" s="247"/>
      <c r="J2427" s="246"/>
      <c r="K2427" s="246"/>
      <c r="L2427" s="226"/>
      <c r="M2427" s="226"/>
      <c r="N2427" s="246"/>
      <c r="P2427" s="228"/>
      <c r="Q2427" s="245"/>
      <c r="R2427" s="186" t="str">
        <f aca="false">+PROPER(C2427&amp;" "&amp;D2427)</f>
        <v> </v>
      </c>
      <c r="S2427" s="230" t="n">
        <f aca="false">+YEARFRAC(L2427,$S$1)</f>
        <v>126.366666666667</v>
      </c>
      <c r="T2427" s="230" t="n">
        <f aca="false">+YEARFRAC(M2427,$S$1)</f>
        <v>126.366666666667</v>
      </c>
      <c r="U2427" s="231" t="n">
        <f aca="false">+$I2427</f>
        <v>0</v>
      </c>
      <c r="V2427" s="232" t="str">
        <f aca="false">+PROPER(F2427)</f>
        <v/>
      </c>
    </row>
    <row r="2428" customFormat="false" ht="14.25" hidden="false" customHeight="false" outlineLevel="0" collapsed="false">
      <c r="B2428" s="244"/>
      <c r="C2428" s="245"/>
      <c r="D2428" s="245"/>
      <c r="E2428" s="246"/>
      <c r="F2428" s="246"/>
      <c r="G2428" s="225" t="e">
        <f aca="false">VLOOKUP(B2428,'NIVEL ENERO'!A:F,4,0)</f>
        <v>#N/A</v>
      </c>
      <c r="H2428" s="247"/>
      <c r="I2428" s="247"/>
      <c r="J2428" s="246"/>
      <c r="K2428" s="246"/>
      <c r="L2428" s="226"/>
      <c r="M2428" s="226"/>
      <c r="N2428" s="246"/>
      <c r="P2428" s="228"/>
      <c r="Q2428" s="245"/>
      <c r="R2428" s="186" t="str">
        <f aca="false">+PROPER(C2428&amp;" "&amp;D2428)</f>
        <v> </v>
      </c>
      <c r="S2428" s="230" t="n">
        <f aca="false">+YEARFRAC(L2428,$S$1)</f>
        <v>126.366666666667</v>
      </c>
      <c r="T2428" s="230" t="n">
        <f aca="false">+YEARFRAC(M2428,$S$1)</f>
        <v>126.366666666667</v>
      </c>
      <c r="U2428" s="231" t="n">
        <f aca="false">+$I2428</f>
        <v>0</v>
      </c>
      <c r="V2428" s="232" t="str">
        <f aca="false">+PROPER(F2428)</f>
        <v/>
      </c>
    </row>
    <row r="2429" customFormat="false" ht="14.25" hidden="false" customHeight="false" outlineLevel="0" collapsed="false">
      <c r="B2429" s="244"/>
      <c r="C2429" s="245"/>
      <c r="D2429" s="245"/>
      <c r="E2429" s="246"/>
      <c r="F2429" s="246"/>
      <c r="G2429" s="225" t="e">
        <f aca="false">VLOOKUP(B2429,'NIVEL ENERO'!A:F,4,0)</f>
        <v>#N/A</v>
      </c>
      <c r="H2429" s="247"/>
      <c r="I2429" s="247"/>
      <c r="J2429" s="246"/>
      <c r="K2429" s="246"/>
      <c r="L2429" s="226"/>
      <c r="M2429" s="226"/>
      <c r="N2429" s="246"/>
      <c r="P2429" s="228"/>
      <c r="Q2429" s="245"/>
      <c r="R2429" s="186" t="str">
        <f aca="false">+PROPER(C2429&amp;" "&amp;D2429)</f>
        <v> </v>
      </c>
      <c r="S2429" s="230" t="n">
        <f aca="false">+YEARFRAC(L2429,$S$1)</f>
        <v>126.366666666667</v>
      </c>
      <c r="T2429" s="230" t="n">
        <f aca="false">+YEARFRAC(M2429,$S$1)</f>
        <v>126.366666666667</v>
      </c>
      <c r="U2429" s="231" t="n">
        <f aca="false">+$I2429</f>
        <v>0</v>
      </c>
      <c r="V2429" s="232" t="str">
        <f aca="false">+PROPER(F2429)</f>
        <v/>
      </c>
    </row>
    <row r="2430" customFormat="false" ht="14.25" hidden="false" customHeight="false" outlineLevel="0" collapsed="false">
      <c r="B2430" s="244"/>
      <c r="C2430" s="245"/>
      <c r="D2430" s="245"/>
      <c r="E2430" s="246"/>
      <c r="F2430" s="246"/>
      <c r="G2430" s="225" t="e">
        <f aca="false">VLOOKUP(B2430,'NIVEL ENERO'!A:F,4,0)</f>
        <v>#N/A</v>
      </c>
      <c r="H2430" s="247"/>
      <c r="I2430" s="247"/>
      <c r="J2430" s="246"/>
      <c r="K2430" s="246"/>
      <c r="L2430" s="226"/>
      <c r="M2430" s="226"/>
      <c r="N2430" s="246"/>
      <c r="P2430" s="228"/>
      <c r="Q2430" s="245"/>
      <c r="R2430" s="186" t="str">
        <f aca="false">+PROPER(C2430&amp;" "&amp;D2430)</f>
        <v> </v>
      </c>
      <c r="S2430" s="230" t="n">
        <f aca="false">+YEARFRAC(L2430,$S$1)</f>
        <v>126.366666666667</v>
      </c>
      <c r="T2430" s="230" t="n">
        <f aca="false">+YEARFRAC(M2430,$S$1)</f>
        <v>126.366666666667</v>
      </c>
      <c r="U2430" s="231" t="n">
        <f aca="false">+$I2430</f>
        <v>0</v>
      </c>
      <c r="V2430" s="232" t="str">
        <f aca="false">+PROPER(F2430)</f>
        <v/>
      </c>
    </row>
    <row r="2431" customFormat="false" ht="14.25" hidden="false" customHeight="false" outlineLevel="0" collapsed="false">
      <c r="B2431" s="244"/>
      <c r="C2431" s="245"/>
      <c r="D2431" s="245"/>
      <c r="E2431" s="246"/>
      <c r="F2431" s="246"/>
      <c r="G2431" s="225" t="e">
        <f aca="false">VLOOKUP(B2431,'NIVEL ENERO'!A:F,4,0)</f>
        <v>#N/A</v>
      </c>
      <c r="H2431" s="247"/>
      <c r="I2431" s="247"/>
      <c r="J2431" s="246"/>
      <c r="K2431" s="246"/>
      <c r="L2431" s="226"/>
      <c r="M2431" s="226"/>
      <c r="N2431" s="246"/>
      <c r="P2431" s="228"/>
      <c r="Q2431" s="245"/>
      <c r="R2431" s="186" t="str">
        <f aca="false">+PROPER(C2431&amp;" "&amp;D2431)</f>
        <v> </v>
      </c>
      <c r="S2431" s="230" t="n">
        <f aca="false">+YEARFRAC(L2431,$S$1)</f>
        <v>126.366666666667</v>
      </c>
      <c r="T2431" s="230" t="n">
        <f aca="false">+YEARFRAC(M2431,$S$1)</f>
        <v>126.366666666667</v>
      </c>
      <c r="U2431" s="231" t="n">
        <f aca="false">+$I2431</f>
        <v>0</v>
      </c>
      <c r="V2431" s="232" t="str">
        <f aca="false">+PROPER(F2431)</f>
        <v/>
      </c>
    </row>
    <row r="2432" customFormat="false" ht="14.25" hidden="false" customHeight="false" outlineLevel="0" collapsed="false">
      <c r="B2432" s="244"/>
      <c r="C2432" s="245"/>
      <c r="D2432" s="245"/>
      <c r="E2432" s="246"/>
      <c r="F2432" s="246"/>
      <c r="G2432" s="225" t="e">
        <f aca="false">VLOOKUP(B2432,'NIVEL ENERO'!A:F,4,0)</f>
        <v>#N/A</v>
      </c>
      <c r="H2432" s="247"/>
      <c r="I2432" s="247"/>
      <c r="J2432" s="246"/>
      <c r="K2432" s="246"/>
      <c r="L2432" s="226"/>
      <c r="M2432" s="226"/>
      <c r="N2432" s="246"/>
      <c r="P2432" s="228"/>
      <c r="Q2432" s="245"/>
      <c r="R2432" s="186" t="str">
        <f aca="false">+PROPER(C2432&amp;" "&amp;D2432)</f>
        <v> </v>
      </c>
      <c r="S2432" s="230" t="n">
        <f aca="false">+YEARFRAC(L2432,$S$1)</f>
        <v>126.366666666667</v>
      </c>
      <c r="T2432" s="230" t="n">
        <f aca="false">+YEARFRAC(M2432,$S$1)</f>
        <v>126.366666666667</v>
      </c>
      <c r="U2432" s="231" t="n">
        <f aca="false">+$I2432</f>
        <v>0</v>
      </c>
      <c r="V2432" s="232" t="str">
        <f aca="false">+PROPER(F2432)</f>
        <v/>
      </c>
    </row>
    <row r="2433" customFormat="false" ht="14.25" hidden="false" customHeight="false" outlineLevel="0" collapsed="false">
      <c r="B2433" s="244"/>
      <c r="C2433" s="245"/>
      <c r="D2433" s="245"/>
      <c r="E2433" s="246"/>
      <c r="F2433" s="246"/>
      <c r="G2433" s="225" t="e">
        <f aca="false">VLOOKUP(B2433,'NIVEL ENERO'!A:F,4,0)</f>
        <v>#N/A</v>
      </c>
      <c r="H2433" s="247"/>
      <c r="I2433" s="247"/>
      <c r="J2433" s="246"/>
      <c r="K2433" s="246"/>
      <c r="L2433" s="226"/>
      <c r="M2433" s="226"/>
      <c r="N2433" s="246"/>
      <c r="P2433" s="228"/>
      <c r="Q2433" s="245"/>
      <c r="R2433" s="186" t="str">
        <f aca="false">+PROPER(C2433&amp;" "&amp;D2433)</f>
        <v> </v>
      </c>
      <c r="S2433" s="230" t="n">
        <f aca="false">+YEARFRAC(L2433,$S$1)</f>
        <v>126.366666666667</v>
      </c>
      <c r="T2433" s="230" t="n">
        <f aca="false">+YEARFRAC(M2433,$S$1)</f>
        <v>126.366666666667</v>
      </c>
      <c r="U2433" s="231" t="n">
        <f aca="false">+$I2433</f>
        <v>0</v>
      </c>
      <c r="V2433" s="232" t="str">
        <f aca="false">+PROPER(F2433)</f>
        <v/>
      </c>
    </row>
    <row r="2434" customFormat="false" ht="14.25" hidden="false" customHeight="false" outlineLevel="0" collapsed="false">
      <c r="B2434" s="244"/>
      <c r="C2434" s="245"/>
      <c r="D2434" s="245"/>
      <c r="E2434" s="246"/>
      <c r="F2434" s="246"/>
      <c r="G2434" s="225" t="e">
        <f aca="false">VLOOKUP(B2434,'NIVEL ENERO'!A:F,4,0)</f>
        <v>#N/A</v>
      </c>
      <c r="H2434" s="247"/>
      <c r="I2434" s="247"/>
      <c r="J2434" s="246"/>
      <c r="K2434" s="246"/>
      <c r="L2434" s="226"/>
      <c r="M2434" s="226"/>
      <c r="N2434" s="246"/>
      <c r="P2434" s="228"/>
      <c r="Q2434" s="245"/>
      <c r="R2434" s="186" t="str">
        <f aca="false">+PROPER(C2434&amp;" "&amp;D2434)</f>
        <v> </v>
      </c>
      <c r="S2434" s="230" t="n">
        <f aca="false">+YEARFRAC(L2434,$S$1)</f>
        <v>126.366666666667</v>
      </c>
      <c r="T2434" s="230" t="n">
        <f aca="false">+YEARFRAC(M2434,$S$1)</f>
        <v>126.366666666667</v>
      </c>
      <c r="U2434" s="231" t="n">
        <f aca="false">+$I2434</f>
        <v>0</v>
      </c>
      <c r="V2434" s="232" t="str">
        <f aca="false">+PROPER(F2434)</f>
        <v/>
      </c>
    </row>
    <row r="2435" customFormat="false" ht="14.25" hidden="false" customHeight="false" outlineLevel="0" collapsed="false">
      <c r="B2435" s="244"/>
      <c r="C2435" s="245"/>
      <c r="D2435" s="245"/>
      <c r="E2435" s="246"/>
      <c r="F2435" s="246"/>
      <c r="G2435" s="225" t="e">
        <f aca="false">VLOOKUP(B2435,'NIVEL ENERO'!A:F,4,0)</f>
        <v>#N/A</v>
      </c>
      <c r="H2435" s="247"/>
      <c r="I2435" s="247"/>
      <c r="J2435" s="246"/>
      <c r="K2435" s="246"/>
      <c r="L2435" s="226"/>
      <c r="M2435" s="226"/>
      <c r="N2435" s="246"/>
      <c r="P2435" s="228"/>
      <c r="Q2435" s="245"/>
      <c r="R2435" s="186" t="str">
        <f aca="false">+PROPER(C2435&amp;" "&amp;D2435)</f>
        <v> </v>
      </c>
      <c r="S2435" s="230" t="n">
        <f aca="false">+YEARFRAC(L2435,$S$1)</f>
        <v>126.366666666667</v>
      </c>
      <c r="T2435" s="230" t="n">
        <f aca="false">+YEARFRAC(M2435,$S$1)</f>
        <v>126.366666666667</v>
      </c>
      <c r="U2435" s="231" t="n">
        <f aca="false">+$I2435</f>
        <v>0</v>
      </c>
      <c r="V2435" s="232" t="str">
        <f aca="false">+PROPER(F2435)</f>
        <v/>
      </c>
    </row>
    <row r="2436" customFormat="false" ht="14.25" hidden="false" customHeight="false" outlineLevel="0" collapsed="false">
      <c r="B2436" s="244"/>
      <c r="C2436" s="245"/>
      <c r="D2436" s="245"/>
      <c r="E2436" s="246"/>
      <c r="F2436" s="246"/>
      <c r="G2436" s="225" t="e">
        <f aca="false">VLOOKUP(B2436,'NIVEL ENERO'!A:F,4,0)</f>
        <v>#N/A</v>
      </c>
      <c r="H2436" s="247"/>
      <c r="I2436" s="247"/>
      <c r="J2436" s="246"/>
      <c r="K2436" s="246"/>
      <c r="L2436" s="226"/>
      <c r="M2436" s="226"/>
      <c r="N2436" s="246"/>
      <c r="P2436" s="228"/>
      <c r="Q2436" s="245"/>
      <c r="R2436" s="186" t="str">
        <f aca="false">+PROPER(C2436&amp;" "&amp;D2436)</f>
        <v> </v>
      </c>
      <c r="S2436" s="230" t="n">
        <f aca="false">+YEARFRAC(L2436,$S$1)</f>
        <v>126.366666666667</v>
      </c>
      <c r="T2436" s="230" t="n">
        <f aca="false">+YEARFRAC(M2436,$S$1)</f>
        <v>126.366666666667</v>
      </c>
      <c r="U2436" s="231" t="n">
        <f aca="false">+$I2436</f>
        <v>0</v>
      </c>
      <c r="V2436" s="232" t="str">
        <f aca="false">+PROPER(F2436)</f>
        <v/>
      </c>
    </row>
    <row r="2437" customFormat="false" ht="14.25" hidden="false" customHeight="false" outlineLevel="0" collapsed="false">
      <c r="B2437" s="244"/>
      <c r="C2437" s="245"/>
      <c r="D2437" s="245"/>
      <c r="E2437" s="246"/>
      <c r="F2437" s="246"/>
      <c r="G2437" s="225" t="e">
        <f aca="false">VLOOKUP(B2437,'NIVEL ENERO'!A:F,4,0)</f>
        <v>#N/A</v>
      </c>
      <c r="H2437" s="247"/>
      <c r="I2437" s="247"/>
      <c r="J2437" s="246"/>
      <c r="K2437" s="246"/>
      <c r="L2437" s="226"/>
      <c r="M2437" s="226"/>
      <c r="N2437" s="246"/>
      <c r="P2437" s="228"/>
      <c r="Q2437" s="245"/>
      <c r="R2437" s="186" t="str">
        <f aca="false">+PROPER(C2437&amp;" "&amp;D2437)</f>
        <v> </v>
      </c>
      <c r="S2437" s="230" t="n">
        <f aca="false">+YEARFRAC(L2437,$S$1)</f>
        <v>126.366666666667</v>
      </c>
      <c r="T2437" s="230" t="n">
        <f aca="false">+YEARFRAC(M2437,$S$1)</f>
        <v>126.366666666667</v>
      </c>
      <c r="U2437" s="231" t="n">
        <f aca="false">+$I2437</f>
        <v>0</v>
      </c>
      <c r="V2437" s="232" t="str">
        <f aca="false">+PROPER(F2437)</f>
        <v/>
      </c>
    </row>
    <row r="2438" customFormat="false" ht="14.25" hidden="false" customHeight="false" outlineLevel="0" collapsed="false">
      <c r="B2438" s="244"/>
      <c r="C2438" s="245"/>
      <c r="D2438" s="245"/>
      <c r="E2438" s="246"/>
      <c r="F2438" s="246"/>
      <c r="G2438" s="225" t="e">
        <f aca="false">VLOOKUP(B2438,'NIVEL ENERO'!A:F,4,0)</f>
        <v>#N/A</v>
      </c>
      <c r="H2438" s="247"/>
      <c r="I2438" s="247"/>
      <c r="J2438" s="246"/>
      <c r="K2438" s="246"/>
      <c r="L2438" s="226"/>
      <c r="M2438" s="226"/>
      <c r="N2438" s="246"/>
      <c r="P2438" s="228"/>
      <c r="Q2438" s="245"/>
      <c r="R2438" s="186" t="str">
        <f aca="false">+PROPER(C2438&amp;" "&amp;D2438)</f>
        <v> </v>
      </c>
      <c r="S2438" s="230" t="n">
        <f aca="false">+YEARFRAC(L2438,$S$1)</f>
        <v>126.366666666667</v>
      </c>
      <c r="T2438" s="230" t="n">
        <f aca="false">+YEARFRAC(M2438,$S$1)</f>
        <v>126.366666666667</v>
      </c>
      <c r="U2438" s="231" t="n">
        <f aca="false">+$I2438</f>
        <v>0</v>
      </c>
      <c r="V2438" s="232" t="str">
        <f aca="false">+PROPER(F2438)</f>
        <v/>
      </c>
    </row>
    <row r="2439" customFormat="false" ht="14.25" hidden="false" customHeight="false" outlineLevel="0" collapsed="false">
      <c r="B2439" s="244"/>
      <c r="C2439" s="245"/>
      <c r="D2439" s="245"/>
      <c r="E2439" s="246"/>
      <c r="F2439" s="246"/>
      <c r="G2439" s="225" t="e">
        <f aca="false">VLOOKUP(B2439,'NIVEL ENERO'!A:F,4,0)</f>
        <v>#N/A</v>
      </c>
      <c r="H2439" s="247"/>
      <c r="I2439" s="247"/>
      <c r="J2439" s="246"/>
      <c r="K2439" s="246"/>
      <c r="L2439" s="226"/>
      <c r="M2439" s="226"/>
      <c r="N2439" s="246"/>
      <c r="P2439" s="228"/>
      <c r="Q2439" s="245"/>
      <c r="R2439" s="186" t="str">
        <f aca="false">+PROPER(C2439&amp;" "&amp;D2439)</f>
        <v> </v>
      </c>
      <c r="S2439" s="230" t="n">
        <f aca="false">+YEARFRAC(L2439,$S$1)</f>
        <v>126.366666666667</v>
      </c>
      <c r="T2439" s="230" t="n">
        <f aca="false">+YEARFRAC(M2439,$S$1)</f>
        <v>126.366666666667</v>
      </c>
      <c r="U2439" s="231" t="n">
        <f aca="false">+$I2439</f>
        <v>0</v>
      </c>
      <c r="V2439" s="232" t="str">
        <f aca="false">+PROPER(F2439)</f>
        <v/>
      </c>
    </row>
    <row r="2440" customFormat="false" ht="14.25" hidden="false" customHeight="false" outlineLevel="0" collapsed="false">
      <c r="B2440" s="244"/>
      <c r="C2440" s="245"/>
      <c r="D2440" s="245"/>
      <c r="E2440" s="246"/>
      <c r="F2440" s="246"/>
      <c r="G2440" s="225" t="e">
        <f aca="false">VLOOKUP(B2440,'NIVEL ENERO'!A:F,4,0)</f>
        <v>#N/A</v>
      </c>
      <c r="H2440" s="247"/>
      <c r="I2440" s="247"/>
      <c r="J2440" s="246"/>
      <c r="K2440" s="246"/>
      <c r="L2440" s="226"/>
      <c r="M2440" s="226"/>
      <c r="N2440" s="246"/>
      <c r="P2440" s="228"/>
      <c r="Q2440" s="245"/>
      <c r="R2440" s="186" t="str">
        <f aca="false">+PROPER(C2440&amp;" "&amp;D2440)</f>
        <v> </v>
      </c>
      <c r="S2440" s="230" t="n">
        <f aca="false">+YEARFRAC(L2440,$S$1)</f>
        <v>126.366666666667</v>
      </c>
      <c r="T2440" s="230" t="n">
        <f aca="false">+YEARFRAC(M2440,$S$1)</f>
        <v>126.366666666667</v>
      </c>
      <c r="U2440" s="231" t="n">
        <f aca="false">+$I2440</f>
        <v>0</v>
      </c>
      <c r="V2440" s="232" t="str">
        <f aca="false">+PROPER(F2440)</f>
        <v/>
      </c>
    </row>
    <row r="2441" customFormat="false" ht="14.25" hidden="false" customHeight="false" outlineLevel="0" collapsed="false">
      <c r="B2441" s="244"/>
      <c r="C2441" s="245"/>
      <c r="D2441" s="245"/>
      <c r="E2441" s="246"/>
      <c r="F2441" s="246"/>
      <c r="G2441" s="225" t="e">
        <f aca="false">VLOOKUP(B2441,'NIVEL ENERO'!A:F,4,0)</f>
        <v>#N/A</v>
      </c>
      <c r="H2441" s="247"/>
      <c r="I2441" s="247"/>
      <c r="J2441" s="246"/>
      <c r="K2441" s="246"/>
      <c r="L2441" s="226"/>
      <c r="M2441" s="226"/>
      <c r="N2441" s="246"/>
      <c r="P2441" s="228"/>
      <c r="Q2441" s="245"/>
      <c r="R2441" s="186" t="str">
        <f aca="false">+PROPER(C2441&amp;" "&amp;D2441)</f>
        <v> </v>
      </c>
      <c r="S2441" s="230" t="n">
        <f aca="false">+YEARFRAC(L2441,$S$1)</f>
        <v>126.366666666667</v>
      </c>
      <c r="T2441" s="230" t="n">
        <f aca="false">+YEARFRAC(M2441,$S$1)</f>
        <v>126.366666666667</v>
      </c>
      <c r="U2441" s="231" t="n">
        <f aca="false">+$I2441</f>
        <v>0</v>
      </c>
      <c r="V2441" s="232" t="str">
        <f aca="false">+PROPER(F2441)</f>
        <v/>
      </c>
    </row>
    <row r="2442" customFormat="false" ht="14.25" hidden="false" customHeight="false" outlineLevel="0" collapsed="false">
      <c r="B2442" s="244"/>
      <c r="C2442" s="245"/>
      <c r="D2442" s="245"/>
      <c r="E2442" s="246"/>
      <c r="F2442" s="246"/>
      <c r="G2442" s="225" t="e">
        <f aca="false">VLOOKUP(B2442,'NIVEL ENERO'!A:F,4,0)</f>
        <v>#N/A</v>
      </c>
      <c r="H2442" s="247"/>
      <c r="I2442" s="247"/>
      <c r="J2442" s="246"/>
      <c r="K2442" s="246"/>
      <c r="L2442" s="226"/>
      <c r="M2442" s="226"/>
      <c r="N2442" s="246"/>
      <c r="P2442" s="228"/>
      <c r="Q2442" s="245"/>
      <c r="R2442" s="186" t="str">
        <f aca="false">+PROPER(C2442&amp;" "&amp;D2442)</f>
        <v> </v>
      </c>
      <c r="S2442" s="230" t="n">
        <f aca="false">+YEARFRAC(L2442,$S$1)</f>
        <v>126.366666666667</v>
      </c>
      <c r="T2442" s="230" t="n">
        <f aca="false">+YEARFRAC(M2442,$S$1)</f>
        <v>126.366666666667</v>
      </c>
      <c r="U2442" s="231" t="n">
        <f aca="false">+$I2442</f>
        <v>0</v>
      </c>
      <c r="V2442" s="232" t="str">
        <f aca="false">+PROPER(F2442)</f>
        <v/>
      </c>
    </row>
    <row r="2443" customFormat="false" ht="14.25" hidden="false" customHeight="false" outlineLevel="0" collapsed="false">
      <c r="B2443" s="244"/>
      <c r="C2443" s="245"/>
      <c r="D2443" s="245"/>
      <c r="E2443" s="246"/>
      <c r="F2443" s="246"/>
      <c r="G2443" s="225" t="e">
        <f aca="false">VLOOKUP(B2443,'NIVEL ENERO'!A:F,4,0)</f>
        <v>#N/A</v>
      </c>
      <c r="H2443" s="247"/>
      <c r="I2443" s="247"/>
      <c r="J2443" s="246"/>
      <c r="K2443" s="246"/>
      <c r="L2443" s="226"/>
      <c r="M2443" s="226"/>
      <c r="N2443" s="246"/>
      <c r="P2443" s="228"/>
      <c r="Q2443" s="245"/>
      <c r="R2443" s="186" t="str">
        <f aca="false">+PROPER(C2443&amp;" "&amp;D2443)</f>
        <v> </v>
      </c>
      <c r="S2443" s="230" t="n">
        <f aca="false">+YEARFRAC(L2443,$S$1)</f>
        <v>126.366666666667</v>
      </c>
      <c r="T2443" s="230" t="n">
        <f aca="false">+YEARFRAC(M2443,$S$1)</f>
        <v>126.366666666667</v>
      </c>
      <c r="U2443" s="231" t="n">
        <f aca="false">+$I2443</f>
        <v>0</v>
      </c>
      <c r="V2443" s="232" t="str">
        <f aca="false">+PROPER(F2443)</f>
        <v/>
      </c>
    </row>
    <row r="2444" customFormat="false" ht="14.25" hidden="false" customHeight="false" outlineLevel="0" collapsed="false">
      <c r="B2444" s="244"/>
      <c r="C2444" s="245"/>
      <c r="D2444" s="245"/>
      <c r="E2444" s="246"/>
      <c r="F2444" s="246"/>
      <c r="G2444" s="225" t="e">
        <f aca="false">VLOOKUP(B2444,'NIVEL ENERO'!A:F,4,0)</f>
        <v>#N/A</v>
      </c>
      <c r="H2444" s="247"/>
      <c r="I2444" s="247"/>
      <c r="J2444" s="246"/>
      <c r="K2444" s="246"/>
      <c r="L2444" s="226"/>
      <c r="M2444" s="226"/>
      <c r="N2444" s="246"/>
      <c r="P2444" s="228"/>
      <c r="Q2444" s="245"/>
      <c r="R2444" s="186" t="str">
        <f aca="false">+PROPER(C2444&amp;" "&amp;D2444)</f>
        <v> </v>
      </c>
      <c r="S2444" s="230" t="n">
        <f aca="false">+YEARFRAC(L2444,$S$1)</f>
        <v>126.366666666667</v>
      </c>
      <c r="T2444" s="230" t="n">
        <f aca="false">+YEARFRAC(M2444,$S$1)</f>
        <v>126.366666666667</v>
      </c>
      <c r="U2444" s="231" t="n">
        <f aca="false">+$I2444</f>
        <v>0</v>
      </c>
      <c r="V2444" s="232" t="str">
        <f aca="false">+PROPER(F2444)</f>
        <v/>
      </c>
    </row>
    <row r="2445" customFormat="false" ht="14.25" hidden="false" customHeight="false" outlineLevel="0" collapsed="false">
      <c r="B2445" s="244"/>
      <c r="C2445" s="245"/>
      <c r="D2445" s="245"/>
      <c r="E2445" s="246"/>
      <c r="F2445" s="246"/>
      <c r="G2445" s="225" t="e">
        <f aca="false">VLOOKUP(B2445,'NIVEL ENERO'!A:F,4,0)</f>
        <v>#N/A</v>
      </c>
      <c r="H2445" s="247"/>
      <c r="I2445" s="247"/>
      <c r="J2445" s="246"/>
      <c r="K2445" s="246"/>
      <c r="L2445" s="226"/>
      <c r="M2445" s="226"/>
      <c r="N2445" s="246"/>
      <c r="P2445" s="228"/>
      <c r="Q2445" s="245"/>
      <c r="R2445" s="186" t="str">
        <f aca="false">+PROPER(C2445&amp;" "&amp;D2445)</f>
        <v> </v>
      </c>
      <c r="S2445" s="230" t="n">
        <f aca="false">+YEARFRAC(L2445,$S$1)</f>
        <v>126.366666666667</v>
      </c>
      <c r="T2445" s="230" t="n">
        <f aca="false">+YEARFRAC(M2445,$S$1)</f>
        <v>126.366666666667</v>
      </c>
      <c r="U2445" s="231" t="n">
        <f aca="false">+$I2445</f>
        <v>0</v>
      </c>
      <c r="V2445" s="232" t="str">
        <f aca="false">+PROPER(F2445)</f>
        <v/>
      </c>
    </row>
    <row r="2446" customFormat="false" ht="14.25" hidden="false" customHeight="false" outlineLevel="0" collapsed="false">
      <c r="B2446" s="244"/>
      <c r="C2446" s="245"/>
      <c r="D2446" s="245"/>
      <c r="E2446" s="246"/>
      <c r="F2446" s="246"/>
      <c r="G2446" s="225" t="e">
        <f aca="false">VLOOKUP(B2446,'NIVEL ENERO'!A:F,4,0)</f>
        <v>#N/A</v>
      </c>
      <c r="H2446" s="247"/>
      <c r="I2446" s="247"/>
      <c r="J2446" s="246"/>
      <c r="K2446" s="246"/>
      <c r="L2446" s="226"/>
      <c r="M2446" s="226"/>
      <c r="N2446" s="246"/>
      <c r="P2446" s="228"/>
      <c r="Q2446" s="245"/>
      <c r="R2446" s="186" t="str">
        <f aca="false">+PROPER(C2446&amp;" "&amp;D2446)</f>
        <v> </v>
      </c>
      <c r="S2446" s="230" t="n">
        <f aca="false">+YEARFRAC(L2446,$S$1)</f>
        <v>126.366666666667</v>
      </c>
      <c r="T2446" s="230" t="n">
        <f aca="false">+YEARFRAC(M2446,$S$1)</f>
        <v>126.366666666667</v>
      </c>
      <c r="U2446" s="231" t="n">
        <f aca="false">+$I2446</f>
        <v>0</v>
      </c>
      <c r="V2446" s="232" t="str">
        <f aca="false">+PROPER(F2446)</f>
        <v/>
      </c>
    </row>
    <row r="2447" customFormat="false" ht="14.25" hidden="false" customHeight="false" outlineLevel="0" collapsed="false">
      <c r="B2447" s="244"/>
      <c r="C2447" s="245"/>
      <c r="D2447" s="245"/>
      <c r="E2447" s="246"/>
      <c r="F2447" s="246"/>
      <c r="G2447" s="225" t="e">
        <f aca="false">VLOOKUP(B2447,'NIVEL ENERO'!A:F,4,0)</f>
        <v>#N/A</v>
      </c>
      <c r="H2447" s="247"/>
      <c r="I2447" s="247"/>
      <c r="J2447" s="246"/>
      <c r="K2447" s="246"/>
      <c r="L2447" s="226"/>
      <c r="M2447" s="226"/>
      <c r="N2447" s="246"/>
      <c r="P2447" s="228"/>
      <c r="Q2447" s="245"/>
      <c r="R2447" s="186" t="str">
        <f aca="false">+PROPER(C2447&amp;" "&amp;D2447)</f>
        <v> </v>
      </c>
      <c r="S2447" s="230" t="n">
        <f aca="false">+YEARFRAC(L2447,$S$1)</f>
        <v>126.366666666667</v>
      </c>
      <c r="T2447" s="230" t="n">
        <f aca="false">+YEARFRAC(M2447,$S$1)</f>
        <v>126.366666666667</v>
      </c>
      <c r="U2447" s="231" t="n">
        <f aca="false">+$I2447</f>
        <v>0</v>
      </c>
      <c r="V2447" s="232" t="str">
        <f aca="false">+PROPER(F2447)</f>
        <v/>
      </c>
    </row>
    <row r="2448" customFormat="false" ht="14.25" hidden="false" customHeight="false" outlineLevel="0" collapsed="false">
      <c r="B2448" s="244"/>
      <c r="C2448" s="245"/>
      <c r="D2448" s="245"/>
      <c r="E2448" s="246"/>
      <c r="F2448" s="246"/>
      <c r="G2448" s="225" t="e">
        <f aca="false">VLOOKUP(B2448,'NIVEL ENERO'!A:F,4,0)</f>
        <v>#N/A</v>
      </c>
      <c r="H2448" s="247"/>
      <c r="I2448" s="247"/>
      <c r="J2448" s="246"/>
      <c r="K2448" s="246"/>
      <c r="L2448" s="226"/>
      <c r="M2448" s="226"/>
      <c r="N2448" s="246"/>
      <c r="P2448" s="228"/>
      <c r="Q2448" s="245"/>
      <c r="R2448" s="186" t="str">
        <f aca="false">+PROPER(C2448&amp;" "&amp;D2448)</f>
        <v> </v>
      </c>
      <c r="S2448" s="230" t="n">
        <f aca="false">+YEARFRAC(L2448,$S$1)</f>
        <v>126.366666666667</v>
      </c>
      <c r="T2448" s="230" t="n">
        <f aca="false">+YEARFRAC(M2448,$S$1)</f>
        <v>126.366666666667</v>
      </c>
      <c r="U2448" s="231" t="n">
        <f aca="false">+$I2448</f>
        <v>0</v>
      </c>
      <c r="V2448" s="232" t="str">
        <f aca="false">+PROPER(F2448)</f>
        <v/>
      </c>
    </row>
    <row r="2449" customFormat="false" ht="14.25" hidden="false" customHeight="false" outlineLevel="0" collapsed="false">
      <c r="B2449" s="244"/>
      <c r="C2449" s="245"/>
      <c r="D2449" s="245"/>
      <c r="E2449" s="246"/>
      <c r="F2449" s="246"/>
      <c r="G2449" s="225" t="e">
        <f aca="false">VLOOKUP(B2449,'NIVEL ENERO'!A:F,4,0)</f>
        <v>#N/A</v>
      </c>
      <c r="H2449" s="247"/>
      <c r="I2449" s="247"/>
      <c r="J2449" s="246"/>
      <c r="K2449" s="246"/>
      <c r="L2449" s="226"/>
      <c r="M2449" s="226"/>
      <c r="N2449" s="246"/>
      <c r="P2449" s="228"/>
      <c r="Q2449" s="245"/>
      <c r="R2449" s="186" t="str">
        <f aca="false">+PROPER(C2449&amp;" "&amp;D2449)</f>
        <v> </v>
      </c>
      <c r="S2449" s="230" t="n">
        <f aca="false">+YEARFRAC(L2449,$S$1)</f>
        <v>126.366666666667</v>
      </c>
      <c r="T2449" s="230" t="n">
        <f aca="false">+YEARFRAC(M2449,$S$1)</f>
        <v>126.366666666667</v>
      </c>
      <c r="U2449" s="231" t="n">
        <f aca="false">+$I2449</f>
        <v>0</v>
      </c>
      <c r="V2449" s="232" t="str">
        <f aca="false">+PROPER(F2449)</f>
        <v/>
      </c>
    </row>
    <row r="2450" customFormat="false" ht="14.25" hidden="false" customHeight="false" outlineLevel="0" collapsed="false">
      <c r="B2450" s="244"/>
      <c r="C2450" s="245"/>
      <c r="D2450" s="245"/>
      <c r="E2450" s="246"/>
      <c r="F2450" s="246"/>
      <c r="G2450" s="225" t="e">
        <f aca="false">VLOOKUP(B2450,'NIVEL ENERO'!A:F,4,0)</f>
        <v>#N/A</v>
      </c>
      <c r="H2450" s="247"/>
      <c r="I2450" s="247"/>
      <c r="J2450" s="246"/>
      <c r="K2450" s="246"/>
      <c r="L2450" s="226"/>
      <c r="M2450" s="226"/>
      <c r="N2450" s="246"/>
      <c r="P2450" s="228"/>
      <c r="Q2450" s="245"/>
      <c r="R2450" s="186" t="str">
        <f aca="false">+PROPER(C2450&amp;" "&amp;D2450)</f>
        <v> </v>
      </c>
      <c r="S2450" s="230" t="n">
        <f aca="false">+YEARFRAC(L2450,$S$1)</f>
        <v>126.366666666667</v>
      </c>
      <c r="T2450" s="230" t="n">
        <f aca="false">+YEARFRAC(M2450,$S$1)</f>
        <v>126.366666666667</v>
      </c>
      <c r="U2450" s="231" t="n">
        <f aca="false">+$I2450</f>
        <v>0</v>
      </c>
      <c r="V2450" s="232" t="str">
        <f aca="false">+PROPER(F2450)</f>
        <v/>
      </c>
    </row>
    <row r="2451" customFormat="false" ht="14.25" hidden="false" customHeight="false" outlineLevel="0" collapsed="false">
      <c r="B2451" s="244"/>
      <c r="C2451" s="245"/>
      <c r="D2451" s="245"/>
      <c r="E2451" s="246"/>
      <c r="F2451" s="246"/>
      <c r="G2451" s="225" t="e">
        <f aca="false">VLOOKUP(B2451,'NIVEL ENERO'!A:F,4,0)</f>
        <v>#N/A</v>
      </c>
      <c r="H2451" s="247"/>
      <c r="I2451" s="247"/>
      <c r="J2451" s="246"/>
      <c r="K2451" s="246"/>
      <c r="L2451" s="226"/>
      <c r="M2451" s="226"/>
      <c r="N2451" s="246"/>
      <c r="P2451" s="228"/>
      <c r="Q2451" s="245"/>
      <c r="R2451" s="186" t="str">
        <f aca="false">+PROPER(C2451&amp;" "&amp;D2451)</f>
        <v> </v>
      </c>
      <c r="S2451" s="230" t="n">
        <f aca="false">+YEARFRAC(L2451,$S$1)</f>
        <v>126.366666666667</v>
      </c>
      <c r="T2451" s="230" t="n">
        <f aca="false">+YEARFRAC(M2451,$S$1)</f>
        <v>126.366666666667</v>
      </c>
      <c r="U2451" s="231" t="n">
        <f aca="false">+$I2451</f>
        <v>0</v>
      </c>
      <c r="V2451" s="232" t="str">
        <f aca="false">+PROPER(F2451)</f>
        <v/>
      </c>
    </row>
    <row r="2452" customFormat="false" ht="14.25" hidden="false" customHeight="false" outlineLevel="0" collapsed="false">
      <c r="B2452" s="244"/>
      <c r="C2452" s="245"/>
      <c r="D2452" s="245"/>
      <c r="E2452" s="246"/>
      <c r="F2452" s="246"/>
      <c r="G2452" s="225" t="e">
        <f aca="false">VLOOKUP(B2452,'NIVEL ENERO'!A:F,4,0)</f>
        <v>#N/A</v>
      </c>
      <c r="H2452" s="247"/>
      <c r="I2452" s="247"/>
      <c r="J2452" s="246"/>
      <c r="K2452" s="246"/>
      <c r="L2452" s="226"/>
      <c r="M2452" s="226"/>
      <c r="N2452" s="246"/>
      <c r="P2452" s="228"/>
      <c r="Q2452" s="245"/>
      <c r="R2452" s="186" t="str">
        <f aca="false">+PROPER(C2452&amp;" "&amp;D2452)</f>
        <v> </v>
      </c>
      <c r="S2452" s="230" t="n">
        <f aca="false">+YEARFRAC(L2452,$S$1)</f>
        <v>126.366666666667</v>
      </c>
      <c r="T2452" s="230" t="n">
        <f aca="false">+YEARFRAC(M2452,$S$1)</f>
        <v>126.366666666667</v>
      </c>
      <c r="U2452" s="231" t="n">
        <f aca="false">+$I2452</f>
        <v>0</v>
      </c>
      <c r="V2452" s="232" t="str">
        <f aca="false">+PROPER(F2452)</f>
        <v/>
      </c>
    </row>
    <row r="2453" customFormat="false" ht="14.25" hidden="false" customHeight="false" outlineLevel="0" collapsed="false">
      <c r="B2453" s="244"/>
      <c r="C2453" s="245"/>
      <c r="D2453" s="245"/>
      <c r="E2453" s="246"/>
      <c r="F2453" s="246"/>
      <c r="G2453" s="225" t="e">
        <f aca="false">VLOOKUP(B2453,'NIVEL ENERO'!A:F,4,0)</f>
        <v>#N/A</v>
      </c>
      <c r="H2453" s="247"/>
      <c r="I2453" s="247"/>
      <c r="J2453" s="246"/>
      <c r="K2453" s="246"/>
      <c r="L2453" s="226"/>
      <c r="M2453" s="226"/>
      <c r="N2453" s="246"/>
      <c r="P2453" s="228"/>
      <c r="Q2453" s="245"/>
      <c r="R2453" s="186" t="str">
        <f aca="false">+PROPER(C2453&amp;" "&amp;D2453)</f>
        <v> </v>
      </c>
      <c r="S2453" s="230" t="n">
        <f aca="false">+YEARFRAC(L2453,$S$1)</f>
        <v>126.366666666667</v>
      </c>
      <c r="T2453" s="230" t="n">
        <f aca="false">+YEARFRAC(M2453,$S$1)</f>
        <v>126.366666666667</v>
      </c>
      <c r="U2453" s="231" t="n">
        <f aca="false">+$I2453</f>
        <v>0</v>
      </c>
      <c r="V2453" s="232" t="str">
        <f aca="false">+PROPER(F2453)</f>
        <v/>
      </c>
    </row>
    <row r="2454" customFormat="false" ht="14.25" hidden="false" customHeight="false" outlineLevel="0" collapsed="false">
      <c r="B2454" s="244"/>
      <c r="C2454" s="245"/>
      <c r="D2454" s="245"/>
      <c r="E2454" s="246"/>
      <c r="F2454" s="246"/>
      <c r="G2454" s="225" t="e">
        <f aca="false">VLOOKUP(B2454,'NIVEL ENERO'!A:F,4,0)</f>
        <v>#N/A</v>
      </c>
      <c r="H2454" s="247"/>
      <c r="I2454" s="247"/>
      <c r="J2454" s="246"/>
      <c r="K2454" s="246"/>
      <c r="L2454" s="226"/>
      <c r="M2454" s="226"/>
      <c r="N2454" s="246"/>
      <c r="P2454" s="228"/>
      <c r="Q2454" s="245"/>
      <c r="R2454" s="186" t="str">
        <f aca="false">+PROPER(C2454&amp;" "&amp;D2454)</f>
        <v> </v>
      </c>
      <c r="S2454" s="230" t="n">
        <f aca="false">+YEARFRAC(L2454,$S$1)</f>
        <v>126.366666666667</v>
      </c>
      <c r="T2454" s="230" t="n">
        <f aca="false">+YEARFRAC(M2454,$S$1)</f>
        <v>126.366666666667</v>
      </c>
      <c r="U2454" s="231" t="n">
        <f aca="false">+$I2454</f>
        <v>0</v>
      </c>
      <c r="V2454" s="232" t="str">
        <f aca="false">+PROPER(F2454)</f>
        <v/>
      </c>
    </row>
    <row r="2455" customFormat="false" ht="14.25" hidden="false" customHeight="false" outlineLevel="0" collapsed="false">
      <c r="B2455" s="244"/>
      <c r="C2455" s="245"/>
      <c r="D2455" s="245"/>
      <c r="E2455" s="246"/>
      <c r="F2455" s="246"/>
      <c r="G2455" s="225" t="e">
        <f aca="false">VLOOKUP(B2455,'NIVEL ENERO'!A:F,4,0)</f>
        <v>#N/A</v>
      </c>
      <c r="H2455" s="247"/>
      <c r="I2455" s="247"/>
      <c r="J2455" s="246"/>
      <c r="K2455" s="246"/>
      <c r="L2455" s="226"/>
      <c r="M2455" s="226"/>
      <c r="N2455" s="246"/>
      <c r="P2455" s="228"/>
      <c r="Q2455" s="245"/>
      <c r="R2455" s="186" t="str">
        <f aca="false">+PROPER(C2455&amp;" "&amp;D2455)</f>
        <v> </v>
      </c>
      <c r="S2455" s="230" t="n">
        <f aca="false">+YEARFRAC(L2455,$S$1)</f>
        <v>126.366666666667</v>
      </c>
      <c r="T2455" s="230" t="n">
        <f aca="false">+YEARFRAC(M2455,$S$1)</f>
        <v>126.366666666667</v>
      </c>
      <c r="U2455" s="231" t="n">
        <f aca="false">+$I2455</f>
        <v>0</v>
      </c>
      <c r="V2455" s="232" t="str">
        <f aca="false">+PROPER(F2455)</f>
        <v/>
      </c>
    </row>
    <row r="2456" customFormat="false" ht="14.25" hidden="false" customHeight="false" outlineLevel="0" collapsed="false">
      <c r="B2456" s="244"/>
      <c r="C2456" s="245"/>
      <c r="D2456" s="245"/>
      <c r="E2456" s="246"/>
      <c r="F2456" s="246"/>
      <c r="G2456" s="225" t="e">
        <f aca="false">VLOOKUP(B2456,'NIVEL ENERO'!A:F,4,0)</f>
        <v>#N/A</v>
      </c>
      <c r="H2456" s="247"/>
      <c r="I2456" s="247"/>
      <c r="J2456" s="246"/>
      <c r="K2456" s="246"/>
      <c r="L2456" s="226"/>
      <c r="M2456" s="226"/>
      <c r="N2456" s="246"/>
      <c r="P2456" s="228"/>
      <c r="Q2456" s="245"/>
      <c r="R2456" s="186" t="str">
        <f aca="false">+PROPER(C2456&amp;" "&amp;D2456)</f>
        <v> </v>
      </c>
      <c r="S2456" s="230" t="n">
        <f aca="false">+YEARFRAC(L2456,$S$1)</f>
        <v>126.366666666667</v>
      </c>
      <c r="T2456" s="230" t="n">
        <f aca="false">+YEARFRAC(M2456,$S$1)</f>
        <v>126.366666666667</v>
      </c>
      <c r="U2456" s="231" t="n">
        <f aca="false">+$I2456</f>
        <v>0</v>
      </c>
      <c r="V2456" s="232" t="str">
        <f aca="false">+PROPER(F2456)</f>
        <v/>
      </c>
    </row>
    <row r="2457" customFormat="false" ht="14.25" hidden="false" customHeight="false" outlineLevel="0" collapsed="false">
      <c r="B2457" s="244"/>
      <c r="C2457" s="245"/>
      <c r="D2457" s="245"/>
      <c r="E2457" s="246"/>
      <c r="F2457" s="246"/>
      <c r="G2457" s="225" t="e">
        <f aca="false">VLOOKUP(B2457,'NIVEL ENERO'!A:F,4,0)</f>
        <v>#N/A</v>
      </c>
      <c r="H2457" s="247"/>
      <c r="I2457" s="247"/>
      <c r="J2457" s="246"/>
      <c r="K2457" s="246"/>
      <c r="L2457" s="226"/>
      <c r="M2457" s="226"/>
      <c r="N2457" s="246"/>
      <c r="P2457" s="228"/>
      <c r="Q2457" s="245"/>
      <c r="R2457" s="186" t="str">
        <f aca="false">+PROPER(C2457&amp;" "&amp;D2457)</f>
        <v> </v>
      </c>
      <c r="S2457" s="230" t="n">
        <f aca="false">+YEARFRAC(L2457,$S$1)</f>
        <v>126.366666666667</v>
      </c>
      <c r="T2457" s="230" t="n">
        <f aca="false">+YEARFRAC(M2457,$S$1)</f>
        <v>126.366666666667</v>
      </c>
      <c r="U2457" s="231" t="n">
        <f aca="false">+$I2457</f>
        <v>0</v>
      </c>
      <c r="V2457" s="232" t="str">
        <f aca="false">+PROPER(F2457)</f>
        <v/>
      </c>
    </row>
    <row r="2458" customFormat="false" ht="14.25" hidden="false" customHeight="false" outlineLevel="0" collapsed="false">
      <c r="B2458" s="244"/>
      <c r="C2458" s="245"/>
      <c r="D2458" s="245"/>
      <c r="E2458" s="246"/>
      <c r="F2458" s="246"/>
      <c r="G2458" s="225" t="e">
        <f aca="false">VLOOKUP(B2458,'NIVEL ENERO'!A:F,4,0)</f>
        <v>#N/A</v>
      </c>
      <c r="H2458" s="247"/>
      <c r="I2458" s="247"/>
      <c r="J2458" s="246"/>
      <c r="K2458" s="246"/>
      <c r="L2458" s="226"/>
      <c r="M2458" s="226"/>
      <c r="N2458" s="246"/>
      <c r="P2458" s="228"/>
      <c r="Q2458" s="245"/>
      <c r="R2458" s="186" t="str">
        <f aca="false">+PROPER(C2458&amp;" "&amp;D2458)</f>
        <v> </v>
      </c>
      <c r="S2458" s="230" t="n">
        <f aca="false">+YEARFRAC(L2458,$S$1)</f>
        <v>126.366666666667</v>
      </c>
      <c r="T2458" s="230" t="n">
        <f aca="false">+YEARFRAC(M2458,$S$1)</f>
        <v>126.366666666667</v>
      </c>
      <c r="U2458" s="231" t="n">
        <f aca="false">+$I2458</f>
        <v>0</v>
      </c>
      <c r="V2458" s="232" t="str">
        <f aca="false">+PROPER(F2458)</f>
        <v/>
      </c>
    </row>
    <row r="2459" customFormat="false" ht="14.25" hidden="false" customHeight="false" outlineLevel="0" collapsed="false">
      <c r="B2459" s="244"/>
      <c r="C2459" s="245"/>
      <c r="D2459" s="245"/>
      <c r="E2459" s="246"/>
      <c r="F2459" s="246"/>
      <c r="G2459" s="225" t="e">
        <f aca="false">VLOOKUP(B2459,'NIVEL ENERO'!A:F,4,0)</f>
        <v>#N/A</v>
      </c>
      <c r="H2459" s="247"/>
      <c r="I2459" s="247"/>
      <c r="J2459" s="246"/>
      <c r="K2459" s="246"/>
      <c r="L2459" s="226"/>
      <c r="M2459" s="226"/>
      <c r="N2459" s="246"/>
      <c r="P2459" s="228"/>
      <c r="Q2459" s="245"/>
      <c r="R2459" s="186" t="str">
        <f aca="false">+PROPER(C2459&amp;" "&amp;D2459)</f>
        <v> </v>
      </c>
      <c r="S2459" s="230" t="n">
        <f aca="false">+YEARFRAC(L2459,$S$1)</f>
        <v>126.366666666667</v>
      </c>
      <c r="T2459" s="230" t="n">
        <f aca="false">+YEARFRAC(M2459,$S$1)</f>
        <v>126.366666666667</v>
      </c>
      <c r="U2459" s="231" t="n">
        <f aca="false">+$I2459</f>
        <v>0</v>
      </c>
      <c r="V2459" s="232" t="str">
        <f aca="false">+PROPER(F2459)</f>
        <v/>
      </c>
    </row>
    <row r="2460" customFormat="false" ht="14.25" hidden="false" customHeight="false" outlineLevel="0" collapsed="false">
      <c r="B2460" s="244"/>
      <c r="C2460" s="245"/>
      <c r="D2460" s="245"/>
      <c r="E2460" s="246"/>
      <c r="F2460" s="246"/>
      <c r="G2460" s="225" t="e">
        <f aca="false">VLOOKUP(B2460,'NIVEL ENERO'!A:F,4,0)</f>
        <v>#N/A</v>
      </c>
      <c r="H2460" s="247"/>
      <c r="I2460" s="247"/>
      <c r="J2460" s="246"/>
      <c r="K2460" s="246"/>
      <c r="L2460" s="226"/>
      <c r="M2460" s="226"/>
      <c r="N2460" s="246"/>
      <c r="P2460" s="228"/>
      <c r="Q2460" s="245"/>
      <c r="R2460" s="186" t="str">
        <f aca="false">+PROPER(C2460&amp;" "&amp;D2460)</f>
        <v> </v>
      </c>
      <c r="S2460" s="230" t="n">
        <f aca="false">+YEARFRAC(L2460,$S$1)</f>
        <v>126.366666666667</v>
      </c>
      <c r="T2460" s="230" t="n">
        <f aca="false">+YEARFRAC(M2460,$S$1)</f>
        <v>126.366666666667</v>
      </c>
      <c r="U2460" s="231" t="n">
        <f aca="false">+$I2460</f>
        <v>0</v>
      </c>
      <c r="V2460" s="232" t="str">
        <f aca="false">+PROPER(F2460)</f>
        <v/>
      </c>
    </row>
    <row r="2461" customFormat="false" ht="14.25" hidden="false" customHeight="false" outlineLevel="0" collapsed="false">
      <c r="B2461" s="244"/>
      <c r="C2461" s="245"/>
      <c r="D2461" s="245"/>
      <c r="E2461" s="246"/>
      <c r="F2461" s="246"/>
      <c r="G2461" s="225" t="e">
        <f aca="false">VLOOKUP(B2461,'NIVEL ENERO'!A:F,4,0)</f>
        <v>#N/A</v>
      </c>
      <c r="H2461" s="247"/>
      <c r="I2461" s="247"/>
      <c r="J2461" s="246"/>
      <c r="K2461" s="246"/>
      <c r="L2461" s="226"/>
      <c r="M2461" s="226"/>
      <c r="N2461" s="246"/>
      <c r="P2461" s="228"/>
      <c r="Q2461" s="245"/>
      <c r="R2461" s="186" t="str">
        <f aca="false">+PROPER(C2461&amp;" "&amp;D2461)</f>
        <v> </v>
      </c>
      <c r="S2461" s="230" t="n">
        <f aca="false">+YEARFRAC(L2461,$S$1)</f>
        <v>126.366666666667</v>
      </c>
      <c r="T2461" s="230" t="n">
        <f aca="false">+YEARFRAC(M2461,$S$1)</f>
        <v>126.366666666667</v>
      </c>
      <c r="U2461" s="231" t="n">
        <f aca="false">+$I2461</f>
        <v>0</v>
      </c>
      <c r="V2461" s="232" t="str">
        <f aca="false">+PROPER(F2461)</f>
        <v/>
      </c>
    </row>
    <row r="2462" customFormat="false" ht="14.25" hidden="false" customHeight="false" outlineLevel="0" collapsed="false">
      <c r="B2462" s="244"/>
      <c r="C2462" s="245"/>
      <c r="D2462" s="245"/>
      <c r="E2462" s="246"/>
      <c r="F2462" s="246"/>
      <c r="G2462" s="225" t="e">
        <f aca="false">VLOOKUP(B2462,'NIVEL ENERO'!A:F,4,0)</f>
        <v>#N/A</v>
      </c>
      <c r="H2462" s="247"/>
      <c r="I2462" s="247"/>
      <c r="J2462" s="246"/>
      <c r="K2462" s="246"/>
      <c r="L2462" s="226"/>
      <c r="M2462" s="226"/>
      <c r="N2462" s="246"/>
      <c r="P2462" s="228"/>
      <c r="Q2462" s="245"/>
      <c r="R2462" s="186" t="str">
        <f aca="false">+PROPER(C2462&amp;" "&amp;D2462)</f>
        <v> </v>
      </c>
      <c r="S2462" s="230" t="n">
        <f aca="false">+YEARFRAC(L2462,$S$1)</f>
        <v>126.366666666667</v>
      </c>
      <c r="T2462" s="230" t="n">
        <f aca="false">+YEARFRAC(M2462,$S$1)</f>
        <v>126.366666666667</v>
      </c>
      <c r="U2462" s="231" t="n">
        <f aca="false">+$I2462</f>
        <v>0</v>
      </c>
      <c r="V2462" s="232" t="str">
        <f aca="false">+PROPER(F2462)</f>
        <v/>
      </c>
    </row>
    <row r="2463" customFormat="false" ht="14.25" hidden="false" customHeight="false" outlineLevel="0" collapsed="false">
      <c r="B2463" s="244"/>
      <c r="C2463" s="245"/>
      <c r="D2463" s="245"/>
      <c r="E2463" s="246"/>
      <c r="F2463" s="246"/>
      <c r="G2463" s="225" t="e">
        <f aca="false">VLOOKUP(B2463,'NIVEL ENERO'!A:F,4,0)</f>
        <v>#N/A</v>
      </c>
      <c r="H2463" s="247"/>
      <c r="I2463" s="247"/>
      <c r="J2463" s="246"/>
      <c r="K2463" s="246"/>
      <c r="L2463" s="226"/>
      <c r="M2463" s="226"/>
      <c r="N2463" s="246"/>
      <c r="P2463" s="228"/>
      <c r="Q2463" s="245"/>
      <c r="R2463" s="186" t="str">
        <f aca="false">+PROPER(C2463&amp;" "&amp;D2463)</f>
        <v> </v>
      </c>
      <c r="S2463" s="230" t="n">
        <f aca="false">+YEARFRAC(L2463,$S$1)</f>
        <v>126.366666666667</v>
      </c>
      <c r="T2463" s="230" t="n">
        <f aca="false">+YEARFRAC(M2463,$S$1)</f>
        <v>126.366666666667</v>
      </c>
      <c r="U2463" s="231" t="n">
        <f aca="false">+$I2463</f>
        <v>0</v>
      </c>
      <c r="V2463" s="232" t="str">
        <f aca="false">+PROPER(F2463)</f>
        <v/>
      </c>
    </row>
    <row r="2464" customFormat="false" ht="14.25" hidden="false" customHeight="false" outlineLevel="0" collapsed="false">
      <c r="B2464" s="244"/>
      <c r="C2464" s="245"/>
      <c r="D2464" s="245"/>
      <c r="E2464" s="246"/>
      <c r="F2464" s="246"/>
      <c r="G2464" s="225" t="e">
        <f aca="false">VLOOKUP(B2464,'NIVEL ENERO'!A:F,4,0)</f>
        <v>#N/A</v>
      </c>
      <c r="H2464" s="247"/>
      <c r="I2464" s="247"/>
      <c r="J2464" s="246"/>
      <c r="K2464" s="246"/>
      <c r="L2464" s="226"/>
      <c r="M2464" s="226"/>
      <c r="N2464" s="246"/>
      <c r="P2464" s="228"/>
      <c r="Q2464" s="245"/>
      <c r="R2464" s="186" t="str">
        <f aca="false">+PROPER(C2464&amp;" "&amp;D2464)</f>
        <v> </v>
      </c>
      <c r="S2464" s="230" t="n">
        <f aca="false">+YEARFRAC(L2464,$S$1)</f>
        <v>126.366666666667</v>
      </c>
      <c r="T2464" s="230" t="n">
        <f aca="false">+YEARFRAC(M2464,$S$1)</f>
        <v>126.366666666667</v>
      </c>
      <c r="U2464" s="231" t="n">
        <f aca="false">+$I2464</f>
        <v>0</v>
      </c>
      <c r="V2464" s="232" t="str">
        <f aca="false">+PROPER(F2464)</f>
        <v/>
      </c>
    </row>
    <row r="2465" customFormat="false" ht="14.25" hidden="false" customHeight="false" outlineLevel="0" collapsed="false">
      <c r="B2465" s="244"/>
      <c r="C2465" s="245"/>
      <c r="D2465" s="245"/>
      <c r="E2465" s="246"/>
      <c r="F2465" s="246"/>
      <c r="G2465" s="225" t="e">
        <f aca="false">VLOOKUP(B2465,'NIVEL ENERO'!A:F,4,0)</f>
        <v>#N/A</v>
      </c>
      <c r="H2465" s="247"/>
      <c r="I2465" s="247"/>
      <c r="J2465" s="246"/>
      <c r="K2465" s="246"/>
      <c r="L2465" s="226"/>
      <c r="M2465" s="226"/>
      <c r="N2465" s="246"/>
      <c r="P2465" s="228"/>
      <c r="Q2465" s="245"/>
      <c r="R2465" s="186" t="str">
        <f aca="false">+PROPER(C2465&amp;" "&amp;D2465)</f>
        <v> </v>
      </c>
      <c r="S2465" s="230" t="n">
        <f aca="false">+YEARFRAC(L2465,$S$1)</f>
        <v>126.366666666667</v>
      </c>
      <c r="T2465" s="230" t="n">
        <f aca="false">+YEARFRAC(M2465,$S$1)</f>
        <v>126.366666666667</v>
      </c>
      <c r="U2465" s="231" t="n">
        <f aca="false">+$I2465</f>
        <v>0</v>
      </c>
      <c r="V2465" s="232" t="str">
        <f aca="false">+PROPER(F2465)</f>
        <v/>
      </c>
    </row>
    <row r="2466" customFormat="false" ht="14.25" hidden="false" customHeight="false" outlineLevel="0" collapsed="false">
      <c r="B2466" s="244"/>
      <c r="C2466" s="245"/>
      <c r="D2466" s="245"/>
      <c r="E2466" s="246"/>
      <c r="F2466" s="246"/>
      <c r="G2466" s="225" t="e">
        <f aca="false">VLOOKUP(B2466,'NIVEL ENERO'!A:F,4,0)</f>
        <v>#N/A</v>
      </c>
      <c r="H2466" s="247"/>
      <c r="I2466" s="247"/>
      <c r="J2466" s="246"/>
      <c r="K2466" s="246"/>
      <c r="L2466" s="226"/>
      <c r="M2466" s="226"/>
      <c r="N2466" s="246"/>
      <c r="P2466" s="228"/>
      <c r="Q2466" s="245"/>
      <c r="R2466" s="186" t="str">
        <f aca="false">+PROPER(C2466&amp;" "&amp;D2466)</f>
        <v> </v>
      </c>
      <c r="S2466" s="230" t="n">
        <f aca="false">+YEARFRAC(L2466,$S$1)</f>
        <v>126.366666666667</v>
      </c>
      <c r="T2466" s="230" t="n">
        <f aca="false">+YEARFRAC(M2466,$S$1)</f>
        <v>126.366666666667</v>
      </c>
      <c r="U2466" s="231" t="n">
        <f aca="false">+$I2466</f>
        <v>0</v>
      </c>
      <c r="V2466" s="232" t="str">
        <f aca="false">+PROPER(F2466)</f>
        <v/>
      </c>
    </row>
    <row r="2467" customFormat="false" ht="14.25" hidden="false" customHeight="false" outlineLevel="0" collapsed="false">
      <c r="B2467" s="244"/>
      <c r="C2467" s="245"/>
      <c r="D2467" s="245"/>
      <c r="E2467" s="246"/>
      <c r="F2467" s="246"/>
      <c r="G2467" s="225" t="e">
        <f aca="false">VLOOKUP(B2467,'NIVEL ENERO'!A:F,4,0)</f>
        <v>#N/A</v>
      </c>
      <c r="H2467" s="247"/>
      <c r="I2467" s="247"/>
      <c r="J2467" s="246"/>
      <c r="K2467" s="246"/>
      <c r="L2467" s="226"/>
      <c r="M2467" s="226"/>
      <c r="N2467" s="246"/>
      <c r="P2467" s="228"/>
      <c r="Q2467" s="245"/>
      <c r="R2467" s="186" t="str">
        <f aca="false">+PROPER(C2467&amp;" "&amp;D2467)</f>
        <v> </v>
      </c>
      <c r="S2467" s="230" t="n">
        <f aca="false">+YEARFRAC(L2467,$S$1)</f>
        <v>126.366666666667</v>
      </c>
      <c r="T2467" s="230" t="n">
        <f aca="false">+YEARFRAC(M2467,$S$1)</f>
        <v>126.366666666667</v>
      </c>
      <c r="U2467" s="231" t="n">
        <f aca="false">+$I2467</f>
        <v>0</v>
      </c>
      <c r="V2467" s="232" t="str">
        <f aca="false">+PROPER(F2467)</f>
        <v/>
      </c>
    </row>
    <row r="2468" customFormat="false" ht="14.25" hidden="false" customHeight="false" outlineLevel="0" collapsed="false">
      <c r="B2468" s="244"/>
      <c r="C2468" s="245"/>
      <c r="D2468" s="245"/>
      <c r="E2468" s="246"/>
      <c r="F2468" s="246"/>
      <c r="G2468" s="225" t="e">
        <f aca="false">VLOOKUP(B2468,'NIVEL ENERO'!A:F,4,0)</f>
        <v>#N/A</v>
      </c>
      <c r="H2468" s="247"/>
      <c r="I2468" s="247"/>
      <c r="J2468" s="246"/>
      <c r="K2468" s="246"/>
      <c r="L2468" s="226"/>
      <c r="M2468" s="226"/>
      <c r="N2468" s="246"/>
      <c r="P2468" s="228"/>
      <c r="Q2468" s="245"/>
      <c r="R2468" s="186" t="str">
        <f aca="false">+PROPER(C2468&amp;" "&amp;D2468)</f>
        <v> </v>
      </c>
      <c r="S2468" s="230" t="n">
        <f aca="false">+YEARFRAC(L2468,$S$1)</f>
        <v>126.366666666667</v>
      </c>
      <c r="T2468" s="230" t="n">
        <f aca="false">+YEARFRAC(M2468,$S$1)</f>
        <v>126.366666666667</v>
      </c>
      <c r="U2468" s="231" t="n">
        <f aca="false">+$I2468</f>
        <v>0</v>
      </c>
      <c r="V2468" s="232" t="str">
        <f aca="false">+PROPER(F2468)</f>
        <v/>
      </c>
    </row>
    <row r="2469" customFormat="false" ht="14.25" hidden="false" customHeight="false" outlineLevel="0" collapsed="false">
      <c r="B2469" s="244"/>
      <c r="C2469" s="245"/>
      <c r="D2469" s="245"/>
      <c r="E2469" s="246"/>
      <c r="F2469" s="246"/>
      <c r="G2469" s="225" t="e">
        <f aca="false">VLOOKUP(B2469,'NIVEL ENERO'!A:F,4,0)</f>
        <v>#N/A</v>
      </c>
      <c r="H2469" s="247"/>
      <c r="I2469" s="247"/>
      <c r="J2469" s="246"/>
      <c r="K2469" s="246"/>
      <c r="L2469" s="226"/>
      <c r="M2469" s="226"/>
      <c r="N2469" s="246"/>
      <c r="P2469" s="228"/>
      <c r="Q2469" s="245"/>
      <c r="R2469" s="186" t="str">
        <f aca="false">+PROPER(C2469&amp;" "&amp;D2469)</f>
        <v> </v>
      </c>
      <c r="S2469" s="230" t="n">
        <f aca="false">+YEARFRAC(L2469,$S$1)</f>
        <v>126.366666666667</v>
      </c>
      <c r="T2469" s="230" t="n">
        <f aca="false">+YEARFRAC(M2469,$S$1)</f>
        <v>126.366666666667</v>
      </c>
      <c r="U2469" s="231" t="n">
        <f aca="false">+$I2469</f>
        <v>0</v>
      </c>
      <c r="V2469" s="232" t="str">
        <f aca="false">+PROPER(F2469)</f>
        <v/>
      </c>
    </row>
    <row r="2470" customFormat="false" ht="14.25" hidden="false" customHeight="false" outlineLevel="0" collapsed="false">
      <c r="B2470" s="244"/>
      <c r="C2470" s="245"/>
      <c r="D2470" s="245"/>
      <c r="E2470" s="246"/>
      <c r="F2470" s="246"/>
      <c r="G2470" s="225" t="e">
        <f aca="false">VLOOKUP(B2470,'NIVEL ENERO'!A:F,4,0)</f>
        <v>#N/A</v>
      </c>
      <c r="H2470" s="247"/>
      <c r="I2470" s="247"/>
      <c r="J2470" s="246"/>
      <c r="K2470" s="246"/>
      <c r="L2470" s="226"/>
      <c r="M2470" s="226"/>
      <c r="N2470" s="246"/>
      <c r="P2470" s="228"/>
      <c r="Q2470" s="245"/>
      <c r="R2470" s="186" t="str">
        <f aca="false">+PROPER(C2470&amp;" "&amp;D2470)</f>
        <v> </v>
      </c>
      <c r="S2470" s="230" t="n">
        <f aca="false">+YEARFRAC(L2470,$S$1)</f>
        <v>126.366666666667</v>
      </c>
      <c r="T2470" s="230" t="n">
        <f aca="false">+YEARFRAC(M2470,$S$1)</f>
        <v>126.366666666667</v>
      </c>
      <c r="U2470" s="231" t="n">
        <f aca="false">+$I2470</f>
        <v>0</v>
      </c>
      <c r="V2470" s="232" t="str">
        <f aca="false">+PROPER(F2470)</f>
        <v/>
      </c>
    </row>
    <row r="2471" customFormat="false" ht="14.25" hidden="false" customHeight="false" outlineLevel="0" collapsed="false">
      <c r="B2471" s="244"/>
      <c r="C2471" s="245"/>
      <c r="D2471" s="245"/>
      <c r="E2471" s="246"/>
      <c r="F2471" s="246"/>
      <c r="G2471" s="225" t="e">
        <f aca="false">VLOOKUP(B2471,'NIVEL ENERO'!A:F,4,0)</f>
        <v>#N/A</v>
      </c>
      <c r="H2471" s="247"/>
      <c r="I2471" s="247"/>
      <c r="J2471" s="246"/>
      <c r="K2471" s="246"/>
      <c r="L2471" s="226"/>
      <c r="M2471" s="226"/>
      <c r="N2471" s="246"/>
      <c r="P2471" s="228"/>
      <c r="Q2471" s="245"/>
      <c r="R2471" s="186" t="str">
        <f aca="false">+PROPER(C2471&amp;" "&amp;D2471)</f>
        <v> </v>
      </c>
      <c r="S2471" s="230" t="n">
        <f aca="false">+YEARFRAC(L2471,$S$1)</f>
        <v>126.366666666667</v>
      </c>
      <c r="T2471" s="230" t="n">
        <f aca="false">+YEARFRAC(M2471,$S$1)</f>
        <v>126.366666666667</v>
      </c>
      <c r="U2471" s="231" t="n">
        <f aca="false">+$I2471</f>
        <v>0</v>
      </c>
      <c r="V2471" s="232" t="str">
        <f aca="false">+PROPER(F2471)</f>
        <v/>
      </c>
    </row>
    <row r="2472" customFormat="false" ht="14.25" hidden="false" customHeight="false" outlineLevel="0" collapsed="false">
      <c r="B2472" s="244"/>
      <c r="C2472" s="245"/>
      <c r="D2472" s="245"/>
      <c r="E2472" s="246"/>
      <c r="F2472" s="246"/>
      <c r="G2472" s="225" t="e">
        <f aca="false">VLOOKUP(B2472,'NIVEL ENERO'!A:F,4,0)</f>
        <v>#N/A</v>
      </c>
      <c r="H2472" s="247"/>
      <c r="I2472" s="247"/>
      <c r="J2472" s="246"/>
      <c r="K2472" s="246"/>
      <c r="L2472" s="226"/>
      <c r="M2472" s="226"/>
      <c r="N2472" s="246"/>
      <c r="P2472" s="228"/>
      <c r="Q2472" s="245"/>
      <c r="R2472" s="186" t="str">
        <f aca="false">+PROPER(C2472&amp;" "&amp;D2472)</f>
        <v> </v>
      </c>
      <c r="S2472" s="230" t="n">
        <f aca="false">+YEARFRAC(L2472,$S$1)</f>
        <v>126.366666666667</v>
      </c>
      <c r="T2472" s="230" t="n">
        <f aca="false">+YEARFRAC(M2472,$S$1)</f>
        <v>126.366666666667</v>
      </c>
      <c r="U2472" s="231" t="n">
        <f aca="false">+$I2472</f>
        <v>0</v>
      </c>
      <c r="V2472" s="232" t="str">
        <f aca="false">+PROPER(F2472)</f>
        <v/>
      </c>
    </row>
    <row r="2473" customFormat="false" ht="14.25" hidden="false" customHeight="false" outlineLevel="0" collapsed="false">
      <c r="B2473" s="244"/>
      <c r="C2473" s="245"/>
      <c r="D2473" s="245"/>
      <c r="E2473" s="246"/>
      <c r="F2473" s="246"/>
      <c r="G2473" s="225" t="e">
        <f aca="false">VLOOKUP(B2473,'NIVEL ENERO'!A:F,4,0)</f>
        <v>#N/A</v>
      </c>
      <c r="H2473" s="247"/>
      <c r="I2473" s="247"/>
      <c r="J2473" s="246"/>
      <c r="K2473" s="246"/>
      <c r="L2473" s="226"/>
      <c r="M2473" s="226"/>
      <c r="N2473" s="246"/>
      <c r="P2473" s="228"/>
      <c r="Q2473" s="245"/>
      <c r="R2473" s="186" t="str">
        <f aca="false">+PROPER(C2473&amp;" "&amp;D2473)</f>
        <v> </v>
      </c>
      <c r="S2473" s="230" t="n">
        <f aca="false">+YEARFRAC(L2473,$S$1)</f>
        <v>126.366666666667</v>
      </c>
      <c r="T2473" s="230" t="n">
        <f aca="false">+YEARFRAC(M2473,$S$1)</f>
        <v>126.366666666667</v>
      </c>
      <c r="U2473" s="231" t="n">
        <f aca="false">+$I2473</f>
        <v>0</v>
      </c>
      <c r="V2473" s="232" t="str">
        <f aca="false">+PROPER(F2473)</f>
        <v/>
      </c>
    </row>
    <row r="2474" customFormat="false" ht="14.25" hidden="false" customHeight="false" outlineLevel="0" collapsed="false">
      <c r="B2474" s="244"/>
      <c r="C2474" s="245"/>
      <c r="D2474" s="245"/>
      <c r="E2474" s="246"/>
      <c r="F2474" s="246"/>
      <c r="G2474" s="225" t="e">
        <f aca="false">VLOOKUP(B2474,'NIVEL ENERO'!A:F,4,0)</f>
        <v>#N/A</v>
      </c>
      <c r="H2474" s="247"/>
      <c r="I2474" s="247"/>
      <c r="J2474" s="246"/>
      <c r="K2474" s="246"/>
      <c r="L2474" s="226"/>
      <c r="M2474" s="226"/>
      <c r="N2474" s="246"/>
      <c r="P2474" s="228"/>
      <c r="Q2474" s="245"/>
      <c r="R2474" s="186" t="str">
        <f aca="false">+PROPER(C2474&amp;" "&amp;D2474)</f>
        <v> </v>
      </c>
      <c r="S2474" s="230" t="n">
        <f aca="false">+YEARFRAC(L2474,$S$1)</f>
        <v>126.366666666667</v>
      </c>
      <c r="T2474" s="230" t="n">
        <f aca="false">+YEARFRAC(M2474,$S$1)</f>
        <v>126.366666666667</v>
      </c>
      <c r="U2474" s="231" t="n">
        <f aca="false">+$I2474</f>
        <v>0</v>
      </c>
      <c r="V2474" s="232" t="str">
        <f aca="false">+PROPER(F2474)</f>
        <v/>
      </c>
    </row>
    <row r="2475" customFormat="false" ht="14.25" hidden="false" customHeight="false" outlineLevel="0" collapsed="false">
      <c r="B2475" s="244"/>
      <c r="C2475" s="245"/>
      <c r="D2475" s="245"/>
      <c r="E2475" s="246"/>
      <c r="F2475" s="246"/>
      <c r="G2475" s="225" t="e">
        <f aca="false">VLOOKUP(B2475,'NIVEL ENERO'!A:F,4,0)</f>
        <v>#N/A</v>
      </c>
      <c r="H2475" s="247"/>
      <c r="I2475" s="247"/>
      <c r="J2475" s="246"/>
      <c r="K2475" s="246"/>
      <c r="L2475" s="226"/>
      <c r="M2475" s="226"/>
      <c r="N2475" s="246"/>
      <c r="P2475" s="228"/>
      <c r="Q2475" s="245"/>
      <c r="R2475" s="186" t="str">
        <f aca="false">+PROPER(C2475&amp;" "&amp;D2475)</f>
        <v> </v>
      </c>
      <c r="S2475" s="230" t="n">
        <f aca="false">+YEARFRAC(L2475,$S$1)</f>
        <v>126.366666666667</v>
      </c>
      <c r="T2475" s="230" t="n">
        <f aca="false">+YEARFRAC(M2475,$S$1)</f>
        <v>126.366666666667</v>
      </c>
      <c r="U2475" s="231" t="n">
        <f aca="false">+$I2475</f>
        <v>0</v>
      </c>
      <c r="V2475" s="232" t="str">
        <f aca="false">+PROPER(F2475)</f>
        <v/>
      </c>
    </row>
    <row r="2476" customFormat="false" ht="14.25" hidden="false" customHeight="false" outlineLevel="0" collapsed="false">
      <c r="B2476" s="244"/>
      <c r="C2476" s="245"/>
      <c r="D2476" s="245"/>
      <c r="E2476" s="246"/>
      <c r="F2476" s="246"/>
      <c r="G2476" s="225" t="e">
        <f aca="false">VLOOKUP(B2476,'NIVEL ENERO'!A:F,4,0)</f>
        <v>#N/A</v>
      </c>
      <c r="H2476" s="247"/>
      <c r="I2476" s="247"/>
      <c r="J2476" s="246"/>
      <c r="K2476" s="246"/>
      <c r="L2476" s="226"/>
      <c r="M2476" s="226"/>
      <c r="N2476" s="246"/>
      <c r="P2476" s="228"/>
      <c r="Q2476" s="245"/>
      <c r="R2476" s="186" t="str">
        <f aca="false">+PROPER(C2476&amp;" "&amp;D2476)</f>
        <v> </v>
      </c>
      <c r="S2476" s="230" t="n">
        <f aca="false">+YEARFRAC(L2476,$S$1)</f>
        <v>126.366666666667</v>
      </c>
      <c r="T2476" s="230" t="n">
        <f aca="false">+YEARFRAC(M2476,$S$1)</f>
        <v>126.366666666667</v>
      </c>
      <c r="U2476" s="231" t="n">
        <f aca="false">+$I2476</f>
        <v>0</v>
      </c>
      <c r="V2476" s="232" t="str">
        <f aca="false">+PROPER(F2476)</f>
        <v/>
      </c>
    </row>
    <row r="2477" customFormat="false" ht="14.25" hidden="false" customHeight="false" outlineLevel="0" collapsed="false">
      <c r="B2477" s="244"/>
      <c r="C2477" s="245"/>
      <c r="D2477" s="245"/>
      <c r="E2477" s="246"/>
      <c r="F2477" s="246"/>
      <c r="G2477" s="225" t="e">
        <f aca="false">VLOOKUP(B2477,'NIVEL ENERO'!A:F,4,0)</f>
        <v>#N/A</v>
      </c>
      <c r="H2477" s="247"/>
      <c r="I2477" s="247"/>
      <c r="J2477" s="246"/>
      <c r="K2477" s="246"/>
      <c r="L2477" s="226"/>
      <c r="M2477" s="226"/>
      <c r="N2477" s="246"/>
      <c r="P2477" s="228"/>
      <c r="Q2477" s="245"/>
      <c r="R2477" s="186" t="str">
        <f aca="false">+PROPER(C2477&amp;" "&amp;D2477)</f>
        <v> </v>
      </c>
      <c r="S2477" s="230" t="n">
        <f aca="false">+YEARFRAC(L2477,$S$1)</f>
        <v>126.366666666667</v>
      </c>
      <c r="T2477" s="230" t="n">
        <f aca="false">+YEARFRAC(M2477,$S$1)</f>
        <v>126.366666666667</v>
      </c>
      <c r="U2477" s="231" t="n">
        <f aca="false">+$I2477</f>
        <v>0</v>
      </c>
      <c r="V2477" s="232" t="str">
        <f aca="false">+PROPER(F2477)</f>
        <v/>
      </c>
    </row>
    <row r="2478" customFormat="false" ht="14.25" hidden="false" customHeight="false" outlineLevel="0" collapsed="false">
      <c r="B2478" s="244"/>
      <c r="C2478" s="245"/>
      <c r="D2478" s="245"/>
      <c r="E2478" s="246"/>
      <c r="F2478" s="246"/>
      <c r="G2478" s="225" t="e">
        <f aca="false">VLOOKUP(B2478,'NIVEL ENERO'!A:F,4,0)</f>
        <v>#N/A</v>
      </c>
      <c r="H2478" s="247"/>
      <c r="I2478" s="247"/>
      <c r="J2478" s="246"/>
      <c r="K2478" s="246"/>
      <c r="L2478" s="226"/>
      <c r="M2478" s="226"/>
      <c r="N2478" s="246"/>
      <c r="P2478" s="228"/>
      <c r="Q2478" s="245"/>
      <c r="R2478" s="186" t="str">
        <f aca="false">+PROPER(C2478&amp;" "&amp;D2478)</f>
        <v> </v>
      </c>
      <c r="S2478" s="230" t="n">
        <f aca="false">+YEARFRAC(L2478,$S$1)</f>
        <v>126.366666666667</v>
      </c>
      <c r="T2478" s="230" t="n">
        <f aca="false">+YEARFRAC(M2478,$S$1)</f>
        <v>126.366666666667</v>
      </c>
      <c r="U2478" s="231" t="n">
        <f aca="false">+$I2478</f>
        <v>0</v>
      </c>
      <c r="V2478" s="232" t="str">
        <f aca="false">+PROPER(F2478)</f>
        <v/>
      </c>
    </row>
    <row r="2479" customFormat="false" ht="14.25" hidden="false" customHeight="false" outlineLevel="0" collapsed="false">
      <c r="B2479" s="244"/>
      <c r="C2479" s="245"/>
      <c r="D2479" s="245"/>
      <c r="E2479" s="246"/>
      <c r="F2479" s="246"/>
      <c r="G2479" s="225" t="e">
        <f aca="false">VLOOKUP(B2479,'NIVEL ENERO'!A:F,4,0)</f>
        <v>#N/A</v>
      </c>
      <c r="H2479" s="247"/>
      <c r="I2479" s="247"/>
      <c r="J2479" s="246"/>
      <c r="K2479" s="246"/>
      <c r="L2479" s="226"/>
      <c r="M2479" s="226"/>
      <c r="N2479" s="246"/>
      <c r="P2479" s="228"/>
      <c r="Q2479" s="245"/>
      <c r="R2479" s="186" t="str">
        <f aca="false">+PROPER(C2479&amp;" "&amp;D2479)</f>
        <v> </v>
      </c>
      <c r="S2479" s="230" t="n">
        <f aca="false">+YEARFRAC(L2479,$S$1)</f>
        <v>126.366666666667</v>
      </c>
      <c r="T2479" s="230" t="n">
        <f aca="false">+YEARFRAC(M2479,$S$1)</f>
        <v>126.366666666667</v>
      </c>
      <c r="U2479" s="231" t="n">
        <f aca="false">+$I2479</f>
        <v>0</v>
      </c>
      <c r="V2479" s="232" t="str">
        <f aca="false">+PROPER(F2479)</f>
        <v/>
      </c>
    </row>
    <row r="2480" customFormat="false" ht="14.25" hidden="false" customHeight="false" outlineLevel="0" collapsed="false">
      <c r="B2480" s="244"/>
      <c r="C2480" s="245"/>
      <c r="D2480" s="245"/>
      <c r="E2480" s="246"/>
      <c r="F2480" s="246"/>
      <c r="G2480" s="225" t="e">
        <f aca="false">VLOOKUP(B2480,'NIVEL ENERO'!A:F,4,0)</f>
        <v>#N/A</v>
      </c>
      <c r="H2480" s="247"/>
      <c r="I2480" s="247"/>
      <c r="J2480" s="246"/>
      <c r="K2480" s="246"/>
      <c r="L2480" s="226"/>
      <c r="M2480" s="226"/>
      <c r="N2480" s="246"/>
      <c r="P2480" s="228"/>
      <c r="Q2480" s="245"/>
      <c r="R2480" s="186" t="str">
        <f aca="false">+PROPER(C2480&amp;" "&amp;D2480)</f>
        <v> </v>
      </c>
      <c r="S2480" s="230" t="n">
        <f aca="false">+YEARFRAC(L2480,$S$1)</f>
        <v>126.366666666667</v>
      </c>
      <c r="T2480" s="230" t="n">
        <f aca="false">+YEARFRAC(M2480,$S$1)</f>
        <v>126.366666666667</v>
      </c>
      <c r="U2480" s="231" t="n">
        <f aca="false">+$I2480</f>
        <v>0</v>
      </c>
      <c r="V2480" s="232" t="str">
        <f aca="false">+PROPER(F2480)</f>
        <v/>
      </c>
    </row>
    <row r="2481" customFormat="false" ht="14.25" hidden="false" customHeight="false" outlineLevel="0" collapsed="false">
      <c r="B2481" s="244"/>
      <c r="C2481" s="245"/>
      <c r="D2481" s="245"/>
      <c r="E2481" s="246"/>
      <c r="F2481" s="246"/>
      <c r="G2481" s="225" t="e">
        <f aca="false">VLOOKUP(B2481,'NIVEL ENERO'!A:F,4,0)</f>
        <v>#N/A</v>
      </c>
      <c r="H2481" s="247"/>
      <c r="I2481" s="247"/>
      <c r="J2481" s="246"/>
      <c r="K2481" s="246"/>
      <c r="L2481" s="226"/>
      <c r="M2481" s="226"/>
      <c r="N2481" s="246"/>
      <c r="P2481" s="228"/>
      <c r="Q2481" s="245"/>
      <c r="R2481" s="186" t="str">
        <f aca="false">+PROPER(C2481&amp;" "&amp;D2481)</f>
        <v> </v>
      </c>
      <c r="S2481" s="230" t="n">
        <f aca="false">+YEARFRAC(L2481,$S$1)</f>
        <v>126.366666666667</v>
      </c>
      <c r="T2481" s="230" t="n">
        <f aca="false">+YEARFRAC(M2481,$S$1)</f>
        <v>126.366666666667</v>
      </c>
      <c r="U2481" s="231" t="n">
        <f aca="false">+$I2481</f>
        <v>0</v>
      </c>
      <c r="V2481" s="232" t="str">
        <f aca="false">+PROPER(F2481)</f>
        <v/>
      </c>
    </row>
    <row r="2482" customFormat="false" ht="14.25" hidden="false" customHeight="false" outlineLevel="0" collapsed="false">
      <c r="B2482" s="244"/>
      <c r="C2482" s="245"/>
      <c r="D2482" s="245"/>
      <c r="E2482" s="246"/>
      <c r="F2482" s="246"/>
      <c r="G2482" s="225" t="e">
        <f aca="false">VLOOKUP(B2482,'NIVEL ENERO'!A:F,4,0)</f>
        <v>#N/A</v>
      </c>
      <c r="H2482" s="247"/>
      <c r="I2482" s="247"/>
      <c r="J2482" s="246"/>
      <c r="K2482" s="246"/>
      <c r="L2482" s="226"/>
      <c r="M2482" s="226"/>
      <c r="N2482" s="246"/>
      <c r="P2482" s="228"/>
      <c r="Q2482" s="245"/>
      <c r="R2482" s="186" t="str">
        <f aca="false">+PROPER(C2482&amp;" "&amp;D2482)</f>
        <v> </v>
      </c>
      <c r="S2482" s="230" t="n">
        <f aca="false">+YEARFRAC(L2482,$S$1)</f>
        <v>126.366666666667</v>
      </c>
      <c r="T2482" s="230" t="n">
        <f aca="false">+YEARFRAC(M2482,$S$1)</f>
        <v>126.366666666667</v>
      </c>
      <c r="U2482" s="231" t="n">
        <f aca="false">+$I2482</f>
        <v>0</v>
      </c>
      <c r="V2482" s="232" t="str">
        <f aca="false">+PROPER(F2482)</f>
        <v/>
      </c>
    </row>
    <row r="2483" customFormat="false" ht="14.25" hidden="false" customHeight="false" outlineLevel="0" collapsed="false">
      <c r="B2483" s="244"/>
      <c r="C2483" s="245"/>
      <c r="D2483" s="245"/>
      <c r="E2483" s="246"/>
      <c r="F2483" s="246"/>
      <c r="G2483" s="225" t="e">
        <f aca="false">VLOOKUP(B2483,'NIVEL ENERO'!A:F,4,0)</f>
        <v>#N/A</v>
      </c>
      <c r="H2483" s="247"/>
      <c r="I2483" s="247"/>
      <c r="J2483" s="246"/>
      <c r="K2483" s="246"/>
      <c r="L2483" s="226"/>
      <c r="M2483" s="226"/>
      <c r="N2483" s="246"/>
      <c r="P2483" s="228"/>
      <c r="Q2483" s="245"/>
      <c r="R2483" s="186" t="str">
        <f aca="false">+PROPER(C2483&amp;" "&amp;D2483)</f>
        <v> </v>
      </c>
      <c r="S2483" s="230" t="n">
        <f aca="false">+YEARFRAC(L2483,$S$1)</f>
        <v>126.366666666667</v>
      </c>
      <c r="T2483" s="230" t="n">
        <f aca="false">+YEARFRAC(M2483,$S$1)</f>
        <v>126.366666666667</v>
      </c>
      <c r="U2483" s="231" t="n">
        <f aca="false">+$I2483</f>
        <v>0</v>
      </c>
      <c r="V2483" s="232" t="str">
        <f aca="false">+PROPER(F2483)</f>
        <v/>
      </c>
    </row>
    <row r="2484" customFormat="false" ht="14.25" hidden="false" customHeight="false" outlineLevel="0" collapsed="false">
      <c r="B2484" s="244"/>
      <c r="C2484" s="245"/>
      <c r="D2484" s="245"/>
      <c r="E2484" s="246"/>
      <c r="F2484" s="246"/>
      <c r="G2484" s="225" t="e">
        <f aca="false">VLOOKUP(B2484,'NIVEL ENERO'!A:F,4,0)</f>
        <v>#N/A</v>
      </c>
      <c r="H2484" s="247"/>
      <c r="I2484" s="247"/>
      <c r="J2484" s="246"/>
      <c r="K2484" s="246"/>
      <c r="L2484" s="226"/>
      <c r="M2484" s="226"/>
      <c r="N2484" s="246"/>
      <c r="P2484" s="228"/>
      <c r="Q2484" s="245"/>
      <c r="R2484" s="186" t="str">
        <f aca="false">+PROPER(C2484&amp;" "&amp;D2484)</f>
        <v> </v>
      </c>
      <c r="S2484" s="230" t="n">
        <f aca="false">+YEARFRAC(L2484,$S$1)</f>
        <v>126.366666666667</v>
      </c>
      <c r="T2484" s="230" t="n">
        <f aca="false">+YEARFRAC(M2484,$S$1)</f>
        <v>126.366666666667</v>
      </c>
      <c r="U2484" s="231" t="n">
        <f aca="false">+$I2484</f>
        <v>0</v>
      </c>
      <c r="V2484" s="232" t="str">
        <f aca="false">+PROPER(F2484)</f>
        <v/>
      </c>
    </row>
    <row r="2485" customFormat="false" ht="14.25" hidden="false" customHeight="false" outlineLevel="0" collapsed="false">
      <c r="B2485" s="244"/>
      <c r="C2485" s="245"/>
      <c r="D2485" s="245"/>
      <c r="E2485" s="246"/>
      <c r="F2485" s="246"/>
      <c r="G2485" s="225" t="e">
        <f aca="false">VLOOKUP(B2485,'NIVEL ENERO'!A:F,4,0)</f>
        <v>#N/A</v>
      </c>
      <c r="H2485" s="247"/>
      <c r="I2485" s="247"/>
      <c r="J2485" s="246"/>
      <c r="K2485" s="246"/>
      <c r="L2485" s="226"/>
      <c r="M2485" s="226"/>
      <c r="N2485" s="246"/>
      <c r="P2485" s="228"/>
      <c r="Q2485" s="245"/>
      <c r="R2485" s="186" t="str">
        <f aca="false">+PROPER(C2485&amp;" "&amp;D2485)</f>
        <v> </v>
      </c>
      <c r="S2485" s="230" t="n">
        <f aca="false">+YEARFRAC(L2485,$S$1)</f>
        <v>126.366666666667</v>
      </c>
      <c r="T2485" s="230" t="n">
        <f aca="false">+YEARFRAC(M2485,$S$1)</f>
        <v>126.366666666667</v>
      </c>
      <c r="U2485" s="231" t="n">
        <f aca="false">+$I2485</f>
        <v>0</v>
      </c>
      <c r="V2485" s="232" t="str">
        <f aca="false">+PROPER(F2485)</f>
        <v/>
      </c>
    </row>
    <row r="2486" customFormat="false" ht="14.25" hidden="false" customHeight="false" outlineLevel="0" collapsed="false">
      <c r="B2486" s="244"/>
      <c r="C2486" s="245"/>
      <c r="D2486" s="245"/>
      <c r="E2486" s="246"/>
      <c r="F2486" s="246"/>
      <c r="G2486" s="225" t="e">
        <f aca="false">VLOOKUP(B2486,'NIVEL ENERO'!A:F,4,0)</f>
        <v>#N/A</v>
      </c>
      <c r="H2486" s="247"/>
      <c r="I2486" s="247"/>
      <c r="J2486" s="246"/>
      <c r="K2486" s="246"/>
      <c r="L2486" s="226"/>
      <c r="M2486" s="226"/>
      <c r="N2486" s="246"/>
      <c r="P2486" s="228"/>
      <c r="Q2486" s="245"/>
      <c r="R2486" s="186" t="str">
        <f aca="false">+PROPER(C2486&amp;" "&amp;D2486)</f>
        <v> </v>
      </c>
      <c r="S2486" s="230" t="n">
        <f aca="false">+YEARFRAC(L2486,$S$1)</f>
        <v>126.366666666667</v>
      </c>
      <c r="T2486" s="230" t="n">
        <f aca="false">+YEARFRAC(M2486,$S$1)</f>
        <v>126.366666666667</v>
      </c>
      <c r="U2486" s="231" t="n">
        <f aca="false">+$I2486</f>
        <v>0</v>
      </c>
      <c r="V2486" s="232" t="str">
        <f aca="false">+PROPER(F2486)</f>
        <v/>
      </c>
    </row>
    <row r="2487" customFormat="false" ht="14.25" hidden="false" customHeight="false" outlineLevel="0" collapsed="false">
      <c r="B2487" s="244"/>
      <c r="C2487" s="245"/>
      <c r="D2487" s="245"/>
      <c r="E2487" s="246"/>
      <c r="F2487" s="246"/>
      <c r="G2487" s="225" t="e">
        <f aca="false">VLOOKUP(B2487,'NIVEL ENERO'!A:F,4,0)</f>
        <v>#N/A</v>
      </c>
      <c r="H2487" s="247"/>
      <c r="I2487" s="247"/>
      <c r="J2487" s="246"/>
      <c r="K2487" s="246"/>
      <c r="L2487" s="226"/>
      <c r="M2487" s="226"/>
      <c r="N2487" s="246"/>
      <c r="P2487" s="228"/>
      <c r="Q2487" s="245"/>
      <c r="R2487" s="186" t="str">
        <f aca="false">+PROPER(C2487&amp;" "&amp;D2487)</f>
        <v> </v>
      </c>
      <c r="S2487" s="230" t="n">
        <f aca="false">+YEARFRAC(L2487,$S$1)</f>
        <v>126.366666666667</v>
      </c>
      <c r="T2487" s="230" t="n">
        <f aca="false">+YEARFRAC(M2487,$S$1)</f>
        <v>126.366666666667</v>
      </c>
      <c r="U2487" s="231" t="n">
        <f aca="false">+$I2487</f>
        <v>0</v>
      </c>
      <c r="V2487" s="232" t="str">
        <f aca="false">+PROPER(F2487)</f>
        <v/>
      </c>
    </row>
    <row r="2488" customFormat="false" ht="14.25" hidden="false" customHeight="false" outlineLevel="0" collapsed="false">
      <c r="B2488" s="244"/>
      <c r="C2488" s="245"/>
      <c r="D2488" s="245"/>
      <c r="E2488" s="246"/>
      <c r="F2488" s="246"/>
      <c r="G2488" s="225" t="e">
        <f aca="false">VLOOKUP(B2488,'NIVEL ENERO'!A:F,4,0)</f>
        <v>#N/A</v>
      </c>
      <c r="H2488" s="247"/>
      <c r="I2488" s="247"/>
      <c r="J2488" s="246"/>
      <c r="K2488" s="246"/>
      <c r="L2488" s="226"/>
      <c r="M2488" s="226"/>
      <c r="N2488" s="246"/>
      <c r="P2488" s="228"/>
      <c r="Q2488" s="245"/>
      <c r="R2488" s="186" t="str">
        <f aca="false">+PROPER(C2488&amp;" "&amp;D2488)</f>
        <v> </v>
      </c>
      <c r="S2488" s="230" t="n">
        <f aca="false">+YEARFRAC(L2488,$S$1)</f>
        <v>126.366666666667</v>
      </c>
      <c r="T2488" s="230" t="n">
        <f aca="false">+YEARFRAC(M2488,$S$1)</f>
        <v>126.366666666667</v>
      </c>
      <c r="U2488" s="231" t="n">
        <f aca="false">+$I2488</f>
        <v>0</v>
      </c>
      <c r="V2488" s="232" t="str">
        <f aca="false">+PROPER(F2488)</f>
        <v/>
      </c>
    </row>
    <row r="2489" customFormat="false" ht="14.25" hidden="false" customHeight="false" outlineLevel="0" collapsed="false">
      <c r="B2489" s="244"/>
      <c r="C2489" s="245"/>
      <c r="D2489" s="245"/>
      <c r="E2489" s="246"/>
      <c r="F2489" s="246"/>
      <c r="G2489" s="225" t="e">
        <f aca="false">VLOOKUP(B2489,'NIVEL ENERO'!A:F,4,0)</f>
        <v>#N/A</v>
      </c>
      <c r="H2489" s="247"/>
      <c r="I2489" s="247"/>
      <c r="J2489" s="246"/>
      <c r="K2489" s="246"/>
      <c r="L2489" s="226"/>
      <c r="M2489" s="226"/>
      <c r="N2489" s="246"/>
      <c r="P2489" s="228"/>
      <c r="Q2489" s="245"/>
      <c r="R2489" s="186" t="str">
        <f aca="false">+PROPER(C2489&amp;" "&amp;D2489)</f>
        <v> </v>
      </c>
      <c r="S2489" s="230" t="n">
        <f aca="false">+YEARFRAC(L2489,$S$1)</f>
        <v>126.366666666667</v>
      </c>
      <c r="T2489" s="230" t="n">
        <f aca="false">+YEARFRAC(M2489,$S$1)</f>
        <v>126.366666666667</v>
      </c>
      <c r="U2489" s="231" t="n">
        <f aca="false">+$I2489</f>
        <v>0</v>
      </c>
      <c r="V2489" s="232" t="str">
        <f aca="false">+PROPER(F2489)</f>
        <v/>
      </c>
    </row>
    <row r="2490" customFormat="false" ht="14.25" hidden="false" customHeight="false" outlineLevel="0" collapsed="false">
      <c r="B2490" s="244"/>
      <c r="C2490" s="245"/>
      <c r="D2490" s="245"/>
      <c r="E2490" s="246"/>
      <c r="F2490" s="246"/>
      <c r="G2490" s="225" t="e">
        <f aca="false">VLOOKUP(B2490,'NIVEL ENERO'!A:F,4,0)</f>
        <v>#N/A</v>
      </c>
      <c r="H2490" s="247"/>
      <c r="I2490" s="247"/>
      <c r="J2490" s="246"/>
      <c r="K2490" s="246"/>
      <c r="L2490" s="226"/>
      <c r="M2490" s="226"/>
      <c r="N2490" s="246"/>
      <c r="P2490" s="228"/>
      <c r="Q2490" s="245"/>
      <c r="R2490" s="186" t="str">
        <f aca="false">+PROPER(C2490&amp;" "&amp;D2490)</f>
        <v> </v>
      </c>
      <c r="S2490" s="230" t="n">
        <f aca="false">+YEARFRAC(L2490,$S$1)</f>
        <v>126.366666666667</v>
      </c>
      <c r="T2490" s="230" t="n">
        <f aca="false">+YEARFRAC(M2490,$S$1)</f>
        <v>126.366666666667</v>
      </c>
      <c r="U2490" s="231" t="n">
        <f aca="false">+$I2490</f>
        <v>0</v>
      </c>
      <c r="V2490" s="232" t="str">
        <f aca="false">+PROPER(F2490)</f>
        <v/>
      </c>
    </row>
    <row r="2491" customFormat="false" ht="14.25" hidden="false" customHeight="false" outlineLevel="0" collapsed="false">
      <c r="B2491" s="244"/>
      <c r="C2491" s="245"/>
      <c r="D2491" s="245"/>
      <c r="E2491" s="246"/>
      <c r="F2491" s="246"/>
      <c r="G2491" s="225" t="e">
        <f aca="false">VLOOKUP(B2491,'NIVEL ENERO'!A:F,4,0)</f>
        <v>#N/A</v>
      </c>
      <c r="H2491" s="247"/>
      <c r="I2491" s="247"/>
      <c r="J2491" s="246"/>
      <c r="K2491" s="246"/>
      <c r="L2491" s="226"/>
      <c r="M2491" s="226"/>
      <c r="N2491" s="246"/>
      <c r="P2491" s="228"/>
      <c r="Q2491" s="245"/>
      <c r="R2491" s="186" t="str">
        <f aca="false">+PROPER(C2491&amp;" "&amp;D2491)</f>
        <v> </v>
      </c>
      <c r="S2491" s="230" t="n">
        <f aca="false">+YEARFRAC(L2491,$S$1)</f>
        <v>126.366666666667</v>
      </c>
      <c r="T2491" s="230" t="n">
        <f aca="false">+YEARFRAC(M2491,$S$1)</f>
        <v>126.366666666667</v>
      </c>
      <c r="U2491" s="231" t="n">
        <f aca="false">+$I2491</f>
        <v>0</v>
      </c>
      <c r="V2491" s="232" t="str">
        <f aca="false">+PROPER(F2491)</f>
        <v/>
      </c>
    </row>
    <row r="2492" customFormat="false" ht="14.25" hidden="false" customHeight="false" outlineLevel="0" collapsed="false">
      <c r="B2492" s="244"/>
      <c r="C2492" s="245"/>
      <c r="D2492" s="245"/>
      <c r="E2492" s="246"/>
      <c r="F2492" s="246"/>
      <c r="G2492" s="225" t="e">
        <f aca="false">VLOOKUP(B2492,'NIVEL ENERO'!A:F,4,0)</f>
        <v>#N/A</v>
      </c>
      <c r="H2492" s="247"/>
      <c r="I2492" s="247"/>
      <c r="J2492" s="246"/>
      <c r="K2492" s="246"/>
      <c r="L2492" s="226"/>
      <c r="M2492" s="226"/>
      <c r="N2492" s="246"/>
      <c r="P2492" s="228"/>
      <c r="Q2492" s="245"/>
      <c r="R2492" s="186" t="str">
        <f aca="false">+PROPER(C2492&amp;" "&amp;D2492)</f>
        <v> </v>
      </c>
      <c r="S2492" s="230" t="n">
        <f aca="false">+YEARFRAC(L2492,$S$1)</f>
        <v>126.366666666667</v>
      </c>
      <c r="T2492" s="230" t="n">
        <f aca="false">+YEARFRAC(M2492,$S$1)</f>
        <v>126.366666666667</v>
      </c>
      <c r="U2492" s="231" t="n">
        <f aca="false">+$I2492</f>
        <v>0</v>
      </c>
      <c r="V2492" s="232" t="str">
        <f aca="false">+PROPER(F2492)</f>
        <v/>
      </c>
    </row>
    <row r="2493" customFormat="false" ht="14.25" hidden="false" customHeight="false" outlineLevel="0" collapsed="false">
      <c r="B2493" s="244"/>
      <c r="C2493" s="245"/>
      <c r="D2493" s="245"/>
      <c r="E2493" s="246"/>
      <c r="F2493" s="246"/>
      <c r="G2493" s="225" t="e">
        <f aca="false">VLOOKUP(B2493,'NIVEL ENERO'!A:F,4,0)</f>
        <v>#N/A</v>
      </c>
      <c r="H2493" s="247"/>
      <c r="I2493" s="247"/>
      <c r="J2493" s="246"/>
      <c r="K2493" s="246"/>
      <c r="L2493" s="226"/>
      <c r="M2493" s="226"/>
      <c r="N2493" s="246"/>
      <c r="P2493" s="228"/>
      <c r="Q2493" s="245"/>
      <c r="R2493" s="186" t="str">
        <f aca="false">+PROPER(C2493&amp;" "&amp;D2493)</f>
        <v> </v>
      </c>
      <c r="S2493" s="230" t="n">
        <f aca="false">+YEARFRAC(L2493,$S$1)</f>
        <v>126.366666666667</v>
      </c>
      <c r="T2493" s="230" t="n">
        <f aca="false">+YEARFRAC(M2493,$S$1)</f>
        <v>126.366666666667</v>
      </c>
      <c r="U2493" s="231" t="n">
        <f aca="false">+$I2493</f>
        <v>0</v>
      </c>
      <c r="V2493" s="232" t="str">
        <f aca="false">+PROPER(F2493)</f>
        <v/>
      </c>
    </row>
    <row r="2494" customFormat="false" ht="14.25" hidden="false" customHeight="false" outlineLevel="0" collapsed="false">
      <c r="B2494" s="244"/>
      <c r="C2494" s="245"/>
      <c r="D2494" s="245"/>
      <c r="E2494" s="246"/>
      <c r="F2494" s="246"/>
      <c r="G2494" s="225" t="e">
        <f aca="false">VLOOKUP(B2494,'NIVEL ENERO'!A:F,4,0)</f>
        <v>#N/A</v>
      </c>
      <c r="H2494" s="247"/>
      <c r="I2494" s="247"/>
      <c r="J2494" s="246"/>
      <c r="K2494" s="246"/>
      <c r="L2494" s="226"/>
      <c r="M2494" s="226"/>
      <c r="N2494" s="246"/>
      <c r="P2494" s="228"/>
      <c r="Q2494" s="245"/>
      <c r="R2494" s="186" t="str">
        <f aca="false">+PROPER(C2494&amp;" "&amp;D2494)</f>
        <v> </v>
      </c>
      <c r="S2494" s="230" t="n">
        <f aca="false">+YEARFRAC(L2494,$S$1)</f>
        <v>126.366666666667</v>
      </c>
      <c r="T2494" s="230" t="n">
        <f aca="false">+YEARFRAC(M2494,$S$1)</f>
        <v>126.366666666667</v>
      </c>
      <c r="U2494" s="231" t="n">
        <f aca="false">+$I2494</f>
        <v>0</v>
      </c>
      <c r="V2494" s="232" t="str">
        <f aca="false">+PROPER(F2494)</f>
        <v/>
      </c>
    </row>
    <row r="2495" customFormat="false" ht="14.25" hidden="false" customHeight="false" outlineLevel="0" collapsed="false">
      <c r="B2495" s="244"/>
      <c r="C2495" s="245"/>
      <c r="D2495" s="245"/>
      <c r="E2495" s="246"/>
      <c r="F2495" s="246"/>
      <c r="G2495" s="225" t="e">
        <f aca="false">VLOOKUP(B2495,'NIVEL ENERO'!A:F,4,0)</f>
        <v>#N/A</v>
      </c>
      <c r="H2495" s="247"/>
      <c r="I2495" s="247"/>
      <c r="J2495" s="246"/>
      <c r="K2495" s="246"/>
      <c r="L2495" s="226"/>
      <c r="M2495" s="226"/>
      <c r="N2495" s="246"/>
      <c r="P2495" s="228"/>
      <c r="Q2495" s="245"/>
      <c r="R2495" s="186" t="str">
        <f aca="false">+PROPER(C2495&amp;" "&amp;D2495)</f>
        <v> </v>
      </c>
      <c r="S2495" s="230" t="n">
        <f aca="false">+YEARFRAC(L2495,$S$1)</f>
        <v>126.366666666667</v>
      </c>
      <c r="T2495" s="230" t="n">
        <f aca="false">+YEARFRAC(M2495,$S$1)</f>
        <v>126.366666666667</v>
      </c>
      <c r="U2495" s="231" t="n">
        <f aca="false">+$I2495</f>
        <v>0</v>
      </c>
      <c r="V2495" s="232" t="str">
        <f aca="false">+PROPER(F2495)</f>
        <v/>
      </c>
    </row>
    <row r="2496" customFormat="false" ht="14.25" hidden="false" customHeight="false" outlineLevel="0" collapsed="false">
      <c r="B2496" s="244"/>
      <c r="C2496" s="245"/>
      <c r="D2496" s="245"/>
      <c r="E2496" s="246"/>
      <c r="F2496" s="246"/>
      <c r="G2496" s="225" t="e">
        <f aca="false">VLOOKUP(B2496,'NIVEL ENERO'!A:F,4,0)</f>
        <v>#N/A</v>
      </c>
      <c r="H2496" s="247"/>
      <c r="I2496" s="247"/>
      <c r="J2496" s="246"/>
      <c r="K2496" s="246"/>
      <c r="L2496" s="226"/>
      <c r="M2496" s="226"/>
      <c r="N2496" s="246"/>
      <c r="P2496" s="228"/>
      <c r="Q2496" s="245"/>
      <c r="R2496" s="186" t="str">
        <f aca="false">+PROPER(C2496&amp;" "&amp;D2496)</f>
        <v> </v>
      </c>
      <c r="S2496" s="230" t="n">
        <f aca="false">+YEARFRAC(L2496,$S$1)</f>
        <v>126.366666666667</v>
      </c>
      <c r="T2496" s="230" t="n">
        <f aca="false">+YEARFRAC(M2496,$S$1)</f>
        <v>126.366666666667</v>
      </c>
      <c r="U2496" s="231" t="n">
        <f aca="false">+$I2496</f>
        <v>0</v>
      </c>
      <c r="V2496" s="232" t="str">
        <f aca="false">+PROPER(F2496)</f>
        <v/>
      </c>
    </row>
    <row r="2497" customFormat="false" ht="14.25" hidden="false" customHeight="false" outlineLevel="0" collapsed="false">
      <c r="B2497" s="244"/>
      <c r="C2497" s="245"/>
      <c r="D2497" s="245"/>
      <c r="E2497" s="246"/>
      <c r="F2497" s="246"/>
      <c r="G2497" s="225" t="e">
        <f aca="false">VLOOKUP(B2497,'NIVEL ENERO'!A:F,4,0)</f>
        <v>#N/A</v>
      </c>
      <c r="H2497" s="247"/>
      <c r="I2497" s="247"/>
      <c r="J2497" s="246"/>
      <c r="K2497" s="246"/>
      <c r="L2497" s="226"/>
      <c r="M2497" s="226"/>
      <c r="N2497" s="246"/>
      <c r="P2497" s="228"/>
      <c r="Q2497" s="245"/>
      <c r="R2497" s="186" t="str">
        <f aca="false">+PROPER(C2497&amp;" "&amp;D2497)</f>
        <v> </v>
      </c>
      <c r="S2497" s="230" t="n">
        <f aca="false">+YEARFRAC(L2497,$S$1)</f>
        <v>126.366666666667</v>
      </c>
      <c r="T2497" s="230" t="n">
        <f aca="false">+YEARFRAC(M2497,$S$1)</f>
        <v>126.366666666667</v>
      </c>
      <c r="U2497" s="231" t="n">
        <f aca="false">+$I2497</f>
        <v>0</v>
      </c>
      <c r="V2497" s="232" t="str">
        <f aca="false">+PROPER(F2497)</f>
        <v/>
      </c>
    </row>
    <row r="2498" customFormat="false" ht="14.25" hidden="false" customHeight="false" outlineLevel="0" collapsed="false">
      <c r="B2498" s="244"/>
      <c r="C2498" s="245"/>
      <c r="D2498" s="245"/>
      <c r="E2498" s="246"/>
      <c r="F2498" s="246"/>
      <c r="G2498" s="225" t="e">
        <f aca="false">VLOOKUP(B2498,'NIVEL ENERO'!A:F,4,0)</f>
        <v>#N/A</v>
      </c>
      <c r="H2498" s="247"/>
      <c r="I2498" s="247"/>
      <c r="J2498" s="246"/>
      <c r="K2498" s="246"/>
      <c r="L2498" s="226"/>
      <c r="M2498" s="226"/>
      <c r="N2498" s="246"/>
      <c r="P2498" s="228"/>
      <c r="Q2498" s="245"/>
      <c r="R2498" s="186" t="str">
        <f aca="false">+PROPER(C2498&amp;" "&amp;D2498)</f>
        <v> </v>
      </c>
      <c r="S2498" s="230" t="n">
        <f aca="false">+YEARFRAC(L2498,$S$1)</f>
        <v>126.366666666667</v>
      </c>
      <c r="T2498" s="230" t="n">
        <f aca="false">+YEARFRAC(M2498,$S$1)</f>
        <v>126.366666666667</v>
      </c>
      <c r="U2498" s="231" t="n">
        <f aca="false">+$I2498</f>
        <v>0</v>
      </c>
      <c r="V2498" s="232" t="str">
        <f aca="false">+PROPER(F2498)</f>
        <v/>
      </c>
    </row>
    <row r="2499" customFormat="false" ht="14.25" hidden="false" customHeight="false" outlineLevel="0" collapsed="false">
      <c r="B2499" s="244"/>
      <c r="C2499" s="245"/>
      <c r="D2499" s="245"/>
      <c r="E2499" s="246"/>
      <c r="F2499" s="246"/>
      <c r="G2499" s="225" t="e">
        <f aca="false">VLOOKUP(B2499,'NIVEL ENERO'!A:F,4,0)</f>
        <v>#N/A</v>
      </c>
      <c r="H2499" s="247"/>
      <c r="I2499" s="247"/>
      <c r="J2499" s="246"/>
      <c r="K2499" s="246"/>
      <c r="L2499" s="226"/>
      <c r="M2499" s="226"/>
      <c r="N2499" s="246"/>
      <c r="P2499" s="228"/>
      <c r="Q2499" s="245"/>
      <c r="R2499" s="186" t="str">
        <f aca="false">+PROPER(C2499&amp;" "&amp;D2499)</f>
        <v> </v>
      </c>
      <c r="S2499" s="230" t="n">
        <f aca="false">+YEARFRAC(L2499,$S$1)</f>
        <v>126.366666666667</v>
      </c>
      <c r="T2499" s="230" t="n">
        <f aca="false">+YEARFRAC(M2499,$S$1)</f>
        <v>126.366666666667</v>
      </c>
      <c r="U2499" s="231" t="n">
        <f aca="false">+$I2499</f>
        <v>0</v>
      </c>
      <c r="V2499" s="232" t="str">
        <f aca="false">+PROPER(F2499)</f>
        <v/>
      </c>
    </row>
    <row r="2500" customFormat="false" ht="14.25" hidden="false" customHeight="false" outlineLevel="0" collapsed="false">
      <c r="B2500" s="244"/>
      <c r="C2500" s="245"/>
      <c r="D2500" s="245"/>
      <c r="E2500" s="246"/>
      <c r="F2500" s="246"/>
      <c r="G2500" s="225" t="e">
        <f aca="false">VLOOKUP(B2500,'NIVEL ENERO'!A:F,4,0)</f>
        <v>#N/A</v>
      </c>
      <c r="H2500" s="247"/>
      <c r="I2500" s="247"/>
      <c r="J2500" s="246"/>
      <c r="K2500" s="246"/>
      <c r="L2500" s="226"/>
      <c r="M2500" s="226"/>
      <c r="N2500" s="246"/>
      <c r="P2500" s="228"/>
      <c r="Q2500" s="245"/>
      <c r="R2500" s="186" t="str">
        <f aca="false">+PROPER(C2500&amp;" "&amp;D2500)</f>
        <v> </v>
      </c>
      <c r="S2500" s="230" t="n">
        <f aca="false">+YEARFRAC(L2500,$S$1)</f>
        <v>126.366666666667</v>
      </c>
      <c r="T2500" s="230" t="n">
        <f aca="false">+YEARFRAC(M2500,$S$1)</f>
        <v>126.366666666667</v>
      </c>
      <c r="U2500" s="231" t="n">
        <f aca="false">+$I2500</f>
        <v>0</v>
      </c>
      <c r="V2500" s="232" t="str">
        <f aca="false">+PROPER(F2500)</f>
        <v/>
      </c>
    </row>
    <row r="2501" customFormat="false" ht="14.25" hidden="false" customHeight="false" outlineLevel="0" collapsed="false">
      <c r="B2501" s="244"/>
      <c r="C2501" s="245"/>
      <c r="D2501" s="245"/>
      <c r="E2501" s="246"/>
      <c r="F2501" s="246"/>
      <c r="G2501" s="225" t="e">
        <f aca="false">VLOOKUP(B2501,'NIVEL ENERO'!A:F,4,0)</f>
        <v>#N/A</v>
      </c>
      <c r="H2501" s="247"/>
      <c r="I2501" s="247"/>
      <c r="J2501" s="246"/>
      <c r="K2501" s="246"/>
      <c r="L2501" s="226"/>
      <c r="M2501" s="226"/>
      <c r="N2501" s="246"/>
      <c r="P2501" s="228"/>
      <c r="Q2501" s="245"/>
      <c r="R2501" s="186" t="str">
        <f aca="false">+PROPER(C2501&amp;" "&amp;D2501)</f>
        <v> </v>
      </c>
      <c r="S2501" s="230" t="n">
        <f aca="false">+YEARFRAC(L2501,$S$1)</f>
        <v>126.366666666667</v>
      </c>
      <c r="T2501" s="230" t="n">
        <f aca="false">+YEARFRAC(M2501,$S$1)</f>
        <v>126.366666666667</v>
      </c>
      <c r="U2501" s="231" t="n">
        <f aca="false">+$I2501</f>
        <v>0</v>
      </c>
      <c r="V2501" s="232" t="str">
        <f aca="false">+PROPER(F2501)</f>
        <v/>
      </c>
    </row>
    <row r="2502" customFormat="false" ht="14.25" hidden="false" customHeight="false" outlineLevel="0" collapsed="false">
      <c r="B2502" s="244"/>
      <c r="C2502" s="245"/>
      <c r="D2502" s="245"/>
      <c r="E2502" s="246"/>
      <c r="F2502" s="246"/>
      <c r="G2502" s="225" t="e">
        <f aca="false">VLOOKUP(B2502,'NIVEL ENERO'!A:F,4,0)</f>
        <v>#N/A</v>
      </c>
      <c r="H2502" s="247"/>
      <c r="I2502" s="247"/>
      <c r="J2502" s="246"/>
      <c r="K2502" s="246"/>
      <c r="L2502" s="226"/>
      <c r="M2502" s="226"/>
      <c r="N2502" s="246"/>
      <c r="P2502" s="228"/>
      <c r="Q2502" s="245"/>
      <c r="R2502" s="186" t="str">
        <f aca="false">+PROPER(C2502&amp;" "&amp;D2502)</f>
        <v> </v>
      </c>
      <c r="S2502" s="230" t="n">
        <f aca="false">+YEARFRAC(L2502,$S$1)</f>
        <v>126.366666666667</v>
      </c>
      <c r="T2502" s="230" t="n">
        <f aca="false">+YEARFRAC(M2502,$S$1)</f>
        <v>126.366666666667</v>
      </c>
      <c r="U2502" s="231" t="n">
        <f aca="false">+$I2502</f>
        <v>0</v>
      </c>
      <c r="V2502" s="232" t="str">
        <f aca="false">+PROPER(F2502)</f>
        <v/>
      </c>
    </row>
    <row r="2503" customFormat="false" ht="14.25" hidden="false" customHeight="false" outlineLevel="0" collapsed="false">
      <c r="B2503" s="244"/>
      <c r="C2503" s="245"/>
      <c r="D2503" s="245"/>
      <c r="E2503" s="246"/>
      <c r="F2503" s="246"/>
      <c r="G2503" s="225" t="e">
        <f aca="false">VLOOKUP(B2503,'NIVEL ENERO'!A:F,4,0)</f>
        <v>#N/A</v>
      </c>
      <c r="H2503" s="247"/>
      <c r="I2503" s="247"/>
      <c r="J2503" s="246"/>
      <c r="K2503" s="246"/>
      <c r="L2503" s="226"/>
      <c r="M2503" s="226"/>
      <c r="N2503" s="246"/>
      <c r="P2503" s="228"/>
      <c r="Q2503" s="245"/>
      <c r="R2503" s="186" t="str">
        <f aca="false">+PROPER(C2503&amp;" "&amp;D2503)</f>
        <v> </v>
      </c>
      <c r="S2503" s="230" t="n">
        <f aca="false">+YEARFRAC(L2503,$S$1)</f>
        <v>126.366666666667</v>
      </c>
      <c r="T2503" s="230" t="n">
        <f aca="false">+YEARFRAC(M2503,$S$1)</f>
        <v>126.366666666667</v>
      </c>
      <c r="U2503" s="231" t="n">
        <f aca="false">+$I2503</f>
        <v>0</v>
      </c>
      <c r="V2503" s="232" t="str">
        <f aca="false">+PROPER(F2503)</f>
        <v/>
      </c>
    </row>
    <row r="2504" customFormat="false" ht="14.25" hidden="false" customHeight="false" outlineLevel="0" collapsed="false">
      <c r="B2504" s="244"/>
      <c r="C2504" s="245"/>
      <c r="D2504" s="245"/>
      <c r="E2504" s="246"/>
      <c r="F2504" s="246"/>
      <c r="G2504" s="225" t="e">
        <f aca="false">VLOOKUP(B2504,'NIVEL ENERO'!A:F,4,0)</f>
        <v>#N/A</v>
      </c>
      <c r="H2504" s="247"/>
      <c r="I2504" s="247"/>
      <c r="J2504" s="246"/>
      <c r="K2504" s="246"/>
      <c r="L2504" s="226"/>
      <c r="M2504" s="226"/>
      <c r="N2504" s="246"/>
      <c r="P2504" s="228"/>
      <c r="Q2504" s="245"/>
      <c r="R2504" s="186" t="str">
        <f aca="false">+PROPER(C2504&amp;" "&amp;D2504)</f>
        <v> </v>
      </c>
      <c r="S2504" s="230" t="n">
        <f aca="false">+YEARFRAC(L2504,$S$1)</f>
        <v>126.366666666667</v>
      </c>
      <c r="T2504" s="230" t="n">
        <f aca="false">+YEARFRAC(M2504,$S$1)</f>
        <v>126.366666666667</v>
      </c>
      <c r="U2504" s="231" t="n">
        <f aca="false">+$I2504</f>
        <v>0</v>
      </c>
      <c r="V2504" s="232" t="str">
        <f aca="false">+PROPER(F2504)</f>
        <v/>
      </c>
    </row>
    <row r="2505" customFormat="false" ht="14.25" hidden="false" customHeight="false" outlineLevel="0" collapsed="false">
      <c r="B2505" s="244"/>
      <c r="C2505" s="245"/>
      <c r="D2505" s="245"/>
      <c r="E2505" s="246"/>
      <c r="F2505" s="246"/>
      <c r="G2505" s="225" t="e">
        <f aca="false">VLOOKUP(B2505,'NIVEL ENERO'!A:F,4,0)</f>
        <v>#N/A</v>
      </c>
      <c r="H2505" s="247"/>
      <c r="I2505" s="247"/>
      <c r="J2505" s="246"/>
      <c r="K2505" s="246"/>
      <c r="L2505" s="226"/>
      <c r="M2505" s="226"/>
      <c r="N2505" s="246"/>
      <c r="P2505" s="228"/>
      <c r="Q2505" s="245"/>
      <c r="R2505" s="186" t="str">
        <f aca="false">+PROPER(C2505&amp;" "&amp;D2505)</f>
        <v> </v>
      </c>
      <c r="S2505" s="230" t="n">
        <f aca="false">+YEARFRAC(L2505,$S$1)</f>
        <v>126.366666666667</v>
      </c>
      <c r="T2505" s="230" t="n">
        <f aca="false">+YEARFRAC(M2505,$S$1)</f>
        <v>126.366666666667</v>
      </c>
      <c r="U2505" s="231" t="n">
        <f aca="false">+$I2505</f>
        <v>0</v>
      </c>
      <c r="V2505" s="232" t="str">
        <f aca="false">+PROPER(F2505)</f>
        <v/>
      </c>
    </row>
    <row r="2506" customFormat="false" ht="14.25" hidden="false" customHeight="false" outlineLevel="0" collapsed="false">
      <c r="B2506" s="244"/>
      <c r="C2506" s="245"/>
      <c r="D2506" s="245"/>
      <c r="E2506" s="246"/>
      <c r="F2506" s="246"/>
      <c r="G2506" s="225" t="e">
        <f aca="false">VLOOKUP(B2506,'NIVEL ENERO'!A:F,4,0)</f>
        <v>#N/A</v>
      </c>
      <c r="H2506" s="247"/>
      <c r="I2506" s="247"/>
      <c r="J2506" s="246"/>
      <c r="K2506" s="246"/>
      <c r="L2506" s="226"/>
      <c r="M2506" s="226"/>
      <c r="N2506" s="246"/>
      <c r="P2506" s="228"/>
      <c r="Q2506" s="245"/>
      <c r="R2506" s="186" t="str">
        <f aca="false">+PROPER(C2506&amp;" "&amp;D2506)</f>
        <v> </v>
      </c>
      <c r="S2506" s="230" t="n">
        <f aca="false">+YEARFRAC(L2506,$S$1)</f>
        <v>126.366666666667</v>
      </c>
      <c r="T2506" s="230" t="n">
        <f aca="false">+YEARFRAC(M2506,$S$1)</f>
        <v>126.366666666667</v>
      </c>
      <c r="U2506" s="231" t="n">
        <f aca="false">+$I2506</f>
        <v>0</v>
      </c>
      <c r="V2506" s="232" t="str">
        <f aca="false">+PROPER(F2506)</f>
        <v/>
      </c>
    </row>
    <row r="2507" customFormat="false" ht="14.25" hidden="false" customHeight="false" outlineLevel="0" collapsed="false">
      <c r="B2507" s="244"/>
      <c r="C2507" s="245"/>
      <c r="D2507" s="245"/>
      <c r="E2507" s="246"/>
      <c r="F2507" s="246"/>
      <c r="G2507" s="225" t="e">
        <f aca="false">VLOOKUP(B2507,'NIVEL ENERO'!A:F,4,0)</f>
        <v>#N/A</v>
      </c>
      <c r="H2507" s="247"/>
      <c r="I2507" s="247"/>
      <c r="J2507" s="246"/>
      <c r="K2507" s="246"/>
      <c r="L2507" s="226"/>
      <c r="M2507" s="226"/>
      <c r="N2507" s="246"/>
      <c r="P2507" s="228"/>
      <c r="Q2507" s="245"/>
      <c r="R2507" s="186" t="str">
        <f aca="false">+PROPER(C2507&amp;" "&amp;D2507)</f>
        <v> </v>
      </c>
      <c r="S2507" s="230" t="n">
        <f aca="false">+YEARFRAC(L2507,$S$1)</f>
        <v>126.366666666667</v>
      </c>
      <c r="T2507" s="230" t="n">
        <f aca="false">+YEARFRAC(M2507,$S$1)</f>
        <v>126.366666666667</v>
      </c>
      <c r="U2507" s="231" t="n">
        <f aca="false">+$I2507</f>
        <v>0</v>
      </c>
      <c r="V2507" s="232" t="str">
        <f aca="false">+PROPER(F2507)</f>
        <v/>
      </c>
    </row>
    <row r="2508" customFormat="false" ht="14.25" hidden="false" customHeight="false" outlineLevel="0" collapsed="false">
      <c r="B2508" s="244"/>
      <c r="C2508" s="245"/>
      <c r="D2508" s="245"/>
      <c r="E2508" s="246"/>
      <c r="F2508" s="246"/>
      <c r="G2508" s="225" t="e">
        <f aca="false">VLOOKUP(B2508,'NIVEL ENERO'!A:F,4,0)</f>
        <v>#N/A</v>
      </c>
      <c r="H2508" s="247"/>
      <c r="I2508" s="247"/>
      <c r="J2508" s="246"/>
      <c r="K2508" s="246"/>
      <c r="L2508" s="226"/>
      <c r="M2508" s="226"/>
      <c r="N2508" s="246"/>
      <c r="P2508" s="228"/>
      <c r="Q2508" s="245"/>
      <c r="R2508" s="186" t="str">
        <f aca="false">+PROPER(C2508&amp;" "&amp;D2508)</f>
        <v> </v>
      </c>
      <c r="S2508" s="230" t="n">
        <f aca="false">+YEARFRAC(L2508,$S$1)</f>
        <v>126.366666666667</v>
      </c>
      <c r="T2508" s="230" t="n">
        <f aca="false">+YEARFRAC(M2508,$S$1)</f>
        <v>126.366666666667</v>
      </c>
      <c r="U2508" s="231" t="n">
        <f aca="false">+$I2508</f>
        <v>0</v>
      </c>
      <c r="V2508" s="232" t="str">
        <f aca="false">+PROPER(F2508)</f>
        <v/>
      </c>
    </row>
    <row r="2509" customFormat="false" ht="14.25" hidden="false" customHeight="false" outlineLevel="0" collapsed="false">
      <c r="B2509" s="244"/>
      <c r="C2509" s="245"/>
      <c r="D2509" s="245"/>
      <c r="E2509" s="246"/>
      <c r="F2509" s="246"/>
      <c r="G2509" s="225" t="e">
        <f aca="false">VLOOKUP(B2509,'NIVEL ENERO'!A:F,4,0)</f>
        <v>#N/A</v>
      </c>
      <c r="H2509" s="247"/>
      <c r="I2509" s="247"/>
      <c r="J2509" s="246"/>
      <c r="K2509" s="246"/>
      <c r="L2509" s="226"/>
      <c r="M2509" s="226"/>
      <c r="N2509" s="246"/>
      <c r="P2509" s="228"/>
      <c r="Q2509" s="245"/>
      <c r="R2509" s="186" t="str">
        <f aca="false">+PROPER(C2509&amp;" "&amp;D2509)</f>
        <v> </v>
      </c>
      <c r="S2509" s="230" t="n">
        <f aca="false">+YEARFRAC(L2509,$S$1)</f>
        <v>126.366666666667</v>
      </c>
      <c r="T2509" s="230" t="n">
        <f aca="false">+YEARFRAC(M2509,$S$1)</f>
        <v>126.366666666667</v>
      </c>
      <c r="U2509" s="231" t="n">
        <f aca="false">+$I2509</f>
        <v>0</v>
      </c>
      <c r="V2509" s="232" t="str">
        <f aca="false">+PROPER(F2509)</f>
        <v/>
      </c>
    </row>
    <row r="2510" customFormat="false" ht="14.25" hidden="false" customHeight="false" outlineLevel="0" collapsed="false">
      <c r="B2510" s="244"/>
      <c r="C2510" s="245"/>
      <c r="D2510" s="245"/>
      <c r="E2510" s="246"/>
      <c r="F2510" s="246"/>
      <c r="G2510" s="225" t="e">
        <f aca="false">VLOOKUP(B2510,'NIVEL ENERO'!A:F,4,0)</f>
        <v>#N/A</v>
      </c>
      <c r="H2510" s="247"/>
      <c r="I2510" s="247"/>
      <c r="J2510" s="246"/>
      <c r="K2510" s="246"/>
      <c r="L2510" s="226"/>
      <c r="M2510" s="226"/>
      <c r="N2510" s="246"/>
      <c r="P2510" s="228"/>
      <c r="Q2510" s="245"/>
      <c r="R2510" s="186" t="str">
        <f aca="false">+PROPER(C2510&amp;" "&amp;D2510)</f>
        <v> </v>
      </c>
      <c r="S2510" s="230" t="n">
        <f aca="false">+YEARFRAC(L2510,$S$1)</f>
        <v>126.366666666667</v>
      </c>
      <c r="T2510" s="230" t="n">
        <f aca="false">+YEARFRAC(M2510,$S$1)</f>
        <v>126.366666666667</v>
      </c>
      <c r="U2510" s="231" t="n">
        <f aca="false">+$I2510</f>
        <v>0</v>
      </c>
      <c r="V2510" s="232" t="str">
        <f aca="false">+PROPER(F2510)</f>
        <v/>
      </c>
    </row>
    <row r="2511" customFormat="false" ht="14.25" hidden="false" customHeight="false" outlineLevel="0" collapsed="false">
      <c r="B2511" s="244"/>
      <c r="C2511" s="245"/>
      <c r="D2511" s="245"/>
      <c r="E2511" s="246"/>
      <c r="F2511" s="246"/>
      <c r="G2511" s="225" t="e">
        <f aca="false">VLOOKUP(B2511,'NIVEL ENERO'!A:F,4,0)</f>
        <v>#N/A</v>
      </c>
      <c r="H2511" s="247"/>
      <c r="I2511" s="247"/>
      <c r="J2511" s="246"/>
      <c r="K2511" s="246"/>
      <c r="L2511" s="226"/>
      <c r="M2511" s="226"/>
      <c r="N2511" s="246"/>
      <c r="P2511" s="228"/>
      <c r="Q2511" s="245"/>
      <c r="R2511" s="186" t="str">
        <f aca="false">+PROPER(C2511&amp;" "&amp;D2511)</f>
        <v> </v>
      </c>
      <c r="S2511" s="230" t="n">
        <f aca="false">+YEARFRAC(L2511,$S$1)</f>
        <v>126.366666666667</v>
      </c>
      <c r="T2511" s="230" t="n">
        <f aca="false">+YEARFRAC(M2511,$S$1)</f>
        <v>126.366666666667</v>
      </c>
      <c r="U2511" s="231" t="n">
        <f aca="false">+$I2511</f>
        <v>0</v>
      </c>
      <c r="V2511" s="232" t="str">
        <f aca="false">+PROPER(F2511)</f>
        <v/>
      </c>
    </row>
    <row r="2512" customFormat="false" ht="14.25" hidden="false" customHeight="false" outlineLevel="0" collapsed="false">
      <c r="B2512" s="244"/>
      <c r="C2512" s="245"/>
      <c r="D2512" s="245"/>
      <c r="E2512" s="246"/>
      <c r="F2512" s="246"/>
      <c r="G2512" s="225" t="e">
        <f aca="false">VLOOKUP(B2512,'NIVEL ENERO'!A:F,4,0)</f>
        <v>#N/A</v>
      </c>
      <c r="H2512" s="247"/>
      <c r="I2512" s="247"/>
      <c r="J2512" s="246"/>
      <c r="K2512" s="246"/>
      <c r="L2512" s="226"/>
      <c r="M2512" s="226"/>
      <c r="N2512" s="246"/>
      <c r="P2512" s="228"/>
      <c r="Q2512" s="245"/>
      <c r="R2512" s="186" t="str">
        <f aca="false">+PROPER(C2512&amp;" "&amp;D2512)</f>
        <v> </v>
      </c>
      <c r="S2512" s="230" t="n">
        <f aca="false">+YEARFRAC(L2512,$S$1)</f>
        <v>126.366666666667</v>
      </c>
      <c r="T2512" s="230" t="n">
        <f aca="false">+YEARFRAC(M2512,$S$1)</f>
        <v>126.366666666667</v>
      </c>
      <c r="U2512" s="231" t="n">
        <f aca="false">+$I2512</f>
        <v>0</v>
      </c>
      <c r="V2512" s="232" t="str">
        <f aca="false">+PROPER(F2512)</f>
        <v/>
      </c>
    </row>
    <row r="2513" customFormat="false" ht="14.25" hidden="false" customHeight="false" outlineLevel="0" collapsed="false">
      <c r="B2513" s="244"/>
      <c r="C2513" s="245"/>
      <c r="D2513" s="245"/>
      <c r="E2513" s="246"/>
      <c r="F2513" s="246"/>
      <c r="G2513" s="225" t="e">
        <f aca="false">VLOOKUP(B2513,'NIVEL ENERO'!A:F,4,0)</f>
        <v>#N/A</v>
      </c>
      <c r="H2513" s="247"/>
      <c r="I2513" s="247"/>
      <c r="J2513" s="246"/>
      <c r="K2513" s="246"/>
      <c r="L2513" s="226"/>
      <c r="M2513" s="226"/>
      <c r="N2513" s="246"/>
      <c r="P2513" s="228"/>
      <c r="Q2513" s="245"/>
      <c r="R2513" s="186" t="str">
        <f aca="false">+PROPER(C2513&amp;" "&amp;D2513)</f>
        <v> </v>
      </c>
      <c r="S2513" s="230" t="n">
        <f aca="false">+YEARFRAC(L2513,$S$1)</f>
        <v>126.366666666667</v>
      </c>
      <c r="T2513" s="230" t="n">
        <f aca="false">+YEARFRAC(M2513,$S$1)</f>
        <v>126.366666666667</v>
      </c>
      <c r="U2513" s="231" t="n">
        <f aca="false">+$I2513</f>
        <v>0</v>
      </c>
      <c r="V2513" s="232" t="str">
        <f aca="false">+PROPER(F2513)</f>
        <v/>
      </c>
    </row>
    <row r="2514" customFormat="false" ht="14.25" hidden="false" customHeight="false" outlineLevel="0" collapsed="false">
      <c r="B2514" s="244"/>
      <c r="C2514" s="245"/>
      <c r="D2514" s="245"/>
      <c r="E2514" s="246"/>
      <c r="F2514" s="246"/>
      <c r="G2514" s="225" t="e">
        <f aca="false">VLOOKUP(B2514,'NIVEL ENERO'!A:F,4,0)</f>
        <v>#N/A</v>
      </c>
      <c r="H2514" s="247"/>
      <c r="I2514" s="247"/>
      <c r="J2514" s="246"/>
      <c r="K2514" s="246"/>
      <c r="L2514" s="226"/>
      <c r="M2514" s="226"/>
      <c r="N2514" s="246"/>
      <c r="P2514" s="228"/>
      <c r="Q2514" s="245"/>
      <c r="R2514" s="186" t="str">
        <f aca="false">+PROPER(C2514&amp;" "&amp;D2514)</f>
        <v> </v>
      </c>
      <c r="S2514" s="230" t="n">
        <f aca="false">+YEARFRAC(L2514,$S$1)</f>
        <v>126.366666666667</v>
      </c>
      <c r="T2514" s="230" t="n">
        <f aca="false">+YEARFRAC(M2514,$S$1)</f>
        <v>126.366666666667</v>
      </c>
      <c r="U2514" s="231" t="n">
        <f aca="false">+$I2514</f>
        <v>0</v>
      </c>
      <c r="V2514" s="232" t="str">
        <f aca="false">+PROPER(F2514)</f>
        <v/>
      </c>
    </row>
    <row r="2515" customFormat="false" ht="14.25" hidden="false" customHeight="false" outlineLevel="0" collapsed="false">
      <c r="B2515" s="244"/>
      <c r="C2515" s="245"/>
      <c r="D2515" s="245"/>
      <c r="E2515" s="246"/>
      <c r="F2515" s="246"/>
      <c r="G2515" s="225" t="e">
        <f aca="false">VLOOKUP(B2515,'NIVEL ENERO'!A:F,4,0)</f>
        <v>#N/A</v>
      </c>
      <c r="H2515" s="247"/>
      <c r="I2515" s="247"/>
      <c r="J2515" s="246"/>
      <c r="K2515" s="246"/>
      <c r="L2515" s="226"/>
      <c r="M2515" s="226"/>
      <c r="N2515" s="246"/>
      <c r="P2515" s="228"/>
      <c r="Q2515" s="245"/>
      <c r="R2515" s="186" t="str">
        <f aca="false">+PROPER(C2515&amp;" "&amp;D2515)</f>
        <v> </v>
      </c>
      <c r="S2515" s="230" t="n">
        <f aca="false">+YEARFRAC(L2515,$S$1)</f>
        <v>126.366666666667</v>
      </c>
      <c r="T2515" s="230" t="n">
        <f aca="false">+YEARFRAC(M2515,$S$1)</f>
        <v>126.366666666667</v>
      </c>
      <c r="U2515" s="231" t="n">
        <f aca="false">+$I2515</f>
        <v>0</v>
      </c>
      <c r="V2515" s="232" t="str">
        <f aca="false">+PROPER(F2515)</f>
        <v/>
      </c>
    </row>
    <row r="2516" customFormat="false" ht="14.25" hidden="false" customHeight="false" outlineLevel="0" collapsed="false">
      <c r="B2516" s="244"/>
      <c r="C2516" s="245"/>
      <c r="D2516" s="245"/>
      <c r="E2516" s="246"/>
      <c r="F2516" s="246"/>
      <c r="G2516" s="225" t="e">
        <f aca="false">VLOOKUP(B2516,'NIVEL ENERO'!A:F,4,0)</f>
        <v>#N/A</v>
      </c>
      <c r="H2516" s="247"/>
      <c r="I2516" s="247"/>
      <c r="J2516" s="246"/>
      <c r="K2516" s="246"/>
      <c r="L2516" s="226"/>
      <c r="M2516" s="226"/>
      <c r="N2516" s="246"/>
      <c r="P2516" s="228"/>
      <c r="Q2516" s="245"/>
      <c r="R2516" s="186" t="str">
        <f aca="false">+PROPER(C2516&amp;" "&amp;D2516)</f>
        <v> </v>
      </c>
      <c r="S2516" s="230" t="n">
        <f aca="false">+YEARFRAC(L2516,$S$1)</f>
        <v>126.366666666667</v>
      </c>
      <c r="T2516" s="230" t="n">
        <f aca="false">+YEARFRAC(M2516,$S$1)</f>
        <v>126.366666666667</v>
      </c>
      <c r="U2516" s="231" t="n">
        <f aca="false">+$I2516</f>
        <v>0</v>
      </c>
      <c r="V2516" s="232" t="str">
        <f aca="false">+PROPER(F2516)</f>
        <v/>
      </c>
    </row>
    <row r="2517" customFormat="false" ht="14.25" hidden="false" customHeight="false" outlineLevel="0" collapsed="false">
      <c r="B2517" s="244"/>
      <c r="C2517" s="245"/>
      <c r="D2517" s="245"/>
      <c r="E2517" s="246"/>
      <c r="F2517" s="246"/>
      <c r="G2517" s="225" t="e">
        <f aca="false">VLOOKUP(B2517,'NIVEL ENERO'!A:F,4,0)</f>
        <v>#N/A</v>
      </c>
      <c r="H2517" s="247"/>
      <c r="I2517" s="247"/>
      <c r="J2517" s="246"/>
      <c r="K2517" s="246"/>
      <c r="L2517" s="226"/>
      <c r="M2517" s="226"/>
      <c r="N2517" s="246"/>
      <c r="P2517" s="228"/>
      <c r="Q2517" s="245"/>
      <c r="R2517" s="186" t="str">
        <f aca="false">+PROPER(C2517&amp;" "&amp;D2517)</f>
        <v> </v>
      </c>
      <c r="S2517" s="230" t="n">
        <f aca="false">+YEARFRAC(L2517,$S$1)</f>
        <v>126.366666666667</v>
      </c>
      <c r="T2517" s="230" t="n">
        <f aca="false">+YEARFRAC(M2517,$S$1)</f>
        <v>126.366666666667</v>
      </c>
      <c r="U2517" s="231" t="n">
        <f aca="false">+$I2517</f>
        <v>0</v>
      </c>
      <c r="V2517" s="232" t="str">
        <f aca="false">+PROPER(F2517)</f>
        <v/>
      </c>
    </row>
    <row r="2518" customFormat="false" ht="14.25" hidden="false" customHeight="false" outlineLevel="0" collapsed="false">
      <c r="B2518" s="244"/>
      <c r="C2518" s="245"/>
      <c r="D2518" s="245"/>
      <c r="E2518" s="246"/>
      <c r="F2518" s="246"/>
      <c r="G2518" s="225" t="e">
        <f aca="false">VLOOKUP(B2518,'NIVEL ENERO'!A:F,4,0)</f>
        <v>#N/A</v>
      </c>
      <c r="H2518" s="247"/>
      <c r="I2518" s="247"/>
      <c r="J2518" s="246"/>
      <c r="K2518" s="246"/>
      <c r="L2518" s="226"/>
      <c r="M2518" s="226"/>
      <c r="N2518" s="246"/>
      <c r="P2518" s="228"/>
      <c r="Q2518" s="245"/>
      <c r="R2518" s="186" t="str">
        <f aca="false">+PROPER(C2518&amp;" "&amp;D2518)</f>
        <v> </v>
      </c>
      <c r="S2518" s="230" t="n">
        <f aca="false">+YEARFRAC(L2518,$S$1)</f>
        <v>126.366666666667</v>
      </c>
      <c r="T2518" s="230" t="n">
        <f aca="false">+YEARFRAC(M2518,$S$1)</f>
        <v>126.366666666667</v>
      </c>
      <c r="U2518" s="231" t="n">
        <f aca="false">+$I2518</f>
        <v>0</v>
      </c>
      <c r="V2518" s="232" t="str">
        <f aca="false">+PROPER(F2518)</f>
        <v/>
      </c>
    </row>
    <row r="2519" customFormat="false" ht="14.25" hidden="false" customHeight="false" outlineLevel="0" collapsed="false">
      <c r="B2519" s="244"/>
      <c r="C2519" s="245"/>
      <c r="D2519" s="245"/>
      <c r="E2519" s="246"/>
      <c r="F2519" s="246"/>
      <c r="G2519" s="225" t="e">
        <f aca="false">VLOOKUP(B2519,'NIVEL ENERO'!A:F,4,0)</f>
        <v>#N/A</v>
      </c>
      <c r="H2519" s="247"/>
      <c r="I2519" s="247"/>
      <c r="J2519" s="246"/>
      <c r="K2519" s="246"/>
      <c r="L2519" s="226"/>
      <c r="M2519" s="226"/>
      <c r="N2519" s="246"/>
      <c r="P2519" s="228"/>
      <c r="Q2519" s="245"/>
      <c r="R2519" s="186" t="str">
        <f aca="false">+PROPER(C2519&amp;" "&amp;D2519)</f>
        <v> </v>
      </c>
      <c r="S2519" s="230" t="n">
        <f aca="false">+YEARFRAC(L2519,$S$1)</f>
        <v>126.366666666667</v>
      </c>
      <c r="T2519" s="230" t="n">
        <f aca="false">+YEARFRAC(M2519,$S$1)</f>
        <v>126.366666666667</v>
      </c>
      <c r="U2519" s="231" t="n">
        <f aca="false">+$I2519</f>
        <v>0</v>
      </c>
      <c r="V2519" s="232" t="str">
        <f aca="false">+PROPER(F2519)</f>
        <v/>
      </c>
    </row>
    <row r="2520" customFormat="false" ht="14.25" hidden="false" customHeight="false" outlineLevel="0" collapsed="false">
      <c r="B2520" s="244"/>
      <c r="C2520" s="245"/>
      <c r="D2520" s="245"/>
      <c r="E2520" s="246"/>
      <c r="F2520" s="246"/>
      <c r="G2520" s="225" t="e">
        <f aca="false">VLOOKUP(B2520,'NIVEL ENERO'!A:F,4,0)</f>
        <v>#N/A</v>
      </c>
      <c r="H2520" s="247"/>
      <c r="I2520" s="247"/>
      <c r="J2520" s="246"/>
      <c r="K2520" s="246"/>
      <c r="L2520" s="226"/>
      <c r="M2520" s="226"/>
      <c r="N2520" s="246"/>
      <c r="P2520" s="228"/>
      <c r="Q2520" s="245"/>
      <c r="R2520" s="186" t="str">
        <f aca="false">+PROPER(C2520&amp;" "&amp;D2520)</f>
        <v> </v>
      </c>
      <c r="S2520" s="230" t="n">
        <f aca="false">+YEARFRAC(L2520,$S$1)</f>
        <v>126.366666666667</v>
      </c>
      <c r="T2520" s="230" t="n">
        <f aca="false">+YEARFRAC(M2520,$S$1)</f>
        <v>126.366666666667</v>
      </c>
      <c r="U2520" s="231" t="n">
        <f aca="false">+$I2520</f>
        <v>0</v>
      </c>
      <c r="V2520" s="232" t="str">
        <f aca="false">+PROPER(F2520)</f>
        <v/>
      </c>
    </row>
    <row r="2521" customFormat="false" ht="14.25" hidden="false" customHeight="false" outlineLevel="0" collapsed="false">
      <c r="B2521" s="244"/>
      <c r="C2521" s="245"/>
      <c r="D2521" s="245"/>
      <c r="E2521" s="246"/>
      <c r="F2521" s="246"/>
      <c r="G2521" s="225" t="e">
        <f aca="false">VLOOKUP(B2521,'NIVEL ENERO'!A:F,4,0)</f>
        <v>#N/A</v>
      </c>
      <c r="H2521" s="247"/>
      <c r="I2521" s="247"/>
      <c r="J2521" s="246"/>
      <c r="K2521" s="246"/>
      <c r="L2521" s="226"/>
      <c r="M2521" s="226"/>
      <c r="N2521" s="246"/>
      <c r="P2521" s="228"/>
      <c r="Q2521" s="245"/>
      <c r="R2521" s="186" t="str">
        <f aca="false">+PROPER(C2521&amp;" "&amp;D2521)</f>
        <v> </v>
      </c>
      <c r="S2521" s="230" t="n">
        <f aca="false">+YEARFRAC(L2521,$S$1)</f>
        <v>126.366666666667</v>
      </c>
      <c r="T2521" s="230" t="n">
        <f aca="false">+YEARFRAC(M2521,$S$1)</f>
        <v>126.366666666667</v>
      </c>
      <c r="U2521" s="231" t="n">
        <f aca="false">+$I2521</f>
        <v>0</v>
      </c>
      <c r="V2521" s="232" t="str">
        <f aca="false">+PROPER(F2521)</f>
        <v/>
      </c>
    </row>
    <row r="2522" customFormat="false" ht="14.25" hidden="false" customHeight="false" outlineLevel="0" collapsed="false">
      <c r="B2522" s="244"/>
      <c r="C2522" s="245"/>
      <c r="D2522" s="245"/>
      <c r="E2522" s="246"/>
      <c r="F2522" s="246"/>
      <c r="G2522" s="225" t="e">
        <f aca="false">VLOOKUP(B2522,'NIVEL ENERO'!A:F,4,0)</f>
        <v>#N/A</v>
      </c>
      <c r="H2522" s="247"/>
      <c r="I2522" s="247"/>
      <c r="J2522" s="246"/>
      <c r="K2522" s="246"/>
      <c r="L2522" s="226"/>
      <c r="M2522" s="226"/>
      <c r="N2522" s="246"/>
      <c r="P2522" s="228"/>
      <c r="Q2522" s="245"/>
      <c r="R2522" s="186" t="str">
        <f aca="false">+PROPER(C2522&amp;" "&amp;D2522)</f>
        <v> </v>
      </c>
      <c r="S2522" s="230" t="n">
        <f aca="false">+YEARFRAC(L2522,$S$1)</f>
        <v>126.366666666667</v>
      </c>
      <c r="T2522" s="230" t="n">
        <f aca="false">+YEARFRAC(M2522,$S$1)</f>
        <v>126.366666666667</v>
      </c>
      <c r="U2522" s="231" t="n">
        <f aca="false">+$I2522</f>
        <v>0</v>
      </c>
      <c r="V2522" s="232" t="str">
        <f aca="false">+PROPER(F2522)</f>
        <v/>
      </c>
    </row>
    <row r="2523" customFormat="false" ht="14.25" hidden="false" customHeight="false" outlineLevel="0" collapsed="false">
      <c r="B2523" s="244"/>
      <c r="C2523" s="245"/>
      <c r="D2523" s="245"/>
      <c r="E2523" s="246"/>
      <c r="F2523" s="246"/>
      <c r="G2523" s="225" t="e">
        <f aca="false">VLOOKUP(B2523,'NIVEL ENERO'!A:F,4,0)</f>
        <v>#N/A</v>
      </c>
      <c r="H2523" s="247"/>
      <c r="I2523" s="247"/>
      <c r="J2523" s="246"/>
      <c r="K2523" s="246"/>
      <c r="L2523" s="226"/>
      <c r="M2523" s="226"/>
      <c r="N2523" s="246"/>
      <c r="P2523" s="228"/>
      <c r="Q2523" s="245"/>
      <c r="R2523" s="186" t="str">
        <f aca="false">+PROPER(C2523&amp;" "&amp;D2523)</f>
        <v> </v>
      </c>
      <c r="S2523" s="230" t="n">
        <f aca="false">+YEARFRAC(L2523,$S$1)</f>
        <v>126.366666666667</v>
      </c>
      <c r="T2523" s="230" t="n">
        <f aca="false">+YEARFRAC(M2523,$S$1)</f>
        <v>126.366666666667</v>
      </c>
      <c r="U2523" s="231" t="n">
        <f aca="false">+$I2523</f>
        <v>0</v>
      </c>
      <c r="V2523" s="232" t="str">
        <f aca="false">+PROPER(F2523)</f>
        <v/>
      </c>
    </row>
    <row r="2524" customFormat="false" ht="14.25" hidden="false" customHeight="false" outlineLevel="0" collapsed="false">
      <c r="B2524" s="244"/>
      <c r="C2524" s="245"/>
      <c r="D2524" s="245"/>
      <c r="E2524" s="246"/>
      <c r="F2524" s="246"/>
      <c r="G2524" s="225" t="e">
        <f aca="false">VLOOKUP(B2524,'NIVEL ENERO'!A:F,4,0)</f>
        <v>#N/A</v>
      </c>
      <c r="H2524" s="247"/>
      <c r="I2524" s="247"/>
      <c r="J2524" s="246"/>
      <c r="K2524" s="246"/>
      <c r="L2524" s="226"/>
      <c r="M2524" s="226"/>
      <c r="N2524" s="246"/>
      <c r="P2524" s="228"/>
      <c r="Q2524" s="245"/>
      <c r="R2524" s="186" t="str">
        <f aca="false">+PROPER(C2524&amp;" "&amp;D2524)</f>
        <v> </v>
      </c>
      <c r="S2524" s="230" t="n">
        <f aca="false">+YEARFRAC(L2524,$S$1)</f>
        <v>126.366666666667</v>
      </c>
      <c r="T2524" s="230" t="n">
        <f aca="false">+YEARFRAC(M2524,$S$1)</f>
        <v>126.366666666667</v>
      </c>
      <c r="U2524" s="231" t="n">
        <f aca="false">+$I2524</f>
        <v>0</v>
      </c>
      <c r="V2524" s="232" t="str">
        <f aca="false">+PROPER(F2524)</f>
        <v/>
      </c>
    </row>
    <row r="2525" customFormat="false" ht="14.25" hidden="false" customHeight="false" outlineLevel="0" collapsed="false">
      <c r="B2525" s="244"/>
      <c r="C2525" s="245"/>
      <c r="D2525" s="245"/>
      <c r="E2525" s="246"/>
      <c r="F2525" s="246"/>
      <c r="G2525" s="225" t="e">
        <f aca="false">VLOOKUP(B2525,'NIVEL ENERO'!A:F,4,0)</f>
        <v>#N/A</v>
      </c>
      <c r="H2525" s="247"/>
      <c r="I2525" s="247"/>
      <c r="J2525" s="246"/>
      <c r="K2525" s="246"/>
      <c r="L2525" s="226"/>
      <c r="M2525" s="226"/>
      <c r="N2525" s="246"/>
      <c r="P2525" s="228"/>
      <c r="Q2525" s="245"/>
      <c r="R2525" s="186" t="str">
        <f aca="false">+PROPER(C2525&amp;" "&amp;D2525)</f>
        <v> </v>
      </c>
      <c r="S2525" s="230" t="n">
        <f aca="false">+YEARFRAC(L2525,$S$1)</f>
        <v>126.366666666667</v>
      </c>
      <c r="T2525" s="230" t="n">
        <f aca="false">+YEARFRAC(M2525,$S$1)</f>
        <v>126.366666666667</v>
      </c>
      <c r="U2525" s="231" t="n">
        <f aca="false">+$I2525</f>
        <v>0</v>
      </c>
      <c r="V2525" s="232" t="str">
        <f aca="false">+PROPER(F2525)</f>
        <v/>
      </c>
    </row>
    <row r="2526" customFormat="false" ht="14.25" hidden="false" customHeight="false" outlineLevel="0" collapsed="false">
      <c r="B2526" s="244"/>
      <c r="C2526" s="245"/>
      <c r="D2526" s="245"/>
      <c r="E2526" s="246"/>
      <c r="F2526" s="246"/>
      <c r="G2526" s="225" t="e">
        <f aca="false">VLOOKUP(B2526,'NIVEL ENERO'!A:F,4,0)</f>
        <v>#N/A</v>
      </c>
      <c r="H2526" s="247"/>
      <c r="I2526" s="247"/>
      <c r="J2526" s="246"/>
      <c r="K2526" s="246"/>
      <c r="L2526" s="226"/>
      <c r="M2526" s="226"/>
      <c r="N2526" s="246"/>
      <c r="P2526" s="228"/>
      <c r="Q2526" s="245"/>
      <c r="R2526" s="186" t="str">
        <f aca="false">+PROPER(C2526&amp;" "&amp;D2526)</f>
        <v> </v>
      </c>
      <c r="S2526" s="230" t="n">
        <f aca="false">+YEARFRAC(L2526,$S$1)</f>
        <v>126.366666666667</v>
      </c>
      <c r="T2526" s="230" t="n">
        <f aca="false">+YEARFRAC(M2526,$S$1)</f>
        <v>126.366666666667</v>
      </c>
      <c r="U2526" s="231" t="n">
        <f aca="false">+$I2526</f>
        <v>0</v>
      </c>
      <c r="V2526" s="232" t="str">
        <f aca="false">+PROPER(F2526)</f>
        <v/>
      </c>
    </row>
    <row r="2527" customFormat="false" ht="14.25" hidden="false" customHeight="false" outlineLevel="0" collapsed="false">
      <c r="B2527" s="244"/>
      <c r="C2527" s="245"/>
      <c r="D2527" s="245"/>
      <c r="E2527" s="246"/>
      <c r="F2527" s="246"/>
      <c r="G2527" s="225" t="e">
        <f aca="false">VLOOKUP(B2527,'NIVEL ENERO'!A:F,4,0)</f>
        <v>#N/A</v>
      </c>
      <c r="H2527" s="247"/>
      <c r="I2527" s="247"/>
      <c r="J2527" s="246"/>
      <c r="K2527" s="246"/>
      <c r="L2527" s="226"/>
      <c r="M2527" s="226"/>
      <c r="N2527" s="246"/>
      <c r="P2527" s="228"/>
      <c r="Q2527" s="245"/>
      <c r="R2527" s="186" t="str">
        <f aca="false">+PROPER(C2527&amp;" "&amp;D2527)</f>
        <v> </v>
      </c>
      <c r="S2527" s="230" t="n">
        <f aca="false">+YEARFRAC(L2527,$S$1)</f>
        <v>126.366666666667</v>
      </c>
      <c r="T2527" s="230" t="n">
        <f aca="false">+YEARFRAC(M2527,$S$1)</f>
        <v>126.366666666667</v>
      </c>
      <c r="U2527" s="231" t="n">
        <f aca="false">+$I2527</f>
        <v>0</v>
      </c>
      <c r="V2527" s="232" t="str">
        <f aca="false">+PROPER(F2527)</f>
        <v/>
      </c>
    </row>
    <row r="2528" customFormat="false" ht="14.25" hidden="false" customHeight="false" outlineLevel="0" collapsed="false">
      <c r="B2528" s="244"/>
      <c r="C2528" s="245"/>
      <c r="D2528" s="245"/>
      <c r="E2528" s="246"/>
      <c r="F2528" s="246"/>
      <c r="G2528" s="225" t="e">
        <f aca="false">VLOOKUP(B2528,'NIVEL ENERO'!A:F,4,0)</f>
        <v>#N/A</v>
      </c>
      <c r="H2528" s="247"/>
      <c r="I2528" s="247"/>
      <c r="J2528" s="246"/>
      <c r="K2528" s="246"/>
      <c r="L2528" s="226"/>
      <c r="M2528" s="226"/>
      <c r="N2528" s="246"/>
      <c r="P2528" s="228"/>
      <c r="Q2528" s="245"/>
      <c r="R2528" s="186" t="str">
        <f aca="false">+PROPER(C2528&amp;" "&amp;D2528)</f>
        <v> </v>
      </c>
      <c r="S2528" s="230" t="n">
        <f aca="false">+YEARFRAC(L2528,$S$1)</f>
        <v>126.366666666667</v>
      </c>
      <c r="T2528" s="230" t="n">
        <f aca="false">+YEARFRAC(M2528,$S$1)</f>
        <v>126.366666666667</v>
      </c>
      <c r="U2528" s="231" t="n">
        <f aca="false">+$I2528</f>
        <v>0</v>
      </c>
      <c r="V2528" s="232" t="str">
        <f aca="false">+PROPER(F2528)</f>
        <v/>
      </c>
    </row>
    <row r="2529" customFormat="false" ht="14.25" hidden="false" customHeight="false" outlineLevel="0" collapsed="false">
      <c r="B2529" s="244"/>
      <c r="C2529" s="245"/>
      <c r="D2529" s="245"/>
      <c r="E2529" s="246"/>
      <c r="F2529" s="246"/>
      <c r="G2529" s="225" t="e">
        <f aca="false">VLOOKUP(B2529,'NIVEL ENERO'!A:F,4,0)</f>
        <v>#N/A</v>
      </c>
      <c r="H2529" s="247"/>
      <c r="I2529" s="247"/>
      <c r="J2529" s="246"/>
      <c r="K2529" s="246"/>
      <c r="L2529" s="226"/>
      <c r="M2529" s="226"/>
      <c r="N2529" s="246"/>
      <c r="P2529" s="228"/>
      <c r="Q2529" s="245"/>
      <c r="R2529" s="186" t="str">
        <f aca="false">+PROPER(C2529&amp;" "&amp;D2529)</f>
        <v> </v>
      </c>
      <c r="S2529" s="230" t="n">
        <f aca="false">+YEARFRAC(L2529,$S$1)</f>
        <v>126.366666666667</v>
      </c>
      <c r="T2529" s="230" t="n">
        <f aca="false">+YEARFRAC(M2529,$S$1)</f>
        <v>126.366666666667</v>
      </c>
      <c r="U2529" s="231" t="n">
        <f aca="false">+$I2529</f>
        <v>0</v>
      </c>
      <c r="V2529" s="232" t="str">
        <f aca="false">+PROPER(F2529)</f>
        <v/>
      </c>
    </row>
    <row r="2530" customFormat="false" ht="14.25" hidden="false" customHeight="false" outlineLevel="0" collapsed="false">
      <c r="B2530" s="244"/>
      <c r="C2530" s="245"/>
      <c r="D2530" s="245"/>
      <c r="E2530" s="246"/>
      <c r="F2530" s="246"/>
      <c r="G2530" s="225" t="e">
        <f aca="false">VLOOKUP(B2530,'NIVEL ENERO'!A:F,4,0)</f>
        <v>#N/A</v>
      </c>
      <c r="H2530" s="247"/>
      <c r="I2530" s="247"/>
      <c r="J2530" s="246"/>
      <c r="K2530" s="246"/>
      <c r="L2530" s="226"/>
      <c r="M2530" s="226"/>
      <c r="N2530" s="246"/>
      <c r="P2530" s="228"/>
      <c r="Q2530" s="245"/>
      <c r="R2530" s="186" t="str">
        <f aca="false">+PROPER(C2530&amp;" "&amp;D2530)</f>
        <v> </v>
      </c>
      <c r="S2530" s="230" t="n">
        <f aca="false">+YEARFRAC(L2530,$S$1)</f>
        <v>126.366666666667</v>
      </c>
      <c r="T2530" s="230" t="n">
        <f aca="false">+YEARFRAC(M2530,$S$1)</f>
        <v>126.366666666667</v>
      </c>
      <c r="U2530" s="231" t="n">
        <f aca="false">+$I2530</f>
        <v>0</v>
      </c>
      <c r="V2530" s="232" t="str">
        <f aca="false">+PROPER(F2530)</f>
        <v/>
      </c>
    </row>
    <row r="2531" customFormat="false" ht="14.25" hidden="false" customHeight="false" outlineLevel="0" collapsed="false">
      <c r="B2531" s="244"/>
      <c r="C2531" s="245"/>
      <c r="D2531" s="245"/>
      <c r="E2531" s="246"/>
      <c r="F2531" s="246"/>
      <c r="G2531" s="225" t="e">
        <f aca="false">VLOOKUP(B2531,'NIVEL ENERO'!A:F,4,0)</f>
        <v>#N/A</v>
      </c>
      <c r="H2531" s="247"/>
      <c r="I2531" s="247"/>
      <c r="J2531" s="246"/>
      <c r="K2531" s="246"/>
      <c r="L2531" s="226"/>
      <c r="M2531" s="226"/>
      <c r="N2531" s="246"/>
      <c r="P2531" s="228"/>
      <c r="Q2531" s="245"/>
      <c r="R2531" s="186" t="str">
        <f aca="false">+PROPER(C2531&amp;" "&amp;D2531)</f>
        <v> </v>
      </c>
      <c r="S2531" s="230" t="n">
        <f aca="false">+YEARFRAC(L2531,$S$1)</f>
        <v>126.366666666667</v>
      </c>
      <c r="T2531" s="230" t="n">
        <f aca="false">+YEARFRAC(M2531,$S$1)</f>
        <v>126.366666666667</v>
      </c>
      <c r="U2531" s="231" t="n">
        <f aca="false">+$I2531</f>
        <v>0</v>
      </c>
      <c r="V2531" s="232" t="str">
        <f aca="false">+PROPER(F2531)</f>
        <v/>
      </c>
    </row>
    <row r="2532" customFormat="false" ht="14.25" hidden="false" customHeight="false" outlineLevel="0" collapsed="false">
      <c r="B2532" s="244"/>
      <c r="C2532" s="245"/>
      <c r="D2532" s="245"/>
      <c r="E2532" s="246"/>
      <c r="F2532" s="246"/>
      <c r="G2532" s="225" t="e">
        <f aca="false">VLOOKUP(B2532,'NIVEL ENERO'!A:F,4,0)</f>
        <v>#N/A</v>
      </c>
      <c r="H2532" s="247"/>
      <c r="I2532" s="247"/>
      <c r="J2532" s="246"/>
      <c r="K2532" s="246"/>
      <c r="L2532" s="226"/>
      <c r="M2532" s="226"/>
      <c r="N2532" s="246"/>
      <c r="P2532" s="228"/>
      <c r="Q2532" s="245"/>
      <c r="R2532" s="186" t="str">
        <f aca="false">+PROPER(C2532&amp;" "&amp;D2532)</f>
        <v> </v>
      </c>
      <c r="S2532" s="230" t="n">
        <f aca="false">+YEARFRAC(L2532,$S$1)</f>
        <v>126.366666666667</v>
      </c>
      <c r="T2532" s="230" t="n">
        <f aca="false">+YEARFRAC(M2532,$S$1)</f>
        <v>126.366666666667</v>
      </c>
      <c r="U2532" s="231" t="n">
        <f aca="false">+$I2532</f>
        <v>0</v>
      </c>
      <c r="V2532" s="232" t="str">
        <f aca="false">+PROPER(F2532)</f>
        <v/>
      </c>
    </row>
    <row r="2533" customFormat="false" ht="14.25" hidden="false" customHeight="false" outlineLevel="0" collapsed="false">
      <c r="B2533" s="244"/>
      <c r="C2533" s="245"/>
      <c r="D2533" s="245"/>
      <c r="E2533" s="246"/>
      <c r="F2533" s="246"/>
      <c r="G2533" s="225" t="e">
        <f aca="false">VLOOKUP(B2533,'NIVEL ENERO'!A:F,4,0)</f>
        <v>#N/A</v>
      </c>
      <c r="H2533" s="247"/>
      <c r="I2533" s="247"/>
      <c r="J2533" s="246"/>
      <c r="K2533" s="246"/>
      <c r="L2533" s="226"/>
      <c r="M2533" s="226"/>
      <c r="N2533" s="246"/>
      <c r="P2533" s="228"/>
      <c r="Q2533" s="245"/>
      <c r="R2533" s="186" t="str">
        <f aca="false">+PROPER(C2533&amp;" "&amp;D2533)</f>
        <v> </v>
      </c>
      <c r="S2533" s="230" t="n">
        <f aca="false">+YEARFRAC(L2533,$S$1)</f>
        <v>126.366666666667</v>
      </c>
      <c r="T2533" s="230" t="n">
        <f aca="false">+YEARFRAC(M2533,$S$1)</f>
        <v>126.366666666667</v>
      </c>
      <c r="U2533" s="231" t="n">
        <f aca="false">+$I2533</f>
        <v>0</v>
      </c>
      <c r="V2533" s="232" t="str">
        <f aca="false">+PROPER(F2533)</f>
        <v/>
      </c>
    </row>
    <row r="2534" customFormat="false" ht="14.25" hidden="false" customHeight="false" outlineLevel="0" collapsed="false">
      <c r="B2534" s="244"/>
      <c r="C2534" s="245"/>
      <c r="D2534" s="245"/>
      <c r="E2534" s="246"/>
      <c r="F2534" s="246"/>
      <c r="G2534" s="225" t="e">
        <f aca="false">VLOOKUP(B2534,'NIVEL ENERO'!A:F,4,0)</f>
        <v>#N/A</v>
      </c>
      <c r="H2534" s="247"/>
      <c r="I2534" s="247"/>
      <c r="J2534" s="246"/>
      <c r="K2534" s="246"/>
      <c r="L2534" s="226"/>
      <c r="M2534" s="226"/>
      <c r="N2534" s="246"/>
      <c r="P2534" s="228"/>
      <c r="Q2534" s="245"/>
      <c r="R2534" s="186" t="str">
        <f aca="false">+PROPER(C2534&amp;" "&amp;D2534)</f>
        <v> </v>
      </c>
      <c r="S2534" s="230" t="n">
        <f aca="false">+YEARFRAC(L2534,$S$1)</f>
        <v>126.366666666667</v>
      </c>
      <c r="T2534" s="230" t="n">
        <f aca="false">+YEARFRAC(M2534,$S$1)</f>
        <v>126.366666666667</v>
      </c>
      <c r="U2534" s="231" t="n">
        <f aca="false">+$I2534</f>
        <v>0</v>
      </c>
      <c r="V2534" s="232" t="str">
        <f aca="false">+PROPER(F2534)</f>
        <v/>
      </c>
    </row>
    <row r="2535" customFormat="false" ht="14.25" hidden="false" customHeight="false" outlineLevel="0" collapsed="false">
      <c r="B2535" s="244"/>
      <c r="C2535" s="245"/>
      <c r="D2535" s="245"/>
      <c r="E2535" s="246"/>
      <c r="F2535" s="246"/>
      <c r="G2535" s="225" t="e">
        <f aca="false">VLOOKUP(B2535,'NIVEL ENERO'!A:F,4,0)</f>
        <v>#N/A</v>
      </c>
      <c r="H2535" s="247"/>
      <c r="I2535" s="247"/>
      <c r="J2535" s="246"/>
      <c r="K2535" s="246"/>
      <c r="L2535" s="226"/>
      <c r="M2535" s="226"/>
      <c r="N2535" s="246"/>
      <c r="P2535" s="228"/>
      <c r="Q2535" s="245"/>
      <c r="R2535" s="186" t="str">
        <f aca="false">+PROPER(C2535&amp;" "&amp;D2535)</f>
        <v> </v>
      </c>
      <c r="S2535" s="230" t="n">
        <f aca="false">+YEARFRAC(L2535,$S$1)</f>
        <v>126.366666666667</v>
      </c>
      <c r="T2535" s="230" t="n">
        <f aca="false">+YEARFRAC(M2535,$S$1)</f>
        <v>126.366666666667</v>
      </c>
      <c r="U2535" s="231" t="n">
        <f aca="false">+$I2535</f>
        <v>0</v>
      </c>
      <c r="V2535" s="232" t="str">
        <f aca="false">+PROPER(F2535)</f>
        <v/>
      </c>
    </row>
    <row r="2536" customFormat="false" ht="14.25" hidden="false" customHeight="false" outlineLevel="0" collapsed="false">
      <c r="B2536" s="244"/>
      <c r="C2536" s="245"/>
      <c r="D2536" s="245"/>
      <c r="E2536" s="246"/>
      <c r="F2536" s="246"/>
      <c r="G2536" s="225" t="e">
        <f aca="false">VLOOKUP(B2536,'NIVEL ENERO'!A:F,4,0)</f>
        <v>#N/A</v>
      </c>
      <c r="H2536" s="247"/>
      <c r="I2536" s="247"/>
      <c r="J2536" s="246"/>
      <c r="K2536" s="246"/>
      <c r="L2536" s="226"/>
      <c r="M2536" s="226"/>
      <c r="N2536" s="246"/>
      <c r="P2536" s="228"/>
      <c r="Q2536" s="245"/>
      <c r="R2536" s="186" t="str">
        <f aca="false">+PROPER(C2536&amp;" "&amp;D2536)</f>
        <v> </v>
      </c>
      <c r="S2536" s="230" t="n">
        <f aca="false">+YEARFRAC(L2536,$S$1)</f>
        <v>126.366666666667</v>
      </c>
      <c r="T2536" s="230" t="n">
        <f aca="false">+YEARFRAC(M2536,$S$1)</f>
        <v>126.366666666667</v>
      </c>
      <c r="U2536" s="231" t="n">
        <f aca="false">+$I2536</f>
        <v>0</v>
      </c>
      <c r="V2536" s="232" t="str">
        <f aca="false">+PROPER(F2536)</f>
        <v/>
      </c>
    </row>
    <row r="2537" customFormat="false" ht="14.25" hidden="false" customHeight="false" outlineLevel="0" collapsed="false">
      <c r="B2537" s="244"/>
      <c r="C2537" s="245"/>
      <c r="D2537" s="245"/>
      <c r="E2537" s="246"/>
      <c r="F2537" s="246"/>
      <c r="G2537" s="225" t="e">
        <f aca="false">VLOOKUP(B2537,'NIVEL ENERO'!A:F,4,0)</f>
        <v>#N/A</v>
      </c>
      <c r="H2537" s="247"/>
      <c r="I2537" s="247"/>
      <c r="J2537" s="246"/>
      <c r="K2537" s="246"/>
      <c r="L2537" s="226"/>
      <c r="M2537" s="226"/>
      <c r="N2537" s="246"/>
      <c r="P2537" s="228"/>
      <c r="Q2537" s="245"/>
      <c r="R2537" s="186" t="str">
        <f aca="false">+PROPER(C2537&amp;" "&amp;D2537)</f>
        <v> </v>
      </c>
      <c r="S2537" s="230" t="n">
        <f aca="false">+YEARFRAC(L2537,$S$1)</f>
        <v>126.366666666667</v>
      </c>
      <c r="T2537" s="230" t="n">
        <f aca="false">+YEARFRAC(M2537,$S$1)</f>
        <v>126.366666666667</v>
      </c>
      <c r="U2537" s="231" t="n">
        <f aca="false">+$I2537</f>
        <v>0</v>
      </c>
      <c r="V2537" s="232" t="str">
        <f aca="false">+PROPER(F2537)</f>
        <v/>
      </c>
    </row>
    <row r="2538" customFormat="false" ht="14.25" hidden="false" customHeight="false" outlineLevel="0" collapsed="false">
      <c r="B2538" s="244"/>
      <c r="C2538" s="245"/>
      <c r="D2538" s="245"/>
      <c r="E2538" s="246"/>
      <c r="F2538" s="246"/>
      <c r="G2538" s="225" t="e">
        <f aca="false">VLOOKUP(B2538,'NIVEL ENERO'!A:F,4,0)</f>
        <v>#N/A</v>
      </c>
      <c r="H2538" s="247"/>
      <c r="I2538" s="247"/>
      <c r="J2538" s="246"/>
      <c r="K2538" s="246"/>
      <c r="L2538" s="226"/>
      <c r="M2538" s="226"/>
      <c r="N2538" s="246"/>
      <c r="P2538" s="228"/>
      <c r="Q2538" s="245"/>
      <c r="R2538" s="186" t="str">
        <f aca="false">+PROPER(C2538&amp;" "&amp;D2538)</f>
        <v> </v>
      </c>
      <c r="S2538" s="230" t="n">
        <f aca="false">+YEARFRAC(L2538,$S$1)</f>
        <v>126.366666666667</v>
      </c>
      <c r="T2538" s="230" t="n">
        <f aca="false">+YEARFRAC(M2538,$S$1)</f>
        <v>126.366666666667</v>
      </c>
      <c r="U2538" s="231" t="n">
        <f aca="false">+$I2538</f>
        <v>0</v>
      </c>
      <c r="V2538" s="232" t="str">
        <f aca="false">+PROPER(F2538)</f>
        <v/>
      </c>
    </row>
    <row r="2539" customFormat="false" ht="14.25" hidden="false" customHeight="false" outlineLevel="0" collapsed="false">
      <c r="B2539" s="244"/>
      <c r="C2539" s="245"/>
      <c r="D2539" s="245"/>
      <c r="E2539" s="246"/>
      <c r="F2539" s="246"/>
      <c r="G2539" s="225" t="e">
        <f aca="false">VLOOKUP(B2539,'NIVEL ENERO'!A:F,4,0)</f>
        <v>#N/A</v>
      </c>
      <c r="H2539" s="247"/>
      <c r="I2539" s="247"/>
      <c r="J2539" s="246"/>
      <c r="K2539" s="246"/>
      <c r="L2539" s="226"/>
      <c r="M2539" s="226"/>
      <c r="N2539" s="246"/>
      <c r="P2539" s="228"/>
      <c r="Q2539" s="245"/>
      <c r="R2539" s="186" t="str">
        <f aca="false">+PROPER(C2539&amp;" "&amp;D2539)</f>
        <v> </v>
      </c>
      <c r="S2539" s="230" t="n">
        <f aca="false">+YEARFRAC(L2539,$S$1)</f>
        <v>126.366666666667</v>
      </c>
      <c r="T2539" s="230" t="n">
        <f aca="false">+YEARFRAC(M2539,$S$1)</f>
        <v>126.366666666667</v>
      </c>
      <c r="U2539" s="231" t="n">
        <f aca="false">+$I2539</f>
        <v>0</v>
      </c>
      <c r="V2539" s="232" t="str">
        <f aca="false">+PROPER(F2539)</f>
        <v/>
      </c>
    </row>
    <row r="2540" customFormat="false" ht="14.25" hidden="false" customHeight="false" outlineLevel="0" collapsed="false">
      <c r="B2540" s="244"/>
      <c r="C2540" s="245"/>
      <c r="D2540" s="245"/>
      <c r="E2540" s="246"/>
      <c r="F2540" s="246"/>
      <c r="G2540" s="225" t="e">
        <f aca="false">VLOOKUP(B2540,'NIVEL ENERO'!A:F,4,0)</f>
        <v>#N/A</v>
      </c>
      <c r="H2540" s="247"/>
      <c r="I2540" s="247"/>
      <c r="J2540" s="246"/>
      <c r="K2540" s="246"/>
      <c r="L2540" s="226"/>
      <c r="M2540" s="226"/>
      <c r="N2540" s="246"/>
      <c r="P2540" s="228"/>
      <c r="Q2540" s="245"/>
      <c r="R2540" s="186" t="str">
        <f aca="false">+PROPER(C2540&amp;" "&amp;D2540)</f>
        <v> </v>
      </c>
      <c r="S2540" s="230" t="n">
        <f aca="false">+YEARFRAC(L2540,$S$1)</f>
        <v>126.366666666667</v>
      </c>
      <c r="T2540" s="230" t="n">
        <f aca="false">+YEARFRAC(M2540,$S$1)</f>
        <v>126.366666666667</v>
      </c>
      <c r="U2540" s="231" t="n">
        <f aca="false">+$I2540</f>
        <v>0</v>
      </c>
      <c r="V2540" s="232" t="str">
        <f aca="false">+PROPER(F2540)</f>
        <v/>
      </c>
    </row>
    <row r="2541" customFormat="false" ht="14.25" hidden="false" customHeight="false" outlineLevel="0" collapsed="false">
      <c r="B2541" s="244"/>
      <c r="C2541" s="245"/>
      <c r="D2541" s="245"/>
      <c r="E2541" s="246"/>
      <c r="F2541" s="246"/>
      <c r="G2541" s="225" t="e">
        <f aca="false">VLOOKUP(B2541,'NIVEL ENERO'!A:F,4,0)</f>
        <v>#N/A</v>
      </c>
      <c r="H2541" s="247"/>
      <c r="I2541" s="247"/>
      <c r="J2541" s="246"/>
      <c r="K2541" s="246"/>
      <c r="L2541" s="226"/>
      <c r="M2541" s="226"/>
      <c r="N2541" s="246"/>
      <c r="P2541" s="228"/>
      <c r="Q2541" s="245"/>
      <c r="R2541" s="186" t="str">
        <f aca="false">+PROPER(C2541&amp;" "&amp;D2541)</f>
        <v> </v>
      </c>
      <c r="S2541" s="230" t="n">
        <f aca="false">+YEARFRAC(L2541,$S$1)</f>
        <v>126.366666666667</v>
      </c>
      <c r="T2541" s="230" t="n">
        <f aca="false">+YEARFRAC(M2541,$S$1)</f>
        <v>126.366666666667</v>
      </c>
      <c r="U2541" s="231" t="n">
        <f aca="false">+$I2541</f>
        <v>0</v>
      </c>
      <c r="V2541" s="232" t="str">
        <f aca="false">+PROPER(F2541)</f>
        <v/>
      </c>
    </row>
    <row r="2542" customFormat="false" ht="14.25" hidden="false" customHeight="false" outlineLevel="0" collapsed="false">
      <c r="B2542" s="244"/>
      <c r="C2542" s="245"/>
      <c r="D2542" s="245"/>
      <c r="E2542" s="246"/>
      <c r="F2542" s="246"/>
      <c r="G2542" s="225" t="e">
        <f aca="false">VLOOKUP(B2542,'NIVEL ENERO'!A:F,4,0)</f>
        <v>#N/A</v>
      </c>
      <c r="H2542" s="247"/>
      <c r="I2542" s="247"/>
      <c r="J2542" s="246"/>
      <c r="K2542" s="246"/>
      <c r="L2542" s="226"/>
      <c r="M2542" s="226"/>
      <c r="N2542" s="246"/>
      <c r="P2542" s="228"/>
      <c r="Q2542" s="245"/>
      <c r="R2542" s="186" t="str">
        <f aca="false">+PROPER(C2542&amp;" "&amp;D2542)</f>
        <v> </v>
      </c>
      <c r="S2542" s="230" t="n">
        <f aca="false">+YEARFRAC(L2542,$S$1)</f>
        <v>126.366666666667</v>
      </c>
      <c r="T2542" s="230" t="n">
        <f aca="false">+YEARFRAC(M2542,$S$1)</f>
        <v>126.366666666667</v>
      </c>
      <c r="U2542" s="231" t="n">
        <f aca="false">+$I2542</f>
        <v>0</v>
      </c>
      <c r="V2542" s="232" t="str">
        <f aca="false">+PROPER(F2542)</f>
        <v/>
      </c>
    </row>
    <row r="2543" customFormat="false" ht="14.25" hidden="false" customHeight="false" outlineLevel="0" collapsed="false">
      <c r="B2543" s="244"/>
      <c r="C2543" s="245"/>
      <c r="D2543" s="245"/>
      <c r="E2543" s="246"/>
      <c r="F2543" s="246"/>
      <c r="G2543" s="225" t="e">
        <f aca="false">VLOOKUP(B2543,'NIVEL ENERO'!A:F,4,0)</f>
        <v>#N/A</v>
      </c>
      <c r="H2543" s="247"/>
      <c r="I2543" s="247"/>
      <c r="J2543" s="246"/>
      <c r="K2543" s="246"/>
      <c r="L2543" s="226"/>
      <c r="M2543" s="226"/>
      <c r="N2543" s="246"/>
      <c r="P2543" s="228"/>
      <c r="Q2543" s="245"/>
      <c r="R2543" s="186" t="str">
        <f aca="false">+PROPER(C2543&amp;" "&amp;D2543)</f>
        <v> </v>
      </c>
      <c r="S2543" s="230" t="n">
        <f aca="false">+YEARFRAC(L2543,$S$1)</f>
        <v>126.366666666667</v>
      </c>
      <c r="T2543" s="230" t="n">
        <f aca="false">+YEARFRAC(M2543,$S$1)</f>
        <v>126.366666666667</v>
      </c>
      <c r="U2543" s="231" t="n">
        <f aca="false">+$I2543</f>
        <v>0</v>
      </c>
      <c r="V2543" s="232" t="str">
        <f aca="false">+PROPER(F2543)</f>
        <v/>
      </c>
    </row>
    <row r="2544" customFormat="false" ht="14.25" hidden="false" customHeight="false" outlineLevel="0" collapsed="false">
      <c r="B2544" s="244"/>
      <c r="C2544" s="245"/>
      <c r="D2544" s="245"/>
      <c r="E2544" s="246"/>
      <c r="F2544" s="246"/>
      <c r="G2544" s="225" t="e">
        <f aca="false">VLOOKUP(B2544,'NIVEL ENERO'!A:F,4,0)</f>
        <v>#N/A</v>
      </c>
      <c r="H2544" s="247"/>
      <c r="I2544" s="247"/>
      <c r="J2544" s="246"/>
      <c r="K2544" s="246"/>
      <c r="L2544" s="226"/>
      <c r="M2544" s="226"/>
      <c r="N2544" s="246"/>
      <c r="P2544" s="228"/>
      <c r="Q2544" s="245"/>
      <c r="R2544" s="186" t="str">
        <f aca="false">+PROPER(C2544&amp;" "&amp;D2544)</f>
        <v> </v>
      </c>
      <c r="S2544" s="230" t="n">
        <f aca="false">+YEARFRAC(L2544,$S$1)</f>
        <v>126.366666666667</v>
      </c>
      <c r="T2544" s="230" t="n">
        <f aca="false">+YEARFRAC(M2544,$S$1)</f>
        <v>126.366666666667</v>
      </c>
      <c r="U2544" s="231" t="n">
        <f aca="false">+$I2544</f>
        <v>0</v>
      </c>
      <c r="V2544" s="232" t="str">
        <f aca="false">+PROPER(F2544)</f>
        <v/>
      </c>
    </row>
    <row r="2545" customFormat="false" ht="14.25" hidden="false" customHeight="false" outlineLevel="0" collapsed="false">
      <c r="B2545" s="244"/>
      <c r="C2545" s="245"/>
      <c r="D2545" s="245"/>
      <c r="E2545" s="246"/>
      <c r="F2545" s="246"/>
      <c r="G2545" s="225" t="e">
        <f aca="false">VLOOKUP(B2545,'NIVEL ENERO'!A:F,4,0)</f>
        <v>#N/A</v>
      </c>
      <c r="H2545" s="247"/>
      <c r="I2545" s="247"/>
      <c r="J2545" s="246"/>
      <c r="K2545" s="246"/>
      <c r="L2545" s="226"/>
      <c r="M2545" s="226"/>
      <c r="N2545" s="246"/>
      <c r="P2545" s="228"/>
      <c r="Q2545" s="245"/>
      <c r="R2545" s="186" t="str">
        <f aca="false">+PROPER(C2545&amp;" "&amp;D2545)</f>
        <v> </v>
      </c>
      <c r="S2545" s="230" t="n">
        <f aca="false">+YEARFRAC(L2545,$S$1)</f>
        <v>126.366666666667</v>
      </c>
      <c r="T2545" s="230" t="n">
        <f aca="false">+YEARFRAC(M2545,$S$1)</f>
        <v>126.366666666667</v>
      </c>
      <c r="U2545" s="231" t="n">
        <f aca="false">+$I2545</f>
        <v>0</v>
      </c>
      <c r="V2545" s="232" t="str">
        <f aca="false">+PROPER(F2545)</f>
        <v/>
      </c>
    </row>
    <row r="2546" customFormat="false" ht="14.25" hidden="false" customHeight="false" outlineLevel="0" collapsed="false">
      <c r="B2546" s="244"/>
      <c r="C2546" s="245"/>
      <c r="D2546" s="245"/>
      <c r="E2546" s="246"/>
      <c r="F2546" s="246"/>
      <c r="G2546" s="225" t="e">
        <f aca="false">VLOOKUP(B2546,'NIVEL ENERO'!A:F,4,0)</f>
        <v>#N/A</v>
      </c>
      <c r="H2546" s="247"/>
      <c r="I2546" s="247"/>
      <c r="J2546" s="246"/>
      <c r="K2546" s="246"/>
      <c r="L2546" s="226"/>
      <c r="M2546" s="226"/>
      <c r="N2546" s="246"/>
      <c r="P2546" s="228"/>
      <c r="Q2546" s="245"/>
      <c r="R2546" s="186" t="str">
        <f aca="false">+PROPER(C2546&amp;" "&amp;D2546)</f>
        <v> </v>
      </c>
      <c r="S2546" s="230" t="n">
        <f aca="false">+YEARFRAC(L2546,$S$1)</f>
        <v>126.366666666667</v>
      </c>
      <c r="T2546" s="230" t="n">
        <f aca="false">+YEARFRAC(M2546,$S$1)</f>
        <v>126.366666666667</v>
      </c>
      <c r="U2546" s="231" t="n">
        <f aca="false">+$I2546</f>
        <v>0</v>
      </c>
      <c r="V2546" s="232" t="str">
        <f aca="false">+PROPER(F2546)</f>
        <v/>
      </c>
    </row>
    <row r="2547" customFormat="false" ht="14.25" hidden="false" customHeight="false" outlineLevel="0" collapsed="false">
      <c r="B2547" s="244"/>
      <c r="C2547" s="245"/>
      <c r="D2547" s="245"/>
      <c r="E2547" s="246"/>
      <c r="F2547" s="246"/>
      <c r="G2547" s="225" t="e">
        <f aca="false">VLOOKUP(B2547,'NIVEL ENERO'!A:F,4,0)</f>
        <v>#N/A</v>
      </c>
      <c r="H2547" s="247"/>
      <c r="I2547" s="247"/>
      <c r="J2547" s="246"/>
      <c r="K2547" s="246"/>
      <c r="L2547" s="226"/>
      <c r="M2547" s="226"/>
      <c r="N2547" s="246"/>
      <c r="P2547" s="228"/>
      <c r="Q2547" s="245"/>
      <c r="R2547" s="186" t="str">
        <f aca="false">+PROPER(C2547&amp;" "&amp;D2547)</f>
        <v> </v>
      </c>
      <c r="S2547" s="230" t="n">
        <f aca="false">+YEARFRAC(L2547,$S$1)</f>
        <v>126.366666666667</v>
      </c>
      <c r="T2547" s="230" t="n">
        <f aca="false">+YEARFRAC(M2547,$S$1)</f>
        <v>126.366666666667</v>
      </c>
      <c r="U2547" s="231" t="n">
        <f aca="false">+$I2547</f>
        <v>0</v>
      </c>
      <c r="V2547" s="232" t="str">
        <f aca="false">+PROPER(F2547)</f>
        <v/>
      </c>
    </row>
    <row r="2548" customFormat="false" ht="14.25" hidden="false" customHeight="false" outlineLevel="0" collapsed="false">
      <c r="B2548" s="244"/>
      <c r="C2548" s="245"/>
      <c r="D2548" s="245"/>
      <c r="E2548" s="246"/>
      <c r="F2548" s="246"/>
      <c r="G2548" s="225" t="e">
        <f aca="false">VLOOKUP(B2548,'NIVEL ENERO'!A:F,4,0)</f>
        <v>#N/A</v>
      </c>
      <c r="H2548" s="247"/>
      <c r="I2548" s="247"/>
      <c r="J2548" s="246"/>
      <c r="K2548" s="246"/>
      <c r="L2548" s="226"/>
      <c r="M2548" s="226"/>
      <c r="N2548" s="246"/>
      <c r="P2548" s="228"/>
      <c r="Q2548" s="245"/>
      <c r="R2548" s="186" t="str">
        <f aca="false">+PROPER(C2548&amp;" "&amp;D2548)</f>
        <v> </v>
      </c>
      <c r="S2548" s="230" t="n">
        <f aca="false">+YEARFRAC(L2548,$S$1)</f>
        <v>126.366666666667</v>
      </c>
      <c r="T2548" s="230" t="n">
        <f aca="false">+YEARFRAC(M2548,$S$1)</f>
        <v>126.366666666667</v>
      </c>
      <c r="U2548" s="231" t="n">
        <f aca="false">+$I2548</f>
        <v>0</v>
      </c>
      <c r="V2548" s="232" t="str">
        <f aca="false">+PROPER(F2548)</f>
        <v/>
      </c>
    </row>
    <row r="2549" customFormat="false" ht="14.25" hidden="false" customHeight="false" outlineLevel="0" collapsed="false">
      <c r="B2549" s="244"/>
      <c r="C2549" s="245"/>
      <c r="D2549" s="245"/>
      <c r="E2549" s="246"/>
      <c r="F2549" s="246"/>
      <c r="G2549" s="225" t="e">
        <f aca="false">VLOOKUP(B2549,'NIVEL ENERO'!A:F,4,0)</f>
        <v>#N/A</v>
      </c>
      <c r="H2549" s="247"/>
      <c r="I2549" s="247"/>
      <c r="J2549" s="246"/>
      <c r="K2549" s="246"/>
      <c r="L2549" s="226"/>
      <c r="M2549" s="226"/>
      <c r="N2549" s="246"/>
      <c r="P2549" s="228"/>
      <c r="Q2549" s="245"/>
      <c r="R2549" s="186" t="str">
        <f aca="false">+PROPER(C2549&amp;" "&amp;D2549)</f>
        <v> </v>
      </c>
      <c r="S2549" s="230" t="n">
        <f aca="false">+YEARFRAC(L2549,$S$1)</f>
        <v>126.366666666667</v>
      </c>
      <c r="T2549" s="230" t="n">
        <f aca="false">+YEARFRAC(M2549,$S$1)</f>
        <v>126.366666666667</v>
      </c>
      <c r="U2549" s="231" t="n">
        <f aca="false">+$I2549</f>
        <v>0</v>
      </c>
      <c r="V2549" s="232" t="str">
        <f aca="false">+PROPER(F2549)</f>
        <v/>
      </c>
    </row>
    <row r="2550" customFormat="false" ht="14.25" hidden="false" customHeight="false" outlineLevel="0" collapsed="false">
      <c r="B2550" s="244"/>
      <c r="C2550" s="245"/>
      <c r="D2550" s="245"/>
      <c r="E2550" s="246"/>
      <c r="F2550" s="246"/>
      <c r="G2550" s="225" t="e">
        <f aca="false">VLOOKUP(B2550,'NIVEL ENERO'!A:F,4,0)</f>
        <v>#N/A</v>
      </c>
      <c r="H2550" s="247"/>
      <c r="I2550" s="247"/>
      <c r="J2550" s="246"/>
      <c r="K2550" s="246"/>
      <c r="L2550" s="226"/>
      <c r="M2550" s="226"/>
      <c r="N2550" s="246"/>
      <c r="P2550" s="228"/>
      <c r="Q2550" s="245"/>
      <c r="R2550" s="186" t="str">
        <f aca="false">+PROPER(C2550&amp;" "&amp;D2550)</f>
        <v> </v>
      </c>
      <c r="S2550" s="230" t="n">
        <f aca="false">+YEARFRAC(L2550,$S$1)</f>
        <v>126.366666666667</v>
      </c>
      <c r="T2550" s="230" t="n">
        <f aca="false">+YEARFRAC(M2550,$S$1)</f>
        <v>126.366666666667</v>
      </c>
      <c r="U2550" s="231" t="n">
        <f aca="false">+$I2550</f>
        <v>0</v>
      </c>
      <c r="V2550" s="232" t="str">
        <f aca="false">+PROPER(F2550)</f>
        <v/>
      </c>
    </row>
    <row r="2551" customFormat="false" ht="14.25" hidden="false" customHeight="false" outlineLevel="0" collapsed="false">
      <c r="B2551" s="244"/>
      <c r="C2551" s="245"/>
      <c r="D2551" s="245"/>
      <c r="E2551" s="246"/>
      <c r="F2551" s="246"/>
      <c r="G2551" s="225" t="e">
        <f aca="false">VLOOKUP(B2551,'NIVEL ENERO'!A:F,4,0)</f>
        <v>#N/A</v>
      </c>
      <c r="H2551" s="247"/>
      <c r="I2551" s="247"/>
      <c r="J2551" s="246"/>
      <c r="K2551" s="246"/>
      <c r="L2551" s="226"/>
      <c r="M2551" s="226"/>
      <c r="N2551" s="246"/>
      <c r="P2551" s="228"/>
      <c r="Q2551" s="245"/>
      <c r="R2551" s="186" t="str">
        <f aca="false">+PROPER(C2551&amp;" "&amp;D2551)</f>
        <v> </v>
      </c>
      <c r="S2551" s="230" t="n">
        <f aca="false">+YEARFRAC(L2551,$S$1)</f>
        <v>126.366666666667</v>
      </c>
      <c r="T2551" s="230" t="n">
        <f aca="false">+YEARFRAC(M2551,$S$1)</f>
        <v>126.366666666667</v>
      </c>
      <c r="U2551" s="231" t="n">
        <f aca="false">+$I2551</f>
        <v>0</v>
      </c>
      <c r="V2551" s="232" t="str">
        <f aca="false">+PROPER(F2551)</f>
        <v/>
      </c>
    </row>
    <row r="2552" customFormat="false" ht="14.25" hidden="false" customHeight="false" outlineLevel="0" collapsed="false">
      <c r="B2552" s="244"/>
      <c r="C2552" s="245"/>
      <c r="D2552" s="245"/>
      <c r="E2552" s="246"/>
      <c r="F2552" s="246"/>
      <c r="G2552" s="225" t="e">
        <f aca="false">VLOOKUP(B2552,'NIVEL ENERO'!A:F,4,0)</f>
        <v>#N/A</v>
      </c>
      <c r="H2552" s="247"/>
      <c r="I2552" s="247"/>
      <c r="J2552" s="246"/>
      <c r="K2552" s="246"/>
      <c r="L2552" s="226"/>
      <c r="M2552" s="226"/>
      <c r="N2552" s="246"/>
      <c r="P2552" s="228"/>
      <c r="Q2552" s="245"/>
      <c r="R2552" s="186" t="str">
        <f aca="false">+PROPER(C2552&amp;" "&amp;D2552)</f>
        <v> </v>
      </c>
      <c r="S2552" s="230" t="n">
        <f aca="false">+YEARFRAC(L2552,$S$1)</f>
        <v>126.366666666667</v>
      </c>
      <c r="T2552" s="230" t="n">
        <f aca="false">+YEARFRAC(M2552,$S$1)</f>
        <v>126.366666666667</v>
      </c>
      <c r="U2552" s="231" t="n">
        <f aca="false">+$I2552</f>
        <v>0</v>
      </c>
      <c r="V2552" s="232" t="str">
        <f aca="false">+PROPER(F2552)</f>
        <v/>
      </c>
    </row>
    <row r="2553" customFormat="false" ht="14.25" hidden="false" customHeight="false" outlineLevel="0" collapsed="false">
      <c r="B2553" s="244"/>
      <c r="C2553" s="245"/>
      <c r="D2553" s="245"/>
      <c r="E2553" s="246"/>
      <c r="F2553" s="246"/>
      <c r="G2553" s="225" t="e">
        <f aca="false">VLOOKUP(B2553,'NIVEL ENERO'!A:F,4,0)</f>
        <v>#N/A</v>
      </c>
      <c r="H2553" s="247"/>
      <c r="I2553" s="247"/>
      <c r="J2553" s="246"/>
      <c r="K2553" s="246"/>
      <c r="L2553" s="226"/>
      <c r="M2553" s="226"/>
      <c r="N2553" s="246"/>
      <c r="P2553" s="228"/>
      <c r="Q2553" s="245"/>
      <c r="R2553" s="186" t="str">
        <f aca="false">+PROPER(C2553&amp;" "&amp;D2553)</f>
        <v> </v>
      </c>
      <c r="S2553" s="230" t="n">
        <f aca="false">+YEARFRAC(L2553,$S$1)</f>
        <v>126.366666666667</v>
      </c>
      <c r="T2553" s="230" t="n">
        <f aca="false">+YEARFRAC(M2553,$S$1)</f>
        <v>126.366666666667</v>
      </c>
      <c r="U2553" s="231" t="n">
        <f aca="false">+$I2553</f>
        <v>0</v>
      </c>
      <c r="V2553" s="232" t="str">
        <f aca="false">+PROPER(F2553)</f>
        <v/>
      </c>
    </row>
    <row r="2554" customFormat="false" ht="14.25" hidden="false" customHeight="false" outlineLevel="0" collapsed="false">
      <c r="B2554" s="244"/>
      <c r="C2554" s="245"/>
      <c r="D2554" s="245"/>
      <c r="E2554" s="246"/>
      <c r="F2554" s="246"/>
      <c r="G2554" s="225" t="e">
        <f aca="false">VLOOKUP(B2554,'NIVEL ENERO'!A:F,4,0)</f>
        <v>#N/A</v>
      </c>
      <c r="H2554" s="247"/>
      <c r="I2554" s="247"/>
      <c r="J2554" s="246"/>
      <c r="K2554" s="246"/>
      <c r="L2554" s="226"/>
      <c r="M2554" s="226"/>
      <c r="N2554" s="246"/>
      <c r="P2554" s="228"/>
      <c r="Q2554" s="245"/>
      <c r="R2554" s="186" t="str">
        <f aca="false">+PROPER(C2554&amp;" "&amp;D2554)</f>
        <v> </v>
      </c>
      <c r="S2554" s="230" t="n">
        <f aca="false">+YEARFRAC(L2554,$S$1)</f>
        <v>126.366666666667</v>
      </c>
      <c r="T2554" s="230" t="n">
        <f aca="false">+YEARFRAC(M2554,$S$1)</f>
        <v>126.366666666667</v>
      </c>
      <c r="U2554" s="231" t="n">
        <f aca="false">+$I2554</f>
        <v>0</v>
      </c>
      <c r="V2554" s="232" t="str">
        <f aca="false">+PROPER(F2554)</f>
        <v/>
      </c>
    </row>
    <row r="2555" customFormat="false" ht="14.25" hidden="false" customHeight="false" outlineLevel="0" collapsed="false">
      <c r="B2555" s="244"/>
      <c r="C2555" s="245"/>
      <c r="D2555" s="245"/>
      <c r="E2555" s="246"/>
      <c r="F2555" s="246"/>
      <c r="G2555" s="225" t="e">
        <f aca="false">VLOOKUP(B2555,'NIVEL ENERO'!A:F,4,0)</f>
        <v>#N/A</v>
      </c>
      <c r="H2555" s="247"/>
      <c r="I2555" s="247"/>
      <c r="J2555" s="246"/>
      <c r="K2555" s="246"/>
      <c r="L2555" s="226"/>
      <c r="M2555" s="226"/>
      <c r="N2555" s="246"/>
      <c r="P2555" s="228"/>
      <c r="Q2555" s="245"/>
      <c r="R2555" s="186" t="str">
        <f aca="false">+PROPER(C2555&amp;" "&amp;D2555)</f>
        <v> </v>
      </c>
      <c r="S2555" s="230" t="n">
        <f aca="false">+YEARFRAC(L2555,$S$1)</f>
        <v>126.366666666667</v>
      </c>
      <c r="T2555" s="230" t="n">
        <f aca="false">+YEARFRAC(M2555,$S$1)</f>
        <v>126.366666666667</v>
      </c>
      <c r="U2555" s="231" t="n">
        <f aca="false">+$I2555</f>
        <v>0</v>
      </c>
      <c r="V2555" s="232" t="str">
        <f aca="false">+PROPER(F2555)</f>
        <v/>
      </c>
    </row>
    <row r="2556" customFormat="false" ht="14.25" hidden="false" customHeight="false" outlineLevel="0" collapsed="false">
      <c r="B2556" s="244"/>
      <c r="C2556" s="245"/>
      <c r="D2556" s="245"/>
      <c r="E2556" s="246"/>
      <c r="F2556" s="246"/>
      <c r="G2556" s="225" t="e">
        <f aca="false">VLOOKUP(B2556,'NIVEL ENERO'!A:F,4,0)</f>
        <v>#N/A</v>
      </c>
      <c r="H2556" s="247"/>
      <c r="I2556" s="247"/>
      <c r="J2556" s="246"/>
      <c r="K2556" s="246"/>
      <c r="L2556" s="226"/>
      <c r="M2556" s="226"/>
      <c r="N2556" s="246"/>
      <c r="P2556" s="228"/>
      <c r="Q2556" s="245"/>
      <c r="R2556" s="186" t="str">
        <f aca="false">+PROPER(C2556&amp;" "&amp;D2556)</f>
        <v> </v>
      </c>
      <c r="S2556" s="230" t="n">
        <f aca="false">+YEARFRAC(L2556,$S$1)</f>
        <v>126.366666666667</v>
      </c>
      <c r="T2556" s="230" t="n">
        <f aca="false">+YEARFRAC(M2556,$S$1)</f>
        <v>126.366666666667</v>
      </c>
      <c r="U2556" s="231" t="n">
        <f aca="false">+$I2556</f>
        <v>0</v>
      </c>
      <c r="V2556" s="232" t="str">
        <f aca="false">+PROPER(F2556)</f>
        <v/>
      </c>
    </row>
    <row r="2557" customFormat="false" ht="14.25" hidden="false" customHeight="false" outlineLevel="0" collapsed="false">
      <c r="B2557" s="244"/>
      <c r="C2557" s="245"/>
      <c r="D2557" s="245"/>
      <c r="E2557" s="246"/>
      <c r="F2557" s="246"/>
      <c r="G2557" s="225" t="e">
        <f aca="false">VLOOKUP(B2557,'NIVEL ENERO'!A:F,4,0)</f>
        <v>#N/A</v>
      </c>
      <c r="H2557" s="247"/>
      <c r="I2557" s="247"/>
      <c r="J2557" s="246"/>
      <c r="K2557" s="246"/>
      <c r="L2557" s="226"/>
      <c r="M2557" s="226"/>
      <c r="N2557" s="246"/>
      <c r="P2557" s="228"/>
      <c r="Q2557" s="245"/>
      <c r="R2557" s="186" t="str">
        <f aca="false">+PROPER(C2557&amp;" "&amp;D2557)</f>
        <v> </v>
      </c>
      <c r="S2557" s="230" t="n">
        <f aca="false">+YEARFRAC(L2557,$S$1)</f>
        <v>126.366666666667</v>
      </c>
      <c r="T2557" s="230" t="n">
        <f aca="false">+YEARFRAC(M2557,$S$1)</f>
        <v>126.366666666667</v>
      </c>
      <c r="U2557" s="231" t="n">
        <f aca="false">+$I2557</f>
        <v>0</v>
      </c>
      <c r="V2557" s="232" t="str">
        <f aca="false">+PROPER(F2557)</f>
        <v/>
      </c>
    </row>
    <row r="2558" customFormat="false" ht="14.25" hidden="false" customHeight="false" outlineLevel="0" collapsed="false">
      <c r="B2558" s="244"/>
      <c r="C2558" s="245"/>
      <c r="D2558" s="245"/>
      <c r="E2558" s="246"/>
      <c r="F2558" s="246"/>
      <c r="G2558" s="225" t="e">
        <f aca="false">VLOOKUP(B2558,'NIVEL ENERO'!A:F,4,0)</f>
        <v>#N/A</v>
      </c>
      <c r="H2558" s="247"/>
      <c r="I2558" s="247"/>
      <c r="J2558" s="246"/>
      <c r="K2558" s="246"/>
      <c r="L2558" s="226"/>
      <c r="M2558" s="226"/>
      <c r="N2558" s="246"/>
      <c r="P2558" s="228"/>
      <c r="Q2558" s="245"/>
      <c r="R2558" s="186" t="str">
        <f aca="false">+PROPER(C2558&amp;" "&amp;D2558)</f>
        <v> </v>
      </c>
      <c r="S2558" s="230" t="n">
        <f aca="false">+YEARFRAC(L2558,$S$1)</f>
        <v>126.366666666667</v>
      </c>
      <c r="T2558" s="230" t="n">
        <f aca="false">+YEARFRAC(M2558,$S$1)</f>
        <v>126.366666666667</v>
      </c>
      <c r="U2558" s="231" t="n">
        <f aca="false">+$I2558</f>
        <v>0</v>
      </c>
      <c r="V2558" s="232" t="str">
        <f aca="false">+PROPER(F2558)</f>
        <v/>
      </c>
    </row>
    <row r="2559" customFormat="false" ht="14.25" hidden="false" customHeight="false" outlineLevel="0" collapsed="false">
      <c r="B2559" s="244"/>
      <c r="C2559" s="245"/>
      <c r="D2559" s="245"/>
      <c r="E2559" s="246"/>
      <c r="F2559" s="246"/>
      <c r="G2559" s="225" t="e">
        <f aca="false">VLOOKUP(B2559,'NIVEL ENERO'!A:F,4,0)</f>
        <v>#N/A</v>
      </c>
      <c r="H2559" s="247"/>
      <c r="I2559" s="247"/>
      <c r="J2559" s="246"/>
      <c r="K2559" s="246"/>
      <c r="L2559" s="226"/>
      <c r="M2559" s="226"/>
      <c r="N2559" s="246"/>
      <c r="P2559" s="228"/>
      <c r="Q2559" s="245"/>
      <c r="R2559" s="186" t="str">
        <f aca="false">+PROPER(C2559&amp;" "&amp;D2559)</f>
        <v> </v>
      </c>
      <c r="S2559" s="230" t="n">
        <f aca="false">+YEARFRAC(L2559,$S$1)</f>
        <v>126.366666666667</v>
      </c>
      <c r="T2559" s="230" t="n">
        <f aca="false">+YEARFRAC(M2559,$S$1)</f>
        <v>126.366666666667</v>
      </c>
      <c r="U2559" s="231" t="n">
        <f aca="false">+$I2559</f>
        <v>0</v>
      </c>
      <c r="V2559" s="232" t="str">
        <f aca="false">+PROPER(F2559)</f>
        <v/>
      </c>
    </row>
    <row r="2560" customFormat="false" ht="14.25" hidden="false" customHeight="false" outlineLevel="0" collapsed="false">
      <c r="B2560" s="244"/>
      <c r="C2560" s="245"/>
      <c r="D2560" s="245"/>
      <c r="E2560" s="246"/>
      <c r="F2560" s="246"/>
      <c r="G2560" s="225" t="e">
        <f aca="false">VLOOKUP(B2560,'NIVEL ENERO'!A:F,4,0)</f>
        <v>#N/A</v>
      </c>
      <c r="H2560" s="247"/>
      <c r="I2560" s="247"/>
      <c r="J2560" s="246"/>
      <c r="K2560" s="246"/>
      <c r="L2560" s="226"/>
      <c r="M2560" s="226"/>
      <c r="N2560" s="246"/>
      <c r="P2560" s="228"/>
      <c r="Q2560" s="245"/>
      <c r="R2560" s="186" t="str">
        <f aca="false">+PROPER(C2560&amp;" "&amp;D2560)</f>
        <v> </v>
      </c>
      <c r="S2560" s="230" t="n">
        <f aca="false">+YEARFRAC(L2560,$S$1)</f>
        <v>126.366666666667</v>
      </c>
      <c r="T2560" s="230" t="n">
        <f aca="false">+YEARFRAC(M2560,$S$1)</f>
        <v>126.366666666667</v>
      </c>
      <c r="U2560" s="231" t="n">
        <f aca="false">+$I2560</f>
        <v>0</v>
      </c>
      <c r="V2560" s="232" t="str">
        <f aca="false">+PROPER(F2560)</f>
        <v/>
      </c>
    </row>
    <row r="2561" customFormat="false" ht="14.25" hidden="false" customHeight="false" outlineLevel="0" collapsed="false">
      <c r="B2561" s="244"/>
      <c r="C2561" s="245"/>
      <c r="D2561" s="245"/>
      <c r="E2561" s="246"/>
      <c r="F2561" s="246"/>
      <c r="G2561" s="225" t="e">
        <f aca="false">VLOOKUP(B2561,'NIVEL ENERO'!A:F,4,0)</f>
        <v>#N/A</v>
      </c>
      <c r="H2561" s="247"/>
      <c r="I2561" s="247"/>
      <c r="J2561" s="246"/>
      <c r="K2561" s="246"/>
      <c r="L2561" s="226"/>
      <c r="M2561" s="226"/>
      <c r="N2561" s="246"/>
      <c r="P2561" s="228"/>
      <c r="Q2561" s="245"/>
      <c r="R2561" s="186" t="str">
        <f aca="false">+PROPER(C2561&amp;" "&amp;D2561)</f>
        <v> </v>
      </c>
      <c r="S2561" s="230" t="n">
        <f aca="false">+YEARFRAC(L2561,$S$1)</f>
        <v>126.366666666667</v>
      </c>
      <c r="T2561" s="230" t="n">
        <f aca="false">+YEARFRAC(M2561,$S$1)</f>
        <v>126.366666666667</v>
      </c>
      <c r="U2561" s="231" t="n">
        <f aca="false">+$I2561</f>
        <v>0</v>
      </c>
      <c r="V2561" s="232" t="str">
        <f aca="false">+PROPER(F2561)</f>
        <v/>
      </c>
    </row>
    <row r="2562" customFormat="false" ht="14.25" hidden="false" customHeight="false" outlineLevel="0" collapsed="false">
      <c r="B2562" s="244"/>
      <c r="C2562" s="245"/>
      <c r="D2562" s="245"/>
      <c r="E2562" s="246"/>
      <c r="F2562" s="246"/>
      <c r="G2562" s="225" t="e">
        <f aca="false">VLOOKUP(B2562,'NIVEL ENERO'!A:F,4,0)</f>
        <v>#N/A</v>
      </c>
      <c r="H2562" s="247"/>
      <c r="I2562" s="247"/>
      <c r="J2562" s="246"/>
      <c r="K2562" s="246"/>
      <c r="L2562" s="226"/>
      <c r="M2562" s="226"/>
      <c r="N2562" s="246"/>
      <c r="P2562" s="228"/>
      <c r="Q2562" s="245"/>
      <c r="R2562" s="186" t="str">
        <f aca="false">+PROPER(C2562&amp;" "&amp;D2562)</f>
        <v> </v>
      </c>
      <c r="S2562" s="230" t="n">
        <f aca="false">+YEARFRAC(L2562,$S$1)</f>
        <v>126.366666666667</v>
      </c>
      <c r="T2562" s="230" t="n">
        <f aca="false">+YEARFRAC(M2562,$S$1)</f>
        <v>126.366666666667</v>
      </c>
      <c r="U2562" s="231" t="n">
        <f aca="false">+$I2562</f>
        <v>0</v>
      </c>
      <c r="V2562" s="232" t="str">
        <f aca="false">+PROPER(F2562)</f>
        <v/>
      </c>
    </row>
    <row r="2563" customFormat="false" ht="14.25" hidden="false" customHeight="false" outlineLevel="0" collapsed="false">
      <c r="B2563" s="244"/>
      <c r="C2563" s="245"/>
      <c r="D2563" s="245"/>
      <c r="E2563" s="246"/>
      <c r="F2563" s="246"/>
      <c r="G2563" s="225" t="e">
        <f aca="false">VLOOKUP(B2563,'NIVEL ENERO'!A:F,4,0)</f>
        <v>#N/A</v>
      </c>
      <c r="H2563" s="247"/>
      <c r="I2563" s="247"/>
      <c r="J2563" s="246"/>
      <c r="K2563" s="246"/>
      <c r="L2563" s="226"/>
      <c r="M2563" s="226"/>
      <c r="N2563" s="246"/>
      <c r="P2563" s="228"/>
      <c r="Q2563" s="245"/>
      <c r="R2563" s="186" t="str">
        <f aca="false">+PROPER(C2563&amp;" "&amp;D2563)</f>
        <v> </v>
      </c>
      <c r="S2563" s="230" t="n">
        <f aca="false">+YEARFRAC(L2563,$S$1)</f>
        <v>126.366666666667</v>
      </c>
      <c r="T2563" s="230" t="n">
        <f aca="false">+YEARFRAC(M2563,$S$1)</f>
        <v>126.366666666667</v>
      </c>
      <c r="U2563" s="231" t="n">
        <f aca="false">+$I2563</f>
        <v>0</v>
      </c>
      <c r="V2563" s="232" t="str">
        <f aca="false">+PROPER(F2563)</f>
        <v/>
      </c>
    </row>
    <row r="2564" customFormat="false" ht="14.25" hidden="false" customHeight="false" outlineLevel="0" collapsed="false">
      <c r="B2564" s="244"/>
      <c r="C2564" s="245"/>
      <c r="D2564" s="245"/>
      <c r="E2564" s="246"/>
      <c r="F2564" s="246"/>
      <c r="G2564" s="225" t="e">
        <f aca="false">VLOOKUP(B2564,'NIVEL ENERO'!A:F,4,0)</f>
        <v>#N/A</v>
      </c>
      <c r="H2564" s="247"/>
      <c r="I2564" s="247"/>
      <c r="J2564" s="246"/>
      <c r="K2564" s="246"/>
      <c r="L2564" s="226"/>
      <c r="M2564" s="226"/>
      <c r="N2564" s="246"/>
      <c r="P2564" s="228"/>
      <c r="Q2564" s="245"/>
      <c r="R2564" s="186" t="str">
        <f aca="false">+PROPER(C2564&amp;" "&amp;D2564)</f>
        <v> </v>
      </c>
      <c r="S2564" s="230" t="n">
        <f aca="false">+YEARFRAC(L2564,$S$1)</f>
        <v>126.366666666667</v>
      </c>
      <c r="T2564" s="230" t="n">
        <f aca="false">+YEARFRAC(M2564,$S$1)</f>
        <v>126.366666666667</v>
      </c>
      <c r="U2564" s="231" t="n">
        <f aca="false">+$I2564</f>
        <v>0</v>
      </c>
      <c r="V2564" s="232" t="str">
        <f aca="false">+PROPER(F2564)</f>
        <v/>
      </c>
    </row>
    <row r="2565" customFormat="false" ht="14.25" hidden="false" customHeight="false" outlineLevel="0" collapsed="false">
      <c r="B2565" s="244"/>
      <c r="C2565" s="245"/>
      <c r="D2565" s="245"/>
      <c r="E2565" s="246"/>
      <c r="F2565" s="246"/>
      <c r="G2565" s="225" t="e">
        <f aca="false">VLOOKUP(B2565,'NIVEL ENERO'!A:F,4,0)</f>
        <v>#N/A</v>
      </c>
      <c r="H2565" s="247"/>
      <c r="I2565" s="247"/>
      <c r="J2565" s="246"/>
      <c r="K2565" s="246"/>
      <c r="L2565" s="226"/>
      <c r="M2565" s="226"/>
      <c r="N2565" s="246"/>
      <c r="P2565" s="228"/>
      <c r="Q2565" s="245"/>
      <c r="R2565" s="186" t="str">
        <f aca="false">+PROPER(C2565&amp;" "&amp;D2565)</f>
        <v> </v>
      </c>
      <c r="S2565" s="230" t="n">
        <f aca="false">+YEARFRAC(L2565,$S$1)</f>
        <v>126.366666666667</v>
      </c>
      <c r="T2565" s="230" t="n">
        <f aca="false">+YEARFRAC(M2565,$S$1)</f>
        <v>126.366666666667</v>
      </c>
      <c r="U2565" s="231" t="n">
        <f aca="false">+$I2565</f>
        <v>0</v>
      </c>
      <c r="V2565" s="232" t="str">
        <f aca="false">+PROPER(F2565)</f>
        <v/>
      </c>
    </row>
    <row r="2566" customFormat="false" ht="14.25" hidden="false" customHeight="false" outlineLevel="0" collapsed="false">
      <c r="B2566" s="244"/>
      <c r="C2566" s="245"/>
      <c r="D2566" s="245"/>
      <c r="E2566" s="246"/>
      <c r="F2566" s="246"/>
      <c r="G2566" s="225" t="e">
        <f aca="false">VLOOKUP(B2566,'NIVEL ENERO'!A:F,4,0)</f>
        <v>#N/A</v>
      </c>
      <c r="H2566" s="247"/>
      <c r="I2566" s="247"/>
      <c r="J2566" s="246"/>
      <c r="K2566" s="246"/>
      <c r="L2566" s="226"/>
      <c r="M2566" s="226"/>
      <c r="N2566" s="246"/>
      <c r="P2566" s="228"/>
      <c r="Q2566" s="245"/>
      <c r="R2566" s="186" t="str">
        <f aca="false">+PROPER(C2566&amp;" "&amp;D2566)</f>
        <v> </v>
      </c>
      <c r="S2566" s="230" t="n">
        <f aca="false">+YEARFRAC(L2566,$S$1)</f>
        <v>126.366666666667</v>
      </c>
      <c r="T2566" s="230" t="n">
        <f aca="false">+YEARFRAC(M2566,$S$1)</f>
        <v>126.366666666667</v>
      </c>
      <c r="U2566" s="231" t="n">
        <f aca="false">+$I2566</f>
        <v>0</v>
      </c>
      <c r="V2566" s="232" t="str">
        <f aca="false">+PROPER(F2566)</f>
        <v/>
      </c>
    </row>
    <row r="2567" customFormat="false" ht="14.25" hidden="false" customHeight="false" outlineLevel="0" collapsed="false">
      <c r="B2567" s="244"/>
      <c r="C2567" s="245"/>
      <c r="D2567" s="245"/>
      <c r="E2567" s="246"/>
      <c r="F2567" s="246"/>
      <c r="G2567" s="225" t="e">
        <f aca="false">VLOOKUP(B2567,'NIVEL ENERO'!A:F,4,0)</f>
        <v>#N/A</v>
      </c>
      <c r="H2567" s="247"/>
      <c r="I2567" s="247"/>
      <c r="J2567" s="246"/>
      <c r="K2567" s="246"/>
      <c r="L2567" s="226"/>
      <c r="M2567" s="226"/>
      <c r="N2567" s="246"/>
      <c r="P2567" s="228"/>
      <c r="Q2567" s="245"/>
      <c r="R2567" s="186" t="str">
        <f aca="false">+PROPER(C2567&amp;" "&amp;D2567)</f>
        <v> </v>
      </c>
      <c r="S2567" s="230" t="n">
        <f aca="false">+YEARFRAC(L2567,$S$1)</f>
        <v>126.366666666667</v>
      </c>
      <c r="T2567" s="230" t="n">
        <f aca="false">+YEARFRAC(M2567,$S$1)</f>
        <v>126.366666666667</v>
      </c>
      <c r="U2567" s="231" t="n">
        <f aca="false">+$I2567</f>
        <v>0</v>
      </c>
      <c r="V2567" s="232" t="str">
        <f aca="false">+PROPER(F2567)</f>
        <v/>
      </c>
    </row>
    <row r="2568" customFormat="false" ht="14.25" hidden="false" customHeight="false" outlineLevel="0" collapsed="false">
      <c r="B2568" s="244"/>
      <c r="C2568" s="245"/>
      <c r="D2568" s="245"/>
      <c r="E2568" s="246"/>
      <c r="F2568" s="246"/>
      <c r="G2568" s="225" t="e">
        <f aca="false">VLOOKUP(B2568,'NIVEL ENERO'!A:F,4,0)</f>
        <v>#N/A</v>
      </c>
      <c r="H2568" s="247"/>
      <c r="I2568" s="247"/>
      <c r="J2568" s="246"/>
      <c r="K2568" s="246"/>
      <c r="L2568" s="226"/>
      <c r="M2568" s="226"/>
      <c r="N2568" s="246"/>
      <c r="P2568" s="228"/>
      <c r="Q2568" s="245"/>
      <c r="R2568" s="186" t="str">
        <f aca="false">+PROPER(C2568&amp;" "&amp;D2568)</f>
        <v> </v>
      </c>
      <c r="S2568" s="230" t="n">
        <f aca="false">+YEARFRAC(L2568,$S$1)</f>
        <v>126.366666666667</v>
      </c>
      <c r="T2568" s="230" t="n">
        <f aca="false">+YEARFRAC(M2568,$S$1)</f>
        <v>126.366666666667</v>
      </c>
      <c r="U2568" s="231" t="n">
        <f aca="false">+$I2568</f>
        <v>0</v>
      </c>
      <c r="V2568" s="232" t="str">
        <f aca="false">+PROPER(F2568)</f>
        <v/>
      </c>
    </row>
    <row r="2569" customFormat="false" ht="14.25" hidden="false" customHeight="false" outlineLevel="0" collapsed="false">
      <c r="B2569" s="244"/>
      <c r="C2569" s="245"/>
      <c r="D2569" s="245"/>
      <c r="E2569" s="246"/>
      <c r="F2569" s="246"/>
      <c r="G2569" s="225" t="e">
        <f aca="false">VLOOKUP(B2569,'NIVEL ENERO'!A:F,4,0)</f>
        <v>#N/A</v>
      </c>
      <c r="H2569" s="247"/>
      <c r="I2569" s="247"/>
      <c r="J2569" s="246"/>
      <c r="K2569" s="246"/>
      <c r="L2569" s="226"/>
      <c r="M2569" s="226"/>
      <c r="N2569" s="246"/>
      <c r="P2569" s="228"/>
      <c r="Q2569" s="245"/>
      <c r="R2569" s="186" t="str">
        <f aca="false">+PROPER(C2569&amp;" "&amp;D2569)</f>
        <v> </v>
      </c>
      <c r="S2569" s="230" t="n">
        <f aca="false">+YEARFRAC(L2569,$S$1)</f>
        <v>126.366666666667</v>
      </c>
      <c r="T2569" s="230" t="n">
        <f aca="false">+YEARFRAC(M2569,$S$1)</f>
        <v>126.366666666667</v>
      </c>
      <c r="U2569" s="231" t="n">
        <f aca="false">+$I2569</f>
        <v>0</v>
      </c>
      <c r="V2569" s="232" t="str">
        <f aca="false">+PROPER(F2569)</f>
        <v/>
      </c>
    </row>
    <row r="2570" customFormat="false" ht="14.25" hidden="false" customHeight="false" outlineLevel="0" collapsed="false">
      <c r="B2570" s="244"/>
      <c r="C2570" s="245"/>
      <c r="D2570" s="245"/>
      <c r="E2570" s="246"/>
      <c r="F2570" s="246"/>
      <c r="G2570" s="225" t="e">
        <f aca="false">VLOOKUP(B2570,'NIVEL ENERO'!A:F,4,0)</f>
        <v>#N/A</v>
      </c>
      <c r="H2570" s="247"/>
      <c r="I2570" s="247"/>
      <c r="J2570" s="246"/>
      <c r="K2570" s="246"/>
      <c r="L2570" s="226"/>
      <c r="M2570" s="226"/>
      <c r="N2570" s="246"/>
      <c r="P2570" s="228"/>
      <c r="Q2570" s="245"/>
      <c r="R2570" s="186" t="str">
        <f aca="false">+PROPER(C2570&amp;" "&amp;D2570)</f>
        <v> </v>
      </c>
      <c r="S2570" s="230" t="n">
        <f aca="false">+YEARFRAC(L2570,$S$1)</f>
        <v>126.366666666667</v>
      </c>
      <c r="T2570" s="230" t="n">
        <f aca="false">+YEARFRAC(M2570,$S$1)</f>
        <v>126.366666666667</v>
      </c>
      <c r="U2570" s="231" t="n">
        <f aca="false">+$I2570</f>
        <v>0</v>
      </c>
      <c r="V2570" s="232" t="str">
        <f aca="false">+PROPER(F2570)</f>
        <v/>
      </c>
    </row>
    <row r="2571" customFormat="false" ht="14.25" hidden="false" customHeight="false" outlineLevel="0" collapsed="false">
      <c r="B2571" s="244"/>
      <c r="C2571" s="245"/>
      <c r="D2571" s="245"/>
      <c r="E2571" s="246"/>
      <c r="F2571" s="246"/>
      <c r="G2571" s="225" t="e">
        <f aca="false">VLOOKUP(B2571,'NIVEL ENERO'!A:F,4,0)</f>
        <v>#N/A</v>
      </c>
      <c r="H2571" s="247"/>
      <c r="I2571" s="247"/>
      <c r="J2571" s="246"/>
      <c r="K2571" s="246"/>
      <c r="L2571" s="226"/>
      <c r="M2571" s="226"/>
      <c r="N2571" s="246"/>
      <c r="P2571" s="228"/>
      <c r="Q2571" s="245"/>
      <c r="R2571" s="186" t="str">
        <f aca="false">+PROPER(C2571&amp;" "&amp;D2571)</f>
        <v> </v>
      </c>
      <c r="S2571" s="230" t="n">
        <f aca="false">+YEARFRAC(L2571,$S$1)</f>
        <v>126.366666666667</v>
      </c>
      <c r="T2571" s="230" t="n">
        <f aca="false">+YEARFRAC(M2571,$S$1)</f>
        <v>126.366666666667</v>
      </c>
      <c r="U2571" s="231" t="n">
        <f aca="false">+$I2571</f>
        <v>0</v>
      </c>
      <c r="V2571" s="232" t="str">
        <f aca="false">+PROPER(F2571)</f>
        <v/>
      </c>
    </row>
    <row r="2572" customFormat="false" ht="14.25" hidden="false" customHeight="false" outlineLevel="0" collapsed="false">
      <c r="B2572" s="244"/>
      <c r="C2572" s="245"/>
      <c r="D2572" s="245"/>
      <c r="E2572" s="246"/>
      <c r="F2572" s="246"/>
      <c r="G2572" s="225" t="e">
        <f aca="false">VLOOKUP(B2572,'NIVEL ENERO'!A:F,4,0)</f>
        <v>#N/A</v>
      </c>
      <c r="H2572" s="247"/>
      <c r="I2572" s="247"/>
      <c r="J2572" s="246"/>
      <c r="K2572" s="246"/>
      <c r="L2572" s="226"/>
      <c r="M2572" s="226"/>
      <c r="N2572" s="246"/>
      <c r="P2572" s="228"/>
      <c r="Q2572" s="245"/>
      <c r="R2572" s="186" t="str">
        <f aca="false">+PROPER(C2572&amp;" "&amp;D2572)</f>
        <v> </v>
      </c>
      <c r="S2572" s="230" t="n">
        <f aca="false">+YEARFRAC(L2572,$S$1)</f>
        <v>126.366666666667</v>
      </c>
      <c r="T2572" s="230" t="n">
        <f aca="false">+YEARFRAC(M2572,$S$1)</f>
        <v>126.366666666667</v>
      </c>
      <c r="U2572" s="231" t="n">
        <f aca="false">+$I2572</f>
        <v>0</v>
      </c>
      <c r="V2572" s="232" t="str">
        <f aca="false">+PROPER(F2572)</f>
        <v/>
      </c>
    </row>
    <row r="2573" customFormat="false" ht="14.25" hidden="false" customHeight="false" outlineLevel="0" collapsed="false">
      <c r="B2573" s="244"/>
      <c r="C2573" s="245"/>
      <c r="D2573" s="245"/>
      <c r="E2573" s="246"/>
      <c r="F2573" s="246"/>
      <c r="G2573" s="225" t="e">
        <f aca="false">VLOOKUP(B2573,'NIVEL ENERO'!A:F,4,0)</f>
        <v>#N/A</v>
      </c>
      <c r="H2573" s="247"/>
      <c r="I2573" s="247"/>
      <c r="J2573" s="246"/>
      <c r="K2573" s="246"/>
      <c r="L2573" s="226"/>
      <c r="M2573" s="226"/>
      <c r="N2573" s="246"/>
      <c r="P2573" s="228"/>
      <c r="Q2573" s="245"/>
      <c r="R2573" s="186" t="str">
        <f aca="false">+PROPER(C2573&amp;" "&amp;D2573)</f>
        <v> </v>
      </c>
      <c r="S2573" s="230" t="n">
        <f aca="false">+YEARFRAC(L2573,$S$1)</f>
        <v>126.366666666667</v>
      </c>
      <c r="T2573" s="230" t="n">
        <f aca="false">+YEARFRAC(M2573,$S$1)</f>
        <v>126.366666666667</v>
      </c>
      <c r="U2573" s="231" t="n">
        <f aca="false">+$I2573</f>
        <v>0</v>
      </c>
      <c r="V2573" s="232" t="str">
        <f aca="false">+PROPER(F2573)</f>
        <v/>
      </c>
    </row>
    <row r="2574" customFormat="false" ht="14.25" hidden="false" customHeight="false" outlineLevel="0" collapsed="false">
      <c r="B2574" s="244"/>
      <c r="C2574" s="245"/>
      <c r="D2574" s="245"/>
      <c r="E2574" s="246"/>
      <c r="F2574" s="246"/>
      <c r="G2574" s="225" t="e">
        <f aca="false">VLOOKUP(B2574,'NIVEL ENERO'!A:F,4,0)</f>
        <v>#N/A</v>
      </c>
      <c r="H2574" s="247"/>
      <c r="I2574" s="247"/>
      <c r="J2574" s="246"/>
      <c r="K2574" s="246"/>
      <c r="L2574" s="226"/>
      <c r="M2574" s="226"/>
      <c r="N2574" s="246"/>
      <c r="P2574" s="228"/>
      <c r="Q2574" s="245"/>
      <c r="R2574" s="186" t="str">
        <f aca="false">+PROPER(C2574&amp;" "&amp;D2574)</f>
        <v> </v>
      </c>
      <c r="S2574" s="230" t="n">
        <f aca="false">+YEARFRAC(L2574,$S$1)</f>
        <v>126.366666666667</v>
      </c>
      <c r="T2574" s="230" t="n">
        <f aca="false">+YEARFRAC(M2574,$S$1)</f>
        <v>126.366666666667</v>
      </c>
      <c r="U2574" s="231" t="n">
        <f aca="false">+$I2574</f>
        <v>0</v>
      </c>
      <c r="V2574" s="232" t="str">
        <f aca="false">+PROPER(F2574)</f>
        <v/>
      </c>
    </row>
    <row r="2575" customFormat="false" ht="14.25" hidden="false" customHeight="false" outlineLevel="0" collapsed="false">
      <c r="B2575" s="244"/>
      <c r="C2575" s="245"/>
      <c r="D2575" s="245"/>
      <c r="E2575" s="246"/>
      <c r="F2575" s="246"/>
      <c r="G2575" s="225" t="e">
        <f aca="false">VLOOKUP(B2575,'NIVEL ENERO'!A:F,4,0)</f>
        <v>#N/A</v>
      </c>
      <c r="H2575" s="247"/>
      <c r="I2575" s="247"/>
      <c r="J2575" s="246"/>
      <c r="K2575" s="246"/>
      <c r="L2575" s="226"/>
      <c r="M2575" s="226"/>
      <c r="N2575" s="246"/>
      <c r="P2575" s="228"/>
      <c r="Q2575" s="245"/>
      <c r="R2575" s="186" t="str">
        <f aca="false">+PROPER(C2575&amp;" "&amp;D2575)</f>
        <v> </v>
      </c>
      <c r="S2575" s="230" t="n">
        <f aca="false">+YEARFRAC(L2575,$S$1)</f>
        <v>126.366666666667</v>
      </c>
      <c r="T2575" s="230" t="n">
        <f aca="false">+YEARFRAC(M2575,$S$1)</f>
        <v>126.366666666667</v>
      </c>
      <c r="U2575" s="231" t="n">
        <f aca="false">+$I2575</f>
        <v>0</v>
      </c>
      <c r="V2575" s="232" t="str">
        <f aca="false">+PROPER(F2575)</f>
        <v/>
      </c>
    </row>
    <row r="2576" customFormat="false" ht="14.25" hidden="false" customHeight="false" outlineLevel="0" collapsed="false">
      <c r="B2576" s="244"/>
      <c r="C2576" s="245"/>
      <c r="D2576" s="245"/>
      <c r="E2576" s="246"/>
      <c r="F2576" s="246"/>
      <c r="G2576" s="225" t="e">
        <f aca="false">VLOOKUP(B2576,'NIVEL ENERO'!A:F,4,0)</f>
        <v>#N/A</v>
      </c>
      <c r="H2576" s="247"/>
      <c r="I2576" s="247"/>
      <c r="J2576" s="246"/>
      <c r="K2576" s="246"/>
      <c r="L2576" s="226"/>
      <c r="M2576" s="226"/>
      <c r="N2576" s="246"/>
      <c r="P2576" s="228"/>
      <c r="Q2576" s="245"/>
      <c r="R2576" s="186" t="str">
        <f aca="false">+PROPER(C2576&amp;" "&amp;D2576)</f>
        <v> </v>
      </c>
      <c r="S2576" s="230" t="n">
        <f aca="false">+YEARFRAC(L2576,$S$1)</f>
        <v>126.366666666667</v>
      </c>
      <c r="T2576" s="230" t="n">
        <f aca="false">+YEARFRAC(M2576,$S$1)</f>
        <v>126.366666666667</v>
      </c>
      <c r="U2576" s="231" t="n">
        <f aca="false">+$I2576</f>
        <v>0</v>
      </c>
      <c r="V2576" s="232" t="str">
        <f aca="false">+PROPER(F2576)</f>
        <v/>
      </c>
    </row>
    <row r="2577" customFormat="false" ht="14.25" hidden="false" customHeight="false" outlineLevel="0" collapsed="false">
      <c r="B2577" s="244"/>
      <c r="C2577" s="245"/>
      <c r="D2577" s="245"/>
      <c r="E2577" s="246"/>
      <c r="F2577" s="246"/>
      <c r="G2577" s="225" t="e">
        <f aca="false">VLOOKUP(B2577,'NIVEL ENERO'!A:F,4,0)</f>
        <v>#N/A</v>
      </c>
      <c r="H2577" s="247"/>
      <c r="I2577" s="247"/>
      <c r="J2577" s="246"/>
      <c r="K2577" s="246"/>
      <c r="L2577" s="226"/>
      <c r="M2577" s="226"/>
      <c r="N2577" s="246"/>
      <c r="P2577" s="228"/>
      <c r="Q2577" s="245"/>
      <c r="R2577" s="186" t="str">
        <f aca="false">+PROPER(C2577&amp;" "&amp;D2577)</f>
        <v> </v>
      </c>
      <c r="S2577" s="230" t="n">
        <f aca="false">+YEARFRAC(L2577,$S$1)</f>
        <v>126.366666666667</v>
      </c>
      <c r="T2577" s="230" t="n">
        <f aca="false">+YEARFRAC(M2577,$S$1)</f>
        <v>126.366666666667</v>
      </c>
      <c r="U2577" s="231" t="n">
        <f aca="false">+$I2577</f>
        <v>0</v>
      </c>
      <c r="V2577" s="232" t="str">
        <f aca="false">+PROPER(F2577)</f>
        <v/>
      </c>
    </row>
    <row r="2578" customFormat="false" ht="14.25" hidden="false" customHeight="false" outlineLevel="0" collapsed="false">
      <c r="B2578" s="244"/>
      <c r="C2578" s="245"/>
      <c r="D2578" s="245"/>
      <c r="E2578" s="246"/>
      <c r="F2578" s="246"/>
      <c r="G2578" s="225" t="e">
        <f aca="false">VLOOKUP(B2578,'NIVEL ENERO'!A:F,4,0)</f>
        <v>#N/A</v>
      </c>
      <c r="H2578" s="247"/>
      <c r="I2578" s="247"/>
      <c r="J2578" s="246"/>
      <c r="K2578" s="246"/>
      <c r="L2578" s="226"/>
      <c r="M2578" s="226"/>
      <c r="N2578" s="246"/>
      <c r="P2578" s="228"/>
      <c r="Q2578" s="245"/>
      <c r="R2578" s="186" t="str">
        <f aca="false">+PROPER(C2578&amp;" "&amp;D2578)</f>
        <v> </v>
      </c>
      <c r="S2578" s="230" t="n">
        <f aca="false">+YEARFRAC(L2578,$S$1)</f>
        <v>126.366666666667</v>
      </c>
      <c r="T2578" s="230" t="n">
        <f aca="false">+YEARFRAC(M2578,$S$1)</f>
        <v>126.366666666667</v>
      </c>
      <c r="U2578" s="231" t="n">
        <f aca="false">+$I2578</f>
        <v>0</v>
      </c>
      <c r="V2578" s="232" t="str">
        <f aca="false">+PROPER(F2578)</f>
        <v/>
      </c>
    </row>
    <row r="2579" customFormat="false" ht="14.25" hidden="false" customHeight="false" outlineLevel="0" collapsed="false">
      <c r="B2579" s="244"/>
      <c r="C2579" s="245"/>
      <c r="D2579" s="245"/>
      <c r="E2579" s="246"/>
      <c r="F2579" s="246"/>
      <c r="G2579" s="225" t="e">
        <f aca="false">VLOOKUP(B2579,'NIVEL ENERO'!A:F,4,0)</f>
        <v>#N/A</v>
      </c>
      <c r="H2579" s="247"/>
      <c r="I2579" s="247"/>
      <c r="J2579" s="246"/>
      <c r="K2579" s="246"/>
      <c r="L2579" s="226"/>
      <c r="M2579" s="226"/>
      <c r="N2579" s="246"/>
      <c r="P2579" s="228"/>
      <c r="Q2579" s="245"/>
      <c r="R2579" s="186" t="str">
        <f aca="false">+PROPER(C2579&amp;" "&amp;D2579)</f>
        <v> </v>
      </c>
      <c r="S2579" s="230" t="n">
        <f aca="false">+YEARFRAC(L2579,$S$1)</f>
        <v>126.366666666667</v>
      </c>
      <c r="T2579" s="230" t="n">
        <f aca="false">+YEARFRAC(M2579,$S$1)</f>
        <v>126.366666666667</v>
      </c>
      <c r="U2579" s="231" t="n">
        <f aca="false">+$I2579</f>
        <v>0</v>
      </c>
      <c r="V2579" s="232" t="str">
        <f aca="false">+PROPER(F2579)</f>
        <v/>
      </c>
    </row>
    <row r="2580" customFormat="false" ht="14.25" hidden="false" customHeight="false" outlineLevel="0" collapsed="false">
      <c r="B2580" s="244"/>
      <c r="C2580" s="245"/>
      <c r="D2580" s="245"/>
      <c r="E2580" s="246"/>
      <c r="F2580" s="246"/>
      <c r="G2580" s="225" t="e">
        <f aca="false">VLOOKUP(B2580,'NIVEL ENERO'!A:F,4,0)</f>
        <v>#N/A</v>
      </c>
      <c r="H2580" s="247"/>
      <c r="I2580" s="247"/>
      <c r="J2580" s="246"/>
      <c r="K2580" s="246"/>
      <c r="L2580" s="226"/>
      <c r="M2580" s="226"/>
      <c r="N2580" s="246"/>
      <c r="P2580" s="228"/>
      <c r="Q2580" s="245"/>
      <c r="R2580" s="186" t="str">
        <f aca="false">+PROPER(C2580&amp;" "&amp;D2580)</f>
        <v> </v>
      </c>
      <c r="S2580" s="230" t="n">
        <f aca="false">+YEARFRAC(L2580,$S$1)</f>
        <v>126.366666666667</v>
      </c>
      <c r="T2580" s="230" t="n">
        <f aca="false">+YEARFRAC(M2580,$S$1)</f>
        <v>126.366666666667</v>
      </c>
      <c r="U2580" s="231" t="n">
        <f aca="false">+$I2580</f>
        <v>0</v>
      </c>
      <c r="V2580" s="232" t="str">
        <f aca="false">+PROPER(F2580)</f>
        <v/>
      </c>
    </row>
    <row r="2581" customFormat="false" ht="14.25" hidden="false" customHeight="false" outlineLevel="0" collapsed="false">
      <c r="B2581" s="244"/>
      <c r="C2581" s="245"/>
      <c r="D2581" s="245"/>
      <c r="E2581" s="246"/>
      <c r="F2581" s="246"/>
      <c r="G2581" s="225" t="e">
        <f aca="false">VLOOKUP(B2581,'NIVEL ENERO'!A:F,4,0)</f>
        <v>#N/A</v>
      </c>
      <c r="H2581" s="247"/>
      <c r="I2581" s="247"/>
      <c r="J2581" s="246"/>
      <c r="K2581" s="246"/>
      <c r="L2581" s="226"/>
      <c r="M2581" s="226"/>
      <c r="N2581" s="246"/>
      <c r="P2581" s="228"/>
      <c r="Q2581" s="245"/>
      <c r="R2581" s="186" t="str">
        <f aca="false">+PROPER(C2581&amp;" "&amp;D2581)</f>
        <v> </v>
      </c>
      <c r="S2581" s="230" t="n">
        <f aca="false">+YEARFRAC(L2581,$S$1)</f>
        <v>126.366666666667</v>
      </c>
      <c r="T2581" s="230" t="n">
        <f aca="false">+YEARFRAC(M2581,$S$1)</f>
        <v>126.366666666667</v>
      </c>
      <c r="U2581" s="231" t="n">
        <f aca="false">+$I2581</f>
        <v>0</v>
      </c>
      <c r="V2581" s="232" t="str">
        <f aca="false">+PROPER(F2581)</f>
        <v/>
      </c>
    </row>
    <row r="2582" customFormat="false" ht="14.25" hidden="false" customHeight="false" outlineLevel="0" collapsed="false">
      <c r="B2582" s="244"/>
      <c r="C2582" s="245"/>
      <c r="D2582" s="245"/>
      <c r="E2582" s="246"/>
      <c r="F2582" s="246"/>
      <c r="G2582" s="225" t="e">
        <f aca="false">VLOOKUP(B2582,'NIVEL ENERO'!A:F,4,0)</f>
        <v>#N/A</v>
      </c>
      <c r="H2582" s="247"/>
      <c r="I2582" s="247"/>
      <c r="J2582" s="246"/>
      <c r="K2582" s="246"/>
      <c r="L2582" s="226"/>
      <c r="M2582" s="226"/>
      <c r="N2582" s="246"/>
      <c r="P2582" s="228"/>
      <c r="Q2582" s="245"/>
      <c r="R2582" s="186" t="str">
        <f aca="false">+PROPER(C2582&amp;" "&amp;D2582)</f>
        <v> </v>
      </c>
      <c r="S2582" s="230" t="n">
        <f aca="false">+YEARFRAC(L2582,$S$1)</f>
        <v>126.366666666667</v>
      </c>
      <c r="T2582" s="230" t="n">
        <f aca="false">+YEARFRAC(M2582,$S$1)</f>
        <v>126.366666666667</v>
      </c>
      <c r="U2582" s="231" t="n">
        <f aca="false">+$I2582</f>
        <v>0</v>
      </c>
      <c r="V2582" s="232" t="str">
        <f aca="false">+PROPER(F2582)</f>
        <v/>
      </c>
    </row>
    <row r="2583" customFormat="false" ht="14.25" hidden="false" customHeight="false" outlineLevel="0" collapsed="false">
      <c r="B2583" s="244"/>
      <c r="C2583" s="245"/>
      <c r="D2583" s="245"/>
      <c r="E2583" s="246"/>
      <c r="F2583" s="246"/>
      <c r="G2583" s="225" t="e">
        <f aca="false">VLOOKUP(B2583,'NIVEL ENERO'!A:F,4,0)</f>
        <v>#N/A</v>
      </c>
      <c r="H2583" s="247"/>
      <c r="I2583" s="247"/>
      <c r="J2583" s="246"/>
      <c r="K2583" s="246"/>
      <c r="L2583" s="226"/>
      <c r="M2583" s="226"/>
      <c r="N2583" s="246"/>
      <c r="P2583" s="228"/>
      <c r="Q2583" s="245"/>
      <c r="R2583" s="186" t="str">
        <f aca="false">+PROPER(C2583&amp;" "&amp;D2583)</f>
        <v> </v>
      </c>
      <c r="S2583" s="230" t="n">
        <f aca="false">+YEARFRAC(L2583,$S$1)</f>
        <v>126.366666666667</v>
      </c>
      <c r="T2583" s="230" t="n">
        <f aca="false">+YEARFRAC(M2583,$S$1)</f>
        <v>126.366666666667</v>
      </c>
      <c r="U2583" s="231" t="n">
        <f aca="false">+$I2583</f>
        <v>0</v>
      </c>
      <c r="V2583" s="232" t="str">
        <f aca="false">+PROPER(F2583)</f>
        <v/>
      </c>
    </row>
    <row r="2584" customFormat="false" ht="14.25" hidden="false" customHeight="false" outlineLevel="0" collapsed="false">
      <c r="B2584" s="244"/>
      <c r="C2584" s="245"/>
      <c r="D2584" s="245"/>
      <c r="E2584" s="246"/>
      <c r="F2584" s="246"/>
      <c r="G2584" s="225" t="e">
        <f aca="false">VLOOKUP(B2584,'NIVEL ENERO'!A:F,4,0)</f>
        <v>#N/A</v>
      </c>
      <c r="H2584" s="247"/>
      <c r="I2584" s="247"/>
      <c r="J2584" s="246"/>
      <c r="K2584" s="246"/>
      <c r="L2584" s="226"/>
      <c r="M2584" s="226"/>
      <c r="N2584" s="246"/>
      <c r="P2584" s="228"/>
      <c r="Q2584" s="245"/>
      <c r="R2584" s="186" t="str">
        <f aca="false">+PROPER(C2584&amp;" "&amp;D2584)</f>
        <v> </v>
      </c>
      <c r="S2584" s="230" t="n">
        <f aca="false">+YEARFRAC(L2584,$S$1)</f>
        <v>126.366666666667</v>
      </c>
      <c r="T2584" s="230" t="n">
        <f aca="false">+YEARFRAC(M2584,$S$1)</f>
        <v>126.366666666667</v>
      </c>
      <c r="U2584" s="231" t="n">
        <f aca="false">+$I2584</f>
        <v>0</v>
      </c>
      <c r="V2584" s="232" t="str">
        <f aca="false">+PROPER(F2584)</f>
        <v/>
      </c>
    </row>
    <row r="2585" customFormat="false" ht="14.25" hidden="false" customHeight="false" outlineLevel="0" collapsed="false">
      <c r="B2585" s="244"/>
      <c r="C2585" s="245"/>
      <c r="D2585" s="245"/>
      <c r="E2585" s="246"/>
      <c r="F2585" s="246"/>
      <c r="G2585" s="225" t="e">
        <f aca="false">VLOOKUP(B2585,'NIVEL ENERO'!A:F,4,0)</f>
        <v>#N/A</v>
      </c>
      <c r="H2585" s="247"/>
      <c r="I2585" s="247"/>
      <c r="J2585" s="246"/>
      <c r="K2585" s="246"/>
      <c r="L2585" s="226"/>
      <c r="M2585" s="226"/>
      <c r="N2585" s="246"/>
      <c r="P2585" s="228"/>
      <c r="Q2585" s="245"/>
      <c r="R2585" s="186" t="str">
        <f aca="false">+PROPER(C2585&amp;" "&amp;D2585)</f>
        <v> </v>
      </c>
      <c r="S2585" s="230" t="n">
        <f aca="false">+YEARFRAC(L2585,$S$1)</f>
        <v>126.366666666667</v>
      </c>
      <c r="T2585" s="230" t="n">
        <f aca="false">+YEARFRAC(M2585,$S$1)</f>
        <v>126.366666666667</v>
      </c>
      <c r="U2585" s="231" t="n">
        <f aca="false">+$I2585</f>
        <v>0</v>
      </c>
      <c r="V2585" s="232" t="str">
        <f aca="false">+PROPER(F2585)</f>
        <v/>
      </c>
    </row>
    <row r="2586" customFormat="false" ht="14.25" hidden="false" customHeight="false" outlineLevel="0" collapsed="false">
      <c r="B2586" s="244"/>
      <c r="C2586" s="245"/>
      <c r="D2586" s="245"/>
      <c r="E2586" s="246"/>
      <c r="F2586" s="246"/>
      <c r="G2586" s="225" t="e">
        <f aca="false">VLOOKUP(B2586,'NIVEL ENERO'!A:F,4,0)</f>
        <v>#N/A</v>
      </c>
      <c r="H2586" s="247"/>
      <c r="I2586" s="247"/>
      <c r="J2586" s="246"/>
      <c r="K2586" s="246"/>
      <c r="L2586" s="226"/>
      <c r="M2586" s="226"/>
      <c r="N2586" s="246"/>
      <c r="P2586" s="228"/>
      <c r="Q2586" s="245"/>
      <c r="R2586" s="186" t="str">
        <f aca="false">+PROPER(C2586&amp;" "&amp;D2586)</f>
        <v> </v>
      </c>
      <c r="S2586" s="230" t="n">
        <f aca="false">+YEARFRAC(L2586,$S$1)</f>
        <v>126.366666666667</v>
      </c>
      <c r="T2586" s="230" t="n">
        <f aca="false">+YEARFRAC(M2586,$S$1)</f>
        <v>126.366666666667</v>
      </c>
      <c r="U2586" s="231" t="n">
        <f aca="false">+$I2586</f>
        <v>0</v>
      </c>
      <c r="V2586" s="232" t="str">
        <f aca="false">+PROPER(F2586)</f>
        <v/>
      </c>
    </row>
    <row r="2587" customFormat="false" ht="14.25" hidden="false" customHeight="false" outlineLevel="0" collapsed="false">
      <c r="B2587" s="244"/>
      <c r="C2587" s="245"/>
      <c r="D2587" s="245"/>
      <c r="E2587" s="246"/>
      <c r="F2587" s="246"/>
      <c r="G2587" s="225" t="e">
        <f aca="false">VLOOKUP(B2587,'NIVEL ENERO'!A:F,4,0)</f>
        <v>#N/A</v>
      </c>
      <c r="H2587" s="247"/>
      <c r="I2587" s="247"/>
      <c r="J2587" s="246"/>
      <c r="K2587" s="246"/>
      <c r="L2587" s="226"/>
      <c r="M2587" s="226"/>
      <c r="N2587" s="246"/>
      <c r="P2587" s="228"/>
      <c r="Q2587" s="245"/>
      <c r="R2587" s="186" t="str">
        <f aca="false">+PROPER(C2587&amp;" "&amp;D2587)</f>
        <v> </v>
      </c>
      <c r="S2587" s="230" t="n">
        <f aca="false">+YEARFRAC(L2587,$S$1)</f>
        <v>126.366666666667</v>
      </c>
      <c r="T2587" s="230" t="n">
        <f aca="false">+YEARFRAC(M2587,$S$1)</f>
        <v>126.366666666667</v>
      </c>
      <c r="U2587" s="231" t="n">
        <f aca="false">+$I2587</f>
        <v>0</v>
      </c>
      <c r="V2587" s="232" t="str">
        <f aca="false">+PROPER(F2587)</f>
        <v/>
      </c>
    </row>
    <row r="2588" customFormat="false" ht="14.25" hidden="false" customHeight="false" outlineLevel="0" collapsed="false">
      <c r="B2588" s="244"/>
      <c r="C2588" s="245"/>
      <c r="D2588" s="245"/>
      <c r="E2588" s="246"/>
      <c r="F2588" s="246"/>
      <c r="G2588" s="225" t="e">
        <f aca="false">VLOOKUP(B2588,'NIVEL ENERO'!A:F,4,0)</f>
        <v>#N/A</v>
      </c>
      <c r="H2588" s="247"/>
      <c r="I2588" s="247"/>
      <c r="J2588" s="246"/>
      <c r="K2588" s="246"/>
      <c r="L2588" s="226"/>
      <c r="M2588" s="226"/>
      <c r="N2588" s="246"/>
      <c r="P2588" s="228"/>
      <c r="Q2588" s="245"/>
      <c r="R2588" s="186" t="str">
        <f aca="false">+PROPER(C2588&amp;" "&amp;D2588)</f>
        <v> </v>
      </c>
      <c r="S2588" s="230" t="n">
        <f aca="false">+YEARFRAC(L2588,$S$1)</f>
        <v>126.366666666667</v>
      </c>
      <c r="T2588" s="230" t="n">
        <f aca="false">+YEARFRAC(M2588,$S$1)</f>
        <v>126.366666666667</v>
      </c>
      <c r="U2588" s="231" t="n">
        <f aca="false">+$I2588</f>
        <v>0</v>
      </c>
      <c r="V2588" s="232" t="str">
        <f aca="false">+PROPER(F2588)</f>
        <v/>
      </c>
    </row>
    <row r="2589" customFormat="false" ht="14.25" hidden="false" customHeight="false" outlineLevel="0" collapsed="false">
      <c r="B2589" s="244"/>
      <c r="C2589" s="245"/>
      <c r="D2589" s="245"/>
      <c r="E2589" s="246"/>
      <c r="F2589" s="246"/>
      <c r="G2589" s="225" t="e">
        <f aca="false">VLOOKUP(B2589,'NIVEL ENERO'!A:F,4,0)</f>
        <v>#N/A</v>
      </c>
      <c r="H2589" s="247"/>
      <c r="I2589" s="247"/>
      <c r="J2589" s="246"/>
      <c r="K2589" s="246"/>
      <c r="L2589" s="226"/>
      <c r="M2589" s="226"/>
      <c r="N2589" s="246"/>
      <c r="P2589" s="228"/>
      <c r="Q2589" s="245"/>
      <c r="R2589" s="186" t="str">
        <f aca="false">+PROPER(C2589&amp;" "&amp;D2589)</f>
        <v> </v>
      </c>
      <c r="S2589" s="230" t="n">
        <f aca="false">+YEARFRAC(L2589,$S$1)</f>
        <v>126.366666666667</v>
      </c>
      <c r="T2589" s="230" t="n">
        <f aca="false">+YEARFRAC(M2589,$S$1)</f>
        <v>126.366666666667</v>
      </c>
      <c r="U2589" s="231" t="n">
        <f aca="false">+$I2589</f>
        <v>0</v>
      </c>
      <c r="V2589" s="232" t="str">
        <f aca="false">+PROPER(F2589)</f>
        <v/>
      </c>
    </row>
    <row r="2590" customFormat="false" ht="14.25" hidden="false" customHeight="false" outlineLevel="0" collapsed="false">
      <c r="B2590" s="244"/>
      <c r="C2590" s="245"/>
      <c r="D2590" s="245"/>
      <c r="E2590" s="246"/>
      <c r="F2590" s="246"/>
      <c r="G2590" s="225" t="e">
        <f aca="false">VLOOKUP(B2590,'NIVEL ENERO'!A:F,4,0)</f>
        <v>#N/A</v>
      </c>
      <c r="H2590" s="247"/>
      <c r="I2590" s="247"/>
      <c r="J2590" s="246"/>
      <c r="K2590" s="246"/>
      <c r="L2590" s="226"/>
      <c r="M2590" s="226"/>
      <c r="N2590" s="246"/>
      <c r="P2590" s="228"/>
      <c r="Q2590" s="245"/>
      <c r="R2590" s="186" t="str">
        <f aca="false">+PROPER(C2590&amp;" "&amp;D2590)</f>
        <v> </v>
      </c>
      <c r="S2590" s="230" t="n">
        <f aca="false">+YEARFRAC(L2590,$S$1)</f>
        <v>126.366666666667</v>
      </c>
      <c r="T2590" s="230" t="n">
        <f aca="false">+YEARFRAC(M2590,$S$1)</f>
        <v>126.366666666667</v>
      </c>
      <c r="U2590" s="231" t="n">
        <f aca="false">+$I2590</f>
        <v>0</v>
      </c>
      <c r="V2590" s="232" t="str">
        <f aca="false">+PROPER(F2590)</f>
        <v/>
      </c>
    </row>
    <row r="2591" customFormat="false" ht="14.25" hidden="false" customHeight="false" outlineLevel="0" collapsed="false">
      <c r="B2591" s="244"/>
      <c r="C2591" s="245"/>
      <c r="D2591" s="245"/>
      <c r="E2591" s="246"/>
      <c r="F2591" s="246"/>
      <c r="G2591" s="225" t="e">
        <f aca="false">VLOOKUP(B2591,'NIVEL ENERO'!A:F,4,0)</f>
        <v>#N/A</v>
      </c>
      <c r="H2591" s="247"/>
      <c r="I2591" s="247"/>
      <c r="J2591" s="246"/>
      <c r="K2591" s="246"/>
      <c r="L2591" s="226"/>
      <c r="M2591" s="226"/>
      <c r="N2591" s="246"/>
      <c r="P2591" s="228"/>
      <c r="Q2591" s="245"/>
      <c r="R2591" s="186" t="str">
        <f aca="false">+PROPER(C2591&amp;" "&amp;D2591)</f>
        <v> </v>
      </c>
      <c r="S2591" s="230" t="n">
        <f aca="false">+YEARFRAC(L2591,$S$1)</f>
        <v>126.366666666667</v>
      </c>
      <c r="T2591" s="230" t="n">
        <f aca="false">+YEARFRAC(M2591,$S$1)</f>
        <v>126.366666666667</v>
      </c>
      <c r="U2591" s="231" t="n">
        <f aca="false">+$I2591</f>
        <v>0</v>
      </c>
      <c r="V2591" s="232" t="str">
        <f aca="false">+PROPER(F2591)</f>
        <v/>
      </c>
    </row>
    <row r="2592" customFormat="false" ht="14.25" hidden="false" customHeight="false" outlineLevel="0" collapsed="false">
      <c r="B2592" s="244"/>
      <c r="C2592" s="245"/>
      <c r="D2592" s="245"/>
      <c r="E2592" s="246"/>
      <c r="F2592" s="246"/>
      <c r="G2592" s="225" t="e">
        <f aca="false">VLOOKUP(B2592,'NIVEL ENERO'!A:F,4,0)</f>
        <v>#N/A</v>
      </c>
      <c r="H2592" s="247"/>
      <c r="I2592" s="247"/>
      <c r="J2592" s="246"/>
      <c r="K2592" s="246"/>
      <c r="L2592" s="226"/>
      <c r="M2592" s="226"/>
      <c r="N2592" s="246"/>
      <c r="P2592" s="228"/>
      <c r="Q2592" s="245"/>
      <c r="R2592" s="186" t="str">
        <f aca="false">+PROPER(C2592&amp;" "&amp;D2592)</f>
        <v> </v>
      </c>
      <c r="S2592" s="230" t="n">
        <f aca="false">+YEARFRAC(L2592,$S$1)</f>
        <v>126.366666666667</v>
      </c>
      <c r="T2592" s="230" t="n">
        <f aca="false">+YEARFRAC(M2592,$S$1)</f>
        <v>126.366666666667</v>
      </c>
      <c r="U2592" s="231" t="n">
        <f aca="false">+$I2592</f>
        <v>0</v>
      </c>
      <c r="V2592" s="232" t="str">
        <f aca="false">+PROPER(F2592)</f>
        <v/>
      </c>
    </row>
    <row r="2593" customFormat="false" ht="14.25" hidden="false" customHeight="false" outlineLevel="0" collapsed="false">
      <c r="B2593" s="244"/>
      <c r="C2593" s="245"/>
      <c r="D2593" s="245"/>
      <c r="E2593" s="246"/>
      <c r="F2593" s="246"/>
      <c r="G2593" s="225" t="e">
        <f aca="false">VLOOKUP(B2593,'NIVEL ENERO'!A:F,4,0)</f>
        <v>#N/A</v>
      </c>
      <c r="H2593" s="247"/>
      <c r="I2593" s="247"/>
      <c r="J2593" s="246"/>
      <c r="K2593" s="246"/>
      <c r="L2593" s="226"/>
      <c r="M2593" s="226"/>
      <c r="N2593" s="246"/>
      <c r="P2593" s="228"/>
      <c r="Q2593" s="245"/>
      <c r="R2593" s="186" t="str">
        <f aca="false">+PROPER(C2593&amp;" "&amp;D2593)</f>
        <v> </v>
      </c>
      <c r="S2593" s="230" t="n">
        <f aca="false">+YEARFRAC(L2593,$S$1)</f>
        <v>126.366666666667</v>
      </c>
      <c r="T2593" s="230" t="n">
        <f aca="false">+YEARFRAC(M2593,$S$1)</f>
        <v>126.366666666667</v>
      </c>
      <c r="U2593" s="231" t="n">
        <f aca="false">+$I2593</f>
        <v>0</v>
      </c>
      <c r="V2593" s="232" t="str">
        <f aca="false">+PROPER(F2593)</f>
        <v/>
      </c>
    </row>
    <row r="2594" customFormat="false" ht="14.25" hidden="false" customHeight="false" outlineLevel="0" collapsed="false">
      <c r="B2594" s="244"/>
      <c r="C2594" s="245"/>
      <c r="D2594" s="245"/>
      <c r="E2594" s="246"/>
      <c r="F2594" s="246"/>
      <c r="G2594" s="225" t="e">
        <f aca="false">VLOOKUP(B2594,'NIVEL ENERO'!A:F,4,0)</f>
        <v>#N/A</v>
      </c>
      <c r="H2594" s="247"/>
      <c r="I2594" s="247"/>
      <c r="J2594" s="246"/>
      <c r="K2594" s="246"/>
      <c r="L2594" s="226"/>
      <c r="M2594" s="226"/>
      <c r="N2594" s="246"/>
      <c r="P2594" s="228"/>
      <c r="Q2594" s="245"/>
      <c r="R2594" s="186" t="str">
        <f aca="false">+PROPER(C2594&amp;" "&amp;D2594)</f>
        <v> </v>
      </c>
      <c r="S2594" s="230" t="n">
        <f aca="false">+YEARFRAC(L2594,$S$1)</f>
        <v>126.366666666667</v>
      </c>
      <c r="T2594" s="230" t="n">
        <f aca="false">+YEARFRAC(M2594,$S$1)</f>
        <v>126.366666666667</v>
      </c>
      <c r="U2594" s="231" t="n">
        <f aca="false">+$I2594</f>
        <v>0</v>
      </c>
      <c r="V2594" s="232" t="str">
        <f aca="false">+PROPER(F2594)</f>
        <v/>
      </c>
    </row>
    <row r="2595" customFormat="false" ht="14.25" hidden="false" customHeight="false" outlineLevel="0" collapsed="false">
      <c r="B2595" s="244"/>
      <c r="C2595" s="245"/>
      <c r="D2595" s="245"/>
      <c r="E2595" s="246"/>
      <c r="F2595" s="246"/>
      <c r="G2595" s="225" t="e">
        <f aca="false">VLOOKUP(B2595,'NIVEL ENERO'!A:F,4,0)</f>
        <v>#N/A</v>
      </c>
      <c r="H2595" s="247"/>
      <c r="I2595" s="247"/>
      <c r="J2595" s="246"/>
      <c r="K2595" s="246"/>
      <c r="L2595" s="226"/>
      <c r="M2595" s="226"/>
      <c r="N2595" s="246"/>
      <c r="P2595" s="228"/>
      <c r="Q2595" s="245"/>
      <c r="R2595" s="186" t="str">
        <f aca="false">+PROPER(C2595&amp;" "&amp;D2595)</f>
        <v> </v>
      </c>
      <c r="S2595" s="230" t="n">
        <f aca="false">+YEARFRAC(L2595,$S$1)</f>
        <v>126.366666666667</v>
      </c>
      <c r="T2595" s="230" t="n">
        <f aca="false">+YEARFRAC(M2595,$S$1)</f>
        <v>126.366666666667</v>
      </c>
      <c r="U2595" s="231" t="n">
        <f aca="false">+$I2595</f>
        <v>0</v>
      </c>
      <c r="V2595" s="232" t="str">
        <f aca="false">+PROPER(F2595)</f>
        <v/>
      </c>
    </row>
    <row r="2596" customFormat="false" ht="14.25" hidden="false" customHeight="false" outlineLevel="0" collapsed="false">
      <c r="B2596" s="244"/>
      <c r="C2596" s="245"/>
      <c r="D2596" s="245"/>
      <c r="E2596" s="246"/>
      <c r="F2596" s="246"/>
      <c r="G2596" s="225" t="e">
        <f aca="false">VLOOKUP(B2596,'NIVEL ENERO'!A:F,4,0)</f>
        <v>#N/A</v>
      </c>
      <c r="H2596" s="247"/>
      <c r="I2596" s="247"/>
      <c r="J2596" s="246"/>
      <c r="K2596" s="246"/>
      <c r="L2596" s="226"/>
      <c r="M2596" s="226"/>
      <c r="N2596" s="246"/>
      <c r="P2596" s="228"/>
      <c r="Q2596" s="245"/>
      <c r="R2596" s="186" t="str">
        <f aca="false">+PROPER(C2596&amp;" "&amp;D2596)</f>
        <v> </v>
      </c>
      <c r="S2596" s="230" t="n">
        <f aca="false">+YEARFRAC(L2596,$S$1)</f>
        <v>126.366666666667</v>
      </c>
      <c r="T2596" s="230" t="n">
        <f aca="false">+YEARFRAC(M2596,$S$1)</f>
        <v>126.366666666667</v>
      </c>
      <c r="U2596" s="231" t="n">
        <f aca="false">+$I2596</f>
        <v>0</v>
      </c>
      <c r="V2596" s="232" t="str">
        <f aca="false">+PROPER(F2596)</f>
        <v/>
      </c>
    </row>
    <row r="2597" customFormat="false" ht="14.25" hidden="false" customHeight="false" outlineLevel="0" collapsed="false">
      <c r="B2597" s="244"/>
      <c r="C2597" s="245"/>
      <c r="D2597" s="245"/>
      <c r="E2597" s="246"/>
      <c r="F2597" s="246"/>
      <c r="G2597" s="225" t="e">
        <f aca="false">VLOOKUP(B2597,'NIVEL ENERO'!A:F,4,0)</f>
        <v>#N/A</v>
      </c>
      <c r="H2597" s="247"/>
      <c r="I2597" s="247"/>
      <c r="J2597" s="246"/>
      <c r="K2597" s="246"/>
      <c r="L2597" s="226"/>
      <c r="M2597" s="226"/>
      <c r="N2597" s="246"/>
      <c r="P2597" s="228"/>
      <c r="Q2597" s="245"/>
      <c r="R2597" s="186" t="str">
        <f aca="false">+PROPER(C2597&amp;" "&amp;D2597)</f>
        <v> </v>
      </c>
      <c r="S2597" s="230" t="n">
        <f aca="false">+YEARFRAC(L2597,$S$1)</f>
        <v>126.366666666667</v>
      </c>
      <c r="T2597" s="230" t="n">
        <f aca="false">+YEARFRAC(M2597,$S$1)</f>
        <v>126.366666666667</v>
      </c>
      <c r="U2597" s="231" t="n">
        <f aca="false">+$I2597</f>
        <v>0</v>
      </c>
      <c r="V2597" s="232" t="str">
        <f aca="false">+PROPER(F2597)</f>
        <v/>
      </c>
    </row>
    <row r="2598" customFormat="false" ht="14.25" hidden="false" customHeight="false" outlineLevel="0" collapsed="false">
      <c r="B2598" s="244"/>
      <c r="C2598" s="245"/>
      <c r="D2598" s="245"/>
      <c r="E2598" s="246"/>
      <c r="F2598" s="246"/>
      <c r="G2598" s="225" t="e">
        <f aca="false">VLOOKUP(B2598,'NIVEL ENERO'!A:F,4,0)</f>
        <v>#N/A</v>
      </c>
      <c r="H2598" s="247"/>
      <c r="I2598" s="247"/>
      <c r="J2598" s="246"/>
      <c r="K2598" s="246"/>
      <c r="L2598" s="226"/>
      <c r="M2598" s="226"/>
      <c r="N2598" s="246"/>
      <c r="P2598" s="228"/>
      <c r="Q2598" s="245"/>
      <c r="R2598" s="186" t="str">
        <f aca="false">+PROPER(C2598&amp;" "&amp;D2598)</f>
        <v> </v>
      </c>
      <c r="S2598" s="230" t="n">
        <f aca="false">+YEARFRAC(L2598,$S$1)</f>
        <v>126.366666666667</v>
      </c>
      <c r="T2598" s="230" t="n">
        <f aca="false">+YEARFRAC(M2598,$S$1)</f>
        <v>126.366666666667</v>
      </c>
      <c r="U2598" s="231" t="n">
        <f aca="false">+$I2598</f>
        <v>0</v>
      </c>
      <c r="V2598" s="232" t="str">
        <f aca="false">+PROPER(F2598)</f>
        <v/>
      </c>
    </row>
    <row r="2599" customFormat="false" ht="14.25" hidden="false" customHeight="false" outlineLevel="0" collapsed="false">
      <c r="B2599" s="244"/>
      <c r="C2599" s="245"/>
      <c r="D2599" s="245"/>
      <c r="E2599" s="246"/>
      <c r="F2599" s="246"/>
      <c r="G2599" s="225" t="e">
        <f aca="false">VLOOKUP(B2599,'NIVEL ENERO'!A:F,4,0)</f>
        <v>#N/A</v>
      </c>
      <c r="H2599" s="247"/>
      <c r="I2599" s="247"/>
      <c r="J2599" s="246"/>
      <c r="K2599" s="246"/>
      <c r="L2599" s="226"/>
      <c r="M2599" s="226"/>
      <c r="N2599" s="246"/>
      <c r="P2599" s="228"/>
      <c r="Q2599" s="245"/>
      <c r="R2599" s="186" t="str">
        <f aca="false">+PROPER(C2599&amp;" "&amp;D2599)</f>
        <v> </v>
      </c>
      <c r="S2599" s="230" t="n">
        <f aca="false">+YEARFRAC(L2599,$S$1)</f>
        <v>126.366666666667</v>
      </c>
      <c r="T2599" s="230" t="n">
        <f aca="false">+YEARFRAC(M2599,$S$1)</f>
        <v>126.366666666667</v>
      </c>
      <c r="U2599" s="231" t="n">
        <f aca="false">+$I2599</f>
        <v>0</v>
      </c>
      <c r="V2599" s="232" t="str">
        <f aca="false">+PROPER(F2599)</f>
        <v/>
      </c>
    </row>
    <row r="2600" customFormat="false" ht="14.25" hidden="false" customHeight="false" outlineLevel="0" collapsed="false">
      <c r="B2600" s="244"/>
      <c r="C2600" s="245"/>
      <c r="D2600" s="245"/>
      <c r="E2600" s="246"/>
      <c r="F2600" s="246"/>
      <c r="G2600" s="225" t="e">
        <f aca="false">VLOOKUP(B2600,'NIVEL ENERO'!A:F,4,0)</f>
        <v>#N/A</v>
      </c>
      <c r="H2600" s="247"/>
      <c r="I2600" s="247"/>
      <c r="J2600" s="246"/>
      <c r="K2600" s="246"/>
      <c r="L2600" s="226"/>
      <c r="M2600" s="226"/>
      <c r="N2600" s="246"/>
      <c r="P2600" s="228"/>
      <c r="Q2600" s="245"/>
      <c r="R2600" s="186" t="str">
        <f aca="false">+PROPER(C2600&amp;" "&amp;D2600)</f>
        <v> </v>
      </c>
      <c r="S2600" s="230" t="n">
        <f aca="false">+YEARFRAC(L2600,$S$1)</f>
        <v>126.366666666667</v>
      </c>
      <c r="T2600" s="230" t="n">
        <f aca="false">+YEARFRAC(M2600,$S$1)</f>
        <v>126.366666666667</v>
      </c>
      <c r="U2600" s="231" t="n">
        <f aca="false">+$I2600</f>
        <v>0</v>
      </c>
      <c r="V2600" s="232" t="str">
        <f aca="false">+PROPER(F2600)</f>
        <v/>
      </c>
    </row>
    <row r="2601" customFormat="false" ht="14.25" hidden="false" customHeight="false" outlineLevel="0" collapsed="false">
      <c r="B2601" s="244"/>
      <c r="C2601" s="245"/>
      <c r="D2601" s="245"/>
      <c r="E2601" s="246"/>
      <c r="F2601" s="246"/>
      <c r="G2601" s="225" t="e">
        <f aca="false">VLOOKUP(B2601,'NIVEL ENERO'!A:F,4,0)</f>
        <v>#N/A</v>
      </c>
      <c r="H2601" s="247"/>
      <c r="I2601" s="247"/>
      <c r="J2601" s="246"/>
      <c r="K2601" s="246"/>
      <c r="L2601" s="226"/>
      <c r="M2601" s="226"/>
      <c r="N2601" s="246"/>
      <c r="P2601" s="228"/>
      <c r="Q2601" s="245"/>
      <c r="R2601" s="186" t="str">
        <f aca="false">+PROPER(C2601&amp;" "&amp;D2601)</f>
        <v> </v>
      </c>
      <c r="S2601" s="230" t="n">
        <f aca="false">+YEARFRAC(L2601,$S$1)</f>
        <v>126.366666666667</v>
      </c>
      <c r="T2601" s="230" t="n">
        <f aca="false">+YEARFRAC(M2601,$S$1)</f>
        <v>126.366666666667</v>
      </c>
      <c r="U2601" s="231" t="n">
        <f aca="false">+$I2601</f>
        <v>0</v>
      </c>
      <c r="V2601" s="232" t="str">
        <f aca="false">+PROPER(F2601)</f>
        <v/>
      </c>
    </row>
    <row r="2602" customFormat="false" ht="14.25" hidden="false" customHeight="false" outlineLevel="0" collapsed="false">
      <c r="B2602" s="244"/>
      <c r="C2602" s="245"/>
      <c r="D2602" s="245"/>
      <c r="E2602" s="246"/>
      <c r="F2602" s="246"/>
      <c r="G2602" s="225" t="e">
        <f aca="false">VLOOKUP(B2602,'NIVEL ENERO'!A:F,4,0)</f>
        <v>#N/A</v>
      </c>
      <c r="H2602" s="247"/>
      <c r="I2602" s="247"/>
      <c r="J2602" s="246"/>
      <c r="K2602" s="246"/>
      <c r="L2602" s="226"/>
      <c r="M2602" s="226"/>
      <c r="N2602" s="246"/>
      <c r="P2602" s="228"/>
      <c r="Q2602" s="245"/>
      <c r="R2602" s="186" t="str">
        <f aca="false">+PROPER(C2602&amp;" "&amp;D2602)</f>
        <v> </v>
      </c>
      <c r="S2602" s="230" t="n">
        <f aca="false">+YEARFRAC(L2602,$S$1)</f>
        <v>126.366666666667</v>
      </c>
      <c r="T2602" s="230" t="n">
        <f aca="false">+YEARFRAC(M2602,$S$1)</f>
        <v>126.366666666667</v>
      </c>
      <c r="U2602" s="231" t="n">
        <f aca="false">+$I2602</f>
        <v>0</v>
      </c>
      <c r="V2602" s="232" t="str">
        <f aca="false">+PROPER(F2602)</f>
        <v/>
      </c>
    </row>
    <row r="2603" customFormat="false" ht="14.25" hidden="false" customHeight="false" outlineLevel="0" collapsed="false">
      <c r="B2603" s="244"/>
      <c r="C2603" s="245"/>
      <c r="D2603" s="245"/>
      <c r="E2603" s="246"/>
      <c r="F2603" s="246"/>
      <c r="G2603" s="225" t="e">
        <f aca="false">VLOOKUP(B2603,'NIVEL ENERO'!A:F,4,0)</f>
        <v>#N/A</v>
      </c>
      <c r="H2603" s="247"/>
      <c r="I2603" s="247"/>
      <c r="J2603" s="246"/>
      <c r="K2603" s="246"/>
      <c r="L2603" s="226"/>
      <c r="M2603" s="226"/>
      <c r="N2603" s="246"/>
      <c r="P2603" s="228"/>
      <c r="Q2603" s="245"/>
      <c r="R2603" s="186" t="str">
        <f aca="false">+PROPER(C2603&amp;" "&amp;D2603)</f>
        <v> </v>
      </c>
      <c r="S2603" s="230" t="n">
        <f aca="false">+YEARFRAC(L2603,$S$1)</f>
        <v>126.366666666667</v>
      </c>
      <c r="T2603" s="230" t="n">
        <f aca="false">+YEARFRAC(M2603,$S$1)</f>
        <v>126.366666666667</v>
      </c>
      <c r="U2603" s="231" t="n">
        <f aca="false">+$I2603</f>
        <v>0</v>
      </c>
      <c r="V2603" s="232" t="str">
        <f aca="false">+PROPER(F2603)</f>
        <v/>
      </c>
    </row>
    <row r="2604" customFormat="false" ht="14.25" hidden="false" customHeight="false" outlineLevel="0" collapsed="false">
      <c r="B2604" s="244"/>
      <c r="C2604" s="245"/>
      <c r="D2604" s="245"/>
      <c r="E2604" s="246"/>
      <c r="F2604" s="246"/>
      <c r="G2604" s="225" t="e">
        <f aca="false">VLOOKUP(B2604,'NIVEL ENERO'!A:F,4,0)</f>
        <v>#N/A</v>
      </c>
      <c r="H2604" s="247"/>
      <c r="I2604" s="247"/>
      <c r="J2604" s="246"/>
      <c r="K2604" s="246"/>
      <c r="L2604" s="226"/>
      <c r="M2604" s="226"/>
      <c r="N2604" s="246"/>
      <c r="P2604" s="228"/>
      <c r="Q2604" s="245"/>
      <c r="R2604" s="186" t="str">
        <f aca="false">+PROPER(C2604&amp;" "&amp;D2604)</f>
        <v> </v>
      </c>
      <c r="S2604" s="230" t="n">
        <f aca="false">+YEARFRAC(L2604,$S$1)</f>
        <v>126.366666666667</v>
      </c>
      <c r="T2604" s="230" t="n">
        <f aca="false">+YEARFRAC(M2604,$S$1)</f>
        <v>126.366666666667</v>
      </c>
      <c r="U2604" s="231" t="n">
        <f aca="false">+$I2604</f>
        <v>0</v>
      </c>
      <c r="V2604" s="232" t="str">
        <f aca="false">+PROPER(F2604)</f>
        <v/>
      </c>
    </row>
    <row r="2605" customFormat="false" ht="14.25" hidden="false" customHeight="false" outlineLevel="0" collapsed="false">
      <c r="B2605" s="244"/>
      <c r="C2605" s="245"/>
      <c r="D2605" s="245"/>
      <c r="E2605" s="246"/>
      <c r="F2605" s="246"/>
      <c r="G2605" s="225" t="e">
        <f aca="false">VLOOKUP(B2605,'NIVEL ENERO'!A:F,4,0)</f>
        <v>#N/A</v>
      </c>
      <c r="H2605" s="247"/>
      <c r="I2605" s="247"/>
      <c r="J2605" s="246"/>
      <c r="K2605" s="246"/>
      <c r="L2605" s="226"/>
      <c r="M2605" s="226"/>
      <c r="N2605" s="246"/>
      <c r="P2605" s="228"/>
      <c r="Q2605" s="245"/>
      <c r="R2605" s="186" t="str">
        <f aca="false">+PROPER(C2605&amp;" "&amp;D2605)</f>
        <v> </v>
      </c>
      <c r="S2605" s="230" t="n">
        <f aca="false">+YEARFRAC(L2605,$S$1)</f>
        <v>126.366666666667</v>
      </c>
      <c r="T2605" s="230" t="n">
        <f aca="false">+YEARFRAC(M2605,$S$1)</f>
        <v>126.366666666667</v>
      </c>
      <c r="U2605" s="231" t="n">
        <f aca="false">+$I2605</f>
        <v>0</v>
      </c>
      <c r="V2605" s="232" t="str">
        <f aca="false">+PROPER(F2605)</f>
        <v/>
      </c>
    </row>
    <row r="2606" customFormat="false" ht="14.25" hidden="false" customHeight="false" outlineLevel="0" collapsed="false">
      <c r="B2606" s="244"/>
      <c r="C2606" s="245"/>
      <c r="D2606" s="245"/>
      <c r="E2606" s="246"/>
      <c r="F2606" s="246"/>
      <c r="G2606" s="225" t="e">
        <f aca="false">VLOOKUP(B2606,'NIVEL ENERO'!A:F,4,0)</f>
        <v>#N/A</v>
      </c>
      <c r="H2606" s="247"/>
      <c r="I2606" s="247"/>
      <c r="J2606" s="246"/>
      <c r="K2606" s="246"/>
      <c r="L2606" s="226"/>
      <c r="M2606" s="226"/>
      <c r="N2606" s="246"/>
      <c r="P2606" s="228"/>
      <c r="Q2606" s="245"/>
      <c r="R2606" s="186" t="str">
        <f aca="false">+PROPER(C2606&amp;" "&amp;D2606)</f>
        <v> </v>
      </c>
      <c r="S2606" s="230" t="n">
        <f aca="false">+YEARFRAC(L2606,$S$1)</f>
        <v>126.366666666667</v>
      </c>
      <c r="T2606" s="230" t="n">
        <f aca="false">+YEARFRAC(M2606,$S$1)</f>
        <v>126.366666666667</v>
      </c>
      <c r="U2606" s="231" t="n">
        <f aca="false">+$I2606</f>
        <v>0</v>
      </c>
      <c r="V2606" s="232" t="str">
        <f aca="false">+PROPER(F2606)</f>
        <v/>
      </c>
    </row>
    <row r="2607" customFormat="false" ht="14.25" hidden="false" customHeight="false" outlineLevel="0" collapsed="false">
      <c r="B2607" s="244"/>
      <c r="C2607" s="245"/>
      <c r="D2607" s="245"/>
      <c r="E2607" s="246"/>
      <c r="F2607" s="246"/>
      <c r="G2607" s="225" t="e">
        <f aca="false">VLOOKUP(B2607,'NIVEL ENERO'!A:F,4,0)</f>
        <v>#N/A</v>
      </c>
      <c r="H2607" s="247"/>
      <c r="I2607" s="247"/>
      <c r="J2607" s="246"/>
      <c r="K2607" s="246"/>
      <c r="L2607" s="226"/>
      <c r="M2607" s="226"/>
      <c r="N2607" s="246"/>
      <c r="P2607" s="228"/>
      <c r="Q2607" s="245"/>
      <c r="R2607" s="186" t="str">
        <f aca="false">+PROPER(C2607&amp;" "&amp;D2607)</f>
        <v> </v>
      </c>
      <c r="S2607" s="230" t="n">
        <f aca="false">+YEARFRAC(L2607,$S$1)</f>
        <v>126.366666666667</v>
      </c>
      <c r="T2607" s="230" t="n">
        <f aca="false">+YEARFRAC(M2607,$S$1)</f>
        <v>126.366666666667</v>
      </c>
      <c r="U2607" s="231" t="n">
        <f aca="false">+$I2607</f>
        <v>0</v>
      </c>
      <c r="V2607" s="232" t="str">
        <f aca="false">+PROPER(F2607)</f>
        <v/>
      </c>
    </row>
    <row r="2608" customFormat="false" ht="14.25" hidden="false" customHeight="false" outlineLevel="0" collapsed="false">
      <c r="B2608" s="244"/>
      <c r="C2608" s="245"/>
      <c r="D2608" s="245"/>
      <c r="E2608" s="246"/>
      <c r="F2608" s="246"/>
      <c r="G2608" s="225" t="e">
        <f aca="false">VLOOKUP(B2608,'NIVEL ENERO'!A:F,4,0)</f>
        <v>#N/A</v>
      </c>
      <c r="H2608" s="247"/>
      <c r="I2608" s="247"/>
      <c r="J2608" s="246"/>
      <c r="K2608" s="246"/>
      <c r="L2608" s="226"/>
      <c r="M2608" s="226"/>
      <c r="N2608" s="246"/>
      <c r="P2608" s="228"/>
      <c r="Q2608" s="245"/>
      <c r="R2608" s="186" t="str">
        <f aca="false">+PROPER(C2608&amp;" "&amp;D2608)</f>
        <v> </v>
      </c>
      <c r="S2608" s="230" t="n">
        <f aca="false">+YEARFRAC(L2608,$S$1)</f>
        <v>126.366666666667</v>
      </c>
      <c r="T2608" s="230" t="n">
        <f aca="false">+YEARFRAC(M2608,$S$1)</f>
        <v>126.366666666667</v>
      </c>
      <c r="U2608" s="231" t="n">
        <f aca="false">+$I2608</f>
        <v>0</v>
      </c>
      <c r="V2608" s="232" t="str">
        <f aca="false">+PROPER(F2608)</f>
        <v/>
      </c>
    </row>
    <row r="2609" customFormat="false" ht="14.25" hidden="false" customHeight="false" outlineLevel="0" collapsed="false">
      <c r="B2609" s="244"/>
      <c r="C2609" s="245"/>
      <c r="D2609" s="245"/>
      <c r="E2609" s="246"/>
      <c r="F2609" s="246"/>
      <c r="G2609" s="225" t="e">
        <f aca="false">VLOOKUP(B2609,'NIVEL ENERO'!A:F,4,0)</f>
        <v>#N/A</v>
      </c>
      <c r="H2609" s="247"/>
      <c r="I2609" s="247"/>
      <c r="J2609" s="246"/>
      <c r="K2609" s="246"/>
      <c r="L2609" s="226"/>
      <c r="M2609" s="226"/>
      <c r="N2609" s="246"/>
      <c r="P2609" s="228"/>
      <c r="Q2609" s="245"/>
      <c r="R2609" s="186" t="str">
        <f aca="false">+PROPER(C2609&amp;" "&amp;D2609)</f>
        <v> </v>
      </c>
      <c r="S2609" s="230" t="n">
        <f aca="false">+YEARFRAC(L2609,$S$1)</f>
        <v>126.366666666667</v>
      </c>
      <c r="T2609" s="230" t="n">
        <f aca="false">+YEARFRAC(M2609,$S$1)</f>
        <v>126.366666666667</v>
      </c>
      <c r="U2609" s="231" t="n">
        <f aca="false">+$I2609</f>
        <v>0</v>
      </c>
      <c r="V2609" s="232" t="str">
        <f aca="false">+PROPER(F2609)</f>
        <v/>
      </c>
    </row>
    <row r="2610" customFormat="false" ht="14.25" hidden="false" customHeight="false" outlineLevel="0" collapsed="false">
      <c r="B2610" s="244"/>
      <c r="C2610" s="245"/>
      <c r="D2610" s="245"/>
      <c r="E2610" s="246"/>
      <c r="F2610" s="246"/>
      <c r="G2610" s="225" t="e">
        <f aca="false">VLOOKUP(B2610,'NIVEL ENERO'!A:F,4,0)</f>
        <v>#N/A</v>
      </c>
      <c r="H2610" s="247"/>
      <c r="I2610" s="247"/>
      <c r="J2610" s="246"/>
      <c r="K2610" s="246"/>
      <c r="L2610" s="226"/>
      <c r="M2610" s="226"/>
      <c r="N2610" s="246"/>
      <c r="P2610" s="228"/>
      <c r="Q2610" s="245"/>
      <c r="R2610" s="186" t="str">
        <f aca="false">+PROPER(C2610&amp;" "&amp;D2610)</f>
        <v> </v>
      </c>
      <c r="S2610" s="230" t="n">
        <f aca="false">+YEARFRAC(L2610,$S$1)</f>
        <v>126.366666666667</v>
      </c>
      <c r="T2610" s="230" t="n">
        <f aca="false">+YEARFRAC(M2610,$S$1)</f>
        <v>126.366666666667</v>
      </c>
      <c r="U2610" s="231" t="n">
        <f aca="false">+$I2610</f>
        <v>0</v>
      </c>
      <c r="V2610" s="232" t="str">
        <f aca="false">+PROPER(F2610)</f>
        <v/>
      </c>
    </row>
    <row r="2611" customFormat="false" ht="14.25" hidden="false" customHeight="false" outlineLevel="0" collapsed="false">
      <c r="B2611" s="244"/>
      <c r="C2611" s="245"/>
      <c r="D2611" s="245"/>
      <c r="E2611" s="246"/>
      <c r="F2611" s="246"/>
      <c r="G2611" s="225" t="e">
        <f aca="false">VLOOKUP(B2611,'NIVEL ENERO'!A:F,4,0)</f>
        <v>#N/A</v>
      </c>
      <c r="H2611" s="247"/>
      <c r="I2611" s="247"/>
      <c r="J2611" s="246"/>
      <c r="K2611" s="246"/>
      <c r="L2611" s="226"/>
      <c r="M2611" s="226"/>
      <c r="N2611" s="246"/>
      <c r="P2611" s="228"/>
      <c r="Q2611" s="245"/>
      <c r="R2611" s="186" t="str">
        <f aca="false">+PROPER(C2611&amp;" "&amp;D2611)</f>
        <v> </v>
      </c>
      <c r="S2611" s="230" t="n">
        <f aca="false">+YEARFRAC(L2611,$S$1)</f>
        <v>126.366666666667</v>
      </c>
      <c r="T2611" s="230" t="n">
        <f aca="false">+YEARFRAC(M2611,$S$1)</f>
        <v>126.366666666667</v>
      </c>
      <c r="U2611" s="231" t="n">
        <f aca="false">+$I2611</f>
        <v>0</v>
      </c>
      <c r="V2611" s="232" t="str">
        <f aca="false">+PROPER(F2611)</f>
        <v/>
      </c>
    </row>
    <row r="2612" customFormat="false" ht="14.25" hidden="false" customHeight="false" outlineLevel="0" collapsed="false">
      <c r="B2612" s="244"/>
      <c r="C2612" s="245"/>
      <c r="D2612" s="245"/>
      <c r="E2612" s="246"/>
      <c r="F2612" s="246"/>
      <c r="G2612" s="225" t="e">
        <f aca="false">VLOOKUP(B2612,'NIVEL ENERO'!A:F,4,0)</f>
        <v>#N/A</v>
      </c>
      <c r="H2612" s="247"/>
      <c r="I2612" s="247"/>
      <c r="J2612" s="246"/>
      <c r="K2612" s="246"/>
      <c r="L2612" s="226"/>
      <c r="M2612" s="226"/>
      <c r="N2612" s="246"/>
      <c r="P2612" s="228"/>
      <c r="Q2612" s="245"/>
      <c r="R2612" s="186" t="str">
        <f aca="false">+PROPER(C2612&amp;" "&amp;D2612)</f>
        <v> </v>
      </c>
      <c r="S2612" s="230" t="n">
        <f aca="false">+YEARFRAC(L2612,$S$1)</f>
        <v>126.366666666667</v>
      </c>
      <c r="T2612" s="230" t="n">
        <f aca="false">+YEARFRAC(M2612,$S$1)</f>
        <v>126.366666666667</v>
      </c>
      <c r="U2612" s="231" t="n">
        <f aca="false">+$I2612</f>
        <v>0</v>
      </c>
      <c r="V2612" s="232" t="str">
        <f aca="false">+PROPER(F2612)</f>
        <v/>
      </c>
    </row>
    <row r="2613" customFormat="false" ht="14.25" hidden="false" customHeight="false" outlineLevel="0" collapsed="false">
      <c r="B2613" s="244"/>
      <c r="C2613" s="245"/>
      <c r="D2613" s="245"/>
      <c r="E2613" s="246"/>
      <c r="F2613" s="246"/>
      <c r="G2613" s="225" t="e">
        <f aca="false">VLOOKUP(B2613,'NIVEL ENERO'!A:F,4,0)</f>
        <v>#N/A</v>
      </c>
      <c r="H2613" s="247"/>
      <c r="I2613" s="247"/>
      <c r="J2613" s="246"/>
      <c r="K2613" s="246"/>
      <c r="L2613" s="226"/>
      <c r="M2613" s="226"/>
      <c r="N2613" s="246"/>
      <c r="P2613" s="228"/>
      <c r="Q2613" s="245"/>
      <c r="R2613" s="186" t="str">
        <f aca="false">+PROPER(C2613&amp;" "&amp;D2613)</f>
        <v> </v>
      </c>
      <c r="S2613" s="230" t="n">
        <f aca="false">+YEARFRAC(L2613,$S$1)</f>
        <v>126.366666666667</v>
      </c>
      <c r="T2613" s="230" t="n">
        <f aca="false">+YEARFRAC(M2613,$S$1)</f>
        <v>126.366666666667</v>
      </c>
      <c r="U2613" s="231" t="n">
        <f aca="false">+$I2613</f>
        <v>0</v>
      </c>
      <c r="V2613" s="232" t="str">
        <f aca="false">+PROPER(F2613)</f>
        <v/>
      </c>
    </row>
    <row r="2614" customFormat="false" ht="14.25" hidden="false" customHeight="false" outlineLevel="0" collapsed="false">
      <c r="B2614" s="244"/>
      <c r="C2614" s="245"/>
      <c r="D2614" s="245"/>
      <c r="E2614" s="246"/>
      <c r="F2614" s="246"/>
      <c r="G2614" s="225" t="e">
        <f aca="false">VLOOKUP(B2614,'NIVEL ENERO'!A:F,4,0)</f>
        <v>#N/A</v>
      </c>
      <c r="H2614" s="247"/>
      <c r="I2614" s="247"/>
      <c r="J2614" s="246"/>
      <c r="K2614" s="246"/>
      <c r="L2614" s="226"/>
      <c r="M2614" s="226"/>
      <c r="N2614" s="246"/>
      <c r="P2614" s="228"/>
      <c r="Q2614" s="245"/>
      <c r="R2614" s="186" t="str">
        <f aca="false">+PROPER(C2614&amp;" "&amp;D2614)</f>
        <v> </v>
      </c>
      <c r="S2614" s="230" t="n">
        <f aca="false">+YEARFRAC(L2614,$S$1)</f>
        <v>126.366666666667</v>
      </c>
      <c r="T2614" s="230" t="n">
        <f aca="false">+YEARFRAC(M2614,$S$1)</f>
        <v>126.366666666667</v>
      </c>
      <c r="U2614" s="231" t="n">
        <f aca="false">+$I2614</f>
        <v>0</v>
      </c>
      <c r="V2614" s="232" t="str">
        <f aca="false">+PROPER(F2614)</f>
        <v/>
      </c>
    </row>
    <row r="2615" customFormat="false" ht="14.25" hidden="false" customHeight="false" outlineLevel="0" collapsed="false">
      <c r="B2615" s="244"/>
      <c r="C2615" s="245"/>
      <c r="D2615" s="245"/>
      <c r="E2615" s="246"/>
      <c r="F2615" s="246"/>
      <c r="G2615" s="225" t="e">
        <f aca="false">VLOOKUP(B2615,'NIVEL ENERO'!A:F,4,0)</f>
        <v>#N/A</v>
      </c>
      <c r="H2615" s="247"/>
      <c r="I2615" s="247"/>
      <c r="J2615" s="246"/>
      <c r="K2615" s="246"/>
      <c r="L2615" s="226"/>
      <c r="M2615" s="226"/>
      <c r="N2615" s="246"/>
      <c r="P2615" s="228"/>
      <c r="Q2615" s="245"/>
      <c r="R2615" s="186" t="str">
        <f aca="false">+PROPER(C2615&amp;" "&amp;D2615)</f>
        <v> </v>
      </c>
      <c r="S2615" s="230" t="n">
        <f aca="false">+YEARFRAC(L2615,$S$1)</f>
        <v>126.366666666667</v>
      </c>
      <c r="T2615" s="230" t="n">
        <f aca="false">+YEARFRAC(M2615,$S$1)</f>
        <v>126.366666666667</v>
      </c>
      <c r="U2615" s="231" t="n">
        <f aca="false">+$I2615</f>
        <v>0</v>
      </c>
      <c r="V2615" s="232" t="str">
        <f aca="false">+PROPER(F2615)</f>
        <v/>
      </c>
    </row>
    <row r="2616" customFormat="false" ht="14.25" hidden="false" customHeight="false" outlineLevel="0" collapsed="false">
      <c r="B2616" s="244"/>
      <c r="C2616" s="245"/>
      <c r="D2616" s="245"/>
      <c r="E2616" s="246"/>
      <c r="F2616" s="246"/>
      <c r="G2616" s="225" t="e">
        <f aca="false">VLOOKUP(B2616,'NIVEL ENERO'!A:F,4,0)</f>
        <v>#N/A</v>
      </c>
      <c r="H2616" s="247"/>
      <c r="I2616" s="247"/>
      <c r="J2616" s="246"/>
      <c r="K2616" s="246"/>
      <c r="L2616" s="226"/>
      <c r="M2616" s="226"/>
      <c r="N2616" s="246"/>
      <c r="P2616" s="228"/>
      <c r="Q2616" s="245"/>
      <c r="R2616" s="186" t="str">
        <f aca="false">+PROPER(C2616&amp;" "&amp;D2616)</f>
        <v> </v>
      </c>
      <c r="S2616" s="230" t="n">
        <f aca="false">+YEARFRAC(L2616,$S$1)</f>
        <v>126.366666666667</v>
      </c>
      <c r="T2616" s="230" t="n">
        <f aca="false">+YEARFRAC(M2616,$S$1)</f>
        <v>126.366666666667</v>
      </c>
      <c r="U2616" s="231" t="n">
        <f aca="false">+$I2616</f>
        <v>0</v>
      </c>
      <c r="V2616" s="232" t="str">
        <f aca="false">+PROPER(F2616)</f>
        <v/>
      </c>
    </row>
    <row r="2617" customFormat="false" ht="14.25" hidden="false" customHeight="false" outlineLevel="0" collapsed="false">
      <c r="B2617" s="244"/>
      <c r="C2617" s="245"/>
      <c r="D2617" s="245"/>
      <c r="E2617" s="246"/>
      <c r="F2617" s="246"/>
      <c r="G2617" s="225" t="e">
        <f aca="false">VLOOKUP(B2617,'NIVEL ENERO'!A:F,4,0)</f>
        <v>#N/A</v>
      </c>
      <c r="H2617" s="247"/>
      <c r="I2617" s="247"/>
      <c r="J2617" s="246"/>
      <c r="K2617" s="246"/>
      <c r="L2617" s="226"/>
      <c r="M2617" s="226"/>
      <c r="N2617" s="246"/>
      <c r="P2617" s="228"/>
      <c r="Q2617" s="245"/>
      <c r="R2617" s="186" t="str">
        <f aca="false">+PROPER(C2617&amp;" "&amp;D2617)</f>
        <v> </v>
      </c>
      <c r="S2617" s="230" t="n">
        <f aca="false">+YEARFRAC(L2617,$S$1)</f>
        <v>126.366666666667</v>
      </c>
      <c r="T2617" s="230" t="n">
        <f aca="false">+YEARFRAC(M2617,$S$1)</f>
        <v>126.366666666667</v>
      </c>
      <c r="U2617" s="231" t="n">
        <f aca="false">+$I2617</f>
        <v>0</v>
      </c>
      <c r="V2617" s="232" t="str">
        <f aca="false">+PROPER(F2617)</f>
        <v/>
      </c>
    </row>
    <row r="2618" customFormat="false" ht="14.25" hidden="false" customHeight="false" outlineLevel="0" collapsed="false">
      <c r="B2618" s="244"/>
      <c r="C2618" s="245"/>
      <c r="D2618" s="245"/>
      <c r="E2618" s="246"/>
      <c r="F2618" s="246"/>
      <c r="G2618" s="225" t="e">
        <f aca="false">VLOOKUP(B2618,'NIVEL ENERO'!A:F,4,0)</f>
        <v>#N/A</v>
      </c>
      <c r="H2618" s="247"/>
      <c r="I2618" s="247"/>
      <c r="J2618" s="246"/>
      <c r="K2618" s="246"/>
      <c r="L2618" s="226"/>
      <c r="M2618" s="226"/>
      <c r="N2618" s="246"/>
      <c r="P2618" s="228"/>
      <c r="Q2618" s="245"/>
      <c r="R2618" s="186" t="str">
        <f aca="false">+PROPER(C2618&amp;" "&amp;D2618)</f>
        <v> </v>
      </c>
      <c r="S2618" s="230" t="n">
        <f aca="false">+YEARFRAC(L2618,$S$1)</f>
        <v>126.366666666667</v>
      </c>
      <c r="T2618" s="230" t="n">
        <f aca="false">+YEARFRAC(M2618,$S$1)</f>
        <v>126.366666666667</v>
      </c>
      <c r="U2618" s="231" t="n">
        <f aca="false">+$I2618</f>
        <v>0</v>
      </c>
      <c r="V2618" s="232" t="str">
        <f aca="false">+PROPER(F2618)</f>
        <v/>
      </c>
    </row>
    <row r="2619" customFormat="false" ht="14.25" hidden="false" customHeight="false" outlineLevel="0" collapsed="false">
      <c r="B2619" s="244"/>
      <c r="C2619" s="245"/>
      <c r="D2619" s="245"/>
      <c r="E2619" s="246"/>
      <c r="F2619" s="246"/>
      <c r="G2619" s="225" t="e">
        <f aca="false">VLOOKUP(B2619,'NIVEL ENERO'!A:F,4,0)</f>
        <v>#N/A</v>
      </c>
      <c r="H2619" s="247"/>
      <c r="I2619" s="247"/>
      <c r="J2619" s="246"/>
      <c r="K2619" s="246"/>
      <c r="L2619" s="226"/>
      <c r="M2619" s="226"/>
      <c r="N2619" s="246"/>
      <c r="P2619" s="228"/>
      <c r="Q2619" s="245"/>
      <c r="R2619" s="186" t="str">
        <f aca="false">+PROPER(C2619&amp;" "&amp;D2619)</f>
        <v> </v>
      </c>
      <c r="S2619" s="230" t="n">
        <f aca="false">+YEARFRAC(L2619,$S$1)</f>
        <v>126.366666666667</v>
      </c>
      <c r="T2619" s="230" t="n">
        <f aca="false">+YEARFRAC(M2619,$S$1)</f>
        <v>126.366666666667</v>
      </c>
      <c r="U2619" s="231" t="n">
        <f aca="false">+$I2619</f>
        <v>0</v>
      </c>
      <c r="V2619" s="232" t="str">
        <f aca="false">+PROPER(F2619)</f>
        <v/>
      </c>
    </row>
    <row r="2620" customFormat="false" ht="14.25" hidden="false" customHeight="false" outlineLevel="0" collapsed="false">
      <c r="B2620" s="244"/>
      <c r="C2620" s="245"/>
      <c r="D2620" s="245"/>
      <c r="E2620" s="246"/>
      <c r="F2620" s="246"/>
      <c r="G2620" s="225" t="e">
        <f aca="false">VLOOKUP(B2620,'NIVEL ENERO'!A:F,4,0)</f>
        <v>#N/A</v>
      </c>
      <c r="H2620" s="247"/>
      <c r="I2620" s="247"/>
      <c r="J2620" s="246"/>
      <c r="K2620" s="246"/>
      <c r="L2620" s="226"/>
      <c r="M2620" s="226"/>
      <c r="N2620" s="246"/>
      <c r="P2620" s="228"/>
      <c r="Q2620" s="245"/>
      <c r="R2620" s="186" t="str">
        <f aca="false">+PROPER(C2620&amp;" "&amp;D2620)</f>
        <v> </v>
      </c>
      <c r="S2620" s="230" t="n">
        <f aca="false">+YEARFRAC(L2620,$S$1)</f>
        <v>126.366666666667</v>
      </c>
      <c r="T2620" s="230" t="n">
        <f aca="false">+YEARFRAC(M2620,$S$1)</f>
        <v>126.366666666667</v>
      </c>
      <c r="U2620" s="231" t="n">
        <f aca="false">+$I2620</f>
        <v>0</v>
      </c>
      <c r="V2620" s="232" t="str">
        <f aca="false">+PROPER(F2620)</f>
        <v/>
      </c>
    </row>
    <row r="2621" customFormat="false" ht="14.25" hidden="false" customHeight="false" outlineLevel="0" collapsed="false">
      <c r="B2621" s="244"/>
      <c r="C2621" s="245"/>
      <c r="D2621" s="245"/>
      <c r="E2621" s="246"/>
      <c r="F2621" s="246"/>
      <c r="G2621" s="225" t="e">
        <f aca="false">VLOOKUP(B2621,'NIVEL ENERO'!A:F,4,0)</f>
        <v>#N/A</v>
      </c>
      <c r="H2621" s="247"/>
      <c r="I2621" s="247"/>
      <c r="J2621" s="246"/>
      <c r="K2621" s="246"/>
      <c r="L2621" s="226"/>
      <c r="M2621" s="226"/>
      <c r="N2621" s="246"/>
      <c r="P2621" s="228"/>
      <c r="Q2621" s="245"/>
      <c r="R2621" s="186" t="str">
        <f aca="false">+PROPER(C2621&amp;" "&amp;D2621)</f>
        <v> </v>
      </c>
      <c r="S2621" s="230" t="n">
        <f aca="false">+YEARFRAC(L2621,$S$1)</f>
        <v>126.366666666667</v>
      </c>
      <c r="T2621" s="230" t="n">
        <f aca="false">+YEARFRAC(M2621,$S$1)</f>
        <v>126.366666666667</v>
      </c>
      <c r="U2621" s="231" t="n">
        <f aca="false">+$I2621</f>
        <v>0</v>
      </c>
      <c r="V2621" s="232" t="str">
        <f aca="false">+PROPER(F2621)</f>
        <v/>
      </c>
    </row>
    <row r="2622" customFormat="false" ht="14.25" hidden="false" customHeight="false" outlineLevel="0" collapsed="false">
      <c r="B2622" s="244"/>
      <c r="C2622" s="245"/>
      <c r="D2622" s="245"/>
      <c r="E2622" s="246"/>
      <c r="F2622" s="246"/>
      <c r="G2622" s="225" t="e">
        <f aca="false">VLOOKUP(B2622,'NIVEL ENERO'!A:F,4,0)</f>
        <v>#N/A</v>
      </c>
      <c r="H2622" s="247"/>
      <c r="I2622" s="247"/>
      <c r="J2622" s="246"/>
      <c r="K2622" s="246"/>
      <c r="L2622" s="226"/>
      <c r="M2622" s="226"/>
      <c r="N2622" s="246"/>
      <c r="P2622" s="228"/>
      <c r="Q2622" s="245"/>
      <c r="R2622" s="186" t="str">
        <f aca="false">+PROPER(C2622&amp;" "&amp;D2622)</f>
        <v> </v>
      </c>
      <c r="S2622" s="230" t="n">
        <f aca="false">+YEARFRAC(L2622,$S$1)</f>
        <v>126.366666666667</v>
      </c>
      <c r="T2622" s="230" t="n">
        <f aca="false">+YEARFRAC(M2622,$S$1)</f>
        <v>126.366666666667</v>
      </c>
      <c r="U2622" s="231" t="n">
        <f aca="false">+$I2622</f>
        <v>0</v>
      </c>
      <c r="V2622" s="232" t="str">
        <f aca="false">+PROPER(F2622)</f>
        <v/>
      </c>
    </row>
    <row r="2623" customFormat="false" ht="14.25" hidden="false" customHeight="false" outlineLevel="0" collapsed="false">
      <c r="B2623" s="244"/>
      <c r="C2623" s="245"/>
      <c r="D2623" s="245"/>
      <c r="E2623" s="246"/>
      <c r="F2623" s="246"/>
      <c r="G2623" s="225" t="e">
        <f aca="false">VLOOKUP(B2623,'NIVEL ENERO'!A:F,4,0)</f>
        <v>#N/A</v>
      </c>
      <c r="H2623" s="247"/>
      <c r="I2623" s="247"/>
      <c r="J2623" s="246"/>
      <c r="K2623" s="246"/>
      <c r="L2623" s="226"/>
      <c r="M2623" s="226"/>
      <c r="N2623" s="246"/>
      <c r="P2623" s="228"/>
      <c r="Q2623" s="245"/>
      <c r="R2623" s="186" t="str">
        <f aca="false">+PROPER(C2623&amp;" "&amp;D2623)</f>
        <v> </v>
      </c>
      <c r="S2623" s="230" t="n">
        <f aca="false">+YEARFRAC(L2623,$S$1)</f>
        <v>126.366666666667</v>
      </c>
      <c r="T2623" s="230" t="n">
        <f aca="false">+YEARFRAC(M2623,$S$1)</f>
        <v>126.366666666667</v>
      </c>
      <c r="U2623" s="231" t="n">
        <f aca="false">+$I2623</f>
        <v>0</v>
      </c>
      <c r="V2623" s="232" t="str">
        <f aca="false">+PROPER(F2623)</f>
        <v/>
      </c>
    </row>
    <row r="2624" customFormat="false" ht="14.25" hidden="false" customHeight="false" outlineLevel="0" collapsed="false">
      <c r="B2624" s="244"/>
      <c r="C2624" s="245"/>
      <c r="D2624" s="245"/>
      <c r="E2624" s="246"/>
      <c r="F2624" s="246"/>
      <c r="G2624" s="225" t="e">
        <f aca="false">VLOOKUP(B2624,'NIVEL ENERO'!A:F,4,0)</f>
        <v>#N/A</v>
      </c>
      <c r="H2624" s="247"/>
      <c r="I2624" s="247"/>
      <c r="J2624" s="246"/>
      <c r="K2624" s="246"/>
      <c r="L2624" s="226"/>
      <c r="M2624" s="226"/>
      <c r="N2624" s="246"/>
      <c r="P2624" s="228"/>
      <c r="Q2624" s="245"/>
      <c r="R2624" s="186" t="str">
        <f aca="false">+PROPER(C2624&amp;" "&amp;D2624)</f>
        <v> </v>
      </c>
      <c r="S2624" s="230" t="n">
        <f aca="false">+YEARFRAC(L2624,$S$1)</f>
        <v>126.366666666667</v>
      </c>
      <c r="T2624" s="230" t="n">
        <f aca="false">+YEARFRAC(M2624,$S$1)</f>
        <v>126.366666666667</v>
      </c>
      <c r="U2624" s="231" t="n">
        <f aca="false">+$I2624</f>
        <v>0</v>
      </c>
      <c r="V2624" s="232" t="str">
        <f aca="false">+PROPER(F2624)</f>
        <v/>
      </c>
    </row>
    <row r="2625" customFormat="false" ht="14.25" hidden="false" customHeight="false" outlineLevel="0" collapsed="false">
      <c r="B2625" s="244"/>
      <c r="C2625" s="245"/>
      <c r="D2625" s="245"/>
      <c r="E2625" s="246"/>
      <c r="F2625" s="246"/>
      <c r="G2625" s="225" t="e">
        <f aca="false">VLOOKUP(B2625,'NIVEL ENERO'!A:F,4,0)</f>
        <v>#N/A</v>
      </c>
      <c r="H2625" s="247"/>
      <c r="I2625" s="247"/>
      <c r="J2625" s="246"/>
      <c r="K2625" s="246"/>
      <c r="L2625" s="226"/>
      <c r="M2625" s="226"/>
      <c r="N2625" s="246"/>
      <c r="P2625" s="228"/>
      <c r="Q2625" s="245"/>
      <c r="R2625" s="186" t="str">
        <f aca="false">+PROPER(C2625&amp;" "&amp;D2625)</f>
        <v> </v>
      </c>
      <c r="S2625" s="230" t="n">
        <f aca="false">+YEARFRAC(L2625,$S$1)</f>
        <v>126.366666666667</v>
      </c>
      <c r="T2625" s="230" t="n">
        <f aca="false">+YEARFRAC(M2625,$S$1)</f>
        <v>126.366666666667</v>
      </c>
      <c r="U2625" s="231" t="n">
        <f aca="false">+$I2625</f>
        <v>0</v>
      </c>
      <c r="V2625" s="232" t="str">
        <f aca="false">+PROPER(F2625)</f>
        <v/>
      </c>
    </row>
    <row r="2626" customFormat="false" ht="14.25" hidden="false" customHeight="false" outlineLevel="0" collapsed="false">
      <c r="B2626" s="244"/>
      <c r="C2626" s="245"/>
      <c r="D2626" s="245"/>
      <c r="E2626" s="246"/>
      <c r="F2626" s="246"/>
      <c r="G2626" s="225" t="e">
        <f aca="false">VLOOKUP(B2626,'NIVEL ENERO'!A:F,4,0)</f>
        <v>#N/A</v>
      </c>
      <c r="H2626" s="247"/>
      <c r="I2626" s="247"/>
      <c r="J2626" s="246"/>
      <c r="K2626" s="246"/>
      <c r="L2626" s="226"/>
      <c r="M2626" s="226"/>
      <c r="N2626" s="246"/>
      <c r="P2626" s="228"/>
      <c r="Q2626" s="245"/>
      <c r="R2626" s="186" t="str">
        <f aca="false">+PROPER(C2626&amp;" "&amp;D2626)</f>
        <v> </v>
      </c>
      <c r="S2626" s="230" t="n">
        <f aca="false">+YEARFRAC(L2626,$S$1)</f>
        <v>126.366666666667</v>
      </c>
      <c r="T2626" s="230" t="n">
        <f aca="false">+YEARFRAC(M2626,$S$1)</f>
        <v>126.366666666667</v>
      </c>
      <c r="U2626" s="231" t="n">
        <f aca="false">+$I2626</f>
        <v>0</v>
      </c>
      <c r="V2626" s="232" t="str">
        <f aca="false">+PROPER(F2626)</f>
        <v/>
      </c>
    </row>
    <row r="2627" customFormat="false" ht="14.25" hidden="false" customHeight="false" outlineLevel="0" collapsed="false">
      <c r="B2627" s="244"/>
      <c r="C2627" s="245"/>
      <c r="D2627" s="245"/>
      <c r="E2627" s="246"/>
      <c r="F2627" s="246"/>
      <c r="G2627" s="225" t="e">
        <f aca="false">VLOOKUP(B2627,'NIVEL ENERO'!A:F,4,0)</f>
        <v>#N/A</v>
      </c>
      <c r="H2627" s="247"/>
      <c r="I2627" s="247"/>
      <c r="J2627" s="246"/>
      <c r="K2627" s="246"/>
      <c r="L2627" s="226"/>
      <c r="M2627" s="226"/>
      <c r="N2627" s="246"/>
      <c r="P2627" s="228"/>
      <c r="Q2627" s="245"/>
      <c r="R2627" s="186" t="str">
        <f aca="false">+PROPER(C2627&amp;" "&amp;D2627)</f>
        <v> </v>
      </c>
      <c r="S2627" s="230" t="n">
        <f aca="false">+YEARFRAC(L2627,$S$1)</f>
        <v>126.366666666667</v>
      </c>
      <c r="T2627" s="230" t="n">
        <f aca="false">+YEARFRAC(M2627,$S$1)</f>
        <v>126.366666666667</v>
      </c>
      <c r="U2627" s="231" t="n">
        <f aca="false">+$I2627</f>
        <v>0</v>
      </c>
      <c r="V2627" s="232" t="str">
        <f aca="false">+PROPER(F2627)</f>
        <v/>
      </c>
    </row>
    <row r="2628" customFormat="false" ht="14.25" hidden="false" customHeight="false" outlineLevel="0" collapsed="false">
      <c r="B2628" s="244"/>
      <c r="C2628" s="245"/>
      <c r="D2628" s="245"/>
      <c r="E2628" s="246"/>
      <c r="F2628" s="246"/>
      <c r="G2628" s="225" t="e">
        <f aca="false">VLOOKUP(B2628,'NIVEL ENERO'!A:F,4,0)</f>
        <v>#N/A</v>
      </c>
      <c r="H2628" s="247"/>
      <c r="I2628" s="247"/>
      <c r="J2628" s="246"/>
      <c r="K2628" s="246"/>
      <c r="L2628" s="226"/>
      <c r="M2628" s="226"/>
      <c r="N2628" s="246"/>
      <c r="P2628" s="228"/>
      <c r="Q2628" s="245"/>
      <c r="R2628" s="186" t="str">
        <f aca="false">+PROPER(C2628&amp;" "&amp;D2628)</f>
        <v> </v>
      </c>
      <c r="S2628" s="230" t="n">
        <f aca="false">+YEARFRAC(L2628,$S$1)</f>
        <v>126.366666666667</v>
      </c>
      <c r="T2628" s="230" t="n">
        <f aca="false">+YEARFRAC(M2628,$S$1)</f>
        <v>126.366666666667</v>
      </c>
      <c r="U2628" s="231" t="n">
        <f aca="false">+$I2628</f>
        <v>0</v>
      </c>
      <c r="V2628" s="232" t="str">
        <f aca="false">+PROPER(F2628)</f>
        <v/>
      </c>
    </row>
    <row r="2629" customFormat="false" ht="14.25" hidden="false" customHeight="false" outlineLevel="0" collapsed="false">
      <c r="B2629" s="244"/>
      <c r="C2629" s="245"/>
      <c r="D2629" s="245"/>
      <c r="E2629" s="246"/>
      <c r="F2629" s="246"/>
      <c r="G2629" s="225" t="e">
        <f aca="false">VLOOKUP(B2629,'NIVEL ENERO'!A:F,4,0)</f>
        <v>#N/A</v>
      </c>
      <c r="H2629" s="247"/>
      <c r="I2629" s="247"/>
      <c r="J2629" s="246"/>
      <c r="K2629" s="246"/>
      <c r="L2629" s="226"/>
      <c r="M2629" s="226"/>
      <c r="N2629" s="246"/>
      <c r="P2629" s="228"/>
      <c r="Q2629" s="245"/>
      <c r="R2629" s="186" t="str">
        <f aca="false">+PROPER(C2629&amp;" "&amp;D2629)</f>
        <v> </v>
      </c>
      <c r="S2629" s="230" t="n">
        <f aca="false">+YEARFRAC(L2629,$S$1)</f>
        <v>126.366666666667</v>
      </c>
      <c r="T2629" s="230" t="n">
        <f aca="false">+YEARFRAC(M2629,$S$1)</f>
        <v>126.366666666667</v>
      </c>
      <c r="U2629" s="231" t="n">
        <f aca="false">+$I2629</f>
        <v>0</v>
      </c>
      <c r="V2629" s="232" t="str">
        <f aca="false">+PROPER(F2629)</f>
        <v/>
      </c>
    </row>
    <row r="2630" customFormat="false" ht="14.25" hidden="false" customHeight="false" outlineLevel="0" collapsed="false">
      <c r="B2630" s="244"/>
      <c r="C2630" s="245"/>
      <c r="D2630" s="245"/>
      <c r="E2630" s="246"/>
      <c r="F2630" s="246"/>
      <c r="G2630" s="225" t="e">
        <f aca="false">VLOOKUP(B2630,'NIVEL ENERO'!A:F,4,0)</f>
        <v>#N/A</v>
      </c>
      <c r="H2630" s="247"/>
      <c r="I2630" s="247"/>
      <c r="J2630" s="246"/>
      <c r="K2630" s="246"/>
      <c r="L2630" s="226"/>
      <c r="M2630" s="226"/>
      <c r="N2630" s="246"/>
      <c r="P2630" s="228"/>
      <c r="Q2630" s="245"/>
      <c r="R2630" s="186" t="str">
        <f aca="false">+PROPER(C2630&amp;" "&amp;D2630)</f>
        <v> </v>
      </c>
      <c r="S2630" s="230" t="n">
        <f aca="false">+YEARFRAC(L2630,$S$1)</f>
        <v>126.366666666667</v>
      </c>
      <c r="T2630" s="230" t="n">
        <f aca="false">+YEARFRAC(M2630,$S$1)</f>
        <v>126.366666666667</v>
      </c>
      <c r="U2630" s="231" t="n">
        <f aca="false">+$I2630</f>
        <v>0</v>
      </c>
      <c r="V2630" s="232" t="str">
        <f aca="false">+PROPER(F2630)</f>
        <v/>
      </c>
    </row>
    <row r="2631" customFormat="false" ht="14.25" hidden="false" customHeight="false" outlineLevel="0" collapsed="false">
      <c r="B2631" s="244"/>
      <c r="C2631" s="245"/>
      <c r="D2631" s="245"/>
      <c r="E2631" s="246"/>
      <c r="F2631" s="246"/>
      <c r="G2631" s="225" t="e">
        <f aca="false">VLOOKUP(B2631,'NIVEL ENERO'!A:F,4,0)</f>
        <v>#N/A</v>
      </c>
      <c r="H2631" s="247"/>
      <c r="I2631" s="247"/>
      <c r="J2631" s="246"/>
      <c r="K2631" s="246"/>
      <c r="L2631" s="226"/>
      <c r="M2631" s="226"/>
      <c r="N2631" s="246"/>
      <c r="P2631" s="228"/>
      <c r="Q2631" s="245"/>
      <c r="R2631" s="186" t="str">
        <f aca="false">+PROPER(C2631&amp;" "&amp;D2631)</f>
        <v> </v>
      </c>
      <c r="S2631" s="230" t="n">
        <f aca="false">+YEARFRAC(L2631,$S$1)</f>
        <v>126.366666666667</v>
      </c>
      <c r="T2631" s="230" t="n">
        <f aca="false">+YEARFRAC(M2631,$S$1)</f>
        <v>126.366666666667</v>
      </c>
      <c r="U2631" s="231" t="n">
        <f aca="false">+$I2631</f>
        <v>0</v>
      </c>
      <c r="V2631" s="232" t="str">
        <f aca="false">+PROPER(F2631)</f>
        <v/>
      </c>
    </row>
    <row r="2632" customFormat="false" ht="14.25" hidden="false" customHeight="false" outlineLevel="0" collapsed="false">
      <c r="B2632" s="244"/>
      <c r="C2632" s="245"/>
      <c r="D2632" s="245"/>
      <c r="E2632" s="246"/>
      <c r="F2632" s="246"/>
      <c r="G2632" s="225" t="e">
        <f aca="false">VLOOKUP(B2632,'NIVEL ENERO'!A:F,4,0)</f>
        <v>#N/A</v>
      </c>
      <c r="H2632" s="247"/>
      <c r="I2632" s="247"/>
      <c r="J2632" s="246"/>
      <c r="K2632" s="246"/>
      <c r="L2632" s="226"/>
      <c r="M2632" s="226"/>
      <c r="N2632" s="246"/>
      <c r="P2632" s="228"/>
      <c r="Q2632" s="245"/>
      <c r="R2632" s="186" t="str">
        <f aca="false">+PROPER(C2632&amp;" "&amp;D2632)</f>
        <v> </v>
      </c>
      <c r="S2632" s="230" t="n">
        <f aca="false">+YEARFRAC(L2632,$S$1)</f>
        <v>126.366666666667</v>
      </c>
      <c r="T2632" s="230" t="n">
        <f aca="false">+YEARFRAC(M2632,$S$1)</f>
        <v>126.366666666667</v>
      </c>
      <c r="U2632" s="231" t="n">
        <f aca="false">+$I2632</f>
        <v>0</v>
      </c>
      <c r="V2632" s="232" t="str">
        <f aca="false">+PROPER(F2632)</f>
        <v/>
      </c>
    </row>
    <row r="2633" customFormat="false" ht="14.25" hidden="false" customHeight="false" outlineLevel="0" collapsed="false">
      <c r="B2633" s="244"/>
      <c r="C2633" s="245"/>
      <c r="D2633" s="245"/>
      <c r="E2633" s="246"/>
      <c r="F2633" s="246"/>
      <c r="G2633" s="225" t="e">
        <f aca="false">VLOOKUP(B2633,'NIVEL ENERO'!A:F,4,0)</f>
        <v>#N/A</v>
      </c>
      <c r="H2633" s="247"/>
      <c r="I2633" s="247"/>
      <c r="J2633" s="246"/>
      <c r="K2633" s="246"/>
      <c r="L2633" s="226"/>
      <c r="M2633" s="226"/>
      <c r="N2633" s="246"/>
      <c r="P2633" s="228"/>
      <c r="Q2633" s="245"/>
      <c r="R2633" s="186" t="str">
        <f aca="false">+PROPER(C2633&amp;" "&amp;D2633)</f>
        <v> </v>
      </c>
      <c r="S2633" s="230" t="n">
        <f aca="false">+YEARFRAC(L2633,$S$1)</f>
        <v>126.366666666667</v>
      </c>
      <c r="T2633" s="230" t="n">
        <f aca="false">+YEARFRAC(M2633,$S$1)</f>
        <v>126.366666666667</v>
      </c>
      <c r="U2633" s="231" t="n">
        <f aca="false">+$I2633</f>
        <v>0</v>
      </c>
      <c r="V2633" s="232" t="str">
        <f aca="false">+PROPER(F2633)</f>
        <v/>
      </c>
    </row>
    <row r="2634" customFormat="false" ht="14.25" hidden="false" customHeight="false" outlineLevel="0" collapsed="false">
      <c r="B2634" s="244"/>
      <c r="C2634" s="245"/>
      <c r="D2634" s="245"/>
      <c r="E2634" s="246"/>
      <c r="F2634" s="246"/>
      <c r="G2634" s="225" t="e">
        <f aca="false">VLOOKUP(B2634,'NIVEL ENERO'!A:F,4,0)</f>
        <v>#N/A</v>
      </c>
      <c r="H2634" s="247"/>
      <c r="I2634" s="247"/>
      <c r="J2634" s="246"/>
      <c r="K2634" s="246"/>
      <c r="L2634" s="226"/>
      <c r="M2634" s="226"/>
      <c r="N2634" s="246"/>
      <c r="P2634" s="228"/>
      <c r="Q2634" s="245"/>
      <c r="R2634" s="186" t="str">
        <f aca="false">+PROPER(C2634&amp;" "&amp;D2634)</f>
        <v> </v>
      </c>
      <c r="S2634" s="230" t="n">
        <f aca="false">+YEARFRAC(L2634,$S$1)</f>
        <v>126.366666666667</v>
      </c>
      <c r="T2634" s="230" t="n">
        <f aca="false">+YEARFRAC(M2634,$S$1)</f>
        <v>126.366666666667</v>
      </c>
      <c r="U2634" s="231" t="n">
        <f aca="false">+$I2634</f>
        <v>0</v>
      </c>
      <c r="V2634" s="232" t="str">
        <f aca="false">+PROPER(F2634)</f>
        <v/>
      </c>
    </row>
    <row r="2635" customFormat="false" ht="14.25" hidden="false" customHeight="false" outlineLevel="0" collapsed="false">
      <c r="B2635" s="244"/>
      <c r="C2635" s="245"/>
      <c r="D2635" s="245"/>
      <c r="E2635" s="246"/>
      <c r="F2635" s="246"/>
      <c r="G2635" s="225" t="e">
        <f aca="false">VLOOKUP(B2635,'NIVEL ENERO'!A:F,4,0)</f>
        <v>#N/A</v>
      </c>
      <c r="H2635" s="247"/>
      <c r="I2635" s="247"/>
      <c r="J2635" s="246"/>
      <c r="K2635" s="246"/>
      <c r="L2635" s="226"/>
      <c r="M2635" s="226"/>
      <c r="N2635" s="246"/>
      <c r="P2635" s="228"/>
      <c r="Q2635" s="245"/>
      <c r="R2635" s="186" t="str">
        <f aca="false">+PROPER(C2635&amp;" "&amp;D2635)</f>
        <v> </v>
      </c>
      <c r="S2635" s="230" t="n">
        <f aca="false">+YEARFRAC(L2635,$S$1)</f>
        <v>126.366666666667</v>
      </c>
      <c r="T2635" s="230" t="n">
        <f aca="false">+YEARFRAC(M2635,$S$1)</f>
        <v>126.366666666667</v>
      </c>
      <c r="U2635" s="231" t="n">
        <f aca="false">+$I2635</f>
        <v>0</v>
      </c>
      <c r="V2635" s="232" t="str">
        <f aca="false">+PROPER(F2635)</f>
        <v/>
      </c>
    </row>
    <row r="2636" customFormat="false" ht="14.25" hidden="false" customHeight="false" outlineLevel="0" collapsed="false">
      <c r="B2636" s="244"/>
      <c r="C2636" s="245"/>
      <c r="D2636" s="245"/>
      <c r="E2636" s="246"/>
      <c r="F2636" s="246"/>
      <c r="G2636" s="225" t="e">
        <f aca="false">VLOOKUP(B2636,'NIVEL ENERO'!A:F,4,0)</f>
        <v>#N/A</v>
      </c>
      <c r="H2636" s="247"/>
      <c r="I2636" s="247"/>
      <c r="J2636" s="246"/>
      <c r="K2636" s="246"/>
      <c r="L2636" s="226"/>
      <c r="M2636" s="226"/>
      <c r="N2636" s="246"/>
      <c r="P2636" s="228"/>
      <c r="Q2636" s="245"/>
      <c r="R2636" s="186" t="str">
        <f aca="false">+PROPER(C2636&amp;" "&amp;D2636)</f>
        <v> </v>
      </c>
      <c r="S2636" s="230" t="n">
        <f aca="false">+YEARFRAC(L2636,$S$1)</f>
        <v>126.366666666667</v>
      </c>
      <c r="T2636" s="230" t="n">
        <f aca="false">+YEARFRAC(M2636,$S$1)</f>
        <v>126.366666666667</v>
      </c>
      <c r="U2636" s="231" t="n">
        <f aca="false">+$I2636</f>
        <v>0</v>
      </c>
      <c r="V2636" s="232" t="str">
        <f aca="false">+PROPER(F2636)</f>
        <v/>
      </c>
    </row>
    <row r="2637" customFormat="false" ht="14.25" hidden="false" customHeight="false" outlineLevel="0" collapsed="false">
      <c r="B2637" s="244"/>
      <c r="C2637" s="245"/>
      <c r="D2637" s="245"/>
      <c r="E2637" s="246"/>
      <c r="F2637" s="246"/>
      <c r="G2637" s="225" t="e">
        <f aca="false">VLOOKUP(B2637,'NIVEL ENERO'!A:F,4,0)</f>
        <v>#N/A</v>
      </c>
      <c r="H2637" s="247"/>
      <c r="I2637" s="247"/>
      <c r="J2637" s="246"/>
      <c r="K2637" s="246"/>
      <c r="L2637" s="226"/>
      <c r="M2637" s="226"/>
      <c r="N2637" s="246"/>
      <c r="P2637" s="228"/>
      <c r="Q2637" s="245"/>
      <c r="R2637" s="186" t="str">
        <f aca="false">+PROPER(C2637&amp;" "&amp;D2637)</f>
        <v> </v>
      </c>
      <c r="S2637" s="230" t="n">
        <f aca="false">+YEARFRAC(L2637,$S$1)</f>
        <v>126.366666666667</v>
      </c>
      <c r="T2637" s="230" t="n">
        <f aca="false">+YEARFRAC(M2637,$S$1)</f>
        <v>126.366666666667</v>
      </c>
      <c r="U2637" s="231" t="n">
        <f aca="false">+$I2637</f>
        <v>0</v>
      </c>
      <c r="V2637" s="232" t="str">
        <f aca="false">+PROPER(F2637)</f>
        <v/>
      </c>
    </row>
    <row r="2638" customFormat="false" ht="14.25" hidden="false" customHeight="false" outlineLevel="0" collapsed="false">
      <c r="B2638" s="244"/>
      <c r="C2638" s="245"/>
      <c r="D2638" s="245"/>
      <c r="E2638" s="246"/>
      <c r="F2638" s="246"/>
      <c r="G2638" s="225" t="e">
        <f aca="false">VLOOKUP(B2638,'NIVEL ENERO'!A:F,4,0)</f>
        <v>#N/A</v>
      </c>
      <c r="H2638" s="247"/>
      <c r="I2638" s="247"/>
      <c r="J2638" s="246"/>
      <c r="K2638" s="246"/>
      <c r="L2638" s="226"/>
      <c r="M2638" s="226"/>
      <c r="N2638" s="246"/>
      <c r="P2638" s="228"/>
      <c r="Q2638" s="245"/>
      <c r="R2638" s="186" t="str">
        <f aca="false">+PROPER(C2638&amp;" "&amp;D2638)</f>
        <v> </v>
      </c>
      <c r="S2638" s="230" t="n">
        <f aca="false">+YEARFRAC(L2638,$S$1)</f>
        <v>126.366666666667</v>
      </c>
      <c r="T2638" s="230" t="n">
        <f aca="false">+YEARFRAC(M2638,$S$1)</f>
        <v>126.366666666667</v>
      </c>
      <c r="U2638" s="231" t="n">
        <f aca="false">+$I2638</f>
        <v>0</v>
      </c>
      <c r="V2638" s="232" t="str">
        <f aca="false">+PROPER(F2638)</f>
        <v/>
      </c>
    </row>
    <row r="2639" customFormat="false" ht="14.25" hidden="false" customHeight="false" outlineLevel="0" collapsed="false">
      <c r="B2639" s="244"/>
      <c r="C2639" s="245"/>
      <c r="D2639" s="245"/>
      <c r="E2639" s="246"/>
      <c r="F2639" s="246"/>
      <c r="G2639" s="225" t="e">
        <f aca="false">VLOOKUP(B2639,'NIVEL ENERO'!A:F,4,0)</f>
        <v>#N/A</v>
      </c>
      <c r="H2639" s="247"/>
      <c r="I2639" s="247"/>
      <c r="J2639" s="246"/>
      <c r="K2639" s="246"/>
      <c r="L2639" s="226"/>
      <c r="M2639" s="226"/>
      <c r="N2639" s="246"/>
      <c r="P2639" s="228"/>
      <c r="Q2639" s="245"/>
      <c r="R2639" s="186" t="str">
        <f aca="false">+PROPER(C2639&amp;" "&amp;D2639)</f>
        <v> </v>
      </c>
      <c r="S2639" s="230" t="n">
        <f aca="false">+YEARFRAC(L2639,$S$1)</f>
        <v>126.366666666667</v>
      </c>
      <c r="T2639" s="230" t="n">
        <f aca="false">+YEARFRAC(M2639,$S$1)</f>
        <v>126.366666666667</v>
      </c>
      <c r="U2639" s="231" t="n">
        <f aca="false">+$I2639</f>
        <v>0</v>
      </c>
      <c r="V2639" s="232" t="str">
        <f aca="false">+PROPER(F2639)</f>
        <v/>
      </c>
    </row>
    <row r="2640" customFormat="false" ht="14.25" hidden="false" customHeight="false" outlineLevel="0" collapsed="false">
      <c r="B2640" s="244"/>
      <c r="C2640" s="245"/>
      <c r="D2640" s="245"/>
      <c r="E2640" s="246"/>
      <c r="F2640" s="246"/>
      <c r="G2640" s="225" t="e">
        <f aca="false">VLOOKUP(B2640,'NIVEL ENERO'!A:F,4,0)</f>
        <v>#N/A</v>
      </c>
      <c r="H2640" s="247"/>
      <c r="I2640" s="247"/>
      <c r="J2640" s="246"/>
      <c r="K2640" s="246"/>
      <c r="L2640" s="226"/>
      <c r="M2640" s="226"/>
      <c r="N2640" s="246"/>
      <c r="P2640" s="228"/>
      <c r="Q2640" s="245"/>
      <c r="R2640" s="186" t="str">
        <f aca="false">+PROPER(C2640&amp;" "&amp;D2640)</f>
        <v> </v>
      </c>
      <c r="S2640" s="230" t="n">
        <f aca="false">+YEARFRAC(L2640,$S$1)</f>
        <v>126.366666666667</v>
      </c>
      <c r="T2640" s="230" t="n">
        <f aca="false">+YEARFRAC(M2640,$S$1)</f>
        <v>126.366666666667</v>
      </c>
      <c r="U2640" s="231" t="n">
        <f aca="false">+$I2640</f>
        <v>0</v>
      </c>
      <c r="V2640" s="232" t="str">
        <f aca="false">+PROPER(F2640)</f>
        <v/>
      </c>
    </row>
    <row r="2641" customFormat="false" ht="14.25" hidden="false" customHeight="false" outlineLevel="0" collapsed="false">
      <c r="B2641" s="244"/>
      <c r="C2641" s="245"/>
      <c r="D2641" s="245"/>
      <c r="E2641" s="246"/>
      <c r="F2641" s="246"/>
      <c r="G2641" s="225" t="e">
        <f aca="false">VLOOKUP(B2641,'NIVEL ENERO'!A:F,4,0)</f>
        <v>#N/A</v>
      </c>
      <c r="H2641" s="247"/>
      <c r="I2641" s="247"/>
      <c r="J2641" s="246"/>
      <c r="K2641" s="246"/>
      <c r="L2641" s="226"/>
      <c r="M2641" s="226"/>
      <c r="N2641" s="246"/>
      <c r="P2641" s="228"/>
      <c r="Q2641" s="245"/>
      <c r="R2641" s="186" t="str">
        <f aca="false">+PROPER(C2641&amp;" "&amp;D2641)</f>
        <v> </v>
      </c>
      <c r="S2641" s="230" t="n">
        <f aca="false">+YEARFRAC(L2641,$S$1)</f>
        <v>126.366666666667</v>
      </c>
      <c r="T2641" s="230" t="n">
        <f aca="false">+YEARFRAC(M2641,$S$1)</f>
        <v>126.366666666667</v>
      </c>
      <c r="U2641" s="231" t="n">
        <f aca="false">+$I2641</f>
        <v>0</v>
      </c>
      <c r="V2641" s="232" t="str">
        <f aca="false">+PROPER(F2641)</f>
        <v/>
      </c>
    </row>
    <row r="2642" customFormat="false" ht="14.25" hidden="false" customHeight="false" outlineLevel="0" collapsed="false">
      <c r="B2642" s="244"/>
      <c r="C2642" s="245"/>
      <c r="D2642" s="245"/>
      <c r="E2642" s="246"/>
      <c r="F2642" s="246"/>
      <c r="G2642" s="225" t="e">
        <f aca="false">VLOOKUP(B2642,'NIVEL ENERO'!A:F,4,0)</f>
        <v>#N/A</v>
      </c>
      <c r="H2642" s="247"/>
      <c r="I2642" s="247"/>
      <c r="J2642" s="246"/>
      <c r="K2642" s="246"/>
      <c r="L2642" s="226"/>
      <c r="M2642" s="226"/>
      <c r="N2642" s="246"/>
      <c r="P2642" s="228"/>
      <c r="Q2642" s="245"/>
      <c r="R2642" s="186" t="str">
        <f aca="false">+PROPER(C2642&amp;" "&amp;D2642)</f>
        <v> </v>
      </c>
      <c r="S2642" s="230" t="n">
        <f aca="false">+YEARFRAC(L2642,$S$1)</f>
        <v>126.366666666667</v>
      </c>
      <c r="T2642" s="230" t="n">
        <f aca="false">+YEARFRAC(M2642,$S$1)</f>
        <v>126.366666666667</v>
      </c>
      <c r="U2642" s="231" t="n">
        <f aca="false">+$I2642</f>
        <v>0</v>
      </c>
      <c r="V2642" s="232" t="str">
        <f aca="false">+PROPER(F2642)</f>
        <v/>
      </c>
    </row>
    <row r="2643" customFormat="false" ht="14.25" hidden="false" customHeight="false" outlineLevel="0" collapsed="false">
      <c r="B2643" s="244"/>
      <c r="C2643" s="245"/>
      <c r="D2643" s="245"/>
      <c r="E2643" s="246"/>
      <c r="F2643" s="246"/>
      <c r="G2643" s="225" t="e">
        <f aca="false">VLOOKUP(B2643,'NIVEL ENERO'!A:F,4,0)</f>
        <v>#N/A</v>
      </c>
      <c r="H2643" s="247"/>
      <c r="I2643" s="247"/>
      <c r="J2643" s="246"/>
      <c r="K2643" s="246"/>
      <c r="L2643" s="226"/>
      <c r="M2643" s="226"/>
      <c r="N2643" s="246"/>
      <c r="P2643" s="228"/>
      <c r="Q2643" s="245"/>
      <c r="R2643" s="186" t="str">
        <f aca="false">+PROPER(C2643&amp;" "&amp;D2643)</f>
        <v> </v>
      </c>
      <c r="S2643" s="230" t="n">
        <f aca="false">+YEARFRAC(L2643,$S$1)</f>
        <v>126.366666666667</v>
      </c>
      <c r="T2643" s="230" t="n">
        <f aca="false">+YEARFRAC(M2643,$S$1)</f>
        <v>126.366666666667</v>
      </c>
      <c r="U2643" s="231" t="n">
        <f aca="false">+$I2643</f>
        <v>0</v>
      </c>
      <c r="V2643" s="232" t="str">
        <f aca="false">+PROPER(F2643)</f>
        <v/>
      </c>
    </row>
    <row r="2644" customFormat="false" ht="14.25" hidden="false" customHeight="false" outlineLevel="0" collapsed="false">
      <c r="B2644" s="244"/>
      <c r="C2644" s="245"/>
      <c r="D2644" s="245"/>
      <c r="E2644" s="246"/>
      <c r="F2644" s="246"/>
      <c r="G2644" s="225" t="e">
        <f aca="false">VLOOKUP(B2644,'NIVEL ENERO'!A:F,4,0)</f>
        <v>#N/A</v>
      </c>
      <c r="H2644" s="247"/>
      <c r="I2644" s="247"/>
      <c r="J2644" s="246"/>
      <c r="K2644" s="246"/>
      <c r="L2644" s="226"/>
      <c r="M2644" s="226"/>
      <c r="N2644" s="246"/>
      <c r="P2644" s="228"/>
      <c r="Q2644" s="245"/>
      <c r="R2644" s="186" t="str">
        <f aca="false">+PROPER(C2644&amp;" "&amp;D2644)</f>
        <v> </v>
      </c>
      <c r="S2644" s="230" t="n">
        <f aca="false">+YEARFRAC(L2644,$S$1)</f>
        <v>126.366666666667</v>
      </c>
      <c r="T2644" s="230" t="n">
        <f aca="false">+YEARFRAC(M2644,$S$1)</f>
        <v>126.366666666667</v>
      </c>
      <c r="U2644" s="231" t="n">
        <f aca="false">+$I2644</f>
        <v>0</v>
      </c>
      <c r="V2644" s="232" t="str">
        <f aca="false">+PROPER(F2644)</f>
        <v/>
      </c>
    </row>
    <row r="2645" customFormat="false" ht="14.25" hidden="false" customHeight="false" outlineLevel="0" collapsed="false">
      <c r="B2645" s="244"/>
      <c r="C2645" s="245"/>
      <c r="D2645" s="245"/>
      <c r="E2645" s="246"/>
      <c r="F2645" s="246"/>
      <c r="G2645" s="225" t="e">
        <f aca="false">VLOOKUP(B2645,'NIVEL ENERO'!A:F,4,0)</f>
        <v>#N/A</v>
      </c>
      <c r="H2645" s="247"/>
      <c r="I2645" s="247"/>
      <c r="J2645" s="246"/>
      <c r="K2645" s="246"/>
      <c r="L2645" s="226"/>
      <c r="M2645" s="226"/>
      <c r="N2645" s="246"/>
      <c r="P2645" s="228"/>
      <c r="Q2645" s="245"/>
      <c r="R2645" s="186" t="str">
        <f aca="false">+PROPER(C2645&amp;" "&amp;D2645)</f>
        <v> </v>
      </c>
      <c r="S2645" s="230" t="n">
        <f aca="false">+YEARFRAC(L2645,$S$1)</f>
        <v>126.366666666667</v>
      </c>
      <c r="T2645" s="230" t="n">
        <f aca="false">+YEARFRAC(M2645,$S$1)</f>
        <v>126.366666666667</v>
      </c>
      <c r="U2645" s="231" t="n">
        <f aca="false">+$I2645</f>
        <v>0</v>
      </c>
      <c r="V2645" s="232" t="str">
        <f aca="false">+PROPER(F2645)</f>
        <v/>
      </c>
    </row>
    <row r="2646" customFormat="false" ht="14.25" hidden="false" customHeight="false" outlineLevel="0" collapsed="false">
      <c r="B2646" s="244"/>
      <c r="C2646" s="245"/>
      <c r="D2646" s="245"/>
      <c r="E2646" s="246"/>
      <c r="F2646" s="246"/>
      <c r="G2646" s="225" t="e">
        <f aca="false">VLOOKUP(B2646,'NIVEL ENERO'!A:F,4,0)</f>
        <v>#N/A</v>
      </c>
      <c r="H2646" s="247"/>
      <c r="I2646" s="247"/>
      <c r="J2646" s="246"/>
      <c r="K2646" s="246"/>
      <c r="L2646" s="226"/>
      <c r="M2646" s="226"/>
      <c r="N2646" s="246"/>
      <c r="P2646" s="228"/>
      <c r="Q2646" s="245"/>
      <c r="R2646" s="186" t="str">
        <f aca="false">+PROPER(C2646&amp;" "&amp;D2646)</f>
        <v> </v>
      </c>
      <c r="S2646" s="230" t="n">
        <f aca="false">+YEARFRAC(L2646,$S$1)</f>
        <v>126.366666666667</v>
      </c>
      <c r="T2646" s="230" t="n">
        <f aca="false">+YEARFRAC(M2646,$S$1)</f>
        <v>126.366666666667</v>
      </c>
      <c r="U2646" s="231" t="n">
        <f aca="false">+$I2646</f>
        <v>0</v>
      </c>
      <c r="V2646" s="232" t="str">
        <f aca="false">+PROPER(F2646)</f>
        <v/>
      </c>
    </row>
    <row r="2647" customFormat="false" ht="14.25" hidden="false" customHeight="false" outlineLevel="0" collapsed="false">
      <c r="B2647" s="244"/>
      <c r="C2647" s="245"/>
      <c r="D2647" s="245"/>
      <c r="E2647" s="246"/>
      <c r="F2647" s="246"/>
      <c r="G2647" s="225" t="e">
        <f aca="false">VLOOKUP(B2647,'NIVEL ENERO'!A:F,4,0)</f>
        <v>#N/A</v>
      </c>
      <c r="H2647" s="247"/>
      <c r="I2647" s="247"/>
      <c r="J2647" s="246"/>
      <c r="K2647" s="246"/>
      <c r="L2647" s="226"/>
      <c r="M2647" s="226"/>
      <c r="N2647" s="246"/>
      <c r="P2647" s="228"/>
      <c r="Q2647" s="245"/>
      <c r="R2647" s="186" t="str">
        <f aca="false">+PROPER(C2647&amp;" "&amp;D2647)</f>
        <v> </v>
      </c>
      <c r="S2647" s="230" t="n">
        <f aca="false">+YEARFRAC(L2647,$S$1)</f>
        <v>126.366666666667</v>
      </c>
      <c r="T2647" s="230" t="n">
        <f aca="false">+YEARFRAC(M2647,$S$1)</f>
        <v>126.366666666667</v>
      </c>
      <c r="U2647" s="231" t="n">
        <f aca="false">+$I2647</f>
        <v>0</v>
      </c>
      <c r="V2647" s="232" t="str">
        <f aca="false">+PROPER(F2647)</f>
        <v/>
      </c>
    </row>
    <row r="2648" customFormat="false" ht="14.25" hidden="false" customHeight="false" outlineLevel="0" collapsed="false">
      <c r="B2648" s="244"/>
      <c r="C2648" s="245"/>
      <c r="D2648" s="245"/>
      <c r="E2648" s="246"/>
      <c r="F2648" s="246"/>
      <c r="G2648" s="225" t="e">
        <f aca="false">VLOOKUP(B2648,'NIVEL ENERO'!A:F,4,0)</f>
        <v>#N/A</v>
      </c>
      <c r="H2648" s="247"/>
      <c r="I2648" s="247"/>
      <c r="J2648" s="246"/>
      <c r="K2648" s="246"/>
      <c r="L2648" s="226"/>
      <c r="M2648" s="226"/>
      <c r="N2648" s="246"/>
      <c r="P2648" s="228"/>
      <c r="Q2648" s="245"/>
      <c r="R2648" s="186" t="str">
        <f aca="false">+PROPER(C2648&amp;" "&amp;D2648)</f>
        <v> </v>
      </c>
      <c r="S2648" s="230" t="n">
        <f aca="false">+YEARFRAC(L2648,$S$1)</f>
        <v>126.366666666667</v>
      </c>
      <c r="T2648" s="230" t="n">
        <f aca="false">+YEARFRAC(M2648,$S$1)</f>
        <v>126.366666666667</v>
      </c>
      <c r="U2648" s="231" t="n">
        <f aca="false">+$I2648</f>
        <v>0</v>
      </c>
      <c r="V2648" s="232" t="str">
        <f aca="false">+PROPER(F2648)</f>
        <v/>
      </c>
    </row>
    <row r="2649" customFormat="false" ht="14.25" hidden="false" customHeight="false" outlineLevel="0" collapsed="false">
      <c r="B2649" s="244"/>
      <c r="C2649" s="245"/>
      <c r="D2649" s="245"/>
      <c r="E2649" s="246"/>
      <c r="F2649" s="246"/>
      <c r="G2649" s="225" t="e">
        <f aca="false">VLOOKUP(B2649,'NIVEL ENERO'!A:F,4,0)</f>
        <v>#N/A</v>
      </c>
      <c r="H2649" s="247"/>
      <c r="I2649" s="247"/>
      <c r="J2649" s="246"/>
      <c r="K2649" s="246"/>
      <c r="L2649" s="226"/>
      <c r="M2649" s="226"/>
      <c r="N2649" s="246"/>
      <c r="P2649" s="228"/>
      <c r="Q2649" s="245"/>
      <c r="R2649" s="186" t="str">
        <f aca="false">+PROPER(C2649&amp;" "&amp;D2649)</f>
        <v> </v>
      </c>
      <c r="S2649" s="230" t="n">
        <f aca="false">+YEARFRAC(L2649,$S$1)</f>
        <v>126.366666666667</v>
      </c>
      <c r="T2649" s="230" t="n">
        <f aca="false">+YEARFRAC(M2649,$S$1)</f>
        <v>126.366666666667</v>
      </c>
      <c r="U2649" s="231" t="n">
        <f aca="false">+$I2649</f>
        <v>0</v>
      </c>
      <c r="V2649" s="232" t="str">
        <f aca="false">+PROPER(F2649)</f>
        <v/>
      </c>
    </row>
    <row r="2650" customFormat="false" ht="14.25" hidden="false" customHeight="false" outlineLevel="0" collapsed="false">
      <c r="B2650" s="244"/>
      <c r="C2650" s="245"/>
      <c r="D2650" s="245"/>
      <c r="E2650" s="246"/>
      <c r="F2650" s="246"/>
      <c r="G2650" s="225" t="e">
        <f aca="false">VLOOKUP(B2650,'NIVEL ENERO'!A:F,4,0)</f>
        <v>#N/A</v>
      </c>
      <c r="H2650" s="247"/>
      <c r="I2650" s="247"/>
      <c r="J2650" s="246"/>
      <c r="K2650" s="246"/>
      <c r="L2650" s="226"/>
      <c r="M2650" s="226"/>
      <c r="N2650" s="246"/>
      <c r="P2650" s="228"/>
      <c r="Q2650" s="245"/>
      <c r="R2650" s="186" t="str">
        <f aca="false">+PROPER(C2650&amp;" "&amp;D2650)</f>
        <v> </v>
      </c>
      <c r="S2650" s="230" t="n">
        <f aca="false">+YEARFRAC(L2650,$S$1)</f>
        <v>126.366666666667</v>
      </c>
      <c r="T2650" s="230" t="n">
        <f aca="false">+YEARFRAC(M2650,$S$1)</f>
        <v>126.366666666667</v>
      </c>
      <c r="U2650" s="231" t="n">
        <f aca="false">+$I2650</f>
        <v>0</v>
      </c>
      <c r="V2650" s="232" t="str">
        <f aca="false">+PROPER(F2650)</f>
        <v/>
      </c>
    </row>
    <row r="2651" customFormat="false" ht="14.25" hidden="false" customHeight="false" outlineLevel="0" collapsed="false">
      <c r="B2651" s="244"/>
      <c r="C2651" s="245"/>
      <c r="D2651" s="245"/>
      <c r="E2651" s="246"/>
      <c r="F2651" s="246"/>
      <c r="G2651" s="225" t="e">
        <f aca="false">VLOOKUP(B2651,'NIVEL ENERO'!A:F,4,0)</f>
        <v>#N/A</v>
      </c>
      <c r="H2651" s="247"/>
      <c r="I2651" s="247"/>
      <c r="J2651" s="246"/>
      <c r="K2651" s="246"/>
      <c r="L2651" s="226"/>
      <c r="M2651" s="226"/>
      <c r="N2651" s="246"/>
      <c r="P2651" s="228"/>
      <c r="Q2651" s="245"/>
      <c r="R2651" s="186" t="str">
        <f aca="false">+PROPER(C2651&amp;" "&amp;D2651)</f>
        <v> </v>
      </c>
      <c r="S2651" s="230" t="n">
        <f aca="false">+YEARFRAC(L2651,$S$1)</f>
        <v>126.366666666667</v>
      </c>
      <c r="T2651" s="230" t="n">
        <f aca="false">+YEARFRAC(M2651,$S$1)</f>
        <v>126.366666666667</v>
      </c>
      <c r="U2651" s="231" t="n">
        <f aca="false">+$I2651</f>
        <v>0</v>
      </c>
      <c r="V2651" s="232" t="str">
        <f aca="false">+PROPER(F2651)</f>
        <v/>
      </c>
    </row>
    <row r="2652" customFormat="false" ht="14.25" hidden="false" customHeight="false" outlineLevel="0" collapsed="false">
      <c r="B2652" s="244"/>
      <c r="C2652" s="245"/>
      <c r="D2652" s="245"/>
      <c r="E2652" s="246"/>
      <c r="F2652" s="246"/>
      <c r="G2652" s="225" t="e">
        <f aca="false">VLOOKUP(B2652,'NIVEL ENERO'!A:F,4,0)</f>
        <v>#N/A</v>
      </c>
      <c r="H2652" s="247"/>
      <c r="I2652" s="247"/>
      <c r="J2652" s="246"/>
      <c r="K2652" s="246"/>
      <c r="L2652" s="226"/>
      <c r="M2652" s="226"/>
      <c r="N2652" s="246"/>
      <c r="P2652" s="228"/>
      <c r="Q2652" s="245"/>
      <c r="R2652" s="186" t="str">
        <f aca="false">+PROPER(C2652&amp;" "&amp;D2652)</f>
        <v> </v>
      </c>
      <c r="S2652" s="230" t="n">
        <f aca="false">+YEARFRAC(L2652,$S$1)</f>
        <v>126.366666666667</v>
      </c>
      <c r="T2652" s="230" t="n">
        <f aca="false">+YEARFRAC(M2652,$S$1)</f>
        <v>126.366666666667</v>
      </c>
      <c r="U2652" s="231" t="n">
        <f aca="false">+$I2652</f>
        <v>0</v>
      </c>
      <c r="V2652" s="232" t="str">
        <f aca="false">+PROPER(F2652)</f>
        <v/>
      </c>
    </row>
    <row r="2653" customFormat="false" ht="14.25" hidden="false" customHeight="false" outlineLevel="0" collapsed="false">
      <c r="B2653" s="244"/>
      <c r="C2653" s="245"/>
      <c r="D2653" s="245"/>
      <c r="E2653" s="246"/>
      <c r="F2653" s="246"/>
      <c r="G2653" s="225" t="e">
        <f aca="false">VLOOKUP(B2653,'NIVEL ENERO'!A:F,4,0)</f>
        <v>#N/A</v>
      </c>
      <c r="H2653" s="247"/>
      <c r="I2653" s="247"/>
      <c r="J2653" s="246"/>
      <c r="K2653" s="246"/>
      <c r="L2653" s="226"/>
      <c r="M2653" s="226"/>
      <c r="N2653" s="246"/>
      <c r="P2653" s="228"/>
      <c r="Q2653" s="245"/>
      <c r="R2653" s="186" t="str">
        <f aca="false">+PROPER(C2653&amp;" "&amp;D2653)</f>
        <v> </v>
      </c>
      <c r="S2653" s="230" t="n">
        <f aca="false">+YEARFRAC(L2653,$S$1)</f>
        <v>126.366666666667</v>
      </c>
      <c r="T2653" s="230" t="n">
        <f aca="false">+YEARFRAC(M2653,$S$1)</f>
        <v>126.366666666667</v>
      </c>
      <c r="U2653" s="231" t="n">
        <f aca="false">+$I2653</f>
        <v>0</v>
      </c>
      <c r="V2653" s="232" t="str">
        <f aca="false">+PROPER(F2653)</f>
        <v/>
      </c>
    </row>
    <row r="2654" customFormat="false" ht="14.25" hidden="false" customHeight="false" outlineLevel="0" collapsed="false">
      <c r="B2654" s="244"/>
      <c r="C2654" s="245"/>
      <c r="D2654" s="245"/>
      <c r="E2654" s="246"/>
      <c r="F2654" s="246"/>
      <c r="G2654" s="225" t="e">
        <f aca="false">VLOOKUP(B2654,'NIVEL ENERO'!A:F,4,0)</f>
        <v>#N/A</v>
      </c>
      <c r="H2654" s="247"/>
      <c r="I2654" s="247"/>
      <c r="J2654" s="246"/>
      <c r="K2654" s="246"/>
      <c r="L2654" s="226"/>
      <c r="M2654" s="226"/>
      <c r="N2654" s="246"/>
      <c r="P2654" s="228"/>
      <c r="Q2654" s="245"/>
      <c r="R2654" s="186" t="str">
        <f aca="false">+PROPER(C2654&amp;" "&amp;D2654)</f>
        <v> </v>
      </c>
      <c r="S2654" s="230" t="n">
        <f aca="false">+YEARFRAC(L2654,$S$1)</f>
        <v>126.366666666667</v>
      </c>
      <c r="T2654" s="230" t="n">
        <f aca="false">+YEARFRAC(M2654,$S$1)</f>
        <v>126.366666666667</v>
      </c>
      <c r="U2654" s="231" t="n">
        <f aca="false">+$I2654</f>
        <v>0</v>
      </c>
      <c r="V2654" s="232" t="str">
        <f aca="false">+PROPER(F2654)</f>
        <v/>
      </c>
    </row>
    <row r="2655" customFormat="false" ht="14.25" hidden="false" customHeight="false" outlineLevel="0" collapsed="false">
      <c r="B2655" s="244"/>
      <c r="C2655" s="245"/>
      <c r="D2655" s="245"/>
      <c r="E2655" s="246"/>
      <c r="F2655" s="246"/>
      <c r="G2655" s="225" t="e">
        <f aca="false">VLOOKUP(B2655,'NIVEL ENERO'!A:F,4,0)</f>
        <v>#N/A</v>
      </c>
      <c r="H2655" s="247"/>
      <c r="I2655" s="247"/>
      <c r="J2655" s="246"/>
      <c r="K2655" s="246"/>
      <c r="L2655" s="226"/>
      <c r="M2655" s="226"/>
      <c r="N2655" s="246"/>
      <c r="P2655" s="228"/>
      <c r="Q2655" s="245"/>
      <c r="R2655" s="186" t="str">
        <f aca="false">+PROPER(C2655&amp;" "&amp;D2655)</f>
        <v> </v>
      </c>
      <c r="S2655" s="230" t="n">
        <f aca="false">+YEARFRAC(L2655,$S$1)</f>
        <v>126.366666666667</v>
      </c>
      <c r="T2655" s="230" t="n">
        <f aca="false">+YEARFRAC(M2655,$S$1)</f>
        <v>126.366666666667</v>
      </c>
      <c r="U2655" s="231" t="n">
        <f aca="false">+$I2655</f>
        <v>0</v>
      </c>
      <c r="V2655" s="232" t="str">
        <f aca="false">+PROPER(F2655)</f>
        <v/>
      </c>
    </row>
    <row r="2656" customFormat="false" ht="14.25" hidden="false" customHeight="false" outlineLevel="0" collapsed="false">
      <c r="B2656" s="244"/>
      <c r="C2656" s="245"/>
      <c r="D2656" s="245"/>
      <c r="E2656" s="246"/>
      <c r="F2656" s="246"/>
      <c r="G2656" s="225" t="e">
        <f aca="false">VLOOKUP(B2656,'NIVEL ENERO'!A:F,4,0)</f>
        <v>#N/A</v>
      </c>
      <c r="H2656" s="247"/>
      <c r="I2656" s="247"/>
      <c r="J2656" s="246"/>
      <c r="K2656" s="246"/>
      <c r="L2656" s="226"/>
      <c r="M2656" s="226"/>
      <c r="N2656" s="246"/>
      <c r="P2656" s="228"/>
      <c r="Q2656" s="245"/>
      <c r="R2656" s="186" t="str">
        <f aca="false">+PROPER(C2656&amp;" "&amp;D2656)</f>
        <v> </v>
      </c>
      <c r="S2656" s="230" t="n">
        <f aca="false">+YEARFRAC(L2656,$S$1)</f>
        <v>126.366666666667</v>
      </c>
      <c r="T2656" s="230" t="n">
        <f aca="false">+YEARFRAC(M2656,$S$1)</f>
        <v>126.366666666667</v>
      </c>
      <c r="U2656" s="231" t="n">
        <f aca="false">+$I2656</f>
        <v>0</v>
      </c>
      <c r="V2656" s="232" t="str">
        <f aca="false">+PROPER(F2656)</f>
        <v/>
      </c>
    </row>
    <row r="2657" customFormat="false" ht="14.25" hidden="false" customHeight="false" outlineLevel="0" collapsed="false">
      <c r="B2657" s="244"/>
      <c r="C2657" s="245"/>
      <c r="D2657" s="245"/>
      <c r="E2657" s="246"/>
      <c r="F2657" s="246"/>
      <c r="G2657" s="225" t="e">
        <f aca="false">VLOOKUP(B2657,'NIVEL ENERO'!A:F,4,0)</f>
        <v>#N/A</v>
      </c>
      <c r="H2657" s="247"/>
      <c r="I2657" s="247"/>
      <c r="J2657" s="246"/>
      <c r="K2657" s="246"/>
      <c r="L2657" s="226"/>
      <c r="M2657" s="226"/>
      <c r="N2657" s="246"/>
      <c r="P2657" s="228"/>
      <c r="Q2657" s="245"/>
      <c r="R2657" s="186" t="str">
        <f aca="false">+PROPER(C2657&amp;" "&amp;D2657)</f>
        <v> </v>
      </c>
      <c r="S2657" s="230" t="n">
        <f aca="false">+YEARFRAC(L2657,$S$1)</f>
        <v>126.366666666667</v>
      </c>
      <c r="T2657" s="230" t="n">
        <f aca="false">+YEARFRAC(M2657,$S$1)</f>
        <v>126.366666666667</v>
      </c>
      <c r="U2657" s="231" t="n">
        <f aca="false">+$I2657</f>
        <v>0</v>
      </c>
      <c r="V2657" s="232" t="str">
        <f aca="false">+PROPER(F2657)</f>
        <v/>
      </c>
    </row>
    <row r="2658" customFormat="false" ht="14.25" hidden="false" customHeight="false" outlineLevel="0" collapsed="false">
      <c r="B2658" s="244"/>
      <c r="C2658" s="245"/>
      <c r="D2658" s="245"/>
      <c r="E2658" s="246"/>
      <c r="F2658" s="246"/>
      <c r="G2658" s="225" t="e">
        <f aca="false">VLOOKUP(B2658,'NIVEL ENERO'!A:F,4,0)</f>
        <v>#N/A</v>
      </c>
      <c r="H2658" s="247"/>
      <c r="I2658" s="247"/>
      <c r="J2658" s="246"/>
      <c r="K2658" s="246"/>
      <c r="L2658" s="226"/>
      <c r="M2658" s="226"/>
      <c r="N2658" s="246"/>
      <c r="P2658" s="228"/>
      <c r="Q2658" s="245"/>
      <c r="R2658" s="186" t="str">
        <f aca="false">+PROPER(C2658&amp;" "&amp;D2658)</f>
        <v> </v>
      </c>
      <c r="S2658" s="230" t="n">
        <f aca="false">+YEARFRAC(L2658,$S$1)</f>
        <v>126.366666666667</v>
      </c>
      <c r="T2658" s="230" t="n">
        <f aca="false">+YEARFRAC(M2658,$S$1)</f>
        <v>126.366666666667</v>
      </c>
      <c r="U2658" s="231" t="n">
        <f aca="false">+$I2658</f>
        <v>0</v>
      </c>
      <c r="V2658" s="232" t="str">
        <f aca="false">+PROPER(F2658)</f>
        <v/>
      </c>
    </row>
    <row r="2659" customFormat="false" ht="14.25" hidden="false" customHeight="false" outlineLevel="0" collapsed="false">
      <c r="B2659" s="244"/>
      <c r="C2659" s="245"/>
      <c r="D2659" s="245"/>
      <c r="E2659" s="246"/>
      <c r="F2659" s="246"/>
      <c r="G2659" s="225" t="e">
        <f aca="false">VLOOKUP(B2659,'NIVEL ENERO'!A:F,4,0)</f>
        <v>#N/A</v>
      </c>
      <c r="H2659" s="247"/>
      <c r="I2659" s="247"/>
      <c r="J2659" s="246"/>
      <c r="K2659" s="246"/>
      <c r="L2659" s="226"/>
      <c r="M2659" s="226"/>
      <c r="N2659" s="246"/>
      <c r="P2659" s="228"/>
      <c r="Q2659" s="245"/>
      <c r="R2659" s="186" t="str">
        <f aca="false">+PROPER(C2659&amp;" "&amp;D2659)</f>
        <v> </v>
      </c>
      <c r="S2659" s="230" t="n">
        <f aca="false">+YEARFRAC(L2659,$S$1)</f>
        <v>126.366666666667</v>
      </c>
      <c r="T2659" s="230" t="n">
        <f aca="false">+YEARFRAC(M2659,$S$1)</f>
        <v>126.366666666667</v>
      </c>
      <c r="U2659" s="231" t="n">
        <f aca="false">+$I2659</f>
        <v>0</v>
      </c>
      <c r="V2659" s="232" t="str">
        <f aca="false">+PROPER(F2659)</f>
        <v/>
      </c>
    </row>
    <row r="2660" customFormat="false" ht="14.25" hidden="false" customHeight="false" outlineLevel="0" collapsed="false">
      <c r="B2660" s="244"/>
      <c r="C2660" s="245"/>
      <c r="D2660" s="245"/>
      <c r="E2660" s="246"/>
      <c r="F2660" s="246"/>
      <c r="G2660" s="225" t="e">
        <f aca="false">VLOOKUP(B2660,'NIVEL ENERO'!A:F,4,0)</f>
        <v>#N/A</v>
      </c>
      <c r="H2660" s="247"/>
      <c r="I2660" s="247"/>
      <c r="J2660" s="246"/>
      <c r="K2660" s="246"/>
      <c r="L2660" s="226"/>
      <c r="M2660" s="226"/>
      <c r="N2660" s="246"/>
      <c r="P2660" s="228"/>
      <c r="Q2660" s="245"/>
      <c r="R2660" s="186" t="str">
        <f aca="false">+PROPER(C2660&amp;" "&amp;D2660)</f>
        <v> </v>
      </c>
      <c r="S2660" s="230" t="n">
        <f aca="false">+YEARFRAC(L2660,$S$1)</f>
        <v>126.366666666667</v>
      </c>
      <c r="T2660" s="230" t="n">
        <f aca="false">+YEARFRAC(M2660,$S$1)</f>
        <v>126.366666666667</v>
      </c>
      <c r="U2660" s="231" t="n">
        <f aca="false">+$I2660</f>
        <v>0</v>
      </c>
      <c r="V2660" s="232" t="str">
        <f aca="false">+PROPER(F2660)</f>
        <v/>
      </c>
    </row>
    <row r="2661" customFormat="false" ht="14.25" hidden="false" customHeight="false" outlineLevel="0" collapsed="false">
      <c r="B2661" s="244"/>
      <c r="C2661" s="245"/>
      <c r="D2661" s="245"/>
      <c r="E2661" s="246"/>
      <c r="F2661" s="246"/>
      <c r="G2661" s="225" t="e">
        <f aca="false">VLOOKUP(B2661,'NIVEL ENERO'!A:F,4,0)</f>
        <v>#N/A</v>
      </c>
      <c r="H2661" s="247"/>
      <c r="I2661" s="247"/>
      <c r="J2661" s="246"/>
      <c r="K2661" s="246"/>
      <c r="L2661" s="226"/>
      <c r="M2661" s="226"/>
      <c r="N2661" s="246"/>
      <c r="P2661" s="228"/>
      <c r="Q2661" s="245"/>
      <c r="R2661" s="186" t="str">
        <f aca="false">+PROPER(C2661&amp;" "&amp;D2661)</f>
        <v> </v>
      </c>
      <c r="S2661" s="230" t="n">
        <f aca="false">+YEARFRAC(L2661,$S$1)</f>
        <v>126.366666666667</v>
      </c>
      <c r="T2661" s="230" t="n">
        <f aca="false">+YEARFRAC(M2661,$S$1)</f>
        <v>126.366666666667</v>
      </c>
      <c r="U2661" s="231" t="n">
        <f aca="false">+$I2661</f>
        <v>0</v>
      </c>
      <c r="V2661" s="232" t="str">
        <f aca="false">+PROPER(F2661)</f>
        <v/>
      </c>
    </row>
    <row r="2662" customFormat="false" ht="14.25" hidden="false" customHeight="false" outlineLevel="0" collapsed="false">
      <c r="B2662" s="244"/>
      <c r="C2662" s="245"/>
      <c r="D2662" s="245"/>
      <c r="E2662" s="246"/>
      <c r="F2662" s="246"/>
      <c r="G2662" s="225" t="e">
        <f aca="false">VLOOKUP(B2662,'NIVEL ENERO'!A:F,4,0)</f>
        <v>#N/A</v>
      </c>
      <c r="H2662" s="247"/>
      <c r="I2662" s="247"/>
      <c r="J2662" s="246"/>
      <c r="K2662" s="246"/>
      <c r="L2662" s="226"/>
      <c r="M2662" s="226"/>
      <c r="N2662" s="246"/>
      <c r="P2662" s="228"/>
      <c r="Q2662" s="245"/>
      <c r="R2662" s="186" t="str">
        <f aca="false">+PROPER(C2662&amp;" "&amp;D2662)</f>
        <v> </v>
      </c>
      <c r="S2662" s="230" t="n">
        <f aca="false">+YEARFRAC(L2662,$S$1)</f>
        <v>126.366666666667</v>
      </c>
      <c r="T2662" s="230" t="n">
        <f aca="false">+YEARFRAC(M2662,$S$1)</f>
        <v>126.366666666667</v>
      </c>
      <c r="U2662" s="231" t="n">
        <f aca="false">+$I2662</f>
        <v>0</v>
      </c>
      <c r="V2662" s="232" t="str">
        <f aca="false">+PROPER(F2662)</f>
        <v/>
      </c>
    </row>
    <row r="2663" customFormat="false" ht="14.25" hidden="false" customHeight="false" outlineLevel="0" collapsed="false">
      <c r="B2663" s="244"/>
      <c r="C2663" s="245"/>
      <c r="D2663" s="245"/>
      <c r="E2663" s="246"/>
      <c r="F2663" s="246"/>
      <c r="G2663" s="225" t="e">
        <f aca="false">VLOOKUP(B2663,'NIVEL ENERO'!A:F,4,0)</f>
        <v>#N/A</v>
      </c>
      <c r="H2663" s="247"/>
      <c r="I2663" s="247"/>
      <c r="J2663" s="246"/>
      <c r="K2663" s="246"/>
      <c r="L2663" s="226"/>
      <c r="M2663" s="226"/>
      <c r="N2663" s="246"/>
      <c r="P2663" s="228"/>
      <c r="Q2663" s="245"/>
      <c r="R2663" s="186" t="str">
        <f aca="false">+PROPER(C2663&amp;" "&amp;D2663)</f>
        <v> </v>
      </c>
      <c r="S2663" s="230" t="n">
        <f aca="false">+YEARFRAC(L2663,$S$1)</f>
        <v>126.366666666667</v>
      </c>
      <c r="T2663" s="230" t="n">
        <f aca="false">+YEARFRAC(M2663,$S$1)</f>
        <v>126.366666666667</v>
      </c>
      <c r="U2663" s="231" t="n">
        <f aca="false">+$I2663</f>
        <v>0</v>
      </c>
      <c r="V2663" s="232" t="str">
        <f aca="false">+PROPER(F2663)</f>
        <v/>
      </c>
    </row>
    <row r="2664" customFormat="false" ht="14.25" hidden="false" customHeight="false" outlineLevel="0" collapsed="false">
      <c r="B2664" s="244"/>
      <c r="C2664" s="245"/>
      <c r="D2664" s="245"/>
      <c r="E2664" s="246"/>
      <c r="F2664" s="246"/>
      <c r="G2664" s="225" t="e">
        <f aca="false">VLOOKUP(B2664,'NIVEL ENERO'!A:F,4,0)</f>
        <v>#N/A</v>
      </c>
      <c r="H2664" s="247"/>
      <c r="I2664" s="247"/>
      <c r="J2664" s="246"/>
      <c r="K2664" s="246"/>
      <c r="L2664" s="226"/>
      <c r="M2664" s="226"/>
      <c r="N2664" s="246"/>
      <c r="P2664" s="228"/>
      <c r="Q2664" s="245"/>
      <c r="R2664" s="186" t="str">
        <f aca="false">+PROPER(C2664&amp;" "&amp;D2664)</f>
        <v> </v>
      </c>
      <c r="S2664" s="230" t="n">
        <f aca="false">+YEARFRAC(L2664,$S$1)</f>
        <v>126.366666666667</v>
      </c>
      <c r="T2664" s="230" t="n">
        <f aca="false">+YEARFRAC(M2664,$S$1)</f>
        <v>126.366666666667</v>
      </c>
      <c r="U2664" s="231" t="n">
        <f aca="false">+$I2664</f>
        <v>0</v>
      </c>
      <c r="V2664" s="232" t="str">
        <f aca="false">+PROPER(F2664)</f>
        <v/>
      </c>
    </row>
    <row r="2665" customFormat="false" ht="14.25" hidden="false" customHeight="false" outlineLevel="0" collapsed="false">
      <c r="B2665" s="244"/>
      <c r="C2665" s="245"/>
      <c r="D2665" s="245"/>
      <c r="E2665" s="246"/>
      <c r="F2665" s="246"/>
      <c r="G2665" s="225" t="e">
        <f aca="false">VLOOKUP(B2665,'NIVEL ENERO'!A:F,4,0)</f>
        <v>#N/A</v>
      </c>
      <c r="H2665" s="247"/>
      <c r="I2665" s="247"/>
      <c r="J2665" s="246"/>
      <c r="K2665" s="246"/>
      <c r="L2665" s="226"/>
      <c r="M2665" s="226"/>
      <c r="N2665" s="246"/>
      <c r="P2665" s="228"/>
      <c r="Q2665" s="245"/>
      <c r="R2665" s="186" t="str">
        <f aca="false">+PROPER(C2665&amp;" "&amp;D2665)</f>
        <v> </v>
      </c>
      <c r="S2665" s="230" t="n">
        <f aca="false">+YEARFRAC(L2665,$S$1)</f>
        <v>126.366666666667</v>
      </c>
      <c r="T2665" s="230" t="n">
        <f aca="false">+YEARFRAC(M2665,$S$1)</f>
        <v>126.366666666667</v>
      </c>
      <c r="U2665" s="231" t="n">
        <f aca="false">+$I2665</f>
        <v>0</v>
      </c>
      <c r="V2665" s="232" t="str">
        <f aca="false">+PROPER(F2665)</f>
        <v/>
      </c>
    </row>
    <row r="2666" customFormat="false" ht="14.25" hidden="false" customHeight="false" outlineLevel="0" collapsed="false">
      <c r="B2666" s="244"/>
      <c r="C2666" s="245"/>
      <c r="D2666" s="245"/>
      <c r="E2666" s="246"/>
      <c r="F2666" s="246"/>
      <c r="G2666" s="225" t="e">
        <f aca="false">VLOOKUP(B2666,'NIVEL ENERO'!A:F,4,0)</f>
        <v>#N/A</v>
      </c>
      <c r="H2666" s="247"/>
      <c r="I2666" s="247"/>
      <c r="J2666" s="246"/>
      <c r="K2666" s="246"/>
      <c r="L2666" s="226"/>
      <c r="M2666" s="226"/>
      <c r="N2666" s="246"/>
      <c r="P2666" s="228"/>
      <c r="Q2666" s="245"/>
      <c r="R2666" s="186" t="str">
        <f aca="false">+PROPER(C2666&amp;" "&amp;D2666)</f>
        <v> </v>
      </c>
      <c r="S2666" s="230" t="n">
        <f aca="false">+YEARFRAC(L2666,$S$1)</f>
        <v>126.366666666667</v>
      </c>
      <c r="T2666" s="230" t="n">
        <f aca="false">+YEARFRAC(M2666,$S$1)</f>
        <v>126.366666666667</v>
      </c>
      <c r="U2666" s="231" t="n">
        <f aca="false">+$I2666</f>
        <v>0</v>
      </c>
      <c r="V2666" s="232" t="str">
        <f aca="false">+PROPER(F2666)</f>
        <v/>
      </c>
    </row>
    <row r="2667" customFormat="false" ht="14.25" hidden="false" customHeight="false" outlineLevel="0" collapsed="false">
      <c r="B2667" s="244"/>
      <c r="C2667" s="245"/>
      <c r="D2667" s="245"/>
      <c r="E2667" s="246"/>
      <c r="F2667" s="246"/>
      <c r="G2667" s="225" t="e">
        <f aca="false">VLOOKUP(B2667,'NIVEL ENERO'!A:F,4,0)</f>
        <v>#N/A</v>
      </c>
      <c r="H2667" s="247"/>
      <c r="I2667" s="247"/>
      <c r="J2667" s="246"/>
      <c r="K2667" s="246"/>
      <c r="L2667" s="226"/>
      <c r="M2667" s="226"/>
      <c r="N2667" s="246"/>
      <c r="P2667" s="228"/>
      <c r="Q2667" s="245"/>
      <c r="R2667" s="186" t="str">
        <f aca="false">+PROPER(C2667&amp;" "&amp;D2667)</f>
        <v> </v>
      </c>
      <c r="S2667" s="230" t="n">
        <f aca="false">+YEARFRAC(L2667,$S$1)</f>
        <v>126.366666666667</v>
      </c>
      <c r="T2667" s="230" t="n">
        <f aca="false">+YEARFRAC(M2667,$S$1)</f>
        <v>126.366666666667</v>
      </c>
      <c r="U2667" s="231" t="n">
        <f aca="false">+$I2667</f>
        <v>0</v>
      </c>
      <c r="V2667" s="232" t="str">
        <f aca="false">+PROPER(F2667)</f>
        <v/>
      </c>
    </row>
    <row r="2668" customFormat="false" ht="14.25" hidden="false" customHeight="false" outlineLevel="0" collapsed="false">
      <c r="B2668" s="244"/>
      <c r="C2668" s="245"/>
      <c r="D2668" s="245"/>
      <c r="E2668" s="246"/>
      <c r="F2668" s="246"/>
      <c r="G2668" s="225" t="e">
        <f aca="false">VLOOKUP(B2668,'NIVEL ENERO'!A:F,4,0)</f>
        <v>#N/A</v>
      </c>
      <c r="H2668" s="247"/>
      <c r="I2668" s="247"/>
      <c r="J2668" s="246"/>
      <c r="K2668" s="246"/>
      <c r="L2668" s="226"/>
      <c r="M2668" s="226"/>
      <c r="N2668" s="246"/>
      <c r="P2668" s="228"/>
      <c r="Q2668" s="245"/>
      <c r="R2668" s="186" t="str">
        <f aca="false">+PROPER(C2668&amp;" "&amp;D2668)</f>
        <v> </v>
      </c>
      <c r="S2668" s="230" t="n">
        <f aca="false">+YEARFRAC(L2668,$S$1)</f>
        <v>126.366666666667</v>
      </c>
      <c r="T2668" s="230" t="n">
        <f aca="false">+YEARFRAC(M2668,$S$1)</f>
        <v>126.366666666667</v>
      </c>
      <c r="U2668" s="231" t="n">
        <f aca="false">+$I2668</f>
        <v>0</v>
      </c>
      <c r="V2668" s="232" t="str">
        <f aca="false">+PROPER(F2668)</f>
        <v/>
      </c>
    </row>
    <row r="2669" customFormat="false" ht="14.25" hidden="false" customHeight="false" outlineLevel="0" collapsed="false">
      <c r="B2669" s="244"/>
      <c r="C2669" s="245"/>
      <c r="D2669" s="245"/>
      <c r="E2669" s="246"/>
      <c r="F2669" s="246"/>
      <c r="G2669" s="225" t="e">
        <f aca="false">VLOOKUP(B2669,'NIVEL ENERO'!A:F,4,0)</f>
        <v>#N/A</v>
      </c>
      <c r="H2669" s="247"/>
      <c r="I2669" s="247"/>
      <c r="J2669" s="246"/>
      <c r="K2669" s="246"/>
      <c r="L2669" s="226"/>
      <c r="M2669" s="226"/>
      <c r="N2669" s="246"/>
      <c r="P2669" s="228"/>
      <c r="Q2669" s="245"/>
      <c r="R2669" s="186" t="str">
        <f aca="false">+PROPER(C2669&amp;" "&amp;D2669)</f>
        <v> </v>
      </c>
      <c r="S2669" s="230" t="n">
        <f aca="false">+YEARFRAC(L2669,$S$1)</f>
        <v>126.366666666667</v>
      </c>
      <c r="T2669" s="230" t="n">
        <f aca="false">+YEARFRAC(M2669,$S$1)</f>
        <v>126.366666666667</v>
      </c>
      <c r="U2669" s="231" t="n">
        <f aca="false">+$I2669</f>
        <v>0</v>
      </c>
      <c r="V2669" s="232" t="str">
        <f aca="false">+PROPER(F2669)</f>
        <v/>
      </c>
    </row>
    <row r="2670" customFormat="false" ht="14.25" hidden="false" customHeight="false" outlineLevel="0" collapsed="false">
      <c r="B2670" s="244"/>
      <c r="C2670" s="245"/>
      <c r="D2670" s="245"/>
      <c r="E2670" s="246"/>
      <c r="F2670" s="246"/>
      <c r="G2670" s="225" t="e">
        <f aca="false">VLOOKUP(B2670,'NIVEL ENERO'!A:F,4,0)</f>
        <v>#N/A</v>
      </c>
      <c r="H2670" s="247"/>
      <c r="I2670" s="247"/>
      <c r="J2670" s="246"/>
      <c r="K2670" s="246"/>
      <c r="L2670" s="226"/>
      <c r="M2670" s="226"/>
      <c r="N2670" s="246"/>
      <c r="P2670" s="228"/>
      <c r="Q2670" s="245"/>
      <c r="R2670" s="186" t="str">
        <f aca="false">+PROPER(C2670&amp;" "&amp;D2670)</f>
        <v> </v>
      </c>
      <c r="S2670" s="230" t="n">
        <f aca="false">+YEARFRAC(L2670,$S$1)</f>
        <v>126.366666666667</v>
      </c>
      <c r="T2670" s="230" t="n">
        <f aca="false">+YEARFRAC(M2670,$S$1)</f>
        <v>126.366666666667</v>
      </c>
      <c r="U2670" s="231" t="n">
        <f aca="false">+$I2670</f>
        <v>0</v>
      </c>
      <c r="V2670" s="232" t="str">
        <f aca="false">+PROPER(F2670)</f>
        <v/>
      </c>
    </row>
    <row r="2671" customFormat="false" ht="14.25" hidden="false" customHeight="false" outlineLevel="0" collapsed="false">
      <c r="B2671" s="244"/>
      <c r="C2671" s="245"/>
      <c r="D2671" s="245"/>
      <c r="E2671" s="246"/>
      <c r="F2671" s="246"/>
      <c r="G2671" s="225" t="e">
        <f aca="false">VLOOKUP(B2671,'NIVEL ENERO'!A:F,4,0)</f>
        <v>#N/A</v>
      </c>
      <c r="H2671" s="247"/>
      <c r="I2671" s="247"/>
      <c r="J2671" s="246"/>
      <c r="K2671" s="246"/>
      <c r="L2671" s="226"/>
      <c r="M2671" s="226"/>
      <c r="N2671" s="246"/>
      <c r="P2671" s="228"/>
      <c r="Q2671" s="245"/>
      <c r="R2671" s="186" t="str">
        <f aca="false">+PROPER(C2671&amp;" "&amp;D2671)</f>
        <v> </v>
      </c>
      <c r="S2671" s="230" t="n">
        <f aca="false">+YEARFRAC(L2671,$S$1)</f>
        <v>126.366666666667</v>
      </c>
      <c r="T2671" s="230" t="n">
        <f aca="false">+YEARFRAC(M2671,$S$1)</f>
        <v>126.366666666667</v>
      </c>
      <c r="U2671" s="231" t="n">
        <f aca="false">+$I2671</f>
        <v>0</v>
      </c>
      <c r="V2671" s="232" t="str">
        <f aca="false">+PROPER(F2671)</f>
        <v/>
      </c>
    </row>
    <row r="2672" customFormat="false" ht="14.25" hidden="false" customHeight="false" outlineLevel="0" collapsed="false">
      <c r="B2672" s="244"/>
      <c r="C2672" s="245"/>
      <c r="D2672" s="245"/>
      <c r="E2672" s="246"/>
      <c r="F2672" s="246"/>
      <c r="G2672" s="225" t="e">
        <f aca="false">VLOOKUP(B2672,'NIVEL ENERO'!A:F,4,0)</f>
        <v>#N/A</v>
      </c>
      <c r="H2672" s="247"/>
      <c r="I2672" s="247"/>
      <c r="J2672" s="246"/>
      <c r="K2672" s="246"/>
      <c r="L2672" s="226"/>
      <c r="M2672" s="226"/>
      <c r="N2672" s="246"/>
      <c r="P2672" s="228"/>
      <c r="Q2672" s="245"/>
      <c r="R2672" s="186" t="str">
        <f aca="false">+PROPER(C2672&amp;" "&amp;D2672)</f>
        <v> </v>
      </c>
      <c r="S2672" s="230" t="n">
        <f aca="false">+YEARFRAC(L2672,$S$1)</f>
        <v>126.366666666667</v>
      </c>
      <c r="T2672" s="230" t="n">
        <f aca="false">+YEARFRAC(M2672,$S$1)</f>
        <v>126.366666666667</v>
      </c>
      <c r="U2672" s="231" t="n">
        <f aca="false">+$I2672</f>
        <v>0</v>
      </c>
      <c r="V2672" s="232" t="str">
        <f aca="false">+PROPER(F2672)</f>
        <v/>
      </c>
    </row>
    <row r="2673" customFormat="false" ht="14.25" hidden="false" customHeight="false" outlineLevel="0" collapsed="false">
      <c r="B2673" s="244"/>
      <c r="C2673" s="245"/>
      <c r="D2673" s="245"/>
      <c r="E2673" s="246"/>
      <c r="F2673" s="246"/>
      <c r="G2673" s="225" t="e">
        <f aca="false">VLOOKUP(B2673,'NIVEL ENERO'!A:F,4,0)</f>
        <v>#N/A</v>
      </c>
      <c r="H2673" s="247"/>
      <c r="I2673" s="247"/>
      <c r="J2673" s="246"/>
      <c r="K2673" s="246"/>
      <c r="L2673" s="226"/>
      <c r="M2673" s="226"/>
      <c r="N2673" s="246"/>
      <c r="P2673" s="228"/>
      <c r="Q2673" s="245"/>
      <c r="R2673" s="186" t="str">
        <f aca="false">+PROPER(C2673&amp;" "&amp;D2673)</f>
        <v> </v>
      </c>
      <c r="S2673" s="230" t="n">
        <f aca="false">+YEARFRAC(L2673,$S$1)</f>
        <v>126.366666666667</v>
      </c>
      <c r="T2673" s="230" t="n">
        <f aca="false">+YEARFRAC(M2673,$S$1)</f>
        <v>126.366666666667</v>
      </c>
      <c r="U2673" s="231" t="n">
        <f aca="false">+$I2673</f>
        <v>0</v>
      </c>
      <c r="V2673" s="232" t="str">
        <f aca="false">+PROPER(F2673)</f>
        <v/>
      </c>
    </row>
    <row r="2674" customFormat="false" ht="14.25" hidden="false" customHeight="false" outlineLevel="0" collapsed="false">
      <c r="B2674" s="244"/>
      <c r="C2674" s="245"/>
      <c r="D2674" s="245"/>
      <c r="E2674" s="246"/>
      <c r="F2674" s="246"/>
      <c r="G2674" s="225" t="e">
        <f aca="false">VLOOKUP(B2674,'NIVEL ENERO'!A:F,4,0)</f>
        <v>#N/A</v>
      </c>
      <c r="H2674" s="247"/>
      <c r="I2674" s="247"/>
      <c r="J2674" s="246"/>
      <c r="K2674" s="246"/>
      <c r="L2674" s="226"/>
      <c r="M2674" s="226"/>
      <c r="N2674" s="246"/>
      <c r="P2674" s="228"/>
      <c r="Q2674" s="245"/>
      <c r="R2674" s="186" t="str">
        <f aca="false">+PROPER(C2674&amp;" "&amp;D2674)</f>
        <v> </v>
      </c>
      <c r="S2674" s="230" t="n">
        <f aca="false">+YEARFRAC(L2674,$S$1)</f>
        <v>126.366666666667</v>
      </c>
      <c r="T2674" s="230" t="n">
        <f aca="false">+YEARFRAC(M2674,$S$1)</f>
        <v>126.366666666667</v>
      </c>
      <c r="U2674" s="231" t="n">
        <f aca="false">+$I2674</f>
        <v>0</v>
      </c>
      <c r="V2674" s="232" t="str">
        <f aca="false">+PROPER(F2674)</f>
        <v/>
      </c>
    </row>
    <row r="2675" customFormat="false" ht="14.25" hidden="false" customHeight="false" outlineLevel="0" collapsed="false">
      <c r="B2675" s="244"/>
      <c r="C2675" s="245"/>
      <c r="D2675" s="245"/>
      <c r="E2675" s="246"/>
      <c r="F2675" s="246"/>
      <c r="G2675" s="225" t="e">
        <f aca="false">VLOOKUP(B2675,'NIVEL ENERO'!A:F,4,0)</f>
        <v>#N/A</v>
      </c>
      <c r="H2675" s="247"/>
      <c r="I2675" s="247"/>
      <c r="J2675" s="246"/>
      <c r="K2675" s="246"/>
      <c r="L2675" s="226"/>
      <c r="M2675" s="226"/>
      <c r="N2675" s="246"/>
      <c r="P2675" s="228"/>
      <c r="Q2675" s="245"/>
      <c r="R2675" s="186" t="str">
        <f aca="false">+PROPER(C2675&amp;" "&amp;D2675)</f>
        <v> </v>
      </c>
      <c r="S2675" s="230" t="n">
        <f aca="false">+YEARFRAC(L2675,$S$1)</f>
        <v>126.366666666667</v>
      </c>
      <c r="T2675" s="230" t="n">
        <f aca="false">+YEARFRAC(M2675,$S$1)</f>
        <v>126.366666666667</v>
      </c>
      <c r="U2675" s="231" t="n">
        <f aca="false">+$I2675</f>
        <v>0</v>
      </c>
      <c r="V2675" s="232" t="str">
        <f aca="false">+PROPER(F2675)</f>
        <v/>
      </c>
    </row>
    <row r="2676" customFormat="false" ht="14.25" hidden="false" customHeight="false" outlineLevel="0" collapsed="false">
      <c r="B2676" s="244"/>
      <c r="C2676" s="245"/>
      <c r="D2676" s="245"/>
      <c r="E2676" s="246"/>
      <c r="F2676" s="246"/>
      <c r="G2676" s="225" t="e">
        <f aca="false">VLOOKUP(B2676,'NIVEL ENERO'!A:F,4,0)</f>
        <v>#N/A</v>
      </c>
      <c r="H2676" s="247"/>
      <c r="I2676" s="247"/>
      <c r="J2676" s="246"/>
      <c r="K2676" s="246"/>
      <c r="L2676" s="226"/>
      <c r="M2676" s="226"/>
      <c r="N2676" s="246"/>
      <c r="P2676" s="228"/>
      <c r="Q2676" s="245"/>
      <c r="R2676" s="186" t="str">
        <f aca="false">+PROPER(C2676&amp;" "&amp;D2676)</f>
        <v> </v>
      </c>
      <c r="S2676" s="230" t="n">
        <f aca="false">+YEARFRAC(L2676,$S$1)</f>
        <v>126.366666666667</v>
      </c>
      <c r="T2676" s="230" t="n">
        <f aca="false">+YEARFRAC(M2676,$S$1)</f>
        <v>126.366666666667</v>
      </c>
      <c r="U2676" s="231" t="n">
        <f aca="false">+$I2676</f>
        <v>0</v>
      </c>
      <c r="V2676" s="232" t="str">
        <f aca="false">+PROPER(F2676)</f>
        <v/>
      </c>
    </row>
    <row r="2677" customFormat="false" ht="14.25" hidden="false" customHeight="false" outlineLevel="0" collapsed="false">
      <c r="B2677" s="244"/>
      <c r="C2677" s="245"/>
      <c r="D2677" s="245"/>
      <c r="E2677" s="246"/>
      <c r="F2677" s="246"/>
      <c r="G2677" s="225" t="e">
        <f aca="false">VLOOKUP(B2677,'NIVEL ENERO'!A:F,4,0)</f>
        <v>#N/A</v>
      </c>
      <c r="H2677" s="247"/>
      <c r="I2677" s="247"/>
      <c r="J2677" s="246"/>
      <c r="K2677" s="246"/>
      <c r="L2677" s="226"/>
      <c r="M2677" s="226"/>
      <c r="N2677" s="246"/>
      <c r="P2677" s="228"/>
      <c r="Q2677" s="245"/>
      <c r="R2677" s="186" t="str">
        <f aca="false">+PROPER(C2677&amp;" "&amp;D2677)</f>
        <v> </v>
      </c>
      <c r="S2677" s="230" t="n">
        <f aca="false">+YEARFRAC(L2677,$S$1)</f>
        <v>126.366666666667</v>
      </c>
      <c r="T2677" s="230" t="n">
        <f aca="false">+YEARFRAC(M2677,$S$1)</f>
        <v>126.366666666667</v>
      </c>
      <c r="U2677" s="231" t="n">
        <f aca="false">+$I2677</f>
        <v>0</v>
      </c>
      <c r="V2677" s="232" t="str">
        <f aca="false">+PROPER(F2677)</f>
        <v/>
      </c>
    </row>
    <row r="2678" customFormat="false" ht="14.25" hidden="false" customHeight="false" outlineLevel="0" collapsed="false">
      <c r="B2678" s="244"/>
      <c r="C2678" s="245"/>
      <c r="D2678" s="245"/>
      <c r="E2678" s="246"/>
      <c r="F2678" s="246"/>
      <c r="G2678" s="225" t="e">
        <f aca="false">VLOOKUP(B2678,'NIVEL ENERO'!A:F,4,0)</f>
        <v>#N/A</v>
      </c>
      <c r="H2678" s="247"/>
      <c r="I2678" s="247"/>
      <c r="J2678" s="246"/>
      <c r="K2678" s="246"/>
      <c r="L2678" s="226"/>
      <c r="M2678" s="226"/>
      <c r="N2678" s="246"/>
      <c r="P2678" s="228"/>
      <c r="Q2678" s="245"/>
      <c r="R2678" s="186" t="str">
        <f aca="false">+PROPER(C2678&amp;" "&amp;D2678)</f>
        <v> </v>
      </c>
      <c r="S2678" s="230" t="n">
        <f aca="false">+YEARFRAC(L2678,$S$1)</f>
        <v>126.366666666667</v>
      </c>
      <c r="T2678" s="230" t="n">
        <f aca="false">+YEARFRAC(M2678,$S$1)</f>
        <v>126.366666666667</v>
      </c>
      <c r="U2678" s="231" t="n">
        <f aca="false">+$I2678</f>
        <v>0</v>
      </c>
      <c r="V2678" s="232" t="str">
        <f aca="false">+PROPER(F2678)</f>
        <v/>
      </c>
    </row>
    <row r="2679" customFormat="false" ht="14.25" hidden="false" customHeight="false" outlineLevel="0" collapsed="false">
      <c r="B2679" s="244"/>
      <c r="C2679" s="245"/>
      <c r="D2679" s="245"/>
      <c r="E2679" s="246"/>
      <c r="F2679" s="246"/>
      <c r="G2679" s="225" t="e">
        <f aca="false">VLOOKUP(B2679,'NIVEL ENERO'!A:F,4,0)</f>
        <v>#N/A</v>
      </c>
      <c r="H2679" s="247"/>
      <c r="I2679" s="247"/>
      <c r="J2679" s="246"/>
      <c r="K2679" s="246"/>
      <c r="L2679" s="226"/>
      <c r="M2679" s="226"/>
      <c r="N2679" s="246"/>
      <c r="P2679" s="228"/>
      <c r="Q2679" s="245"/>
      <c r="R2679" s="186" t="str">
        <f aca="false">+PROPER(C2679&amp;" "&amp;D2679)</f>
        <v> </v>
      </c>
      <c r="S2679" s="230" t="n">
        <f aca="false">+YEARFRAC(L2679,$S$1)</f>
        <v>126.366666666667</v>
      </c>
      <c r="T2679" s="230" t="n">
        <f aca="false">+YEARFRAC(M2679,$S$1)</f>
        <v>126.366666666667</v>
      </c>
      <c r="U2679" s="231" t="n">
        <f aca="false">+$I2679</f>
        <v>0</v>
      </c>
      <c r="V2679" s="232" t="str">
        <f aca="false">+PROPER(F2679)</f>
        <v/>
      </c>
    </row>
    <row r="2680" customFormat="false" ht="14.25" hidden="false" customHeight="false" outlineLevel="0" collapsed="false">
      <c r="B2680" s="244"/>
      <c r="C2680" s="245"/>
      <c r="D2680" s="245"/>
      <c r="E2680" s="246"/>
      <c r="F2680" s="246"/>
      <c r="G2680" s="225" t="e">
        <f aca="false">VLOOKUP(B2680,'NIVEL ENERO'!A:F,4,0)</f>
        <v>#N/A</v>
      </c>
      <c r="H2680" s="247"/>
      <c r="I2680" s="247"/>
      <c r="J2680" s="246"/>
      <c r="K2680" s="246"/>
      <c r="L2680" s="226"/>
      <c r="M2680" s="226"/>
      <c r="N2680" s="246"/>
      <c r="P2680" s="228"/>
      <c r="Q2680" s="245"/>
      <c r="R2680" s="186" t="str">
        <f aca="false">+PROPER(C2680&amp;" "&amp;D2680)</f>
        <v> </v>
      </c>
      <c r="S2680" s="230" t="n">
        <f aca="false">+YEARFRAC(L2680,$S$1)</f>
        <v>126.366666666667</v>
      </c>
      <c r="T2680" s="230" t="n">
        <f aca="false">+YEARFRAC(M2680,$S$1)</f>
        <v>126.366666666667</v>
      </c>
      <c r="U2680" s="231" t="n">
        <f aca="false">+$I2680</f>
        <v>0</v>
      </c>
      <c r="V2680" s="232" t="str">
        <f aca="false">+PROPER(F2680)</f>
        <v/>
      </c>
    </row>
    <row r="2681" customFormat="false" ht="14.25" hidden="false" customHeight="false" outlineLevel="0" collapsed="false">
      <c r="B2681" s="244"/>
      <c r="C2681" s="245"/>
      <c r="D2681" s="245"/>
      <c r="E2681" s="246"/>
      <c r="F2681" s="246"/>
      <c r="G2681" s="225" t="e">
        <f aca="false">VLOOKUP(B2681,'NIVEL ENERO'!A:F,4,0)</f>
        <v>#N/A</v>
      </c>
      <c r="H2681" s="247"/>
      <c r="I2681" s="247"/>
      <c r="J2681" s="246"/>
      <c r="K2681" s="246"/>
      <c r="L2681" s="226"/>
      <c r="M2681" s="226"/>
      <c r="N2681" s="246"/>
      <c r="P2681" s="228"/>
      <c r="Q2681" s="245"/>
      <c r="R2681" s="186" t="str">
        <f aca="false">+PROPER(C2681&amp;" "&amp;D2681)</f>
        <v> </v>
      </c>
      <c r="S2681" s="230" t="n">
        <f aca="false">+YEARFRAC(L2681,$S$1)</f>
        <v>126.366666666667</v>
      </c>
      <c r="T2681" s="230" t="n">
        <f aca="false">+YEARFRAC(M2681,$S$1)</f>
        <v>126.366666666667</v>
      </c>
      <c r="U2681" s="231" t="n">
        <f aca="false">+$I2681</f>
        <v>0</v>
      </c>
      <c r="V2681" s="232" t="str">
        <f aca="false">+PROPER(F2681)</f>
        <v/>
      </c>
    </row>
    <row r="2682" customFormat="false" ht="14.25" hidden="false" customHeight="false" outlineLevel="0" collapsed="false">
      <c r="B2682" s="244"/>
      <c r="C2682" s="245"/>
      <c r="D2682" s="245"/>
      <c r="E2682" s="246"/>
      <c r="F2682" s="246"/>
      <c r="G2682" s="225" t="e">
        <f aca="false">VLOOKUP(B2682,'NIVEL ENERO'!A:F,4,0)</f>
        <v>#N/A</v>
      </c>
      <c r="H2682" s="247"/>
      <c r="I2682" s="247"/>
      <c r="J2682" s="246"/>
      <c r="K2682" s="246"/>
      <c r="L2682" s="226"/>
      <c r="M2682" s="226"/>
      <c r="N2682" s="246"/>
      <c r="P2682" s="228"/>
      <c r="Q2682" s="245"/>
      <c r="R2682" s="186" t="str">
        <f aca="false">+PROPER(C2682&amp;" "&amp;D2682)</f>
        <v> </v>
      </c>
      <c r="S2682" s="230" t="n">
        <f aca="false">+YEARFRAC(L2682,$S$1)</f>
        <v>126.366666666667</v>
      </c>
      <c r="T2682" s="230" t="n">
        <f aca="false">+YEARFRAC(M2682,$S$1)</f>
        <v>126.366666666667</v>
      </c>
      <c r="U2682" s="231" t="n">
        <f aca="false">+$I2682</f>
        <v>0</v>
      </c>
      <c r="V2682" s="232" t="str">
        <f aca="false">+PROPER(F2682)</f>
        <v/>
      </c>
    </row>
    <row r="2683" customFormat="false" ht="14.25" hidden="false" customHeight="false" outlineLevel="0" collapsed="false">
      <c r="B2683" s="244"/>
      <c r="C2683" s="245"/>
      <c r="D2683" s="245"/>
      <c r="E2683" s="246"/>
      <c r="F2683" s="246"/>
      <c r="G2683" s="225" t="e">
        <f aca="false">VLOOKUP(B2683,'NIVEL ENERO'!A:F,4,0)</f>
        <v>#N/A</v>
      </c>
      <c r="H2683" s="247"/>
      <c r="I2683" s="247"/>
      <c r="J2683" s="246"/>
      <c r="K2683" s="246"/>
      <c r="L2683" s="226"/>
      <c r="M2683" s="226"/>
      <c r="N2683" s="246"/>
      <c r="P2683" s="228"/>
      <c r="Q2683" s="245"/>
      <c r="R2683" s="186" t="str">
        <f aca="false">+PROPER(C2683&amp;" "&amp;D2683)</f>
        <v> </v>
      </c>
      <c r="S2683" s="230" t="n">
        <f aca="false">+YEARFRAC(L2683,$S$1)</f>
        <v>126.366666666667</v>
      </c>
      <c r="T2683" s="230" t="n">
        <f aca="false">+YEARFRAC(M2683,$S$1)</f>
        <v>126.366666666667</v>
      </c>
      <c r="U2683" s="231" t="n">
        <f aca="false">+$I2683</f>
        <v>0</v>
      </c>
      <c r="V2683" s="232" t="str">
        <f aca="false">+PROPER(F2683)</f>
        <v/>
      </c>
    </row>
    <row r="2684" customFormat="false" ht="14.25" hidden="false" customHeight="false" outlineLevel="0" collapsed="false">
      <c r="B2684" s="244"/>
      <c r="C2684" s="245"/>
      <c r="D2684" s="245"/>
      <c r="E2684" s="246"/>
      <c r="F2684" s="246"/>
      <c r="G2684" s="225" t="e">
        <f aca="false">VLOOKUP(B2684,'NIVEL ENERO'!A:F,4,0)</f>
        <v>#N/A</v>
      </c>
      <c r="H2684" s="247"/>
      <c r="I2684" s="247"/>
      <c r="J2684" s="246"/>
      <c r="K2684" s="246"/>
      <c r="L2684" s="226"/>
      <c r="M2684" s="226"/>
      <c r="N2684" s="246"/>
      <c r="P2684" s="228"/>
      <c r="Q2684" s="245"/>
      <c r="R2684" s="186" t="str">
        <f aca="false">+PROPER(C2684&amp;" "&amp;D2684)</f>
        <v> </v>
      </c>
      <c r="S2684" s="230" t="n">
        <f aca="false">+YEARFRAC(L2684,$S$1)</f>
        <v>126.366666666667</v>
      </c>
      <c r="T2684" s="230" t="n">
        <f aca="false">+YEARFRAC(M2684,$S$1)</f>
        <v>126.366666666667</v>
      </c>
      <c r="U2684" s="231" t="n">
        <f aca="false">+$I2684</f>
        <v>0</v>
      </c>
      <c r="V2684" s="232" t="str">
        <f aca="false">+PROPER(F2684)</f>
        <v/>
      </c>
    </row>
    <row r="2685" customFormat="false" ht="14.25" hidden="false" customHeight="false" outlineLevel="0" collapsed="false">
      <c r="B2685" s="244"/>
      <c r="C2685" s="245"/>
      <c r="D2685" s="245"/>
      <c r="E2685" s="246"/>
      <c r="F2685" s="246"/>
      <c r="G2685" s="225" t="e">
        <f aca="false">VLOOKUP(B2685,'NIVEL ENERO'!A:F,4,0)</f>
        <v>#N/A</v>
      </c>
      <c r="H2685" s="247"/>
      <c r="I2685" s="247"/>
      <c r="J2685" s="246"/>
      <c r="K2685" s="246"/>
      <c r="L2685" s="226"/>
      <c r="M2685" s="226"/>
      <c r="N2685" s="246"/>
      <c r="P2685" s="228"/>
      <c r="Q2685" s="245"/>
      <c r="R2685" s="186" t="str">
        <f aca="false">+PROPER(C2685&amp;" "&amp;D2685)</f>
        <v> </v>
      </c>
      <c r="S2685" s="230" t="n">
        <f aca="false">+YEARFRAC(L2685,$S$1)</f>
        <v>126.366666666667</v>
      </c>
      <c r="T2685" s="230" t="n">
        <f aca="false">+YEARFRAC(M2685,$S$1)</f>
        <v>126.366666666667</v>
      </c>
      <c r="U2685" s="231" t="n">
        <f aca="false">+$I2685</f>
        <v>0</v>
      </c>
      <c r="V2685" s="232" t="str">
        <f aca="false">+PROPER(F2685)</f>
        <v/>
      </c>
    </row>
    <row r="2686" customFormat="false" ht="14.25" hidden="false" customHeight="false" outlineLevel="0" collapsed="false">
      <c r="B2686" s="244"/>
      <c r="C2686" s="245"/>
      <c r="D2686" s="245"/>
      <c r="E2686" s="246"/>
      <c r="F2686" s="246"/>
      <c r="G2686" s="225" t="e">
        <f aca="false">VLOOKUP(B2686,'NIVEL ENERO'!A:F,4,0)</f>
        <v>#N/A</v>
      </c>
      <c r="H2686" s="247"/>
      <c r="I2686" s="247"/>
      <c r="J2686" s="246"/>
      <c r="K2686" s="246"/>
      <c r="L2686" s="226"/>
      <c r="M2686" s="226"/>
      <c r="N2686" s="246"/>
      <c r="P2686" s="228"/>
      <c r="Q2686" s="245"/>
      <c r="R2686" s="186" t="str">
        <f aca="false">+PROPER(C2686&amp;" "&amp;D2686)</f>
        <v> </v>
      </c>
      <c r="S2686" s="230" t="n">
        <f aca="false">+YEARFRAC(L2686,$S$1)</f>
        <v>126.366666666667</v>
      </c>
      <c r="T2686" s="230" t="n">
        <f aca="false">+YEARFRAC(M2686,$S$1)</f>
        <v>126.366666666667</v>
      </c>
      <c r="U2686" s="231" t="n">
        <f aca="false">+$I2686</f>
        <v>0</v>
      </c>
      <c r="V2686" s="232" t="str">
        <f aca="false">+PROPER(F2686)</f>
        <v/>
      </c>
    </row>
    <row r="2687" customFormat="false" ht="14.25" hidden="false" customHeight="false" outlineLevel="0" collapsed="false">
      <c r="B2687" s="244"/>
      <c r="C2687" s="245"/>
      <c r="D2687" s="245"/>
      <c r="E2687" s="246"/>
      <c r="F2687" s="246"/>
      <c r="G2687" s="225" t="e">
        <f aca="false">VLOOKUP(B2687,'NIVEL ENERO'!A:F,4,0)</f>
        <v>#N/A</v>
      </c>
      <c r="H2687" s="247"/>
      <c r="I2687" s="247"/>
      <c r="J2687" s="246"/>
      <c r="K2687" s="246"/>
      <c r="L2687" s="226"/>
      <c r="M2687" s="226"/>
      <c r="N2687" s="246"/>
      <c r="P2687" s="228"/>
      <c r="Q2687" s="245"/>
      <c r="R2687" s="186" t="str">
        <f aca="false">+PROPER(C2687&amp;" "&amp;D2687)</f>
        <v> </v>
      </c>
      <c r="S2687" s="230" t="n">
        <f aca="false">+YEARFRAC(L2687,$S$1)</f>
        <v>126.366666666667</v>
      </c>
      <c r="T2687" s="230" t="n">
        <f aca="false">+YEARFRAC(M2687,$S$1)</f>
        <v>126.366666666667</v>
      </c>
      <c r="U2687" s="231" t="n">
        <f aca="false">+$I2687</f>
        <v>0</v>
      </c>
      <c r="V2687" s="232" t="str">
        <f aca="false">+PROPER(F2687)</f>
        <v/>
      </c>
    </row>
    <row r="2688" customFormat="false" ht="14.25" hidden="false" customHeight="false" outlineLevel="0" collapsed="false">
      <c r="B2688" s="244"/>
      <c r="C2688" s="245"/>
      <c r="D2688" s="245"/>
      <c r="E2688" s="246"/>
      <c r="F2688" s="246"/>
      <c r="G2688" s="225" t="e">
        <f aca="false">VLOOKUP(B2688,'NIVEL ENERO'!A:F,4,0)</f>
        <v>#N/A</v>
      </c>
      <c r="H2688" s="247"/>
      <c r="I2688" s="247"/>
      <c r="J2688" s="246"/>
      <c r="K2688" s="246"/>
      <c r="L2688" s="226"/>
      <c r="M2688" s="226"/>
      <c r="N2688" s="246"/>
      <c r="P2688" s="228"/>
      <c r="Q2688" s="245"/>
      <c r="R2688" s="186" t="str">
        <f aca="false">+PROPER(C2688&amp;" "&amp;D2688)</f>
        <v> </v>
      </c>
      <c r="S2688" s="230" t="n">
        <f aca="false">+YEARFRAC(L2688,$S$1)</f>
        <v>126.366666666667</v>
      </c>
      <c r="T2688" s="230" t="n">
        <f aca="false">+YEARFRAC(M2688,$S$1)</f>
        <v>126.366666666667</v>
      </c>
      <c r="U2688" s="231" t="n">
        <f aca="false">+$I2688</f>
        <v>0</v>
      </c>
      <c r="V2688" s="232" t="str">
        <f aca="false">+PROPER(F2688)</f>
        <v/>
      </c>
    </row>
    <row r="2689" customFormat="false" ht="14.25" hidden="false" customHeight="false" outlineLevel="0" collapsed="false">
      <c r="B2689" s="244"/>
      <c r="C2689" s="245"/>
      <c r="D2689" s="245"/>
      <c r="E2689" s="246"/>
      <c r="F2689" s="246"/>
      <c r="G2689" s="225" t="e">
        <f aca="false">VLOOKUP(B2689,'NIVEL ENERO'!A:F,4,0)</f>
        <v>#N/A</v>
      </c>
      <c r="H2689" s="247"/>
      <c r="I2689" s="247"/>
      <c r="J2689" s="246"/>
      <c r="K2689" s="246"/>
      <c r="L2689" s="226"/>
      <c r="M2689" s="226"/>
      <c r="N2689" s="246"/>
      <c r="P2689" s="228"/>
      <c r="Q2689" s="245"/>
      <c r="R2689" s="186" t="str">
        <f aca="false">+PROPER(C2689&amp;" "&amp;D2689)</f>
        <v> </v>
      </c>
      <c r="S2689" s="230" t="n">
        <f aca="false">+YEARFRAC(L2689,$S$1)</f>
        <v>126.366666666667</v>
      </c>
      <c r="T2689" s="230" t="n">
        <f aca="false">+YEARFRAC(M2689,$S$1)</f>
        <v>126.366666666667</v>
      </c>
      <c r="U2689" s="231" t="n">
        <f aca="false">+$I2689</f>
        <v>0</v>
      </c>
      <c r="V2689" s="232" t="str">
        <f aca="false">+PROPER(F2689)</f>
        <v/>
      </c>
    </row>
    <row r="2690" customFormat="false" ht="14.25" hidden="false" customHeight="false" outlineLevel="0" collapsed="false">
      <c r="B2690" s="244"/>
      <c r="C2690" s="245"/>
      <c r="D2690" s="245"/>
      <c r="E2690" s="246"/>
      <c r="F2690" s="246"/>
      <c r="G2690" s="225" t="e">
        <f aca="false">VLOOKUP(B2690,'NIVEL ENERO'!A:F,4,0)</f>
        <v>#N/A</v>
      </c>
      <c r="H2690" s="247"/>
      <c r="I2690" s="247"/>
      <c r="J2690" s="246"/>
      <c r="K2690" s="246"/>
      <c r="L2690" s="226"/>
      <c r="M2690" s="226"/>
      <c r="N2690" s="246"/>
      <c r="P2690" s="228"/>
      <c r="Q2690" s="245"/>
      <c r="R2690" s="186" t="str">
        <f aca="false">+PROPER(C2690&amp;" "&amp;D2690)</f>
        <v> </v>
      </c>
      <c r="S2690" s="230" t="n">
        <f aca="false">+YEARFRAC(L2690,$S$1)</f>
        <v>126.366666666667</v>
      </c>
      <c r="T2690" s="230" t="n">
        <f aca="false">+YEARFRAC(M2690,$S$1)</f>
        <v>126.366666666667</v>
      </c>
      <c r="U2690" s="231" t="n">
        <f aca="false">+$I2690</f>
        <v>0</v>
      </c>
      <c r="V2690" s="232" t="str">
        <f aca="false">+PROPER(F2690)</f>
        <v/>
      </c>
    </row>
    <row r="2691" customFormat="false" ht="14.25" hidden="false" customHeight="false" outlineLevel="0" collapsed="false">
      <c r="B2691" s="244"/>
      <c r="C2691" s="245"/>
      <c r="D2691" s="245"/>
      <c r="E2691" s="246"/>
      <c r="F2691" s="246"/>
      <c r="G2691" s="225" t="e">
        <f aca="false">VLOOKUP(B2691,'NIVEL ENERO'!A:F,4,0)</f>
        <v>#N/A</v>
      </c>
      <c r="H2691" s="247"/>
      <c r="I2691" s="247"/>
      <c r="J2691" s="246"/>
      <c r="K2691" s="246"/>
      <c r="L2691" s="226"/>
      <c r="M2691" s="226"/>
      <c r="N2691" s="246"/>
      <c r="P2691" s="228"/>
      <c r="Q2691" s="245"/>
      <c r="R2691" s="186" t="str">
        <f aca="false">+PROPER(C2691&amp;" "&amp;D2691)</f>
        <v> </v>
      </c>
      <c r="S2691" s="230" t="n">
        <f aca="false">+YEARFRAC(L2691,$S$1)</f>
        <v>126.366666666667</v>
      </c>
      <c r="T2691" s="230" t="n">
        <f aca="false">+YEARFRAC(M2691,$S$1)</f>
        <v>126.366666666667</v>
      </c>
      <c r="U2691" s="231" t="n">
        <f aca="false">+$I2691</f>
        <v>0</v>
      </c>
      <c r="V2691" s="232" t="str">
        <f aca="false">+PROPER(F2691)</f>
        <v/>
      </c>
    </row>
    <row r="2692" customFormat="false" ht="14.25" hidden="false" customHeight="false" outlineLevel="0" collapsed="false">
      <c r="B2692" s="244"/>
      <c r="C2692" s="245"/>
      <c r="D2692" s="245"/>
      <c r="E2692" s="246"/>
      <c r="F2692" s="246"/>
      <c r="G2692" s="225" t="e">
        <f aca="false">VLOOKUP(B2692,'NIVEL ENERO'!A:F,4,0)</f>
        <v>#N/A</v>
      </c>
      <c r="H2692" s="247"/>
      <c r="I2692" s="247"/>
      <c r="J2692" s="246"/>
      <c r="K2692" s="246"/>
      <c r="L2692" s="226"/>
      <c r="M2692" s="226"/>
      <c r="N2692" s="246"/>
      <c r="P2692" s="228"/>
      <c r="Q2692" s="245"/>
      <c r="R2692" s="186" t="str">
        <f aca="false">+PROPER(C2692&amp;" "&amp;D2692)</f>
        <v> </v>
      </c>
      <c r="S2692" s="230" t="n">
        <f aca="false">+YEARFRAC(L2692,$S$1)</f>
        <v>126.366666666667</v>
      </c>
      <c r="T2692" s="230" t="n">
        <f aca="false">+YEARFRAC(M2692,$S$1)</f>
        <v>126.366666666667</v>
      </c>
      <c r="U2692" s="231" t="n">
        <f aca="false">+$I2692</f>
        <v>0</v>
      </c>
      <c r="V2692" s="232" t="str">
        <f aca="false">+PROPER(F2692)</f>
        <v/>
      </c>
    </row>
    <row r="2693" customFormat="false" ht="14.25" hidden="false" customHeight="false" outlineLevel="0" collapsed="false">
      <c r="B2693" s="244"/>
      <c r="C2693" s="245"/>
      <c r="D2693" s="245"/>
      <c r="E2693" s="246"/>
      <c r="F2693" s="246"/>
      <c r="G2693" s="225" t="e">
        <f aca="false">VLOOKUP(B2693,'NIVEL ENERO'!A:F,4,0)</f>
        <v>#N/A</v>
      </c>
      <c r="H2693" s="247"/>
      <c r="I2693" s="247"/>
      <c r="J2693" s="246"/>
      <c r="K2693" s="246"/>
      <c r="L2693" s="226"/>
      <c r="M2693" s="226"/>
      <c r="N2693" s="246"/>
      <c r="P2693" s="228"/>
      <c r="Q2693" s="245"/>
      <c r="R2693" s="186" t="str">
        <f aca="false">+PROPER(C2693&amp;" "&amp;D2693)</f>
        <v> </v>
      </c>
      <c r="S2693" s="230" t="n">
        <f aca="false">+YEARFRAC(L2693,$S$1)</f>
        <v>126.366666666667</v>
      </c>
      <c r="T2693" s="230" t="n">
        <f aca="false">+YEARFRAC(M2693,$S$1)</f>
        <v>126.366666666667</v>
      </c>
      <c r="U2693" s="231" t="n">
        <f aca="false">+$I2693</f>
        <v>0</v>
      </c>
      <c r="V2693" s="232" t="str">
        <f aca="false">+PROPER(F2693)</f>
        <v/>
      </c>
    </row>
    <row r="2694" customFormat="false" ht="14.25" hidden="false" customHeight="false" outlineLevel="0" collapsed="false">
      <c r="B2694" s="244"/>
      <c r="C2694" s="245"/>
      <c r="D2694" s="245"/>
      <c r="E2694" s="246"/>
      <c r="F2694" s="246"/>
      <c r="G2694" s="225" t="e">
        <f aca="false">VLOOKUP(B2694,'NIVEL ENERO'!A:F,4,0)</f>
        <v>#N/A</v>
      </c>
      <c r="H2694" s="247"/>
      <c r="I2694" s="247"/>
      <c r="J2694" s="246"/>
      <c r="K2694" s="246"/>
      <c r="L2694" s="226"/>
      <c r="M2694" s="226"/>
      <c r="N2694" s="246"/>
      <c r="P2694" s="228"/>
      <c r="Q2694" s="245"/>
      <c r="R2694" s="186" t="str">
        <f aca="false">+PROPER(C2694&amp;" "&amp;D2694)</f>
        <v> </v>
      </c>
      <c r="S2694" s="230" t="n">
        <f aca="false">+YEARFRAC(L2694,$S$1)</f>
        <v>126.366666666667</v>
      </c>
      <c r="T2694" s="230" t="n">
        <f aca="false">+YEARFRAC(M2694,$S$1)</f>
        <v>126.366666666667</v>
      </c>
      <c r="U2694" s="231" t="n">
        <f aca="false">+$I2694</f>
        <v>0</v>
      </c>
      <c r="V2694" s="232" t="str">
        <f aca="false">+PROPER(F2694)</f>
        <v/>
      </c>
    </row>
    <row r="2695" customFormat="false" ht="14.25" hidden="false" customHeight="false" outlineLevel="0" collapsed="false">
      <c r="B2695" s="244"/>
      <c r="C2695" s="245"/>
      <c r="D2695" s="245"/>
      <c r="E2695" s="246"/>
      <c r="F2695" s="246"/>
      <c r="G2695" s="225" t="e">
        <f aca="false">VLOOKUP(B2695,'NIVEL ENERO'!A:F,4,0)</f>
        <v>#N/A</v>
      </c>
      <c r="H2695" s="247"/>
      <c r="I2695" s="247"/>
      <c r="J2695" s="246"/>
      <c r="K2695" s="246"/>
      <c r="L2695" s="226"/>
      <c r="M2695" s="226"/>
      <c r="N2695" s="246"/>
      <c r="P2695" s="228"/>
      <c r="Q2695" s="245"/>
      <c r="R2695" s="186" t="str">
        <f aca="false">+PROPER(C2695&amp;" "&amp;D2695)</f>
        <v> </v>
      </c>
      <c r="S2695" s="230" t="n">
        <f aca="false">+YEARFRAC(L2695,$S$1)</f>
        <v>126.366666666667</v>
      </c>
      <c r="T2695" s="230" t="n">
        <f aca="false">+YEARFRAC(M2695,$S$1)</f>
        <v>126.366666666667</v>
      </c>
      <c r="U2695" s="231" t="n">
        <f aca="false">+$I2695</f>
        <v>0</v>
      </c>
      <c r="V2695" s="232" t="str">
        <f aca="false">+PROPER(F2695)</f>
        <v/>
      </c>
    </row>
    <row r="2696" customFormat="false" ht="14.25" hidden="false" customHeight="false" outlineLevel="0" collapsed="false">
      <c r="B2696" s="244"/>
      <c r="C2696" s="245"/>
      <c r="D2696" s="245"/>
      <c r="E2696" s="246"/>
      <c r="F2696" s="246"/>
      <c r="G2696" s="225" t="e">
        <f aca="false">VLOOKUP(B2696,'NIVEL ENERO'!A:F,4,0)</f>
        <v>#N/A</v>
      </c>
      <c r="H2696" s="247"/>
      <c r="I2696" s="247"/>
      <c r="J2696" s="246"/>
      <c r="K2696" s="246"/>
      <c r="L2696" s="226"/>
      <c r="M2696" s="226"/>
      <c r="N2696" s="246"/>
      <c r="P2696" s="228"/>
      <c r="Q2696" s="245"/>
      <c r="R2696" s="186" t="str">
        <f aca="false">+PROPER(C2696&amp;" "&amp;D2696)</f>
        <v> </v>
      </c>
      <c r="S2696" s="230" t="n">
        <f aca="false">+YEARFRAC(L2696,$S$1)</f>
        <v>126.366666666667</v>
      </c>
      <c r="T2696" s="230" t="n">
        <f aca="false">+YEARFRAC(M2696,$S$1)</f>
        <v>126.366666666667</v>
      </c>
      <c r="U2696" s="231" t="n">
        <f aca="false">+$I2696</f>
        <v>0</v>
      </c>
      <c r="V2696" s="232" t="str">
        <f aca="false">+PROPER(F2696)</f>
        <v/>
      </c>
    </row>
    <row r="2697" customFormat="false" ht="14.25" hidden="false" customHeight="false" outlineLevel="0" collapsed="false">
      <c r="B2697" s="244"/>
      <c r="C2697" s="245"/>
      <c r="D2697" s="245"/>
      <c r="E2697" s="246"/>
      <c r="F2697" s="246"/>
      <c r="G2697" s="225" t="e">
        <f aca="false">VLOOKUP(B2697,'NIVEL ENERO'!A:F,4,0)</f>
        <v>#N/A</v>
      </c>
      <c r="H2697" s="247"/>
      <c r="I2697" s="247"/>
      <c r="J2697" s="246"/>
      <c r="K2697" s="246"/>
      <c r="L2697" s="226"/>
      <c r="M2697" s="226"/>
      <c r="N2697" s="246"/>
      <c r="P2697" s="228"/>
      <c r="Q2697" s="245"/>
      <c r="R2697" s="186" t="str">
        <f aca="false">+PROPER(C2697&amp;" "&amp;D2697)</f>
        <v> </v>
      </c>
      <c r="S2697" s="230" t="n">
        <f aca="false">+YEARFRAC(L2697,$S$1)</f>
        <v>126.366666666667</v>
      </c>
      <c r="T2697" s="230" t="n">
        <f aca="false">+YEARFRAC(M2697,$S$1)</f>
        <v>126.366666666667</v>
      </c>
      <c r="U2697" s="231" t="n">
        <f aca="false">+$I2697</f>
        <v>0</v>
      </c>
      <c r="V2697" s="232" t="str">
        <f aca="false">+PROPER(F2697)</f>
        <v/>
      </c>
    </row>
    <row r="2698" customFormat="false" ht="14.25" hidden="false" customHeight="false" outlineLevel="0" collapsed="false">
      <c r="B2698" s="244"/>
      <c r="C2698" s="245"/>
      <c r="D2698" s="245"/>
      <c r="E2698" s="246"/>
      <c r="F2698" s="246"/>
      <c r="G2698" s="225" t="e">
        <f aca="false">VLOOKUP(B2698,'NIVEL ENERO'!A:F,4,0)</f>
        <v>#N/A</v>
      </c>
      <c r="H2698" s="247"/>
      <c r="I2698" s="247"/>
      <c r="J2698" s="246"/>
      <c r="K2698" s="246"/>
      <c r="L2698" s="226"/>
      <c r="M2698" s="226"/>
      <c r="N2698" s="246"/>
      <c r="P2698" s="228"/>
      <c r="Q2698" s="245"/>
      <c r="R2698" s="186" t="str">
        <f aca="false">+PROPER(C2698&amp;" "&amp;D2698)</f>
        <v> </v>
      </c>
      <c r="S2698" s="230" t="n">
        <f aca="false">+YEARFRAC(L2698,$S$1)</f>
        <v>126.366666666667</v>
      </c>
      <c r="T2698" s="230" t="n">
        <f aca="false">+YEARFRAC(M2698,$S$1)</f>
        <v>126.366666666667</v>
      </c>
      <c r="U2698" s="231" t="n">
        <f aca="false">+$I2698</f>
        <v>0</v>
      </c>
      <c r="V2698" s="232" t="str">
        <f aca="false">+PROPER(F2698)</f>
        <v/>
      </c>
    </row>
    <row r="2699" customFormat="false" ht="14.25" hidden="false" customHeight="false" outlineLevel="0" collapsed="false">
      <c r="B2699" s="244"/>
      <c r="C2699" s="245"/>
      <c r="D2699" s="245"/>
      <c r="E2699" s="246"/>
      <c r="F2699" s="246"/>
      <c r="G2699" s="225" t="e">
        <f aca="false">VLOOKUP(B2699,'NIVEL ENERO'!A:F,4,0)</f>
        <v>#N/A</v>
      </c>
      <c r="H2699" s="247"/>
      <c r="I2699" s="247"/>
      <c r="J2699" s="246"/>
      <c r="K2699" s="246"/>
      <c r="L2699" s="226"/>
      <c r="M2699" s="226"/>
      <c r="N2699" s="246"/>
      <c r="P2699" s="228"/>
      <c r="Q2699" s="245"/>
      <c r="R2699" s="186" t="str">
        <f aca="false">+PROPER(C2699&amp;" "&amp;D2699)</f>
        <v> </v>
      </c>
      <c r="S2699" s="230" t="n">
        <f aca="false">+YEARFRAC(L2699,$S$1)</f>
        <v>126.366666666667</v>
      </c>
      <c r="T2699" s="230" t="n">
        <f aca="false">+YEARFRAC(M2699,$S$1)</f>
        <v>126.366666666667</v>
      </c>
      <c r="U2699" s="231" t="n">
        <f aca="false">+$I2699</f>
        <v>0</v>
      </c>
      <c r="V2699" s="232" t="str">
        <f aca="false">+PROPER(F2699)</f>
        <v/>
      </c>
    </row>
    <row r="2700" customFormat="false" ht="14.25" hidden="false" customHeight="false" outlineLevel="0" collapsed="false">
      <c r="B2700" s="244"/>
      <c r="C2700" s="245"/>
      <c r="D2700" s="245"/>
      <c r="E2700" s="246"/>
      <c r="F2700" s="246"/>
      <c r="G2700" s="225" t="e">
        <f aca="false">VLOOKUP(B2700,'NIVEL ENERO'!A:F,4,0)</f>
        <v>#N/A</v>
      </c>
      <c r="H2700" s="247"/>
      <c r="I2700" s="247"/>
      <c r="J2700" s="246"/>
      <c r="K2700" s="246"/>
      <c r="L2700" s="226"/>
      <c r="M2700" s="226"/>
      <c r="N2700" s="246"/>
      <c r="P2700" s="228"/>
      <c r="Q2700" s="245"/>
      <c r="R2700" s="186" t="str">
        <f aca="false">+PROPER(C2700&amp;" "&amp;D2700)</f>
        <v> </v>
      </c>
      <c r="S2700" s="230" t="n">
        <f aca="false">+YEARFRAC(L2700,$S$1)</f>
        <v>126.366666666667</v>
      </c>
      <c r="T2700" s="230" t="n">
        <f aca="false">+YEARFRAC(M2700,$S$1)</f>
        <v>126.366666666667</v>
      </c>
      <c r="U2700" s="231" t="n">
        <f aca="false">+$I2700</f>
        <v>0</v>
      </c>
      <c r="V2700" s="232" t="str">
        <f aca="false">+PROPER(F2700)</f>
        <v/>
      </c>
    </row>
    <row r="2701" customFormat="false" ht="14.25" hidden="false" customHeight="false" outlineLevel="0" collapsed="false">
      <c r="B2701" s="244"/>
      <c r="C2701" s="245"/>
      <c r="D2701" s="245"/>
      <c r="E2701" s="246"/>
      <c r="F2701" s="246"/>
      <c r="G2701" s="225" t="e">
        <f aca="false">VLOOKUP(B2701,'NIVEL ENERO'!A:F,4,0)</f>
        <v>#N/A</v>
      </c>
      <c r="H2701" s="247"/>
      <c r="I2701" s="247"/>
      <c r="J2701" s="246"/>
      <c r="K2701" s="246"/>
      <c r="L2701" s="226"/>
      <c r="M2701" s="226"/>
      <c r="N2701" s="246"/>
      <c r="P2701" s="228"/>
      <c r="Q2701" s="245"/>
      <c r="R2701" s="186" t="str">
        <f aca="false">+PROPER(C2701&amp;" "&amp;D2701)</f>
        <v> </v>
      </c>
      <c r="S2701" s="230" t="n">
        <f aca="false">+YEARFRAC(L2701,$S$1)</f>
        <v>126.366666666667</v>
      </c>
      <c r="T2701" s="230" t="n">
        <f aca="false">+YEARFRAC(M2701,$S$1)</f>
        <v>126.366666666667</v>
      </c>
      <c r="U2701" s="231" t="n">
        <f aca="false">+$I2701</f>
        <v>0</v>
      </c>
      <c r="V2701" s="232" t="str">
        <f aca="false">+PROPER(F2701)</f>
        <v/>
      </c>
    </row>
    <row r="2702" customFormat="false" ht="14.25" hidden="false" customHeight="false" outlineLevel="0" collapsed="false">
      <c r="B2702" s="244"/>
      <c r="C2702" s="245"/>
      <c r="D2702" s="245"/>
      <c r="E2702" s="246"/>
      <c r="F2702" s="246"/>
      <c r="G2702" s="225" t="e">
        <f aca="false">VLOOKUP(B2702,'NIVEL ENERO'!A:F,4,0)</f>
        <v>#N/A</v>
      </c>
      <c r="H2702" s="247"/>
      <c r="I2702" s="247"/>
      <c r="J2702" s="246"/>
      <c r="K2702" s="246"/>
      <c r="L2702" s="226"/>
      <c r="M2702" s="226"/>
      <c r="N2702" s="246"/>
      <c r="P2702" s="228"/>
      <c r="Q2702" s="245"/>
      <c r="R2702" s="186" t="str">
        <f aca="false">+PROPER(C2702&amp;" "&amp;D2702)</f>
        <v> </v>
      </c>
      <c r="S2702" s="230" t="n">
        <f aca="false">+YEARFRAC(L2702,$S$1)</f>
        <v>126.366666666667</v>
      </c>
      <c r="T2702" s="230" t="n">
        <f aca="false">+YEARFRAC(M2702,$S$1)</f>
        <v>126.366666666667</v>
      </c>
      <c r="U2702" s="231" t="n">
        <f aca="false">+$I2702</f>
        <v>0</v>
      </c>
      <c r="V2702" s="232" t="str">
        <f aca="false">+PROPER(F2702)</f>
        <v/>
      </c>
    </row>
    <row r="2703" customFormat="false" ht="14.25" hidden="false" customHeight="false" outlineLevel="0" collapsed="false">
      <c r="B2703" s="244"/>
      <c r="C2703" s="245"/>
      <c r="D2703" s="245"/>
      <c r="E2703" s="246"/>
      <c r="F2703" s="246"/>
      <c r="G2703" s="225" t="e">
        <f aca="false">VLOOKUP(B2703,'NIVEL ENERO'!A:F,4,0)</f>
        <v>#N/A</v>
      </c>
      <c r="H2703" s="247"/>
      <c r="I2703" s="247"/>
      <c r="J2703" s="246"/>
      <c r="K2703" s="246"/>
      <c r="L2703" s="226"/>
      <c r="M2703" s="226"/>
      <c r="N2703" s="246"/>
      <c r="P2703" s="228"/>
      <c r="Q2703" s="245"/>
      <c r="R2703" s="186" t="str">
        <f aca="false">+PROPER(C2703&amp;" "&amp;D2703)</f>
        <v> </v>
      </c>
      <c r="S2703" s="230" t="n">
        <f aca="false">+YEARFRAC(L2703,$S$1)</f>
        <v>126.366666666667</v>
      </c>
      <c r="T2703" s="230" t="n">
        <f aca="false">+YEARFRAC(M2703,$S$1)</f>
        <v>126.366666666667</v>
      </c>
      <c r="U2703" s="231" t="n">
        <f aca="false">+$I2703</f>
        <v>0</v>
      </c>
      <c r="V2703" s="232" t="str">
        <f aca="false">+PROPER(F2703)</f>
        <v/>
      </c>
    </row>
    <row r="2704" customFormat="false" ht="14.25" hidden="false" customHeight="false" outlineLevel="0" collapsed="false">
      <c r="B2704" s="244"/>
      <c r="C2704" s="245"/>
      <c r="D2704" s="245"/>
      <c r="E2704" s="246"/>
      <c r="F2704" s="246"/>
      <c r="G2704" s="225" t="e">
        <f aca="false">VLOOKUP(B2704,'NIVEL ENERO'!A:F,4,0)</f>
        <v>#N/A</v>
      </c>
      <c r="H2704" s="247"/>
      <c r="I2704" s="247"/>
      <c r="J2704" s="246"/>
      <c r="K2704" s="246"/>
      <c r="L2704" s="226"/>
      <c r="M2704" s="226"/>
      <c r="N2704" s="246"/>
      <c r="P2704" s="228"/>
      <c r="Q2704" s="245"/>
      <c r="R2704" s="186" t="str">
        <f aca="false">+PROPER(C2704&amp;" "&amp;D2704)</f>
        <v> </v>
      </c>
      <c r="S2704" s="230" t="n">
        <f aca="false">+YEARFRAC(L2704,$S$1)</f>
        <v>126.366666666667</v>
      </c>
      <c r="T2704" s="230" t="n">
        <f aca="false">+YEARFRAC(M2704,$S$1)</f>
        <v>126.366666666667</v>
      </c>
      <c r="U2704" s="231" t="n">
        <f aca="false">+$I2704</f>
        <v>0</v>
      </c>
      <c r="V2704" s="232" t="str">
        <f aca="false">+PROPER(F2704)</f>
        <v/>
      </c>
    </row>
    <row r="2705" customFormat="false" ht="14.25" hidden="false" customHeight="false" outlineLevel="0" collapsed="false">
      <c r="B2705" s="244"/>
      <c r="C2705" s="245"/>
      <c r="D2705" s="245"/>
      <c r="E2705" s="246"/>
      <c r="F2705" s="246"/>
      <c r="G2705" s="225" t="e">
        <f aca="false">VLOOKUP(B2705,'NIVEL ENERO'!A:F,4,0)</f>
        <v>#N/A</v>
      </c>
      <c r="H2705" s="247"/>
      <c r="I2705" s="247"/>
      <c r="J2705" s="246"/>
      <c r="K2705" s="246"/>
      <c r="L2705" s="226"/>
      <c r="M2705" s="226"/>
      <c r="N2705" s="246"/>
      <c r="P2705" s="228"/>
      <c r="Q2705" s="245"/>
      <c r="R2705" s="186" t="str">
        <f aca="false">+PROPER(C2705&amp;" "&amp;D2705)</f>
        <v> </v>
      </c>
      <c r="S2705" s="230" t="n">
        <f aca="false">+YEARFRAC(L2705,$S$1)</f>
        <v>126.366666666667</v>
      </c>
      <c r="T2705" s="230" t="n">
        <f aca="false">+YEARFRAC(M2705,$S$1)</f>
        <v>126.366666666667</v>
      </c>
      <c r="U2705" s="231" t="n">
        <f aca="false">+$I2705</f>
        <v>0</v>
      </c>
      <c r="V2705" s="232" t="str">
        <f aca="false">+PROPER(F2705)</f>
        <v/>
      </c>
    </row>
    <row r="2706" customFormat="false" ht="14.25" hidden="false" customHeight="false" outlineLevel="0" collapsed="false">
      <c r="B2706" s="244"/>
      <c r="C2706" s="245"/>
      <c r="D2706" s="245"/>
      <c r="E2706" s="246"/>
      <c r="F2706" s="246"/>
      <c r="G2706" s="225" t="e">
        <f aca="false">VLOOKUP(B2706,'NIVEL ENERO'!A:F,4,0)</f>
        <v>#N/A</v>
      </c>
      <c r="H2706" s="247"/>
      <c r="I2706" s="247"/>
      <c r="J2706" s="246"/>
      <c r="K2706" s="246"/>
      <c r="L2706" s="226"/>
      <c r="M2706" s="226"/>
      <c r="N2706" s="246"/>
      <c r="P2706" s="228"/>
      <c r="Q2706" s="245"/>
      <c r="R2706" s="186" t="str">
        <f aca="false">+PROPER(C2706&amp;" "&amp;D2706)</f>
        <v> </v>
      </c>
      <c r="S2706" s="230" t="n">
        <f aca="false">+YEARFRAC(L2706,$S$1)</f>
        <v>126.366666666667</v>
      </c>
      <c r="T2706" s="230" t="n">
        <f aca="false">+YEARFRAC(M2706,$S$1)</f>
        <v>126.366666666667</v>
      </c>
      <c r="U2706" s="231" t="n">
        <f aca="false">+$I2706</f>
        <v>0</v>
      </c>
      <c r="V2706" s="232" t="str">
        <f aca="false">+PROPER(F2706)</f>
        <v/>
      </c>
    </row>
    <row r="2707" customFormat="false" ht="14.25" hidden="false" customHeight="false" outlineLevel="0" collapsed="false">
      <c r="B2707" s="244"/>
      <c r="C2707" s="245"/>
      <c r="D2707" s="245"/>
      <c r="E2707" s="246"/>
      <c r="F2707" s="246"/>
      <c r="G2707" s="225" t="e">
        <f aca="false">VLOOKUP(B2707,'NIVEL ENERO'!A:F,4,0)</f>
        <v>#N/A</v>
      </c>
      <c r="H2707" s="247"/>
      <c r="I2707" s="247"/>
      <c r="J2707" s="246"/>
      <c r="K2707" s="246"/>
      <c r="L2707" s="226"/>
      <c r="M2707" s="226"/>
      <c r="N2707" s="246"/>
      <c r="P2707" s="228"/>
      <c r="Q2707" s="245"/>
      <c r="R2707" s="186" t="str">
        <f aca="false">+PROPER(C2707&amp;" "&amp;D2707)</f>
        <v> </v>
      </c>
      <c r="S2707" s="230" t="n">
        <f aca="false">+YEARFRAC(L2707,$S$1)</f>
        <v>126.366666666667</v>
      </c>
      <c r="T2707" s="230" t="n">
        <f aca="false">+YEARFRAC(M2707,$S$1)</f>
        <v>126.366666666667</v>
      </c>
      <c r="U2707" s="231" t="n">
        <f aca="false">+$I2707</f>
        <v>0</v>
      </c>
      <c r="V2707" s="232" t="str">
        <f aca="false">+PROPER(F2707)</f>
        <v/>
      </c>
    </row>
    <row r="2708" customFormat="false" ht="14.25" hidden="false" customHeight="false" outlineLevel="0" collapsed="false">
      <c r="B2708" s="244"/>
      <c r="C2708" s="245"/>
      <c r="D2708" s="245"/>
      <c r="E2708" s="246"/>
      <c r="F2708" s="246"/>
      <c r="G2708" s="225" t="e">
        <f aca="false">VLOOKUP(B2708,'NIVEL ENERO'!A:F,4,0)</f>
        <v>#N/A</v>
      </c>
      <c r="H2708" s="247"/>
      <c r="I2708" s="247"/>
      <c r="J2708" s="246"/>
      <c r="K2708" s="246"/>
      <c r="L2708" s="226"/>
      <c r="M2708" s="226"/>
      <c r="N2708" s="246"/>
      <c r="P2708" s="228"/>
      <c r="Q2708" s="245"/>
      <c r="R2708" s="186" t="str">
        <f aca="false">+PROPER(C2708&amp;" "&amp;D2708)</f>
        <v> </v>
      </c>
      <c r="S2708" s="230" t="n">
        <f aca="false">+YEARFRAC(L2708,$S$1)</f>
        <v>126.366666666667</v>
      </c>
      <c r="T2708" s="230" t="n">
        <f aca="false">+YEARFRAC(M2708,$S$1)</f>
        <v>126.366666666667</v>
      </c>
      <c r="U2708" s="231" t="n">
        <f aca="false">+$I2708</f>
        <v>0</v>
      </c>
      <c r="V2708" s="232" t="str">
        <f aca="false">+PROPER(F2708)</f>
        <v/>
      </c>
    </row>
    <row r="2709" customFormat="false" ht="14.25" hidden="false" customHeight="false" outlineLevel="0" collapsed="false">
      <c r="B2709" s="244"/>
      <c r="C2709" s="245"/>
      <c r="D2709" s="245"/>
      <c r="E2709" s="246"/>
      <c r="F2709" s="246"/>
      <c r="G2709" s="225" t="e">
        <f aca="false">VLOOKUP(B2709,'NIVEL ENERO'!A:F,4,0)</f>
        <v>#N/A</v>
      </c>
      <c r="H2709" s="247"/>
      <c r="I2709" s="247"/>
      <c r="J2709" s="246"/>
      <c r="K2709" s="246"/>
      <c r="L2709" s="226"/>
      <c r="M2709" s="226"/>
      <c r="N2709" s="246"/>
      <c r="P2709" s="228"/>
      <c r="Q2709" s="245"/>
      <c r="R2709" s="186" t="str">
        <f aca="false">+PROPER(C2709&amp;" "&amp;D2709)</f>
        <v> </v>
      </c>
      <c r="S2709" s="230" t="n">
        <f aca="false">+YEARFRAC(L2709,$S$1)</f>
        <v>126.366666666667</v>
      </c>
      <c r="T2709" s="230" t="n">
        <f aca="false">+YEARFRAC(M2709,$S$1)</f>
        <v>126.366666666667</v>
      </c>
      <c r="U2709" s="231" t="n">
        <f aca="false">+$I2709</f>
        <v>0</v>
      </c>
      <c r="V2709" s="232" t="str">
        <f aca="false">+PROPER(F2709)</f>
        <v/>
      </c>
    </row>
    <row r="2710" customFormat="false" ht="14.25" hidden="false" customHeight="false" outlineLevel="0" collapsed="false">
      <c r="B2710" s="244"/>
      <c r="C2710" s="245"/>
      <c r="D2710" s="245"/>
      <c r="E2710" s="246"/>
      <c r="F2710" s="246"/>
      <c r="G2710" s="225" t="e">
        <f aca="false">VLOOKUP(B2710,'NIVEL ENERO'!A:F,4,0)</f>
        <v>#N/A</v>
      </c>
      <c r="H2710" s="247"/>
      <c r="I2710" s="247"/>
      <c r="J2710" s="246"/>
      <c r="K2710" s="246"/>
      <c r="L2710" s="226"/>
      <c r="M2710" s="226"/>
      <c r="N2710" s="246"/>
      <c r="P2710" s="228"/>
      <c r="Q2710" s="245"/>
      <c r="R2710" s="186" t="str">
        <f aca="false">+PROPER(C2710&amp;" "&amp;D2710)</f>
        <v> </v>
      </c>
      <c r="S2710" s="230" t="n">
        <f aca="false">+YEARFRAC(L2710,$S$1)</f>
        <v>126.366666666667</v>
      </c>
      <c r="T2710" s="230" t="n">
        <f aca="false">+YEARFRAC(M2710,$S$1)</f>
        <v>126.366666666667</v>
      </c>
      <c r="U2710" s="231" t="n">
        <f aca="false">+$I2710</f>
        <v>0</v>
      </c>
      <c r="V2710" s="232" t="str">
        <f aca="false">+PROPER(F2710)</f>
        <v/>
      </c>
    </row>
    <row r="2711" customFormat="false" ht="14.25" hidden="false" customHeight="false" outlineLevel="0" collapsed="false">
      <c r="B2711" s="244"/>
      <c r="C2711" s="245"/>
      <c r="D2711" s="245"/>
      <c r="E2711" s="246"/>
      <c r="F2711" s="246"/>
      <c r="G2711" s="225" t="e">
        <f aca="false">VLOOKUP(B2711,'NIVEL ENERO'!A:F,4,0)</f>
        <v>#N/A</v>
      </c>
      <c r="H2711" s="247"/>
      <c r="I2711" s="247"/>
      <c r="J2711" s="246"/>
      <c r="K2711" s="246"/>
      <c r="L2711" s="226"/>
      <c r="M2711" s="226"/>
      <c r="N2711" s="246"/>
      <c r="P2711" s="228"/>
      <c r="Q2711" s="245"/>
      <c r="R2711" s="186" t="str">
        <f aca="false">+PROPER(C2711&amp;" "&amp;D2711)</f>
        <v> </v>
      </c>
      <c r="S2711" s="230" t="n">
        <f aca="false">+YEARFRAC(L2711,$S$1)</f>
        <v>126.366666666667</v>
      </c>
      <c r="T2711" s="230" t="n">
        <f aca="false">+YEARFRAC(M2711,$S$1)</f>
        <v>126.366666666667</v>
      </c>
      <c r="U2711" s="231" t="n">
        <f aca="false">+$I2711</f>
        <v>0</v>
      </c>
      <c r="V2711" s="232" t="str">
        <f aca="false">+PROPER(F2711)</f>
        <v/>
      </c>
    </row>
    <row r="2712" customFormat="false" ht="14.25" hidden="false" customHeight="false" outlineLevel="0" collapsed="false">
      <c r="B2712" s="244"/>
      <c r="C2712" s="245"/>
      <c r="D2712" s="245"/>
      <c r="E2712" s="246"/>
      <c r="F2712" s="246"/>
      <c r="G2712" s="225" t="e">
        <f aca="false">VLOOKUP(B2712,'NIVEL ENERO'!A:F,4,0)</f>
        <v>#N/A</v>
      </c>
      <c r="H2712" s="247"/>
      <c r="I2712" s="247"/>
      <c r="J2712" s="246"/>
      <c r="K2712" s="246"/>
      <c r="L2712" s="226"/>
      <c r="M2712" s="226"/>
      <c r="N2712" s="246"/>
      <c r="P2712" s="228"/>
      <c r="Q2712" s="245"/>
      <c r="R2712" s="186" t="str">
        <f aca="false">+PROPER(C2712&amp;" "&amp;D2712)</f>
        <v> </v>
      </c>
      <c r="S2712" s="230" t="n">
        <f aca="false">+YEARFRAC(L2712,$S$1)</f>
        <v>126.366666666667</v>
      </c>
      <c r="T2712" s="230" t="n">
        <f aca="false">+YEARFRAC(M2712,$S$1)</f>
        <v>126.366666666667</v>
      </c>
      <c r="U2712" s="231" t="n">
        <f aca="false">+$I2712</f>
        <v>0</v>
      </c>
      <c r="V2712" s="232" t="str">
        <f aca="false">+PROPER(F2712)</f>
        <v/>
      </c>
    </row>
    <row r="2713" customFormat="false" ht="14.25" hidden="false" customHeight="false" outlineLevel="0" collapsed="false">
      <c r="B2713" s="244"/>
      <c r="C2713" s="245"/>
      <c r="D2713" s="245"/>
      <c r="E2713" s="246"/>
      <c r="F2713" s="246"/>
      <c r="G2713" s="225" t="e">
        <f aca="false">VLOOKUP(B2713,'NIVEL ENERO'!A:F,4,0)</f>
        <v>#N/A</v>
      </c>
      <c r="H2713" s="247"/>
      <c r="I2713" s="247"/>
      <c r="J2713" s="246"/>
      <c r="K2713" s="246"/>
      <c r="L2713" s="226"/>
      <c r="M2713" s="226"/>
      <c r="N2713" s="246"/>
      <c r="P2713" s="228"/>
      <c r="Q2713" s="245"/>
      <c r="R2713" s="186" t="str">
        <f aca="false">+PROPER(C2713&amp;" "&amp;D2713)</f>
        <v> </v>
      </c>
      <c r="S2713" s="230" t="n">
        <f aca="false">+YEARFRAC(L2713,$S$1)</f>
        <v>126.366666666667</v>
      </c>
      <c r="T2713" s="230" t="n">
        <f aca="false">+YEARFRAC(M2713,$S$1)</f>
        <v>126.366666666667</v>
      </c>
      <c r="U2713" s="231" t="n">
        <f aca="false">+$I2713</f>
        <v>0</v>
      </c>
      <c r="V2713" s="232" t="str">
        <f aca="false">+PROPER(F2713)</f>
        <v/>
      </c>
    </row>
    <row r="2714" customFormat="false" ht="14.25" hidden="false" customHeight="false" outlineLevel="0" collapsed="false">
      <c r="B2714" s="244"/>
      <c r="C2714" s="245"/>
      <c r="D2714" s="245"/>
      <c r="E2714" s="246"/>
      <c r="F2714" s="246"/>
      <c r="G2714" s="225" t="e">
        <f aca="false">VLOOKUP(B2714,'NIVEL ENERO'!A:F,4,0)</f>
        <v>#N/A</v>
      </c>
      <c r="H2714" s="247"/>
      <c r="I2714" s="247"/>
      <c r="J2714" s="246"/>
      <c r="K2714" s="246"/>
      <c r="L2714" s="226"/>
      <c r="M2714" s="226"/>
      <c r="N2714" s="246"/>
      <c r="P2714" s="228"/>
      <c r="Q2714" s="245"/>
      <c r="R2714" s="186" t="str">
        <f aca="false">+PROPER(C2714&amp;" "&amp;D2714)</f>
        <v> </v>
      </c>
      <c r="S2714" s="230" t="n">
        <f aca="false">+YEARFRAC(L2714,$S$1)</f>
        <v>126.366666666667</v>
      </c>
      <c r="T2714" s="230" t="n">
        <f aca="false">+YEARFRAC(M2714,$S$1)</f>
        <v>126.366666666667</v>
      </c>
      <c r="U2714" s="231" t="n">
        <f aca="false">+$I2714</f>
        <v>0</v>
      </c>
      <c r="V2714" s="232" t="str">
        <f aca="false">+PROPER(F2714)</f>
        <v/>
      </c>
    </row>
    <row r="2715" customFormat="false" ht="14.25" hidden="false" customHeight="false" outlineLevel="0" collapsed="false">
      <c r="B2715" s="244"/>
      <c r="C2715" s="245"/>
      <c r="D2715" s="245"/>
      <c r="E2715" s="246"/>
      <c r="F2715" s="246"/>
      <c r="G2715" s="225" t="e">
        <f aca="false">VLOOKUP(B2715,'NIVEL ENERO'!A:F,4,0)</f>
        <v>#N/A</v>
      </c>
      <c r="H2715" s="247"/>
      <c r="I2715" s="247"/>
      <c r="J2715" s="246"/>
      <c r="K2715" s="246"/>
      <c r="L2715" s="226"/>
      <c r="M2715" s="226"/>
      <c r="N2715" s="246"/>
      <c r="P2715" s="228"/>
      <c r="Q2715" s="245"/>
      <c r="R2715" s="186" t="str">
        <f aca="false">+PROPER(C2715&amp;" "&amp;D2715)</f>
        <v> </v>
      </c>
      <c r="S2715" s="230" t="n">
        <f aca="false">+YEARFRAC(L2715,$S$1)</f>
        <v>126.366666666667</v>
      </c>
      <c r="T2715" s="230" t="n">
        <f aca="false">+YEARFRAC(M2715,$S$1)</f>
        <v>126.366666666667</v>
      </c>
      <c r="U2715" s="231" t="n">
        <f aca="false">+$I2715</f>
        <v>0</v>
      </c>
      <c r="V2715" s="232" t="str">
        <f aca="false">+PROPER(F2715)</f>
        <v/>
      </c>
    </row>
    <row r="2716" customFormat="false" ht="14.25" hidden="false" customHeight="false" outlineLevel="0" collapsed="false">
      <c r="B2716" s="244"/>
      <c r="C2716" s="245"/>
      <c r="D2716" s="245"/>
      <c r="E2716" s="246"/>
      <c r="F2716" s="246"/>
      <c r="G2716" s="225" t="e">
        <f aca="false">VLOOKUP(B2716,'NIVEL ENERO'!A:F,4,0)</f>
        <v>#N/A</v>
      </c>
      <c r="H2716" s="247"/>
      <c r="I2716" s="247"/>
      <c r="J2716" s="246"/>
      <c r="K2716" s="246"/>
      <c r="L2716" s="226"/>
      <c r="M2716" s="226"/>
      <c r="N2716" s="246"/>
      <c r="P2716" s="228"/>
      <c r="Q2716" s="245"/>
      <c r="R2716" s="186" t="str">
        <f aca="false">+PROPER(C2716&amp;" "&amp;D2716)</f>
        <v> </v>
      </c>
      <c r="S2716" s="230" t="n">
        <f aca="false">+YEARFRAC(L2716,$S$1)</f>
        <v>126.366666666667</v>
      </c>
      <c r="T2716" s="230" t="n">
        <f aca="false">+YEARFRAC(M2716,$S$1)</f>
        <v>126.366666666667</v>
      </c>
      <c r="U2716" s="231" t="n">
        <f aca="false">+$I2716</f>
        <v>0</v>
      </c>
      <c r="V2716" s="232" t="str">
        <f aca="false">+PROPER(F2716)</f>
        <v/>
      </c>
    </row>
    <row r="2717" customFormat="false" ht="14.25" hidden="false" customHeight="false" outlineLevel="0" collapsed="false">
      <c r="B2717" s="244"/>
      <c r="C2717" s="245"/>
      <c r="D2717" s="245"/>
      <c r="E2717" s="246"/>
      <c r="F2717" s="246"/>
      <c r="G2717" s="225" t="e">
        <f aca="false">VLOOKUP(B2717,'NIVEL ENERO'!A:F,4,0)</f>
        <v>#N/A</v>
      </c>
      <c r="H2717" s="247"/>
      <c r="I2717" s="247"/>
      <c r="J2717" s="246"/>
      <c r="K2717" s="246"/>
      <c r="L2717" s="226"/>
      <c r="M2717" s="226"/>
      <c r="N2717" s="246"/>
      <c r="P2717" s="228"/>
      <c r="Q2717" s="245"/>
      <c r="R2717" s="186" t="str">
        <f aca="false">+PROPER(C2717&amp;" "&amp;D2717)</f>
        <v> </v>
      </c>
      <c r="S2717" s="230" t="n">
        <f aca="false">+YEARFRAC(L2717,$S$1)</f>
        <v>126.366666666667</v>
      </c>
      <c r="T2717" s="230" t="n">
        <f aca="false">+YEARFRAC(M2717,$S$1)</f>
        <v>126.366666666667</v>
      </c>
      <c r="U2717" s="231" t="n">
        <f aca="false">+$I2717</f>
        <v>0</v>
      </c>
      <c r="V2717" s="232" t="str">
        <f aca="false">+PROPER(F2717)</f>
        <v/>
      </c>
    </row>
    <row r="2718" customFormat="false" ht="14.25" hidden="false" customHeight="false" outlineLevel="0" collapsed="false">
      <c r="B2718" s="244"/>
      <c r="C2718" s="245"/>
      <c r="D2718" s="245"/>
      <c r="E2718" s="246"/>
      <c r="F2718" s="246"/>
      <c r="G2718" s="225" t="e">
        <f aca="false">VLOOKUP(B2718,'NIVEL ENERO'!A:F,4,0)</f>
        <v>#N/A</v>
      </c>
      <c r="H2718" s="247"/>
      <c r="I2718" s="247"/>
      <c r="J2718" s="246"/>
      <c r="K2718" s="246"/>
      <c r="L2718" s="226"/>
      <c r="M2718" s="226"/>
      <c r="N2718" s="246"/>
      <c r="P2718" s="228"/>
      <c r="Q2718" s="245"/>
      <c r="R2718" s="186" t="str">
        <f aca="false">+PROPER(C2718&amp;" "&amp;D2718)</f>
        <v> </v>
      </c>
      <c r="S2718" s="230" t="n">
        <f aca="false">+YEARFRAC(L2718,$S$1)</f>
        <v>126.366666666667</v>
      </c>
      <c r="T2718" s="230" t="n">
        <f aca="false">+YEARFRAC(M2718,$S$1)</f>
        <v>126.366666666667</v>
      </c>
      <c r="U2718" s="231" t="n">
        <f aca="false">+$I2718</f>
        <v>0</v>
      </c>
      <c r="V2718" s="232" t="str">
        <f aca="false">+PROPER(F2718)</f>
        <v/>
      </c>
    </row>
    <row r="2719" customFormat="false" ht="14.25" hidden="false" customHeight="false" outlineLevel="0" collapsed="false">
      <c r="B2719" s="244"/>
      <c r="C2719" s="245"/>
      <c r="D2719" s="245"/>
      <c r="E2719" s="246"/>
      <c r="F2719" s="246"/>
      <c r="G2719" s="225" t="e">
        <f aca="false">VLOOKUP(B2719,'NIVEL ENERO'!A:F,4,0)</f>
        <v>#N/A</v>
      </c>
      <c r="H2719" s="247"/>
      <c r="I2719" s="247"/>
      <c r="J2719" s="246"/>
      <c r="K2719" s="246"/>
      <c r="L2719" s="226"/>
      <c r="M2719" s="226"/>
      <c r="N2719" s="246"/>
      <c r="P2719" s="228"/>
      <c r="Q2719" s="245"/>
      <c r="R2719" s="186" t="str">
        <f aca="false">+PROPER(C2719&amp;" "&amp;D2719)</f>
        <v> </v>
      </c>
      <c r="S2719" s="230" t="n">
        <f aca="false">+YEARFRAC(L2719,$S$1)</f>
        <v>126.366666666667</v>
      </c>
      <c r="T2719" s="230" t="n">
        <f aca="false">+YEARFRAC(M2719,$S$1)</f>
        <v>126.366666666667</v>
      </c>
      <c r="U2719" s="231" t="n">
        <f aca="false">+$I2719</f>
        <v>0</v>
      </c>
      <c r="V2719" s="232" t="str">
        <f aca="false">+PROPER(F2719)</f>
        <v/>
      </c>
    </row>
    <row r="2720" customFormat="false" ht="14.25" hidden="false" customHeight="false" outlineLevel="0" collapsed="false">
      <c r="B2720" s="244"/>
      <c r="C2720" s="245"/>
      <c r="D2720" s="245"/>
      <c r="E2720" s="246"/>
      <c r="F2720" s="246"/>
      <c r="G2720" s="225" t="e">
        <f aca="false">VLOOKUP(B2720,'NIVEL ENERO'!A:F,4,0)</f>
        <v>#N/A</v>
      </c>
      <c r="H2720" s="247"/>
      <c r="I2720" s="247"/>
      <c r="J2720" s="246"/>
      <c r="K2720" s="246"/>
      <c r="L2720" s="226"/>
      <c r="M2720" s="226"/>
      <c r="N2720" s="246"/>
      <c r="P2720" s="228"/>
      <c r="Q2720" s="245"/>
      <c r="R2720" s="186" t="str">
        <f aca="false">+PROPER(C2720&amp;" "&amp;D2720)</f>
        <v> </v>
      </c>
      <c r="S2720" s="230" t="n">
        <f aca="false">+YEARFRAC(L2720,$S$1)</f>
        <v>126.366666666667</v>
      </c>
      <c r="T2720" s="230" t="n">
        <f aca="false">+YEARFRAC(M2720,$S$1)</f>
        <v>126.366666666667</v>
      </c>
      <c r="U2720" s="231" t="n">
        <f aca="false">+$I2720</f>
        <v>0</v>
      </c>
      <c r="V2720" s="232" t="str">
        <f aca="false">+PROPER(F2720)</f>
        <v/>
      </c>
    </row>
    <row r="2721" customFormat="false" ht="14.25" hidden="false" customHeight="false" outlineLevel="0" collapsed="false">
      <c r="B2721" s="244"/>
      <c r="C2721" s="245"/>
      <c r="D2721" s="245"/>
      <c r="E2721" s="246"/>
      <c r="F2721" s="246"/>
      <c r="G2721" s="225" t="e">
        <f aca="false">VLOOKUP(B2721,'NIVEL ENERO'!A:F,4,0)</f>
        <v>#N/A</v>
      </c>
      <c r="H2721" s="247"/>
      <c r="I2721" s="247"/>
      <c r="J2721" s="246"/>
      <c r="K2721" s="246"/>
      <c r="L2721" s="226"/>
      <c r="M2721" s="226"/>
      <c r="N2721" s="246"/>
      <c r="P2721" s="228"/>
      <c r="Q2721" s="245"/>
      <c r="R2721" s="186" t="str">
        <f aca="false">+PROPER(C2721&amp;" "&amp;D2721)</f>
        <v> </v>
      </c>
      <c r="S2721" s="230" t="n">
        <f aca="false">+YEARFRAC(L2721,$S$1)</f>
        <v>126.366666666667</v>
      </c>
      <c r="T2721" s="230" t="n">
        <f aca="false">+YEARFRAC(M2721,$S$1)</f>
        <v>126.366666666667</v>
      </c>
      <c r="U2721" s="231" t="n">
        <f aca="false">+$I2721</f>
        <v>0</v>
      </c>
      <c r="V2721" s="232" t="str">
        <f aca="false">+PROPER(F2721)</f>
        <v/>
      </c>
    </row>
    <row r="2722" customFormat="false" ht="14.25" hidden="false" customHeight="false" outlineLevel="0" collapsed="false">
      <c r="B2722" s="244"/>
      <c r="C2722" s="245"/>
      <c r="D2722" s="245"/>
      <c r="E2722" s="246"/>
      <c r="F2722" s="246"/>
      <c r="G2722" s="225" t="e">
        <f aca="false">VLOOKUP(B2722,'NIVEL ENERO'!A:F,4,0)</f>
        <v>#N/A</v>
      </c>
      <c r="H2722" s="247"/>
      <c r="I2722" s="247"/>
      <c r="J2722" s="246"/>
      <c r="K2722" s="246"/>
      <c r="L2722" s="226"/>
      <c r="M2722" s="226"/>
      <c r="N2722" s="246"/>
      <c r="P2722" s="228"/>
      <c r="Q2722" s="245"/>
      <c r="R2722" s="186" t="str">
        <f aca="false">+PROPER(C2722&amp;" "&amp;D2722)</f>
        <v> </v>
      </c>
      <c r="S2722" s="230" t="n">
        <f aca="false">+YEARFRAC(L2722,$S$1)</f>
        <v>126.366666666667</v>
      </c>
      <c r="T2722" s="230" t="n">
        <f aca="false">+YEARFRAC(M2722,$S$1)</f>
        <v>126.366666666667</v>
      </c>
      <c r="U2722" s="231" t="n">
        <f aca="false">+$I2722</f>
        <v>0</v>
      </c>
      <c r="V2722" s="232" t="str">
        <f aca="false">+PROPER(F2722)</f>
        <v/>
      </c>
    </row>
    <row r="2723" customFormat="false" ht="14.25" hidden="false" customHeight="false" outlineLevel="0" collapsed="false">
      <c r="B2723" s="244"/>
      <c r="C2723" s="245"/>
      <c r="D2723" s="245"/>
      <c r="E2723" s="246"/>
      <c r="F2723" s="246"/>
      <c r="G2723" s="225" t="e">
        <f aca="false">VLOOKUP(B2723,'NIVEL ENERO'!A:F,4,0)</f>
        <v>#N/A</v>
      </c>
      <c r="H2723" s="247"/>
      <c r="I2723" s="247"/>
      <c r="J2723" s="246"/>
      <c r="K2723" s="246"/>
      <c r="L2723" s="226"/>
      <c r="M2723" s="226"/>
      <c r="N2723" s="246"/>
      <c r="P2723" s="228"/>
      <c r="Q2723" s="245"/>
      <c r="R2723" s="186" t="str">
        <f aca="false">+PROPER(C2723&amp;" "&amp;D2723)</f>
        <v> </v>
      </c>
      <c r="S2723" s="230" t="n">
        <f aca="false">+YEARFRAC(L2723,$S$1)</f>
        <v>126.366666666667</v>
      </c>
      <c r="T2723" s="230" t="n">
        <f aca="false">+YEARFRAC(M2723,$S$1)</f>
        <v>126.366666666667</v>
      </c>
      <c r="U2723" s="231" t="n">
        <f aca="false">+$I2723</f>
        <v>0</v>
      </c>
      <c r="V2723" s="232" t="str">
        <f aca="false">+PROPER(F2723)</f>
        <v/>
      </c>
    </row>
    <row r="2724" customFormat="false" ht="14.25" hidden="false" customHeight="false" outlineLevel="0" collapsed="false">
      <c r="B2724" s="244"/>
      <c r="C2724" s="245"/>
      <c r="D2724" s="245"/>
      <c r="E2724" s="246"/>
      <c r="F2724" s="246"/>
      <c r="G2724" s="225" t="e">
        <f aca="false">VLOOKUP(B2724,'NIVEL ENERO'!A:F,4,0)</f>
        <v>#N/A</v>
      </c>
      <c r="H2724" s="247"/>
      <c r="I2724" s="247"/>
      <c r="J2724" s="246"/>
      <c r="K2724" s="246"/>
      <c r="L2724" s="226"/>
      <c r="M2724" s="226"/>
      <c r="N2724" s="246"/>
      <c r="P2724" s="228"/>
      <c r="Q2724" s="245"/>
      <c r="R2724" s="186" t="str">
        <f aca="false">+PROPER(C2724&amp;" "&amp;D2724)</f>
        <v> </v>
      </c>
      <c r="S2724" s="230" t="n">
        <f aca="false">+YEARFRAC(L2724,$S$1)</f>
        <v>126.366666666667</v>
      </c>
      <c r="T2724" s="230" t="n">
        <f aca="false">+YEARFRAC(M2724,$S$1)</f>
        <v>126.366666666667</v>
      </c>
      <c r="U2724" s="231" t="n">
        <f aca="false">+$I2724</f>
        <v>0</v>
      </c>
      <c r="V2724" s="232" t="str">
        <f aca="false">+PROPER(F2724)</f>
        <v/>
      </c>
    </row>
    <row r="2725" customFormat="false" ht="14.25" hidden="false" customHeight="false" outlineLevel="0" collapsed="false">
      <c r="B2725" s="244"/>
      <c r="C2725" s="245"/>
      <c r="D2725" s="245"/>
      <c r="E2725" s="246"/>
      <c r="F2725" s="246"/>
      <c r="G2725" s="225" t="e">
        <f aca="false">VLOOKUP(B2725,'NIVEL ENERO'!A:F,4,0)</f>
        <v>#N/A</v>
      </c>
      <c r="H2725" s="247"/>
      <c r="I2725" s="247"/>
      <c r="J2725" s="246"/>
      <c r="K2725" s="246"/>
      <c r="L2725" s="226"/>
      <c r="M2725" s="226"/>
      <c r="N2725" s="246"/>
      <c r="P2725" s="228"/>
      <c r="Q2725" s="245"/>
      <c r="R2725" s="186" t="str">
        <f aca="false">+PROPER(C2725&amp;" "&amp;D2725)</f>
        <v> </v>
      </c>
      <c r="S2725" s="230" t="n">
        <f aca="false">+YEARFRAC(L2725,$S$1)</f>
        <v>126.366666666667</v>
      </c>
      <c r="T2725" s="230" t="n">
        <f aca="false">+YEARFRAC(M2725,$S$1)</f>
        <v>126.366666666667</v>
      </c>
      <c r="U2725" s="231" t="n">
        <f aca="false">+$I2725</f>
        <v>0</v>
      </c>
      <c r="V2725" s="232" t="str">
        <f aca="false">+PROPER(F2725)</f>
        <v/>
      </c>
    </row>
    <row r="2726" customFormat="false" ht="14.25" hidden="false" customHeight="false" outlineLevel="0" collapsed="false">
      <c r="B2726" s="244"/>
      <c r="C2726" s="245"/>
      <c r="D2726" s="245"/>
      <c r="E2726" s="246"/>
      <c r="F2726" s="246"/>
      <c r="G2726" s="225" t="e">
        <f aca="false">VLOOKUP(B2726,'NIVEL ENERO'!A:F,4,0)</f>
        <v>#N/A</v>
      </c>
      <c r="H2726" s="247"/>
      <c r="I2726" s="247"/>
      <c r="J2726" s="246"/>
      <c r="K2726" s="246"/>
      <c r="L2726" s="226"/>
      <c r="M2726" s="226"/>
      <c r="N2726" s="246"/>
      <c r="P2726" s="228"/>
      <c r="Q2726" s="245"/>
      <c r="R2726" s="186" t="str">
        <f aca="false">+PROPER(C2726&amp;" "&amp;D2726)</f>
        <v> </v>
      </c>
      <c r="S2726" s="230" t="n">
        <f aca="false">+YEARFRAC(L2726,$S$1)</f>
        <v>126.366666666667</v>
      </c>
      <c r="T2726" s="230" t="n">
        <f aca="false">+YEARFRAC(M2726,$S$1)</f>
        <v>126.366666666667</v>
      </c>
      <c r="U2726" s="231" t="n">
        <f aca="false">+$I2726</f>
        <v>0</v>
      </c>
      <c r="V2726" s="232" t="str">
        <f aca="false">+PROPER(F2726)</f>
        <v/>
      </c>
    </row>
    <row r="2727" customFormat="false" ht="14.25" hidden="false" customHeight="false" outlineLevel="0" collapsed="false">
      <c r="B2727" s="244"/>
      <c r="C2727" s="245"/>
      <c r="D2727" s="245"/>
      <c r="E2727" s="246"/>
      <c r="F2727" s="246"/>
      <c r="G2727" s="225" t="e">
        <f aca="false">VLOOKUP(B2727,'NIVEL ENERO'!A:F,4,0)</f>
        <v>#N/A</v>
      </c>
      <c r="H2727" s="247"/>
      <c r="I2727" s="247"/>
      <c r="J2727" s="246"/>
      <c r="K2727" s="246"/>
      <c r="L2727" s="226"/>
      <c r="M2727" s="226"/>
      <c r="N2727" s="246"/>
      <c r="P2727" s="228"/>
      <c r="Q2727" s="245"/>
      <c r="R2727" s="186" t="str">
        <f aca="false">+PROPER(C2727&amp;" "&amp;D2727)</f>
        <v> </v>
      </c>
      <c r="S2727" s="230" t="n">
        <f aca="false">+YEARFRAC(L2727,$S$1)</f>
        <v>126.366666666667</v>
      </c>
      <c r="T2727" s="230" t="n">
        <f aca="false">+YEARFRAC(M2727,$S$1)</f>
        <v>126.366666666667</v>
      </c>
      <c r="U2727" s="231" t="n">
        <f aca="false">+$I2727</f>
        <v>0</v>
      </c>
      <c r="V2727" s="232" t="str">
        <f aca="false">+PROPER(F2727)</f>
        <v/>
      </c>
    </row>
    <row r="2728" customFormat="false" ht="14.25" hidden="false" customHeight="false" outlineLevel="0" collapsed="false">
      <c r="B2728" s="244"/>
      <c r="C2728" s="245"/>
      <c r="D2728" s="245"/>
      <c r="E2728" s="246"/>
      <c r="F2728" s="246"/>
      <c r="G2728" s="225" t="e">
        <f aca="false">VLOOKUP(B2728,'NIVEL ENERO'!A:F,4,0)</f>
        <v>#N/A</v>
      </c>
      <c r="H2728" s="247"/>
      <c r="I2728" s="247"/>
      <c r="J2728" s="246"/>
      <c r="K2728" s="246"/>
      <c r="L2728" s="226"/>
      <c r="M2728" s="226"/>
      <c r="N2728" s="246"/>
      <c r="P2728" s="228"/>
      <c r="Q2728" s="245"/>
      <c r="R2728" s="186" t="str">
        <f aca="false">+PROPER(C2728&amp;" "&amp;D2728)</f>
        <v> </v>
      </c>
      <c r="S2728" s="230" t="n">
        <f aca="false">+YEARFRAC(L2728,$S$1)</f>
        <v>126.366666666667</v>
      </c>
      <c r="T2728" s="230" t="n">
        <f aca="false">+YEARFRAC(M2728,$S$1)</f>
        <v>126.366666666667</v>
      </c>
      <c r="U2728" s="231" t="n">
        <f aca="false">+$I2728</f>
        <v>0</v>
      </c>
      <c r="V2728" s="232" t="str">
        <f aca="false">+PROPER(F2728)</f>
        <v/>
      </c>
    </row>
    <row r="2729" customFormat="false" ht="14.25" hidden="false" customHeight="false" outlineLevel="0" collapsed="false">
      <c r="B2729" s="244"/>
      <c r="C2729" s="245"/>
      <c r="D2729" s="245"/>
      <c r="E2729" s="246"/>
      <c r="F2729" s="246"/>
      <c r="G2729" s="225" t="e">
        <f aca="false">VLOOKUP(B2729,'NIVEL ENERO'!A:F,4,0)</f>
        <v>#N/A</v>
      </c>
      <c r="H2729" s="247"/>
      <c r="I2729" s="247"/>
      <c r="J2729" s="246"/>
      <c r="K2729" s="246"/>
      <c r="L2729" s="226"/>
      <c r="M2729" s="226"/>
      <c r="N2729" s="246"/>
      <c r="P2729" s="228"/>
      <c r="Q2729" s="245"/>
      <c r="R2729" s="186" t="str">
        <f aca="false">+PROPER(C2729&amp;" "&amp;D2729)</f>
        <v> </v>
      </c>
      <c r="S2729" s="230" t="n">
        <f aca="false">+YEARFRAC(L2729,$S$1)</f>
        <v>126.366666666667</v>
      </c>
      <c r="T2729" s="230" t="n">
        <f aca="false">+YEARFRAC(M2729,$S$1)</f>
        <v>126.366666666667</v>
      </c>
      <c r="U2729" s="231" t="n">
        <f aca="false">+$I2729</f>
        <v>0</v>
      </c>
      <c r="V2729" s="232" t="str">
        <f aca="false">+PROPER(F2729)</f>
        <v/>
      </c>
    </row>
    <row r="2730" customFormat="false" ht="14.25" hidden="false" customHeight="false" outlineLevel="0" collapsed="false">
      <c r="B2730" s="244"/>
      <c r="C2730" s="245"/>
      <c r="D2730" s="245"/>
      <c r="E2730" s="246"/>
      <c r="F2730" s="246"/>
      <c r="G2730" s="225" t="e">
        <f aca="false">VLOOKUP(B2730,'NIVEL ENERO'!A:F,4,0)</f>
        <v>#N/A</v>
      </c>
      <c r="H2730" s="247"/>
      <c r="I2730" s="247"/>
      <c r="J2730" s="246"/>
      <c r="K2730" s="246"/>
      <c r="L2730" s="226"/>
      <c r="M2730" s="226"/>
      <c r="N2730" s="246"/>
      <c r="P2730" s="228"/>
      <c r="Q2730" s="245"/>
      <c r="R2730" s="186" t="str">
        <f aca="false">+PROPER(C2730&amp;" "&amp;D2730)</f>
        <v> </v>
      </c>
      <c r="S2730" s="230" t="n">
        <f aca="false">+YEARFRAC(L2730,$S$1)</f>
        <v>126.366666666667</v>
      </c>
      <c r="T2730" s="230" t="n">
        <f aca="false">+YEARFRAC(M2730,$S$1)</f>
        <v>126.366666666667</v>
      </c>
      <c r="U2730" s="231" t="n">
        <f aca="false">+$I2730</f>
        <v>0</v>
      </c>
      <c r="V2730" s="232" t="str">
        <f aca="false">+PROPER(F2730)</f>
        <v/>
      </c>
    </row>
    <row r="2731" customFormat="false" ht="14.25" hidden="false" customHeight="false" outlineLevel="0" collapsed="false">
      <c r="B2731" s="244"/>
      <c r="C2731" s="245"/>
      <c r="D2731" s="245"/>
      <c r="E2731" s="246"/>
      <c r="F2731" s="246"/>
      <c r="G2731" s="225" t="e">
        <f aca="false">VLOOKUP(B2731,'NIVEL ENERO'!A:F,4,0)</f>
        <v>#N/A</v>
      </c>
      <c r="H2731" s="247"/>
      <c r="I2731" s="247"/>
      <c r="J2731" s="246"/>
      <c r="K2731" s="246"/>
      <c r="L2731" s="226"/>
      <c r="M2731" s="226"/>
      <c r="N2731" s="246"/>
      <c r="P2731" s="228"/>
      <c r="Q2731" s="245"/>
      <c r="R2731" s="186" t="str">
        <f aca="false">+PROPER(C2731&amp;" "&amp;D2731)</f>
        <v> </v>
      </c>
      <c r="S2731" s="230" t="n">
        <f aca="false">+YEARFRAC(L2731,$S$1)</f>
        <v>126.366666666667</v>
      </c>
      <c r="T2731" s="230" t="n">
        <f aca="false">+YEARFRAC(M2731,$S$1)</f>
        <v>126.366666666667</v>
      </c>
      <c r="U2731" s="231" t="n">
        <f aca="false">+$I2731</f>
        <v>0</v>
      </c>
      <c r="V2731" s="232" t="str">
        <f aca="false">+PROPER(F2731)</f>
        <v/>
      </c>
    </row>
    <row r="2732" customFormat="false" ht="14.25" hidden="false" customHeight="false" outlineLevel="0" collapsed="false">
      <c r="B2732" s="244"/>
      <c r="C2732" s="245"/>
      <c r="D2732" s="245"/>
      <c r="E2732" s="246"/>
      <c r="F2732" s="246"/>
      <c r="G2732" s="225" t="e">
        <f aca="false">VLOOKUP(B2732,'NIVEL ENERO'!A:F,4,0)</f>
        <v>#N/A</v>
      </c>
      <c r="H2732" s="247"/>
      <c r="I2732" s="247"/>
      <c r="J2732" s="246"/>
      <c r="K2732" s="246"/>
      <c r="L2732" s="226"/>
      <c r="M2732" s="226"/>
      <c r="N2732" s="246"/>
      <c r="P2732" s="228"/>
      <c r="Q2732" s="245"/>
      <c r="R2732" s="186" t="str">
        <f aca="false">+PROPER(C2732&amp;" "&amp;D2732)</f>
        <v> </v>
      </c>
      <c r="S2732" s="230" t="n">
        <f aca="false">+YEARFRAC(L2732,$S$1)</f>
        <v>126.366666666667</v>
      </c>
      <c r="T2732" s="230" t="n">
        <f aca="false">+YEARFRAC(M2732,$S$1)</f>
        <v>126.366666666667</v>
      </c>
      <c r="U2732" s="231" t="n">
        <f aca="false">+$I2732</f>
        <v>0</v>
      </c>
      <c r="V2732" s="232" t="str">
        <f aca="false">+PROPER(F2732)</f>
        <v/>
      </c>
    </row>
    <row r="2733" customFormat="false" ht="14.25" hidden="false" customHeight="false" outlineLevel="0" collapsed="false">
      <c r="B2733" s="244"/>
      <c r="C2733" s="245"/>
      <c r="D2733" s="245"/>
      <c r="E2733" s="246"/>
      <c r="F2733" s="246"/>
      <c r="G2733" s="225" t="e">
        <f aca="false">VLOOKUP(B2733,'NIVEL ENERO'!A:F,4,0)</f>
        <v>#N/A</v>
      </c>
      <c r="H2733" s="247"/>
      <c r="I2733" s="247"/>
      <c r="J2733" s="246"/>
      <c r="K2733" s="246"/>
      <c r="L2733" s="226"/>
      <c r="M2733" s="226"/>
      <c r="N2733" s="246"/>
      <c r="P2733" s="228"/>
      <c r="Q2733" s="245"/>
      <c r="R2733" s="186" t="str">
        <f aca="false">+PROPER(C2733&amp;" "&amp;D2733)</f>
        <v> </v>
      </c>
      <c r="S2733" s="230" t="n">
        <f aca="false">+YEARFRAC(L2733,$S$1)</f>
        <v>126.366666666667</v>
      </c>
      <c r="T2733" s="230" t="n">
        <f aca="false">+YEARFRAC(M2733,$S$1)</f>
        <v>126.366666666667</v>
      </c>
      <c r="U2733" s="231" t="n">
        <f aca="false">+$I2733</f>
        <v>0</v>
      </c>
      <c r="V2733" s="232" t="str">
        <f aca="false">+PROPER(F2733)</f>
        <v/>
      </c>
    </row>
    <row r="2734" customFormat="false" ht="14.25" hidden="false" customHeight="false" outlineLevel="0" collapsed="false">
      <c r="B2734" s="244"/>
      <c r="C2734" s="245"/>
      <c r="D2734" s="245"/>
      <c r="E2734" s="246"/>
      <c r="F2734" s="246"/>
      <c r="G2734" s="225" t="e">
        <f aca="false">VLOOKUP(B2734,'NIVEL ENERO'!A:F,4,0)</f>
        <v>#N/A</v>
      </c>
      <c r="H2734" s="247"/>
      <c r="I2734" s="247"/>
      <c r="J2734" s="246"/>
      <c r="K2734" s="246"/>
      <c r="L2734" s="226"/>
      <c r="M2734" s="226"/>
      <c r="N2734" s="246"/>
      <c r="P2734" s="228"/>
      <c r="Q2734" s="245"/>
      <c r="R2734" s="186" t="str">
        <f aca="false">+PROPER(C2734&amp;" "&amp;D2734)</f>
        <v> </v>
      </c>
      <c r="S2734" s="230" t="n">
        <f aca="false">+YEARFRAC(L2734,$S$1)</f>
        <v>126.366666666667</v>
      </c>
      <c r="T2734" s="230" t="n">
        <f aca="false">+YEARFRAC(M2734,$S$1)</f>
        <v>126.366666666667</v>
      </c>
      <c r="U2734" s="231" t="n">
        <f aca="false">+$I2734</f>
        <v>0</v>
      </c>
      <c r="V2734" s="232" t="str">
        <f aca="false">+PROPER(F2734)</f>
        <v/>
      </c>
    </row>
    <row r="2735" customFormat="false" ht="14.25" hidden="false" customHeight="false" outlineLevel="0" collapsed="false">
      <c r="B2735" s="244"/>
      <c r="C2735" s="245"/>
      <c r="D2735" s="245"/>
      <c r="E2735" s="246"/>
      <c r="F2735" s="246"/>
      <c r="G2735" s="225" t="e">
        <f aca="false">VLOOKUP(B2735,'NIVEL ENERO'!A:F,4,0)</f>
        <v>#N/A</v>
      </c>
      <c r="H2735" s="247"/>
      <c r="I2735" s="247"/>
      <c r="J2735" s="246"/>
      <c r="K2735" s="246"/>
      <c r="L2735" s="226"/>
      <c r="M2735" s="226"/>
      <c r="N2735" s="246"/>
      <c r="P2735" s="228"/>
      <c r="Q2735" s="245"/>
      <c r="R2735" s="186" t="str">
        <f aca="false">+PROPER(C2735&amp;" "&amp;D2735)</f>
        <v> </v>
      </c>
      <c r="S2735" s="230" t="n">
        <f aca="false">+YEARFRAC(L2735,$S$1)</f>
        <v>126.366666666667</v>
      </c>
      <c r="T2735" s="230" t="n">
        <f aca="false">+YEARFRAC(M2735,$S$1)</f>
        <v>126.366666666667</v>
      </c>
      <c r="U2735" s="231" t="n">
        <f aca="false">+$I2735</f>
        <v>0</v>
      </c>
      <c r="V2735" s="232" t="str">
        <f aca="false">+PROPER(F2735)</f>
        <v/>
      </c>
    </row>
    <row r="2736" customFormat="false" ht="14.25" hidden="false" customHeight="false" outlineLevel="0" collapsed="false">
      <c r="B2736" s="244"/>
      <c r="C2736" s="245"/>
      <c r="D2736" s="245"/>
      <c r="E2736" s="246"/>
      <c r="F2736" s="246"/>
      <c r="G2736" s="225" t="e">
        <f aca="false">VLOOKUP(B2736,'NIVEL ENERO'!A:F,4,0)</f>
        <v>#N/A</v>
      </c>
      <c r="H2736" s="247"/>
      <c r="I2736" s="247"/>
      <c r="J2736" s="246"/>
      <c r="K2736" s="246"/>
      <c r="L2736" s="226"/>
      <c r="M2736" s="226"/>
      <c r="N2736" s="246"/>
      <c r="P2736" s="228"/>
      <c r="Q2736" s="245"/>
      <c r="R2736" s="186" t="str">
        <f aca="false">+PROPER(C2736&amp;" "&amp;D2736)</f>
        <v> </v>
      </c>
      <c r="S2736" s="230" t="n">
        <f aca="false">+YEARFRAC(L2736,$S$1)</f>
        <v>126.366666666667</v>
      </c>
      <c r="T2736" s="230" t="n">
        <f aca="false">+YEARFRAC(M2736,$S$1)</f>
        <v>126.366666666667</v>
      </c>
      <c r="U2736" s="231" t="n">
        <f aca="false">+$I2736</f>
        <v>0</v>
      </c>
      <c r="V2736" s="232" t="str">
        <f aca="false">+PROPER(F2736)</f>
        <v/>
      </c>
    </row>
    <row r="2737" customFormat="false" ht="14.25" hidden="false" customHeight="false" outlineLevel="0" collapsed="false">
      <c r="B2737" s="244"/>
      <c r="C2737" s="245"/>
      <c r="D2737" s="245"/>
      <c r="E2737" s="246"/>
      <c r="F2737" s="246"/>
      <c r="G2737" s="225" t="e">
        <f aca="false">VLOOKUP(B2737,'NIVEL ENERO'!A:F,4,0)</f>
        <v>#N/A</v>
      </c>
      <c r="H2737" s="247"/>
      <c r="I2737" s="247"/>
      <c r="J2737" s="246"/>
      <c r="K2737" s="246"/>
      <c r="L2737" s="226"/>
      <c r="M2737" s="226"/>
      <c r="N2737" s="246"/>
      <c r="P2737" s="228"/>
      <c r="Q2737" s="245"/>
      <c r="R2737" s="186" t="str">
        <f aca="false">+PROPER(C2737&amp;" "&amp;D2737)</f>
        <v> </v>
      </c>
      <c r="S2737" s="230" t="n">
        <f aca="false">+YEARFRAC(L2737,$S$1)</f>
        <v>126.366666666667</v>
      </c>
      <c r="T2737" s="230" t="n">
        <f aca="false">+YEARFRAC(M2737,$S$1)</f>
        <v>126.366666666667</v>
      </c>
      <c r="U2737" s="231" t="n">
        <f aca="false">+$I2737</f>
        <v>0</v>
      </c>
      <c r="V2737" s="232" t="str">
        <f aca="false">+PROPER(F2737)</f>
        <v/>
      </c>
    </row>
    <row r="2738" customFormat="false" ht="14.25" hidden="false" customHeight="false" outlineLevel="0" collapsed="false">
      <c r="B2738" s="244"/>
      <c r="C2738" s="245"/>
      <c r="D2738" s="245"/>
      <c r="E2738" s="246"/>
      <c r="F2738" s="246"/>
      <c r="G2738" s="225" t="e">
        <f aca="false">VLOOKUP(B2738,'NIVEL ENERO'!A:F,4,0)</f>
        <v>#N/A</v>
      </c>
      <c r="H2738" s="247"/>
      <c r="I2738" s="247"/>
      <c r="J2738" s="246"/>
      <c r="K2738" s="246"/>
      <c r="L2738" s="226"/>
      <c r="M2738" s="226"/>
      <c r="N2738" s="246"/>
      <c r="P2738" s="228"/>
      <c r="Q2738" s="245"/>
      <c r="R2738" s="186" t="str">
        <f aca="false">+PROPER(C2738&amp;" "&amp;D2738)</f>
        <v> </v>
      </c>
      <c r="S2738" s="230" t="n">
        <f aca="false">+YEARFRAC(L2738,$S$1)</f>
        <v>126.366666666667</v>
      </c>
      <c r="T2738" s="230" t="n">
        <f aca="false">+YEARFRAC(M2738,$S$1)</f>
        <v>126.366666666667</v>
      </c>
      <c r="U2738" s="231" t="n">
        <f aca="false">+$I2738</f>
        <v>0</v>
      </c>
      <c r="V2738" s="232" t="str">
        <f aca="false">+PROPER(F2738)</f>
        <v/>
      </c>
    </row>
    <row r="2739" customFormat="false" ht="14.25" hidden="false" customHeight="false" outlineLevel="0" collapsed="false">
      <c r="B2739" s="244"/>
      <c r="C2739" s="245"/>
      <c r="D2739" s="245"/>
      <c r="E2739" s="246"/>
      <c r="F2739" s="246"/>
      <c r="G2739" s="225" t="e">
        <f aca="false">VLOOKUP(B2739,'NIVEL ENERO'!A:F,4,0)</f>
        <v>#N/A</v>
      </c>
      <c r="H2739" s="247"/>
      <c r="I2739" s="247"/>
      <c r="J2739" s="246"/>
      <c r="K2739" s="246"/>
      <c r="L2739" s="226"/>
      <c r="M2739" s="226"/>
      <c r="N2739" s="246"/>
      <c r="P2739" s="228"/>
      <c r="Q2739" s="245"/>
      <c r="R2739" s="186" t="str">
        <f aca="false">+PROPER(C2739&amp;" "&amp;D2739)</f>
        <v> </v>
      </c>
      <c r="S2739" s="230" t="n">
        <f aca="false">+YEARFRAC(L2739,$S$1)</f>
        <v>126.366666666667</v>
      </c>
      <c r="T2739" s="230" t="n">
        <f aca="false">+YEARFRAC(M2739,$S$1)</f>
        <v>126.366666666667</v>
      </c>
      <c r="U2739" s="231" t="n">
        <f aca="false">+$I2739</f>
        <v>0</v>
      </c>
      <c r="V2739" s="232" t="str">
        <f aca="false">+PROPER(F2739)</f>
        <v/>
      </c>
    </row>
    <row r="2740" customFormat="false" ht="14.25" hidden="false" customHeight="false" outlineLevel="0" collapsed="false">
      <c r="B2740" s="244"/>
      <c r="C2740" s="245"/>
      <c r="D2740" s="245"/>
      <c r="E2740" s="246"/>
      <c r="F2740" s="246"/>
      <c r="G2740" s="225" t="e">
        <f aca="false">VLOOKUP(B2740,'NIVEL ENERO'!A:F,4,0)</f>
        <v>#N/A</v>
      </c>
      <c r="H2740" s="247"/>
      <c r="I2740" s="247"/>
      <c r="J2740" s="246"/>
      <c r="K2740" s="246"/>
      <c r="L2740" s="226"/>
      <c r="M2740" s="226"/>
      <c r="N2740" s="246"/>
      <c r="P2740" s="228"/>
      <c r="Q2740" s="245"/>
      <c r="R2740" s="186" t="str">
        <f aca="false">+PROPER(C2740&amp;" "&amp;D2740)</f>
        <v> </v>
      </c>
      <c r="S2740" s="230" t="n">
        <f aca="false">+YEARFRAC(L2740,$S$1)</f>
        <v>126.366666666667</v>
      </c>
      <c r="T2740" s="230" t="n">
        <f aca="false">+YEARFRAC(M2740,$S$1)</f>
        <v>126.366666666667</v>
      </c>
      <c r="U2740" s="231" t="n">
        <f aca="false">+$I2740</f>
        <v>0</v>
      </c>
      <c r="V2740" s="232" t="str">
        <f aca="false">+PROPER(F2740)</f>
        <v/>
      </c>
    </row>
    <row r="2741" customFormat="false" ht="14.25" hidden="false" customHeight="false" outlineLevel="0" collapsed="false">
      <c r="B2741" s="244"/>
      <c r="C2741" s="245"/>
      <c r="D2741" s="245"/>
      <c r="E2741" s="246"/>
      <c r="F2741" s="246"/>
      <c r="G2741" s="225" t="e">
        <f aca="false">VLOOKUP(B2741,'NIVEL ENERO'!A:F,4,0)</f>
        <v>#N/A</v>
      </c>
      <c r="H2741" s="247"/>
      <c r="I2741" s="247"/>
      <c r="J2741" s="246"/>
      <c r="K2741" s="246"/>
      <c r="L2741" s="226"/>
      <c r="M2741" s="226"/>
      <c r="N2741" s="246"/>
      <c r="P2741" s="228"/>
      <c r="Q2741" s="245"/>
      <c r="R2741" s="186" t="str">
        <f aca="false">+PROPER(C2741&amp;" "&amp;D2741)</f>
        <v> </v>
      </c>
      <c r="S2741" s="230" t="n">
        <f aca="false">+YEARFRAC(L2741,$S$1)</f>
        <v>126.366666666667</v>
      </c>
      <c r="T2741" s="230" t="n">
        <f aca="false">+YEARFRAC(M2741,$S$1)</f>
        <v>126.366666666667</v>
      </c>
      <c r="U2741" s="231" t="n">
        <f aca="false">+$I2741</f>
        <v>0</v>
      </c>
      <c r="V2741" s="232" t="str">
        <f aca="false">+PROPER(F2741)</f>
        <v/>
      </c>
    </row>
    <row r="2742" customFormat="false" ht="14.25" hidden="false" customHeight="false" outlineLevel="0" collapsed="false">
      <c r="B2742" s="244"/>
      <c r="C2742" s="245"/>
      <c r="D2742" s="245"/>
      <c r="E2742" s="246"/>
      <c r="F2742" s="246"/>
      <c r="G2742" s="225" t="e">
        <f aca="false">VLOOKUP(B2742,'NIVEL ENERO'!A:F,4,0)</f>
        <v>#N/A</v>
      </c>
      <c r="H2742" s="247"/>
      <c r="I2742" s="247"/>
      <c r="J2742" s="246"/>
      <c r="K2742" s="246"/>
      <c r="L2742" s="226"/>
      <c r="M2742" s="226"/>
      <c r="N2742" s="246"/>
      <c r="P2742" s="228"/>
      <c r="Q2742" s="245"/>
      <c r="R2742" s="186" t="str">
        <f aca="false">+PROPER(C2742&amp;" "&amp;D2742)</f>
        <v> </v>
      </c>
      <c r="S2742" s="230" t="n">
        <f aca="false">+YEARFRAC(L2742,$S$1)</f>
        <v>126.366666666667</v>
      </c>
      <c r="T2742" s="230" t="n">
        <f aca="false">+YEARFRAC(M2742,$S$1)</f>
        <v>126.366666666667</v>
      </c>
      <c r="U2742" s="231" t="n">
        <f aca="false">+$I2742</f>
        <v>0</v>
      </c>
      <c r="V2742" s="232" t="str">
        <f aca="false">+PROPER(F2742)</f>
        <v/>
      </c>
    </row>
    <row r="2743" customFormat="false" ht="14.25" hidden="false" customHeight="false" outlineLevel="0" collapsed="false">
      <c r="B2743" s="244"/>
      <c r="C2743" s="245"/>
      <c r="D2743" s="245"/>
      <c r="E2743" s="246"/>
      <c r="F2743" s="246"/>
      <c r="G2743" s="225" t="e">
        <f aca="false">VLOOKUP(B2743,'NIVEL ENERO'!A:F,4,0)</f>
        <v>#N/A</v>
      </c>
      <c r="H2743" s="247"/>
      <c r="I2743" s="247"/>
      <c r="J2743" s="246"/>
      <c r="K2743" s="246"/>
      <c r="L2743" s="226"/>
      <c r="M2743" s="226"/>
      <c r="N2743" s="246"/>
      <c r="P2743" s="228"/>
      <c r="Q2743" s="245"/>
      <c r="R2743" s="186" t="str">
        <f aca="false">+PROPER(C2743&amp;" "&amp;D2743)</f>
        <v> </v>
      </c>
      <c r="S2743" s="230" t="n">
        <f aca="false">+YEARFRAC(L2743,$S$1)</f>
        <v>126.366666666667</v>
      </c>
      <c r="T2743" s="230" t="n">
        <f aca="false">+YEARFRAC(M2743,$S$1)</f>
        <v>126.366666666667</v>
      </c>
      <c r="U2743" s="231" t="n">
        <f aca="false">+$I2743</f>
        <v>0</v>
      </c>
      <c r="V2743" s="232" t="str">
        <f aca="false">+PROPER(F2743)</f>
        <v/>
      </c>
    </row>
    <row r="2744" customFormat="false" ht="14.25" hidden="false" customHeight="false" outlineLevel="0" collapsed="false">
      <c r="B2744" s="244"/>
      <c r="C2744" s="245"/>
      <c r="D2744" s="245"/>
      <c r="E2744" s="246"/>
      <c r="F2744" s="246"/>
      <c r="G2744" s="225" t="e">
        <f aca="false">VLOOKUP(B2744,'NIVEL ENERO'!A:F,4,0)</f>
        <v>#N/A</v>
      </c>
      <c r="H2744" s="247"/>
      <c r="I2744" s="247"/>
      <c r="J2744" s="246"/>
      <c r="K2744" s="246"/>
      <c r="L2744" s="226"/>
      <c r="M2744" s="226"/>
      <c r="N2744" s="246"/>
      <c r="P2744" s="228"/>
      <c r="Q2744" s="245"/>
      <c r="R2744" s="186" t="str">
        <f aca="false">+PROPER(C2744&amp;" "&amp;D2744)</f>
        <v> </v>
      </c>
      <c r="S2744" s="230" t="n">
        <f aca="false">+YEARFRAC(L2744,$S$1)</f>
        <v>126.366666666667</v>
      </c>
      <c r="T2744" s="230" t="n">
        <f aca="false">+YEARFRAC(M2744,$S$1)</f>
        <v>126.366666666667</v>
      </c>
      <c r="U2744" s="231" t="n">
        <f aca="false">+$I2744</f>
        <v>0</v>
      </c>
      <c r="V2744" s="232" t="str">
        <f aca="false">+PROPER(F2744)</f>
        <v/>
      </c>
    </row>
    <row r="2745" customFormat="false" ht="14.25" hidden="false" customHeight="false" outlineLevel="0" collapsed="false">
      <c r="B2745" s="244"/>
      <c r="C2745" s="245"/>
      <c r="D2745" s="245"/>
      <c r="E2745" s="246"/>
      <c r="F2745" s="246"/>
      <c r="G2745" s="225" t="e">
        <f aca="false">VLOOKUP(B2745,'NIVEL ENERO'!A:F,4,0)</f>
        <v>#N/A</v>
      </c>
      <c r="H2745" s="247"/>
      <c r="I2745" s="247"/>
      <c r="J2745" s="246"/>
      <c r="K2745" s="246"/>
      <c r="L2745" s="226"/>
      <c r="M2745" s="226"/>
      <c r="N2745" s="246"/>
      <c r="P2745" s="228"/>
      <c r="Q2745" s="245"/>
      <c r="R2745" s="186" t="str">
        <f aca="false">+PROPER(C2745&amp;" "&amp;D2745)</f>
        <v> </v>
      </c>
      <c r="S2745" s="230" t="n">
        <f aca="false">+YEARFRAC(L2745,$S$1)</f>
        <v>126.366666666667</v>
      </c>
      <c r="T2745" s="230" t="n">
        <f aca="false">+YEARFRAC(M2745,$S$1)</f>
        <v>126.366666666667</v>
      </c>
      <c r="U2745" s="231" t="n">
        <f aca="false">+$I2745</f>
        <v>0</v>
      </c>
      <c r="V2745" s="232" t="str">
        <f aca="false">+PROPER(F2745)</f>
        <v/>
      </c>
    </row>
    <row r="2746" customFormat="false" ht="14.25" hidden="false" customHeight="false" outlineLevel="0" collapsed="false">
      <c r="B2746" s="244"/>
      <c r="C2746" s="245"/>
      <c r="D2746" s="245"/>
      <c r="E2746" s="246"/>
      <c r="F2746" s="246"/>
      <c r="G2746" s="225" t="e">
        <f aca="false">VLOOKUP(B2746,'NIVEL ENERO'!A:F,4,0)</f>
        <v>#N/A</v>
      </c>
      <c r="H2746" s="247"/>
      <c r="I2746" s="247"/>
      <c r="J2746" s="246"/>
      <c r="K2746" s="246"/>
      <c r="L2746" s="226"/>
      <c r="M2746" s="226"/>
      <c r="N2746" s="246"/>
      <c r="P2746" s="228"/>
      <c r="Q2746" s="245"/>
      <c r="R2746" s="186" t="str">
        <f aca="false">+PROPER(C2746&amp;" "&amp;D2746)</f>
        <v> </v>
      </c>
      <c r="S2746" s="230" t="n">
        <f aca="false">+YEARFRAC(L2746,$S$1)</f>
        <v>126.366666666667</v>
      </c>
      <c r="T2746" s="230" t="n">
        <f aca="false">+YEARFRAC(M2746,$S$1)</f>
        <v>126.366666666667</v>
      </c>
      <c r="U2746" s="231" t="n">
        <f aca="false">+$I2746</f>
        <v>0</v>
      </c>
      <c r="V2746" s="232" t="str">
        <f aca="false">+PROPER(F2746)</f>
        <v/>
      </c>
    </row>
    <row r="2747" customFormat="false" ht="14.25" hidden="false" customHeight="false" outlineLevel="0" collapsed="false">
      <c r="B2747" s="244"/>
      <c r="C2747" s="245"/>
      <c r="D2747" s="245"/>
      <c r="E2747" s="246"/>
      <c r="F2747" s="246"/>
      <c r="G2747" s="225" t="e">
        <f aca="false">VLOOKUP(B2747,'NIVEL ENERO'!A:F,4,0)</f>
        <v>#N/A</v>
      </c>
      <c r="H2747" s="247"/>
      <c r="I2747" s="247"/>
      <c r="J2747" s="246"/>
      <c r="K2747" s="246"/>
      <c r="L2747" s="226"/>
      <c r="M2747" s="226"/>
      <c r="N2747" s="246"/>
      <c r="P2747" s="228"/>
      <c r="Q2747" s="245"/>
      <c r="R2747" s="186" t="str">
        <f aca="false">+PROPER(C2747&amp;" "&amp;D2747)</f>
        <v> </v>
      </c>
      <c r="S2747" s="230" t="n">
        <f aca="false">+YEARFRAC(L2747,$S$1)</f>
        <v>126.366666666667</v>
      </c>
      <c r="T2747" s="230" t="n">
        <f aca="false">+YEARFRAC(M2747,$S$1)</f>
        <v>126.366666666667</v>
      </c>
      <c r="U2747" s="231" t="n">
        <f aca="false">+$I2747</f>
        <v>0</v>
      </c>
      <c r="V2747" s="232" t="str">
        <f aca="false">+PROPER(F2747)</f>
        <v/>
      </c>
    </row>
    <row r="2748" customFormat="false" ht="14.25" hidden="false" customHeight="false" outlineLevel="0" collapsed="false">
      <c r="B2748" s="244"/>
      <c r="C2748" s="245"/>
      <c r="D2748" s="245"/>
      <c r="E2748" s="246"/>
      <c r="F2748" s="246"/>
      <c r="G2748" s="225" t="e">
        <f aca="false">VLOOKUP(B2748,'NIVEL ENERO'!A:F,4,0)</f>
        <v>#N/A</v>
      </c>
      <c r="H2748" s="247"/>
      <c r="I2748" s="247"/>
      <c r="J2748" s="246"/>
      <c r="K2748" s="246"/>
      <c r="L2748" s="226"/>
      <c r="M2748" s="226"/>
      <c r="N2748" s="246"/>
      <c r="P2748" s="228"/>
      <c r="Q2748" s="245"/>
      <c r="R2748" s="186" t="str">
        <f aca="false">+PROPER(C2748&amp;" "&amp;D2748)</f>
        <v> </v>
      </c>
      <c r="S2748" s="230" t="n">
        <f aca="false">+YEARFRAC(L2748,$S$1)</f>
        <v>126.366666666667</v>
      </c>
      <c r="T2748" s="230" t="n">
        <f aca="false">+YEARFRAC(M2748,$S$1)</f>
        <v>126.366666666667</v>
      </c>
      <c r="U2748" s="231" t="n">
        <f aca="false">+$I2748</f>
        <v>0</v>
      </c>
      <c r="V2748" s="232" t="str">
        <f aca="false">+PROPER(F2748)</f>
        <v/>
      </c>
    </row>
    <row r="2749" customFormat="false" ht="14.25" hidden="false" customHeight="false" outlineLevel="0" collapsed="false">
      <c r="B2749" s="244"/>
      <c r="C2749" s="245"/>
      <c r="D2749" s="245"/>
      <c r="E2749" s="246"/>
      <c r="F2749" s="246"/>
      <c r="G2749" s="225" t="e">
        <f aca="false">VLOOKUP(B2749,'NIVEL ENERO'!A:F,4,0)</f>
        <v>#N/A</v>
      </c>
      <c r="H2749" s="247"/>
      <c r="I2749" s="247"/>
      <c r="J2749" s="246"/>
      <c r="K2749" s="246"/>
      <c r="L2749" s="226"/>
      <c r="M2749" s="226"/>
      <c r="N2749" s="246"/>
      <c r="P2749" s="228"/>
      <c r="Q2749" s="245"/>
      <c r="R2749" s="186" t="str">
        <f aca="false">+PROPER(C2749&amp;" "&amp;D2749)</f>
        <v> </v>
      </c>
      <c r="S2749" s="230" t="n">
        <f aca="false">+YEARFRAC(L2749,$S$1)</f>
        <v>126.366666666667</v>
      </c>
      <c r="T2749" s="230" t="n">
        <f aca="false">+YEARFRAC(M2749,$S$1)</f>
        <v>126.366666666667</v>
      </c>
      <c r="U2749" s="231" t="n">
        <f aca="false">+$I2749</f>
        <v>0</v>
      </c>
      <c r="V2749" s="232" t="str">
        <f aca="false">+PROPER(F2749)</f>
        <v/>
      </c>
    </row>
    <row r="2750" customFormat="false" ht="14.25" hidden="false" customHeight="false" outlineLevel="0" collapsed="false">
      <c r="B2750" s="244"/>
      <c r="C2750" s="245"/>
      <c r="D2750" s="245"/>
      <c r="E2750" s="246"/>
      <c r="F2750" s="246"/>
      <c r="G2750" s="225" t="e">
        <f aca="false">VLOOKUP(B2750,'NIVEL ENERO'!A:F,4,0)</f>
        <v>#N/A</v>
      </c>
      <c r="H2750" s="247"/>
      <c r="I2750" s="247"/>
      <c r="J2750" s="246"/>
      <c r="K2750" s="246"/>
      <c r="L2750" s="226"/>
      <c r="M2750" s="226"/>
      <c r="N2750" s="246"/>
      <c r="P2750" s="228"/>
      <c r="Q2750" s="245"/>
      <c r="R2750" s="186" t="str">
        <f aca="false">+PROPER(C2750&amp;" "&amp;D2750)</f>
        <v> </v>
      </c>
      <c r="S2750" s="230" t="n">
        <f aca="false">+YEARFRAC(L2750,$S$1)</f>
        <v>126.366666666667</v>
      </c>
      <c r="T2750" s="230" t="n">
        <f aca="false">+YEARFRAC(M2750,$S$1)</f>
        <v>126.366666666667</v>
      </c>
      <c r="U2750" s="231" t="n">
        <f aca="false">+$I2750</f>
        <v>0</v>
      </c>
      <c r="V2750" s="232" t="str">
        <f aca="false">+PROPER(F2750)</f>
        <v/>
      </c>
    </row>
    <row r="2751" customFormat="false" ht="14.25" hidden="false" customHeight="false" outlineLevel="0" collapsed="false">
      <c r="B2751" s="244"/>
      <c r="C2751" s="245"/>
      <c r="D2751" s="245"/>
      <c r="E2751" s="246"/>
      <c r="F2751" s="246"/>
      <c r="G2751" s="225" t="e">
        <f aca="false">VLOOKUP(B2751,'NIVEL ENERO'!A:F,4,0)</f>
        <v>#N/A</v>
      </c>
      <c r="H2751" s="247"/>
      <c r="I2751" s="247"/>
      <c r="J2751" s="246"/>
      <c r="K2751" s="246"/>
      <c r="L2751" s="226"/>
      <c r="M2751" s="226"/>
      <c r="N2751" s="246"/>
      <c r="P2751" s="228"/>
      <c r="Q2751" s="245"/>
      <c r="R2751" s="186" t="str">
        <f aca="false">+PROPER(C2751&amp;" "&amp;D2751)</f>
        <v> </v>
      </c>
      <c r="S2751" s="230" t="n">
        <f aca="false">+YEARFRAC(L2751,$S$1)</f>
        <v>126.366666666667</v>
      </c>
      <c r="T2751" s="230" t="n">
        <f aca="false">+YEARFRAC(M2751,$S$1)</f>
        <v>126.366666666667</v>
      </c>
      <c r="U2751" s="231" t="n">
        <f aca="false">+$I2751</f>
        <v>0</v>
      </c>
      <c r="V2751" s="232" t="str">
        <f aca="false">+PROPER(F2751)</f>
        <v/>
      </c>
    </row>
    <row r="2752" customFormat="false" ht="14.25" hidden="false" customHeight="false" outlineLevel="0" collapsed="false">
      <c r="B2752" s="244"/>
      <c r="C2752" s="245"/>
      <c r="D2752" s="245"/>
      <c r="E2752" s="246"/>
      <c r="F2752" s="246"/>
      <c r="G2752" s="225" t="e">
        <f aca="false">VLOOKUP(B2752,'NIVEL ENERO'!A:F,4,0)</f>
        <v>#N/A</v>
      </c>
      <c r="H2752" s="247"/>
      <c r="I2752" s="247"/>
      <c r="J2752" s="246"/>
      <c r="K2752" s="246"/>
      <c r="L2752" s="226"/>
      <c r="M2752" s="226"/>
      <c r="N2752" s="246"/>
      <c r="P2752" s="228"/>
      <c r="Q2752" s="245"/>
      <c r="R2752" s="186" t="str">
        <f aca="false">+PROPER(C2752&amp;" "&amp;D2752)</f>
        <v> </v>
      </c>
      <c r="S2752" s="230" t="n">
        <f aca="false">+YEARFRAC(L2752,$S$1)</f>
        <v>126.366666666667</v>
      </c>
      <c r="T2752" s="230" t="n">
        <f aca="false">+YEARFRAC(M2752,$S$1)</f>
        <v>126.366666666667</v>
      </c>
      <c r="U2752" s="231" t="n">
        <f aca="false">+$I2752</f>
        <v>0</v>
      </c>
      <c r="V2752" s="232" t="str">
        <f aca="false">+PROPER(F2752)</f>
        <v/>
      </c>
    </row>
    <row r="2753" customFormat="false" ht="14.25" hidden="false" customHeight="false" outlineLevel="0" collapsed="false">
      <c r="B2753" s="244"/>
      <c r="C2753" s="245"/>
      <c r="D2753" s="245"/>
      <c r="E2753" s="246"/>
      <c r="F2753" s="246"/>
      <c r="G2753" s="225" t="e">
        <f aca="false">VLOOKUP(B2753,'NIVEL ENERO'!A:F,4,0)</f>
        <v>#N/A</v>
      </c>
      <c r="H2753" s="247"/>
      <c r="I2753" s="247"/>
      <c r="J2753" s="246"/>
      <c r="K2753" s="246"/>
      <c r="L2753" s="226"/>
      <c r="M2753" s="226"/>
      <c r="N2753" s="246"/>
      <c r="P2753" s="228"/>
      <c r="Q2753" s="245"/>
      <c r="R2753" s="186" t="str">
        <f aca="false">+PROPER(C2753&amp;" "&amp;D2753)</f>
        <v> </v>
      </c>
      <c r="S2753" s="230" t="n">
        <f aca="false">+YEARFRAC(L2753,$S$1)</f>
        <v>126.366666666667</v>
      </c>
      <c r="T2753" s="230" t="n">
        <f aca="false">+YEARFRAC(M2753,$S$1)</f>
        <v>126.366666666667</v>
      </c>
      <c r="U2753" s="231" t="n">
        <f aca="false">+$I2753</f>
        <v>0</v>
      </c>
      <c r="V2753" s="232" t="str">
        <f aca="false">+PROPER(F2753)</f>
        <v/>
      </c>
    </row>
    <row r="2754" customFormat="false" ht="14.25" hidden="false" customHeight="false" outlineLevel="0" collapsed="false">
      <c r="B2754" s="244"/>
      <c r="C2754" s="245"/>
      <c r="D2754" s="245"/>
      <c r="E2754" s="246"/>
      <c r="F2754" s="246"/>
      <c r="G2754" s="225" t="e">
        <f aca="false">VLOOKUP(B2754,'NIVEL ENERO'!A:F,4,0)</f>
        <v>#N/A</v>
      </c>
      <c r="H2754" s="247"/>
      <c r="I2754" s="247"/>
      <c r="J2754" s="246"/>
      <c r="K2754" s="246"/>
      <c r="L2754" s="226"/>
      <c r="M2754" s="226"/>
      <c r="N2754" s="246"/>
      <c r="P2754" s="228"/>
      <c r="Q2754" s="245"/>
      <c r="R2754" s="186" t="str">
        <f aca="false">+PROPER(C2754&amp;" "&amp;D2754)</f>
        <v> </v>
      </c>
      <c r="S2754" s="230" t="n">
        <f aca="false">+YEARFRAC(L2754,$S$1)</f>
        <v>126.366666666667</v>
      </c>
      <c r="T2754" s="230" t="n">
        <f aca="false">+YEARFRAC(M2754,$S$1)</f>
        <v>126.366666666667</v>
      </c>
      <c r="U2754" s="231" t="n">
        <f aca="false">+$I2754</f>
        <v>0</v>
      </c>
      <c r="V2754" s="232" t="str">
        <f aca="false">+PROPER(F2754)</f>
        <v/>
      </c>
    </row>
    <row r="2755" customFormat="false" ht="14.25" hidden="false" customHeight="false" outlineLevel="0" collapsed="false">
      <c r="B2755" s="244"/>
      <c r="C2755" s="245"/>
      <c r="D2755" s="245"/>
      <c r="E2755" s="246"/>
      <c r="F2755" s="246"/>
      <c r="G2755" s="225" t="e">
        <f aca="false">VLOOKUP(B2755,'NIVEL ENERO'!A:F,4,0)</f>
        <v>#N/A</v>
      </c>
      <c r="H2755" s="247"/>
      <c r="I2755" s="247"/>
      <c r="J2755" s="246"/>
      <c r="K2755" s="246"/>
      <c r="L2755" s="226"/>
      <c r="M2755" s="226"/>
      <c r="N2755" s="246"/>
      <c r="P2755" s="228"/>
      <c r="Q2755" s="245"/>
      <c r="R2755" s="186" t="str">
        <f aca="false">+PROPER(C2755&amp;" "&amp;D2755)</f>
        <v> </v>
      </c>
      <c r="S2755" s="230" t="n">
        <f aca="false">+YEARFRAC(L2755,$S$1)</f>
        <v>126.366666666667</v>
      </c>
      <c r="T2755" s="230" t="n">
        <f aca="false">+YEARFRAC(M2755,$S$1)</f>
        <v>126.366666666667</v>
      </c>
      <c r="U2755" s="231" t="n">
        <f aca="false">+$I2755</f>
        <v>0</v>
      </c>
      <c r="V2755" s="232" t="str">
        <f aca="false">+PROPER(F2755)</f>
        <v/>
      </c>
    </row>
    <row r="2756" customFormat="false" ht="14.25" hidden="false" customHeight="false" outlineLevel="0" collapsed="false">
      <c r="B2756" s="244"/>
      <c r="C2756" s="245"/>
      <c r="D2756" s="245"/>
      <c r="E2756" s="246"/>
      <c r="F2756" s="246"/>
      <c r="G2756" s="225" t="e">
        <f aca="false">VLOOKUP(B2756,'NIVEL ENERO'!A:F,4,0)</f>
        <v>#N/A</v>
      </c>
      <c r="H2756" s="247"/>
      <c r="I2756" s="247"/>
      <c r="J2756" s="246"/>
      <c r="K2756" s="246"/>
      <c r="L2756" s="226"/>
      <c r="M2756" s="226"/>
      <c r="N2756" s="246"/>
      <c r="P2756" s="228"/>
      <c r="Q2756" s="245"/>
      <c r="R2756" s="186" t="str">
        <f aca="false">+PROPER(C2756&amp;" "&amp;D2756)</f>
        <v> </v>
      </c>
      <c r="S2756" s="230" t="n">
        <f aca="false">+YEARFRAC(L2756,$S$1)</f>
        <v>126.366666666667</v>
      </c>
      <c r="T2756" s="230" t="n">
        <f aca="false">+YEARFRAC(M2756,$S$1)</f>
        <v>126.366666666667</v>
      </c>
      <c r="U2756" s="231" t="n">
        <f aca="false">+$I2756</f>
        <v>0</v>
      </c>
      <c r="V2756" s="232" t="str">
        <f aca="false">+PROPER(F2756)</f>
        <v/>
      </c>
    </row>
    <row r="2757" customFormat="false" ht="14.25" hidden="false" customHeight="false" outlineLevel="0" collapsed="false">
      <c r="B2757" s="244"/>
      <c r="C2757" s="245"/>
      <c r="D2757" s="245"/>
      <c r="E2757" s="246"/>
      <c r="F2757" s="246"/>
      <c r="G2757" s="225" t="e">
        <f aca="false">VLOOKUP(B2757,'NIVEL ENERO'!A:F,4,0)</f>
        <v>#N/A</v>
      </c>
      <c r="H2757" s="247"/>
      <c r="I2757" s="247"/>
      <c r="J2757" s="246"/>
      <c r="K2757" s="246"/>
      <c r="L2757" s="226"/>
      <c r="M2757" s="226"/>
      <c r="N2757" s="246"/>
      <c r="P2757" s="228"/>
      <c r="Q2757" s="245"/>
      <c r="R2757" s="186" t="str">
        <f aca="false">+PROPER(C2757&amp;" "&amp;D2757)</f>
        <v> </v>
      </c>
      <c r="S2757" s="230" t="n">
        <f aca="false">+YEARFRAC(L2757,$S$1)</f>
        <v>126.366666666667</v>
      </c>
      <c r="T2757" s="230" t="n">
        <f aca="false">+YEARFRAC(M2757,$S$1)</f>
        <v>126.366666666667</v>
      </c>
      <c r="U2757" s="231" t="n">
        <f aca="false">+$I2757</f>
        <v>0</v>
      </c>
      <c r="V2757" s="232" t="str">
        <f aca="false">+PROPER(F2757)</f>
        <v/>
      </c>
    </row>
    <row r="2758" customFormat="false" ht="14.25" hidden="false" customHeight="false" outlineLevel="0" collapsed="false">
      <c r="B2758" s="244"/>
      <c r="C2758" s="245"/>
      <c r="D2758" s="245"/>
      <c r="E2758" s="246"/>
      <c r="F2758" s="246"/>
      <c r="G2758" s="225" t="e">
        <f aca="false">VLOOKUP(B2758,'NIVEL ENERO'!A:F,4,0)</f>
        <v>#N/A</v>
      </c>
      <c r="H2758" s="247"/>
      <c r="I2758" s="247"/>
      <c r="J2758" s="246"/>
      <c r="K2758" s="246"/>
      <c r="L2758" s="226"/>
      <c r="M2758" s="226"/>
      <c r="N2758" s="246"/>
      <c r="P2758" s="228"/>
      <c r="Q2758" s="245"/>
      <c r="R2758" s="186" t="str">
        <f aca="false">+PROPER(C2758&amp;" "&amp;D2758)</f>
        <v> </v>
      </c>
      <c r="S2758" s="230" t="n">
        <f aca="false">+YEARFRAC(L2758,$S$1)</f>
        <v>126.366666666667</v>
      </c>
      <c r="T2758" s="230" t="n">
        <f aca="false">+YEARFRAC(M2758,$S$1)</f>
        <v>126.366666666667</v>
      </c>
      <c r="U2758" s="231" t="n">
        <f aca="false">+$I2758</f>
        <v>0</v>
      </c>
      <c r="V2758" s="232" t="str">
        <f aca="false">+PROPER(F2758)</f>
        <v/>
      </c>
    </row>
    <row r="2759" customFormat="false" ht="14.25" hidden="false" customHeight="false" outlineLevel="0" collapsed="false">
      <c r="B2759" s="244"/>
      <c r="C2759" s="245"/>
      <c r="D2759" s="245"/>
      <c r="E2759" s="246"/>
      <c r="F2759" s="246"/>
      <c r="G2759" s="225" t="e">
        <f aca="false">VLOOKUP(B2759,'NIVEL ENERO'!A:F,4,0)</f>
        <v>#N/A</v>
      </c>
      <c r="H2759" s="247"/>
      <c r="I2759" s="247"/>
      <c r="J2759" s="246"/>
      <c r="K2759" s="246"/>
      <c r="L2759" s="226"/>
      <c r="M2759" s="226"/>
      <c r="N2759" s="246"/>
      <c r="P2759" s="228"/>
      <c r="Q2759" s="245"/>
      <c r="R2759" s="186" t="str">
        <f aca="false">+PROPER(C2759&amp;" "&amp;D2759)</f>
        <v> </v>
      </c>
      <c r="S2759" s="230" t="n">
        <f aca="false">+YEARFRAC(L2759,$S$1)</f>
        <v>126.366666666667</v>
      </c>
      <c r="T2759" s="230" t="n">
        <f aca="false">+YEARFRAC(M2759,$S$1)</f>
        <v>126.366666666667</v>
      </c>
      <c r="U2759" s="231" t="n">
        <f aca="false">+$I2759</f>
        <v>0</v>
      </c>
      <c r="V2759" s="232" t="str">
        <f aca="false">+PROPER(F2759)</f>
        <v/>
      </c>
    </row>
    <row r="2760" customFormat="false" ht="14.25" hidden="false" customHeight="false" outlineLevel="0" collapsed="false">
      <c r="B2760" s="244"/>
      <c r="C2760" s="245"/>
      <c r="D2760" s="245"/>
      <c r="E2760" s="246"/>
      <c r="F2760" s="246"/>
      <c r="G2760" s="225" t="e">
        <f aca="false">VLOOKUP(B2760,'NIVEL ENERO'!A:F,4,0)</f>
        <v>#N/A</v>
      </c>
      <c r="H2760" s="247"/>
      <c r="I2760" s="247"/>
      <c r="J2760" s="246"/>
      <c r="K2760" s="246"/>
      <c r="L2760" s="226"/>
      <c r="M2760" s="226"/>
      <c r="N2760" s="246"/>
      <c r="P2760" s="228"/>
      <c r="Q2760" s="245"/>
      <c r="R2760" s="186" t="str">
        <f aca="false">+PROPER(C2760&amp;" "&amp;D2760)</f>
        <v> </v>
      </c>
      <c r="S2760" s="230" t="n">
        <f aca="false">+YEARFRAC(L2760,$S$1)</f>
        <v>126.366666666667</v>
      </c>
      <c r="T2760" s="230" t="n">
        <f aca="false">+YEARFRAC(M2760,$S$1)</f>
        <v>126.366666666667</v>
      </c>
      <c r="U2760" s="231" t="n">
        <f aca="false">+$I2760</f>
        <v>0</v>
      </c>
      <c r="V2760" s="232" t="str">
        <f aca="false">+PROPER(F2760)</f>
        <v/>
      </c>
    </row>
    <row r="2761" customFormat="false" ht="14.25" hidden="false" customHeight="false" outlineLevel="0" collapsed="false">
      <c r="B2761" s="244"/>
      <c r="C2761" s="245"/>
      <c r="D2761" s="245"/>
      <c r="E2761" s="246"/>
      <c r="F2761" s="246"/>
      <c r="G2761" s="225" t="e">
        <f aca="false">VLOOKUP(B2761,'NIVEL ENERO'!A:F,4,0)</f>
        <v>#N/A</v>
      </c>
      <c r="H2761" s="247"/>
      <c r="I2761" s="247"/>
      <c r="J2761" s="246"/>
      <c r="K2761" s="246"/>
      <c r="L2761" s="226"/>
      <c r="M2761" s="226"/>
      <c r="N2761" s="246"/>
      <c r="P2761" s="228"/>
      <c r="Q2761" s="245"/>
      <c r="R2761" s="186" t="str">
        <f aca="false">+PROPER(C2761&amp;" "&amp;D2761)</f>
        <v> </v>
      </c>
      <c r="S2761" s="230" t="n">
        <f aca="false">+YEARFRAC(L2761,$S$1)</f>
        <v>126.366666666667</v>
      </c>
      <c r="T2761" s="230" t="n">
        <f aca="false">+YEARFRAC(M2761,$S$1)</f>
        <v>126.366666666667</v>
      </c>
      <c r="U2761" s="231" t="n">
        <f aca="false">+$I2761</f>
        <v>0</v>
      </c>
      <c r="V2761" s="232" t="str">
        <f aca="false">+PROPER(F2761)</f>
        <v/>
      </c>
    </row>
    <row r="2762" customFormat="false" ht="14.25" hidden="false" customHeight="false" outlineLevel="0" collapsed="false">
      <c r="B2762" s="244"/>
      <c r="C2762" s="245"/>
      <c r="D2762" s="245"/>
      <c r="E2762" s="246"/>
      <c r="F2762" s="246"/>
      <c r="G2762" s="225" t="e">
        <f aca="false">VLOOKUP(B2762,'NIVEL ENERO'!A:F,4,0)</f>
        <v>#N/A</v>
      </c>
      <c r="H2762" s="247"/>
      <c r="I2762" s="247"/>
      <c r="J2762" s="246"/>
      <c r="K2762" s="246"/>
      <c r="L2762" s="226"/>
      <c r="M2762" s="226"/>
      <c r="N2762" s="246"/>
      <c r="P2762" s="228"/>
      <c r="Q2762" s="245"/>
      <c r="R2762" s="186" t="str">
        <f aca="false">+PROPER(C2762&amp;" "&amp;D2762)</f>
        <v> </v>
      </c>
      <c r="S2762" s="230" t="n">
        <f aca="false">+YEARFRAC(L2762,$S$1)</f>
        <v>126.366666666667</v>
      </c>
      <c r="T2762" s="230" t="n">
        <f aca="false">+YEARFRAC(M2762,$S$1)</f>
        <v>126.366666666667</v>
      </c>
      <c r="U2762" s="231" t="n">
        <f aca="false">+$I2762</f>
        <v>0</v>
      </c>
      <c r="V2762" s="232" t="str">
        <f aca="false">+PROPER(F2762)</f>
        <v/>
      </c>
    </row>
    <row r="2763" customFormat="false" ht="14.25" hidden="false" customHeight="false" outlineLevel="0" collapsed="false">
      <c r="B2763" s="244"/>
      <c r="C2763" s="245"/>
      <c r="D2763" s="245"/>
      <c r="E2763" s="246"/>
      <c r="F2763" s="246"/>
      <c r="G2763" s="225" t="e">
        <f aca="false">VLOOKUP(B2763,'NIVEL ENERO'!A:F,4,0)</f>
        <v>#N/A</v>
      </c>
      <c r="H2763" s="247"/>
      <c r="I2763" s="247"/>
      <c r="J2763" s="246"/>
      <c r="K2763" s="246"/>
      <c r="L2763" s="226"/>
      <c r="M2763" s="226"/>
      <c r="N2763" s="246"/>
      <c r="P2763" s="228"/>
      <c r="Q2763" s="245"/>
      <c r="R2763" s="186" t="str">
        <f aca="false">+PROPER(C2763&amp;" "&amp;D2763)</f>
        <v> </v>
      </c>
      <c r="S2763" s="230" t="n">
        <f aca="false">+YEARFRAC(L2763,$S$1)</f>
        <v>126.366666666667</v>
      </c>
      <c r="T2763" s="230" t="n">
        <f aca="false">+YEARFRAC(M2763,$S$1)</f>
        <v>126.366666666667</v>
      </c>
      <c r="U2763" s="231" t="n">
        <f aca="false">+$I2763</f>
        <v>0</v>
      </c>
      <c r="V2763" s="232" t="str">
        <f aca="false">+PROPER(F2763)</f>
        <v/>
      </c>
    </row>
    <row r="2764" customFormat="false" ht="14.25" hidden="false" customHeight="false" outlineLevel="0" collapsed="false">
      <c r="B2764" s="244"/>
      <c r="C2764" s="245"/>
      <c r="D2764" s="245"/>
      <c r="E2764" s="246"/>
      <c r="F2764" s="246"/>
      <c r="G2764" s="225" t="e">
        <f aca="false">VLOOKUP(B2764,'NIVEL ENERO'!A:F,4,0)</f>
        <v>#N/A</v>
      </c>
      <c r="H2764" s="247"/>
      <c r="I2764" s="247"/>
      <c r="J2764" s="246"/>
      <c r="K2764" s="246"/>
      <c r="L2764" s="226"/>
      <c r="M2764" s="226"/>
      <c r="N2764" s="246"/>
      <c r="P2764" s="228"/>
      <c r="Q2764" s="245"/>
      <c r="R2764" s="186" t="str">
        <f aca="false">+PROPER(C2764&amp;" "&amp;D2764)</f>
        <v> </v>
      </c>
      <c r="S2764" s="230" t="n">
        <f aca="false">+YEARFRAC(L2764,$S$1)</f>
        <v>126.366666666667</v>
      </c>
      <c r="T2764" s="230" t="n">
        <f aca="false">+YEARFRAC(M2764,$S$1)</f>
        <v>126.366666666667</v>
      </c>
      <c r="U2764" s="231" t="n">
        <f aca="false">+$I2764</f>
        <v>0</v>
      </c>
      <c r="V2764" s="232" t="str">
        <f aca="false">+PROPER(F2764)</f>
        <v/>
      </c>
    </row>
    <row r="2765" customFormat="false" ht="14.25" hidden="false" customHeight="false" outlineLevel="0" collapsed="false">
      <c r="B2765" s="244"/>
      <c r="C2765" s="245"/>
      <c r="D2765" s="245"/>
      <c r="E2765" s="246"/>
      <c r="F2765" s="246"/>
      <c r="G2765" s="225" t="e">
        <f aca="false">VLOOKUP(B2765,'NIVEL ENERO'!A:F,4,0)</f>
        <v>#N/A</v>
      </c>
      <c r="H2765" s="247"/>
      <c r="I2765" s="247"/>
      <c r="J2765" s="246"/>
      <c r="K2765" s="246"/>
      <c r="L2765" s="226"/>
      <c r="M2765" s="226"/>
      <c r="N2765" s="246"/>
      <c r="P2765" s="228"/>
      <c r="Q2765" s="245"/>
      <c r="R2765" s="186" t="str">
        <f aca="false">+PROPER(C2765&amp;" "&amp;D2765)</f>
        <v> </v>
      </c>
      <c r="S2765" s="230" t="n">
        <f aca="false">+YEARFRAC(L2765,$S$1)</f>
        <v>126.366666666667</v>
      </c>
      <c r="T2765" s="230" t="n">
        <f aca="false">+YEARFRAC(M2765,$S$1)</f>
        <v>126.366666666667</v>
      </c>
      <c r="U2765" s="231" t="n">
        <f aca="false">+$I2765</f>
        <v>0</v>
      </c>
      <c r="V2765" s="232" t="str">
        <f aca="false">+PROPER(F2765)</f>
        <v/>
      </c>
    </row>
    <row r="2766" customFormat="false" ht="14.25" hidden="false" customHeight="false" outlineLevel="0" collapsed="false">
      <c r="B2766" s="244"/>
      <c r="C2766" s="245"/>
      <c r="D2766" s="245"/>
      <c r="E2766" s="246"/>
      <c r="F2766" s="246"/>
      <c r="G2766" s="225" t="e">
        <f aca="false">VLOOKUP(B2766,'NIVEL ENERO'!A:F,4,0)</f>
        <v>#N/A</v>
      </c>
      <c r="H2766" s="247"/>
      <c r="I2766" s="247"/>
      <c r="J2766" s="246"/>
      <c r="K2766" s="246"/>
      <c r="L2766" s="226"/>
      <c r="M2766" s="226"/>
      <c r="N2766" s="246"/>
      <c r="P2766" s="228"/>
      <c r="Q2766" s="245"/>
      <c r="R2766" s="186" t="str">
        <f aca="false">+PROPER(C2766&amp;" "&amp;D2766)</f>
        <v> </v>
      </c>
      <c r="S2766" s="230" t="n">
        <f aca="false">+YEARFRAC(L2766,$S$1)</f>
        <v>126.366666666667</v>
      </c>
      <c r="T2766" s="230" t="n">
        <f aca="false">+YEARFRAC(M2766,$S$1)</f>
        <v>126.366666666667</v>
      </c>
      <c r="U2766" s="231" t="n">
        <f aca="false">+$I2766</f>
        <v>0</v>
      </c>
      <c r="V2766" s="232" t="str">
        <f aca="false">+PROPER(F2766)</f>
        <v/>
      </c>
    </row>
    <row r="2767" customFormat="false" ht="14.25" hidden="false" customHeight="false" outlineLevel="0" collapsed="false">
      <c r="B2767" s="244"/>
      <c r="C2767" s="245"/>
      <c r="D2767" s="245"/>
      <c r="E2767" s="246"/>
      <c r="F2767" s="246"/>
      <c r="G2767" s="225" t="e">
        <f aca="false">VLOOKUP(B2767,'NIVEL ENERO'!A:F,4,0)</f>
        <v>#N/A</v>
      </c>
      <c r="H2767" s="247"/>
      <c r="I2767" s="247"/>
      <c r="J2767" s="246"/>
      <c r="K2767" s="246"/>
      <c r="L2767" s="226"/>
      <c r="M2767" s="226"/>
      <c r="N2767" s="246"/>
      <c r="P2767" s="228"/>
      <c r="Q2767" s="245"/>
      <c r="R2767" s="186" t="str">
        <f aca="false">+PROPER(C2767&amp;" "&amp;D2767)</f>
        <v> </v>
      </c>
      <c r="S2767" s="230" t="n">
        <f aca="false">+YEARFRAC(L2767,$S$1)</f>
        <v>126.366666666667</v>
      </c>
      <c r="T2767" s="230" t="n">
        <f aca="false">+YEARFRAC(M2767,$S$1)</f>
        <v>126.366666666667</v>
      </c>
      <c r="U2767" s="231" t="n">
        <f aca="false">+$I2767</f>
        <v>0</v>
      </c>
      <c r="V2767" s="232" t="str">
        <f aca="false">+PROPER(F2767)</f>
        <v/>
      </c>
    </row>
    <row r="2768" customFormat="false" ht="14.25" hidden="false" customHeight="false" outlineLevel="0" collapsed="false">
      <c r="B2768" s="244"/>
      <c r="C2768" s="245"/>
      <c r="D2768" s="245"/>
      <c r="E2768" s="246"/>
      <c r="F2768" s="246"/>
      <c r="G2768" s="225" t="e">
        <f aca="false">VLOOKUP(B2768,'NIVEL ENERO'!A:F,4,0)</f>
        <v>#N/A</v>
      </c>
      <c r="H2768" s="247"/>
      <c r="I2768" s="247"/>
      <c r="J2768" s="246"/>
      <c r="K2768" s="246"/>
      <c r="L2768" s="226"/>
      <c r="M2768" s="226"/>
      <c r="N2768" s="246"/>
      <c r="P2768" s="228"/>
      <c r="Q2768" s="245"/>
      <c r="R2768" s="186" t="str">
        <f aca="false">+PROPER(C2768&amp;" "&amp;D2768)</f>
        <v> </v>
      </c>
      <c r="S2768" s="230" t="n">
        <f aca="false">+YEARFRAC(L2768,$S$1)</f>
        <v>126.366666666667</v>
      </c>
      <c r="T2768" s="230" t="n">
        <f aca="false">+YEARFRAC(M2768,$S$1)</f>
        <v>126.366666666667</v>
      </c>
      <c r="U2768" s="231" t="n">
        <f aca="false">+$I2768</f>
        <v>0</v>
      </c>
      <c r="V2768" s="232" t="str">
        <f aca="false">+PROPER(F2768)</f>
        <v/>
      </c>
    </row>
    <row r="2769" customFormat="false" ht="14.25" hidden="false" customHeight="false" outlineLevel="0" collapsed="false">
      <c r="B2769" s="244"/>
      <c r="C2769" s="245"/>
      <c r="D2769" s="245"/>
      <c r="E2769" s="246"/>
      <c r="F2769" s="246"/>
      <c r="G2769" s="225" t="e">
        <f aca="false">VLOOKUP(B2769,'NIVEL ENERO'!A:F,4,0)</f>
        <v>#N/A</v>
      </c>
      <c r="H2769" s="247"/>
      <c r="I2769" s="247"/>
      <c r="J2769" s="246"/>
      <c r="K2769" s="246"/>
      <c r="L2769" s="226"/>
      <c r="M2769" s="226"/>
      <c r="N2769" s="246"/>
      <c r="P2769" s="228"/>
      <c r="Q2769" s="245"/>
      <c r="R2769" s="186" t="str">
        <f aca="false">+PROPER(C2769&amp;" "&amp;D2769)</f>
        <v> </v>
      </c>
      <c r="S2769" s="230" t="n">
        <f aca="false">+YEARFRAC(L2769,$S$1)</f>
        <v>126.366666666667</v>
      </c>
      <c r="T2769" s="230" t="n">
        <f aca="false">+YEARFRAC(M2769,$S$1)</f>
        <v>126.366666666667</v>
      </c>
      <c r="U2769" s="231" t="n">
        <f aca="false">+$I2769</f>
        <v>0</v>
      </c>
      <c r="V2769" s="232" t="str">
        <f aca="false">+PROPER(F2769)</f>
        <v/>
      </c>
    </row>
    <row r="2770" customFormat="false" ht="14.25" hidden="false" customHeight="false" outlineLevel="0" collapsed="false">
      <c r="B2770" s="244"/>
      <c r="C2770" s="245"/>
      <c r="D2770" s="245"/>
      <c r="E2770" s="246"/>
      <c r="F2770" s="246"/>
      <c r="G2770" s="225" t="e">
        <f aca="false">VLOOKUP(B2770,'NIVEL ENERO'!A:F,4,0)</f>
        <v>#N/A</v>
      </c>
      <c r="H2770" s="247"/>
      <c r="I2770" s="247"/>
      <c r="J2770" s="246"/>
      <c r="K2770" s="246"/>
      <c r="L2770" s="226"/>
      <c r="M2770" s="226"/>
      <c r="N2770" s="246"/>
      <c r="P2770" s="228"/>
      <c r="Q2770" s="245"/>
      <c r="R2770" s="186" t="str">
        <f aca="false">+PROPER(C2770&amp;" "&amp;D2770)</f>
        <v> </v>
      </c>
      <c r="S2770" s="230" t="n">
        <f aca="false">+YEARFRAC(L2770,$S$1)</f>
        <v>126.366666666667</v>
      </c>
      <c r="T2770" s="230" t="n">
        <f aca="false">+YEARFRAC(M2770,$S$1)</f>
        <v>126.366666666667</v>
      </c>
      <c r="U2770" s="231" t="n">
        <f aca="false">+$I2770</f>
        <v>0</v>
      </c>
      <c r="V2770" s="232" t="str">
        <f aca="false">+PROPER(F2770)</f>
        <v/>
      </c>
    </row>
    <row r="2771" customFormat="false" ht="14.25" hidden="false" customHeight="false" outlineLevel="0" collapsed="false">
      <c r="B2771" s="244"/>
      <c r="C2771" s="245"/>
      <c r="D2771" s="245"/>
      <c r="E2771" s="246"/>
      <c r="F2771" s="246"/>
      <c r="G2771" s="225" t="e">
        <f aca="false">VLOOKUP(B2771,'NIVEL ENERO'!A:F,4,0)</f>
        <v>#N/A</v>
      </c>
      <c r="H2771" s="247"/>
      <c r="I2771" s="247"/>
      <c r="J2771" s="246"/>
      <c r="K2771" s="246"/>
      <c r="L2771" s="226"/>
      <c r="M2771" s="226"/>
      <c r="N2771" s="246"/>
      <c r="P2771" s="228"/>
      <c r="Q2771" s="245"/>
      <c r="R2771" s="186" t="str">
        <f aca="false">+PROPER(C2771&amp;" "&amp;D2771)</f>
        <v> </v>
      </c>
      <c r="S2771" s="230" t="n">
        <f aca="false">+YEARFRAC(L2771,$S$1)</f>
        <v>126.366666666667</v>
      </c>
      <c r="T2771" s="230" t="n">
        <f aca="false">+YEARFRAC(M2771,$S$1)</f>
        <v>126.366666666667</v>
      </c>
      <c r="U2771" s="231" t="n">
        <f aca="false">+$I2771</f>
        <v>0</v>
      </c>
      <c r="V2771" s="232" t="str">
        <f aca="false">+PROPER(F2771)</f>
        <v/>
      </c>
    </row>
    <row r="2772" customFormat="false" ht="14.25" hidden="false" customHeight="false" outlineLevel="0" collapsed="false">
      <c r="B2772" s="244"/>
      <c r="C2772" s="245"/>
      <c r="D2772" s="245"/>
      <c r="E2772" s="246"/>
      <c r="F2772" s="246"/>
      <c r="G2772" s="225" t="e">
        <f aca="false">VLOOKUP(B2772,'NIVEL ENERO'!A:F,4,0)</f>
        <v>#N/A</v>
      </c>
      <c r="H2772" s="247"/>
      <c r="I2772" s="247"/>
      <c r="J2772" s="246"/>
      <c r="K2772" s="246"/>
      <c r="L2772" s="226"/>
      <c r="M2772" s="226"/>
      <c r="N2772" s="246"/>
      <c r="P2772" s="228"/>
      <c r="Q2772" s="245"/>
      <c r="R2772" s="186" t="str">
        <f aca="false">+PROPER(C2772&amp;" "&amp;D2772)</f>
        <v> </v>
      </c>
      <c r="S2772" s="230" t="n">
        <f aca="false">+YEARFRAC(L2772,$S$1)</f>
        <v>126.366666666667</v>
      </c>
      <c r="T2772" s="230" t="n">
        <f aca="false">+YEARFRAC(M2772,$S$1)</f>
        <v>126.366666666667</v>
      </c>
      <c r="U2772" s="231" t="n">
        <f aca="false">+$I2772</f>
        <v>0</v>
      </c>
      <c r="V2772" s="232" t="str">
        <f aca="false">+PROPER(F2772)</f>
        <v/>
      </c>
    </row>
    <row r="2773" customFormat="false" ht="14.25" hidden="false" customHeight="false" outlineLevel="0" collapsed="false">
      <c r="B2773" s="244"/>
      <c r="C2773" s="245"/>
      <c r="D2773" s="245"/>
      <c r="E2773" s="246"/>
      <c r="F2773" s="246"/>
      <c r="G2773" s="225" t="e">
        <f aca="false">VLOOKUP(B2773,'NIVEL ENERO'!A:F,4,0)</f>
        <v>#N/A</v>
      </c>
      <c r="H2773" s="247"/>
      <c r="I2773" s="247"/>
      <c r="J2773" s="246"/>
      <c r="K2773" s="246"/>
      <c r="L2773" s="226"/>
      <c r="M2773" s="226"/>
      <c r="N2773" s="246"/>
      <c r="P2773" s="228"/>
      <c r="Q2773" s="245"/>
      <c r="R2773" s="186" t="str">
        <f aca="false">+PROPER(C2773&amp;" "&amp;D2773)</f>
        <v> </v>
      </c>
      <c r="S2773" s="230" t="n">
        <f aca="false">+YEARFRAC(L2773,$S$1)</f>
        <v>126.366666666667</v>
      </c>
      <c r="T2773" s="230" t="n">
        <f aca="false">+YEARFRAC(M2773,$S$1)</f>
        <v>126.366666666667</v>
      </c>
      <c r="U2773" s="231" t="n">
        <f aca="false">+$I2773</f>
        <v>0</v>
      </c>
      <c r="V2773" s="232" t="str">
        <f aca="false">+PROPER(F2773)</f>
        <v/>
      </c>
    </row>
    <row r="2774" customFormat="false" ht="14.25" hidden="false" customHeight="false" outlineLevel="0" collapsed="false">
      <c r="B2774" s="244"/>
      <c r="C2774" s="245"/>
      <c r="D2774" s="245"/>
      <c r="E2774" s="246"/>
      <c r="F2774" s="246"/>
      <c r="G2774" s="225" t="e">
        <f aca="false">VLOOKUP(B2774,'NIVEL ENERO'!A:F,4,0)</f>
        <v>#N/A</v>
      </c>
      <c r="H2774" s="247"/>
      <c r="I2774" s="247"/>
      <c r="J2774" s="246"/>
      <c r="K2774" s="246"/>
      <c r="L2774" s="226"/>
      <c r="M2774" s="226"/>
      <c r="N2774" s="246"/>
      <c r="P2774" s="228"/>
      <c r="Q2774" s="245"/>
      <c r="R2774" s="186" t="str">
        <f aca="false">+PROPER(C2774&amp;" "&amp;D2774)</f>
        <v> </v>
      </c>
      <c r="S2774" s="230" t="n">
        <f aca="false">+YEARFRAC(L2774,$S$1)</f>
        <v>126.366666666667</v>
      </c>
      <c r="T2774" s="230" t="n">
        <f aca="false">+YEARFRAC(M2774,$S$1)</f>
        <v>126.366666666667</v>
      </c>
      <c r="U2774" s="231" t="n">
        <f aca="false">+$I2774</f>
        <v>0</v>
      </c>
      <c r="V2774" s="232" t="str">
        <f aca="false">+PROPER(F2774)</f>
        <v/>
      </c>
    </row>
    <row r="2775" customFormat="false" ht="14.25" hidden="false" customHeight="false" outlineLevel="0" collapsed="false">
      <c r="B2775" s="244"/>
      <c r="C2775" s="245"/>
      <c r="D2775" s="245"/>
      <c r="E2775" s="246"/>
      <c r="F2775" s="246"/>
      <c r="G2775" s="225" t="e">
        <f aca="false">VLOOKUP(B2775,'NIVEL ENERO'!A:F,4,0)</f>
        <v>#N/A</v>
      </c>
      <c r="H2775" s="247"/>
      <c r="I2775" s="247"/>
      <c r="J2775" s="246"/>
      <c r="K2775" s="246"/>
      <c r="L2775" s="226"/>
      <c r="M2775" s="226"/>
      <c r="N2775" s="246"/>
      <c r="P2775" s="228"/>
      <c r="Q2775" s="245"/>
      <c r="R2775" s="186" t="str">
        <f aca="false">+PROPER(C2775&amp;" "&amp;D2775)</f>
        <v> </v>
      </c>
      <c r="S2775" s="230" t="n">
        <f aca="false">+YEARFRAC(L2775,$S$1)</f>
        <v>126.366666666667</v>
      </c>
      <c r="T2775" s="230" t="n">
        <f aca="false">+YEARFRAC(M2775,$S$1)</f>
        <v>126.366666666667</v>
      </c>
      <c r="U2775" s="231" t="n">
        <f aca="false">+$I2775</f>
        <v>0</v>
      </c>
      <c r="V2775" s="232" t="str">
        <f aca="false">+PROPER(F2775)</f>
        <v/>
      </c>
    </row>
    <row r="2776" customFormat="false" ht="14.25" hidden="false" customHeight="false" outlineLevel="0" collapsed="false">
      <c r="B2776" s="244"/>
      <c r="C2776" s="245"/>
      <c r="D2776" s="245"/>
      <c r="E2776" s="246"/>
      <c r="F2776" s="246"/>
      <c r="G2776" s="225" t="e">
        <f aca="false">VLOOKUP(B2776,'NIVEL ENERO'!A:F,4,0)</f>
        <v>#N/A</v>
      </c>
      <c r="H2776" s="247"/>
      <c r="I2776" s="247"/>
      <c r="J2776" s="246"/>
      <c r="K2776" s="246"/>
      <c r="L2776" s="226"/>
      <c r="M2776" s="226"/>
      <c r="N2776" s="246"/>
      <c r="P2776" s="228"/>
      <c r="Q2776" s="245"/>
      <c r="R2776" s="186" t="str">
        <f aca="false">+PROPER(C2776&amp;" "&amp;D2776)</f>
        <v> </v>
      </c>
      <c r="S2776" s="230" t="n">
        <f aca="false">+YEARFRAC(L2776,$S$1)</f>
        <v>126.366666666667</v>
      </c>
      <c r="T2776" s="230" t="n">
        <f aca="false">+YEARFRAC(M2776,$S$1)</f>
        <v>126.366666666667</v>
      </c>
      <c r="U2776" s="231" t="n">
        <f aca="false">+$I2776</f>
        <v>0</v>
      </c>
      <c r="V2776" s="232" t="str">
        <f aca="false">+PROPER(F2776)</f>
        <v/>
      </c>
    </row>
    <row r="2777" customFormat="false" ht="14.25" hidden="false" customHeight="false" outlineLevel="0" collapsed="false">
      <c r="B2777" s="244"/>
      <c r="C2777" s="245"/>
      <c r="D2777" s="245"/>
      <c r="E2777" s="246"/>
      <c r="F2777" s="246"/>
      <c r="G2777" s="225" t="e">
        <f aca="false">VLOOKUP(B2777,'NIVEL ENERO'!A:F,4,0)</f>
        <v>#N/A</v>
      </c>
      <c r="H2777" s="247"/>
      <c r="I2777" s="247"/>
      <c r="J2777" s="246"/>
      <c r="K2777" s="246"/>
      <c r="L2777" s="226"/>
      <c r="M2777" s="226"/>
      <c r="N2777" s="246"/>
      <c r="P2777" s="228"/>
      <c r="Q2777" s="245"/>
      <c r="R2777" s="186" t="str">
        <f aca="false">+PROPER(C2777&amp;" "&amp;D2777)</f>
        <v> </v>
      </c>
      <c r="S2777" s="230" t="n">
        <f aca="false">+YEARFRAC(L2777,$S$1)</f>
        <v>126.366666666667</v>
      </c>
      <c r="T2777" s="230" t="n">
        <f aca="false">+YEARFRAC(M2777,$S$1)</f>
        <v>126.366666666667</v>
      </c>
      <c r="U2777" s="231" t="n">
        <f aca="false">+$I2777</f>
        <v>0</v>
      </c>
      <c r="V2777" s="232" t="str">
        <f aca="false">+PROPER(F2777)</f>
        <v/>
      </c>
    </row>
    <row r="2778" customFormat="false" ht="14.25" hidden="false" customHeight="false" outlineLevel="0" collapsed="false">
      <c r="B2778" s="244"/>
      <c r="C2778" s="245"/>
      <c r="D2778" s="245"/>
      <c r="E2778" s="246"/>
      <c r="F2778" s="246"/>
      <c r="G2778" s="225" t="e">
        <f aca="false">VLOOKUP(B2778,'NIVEL ENERO'!A:F,4,0)</f>
        <v>#N/A</v>
      </c>
      <c r="H2778" s="247"/>
      <c r="I2778" s="247"/>
      <c r="J2778" s="246"/>
      <c r="K2778" s="246"/>
      <c r="L2778" s="226"/>
      <c r="M2778" s="226"/>
      <c r="N2778" s="246"/>
      <c r="P2778" s="228"/>
      <c r="Q2778" s="245"/>
      <c r="R2778" s="186" t="str">
        <f aca="false">+PROPER(C2778&amp;" "&amp;D2778)</f>
        <v> </v>
      </c>
      <c r="S2778" s="230" t="n">
        <f aca="false">+YEARFRAC(L2778,$S$1)</f>
        <v>126.366666666667</v>
      </c>
      <c r="T2778" s="230" t="n">
        <f aca="false">+YEARFRAC(M2778,$S$1)</f>
        <v>126.366666666667</v>
      </c>
      <c r="U2778" s="231" t="n">
        <f aca="false">+$I2778</f>
        <v>0</v>
      </c>
      <c r="V2778" s="232" t="str">
        <f aca="false">+PROPER(F2778)</f>
        <v/>
      </c>
    </row>
    <row r="2779" customFormat="false" ht="14.25" hidden="false" customHeight="false" outlineLevel="0" collapsed="false">
      <c r="B2779" s="244"/>
      <c r="C2779" s="245"/>
      <c r="D2779" s="245"/>
      <c r="E2779" s="246"/>
      <c r="F2779" s="246"/>
      <c r="G2779" s="225" t="e">
        <f aca="false">VLOOKUP(B2779,'NIVEL ENERO'!A:F,4,0)</f>
        <v>#N/A</v>
      </c>
      <c r="H2779" s="247"/>
      <c r="I2779" s="247"/>
      <c r="J2779" s="246"/>
      <c r="K2779" s="246"/>
      <c r="L2779" s="226"/>
      <c r="M2779" s="226"/>
      <c r="N2779" s="246"/>
      <c r="P2779" s="228"/>
      <c r="Q2779" s="245"/>
      <c r="R2779" s="186" t="str">
        <f aca="false">+PROPER(C2779&amp;" "&amp;D2779)</f>
        <v> </v>
      </c>
      <c r="S2779" s="230" t="n">
        <f aca="false">+YEARFRAC(L2779,$S$1)</f>
        <v>126.366666666667</v>
      </c>
      <c r="T2779" s="230" t="n">
        <f aca="false">+YEARFRAC(M2779,$S$1)</f>
        <v>126.366666666667</v>
      </c>
      <c r="U2779" s="231" t="n">
        <f aca="false">+$I2779</f>
        <v>0</v>
      </c>
      <c r="V2779" s="232" t="str">
        <f aca="false">+PROPER(F2779)</f>
        <v/>
      </c>
    </row>
    <row r="2780" customFormat="false" ht="14.25" hidden="false" customHeight="false" outlineLevel="0" collapsed="false">
      <c r="B2780" s="244"/>
      <c r="C2780" s="245"/>
      <c r="D2780" s="245"/>
      <c r="E2780" s="246"/>
      <c r="F2780" s="246"/>
      <c r="G2780" s="225" t="e">
        <f aca="false">VLOOKUP(B2780,'NIVEL ENERO'!A:F,4,0)</f>
        <v>#N/A</v>
      </c>
      <c r="H2780" s="247"/>
      <c r="I2780" s="247"/>
      <c r="J2780" s="246"/>
      <c r="K2780" s="246"/>
      <c r="L2780" s="226"/>
      <c r="M2780" s="226"/>
      <c r="N2780" s="246"/>
      <c r="P2780" s="228"/>
      <c r="Q2780" s="245"/>
      <c r="R2780" s="186" t="str">
        <f aca="false">+PROPER(C2780&amp;" "&amp;D2780)</f>
        <v> </v>
      </c>
      <c r="S2780" s="230" t="n">
        <f aca="false">+YEARFRAC(L2780,$S$1)</f>
        <v>126.366666666667</v>
      </c>
      <c r="T2780" s="230" t="n">
        <f aca="false">+YEARFRAC(M2780,$S$1)</f>
        <v>126.366666666667</v>
      </c>
      <c r="U2780" s="231" t="n">
        <f aca="false">+$I2780</f>
        <v>0</v>
      </c>
      <c r="V2780" s="232" t="str">
        <f aca="false">+PROPER(F2780)</f>
        <v/>
      </c>
    </row>
    <row r="2781" customFormat="false" ht="14.25" hidden="false" customHeight="false" outlineLevel="0" collapsed="false">
      <c r="B2781" s="244"/>
      <c r="C2781" s="245"/>
      <c r="D2781" s="245"/>
      <c r="E2781" s="246"/>
      <c r="F2781" s="246"/>
      <c r="G2781" s="225" t="e">
        <f aca="false">VLOOKUP(B2781,'NIVEL ENERO'!A:F,4,0)</f>
        <v>#N/A</v>
      </c>
      <c r="H2781" s="247"/>
      <c r="I2781" s="247"/>
      <c r="J2781" s="246"/>
      <c r="K2781" s="246"/>
      <c r="L2781" s="226"/>
      <c r="M2781" s="226"/>
      <c r="N2781" s="246"/>
      <c r="P2781" s="228"/>
      <c r="Q2781" s="245"/>
      <c r="R2781" s="186" t="str">
        <f aca="false">+PROPER(C2781&amp;" "&amp;D2781)</f>
        <v> </v>
      </c>
      <c r="S2781" s="230" t="n">
        <f aca="false">+YEARFRAC(L2781,$S$1)</f>
        <v>126.366666666667</v>
      </c>
      <c r="T2781" s="230" t="n">
        <f aca="false">+YEARFRAC(M2781,$S$1)</f>
        <v>126.366666666667</v>
      </c>
      <c r="U2781" s="231" t="n">
        <f aca="false">+$I2781</f>
        <v>0</v>
      </c>
      <c r="V2781" s="232" t="str">
        <f aca="false">+PROPER(F2781)</f>
        <v/>
      </c>
    </row>
    <row r="2782" customFormat="false" ht="14.25" hidden="false" customHeight="false" outlineLevel="0" collapsed="false">
      <c r="B2782" s="244"/>
      <c r="C2782" s="245"/>
      <c r="D2782" s="245"/>
      <c r="E2782" s="246"/>
      <c r="F2782" s="246"/>
      <c r="G2782" s="225" t="e">
        <f aca="false">VLOOKUP(B2782,'NIVEL ENERO'!A:F,4,0)</f>
        <v>#N/A</v>
      </c>
      <c r="H2782" s="247"/>
      <c r="I2782" s="247"/>
      <c r="J2782" s="246"/>
      <c r="K2782" s="246"/>
      <c r="L2782" s="226"/>
      <c r="M2782" s="226"/>
      <c r="N2782" s="246"/>
      <c r="P2782" s="228"/>
      <c r="Q2782" s="245"/>
      <c r="R2782" s="186" t="str">
        <f aca="false">+PROPER(C2782&amp;" "&amp;D2782)</f>
        <v> </v>
      </c>
      <c r="S2782" s="230" t="n">
        <f aca="false">+YEARFRAC(L2782,$S$1)</f>
        <v>126.366666666667</v>
      </c>
      <c r="T2782" s="230" t="n">
        <f aca="false">+YEARFRAC(M2782,$S$1)</f>
        <v>126.366666666667</v>
      </c>
      <c r="U2782" s="231" t="n">
        <f aca="false">+$I2782</f>
        <v>0</v>
      </c>
      <c r="V2782" s="232" t="str">
        <f aca="false">+PROPER(F2782)</f>
        <v/>
      </c>
    </row>
    <row r="2783" customFormat="false" ht="14.25" hidden="false" customHeight="false" outlineLevel="0" collapsed="false">
      <c r="B2783" s="244"/>
      <c r="C2783" s="245"/>
      <c r="D2783" s="245"/>
      <c r="E2783" s="246"/>
      <c r="F2783" s="246"/>
      <c r="G2783" s="225" t="e">
        <f aca="false">VLOOKUP(B2783,'NIVEL ENERO'!A:F,4,0)</f>
        <v>#N/A</v>
      </c>
      <c r="H2783" s="247"/>
      <c r="I2783" s="247"/>
      <c r="J2783" s="246"/>
      <c r="K2783" s="246"/>
      <c r="L2783" s="226"/>
      <c r="M2783" s="226"/>
      <c r="N2783" s="246"/>
      <c r="P2783" s="228"/>
      <c r="Q2783" s="245"/>
      <c r="R2783" s="186" t="str">
        <f aca="false">+PROPER(C2783&amp;" "&amp;D2783)</f>
        <v> </v>
      </c>
      <c r="S2783" s="230" t="n">
        <f aca="false">+YEARFRAC(L2783,$S$1)</f>
        <v>126.366666666667</v>
      </c>
      <c r="T2783" s="230" t="n">
        <f aca="false">+YEARFRAC(M2783,$S$1)</f>
        <v>126.366666666667</v>
      </c>
      <c r="U2783" s="231" t="n">
        <f aca="false">+$I2783</f>
        <v>0</v>
      </c>
      <c r="V2783" s="232" t="str">
        <f aca="false">+PROPER(F2783)</f>
        <v/>
      </c>
    </row>
    <row r="2784" customFormat="false" ht="14.25" hidden="false" customHeight="false" outlineLevel="0" collapsed="false">
      <c r="B2784" s="244"/>
      <c r="C2784" s="245"/>
      <c r="D2784" s="245"/>
      <c r="E2784" s="246"/>
      <c r="F2784" s="246"/>
      <c r="G2784" s="225" t="e">
        <f aca="false">VLOOKUP(B2784,'NIVEL ENERO'!A:F,4,0)</f>
        <v>#N/A</v>
      </c>
      <c r="H2784" s="247"/>
      <c r="I2784" s="247"/>
      <c r="J2784" s="246"/>
      <c r="K2784" s="246"/>
      <c r="L2784" s="226"/>
      <c r="M2784" s="226"/>
      <c r="N2784" s="246"/>
      <c r="P2784" s="228"/>
      <c r="Q2784" s="245"/>
      <c r="R2784" s="186" t="str">
        <f aca="false">+PROPER(C2784&amp;" "&amp;D2784)</f>
        <v> </v>
      </c>
      <c r="S2784" s="230" t="n">
        <f aca="false">+YEARFRAC(L2784,$S$1)</f>
        <v>126.366666666667</v>
      </c>
      <c r="T2784" s="230" t="n">
        <f aca="false">+YEARFRAC(M2784,$S$1)</f>
        <v>126.366666666667</v>
      </c>
      <c r="U2784" s="231" t="n">
        <f aca="false">+$I2784</f>
        <v>0</v>
      </c>
      <c r="V2784" s="232" t="str">
        <f aca="false">+PROPER(F2784)</f>
        <v/>
      </c>
    </row>
    <row r="2785" customFormat="false" ht="14.25" hidden="false" customHeight="false" outlineLevel="0" collapsed="false">
      <c r="B2785" s="244"/>
      <c r="C2785" s="245"/>
      <c r="D2785" s="245"/>
      <c r="E2785" s="246"/>
      <c r="F2785" s="246"/>
      <c r="G2785" s="225" t="e">
        <f aca="false">VLOOKUP(B2785,'NIVEL ENERO'!A:F,4,0)</f>
        <v>#N/A</v>
      </c>
      <c r="H2785" s="247"/>
      <c r="I2785" s="247"/>
      <c r="J2785" s="246"/>
      <c r="K2785" s="246"/>
      <c r="L2785" s="226"/>
      <c r="M2785" s="226"/>
      <c r="N2785" s="246"/>
      <c r="P2785" s="228"/>
      <c r="Q2785" s="245"/>
      <c r="R2785" s="186" t="str">
        <f aca="false">+PROPER(C2785&amp;" "&amp;D2785)</f>
        <v> </v>
      </c>
      <c r="S2785" s="230" t="n">
        <f aca="false">+YEARFRAC(L2785,$S$1)</f>
        <v>126.366666666667</v>
      </c>
      <c r="T2785" s="230" t="n">
        <f aca="false">+YEARFRAC(M2785,$S$1)</f>
        <v>126.366666666667</v>
      </c>
      <c r="U2785" s="231" t="n">
        <f aca="false">+$I2785</f>
        <v>0</v>
      </c>
      <c r="V2785" s="232" t="str">
        <f aca="false">+PROPER(F2785)</f>
        <v/>
      </c>
    </row>
    <row r="2786" customFormat="false" ht="14.25" hidden="false" customHeight="false" outlineLevel="0" collapsed="false">
      <c r="B2786" s="244"/>
      <c r="C2786" s="245"/>
      <c r="D2786" s="245"/>
      <c r="E2786" s="246"/>
      <c r="F2786" s="246"/>
      <c r="G2786" s="225" t="e">
        <f aca="false">VLOOKUP(B2786,'NIVEL ENERO'!A:F,4,0)</f>
        <v>#N/A</v>
      </c>
      <c r="H2786" s="247"/>
      <c r="I2786" s="247"/>
      <c r="J2786" s="246"/>
      <c r="K2786" s="246"/>
      <c r="L2786" s="226"/>
      <c r="M2786" s="226"/>
      <c r="N2786" s="246"/>
      <c r="P2786" s="228"/>
      <c r="Q2786" s="245"/>
      <c r="R2786" s="186" t="str">
        <f aca="false">+PROPER(C2786&amp;" "&amp;D2786)</f>
        <v> </v>
      </c>
      <c r="S2786" s="230" t="n">
        <f aca="false">+YEARFRAC(L2786,$S$1)</f>
        <v>126.366666666667</v>
      </c>
      <c r="T2786" s="230" t="n">
        <f aca="false">+YEARFRAC(M2786,$S$1)</f>
        <v>126.366666666667</v>
      </c>
      <c r="U2786" s="231" t="n">
        <f aca="false">+$I2786</f>
        <v>0</v>
      </c>
      <c r="V2786" s="232" t="str">
        <f aca="false">+PROPER(F2786)</f>
        <v/>
      </c>
    </row>
    <row r="2787" customFormat="false" ht="14.25" hidden="false" customHeight="false" outlineLevel="0" collapsed="false">
      <c r="B2787" s="244"/>
      <c r="C2787" s="245"/>
      <c r="D2787" s="245"/>
      <c r="E2787" s="246"/>
      <c r="F2787" s="246"/>
      <c r="G2787" s="225" t="e">
        <f aca="false">VLOOKUP(B2787,'NIVEL ENERO'!A:F,4,0)</f>
        <v>#N/A</v>
      </c>
      <c r="H2787" s="247"/>
      <c r="I2787" s="247"/>
      <c r="J2787" s="246"/>
      <c r="K2787" s="246"/>
      <c r="L2787" s="226"/>
      <c r="M2787" s="226"/>
      <c r="N2787" s="246"/>
      <c r="P2787" s="228"/>
      <c r="Q2787" s="245"/>
      <c r="R2787" s="186" t="str">
        <f aca="false">+PROPER(C2787&amp;" "&amp;D2787)</f>
        <v> </v>
      </c>
      <c r="S2787" s="230" t="n">
        <f aca="false">+YEARFRAC(L2787,$S$1)</f>
        <v>126.366666666667</v>
      </c>
      <c r="T2787" s="230" t="n">
        <f aca="false">+YEARFRAC(M2787,$S$1)</f>
        <v>126.366666666667</v>
      </c>
      <c r="U2787" s="231" t="n">
        <f aca="false">+$I2787</f>
        <v>0</v>
      </c>
      <c r="V2787" s="232" t="str">
        <f aca="false">+PROPER(F2787)</f>
        <v/>
      </c>
    </row>
    <row r="2788" customFormat="false" ht="14.25" hidden="false" customHeight="false" outlineLevel="0" collapsed="false">
      <c r="B2788" s="244"/>
      <c r="C2788" s="245"/>
      <c r="D2788" s="245"/>
      <c r="E2788" s="246"/>
      <c r="F2788" s="246"/>
      <c r="G2788" s="225" t="e">
        <f aca="false">VLOOKUP(B2788,'NIVEL ENERO'!A:F,4,0)</f>
        <v>#N/A</v>
      </c>
      <c r="H2788" s="247"/>
      <c r="I2788" s="247"/>
      <c r="J2788" s="246"/>
      <c r="K2788" s="246"/>
      <c r="L2788" s="226"/>
      <c r="M2788" s="226"/>
      <c r="N2788" s="246"/>
      <c r="P2788" s="228"/>
      <c r="Q2788" s="245"/>
      <c r="R2788" s="186" t="str">
        <f aca="false">+PROPER(C2788&amp;" "&amp;D2788)</f>
        <v> </v>
      </c>
      <c r="S2788" s="230" t="n">
        <f aca="false">+YEARFRAC(L2788,$S$1)</f>
        <v>126.366666666667</v>
      </c>
      <c r="T2788" s="230" t="n">
        <f aca="false">+YEARFRAC(M2788,$S$1)</f>
        <v>126.366666666667</v>
      </c>
      <c r="U2788" s="231" t="n">
        <f aca="false">+$I2788</f>
        <v>0</v>
      </c>
      <c r="V2788" s="232" t="str">
        <f aca="false">+PROPER(F2788)</f>
        <v/>
      </c>
    </row>
    <row r="2789" customFormat="false" ht="14.25" hidden="false" customHeight="false" outlineLevel="0" collapsed="false">
      <c r="B2789" s="244"/>
      <c r="C2789" s="245"/>
      <c r="D2789" s="245"/>
      <c r="E2789" s="246"/>
      <c r="F2789" s="246"/>
      <c r="G2789" s="225" t="e">
        <f aca="false">VLOOKUP(B2789,'NIVEL ENERO'!A:F,4,0)</f>
        <v>#N/A</v>
      </c>
      <c r="H2789" s="247"/>
      <c r="I2789" s="247"/>
      <c r="J2789" s="246"/>
      <c r="K2789" s="246"/>
      <c r="L2789" s="226"/>
      <c r="M2789" s="226"/>
      <c r="N2789" s="246"/>
      <c r="P2789" s="228"/>
      <c r="Q2789" s="245"/>
      <c r="R2789" s="186" t="str">
        <f aca="false">+PROPER(C2789&amp;" "&amp;D2789)</f>
        <v> </v>
      </c>
      <c r="S2789" s="230" t="n">
        <f aca="false">+YEARFRAC(L2789,$S$1)</f>
        <v>126.366666666667</v>
      </c>
      <c r="T2789" s="230" t="n">
        <f aca="false">+YEARFRAC(M2789,$S$1)</f>
        <v>126.366666666667</v>
      </c>
      <c r="U2789" s="231" t="n">
        <f aca="false">+$I2789</f>
        <v>0</v>
      </c>
      <c r="V2789" s="232" t="str">
        <f aca="false">+PROPER(F2789)</f>
        <v/>
      </c>
    </row>
    <row r="2790" customFormat="false" ht="14.25" hidden="false" customHeight="false" outlineLevel="0" collapsed="false">
      <c r="B2790" s="244"/>
      <c r="C2790" s="245"/>
      <c r="D2790" s="245"/>
      <c r="E2790" s="246"/>
      <c r="F2790" s="246"/>
      <c r="G2790" s="225" t="e">
        <f aca="false">VLOOKUP(B2790,'NIVEL ENERO'!A:F,4,0)</f>
        <v>#N/A</v>
      </c>
      <c r="H2790" s="247"/>
      <c r="I2790" s="247"/>
      <c r="J2790" s="246"/>
      <c r="K2790" s="246"/>
      <c r="L2790" s="226"/>
      <c r="M2790" s="226"/>
      <c r="N2790" s="246"/>
      <c r="P2790" s="228"/>
      <c r="Q2790" s="245"/>
      <c r="R2790" s="186" t="str">
        <f aca="false">+PROPER(C2790&amp;" "&amp;D2790)</f>
        <v> </v>
      </c>
      <c r="S2790" s="230" t="n">
        <f aca="false">+YEARFRAC(L2790,$S$1)</f>
        <v>126.366666666667</v>
      </c>
      <c r="T2790" s="230" t="n">
        <f aca="false">+YEARFRAC(M2790,$S$1)</f>
        <v>126.366666666667</v>
      </c>
      <c r="U2790" s="231" t="n">
        <f aca="false">+$I2790</f>
        <v>0</v>
      </c>
      <c r="V2790" s="232" t="str">
        <f aca="false">+PROPER(F2790)</f>
        <v/>
      </c>
    </row>
    <row r="2791" customFormat="false" ht="14.25" hidden="false" customHeight="false" outlineLevel="0" collapsed="false">
      <c r="B2791" s="244"/>
      <c r="C2791" s="245"/>
      <c r="D2791" s="245"/>
      <c r="E2791" s="246"/>
      <c r="F2791" s="246"/>
      <c r="G2791" s="225" t="e">
        <f aca="false">VLOOKUP(B2791,'NIVEL ENERO'!A:F,4,0)</f>
        <v>#N/A</v>
      </c>
      <c r="H2791" s="247"/>
      <c r="I2791" s="247"/>
      <c r="J2791" s="246"/>
      <c r="K2791" s="246"/>
      <c r="L2791" s="226"/>
      <c r="M2791" s="226"/>
      <c r="N2791" s="246"/>
      <c r="P2791" s="228"/>
      <c r="Q2791" s="245"/>
      <c r="R2791" s="186" t="str">
        <f aca="false">+PROPER(C2791&amp;" "&amp;D2791)</f>
        <v> </v>
      </c>
      <c r="S2791" s="230" t="n">
        <f aca="false">+YEARFRAC(L2791,$S$1)</f>
        <v>126.366666666667</v>
      </c>
      <c r="T2791" s="230" t="n">
        <f aca="false">+YEARFRAC(M2791,$S$1)</f>
        <v>126.366666666667</v>
      </c>
      <c r="U2791" s="231" t="n">
        <f aca="false">+$I2791</f>
        <v>0</v>
      </c>
      <c r="V2791" s="232" t="str">
        <f aca="false">+PROPER(F2791)</f>
        <v/>
      </c>
    </row>
    <row r="2792" customFormat="false" ht="14.25" hidden="false" customHeight="false" outlineLevel="0" collapsed="false">
      <c r="B2792" s="244"/>
      <c r="C2792" s="245"/>
      <c r="D2792" s="245"/>
      <c r="E2792" s="246"/>
      <c r="F2792" s="246"/>
      <c r="G2792" s="225" t="e">
        <f aca="false">VLOOKUP(B2792,'NIVEL ENERO'!A:F,4,0)</f>
        <v>#N/A</v>
      </c>
      <c r="H2792" s="247"/>
      <c r="I2792" s="247"/>
      <c r="J2792" s="246"/>
      <c r="K2792" s="246"/>
      <c r="L2792" s="226"/>
      <c r="M2792" s="226"/>
      <c r="N2792" s="246"/>
      <c r="P2792" s="228"/>
      <c r="Q2792" s="245"/>
      <c r="R2792" s="186" t="str">
        <f aca="false">+PROPER(C2792&amp;" "&amp;D2792)</f>
        <v> </v>
      </c>
      <c r="S2792" s="230" t="n">
        <f aca="false">+YEARFRAC(L2792,$S$1)</f>
        <v>126.366666666667</v>
      </c>
      <c r="T2792" s="230" t="n">
        <f aca="false">+YEARFRAC(M2792,$S$1)</f>
        <v>126.366666666667</v>
      </c>
      <c r="U2792" s="231" t="n">
        <f aca="false">+$I2792</f>
        <v>0</v>
      </c>
      <c r="V2792" s="232" t="str">
        <f aca="false">+PROPER(F2792)</f>
        <v/>
      </c>
    </row>
    <row r="2793" customFormat="false" ht="14.25" hidden="false" customHeight="false" outlineLevel="0" collapsed="false">
      <c r="B2793" s="244"/>
      <c r="C2793" s="245"/>
      <c r="D2793" s="245"/>
      <c r="E2793" s="246"/>
      <c r="F2793" s="246"/>
      <c r="G2793" s="225" t="e">
        <f aca="false">VLOOKUP(B2793,'NIVEL ENERO'!A:F,4,0)</f>
        <v>#N/A</v>
      </c>
      <c r="H2793" s="247"/>
      <c r="I2793" s="247"/>
      <c r="J2793" s="246"/>
      <c r="K2793" s="246"/>
      <c r="L2793" s="226"/>
      <c r="M2793" s="226"/>
      <c r="N2793" s="246"/>
      <c r="P2793" s="228"/>
      <c r="Q2793" s="245"/>
      <c r="R2793" s="186" t="str">
        <f aca="false">+PROPER(C2793&amp;" "&amp;D2793)</f>
        <v> </v>
      </c>
      <c r="S2793" s="230" t="n">
        <f aca="false">+YEARFRAC(L2793,$S$1)</f>
        <v>126.366666666667</v>
      </c>
      <c r="T2793" s="230" t="n">
        <f aca="false">+YEARFRAC(M2793,$S$1)</f>
        <v>126.366666666667</v>
      </c>
      <c r="U2793" s="231" t="n">
        <f aca="false">+$I2793</f>
        <v>0</v>
      </c>
      <c r="V2793" s="232" t="str">
        <f aca="false">+PROPER(F2793)</f>
        <v/>
      </c>
    </row>
    <row r="2794" customFormat="false" ht="14.25" hidden="false" customHeight="false" outlineLevel="0" collapsed="false">
      <c r="B2794" s="244"/>
      <c r="C2794" s="245"/>
      <c r="D2794" s="245"/>
      <c r="E2794" s="246"/>
      <c r="F2794" s="246"/>
      <c r="G2794" s="225" t="e">
        <f aca="false">VLOOKUP(B2794,'NIVEL ENERO'!A:F,4,0)</f>
        <v>#N/A</v>
      </c>
      <c r="H2794" s="247"/>
      <c r="I2794" s="247"/>
      <c r="J2794" s="246"/>
      <c r="K2794" s="246"/>
      <c r="L2794" s="226"/>
      <c r="M2794" s="226"/>
      <c r="N2794" s="246"/>
      <c r="P2794" s="228"/>
      <c r="Q2794" s="245"/>
      <c r="R2794" s="186" t="str">
        <f aca="false">+PROPER(C2794&amp;" "&amp;D2794)</f>
        <v> </v>
      </c>
      <c r="S2794" s="230" t="n">
        <f aca="false">+YEARFRAC(L2794,$S$1)</f>
        <v>126.366666666667</v>
      </c>
      <c r="T2794" s="230" t="n">
        <f aca="false">+YEARFRAC(M2794,$S$1)</f>
        <v>126.366666666667</v>
      </c>
      <c r="U2794" s="231" t="n">
        <f aca="false">+$I2794</f>
        <v>0</v>
      </c>
      <c r="V2794" s="232" t="str">
        <f aca="false">+PROPER(F2794)</f>
        <v/>
      </c>
    </row>
    <row r="2795" customFormat="false" ht="14.25" hidden="false" customHeight="false" outlineLevel="0" collapsed="false">
      <c r="B2795" s="244"/>
      <c r="C2795" s="245"/>
      <c r="D2795" s="245"/>
      <c r="E2795" s="246"/>
      <c r="F2795" s="246"/>
      <c r="G2795" s="225" t="e">
        <f aca="false">VLOOKUP(B2795,'NIVEL ENERO'!A:F,4,0)</f>
        <v>#N/A</v>
      </c>
      <c r="H2795" s="247"/>
      <c r="I2795" s="247"/>
      <c r="J2795" s="246"/>
      <c r="K2795" s="246"/>
      <c r="L2795" s="226"/>
      <c r="M2795" s="226"/>
      <c r="N2795" s="246"/>
      <c r="P2795" s="228"/>
      <c r="Q2795" s="245"/>
      <c r="R2795" s="186" t="str">
        <f aca="false">+PROPER(C2795&amp;" "&amp;D2795)</f>
        <v> </v>
      </c>
      <c r="S2795" s="230" t="n">
        <f aca="false">+YEARFRAC(L2795,$S$1)</f>
        <v>126.366666666667</v>
      </c>
      <c r="T2795" s="230" t="n">
        <f aca="false">+YEARFRAC(M2795,$S$1)</f>
        <v>126.366666666667</v>
      </c>
      <c r="U2795" s="231" t="n">
        <f aca="false">+$I2795</f>
        <v>0</v>
      </c>
      <c r="V2795" s="232" t="str">
        <f aca="false">+PROPER(F2795)</f>
        <v/>
      </c>
    </row>
    <row r="2796" customFormat="false" ht="14.25" hidden="false" customHeight="false" outlineLevel="0" collapsed="false">
      <c r="B2796" s="244"/>
      <c r="C2796" s="245"/>
      <c r="D2796" s="245"/>
      <c r="E2796" s="246"/>
      <c r="F2796" s="246"/>
      <c r="G2796" s="225" t="e">
        <f aca="false">VLOOKUP(B2796,'NIVEL ENERO'!A:F,4,0)</f>
        <v>#N/A</v>
      </c>
      <c r="H2796" s="247"/>
      <c r="I2796" s="247"/>
      <c r="J2796" s="246"/>
      <c r="K2796" s="246"/>
      <c r="L2796" s="226"/>
      <c r="M2796" s="226"/>
      <c r="N2796" s="246"/>
      <c r="P2796" s="228"/>
      <c r="Q2796" s="245"/>
      <c r="R2796" s="186" t="str">
        <f aca="false">+PROPER(C2796&amp;" "&amp;D2796)</f>
        <v> </v>
      </c>
      <c r="S2796" s="230" t="n">
        <f aca="false">+YEARFRAC(L2796,$S$1)</f>
        <v>126.366666666667</v>
      </c>
      <c r="T2796" s="230" t="n">
        <f aca="false">+YEARFRAC(M2796,$S$1)</f>
        <v>126.366666666667</v>
      </c>
      <c r="U2796" s="231" t="n">
        <f aca="false">+$I2796</f>
        <v>0</v>
      </c>
      <c r="V2796" s="232" t="str">
        <f aca="false">+PROPER(F2796)</f>
        <v/>
      </c>
    </row>
    <row r="2797" customFormat="false" ht="14.25" hidden="false" customHeight="false" outlineLevel="0" collapsed="false">
      <c r="B2797" s="244"/>
      <c r="C2797" s="245"/>
      <c r="D2797" s="245"/>
      <c r="E2797" s="246"/>
      <c r="F2797" s="246"/>
      <c r="G2797" s="225" t="e">
        <f aca="false">VLOOKUP(B2797,'NIVEL ENERO'!A:F,4,0)</f>
        <v>#N/A</v>
      </c>
      <c r="H2797" s="247"/>
      <c r="I2797" s="247"/>
      <c r="J2797" s="246"/>
      <c r="K2797" s="246"/>
      <c r="L2797" s="226"/>
      <c r="M2797" s="226"/>
      <c r="N2797" s="246"/>
      <c r="P2797" s="228"/>
      <c r="Q2797" s="245"/>
      <c r="R2797" s="186" t="str">
        <f aca="false">+PROPER(C2797&amp;" "&amp;D2797)</f>
        <v> </v>
      </c>
      <c r="S2797" s="230" t="n">
        <f aca="false">+YEARFRAC(L2797,$S$1)</f>
        <v>126.366666666667</v>
      </c>
      <c r="T2797" s="230" t="n">
        <f aca="false">+YEARFRAC(M2797,$S$1)</f>
        <v>126.366666666667</v>
      </c>
      <c r="U2797" s="231" t="n">
        <f aca="false">+$I2797</f>
        <v>0</v>
      </c>
      <c r="V2797" s="232" t="str">
        <f aca="false">+PROPER(F2797)</f>
        <v/>
      </c>
    </row>
    <row r="2798" customFormat="false" ht="14.25" hidden="false" customHeight="false" outlineLevel="0" collapsed="false">
      <c r="B2798" s="244"/>
      <c r="C2798" s="245"/>
      <c r="D2798" s="245"/>
      <c r="E2798" s="246"/>
      <c r="F2798" s="246"/>
      <c r="G2798" s="225" t="e">
        <f aca="false">VLOOKUP(B2798,'NIVEL ENERO'!A:F,4,0)</f>
        <v>#N/A</v>
      </c>
      <c r="H2798" s="247"/>
      <c r="I2798" s="247"/>
      <c r="J2798" s="246"/>
      <c r="K2798" s="246"/>
      <c r="L2798" s="226"/>
      <c r="M2798" s="226"/>
      <c r="N2798" s="246"/>
      <c r="P2798" s="228"/>
      <c r="Q2798" s="245"/>
      <c r="R2798" s="186" t="str">
        <f aca="false">+PROPER(C2798&amp;" "&amp;D2798)</f>
        <v> </v>
      </c>
      <c r="S2798" s="230" t="n">
        <f aca="false">+YEARFRAC(L2798,$S$1)</f>
        <v>126.366666666667</v>
      </c>
      <c r="T2798" s="230" t="n">
        <f aca="false">+YEARFRAC(M2798,$S$1)</f>
        <v>126.366666666667</v>
      </c>
      <c r="U2798" s="231" t="n">
        <f aca="false">+$I2798</f>
        <v>0</v>
      </c>
      <c r="V2798" s="232" t="str">
        <f aca="false">+PROPER(F2798)</f>
        <v/>
      </c>
    </row>
    <row r="2799" customFormat="false" ht="14.25" hidden="false" customHeight="false" outlineLevel="0" collapsed="false">
      <c r="B2799" s="244"/>
      <c r="C2799" s="245"/>
      <c r="D2799" s="245"/>
      <c r="E2799" s="246"/>
      <c r="F2799" s="246"/>
      <c r="G2799" s="225" t="e">
        <f aca="false">VLOOKUP(B2799,'NIVEL ENERO'!A:F,4,0)</f>
        <v>#N/A</v>
      </c>
      <c r="H2799" s="247"/>
      <c r="I2799" s="247"/>
      <c r="J2799" s="246"/>
      <c r="K2799" s="246"/>
      <c r="L2799" s="226"/>
      <c r="M2799" s="226"/>
      <c r="N2799" s="246"/>
      <c r="P2799" s="228"/>
      <c r="Q2799" s="245"/>
      <c r="R2799" s="186" t="str">
        <f aca="false">+PROPER(C2799&amp;" "&amp;D2799)</f>
        <v> </v>
      </c>
      <c r="S2799" s="230" t="n">
        <f aca="false">+YEARFRAC(L2799,$S$1)</f>
        <v>126.366666666667</v>
      </c>
      <c r="T2799" s="230" t="n">
        <f aca="false">+YEARFRAC(M2799,$S$1)</f>
        <v>126.366666666667</v>
      </c>
      <c r="U2799" s="231" t="n">
        <f aca="false">+$I2799</f>
        <v>0</v>
      </c>
      <c r="V2799" s="232" t="str">
        <f aca="false">+PROPER(F2799)</f>
        <v/>
      </c>
    </row>
    <row r="2800" customFormat="false" ht="14.25" hidden="false" customHeight="false" outlineLevel="0" collapsed="false">
      <c r="B2800" s="244"/>
      <c r="C2800" s="245"/>
      <c r="D2800" s="245"/>
      <c r="E2800" s="246"/>
      <c r="F2800" s="246"/>
      <c r="G2800" s="225" t="e">
        <f aca="false">VLOOKUP(B2800,'NIVEL ENERO'!A:F,4,0)</f>
        <v>#N/A</v>
      </c>
      <c r="H2800" s="247"/>
      <c r="I2800" s="247"/>
      <c r="J2800" s="246"/>
      <c r="K2800" s="246"/>
      <c r="L2800" s="226"/>
      <c r="M2800" s="226"/>
      <c r="N2800" s="246"/>
      <c r="P2800" s="228"/>
      <c r="Q2800" s="245"/>
      <c r="R2800" s="186" t="str">
        <f aca="false">+PROPER(C2800&amp;" "&amp;D2800)</f>
        <v> </v>
      </c>
      <c r="S2800" s="230" t="n">
        <f aca="false">+YEARFRAC(L2800,$S$1)</f>
        <v>126.366666666667</v>
      </c>
      <c r="T2800" s="230" t="n">
        <f aca="false">+YEARFRAC(M2800,$S$1)</f>
        <v>126.366666666667</v>
      </c>
      <c r="U2800" s="231" t="n">
        <f aca="false">+$I2800</f>
        <v>0</v>
      </c>
      <c r="V2800" s="232" t="str">
        <f aca="false">+PROPER(F2800)</f>
        <v/>
      </c>
    </row>
    <row r="2801" customFormat="false" ht="14.25" hidden="false" customHeight="false" outlineLevel="0" collapsed="false">
      <c r="B2801" s="244"/>
      <c r="C2801" s="245"/>
      <c r="D2801" s="245"/>
      <c r="E2801" s="246"/>
      <c r="F2801" s="246"/>
      <c r="G2801" s="225" t="e">
        <f aca="false">VLOOKUP(B2801,'NIVEL ENERO'!A:F,4,0)</f>
        <v>#N/A</v>
      </c>
      <c r="H2801" s="247"/>
      <c r="I2801" s="247"/>
      <c r="J2801" s="246"/>
      <c r="K2801" s="246"/>
      <c r="L2801" s="226"/>
      <c r="M2801" s="226"/>
      <c r="N2801" s="246"/>
      <c r="P2801" s="228"/>
      <c r="Q2801" s="245"/>
      <c r="R2801" s="186" t="str">
        <f aca="false">+PROPER(C2801&amp;" "&amp;D2801)</f>
        <v> </v>
      </c>
      <c r="S2801" s="230" t="n">
        <f aca="false">+YEARFRAC(L2801,$S$1)</f>
        <v>126.366666666667</v>
      </c>
      <c r="T2801" s="230" t="n">
        <f aca="false">+YEARFRAC(M2801,$S$1)</f>
        <v>126.366666666667</v>
      </c>
      <c r="U2801" s="231" t="n">
        <f aca="false">+$I2801</f>
        <v>0</v>
      </c>
      <c r="V2801" s="232" t="str">
        <f aca="false">+PROPER(F2801)</f>
        <v/>
      </c>
    </row>
    <row r="2802" customFormat="false" ht="14.25" hidden="false" customHeight="false" outlineLevel="0" collapsed="false">
      <c r="B2802" s="244"/>
      <c r="C2802" s="245"/>
      <c r="D2802" s="245"/>
      <c r="E2802" s="246"/>
      <c r="F2802" s="246"/>
      <c r="G2802" s="225" t="e">
        <f aca="false">VLOOKUP(B2802,'NIVEL ENERO'!A:F,4,0)</f>
        <v>#N/A</v>
      </c>
      <c r="H2802" s="247"/>
      <c r="I2802" s="247"/>
      <c r="J2802" s="246"/>
      <c r="K2802" s="246"/>
      <c r="L2802" s="226"/>
      <c r="M2802" s="226"/>
      <c r="N2802" s="246"/>
      <c r="P2802" s="228"/>
      <c r="Q2802" s="245"/>
      <c r="R2802" s="186" t="str">
        <f aca="false">+PROPER(C2802&amp;" "&amp;D2802)</f>
        <v> </v>
      </c>
      <c r="S2802" s="230" t="n">
        <f aca="false">+YEARFRAC(L2802,$S$1)</f>
        <v>126.366666666667</v>
      </c>
      <c r="T2802" s="230" t="n">
        <f aca="false">+YEARFRAC(M2802,$S$1)</f>
        <v>126.366666666667</v>
      </c>
      <c r="U2802" s="231" t="n">
        <f aca="false">+$I2802</f>
        <v>0</v>
      </c>
      <c r="V2802" s="232" t="str">
        <f aca="false">+PROPER(F2802)</f>
        <v/>
      </c>
    </row>
    <row r="2803" customFormat="false" ht="14.25" hidden="false" customHeight="false" outlineLevel="0" collapsed="false">
      <c r="B2803" s="244"/>
      <c r="C2803" s="245"/>
      <c r="D2803" s="245"/>
      <c r="E2803" s="246"/>
      <c r="F2803" s="246"/>
      <c r="G2803" s="225" t="e">
        <f aca="false">VLOOKUP(B2803,'NIVEL ENERO'!A:F,4,0)</f>
        <v>#N/A</v>
      </c>
      <c r="H2803" s="247"/>
      <c r="I2803" s="247"/>
      <c r="J2803" s="246"/>
      <c r="K2803" s="246"/>
      <c r="L2803" s="226"/>
      <c r="M2803" s="226"/>
      <c r="N2803" s="246"/>
      <c r="P2803" s="228"/>
      <c r="Q2803" s="245"/>
      <c r="R2803" s="186" t="str">
        <f aca="false">+PROPER(C2803&amp;" "&amp;D2803)</f>
        <v> </v>
      </c>
      <c r="S2803" s="230" t="n">
        <f aca="false">+YEARFRAC(L2803,$S$1)</f>
        <v>126.366666666667</v>
      </c>
      <c r="T2803" s="230" t="n">
        <f aca="false">+YEARFRAC(M2803,$S$1)</f>
        <v>126.366666666667</v>
      </c>
      <c r="U2803" s="231" t="n">
        <f aca="false">+$I2803</f>
        <v>0</v>
      </c>
      <c r="V2803" s="232" t="str">
        <f aca="false">+PROPER(F2803)</f>
        <v/>
      </c>
    </row>
    <row r="2804" customFormat="false" ht="14.25" hidden="false" customHeight="false" outlineLevel="0" collapsed="false">
      <c r="B2804" s="244"/>
      <c r="C2804" s="245"/>
      <c r="D2804" s="245"/>
      <c r="E2804" s="246"/>
      <c r="F2804" s="246"/>
      <c r="G2804" s="225" t="e">
        <f aca="false">VLOOKUP(B2804,'NIVEL ENERO'!A:F,4,0)</f>
        <v>#N/A</v>
      </c>
      <c r="H2804" s="247"/>
      <c r="I2804" s="247"/>
      <c r="J2804" s="246"/>
      <c r="K2804" s="246"/>
      <c r="L2804" s="226"/>
      <c r="M2804" s="226"/>
      <c r="N2804" s="246"/>
      <c r="P2804" s="228"/>
      <c r="Q2804" s="245"/>
      <c r="R2804" s="186" t="str">
        <f aca="false">+PROPER(C2804&amp;" "&amp;D2804)</f>
        <v> </v>
      </c>
      <c r="S2804" s="230" t="n">
        <f aca="false">+YEARFRAC(L2804,$S$1)</f>
        <v>126.366666666667</v>
      </c>
      <c r="T2804" s="230" t="n">
        <f aca="false">+YEARFRAC(M2804,$S$1)</f>
        <v>126.366666666667</v>
      </c>
      <c r="U2804" s="231" t="n">
        <f aca="false">+$I2804</f>
        <v>0</v>
      </c>
      <c r="V2804" s="232" t="str">
        <f aca="false">+PROPER(F2804)</f>
        <v/>
      </c>
    </row>
    <row r="2805" customFormat="false" ht="14.25" hidden="false" customHeight="false" outlineLevel="0" collapsed="false">
      <c r="B2805" s="244"/>
      <c r="C2805" s="245"/>
      <c r="D2805" s="245"/>
      <c r="E2805" s="246"/>
      <c r="F2805" s="246"/>
      <c r="G2805" s="225" t="e">
        <f aca="false">VLOOKUP(B2805,'NIVEL ENERO'!A:F,4,0)</f>
        <v>#N/A</v>
      </c>
      <c r="H2805" s="247"/>
      <c r="I2805" s="247"/>
      <c r="J2805" s="246"/>
      <c r="K2805" s="246"/>
      <c r="L2805" s="226"/>
      <c r="M2805" s="226"/>
      <c r="N2805" s="246"/>
      <c r="P2805" s="228"/>
      <c r="Q2805" s="245"/>
      <c r="R2805" s="186" t="str">
        <f aca="false">+PROPER(C2805&amp;" "&amp;D2805)</f>
        <v> </v>
      </c>
      <c r="S2805" s="230" t="n">
        <f aca="false">+YEARFRAC(L2805,$S$1)</f>
        <v>126.366666666667</v>
      </c>
      <c r="T2805" s="230" t="n">
        <f aca="false">+YEARFRAC(M2805,$S$1)</f>
        <v>126.366666666667</v>
      </c>
      <c r="U2805" s="231" t="n">
        <f aca="false">+$I2805</f>
        <v>0</v>
      </c>
      <c r="V2805" s="232" t="str">
        <f aca="false">+PROPER(F2805)</f>
        <v/>
      </c>
    </row>
    <row r="2806" customFormat="false" ht="14.25" hidden="false" customHeight="false" outlineLevel="0" collapsed="false">
      <c r="B2806" s="244"/>
      <c r="C2806" s="245"/>
      <c r="D2806" s="245"/>
      <c r="E2806" s="246"/>
      <c r="F2806" s="246"/>
      <c r="G2806" s="225" t="e">
        <f aca="false">VLOOKUP(B2806,'NIVEL ENERO'!A:F,4,0)</f>
        <v>#N/A</v>
      </c>
      <c r="H2806" s="247"/>
      <c r="I2806" s="247"/>
      <c r="J2806" s="246"/>
      <c r="K2806" s="246"/>
      <c r="L2806" s="226"/>
      <c r="M2806" s="226"/>
      <c r="N2806" s="246"/>
      <c r="P2806" s="228"/>
      <c r="Q2806" s="245"/>
      <c r="R2806" s="186" t="str">
        <f aca="false">+PROPER(C2806&amp;" "&amp;D2806)</f>
        <v> </v>
      </c>
      <c r="S2806" s="230" t="n">
        <f aca="false">+YEARFRAC(L2806,$S$1)</f>
        <v>126.366666666667</v>
      </c>
      <c r="T2806" s="230" t="n">
        <f aca="false">+YEARFRAC(M2806,$S$1)</f>
        <v>126.366666666667</v>
      </c>
      <c r="U2806" s="231" t="n">
        <f aca="false">+$I2806</f>
        <v>0</v>
      </c>
      <c r="V2806" s="232" t="str">
        <f aca="false">+PROPER(F2806)</f>
        <v/>
      </c>
    </row>
    <row r="2807" customFormat="false" ht="14.25" hidden="false" customHeight="false" outlineLevel="0" collapsed="false">
      <c r="B2807" s="244"/>
      <c r="C2807" s="245"/>
      <c r="D2807" s="245"/>
      <c r="E2807" s="246"/>
      <c r="F2807" s="246"/>
      <c r="G2807" s="225" t="e">
        <f aca="false">VLOOKUP(B2807,'NIVEL ENERO'!A:F,4,0)</f>
        <v>#N/A</v>
      </c>
      <c r="H2807" s="247"/>
      <c r="I2807" s="247"/>
      <c r="J2807" s="246"/>
      <c r="K2807" s="246"/>
      <c r="L2807" s="226"/>
      <c r="M2807" s="226"/>
      <c r="N2807" s="246"/>
      <c r="P2807" s="228"/>
      <c r="Q2807" s="245"/>
      <c r="R2807" s="186" t="str">
        <f aca="false">+PROPER(C2807&amp;" "&amp;D2807)</f>
        <v> </v>
      </c>
      <c r="S2807" s="230" t="n">
        <f aca="false">+YEARFRAC(L2807,$S$1)</f>
        <v>126.366666666667</v>
      </c>
      <c r="T2807" s="230" t="n">
        <f aca="false">+YEARFRAC(M2807,$S$1)</f>
        <v>126.366666666667</v>
      </c>
      <c r="U2807" s="231" t="n">
        <f aca="false">+$I2807</f>
        <v>0</v>
      </c>
      <c r="V2807" s="232" t="str">
        <f aca="false">+PROPER(F2807)</f>
        <v/>
      </c>
    </row>
    <row r="2808" customFormat="false" ht="14.25" hidden="false" customHeight="false" outlineLevel="0" collapsed="false">
      <c r="B2808" s="244"/>
      <c r="C2808" s="245"/>
      <c r="D2808" s="245"/>
      <c r="E2808" s="246"/>
      <c r="F2808" s="246"/>
      <c r="G2808" s="225" t="e">
        <f aca="false">VLOOKUP(B2808,'NIVEL ENERO'!A:F,4,0)</f>
        <v>#N/A</v>
      </c>
      <c r="H2808" s="247"/>
      <c r="I2808" s="247"/>
      <c r="J2808" s="246"/>
      <c r="K2808" s="246"/>
      <c r="L2808" s="226"/>
      <c r="M2808" s="226"/>
      <c r="N2808" s="246"/>
      <c r="P2808" s="228"/>
      <c r="Q2808" s="245"/>
      <c r="R2808" s="186" t="str">
        <f aca="false">+PROPER(C2808&amp;" "&amp;D2808)</f>
        <v> </v>
      </c>
      <c r="S2808" s="230" t="n">
        <f aca="false">+YEARFRAC(L2808,$S$1)</f>
        <v>126.366666666667</v>
      </c>
      <c r="T2808" s="230" t="n">
        <f aca="false">+YEARFRAC(M2808,$S$1)</f>
        <v>126.366666666667</v>
      </c>
      <c r="U2808" s="231" t="n">
        <f aca="false">+$I2808</f>
        <v>0</v>
      </c>
      <c r="V2808" s="232" t="str">
        <f aca="false">+PROPER(F2808)</f>
        <v/>
      </c>
    </row>
    <row r="2809" customFormat="false" ht="14.25" hidden="false" customHeight="false" outlineLevel="0" collapsed="false">
      <c r="B2809" s="244"/>
      <c r="C2809" s="245"/>
      <c r="D2809" s="245"/>
      <c r="E2809" s="246"/>
      <c r="F2809" s="246"/>
      <c r="G2809" s="225" t="e">
        <f aca="false">VLOOKUP(B2809,'NIVEL ENERO'!A:F,4,0)</f>
        <v>#N/A</v>
      </c>
      <c r="H2809" s="247"/>
      <c r="I2809" s="247"/>
      <c r="J2809" s="246"/>
      <c r="K2809" s="246"/>
      <c r="L2809" s="226"/>
      <c r="M2809" s="226"/>
      <c r="N2809" s="246"/>
      <c r="P2809" s="228"/>
      <c r="Q2809" s="245"/>
      <c r="R2809" s="186" t="str">
        <f aca="false">+PROPER(C2809&amp;" "&amp;D2809)</f>
        <v> </v>
      </c>
      <c r="S2809" s="230" t="n">
        <f aca="false">+YEARFRAC(L2809,$S$1)</f>
        <v>126.366666666667</v>
      </c>
      <c r="T2809" s="230" t="n">
        <f aca="false">+YEARFRAC(M2809,$S$1)</f>
        <v>126.366666666667</v>
      </c>
      <c r="U2809" s="231" t="n">
        <f aca="false">+$I2809</f>
        <v>0</v>
      </c>
      <c r="V2809" s="232" t="str">
        <f aca="false">+PROPER(F2809)</f>
        <v/>
      </c>
    </row>
    <row r="2810" customFormat="false" ht="14.25" hidden="false" customHeight="false" outlineLevel="0" collapsed="false">
      <c r="B2810" s="244"/>
      <c r="C2810" s="245"/>
      <c r="D2810" s="245"/>
      <c r="E2810" s="246"/>
      <c r="F2810" s="246"/>
      <c r="G2810" s="225" t="e">
        <f aca="false">VLOOKUP(B2810,'NIVEL ENERO'!A:F,4,0)</f>
        <v>#N/A</v>
      </c>
      <c r="H2810" s="247"/>
      <c r="I2810" s="247"/>
      <c r="J2810" s="246"/>
      <c r="K2810" s="246"/>
      <c r="L2810" s="226"/>
      <c r="M2810" s="226"/>
      <c r="N2810" s="246"/>
      <c r="P2810" s="228"/>
      <c r="Q2810" s="245"/>
      <c r="R2810" s="186" t="str">
        <f aca="false">+PROPER(C2810&amp;" "&amp;D2810)</f>
        <v> </v>
      </c>
      <c r="S2810" s="230" t="n">
        <f aca="false">+YEARFRAC(L2810,$S$1)</f>
        <v>126.366666666667</v>
      </c>
      <c r="T2810" s="230" t="n">
        <f aca="false">+YEARFRAC(M2810,$S$1)</f>
        <v>126.366666666667</v>
      </c>
      <c r="U2810" s="231" t="n">
        <f aca="false">+$I2810</f>
        <v>0</v>
      </c>
      <c r="V2810" s="232" t="str">
        <f aca="false">+PROPER(F2810)</f>
        <v/>
      </c>
    </row>
    <row r="2811" customFormat="false" ht="14.25" hidden="false" customHeight="false" outlineLevel="0" collapsed="false">
      <c r="B2811" s="244"/>
      <c r="C2811" s="245"/>
      <c r="D2811" s="245"/>
      <c r="E2811" s="246"/>
      <c r="F2811" s="246"/>
      <c r="G2811" s="225" t="e">
        <f aca="false">VLOOKUP(B2811,'NIVEL ENERO'!A:F,4,0)</f>
        <v>#N/A</v>
      </c>
      <c r="H2811" s="247"/>
      <c r="I2811" s="247"/>
      <c r="J2811" s="246"/>
      <c r="K2811" s="246"/>
      <c r="L2811" s="226"/>
      <c r="M2811" s="226"/>
      <c r="N2811" s="246"/>
      <c r="P2811" s="228"/>
      <c r="Q2811" s="245"/>
      <c r="R2811" s="186" t="str">
        <f aca="false">+PROPER(C2811&amp;" "&amp;D2811)</f>
        <v> </v>
      </c>
      <c r="S2811" s="230" t="n">
        <f aca="false">+YEARFRAC(L2811,$S$1)</f>
        <v>126.366666666667</v>
      </c>
      <c r="T2811" s="230" t="n">
        <f aca="false">+YEARFRAC(M2811,$S$1)</f>
        <v>126.366666666667</v>
      </c>
      <c r="U2811" s="231" t="n">
        <f aca="false">+$I2811</f>
        <v>0</v>
      </c>
      <c r="V2811" s="232" t="str">
        <f aca="false">+PROPER(F2811)</f>
        <v/>
      </c>
    </row>
    <row r="2812" customFormat="false" ht="14.25" hidden="false" customHeight="false" outlineLevel="0" collapsed="false">
      <c r="B2812" s="244"/>
      <c r="C2812" s="245"/>
      <c r="D2812" s="245"/>
      <c r="E2812" s="246"/>
      <c r="F2812" s="246"/>
      <c r="G2812" s="225" t="e">
        <f aca="false">VLOOKUP(B2812,'NIVEL ENERO'!A:F,4,0)</f>
        <v>#N/A</v>
      </c>
      <c r="H2812" s="247"/>
      <c r="I2812" s="247"/>
      <c r="J2812" s="246"/>
      <c r="K2812" s="246"/>
      <c r="L2812" s="226"/>
      <c r="M2812" s="226"/>
      <c r="N2812" s="246"/>
      <c r="P2812" s="228"/>
      <c r="Q2812" s="245"/>
      <c r="R2812" s="186" t="str">
        <f aca="false">+PROPER(C2812&amp;" "&amp;D2812)</f>
        <v> </v>
      </c>
      <c r="S2812" s="230" t="n">
        <f aca="false">+YEARFRAC(L2812,$S$1)</f>
        <v>126.366666666667</v>
      </c>
      <c r="T2812" s="230" t="n">
        <f aca="false">+YEARFRAC(M2812,$S$1)</f>
        <v>126.366666666667</v>
      </c>
      <c r="U2812" s="231" t="n">
        <f aca="false">+$I2812</f>
        <v>0</v>
      </c>
      <c r="V2812" s="232" t="str">
        <f aca="false">+PROPER(F2812)</f>
        <v/>
      </c>
    </row>
    <row r="2813" customFormat="false" ht="14.25" hidden="false" customHeight="false" outlineLevel="0" collapsed="false">
      <c r="B2813" s="244"/>
      <c r="C2813" s="245"/>
      <c r="D2813" s="245"/>
      <c r="E2813" s="246"/>
      <c r="F2813" s="246"/>
      <c r="G2813" s="225" t="e">
        <f aca="false">VLOOKUP(B2813,'NIVEL ENERO'!A:F,4,0)</f>
        <v>#N/A</v>
      </c>
      <c r="H2813" s="247"/>
      <c r="I2813" s="247"/>
      <c r="J2813" s="246"/>
      <c r="K2813" s="246"/>
      <c r="L2813" s="226"/>
      <c r="M2813" s="226"/>
      <c r="N2813" s="246"/>
      <c r="P2813" s="228"/>
      <c r="Q2813" s="245"/>
      <c r="R2813" s="186" t="str">
        <f aca="false">+PROPER(C2813&amp;" "&amp;D2813)</f>
        <v> </v>
      </c>
      <c r="S2813" s="230" t="n">
        <f aca="false">+YEARFRAC(L2813,$S$1)</f>
        <v>126.366666666667</v>
      </c>
      <c r="T2813" s="230" t="n">
        <f aca="false">+YEARFRAC(M2813,$S$1)</f>
        <v>126.366666666667</v>
      </c>
      <c r="U2813" s="231" t="n">
        <f aca="false">+$I2813</f>
        <v>0</v>
      </c>
      <c r="V2813" s="232" t="str">
        <f aca="false">+PROPER(F2813)</f>
        <v/>
      </c>
    </row>
    <row r="2814" customFormat="false" ht="14.25" hidden="false" customHeight="false" outlineLevel="0" collapsed="false">
      <c r="B2814" s="244"/>
      <c r="C2814" s="245"/>
      <c r="D2814" s="245"/>
      <c r="E2814" s="246"/>
      <c r="F2814" s="246"/>
      <c r="G2814" s="225" t="e">
        <f aca="false">VLOOKUP(B2814,'NIVEL ENERO'!A:F,4,0)</f>
        <v>#N/A</v>
      </c>
      <c r="H2814" s="247"/>
      <c r="I2814" s="247"/>
      <c r="J2814" s="246"/>
      <c r="K2814" s="246"/>
      <c r="L2814" s="226"/>
      <c r="M2814" s="226"/>
      <c r="N2814" s="246"/>
      <c r="P2814" s="228"/>
      <c r="Q2814" s="245"/>
      <c r="R2814" s="186" t="str">
        <f aca="false">+PROPER(C2814&amp;" "&amp;D2814)</f>
        <v> </v>
      </c>
      <c r="S2814" s="230" t="n">
        <f aca="false">+YEARFRAC(L2814,$S$1)</f>
        <v>126.366666666667</v>
      </c>
      <c r="T2814" s="230" t="n">
        <f aca="false">+YEARFRAC(M2814,$S$1)</f>
        <v>126.366666666667</v>
      </c>
      <c r="U2814" s="231" t="n">
        <f aca="false">+$I2814</f>
        <v>0</v>
      </c>
      <c r="V2814" s="232" t="str">
        <f aca="false">+PROPER(F2814)</f>
        <v/>
      </c>
    </row>
    <row r="2815" customFormat="false" ht="14.25" hidden="false" customHeight="false" outlineLevel="0" collapsed="false">
      <c r="B2815" s="244"/>
      <c r="C2815" s="245"/>
      <c r="D2815" s="245"/>
      <c r="E2815" s="246"/>
      <c r="F2815" s="246"/>
      <c r="G2815" s="225" t="e">
        <f aca="false">VLOOKUP(B2815,'NIVEL ENERO'!A:F,4,0)</f>
        <v>#N/A</v>
      </c>
      <c r="H2815" s="247"/>
      <c r="I2815" s="247"/>
      <c r="J2815" s="246"/>
      <c r="K2815" s="246"/>
      <c r="L2815" s="226"/>
      <c r="M2815" s="226"/>
      <c r="N2815" s="246"/>
      <c r="P2815" s="228"/>
      <c r="Q2815" s="245"/>
      <c r="R2815" s="186" t="str">
        <f aca="false">+PROPER(C2815&amp;" "&amp;D2815)</f>
        <v> </v>
      </c>
      <c r="S2815" s="230" t="n">
        <f aca="false">+YEARFRAC(L2815,$S$1)</f>
        <v>126.366666666667</v>
      </c>
      <c r="T2815" s="230" t="n">
        <f aca="false">+YEARFRAC(M2815,$S$1)</f>
        <v>126.366666666667</v>
      </c>
      <c r="U2815" s="231" t="n">
        <f aca="false">+$I2815</f>
        <v>0</v>
      </c>
      <c r="V2815" s="232" t="str">
        <f aca="false">+PROPER(F2815)</f>
        <v/>
      </c>
    </row>
    <row r="2816" customFormat="false" ht="14.25" hidden="false" customHeight="false" outlineLevel="0" collapsed="false">
      <c r="B2816" s="244"/>
      <c r="C2816" s="245"/>
      <c r="D2816" s="245"/>
      <c r="E2816" s="246"/>
      <c r="F2816" s="246"/>
      <c r="G2816" s="225" t="e">
        <f aca="false">VLOOKUP(B2816,'NIVEL ENERO'!A:F,4,0)</f>
        <v>#N/A</v>
      </c>
      <c r="H2816" s="247"/>
      <c r="I2816" s="247"/>
      <c r="J2816" s="246"/>
      <c r="K2816" s="246"/>
      <c r="L2816" s="226"/>
      <c r="M2816" s="226"/>
      <c r="N2816" s="246"/>
      <c r="P2816" s="228"/>
      <c r="Q2816" s="245"/>
      <c r="R2816" s="186" t="str">
        <f aca="false">+PROPER(C2816&amp;" "&amp;D2816)</f>
        <v> </v>
      </c>
      <c r="S2816" s="230" t="n">
        <f aca="false">+YEARFRAC(L2816,$S$1)</f>
        <v>126.366666666667</v>
      </c>
      <c r="T2816" s="230" t="n">
        <f aca="false">+YEARFRAC(M2816,$S$1)</f>
        <v>126.366666666667</v>
      </c>
      <c r="U2816" s="231" t="n">
        <f aca="false">+$I2816</f>
        <v>0</v>
      </c>
      <c r="V2816" s="232" t="str">
        <f aca="false">+PROPER(F2816)</f>
        <v/>
      </c>
    </row>
    <row r="2817" customFormat="false" ht="14.25" hidden="false" customHeight="false" outlineLevel="0" collapsed="false">
      <c r="B2817" s="244"/>
      <c r="C2817" s="245"/>
      <c r="D2817" s="245"/>
      <c r="E2817" s="246"/>
      <c r="F2817" s="246"/>
      <c r="G2817" s="225" t="e">
        <f aca="false">VLOOKUP(B2817,'NIVEL ENERO'!A:F,4,0)</f>
        <v>#N/A</v>
      </c>
      <c r="H2817" s="247"/>
      <c r="I2817" s="247"/>
      <c r="J2817" s="246"/>
      <c r="K2817" s="246"/>
      <c r="L2817" s="226"/>
      <c r="M2817" s="226"/>
      <c r="N2817" s="246"/>
      <c r="P2817" s="228"/>
      <c r="Q2817" s="245"/>
      <c r="R2817" s="186" t="str">
        <f aca="false">+PROPER(C2817&amp;" "&amp;D2817)</f>
        <v> </v>
      </c>
      <c r="S2817" s="230" t="n">
        <f aca="false">+YEARFRAC(L2817,$S$1)</f>
        <v>126.366666666667</v>
      </c>
      <c r="T2817" s="230" t="n">
        <f aca="false">+YEARFRAC(M2817,$S$1)</f>
        <v>126.366666666667</v>
      </c>
      <c r="U2817" s="231" t="n">
        <f aca="false">+$I2817</f>
        <v>0</v>
      </c>
      <c r="V2817" s="232" t="str">
        <f aca="false">+PROPER(F2817)</f>
        <v/>
      </c>
    </row>
    <row r="2818" customFormat="false" ht="14.25" hidden="false" customHeight="false" outlineLevel="0" collapsed="false">
      <c r="B2818" s="244"/>
      <c r="C2818" s="245"/>
      <c r="D2818" s="245"/>
      <c r="E2818" s="246"/>
      <c r="F2818" s="246"/>
      <c r="G2818" s="225" t="e">
        <f aca="false">VLOOKUP(B2818,'NIVEL ENERO'!A:F,4,0)</f>
        <v>#N/A</v>
      </c>
      <c r="H2818" s="247"/>
      <c r="I2818" s="247"/>
      <c r="J2818" s="246"/>
      <c r="K2818" s="246"/>
      <c r="L2818" s="226"/>
      <c r="M2818" s="226"/>
      <c r="N2818" s="246"/>
      <c r="P2818" s="228"/>
      <c r="Q2818" s="245"/>
      <c r="R2818" s="186" t="str">
        <f aca="false">+PROPER(C2818&amp;" "&amp;D2818)</f>
        <v> </v>
      </c>
      <c r="S2818" s="230" t="n">
        <f aca="false">+YEARFRAC(L2818,$S$1)</f>
        <v>126.366666666667</v>
      </c>
      <c r="T2818" s="230" t="n">
        <f aca="false">+YEARFRAC(M2818,$S$1)</f>
        <v>126.366666666667</v>
      </c>
      <c r="U2818" s="231" t="n">
        <f aca="false">+$I2818</f>
        <v>0</v>
      </c>
      <c r="V2818" s="232" t="str">
        <f aca="false">+PROPER(F2818)</f>
        <v/>
      </c>
    </row>
    <row r="2819" customFormat="false" ht="14.25" hidden="false" customHeight="false" outlineLevel="0" collapsed="false">
      <c r="B2819" s="244"/>
      <c r="C2819" s="245"/>
      <c r="D2819" s="245"/>
      <c r="E2819" s="246"/>
      <c r="F2819" s="246"/>
      <c r="G2819" s="225" t="e">
        <f aca="false">VLOOKUP(B2819,'NIVEL ENERO'!A:F,4,0)</f>
        <v>#N/A</v>
      </c>
      <c r="H2819" s="247"/>
      <c r="I2819" s="247"/>
      <c r="J2819" s="246"/>
      <c r="K2819" s="246"/>
      <c r="L2819" s="226"/>
      <c r="M2819" s="226"/>
      <c r="N2819" s="246"/>
      <c r="P2819" s="228"/>
      <c r="Q2819" s="245"/>
      <c r="R2819" s="186" t="str">
        <f aca="false">+PROPER(C2819&amp;" "&amp;D2819)</f>
        <v> </v>
      </c>
      <c r="S2819" s="230" t="n">
        <f aca="false">+YEARFRAC(L2819,$S$1)</f>
        <v>126.366666666667</v>
      </c>
      <c r="T2819" s="230" t="n">
        <f aca="false">+YEARFRAC(M2819,$S$1)</f>
        <v>126.366666666667</v>
      </c>
      <c r="U2819" s="231" t="n">
        <f aca="false">+$I2819</f>
        <v>0</v>
      </c>
      <c r="V2819" s="232" t="str">
        <f aca="false">+PROPER(F2819)</f>
        <v/>
      </c>
    </row>
    <row r="2820" customFormat="false" ht="14.25" hidden="false" customHeight="false" outlineLevel="0" collapsed="false">
      <c r="B2820" s="244"/>
      <c r="C2820" s="245"/>
      <c r="D2820" s="245"/>
      <c r="E2820" s="246"/>
      <c r="F2820" s="246"/>
      <c r="G2820" s="225" t="e">
        <f aca="false">VLOOKUP(B2820,'NIVEL ENERO'!A:F,4,0)</f>
        <v>#N/A</v>
      </c>
      <c r="H2820" s="247"/>
      <c r="I2820" s="247"/>
      <c r="J2820" s="246"/>
      <c r="K2820" s="246"/>
      <c r="L2820" s="226"/>
      <c r="M2820" s="226"/>
      <c r="N2820" s="246"/>
      <c r="P2820" s="228"/>
      <c r="Q2820" s="245"/>
      <c r="R2820" s="186" t="str">
        <f aca="false">+PROPER(C2820&amp;" "&amp;D2820)</f>
        <v> </v>
      </c>
      <c r="S2820" s="230" t="n">
        <f aca="false">+YEARFRAC(L2820,$S$1)</f>
        <v>126.366666666667</v>
      </c>
      <c r="T2820" s="230" t="n">
        <f aca="false">+YEARFRAC(M2820,$S$1)</f>
        <v>126.366666666667</v>
      </c>
      <c r="U2820" s="231" t="n">
        <f aca="false">+$I2820</f>
        <v>0</v>
      </c>
      <c r="V2820" s="232" t="str">
        <f aca="false">+PROPER(F2820)</f>
        <v/>
      </c>
    </row>
    <row r="2821" customFormat="false" ht="14.25" hidden="false" customHeight="false" outlineLevel="0" collapsed="false">
      <c r="B2821" s="244"/>
      <c r="C2821" s="245"/>
      <c r="D2821" s="245"/>
      <c r="E2821" s="246"/>
      <c r="F2821" s="246"/>
      <c r="G2821" s="225" t="e">
        <f aca="false">VLOOKUP(B2821,'NIVEL ENERO'!A:F,4,0)</f>
        <v>#N/A</v>
      </c>
      <c r="H2821" s="247"/>
      <c r="I2821" s="247"/>
      <c r="J2821" s="246"/>
      <c r="K2821" s="246"/>
      <c r="L2821" s="226"/>
      <c r="M2821" s="226"/>
      <c r="N2821" s="246"/>
      <c r="P2821" s="228"/>
      <c r="Q2821" s="245"/>
      <c r="R2821" s="186" t="str">
        <f aca="false">+PROPER(C2821&amp;" "&amp;D2821)</f>
        <v> </v>
      </c>
      <c r="S2821" s="230" t="n">
        <f aca="false">+YEARFRAC(L2821,$S$1)</f>
        <v>126.366666666667</v>
      </c>
      <c r="T2821" s="230" t="n">
        <f aca="false">+YEARFRAC(M2821,$S$1)</f>
        <v>126.366666666667</v>
      </c>
      <c r="U2821" s="231" t="n">
        <f aca="false">+$I2821</f>
        <v>0</v>
      </c>
      <c r="V2821" s="232" t="str">
        <f aca="false">+PROPER(F2821)</f>
        <v/>
      </c>
    </row>
    <row r="2822" customFormat="false" ht="14.25" hidden="false" customHeight="false" outlineLevel="0" collapsed="false">
      <c r="B2822" s="244"/>
      <c r="C2822" s="245"/>
      <c r="D2822" s="245"/>
      <c r="E2822" s="246"/>
      <c r="F2822" s="246"/>
      <c r="G2822" s="225" t="e">
        <f aca="false">VLOOKUP(B2822,'NIVEL ENERO'!A:F,4,0)</f>
        <v>#N/A</v>
      </c>
      <c r="H2822" s="247"/>
      <c r="I2822" s="247"/>
      <c r="J2822" s="246"/>
      <c r="K2822" s="246"/>
      <c r="L2822" s="226"/>
      <c r="M2822" s="226"/>
      <c r="N2822" s="246"/>
      <c r="P2822" s="228"/>
      <c r="Q2822" s="245"/>
      <c r="R2822" s="186" t="str">
        <f aca="false">+PROPER(C2822&amp;" "&amp;D2822)</f>
        <v> </v>
      </c>
      <c r="S2822" s="230" t="n">
        <f aca="false">+YEARFRAC(L2822,$S$1)</f>
        <v>126.366666666667</v>
      </c>
      <c r="T2822" s="230" t="n">
        <f aca="false">+YEARFRAC(M2822,$S$1)</f>
        <v>126.366666666667</v>
      </c>
      <c r="U2822" s="231" t="n">
        <f aca="false">+$I2822</f>
        <v>0</v>
      </c>
      <c r="V2822" s="232" t="str">
        <f aca="false">+PROPER(F2822)</f>
        <v/>
      </c>
    </row>
    <row r="2823" customFormat="false" ht="14.25" hidden="false" customHeight="false" outlineLevel="0" collapsed="false">
      <c r="B2823" s="244"/>
      <c r="C2823" s="245"/>
      <c r="D2823" s="245"/>
      <c r="E2823" s="246"/>
      <c r="F2823" s="246"/>
      <c r="G2823" s="225" t="e">
        <f aca="false">VLOOKUP(B2823,'NIVEL ENERO'!A:F,4,0)</f>
        <v>#N/A</v>
      </c>
      <c r="H2823" s="247"/>
      <c r="I2823" s="247"/>
      <c r="J2823" s="246"/>
      <c r="K2823" s="246"/>
      <c r="L2823" s="226"/>
      <c r="M2823" s="226"/>
      <c r="N2823" s="246"/>
      <c r="P2823" s="228"/>
      <c r="Q2823" s="245"/>
      <c r="R2823" s="186" t="str">
        <f aca="false">+PROPER(C2823&amp;" "&amp;D2823)</f>
        <v> </v>
      </c>
      <c r="S2823" s="230" t="n">
        <f aca="false">+YEARFRAC(L2823,$S$1)</f>
        <v>126.366666666667</v>
      </c>
      <c r="T2823" s="230" t="n">
        <f aca="false">+YEARFRAC(M2823,$S$1)</f>
        <v>126.366666666667</v>
      </c>
      <c r="U2823" s="231" t="n">
        <f aca="false">+$I2823</f>
        <v>0</v>
      </c>
      <c r="V2823" s="232" t="str">
        <f aca="false">+PROPER(F2823)</f>
        <v/>
      </c>
    </row>
    <row r="2824" customFormat="false" ht="14.25" hidden="false" customHeight="false" outlineLevel="0" collapsed="false">
      <c r="B2824" s="244"/>
      <c r="C2824" s="245"/>
      <c r="D2824" s="245"/>
      <c r="E2824" s="246"/>
      <c r="F2824" s="246"/>
      <c r="G2824" s="225" t="e">
        <f aca="false">VLOOKUP(B2824,'NIVEL ENERO'!A:F,4,0)</f>
        <v>#N/A</v>
      </c>
      <c r="H2824" s="247"/>
      <c r="I2824" s="247"/>
      <c r="J2824" s="246"/>
      <c r="K2824" s="246"/>
      <c r="L2824" s="226"/>
      <c r="M2824" s="226"/>
      <c r="N2824" s="246"/>
      <c r="P2824" s="228"/>
      <c r="Q2824" s="245"/>
      <c r="R2824" s="186" t="str">
        <f aca="false">+PROPER(C2824&amp;" "&amp;D2824)</f>
        <v> </v>
      </c>
      <c r="S2824" s="230" t="n">
        <f aca="false">+YEARFRAC(L2824,$S$1)</f>
        <v>126.366666666667</v>
      </c>
      <c r="T2824" s="230" t="n">
        <f aca="false">+YEARFRAC(M2824,$S$1)</f>
        <v>126.366666666667</v>
      </c>
      <c r="U2824" s="231" t="n">
        <f aca="false">+$I2824</f>
        <v>0</v>
      </c>
      <c r="V2824" s="232" t="str">
        <f aca="false">+PROPER(F2824)</f>
        <v/>
      </c>
    </row>
    <row r="2825" customFormat="false" ht="14.25" hidden="false" customHeight="false" outlineLevel="0" collapsed="false">
      <c r="B2825" s="244"/>
      <c r="C2825" s="245"/>
      <c r="D2825" s="245"/>
      <c r="E2825" s="246"/>
      <c r="F2825" s="246"/>
      <c r="G2825" s="225" t="e">
        <f aca="false">VLOOKUP(B2825,'NIVEL ENERO'!A:F,4,0)</f>
        <v>#N/A</v>
      </c>
      <c r="H2825" s="247"/>
      <c r="I2825" s="247"/>
      <c r="J2825" s="246"/>
      <c r="K2825" s="246"/>
      <c r="L2825" s="226"/>
      <c r="M2825" s="226"/>
      <c r="N2825" s="246"/>
      <c r="P2825" s="228"/>
      <c r="Q2825" s="245"/>
      <c r="R2825" s="186" t="str">
        <f aca="false">+PROPER(C2825&amp;" "&amp;D2825)</f>
        <v> </v>
      </c>
      <c r="S2825" s="230" t="n">
        <f aca="false">+YEARFRAC(L2825,$S$1)</f>
        <v>126.366666666667</v>
      </c>
      <c r="T2825" s="230" t="n">
        <f aca="false">+YEARFRAC(M2825,$S$1)</f>
        <v>126.366666666667</v>
      </c>
      <c r="U2825" s="231" t="n">
        <f aca="false">+$I2825</f>
        <v>0</v>
      </c>
      <c r="V2825" s="232" t="str">
        <f aca="false">+PROPER(F2825)</f>
        <v/>
      </c>
    </row>
    <row r="2826" customFormat="false" ht="14.25" hidden="false" customHeight="false" outlineLevel="0" collapsed="false">
      <c r="B2826" s="244"/>
      <c r="C2826" s="245"/>
      <c r="D2826" s="245"/>
      <c r="E2826" s="246"/>
      <c r="F2826" s="246"/>
      <c r="G2826" s="225" t="e">
        <f aca="false">VLOOKUP(B2826,'NIVEL ENERO'!A:F,4,0)</f>
        <v>#N/A</v>
      </c>
      <c r="H2826" s="247"/>
      <c r="I2826" s="247"/>
      <c r="J2826" s="246"/>
      <c r="K2826" s="246"/>
      <c r="L2826" s="226"/>
      <c r="M2826" s="226"/>
      <c r="N2826" s="246"/>
      <c r="P2826" s="228"/>
      <c r="Q2826" s="245"/>
      <c r="R2826" s="186" t="str">
        <f aca="false">+PROPER(C2826&amp;" "&amp;D2826)</f>
        <v> </v>
      </c>
      <c r="S2826" s="230" t="n">
        <f aca="false">+YEARFRAC(L2826,$S$1)</f>
        <v>126.366666666667</v>
      </c>
      <c r="T2826" s="230" t="n">
        <f aca="false">+YEARFRAC(M2826,$S$1)</f>
        <v>126.366666666667</v>
      </c>
      <c r="U2826" s="231" t="n">
        <f aca="false">+$I2826</f>
        <v>0</v>
      </c>
      <c r="V2826" s="232" t="str">
        <f aca="false">+PROPER(F2826)</f>
        <v/>
      </c>
    </row>
    <row r="2827" customFormat="false" ht="14.25" hidden="false" customHeight="false" outlineLevel="0" collapsed="false">
      <c r="B2827" s="244"/>
      <c r="C2827" s="245"/>
      <c r="D2827" s="245"/>
      <c r="E2827" s="246"/>
      <c r="F2827" s="246"/>
      <c r="G2827" s="225" t="e">
        <f aca="false">VLOOKUP(B2827,'NIVEL ENERO'!A:F,4,0)</f>
        <v>#N/A</v>
      </c>
      <c r="H2827" s="247"/>
      <c r="I2827" s="247"/>
      <c r="J2827" s="246"/>
      <c r="K2827" s="246"/>
      <c r="L2827" s="226"/>
      <c r="M2827" s="226"/>
      <c r="N2827" s="246"/>
      <c r="P2827" s="228"/>
      <c r="Q2827" s="245"/>
      <c r="R2827" s="186" t="str">
        <f aca="false">+PROPER(C2827&amp;" "&amp;D2827)</f>
        <v> </v>
      </c>
      <c r="S2827" s="230" t="n">
        <f aca="false">+YEARFRAC(L2827,$S$1)</f>
        <v>126.366666666667</v>
      </c>
      <c r="T2827" s="230" t="n">
        <f aca="false">+YEARFRAC(M2827,$S$1)</f>
        <v>126.366666666667</v>
      </c>
      <c r="U2827" s="231" t="n">
        <f aca="false">+$I2827</f>
        <v>0</v>
      </c>
      <c r="V2827" s="232" t="str">
        <f aca="false">+PROPER(F2827)</f>
        <v/>
      </c>
    </row>
    <row r="2828" customFormat="false" ht="14.25" hidden="false" customHeight="false" outlineLevel="0" collapsed="false">
      <c r="B2828" s="244"/>
      <c r="C2828" s="245"/>
      <c r="D2828" s="245"/>
      <c r="E2828" s="246"/>
      <c r="F2828" s="246"/>
      <c r="G2828" s="225" t="e">
        <f aca="false">VLOOKUP(B2828,'NIVEL ENERO'!A:F,4,0)</f>
        <v>#N/A</v>
      </c>
      <c r="H2828" s="247"/>
      <c r="I2828" s="247"/>
      <c r="J2828" s="246"/>
      <c r="K2828" s="246"/>
      <c r="L2828" s="226"/>
      <c r="M2828" s="226"/>
      <c r="N2828" s="246"/>
      <c r="P2828" s="228"/>
      <c r="Q2828" s="245"/>
      <c r="R2828" s="186" t="str">
        <f aca="false">+PROPER(C2828&amp;" "&amp;D2828)</f>
        <v> </v>
      </c>
      <c r="S2828" s="230" t="n">
        <f aca="false">+YEARFRAC(L2828,$S$1)</f>
        <v>126.366666666667</v>
      </c>
      <c r="T2828" s="230" t="n">
        <f aca="false">+YEARFRAC(M2828,$S$1)</f>
        <v>126.366666666667</v>
      </c>
      <c r="U2828" s="231" t="n">
        <f aca="false">+$I2828</f>
        <v>0</v>
      </c>
      <c r="V2828" s="232" t="str">
        <f aca="false">+PROPER(F2828)</f>
        <v/>
      </c>
    </row>
    <row r="2829" customFormat="false" ht="14.25" hidden="false" customHeight="false" outlineLevel="0" collapsed="false">
      <c r="B2829" s="244"/>
      <c r="C2829" s="245"/>
      <c r="D2829" s="245"/>
      <c r="E2829" s="246"/>
      <c r="F2829" s="246"/>
      <c r="G2829" s="225" t="e">
        <f aca="false">VLOOKUP(B2829,'NIVEL ENERO'!A:F,4,0)</f>
        <v>#N/A</v>
      </c>
      <c r="H2829" s="247"/>
      <c r="I2829" s="247"/>
      <c r="J2829" s="246"/>
      <c r="K2829" s="246"/>
      <c r="L2829" s="226"/>
      <c r="M2829" s="226"/>
      <c r="N2829" s="246"/>
      <c r="P2829" s="228"/>
      <c r="Q2829" s="245"/>
      <c r="R2829" s="186" t="str">
        <f aca="false">+PROPER(C2829&amp;" "&amp;D2829)</f>
        <v> </v>
      </c>
      <c r="S2829" s="230" t="n">
        <f aca="false">+YEARFRAC(L2829,$S$1)</f>
        <v>126.366666666667</v>
      </c>
      <c r="T2829" s="230" t="n">
        <f aca="false">+YEARFRAC(M2829,$S$1)</f>
        <v>126.366666666667</v>
      </c>
      <c r="U2829" s="231" t="n">
        <f aca="false">+$I2829</f>
        <v>0</v>
      </c>
      <c r="V2829" s="232" t="str">
        <f aca="false">+PROPER(F2829)</f>
        <v/>
      </c>
    </row>
    <row r="2830" customFormat="false" ht="14.25" hidden="false" customHeight="false" outlineLevel="0" collapsed="false">
      <c r="B2830" s="244"/>
      <c r="C2830" s="245"/>
      <c r="D2830" s="245"/>
      <c r="E2830" s="246"/>
      <c r="F2830" s="246"/>
      <c r="G2830" s="225" t="e">
        <f aca="false">VLOOKUP(B2830,'NIVEL ENERO'!A:F,4,0)</f>
        <v>#N/A</v>
      </c>
      <c r="H2830" s="247"/>
      <c r="I2830" s="247"/>
      <c r="J2830" s="246"/>
      <c r="K2830" s="246"/>
      <c r="L2830" s="226"/>
      <c r="M2830" s="226"/>
      <c r="N2830" s="246"/>
      <c r="P2830" s="228"/>
      <c r="Q2830" s="245"/>
      <c r="R2830" s="186" t="str">
        <f aca="false">+PROPER(C2830&amp;" "&amp;D2830)</f>
        <v> </v>
      </c>
      <c r="S2830" s="230" t="n">
        <f aca="false">+YEARFRAC(L2830,$S$1)</f>
        <v>126.366666666667</v>
      </c>
      <c r="T2830" s="230" t="n">
        <f aca="false">+YEARFRAC(M2830,$S$1)</f>
        <v>126.366666666667</v>
      </c>
      <c r="U2830" s="231" t="n">
        <f aca="false">+$I2830</f>
        <v>0</v>
      </c>
      <c r="V2830" s="232" t="str">
        <f aca="false">+PROPER(F2830)</f>
        <v/>
      </c>
    </row>
    <row r="2831" customFormat="false" ht="14.25" hidden="false" customHeight="false" outlineLevel="0" collapsed="false">
      <c r="B2831" s="244"/>
      <c r="C2831" s="245"/>
      <c r="D2831" s="245"/>
      <c r="E2831" s="246"/>
      <c r="F2831" s="246"/>
      <c r="G2831" s="225" t="e">
        <f aca="false">VLOOKUP(B2831,'NIVEL ENERO'!A:F,4,0)</f>
        <v>#N/A</v>
      </c>
      <c r="H2831" s="247"/>
      <c r="I2831" s="247"/>
      <c r="J2831" s="246"/>
      <c r="K2831" s="246"/>
      <c r="L2831" s="226"/>
      <c r="M2831" s="226"/>
      <c r="N2831" s="246"/>
      <c r="P2831" s="228"/>
      <c r="Q2831" s="245"/>
      <c r="R2831" s="186" t="str">
        <f aca="false">+PROPER(C2831&amp;" "&amp;D2831)</f>
        <v> </v>
      </c>
      <c r="S2831" s="230" t="n">
        <f aca="false">+YEARFRAC(L2831,$S$1)</f>
        <v>126.366666666667</v>
      </c>
      <c r="T2831" s="230" t="n">
        <f aca="false">+YEARFRAC(M2831,$S$1)</f>
        <v>126.366666666667</v>
      </c>
      <c r="U2831" s="231" t="n">
        <f aca="false">+$I2831</f>
        <v>0</v>
      </c>
      <c r="V2831" s="232" t="str">
        <f aca="false">+PROPER(F2831)</f>
        <v/>
      </c>
    </row>
    <row r="2832" customFormat="false" ht="14.25" hidden="false" customHeight="false" outlineLevel="0" collapsed="false">
      <c r="B2832" s="244"/>
      <c r="C2832" s="245"/>
      <c r="D2832" s="245"/>
      <c r="E2832" s="246"/>
      <c r="F2832" s="246"/>
      <c r="G2832" s="225" t="e">
        <f aca="false">VLOOKUP(B2832,'NIVEL ENERO'!A:F,4,0)</f>
        <v>#N/A</v>
      </c>
      <c r="H2832" s="247"/>
      <c r="I2832" s="247"/>
      <c r="J2832" s="246"/>
      <c r="K2832" s="246"/>
      <c r="L2832" s="226"/>
      <c r="M2832" s="226"/>
      <c r="N2832" s="246"/>
      <c r="P2832" s="228"/>
      <c r="Q2832" s="245"/>
      <c r="R2832" s="186" t="str">
        <f aca="false">+PROPER(C2832&amp;" "&amp;D2832)</f>
        <v> </v>
      </c>
      <c r="S2832" s="230" t="n">
        <f aca="false">+YEARFRAC(L2832,$S$1)</f>
        <v>126.366666666667</v>
      </c>
      <c r="T2832" s="230" t="n">
        <f aca="false">+YEARFRAC(M2832,$S$1)</f>
        <v>126.366666666667</v>
      </c>
      <c r="U2832" s="231" t="n">
        <f aca="false">+$I2832</f>
        <v>0</v>
      </c>
      <c r="V2832" s="232" t="str">
        <f aca="false">+PROPER(F2832)</f>
        <v/>
      </c>
    </row>
    <row r="2833" customFormat="false" ht="14.25" hidden="false" customHeight="false" outlineLevel="0" collapsed="false">
      <c r="B2833" s="244"/>
      <c r="C2833" s="245"/>
      <c r="D2833" s="245"/>
      <c r="E2833" s="246"/>
      <c r="F2833" s="246"/>
      <c r="G2833" s="225" t="e">
        <f aca="false">VLOOKUP(B2833,'NIVEL ENERO'!A:F,4,0)</f>
        <v>#N/A</v>
      </c>
      <c r="H2833" s="247"/>
      <c r="I2833" s="247"/>
      <c r="J2833" s="246"/>
      <c r="K2833" s="246"/>
      <c r="L2833" s="226"/>
      <c r="M2833" s="226"/>
      <c r="N2833" s="246"/>
      <c r="P2833" s="228"/>
      <c r="Q2833" s="245"/>
      <c r="R2833" s="186" t="str">
        <f aca="false">+PROPER(C2833&amp;" "&amp;D2833)</f>
        <v> </v>
      </c>
      <c r="S2833" s="230" t="n">
        <f aca="false">+YEARFRAC(L2833,$S$1)</f>
        <v>126.366666666667</v>
      </c>
      <c r="T2833" s="230" t="n">
        <f aca="false">+YEARFRAC(M2833,$S$1)</f>
        <v>126.366666666667</v>
      </c>
      <c r="U2833" s="231" t="n">
        <f aca="false">+$I2833</f>
        <v>0</v>
      </c>
      <c r="V2833" s="232" t="str">
        <f aca="false">+PROPER(F2833)</f>
        <v/>
      </c>
    </row>
    <row r="2834" customFormat="false" ht="14.25" hidden="false" customHeight="false" outlineLevel="0" collapsed="false">
      <c r="B2834" s="244"/>
      <c r="C2834" s="245"/>
      <c r="D2834" s="245"/>
      <c r="E2834" s="246"/>
      <c r="F2834" s="246"/>
      <c r="G2834" s="225" t="e">
        <f aca="false">VLOOKUP(B2834,'NIVEL ENERO'!A:F,4,0)</f>
        <v>#N/A</v>
      </c>
      <c r="H2834" s="247"/>
      <c r="I2834" s="247"/>
      <c r="J2834" s="246"/>
      <c r="K2834" s="246"/>
      <c r="L2834" s="226"/>
      <c r="M2834" s="226"/>
      <c r="N2834" s="246"/>
      <c r="P2834" s="228"/>
      <c r="Q2834" s="245"/>
      <c r="R2834" s="186" t="str">
        <f aca="false">+PROPER(C2834&amp;" "&amp;D2834)</f>
        <v> </v>
      </c>
      <c r="S2834" s="230" t="n">
        <f aca="false">+YEARFRAC(L2834,$S$1)</f>
        <v>126.366666666667</v>
      </c>
      <c r="T2834" s="230" t="n">
        <f aca="false">+YEARFRAC(M2834,$S$1)</f>
        <v>126.366666666667</v>
      </c>
      <c r="U2834" s="231" t="n">
        <f aca="false">+$I2834</f>
        <v>0</v>
      </c>
      <c r="V2834" s="232" t="str">
        <f aca="false">+PROPER(F2834)</f>
        <v/>
      </c>
    </row>
    <row r="2835" customFormat="false" ht="14.25" hidden="false" customHeight="false" outlineLevel="0" collapsed="false">
      <c r="B2835" s="244"/>
      <c r="C2835" s="245"/>
      <c r="D2835" s="245"/>
      <c r="E2835" s="246"/>
      <c r="F2835" s="246"/>
      <c r="G2835" s="225" t="e">
        <f aca="false">VLOOKUP(B2835,'NIVEL ENERO'!A:F,4,0)</f>
        <v>#N/A</v>
      </c>
      <c r="H2835" s="247"/>
      <c r="I2835" s="247"/>
      <c r="J2835" s="246"/>
      <c r="K2835" s="246"/>
      <c r="L2835" s="226"/>
      <c r="M2835" s="226"/>
      <c r="N2835" s="246"/>
      <c r="P2835" s="228"/>
      <c r="Q2835" s="245"/>
      <c r="R2835" s="186" t="str">
        <f aca="false">+PROPER(C2835&amp;" "&amp;D2835)</f>
        <v> </v>
      </c>
      <c r="S2835" s="230" t="n">
        <f aca="false">+YEARFRAC(L2835,$S$1)</f>
        <v>126.366666666667</v>
      </c>
      <c r="T2835" s="230" t="n">
        <f aca="false">+YEARFRAC(M2835,$S$1)</f>
        <v>126.366666666667</v>
      </c>
      <c r="U2835" s="231" t="n">
        <f aca="false">+$I2835</f>
        <v>0</v>
      </c>
      <c r="V2835" s="232" t="str">
        <f aca="false">+PROPER(F2835)</f>
        <v/>
      </c>
    </row>
    <row r="2836" customFormat="false" ht="14.25" hidden="false" customHeight="false" outlineLevel="0" collapsed="false">
      <c r="B2836" s="244"/>
      <c r="C2836" s="245"/>
      <c r="D2836" s="245"/>
      <c r="E2836" s="246"/>
      <c r="F2836" s="246"/>
      <c r="G2836" s="225" t="e">
        <f aca="false">VLOOKUP(B2836,'NIVEL ENERO'!A:F,4,0)</f>
        <v>#N/A</v>
      </c>
      <c r="H2836" s="247"/>
      <c r="I2836" s="247"/>
      <c r="J2836" s="246"/>
      <c r="K2836" s="246"/>
      <c r="L2836" s="226"/>
      <c r="M2836" s="226"/>
      <c r="N2836" s="246"/>
      <c r="P2836" s="228"/>
      <c r="Q2836" s="245"/>
      <c r="R2836" s="186" t="str">
        <f aca="false">+PROPER(C2836&amp;" "&amp;D2836)</f>
        <v> </v>
      </c>
      <c r="S2836" s="230" t="n">
        <f aca="false">+YEARFRAC(L2836,$S$1)</f>
        <v>126.366666666667</v>
      </c>
      <c r="T2836" s="230" t="n">
        <f aca="false">+YEARFRAC(M2836,$S$1)</f>
        <v>126.366666666667</v>
      </c>
      <c r="U2836" s="231" t="n">
        <f aca="false">+$I2836</f>
        <v>0</v>
      </c>
      <c r="V2836" s="232" t="str">
        <f aca="false">+PROPER(F2836)</f>
        <v/>
      </c>
    </row>
    <row r="2837" customFormat="false" ht="14.25" hidden="false" customHeight="false" outlineLevel="0" collapsed="false">
      <c r="B2837" s="244"/>
      <c r="C2837" s="245"/>
      <c r="D2837" s="245"/>
      <c r="E2837" s="246"/>
      <c r="F2837" s="246"/>
      <c r="G2837" s="225" t="e">
        <f aca="false">VLOOKUP(B2837,'NIVEL ENERO'!A:F,4,0)</f>
        <v>#N/A</v>
      </c>
      <c r="H2837" s="247"/>
      <c r="I2837" s="247"/>
      <c r="J2837" s="246"/>
      <c r="K2837" s="246"/>
      <c r="L2837" s="226"/>
      <c r="M2837" s="226"/>
      <c r="N2837" s="246"/>
      <c r="P2837" s="228"/>
      <c r="Q2837" s="245"/>
      <c r="R2837" s="186" t="str">
        <f aca="false">+PROPER(C2837&amp;" "&amp;D2837)</f>
        <v> </v>
      </c>
      <c r="S2837" s="230" t="n">
        <f aca="false">+YEARFRAC(L2837,$S$1)</f>
        <v>126.366666666667</v>
      </c>
      <c r="T2837" s="230" t="n">
        <f aca="false">+YEARFRAC(M2837,$S$1)</f>
        <v>126.366666666667</v>
      </c>
      <c r="U2837" s="231" t="n">
        <f aca="false">+$I2837</f>
        <v>0</v>
      </c>
      <c r="V2837" s="232" t="str">
        <f aca="false">+PROPER(F2837)</f>
        <v/>
      </c>
    </row>
    <row r="2838" customFormat="false" ht="14.25" hidden="false" customHeight="false" outlineLevel="0" collapsed="false">
      <c r="B2838" s="244"/>
      <c r="C2838" s="245"/>
      <c r="D2838" s="245"/>
      <c r="E2838" s="246"/>
      <c r="F2838" s="246"/>
      <c r="G2838" s="225" t="e">
        <f aca="false">VLOOKUP(B2838,'NIVEL ENERO'!A:F,4,0)</f>
        <v>#N/A</v>
      </c>
      <c r="H2838" s="247"/>
      <c r="I2838" s="247"/>
      <c r="J2838" s="246"/>
      <c r="K2838" s="246"/>
      <c r="L2838" s="226"/>
      <c r="M2838" s="226"/>
      <c r="N2838" s="246"/>
      <c r="P2838" s="228"/>
      <c r="Q2838" s="245"/>
      <c r="R2838" s="186" t="str">
        <f aca="false">+PROPER(C2838&amp;" "&amp;D2838)</f>
        <v> </v>
      </c>
      <c r="S2838" s="230" t="n">
        <f aca="false">+YEARFRAC(L2838,$S$1)</f>
        <v>126.366666666667</v>
      </c>
      <c r="T2838" s="230" t="n">
        <f aca="false">+YEARFRAC(M2838,$S$1)</f>
        <v>126.366666666667</v>
      </c>
      <c r="U2838" s="231" t="n">
        <f aca="false">+$I2838</f>
        <v>0</v>
      </c>
      <c r="V2838" s="232" t="str">
        <f aca="false">+PROPER(F2838)</f>
        <v/>
      </c>
    </row>
    <row r="2839" customFormat="false" ht="14.25" hidden="false" customHeight="false" outlineLevel="0" collapsed="false">
      <c r="B2839" s="244"/>
      <c r="C2839" s="245"/>
      <c r="D2839" s="245"/>
      <c r="E2839" s="246"/>
      <c r="F2839" s="246"/>
      <c r="G2839" s="225" t="e">
        <f aca="false">VLOOKUP(B2839,'NIVEL ENERO'!A:F,4,0)</f>
        <v>#N/A</v>
      </c>
      <c r="H2839" s="247"/>
      <c r="I2839" s="247"/>
      <c r="J2839" s="246"/>
      <c r="K2839" s="246"/>
      <c r="L2839" s="226"/>
      <c r="M2839" s="226"/>
      <c r="N2839" s="246"/>
      <c r="P2839" s="228"/>
      <c r="Q2839" s="245"/>
      <c r="R2839" s="186" t="str">
        <f aca="false">+PROPER(C2839&amp;" "&amp;D2839)</f>
        <v> </v>
      </c>
      <c r="S2839" s="230" t="n">
        <f aca="false">+YEARFRAC(L2839,$S$1)</f>
        <v>126.366666666667</v>
      </c>
      <c r="T2839" s="230" t="n">
        <f aca="false">+YEARFRAC(M2839,$S$1)</f>
        <v>126.366666666667</v>
      </c>
      <c r="U2839" s="231" t="n">
        <f aca="false">+$I2839</f>
        <v>0</v>
      </c>
      <c r="V2839" s="232" t="str">
        <f aca="false">+PROPER(F2839)</f>
        <v/>
      </c>
    </row>
    <row r="2840" customFormat="false" ht="14.25" hidden="false" customHeight="false" outlineLevel="0" collapsed="false">
      <c r="B2840" s="244"/>
      <c r="C2840" s="245"/>
      <c r="D2840" s="245"/>
      <c r="E2840" s="246"/>
      <c r="F2840" s="246"/>
      <c r="G2840" s="225" t="e">
        <f aca="false">VLOOKUP(B2840,'NIVEL ENERO'!A:F,4,0)</f>
        <v>#N/A</v>
      </c>
      <c r="H2840" s="247"/>
      <c r="I2840" s="247"/>
      <c r="J2840" s="246"/>
      <c r="K2840" s="246"/>
      <c r="L2840" s="226"/>
      <c r="M2840" s="226"/>
      <c r="N2840" s="246"/>
      <c r="P2840" s="228"/>
      <c r="Q2840" s="245"/>
      <c r="R2840" s="186" t="str">
        <f aca="false">+PROPER(C2840&amp;" "&amp;D2840)</f>
        <v> </v>
      </c>
      <c r="S2840" s="230" t="n">
        <f aca="false">+YEARFRAC(L2840,$S$1)</f>
        <v>126.366666666667</v>
      </c>
      <c r="T2840" s="230" t="n">
        <f aca="false">+YEARFRAC(M2840,$S$1)</f>
        <v>126.366666666667</v>
      </c>
      <c r="U2840" s="231" t="n">
        <f aca="false">+$I2840</f>
        <v>0</v>
      </c>
      <c r="V2840" s="232" t="str">
        <f aca="false">+PROPER(F2840)</f>
        <v/>
      </c>
    </row>
    <row r="2841" customFormat="false" ht="14.25" hidden="false" customHeight="false" outlineLevel="0" collapsed="false">
      <c r="B2841" s="244"/>
      <c r="C2841" s="245"/>
      <c r="D2841" s="245"/>
      <c r="E2841" s="246"/>
      <c r="F2841" s="246"/>
      <c r="G2841" s="225" t="e">
        <f aca="false">VLOOKUP(B2841,'NIVEL ENERO'!A:F,4,0)</f>
        <v>#N/A</v>
      </c>
      <c r="H2841" s="247"/>
      <c r="I2841" s="247"/>
      <c r="J2841" s="246"/>
      <c r="K2841" s="246"/>
      <c r="L2841" s="226"/>
      <c r="M2841" s="226"/>
      <c r="N2841" s="246"/>
      <c r="P2841" s="228"/>
      <c r="Q2841" s="245"/>
      <c r="R2841" s="186" t="str">
        <f aca="false">+PROPER(C2841&amp;" "&amp;D2841)</f>
        <v> </v>
      </c>
      <c r="S2841" s="230" t="n">
        <f aca="false">+YEARFRAC(L2841,$S$1)</f>
        <v>126.366666666667</v>
      </c>
      <c r="T2841" s="230" t="n">
        <f aca="false">+YEARFRAC(M2841,$S$1)</f>
        <v>126.366666666667</v>
      </c>
      <c r="U2841" s="231" t="n">
        <f aca="false">+$I2841</f>
        <v>0</v>
      </c>
      <c r="V2841" s="232" t="str">
        <f aca="false">+PROPER(F2841)</f>
        <v/>
      </c>
    </row>
    <row r="2842" customFormat="false" ht="14.25" hidden="false" customHeight="false" outlineLevel="0" collapsed="false">
      <c r="B2842" s="244"/>
      <c r="C2842" s="245"/>
      <c r="D2842" s="245"/>
      <c r="E2842" s="246"/>
      <c r="F2842" s="246"/>
      <c r="G2842" s="225" t="e">
        <f aca="false">VLOOKUP(B2842,'NIVEL ENERO'!A:F,4,0)</f>
        <v>#N/A</v>
      </c>
      <c r="H2842" s="247"/>
      <c r="I2842" s="247"/>
      <c r="J2842" s="246"/>
      <c r="K2842" s="246"/>
      <c r="L2842" s="226"/>
      <c r="M2842" s="226"/>
      <c r="N2842" s="246"/>
      <c r="P2842" s="228"/>
      <c r="Q2842" s="245"/>
      <c r="R2842" s="186" t="str">
        <f aca="false">+PROPER(C2842&amp;" "&amp;D2842)</f>
        <v> </v>
      </c>
      <c r="S2842" s="230" t="n">
        <f aca="false">+YEARFRAC(L2842,$S$1)</f>
        <v>126.366666666667</v>
      </c>
      <c r="T2842" s="230" t="n">
        <f aca="false">+YEARFRAC(M2842,$S$1)</f>
        <v>126.366666666667</v>
      </c>
      <c r="U2842" s="231" t="n">
        <f aca="false">+$I2842</f>
        <v>0</v>
      </c>
      <c r="V2842" s="232" t="str">
        <f aca="false">+PROPER(F2842)</f>
        <v/>
      </c>
    </row>
    <row r="2843" customFormat="false" ht="14.25" hidden="false" customHeight="false" outlineLevel="0" collapsed="false">
      <c r="B2843" s="244"/>
      <c r="C2843" s="245"/>
      <c r="D2843" s="245"/>
      <c r="E2843" s="246"/>
      <c r="F2843" s="246"/>
      <c r="G2843" s="225" t="e">
        <f aca="false">VLOOKUP(B2843,'NIVEL ENERO'!A:F,4,0)</f>
        <v>#N/A</v>
      </c>
      <c r="H2843" s="247"/>
      <c r="I2843" s="247"/>
      <c r="J2843" s="246"/>
      <c r="K2843" s="246"/>
      <c r="L2843" s="226"/>
      <c r="M2843" s="226"/>
      <c r="N2843" s="246"/>
      <c r="P2843" s="228"/>
      <c r="Q2843" s="245"/>
      <c r="R2843" s="186" t="str">
        <f aca="false">+PROPER(C2843&amp;" "&amp;D2843)</f>
        <v> </v>
      </c>
      <c r="S2843" s="230" t="n">
        <f aca="false">+YEARFRAC(L2843,$S$1)</f>
        <v>126.366666666667</v>
      </c>
      <c r="T2843" s="230" t="n">
        <f aca="false">+YEARFRAC(M2843,$S$1)</f>
        <v>126.366666666667</v>
      </c>
      <c r="U2843" s="231" t="n">
        <f aca="false">+$I2843</f>
        <v>0</v>
      </c>
      <c r="V2843" s="232" t="str">
        <f aca="false">+PROPER(F2843)</f>
        <v/>
      </c>
    </row>
    <row r="2844" customFormat="false" ht="14.25" hidden="false" customHeight="false" outlineLevel="0" collapsed="false">
      <c r="B2844" s="244"/>
      <c r="C2844" s="245"/>
      <c r="D2844" s="245"/>
      <c r="E2844" s="246"/>
      <c r="F2844" s="246"/>
      <c r="G2844" s="225" t="e">
        <f aca="false">VLOOKUP(B2844,'NIVEL ENERO'!A:F,4,0)</f>
        <v>#N/A</v>
      </c>
      <c r="H2844" s="247"/>
      <c r="I2844" s="247"/>
      <c r="J2844" s="246"/>
      <c r="K2844" s="246"/>
      <c r="L2844" s="226"/>
      <c r="M2844" s="226"/>
      <c r="N2844" s="246"/>
      <c r="P2844" s="228"/>
      <c r="Q2844" s="245"/>
      <c r="R2844" s="186" t="str">
        <f aca="false">+PROPER(C2844&amp;" "&amp;D2844)</f>
        <v> </v>
      </c>
      <c r="S2844" s="230" t="n">
        <f aca="false">+YEARFRAC(L2844,$S$1)</f>
        <v>126.366666666667</v>
      </c>
      <c r="T2844" s="230" t="n">
        <f aca="false">+YEARFRAC(M2844,$S$1)</f>
        <v>126.366666666667</v>
      </c>
      <c r="U2844" s="231" t="n">
        <f aca="false">+$I2844</f>
        <v>0</v>
      </c>
      <c r="V2844" s="232" t="str">
        <f aca="false">+PROPER(F2844)</f>
        <v/>
      </c>
    </row>
    <row r="2845" customFormat="false" ht="14.25" hidden="false" customHeight="false" outlineLevel="0" collapsed="false">
      <c r="B2845" s="244"/>
      <c r="C2845" s="245"/>
      <c r="D2845" s="245"/>
      <c r="E2845" s="246"/>
      <c r="F2845" s="246"/>
      <c r="G2845" s="225" t="e">
        <f aca="false">VLOOKUP(B2845,'NIVEL ENERO'!A:F,4,0)</f>
        <v>#N/A</v>
      </c>
      <c r="H2845" s="247"/>
      <c r="I2845" s="247"/>
      <c r="J2845" s="246"/>
      <c r="K2845" s="246"/>
      <c r="L2845" s="226"/>
      <c r="M2845" s="226"/>
      <c r="N2845" s="246"/>
      <c r="P2845" s="228"/>
      <c r="Q2845" s="245"/>
      <c r="R2845" s="186" t="str">
        <f aca="false">+PROPER(C2845&amp;" "&amp;D2845)</f>
        <v> </v>
      </c>
      <c r="S2845" s="230" t="n">
        <f aca="false">+YEARFRAC(L2845,$S$1)</f>
        <v>126.366666666667</v>
      </c>
      <c r="T2845" s="230" t="n">
        <f aca="false">+YEARFRAC(M2845,$S$1)</f>
        <v>126.366666666667</v>
      </c>
      <c r="U2845" s="231" t="n">
        <f aca="false">+$I2845</f>
        <v>0</v>
      </c>
      <c r="V2845" s="232" t="str">
        <f aca="false">+PROPER(F2845)</f>
        <v/>
      </c>
    </row>
    <row r="2846" customFormat="false" ht="14.25" hidden="false" customHeight="false" outlineLevel="0" collapsed="false">
      <c r="B2846" s="244"/>
      <c r="C2846" s="245"/>
      <c r="D2846" s="245"/>
      <c r="E2846" s="246"/>
      <c r="F2846" s="246"/>
      <c r="G2846" s="225" t="e">
        <f aca="false">VLOOKUP(B2846,'NIVEL ENERO'!A:F,4,0)</f>
        <v>#N/A</v>
      </c>
      <c r="H2846" s="247"/>
      <c r="I2846" s="247"/>
      <c r="J2846" s="246"/>
      <c r="K2846" s="246"/>
      <c r="L2846" s="226"/>
      <c r="M2846" s="226"/>
      <c r="N2846" s="246"/>
      <c r="P2846" s="228"/>
      <c r="Q2846" s="245"/>
      <c r="R2846" s="186" t="str">
        <f aca="false">+PROPER(C2846&amp;" "&amp;D2846)</f>
        <v> </v>
      </c>
      <c r="S2846" s="230" t="n">
        <f aca="false">+YEARFRAC(L2846,$S$1)</f>
        <v>126.366666666667</v>
      </c>
      <c r="T2846" s="230" t="n">
        <f aca="false">+YEARFRAC(M2846,$S$1)</f>
        <v>126.366666666667</v>
      </c>
      <c r="U2846" s="231" t="n">
        <f aca="false">+$I2846</f>
        <v>0</v>
      </c>
      <c r="V2846" s="232" t="str">
        <f aca="false">+PROPER(F2846)</f>
        <v/>
      </c>
    </row>
    <row r="2847" customFormat="false" ht="14.25" hidden="false" customHeight="false" outlineLevel="0" collapsed="false">
      <c r="B2847" s="244"/>
      <c r="C2847" s="245"/>
      <c r="D2847" s="245"/>
      <c r="E2847" s="246"/>
      <c r="F2847" s="246"/>
      <c r="G2847" s="225" t="e">
        <f aca="false">VLOOKUP(B2847,'NIVEL ENERO'!A:F,4,0)</f>
        <v>#N/A</v>
      </c>
      <c r="H2847" s="247"/>
      <c r="I2847" s="247"/>
      <c r="J2847" s="246"/>
      <c r="K2847" s="246"/>
      <c r="L2847" s="226"/>
      <c r="M2847" s="226"/>
      <c r="N2847" s="246"/>
      <c r="P2847" s="228"/>
      <c r="Q2847" s="245"/>
      <c r="R2847" s="186" t="str">
        <f aca="false">+PROPER(C2847&amp;" "&amp;D2847)</f>
        <v> </v>
      </c>
      <c r="S2847" s="230" t="n">
        <f aca="false">+YEARFRAC(L2847,$S$1)</f>
        <v>126.366666666667</v>
      </c>
      <c r="T2847" s="230" t="n">
        <f aca="false">+YEARFRAC(M2847,$S$1)</f>
        <v>126.366666666667</v>
      </c>
      <c r="U2847" s="231" t="n">
        <f aca="false">+$I2847</f>
        <v>0</v>
      </c>
      <c r="V2847" s="232" t="str">
        <f aca="false">+PROPER(F2847)</f>
        <v/>
      </c>
    </row>
    <row r="2848" customFormat="false" ht="14.25" hidden="false" customHeight="false" outlineLevel="0" collapsed="false">
      <c r="B2848" s="244"/>
      <c r="C2848" s="245"/>
      <c r="D2848" s="245"/>
      <c r="E2848" s="246"/>
      <c r="F2848" s="246"/>
      <c r="G2848" s="225" t="e">
        <f aca="false">VLOOKUP(B2848,'NIVEL ENERO'!A:F,4,0)</f>
        <v>#N/A</v>
      </c>
      <c r="H2848" s="247"/>
      <c r="I2848" s="247"/>
      <c r="J2848" s="246"/>
      <c r="K2848" s="246"/>
      <c r="L2848" s="226"/>
      <c r="M2848" s="226"/>
      <c r="N2848" s="246"/>
      <c r="P2848" s="228"/>
      <c r="Q2848" s="245"/>
      <c r="R2848" s="186" t="str">
        <f aca="false">+PROPER(C2848&amp;" "&amp;D2848)</f>
        <v> </v>
      </c>
      <c r="S2848" s="230" t="n">
        <f aca="false">+YEARFRAC(L2848,$S$1)</f>
        <v>126.366666666667</v>
      </c>
      <c r="T2848" s="230" t="n">
        <f aca="false">+YEARFRAC(M2848,$S$1)</f>
        <v>126.366666666667</v>
      </c>
      <c r="U2848" s="231" t="n">
        <f aca="false">+$I2848</f>
        <v>0</v>
      </c>
      <c r="V2848" s="232" t="str">
        <f aca="false">+PROPER(F2848)</f>
        <v/>
      </c>
    </row>
    <row r="2849" customFormat="false" ht="14.25" hidden="false" customHeight="false" outlineLevel="0" collapsed="false">
      <c r="B2849" s="244"/>
      <c r="C2849" s="245"/>
      <c r="D2849" s="245"/>
      <c r="E2849" s="246"/>
      <c r="F2849" s="246"/>
      <c r="G2849" s="225" t="e">
        <f aca="false">VLOOKUP(B2849,'NIVEL ENERO'!A:F,4,0)</f>
        <v>#N/A</v>
      </c>
      <c r="H2849" s="247"/>
      <c r="I2849" s="247"/>
      <c r="J2849" s="246"/>
      <c r="K2849" s="246"/>
      <c r="L2849" s="226"/>
      <c r="M2849" s="226"/>
      <c r="N2849" s="246"/>
      <c r="P2849" s="228"/>
      <c r="Q2849" s="245"/>
      <c r="R2849" s="186" t="str">
        <f aca="false">+PROPER(C2849&amp;" "&amp;D2849)</f>
        <v> </v>
      </c>
      <c r="S2849" s="230" t="n">
        <f aca="false">+YEARFRAC(L2849,$S$1)</f>
        <v>126.366666666667</v>
      </c>
      <c r="T2849" s="230" t="n">
        <f aca="false">+YEARFRAC(M2849,$S$1)</f>
        <v>126.366666666667</v>
      </c>
      <c r="U2849" s="231" t="n">
        <f aca="false">+$I2849</f>
        <v>0</v>
      </c>
      <c r="V2849" s="232" t="str">
        <f aca="false">+PROPER(F2849)</f>
        <v/>
      </c>
    </row>
    <row r="2850" customFormat="false" ht="14.25" hidden="false" customHeight="false" outlineLevel="0" collapsed="false">
      <c r="B2850" s="244"/>
      <c r="C2850" s="245"/>
      <c r="D2850" s="245"/>
      <c r="E2850" s="246"/>
      <c r="F2850" s="246"/>
      <c r="G2850" s="225" t="e">
        <f aca="false">VLOOKUP(B2850,'NIVEL ENERO'!A:F,4,0)</f>
        <v>#N/A</v>
      </c>
      <c r="H2850" s="247"/>
      <c r="I2850" s="247"/>
      <c r="J2850" s="246"/>
      <c r="K2850" s="246"/>
      <c r="L2850" s="226"/>
      <c r="M2850" s="226"/>
      <c r="N2850" s="246"/>
      <c r="P2850" s="228"/>
      <c r="Q2850" s="245"/>
      <c r="R2850" s="186" t="str">
        <f aca="false">+PROPER(C2850&amp;" "&amp;D2850)</f>
        <v> </v>
      </c>
      <c r="S2850" s="230" t="n">
        <f aca="false">+YEARFRAC(L2850,$S$1)</f>
        <v>126.366666666667</v>
      </c>
      <c r="T2850" s="230" t="n">
        <f aca="false">+YEARFRAC(M2850,$S$1)</f>
        <v>126.366666666667</v>
      </c>
      <c r="U2850" s="231" t="n">
        <f aca="false">+$I2850</f>
        <v>0</v>
      </c>
      <c r="V2850" s="232" t="str">
        <f aca="false">+PROPER(F2850)</f>
        <v/>
      </c>
    </row>
    <row r="2851" customFormat="false" ht="14.25" hidden="false" customHeight="false" outlineLevel="0" collapsed="false">
      <c r="B2851" s="244"/>
      <c r="C2851" s="245"/>
      <c r="D2851" s="245"/>
      <c r="E2851" s="246"/>
      <c r="F2851" s="246"/>
      <c r="G2851" s="225" t="e">
        <f aca="false">VLOOKUP(B2851,'NIVEL ENERO'!A:F,4,0)</f>
        <v>#N/A</v>
      </c>
      <c r="H2851" s="247"/>
      <c r="I2851" s="247"/>
      <c r="J2851" s="246"/>
      <c r="K2851" s="246"/>
      <c r="L2851" s="226"/>
      <c r="M2851" s="226"/>
      <c r="N2851" s="246"/>
      <c r="P2851" s="228"/>
      <c r="Q2851" s="245"/>
      <c r="R2851" s="186" t="str">
        <f aca="false">+PROPER(C2851&amp;" "&amp;D2851)</f>
        <v> </v>
      </c>
      <c r="S2851" s="230" t="n">
        <f aca="false">+YEARFRAC(L2851,$S$1)</f>
        <v>126.366666666667</v>
      </c>
      <c r="T2851" s="230" t="n">
        <f aca="false">+YEARFRAC(M2851,$S$1)</f>
        <v>126.366666666667</v>
      </c>
      <c r="U2851" s="231" t="n">
        <f aca="false">+$I2851</f>
        <v>0</v>
      </c>
      <c r="V2851" s="232" t="str">
        <f aca="false">+PROPER(F2851)</f>
        <v/>
      </c>
    </row>
    <row r="2852" customFormat="false" ht="14.25" hidden="false" customHeight="false" outlineLevel="0" collapsed="false">
      <c r="B2852" s="244"/>
      <c r="C2852" s="245"/>
      <c r="D2852" s="245"/>
      <c r="E2852" s="246"/>
      <c r="F2852" s="246"/>
      <c r="G2852" s="225" t="e">
        <f aca="false">VLOOKUP(B2852,'NIVEL ENERO'!A:F,4,0)</f>
        <v>#N/A</v>
      </c>
      <c r="H2852" s="247"/>
      <c r="I2852" s="247"/>
      <c r="J2852" s="246"/>
      <c r="K2852" s="246"/>
      <c r="L2852" s="226"/>
      <c r="M2852" s="226"/>
      <c r="N2852" s="246"/>
      <c r="P2852" s="228"/>
      <c r="Q2852" s="245"/>
      <c r="R2852" s="186" t="str">
        <f aca="false">+PROPER(C2852&amp;" "&amp;D2852)</f>
        <v> </v>
      </c>
      <c r="S2852" s="230" t="n">
        <f aca="false">+YEARFRAC(L2852,$S$1)</f>
        <v>126.366666666667</v>
      </c>
      <c r="T2852" s="230" t="n">
        <f aca="false">+YEARFRAC(M2852,$S$1)</f>
        <v>126.366666666667</v>
      </c>
      <c r="U2852" s="231" t="n">
        <f aca="false">+$I2852</f>
        <v>0</v>
      </c>
      <c r="V2852" s="232" t="str">
        <f aca="false">+PROPER(F2852)</f>
        <v/>
      </c>
    </row>
    <row r="2853" customFormat="false" ht="14.25" hidden="false" customHeight="false" outlineLevel="0" collapsed="false">
      <c r="B2853" s="244"/>
      <c r="C2853" s="245"/>
      <c r="D2853" s="245"/>
      <c r="E2853" s="246"/>
      <c r="F2853" s="246"/>
      <c r="G2853" s="225" t="e">
        <f aca="false">VLOOKUP(B2853,'NIVEL ENERO'!A:F,4,0)</f>
        <v>#N/A</v>
      </c>
      <c r="H2853" s="247"/>
      <c r="I2853" s="247"/>
      <c r="J2853" s="246"/>
      <c r="K2853" s="246"/>
      <c r="L2853" s="226"/>
      <c r="M2853" s="226"/>
      <c r="N2853" s="246"/>
      <c r="P2853" s="228"/>
      <c r="Q2853" s="245"/>
      <c r="R2853" s="186" t="str">
        <f aca="false">+PROPER(C2853&amp;" "&amp;D2853)</f>
        <v> </v>
      </c>
      <c r="S2853" s="230" t="n">
        <f aca="false">+YEARFRAC(L2853,$S$1)</f>
        <v>126.366666666667</v>
      </c>
      <c r="T2853" s="230" t="n">
        <f aca="false">+YEARFRAC(M2853,$S$1)</f>
        <v>126.366666666667</v>
      </c>
      <c r="U2853" s="231" t="n">
        <f aca="false">+$I2853</f>
        <v>0</v>
      </c>
      <c r="V2853" s="232" t="str">
        <f aca="false">+PROPER(F2853)</f>
        <v/>
      </c>
    </row>
    <row r="2854" customFormat="false" ht="14.25" hidden="false" customHeight="false" outlineLevel="0" collapsed="false">
      <c r="B2854" s="244"/>
      <c r="C2854" s="245"/>
      <c r="D2854" s="245"/>
      <c r="E2854" s="246"/>
      <c r="F2854" s="246"/>
      <c r="G2854" s="225" t="e">
        <f aca="false">VLOOKUP(B2854,'NIVEL ENERO'!A:F,4,0)</f>
        <v>#N/A</v>
      </c>
      <c r="H2854" s="247"/>
      <c r="I2854" s="247"/>
      <c r="J2854" s="246"/>
      <c r="K2854" s="246"/>
      <c r="L2854" s="226"/>
      <c r="M2854" s="226"/>
      <c r="N2854" s="246"/>
      <c r="P2854" s="228"/>
      <c r="Q2854" s="245"/>
      <c r="R2854" s="186" t="str">
        <f aca="false">+PROPER(C2854&amp;" "&amp;D2854)</f>
        <v> </v>
      </c>
      <c r="S2854" s="230" t="n">
        <f aca="false">+YEARFRAC(L2854,$S$1)</f>
        <v>126.366666666667</v>
      </c>
      <c r="T2854" s="230" t="n">
        <f aca="false">+YEARFRAC(M2854,$S$1)</f>
        <v>126.366666666667</v>
      </c>
      <c r="U2854" s="231" t="n">
        <f aca="false">+$I2854</f>
        <v>0</v>
      </c>
      <c r="V2854" s="232" t="str">
        <f aca="false">+PROPER(F2854)</f>
        <v/>
      </c>
    </row>
    <row r="2855" customFormat="false" ht="14.25" hidden="false" customHeight="false" outlineLevel="0" collapsed="false">
      <c r="B2855" s="244"/>
      <c r="C2855" s="245"/>
      <c r="D2855" s="245"/>
      <c r="E2855" s="246"/>
      <c r="F2855" s="246"/>
      <c r="G2855" s="225" t="e">
        <f aca="false">VLOOKUP(B2855,'NIVEL ENERO'!A:F,4,0)</f>
        <v>#N/A</v>
      </c>
      <c r="H2855" s="247"/>
      <c r="I2855" s="247"/>
      <c r="J2855" s="246"/>
      <c r="K2855" s="246"/>
      <c r="L2855" s="226"/>
      <c r="M2855" s="226"/>
      <c r="N2855" s="246"/>
      <c r="P2855" s="228"/>
      <c r="Q2855" s="245"/>
      <c r="R2855" s="186" t="str">
        <f aca="false">+PROPER(C2855&amp;" "&amp;D2855)</f>
        <v> </v>
      </c>
      <c r="S2855" s="230" t="n">
        <f aca="false">+YEARFRAC(L2855,$S$1)</f>
        <v>126.366666666667</v>
      </c>
      <c r="T2855" s="230" t="n">
        <f aca="false">+YEARFRAC(M2855,$S$1)</f>
        <v>126.366666666667</v>
      </c>
      <c r="U2855" s="231" t="n">
        <f aca="false">+$I2855</f>
        <v>0</v>
      </c>
      <c r="V2855" s="232" t="str">
        <f aca="false">+PROPER(F2855)</f>
        <v/>
      </c>
    </row>
    <row r="2856" customFormat="false" ht="14.25" hidden="false" customHeight="false" outlineLevel="0" collapsed="false">
      <c r="B2856" s="244"/>
      <c r="C2856" s="245"/>
      <c r="D2856" s="245"/>
      <c r="E2856" s="246"/>
      <c r="F2856" s="246"/>
      <c r="G2856" s="225" t="e">
        <f aca="false">VLOOKUP(B2856,'NIVEL ENERO'!A:F,4,0)</f>
        <v>#N/A</v>
      </c>
      <c r="H2856" s="247"/>
      <c r="I2856" s="247"/>
      <c r="J2856" s="246"/>
      <c r="K2856" s="246"/>
      <c r="L2856" s="226"/>
      <c r="M2856" s="226"/>
      <c r="N2856" s="246"/>
      <c r="P2856" s="228"/>
      <c r="Q2856" s="245"/>
      <c r="R2856" s="186" t="str">
        <f aca="false">+PROPER(C2856&amp;" "&amp;D2856)</f>
        <v> </v>
      </c>
      <c r="S2856" s="230" t="n">
        <f aca="false">+YEARFRAC(L2856,$S$1)</f>
        <v>126.366666666667</v>
      </c>
      <c r="T2856" s="230" t="n">
        <f aca="false">+YEARFRAC(M2856,$S$1)</f>
        <v>126.366666666667</v>
      </c>
      <c r="U2856" s="231" t="n">
        <f aca="false">+$I2856</f>
        <v>0</v>
      </c>
      <c r="V2856" s="232" t="str">
        <f aca="false">+PROPER(F2856)</f>
        <v/>
      </c>
    </row>
    <row r="2857" customFormat="false" ht="14.25" hidden="false" customHeight="false" outlineLevel="0" collapsed="false">
      <c r="B2857" s="244"/>
      <c r="C2857" s="245"/>
      <c r="D2857" s="245"/>
      <c r="E2857" s="246"/>
      <c r="F2857" s="246"/>
      <c r="G2857" s="225" t="e">
        <f aca="false">VLOOKUP(B2857,'NIVEL ENERO'!A:F,4,0)</f>
        <v>#N/A</v>
      </c>
      <c r="H2857" s="247"/>
      <c r="I2857" s="247"/>
      <c r="J2857" s="246"/>
      <c r="K2857" s="246"/>
      <c r="L2857" s="226"/>
      <c r="M2857" s="226"/>
      <c r="N2857" s="246"/>
      <c r="P2857" s="228"/>
      <c r="Q2857" s="245"/>
      <c r="R2857" s="186" t="str">
        <f aca="false">+PROPER(C2857&amp;" "&amp;D2857)</f>
        <v> </v>
      </c>
      <c r="S2857" s="230" t="n">
        <f aca="false">+YEARFRAC(L2857,$S$1)</f>
        <v>126.366666666667</v>
      </c>
      <c r="T2857" s="230" t="n">
        <f aca="false">+YEARFRAC(M2857,$S$1)</f>
        <v>126.366666666667</v>
      </c>
      <c r="U2857" s="231" t="n">
        <f aca="false">+$I2857</f>
        <v>0</v>
      </c>
      <c r="V2857" s="232" t="str">
        <f aca="false">+PROPER(F2857)</f>
        <v/>
      </c>
    </row>
    <row r="2858" customFormat="false" ht="14.25" hidden="false" customHeight="false" outlineLevel="0" collapsed="false">
      <c r="B2858" s="244"/>
      <c r="C2858" s="245"/>
      <c r="D2858" s="245"/>
      <c r="E2858" s="246"/>
      <c r="F2858" s="246"/>
      <c r="G2858" s="225" t="e">
        <f aca="false">VLOOKUP(B2858,'NIVEL ENERO'!A:F,4,0)</f>
        <v>#N/A</v>
      </c>
      <c r="H2858" s="247"/>
      <c r="I2858" s="247"/>
      <c r="J2858" s="246"/>
      <c r="K2858" s="246"/>
      <c r="L2858" s="226"/>
      <c r="M2858" s="226"/>
      <c r="N2858" s="246"/>
      <c r="P2858" s="228"/>
      <c r="Q2858" s="245"/>
      <c r="R2858" s="186" t="str">
        <f aca="false">+PROPER(C2858&amp;" "&amp;D2858)</f>
        <v> </v>
      </c>
      <c r="S2858" s="230" t="n">
        <f aca="false">+YEARFRAC(L2858,$S$1)</f>
        <v>126.366666666667</v>
      </c>
      <c r="T2858" s="230" t="n">
        <f aca="false">+YEARFRAC(M2858,$S$1)</f>
        <v>126.366666666667</v>
      </c>
      <c r="U2858" s="231" t="n">
        <f aca="false">+$I2858</f>
        <v>0</v>
      </c>
      <c r="V2858" s="232" t="str">
        <f aca="false">+PROPER(F2858)</f>
        <v/>
      </c>
    </row>
    <row r="2859" customFormat="false" ht="14.25" hidden="false" customHeight="false" outlineLevel="0" collapsed="false">
      <c r="B2859" s="244"/>
      <c r="C2859" s="245"/>
      <c r="D2859" s="245"/>
      <c r="E2859" s="246"/>
      <c r="F2859" s="246"/>
      <c r="G2859" s="225" t="e">
        <f aca="false">VLOOKUP(B2859,'NIVEL ENERO'!A:F,4,0)</f>
        <v>#N/A</v>
      </c>
      <c r="H2859" s="247"/>
      <c r="I2859" s="247"/>
      <c r="J2859" s="246"/>
      <c r="K2859" s="246"/>
      <c r="L2859" s="226"/>
      <c r="M2859" s="226"/>
      <c r="N2859" s="246"/>
      <c r="P2859" s="228"/>
      <c r="Q2859" s="245"/>
      <c r="R2859" s="186" t="str">
        <f aca="false">+PROPER(C2859&amp;" "&amp;D2859)</f>
        <v> </v>
      </c>
      <c r="S2859" s="230" t="n">
        <f aca="false">+YEARFRAC(L2859,$S$1)</f>
        <v>126.366666666667</v>
      </c>
      <c r="T2859" s="230" t="n">
        <f aca="false">+YEARFRAC(M2859,$S$1)</f>
        <v>126.366666666667</v>
      </c>
      <c r="U2859" s="231" t="n">
        <f aca="false">+$I2859</f>
        <v>0</v>
      </c>
      <c r="V2859" s="232" t="str">
        <f aca="false">+PROPER(F2859)</f>
        <v/>
      </c>
    </row>
    <row r="2860" customFormat="false" ht="14.25" hidden="false" customHeight="false" outlineLevel="0" collapsed="false">
      <c r="B2860" s="244"/>
      <c r="C2860" s="245"/>
      <c r="D2860" s="245"/>
      <c r="E2860" s="246"/>
      <c r="F2860" s="246"/>
      <c r="G2860" s="225" t="e">
        <f aca="false">VLOOKUP(B2860,'NIVEL ENERO'!A:F,4,0)</f>
        <v>#N/A</v>
      </c>
      <c r="H2860" s="247"/>
      <c r="I2860" s="247"/>
      <c r="J2860" s="246"/>
      <c r="K2860" s="246"/>
      <c r="L2860" s="226"/>
      <c r="M2860" s="226"/>
      <c r="N2860" s="246"/>
      <c r="P2860" s="228"/>
      <c r="Q2860" s="245"/>
      <c r="R2860" s="186" t="str">
        <f aca="false">+PROPER(C2860&amp;" "&amp;D2860)</f>
        <v> </v>
      </c>
      <c r="S2860" s="230" t="n">
        <f aca="false">+YEARFRAC(L2860,$S$1)</f>
        <v>126.366666666667</v>
      </c>
      <c r="T2860" s="230" t="n">
        <f aca="false">+YEARFRAC(M2860,$S$1)</f>
        <v>126.366666666667</v>
      </c>
      <c r="U2860" s="231" t="n">
        <f aca="false">+$I2860</f>
        <v>0</v>
      </c>
      <c r="V2860" s="232" t="str">
        <f aca="false">+PROPER(F2860)</f>
        <v/>
      </c>
    </row>
    <row r="2861" customFormat="false" ht="14.25" hidden="false" customHeight="false" outlineLevel="0" collapsed="false">
      <c r="B2861" s="244"/>
      <c r="C2861" s="245"/>
      <c r="D2861" s="245"/>
      <c r="E2861" s="246"/>
      <c r="F2861" s="246"/>
      <c r="G2861" s="225" t="e">
        <f aca="false">VLOOKUP(B2861,'NIVEL ENERO'!A:F,4,0)</f>
        <v>#N/A</v>
      </c>
      <c r="H2861" s="247"/>
      <c r="I2861" s="247"/>
      <c r="J2861" s="246"/>
      <c r="K2861" s="246"/>
      <c r="L2861" s="226"/>
      <c r="M2861" s="226"/>
      <c r="N2861" s="246"/>
      <c r="P2861" s="228"/>
      <c r="Q2861" s="245"/>
      <c r="R2861" s="186" t="str">
        <f aca="false">+PROPER(C2861&amp;" "&amp;D2861)</f>
        <v> </v>
      </c>
      <c r="S2861" s="230" t="n">
        <f aca="false">+YEARFRAC(L2861,$S$1)</f>
        <v>126.366666666667</v>
      </c>
      <c r="T2861" s="230" t="n">
        <f aca="false">+YEARFRAC(M2861,$S$1)</f>
        <v>126.366666666667</v>
      </c>
      <c r="U2861" s="231" t="n">
        <f aca="false">+$I2861</f>
        <v>0</v>
      </c>
      <c r="V2861" s="232" t="str">
        <f aca="false">+PROPER(F2861)</f>
        <v/>
      </c>
    </row>
    <row r="2862" customFormat="false" ht="14.25" hidden="false" customHeight="false" outlineLevel="0" collapsed="false">
      <c r="B2862" s="244"/>
      <c r="C2862" s="245"/>
      <c r="D2862" s="245"/>
      <c r="E2862" s="246"/>
      <c r="F2862" s="246"/>
      <c r="G2862" s="225" t="e">
        <f aca="false">VLOOKUP(B2862,'NIVEL ENERO'!A:F,4,0)</f>
        <v>#N/A</v>
      </c>
      <c r="H2862" s="247"/>
      <c r="I2862" s="247"/>
      <c r="J2862" s="246"/>
      <c r="K2862" s="246"/>
      <c r="L2862" s="226"/>
      <c r="M2862" s="226"/>
      <c r="N2862" s="246"/>
      <c r="P2862" s="228"/>
      <c r="Q2862" s="245"/>
      <c r="R2862" s="186" t="str">
        <f aca="false">+PROPER(C2862&amp;" "&amp;D2862)</f>
        <v> </v>
      </c>
      <c r="S2862" s="230" t="n">
        <f aca="false">+YEARFRAC(L2862,$S$1)</f>
        <v>126.366666666667</v>
      </c>
      <c r="T2862" s="230" t="n">
        <f aca="false">+YEARFRAC(M2862,$S$1)</f>
        <v>126.366666666667</v>
      </c>
      <c r="U2862" s="231" t="n">
        <f aca="false">+$I2862</f>
        <v>0</v>
      </c>
      <c r="V2862" s="232" t="str">
        <f aca="false">+PROPER(F2862)</f>
        <v/>
      </c>
    </row>
    <row r="2863" customFormat="false" ht="14.25" hidden="false" customHeight="false" outlineLevel="0" collapsed="false">
      <c r="B2863" s="244"/>
      <c r="C2863" s="245"/>
      <c r="D2863" s="245"/>
      <c r="E2863" s="246"/>
      <c r="F2863" s="246"/>
      <c r="G2863" s="225" t="e">
        <f aca="false">VLOOKUP(B2863,'NIVEL ENERO'!A:F,4,0)</f>
        <v>#N/A</v>
      </c>
      <c r="H2863" s="247"/>
      <c r="I2863" s="247"/>
      <c r="J2863" s="246"/>
      <c r="K2863" s="246"/>
      <c r="L2863" s="226"/>
      <c r="M2863" s="226"/>
      <c r="N2863" s="246"/>
      <c r="P2863" s="228"/>
      <c r="Q2863" s="245"/>
      <c r="R2863" s="186" t="str">
        <f aca="false">+PROPER(C2863&amp;" "&amp;D2863)</f>
        <v> </v>
      </c>
      <c r="S2863" s="230" t="n">
        <f aca="false">+YEARFRAC(L2863,$S$1)</f>
        <v>126.366666666667</v>
      </c>
      <c r="T2863" s="230" t="n">
        <f aca="false">+YEARFRAC(M2863,$S$1)</f>
        <v>126.366666666667</v>
      </c>
      <c r="U2863" s="231" t="n">
        <f aca="false">+$I2863</f>
        <v>0</v>
      </c>
      <c r="V2863" s="232" t="str">
        <f aca="false">+PROPER(F2863)</f>
        <v/>
      </c>
    </row>
    <row r="2864" customFormat="false" ht="14.25" hidden="false" customHeight="false" outlineLevel="0" collapsed="false">
      <c r="B2864" s="244"/>
      <c r="C2864" s="245"/>
      <c r="D2864" s="245"/>
      <c r="E2864" s="246"/>
      <c r="F2864" s="246"/>
      <c r="G2864" s="225" t="e">
        <f aca="false">VLOOKUP(B2864,'NIVEL ENERO'!A:F,4,0)</f>
        <v>#N/A</v>
      </c>
      <c r="H2864" s="247"/>
      <c r="I2864" s="247"/>
      <c r="J2864" s="246"/>
      <c r="K2864" s="246"/>
      <c r="L2864" s="226"/>
      <c r="M2864" s="226"/>
      <c r="N2864" s="246"/>
      <c r="P2864" s="228"/>
      <c r="Q2864" s="245"/>
      <c r="R2864" s="186" t="str">
        <f aca="false">+PROPER(C2864&amp;" "&amp;D2864)</f>
        <v> </v>
      </c>
      <c r="S2864" s="230" t="n">
        <f aca="false">+YEARFRAC(L2864,$S$1)</f>
        <v>126.366666666667</v>
      </c>
      <c r="T2864" s="230" t="n">
        <f aca="false">+YEARFRAC(M2864,$S$1)</f>
        <v>126.366666666667</v>
      </c>
      <c r="U2864" s="231" t="n">
        <f aca="false">+$I2864</f>
        <v>0</v>
      </c>
      <c r="V2864" s="232" t="str">
        <f aca="false">+PROPER(F2864)</f>
        <v/>
      </c>
    </row>
    <row r="2865" customFormat="false" ht="14.25" hidden="false" customHeight="false" outlineLevel="0" collapsed="false">
      <c r="B2865" s="244"/>
      <c r="C2865" s="245"/>
      <c r="D2865" s="245"/>
      <c r="E2865" s="246"/>
      <c r="F2865" s="246"/>
      <c r="G2865" s="225" t="e">
        <f aca="false">VLOOKUP(B2865,'NIVEL ENERO'!A:F,4,0)</f>
        <v>#N/A</v>
      </c>
      <c r="H2865" s="247"/>
      <c r="I2865" s="247"/>
      <c r="J2865" s="246"/>
      <c r="K2865" s="246"/>
      <c r="L2865" s="226"/>
      <c r="M2865" s="226"/>
      <c r="N2865" s="246"/>
      <c r="P2865" s="228"/>
      <c r="Q2865" s="245"/>
      <c r="R2865" s="186" t="str">
        <f aca="false">+PROPER(C2865&amp;" "&amp;D2865)</f>
        <v> </v>
      </c>
      <c r="S2865" s="230" t="n">
        <f aca="false">+YEARFRAC(L2865,$S$1)</f>
        <v>126.366666666667</v>
      </c>
      <c r="T2865" s="230" t="n">
        <f aca="false">+YEARFRAC(M2865,$S$1)</f>
        <v>126.366666666667</v>
      </c>
      <c r="U2865" s="231" t="n">
        <f aca="false">+$I2865</f>
        <v>0</v>
      </c>
      <c r="V2865" s="232" t="str">
        <f aca="false">+PROPER(F2865)</f>
        <v/>
      </c>
    </row>
    <row r="2866" customFormat="false" ht="14.25" hidden="false" customHeight="false" outlineLevel="0" collapsed="false">
      <c r="B2866" s="244"/>
      <c r="C2866" s="245"/>
      <c r="D2866" s="245"/>
      <c r="E2866" s="246"/>
      <c r="F2866" s="246"/>
      <c r="G2866" s="225" t="e">
        <f aca="false">VLOOKUP(B2866,'NIVEL ENERO'!A:F,4,0)</f>
        <v>#N/A</v>
      </c>
      <c r="H2866" s="247"/>
      <c r="I2866" s="247"/>
      <c r="J2866" s="246"/>
      <c r="K2866" s="246"/>
      <c r="L2866" s="226"/>
      <c r="M2866" s="226"/>
      <c r="N2866" s="246"/>
      <c r="P2866" s="228"/>
      <c r="Q2866" s="245"/>
      <c r="R2866" s="186" t="str">
        <f aca="false">+PROPER(C2866&amp;" "&amp;D2866)</f>
        <v> </v>
      </c>
      <c r="S2866" s="230" t="n">
        <f aca="false">+YEARFRAC(L2866,$S$1)</f>
        <v>126.366666666667</v>
      </c>
      <c r="T2866" s="230" t="n">
        <f aca="false">+YEARFRAC(M2866,$S$1)</f>
        <v>126.366666666667</v>
      </c>
      <c r="U2866" s="231" t="n">
        <f aca="false">+$I2866</f>
        <v>0</v>
      </c>
      <c r="V2866" s="232" t="str">
        <f aca="false">+PROPER(F2866)</f>
        <v/>
      </c>
    </row>
    <row r="2867" customFormat="false" ht="14.25" hidden="false" customHeight="false" outlineLevel="0" collapsed="false">
      <c r="B2867" s="244"/>
      <c r="C2867" s="245"/>
      <c r="D2867" s="245"/>
      <c r="E2867" s="246"/>
      <c r="F2867" s="246"/>
      <c r="G2867" s="225" t="e">
        <f aca="false">VLOOKUP(B2867,'NIVEL ENERO'!A:F,4,0)</f>
        <v>#N/A</v>
      </c>
      <c r="H2867" s="247"/>
      <c r="I2867" s="247"/>
      <c r="J2867" s="246"/>
      <c r="K2867" s="246"/>
      <c r="L2867" s="226"/>
      <c r="M2867" s="226"/>
      <c r="N2867" s="246"/>
      <c r="P2867" s="228"/>
      <c r="Q2867" s="245"/>
      <c r="R2867" s="186" t="str">
        <f aca="false">+PROPER(C2867&amp;" "&amp;D2867)</f>
        <v> </v>
      </c>
      <c r="S2867" s="230" t="n">
        <f aca="false">+YEARFRAC(L2867,$S$1)</f>
        <v>126.366666666667</v>
      </c>
      <c r="T2867" s="230" t="n">
        <f aca="false">+YEARFRAC(M2867,$S$1)</f>
        <v>126.366666666667</v>
      </c>
      <c r="U2867" s="231" t="n">
        <f aca="false">+$I2867</f>
        <v>0</v>
      </c>
      <c r="V2867" s="232" t="str">
        <f aca="false">+PROPER(F2867)</f>
        <v/>
      </c>
    </row>
    <row r="2868" customFormat="false" ht="14.25" hidden="false" customHeight="false" outlineLevel="0" collapsed="false">
      <c r="B2868" s="244"/>
      <c r="C2868" s="245"/>
      <c r="D2868" s="245"/>
      <c r="E2868" s="246"/>
      <c r="F2868" s="246"/>
      <c r="G2868" s="225" t="e">
        <f aca="false">VLOOKUP(B2868,'NIVEL ENERO'!A:F,4,0)</f>
        <v>#N/A</v>
      </c>
      <c r="H2868" s="247"/>
      <c r="I2868" s="247"/>
      <c r="J2868" s="246"/>
      <c r="K2868" s="246"/>
      <c r="L2868" s="226"/>
      <c r="M2868" s="226"/>
      <c r="N2868" s="246"/>
      <c r="P2868" s="228"/>
      <c r="Q2868" s="245"/>
      <c r="R2868" s="186" t="str">
        <f aca="false">+PROPER(C2868&amp;" "&amp;D2868)</f>
        <v> </v>
      </c>
      <c r="S2868" s="230" t="n">
        <f aca="false">+YEARFRAC(L2868,$S$1)</f>
        <v>126.366666666667</v>
      </c>
      <c r="T2868" s="230" t="n">
        <f aca="false">+YEARFRAC(M2868,$S$1)</f>
        <v>126.366666666667</v>
      </c>
      <c r="U2868" s="231" t="n">
        <f aca="false">+$I2868</f>
        <v>0</v>
      </c>
      <c r="V2868" s="232" t="str">
        <f aca="false">+PROPER(F2868)</f>
        <v/>
      </c>
    </row>
    <row r="2869" customFormat="false" ht="14.25" hidden="false" customHeight="false" outlineLevel="0" collapsed="false">
      <c r="B2869" s="244"/>
      <c r="C2869" s="245"/>
      <c r="D2869" s="245"/>
      <c r="E2869" s="246"/>
      <c r="F2869" s="246"/>
      <c r="G2869" s="225" t="e">
        <f aca="false">VLOOKUP(B2869,'NIVEL ENERO'!A:F,4,0)</f>
        <v>#N/A</v>
      </c>
      <c r="H2869" s="247"/>
      <c r="I2869" s="247"/>
      <c r="J2869" s="246"/>
      <c r="K2869" s="246"/>
      <c r="L2869" s="226"/>
      <c r="M2869" s="226"/>
      <c r="N2869" s="246"/>
      <c r="P2869" s="228"/>
      <c r="Q2869" s="245"/>
      <c r="R2869" s="186" t="str">
        <f aca="false">+PROPER(C2869&amp;" "&amp;D2869)</f>
        <v> </v>
      </c>
      <c r="S2869" s="230" t="n">
        <f aca="false">+YEARFRAC(L2869,$S$1)</f>
        <v>126.366666666667</v>
      </c>
      <c r="T2869" s="230" t="n">
        <f aca="false">+YEARFRAC(M2869,$S$1)</f>
        <v>126.366666666667</v>
      </c>
      <c r="U2869" s="231" t="n">
        <f aca="false">+$I2869</f>
        <v>0</v>
      </c>
      <c r="V2869" s="232" t="str">
        <f aca="false">+PROPER(F2869)</f>
        <v/>
      </c>
    </row>
    <row r="2870" customFormat="false" ht="14.25" hidden="false" customHeight="false" outlineLevel="0" collapsed="false">
      <c r="B2870" s="244"/>
      <c r="C2870" s="245"/>
      <c r="D2870" s="245"/>
      <c r="E2870" s="246"/>
      <c r="F2870" s="246"/>
      <c r="G2870" s="225" t="e">
        <f aca="false">VLOOKUP(B2870,'NIVEL ENERO'!A:F,4,0)</f>
        <v>#N/A</v>
      </c>
      <c r="H2870" s="247"/>
      <c r="I2870" s="247"/>
      <c r="J2870" s="246"/>
      <c r="K2870" s="246"/>
      <c r="L2870" s="226"/>
      <c r="M2870" s="226"/>
      <c r="N2870" s="246"/>
      <c r="P2870" s="228"/>
      <c r="Q2870" s="245"/>
      <c r="R2870" s="186" t="str">
        <f aca="false">+PROPER(C2870&amp;" "&amp;D2870)</f>
        <v> </v>
      </c>
      <c r="S2870" s="230" t="n">
        <f aca="false">+YEARFRAC(L2870,$S$1)</f>
        <v>126.366666666667</v>
      </c>
      <c r="T2870" s="230" t="n">
        <f aca="false">+YEARFRAC(M2870,$S$1)</f>
        <v>126.366666666667</v>
      </c>
      <c r="U2870" s="231" t="n">
        <f aca="false">+$I2870</f>
        <v>0</v>
      </c>
      <c r="V2870" s="232" t="str">
        <f aca="false">+PROPER(F2870)</f>
        <v/>
      </c>
    </row>
    <row r="2871" customFormat="false" ht="14.25" hidden="false" customHeight="false" outlineLevel="0" collapsed="false">
      <c r="B2871" s="244"/>
      <c r="C2871" s="245"/>
      <c r="D2871" s="245"/>
      <c r="E2871" s="246"/>
      <c r="F2871" s="246"/>
      <c r="G2871" s="225" t="e">
        <f aca="false">VLOOKUP(B2871,'NIVEL ENERO'!A:F,4,0)</f>
        <v>#N/A</v>
      </c>
      <c r="H2871" s="247"/>
      <c r="I2871" s="247"/>
      <c r="J2871" s="246"/>
      <c r="K2871" s="246"/>
      <c r="L2871" s="226"/>
      <c r="M2871" s="226"/>
      <c r="N2871" s="246"/>
      <c r="P2871" s="228"/>
      <c r="Q2871" s="245"/>
      <c r="R2871" s="186" t="str">
        <f aca="false">+PROPER(C2871&amp;" "&amp;D2871)</f>
        <v> </v>
      </c>
      <c r="S2871" s="230" t="n">
        <f aca="false">+YEARFRAC(L2871,$S$1)</f>
        <v>126.366666666667</v>
      </c>
      <c r="T2871" s="230" t="n">
        <f aca="false">+YEARFRAC(M2871,$S$1)</f>
        <v>126.366666666667</v>
      </c>
      <c r="U2871" s="231" t="n">
        <f aca="false">+$I2871</f>
        <v>0</v>
      </c>
      <c r="V2871" s="232" t="str">
        <f aca="false">+PROPER(F2871)</f>
        <v/>
      </c>
    </row>
    <row r="2872" customFormat="false" ht="14.25" hidden="false" customHeight="false" outlineLevel="0" collapsed="false">
      <c r="B2872" s="244"/>
      <c r="C2872" s="245"/>
      <c r="D2872" s="245"/>
      <c r="E2872" s="246"/>
      <c r="F2872" s="246"/>
      <c r="G2872" s="225" t="e">
        <f aca="false">VLOOKUP(B2872,'NIVEL ENERO'!A:F,4,0)</f>
        <v>#N/A</v>
      </c>
      <c r="H2872" s="247"/>
      <c r="I2872" s="247"/>
      <c r="J2872" s="246"/>
      <c r="K2872" s="246"/>
      <c r="L2872" s="226"/>
      <c r="M2872" s="226"/>
      <c r="N2872" s="246"/>
      <c r="P2872" s="228"/>
      <c r="Q2872" s="245"/>
      <c r="R2872" s="186" t="str">
        <f aca="false">+PROPER(C2872&amp;" "&amp;D2872)</f>
        <v> </v>
      </c>
      <c r="S2872" s="230" t="n">
        <f aca="false">+YEARFRAC(L2872,$S$1)</f>
        <v>126.366666666667</v>
      </c>
      <c r="T2872" s="230" t="n">
        <f aca="false">+YEARFRAC(M2872,$S$1)</f>
        <v>126.366666666667</v>
      </c>
      <c r="U2872" s="231" t="n">
        <f aca="false">+$I2872</f>
        <v>0</v>
      </c>
      <c r="V2872" s="232" t="str">
        <f aca="false">+PROPER(F2872)</f>
        <v/>
      </c>
    </row>
    <row r="2873" customFormat="false" ht="14.25" hidden="false" customHeight="false" outlineLevel="0" collapsed="false">
      <c r="B2873" s="244"/>
      <c r="C2873" s="245"/>
      <c r="D2873" s="245"/>
      <c r="E2873" s="246"/>
      <c r="F2873" s="246"/>
      <c r="G2873" s="225" t="e">
        <f aca="false">VLOOKUP(B2873,'NIVEL ENERO'!A:F,4,0)</f>
        <v>#N/A</v>
      </c>
      <c r="H2873" s="247"/>
      <c r="I2873" s="247"/>
      <c r="J2873" s="246"/>
      <c r="K2873" s="246"/>
      <c r="L2873" s="226"/>
      <c r="M2873" s="226"/>
      <c r="N2873" s="246"/>
      <c r="P2873" s="228"/>
      <c r="Q2873" s="245"/>
      <c r="R2873" s="186" t="str">
        <f aca="false">+PROPER(C2873&amp;" "&amp;D2873)</f>
        <v> </v>
      </c>
      <c r="S2873" s="230" t="n">
        <f aca="false">+YEARFRAC(L2873,$S$1)</f>
        <v>126.366666666667</v>
      </c>
      <c r="T2873" s="230" t="n">
        <f aca="false">+YEARFRAC(M2873,$S$1)</f>
        <v>126.366666666667</v>
      </c>
      <c r="U2873" s="231" t="n">
        <f aca="false">+$I2873</f>
        <v>0</v>
      </c>
      <c r="V2873" s="232" t="str">
        <f aca="false">+PROPER(F2873)</f>
        <v/>
      </c>
    </row>
    <row r="2874" customFormat="false" ht="14.25" hidden="false" customHeight="false" outlineLevel="0" collapsed="false">
      <c r="B2874" s="244"/>
      <c r="C2874" s="245"/>
      <c r="D2874" s="245"/>
      <c r="E2874" s="246"/>
      <c r="F2874" s="246"/>
      <c r="G2874" s="225" t="e">
        <f aca="false">VLOOKUP(B2874,'NIVEL ENERO'!A:F,4,0)</f>
        <v>#N/A</v>
      </c>
      <c r="H2874" s="247"/>
      <c r="I2874" s="247"/>
      <c r="J2874" s="246"/>
      <c r="K2874" s="246"/>
      <c r="L2874" s="226"/>
      <c r="M2874" s="226"/>
      <c r="N2874" s="246"/>
      <c r="P2874" s="228"/>
      <c r="Q2874" s="245"/>
      <c r="R2874" s="186" t="str">
        <f aca="false">+PROPER(C2874&amp;" "&amp;D2874)</f>
        <v> </v>
      </c>
      <c r="S2874" s="230" t="n">
        <f aca="false">+YEARFRAC(L2874,$S$1)</f>
        <v>126.366666666667</v>
      </c>
      <c r="T2874" s="230" t="n">
        <f aca="false">+YEARFRAC(M2874,$S$1)</f>
        <v>126.366666666667</v>
      </c>
      <c r="U2874" s="231" t="n">
        <f aca="false">+$I2874</f>
        <v>0</v>
      </c>
      <c r="V2874" s="232" t="str">
        <f aca="false">+PROPER(F2874)</f>
        <v/>
      </c>
    </row>
    <row r="2875" customFormat="false" ht="14.25" hidden="false" customHeight="false" outlineLevel="0" collapsed="false">
      <c r="B2875" s="244"/>
      <c r="C2875" s="245"/>
      <c r="D2875" s="245"/>
      <c r="E2875" s="246"/>
      <c r="F2875" s="246"/>
      <c r="G2875" s="225" t="e">
        <f aca="false">VLOOKUP(B2875,'NIVEL ENERO'!A:F,4,0)</f>
        <v>#N/A</v>
      </c>
      <c r="H2875" s="247"/>
      <c r="I2875" s="247"/>
      <c r="J2875" s="246"/>
      <c r="K2875" s="246"/>
      <c r="L2875" s="226"/>
      <c r="M2875" s="226"/>
      <c r="N2875" s="246"/>
      <c r="P2875" s="228"/>
      <c r="Q2875" s="245"/>
      <c r="R2875" s="186" t="str">
        <f aca="false">+PROPER(C2875&amp;" "&amp;D2875)</f>
        <v> </v>
      </c>
      <c r="S2875" s="230" t="n">
        <f aca="false">+YEARFRAC(L2875,$S$1)</f>
        <v>126.366666666667</v>
      </c>
      <c r="T2875" s="230" t="n">
        <f aca="false">+YEARFRAC(M2875,$S$1)</f>
        <v>126.366666666667</v>
      </c>
      <c r="U2875" s="231" t="n">
        <f aca="false">+$I2875</f>
        <v>0</v>
      </c>
      <c r="V2875" s="232" t="str">
        <f aca="false">+PROPER(F2875)</f>
        <v/>
      </c>
    </row>
    <row r="2876" customFormat="false" ht="14.25" hidden="false" customHeight="false" outlineLevel="0" collapsed="false">
      <c r="B2876" s="244"/>
      <c r="C2876" s="245"/>
      <c r="D2876" s="245"/>
      <c r="E2876" s="246"/>
      <c r="F2876" s="246"/>
      <c r="G2876" s="225" t="e">
        <f aca="false">VLOOKUP(B2876,'NIVEL ENERO'!A:F,4,0)</f>
        <v>#N/A</v>
      </c>
      <c r="H2876" s="247"/>
      <c r="I2876" s="247"/>
      <c r="J2876" s="246"/>
      <c r="K2876" s="246"/>
      <c r="L2876" s="226"/>
      <c r="M2876" s="226"/>
      <c r="N2876" s="246"/>
      <c r="P2876" s="228"/>
      <c r="Q2876" s="245"/>
      <c r="R2876" s="186" t="str">
        <f aca="false">+PROPER(C2876&amp;" "&amp;D2876)</f>
        <v> </v>
      </c>
      <c r="S2876" s="230" t="n">
        <f aca="false">+YEARFRAC(L2876,$S$1)</f>
        <v>126.366666666667</v>
      </c>
      <c r="T2876" s="230" t="n">
        <f aca="false">+YEARFRAC(M2876,$S$1)</f>
        <v>126.366666666667</v>
      </c>
      <c r="U2876" s="231" t="n">
        <f aca="false">+$I2876</f>
        <v>0</v>
      </c>
      <c r="V2876" s="232" t="str">
        <f aca="false">+PROPER(F2876)</f>
        <v/>
      </c>
    </row>
    <row r="2877" customFormat="false" ht="14.25" hidden="false" customHeight="false" outlineLevel="0" collapsed="false">
      <c r="B2877" s="244"/>
      <c r="C2877" s="245"/>
      <c r="D2877" s="245"/>
      <c r="E2877" s="246"/>
      <c r="F2877" s="246"/>
      <c r="G2877" s="225" t="e">
        <f aca="false">VLOOKUP(B2877,'NIVEL ENERO'!A:F,4,0)</f>
        <v>#N/A</v>
      </c>
      <c r="H2877" s="247"/>
      <c r="I2877" s="247"/>
      <c r="J2877" s="246"/>
      <c r="K2877" s="246"/>
      <c r="L2877" s="226"/>
      <c r="M2877" s="226"/>
      <c r="N2877" s="246"/>
      <c r="P2877" s="228"/>
      <c r="Q2877" s="245"/>
      <c r="R2877" s="186" t="str">
        <f aca="false">+PROPER(C2877&amp;" "&amp;D2877)</f>
        <v> </v>
      </c>
      <c r="S2877" s="230" t="n">
        <f aca="false">+YEARFRAC(L2877,$S$1)</f>
        <v>126.366666666667</v>
      </c>
      <c r="T2877" s="230" t="n">
        <f aca="false">+YEARFRAC(M2877,$S$1)</f>
        <v>126.366666666667</v>
      </c>
      <c r="U2877" s="231" t="n">
        <f aca="false">+$I2877</f>
        <v>0</v>
      </c>
      <c r="V2877" s="232" t="str">
        <f aca="false">+PROPER(F2877)</f>
        <v/>
      </c>
    </row>
    <row r="2878" customFormat="false" ht="14.25" hidden="false" customHeight="false" outlineLevel="0" collapsed="false">
      <c r="B2878" s="244"/>
      <c r="C2878" s="245"/>
      <c r="D2878" s="245"/>
      <c r="E2878" s="246"/>
      <c r="F2878" s="246"/>
      <c r="G2878" s="225" t="e">
        <f aca="false">VLOOKUP(B2878,'NIVEL ENERO'!A:F,4,0)</f>
        <v>#N/A</v>
      </c>
      <c r="H2878" s="247"/>
      <c r="I2878" s="247"/>
      <c r="J2878" s="246"/>
      <c r="K2878" s="246"/>
      <c r="L2878" s="226"/>
      <c r="M2878" s="226"/>
      <c r="N2878" s="246"/>
      <c r="P2878" s="228"/>
      <c r="Q2878" s="245"/>
      <c r="R2878" s="186" t="str">
        <f aca="false">+PROPER(C2878&amp;" "&amp;D2878)</f>
        <v> </v>
      </c>
      <c r="S2878" s="230" t="n">
        <f aca="false">+YEARFRAC(L2878,$S$1)</f>
        <v>126.366666666667</v>
      </c>
      <c r="T2878" s="230" t="n">
        <f aca="false">+YEARFRAC(M2878,$S$1)</f>
        <v>126.366666666667</v>
      </c>
      <c r="U2878" s="231" t="n">
        <f aca="false">+$I2878</f>
        <v>0</v>
      </c>
      <c r="V2878" s="232" t="str">
        <f aca="false">+PROPER(F2878)</f>
        <v/>
      </c>
    </row>
    <row r="2879" customFormat="false" ht="14.25" hidden="false" customHeight="false" outlineLevel="0" collapsed="false">
      <c r="B2879" s="244"/>
      <c r="C2879" s="245"/>
      <c r="D2879" s="245"/>
      <c r="E2879" s="246"/>
      <c r="F2879" s="246"/>
      <c r="G2879" s="225" t="e">
        <f aca="false">VLOOKUP(B2879,'NIVEL ENERO'!A:F,4,0)</f>
        <v>#N/A</v>
      </c>
      <c r="H2879" s="247"/>
      <c r="I2879" s="247"/>
      <c r="J2879" s="246"/>
      <c r="K2879" s="246"/>
      <c r="L2879" s="226"/>
      <c r="M2879" s="226"/>
      <c r="N2879" s="246"/>
      <c r="P2879" s="228"/>
      <c r="Q2879" s="245"/>
      <c r="R2879" s="186" t="str">
        <f aca="false">+PROPER(C2879&amp;" "&amp;D2879)</f>
        <v> </v>
      </c>
      <c r="S2879" s="230" t="n">
        <f aca="false">+YEARFRAC(L2879,$S$1)</f>
        <v>126.366666666667</v>
      </c>
      <c r="T2879" s="230" t="n">
        <f aca="false">+YEARFRAC(M2879,$S$1)</f>
        <v>126.366666666667</v>
      </c>
      <c r="U2879" s="231" t="n">
        <f aca="false">+$I2879</f>
        <v>0</v>
      </c>
      <c r="V2879" s="232" t="str">
        <f aca="false">+PROPER(F2879)</f>
        <v/>
      </c>
    </row>
    <row r="2880" customFormat="false" ht="14.25" hidden="false" customHeight="false" outlineLevel="0" collapsed="false">
      <c r="B2880" s="244"/>
      <c r="C2880" s="245"/>
      <c r="D2880" s="245"/>
      <c r="E2880" s="246"/>
      <c r="F2880" s="246"/>
      <c r="G2880" s="225" t="e">
        <f aca="false">VLOOKUP(B2880,'NIVEL ENERO'!A:F,4,0)</f>
        <v>#N/A</v>
      </c>
      <c r="H2880" s="247"/>
      <c r="I2880" s="247"/>
      <c r="J2880" s="246"/>
      <c r="K2880" s="246"/>
      <c r="L2880" s="226"/>
      <c r="M2880" s="226"/>
      <c r="N2880" s="246"/>
      <c r="P2880" s="228"/>
      <c r="Q2880" s="245"/>
      <c r="R2880" s="186" t="str">
        <f aca="false">+PROPER(C2880&amp;" "&amp;D2880)</f>
        <v> </v>
      </c>
      <c r="S2880" s="230" t="n">
        <f aca="false">+YEARFRAC(L2880,$S$1)</f>
        <v>126.366666666667</v>
      </c>
      <c r="T2880" s="230" t="n">
        <f aca="false">+YEARFRAC(M2880,$S$1)</f>
        <v>126.366666666667</v>
      </c>
      <c r="U2880" s="231" t="n">
        <f aca="false">+$I2880</f>
        <v>0</v>
      </c>
      <c r="V2880" s="232" t="str">
        <f aca="false">+PROPER(F2880)</f>
        <v/>
      </c>
    </row>
    <row r="2881" customFormat="false" ht="14.25" hidden="false" customHeight="false" outlineLevel="0" collapsed="false">
      <c r="B2881" s="244"/>
      <c r="C2881" s="245"/>
      <c r="D2881" s="245"/>
      <c r="E2881" s="246"/>
      <c r="F2881" s="246"/>
      <c r="G2881" s="225" t="e">
        <f aca="false">VLOOKUP(B2881,'NIVEL ENERO'!A:F,4,0)</f>
        <v>#N/A</v>
      </c>
      <c r="H2881" s="247"/>
      <c r="I2881" s="247"/>
      <c r="J2881" s="246"/>
      <c r="K2881" s="246"/>
      <c r="L2881" s="226"/>
      <c r="M2881" s="226"/>
      <c r="N2881" s="246"/>
      <c r="P2881" s="228"/>
      <c r="Q2881" s="245"/>
      <c r="R2881" s="186" t="str">
        <f aca="false">+PROPER(C2881&amp;" "&amp;D2881)</f>
        <v> </v>
      </c>
      <c r="S2881" s="230" t="n">
        <f aca="false">+YEARFRAC(L2881,$S$1)</f>
        <v>126.366666666667</v>
      </c>
      <c r="T2881" s="230" t="n">
        <f aca="false">+YEARFRAC(M2881,$S$1)</f>
        <v>126.366666666667</v>
      </c>
      <c r="U2881" s="231" t="n">
        <f aca="false">+$I2881</f>
        <v>0</v>
      </c>
      <c r="V2881" s="232" t="str">
        <f aca="false">+PROPER(F2881)</f>
        <v/>
      </c>
    </row>
    <row r="2882" customFormat="false" ht="14.25" hidden="false" customHeight="false" outlineLevel="0" collapsed="false">
      <c r="B2882" s="244"/>
      <c r="C2882" s="245"/>
      <c r="D2882" s="245"/>
      <c r="E2882" s="246"/>
      <c r="F2882" s="246"/>
      <c r="G2882" s="225" t="e">
        <f aca="false">VLOOKUP(B2882,'NIVEL ENERO'!A:F,4,0)</f>
        <v>#N/A</v>
      </c>
      <c r="H2882" s="247"/>
      <c r="I2882" s="247"/>
      <c r="J2882" s="246"/>
      <c r="K2882" s="246"/>
      <c r="L2882" s="226"/>
      <c r="M2882" s="226"/>
      <c r="N2882" s="246"/>
      <c r="P2882" s="228"/>
      <c r="Q2882" s="245"/>
      <c r="R2882" s="186" t="str">
        <f aca="false">+PROPER(C2882&amp;" "&amp;D2882)</f>
        <v> </v>
      </c>
      <c r="S2882" s="230" t="n">
        <f aca="false">+YEARFRAC(L2882,$S$1)</f>
        <v>126.366666666667</v>
      </c>
      <c r="T2882" s="230" t="n">
        <f aca="false">+YEARFRAC(M2882,$S$1)</f>
        <v>126.366666666667</v>
      </c>
      <c r="U2882" s="231" t="n">
        <f aca="false">+$I2882</f>
        <v>0</v>
      </c>
      <c r="V2882" s="232" t="str">
        <f aca="false">+PROPER(F2882)</f>
        <v/>
      </c>
    </row>
    <row r="2883" customFormat="false" ht="14.25" hidden="false" customHeight="false" outlineLevel="0" collapsed="false">
      <c r="B2883" s="244"/>
      <c r="C2883" s="245"/>
      <c r="D2883" s="245"/>
      <c r="E2883" s="246"/>
      <c r="F2883" s="246"/>
      <c r="G2883" s="225" t="e">
        <f aca="false">VLOOKUP(B2883,'NIVEL ENERO'!A:F,4,0)</f>
        <v>#N/A</v>
      </c>
      <c r="H2883" s="247"/>
      <c r="I2883" s="247"/>
      <c r="J2883" s="246"/>
      <c r="K2883" s="246"/>
      <c r="L2883" s="226"/>
      <c r="M2883" s="226"/>
      <c r="N2883" s="246"/>
      <c r="P2883" s="228"/>
      <c r="Q2883" s="245"/>
      <c r="R2883" s="186" t="str">
        <f aca="false">+PROPER(C2883&amp;" "&amp;D2883)</f>
        <v> </v>
      </c>
      <c r="S2883" s="230" t="n">
        <f aca="false">+YEARFRAC(L2883,$S$1)</f>
        <v>126.366666666667</v>
      </c>
      <c r="T2883" s="230" t="n">
        <f aca="false">+YEARFRAC(M2883,$S$1)</f>
        <v>126.366666666667</v>
      </c>
      <c r="U2883" s="231" t="n">
        <f aca="false">+$I2883</f>
        <v>0</v>
      </c>
      <c r="V2883" s="232" t="str">
        <f aca="false">+PROPER(F2883)</f>
        <v/>
      </c>
    </row>
    <row r="2884" customFormat="false" ht="14.25" hidden="false" customHeight="false" outlineLevel="0" collapsed="false">
      <c r="B2884" s="244"/>
      <c r="C2884" s="245"/>
      <c r="D2884" s="245"/>
      <c r="E2884" s="246"/>
      <c r="F2884" s="246"/>
      <c r="G2884" s="225" t="e">
        <f aca="false">VLOOKUP(B2884,'NIVEL ENERO'!A:F,4,0)</f>
        <v>#N/A</v>
      </c>
      <c r="H2884" s="247"/>
      <c r="I2884" s="247"/>
      <c r="J2884" s="246"/>
      <c r="K2884" s="246"/>
      <c r="L2884" s="226"/>
      <c r="M2884" s="226"/>
      <c r="N2884" s="246"/>
      <c r="P2884" s="228"/>
      <c r="Q2884" s="245"/>
      <c r="R2884" s="186" t="str">
        <f aca="false">+PROPER(C2884&amp;" "&amp;D2884)</f>
        <v> </v>
      </c>
      <c r="S2884" s="230" t="n">
        <f aca="false">+YEARFRAC(L2884,$S$1)</f>
        <v>126.366666666667</v>
      </c>
      <c r="T2884" s="230" t="n">
        <f aca="false">+YEARFRAC(M2884,$S$1)</f>
        <v>126.366666666667</v>
      </c>
      <c r="U2884" s="231" t="n">
        <f aca="false">+$I2884</f>
        <v>0</v>
      </c>
      <c r="V2884" s="232" t="str">
        <f aca="false">+PROPER(F2884)</f>
        <v/>
      </c>
    </row>
    <row r="2885" customFormat="false" ht="14.25" hidden="false" customHeight="false" outlineLevel="0" collapsed="false">
      <c r="B2885" s="244"/>
      <c r="C2885" s="245"/>
      <c r="D2885" s="245"/>
      <c r="E2885" s="246"/>
      <c r="F2885" s="246"/>
      <c r="G2885" s="225" t="e">
        <f aca="false">VLOOKUP(B2885,'NIVEL ENERO'!A:F,4,0)</f>
        <v>#N/A</v>
      </c>
      <c r="H2885" s="247"/>
      <c r="I2885" s="247"/>
      <c r="J2885" s="246"/>
      <c r="K2885" s="246"/>
      <c r="L2885" s="226"/>
      <c r="M2885" s="226"/>
      <c r="N2885" s="246"/>
      <c r="P2885" s="228"/>
      <c r="Q2885" s="245"/>
      <c r="R2885" s="186" t="str">
        <f aca="false">+PROPER(C2885&amp;" "&amp;D2885)</f>
        <v> </v>
      </c>
      <c r="S2885" s="230" t="n">
        <f aca="false">+YEARFRAC(L2885,$S$1)</f>
        <v>126.366666666667</v>
      </c>
      <c r="T2885" s="230" t="n">
        <f aca="false">+YEARFRAC(M2885,$S$1)</f>
        <v>126.366666666667</v>
      </c>
      <c r="U2885" s="231" t="n">
        <f aca="false">+$I2885</f>
        <v>0</v>
      </c>
      <c r="V2885" s="232" t="str">
        <f aca="false">+PROPER(F2885)</f>
        <v/>
      </c>
    </row>
    <row r="2886" customFormat="false" ht="14.25" hidden="false" customHeight="false" outlineLevel="0" collapsed="false">
      <c r="B2886" s="244"/>
      <c r="C2886" s="245"/>
      <c r="D2886" s="245"/>
      <c r="E2886" s="246"/>
      <c r="F2886" s="246"/>
      <c r="G2886" s="225" t="e">
        <f aca="false">VLOOKUP(B2886,'NIVEL ENERO'!A:F,4,0)</f>
        <v>#N/A</v>
      </c>
      <c r="H2886" s="247"/>
      <c r="I2886" s="247"/>
      <c r="J2886" s="246"/>
      <c r="K2886" s="246"/>
      <c r="L2886" s="226"/>
      <c r="M2886" s="226"/>
      <c r="N2886" s="246"/>
      <c r="P2886" s="228"/>
      <c r="Q2886" s="245"/>
      <c r="R2886" s="186" t="str">
        <f aca="false">+PROPER(C2886&amp;" "&amp;D2886)</f>
        <v> </v>
      </c>
      <c r="S2886" s="230" t="n">
        <f aca="false">+YEARFRAC(L2886,$S$1)</f>
        <v>126.366666666667</v>
      </c>
      <c r="T2886" s="230" t="n">
        <f aca="false">+YEARFRAC(M2886,$S$1)</f>
        <v>126.366666666667</v>
      </c>
      <c r="U2886" s="231" t="n">
        <f aca="false">+$I2886</f>
        <v>0</v>
      </c>
      <c r="V2886" s="232" t="str">
        <f aca="false">+PROPER(F2886)</f>
        <v/>
      </c>
    </row>
    <row r="2887" customFormat="false" ht="14.25" hidden="false" customHeight="false" outlineLevel="0" collapsed="false">
      <c r="B2887" s="244"/>
      <c r="C2887" s="245"/>
      <c r="D2887" s="245"/>
      <c r="E2887" s="246"/>
      <c r="F2887" s="246"/>
      <c r="G2887" s="225" t="e">
        <f aca="false">VLOOKUP(B2887,'NIVEL ENERO'!A:F,4,0)</f>
        <v>#N/A</v>
      </c>
      <c r="H2887" s="247"/>
      <c r="I2887" s="247"/>
      <c r="J2887" s="246"/>
      <c r="K2887" s="246"/>
      <c r="L2887" s="226"/>
      <c r="M2887" s="226"/>
      <c r="N2887" s="246"/>
      <c r="P2887" s="228"/>
      <c r="Q2887" s="245"/>
      <c r="R2887" s="186" t="str">
        <f aca="false">+PROPER(C2887&amp;" "&amp;D2887)</f>
        <v> </v>
      </c>
      <c r="S2887" s="230" t="n">
        <f aca="false">+YEARFRAC(L2887,$S$1)</f>
        <v>126.366666666667</v>
      </c>
      <c r="T2887" s="230" t="n">
        <f aca="false">+YEARFRAC(M2887,$S$1)</f>
        <v>126.366666666667</v>
      </c>
      <c r="U2887" s="231" t="n">
        <f aca="false">+$I2887</f>
        <v>0</v>
      </c>
      <c r="V2887" s="232" t="str">
        <f aca="false">+PROPER(F2887)</f>
        <v/>
      </c>
    </row>
    <row r="2888" customFormat="false" ht="14.25" hidden="false" customHeight="false" outlineLevel="0" collapsed="false">
      <c r="B2888" s="244"/>
      <c r="C2888" s="245"/>
      <c r="D2888" s="245"/>
      <c r="E2888" s="246"/>
      <c r="F2888" s="246"/>
      <c r="G2888" s="225" t="e">
        <f aca="false">VLOOKUP(B2888,'NIVEL ENERO'!A:F,4,0)</f>
        <v>#N/A</v>
      </c>
      <c r="H2888" s="247"/>
      <c r="I2888" s="247"/>
      <c r="J2888" s="246"/>
      <c r="K2888" s="246"/>
      <c r="L2888" s="226"/>
      <c r="M2888" s="226"/>
      <c r="N2888" s="246"/>
      <c r="P2888" s="228"/>
      <c r="Q2888" s="245"/>
      <c r="R2888" s="186" t="str">
        <f aca="false">+PROPER(C2888&amp;" "&amp;D2888)</f>
        <v> </v>
      </c>
      <c r="S2888" s="230" t="n">
        <f aca="false">+YEARFRAC(L2888,$S$1)</f>
        <v>126.366666666667</v>
      </c>
      <c r="T2888" s="230" t="n">
        <f aca="false">+YEARFRAC(M2888,$S$1)</f>
        <v>126.366666666667</v>
      </c>
      <c r="U2888" s="231" t="n">
        <f aca="false">+$I2888</f>
        <v>0</v>
      </c>
      <c r="V2888" s="232" t="str">
        <f aca="false">+PROPER(F2888)</f>
        <v/>
      </c>
    </row>
    <row r="2889" customFormat="false" ht="14.25" hidden="false" customHeight="false" outlineLevel="0" collapsed="false">
      <c r="B2889" s="244"/>
      <c r="C2889" s="245"/>
      <c r="D2889" s="245"/>
      <c r="E2889" s="246"/>
      <c r="F2889" s="246"/>
      <c r="G2889" s="225" t="e">
        <f aca="false">VLOOKUP(B2889,'NIVEL ENERO'!A:F,4,0)</f>
        <v>#N/A</v>
      </c>
      <c r="H2889" s="247"/>
      <c r="I2889" s="247"/>
      <c r="J2889" s="246"/>
      <c r="K2889" s="246"/>
      <c r="L2889" s="226"/>
      <c r="M2889" s="226"/>
      <c r="N2889" s="246"/>
      <c r="P2889" s="228"/>
      <c r="Q2889" s="245"/>
      <c r="R2889" s="186" t="str">
        <f aca="false">+PROPER(C2889&amp;" "&amp;D2889)</f>
        <v> </v>
      </c>
      <c r="S2889" s="230" t="n">
        <f aca="false">+YEARFRAC(L2889,$S$1)</f>
        <v>126.366666666667</v>
      </c>
      <c r="T2889" s="230" t="n">
        <f aca="false">+YEARFRAC(M2889,$S$1)</f>
        <v>126.366666666667</v>
      </c>
      <c r="U2889" s="231" t="n">
        <f aca="false">+$I2889</f>
        <v>0</v>
      </c>
      <c r="V2889" s="232" t="str">
        <f aca="false">+PROPER(F2889)</f>
        <v/>
      </c>
    </row>
    <row r="2890" customFormat="false" ht="14.25" hidden="false" customHeight="false" outlineLevel="0" collapsed="false">
      <c r="B2890" s="244"/>
      <c r="C2890" s="245"/>
      <c r="D2890" s="245"/>
      <c r="E2890" s="246"/>
      <c r="F2890" s="246"/>
      <c r="G2890" s="225" t="e">
        <f aca="false">VLOOKUP(B2890,'NIVEL ENERO'!A:F,4,0)</f>
        <v>#N/A</v>
      </c>
      <c r="H2890" s="247"/>
      <c r="I2890" s="247"/>
      <c r="J2890" s="246"/>
      <c r="K2890" s="246"/>
      <c r="L2890" s="226"/>
      <c r="M2890" s="226"/>
      <c r="N2890" s="246"/>
      <c r="P2890" s="228"/>
      <c r="Q2890" s="245"/>
      <c r="R2890" s="186" t="str">
        <f aca="false">+PROPER(C2890&amp;" "&amp;D2890)</f>
        <v> </v>
      </c>
      <c r="S2890" s="230" t="n">
        <f aca="false">+YEARFRAC(L2890,$S$1)</f>
        <v>126.366666666667</v>
      </c>
      <c r="T2890" s="230" t="n">
        <f aca="false">+YEARFRAC(M2890,$S$1)</f>
        <v>126.366666666667</v>
      </c>
      <c r="U2890" s="231" t="n">
        <f aca="false">+$I2890</f>
        <v>0</v>
      </c>
      <c r="V2890" s="232" t="str">
        <f aca="false">+PROPER(F2890)</f>
        <v/>
      </c>
    </row>
    <row r="2891" customFormat="false" ht="14.25" hidden="false" customHeight="false" outlineLevel="0" collapsed="false">
      <c r="B2891" s="244"/>
      <c r="C2891" s="245"/>
      <c r="D2891" s="245"/>
      <c r="E2891" s="246"/>
      <c r="F2891" s="246"/>
      <c r="G2891" s="225" t="e">
        <f aca="false">VLOOKUP(B2891,'NIVEL ENERO'!A:F,4,0)</f>
        <v>#N/A</v>
      </c>
      <c r="H2891" s="247"/>
      <c r="I2891" s="247"/>
      <c r="J2891" s="246"/>
      <c r="K2891" s="246"/>
      <c r="L2891" s="226"/>
      <c r="M2891" s="226"/>
      <c r="N2891" s="246"/>
      <c r="P2891" s="228"/>
      <c r="Q2891" s="245"/>
      <c r="R2891" s="186" t="str">
        <f aca="false">+PROPER(C2891&amp;" "&amp;D2891)</f>
        <v> </v>
      </c>
      <c r="S2891" s="230" t="n">
        <f aca="false">+YEARFRAC(L2891,$S$1)</f>
        <v>126.366666666667</v>
      </c>
      <c r="T2891" s="230" t="n">
        <f aca="false">+YEARFRAC(M2891,$S$1)</f>
        <v>126.366666666667</v>
      </c>
      <c r="U2891" s="231" t="n">
        <f aca="false">+$I2891</f>
        <v>0</v>
      </c>
      <c r="V2891" s="232" t="str">
        <f aca="false">+PROPER(F2891)</f>
        <v/>
      </c>
    </row>
    <row r="2892" customFormat="false" ht="14.25" hidden="false" customHeight="false" outlineLevel="0" collapsed="false">
      <c r="B2892" s="244"/>
      <c r="C2892" s="245"/>
      <c r="D2892" s="245"/>
      <c r="E2892" s="246"/>
      <c r="F2892" s="246"/>
      <c r="G2892" s="225" t="e">
        <f aca="false">VLOOKUP(B2892,'NIVEL ENERO'!A:F,4,0)</f>
        <v>#N/A</v>
      </c>
      <c r="H2892" s="247"/>
      <c r="I2892" s="247"/>
      <c r="J2892" s="246"/>
      <c r="K2892" s="246"/>
      <c r="L2892" s="226"/>
      <c r="M2892" s="226"/>
      <c r="N2892" s="246"/>
      <c r="P2892" s="228"/>
      <c r="Q2892" s="245"/>
      <c r="R2892" s="186" t="str">
        <f aca="false">+PROPER(C2892&amp;" "&amp;D2892)</f>
        <v> </v>
      </c>
      <c r="S2892" s="230" t="n">
        <f aca="false">+YEARFRAC(L2892,$S$1)</f>
        <v>126.366666666667</v>
      </c>
      <c r="T2892" s="230" t="n">
        <f aca="false">+YEARFRAC(M2892,$S$1)</f>
        <v>126.366666666667</v>
      </c>
      <c r="U2892" s="231" t="n">
        <f aca="false">+$I2892</f>
        <v>0</v>
      </c>
      <c r="V2892" s="232" t="str">
        <f aca="false">+PROPER(F2892)</f>
        <v/>
      </c>
    </row>
    <row r="2893" customFormat="false" ht="14.25" hidden="false" customHeight="false" outlineLevel="0" collapsed="false">
      <c r="B2893" s="244"/>
      <c r="C2893" s="245"/>
      <c r="D2893" s="245"/>
      <c r="E2893" s="246"/>
      <c r="F2893" s="246"/>
      <c r="G2893" s="225" t="e">
        <f aca="false">VLOOKUP(B2893,'NIVEL ENERO'!A:F,4,0)</f>
        <v>#N/A</v>
      </c>
      <c r="H2893" s="247"/>
      <c r="I2893" s="247"/>
      <c r="J2893" s="246"/>
      <c r="K2893" s="246"/>
      <c r="L2893" s="226"/>
      <c r="M2893" s="226"/>
      <c r="N2893" s="246"/>
      <c r="P2893" s="228"/>
      <c r="Q2893" s="245"/>
      <c r="R2893" s="186" t="str">
        <f aca="false">+PROPER(C2893&amp;" "&amp;D2893)</f>
        <v> </v>
      </c>
      <c r="S2893" s="230" t="n">
        <f aca="false">+YEARFRAC(L2893,$S$1)</f>
        <v>126.366666666667</v>
      </c>
      <c r="T2893" s="230" t="n">
        <f aca="false">+YEARFRAC(M2893,$S$1)</f>
        <v>126.366666666667</v>
      </c>
      <c r="U2893" s="231" t="n">
        <f aca="false">+$I2893</f>
        <v>0</v>
      </c>
      <c r="V2893" s="232" t="str">
        <f aca="false">+PROPER(F2893)</f>
        <v/>
      </c>
    </row>
    <row r="2894" customFormat="false" ht="14.25" hidden="false" customHeight="false" outlineLevel="0" collapsed="false">
      <c r="B2894" s="244"/>
      <c r="C2894" s="245"/>
      <c r="D2894" s="245"/>
      <c r="E2894" s="246"/>
      <c r="F2894" s="246"/>
      <c r="G2894" s="225" t="e">
        <f aca="false">VLOOKUP(B2894,'NIVEL ENERO'!A:F,4,0)</f>
        <v>#N/A</v>
      </c>
      <c r="H2894" s="247"/>
      <c r="I2894" s="247"/>
      <c r="J2894" s="246"/>
      <c r="K2894" s="246"/>
      <c r="L2894" s="226"/>
      <c r="M2894" s="226"/>
      <c r="N2894" s="246"/>
      <c r="P2894" s="228"/>
      <c r="Q2894" s="245"/>
      <c r="R2894" s="186" t="str">
        <f aca="false">+PROPER(C2894&amp;" "&amp;D2894)</f>
        <v> </v>
      </c>
      <c r="S2894" s="230" t="n">
        <f aca="false">+YEARFRAC(L2894,$S$1)</f>
        <v>126.366666666667</v>
      </c>
      <c r="T2894" s="230" t="n">
        <f aca="false">+YEARFRAC(M2894,$S$1)</f>
        <v>126.366666666667</v>
      </c>
      <c r="U2894" s="231" t="n">
        <f aca="false">+$I2894</f>
        <v>0</v>
      </c>
      <c r="V2894" s="232" t="str">
        <f aca="false">+PROPER(F2894)</f>
        <v/>
      </c>
    </row>
    <row r="2895" customFormat="false" ht="14.25" hidden="false" customHeight="false" outlineLevel="0" collapsed="false">
      <c r="B2895" s="244"/>
      <c r="C2895" s="245"/>
      <c r="D2895" s="245"/>
      <c r="E2895" s="246"/>
      <c r="F2895" s="246"/>
      <c r="G2895" s="225" t="e">
        <f aca="false">VLOOKUP(B2895,'NIVEL ENERO'!A:F,4,0)</f>
        <v>#N/A</v>
      </c>
      <c r="H2895" s="247"/>
      <c r="I2895" s="247"/>
      <c r="J2895" s="246"/>
      <c r="K2895" s="246"/>
      <c r="L2895" s="226"/>
      <c r="M2895" s="226"/>
      <c r="N2895" s="246"/>
      <c r="P2895" s="228"/>
      <c r="Q2895" s="245"/>
      <c r="R2895" s="186" t="str">
        <f aca="false">+PROPER(C2895&amp;" "&amp;D2895)</f>
        <v> </v>
      </c>
      <c r="S2895" s="230" t="n">
        <f aca="false">+YEARFRAC(L2895,$S$1)</f>
        <v>126.366666666667</v>
      </c>
      <c r="T2895" s="230" t="n">
        <f aca="false">+YEARFRAC(M2895,$S$1)</f>
        <v>126.366666666667</v>
      </c>
      <c r="U2895" s="231" t="n">
        <f aca="false">+$I2895</f>
        <v>0</v>
      </c>
      <c r="V2895" s="232" t="str">
        <f aca="false">+PROPER(F2895)</f>
        <v/>
      </c>
    </row>
    <row r="2896" customFormat="false" ht="14.25" hidden="false" customHeight="false" outlineLevel="0" collapsed="false">
      <c r="B2896" s="244"/>
      <c r="C2896" s="245"/>
      <c r="D2896" s="245"/>
      <c r="E2896" s="246"/>
      <c r="F2896" s="246"/>
      <c r="G2896" s="225" t="e">
        <f aca="false">VLOOKUP(B2896,'NIVEL ENERO'!A:F,4,0)</f>
        <v>#N/A</v>
      </c>
      <c r="H2896" s="247"/>
      <c r="I2896" s="247"/>
      <c r="J2896" s="246"/>
      <c r="K2896" s="246"/>
      <c r="L2896" s="226"/>
      <c r="M2896" s="226"/>
      <c r="N2896" s="246"/>
      <c r="P2896" s="228"/>
      <c r="Q2896" s="245"/>
      <c r="R2896" s="186" t="str">
        <f aca="false">+PROPER(C2896&amp;" "&amp;D2896)</f>
        <v> </v>
      </c>
      <c r="S2896" s="230" t="n">
        <f aca="false">+YEARFRAC(L2896,$S$1)</f>
        <v>126.366666666667</v>
      </c>
      <c r="T2896" s="230" t="n">
        <f aca="false">+YEARFRAC(M2896,$S$1)</f>
        <v>126.366666666667</v>
      </c>
      <c r="U2896" s="231" t="n">
        <f aca="false">+$I2896</f>
        <v>0</v>
      </c>
      <c r="V2896" s="232" t="str">
        <f aca="false">+PROPER(F2896)</f>
        <v/>
      </c>
    </row>
    <row r="2897" customFormat="false" ht="14.25" hidden="false" customHeight="false" outlineLevel="0" collapsed="false">
      <c r="B2897" s="244"/>
      <c r="C2897" s="245"/>
      <c r="D2897" s="245"/>
      <c r="E2897" s="246"/>
      <c r="F2897" s="246"/>
      <c r="G2897" s="225" t="e">
        <f aca="false">VLOOKUP(B2897,'NIVEL ENERO'!A:F,4,0)</f>
        <v>#N/A</v>
      </c>
      <c r="H2897" s="247"/>
      <c r="I2897" s="247"/>
      <c r="J2897" s="246"/>
      <c r="K2897" s="246"/>
      <c r="L2897" s="226"/>
      <c r="M2897" s="226"/>
      <c r="N2897" s="246"/>
      <c r="P2897" s="228"/>
      <c r="Q2897" s="245"/>
      <c r="R2897" s="186" t="str">
        <f aca="false">+PROPER(C2897&amp;" "&amp;D2897)</f>
        <v> </v>
      </c>
      <c r="S2897" s="230" t="n">
        <f aca="false">+YEARFRAC(L2897,$S$1)</f>
        <v>126.366666666667</v>
      </c>
      <c r="T2897" s="230" t="n">
        <f aca="false">+YEARFRAC(M2897,$S$1)</f>
        <v>126.366666666667</v>
      </c>
      <c r="U2897" s="231" t="n">
        <f aca="false">+$I2897</f>
        <v>0</v>
      </c>
      <c r="V2897" s="232" t="str">
        <f aca="false">+PROPER(F2897)</f>
        <v/>
      </c>
    </row>
    <row r="2898" customFormat="false" ht="14.25" hidden="false" customHeight="false" outlineLevel="0" collapsed="false">
      <c r="B2898" s="244"/>
      <c r="C2898" s="245"/>
      <c r="D2898" s="245"/>
      <c r="E2898" s="246"/>
      <c r="F2898" s="246"/>
      <c r="G2898" s="225" t="e">
        <f aca="false">VLOOKUP(B2898,'NIVEL ENERO'!A:F,4,0)</f>
        <v>#N/A</v>
      </c>
      <c r="H2898" s="247"/>
      <c r="I2898" s="247"/>
      <c r="J2898" s="246"/>
      <c r="K2898" s="246"/>
      <c r="L2898" s="226"/>
      <c r="M2898" s="226"/>
      <c r="N2898" s="246"/>
      <c r="P2898" s="228"/>
      <c r="Q2898" s="245"/>
      <c r="R2898" s="186" t="str">
        <f aca="false">+PROPER(C2898&amp;" "&amp;D2898)</f>
        <v> </v>
      </c>
      <c r="S2898" s="230" t="n">
        <f aca="false">+YEARFRAC(L2898,$S$1)</f>
        <v>126.366666666667</v>
      </c>
      <c r="T2898" s="230" t="n">
        <f aca="false">+YEARFRAC(M2898,$S$1)</f>
        <v>126.366666666667</v>
      </c>
      <c r="U2898" s="231" t="n">
        <f aca="false">+$I2898</f>
        <v>0</v>
      </c>
      <c r="V2898" s="232" t="str">
        <f aca="false">+PROPER(F2898)</f>
        <v/>
      </c>
    </row>
    <row r="2899" customFormat="false" ht="14.25" hidden="false" customHeight="false" outlineLevel="0" collapsed="false">
      <c r="B2899" s="244"/>
      <c r="C2899" s="245"/>
      <c r="D2899" s="245"/>
      <c r="E2899" s="246"/>
      <c r="F2899" s="246"/>
      <c r="G2899" s="225" t="e">
        <f aca="false">VLOOKUP(B2899,'NIVEL ENERO'!A:F,4,0)</f>
        <v>#N/A</v>
      </c>
      <c r="H2899" s="247"/>
      <c r="I2899" s="247"/>
      <c r="J2899" s="246"/>
      <c r="K2899" s="246"/>
      <c r="L2899" s="226"/>
      <c r="M2899" s="226"/>
      <c r="N2899" s="246"/>
      <c r="P2899" s="228"/>
      <c r="Q2899" s="245"/>
      <c r="R2899" s="186" t="str">
        <f aca="false">+PROPER(C2899&amp;" "&amp;D2899)</f>
        <v> </v>
      </c>
      <c r="S2899" s="230" t="n">
        <f aca="false">+YEARFRAC(L2899,$S$1)</f>
        <v>126.366666666667</v>
      </c>
      <c r="T2899" s="230" t="n">
        <f aca="false">+YEARFRAC(M2899,$S$1)</f>
        <v>126.366666666667</v>
      </c>
      <c r="U2899" s="231" t="n">
        <f aca="false">+$I2899</f>
        <v>0</v>
      </c>
      <c r="V2899" s="232" t="str">
        <f aca="false">+PROPER(F2899)</f>
        <v/>
      </c>
    </row>
    <row r="2900" customFormat="false" ht="14.25" hidden="false" customHeight="false" outlineLevel="0" collapsed="false">
      <c r="B2900" s="244"/>
      <c r="C2900" s="245"/>
      <c r="D2900" s="245"/>
      <c r="E2900" s="246"/>
      <c r="F2900" s="246"/>
      <c r="G2900" s="225" t="e">
        <f aca="false">VLOOKUP(B2900,'NIVEL ENERO'!A:F,4,0)</f>
        <v>#N/A</v>
      </c>
      <c r="H2900" s="247"/>
      <c r="I2900" s="247"/>
      <c r="J2900" s="246"/>
      <c r="K2900" s="246"/>
      <c r="L2900" s="226"/>
      <c r="M2900" s="226"/>
      <c r="N2900" s="246"/>
      <c r="P2900" s="228"/>
      <c r="Q2900" s="245"/>
      <c r="R2900" s="186" t="str">
        <f aca="false">+PROPER(C2900&amp;" "&amp;D2900)</f>
        <v> </v>
      </c>
      <c r="S2900" s="230" t="n">
        <f aca="false">+YEARFRAC(L2900,$S$1)</f>
        <v>126.366666666667</v>
      </c>
      <c r="T2900" s="230" t="n">
        <f aca="false">+YEARFRAC(M2900,$S$1)</f>
        <v>126.366666666667</v>
      </c>
      <c r="U2900" s="231" t="n">
        <f aca="false">+$I2900</f>
        <v>0</v>
      </c>
      <c r="V2900" s="232" t="str">
        <f aca="false">+PROPER(F2900)</f>
        <v/>
      </c>
    </row>
    <row r="2901" customFormat="false" ht="14.25" hidden="false" customHeight="false" outlineLevel="0" collapsed="false">
      <c r="B2901" s="244"/>
      <c r="C2901" s="245"/>
      <c r="D2901" s="245"/>
      <c r="E2901" s="246"/>
      <c r="F2901" s="246"/>
      <c r="G2901" s="225" t="e">
        <f aca="false">VLOOKUP(B2901,'NIVEL ENERO'!A:F,4,0)</f>
        <v>#N/A</v>
      </c>
      <c r="H2901" s="247"/>
      <c r="I2901" s="247"/>
      <c r="J2901" s="246"/>
      <c r="K2901" s="246"/>
      <c r="L2901" s="226"/>
      <c r="M2901" s="226"/>
      <c r="N2901" s="246"/>
      <c r="P2901" s="228"/>
      <c r="Q2901" s="245"/>
      <c r="R2901" s="186" t="str">
        <f aca="false">+PROPER(C2901&amp;" "&amp;D2901)</f>
        <v> </v>
      </c>
      <c r="S2901" s="230" t="n">
        <f aca="false">+YEARFRAC(L2901,$S$1)</f>
        <v>126.366666666667</v>
      </c>
      <c r="T2901" s="230" t="n">
        <f aca="false">+YEARFRAC(M2901,$S$1)</f>
        <v>126.366666666667</v>
      </c>
      <c r="U2901" s="231" t="n">
        <f aca="false">+$I2901</f>
        <v>0</v>
      </c>
      <c r="V2901" s="232" t="str">
        <f aca="false">+PROPER(F2901)</f>
        <v/>
      </c>
    </row>
    <row r="2902" customFormat="false" ht="14.25" hidden="false" customHeight="false" outlineLevel="0" collapsed="false">
      <c r="B2902" s="244"/>
      <c r="C2902" s="245"/>
      <c r="D2902" s="245"/>
      <c r="E2902" s="246"/>
      <c r="F2902" s="246"/>
      <c r="G2902" s="225" t="e">
        <f aca="false">VLOOKUP(B2902,'NIVEL ENERO'!A:F,4,0)</f>
        <v>#N/A</v>
      </c>
      <c r="H2902" s="247"/>
      <c r="I2902" s="247"/>
      <c r="J2902" s="246"/>
      <c r="K2902" s="246"/>
      <c r="L2902" s="226"/>
      <c r="M2902" s="226"/>
      <c r="N2902" s="246"/>
      <c r="P2902" s="228"/>
      <c r="Q2902" s="245"/>
      <c r="R2902" s="186" t="str">
        <f aca="false">+PROPER(C2902&amp;" "&amp;D2902)</f>
        <v> </v>
      </c>
      <c r="S2902" s="230" t="n">
        <f aca="false">+YEARFRAC(L2902,$S$1)</f>
        <v>126.366666666667</v>
      </c>
      <c r="T2902" s="230" t="n">
        <f aca="false">+YEARFRAC(M2902,$S$1)</f>
        <v>126.366666666667</v>
      </c>
      <c r="U2902" s="231" t="n">
        <f aca="false">+$I2902</f>
        <v>0</v>
      </c>
      <c r="V2902" s="232" t="str">
        <f aca="false">+PROPER(F2902)</f>
        <v/>
      </c>
    </row>
    <row r="2903" customFormat="false" ht="14.25" hidden="false" customHeight="false" outlineLevel="0" collapsed="false">
      <c r="B2903" s="244"/>
      <c r="C2903" s="245"/>
      <c r="D2903" s="245"/>
      <c r="E2903" s="246"/>
      <c r="F2903" s="246"/>
      <c r="G2903" s="225" t="e">
        <f aca="false">VLOOKUP(B2903,'NIVEL ENERO'!A:F,4,0)</f>
        <v>#N/A</v>
      </c>
      <c r="H2903" s="247"/>
      <c r="I2903" s="247"/>
      <c r="J2903" s="246"/>
      <c r="K2903" s="246"/>
      <c r="L2903" s="226"/>
      <c r="M2903" s="226"/>
      <c r="N2903" s="246"/>
      <c r="P2903" s="228"/>
      <c r="Q2903" s="245"/>
      <c r="R2903" s="186" t="str">
        <f aca="false">+PROPER(C2903&amp;" "&amp;D2903)</f>
        <v> </v>
      </c>
      <c r="S2903" s="230" t="n">
        <f aca="false">+YEARFRAC(L2903,$S$1)</f>
        <v>126.366666666667</v>
      </c>
      <c r="T2903" s="230" t="n">
        <f aca="false">+YEARFRAC(M2903,$S$1)</f>
        <v>126.366666666667</v>
      </c>
      <c r="U2903" s="231" t="n">
        <f aca="false">+$I2903</f>
        <v>0</v>
      </c>
      <c r="V2903" s="232" t="str">
        <f aca="false">+PROPER(F2903)</f>
        <v/>
      </c>
    </row>
    <row r="2904" customFormat="false" ht="14.25" hidden="false" customHeight="false" outlineLevel="0" collapsed="false">
      <c r="B2904" s="244"/>
      <c r="C2904" s="245"/>
      <c r="D2904" s="245"/>
      <c r="E2904" s="246"/>
      <c r="F2904" s="246"/>
      <c r="G2904" s="225" t="e">
        <f aca="false">VLOOKUP(B2904,'NIVEL ENERO'!A:F,4,0)</f>
        <v>#N/A</v>
      </c>
      <c r="H2904" s="247"/>
      <c r="I2904" s="247"/>
      <c r="J2904" s="246"/>
      <c r="K2904" s="246"/>
      <c r="L2904" s="226"/>
      <c r="M2904" s="226"/>
      <c r="N2904" s="246"/>
      <c r="P2904" s="228"/>
      <c r="Q2904" s="245"/>
      <c r="R2904" s="186" t="str">
        <f aca="false">+PROPER(C2904&amp;" "&amp;D2904)</f>
        <v> </v>
      </c>
      <c r="S2904" s="230" t="n">
        <f aca="false">+YEARFRAC(L2904,$S$1)</f>
        <v>126.366666666667</v>
      </c>
      <c r="T2904" s="230" t="n">
        <f aca="false">+YEARFRAC(M2904,$S$1)</f>
        <v>126.366666666667</v>
      </c>
      <c r="U2904" s="231" t="n">
        <f aca="false">+$I2904</f>
        <v>0</v>
      </c>
      <c r="V2904" s="232" t="str">
        <f aca="false">+PROPER(F2904)</f>
        <v/>
      </c>
    </row>
    <row r="2905" customFormat="false" ht="14.25" hidden="false" customHeight="false" outlineLevel="0" collapsed="false">
      <c r="B2905" s="244"/>
      <c r="C2905" s="245"/>
      <c r="D2905" s="245"/>
      <c r="E2905" s="246"/>
      <c r="F2905" s="246"/>
      <c r="G2905" s="225" t="e">
        <f aca="false">VLOOKUP(B2905,'NIVEL ENERO'!A:F,4,0)</f>
        <v>#N/A</v>
      </c>
      <c r="H2905" s="247"/>
      <c r="I2905" s="247"/>
      <c r="J2905" s="246"/>
      <c r="K2905" s="246"/>
      <c r="L2905" s="226"/>
      <c r="M2905" s="226"/>
      <c r="N2905" s="246"/>
      <c r="P2905" s="228"/>
      <c r="Q2905" s="245"/>
      <c r="R2905" s="186" t="str">
        <f aca="false">+PROPER(C2905&amp;" "&amp;D2905)</f>
        <v> </v>
      </c>
      <c r="S2905" s="230" t="n">
        <f aca="false">+YEARFRAC(L2905,$S$1)</f>
        <v>126.366666666667</v>
      </c>
      <c r="T2905" s="230" t="n">
        <f aca="false">+YEARFRAC(M2905,$S$1)</f>
        <v>126.366666666667</v>
      </c>
      <c r="U2905" s="231" t="n">
        <f aca="false">+$I2905</f>
        <v>0</v>
      </c>
      <c r="V2905" s="232" t="str">
        <f aca="false">+PROPER(F2905)</f>
        <v/>
      </c>
    </row>
    <row r="2906" customFormat="false" ht="14.25" hidden="false" customHeight="false" outlineLevel="0" collapsed="false">
      <c r="B2906" s="244"/>
      <c r="C2906" s="245"/>
      <c r="D2906" s="245"/>
      <c r="E2906" s="246"/>
      <c r="F2906" s="246"/>
      <c r="G2906" s="225" t="e">
        <f aca="false">VLOOKUP(B2906,'NIVEL ENERO'!A:F,4,0)</f>
        <v>#N/A</v>
      </c>
      <c r="H2906" s="247"/>
      <c r="I2906" s="247"/>
      <c r="J2906" s="246"/>
      <c r="K2906" s="246"/>
      <c r="L2906" s="226"/>
      <c r="M2906" s="226"/>
      <c r="N2906" s="246"/>
      <c r="P2906" s="228"/>
      <c r="Q2906" s="245"/>
      <c r="R2906" s="186" t="str">
        <f aca="false">+PROPER(C2906&amp;" "&amp;D2906)</f>
        <v> </v>
      </c>
      <c r="S2906" s="230" t="n">
        <f aca="false">+YEARFRAC(L2906,$S$1)</f>
        <v>126.366666666667</v>
      </c>
      <c r="T2906" s="230" t="n">
        <f aca="false">+YEARFRAC(M2906,$S$1)</f>
        <v>126.366666666667</v>
      </c>
      <c r="U2906" s="231" t="n">
        <f aca="false">+$I2906</f>
        <v>0</v>
      </c>
      <c r="V2906" s="232" t="str">
        <f aca="false">+PROPER(F2906)</f>
        <v/>
      </c>
    </row>
    <row r="2907" customFormat="false" ht="14.25" hidden="false" customHeight="false" outlineLevel="0" collapsed="false">
      <c r="B2907" s="244"/>
      <c r="C2907" s="245"/>
      <c r="D2907" s="245"/>
      <c r="E2907" s="246"/>
      <c r="F2907" s="246"/>
      <c r="G2907" s="225" t="e">
        <f aca="false">VLOOKUP(B2907,'NIVEL ENERO'!A:F,4,0)</f>
        <v>#N/A</v>
      </c>
      <c r="H2907" s="247"/>
      <c r="I2907" s="247"/>
      <c r="J2907" s="246"/>
      <c r="K2907" s="246"/>
      <c r="L2907" s="226"/>
      <c r="M2907" s="226"/>
      <c r="N2907" s="246"/>
      <c r="P2907" s="228"/>
      <c r="Q2907" s="245"/>
      <c r="R2907" s="186" t="str">
        <f aca="false">+PROPER(C2907&amp;" "&amp;D2907)</f>
        <v> </v>
      </c>
      <c r="S2907" s="230" t="n">
        <f aca="false">+YEARFRAC(L2907,$S$1)</f>
        <v>126.366666666667</v>
      </c>
      <c r="T2907" s="230" t="n">
        <f aca="false">+YEARFRAC(M2907,$S$1)</f>
        <v>126.366666666667</v>
      </c>
      <c r="U2907" s="231" t="n">
        <f aca="false">+$I2907</f>
        <v>0</v>
      </c>
      <c r="V2907" s="232" t="str">
        <f aca="false">+PROPER(F2907)</f>
        <v/>
      </c>
    </row>
    <row r="2908" customFormat="false" ht="14.25" hidden="false" customHeight="false" outlineLevel="0" collapsed="false">
      <c r="B2908" s="244"/>
      <c r="C2908" s="245"/>
      <c r="D2908" s="245"/>
      <c r="E2908" s="246"/>
      <c r="F2908" s="246"/>
      <c r="G2908" s="225" t="e">
        <f aca="false">VLOOKUP(B2908,'NIVEL ENERO'!A:F,4,0)</f>
        <v>#N/A</v>
      </c>
      <c r="H2908" s="247"/>
      <c r="I2908" s="247"/>
      <c r="J2908" s="246"/>
      <c r="K2908" s="246"/>
      <c r="L2908" s="226"/>
      <c r="M2908" s="226"/>
      <c r="N2908" s="246"/>
      <c r="P2908" s="228"/>
      <c r="Q2908" s="245"/>
      <c r="R2908" s="186" t="str">
        <f aca="false">+PROPER(C2908&amp;" "&amp;D2908)</f>
        <v> </v>
      </c>
      <c r="S2908" s="230" t="n">
        <f aca="false">+YEARFRAC(L2908,$S$1)</f>
        <v>126.366666666667</v>
      </c>
      <c r="T2908" s="230" t="n">
        <f aca="false">+YEARFRAC(M2908,$S$1)</f>
        <v>126.366666666667</v>
      </c>
      <c r="U2908" s="231" t="n">
        <f aca="false">+$I2908</f>
        <v>0</v>
      </c>
      <c r="V2908" s="232" t="str">
        <f aca="false">+PROPER(F2908)</f>
        <v/>
      </c>
    </row>
    <row r="2909" customFormat="false" ht="14.25" hidden="false" customHeight="false" outlineLevel="0" collapsed="false">
      <c r="B2909" s="244"/>
      <c r="C2909" s="245"/>
      <c r="D2909" s="245"/>
      <c r="E2909" s="246"/>
      <c r="F2909" s="246"/>
      <c r="G2909" s="225" t="e">
        <f aca="false">VLOOKUP(B2909,'NIVEL ENERO'!A:F,4,0)</f>
        <v>#N/A</v>
      </c>
      <c r="H2909" s="247"/>
      <c r="I2909" s="247"/>
      <c r="J2909" s="246"/>
      <c r="K2909" s="246"/>
      <c r="L2909" s="226"/>
      <c r="M2909" s="226"/>
      <c r="N2909" s="246"/>
      <c r="P2909" s="228"/>
      <c r="Q2909" s="245"/>
      <c r="R2909" s="186" t="str">
        <f aca="false">+PROPER(C2909&amp;" "&amp;D2909)</f>
        <v> </v>
      </c>
      <c r="S2909" s="230" t="n">
        <f aca="false">+YEARFRAC(L2909,$S$1)</f>
        <v>126.366666666667</v>
      </c>
      <c r="T2909" s="230" t="n">
        <f aca="false">+YEARFRAC(M2909,$S$1)</f>
        <v>126.366666666667</v>
      </c>
      <c r="U2909" s="231" t="n">
        <f aca="false">+$I2909</f>
        <v>0</v>
      </c>
      <c r="V2909" s="232" t="str">
        <f aca="false">+PROPER(F2909)</f>
        <v/>
      </c>
    </row>
    <row r="2910" customFormat="false" ht="14.25" hidden="false" customHeight="false" outlineLevel="0" collapsed="false">
      <c r="B2910" s="244"/>
      <c r="C2910" s="245"/>
      <c r="D2910" s="245"/>
      <c r="E2910" s="246"/>
      <c r="F2910" s="246"/>
      <c r="G2910" s="225" t="e">
        <f aca="false">VLOOKUP(B2910,'NIVEL ENERO'!A:F,4,0)</f>
        <v>#N/A</v>
      </c>
      <c r="H2910" s="247"/>
      <c r="I2910" s="247"/>
      <c r="J2910" s="246"/>
      <c r="K2910" s="246"/>
      <c r="L2910" s="226"/>
      <c r="M2910" s="226"/>
      <c r="N2910" s="246"/>
      <c r="P2910" s="228"/>
      <c r="Q2910" s="245"/>
      <c r="R2910" s="186" t="str">
        <f aca="false">+PROPER(C2910&amp;" "&amp;D2910)</f>
        <v> </v>
      </c>
      <c r="S2910" s="230" t="n">
        <f aca="false">+YEARFRAC(L2910,$S$1)</f>
        <v>126.366666666667</v>
      </c>
      <c r="T2910" s="230" t="n">
        <f aca="false">+YEARFRAC(M2910,$S$1)</f>
        <v>126.366666666667</v>
      </c>
      <c r="U2910" s="231" t="n">
        <f aca="false">+$I2910</f>
        <v>0</v>
      </c>
      <c r="V2910" s="232" t="str">
        <f aca="false">+PROPER(F2910)</f>
        <v/>
      </c>
    </row>
    <row r="2911" customFormat="false" ht="14.25" hidden="false" customHeight="false" outlineLevel="0" collapsed="false">
      <c r="B2911" s="244"/>
      <c r="C2911" s="245"/>
      <c r="D2911" s="245"/>
      <c r="E2911" s="246"/>
      <c r="F2911" s="246"/>
      <c r="G2911" s="225" t="e">
        <f aca="false">VLOOKUP(B2911,'NIVEL ENERO'!A:F,4,0)</f>
        <v>#N/A</v>
      </c>
      <c r="H2911" s="247"/>
      <c r="I2911" s="247"/>
      <c r="J2911" s="246"/>
      <c r="K2911" s="246"/>
      <c r="L2911" s="226"/>
      <c r="M2911" s="226"/>
      <c r="N2911" s="246"/>
      <c r="P2911" s="228"/>
      <c r="Q2911" s="245"/>
      <c r="R2911" s="186" t="str">
        <f aca="false">+PROPER(C2911&amp;" "&amp;D2911)</f>
        <v> </v>
      </c>
      <c r="S2911" s="230" t="n">
        <f aca="false">+YEARFRAC(L2911,$S$1)</f>
        <v>126.366666666667</v>
      </c>
      <c r="T2911" s="230" t="n">
        <f aca="false">+YEARFRAC(M2911,$S$1)</f>
        <v>126.366666666667</v>
      </c>
      <c r="U2911" s="231" t="n">
        <f aca="false">+$I2911</f>
        <v>0</v>
      </c>
      <c r="V2911" s="232" t="str">
        <f aca="false">+PROPER(F2911)</f>
        <v/>
      </c>
    </row>
    <row r="2912" customFormat="false" ht="14.25" hidden="false" customHeight="false" outlineLevel="0" collapsed="false">
      <c r="B2912" s="244"/>
      <c r="C2912" s="245"/>
      <c r="D2912" s="245"/>
      <c r="E2912" s="246"/>
      <c r="F2912" s="246"/>
      <c r="G2912" s="225" t="e">
        <f aca="false">VLOOKUP(B2912,'NIVEL ENERO'!A:F,4,0)</f>
        <v>#N/A</v>
      </c>
      <c r="H2912" s="247"/>
      <c r="I2912" s="247"/>
      <c r="J2912" s="246"/>
      <c r="K2912" s="246"/>
      <c r="L2912" s="226"/>
      <c r="M2912" s="226"/>
      <c r="N2912" s="246"/>
      <c r="P2912" s="228"/>
      <c r="Q2912" s="245"/>
      <c r="R2912" s="186" t="str">
        <f aca="false">+PROPER(C2912&amp;" "&amp;D2912)</f>
        <v> </v>
      </c>
      <c r="S2912" s="230" t="n">
        <f aca="false">+YEARFRAC(L2912,$S$1)</f>
        <v>126.366666666667</v>
      </c>
      <c r="T2912" s="230" t="n">
        <f aca="false">+YEARFRAC(M2912,$S$1)</f>
        <v>126.366666666667</v>
      </c>
      <c r="U2912" s="231" t="n">
        <f aca="false">+$I2912</f>
        <v>0</v>
      </c>
      <c r="V2912" s="232" t="str">
        <f aca="false">+PROPER(F2912)</f>
        <v/>
      </c>
    </row>
    <row r="2913" customFormat="false" ht="14.25" hidden="false" customHeight="false" outlineLevel="0" collapsed="false">
      <c r="B2913" s="244"/>
      <c r="C2913" s="245"/>
      <c r="D2913" s="245"/>
      <c r="E2913" s="246"/>
      <c r="F2913" s="246"/>
      <c r="G2913" s="225" t="e">
        <f aca="false">VLOOKUP(B2913,'NIVEL ENERO'!A:F,4,0)</f>
        <v>#N/A</v>
      </c>
      <c r="H2913" s="247"/>
      <c r="I2913" s="247"/>
      <c r="J2913" s="246"/>
      <c r="K2913" s="246"/>
      <c r="L2913" s="226"/>
      <c r="M2913" s="226"/>
      <c r="N2913" s="246"/>
      <c r="P2913" s="228"/>
      <c r="Q2913" s="245"/>
      <c r="R2913" s="186" t="str">
        <f aca="false">+PROPER(C2913&amp;" "&amp;D2913)</f>
        <v> </v>
      </c>
      <c r="S2913" s="230" t="n">
        <f aca="false">+YEARFRAC(L2913,$S$1)</f>
        <v>126.366666666667</v>
      </c>
      <c r="T2913" s="230" t="n">
        <f aca="false">+YEARFRAC(M2913,$S$1)</f>
        <v>126.366666666667</v>
      </c>
      <c r="U2913" s="231" t="n">
        <f aca="false">+$I2913</f>
        <v>0</v>
      </c>
      <c r="V2913" s="232" t="str">
        <f aca="false">+PROPER(F2913)</f>
        <v/>
      </c>
    </row>
    <row r="2914" customFormat="false" ht="14.25" hidden="false" customHeight="false" outlineLevel="0" collapsed="false">
      <c r="B2914" s="244"/>
      <c r="C2914" s="245"/>
      <c r="D2914" s="245"/>
      <c r="E2914" s="246"/>
      <c r="F2914" s="246"/>
      <c r="G2914" s="225" t="e">
        <f aca="false">VLOOKUP(B2914,'NIVEL ENERO'!A:F,4,0)</f>
        <v>#N/A</v>
      </c>
      <c r="H2914" s="247"/>
      <c r="I2914" s="247"/>
      <c r="J2914" s="246"/>
      <c r="K2914" s="246"/>
      <c r="L2914" s="226"/>
      <c r="M2914" s="226"/>
      <c r="N2914" s="246"/>
      <c r="P2914" s="228"/>
      <c r="Q2914" s="245"/>
      <c r="R2914" s="186" t="str">
        <f aca="false">+PROPER(C2914&amp;" "&amp;D2914)</f>
        <v> </v>
      </c>
      <c r="S2914" s="230" t="n">
        <f aca="false">+YEARFRAC(L2914,$S$1)</f>
        <v>126.366666666667</v>
      </c>
      <c r="T2914" s="230" t="n">
        <f aca="false">+YEARFRAC(M2914,$S$1)</f>
        <v>126.366666666667</v>
      </c>
      <c r="U2914" s="231" t="n">
        <f aca="false">+$I2914</f>
        <v>0</v>
      </c>
      <c r="V2914" s="232" t="str">
        <f aca="false">+PROPER(F2914)</f>
        <v/>
      </c>
    </row>
    <row r="2915" customFormat="false" ht="14.25" hidden="false" customHeight="false" outlineLevel="0" collapsed="false">
      <c r="B2915" s="244"/>
      <c r="C2915" s="245"/>
      <c r="D2915" s="245"/>
      <c r="E2915" s="246"/>
      <c r="F2915" s="246"/>
      <c r="G2915" s="225" t="e">
        <f aca="false">VLOOKUP(B2915,'NIVEL ENERO'!A:F,4,0)</f>
        <v>#N/A</v>
      </c>
      <c r="H2915" s="247"/>
      <c r="I2915" s="247"/>
      <c r="J2915" s="246"/>
      <c r="K2915" s="246"/>
      <c r="L2915" s="226"/>
      <c r="M2915" s="226"/>
      <c r="N2915" s="246"/>
      <c r="P2915" s="228"/>
      <c r="Q2915" s="245"/>
      <c r="R2915" s="186" t="str">
        <f aca="false">+PROPER(C2915&amp;" "&amp;D2915)</f>
        <v> </v>
      </c>
      <c r="S2915" s="230" t="n">
        <f aca="false">+YEARFRAC(L2915,$S$1)</f>
        <v>126.366666666667</v>
      </c>
      <c r="T2915" s="230" t="n">
        <f aca="false">+YEARFRAC(M2915,$S$1)</f>
        <v>126.366666666667</v>
      </c>
      <c r="U2915" s="231" t="n">
        <f aca="false">+$I2915</f>
        <v>0</v>
      </c>
      <c r="V2915" s="232" t="str">
        <f aca="false">+PROPER(F2915)</f>
        <v/>
      </c>
    </row>
    <row r="2916" customFormat="false" ht="14.25" hidden="false" customHeight="false" outlineLevel="0" collapsed="false">
      <c r="B2916" s="244"/>
      <c r="C2916" s="245"/>
      <c r="D2916" s="245"/>
      <c r="E2916" s="246"/>
      <c r="F2916" s="246"/>
      <c r="G2916" s="225" t="e">
        <f aca="false">VLOOKUP(B2916,'NIVEL ENERO'!A:F,4,0)</f>
        <v>#N/A</v>
      </c>
      <c r="H2916" s="247"/>
      <c r="I2916" s="247"/>
      <c r="J2916" s="246"/>
      <c r="K2916" s="246"/>
      <c r="L2916" s="226"/>
      <c r="M2916" s="226"/>
      <c r="N2916" s="246"/>
      <c r="P2916" s="228"/>
      <c r="Q2916" s="245"/>
      <c r="R2916" s="186" t="str">
        <f aca="false">+PROPER(C2916&amp;" "&amp;D2916)</f>
        <v> </v>
      </c>
      <c r="S2916" s="230" t="n">
        <f aca="false">+YEARFRAC(L2916,$S$1)</f>
        <v>126.366666666667</v>
      </c>
      <c r="T2916" s="230" t="n">
        <f aca="false">+YEARFRAC(M2916,$S$1)</f>
        <v>126.366666666667</v>
      </c>
      <c r="U2916" s="231" t="n">
        <f aca="false">+$I2916</f>
        <v>0</v>
      </c>
      <c r="V2916" s="232" t="str">
        <f aca="false">+PROPER(F2916)</f>
        <v/>
      </c>
    </row>
    <row r="2917" customFormat="false" ht="14.25" hidden="false" customHeight="false" outlineLevel="0" collapsed="false">
      <c r="B2917" s="244"/>
      <c r="C2917" s="245"/>
      <c r="D2917" s="245"/>
      <c r="E2917" s="246"/>
      <c r="F2917" s="246"/>
      <c r="G2917" s="225" t="e">
        <f aca="false">VLOOKUP(B2917,'NIVEL ENERO'!A:F,4,0)</f>
        <v>#N/A</v>
      </c>
      <c r="H2917" s="247"/>
      <c r="I2917" s="247"/>
      <c r="J2917" s="246"/>
      <c r="K2917" s="246"/>
      <c r="L2917" s="226"/>
      <c r="M2917" s="226"/>
      <c r="N2917" s="246"/>
      <c r="P2917" s="228"/>
      <c r="Q2917" s="245"/>
      <c r="R2917" s="186" t="str">
        <f aca="false">+PROPER(C2917&amp;" "&amp;D2917)</f>
        <v> </v>
      </c>
      <c r="S2917" s="230" t="n">
        <f aca="false">+YEARFRAC(L2917,$S$1)</f>
        <v>126.366666666667</v>
      </c>
      <c r="T2917" s="230" t="n">
        <f aca="false">+YEARFRAC(M2917,$S$1)</f>
        <v>126.366666666667</v>
      </c>
      <c r="U2917" s="231" t="n">
        <f aca="false">+$I2917</f>
        <v>0</v>
      </c>
      <c r="V2917" s="232" t="str">
        <f aca="false">+PROPER(F2917)</f>
        <v/>
      </c>
    </row>
    <row r="2918" customFormat="false" ht="14.25" hidden="false" customHeight="false" outlineLevel="0" collapsed="false">
      <c r="B2918" s="244"/>
      <c r="C2918" s="245"/>
      <c r="D2918" s="245"/>
      <c r="E2918" s="246"/>
      <c r="F2918" s="246"/>
      <c r="G2918" s="225" t="e">
        <f aca="false">VLOOKUP(B2918,'NIVEL ENERO'!A:F,4,0)</f>
        <v>#N/A</v>
      </c>
      <c r="H2918" s="247"/>
      <c r="I2918" s="247"/>
      <c r="J2918" s="246"/>
      <c r="K2918" s="246"/>
      <c r="L2918" s="226"/>
      <c r="M2918" s="226"/>
      <c r="N2918" s="246"/>
      <c r="P2918" s="228"/>
      <c r="Q2918" s="245"/>
      <c r="R2918" s="186" t="str">
        <f aca="false">+PROPER(C2918&amp;" "&amp;D2918)</f>
        <v> </v>
      </c>
      <c r="S2918" s="230" t="n">
        <f aca="false">+YEARFRAC(L2918,$S$1)</f>
        <v>126.366666666667</v>
      </c>
      <c r="T2918" s="230" t="n">
        <f aca="false">+YEARFRAC(M2918,$S$1)</f>
        <v>126.366666666667</v>
      </c>
      <c r="U2918" s="231" t="n">
        <f aca="false">+$I2918</f>
        <v>0</v>
      </c>
      <c r="V2918" s="232" t="str">
        <f aca="false">+PROPER(F2918)</f>
        <v/>
      </c>
    </row>
    <row r="2919" customFormat="false" ht="14.25" hidden="false" customHeight="false" outlineLevel="0" collapsed="false">
      <c r="B2919" s="244"/>
      <c r="C2919" s="245"/>
      <c r="D2919" s="245"/>
      <c r="E2919" s="246"/>
      <c r="F2919" s="246"/>
      <c r="G2919" s="225" t="e">
        <f aca="false">VLOOKUP(B2919,'NIVEL ENERO'!A:F,4,0)</f>
        <v>#N/A</v>
      </c>
      <c r="H2919" s="247"/>
      <c r="I2919" s="247"/>
      <c r="J2919" s="246"/>
      <c r="K2919" s="246"/>
      <c r="L2919" s="226"/>
      <c r="M2919" s="226"/>
      <c r="N2919" s="246"/>
      <c r="P2919" s="228"/>
      <c r="Q2919" s="245"/>
      <c r="R2919" s="186" t="str">
        <f aca="false">+PROPER(C2919&amp;" "&amp;D2919)</f>
        <v> </v>
      </c>
      <c r="S2919" s="230" t="n">
        <f aca="false">+YEARFRAC(L2919,$S$1)</f>
        <v>126.366666666667</v>
      </c>
      <c r="T2919" s="230" t="n">
        <f aca="false">+YEARFRAC(M2919,$S$1)</f>
        <v>126.366666666667</v>
      </c>
      <c r="U2919" s="231" t="n">
        <f aca="false">+$I2919</f>
        <v>0</v>
      </c>
      <c r="V2919" s="232" t="str">
        <f aca="false">+PROPER(F2919)</f>
        <v/>
      </c>
    </row>
    <row r="2920" customFormat="false" ht="14.25" hidden="false" customHeight="false" outlineLevel="0" collapsed="false">
      <c r="B2920" s="244"/>
      <c r="C2920" s="245"/>
      <c r="D2920" s="245"/>
      <c r="E2920" s="246"/>
      <c r="F2920" s="246"/>
      <c r="G2920" s="225" t="e">
        <f aca="false">VLOOKUP(B2920,'NIVEL ENERO'!A:F,4,0)</f>
        <v>#N/A</v>
      </c>
      <c r="H2920" s="247"/>
      <c r="I2920" s="247"/>
      <c r="J2920" s="246"/>
      <c r="K2920" s="246"/>
      <c r="L2920" s="226"/>
      <c r="M2920" s="226"/>
      <c r="N2920" s="246"/>
      <c r="P2920" s="228"/>
      <c r="Q2920" s="245"/>
      <c r="R2920" s="186" t="str">
        <f aca="false">+PROPER(C2920&amp;" "&amp;D2920)</f>
        <v> </v>
      </c>
      <c r="S2920" s="230" t="n">
        <f aca="false">+YEARFRAC(L2920,$S$1)</f>
        <v>126.366666666667</v>
      </c>
      <c r="T2920" s="230" t="n">
        <f aca="false">+YEARFRAC(M2920,$S$1)</f>
        <v>126.366666666667</v>
      </c>
      <c r="U2920" s="231" t="n">
        <f aca="false">+$I2920</f>
        <v>0</v>
      </c>
      <c r="V2920" s="232" t="str">
        <f aca="false">+PROPER(F2920)</f>
        <v/>
      </c>
    </row>
    <row r="2921" customFormat="false" ht="14.25" hidden="false" customHeight="false" outlineLevel="0" collapsed="false">
      <c r="B2921" s="244"/>
      <c r="C2921" s="245"/>
      <c r="D2921" s="245"/>
      <c r="E2921" s="246"/>
      <c r="F2921" s="246"/>
      <c r="G2921" s="225" t="e">
        <f aca="false">VLOOKUP(B2921,'NIVEL ENERO'!A:F,4,0)</f>
        <v>#N/A</v>
      </c>
      <c r="H2921" s="247"/>
      <c r="I2921" s="247"/>
      <c r="J2921" s="246"/>
      <c r="K2921" s="246"/>
      <c r="L2921" s="226"/>
      <c r="M2921" s="226"/>
      <c r="N2921" s="246"/>
      <c r="P2921" s="228"/>
      <c r="Q2921" s="245"/>
      <c r="R2921" s="186" t="str">
        <f aca="false">+PROPER(C2921&amp;" "&amp;D2921)</f>
        <v> </v>
      </c>
      <c r="S2921" s="230" t="n">
        <f aca="false">+YEARFRAC(L2921,$S$1)</f>
        <v>126.366666666667</v>
      </c>
      <c r="T2921" s="230" t="n">
        <f aca="false">+YEARFRAC(M2921,$S$1)</f>
        <v>126.366666666667</v>
      </c>
      <c r="U2921" s="231" t="n">
        <f aca="false">+$I2921</f>
        <v>0</v>
      </c>
      <c r="V2921" s="232" t="str">
        <f aca="false">+PROPER(F2921)</f>
        <v/>
      </c>
    </row>
    <row r="2922" customFormat="false" ht="14.25" hidden="false" customHeight="false" outlineLevel="0" collapsed="false">
      <c r="B2922" s="244"/>
      <c r="C2922" s="245"/>
      <c r="D2922" s="245"/>
      <c r="E2922" s="246"/>
      <c r="F2922" s="246"/>
      <c r="G2922" s="225" t="e">
        <f aca="false">VLOOKUP(B2922,'NIVEL ENERO'!A:F,4,0)</f>
        <v>#N/A</v>
      </c>
      <c r="H2922" s="247"/>
      <c r="I2922" s="247"/>
      <c r="J2922" s="246"/>
      <c r="K2922" s="246"/>
      <c r="L2922" s="226"/>
      <c r="M2922" s="226"/>
      <c r="N2922" s="246"/>
      <c r="P2922" s="228"/>
      <c r="Q2922" s="245"/>
      <c r="R2922" s="186" t="str">
        <f aca="false">+PROPER(C2922&amp;" "&amp;D2922)</f>
        <v> </v>
      </c>
      <c r="S2922" s="230" t="n">
        <f aca="false">+YEARFRAC(L2922,$S$1)</f>
        <v>126.366666666667</v>
      </c>
      <c r="T2922" s="230" t="n">
        <f aca="false">+YEARFRAC(M2922,$S$1)</f>
        <v>126.366666666667</v>
      </c>
      <c r="U2922" s="231" t="n">
        <f aca="false">+$I2922</f>
        <v>0</v>
      </c>
      <c r="V2922" s="232" t="str">
        <f aca="false">+PROPER(F2922)</f>
        <v/>
      </c>
    </row>
    <row r="2923" customFormat="false" ht="14.25" hidden="false" customHeight="false" outlineLevel="0" collapsed="false">
      <c r="B2923" s="244"/>
      <c r="C2923" s="245"/>
      <c r="D2923" s="245"/>
      <c r="E2923" s="246"/>
      <c r="F2923" s="246"/>
      <c r="G2923" s="225" t="e">
        <f aca="false">VLOOKUP(B2923,'NIVEL ENERO'!A:F,4,0)</f>
        <v>#N/A</v>
      </c>
      <c r="H2923" s="247"/>
      <c r="I2923" s="247"/>
      <c r="J2923" s="246"/>
      <c r="K2923" s="246"/>
      <c r="L2923" s="226"/>
      <c r="M2923" s="226"/>
      <c r="N2923" s="246"/>
      <c r="P2923" s="228"/>
      <c r="Q2923" s="245"/>
      <c r="R2923" s="186" t="str">
        <f aca="false">+PROPER(C2923&amp;" "&amp;D2923)</f>
        <v> </v>
      </c>
      <c r="S2923" s="230" t="n">
        <f aca="false">+YEARFRAC(L2923,$S$1)</f>
        <v>126.366666666667</v>
      </c>
      <c r="T2923" s="230" t="n">
        <f aca="false">+YEARFRAC(M2923,$S$1)</f>
        <v>126.366666666667</v>
      </c>
      <c r="U2923" s="231" t="n">
        <f aca="false">+$I2923</f>
        <v>0</v>
      </c>
      <c r="V2923" s="232" t="str">
        <f aca="false">+PROPER(F2923)</f>
        <v/>
      </c>
    </row>
    <row r="2924" customFormat="false" ht="14.25" hidden="false" customHeight="false" outlineLevel="0" collapsed="false">
      <c r="B2924" s="244"/>
      <c r="C2924" s="245"/>
      <c r="D2924" s="245"/>
      <c r="E2924" s="246"/>
      <c r="F2924" s="246"/>
      <c r="G2924" s="225" t="e">
        <f aca="false">VLOOKUP(B2924,'NIVEL ENERO'!A:F,4,0)</f>
        <v>#N/A</v>
      </c>
      <c r="H2924" s="247"/>
      <c r="I2924" s="247"/>
      <c r="J2924" s="246"/>
      <c r="K2924" s="246"/>
      <c r="L2924" s="226"/>
      <c r="M2924" s="226"/>
      <c r="N2924" s="246"/>
      <c r="P2924" s="228"/>
      <c r="Q2924" s="245"/>
      <c r="R2924" s="186" t="str">
        <f aca="false">+PROPER(C2924&amp;" "&amp;D2924)</f>
        <v> </v>
      </c>
      <c r="S2924" s="230" t="n">
        <f aca="false">+YEARFRAC(L2924,$S$1)</f>
        <v>126.366666666667</v>
      </c>
      <c r="T2924" s="230" t="n">
        <f aca="false">+YEARFRAC(M2924,$S$1)</f>
        <v>126.366666666667</v>
      </c>
      <c r="U2924" s="231" t="n">
        <f aca="false">+$I2924</f>
        <v>0</v>
      </c>
      <c r="V2924" s="232" t="str">
        <f aca="false">+PROPER(F2924)</f>
        <v/>
      </c>
    </row>
    <row r="2925" customFormat="false" ht="14.25" hidden="false" customHeight="false" outlineLevel="0" collapsed="false">
      <c r="B2925" s="244"/>
      <c r="C2925" s="245"/>
      <c r="D2925" s="245"/>
      <c r="E2925" s="246"/>
      <c r="F2925" s="246"/>
      <c r="G2925" s="225" t="e">
        <f aca="false">VLOOKUP(B2925,'NIVEL ENERO'!A:F,4,0)</f>
        <v>#N/A</v>
      </c>
      <c r="H2925" s="247"/>
      <c r="I2925" s="247"/>
      <c r="J2925" s="246"/>
      <c r="K2925" s="246"/>
      <c r="L2925" s="226"/>
      <c r="M2925" s="226"/>
      <c r="N2925" s="246"/>
      <c r="P2925" s="228"/>
      <c r="Q2925" s="245"/>
      <c r="R2925" s="186" t="str">
        <f aca="false">+PROPER(C2925&amp;" "&amp;D2925)</f>
        <v> </v>
      </c>
      <c r="S2925" s="230" t="n">
        <f aca="false">+YEARFRAC(L2925,$S$1)</f>
        <v>126.366666666667</v>
      </c>
      <c r="T2925" s="230" t="n">
        <f aca="false">+YEARFRAC(M2925,$S$1)</f>
        <v>126.366666666667</v>
      </c>
      <c r="U2925" s="231" t="n">
        <f aca="false">+$I2925</f>
        <v>0</v>
      </c>
      <c r="V2925" s="232" t="str">
        <f aca="false">+PROPER(F2925)</f>
        <v/>
      </c>
    </row>
    <row r="2926" customFormat="false" ht="14.25" hidden="false" customHeight="false" outlineLevel="0" collapsed="false">
      <c r="B2926" s="244"/>
      <c r="C2926" s="245"/>
      <c r="D2926" s="245"/>
      <c r="E2926" s="246"/>
      <c r="F2926" s="246"/>
      <c r="G2926" s="225" t="e">
        <f aca="false">VLOOKUP(B2926,'NIVEL ENERO'!A:F,4,0)</f>
        <v>#N/A</v>
      </c>
      <c r="H2926" s="247"/>
      <c r="I2926" s="247"/>
      <c r="J2926" s="246"/>
      <c r="K2926" s="246"/>
      <c r="L2926" s="226"/>
      <c r="M2926" s="226"/>
      <c r="N2926" s="246"/>
      <c r="P2926" s="228"/>
      <c r="Q2926" s="245"/>
      <c r="R2926" s="186" t="str">
        <f aca="false">+PROPER(C2926&amp;" "&amp;D2926)</f>
        <v> </v>
      </c>
      <c r="S2926" s="230" t="n">
        <f aca="false">+YEARFRAC(L2926,$S$1)</f>
        <v>126.366666666667</v>
      </c>
      <c r="T2926" s="230" t="n">
        <f aca="false">+YEARFRAC(M2926,$S$1)</f>
        <v>126.366666666667</v>
      </c>
      <c r="U2926" s="231" t="n">
        <f aca="false">+$I2926</f>
        <v>0</v>
      </c>
      <c r="V2926" s="232" t="str">
        <f aca="false">+PROPER(F2926)</f>
        <v/>
      </c>
    </row>
    <row r="2927" customFormat="false" ht="14.25" hidden="false" customHeight="false" outlineLevel="0" collapsed="false">
      <c r="B2927" s="244"/>
      <c r="C2927" s="245"/>
      <c r="D2927" s="245"/>
      <c r="E2927" s="246"/>
      <c r="F2927" s="246"/>
      <c r="G2927" s="225" t="e">
        <f aca="false">VLOOKUP(B2927,'NIVEL ENERO'!A:F,4,0)</f>
        <v>#N/A</v>
      </c>
      <c r="H2927" s="247"/>
      <c r="I2927" s="247"/>
      <c r="J2927" s="246"/>
      <c r="K2927" s="246"/>
      <c r="L2927" s="226"/>
      <c r="M2927" s="226"/>
      <c r="N2927" s="246"/>
      <c r="P2927" s="228"/>
      <c r="Q2927" s="245"/>
      <c r="R2927" s="186" t="str">
        <f aca="false">+PROPER(C2927&amp;" "&amp;D2927)</f>
        <v> </v>
      </c>
      <c r="S2927" s="230" t="n">
        <f aca="false">+YEARFRAC(L2927,$S$1)</f>
        <v>126.366666666667</v>
      </c>
      <c r="T2927" s="230" t="n">
        <f aca="false">+YEARFRAC(M2927,$S$1)</f>
        <v>126.366666666667</v>
      </c>
      <c r="U2927" s="231" t="n">
        <f aca="false">+$I2927</f>
        <v>0</v>
      </c>
      <c r="V2927" s="232" t="str">
        <f aca="false">+PROPER(F2927)</f>
        <v/>
      </c>
    </row>
    <row r="2928" customFormat="false" ht="14.25" hidden="false" customHeight="false" outlineLevel="0" collapsed="false">
      <c r="B2928" s="244"/>
      <c r="C2928" s="245"/>
      <c r="D2928" s="245"/>
      <c r="E2928" s="246"/>
      <c r="F2928" s="246"/>
      <c r="G2928" s="225" t="e">
        <f aca="false">VLOOKUP(B2928,'NIVEL ENERO'!A:F,4,0)</f>
        <v>#N/A</v>
      </c>
      <c r="H2928" s="247"/>
      <c r="I2928" s="247"/>
      <c r="J2928" s="246"/>
      <c r="K2928" s="246"/>
      <c r="L2928" s="226"/>
      <c r="M2928" s="226"/>
      <c r="N2928" s="246"/>
      <c r="P2928" s="228"/>
      <c r="Q2928" s="245"/>
      <c r="R2928" s="186" t="str">
        <f aca="false">+PROPER(C2928&amp;" "&amp;D2928)</f>
        <v> </v>
      </c>
      <c r="S2928" s="230" t="n">
        <f aca="false">+YEARFRAC(L2928,$S$1)</f>
        <v>126.366666666667</v>
      </c>
      <c r="T2928" s="230" t="n">
        <f aca="false">+YEARFRAC(M2928,$S$1)</f>
        <v>126.366666666667</v>
      </c>
      <c r="U2928" s="231" t="n">
        <f aca="false">+$I2928</f>
        <v>0</v>
      </c>
      <c r="V2928" s="232" t="str">
        <f aca="false">+PROPER(F2928)</f>
        <v/>
      </c>
    </row>
    <row r="2929" customFormat="false" ht="14.25" hidden="false" customHeight="false" outlineLevel="0" collapsed="false">
      <c r="B2929" s="244"/>
      <c r="C2929" s="245"/>
      <c r="D2929" s="245"/>
      <c r="E2929" s="246"/>
      <c r="F2929" s="246"/>
      <c r="G2929" s="225" t="e">
        <f aca="false">VLOOKUP(B2929,'NIVEL ENERO'!A:F,4,0)</f>
        <v>#N/A</v>
      </c>
      <c r="H2929" s="247"/>
      <c r="I2929" s="247"/>
      <c r="J2929" s="246"/>
      <c r="K2929" s="246"/>
      <c r="L2929" s="226"/>
      <c r="M2929" s="226"/>
      <c r="N2929" s="246"/>
      <c r="P2929" s="228"/>
      <c r="Q2929" s="245"/>
      <c r="R2929" s="186" t="str">
        <f aca="false">+PROPER(C2929&amp;" "&amp;D2929)</f>
        <v> </v>
      </c>
      <c r="S2929" s="230" t="n">
        <f aca="false">+YEARFRAC(L2929,$S$1)</f>
        <v>126.366666666667</v>
      </c>
      <c r="T2929" s="230" t="n">
        <f aca="false">+YEARFRAC(M2929,$S$1)</f>
        <v>126.366666666667</v>
      </c>
      <c r="U2929" s="231" t="n">
        <f aca="false">+$I2929</f>
        <v>0</v>
      </c>
      <c r="V2929" s="232" t="str">
        <f aca="false">+PROPER(F2929)</f>
        <v/>
      </c>
    </row>
    <row r="2930" customFormat="false" ht="14.25" hidden="false" customHeight="false" outlineLevel="0" collapsed="false">
      <c r="B2930" s="244"/>
      <c r="C2930" s="245"/>
      <c r="D2930" s="245"/>
      <c r="E2930" s="246"/>
      <c r="F2930" s="246"/>
      <c r="G2930" s="225" t="e">
        <f aca="false">VLOOKUP(B2930,'NIVEL ENERO'!A:F,4,0)</f>
        <v>#N/A</v>
      </c>
      <c r="H2930" s="247"/>
      <c r="I2930" s="247"/>
      <c r="J2930" s="246"/>
      <c r="K2930" s="246"/>
      <c r="L2930" s="226"/>
      <c r="M2930" s="226"/>
      <c r="N2930" s="246"/>
      <c r="P2930" s="228"/>
      <c r="Q2930" s="245"/>
      <c r="R2930" s="186" t="str">
        <f aca="false">+PROPER(C2930&amp;" "&amp;D2930)</f>
        <v> </v>
      </c>
      <c r="S2930" s="230" t="n">
        <f aca="false">+YEARFRAC(L2930,$S$1)</f>
        <v>126.366666666667</v>
      </c>
      <c r="T2930" s="230" t="n">
        <f aca="false">+YEARFRAC(M2930,$S$1)</f>
        <v>126.366666666667</v>
      </c>
      <c r="U2930" s="231" t="n">
        <f aca="false">+$I2930</f>
        <v>0</v>
      </c>
      <c r="V2930" s="232" t="str">
        <f aca="false">+PROPER(F2930)</f>
        <v/>
      </c>
    </row>
    <row r="2931" customFormat="false" ht="14.25" hidden="false" customHeight="false" outlineLevel="0" collapsed="false">
      <c r="B2931" s="244"/>
      <c r="C2931" s="245"/>
      <c r="D2931" s="245"/>
      <c r="E2931" s="246"/>
      <c r="F2931" s="246"/>
      <c r="G2931" s="225" t="e">
        <f aca="false">VLOOKUP(B2931,'NIVEL ENERO'!A:F,4,0)</f>
        <v>#N/A</v>
      </c>
      <c r="H2931" s="247"/>
      <c r="I2931" s="247"/>
      <c r="J2931" s="246"/>
      <c r="K2931" s="246"/>
      <c r="L2931" s="226"/>
      <c r="M2931" s="226"/>
      <c r="N2931" s="246"/>
      <c r="P2931" s="228"/>
      <c r="Q2931" s="245"/>
      <c r="R2931" s="186" t="str">
        <f aca="false">+PROPER(C2931&amp;" "&amp;D2931)</f>
        <v> </v>
      </c>
      <c r="S2931" s="230" t="n">
        <f aca="false">+YEARFRAC(L2931,$S$1)</f>
        <v>126.366666666667</v>
      </c>
      <c r="T2931" s="230" t="n">
        <f aca="false">+YEARFRAC(M2931,$S$1)</f>
        <v>126.366666666667</v>
      </c>
      <c r="U2931" s="231" t="n">
        <f aca="false">+$I2931</f>
        <v>0</v>
      </c>
      <c r="V2931" s="232" t="str">
        <f aca="false">+PROPER(F2931)</f>
        <v/>
      </c>
    </row>
    <row r="2932" customFormat="false" ht="14.25" hidden="false" customHeight="false" outlineLevel="0" collapsed="false">
      <c r="B2932" s="244"/>
      <c r="C2932" s="245"/>
      <c r="D2932" s="245"/>
      <c r="E2932" s="246"/>
      <c r="F2932" s="246"/>
      <c r="G2932" s="225" t="e">
        <f aca="false">VLOOKUP(B2932,'NIVEL ENERO'!A:F,4,0)</f>
        <v>#N/A</v>
      </c>
      <c r="H2932" s="247"/>
      <c r="I2932" s="247"/>
      <c r="J2932" s="246"/>
      <c r="K2932" s="246"/>
      <c r="L2932" s="226"/>
      <c r="M2932" s="226"/>
      <c r="N2932" s="246"/>
      <c r="P2932" s="228"/>
      <c r="Q2932" s="245"/>
      <c r="R2932" s="186" t="str">
        <f aca="false">+PROPER(C2932&amp;" "&amp;D2932)</f>
        <v> </v>
      </c>
      <c r="S2932" s="230" t="n">
        <f aca="false">+YEARFRAC(L2932,$S$1)</f>
        <v>126.366666666667</v>
      </c>
      <c r="T2932" s="230" t="n">
        <f aca="false">+YEARFRAC(M2932,$S$1)</f>
        <v>126.366666666667</v>
      </c>
      <c r="U2932" s="231" t="n">
        <f aca="false">+$I2932</f>
        <v>0</v>
      </c>
      <c r="V2932" s="232" t="str">
        <f aca="false">+PROPER(F2932)</f>
        <v/>
      </c>
    </row>
    <row r="2933" customFormat="false" ht="14.25" hidden="false" customHeight="false" outlineLevel="0" collapsed="false">
      <c r="B2933" s="244"/>
      <c r="C2933" s="245"/>
      <c r="D2933" s="245"/>
      <c r="E2933" s="246"/>
      <c r="F2933" s="246"/>
      <c r="G2933" s="225" t="e">
        <f aca="false">VLOOKUP(B2933,'NIVEL ENERO'!A:F,4,0)</f>
        <v>#N/A</v>
      </c>
      <c r="H2933" s="247"/>
      <c r="I2933" s="247"/>
      <c r="J2933" s="246"/>
      <c r="K2933" s="246"/>
      <c r="L2933" s="226"/>
      <c r="M2933" s="226"/>
      <c r="N2933" s="246"/>
      <c r="P2933" s="228"/>
      <c r="Q2933" s="245"/>
      <c r="R2933" s="186" t="str">
        <f aca="false">+PROPER(C2933&amp;" "&amp;D2933)</f>
        <v> </v>
      </c>
      <c r="S2933" s="230" t="n">
        <f aca="false">+YEARFRAC(L2933,$S$1)</f>
        <v>126.366666666667</v>
      </c>
      <c r="T2933" s="230" t="n">
        <f aca="false">+YEARFRAC(M2933,$S$1)</f>
        <v>126.366666666667</v>
      </c>
      <c r="U2933" s="231" t="n">
        <f aca="false">+$I2933</f>
        <v>0</v>
      </c>
      <c r="V2933" s="232" t="str">
        <f aca="false">+PROPER(F2933)</f>
        <v/>
      </c>
    </row>
    <row r="2934" customFormat="false" ht="14.25" hidden="false" customHeight="false" outlineLevel="0" collapsed="false">
      <c r="B2934" s="244"/>
      <c r="C2934" s="245"/>
      <c r="D2934" s="245"/>
      <c r="E2934" s="246"/>
      <c r="F2934" s="246"/>
      <c r="G2934" s="225" t="e">
        <f aca="false">VLOOKUP(B2934,'NIVEL ENERO'!A:F,4,0)</f>
        <v>#N/A</v>
      </c>
      <c r="H2934" s="247"/>
      <c r="I2934" s="247"/>
      <c r="J2934" s="246"/>
      <c r="K2934" s="246"/>
      <c r="L2934" s="226"/>
      <c r="M2934" s="226"/>
      <c r="N2934" s="246"/>
      <c r="P2934" s="228"/>
      <c r="Q2934" s="245"/>
      <c r="R2934" s="186" t="str">
        <f aca="false">+PROPER(C2934&amp;" "&amp;D2934)</f>
        <v> </v>
      </c>
      <c r="S2934" s="230" t="n">
        <f aca="false">+YEARFRAC(L2934,$S$1)</f>
        <v>126.366666666667</v>
      </c>
      <c r="T2934" s="230" t="n">
        <f aca="false">+YEARFRAC(M2934,$S$1)</f>
        <v>126.366666666667</v>
      </c>
      <c r="U2934" s="231" t="n">
        <f aca="false">+$I2934</f>
        <v>0</v>
      </c>
      <c r="V2934" s="232" t="str">
        <f aca="false">+PROPER(F2934)</f>
        <v/>
      </c>
    </row>
    <row r="2935" customFormat="false" ht="14.25" hidden="false" customHeight="false" outlineLevel="0" collapsed="false">
      <c r="B2935" s="244"/>
      <c r="C2935" s="245"/>
      <c r="D2935" s="245"/>
      <c r="E2935" s="246"/>
      <c r="F2935" s="246"/>
      <c r="G2935" s="225" t="e">
        <f aca="false">VLOOKUP(B2935,'NIVEL ENERO'!A:F,4,0)</f>
        <v>#N/A</v>
      </c>
      <c r="H2935" s="247"/>
      <c r="I2935" s="247"/>
      <c r="J2935" s="246"/>
      <c r="K2935" s="246"/>
      <c r="L2935" s="226"/>
      <c r="M2935" s="226"/>
      <c r="N2935" s="246"/>
      <c r="P2935" s="228"/>
      <c r="Q2935" s="245"/>
      <c r="R2935" s="186" t="str">
        <f aca="false">+PROPER(C2935&amp;" "&amp;D2935)</f>
        <v> </v>
      </c>
      <c r="S2935" s="230" t="n">
        <f aca="false">+YEARFRAC(L2935,$S$1)</f>
        <v>126.366666666667</v>
      </c>
      <c r="T2935" s="230" t="n">
        <f aca="false">+YEARFRAC(M2935,$S$1)</f>
        <v>126.366666666667</v>
      </c>
      <c r="U2935" s="231" t="n">
        <f aca="false">+$I2935</f>
        <v>0</v>
      </c>
      <c r="V2935" s="232" t="str">
        <f aca="false">+PROPER(F2935)</f>
        <v/>
      </c>
    </row>
    <row r="2936" customFormat="false" ht="14.25" hidden="false" customHeight="false" outlineLevel="0" collapsed="false">
      <c r="B2936" s="244"/>
      <c r="C2936" s="245"/>
      <c r="D2936" s="245"/>
      <c r="E2936" s="246"/>
      <c r="F2936" s="246"/>
      <c r="G2936" s="225" t="e">
        <f aca="false">VLOOKUP(B2936,'NIVEL ENERO'!A:F,4,0)</f>
        <v>#N/A</v>
      </c>
      <c r="H2936" s="247"/>
      <c r="I2936" s="247"/>
      <c r="J2936" s="246"/>
      <c r="K2936" s="246"/>
      <c r="L2936" s="226"/>
      <c r="M2936" s="226"/>
      <c r="N2936" s="246"/>
      <c r="P2936" s="228"/>
      <c r="Q2936" s="245"/>
      <c r="R2936" s="186" t="str">
        <f aca="false">+PROPER(C2936&amp;" "&amp;D2936)</f>
        <v> </v>
      </c>
      <c r="S2936" s="230" t="n">
        <f aca="false">+YEARFRAC(L2936,$S$1)</f>
        <v>126.366666666667</v>
      </c>
      <c r="T2936" s="230" t="n">
        <f aca="false">+YEARFRAC(M2936,$S$1)</f>
        <v>126.366666666667</v>
      </c>
      <c r="U2936" s="231" t="n">
        <f aca="false">+$I2936</f>
        <v>0</v>
      </c>
      <c r="V2936" s="232" t="str">
        <f aca="false">+PROPER(F2936)</f>
        <v/>
      </c>
    </row>
    <row r="2937" customFormat="false" ht="14.25" hidden="false" customHeight="false" outlineLevel="0" collapsed="false">
      <c r="B2937" s="244"/>
      <c r="C2937" s="245"/>
      <c r="D2937" s="245"/>
      <c r="E2937" s="246"/>
      <c r="F2937" s="246"/>
      <c r="G2937" s="225" t="e">
        <f aca="false">VLOOKUP(B2937,'NIVEL ENERO'!A:F,4,0)</f>
        <v>#N/A</v>
      </c>
      <c r="H2937" s="247"/>
      <c r="I2937" s="247"/>
      <c r="J2937" s="246"/>
      <c r="K2937" s="246"/>
      <c r="L2937" s="226"/>
      <c r="M2937" s="226"/>
      <c r="N2937" s="246"/>
      <c r="P2937" s="228"/>
      <c r="Q2937" s="245"/>
      <c r="R2937" s="186" t="str">
        <f aca="false">+PROPER(C2937&amp;" "&amp;D2937)</f>
        <v> </v>
      </c>
      <c r="S2937" s="230" t="n">
        <f aca="false">+YEARFRAC(L2937,$S$1)</f>
        <v>126.366666666667</v>
      </c>
      <c r="T2937" s="230" t="n">
        <f aca="false">+YEARFRAC(M2937,$S$1)</f>
        <v>126.366666666667</v>
      </c>
      <c r="U2937" s="231" t="n">
        <f aca="false">+$I2937</f>
        <v>0</v>
      </c>
      <c r="V2937" s="232" t="str">
        <f aca="false">+PROPER(F2937)</f>
        <v/>
      </c>
    </row>
    <row r="2938" customFormat="false" ht="14.25" hidden="false" customHeight="false" outlineLevel="0" collapsed="false">
      <c r="B2938" s="244"/>
      <c r="C2938" s="245"/>
      <c r="D2938" s="245"/>
      <c r="E2938" s="246"/>
      <c r="F2938" s="246"/>
      <c r="G2938" s="225" t="e">
        <f aca="false">VLOOKUP(B2938,'NIVEL ENERO'!A:F,4,0)</f>
        <v>#N/A</v>
      </c>
      <c r="H2938" s="247"/>
      <c r="I2938" s="247"/>
      <c r="J2938" s="246"/>
      <c r="K2938" s="246"/>
      <c r="L2938" s="226"/>
      <c r="M2938" s="226"/>
      <c r="N2938" s="246"/>
      <c r="P2938" s="228"/>
      <c r="Q2938" s="245"/>
      <c r="R2938" s="186" t="str">
        <f aca="false">+PROPER(C2938&amp;" "&amp;D2938)</f>
        <v> </v>
      </c>
      <c r="S2938" s="230" t="n">
        <f aca="false">+YEARFRAC(L2938,$S$1)</f>
        <v>126.366666666667</v>
      </c>
      <c r="T2938" s="230" t="n">
        <f aca="false">+YEARFRAC(M2938,$S$1)</f>
        <v>126.366666666667</v>
      </c>
      <c r="U2938" s="231" t="n">
        <f aca="false">+$I2938</f>
        <v>0</v>
      </c>
      <c r="V2938" s="232" t="str">
        <f aca="false">+PROPER(F2938)</f>
        <v/>
      </c>
    </row>
    <row r="2939" customFormat="false" ht="14.25" hidden="false" customHeight="false" outlineLevel="0" collapsed="false">
      <c r="B2939" s="244"/>
      <c r="C2939" s="245"/>
      <c r="D2939" s="245"/>
      <c r="E2939" s="246"/>
      <c r="F2939" s="246"/>
      <c r="G2939" s="225" t="e">
        <f aca="false">VLOOKUP(B2939,'NIVEL ENERO'!A:F,4,0)</f>
        <v>#N/A</v>
      </c>
      <c r="H2939" s="247"/>
      <c r="I2939" s="247"/>
      <c r="J2939" s="246"/>
      <c r="K2939" s="246"/>
      <c r="L2939" s="226"/>
      <c r="M2939" s="226"/>
      <c r="N2939" s="246"/>
      <c r="P2939" s="228"/>
      <c r="Q2939" s="245"/>
      <c r="R2939" s="186" t="str">
        <f aca="false">+PROPER(C2939&amp;" "&amp;D2939)</f>
        <v> </v>
      </c>
      <c r="S2939" s="230" t="n">
        <f aca="false">+YEARFRAC(L2939,$S$1)</f>
        <v>126.366666666667</v>
      </c>
      <c r="T2939" s="230" t="n">
        <f aca="false">+YEARFRAC(M2939,$S$1)</f>
        <v>126.366666666667</v>
      </c>
      <c r="U2939" s="231" t="n">
        <f aca="false">+$I2939</f>
        <v>0</v>
      </c>
      <c r="V2939" s="232" t="str">
        <f aca="false">+PROPER(F2939)</f>
        <v/>
      </c>
    </row>
    <row r="2940" customFormat="false" ht="14.25" hidden="false" customHeight="false" outlineLevel="0" collapsed="false">
      <c r="B2940" s="244"/>
      <c r="C2940" s="245"/>
      <c r="D2940" s="245"/>
      <c r="E2940" s="246"/>
      <c r="F2940" s="246"/>
      <c r="G2940" s="225" t="e">
        <f aca="false">VLOOKUP(B2940,'NIVEL ENERO'!A:F,4,0)</f>
        <v>#N/A</v>
      </c>
      <c r="H2940" s="247"/>
      <c r="I2940" s="247"/>
      <c r="J2940" s="246"/>
      <c r="K2940" s="246"/>
      <c r="L2940" s="226"/>
      <c r="M2940" s="226"/>
      <c r="N2940" s="246"/>
      <c r="P2940" s="228"/>
      <c r="Q2940" s="245"/>
      <c r="R2940" s="186" t="str">
        <f aca="false">+PROPER(C2940&amp;" "&amp;D2940)</f>
        <v> </v>
      </c>
      <c r="S2940" s="230" t="n">
        <f aca="false">+YEARFRAC(L2940,$S$1)</f>
        <v>126.366666666667</v>
      </c>
      <c r="T2940" s="230" t="n">
        <f aca="false">+YEARFRAC(M2940,$S$1)</f>
        <v>126.366666666667</v>
      </c>
      <c r="U2940" s="231" t="n">
        <f aca="false">+$I2940</f>
        <v>0</v>
      </c>
      <c r="V2940" s="232" t="str">
        <f aca="false">+PROPER(F2940)</f>
        <v/>
      </c>
    </row>
    <row r="2941" customFormat="false" ht="14.25" hidden="false" customHeight="false" outlineLevel="0" collapsed="false">
      <c r="B2941" s="244"/>
      <c r="C2941" s="245"/>
      <c r="D2941" s="245"/>
      <c r="E2941" s="246"/>
      <c r="F2941" s="246"/>
      <c r="G2941" s="225" t="e">
        <f aca="false">VLOOKUP(B2941,'NIVEL ENERO'!A:F,4,0)</f>
        <v>#N/A</v>
      </c>
      <c r="H2941" s="247"/>
      <c r="I2941" s="247"/>
      <c r="J2941" s="246"/>
      <c r="K2941" s="246"/>
      <c r="L2941" s="226"/>
      <c r="M2941" s="226"/>
      <c r="N2941" s="246"/>
      <c r="P2941" s="228"/>
      <c r="Q2941" s="245"/>
      <c r="R2941" s="186" t="str">
        <f aca="false">+PROPER(C2941&amp;" "&amp;D2941)</f>
        <v> </v>
      </c>
      <c r="S2941" s="230" t="n">
        <f aca="false">+YEARFRAC(L2941,$S$1)</f>
        <v>126.366666666667</v>
      </c>
      <c r="T2941" s="230" t="n">
        <f aca="false">+YEARFRAC(M2941,$S$1)</f>
        <v>126.366666666667</v>
      </c>
      <c r="U2941" s="231" t="n">
        <f aca="false">+$I2941</f>
        <v>0</v>
      </c>
      <c r="V2941" s="232" t="str">
        <f aca="false">+PROPER(F2941)</f>
        <v/>
      </c>
    </row>
    <row r="2942" customFormat="false" ht="14.25" hidden="false" customHeight="false" outlineLevel="0" collapsed="false">
      <c r="B2942" s="244"/>
      <c r="C2942" s="245"/>
      <c r="D2942" s="245"/>
      <c r="E2942" s="246"/>
      <c r="F2942" s="246"/>
      <c r="G2942" s="225" t="e">
        <f aca="false">VLOOKUP(B2942,'NIVEL ENERO'!A:F,4,0)</f>
        <v>#N/A</v>
      </c>
      <c r="H2942" s="247"/>
      <c r="I2942" s="247"/>
      <c r="J2942" s="246"/>
      <c r="K2942" s="246"/>
      <c r="L2942" s="226"/>
      <c r="M2942" s="226"/>
      <c r="N2942" s="246"/>
      <c r="P2942" s="228"/>
      <c r="Q2942" s="245"/>
      <c r="R2942" s="186" t="str">
        <f aca="false">+PROPER(C2942&amp;" "&amp;D2942)</f>
        <v> </v>
      </c>
      <c r="S2942" s="230" t="n">
        <f aca="false">+YEARFRAC(L2942,$S$1)</f>
        <v>126.366666666667</v>
      </c>
      <c r="T2942" s="230" t="n">
        <f aca="false">+YEARFRAC(M2942,$S$1)</f>
        <v>126.366666666667</v>
      </c>
      <c r="U2942" s="231" t="n">
        <f aca="false">+$I2942</f>
        <v>0</v>
      </c>
      <c r="V2942" s="232" t="str">
        <f aca="false">+PROPER(F2942)</f>
        <v/>
      </c>
    </row>
    <row r="2943" customFormat="false" ht="14.25" hidden="false" customHeight="false" outlineLevel="0" collapsed="false">
      <c r="B2943" s="244"/>
      <c r="C2943" s="245"/>
      <c r="D2943" s="245"/>
      <c r="E2943" s="246"/>
      <c r="F2943" s="246"/>
      <c r="G2943" s="225" t="e">
        <f aca="false">VLOOKUP(B2943,'NIVEL ENERO'!A:F,4,0)</f>
        <v>#N/A</v>
      </c>
      <c r="H2943" s="247"/>
      <c r="I2943" s="247"/>
      <c r="J2943" s="246"/>
      <c r="K2943" s="246"/>
      <c r="L2943" s="226"/>
      <c r="M2943" s="226"/>
      <c r="N2943" s="246"/>
      <c r="P2943" s="228"/>
      <c r="Q2943" s="245"/>
      <c r="R2943" s="186" t="str">
        <f aca="false">+PROPER(C2943&amp;" "&amp;D2943)</f>
        <v> </v>
      </c>
      <c r="S2943" s="230" t="n">
        <f aca="false">+YEARFRAC(L2943,$S$1)</f>
        <v>126.366666666667</v>
      </c>
      <c r="T2943" s="230" t="n">
        <f aca="false">+YEARFRAC(M2943,$S$1)</f>
        <v>126.366666666667</v>
      </c>
      <c r="U2943" s="231" t="n">
        <f aca="false">+$I2943</f>
        <v>0</v>
      </c>
      <c r="V2943" s="232" t="str">
        <f aca="false">+PROPER(F2943)</f>
        <v/>
      </c>
    </row>
    <row r="2944" customFormat="false" ht="14.25" hidden="false" customHeight="false" outlineLevel="0" collapsed="false">
      <c r="B2944" s="244"/>
      <c r="C2944" s="245"/>
      <c r="D2944" s="245"/>
      <c r="E2944" s="246"/>
      <c r="F2944" s="246"/>
      <c r="G2944" s="225" t="e">
        <f aca="false">VLOOKUP(B2944,'NIVEL ENERO'!A:F,4,0)</f>
        <v>#N/A</v>
      </c>
      <c r="H2944" s="247"/>
      <c r="I2944" s="247"/>
      <c r="J2944" s="246"/>
      <c r="K2944" s="246"/>
      <c r="L2944" s="226"/>
      <c r="M2944" s="226"/>
      <c r="N2944" s="246"/>
      <c r="P2944" s="228"/>
      <c r="Q2944" s="245"/>
      <c r="R2944" s="186" t="str">
        <f aca="false">+PROPER(C2944&amp;" "&amp;D2944)</f>
        <v> </v>
      </c>
      <c r="S2944" s="230" t="n">
        <f aca="false">+YEARFRAC(L2944,$S$1)</f>
        <v>126.366666666667</v>
      </c>
      <c r="T2944" s="230" t="n">
        <f aca="false">+YEARFRAC(M2944,$S$1)</f>
        <v>126.366666666667</v>
      </c>
      <c r="U2944" s="231" t="n">
        <f aca="false">+$I2944</f>
        <v>0</v>
      </c>
      <c r="V2944" s="232" t="str">
        <f aca="false">+PROPER(F2944)</f>
        <v/>
      </c>
    </row>
    <row r="2945" customFormat="false" ht="14.25" hidden="false" customHeight="false" outlineLevel="0" collapsed="false">
      <c r="B2945" s="244"/>
      <c r="C2945" s="245"/>
      <c r="D2945" s="245"/>
      <c r="E2945" s="246"/>
      <c r="F2945" s="246"/>
      <c r="G2945" s="225" t="e">
        <f aca="false">VLOOKUP(B2945,'NIVEL ENERO'!A:F,4,0)</f>
        <v>#N/A</v>
      </c>
      <c r="H2945" s="247"/>
      <c r="I2945" s="247"/>
      <c r="J2945" s="246"/>
      <c r="K2945" s="246"/>
      <c r="L2945" s="226"/>
      <c r="M2945" s="226"/>
      <c r="N2945" s="246"/>
      <c r="P2945" s="228"/>
      <c r="Q2945" s="245"/>
      <c r="R2945" s="186" t="str">
        <f aca="false">+PROPER(C2945&amp;" "&amp;D2945)</f>
        <v> </v>
      </c>
      <c r="S2945" s="230" t="n">
        <f aca="false">+YEARFRAC(L2945,$S$1)</f>
        <v>126.366666666667</v>
      </c>
      <c r="T2945" s="230" t="n">
        <f aca="false">+YEARFRAC(M2945,$S$1)</f>
        <v>126.366666666667</v>
      </c>
      <c r="U2945" s="231" t="n">
        <f aca="false">+$I2945</f>
        <v>0</v>
      </c>
      <c r="V2945" s="232" t="str">
        <f aca="false">+PROPER(F2945)</f>
        <v/>
      </c>
    </row>
    <row r="2946" customFormat="false" ht="14.25" hidden="false" customHeight="false" outlineLevel="0" collapsed="false">
      <c r="B2946" s="244"/>
      <c r="C2946" s="245"/>
      <c r="D2946" s="245"/>
      <c r="E2946" s="246"/>
      <c r="F2946" s="246"/>
      <c r="G2946" s="225" t="e">
        <f aca="false">VLOOKUP(B2946,'NIVEL ENERO'!A:F,4,0)</f>
        <v>#N/A</v>
      </c>
      <c r="H2946" s="247"/>
      <c r="I2946" s="247"/>
      <c r="J2946" s="246"/>
      <c r="K2946" s="246"/>
      <c r="L2946" s="226"/>
      <c r="M2946" s="226"/>
      <c r="N2946" s="246"/>
      <c r="P2946" s="228"/>
      <c r="Q2946" s="245"/>
      <c r="R2946" s="186" t="str">
        <f aca="false">+PROPER(C2946&amp;" "&amp;D2946)</f>
        <v> </v>
      </c>
      <c r="S2946" s="230" t="n">
        <f aca="false">+YEARFRAC(L2946,$S$1)</f>
        <v>126.366666666667</v>
      </c>
      <c r="T2946" s="230" t="n">
        <f aca="false">+YEARFRAC(M2946,$S$1)</f>
        <v>126.366666666667</v>
      </c>
      <c r="U2946" s="231" t="n">
        <f aca="false">+$I2946</f>
        <v>0</v>
      </c>
      <c r="V2946" s="232" t="str">
        <f aca="false">+PROPER(F2946)</f>
        <v/>
      </c>
    </row>
    <row r="2947" customFormat="false" ht="14.25" hidden="false" customHeight="false" outlineLevel="0" collapsed="false">
      <c r="B2947" s="244"/>
      <c r="C2947" s="245"/>
      <c r="D2947" s="245"/>
      <c r="E2947" s="246"/>
      <c r="F2947" s="246"/>
      <c r="G2947" s="225" t="e">
        <f aca="false">VLOOKUP(B2947,'NIVEL ENERO'!A:F,4,0)</f>
        <v>#N/A</v>
      </c>
      <c r="H2947" s="247"/>
      <c r="I2947" s="247"/>
      <c r="J2947" s="246"/>
      <c r="K2947" s="246"/>
      <c r="L2947" s="226"/>
      <c r="M2947" s="226"/>
      <c r="N2947" s="246"/>
      <c r="P2947" s="228"/>
      <c r="Q2947" s="245"/>
      <c r="R2947" s="186" t="str">
        <f aca="false">+PROPER(C2947&amp;" "&amp;D2947)</f>
        <v> </v>
      </c>
      <c r="S2947" s="230" t="n">
        <f aca="false">+YEARFRAC(L2947,$S$1)</f>
        <v>126.366666666667</v>
      </c>
      <c r="T2947" s="230" t="n">
        <f aca="false">+YEARFRAC(M2947,$S$1)</f>
        <v>126.366666666667</v>
      </c>
      <c r="U2947" s="231" t="n">
        <f aca="false">+$I2947</f>
        <v>0</v>
      </c>
      <c r="V2947" s="232" t="str">
        <f aca="false">+PROPER(F2947)</f>
        <v/>
      </c>
    </row>
    <row r="2948" customFormat="false" ht="14.25" hidden="false" customHeight="false" outlineLevel="0" collapsed="false">
      <c r="B2948" s="244"/>
      <c r="C2948" s="245"/>
      <c r="D2948" s="245"/>
      <c r="E2948" s="246"/>
      <c r="F2948" s="246"/>
      <c r="G2948" s="225" t="e">
        <f aca="false">VLOOKUP(B2948,'NIVEL ENERO'!A:F,4,0)</f>
        <v>#N/A</v>
      </c>
      <c r="H2948" s="247"/>
      <c r="I2948" s="247"/>
      <c r="J2948" s="246"/>
      <c r="K2948" s="246"/>
      <c r="L2948" s="226"/>
      <c r="M2948" s="226"/>
      <c r="N2948" s="246"/>
      <c r="P2948" s="228"/>
      <c r="Q2948" s="245"/>
      <c r="R2948" s="186" t="str">
        <f aca="false">+PROPER(C2948&amp;" "&amp;D2948)</f>
        <v> </v>
      </c>
      <c r="S2948" s="230" t="n">
        <f aca="false">+YEARFRAC(L2948,$S$1)</f>
        <v>126.366666666667</v>
      </c>
      <c r="T2948" s="230" t="n">
        <f aca="false">+YEARFRAC(M2948,$S$1)</f>
        <v>126.366666666667</v>
      </c>
      <c r="U2948" s="231" t="n">
        <f aca="false">+$I2948</f>
        <v>0</v>
      </c>
      <c r="V2948" s="232" t="str">
        <f aca="false">+PROPER(F2948)</f>
        <v/>
      </c>
    </row>
    <row r="2949" customFormat="false" ht="14.25" hidden="false" customHeight="false" outlineLevel="0" collapsed="false">
      <c r="B2949" s="244"/>
      <c r="C2949" s="245"/>
      <c r="D2949" s="245"/>
      <c r="E2949" s="246"/>
      <c r="F2949" s="246"/>
      <c r="G2949" s="225" t="e">
        <f aca="false">VLOOKUP(B2949,'NIVEL ENERO'!A:F,4,0)</f>
        <v>#N/A</v>
      </c>
      <c r="H2949" s="247"/>
      <c r="I2949" s="247"/>
      <c r="J2949" s="246"/>
      <c r="K2949" s="246"/>
      <c r="L2949" s="226"/>
      <c r="M2949" s="226"/>
      <c r="N2949" s="246"/>
      <c r="P2949" s="228"/>
      <c r="Q2949" s="245"/>
      <c r="R2949" s="186" t="str">
        <f aca="false">+PROPER(C2949&amp;" "&amp;D2949)</f>
        <v> </v>
      </c>
      <c r="S2949" s="230" t="n">
        <f aca="false">+YEARFRAC(L2949,$S$1)</f>
        <v>126.366666666667</v>
      </c>
      <c r="T2949" s="230" t="n">
        <f aca="false">+YEARFRAC(M2949,$S$1)</f>
        <v>126.366666666667</v>
      </c>
      <c r="U2949" s="231" t="n">
        <f aca="false">+$I2949</f>
        <v>0</v>
      </c>
      <c r="V2949" s="232" t="str">
        <f aca="false">+PROPER(F2949)</f>
        <v/>
      </c>
    </row>
    <row r="2950" customFormat="false" ht="14.25" hidden="false" customHeight="false" outlineLevel="0" collapsed="false">
      <c r="B2950" s="244"/>
      <c r="C2950" s="245"/>
      <c r="D2950" s="245"/>
      <c r="E2950" s="246"/>
      <c r="F2950" s="246"/>
      <c r="G2950" s="225" t="e">
        <f aca="false">VLOOKUP(B2950,'NIVEL ENERO'!A:F,4,0)</f>
        <v>#N/A</v>
      </c>
      <c r="H2950" s="247"/>
      <c r="I2950" s="247"/>
      <c r="J2950" s="246"/>
      <c r="K2950" s="246"/>
      <c r="L2950" s="226"/>
      <c r="M2950" s="226"/>
      <c r="N2950" s="246"/>
      <c r="P2950" s="228"/>
      <c r="Q2950" s="245"/>
      <c r="R2950" s="186" t="str">
        <f aca="false">+PROPER(C2950&amp;" "&amp;D2950)</f>
        <v> </v>
      </c>
      <c r="S2950" s="230" t="n">
        <f aca="false">+YEARFRAC(L2950,$S$1)</f>
        <v>126.366666666667</v>
      </c>
      <c r="T2950" s="230" t="n">
        <f aca="false">+YEARFRAC(M2950,$S$1)</f>
        <v>126.366666666667</v>
      </c>
      <c r="U2950" s="231" t="n">
        <f aca="false">+$I2950</f>
        <v>0</v>
      </c>
      <c r="V2950" s="232" t="str">
        <f aca="false">+PROPER(F2950)</f>
        <v/>
      </c>
    </row>
    <row r="2951" customFormat="false" ht="14.25" hidden="false" customHeight="false" outlineLevel="0" collapsed="false">
      <c r="B2951" s="244"/>
      <c r="C2951" s="245"/>
      <c r="D2951" s="245"/>
      <c r="E2951" s="246"/>
      <c r="F2951" s="246"/>
      <c r="G2951" s="225" t="e">
        <f aca="false">VLOOKUP(B2951,'NIVEL ENERO'!A:F,4,0)</f>
        <v>#N/A</v>
      </c>
      <c r="H2951" s="247"/>
      <c r="I2951" s="247"/>
      <c r="J2951" s="246"/>
      <c r="K2951" s="246"/>
      <c r="L2951" s="226"/>
      <c r="M2951" s="226"/>
      <c r="N2951" s="246"/>
      <c r="P2951" s="228"/>
      <c r="Q2951" s="245"/>
      <c r="R2951" s="186" t="str">
        <f aca="false">+PROPER(C2951&amp;" "&amp;D2951)</f>
        <v> </v>
      </c>
      <c r="S2951" s="230" t="n">
        <f aca="false">+YEARFRAC(L2951,$S$1)</f>
        <v>126.366666666667</v>
      </c>
      <c r="T2951" s="230" t="n">
        <f aca="false">+YEARFRAC(M2951,$S$1)</f>
        <v>126.366666666667</v>
      </c>
      <c r="U2951" s="231" t="n">
        <f aca="false">+$I2951</f>
        <v>0</v>
      </c>
      <c r="V2951" s="232" t="str">
        <f aca="false">+PROPER(F2951)</f>
        <v/>
      </c>
    </row>
    <row r="2952" customFormat="false" ht="14.25" hidden="false" customHeight="false" outlineLevel="0" collapsed="false">
      <c r="B2952" s="244"/>
      <c r="C2952" s="245"/>
      <c r="D2952" s="245"/>
      <c r="E2952" s="246"/>
      <c r="F2952" s="246"/>
      <c r="G2952" s="225" t="e">
        <f aca="false">VLOOKUP(B2952,'NIVEL ENERO'!A:F,4,0)</f>
        <v>#N/A</v>
      </c>
      <c r="H2952" s="247"/>
      <c r="I2952" s="247"/>
      <c r="J2952" s="246"/>
      <c r="K2952" s="246"/>
      <c r="L2952" s="226"/>
      <c r="M2952" s="226"/>
      <c r="N2952" s="246"/>
      <c r="P2952" s="228"/>
      <c r="Q2952" s="245"/>
      <c r="R2952" s="186" t="str">
        <f aca="false">+PROPER(C2952&amp;" "&amp;D2952)</f>
        <v> </v>
      </c>
      <c r="S2952" s="230" t="n">
        <f aca="false">+YEARFRAC(L2952,$S$1)</f>
        <v>126.366666666667</v>
      </c>
      <c r="T2952" s="230" t="n">
        <f aca="false">+YEARFRAC(M2952,$S$1)</f>
        <v>126.366666666667</v>
      </c>
      <c r="U2952" s="231" t="n">
        <f aca="false">+$I2952</f>
        <v>0</v>
      </c>
      <c r="V2952" s="232" t="str">
        <f aca="false">+PROPER(F2952)</f>
        <v/>
      </c>
    </row>
    <row r="2953" customFormat="false" ht="14.25" hidden="false" customHeight="false" outlineLevel="0" collapsed="false">
      <c r="B2953" s="244"/>
      <c r="C2953" s="245"/>
      <c r="D2953" s="245"/>
      <c r="E2953" s="246"/>
      <c r="F2953" s="246"/>
      <c r="G2953" s="225" t="e">
        <f aca="false">VLOOKUP(B2953,'NIVEL ENERO'!A:F,4,0)</f>
        <v>#N/A</v>
      </c>
      <c r="H2953" s="247"/>
      <c r="I2953" s="247"/>
      <c r="J2953" s="246"/>
      <c r="K2953" s="246"/>
      <c r="L2953" s="226"/>
      <c r="M2953" s="226"/>
      <c r="N2953" s="246"/>
      <c r="P2953" s="228"/>
      <c r="Q2953" s="245"/>
      <c r="R2953" s="186" t="str">
        <f aca="false">+PROPER(C2953&amp;" "&amp;D2953)</f>
        <v> </v>
      </c>
      <c r="S2953" s="230" t="n">
        <f aca="false">+YEARFRAC(L2953,$S$1)</f>
        <v>126.366666666667</v>
      </c>
      <c r="T2953" s="230" t="n">
        <f aca="false">+YEARFRAC(M2953,$S$1)</f>
        <v>126.366666666667</v>
      </c>
      <c r="U2953" s="231" t="n">
        <f aca="false">+$I2953</f>
        <v>0</v>
      </c>
      <c r="V2953" s="232" t="str">
        <f aca="false">+PROPER(F2953)</f>
        <v/>
      </c>
    </row>
    <row r="2954" customFormat="false" ht="14.25" hidden="false" customHeight="false" outlineLevel="0" collapsed="false">
      <c r="B2954" s="244"/>
      <c r="C2954" s="245"/>
      <c r="D2954" s="245"/>
      <c r="E2954" s="246"/>
      <c r="F2954" s="246"/>
      <c r="G2954" s="225" t="e">
        <f aca="false">VLOOKUP(B2954,'NIVEL ENERO'!A:F,4,0)</f>
        <v>#N/A</v>
      </c>
      <c r="H2954" s="247"/>
      <c r="I2954" s="247"/>
      <c r="J2954" s="246"/>
      <c r="K2954" s="246"/>
      <c r="L2954" s="226"/>
      <c r="M2954" s="226"/>
      <c r="N2954" s="246"/>
      <c r="P2954" s="228"/>
      <c r="Q2954" s="245"/>
      <c r="R2954" s="186" t="str">
        <f aca="false">+PROPER(C2954&amp;" "&amp;D2954)</f>
        <v> </v>
      </c>
      <c r="S2954" s="230" t="n">
        <f aca="false">+YEARFRAC(L2954,$S$1)</f>
        <v>126.366666666667</v>
      </c>
      <c r="T2954" s="230" t="n">
        <f aca="false">+YEARFRAC(M2954,$S$1)</f>
        <v>126.366666666667</v>
      </c>
      <c r="U2954" s="231" t="n">
        <f aca="false">+$I2954</f>
        <v>0</v>
      </c>
      <c r="V2954" s="232" t="str">
        <f aca="false">+PROPER(F2954)</f>
        <v/>
      </c>
    </row>
    <row r="2955" customFormat="false" ht="14.25" hidden="false" customHeight="false" outlineLevel="0" collapsed="false">
      <c r="B2955" s="244"/>
      <c r="C2955" s="245"/>
      <c r="D2955" s="245"/>
      <c r="E2955" s="246"/>
      <c r="F2955" s="246"/>
      <c r="G2955" s="225" t="e">
        <f aca="false">VLOOKUP(B2955,'NIVEL ENERO'!A:F,4,0)</f>
        <v>#N/A</v>
      </c>
      <c r="H2955" s="247"/>
      <c r="I2955" s="247"/>
      <c r="J2955" s="246"/>
      <c r="K2955" s="246"/>
      <c r="L2955" s="226"/>
      <c r="M2955" s="226"/>
      <c r="N2955" s="246"/>
      <c r="P2955" s="228"/>
      <c r="Q2955" s="245"/>
      <c r="R2955" s="186" t="str">
        <f aca="false">+PROPER(C2955&amp;" "&amp;D2955)</f>
        <v> </v>
      </c>
      <c r="S2955" s="230" t="n">
        <f aca="false">+YEARFRAC(L2955,$S$1)</f>
        <v>126.366666666667</v>
      </c>
      <c r="T2955" s="230" t="n">
        <f aca="false">+YEARFRAC(M2955,$S$1)</f>
        <v>126.366666666667</v>
      </c>
      <c r="U2955" s="231" t="n">
        <f aca="false">+$I2955</f>
        <v>0</v>
      </c>
      <c r="V2955" s="232" t="str">
        <f aca="false">+PROPER(F2955)</f>
        <v/>
      </c>
    </row>
    <row r="2956" customFormat="false" ht="14.25" hidden="false" customHeight="false" outlineLevel="0" collapsed="false">
      <c r="B2956" s="244"/>
      <c r="C2956" s="245"/>
      <c r="D2956" s="245"/>
      <c r="E2956" s="246"/>
      <c r="F2956" s="246"/>
      <c r="G2956" s="225" t="e">
        <f aca="false">VLOOKUP(B2956,'NIVEL ENERO'!A:F,4,0)</f>
        <v>#N/A</v>
      </c>
      <c r="H2956" s="247"/>
      <c r="I2956" s="247"/>
      <c r="J2956" s="246"/>
      <c r="K2956" s="246"/>
      <c r="L2956" s="226"/>
      <c r="M2956" s="226"/>
      <c r="N2956" s="246"/>
      <c r="P2956" s="228"/>
      <c r="Q2956" s="245"/>
      <c r="R2956" s="186" t="str">
        <f aca="false">+PROPER(C2956&amp;" "&amp;D2956)</f>
        <v> </v>
      </c>
      <c r="S2956" s="230" t="n">
        <f aca="false">+YEARFRAC(L2956,$S$1)</f>
        <v>126.366666666667</v>
      </c>
      <c r="T2956" s="230" t="n">
        <f aca="false">+YEARFRAC(M2956,$S$1)</f>
        <v>126.366666666667</v>
      </c>
      <c r="U2956" s="231" t="n">
        <f aca="false">+$I2956</f>
        <v>0</v>
      </c>
      <c r="V2956" s="232" t="str">
        <f aca="false">+PROPER(F2956)</f>
        <v/>
      </c>
    </row>
    <row r="2957" customFormat="false" ht="14.25" hidden="false" customHeight="false" outlineLevel="0" collapsed="false">
      <c r="B2957" s="244"/>
      <c r="C2957" s="245"/>
      <c r="D2957" s="245"/>
      <c r="E2957" s="246"/>
      <c r="F2957" s="246"/>
      <c r="G2957" s="225" t="e">
        <f aca="false">VLOOKUP(B2957,'NIVEL ENERO'!A:F,4,0)</f>
        <v>#N/A</v>
      </c>
      <c r="H2957" s="247"/>
      <c r="I2957" s="247"/>
      <c r="J2957" s="246"/>
      <c r="K2957" s="246"/>
      <c r="L2957" s="226"/>
      <c r="M2957" s="226"/>
      <c r="N2957" s="246"/>
      <c r="P2957" s="228"/>
      <c r="Q2957" s="245"/>
      <c r="R2957" s="186" t="str">
        <f aca="false">+PROPER(C2957&amp;" "&amp;D2957)</f>
        <v> </v>
      </c>
      <c r="S2957" s="230" t="n">
        <f aca="false">+YEARFRAC(L2957,$S$1)</f>
        <v>126.366666666667</v>
      </c>
      <c r="T2957" s="230" t="n">
        <f aca="false">+YEARFRAC(M2957,$S$1)</f>
        <v>126.366666666667</v>
      </c>
      <c r="U2957" s="231" t="n">
        <f aca="false">+$I2957</f>
        <v>0</v>
      </c>
      <c r="V2957" s="232" t="str">
        <f aca="false">+PROPER(F2957)</f>
        <v/>
      </c>
    </row>
    <row r="2958" customFormat="false" ht="14.25" hidden="false" customHeight="false" outlineLevel="0" collapsed="false">
      <c r="B2958" s="244"/>
      <c r="C2958" s="245"/>
      <c r="D2958" s="245"/>
      <c r="E2958" s="246"/>
      <c r="F2958" s="246"/>
      <c r="G2958" s="225" t="e">
        <f aca="false">VLOOKUP(B2958,'NIVEL ENERO'!A:F,4,0)</f>
        <v>#N/A</v>
      </c>
      <c r="H2958" s="247"/>
      <c r="I2958" s="247"/>
      <c r="J2958" s="246"/>
      <c r="K2958" s="246"/>
      <c r="L2958" s="226"/>
      <c r="M2958" s="226"/>
      <c r="N2958" s="246"/>
      <c r="P2958" s="228"/>
      <c r="Q2958" s="245"/>
      <c r="R2958" s="186" t="str">
        <f aca="false">+PROPER(C2958&amp;" "&amp;D2958)</f>
        <v> </v>
      </c>
      <c r="S2958" s="230" t="n">
        <f aca="false">+YEARFRAC(L2958,$S$1)</f>
        <v>126.366666666667</v>
      </c>
      <c r="T2958" s="230" t="n">
        <f aca="false">+YEARFRAC(M2958,$S$1)</f>
        <v>126.366666666667</v>
      </c>
      <c r="U2958" s="231" t="n">
        <f aca="false">+$I2958</f>
        <v>0</v>
      </c>
      <c r="V2958" s="232" t="str">
        <f aca="false">+PROPER(F2958)</f>
        <v/>
      </c>
    </row>
    <row r="2959" customFormat="false" ht="14.25" hidden="false" customHeight="false" outlineLevel="0" collapsed="false">
      <c r="B2959" s="244"/>
      <c r="C2959" s="245"/>
      <c r="D2959" s="245"/>
      <c r="E2959" s="246"/>
      <c r="F2959" s="246"/>
      <c r="G2959" s="225" t="e">
        <f aca="false">VLOOKUP(B2959,'NIVEL ENERO'!A:F,4,0)</f>
        <v>#N/A</v>
      </c>
      <c r="H2959" s="247"/>
      <c r="I2959" s="247"/>
      <c r="J2959" s="246"/>
      <c r="K2959" s="246"/>
      <c r="L2959" s="226"/>
      <c r="M2959" s="226"/>
      <c r="N2959" s="246"/>
      <c r="P2959" s="228"/>
      <c r="Q2959" s="245"/>
      <c r="R2959" s="186" t="str">
        <f aca="false">+PROPER(C2959&amp;" "&amp;D2959)</f>
        <v> </v>
      </c>
      <c r="S2959" s="230" t="n">
        <f aca="false">+YEARFRAC(L2959,$S$1)</f>
        <v>126.366666666667</v>
      </c>
      <c r="T2959" s="230" t="n">
        <f aca="false">+YEARFRAC(M2959,$S$1)</f>
        <v>126.366666666667</v>
      </c>
      <c r="U2959" s="231" t="n">
        <f aca="false">+$I2959</f>
        <v>0</v>
      </c>
      <c r="V2959" s="232" t="str">
        <f aca="false">+PROPER(F2959)</f>
        <v/>
      </c>
    </row>
    <row r="2960" customFormat="false" ht="14.25" hidden="false" customHeight="false" outlineLevel="0" collapsed="false">
      <c r="B2960" s="244"/>
      <c r="C2960" s="245"/>
      <c r="D2960" s="245"/>
      <c r="E2960" s="246"/>
      <c r="F2960" s="246"/>
      <c r="G2960" s="225" t="e">
        <f aca="false">VLOOKUP(B2960,'NIVEL ENERO'!A:F,4,0)</f>
        <v>#N/A</v>
      </c>
      <c r="H2960" s="247"/>
      <c r="I2960" s="247"/>
      <c r="J2960" s="246"/>
      <c r="K2960" s="246"/>
      <c r="L2960" s="226"/>
      <c r="M2960" s="226"/>
      <c r="N2960" s="246"/>
      <c r="P2960" s="228"/>
      <c r="Q2960" s="245"/>
      <c r="R2960" s="186" t="str">
        <f aca="false">+PROPER(C2960&amp;" "&amp;D2960)</f>
        <v> </v>
      </c>
      <c r="S2960" s="230" t="n">
        <f aca="false">+YEARFRAC(L2960,$S$1)</f>
        <v>126.366666666667</v>
      </c>
      <c r="T2960" s="230" t="n">
        <f aca="false">+YEARFRAC(M2960,$S$1)</f>
        <v>126.366666666667</v>
      </c>
      <c r="U2960" s="231" t="n">
        <f aca="false">+$I2960</f>
        <v>0</v>
      </c>
      <c r="V2960" s="232" t="str">
        <f aca="false">+PROPER(F2960)</f>
        <v/>
      </c>
    </row>
    <row r="2961" customFormat="false" ht="14.25" hidden="false" customHeight="false" outlineLevel="0" collapsed="false">
      <c r="B2961" s="244"/>
      <c r="C2961" s="245"/>
      <c r="D2961" s="245"/>
      <c r="E2961" s="246"/>
      <c r="F2961" s="246"/>
      <c r="G2961" s="225" t="e">
        <f aca="false">VLOOKUP(B2961,'NIVEL ENERO'!A:F,4,0)</f>
        <v>#N/A</v>
      </c>
      <c r="H2961" s="247"/>
      <c r="I2961" s="247"/>
      <c r="J2961" s="246"/>
      <c r="K2961" s="246"/>
      <c r="L2961" s="226"/>
      <c r="M2961" s="226"/>
      <c r="N2961" s="246"/>
      <c r="P2961" s="228"/>
      <c r="Q2961" s="245"/>
      <c r="R2961" s="186" t="str">
        <f aca="false">+PROPER(C2961&amp;" "&amp;D2961)</f>
        <v> </v>
      </c>
      <c r="S2961" s="230" t="n">
        <f aca="false">+YEARFRAC(L2961,$S$1)</f>
        <v>126.366666666667</v>
      </c>
      <c r="T2961" s="230" t="n">
        <f aca="false">+YEARFRAC(M2961,$S$1)</f>
        <v>126.366666666667</v>
      </c>
      <c r="U2961" s="231" t="n">
        <f aca="false">+$I2961</f>
        <v>0</v>
      </c>
      <c r="V2961" s="232" t="str">
        <f aca="false">+PROPER(F2961)</f>
        <v/>
      </c>
    </row>
    <row r="2962" customFormat="false" ht="14.25" hidden="false" customHeight="false" outlineLevel="0" collapsed="false">
      <c r="B2962" s="244"/>
      <c r="C2962" s="245"/>
      <c r="D2962" s="245"/>
      <c r="E2962" s="246"/>
      <c r="F2962" s="246"/>
      <c r="G2962" s="225" t="e">
        <f aca="false">VLOOKUP(B2962,'NIVEL ENERO'!A:F,4,0)</f>
        <v>#N/A</v>
      </c>
      <c r="H2962" s="247"/>
      <c r="I2962" s="247"/>
      <c r="J2962" s="246"/>
      <c r="K2962" s="246"/>
      <c r="L2962" s="226"/>
      <c r="M2962" s="226"/>
      <c r="N2962" s="246"/>
      <c r="P2962" s="228"/>
      <c r="Q2962" s="245"/>
      <c r="R2962" s="186" t="str">
        <f aca="false">+PROPER(C2962&amp;" "&amp;D2962)</f>
        <v> </v>
      </c>
      <c r="S2962" s="230" t="n">
        <f aca="false">+YEARFRAC(L2962,$S$1)</f>
        <v>126.366666666667</v>
      </c>
      <c r="T2962" s="230" t="n">
        <f aca="false">+YEARFRAC(M2962,$S$1)</f>
        <v>126.366666666667</v>
      </c>
      <c r="U2962" s="231" t="n">
        <f aca="false">+$I2962</f>
        <v>0</v>
      </c>
      <c r="V2962" s="232" t="str">
        <f aca="false">+PROPER(F2962)</f>
        <v/>
      </c>
    </row>
    <row r="2963" customFormat="false" ht="14.25" hidden="false" customHeight="false" outlineLevel="0" collapsed="false">
      <c r="B2963" s="244"/>
      <c r="C2963" s="245"/>
      <c r="D2963" s="245"/>
      <c r="E2963" s="246"/>
      <c r="F2963" s="246"/>
      <c r="G2963" s="225" t="e">
        <f aca="false">VLOOKUP(B2963,'NIVEL ENERO'!A:F,4,0)</f>
        <v>#N/A</v>
      </c>
      <c r="H2963" s="247"/>
      <c r="I2963" s="247"/>
      <c r="J2963" s="246"/>
      <c r="K2963" s="246"/>
      <c r="L2963" s="226"/>
      <c r="M2963" s="226"/>
      <c r="N2963" s="246"/>
      <c r="P2963" s="228"/>
      <c r="Q2963" s="245"/>
      <c r="R2963" s="186" t="str">
        <f aca="false">+PROPER(C2963&amp;" "&amp;D2963)</f>
        <v> </v>
      </c>
      <c r="S2963" s="230" t="n">
        <f aca="false">+YEARFRAC(L2963,$S$1)</f>
        <v>126.366666666667</v>
      </c>
      <c r="T2963" s="230" t="n">
        <f aca="false">+YEARFRAC(M2963,$S$1)</f>
        <v>126.366666666667</v>
      </c>
      <c r="U2963" s="231" t="n">
        <f aca="false">+$I2963</f>
        <v>0</v>
      </c>
      <c r="V2963" s="232" t="str">
        <f aca="false">+PROPER(F2963)</f>
        <v/>
      </c>
    </row>
    <row r="2964" customFormat="false" ht="14.25" hidden="false" customHeight="false" outlineLevel="0" collapsed="false">
      <c r="B2964" s="244"/>
      <c r="C2964" s="245"/>
      <c r="D2964" s="245"/>
      <c r="E2964" s="246"/>
      <c r="F2964" s="246"/>
      <c r="G2964" s="225" t="e">
        <f aca="false">VLOOKUP(B2964,'NIVEL ENERO'!A:F,4,0)</f>
        <v>#N/A</v>
      </c>
      <c r="H2964" s="247"/>
      <c r="I2964" s="247"/>
      <c r="J2964" s="246"/>
      <c r="K2964" s="246"/>
      <c r="L2964" s="226"/>
      <c r="M2964" s="226"/>
      <c r="N2964" s="246"/>
      <c r="P2964" s="228"/>
      <c r="Q2964" s="245"/>
      <c r="R2964" s="186" t="str">
        <f aca="false">+PROPER(C2964&amp;" "&amp;D2964)</f>
        <v> </v>
      </c>
      <c r="S2964" s="230" t="n">
        <f aca="false">+YEARFRAC(L2964,$S$1)</f>
        <v>126.366666666667</v>
      </c>
      <c r="T2964" s="230" t="n">
        <f aca="false">+YEARFRAC(M2964,$S$1)</f>
        <v>126.366666666667</v>
      </c>
      <c r="U2964" s="231" t="n">
        <f aca="false">+$I2964</f>
        <v>0</v>
      </c>
      <c r="V2964" s="232" t="str">
        <f aca="false">+PROPER(F2964)</f>
        <v/>
      </c>
    </row>
    <row r="2965" customFormat="false" ht="14.25" hidden="false" customHeight="false" outlineLevel="0" collapsed="false">
      <c r="B2965" s="244"/>
      <c r="C2965" s="245"/>
      <c r="D2965" s="245"/>
      <c r="E2965" s="246"/>
      <c r="F2965" s="246"/>
      <c r="G2965" s="225" t="e">
        <f aca="false">VLOOKUP(B2965,'NIVEL ENERO'!A:F,4,0)</f>
        <v>#N/A</v>
      </c>
      <c r="H2965" s="247"/>
      <c r="I2965" s="247"/>
      <c r="J2965" s="246"/>
      <c r="K2965" s="246"/>
      <c r="L2965" s="226"/>
      <c r="M2965" s="226"/>
      <c r="N2965" s="246"/>
      <c r="P2965" s="228"/>
      <c r="Q2965" s="245"/>
      <c r="R2965" s="186" t="str">
        <f aca="false">+PROPER(C2965&amp;" "&amp;D2965)</f>
        <v> </v>
      </c>
      <c r="S2965" s="230" t="n">
        <f aca="false">+YEARFRAC(L2965,$S$1)</f>
        <v>126.366666666667</v>
      </c>
      <c r="T2965" s="230" t="n">
        <f aca="false">+YEARFRAC(M2965,$S$1)</f>
        <v>126.366666666667</v>
      </c>
      <c r="U2965" s="231" t="n">
        <f aca="false">+$I2965</f>
        <v>0</v>
      </c>
      <c r="V2965" s="232" t="str">
        <f aca="false">+PROPER(F2965)</f>
        <v/>
      </c>
    </row>
    <row r="2966" customFormat="false" ht="14.25" hidden="false" customHeight="false" outlineLevel="0" collapsed="false">
      <c r="B2966" s="244"/>
      <c r="C2966" s="245"/>
      <c r="D2966" s="245"/>
      <c r="E2966" s="246"/>
      <c r="F2966" s="246"/>
      <c r="G2966" s="225" t="e">
        <f aca="false">VLOOKUP(B2966,'NIVEL ENERO'!A:F,4,0)</f>
        <v>#N/A</v>
      </c>
      <c r="H2966" s="247"/>
      <c r="I2966" s="247"/>
      <c r="J2966" s="246"/>
      <c r="K2966" s="246"/>
      <c r="L2966" s="226"/>
      <c r="M2966" s="226"/>
      <c r="N2966" s="246"/>
      <c r="P2966" s="228"/>
      <c r="Q2966" s="245"/>
      <c r="R2966" s="186" t="str">
        <f aca="false">+PROPER(C2966&amp;" "&amp;D2966)</f>
        <v> </v>
      </c>
      <c r="S2966" s="230" t="n">
        <f aca="false">+YEARFRAC(L2966,$S$1)</f>
        <v>126.366666666667</v>
      </c>
      <c r="T2966" s="230" t="n">
        <f aca="false">+YEARFRAC(M2966,$S$1)</f>
        <v>126.366666666667</v>
      </c>
      <c r="U2966" s="231" t="n">
        <f aca="false">+$I2966</f>
        <v>0</v>
      </c>
      <c r="V2966" s="232" t="str">
        <f aca="false">+PROPER(F2966)</f>
        <v/>
      </c>
    </row>
    <row r="2967" customFormat="false" ht="14.25" hidden="false" customHeight="false" outlineLevel="0" collapsed="false">
      <c r="B2967" s="244"/>
      <c r="C2967" s="245"/>
      <c r="D2967" s="245"/>
      <c r="E2967" s="246"/>
      <c r="F2967" s="246"/>
      <c r="G2967" s="225" t="e">
        <f aca="false">VLOOKUP(B2967,'NIVEL ENERO'!A:F,4,0)</f>
        <v>#N/A</v>
      </c>
      <c r="H2967" s="247"/>
      <c r="I2967" s="247"/>
      <c r="J2967" s="246"/>
      <c r="K2967" s="246"/>
      <c r="L2967" s="226"/>
      <c r="M2967" s="226"/>
      <c r="N2967" s="246"/>
      <c r="P2967" s="228"/>
      <c r="Q2967" s="245"/>
      <c r="R2967" s="186" t="str">
        <f aca="false">+PROPER(C2967&amp;" "&amp;D2967)</f>
        <v> </v>
      </c>
      <c r="S2967" s="230" t="n">
        <f aca="false">+YEARFRAC(L2967,$S$1)</f>
        <v>126.366666666667</v>
      </c>
      <c r="T2967" s="230" t="n">
        <f aca="false">+YEARFRAC(M2967,$S$1)</f>
        <v>126.366666666667</v>
      </c>
      <c r="U2967" s="231" t="n">
        <f aca="false">+$I2967</f>
        <v>0</v>
      </c>
      <c r="V2967" s="232" t="str">
        <f aca="false">+PROPER(F2967)</f>
        <v/>
      </c>
    </row>
    <row r="2968" customFormat="false" ht="14.25" hidden="false" customHeight="false" outlineLevel="0" collapsed="false">
      <c r="B2968" s="244"/>
      <c r="C2968" s="245"/>
      <c r="D2968" s="245"/>
      <c r="E2968" s="246"/>
      <c r="F2968" s="246"/>
      <c r="G2968" s="225" t="e">
        <f aca="false">VLOOKUP(B2968,'NIVEL ENERO'!A:F,4,0)</f>
        <v>#N/A</v>
      </c>
      <c r="H2968" s="247"/>
      <c r="I2968" s="247"/>
      <c r="J2968" s="246"/>
      <c r="K2968" s="246"/>
      <c r="L2968" s="226"/>
      <c r="M2968" s="226"/>
      <c r="N2968" s="246"/>
      <c r="P2968" s="228"/>
      <c r="Q2968" s="245"/>
      <c r="R2968" s="186" t="str">
        <f aca="false">+PROPER(C2968&amp;" "&amp;D2968)</f>
        <v> </v>
      </c>
      <c r="S2968" s="230" t="n">
        <f aca="false">+YEARFRAC(L2968,$S$1)</f>
        <v>126.366666666667</v>
      </c>
      <c r="T2968" s="230" t="n">
        <f aca="false">+YEARFRAC(M2968,$S$1)</f>
        <v>126.366666666667</v>
      </c>
      <c r="U2968" s="231" t="n">
        <f aca="false">+$I2968</f>
        <v>0</v>
      </c>
      <c r="V2968" s="232" t="str">
        <f aca="false">+PROPER(F2968)</f>
        <v/>
      </c>
    </row>
    <row r="2969" customFormat="false" ht="14.25" hidden="false" customHeight="false" outlineLevel="0" collapsed="false">
      <c r="B2969" s="244"/>
      <c r="C2969" s="245"/>
      <c r="D2969" s="245"/>
      <c r="E2969" s="246"/>
      <c r="F2969" s="246"/>
      <c r="G2969" s="225" t="e">
        <f aca="false">VLOOKUP(B2969,'NIVEL ENERO'!A:F,4,0)</f>
        <v>#N/A</v>
      </c>
      <c r="H2969" s="247"/>
      <c r="I2969" s="247"/>
      <c r="J2969" s="246"/>
      <c r="K2969" s="246"/>
      <c r="L2969" s="226"/>
      <c r="M2969" s="226"/>
      <c r="N2969" s="246"/>
      <c r="P2969" s="228"/>
      <c r="Q2969" s="245"/>
      <c r="R2969" s="186" t="str">
        <f aca="false">+PROPER(C2969&amp;" "&amp;D2969)</f>
        <v> </v>
      </c>
      <c r="S2969" s="230" t="n">
        <f aca="false">+YEARFRAC(L2969,$S$1)</f>
        <v>126.366666666667</v>
      </c>
      <c r="T2969" s="230" t="n">
        <f aca="false">+YEARFRAC(M2969,$S$1)</f>
        <v>126.366666666667</v>
      </c>
      <c r="U2969" s="231" t="n">
        <f aca="false">+$I2969</f>
        <v>0</v>
      </c>
      <c r="V2969" s="232" t="str">
        <f aca="false">+PROPER(F2969)</f>
        <v/>
      </c>
    </row>
    <row r="2970" customFormat="false" ht="14.25" hidden="false" customHeight="false" outlineLevel="0" collapsed="false">
      <c r="B2970" s="244"/>
      <c r="C2970" s="245"/>
      <c r="D2970" s="245"/>
      <c r="E2970" s="246"/>
      <c r="F2970" s="246"/>
      <c r="G2970" s="225" t="e">
        <f aca="false">VLOOKUP(B2970,'NIVEL ENERO'!A:F,4,0)</f>
        <v>#N/A</v>
      </c>
      <c r="H2970" s="247"/>
      <c r="I2970" s="247"/>
      <c r="J2970" s="246"/>
      <c r="K2970" s="246"/>
      <c r="L2970" s="226"/>
      <c r="M2970" s="226"/>
      <c r="N2970" s="246"/>
      <c r="P2970" s="228"/>
      <c r="Q2970" s="245"/>
      <c r="R2970" s="186" t="str">
        <f aca="false">+PROPER(C2970&amp;" "&amp;D2970)</f>
        <v> </v>
      </c>
      <c r="S2970" s="230" t="n">
        <f aca="false">+YEARFRAC(L2970,$S$1)</f>
        <v>126.366666666667</v>
      </c>
      <c r="T2970" s="230" t="n">
        <f aca="false">+YEARFRAC(M2970,$S$1)</f>
        <v>126.366666666667</v>
      </c>
      <c r="U2970" s="231" t="n">
        <f aca="false">+$I2970</f>
        <v>0</v>
      </c>
      <c r="V2970" s="232" t="str">
        <f aca="false">+PROPER(F2970)</f>
        <v/>
      </c>
    </row>
    <row r="2971" customFormat="false" ht="14.25" hidden="false" customHeight="false" outlineLevel="0" collapsed="false">
      <c r="B2971" s="244"/>
      <c r="C2971" s="245"/>
      <c r="D2971" s="245"/>
      <c r="E2971" s="246"/>
      <c r="F2971" s="246"/>
      <c r="G2971" s="225" t="e">
        <f aca="false">VLOOKUP(B2971,'NIVEL ENERO'!A:F,4,0)</f>
        <v>#N/A</v>
      </c>
      <c r="H2971" s="247"/>
      <c r="I2971" s="247"/>
      <c r="J2971" s="246"/>
      <c r="K2971" s="246"/>
      <c r="L2971" s="226"/>
      <c r="M2971" s="226"/>
      <c r="N2971" s="246"/>
      <c r="P2971" s="228"/>
      <c r="Q2971" s="245"/>
      <c r="R2971" s="186" t="str">
        <f aca="false">+PROPER(C2971&amp;" "&amp;D2971)</f>
        <v> </v>
      </c>
      <c r="S2971" s="230" t="n">
        <f aca="false">+YEARFRAC(L2971,$S$1)</f>
        <v>126.366666666667</v>
      </c>
      <c r="T2971" s="230" t="n">
        <f aca="false">+YEARFRAC(M2971,$S$1)</f>
        <v>126.366666666667</v>
      </c>
      <c r="U2971" s="231" t="n">
        <f aca="false">+$I2971</f>
        <v>0</v>
      </c>
      <c r="V2971" s="232" t="str">
        <f aca="false">+PROPER(F2971)</f>
        <v/>
      </c>
    </row>
    <row r="2972" customFormat="false" ht="14.25" hidden="false" customHeight="false" outlineLevel="0" collapsed="false">
      <c r="B2972" s="244"/>
      <c r="C2972" s="245"/>
      <c r="D2972" s="245"/>
      <c r="E2972" s="246"/>
      <c r="F2972" s="246"/>
      <c r="G2972" s="225" t="e">
        <f aca="false">VLOOKUP(B2972,'NIVEL ENERO'!A:F,4,0)</f>
        <v>#N/A</v>
      </c>
      <c r="H2972" s="247"/>
      <c r="I2972" s="247"/>
      <c r="J2972" s="246"/>
      <c r="K2972" s="246"/>
      <c r="L2972" s="226"/>
      <c r="M2972" s="226"/>
      <c r="N2972" s="246"/>
      <c r="P2972" s="228"/>
      <c r="Q2972" s="245"/>
      <c r="R2972" s="186" t="str">
        <f aca="false">+PROPER(C2972&amp;" "&amp;D2972)</f>
        <v> </v>
      </c>
      <c r="S2972" s="230" t="n">
        <f aca="false">+YEARFRAC(L2972,$S$1)</f>
        <v>126.366666666667</v>
      </c>
      <c r="T2972" s="230" t="n">
        <f aca="false">+YEARFRAC(M2972,$S$1)</f>
        <v>126.366666666667</v>
      </c>
      <c r="U2972" s="231" t="n">
        <f aca="false">+$I2972</f>
        <v>0</v>
      </c>
      <c r="V2972" s="232" t="str">
        <f aca="false">+PROPER(F2972)</f>
        <v/>
      </c>
    </row>
    <row r="2973" customFormat="false" ht="14.25" hidden="false" customHeight="false" outlineLevel="0" collapsed="false">
      <c r="B2973" s="244"/>
      <c r="C2973" s="245"/>
      <c r="D2973" s="245"/>
      <c r="E2973" s="246"/>
      <c r="F2973" s="246"/>
      <c r="G2973" s="225" t="e">
        <f aca="false">VLOOKUP(B2973,'NIVEL ENERO'!A:F,4,0)</f>
        <v>#N/A</v>
      </c>
      <c r="H2973" s="247"/>
      <c r="I2973" s="247"/>
      <c r="J2973" s="246"/>
      <c r="K2973" s="246"/>
      <c r="L2973" s="226"/>
      <c r="M2973" s="226"/>
      <c r="N2973" s="246"/>
      <c r="P2973" s="228"/>
      <c r="Q2973" s="245"/>
      <c r="R2973" s="186" t="str">
        <f aca="false">+PROPER(C2973&amp;" "&amp;D2973)</f>
        <v> </v>
      </c>
      <c r="S2973" s="230" t="n">
        <f aca="false">+YEARFRAC(L2973,$S$1)</f>
        <v>126.366666666667</v>
      </c>
      <c r="T2973" s="230" t="n">
        <f aca="false">+YEARFRAC(M2973,$S$1)</f>
        <v>126.366666666667</v>
      </c>
      <c r="U2973" s="231" t="n">
        <f aca="false">+$I2973</f>
        <v>0</v>
      </c>
      <c r="V2973" s="232" t="str">
        <f aca="false">+PROPER(F2973)</f>
        <v/>
      </c>
    </row>
    <row r="2974" customFormat="false" ht="14.25" hidden="false" customHeight="false" outlineLevel="0" collapsed="false">
      <c r="B2974" s="244"/>
      <c r="C2974" s="245"/>
      <c r="D2974" s="245"/>
      <c r="E2974" s="246"/>
      <c r="F2974" s="246"/>
      <c r="G2974" s="225" t="e">
        <f aca="false">VLOOKUP(B2974,'NIVEL ENERO'!A:F,4,0)</f>
        <v>#N/A</v>
      </c>
      <c r="H2974" s="247"/>
      <c r="I2974" s="247"/>
      <c r="J2974" s="246"/>
      <c r="K2974" s="246"/>
      <c r="L2974" s="226"/>
      <c r="M2974" s="226"/>
      <c r="N2974" s="246"/>
      <c r="P2974" s="228"/>
      <c r="Q2974" s="245"/>
      <c r="R2974" s="186" t="str">
        <f aca="false">+PROPER(C2974&amp;" "&amp;D2974)</f>
        <v> </v>
      </c>
      <c r="S2974" s="230" t="n">
        <f aca="false">+YEARFRAC(L2974,$S$1)</f>
        <v>126.366666666667</v>
      </c>
      <c r="T2974" s="230" t="n">
        <f aca="false">+YEARFRAC(M2974,$S$1)</f>
        <v>126.366666666667</v>
      </c>
      <c r="U2974" s="231" t="n">
        <f aca="false">+$I2974</f>
        <v>0</v>
      </c>
      <c r="V2974" s="232" t="str">
        <f aca="false">+PROPER(F2974)</f>
        <v/>
      </c>
    </row>
    <row r="2975" customFormat="false" ht="14.25" hidden="false" customHeight="false" outlineLevel="0" collapsed="false">
      <c r="B2975" s="244"/>
      <c r="C2975" s="245"/>
      <c r="D2975" s="245"/>
      <c r="E2975" s="246"/>
      <c r="F2975" s="246"/>
      <c r="G2975" s="225" t="e">
        <f aca="false">VLOOKUP(B2975,'NIVEL ENERO'!A:F,4,0)</f>
        <v>#N/A</v>
      </c>
      <c r="H2975" s="247"/>
      <c r="I2975" s="247"/>
      <c r="J2975" s="246"/>
      <c r="K2975" s="246"/>
      <c r="L2975" s="226"/>
      <c r="M2975" s="226"/>
      <c r="N2975" s="246"/>
      <c r="P2975" s="228"/>
      <c r="Q2975" s="245"/>
      <c r="R2975" s="186" t="str">
        <f aca="false">+PROPER(C2975&amp;" "&amp;D2975)</f>
        <v> </v>
      </c>
      <c r="S2975" s="230" t="n">
        <f aca="false">+YEARFRAC(L2975,$S$1)</f>
        <v>126.366666666667</v>
      </c>
      <c r="T2975" s="230" t="n">
        <f aca="false">+YEARFRAC(M2975,$S$1)</f>
        <v>126.366666666667</v>
      </c>
      <c r="U2975" s="231" t="n">
        <f aca="false">+$I2975</f>
        <v>0</v>
      </c>
      <c r="V2975" s="232" t="str">
        <f aca="false">+PROPER(F2975)</f>
        <v/>
      </c>
    </row>
    <row r="2976" customFormat="false" ht="14.25" hidden="false" customHeight="false" outlineLevel="0" collapsed="false">
      <c r="B2976" s="244"/>
      <c r="C2976" s="245"/>
      <c r="D2976" s="245"/>
      <c r="E2976" s="246"/>
      <c r="F2976" s="246"/>
      <c r="G2976" s="225" t="e">
        <f aca="false">VLOOKUP(B2976,'NIVEL ENERO'!A:F,4,0)</f>
        <v>#N/A</v>
      </c>
      <c r="H2976" s="247"/>
      <c r="I2976" s="247"/>
      <c r="J2976" s="246"/>
      <c r="K2976" s="246"/>
      <c r="L2976" s="226"/>
      <c r="M2976" s="226"/>
      <c r="N2976" s="246"/>
      <c r="P2976" s="228"/>
      <c r="Q2976" s="245"/>
      <c r="R2976" s="186" t="str">
        <f aca="false">+PROPER(C2976&amp;" "&amp;D2976)</f>
        <v> </v>
      </c>
      <c r="S2976" s="230" t="n">
        <f aca="false">+YEARFRAC(L2976,$S$1)</f>
        <v>126.366666666667</v>
      </c>
      <c r="T2976" s="230" t="n">
        <f aca="false">+YEARFRAC(M2976,$S$1)</f>
        <v>126.366666666667</v>
      </c>
      <c r="U2976" s="231" t="n">
        <f aca="false">+$I2976</f>
        <v>0</v>
      </c>
      <c r="V2976" s="232" t="str">
        <f aca="false">+PROPER(F2976)</f>
        <v/>
      </c>
    </row>
    <row r="2977" customFormat="false" ht="14.25" hidden="false" customHeight="false" outlineLevel="0" collapsed="false">
      <c r="B2977" s="244"/>
      <c r="C2977" s="245"/>
      <c r="D2977" s="245"/>
      <c r="E2977" s="246"/>
      <c r="F2977" s="246"/>
      <c r="G2977" s="225" t="e">
        <f aca="false">VLOOKUP(B2977,'NIVEL ENERO'!A:F,4,0)</f>
        <v>#N/A</v>
      </c>
      <c r="H2977" s="247"/>
      <c r="I2977" s="247"/>
      <c r="J2977" s="246"/>
      <c r="K2977" s="246"/>
      <c r="L2977" s="226"/>
      <c r="M2977" s="226"/>
      <c r="N2977" s="246"/>
      <c r="P2977" s="228"/>
      <c r="Q2977" s="245"/>
      <c r="R2977" s="186" t="str">
        <f aca="false">+PROPER(C2977&amp;" "&amp;D2977)</f>
        <v> </v>
      </c>
      <c r="S2977" s="230" t="n">
        <f aca="false">+YEARFRAC(L2977,$S$1)</f>
        <v>126.366666666667</v>
      </c>
      <c r="T2977" s="230" t="n">
        <f aca="false">+YEARFRAC(M2977,$S$1)</f>
        <v>126.366666666667</v>
      </c>
      <c r="U2977" s="231" t="n">
        <f aca="false">+$I2977</f>
        <v>0</v>
      </c>
      <c r="V2977" s="232" t="str">
        <f aca="false">+PROPER(F2977)</f>
        <v/>
      </c>
    </row>
    <row r="2978" customFormat="false" ht="14.25" hidden="false" customHeight="false" outlineLevel="0" collapsed="false">
      <c r="B2978" s="244"/>
      <c r="C2978" s="245"/>
      <c r="D2978" s="245"/>
      <c r="E2978" s="246"/>
      <c r="F2978" s="246"/>
      <c r="G2978" s="225" t="e">
        <f aca="false">VLOOKUP(B2978,'NIVEL ENERO'!A:F,4,0)</f>
        <v>#N/A</v>
      </c>
      <c r="H2978" s="247"/>
      <c r="I2978" s="247"/>
      <c r="J2978" s="246"/>
      <c r="K2978" s="246"/>
      <c r="L2978" s="226"/>
      <c r="M2978" s="226"/>
      <c r="N2978" s="246"/>
      <c r="P2978" s="228"/>
      <c r="Q2978" s="245"/>
      <c r="R2978" s="186" t="str">
        <f aca="false">+PROPER(C2978&amp;" "&amp;D2978)</f>
        <v> </v>
      </c>
      <c r="S2978" s="230" t="n">
        <f aca="false">+YEARFRAC(L2978,$S$1)</f>
        <v>126.366666666667</v>
      </c>
      <c r="T2978" s="230" t="n">
        <f aca="false">+YEARFRAC(M2978,$S$1)</f>
        <v>126.366666666667</v>
      </c>
      <c r="U2978" s="231" t="n">
        <f aca="false">+$I2978</f>
        <v>0</v>
      </c>
      <c r="V2978" s="232" t="str">
        <f aca="false">+PROPER(F2978)</f>
        <v/>
      </c>
    </row>
    <row r="2979" customFormat="false" ht="14.25" hidden="false" customHeight="false" outlineLevel="0" collapsed="false">
      <c r="B2979" s="244"/>
      <c r="C2979" s="245"/>
      <c r="D2979" s="245"/>
      <c r="E2979" s="246"/>
      <c r="F2979" s="246"/>
      <c r="G2979" s="225" t="e">
        <f aca="false">VLOOKUP(B2979,'NIVEL ENERO'!A:F,4,0)</f>
        <v>#N/A</v>
      </c>
      <c r="H2979" s="247"/>
      <c r="I2979" s="247"/>
      <c r="J2979" s="246"/>
      <c r="K2979" s="246"/>
      <c r="L2979" s="226"/>
      <c r="M2979" s="226"/>
      <c r="N2979" s="246"/>
      <c r="P2979" s="228"/>
      <c r="Q2979" s="245"/>
      <c r="R2979" s="186" t="str">
        <f aca="false">+PROPER(C2979&amp;" "&amp;D2979)</f>
        <v> </v>
      </c>
      <c r="S2979" s="230" t="n">
        <f aca="false">+YEARFRAC(L2979,$S$1)</f>
        <v>126.366666666667</v>
      </c>
      <c r="T2979" s="230" t="n">
        <f aca="false">+YEARFRAC(M2979,$S$1)</f>
        <v>126.366666666667</v>
      </c>
      <c r="U2979" s="231" t="n">
        <f aca="false">+$I2979</f>
        <v>0</v>
      </c>
      <c r="V2979" s="232" t="str">
        <f aca="false">+PROPER(F2979)</f>
        <v/>
      </c>
    </row>
    <row r="2980" customFormat="false" ht="14.25" hidden="false" customHeight="false" outlineLevel="0" collapsed="false">
      <c r="B2980" s="244"/>
      <c r="C2980" s="245"/>
      <c r="D2980" s="245"/>
      <c r="E2980" s="246"/>
      <c r="F2980" s="246"/>
      <c r="G2980" s="225" t="e">
        <f aca="false">VLOOKUP(B2980,'NIVEL ENERO'!A:F,4,0)</f>
        <v>#N/A</v>
      </c>
      <c r="H2980" s="247"/>
      <c r="I2980" s="247"/>
      <c r="J2980" s="246"/>
      <c r="K2980" s="246"/>
      <c r="L2980" s="226"/>
      <c r="M2980" s="226"/>
      <c r="N2980" s="246"/>
      <c r="P2980" s="228"/>
      <c r="Q2980" s="245"/>
      <c r="R2980" s="186" t="str">
        <f aca="false">+PROPER(C2980&amp;" "&amp;D2980)</f>
        <v> </v>
      </c>
      <c r="S2980" s="230" t="n">
        <f aca="false">+YEARFRAC(L2980,$S$1)</f>
        <v>126.366666666667</v>
      </c>
      <c r="T2980" s="230" t="n">
        <f aca="false">+YEARFRAC(M2980,$S$1)</f>
        <v>126.366666666667</v>
      </c>
      <c r="U2980" s="231" t="n">
        <f aca="false">+$I2980</f>
        <v>0</v>
      </c>
      <c r="V2980" s="232" t="str">
        <f aca="false">+PROPER(F2980)</f>
        <v/>
      </c>
    </row>
    <row r="2981" customFormat="false" ht="14.25" hidden="false" customHeight="false" outlineLevel="0" collapsed="false">
      <c r="B2981" s="244"/>
      <c r="C2981" s="245"/>
      <c r="D2981" s="245"/>
      <c r="E2981" s="246"/>
      <c r="F2981" s="246"/>
      <c r="G2981" s="225" t="e">
        <f aca="false">VLOOKUP(B2981,'NIVEL ENERO'!A:F,4,0)</f>
        <v>#N/A</v>
      </c>
      <c r="H2981" s="247"/>
      <c r="I2981" s="247"/>
      <c r="J2981" s="246"/>
      <c r="K2981" s="246"/>
      <c r="L2981" s="226"/>
      <c r="M2981" s="226"/>
      <c r="N2981" s="246"/>
      <c r="P2981" s="228"/>
      <c r="Q2981" s="245"/>
      <c r="R2981" s="186" t="str">
        <f aca="false">+PROPER(C2981&amp;" "&amp;D2981)</f>
        <v> </v>
      </c>
      <c r="S2981" s="230" t="n">
        <f aca="false">+YEARFRAC(L2981,$S$1)</f>
        <v>126.366666666667</v>
      </c>
      <c r="T2981" s="230" t="n">
        <f aca="false">+YEARFRAC(M2981,$S$1)</f>
        <v>126.366666666667</v>
      </c>
      <c r="U2981" s="231" t="n">
        <f aca="false">+$I2981</f>
        <v>0</v>
      </c>
      <c r="V2981" s="232" t="str">
        <f aca="false">+PROPER(F2981)</f>
        <v/>
      </c>
    </row>
    <row r="2982" customFormat="false" ht="14.25" hidden="false" customHeight="false" outlineLevel="0" collapsed="false">
      <c r="B2982" s="244"/>
      <c r="C2982" s="245"/>
      <c r="D2982" s="245"/>
      <c r="E2982" s="246"/>
      <c r="F2982" s="246"/>
      <c r="G2982" s="225" t="e">
        <f aca="false">VLOOKUP(B2982,'NIVEL ENERO'!A:F,4,0)</f>
        <v>#N/A</v>
      </c>
      <c r="H2982" s="247"/>
      <c r="I2982" s="247"/>
      <c r="J2982" s="246"/>
      <c r="K2982" s="246"/>
      <c r="L2982" s="226"/>
      <c r="M2982" s="226"/>
      <c r="N2982" s="246"/>
      <c r="P2982" s="228"/>
      <c r="Q2982" s="245"/>
      <c r="R2982" s="186" t="str">
        <f aca="false">+PROPER(C2982&amp;" "&amp;D2982)</f>
        <v> </v>
      </c>
      <c r="S2982" s="230" t="n">
        <f aca="false">+YEARFRAC(L2982,$S$1)</f>
        <v>126.366666666667</v>
      </c>
      <c r="T2982" s="230" t="n">
        <f aca="false">+YEARFRAC(M2982,$S$1)</f>
        <v>126.366666666667</v>
      </c>
      <c r="U2982" s="231" t="n">
        <f aca="false">+$I2982</f>
        <v>0</v>
      </c>
      <c r="V2982" s="232" t="str">
        <f aca="false">+PROPER(F2982)</f>
        <v/>
      </c>
    </row>
    <row r="2983" customFormat="false" ht="14.25" hidden="false" customHeight="false" outlineLevel="0" collapsed="false">
      <c r="B2983" s="244"/>
      <c r="C2983" s="245"/>
      <c r="D2983" s="245"/>
      <c r="E2983" s="246"/>
      <c r="F2983" s="246"/>
      <c r="G2983" s="225" t="e">
        <f aca="false">VLOOKUP(B2983,'NIVEL ENERO'!A:F,4,0)</f>
        <v>#N/A</v>
      </c>
      <c r="H2983" s="247"/>
      <c r="I2983" s="247"/>
      <c r="J2983" s="246"/>
      <c r="K2983" s="246"/>
      <c r="L2983" s="226"/>
      <c r="M2983" s="226"/>
      <c r="N2983" s="246"/>
      <c r="P2983" s="228"/>
      <c r="Q2983" s="245"/>
      <c r="R2983" s="186" t="str">
        <f aca="false">+PROPER(C2983&amp;" "&amp;D2983)</f>
        <v> </v>
      </c>
      <c r="S2983" s="230" t="n">
        <f aca="false">+YEARFRAC(L2983,$S$1)</f>
        <v>126.366666666667</v>
      </c>
      <c r="T2983" s="230" t="n">
        <f aca="false">+YEARFRAC(M2983,$S$1)</f>
        <v>126.366666666667</v>
      </c>
      <c r="U2983" s="231" t="n">
        <f aca="false">+$I2983</f>
        <v>0</v>
      </c>
      <c r="V2983" s="232" t="str">
        <f aca="false">+PROPER(F2983)</f>
        <v/>
      </c>
    </row>
    <row r="2984" customFormat="false" ht="14.25" hidden="false" customHeight="false" outlineLevel="0" collapsed="false">
      <c r="B2984" s="244"/>
      <c r="C2984" s="245"/>
      <c r="D2984" s="245"/>
      <c r="E2984" s="246"/>
      <c r="F2984" s="246"/>
      <c r="G2984" s="225" t="e">
        <f aca="false">VLOOKUP(B2984,'NIVEL ENERO'!A:F,4,0)</f>
        <v>#N/A</v>
      </c>
      <c r="H2984" s="247"/>
      <c r="I2984" s="247"/>
      <c r="J2984" s="246"/>
      <c r="K2984" s="246"/>
      <c r="L2984" s="226"/>
      <c r="M2984" s="226"/>
      <c r="N2984" s="246"/>
      <c r="P2984" s="228"/>
      <c r="Q2984" s="245"/>
      <c r="R2984" s="186" t="str">
        <f aca="false">+PROPER(C2984&amp;" "&amp;D2984)</f>
        <v> </v>
      </c>
      <c r="S2984" s="230" t="n">
        <f aca="false">+YEARFRAC(L2984,$S$1)</f>
        <v>126.366666666667</v>
      </c>
      <c r="T2984" s="230" t="n">
        <f aca="false">+YEARFRAC(M2984,$S$1)</f>
        <v>126.366666666667</v>
      </c>
      <c r="U2984" s="231" t="n">
        <f aca="false">+$I2984</f>
        <v>0</v>
      </c>
      <c r="V2984" s="232" t="str">
        <f aca="false">+PROPER(F2984)</f>
        <v/>
      </c>
    </row>
    <row r="2985" customFormat="false" ht="14.25" hidden="false" customHeight="false" outlineLevel="0" collapsed="false">
      <c r="B2985" s="244"/>
      <c r="C2985" s="245"/>
      <c r="D2985" s="245"/>
      <c r="E2985" s="246"/>
      <c r="F2985" s="246"/>
      <c r="G2985" s="225" t="e">
        <f aca="false">VLOOKUP(B2985,'NIVEL ENERO'!A:F,4,0)</f>
        <v>#N/A</v>
      </c>
      <c r="H2985" s="247"/>
      <c r="I2985" s="247"/>
      <c r="J2985" s="246"/>
      <c r="K2985" s="246"/>
      <c r="L2985" s="226"/>
      <c r="M2985" s="226"/>
      <c r="N2985" s="246"/>
      <c r="P2985" s="228"/>
      <c r="Q2985" s="245"/>
      <c r="R2985" s="186" t="str">
        <f aca="false">+PROPER(C2985&amp;" "&amp;D2985)</f>
        <v> </v>
      </c>
      <c r="S2985" s="230" t="n">
        <f aca="false">+YEARFRAC(L2985,$S$1)</f>
        <v>126.366666666667</v>
      </c>
      <c r="T2985" s="230" t="n">
        <f aca="false">+YEARFRAC(M2985,$S$1)</f>
        <v>126.366666666667</v>
      </c>
      <c r="U2985" s="231" t="n">
        <f aca="false">+$I2985</f>
        <v>0</v>
      </c>
      <c r="V2985" s="232" t="str">
        <f aca="false">+PROPER(F2985)</f>
        <v/>
      </c>
    </row>
    <row r="2986" customFormat="false" ht="14.25" hidden="false" customHeight="false" outlineLevel="0" collapsed="false">
      <c r="B2986" s="244"/>
      <c r="C2986" s="245"/>
      <c r="D2986" s="245"/>
      <c r="E2986" s="246"/>
      <c r="F2986" s="246"/>
      <c r="G2986" s="225" t="e">
        <f aca="false">VLOOKUP(B2986,'NIVEL ENERO'!A:F,4,0)</f>
        <v>#N/A</v>
      </c>
      <c r="H2986" s="247"/>
      <c r="I2986" s="247"/>
      <c r="J2986" s="246"/>
      <c r="K2986" s="246"/>
      <c r="L2986" s="226"/>
      <c r="M2986" s="226"/>
      <c r="N2986" s="246"/>
      <c r="P2986" s="228"/>
      <c r="Q2986" s="245"/>
      <c r="R2986" s="186" t="str">
        <f aca="false">+PROPER(C2986&amp;" "&amp;D2986)</f>
        <v> </v>
      </c>
      <c r="S2986" s="230" t="n">
        <f aca="false">+YEARFRAC(L2986,$S$1)</f>
        <v>126.366666666667</v>
      </c>
      <c r="T2986" s="230" t="n">
        <f aca="false">+YEARFRAC(M2986,$S$1)</f>
        <v>126.366666666667</v>
      </c>
      <c r="U2986" s="231" t="n">
        <f aca="false">+$I2986</f>
        <v>0</v>
      </c>
      <c r="V2986" s="232" t="str">
        <f aca="false">+PROPER(F2986)</f>
        <v/>
      </c>
    </row>
    <row r="2987" customFormat="false" ht="14.25" hidden="false" customHeight="false" outlineLevel="0" collapsed="false">
      <c r="B2987" s="244"/>
      <c r="C2987" s="245"/>
      <c r="D2987" s="245"/>
      <c r="E2987" s="246"/>
      <c r="F2987" s="246"/>
      <c r="G2987" s="225" t="e">
        <f aca="false">VLOOKUP(B2987,'NIVEL ENERO'!A:F,4,0)</f>
        <v>#N/A</v>
      </c>
      <c r="H2987" s="247"/>
      <c r="I2987" s="247"/>
      <c r="J2987" s="246"/>
      <c r="K2987" s="246"/>
      <c r="L2987" s="226"/>
      <c r="M2987" s="226"/>
      <c r="N2987" s="246"/>
      <c r="P2987" s="228"/>
      <c r="Q2987" s="245"/>
      <c r="R2987" s="186" t="str">
        <f aca="false">+PROPER(C2987&amp;" "&amp;D2987)</f>
        <v> </v>
      </c>
      <c r="S2987" s="230" t="n">
        <f aca="false">+YEARFRAC(L2987,$S$1)</f>
        <v>126.366666666667</v>
      </c>
      <c r="T2987" s="230" t="n">
        <f aca="false">+YEARFRAC(M2987,$S$1)</f>
        <v>126.366666666667</v>
      </c>
      <c r="U2987" s="231" t="n">
        <f aca="false">+$I2987</f>
        <v>0</v>
      </c>
      <c r="V2987" s="232" t="str">
        <f aca="false">+PROPER(F2987)</f>
        <v/>
      </c>
    </row>
    <row r="2988" customFormat="false" ht="14.25" hidden="false" customHeight="false" outlineLevel="0" collapsed="false">
      <c r="B2988" s="244"/>
      <c r="C2988" s="245"/>
      <c r="D2988" s="245"/>
      <c r="E2988" s="246"/>
      <c r="F2988" s="246"/>
      <c r="G2988" s="225" t="e">
        <f aca="false">VLOOKUP(B2988,'NIVEL ENERO'!A:F,4,0)</f>
        <v>#N/A</v>
      </c>
      <c r="H2988" s="247"/>
      <c r="I2988" s="247"/>
      <c r="J2988" s="246"/>
      <c r="K2988" s="246"/>
      <c r="L2988" s="226"/>
      <c r="M2988" s="226"/>
      <c r="N2988" s="246"/>
      <c r="P2988" s="228"/>
      <c r="Q2988" s="245"/>
      <c r="R2988" s="186" t="str">
        <f aca="false">+PROPER(C2988&amp;" "&amp;D2988)</f>
        <v> </v>
      </c>
      <c r="S2988" s="230" t="n">
        <f aca="false">+YEARFRAC(L2988,$S$1)</f>
        <v>126.366666666667</v>
      </c>
      <c r="T2988" s="230" t="n">
        <f aca="false">+YEARFRAC(M2988,$S$1)</f>
        <v>126.366666666667</v>
      </c>
      <c r="U2988" s="231" t="n">
        <f aca="false">+$I2988</f>
        <v>0</v>
      </c>
      <c r="V2988" s="232" t="str">
        <f aca="false">+PROPER(F2988)</f>
        <v/>
      </c>
    </row>
    <row r="2989" customFormat="false" ht="14.25" hidden="false" customHeight="false" outlineLevel="0" collapsed="false">
      <c r="B2989" s="244"/>
      <c r="C2989" s="245"/>
      <c r="D2989" s="245"/>
      <c r="E2989" s="246"/>
      <c r="F2989" s="246"/>
      <c r="G2989" s="225" t="e">
        <f aca="false">VLOOKUP(B2989,'NIVEL ENERO'!A:F,4,0)</f>
        <v>#N/A</v>
      </c>
      <c r="H2989" s="247"/>
      <c r="I2989" s="247"/>
      <c r="J2989" s="246"/>
      <c r="K2989" s="246"/>
      <c r="L2989" s="226"/>
      <c r="M2989" s="226"/>
      <c r="N2989" s="246"/>
      <c r="P2989" s="228"/>
      <c r="Q2989" s="245"/>
      <c r="R2989" s="186" t="str">
        <f aca="false">+PROPER(C2989&amp;" "&amp;D2989)</f>
        <v> </v>
      </c>
      <c r="S2989" s="230" t="n">
        <f aca="false">+YEARFRAC(L2989,$S$1)</f>
        <v>126.366666666667</v>
      </c>
      <c r="T2989" s="230" t="n">
        <f aca="false">+YEARFRAC(M2989,$S$1)</f>
        <v>126.366666666667</v>
      </c>
      <c r="U2989" s="231" t="n">
        <f aca="false">+$I2989</f>
        <v>0</v>
      </c>
      <c r="V2989" s="232" t="str">
        <f aca="false">+PROPER(F2989)</f>
        <v/>
      </c>
    </row>
    <row r="2990" customFormat="false" ht="14.25" hidden="false" customHeight="false" outlineLevel="0" collapsed="false">
      <c r="B2990" s="244"/>
      <c r="C2990" s="245"/>
      <c r="D2990" s="245"/>
      <c r="E2990" s="246"/>
      <c r="F2990" s="246"/>
      <c r="G2990" s="225" t="e">
        <f aca="false">VLOOKUP(B2990,'NIVEL ENERO'!A:F,4,0)</f>
        <v>#N/A</v>
      </c>
      <c r="H2990" s="247"/>
      <c r="I2990" s="247"/>
      <c r="J2990" s="246"/>
      <c r="K2990" s="246"/>
      <c r="L2990" s="226"/>
      <c r="M2990" s="226"/>
      <c r="N2990" s="246"/>
      <c r="P2990" s="228"/>
      <c r="Q2990" s="245"/>
      <c r="R2990" s="186" t="str">
        <f aca="false">+PROPER(C2990&amp;" "&amp;D2990)</f>
        <v> </v>
      </c>
      <c r="S2990" s="230" t="n">
        <f aca="false">+YEARFRAC(L2990,$S$1)</f>
        <v>126.366666666667</v>
      </c>
      <c r="T2990" s="230" t="n">
        <f aca="false">+YEARFRAC(M2990,$S$1)</f>
        <v>126.366666666667</v>
      </c>
      <c r="U2990" s="231" t="n">
        <f aca="false">+$I2990</f>
        <v>0</v>
      </c>
      <c r="V2990" s="232" t="str">
        <f aca="false">+PROPER(F2990)</f>
        <v/>
      </c>
    </row>
    <row r="2991" customFormat="false" ht="14.25" hidden="false" customHeight="false" outlineLevel="0" collapsed="false">
      <c r="B2991" s="244"/>
      <c r="C2991" s="245"/>
      <c r="D2991" s="245"/>
      <c r="E2991" s="246"/>
      <c r="F2991" s="246"/>
      <c r="G2991" s="225" t="e">
        <f aca="false">VLOOKUP(B2991,'NIVEL ENERO'!A:F,4,0)</f>
        <v>#N/A</v>
      </c>
      <c r="H2991" s="247"/>
      <c r="I2991" s="247"/>
      <c r="J2991" s="246"/>
      <c r="K2991" s="246"/>
      <c r="L2991" s="226"/>
      <c r="M2991" s="226"/>
      <c r="N2991" s="246"/>
      <c r="P2991" s="228"/>
      <c r="Q2991" s="245"/>
      <c r="R2991" s="186" t="str">
        <f aca="false">+PROPER(C2991&amp;" "&amp;D2991)</f>
        <v> </v>
      </c>
      <c r="S2991" s="230" t="n">
        <f aca="false">+YEARFRAC(L2991,$S$1)</f>
        <v>126.366666666667</v>
      </c>
      <c r="T2991" s="230" t="n">
        <f aca="false">+YEARFRAC(M2991,$S$1)</f>
        <v>126.366666666667</v>
      </c>
      <c r="U2991" s="231" t="n">
        <f aca="false">+$I2991</f>
        <v>0</v>
      </c>
      <c r="V2991" s="232" t="str">
        <f aca="false">+PROPER(F2991)</f>
        <v/>
      </c>
    </row>
    <row r="2992" customFormat="false" ht="14.25" hidden="false" customHeight="false" outlineLevel="0" collapsed="false">
      <c r="B2992" s="244"/>
      <c r="C2992" s="245"/>
      <c r="D2992" s="245"/>
      <c r="E2992" s="246"/>
      <c r="F2992" s="246"/>
      <c r="G2992" s="225" t="e">
        <f aca="false">VLOOKUP(B2992,'NIVEL ENERO'!A:F,4,0)</f>
        <v>#N/A</v>
      </c>
      <c r="H2992" s="247"/>
      <c r="I2992" s="247"/>
      <c r="J2992" s="246"/>
      <c r="K2992" s="246"/>
      <c r="L2992" s="226"/>
      <c r="M2992" s="226"/>
      <c r="N2992" s="246"/>
      <c r="P2992" s="228"/>
      <c r="Q2992" s="245"/>
      <c r="R2992" s="186" t="str">
        <f aca="false">+PROPER(C2992&amp;" "&amp;D2992)</f>
        <v> </v>
      </c>
      <c r="S2992" s="230" t="n">
        <f aca="false">+YEARFRAC(L2992,$S$1)</f>
        <v>126.366666666667</v>
      </c>
      <c r="T2992" s="230" t="n">
        <f aca="false">+YEARFRAC(M2992,$S$1)</f>
        <v>126.366666666667</v>
      </c>
      <c r="U2992" s="231" t="n">
        <f aca="false">+$I2992</f>
        <v>0</v>
      </c>
      <c r="V2992" s="232" t="str">
        <f aca="false">+PROPER(F2992)</f>
        <v/>
      </c>
    </row>
    <row r="2993" customFormat="false" ht="14.25" hidden="false" customHeight="false" outlineLevel="0" collapsed="false">
      <c r="B2993" s="244"/>
      <c r="C2993" s="245"/>
      <c r="D2993" s="245"/>
      <c r="E2993" s="246"/>
      <c r="F2993" s="246"/>
      <c r="G2993" s="225" t="e">
        <f aca="false">VLOOKUP(B2993,'NIVEL ENERO'!A:F,4,0)</f>
        <v>#N/A</v>
      </c>
      <c r="H2993" s="247"/>
      <c r="I2993" s="247"/>
      <c r="J2993" s="246"/>
      <c r="K2993" s="246"/>
      <c r="L2993" s="226"/>
      <c r="M2993" s="226"/>
      <c r="N2993" s="246"/>
      <c r="P2993" s="228"/>
      <c r="Q2993" s="245"/>
      <c r="R2993" s="186" t="str">
        <f aca="false">+PROPER(C2993&amp;" "&amp;D2993)</f>
        <v> </v>
      </c>
      <c r="S2993" s="230" t="n">
        <f aca="false">+YEARFRAC(L2993,$S$1)</f>
        <v>126.366666666667</v>
      </c>
      <c r="T2993" s="230" t="n">
        <f aca="false">+YEARFRAC(M2993,$S$1)</f>
        <v>126.366666666667</v>
      </c>
      <c r="U2993" s="231" t="n">
        <f aca="false">+$I2993</f>
        <v>0</v>
      </c>
      <c r="V2993" s="232" t="str">
        <f aca="false">+PROPER(F2993)</f>
        <v/>
      </c>
    </row>
    <row r="2994" customFormat="false" ht="14.25" hidden="false" customHeight="false" outlineLevel="0" collapsed="false">
      <c r="B2994" s="244"/>
      <c r="C2994" s="245"/>
      <c r="D2994" s="245"/>
      <c r="E2994" s="246"/>
      <c r="F2994" s="246"/>
      <c r="G2994" s="225" t="e">
        <f aca="false">VLOOKUP(B2994,'NIVEL ENERO'!A:F,4,0)</f>
        <v>#N/A</v>
      </c>
      <c r="H2994" s="247"/>
      <c r="I2994" s="247"/>
      <c r="J2994" s="246"/>
      <c r="K2994" s="246"/>
      <c r="L2994" s="226"/>
      <c r="M2994" s="226"/>
      <c r="N2994" s="246"/>
      <c r="P2994" s="228"/>
      <c r="Q2994" s="245"/>
      <c r="R2994" s="186" t="str">
        <f aca="false">+PROPER(C2994&amp;" "&amp;D2994)</f>
        <v> </v>
      </c>
      <c r="S2994" s="230" t="n">
        <f aca="false">+YEARFRAC(L2994,$S$1)</f>
        <v>126.366666666667</v>
      </c>
      <c r="T2994" s="230" t="n">
        <f aca="false">+YEARFRAC(M2994,$S$1)</f>
        <v>126.366666666667</v>
      </c>
      <c r="U2994" s="231" t="n">
        <f aca="false">+$I2994</f>
        <v>0</v>
      </c>
      <c r="V2994" s="232" t="str">
        <f aca="false">+PROPER(F2994)</f>
        <v/>
      </c>
    </row>
    <row r="2995" customFormat="false" ht="14.25" hidden="false" customHeight="false" outlineLevel="0" collapsed="false">
      <c r="B2995" s="244"/>
      <c r="C2995" s="245"/>
      <c r="D2995" s="245"/>
      <c r="E2995" s="246"/>
      <c r="F2995" s="246"/>
      <c r="G2995" s="225" t="e">
        <f aca="false">VLOOKUP(B2995,'NIVEL ENERO'!A:F,4,0)</f>
        <v>#N/A</v>
      </c>
      <c r="H2995" s="247"/>
      <c r="I2995" s="247"/>
      <c r="J2995" s="246"/>
      <c r="K2995" s="246"/>
      <c r="L2995" s="226"/>
      <c r="M2995" s="226"/>
      <c r="N2995" s="246"/>
      <c r="P2995" s="228"/>
      <c r="Q2995" s="245"/>
      <c r="R2995" s="186" t="str">
        <f aca="false">+PROPER(C2995&amp;" "&amp;D2995)</f>
        <v> </v>
      </c>
      <c r="S2995" s="230" t="n">
        <f aca="false">+YEARFRAC(L2995,$S$1)</f>
        <v>126.366666666667</v>
      </c>
      <c r="T2995" s="230" t="n">
        <f aca="false">+YEARFRAC(M2995,$S$1)</f>
        <v>126.366666666667</v>
      </c>
      <c r="U2995" s="231" t="n">
        <f aca="false">+$I2995</f>
        <v>0</v>
      </c>
      <c r="V2995" s="232" t="str">
        <f aca="false">+PROPER(F2995)</f>
        <v/>
      </c>
    </row>
    <row r="2996" customFormat="false" ht="14.25" hidden="false" customHeight="false" outlineLevel="0" collapsed="false">
      <c r="B2996" s="244"/>
      <c r="C2996" s="245"/>
      <c r="D2996" s="245"/>
      <c r="E2996" s="246"/>
      <c r="F2996" s="246"/>
      <c r="G2996" s="225" t="e">
        <f aca="false">VLOOKUP(B2996,'NIVEL ENERO'!A:F,4,0)</f>
        <v>#N/A</v>
      </c>
      <c r="H2996" s="247"/>
      <c r="I2996" s="247"/>
      <c r="J2996" s="246"/>
      <c r="K2996" s="246"/>
      <c r="L2996" s="226"/>
      <c r="M2996" s="226"/>
      <c r="N2996" s="246"/>
      <c r="P2996" s="228"/>
      <c r="Q2996" s="245"/>
      <c r="R2996" s="186" t="str">
        <f aca="false">+PROPER(C2996&amp;" "&amp;D2996)</f>
        <v> </v>
      </c>
      <c r="S2996" s="230" t="n">
        <f aca="false">+YEARFRAC(L2996,$S$1)</f>
        <v>126.366666666667</v>
      </c>
      <c r="T2996" s="230" t="n">
        <f aca="false">+YEARFRAC(M2996,$S$1)</f>
        <v>126.366666666667</v>
      </c>
      <c r="U2996" s="231" t="n">
        <f aca="false">+$I2996</f>
        <v>0</v>
      </c>
      <c r="V2996" s="232" t="str">
        <f aca="false">+PROPER(F2996)</f>
        <v/>
      </c>
    </row>
    <row r="2997" customFormat="false" ht="14.25" hidden="false" customHeight="false" outlineLevel="0" collapsed="false">
      <c r="B2997" s="244"/>
      <c r="C2997" s="245"/>
      <c r="D2997" s="245"/>
      <c r="E2997" s="246"/>
      <c r="F2997" s="246"/>
      <c r="G2997" s="225" t="e">
        <f aca="false">VLOOKUP(B2997,'NIVEL ENERO'!A:F,4,0)</f>
        <v>#N/A</v>
      </c>
      <c r="H2997" s="247"/>
      <c r="I2997" s="247"/>
      <c r="J2997" s="246"/>
      <c r="K2997" s="246"/>
      <c r="L2997" s="226"/>
      <c r="M2997" s="226"/>
      <c r="N2997" s="246"/>
      <c r="P2997" s="228"/>
      <c r="Q2997" s="245"/>
      <c r="R2997" s="186" t="str">
        <f aca="false">+PROPER(C2997&amp;" "&amp;D2997)</f>
        <v> </v>
      </c>
      <c r="S2997" s="230" t="n">
        <f aca="false">+YEARFRAC(L2997,$S$1)</f>
        <v>126.366666666667</v>
      </c>
      <c r="T2997" s="230" t="n">
        <f aca="false">+YEARFRAC(M2997,$S$1)</f>
        <v>126.366666666667</v>
      </c>
      <c r="U2997" s="231" t="n">
        <f aca="false">+$I2997</f>
        <v>0</v>
      </c>
      <c r="V2997" s="232" t="str">
        <f aca="false">+PROPER(F2997)</f>
        <v/>
      </c>
    </row>
    <row r="2998" customFormat="false" ht="14.25" hidden="false" customHeight="false" outlineLevel="0" collapsed="false">
      <c r="B2998" s="244"/>
      <c r="C2998" s="245"/>
      <c r="D2998" s="245"/>
      <c r="E2998" s="246"/>
      <c r="F2998" s="246"/>
      <c r="G2998" s="225" t="e">
        <f aca="false">VLOOKUP(B2998,'NIVEL ENERO'!A:F,4,0)</f>
        <v>#N/A</v>
      </c>
      <c r="H2998" s="247"/>
      <c r="I2998" s="247"/>
      <c r="J2998" s="246"/>
      <c r="K2998" s="246"/>
      <c r="L2998" s="226"/>
      <c r="M2998" s="226"/>
      <c r="N2998" s="246"/>
      <c r="P2998" s="228"/>
      <c r="Q2998" s="245"/>
      <c r="R2998" s="186" t="str">
        <f aca="false">+PROPER(C2998&amp;" "&amp;D2998)</f>
        <v> </v>
      </c>
      <c r="S2998" s="230" t="n">
        <f aca="false">+YEARFRAC(L2998,$S$1)</f>
        <v>126.366666666667</v>
      </c>
      <c r="T2998" s="230" t="n">
        <f aca="false">+YEARFRAC(M2998,$S$1)</f>
        <v>126.366666666667</v>
      </c>
      <c r="U2998" s="231" t="n">
        <f aca="false">+$I2998</f>
        <v>0</v>
      </c>
      <c r="V2998" s="232" t="str">
        <f aca="false">+PROPER(F2998)</f>
        <v/>
      </c>
    </row>
    <row r="2999" customFormat="false" ht="14.25" hidden="false" customHeight="false" outlineLevel="0" collapsed="false">
      <c r="B2999" s="244"/>
      <c r="C2999" s="245"/>
      <c r="D2999" s="245"/>
      <c r="E2999" s="246"/>
      <c r="F2999" s="246"/>
      <c r="G2999" s="225" t="e">
        <f aca="false">VLOOKUP(B2999,'NIVEL ENERO'!A:F,4,0)</f>
        <v>#N/A</v>
      </c>
      <c r="H2999" s="247"/>
      <c r="I2999" s="247"/>
      <c r="J2999" s="246"/>
      <c r="K2999" s="246"/>
      <c r="L2999" s="226"/>
      <c r="M2999" s="226"/>
      <c r="N2999" s="246"/>
      <c r="P2999" s="228"/>
      <c r="Q2999" s="245"/>
      <c r="R2999" s="186" t="str">
        <f aca="false">+PROPER(C2999&amp;" "&amp;D2999)</f>
        <v> </v>
      </c>
      <c r="S2999" s="230" t="n">
        <f aca="false">+YEARFRAC(L2999,$S$1)</f>
        <v>126.366666666667</v>
      </c>
      <c r="T2999" s="230" t="n">
        <f aca="false">+YEARFRAC(M2999,$S$1)</f>
        <v>126.366666666667</v>
      </c>
      <c r="U2999" s="231" t="n">
        <f aca="false">+$I2999</f>
        <v>0</v>
      </c>
      <c r="V2999" s="232" t="str">
        <f aca="false">+PROPER(F2999)</f>
        <v/>
      </c>
    </row>
    <row r="3000" customFormat="false" ht="14.25" hidden="false" customHeight="false" outlineLevel="0" collapsed="false">
      <c r="B3000" s="244"/>
      <c r="C3000" s="245"/>
      <c r="D3000" s="245"/>
      <c r="E3000" s="246"/>
      <c r="F3000" s="246"/>
      <c r="G3000" s="225" t="e">
        <f aca="false">VLOOKUP(B3000,'NIVEL ENERO'!A:F,4,0)</f>
        <v>#N/A</v>
      </c>
      <c r="H3000" s="247"/>
      <c r="I3000" s="247"/>
      <c r="J3000" s="246"/>
      <c r="K3000" s="246"/>
      <c r="L3000" s="226"/>
      <c r="M3000" s="226"/>
      <c r="N3000" s="246"/>
      <c r="P3000" s="228"/>
      <c r="Q3000" s="245"/>
      <c r="R3000" s="186" t="str">
        <f aca="false">+PROPER(C3000&amp;" "&amp;D3000)</f>
        <v> </v>
      </c>
      <c r="S3000" s="230" t="n">
        <f aca="false">+YEARFRAC(L3000,$S$1)</f>
        <v>126.366666666667</v>
      </c>
      <c r="T3000" s="230" t="n">
        <f aca="false">+YEARFRAC(M3000,$S$1)</f>
        <v>126.366666666667</v>
      </c>
      <c r="U3000" s="231" t="n">
        <f aca="false">+$I3000</f>
        <v>0</v>
      </c>
      <c r="V3000" s="232" t="str">
        <f aca="false">+PROPER(F3000)</f>
        <v/>
      </c>
    </row>
    <row r="3001" customFormat="false" ht="14.25" hidden="false" customHeight="false" outlineLevel="0" collapsed="false">
      <c r="B3001" s="244"/>
      <c r="C3001" s="245"/>
      <c r="D3001" s="245"/>
      <c r="E3001" s="246"/>
      <c r="F3001" s="246"/>
      <c r="G3001" s="225" t="e">
        <f aca="false">VLOOKUP(B3001,'NIVEL ENERO'!A:F,4,0)</f>
        <v>#N/A</v>
      </c>
      <c r="H3001" s="247"/>
      <c r="I3001" s="247"/>
      <c r="J3001" s="246"/>
      <c r="K3001" s="246"/>
      <c r="L3001" s="226"/>
      <c r="M3001" s="226"/>
      <c r="N3001" s="246"/>
      <c r="P3001" s="228"/>
      <c r="Q3001" s="245"/>
      <c r="R3001" s="186" t="str">
        <f aca="false">+PROPER(C3001&amp;" "&amp;D3001)</f>
        <v> </v>
      </c>
      <c r="S3001" s="230" t="n">
        <f aca="false">+YEARFRAC(L3001,$S$1)</f>
        <v>126.366666666667</v>
      </c>
      <c r="T3001" s="230" t="n">
        <f aca="false">+YEARFRAC(M3001,$S$1)</f>
        <v>126.366666666667</v>
      </c>
      <c r="U3001" s="231" t="n">
        <f aca="false">+$I3001</f>
        <v>0</v>
      </c>
      <c r="V3001" s="232" t="str">
        <f aca="false">+PROPER(F3001)</f>
        <v/>
      </c>
    </row>
    <row r="3002" customFormat="false" ht="14.25" hidden="false" customHeight="false" outlineLevel="0" collapsed="false">
      <c r="B3002" s="244"/>
      <c r="C3002" s="245"/>
      <c r="D3002" s="245"/>
      <c r="E3002" s="246"/>
      <c r="F3002" s="246"/>
      <c r="G3002" s="225" t="e">
        <f aca="false">VLOOKUP(B3002,'NIVEL ENERO'!A:F,4,0)</f>
        <v>#N/A</v>
      </c>
      <c r="H3002" s="247"/>
      <c r="I3002" s="247"/>
      <c r="J3002" s="246"/>
      <c r="K3002" s="246"/>
      <c r="L3002" s="226"/>
      <c r="M3002" s="226"/>
      <c r="N3002" s="246"/>
      <c r="P3002" s="228"/>
      <c r="Q3002" s="245"/>
      <c r="R3002" s="186" t="str">
        <f aca="false">+PROPER(C3002&amp;" "&amp;D3002)</f>
        <v> </v>
      </c>
      <c r="S3002" s="230" t="n">
        <f aca="false">+YEARFRAC(L3002,$S$1)</f>
        <v>126.366666666667</v>
      </c>
      <c r="T3002" s="230" t="n">
        <f aca="false">+YEARFRAC(M3002,$S$1)</f>
        <v>126.366666666667</v>
      </c>
      <c r="U3002" s="231" t="n">
        <f aca="false">+$I3002</f>
        <v>0</v>
      </c>
      <c r="V3002" s="232" t="str">
        <f aca="false">+PROPER(F3002)</f>
        <v/>
      </c>
    </row>
    <row r="3003" customFormat="false" ht="14.25" hidden="false" customHeight="false" outlineLevel="0" collapsed="false">
      <c r="B3003" s="244"/>
      <c r="C3003" s="245"/>
      <c r="D3003" s="245"/>
      <c r="E3003" s="246"/>
      <c r="F3003" s="246"/>
      <c r="G3003" s="225" t="e">
        <f aca="false">VLOOKUP(B3003,'NIVEL ENERO'!A:F,4,0)</f>
        <v>#N/A</v>
      </c>
      <c r="H3003" s="247"/>
      <c r="I3003" s="247"/>
      <c r="J3003" s="246"/>
      <c r="K3003" s="246"/>
      <c r="L3003" s="226"/>
      <c r="M3003" s="226"/>
      <c r="N3003" s="246"/>
      <c r="P3003" s="228"/>
      <c r="Q3003" s="245"/>
      <c r="R3003" s="186" t="str">
        <f aca="false">+PROPER(C3003&amp;" "&amp;D3003)</f>
        <v> </v>
      </c>
      <c r="S3003" s="230" t="n">
        <f aca="false">+YEARFRAC(L3003,$S$1)</f>
        <v>126.366666666667</v>
      </c>
      <c r="T3003" s="230" t="n">
        <f aca="false">+YEARFRAC(M3003,$S$1)</f>
        <v>126.366666666667</v>
      </c>
      <c r="U3003" s="231" t="n">
        <f aca="false">+$I3003</f>
        <v>0</v>
      </c>
      <c r="V3003" s="232" t="str">
        <f aca="false">+PROPER(F3003)</f>
        <v/>
      </c>
    </row>
    <row r="3004" customFormat="false" ht="14.25" hidden="false" customHeight="false" outlineLevel="0" collapsed="false">
      <c r="B3004" s="244"/>
      <c r="C3004" s="245"/>
      <c r="D3004" s="245"/>
      <c r="E3004" s="246"/>
      <c r="F3004" s="246"/>
      <c r="G3004" s="225" t="e">
        <f aca="false">VLOOKUP(B3004,'NIVEL ENERO'!A:F,4,0)</f>
        <v>#N/A</v>
      </c>
      <c r="H3004" s="247"/>
      <c r="I3004" s="247"/>
      <c r="J3004" s="246"/>
      <c r="K3004" s="246"/>
      <c r="L3004" s="226"/>
      <c r="M3004" s="226"/>
      <c r="N3004" s="246"/>
      <c r="P3004" s="228"/>
      <c r="Q3004" s="245"/>
      <c r="R3004" s="186" t="str">
        <f aca="false">+PROPER(C3004&amp;" "&amp;D3004)</f>
        <v> </v>
      </c>
      <c r="S3004" s="230" t="n">
        <f aca="false">+YEARFRAC(L3004,$S$1)</f>
        <v>126.366666666667</v>
      </c>
      <c r="T3004" s="230" t="n">
        <f aca="false">+YEARFRAC(M3004,$S$1)</f>
        <v>126.366666666667</v>
      </c>
      <c r="U3004" s="231" t="n">
        <f aca="false">+$I3004</f>
        <v>0</v>
      </c>
      <c r="V3004" s="232" t="str">
        <f aca="false">+PROPER(F3004)</f>
        <v/>
      </c>
    </row>
    <row r="3005" customFormat="false" ht="14.25" hidden="false" customHeight="false" outlineLevel="0" collapsed="false">
      <c r="B3005" s="244"/>
      <c r="C3005" s="245"/>
      <c r="D3005" s="245"/>
      <c r="E3005" s="246"/>
      <c r="F3005" s="246"/>
      <c r="G3005" s="225" t="e">
        <f aca="false">VLOOKUP(B3005,'NIVEL ENERO'!A:F,4,0)</f>
        <v>#N/A</v>
      </c>
      <c r="H3005" s="247"/>
      <c r="I3005" s="247"/>
      <c r="J3005" s="246"/>
      <c r="K3005" s="246"/>
      <c r="L3005" s="226"/>
      <c r="M3005" s="226"/>
      <c r="N3005" s="246"/>
      <c r="P3005" s="228"/>
      <c r="Q3005" s="245"/>
      <c r="R3005" s="186" t="str">
        <f aca="false">+PROPER(C3005&amp;" "&amp;D3005)</f>
        <v> </v>
      </c>
      <c r="S3005" s="230" t="n">
        <f aca="false">+YEARFRAC(L3005,$S$1)</f>
        <v>126.366666666667</v>
      </c>
      <c r="T3005" s="230" t="n">
        <f aca="false">+YEARFRAC(M3005,$S$1)</f>
        <v>126.366666666667</v>
      </c>
      <c r="U3005" s="231" t="n">
        <f aca="false">+$I3005</f>
        <v>0</v>
      </c>
      <c r="V3005" s="232" t="str">
        <f aca="false">+PROPER(F3005)</f>
        <v/>
      </c>
    </row>
    <row r="3006" customFormat="false" ht="14.25" hidden="false" customHeight="false" outlineLevel="0" collapsed="false">
      <c r="B3006" s="244"/>
      <c r="C3006" s="245"/>
      <c r="D3006" s="245"/>
      <c r="E3006" s="246"/>
      <c r="F3006" s="246"/>
      <c r="G3006" s="225" t="e">
        <f aca="false">VLOOKUP(B3006,'NIVEL ENERO'!A:F,4,0)</f>
        <v>#N/A</v>
      </c>
      <c r="H3006" s="247"/>
      <c r="I3006" s="247"/>
      <c r="J3006" s="246"/>
      <c r="K3006" s="246"/>
      <c r="L3006" s="226"/>
      <c r="M3006" s="226"/>
      <c r="N3006" s="246"/>
      <c r="P3006" s="228"/>
      <c r="Q3006" s="245"/>
      <c r="R3006" s="186" t="str">
        <f aca="false">+PROPER(C3006&amp;" "&amp;D3006)</f>
        <v> </v>
      </c>
      <c r="S3006" s="230" t="n">
        <f aca="false">+YEARFRAC(L3006,$S$1)</f>
        <v>126.366666666667</v>
      </c>
      <c r="T3006" s="230" t="n">
        <f aca="false">+YEARFRAC(M3006,$S$1)</f>
        <v>126.366666666667</v>
      </c>
      <c r="U3006" s="231" t="n">
        <f aca="false">+$I3006</f>
        <v>0</v>
      </c>
      <c r="V3006" s="232" t="str">
        <f aca="false">+PROPER(F3006)</f>
        <v/>
      </c>
    </row>
    <row r="3007" customFormat="false" ht="14.25" hidden="false" customHeight="false" outlineLevel="0" collapsed="false">
      <c r="B3007" s="244"/>
      <c r="C3007" s="245"/>
      <c r="D3007" s="245"/>
      <c r="E3007" s="246"/>
      <c r="F3007" s="246"/>
      <c r="G3007" s="225" t="e">
        <f aca="false">VLOOKUP(B3007,'NIVEL ENERO'!A:F,4,0)</f>
        <v>#N/A</v>
      </c>
      <c r="H3007" s="247"/>
      <c r="I3007" s="247"/>
      <c r="J3007" s="246"/>
      <c r="K3007" s="246"/>
      <c r="L3007" s="226"/>
      <c r="M3007" s="226"/>
      <c r="N3007" s="246"/>
      <c r="P3007" s="228"/>
      <c r="Q3007" s="245"/>
      <c r="R3007" s="186" t="str">
        <f aca="false">+PROPER(C3007&amp;" "&amp;D3007)</f>
        <v> </v>
      </c>
      <c r="S3007" s="230" t="n">
        <f aca="false">+YEARFRAC(L3007,$S$1)</f>
        <v>126.366666666667</v>
      </c>
      <c r="T3007" s="230" t="n">
        <f aca="false">+YEARFRAC(M3007,$S$1)</f>
        <v>126.366666666667</v>
      </c>
      <c r="U3007" s="231" t="n">
        <f aca="false">+$I3007</f>
        <v>0</v>
      </c>
      <c r="V3007" s="232" t="str">
        <f aca="false">+PROPER(F3007)</f>
        <v/>
      </c>
    </row>
    <row r="3008" customFormat="false" ht="14.25" hidden="false" customHeight="false" outlineLevel="0" collapsed="false">
      <c r="B3008" s="244"/>
      <c r="C3008" s="245"/>
      <c r="D3008" s="245"/>
      <c r="E3008" s="246"/>
      <c r="F3008" s="246"/>
      <c r="G3008" s="225" t="e">
        <f aca="false">VLOOKUP(B3008,'NIVEL ENERO'!A:F,4,0)</f>
        <v>#N/A</v>
      </c>
      <c r="H3008" s="247"/>
      <c r="I3008" s="247"/>
      <c r="J3008" s="246"/>
      <c r="K3008" s="246"/>
      <c r="L3008" s="226"/>
      <c r="M3008" s="226"/>
      <c r="N3008" s="246"/>
      <c r="P3008" s="228"/>
      <c r="Q3008" s="245"/>
      <c r="R3008" s="186" t="str">
        <f aca="false">+PROPER(C3008&amp;" "&amp;D3008)</f>
        <v> </v>
      </c>
      <c r="S3008" s="230" t="n">
        <f aca="false">+YEARFRAC(L3008,$S$1)</f>
        <v>126.366666666667</v>
      </c>
      <c r="T3008" s="230" t="n">
        <f aca="false">+YEARFRAC(M3008,$S$1)</f>
        <v>126.366666666667</v>
      </c>
      <c r="U3008" s="231" t="n">
        <f aca="false">+$I3008</f>
        <v>0</v>
      </c>
      <c r="V3008" s="232" t="str">
        <f aca="false">+PROPER(F3008)</f>
        <v/>
      </c>
    </row>
    <row r="3009" customFormat="false" ht="14.25" hidden="false" customHeight="false" outlineLevel="0" collapsed="false">
      <c r="B3009" s="244"/>
      <c r="C3009" s="245"/>
      <c r="D3009" s="245"/>
      <c r="E3009" s="246"/>
      <c r="F3009" s="246"/>
      <c r="G3009" s="225" t="e">
        <f aca="false">VLOOKUP(B3009,'NIVEL ENERO'!A:F,4,0)</f>
        <v>#N/A</v>
      </c>
      <c r="H3009" s="247"/>
      <c r="I3009" s="247"/>
      <c r="J3009" s="246"/>
      <c r="K3009" s="246"/>
      <c r="L3009" s="226"/>
      <c r="M3009" s="226"/>
      <c r="N3009" s="246"/>
      <c r="P3009" s="228"/>
      <c r="Q3009" s="245"/>
      <c r="R3009" s="186" t="str">
        <f aca="false">+PROPER(C3009&amp;" "&amp;D3009)</f>
        <v> </v>
      </c>
      <c r="S3009" s="230" t="n">
        <f aca="false">+YEARFRAC(L3009,$S$1)</f>
        <v>126.366666666667</v>
      </c>
      <c r="T3009" s="230" t="n">
        <f aca="false">+YEARFRAC(M3009,$S$1)</f>
        <v>126.366666666667</v>
      </c>
      <c r="U3009" s="231" t="n">
        <f aca="false">+$I3009</f>
        <v>0</v>
      </c>
      <c r="V3009" s="232" t="str">
        <f aca="false">+PROPER(F3009)</f>
        <v/>
      </c>
    </row>
    <row r="3010" customFormat="false" ht="14.25" hidden="false" customHeight="false" outlineLevel="0" collapsed="false">
      <c r="B3010" s="244"/>
      <c r="C3010" s="245"/>
      <c r="D3010" s="245"/>
      <c r="E3010" s="246"/>
      <c r="F3010" s="246"/>
      <c r="G3010" s="225" t="e">
        <f aca="false">VLOOKUP(B3010,'NIVEL ENERO'!A:F,4,0)</f>
        <v>#N/A</v>
      </c>
      <c r="H3010" s="247"/>
      <c r="I3010" s="247"/>
      <c r="J3010" s="246"/>
      <c r="K3010" s="246"/>
      <c r="L3010" s="226"/>
      <c r="M3010" s="226"/>
      <c r="N3010" s="246"/>
      <c r="P3010" s="228"/>
      <c r="Q3010" s="245"/>
      <c r="R3010" s="186" t="str">
        <f aca="false">+PROPER(C3010&amp;" "&amp;D3010)</f>
        <v> </v>
      </c>
      <c r="S3010" s="230" t="n">
        <f aca="false">+YEARFRAC(L3010,$S$1)</f>
        <v>126.366666666667</v>
      </c>
      <c r="T3010" s="230" t="n">
        <f aca="false">+YEARFRAC(M3010,$S$1)</f>
        <v>126.366666666667</v>
      </c>
      <c r="U3010" s="231" t="n">
        <f aca="false">+$I3010</f>
        <v>0</v>
      </c>
      <c r="V3010" s="232" t="str">
        <f aca="false">+PROPER(F3010)</f>
        <v/>
      </c>
    </row>
    <row r="3011" customFormat="false" ht="14.25" hidden="false" customHeight="false" outlineLevel="0" collapsed="false">
      <c r="B3011" s="244"/>
      <c r="C3011" s="245"/>
      <c r="D3011" s="245"/>
      <c r="E3011" s="246"/>
      <c r="F3011" s="246"/>
      <c r="G3011" s="225" t="e">
        <f aca="false">VLOOKUP(B3011,'NIVEL ENERO'!A:F,4,0)</f>
        <v>#N/A</v>
      </c>
      <c r="H3011" s="247"/>
      <c r="I3011" s="247"/>
      <c r="J3011" s="246"/>
      <c r="K3011" s="246"/>
      <c r="L3011" s="226"/>
      <c r="M3011" s="226"/>
      <c r="N3011" s="246"/>
      <c r="P3011" s="228"/>
      <c r="Q3011" s="245"/>
      <c r="R3011" s="186" t="str">
        <f aca="false">+PROPER(C3011&amp;" "&amp;D3011)</f>
        <v> </v>
      </c>
      <c r="S3011" s="230" t="n">
        <f aca="false">+YEARFRAC(L3011,$S$1)</f>
        <v>126.366666666667</v>
      </c>
      <c r="T3011" s="230" t="n">
        <f aca="false">+YEARFRAC(M3011,$S$1)</f>
        <v>126.366666666667</v>
      </c>
      <c r="U3011" s="231" t="n">
        <f aca="false">+$I3011</f>
        <v>0</v>
      </c>
      <c r="V3011" s="232" t="str">
        <f aca="false">+PROPER(F3011)</f>
        <v/>
      </c>
    </row>
    <row r="3012" customFormat="false" ht="14.25" hidden="false" customHeight="false" outlineLevel="0" collapsed="false">
      <c r="B3012" s="244"/>
      <c r="C3012" s="245"/>
      <c r="D3012" s="245"/>
      <c r="E3012" s="246"/>
      <c r="F3012" s="246"/>
      <c r="G3012" s="225" t="e">
        <f aca="false">VLOOKUP(B3012,'NIVEL ENERO'!A:F,4,0)</f>
        <v>#N/A</v>
      </c>
      <c r="H3012" s="247"/>
      <c r="I3012" s="247"/>
      <c r="J3012" s="246"/>
      <c r="K3012" s="246"/>
      <c r="L3012" s="226"/>
      <c r="M3012" s="226"/>
      <c r="N3012" s="246"/>
      <c r="P3012" s="228"/>
      <c r="Q3012" s="245"/>
      <c r="R3012" s="186" t="str">
        <f aca="false">+PROPER(C3012&amp;" "&amp;D3012)</f>
        <v> </v>
      </c>
      <c r="S3012" s="230" t="n">
        <f aca="false">+YEARFRAC(L3012,$S$1)</f>
        <v>126.366666666667</v>
      </c>
      <c r="T3012" s="230" t="n">
        <f aca="false">+YEARFRAC(M3012,$S$1)</f>
        <v>126.366666666667</v>
      </c>
      <c r="U3012" s="231" t="n">
        <f aca="false">+$I3012</f>
        <v>0</v>
      </c>
      <c r="V3012" s="232" t="str">
        <f aca="false">+PROPER(F3012)</f>
        <v/>
      </c>
    </row>
    <row r="3013" customFormat="false" ht="14.25" hidden="false" customHeight="false" outlineLevel="0" collapsed="false">
      <c r="B3013" s="244"/>
      <c r="C3013" s="245"/>
      <c r="D3013" s="245"/>
      <c r="E3013" s="246"/>
      <c r="F3013" s="246"/>
      <c r="G3013" s="225" t="e">
        <f aca="false">VLOOKUP(B3013,'NIVEL ENERO'!A:F,4,0)</f>
        <v>#N/A</v>
      </c>
      <c r="H3013" s="247"/>
      <c r="I3013" s="247"/>
      <c r="J3013" s="246"/>
      <c r="K3013" s="246"/>
      <c r="L3013" s="226"/>
      <c r="M3013" s="226"/>
      <c r="N3013" s="246"/>
      <c r="P3013" s="228"/>
      <c r="Q3013" s="245"/>
      <c r="R3013" s="186" t="str">
        <f aca="false">+PROPER(C3013&amp;" "&amp;D3013)</f>
        <v> </v>
      </c>
      <c r="S3013" s="230" t="n">
        <f aca="false">+YEARFRAC(L3013,$S$1)</f>
        <v>126.366666666667</v>
      </c>
      <c r="T3013" s="230" t="n">
        <f aca="false">+YEARFRAC(M3013,$S$1)</f>
        <v>126.366666666667</v>
      </c>
      <c r="U3013" s="231" t="n">
        <f aca="false">+$I3013</f>
        <v>0</v>
      </c>
      <c r="V3013" s="232" t="str">
        <f aca="false">+PROPER(F3013)</f>
        <v/>
      </c>
    </row>
    <row r="3014" customFormat="false" ht="14.25" hidden="false" customHeight="false" outlineLevel="0" collapsed="false">
      <c r="B3014" s="244"/>
      <c r="C3014" s="245"/>
      <c r="D3014" s="245"/>
      <c r="E3014" s="246"/>
      <c r="F3014" s="246"/>
      <c r="G3014" s="225" t="e">
        <f aca="false">VLOOKUP(B3014,'NIVEL ENERO'!A:F,4,0)</f>
        <v>#N/A</v>
      </c>
      <c r="H3014" s="247"/>
      <c r="I3014" s="247"/>
      <c r="J3014" s="246"/>
      <c r="K3014" s="246"/>
      <c r="L3014" s="226"/>
      <c r="M3014" s="226"/>
      <c r="N3014" s="246"/>
      <c r="P3014" s="228"/>
      <c r="Q3014" s="245"/>
      <c r="R3014" s="186" t="str">
        <f aca="false">+PROPER(C3014&amp;" "&amp;D3014)</f>
        <v> </v>
      </c>
      <c r="S3014" s="230" t="n">
        <f aca="false">+YEARFRAC(L3014,$S$1)</f>
        <v>126.366666666667</v>
      </c>
      <c r="T3014" s="230" t="n">
        <f aca="false">+YEARFRAC(M3014,$S$1)</f>
        <v>126.366666666667</v>
      </c>
      <c r="U3014" s="231" t="n">
        <f aca="false">+$I3014</f>
        <v>0</v>
      </c>
      <c r="V3014" s="232" t="str">
        <f aca="false">+PROPER(F3014)</f>
        <v/>
      </c>
    </row>
    <row r="3015" customFormat="false" ht="14.25" hidden="false" customHeight="false" outlineLevel="0" collapsed="false">
      <c r="B3015" s="244"/>
      <c r="C3015" s="245"/>
      <c r="D3015" s="245"/>
      <c r="E3015" s="246"/>
      <c r="F3015" s="246"/>
      <c r="G3015" s="225" t="e">
        <f aca="false">VLOOKUP(B3015,'NIVEL ENERO'!A:F,4,0)</f>
        <v>#N/A</v>
      </c>
      <c r="H3015" s="247"/>
      <c r="I3015" s="247"/>
      <c r="J3015" s="246"/>
      <c r="K3015" s="246"/>
      <c r="L3015" s="226"/>
      <c r="M3015" s="226"/>
      <c r="N3015" s="246"/>
      <c r="P3015" s="228"/>
      <c r="Q3015" s="245"/>
      <c r="R3015" s="186" t="str">
        <f aca="false">+PROPER(C3015&amp;" "&amp;D3015)</f>
        <v> </v>
      </c>
      <c r="S3015" s="230" t="n">
        <f aca="false">+YEARFRAC(L3015,$S$1)</f>
        <v>126.366666666667</v>
      </c>
      <c r="T3015" s="230" t="n">
        <f aca="false">+YEARFRAC(M3015,$S$1)</f>
        <v>126.366666666667</v>
      </c>
      <c r="U3015" s="231" t="n">
        <f aca="false">+$I3015</f>
        <v>0</v>
      </c>
      <c r="V3015" s="232" t="str">
        <f aca="false">+PROPER(F3015)</f>
        <v/>
      </c>
    </row>
    <row r="3016" customFormat="false" ht="14.25" hidden="false" customHeight="false" outlineLevel="0" collapsed="false">
      <c r="B3016" s="244"/>
      <c r="C3016" s="245"/>
      <c r="D3016" s="245"/>
      <c r="E3016" s="246"/>
      <c r="F3016" s="246"/>
      <c r="G3016" s="225" t="e">
        <f aca="false">VLOOKUP(B3016,'NIVEL ENERO'!A:F,4,0)</f>
        <v>#N/A</v>
      </c>
      <c r="H3016" s="247"/>
      <c r="I3016" s="247"/>
      <c r="J3016" s="246"/>
      <c r="K3016" s="246"/>
      <c r="L3016" s="226"/>
      <c r="M3016" s="226"/>
      <c r="N3016" s="246"/>
      <c r="P3016" s="228"/>
      <c r="Q3016" s="245"/>
      <c r="R3016" s="186" t="str">
        <f aca="false">+PROPER(C3016&amp;" "&amp;D3016)</f>
        <v> </v>
      </c>
      <c r="S3016" s="230" t="n">
        <f aca="false">+YEARFRAC(L3016,$S$1)</f>
        <v>126.366666666667</v>
      </c>
      <c r="T3016" s="230" t="n">
        <f aca="false">+YEARFRAC(M3016,$S$1)</f>
        <v>126.366666666667</v>
      </c>
      <c r="U3016" s="231" t="n">
        <f aca="false">+$I3016</f>
        <v>0</v>
      </c>
      <c r="V3016" s="232" t="str">
        <f aca="false">+PROPER(F3016)</f>
        <v/>
      </c>
    </row>
    <row r="3017" customFormat="false" ht="14.25" hidden="false" customHeight="false" outlineLevel="0" collapsed="false">
      <c r="B3017" s="244"/>
      <c r="C3017" s="245"/>
      <c r="D3017" s="245"/>
      <c r="E3017" s="246"/>
      <c r="F3017" s="246"/>
      <c r="G3017" s="225" t="e">
        <f aca="false">VLOOKUP(B3017,'NIVEL ENERO'!A:F,4,0)</f>
        <v>#N/A</v>
      </c>
      <c r="H3017" s="247"/>
      <c r="I3017" s="247"/>
      <c r="J3017" s="246"/>
      <c r="K3017" s="246"/>
      <c r="L3017" s="226"/>
      <c r="M3017" s="226"/>
      <c r="N3017" s="246"/>
      <c r="P3017" s="228"/>
      <c r="Q3017" s="245"/>
      <c r="R3017" s="186" t="str">
        <f aca="false">+PROPER(C3017&amp;" "&amp;D3017)</f>
        <v> </v>
      </c>
      <c r="S3017" s="230" t="n">
        <f aca="false">+YEARFRAC(L3017,$S$1)</f>
        <v>126.366666666667</v>
      </c>
      <c r="T3017" s="230" t="n">
        <f aca="false">+YEARFRAC(M3017,$S$1)</f>
        <v>126.366666666667</v>
      </c>
      <c r="U3017" s="231" t="n">
        <f aca="false">+$I3017</f>
        <v>0</v>
      </c>
      <c r="V3017" s="232" t="str">
        <f aca="false">+PROPER(F3017)</f>
        <v/>
      </c>
    </row>
    <row r="3018" customFormat="false" ht="14.25" hidden="false" customHeight="false" outlineLevel="0" collapsed="false">
      <c r="B3018" s="244"/>
      <c r="C3018" s="245"/>
      <c r="D3018" s="245"/>
      <c r="E3018" s="246"/>
      <c r="F3018" s="246"/>
      <c r="G3018" s="225" t="e">
        <f aca="false">VLOOKUP(B3018,'NIVEL ENERO'!A:F,4,0)</f>
        <v>#N/A</v>
      </c>
      <c r="H3018" s="247"/>
      <c r="I3018" s="247"/>
      <c r="J3018" s="246"/>
      <c r="K3018" s="246"/>
      <c r="L3018" s="226"/>
      <c r="M3018" s="226"/>
      <c r="N3018" s="246"/>
      <c r="P3018" s="228"/>
      <c r="Q3018" s="245"/>
      <c r="R3018" s="186" t="str">
        <f aca="false">+PROPER(C3018&amp;" "&amp;D3018)</f>
        <v> </v>
      </c>
      <c r="S3018" s="230" t="n">
        <f aca="false">+YEARFRAC(L3018,$S$1)</f>
        <v>126.366666666667</v>
      </c>
      <c r="T3018" s="230" t="n">
        <f aca="false">+YEARFRAC(M3018,$S$1)</f>
        <v>126.366666666667</v>
      </c>
      <c r="U3018" s="231" t="n">
        <f aca="false">+$I3018</f>
        <v>0</v>
      </c>
      <c r="V3018" s="232" t="str">
        <f aca="false">+PROPER(F3018)</f>
        <v/>
      </c>
    </row>
    <row r="3019" customFormat="false" ht="14.25" hidden="false" customHeight="false" outlineLevel="0" collapsed="false">
      <c r="B3019" s="244"/>
      <c r="C3019" s="245"/>
      <c r="D3019" s="245"/>
      <c r="E3019" s="246"/>
      <c r="F3019" s="246"/>
      <c r="G3019" s="225" t="e">
        <f aca="false">VLOOKUP(B3019,'NIVEL ENERO'!A:F,4,0)</f>
        <v>#N/A</v>
      </c>
      <c r="H3019" s="247"/>
      <c r="I3019" s="247"/>
      <c r="J3019" s="246"/>
      <c r="K3019" s="246"/>
      <c r="L3019" s="226"/>
      <c r="M3019" s="226"/>
      <c r="N3019" s="246"/>
      <c r="P3019" s="228"/>
      <c r="Q3019" s="245"/>
      <c r="R3019" s="186" t="str">
        <f aca="false">+PROPER(C3019&amp;" "&amp;D3019)</f>
        <v> </v>
      </c>
      <c r="S3019" s="230" t="n">
        <f aca="false">+YEARFRAC(L3019,$S$1)</f>
        <v>126.366666666667</v>
      </c>
      <c r="T3019" s="230" t="n">
        <f aca="false">+YEARFRAC(M3019,$S$1)</f>
        <v>126.366666666667</v>
      </c>
      <c r="U3019" s="231" t="n">
        <f aca="false">+$I3019</f>
        <v>0</v>
      </c>
      <c r="V3019" s="232" t="str">
        <f aca="false">+PROPER(F3019)</f>
        <v/>
      </c>
    </row>
    <row r="3020" customFormat="false" ht="14.25" hidden="false" customHeight="false" outlineLevel="0" collapsed="false">
      <c r="B3020" s="244"/>
      <c r="C3020" s="245"/>
      <c r="D3020" s="245"/>
      <c r="E3020" s="246"/>
      <c r="F3020" s="246"/>
      <c r="G3020" s="225" t="e">
        <f aca="false">VLOOKUP(B3020,'NIVEL ENERO'!A:F,4,0)</f>
        <v>#N/A</v>
      </c>
      <c r="H3020" s="247"/>
      <c r="I3020" s="247"/>
      <c r="J3020" s="246"/>
      <c r="K3020" s="246"/>
      <c r="L3020" s="226"/>
      <c r="M3020" s="226"/>
      <c r="N3020" s="246"/>
      <c r="P3020" s="228"/>
      <c r="Q3020" s="245"/>
      <c r="R3020" s="186" t="str">
        <f aca="false">+PROPER(C3020&amp;" "&amp;D3020)</f>
        <v> </v>
      </c>
      <c r="S3020" s="230" t="n">
        <f aca="false">+YEARFRAC(L3020,$S$1)</f>
        <v>126.366666666667</v>
      </c>
      <c r="T3020" s="230" t="n">
        <f aca="false">+YEARFRAC(M3020,$S$1)</f>
        <v>126.366666666667</v>
      </c>
      <c r="U3020" s="231" t="n">
        <f aca="false">+$I3020</f>
        <v>0</v>
      </c>
      <c r="V3020" s="232" t="str">
        <f aca="false">+PROPER(F3020)</f>
        <v/>
      </c>
    </row>
    <row r="3021" customFormat="false" ht="14.25" hidden="false" customHeight="false" outlineLevel="0" collapsed="false">
      <c r="B3021" s="244"/>
      <c r="C3021" s="245"/>
      <c r="D3021" s="245"/>
      <c r="E3021" s="246"/>
      <c r="F3021" s="246"/>
      <c r="G3021" s="225" t="e">
        <f aca="false">VLOOKUP(B3021,'NIVEL ENERO'!A:F,4,0)</f>
        <v>#N/A</v>
      </c>
      <c r="H3021" s="247"/>
      <c r="I3021" s="247"/>
      <c r="J3021" s="246"/>
      <c r="K3021" s="246"/>
      <c r="L3021" s="226"/>
      <c r="M3021" s="226"/>
      <c r="N3021" s="246"/>
      <c r="P3021" s="228"/>
      <c r="Q3021" s="245"/>
      <c r="R3021" s="186" t="str">
        <f aca="false">+PROPER(C3021&amp;" "&amp;D3021)</f>
        <v> </v>
      </c>
      <c r="S3021" s="230" t="n">
        <f aca="false">+YEARFRAC(L3021,$S$1)</f>
        <v>126.366666666667</v>
      </c>
      <c r="T3021" s="230" t="n">
        <f aca="false">+YEARFRAC(M3021,$S$1)</f>
        <v>126.366666666667</v>
      </c>
      <c r="U3021" s="231" t="n">
        <f aca="false">+$I3021</f>
        <v>0</v>
      </c>
      <c r="V3021" s="232" t="str">
        <f aca="false">+PROPER(F3021)</f>
        <v/>
      </c>
    </row>
    <row r="3022" customFormat="false" ht="14.25" hidden="false" customHeight="false" outlineLevel="0" collapsed="false">
      <c r="B3022" s="244"/>
      <c r="C3022" s="245"/>
      <c r="D3022" s="245"/>
      <c r="E3022" s="246"/>
      <c r="F3022" s="246"/>
      <c r="G3022" s="225" t="e">
        <f aca="false">VLOOKUP(B3022,'NIVEL ENERO'!A:F,4,0)</f>
        <v>#N/A</v>
      </c>
      <c r="H3022" s="247"/>
      <c r="I3022" s="247"/>
      <c r="J3022" s="246"/>
      <c r="K3022" s="246"/>
      <c r="L3022" s="226"/>
      <c r="M3022" s="226"/>
      <c r="N3022" s="246"/>
      <c r="P3022" s="228"/>
      <c r="Q3022" s="245"/>
      <c r="R3022" s="186" t="str">
        <f aca="false">+PROPER(C3022&amp;" "&amp;D3022)</f>
        <v> </v>
      </c>
      <c r="S3022" s="230" t="n">
        <f aca="false">+YEARFRAC(L3022,$S$1)</f>
        <v>126.366666666667</v>
      </c>
      <c r="T3022" s="230" t="n">
        <f aca="false">+YEARFRAC(M3022,$S$1)</f>
        <v>126.366666666667</v>
      </c>
      <c r="U3022" s="231" t="n">
        <f aca="false">+$I3022</f>
        <v>0</v>
      </c>
      <c r="V3022" s="232" t="str">
        <f aca="false">+PROPER(F3022)</f>
        <v/>
      </c>
    </row>
    <row r="3023" customFormat="false" ht="14.25" hidden="false" customHeight="false" outlineLevel="0" collapsed="false">
      <c r="B3023" s="244"/>
      <c r="C3023" s="245"/>
      <c r="D3023" s="245"/>
      <c r="E3023" s="246"/>
      <c r="F3023" s="246"/>
      <c r="G3023" s="225" t="e">
        <f aca="false">VLOOKUP(B3023,'NIVEL ENERO'!A:F,4,0)</f>
        <v>#N/A</v>
      </c>
      <c r="H3023" s="247"/>
      <c r="I3023" s="247"/>
      <c r="J3023" s="246"/>
      <c r="K3023" s="246"/>
      <c r="L3023" s="226"/>
      <c r="M3023" s="226"/>
      <c r="N3023" s="246"/>
      <c r="P3023" s="228"/>
      <c r="Q3023" s="245"/>
      <c r="R3023" s="186" t="str">
        <f aca="false">+PROPER(C3023&amp;" "&amp;D3023)</f>
        <v> </v>
      </c>
      <c r="S3023" s="230" t="n">
        <f aca="false">+YEARFRAC(L3023,$S$1)</f>
        <v>126.366666666667</v>
      </c>
      <c r="T3023" s="230" t="n">
        <f aca="false">+YEARFRAC(M3023,$S$1)</f>
        <v>126.366666666667</v>
      </c>
      <c r="U3023" s="231" t="n">
        <f aca="false">+$I3023</f>
        <v>0</v>
      </c>
      <c r="V3023" s="232" t="str">
        <f aca="false">+PROPER(F3023)</f>
        <v/>
      </c>
    </row>
    <row r="3024" customFormat="false" ht="14.25" hidden="false" customHeight="false" outlineLevel="0" collapsed="false">
      <c r="B3024" s="244"/>
      <c r="C3024" s="245"/>
      <c r="D3024" s="245"/>
      <c r="E3024" s="246"/>
      <c r="F3024" s="246"/>
      <c r="G3024" s="225" t="e">
        <f aca="false">VLOOKUP(B3024,'NIVEL ENERO'!A:F,4,0)</f>
        <v>#N/A</v>
      </c>
      <c r="H3024" s="247"/>
      <c r="I3024" s="247"/>
      <c r="J3024" s="246"/>
      <c r="K3024" s="246"/>
      <c r="L3024" s="226"/>
      <c r="M3024" s="226"/>
      <c r="N3024" s="246"/>
      <c r="P3024" s="228"/>
      <c r="Q3024" s="245"/>
      <c r="R3024" s="186" t="str">
        <f aca="false">+PROPER(C3024&amp;" "&amp;D3024)</f>
        <v> </v>
      </c>
      <c r="S3024" s="230" t="n">
        <f aca="false">+YEARFRAC(L3024,$S$1)</f>
        <v>126.366666666667</v>
      </c>
      <c r="T3024" s="230" t="n">
        <f aca="false">+YEARFRAC(M3024,$S$1)</f>
        <v>126.366666666667</v>
      </c>
      <c r="U3024" s="231" t="n">
        <f aca="false">+$I3024</f>
        <v>0</v>
      </c>
      <c r="V3024" s="232" t="str">
        <f aca="false">+PROPER(F3024)</f>
        <v/>
      </c>
    </row>
    <row r="3025" customFormat="false" ht="14.25" hidden="false" customHeight="false" outlineLevel="0" collapsed="false">
      <c r="B3025" s="244"/>
      <c r="C3025" s="245"/>
      <c r="D3025" s="245"/>
      <c r="E3025" s="246"/>
      <c r="F3025" s="246"/>
      <c r="G3025" s="225" t="e">
        <f aca="false">VLOOKUP(B3025,'NIVEL ENERO'!A:F,4,0)</f>
        <v>#N/A</v>
      </c>
      <c r="H3025" s="247"/>
      <c r="I3025" s="247"/>
      <c r="J3025" s="246"/>
      <c r="K3025" s="246"/>
      <c r="L3025" s="226"/>
      <c r="M3025" s="226"/>
      <c r="N3025" s="246"/>
      <c r="P3025" s="228"/>
      <c r="Q3025" s="245"/>
      <c r="R3025" s="186" t="str">
        <f aca="false">+PROPER(C3025&amp;" "&amp;D3025)</f>
        <v> </v>
      </c>
      <c r="S3025" s="230" t="n">
        <f aca="false">+YEARFRAC(L3025,$S$1)</f>
        <v>126.366666666667</v>
      </c>
      <c r="T3025" s="230" t="n">
        <f aca="false">+YEARFRAC(M3025,$S$1)</f>
        <v>126.366666666667</v>
      </c>
      <c r="U3025" s="231" t="n">
        <f aca="false">+$I3025</f>
        <v>0</v>
      </c>
      <c r="V3025" s="232" t="str">
        <f aca="false">+PROPER(F3025)</f>
        <v/>
      </c>
    </row>
    <row r="3026" customFormat="false" ht="14.25" hidden="false" customHeight="false" outlineLevel="0" collapsed="false">
      <c r="B3026" s="244"/>
      <c r="C3026" s="245"/>
      <c r="D3026" s="245"/>
      <c r="E3026" s="246"/>
      <c r="F3026" s="246"/>
      <c r="G3026" s="225" t="e">
        <f aca="false">VLOOKUP(B3026,'NIVEL ENERO'!A:F,4,0)</f>
        <v>#N/A</v>
      </c>
      <c r="H3026" s="247"/>
      <c r="I3026" s="247"/>
      <c r="J3026" s="246"/>
      <c r="K3026" s="246"/>
      <c r="L3026" s="226"/>
      <c r="M3026" s="226"/>
      <c r="N3026" s="246"/>
      <c r="P3026" s="228"/>
      <c r="Q3026" s="245"/>
      <c r="R3026" s="186" t="str">
        <f aca="false">+PROPER(C3026&amp;" "&amp;D3026)</f>
        <v> </v>
      </c>
      <c r="S3026" s="230" t="n">
        <f aca="false">+YEARFRAC(L3026,$S$1)</f>
        <v>126.366666666667</v>
      </c>
      <c r="T3026" s="230" t="n">
        <f aca="false">+YEARFRAC(M3026,$S$1)</f>
        <v>126.366666666667</v>
      </c>
      <c r="U3026" s="231" t="n">
        <f aca="false">+$I3026</f>
        <v>0</v>
      </c>
      <c r="V3026" s="232" t="str">
        <f aca="false">+PROPER(F3026)</f>
        <v/>
      </c>
    </row>
    <row r="3027" customFormat="false" ht="14.25" hidden="false" customHeight="false" outlineLevel="0" collapsed="false">
      <c r="B3027" s="244"/>
      <c r="C3027" s="245"/>
      <c r="D3027" s="245"/>
      <c r="E3027" s="246"/>
      <c r="F3027" s="246"/>
      <c r="G3027" s="225" t="e">
        <f aca="false">VLOOKUP(B3027,'NIVEL ENERO'!A:F,4,0)</f>
        <v>#N/A</v>
      </c>
      <c r="H3027" s="247"/>
      <c r="I3027" s="247"/>
      <c r="J3027" s="246"/>
      <c r="K3027" s="246"/>
      <c r="L3027" s="226"/>
      <c r="M3027" s="226"/>
      <c r="N3027" s="246"/>
      <c r="P3027" s="228"/>
      <c r="Q3027" s="245"/>
      <c r="R3027" s="186" t="str">
        <f aca="false">+PROPER(C3027&amp;" "&amp;D3027)</f>
        <v> </v>
      </c>
      <c r="S3027" s="230" t="n">
        <f aca="false">+YEARFRAC(L3027,$S$1)</f>
        <v>126.366666666667</v>
      </c>
      <c r="T3027" s="230" t="n">
        <f aca="false">+YEARFRAC(M3027,$S$1)</f>
        <v>126.366666666667</v>
      </c>
      <c r="U3027" s="231" t="n">
        <f aca="false">+$I3027</f>
        <v>0</v>
      </c>
      <c r="V3027" s="232" t="str">
        <f aca="false">+PROPER(F3027)</f>
        <v/>
      </c>
    </row>
    <row r="3028" customFormat="false" ht="14.25" hidden="false" customHeight="false" outlineLevel="0" collapsed="false">
      <c r="B3028" s="244"/>
      <c r="C3028" s="245"/>
      <c r="D3028" s="245"/>
      <c r="E3028" s="246"/>
      <c r="F3028" s="246"/>
      <c r="G3028" s="225" t="e">
        <f aca="false">VLOOKUP(B3028,'NIVEL ENERO'!A:F,4,0)</f>
        <v>#N/A</v>
      </c>
      <c r="H3028" s="247"/>
      <c r="I3028" s="247"/>
      <c r="J3028" s="246"/>
      <c r="K3028" s="246"/>
      <c r="L3028" s="226"/>
      <c r="M3028" s="226"/>
      <c r="N3028" s="246"/>
      <c r="P3028" s="228"/>
      <c r="Q3028" s="245"/>
      <c r="R3028" s="186" t="str">
        <f aca="false">+PROPER(C3028&amp;" "&amp;D3028)</f>
        <v> </v>
      </c>
      <c r="S3028" s="230" t="n">
        <f aca="false">+YEARFRAC(L3028,$S$1)</f>
        <v>126.366666666667</v>
      </c>
      <c r="T3028" s="230" t="n">
        <f aca="false">+YEARFRAC(M3028,$S$1)</f>
        <v>126.366666666667</v>
      </c>
      <c r="U3028" s="231" t="n">
        <f aca="false">+$I3028</f>
        <v>0</v>
      </c>
      <c r="V3028" s="232" t="str">
        <f aca="false">+PROPER(F3028)</f>
        <v/>
      </c>
    </row>
    <row r="3029" customFormat="false" ht="14.25" hidden="false" customHeight="false" outlineLevel="0" collapsed="false">
      <c r="B3029" s="244"/>
      <c r="C3029" s="245"/>
      <c r="D3029" s="245"/>
      <c r="E3029" s="246"/>
      <c r="F3029" s="246"/>
      <c r="G3029" s="225" t="e">
        <f aca="false">VLOOKUP(B3029,'NIVEL ENERO'!A:F,4,0)</f>
        <v>#N/A</v>
      </c>
      <c r="H3029" s="247"/>
      <c r="I3029" s="247"/>
      <c r="J3029" s="246"/>
      <c r="K3029" s="246"/>
      <c r="L3029" s="226"/>
      <c r="M3029" s="226"/>
      <c r="N3029" s="246"/>
      <c r="P3029" s="228"/>
      <c r="Q3029" s="245"/>
      <c r="R3029" s="186" t="str">
        <f aca="false">+PROPER(C3029&amp;" "&amp;D3029)</f>
        <v> </v>
      </c>
      <c r="S3029" s="230" t="n">
        <f aca="false">+YEARFRAC(L3029,$S$1)</f>
        <v>126.366666666667</v>
      </c>
      <c r="T3029" s="230" t="n">
        <f aca="false">+YEARFRAC(M3029,$S$1)</f>
        <v>126.366666666667</v>
      </c>
      <c r="U3029" s="231" t="n">
        <f aca="false">+$I3029</f>
        <v>0</v>
      </c>
      <c r="V3029" s="232" t="str">
        <f aca="false">+PROPER(F3029)</f>
        <v/>
      </c>
    </row>
    <row r="3030" customFormat="false" ht="14.25" hidden="false" customHeight="false" outlineLevel="0" collapsed="false">
      <c r="B3030" s="244"/>
      <c r="C3030" s="245"/>
      <c r="D3030" s="245"/>
      <c r="E3030" s="246"/>
      <c r="F3030" s="246"/>
      <c r="G3030" s="225" t="e">
        <f aca="false">VLOOKUP(B3030,'NIVEL ENERO'!A:F,4,0)</f>
        <v>#N/A</v>
      </c>
      <c r="H3030" s="247"/>
      <c r="I3030" s="247"/>
      <c r="J3030" s="246"/>
      <c r="K3030" s="246"/>
      <c r="L3030" s="226"/>
      <c r="M3030" s="226"/>
      <c r="N3030" s="246"/>
      <c r="P3030" s="228"/>
      <c r="Q3030" s="245"/>
      <c r="R3030" s="186" t="str">
        <f aca="false">+PROPER(C3030&amp;" "&amp;D3030)</f>
        <v> </v>
      </c>
      <c r="S3030" s="230" t="n">
        <f aca="false">+YEARFRAC(L3030,$S$1)</f>
        <v>126.366666666667</v>
      </c>
      <c r="T3030" s="230" t="n">
        <f aca="false">+YEARFRAC(M3030,$S$1)</f>
        <v>126.366666666667</v>
      </c>
      <c r="U3030" s="231" t="n">
        <f aca="false">+$I3030</f>
        <v>0</v>
      </c>
      <c r="V3030" s="232" t="str">
        <f aca="false">+PROPER(F3030)</f>
        <v/>
      </c>
    </row>
    <row r="3031" customFormat="false" ht="14.25" hidden="false" customHeight="false" outlineLevel="0" collapsed="false">
      <c r="B3031" s="244"/>
      <c r="C3031" s="245"/>
      <c r="D3031" s="245"/>
      <c r="E3031" s="246"/>
      <c r="F3031" s="246"/>
      <c r="G3031" s="225" t="e">
        <f aca="false">VLOOKUP(B3031,'NIVEL ENERO'!A:F,4,0)</f>
        <v>#N/A</v>
      </c>
      <c r="H3031" s="247"/>
      <c r="I3031" s="247"/>
      <c r="J3031" s="246"/>
      <c r="K3031" s="246"/>
      <c r="L3031" s="226"/>
      <c r="M3031" s="226"/>
      <c r="N3031" s="246"/>
      <c r="P3031" s="228"/>
      <c r="Q3031" s="245"/>
      <c r="R3031" s="186" t="str">
        <f aca="false">+PROPER(C3031&amp;" "&amp;D3031)</f>
        <v> </v>
      </c>
      <c r="S3031" s="230" t="n">
        <f aca="false">+YEARFRAC(L3031,$S$1)</f>
        <v>126.366666666667</v>
      </c>
      <c r="T3031" s="230" t="n">
        <f aca="false">+YEARFRAC(M3031,$S$1)</f>
        <v>126.366666666667</v>
      </c>
      <c r="U3031" s="231" t="n">
        <f aca="false">+$I3031</f>
        <v>0</v>
      </c>
      <c r="V3031" s="232" t="str">
        <f aca="false">+PROPER(F3031)</f>
        <v/>
      </c>
    </row>
    <row r="3032" customFormat="false" ht="14.25" hidden="false" customHeight="false" outlineLevel="0" collapsed="false">
      <c r="B3032" s="244"/>
      <c r="C3032" s="245"/>
      <c r="D3032" s="245"/>
      <c r="E3032" s="246"/>
      <c r="F3032" s="246"/>
      <c r="G3032" s="225" t="e">
        <f aca="false">VLOOKUP(B3032,'NIVEL ENERO'!A:F,4,0)</f>
        <v>#N/A</v>
      </c>
      <c r="H3032" s="247"/>
      <c r="I3032" s="247"/>
      <c r="J3032" s="246"/>
      <c r="K3032" s="246"/>
      <c r="L3032" s="226"/>
      <c r="M3032" s="226"/>
      <c r="N3032" s="246"/>
      <c r="P3032" s="228"/>
      <c r="Q3032" s="245"/>
      <c r="R3032" s="186" t="str">
        <f aca="false">+PROPER(C3032&amp;" "&amp;D3032)</f>
        <v> </v>
      </c>
      <c r="S3032" s="230" t="n">
        <f aca="false">+YEARFRAC(L3032,$S$1)</f>
        <v>126.366666666667</v>
      </c>
      <c r="T3032" s="230" t="n">
        <f aca="false">+YEARFRAC(M3032,$S$1)</f>
        <v>126.366666666667</v>
      </c>
      <c r="U3032" s="231" t="n">
        <f aca="false">+$I3032</f>
        <v>0</v>
      </c>
      <c r="V3032" s="232" t="str">
        <f aca="false">+PROPER(F3032)</f>
        <v/>
      </c>
    </row>
    <row r="3033" customFormat="false" ht="14.25" hidden="false" customHeight="false" outlineLevel="0" collapsed="false">
      <c r="B3033" s="244"/>
      <c r="C3033" s="245"/>
      <c r="D3033" s="245"/>
      <c r="E3033" s="246"/>
      <c r="F3033" s="246"/>
      <c r="G3033" s="225" t="e">
        <f aca="false">VLOOKUP(B3033,'NIVEL ENERO'!A:F,4,0)</f>
        <v>#N/A</v>
      </c>
      <c r="H3033" s="247"/>
      <c r="I3033" s="247"/>
      <c r="J3033" s="246"/>
      <c r="K3033" s="246"/>
      <c r="L3033" s="226"/>
      <c r="M3033" s="226"/>
      <c r="N3033" s="246"/>
      <c r="P3033" s="228"/>
      <c r="Q3033" s="245"/>
      <c r="R3033" s="186" t="str">
        <f aca="false">+PROPER(C3033&amp;" "&amp;D3033)</f>
        <v> </v>
      </c>
      <c r="S3033" s="230" t="n">
        <f aca="false">+YEARFRAC(L3033,$S$1)</f>
        <v>126.366666666667</v>
      </c>
      <c r="T3033" s="230" t="n">
        <f aca="false">+YEARFRAC(M3033,$S$1)</f>
        <v>126.366666666667</v>
      </c>
      <c r="U3033" s="231" t="n">
        <f aca="false">+$I3033</f>
        <v>0</v>
      </c>
      <c r="V3033" s="232" t="str">
        <f aca="false">+PROPER(F3033)</f>
        <v/>
      </c>
    </row>
    <row r="3034" customFormat="false" ht="14.25" hidden="false" customHeight="false" outlineLevel="0" collapsed="false">
      <c r="B3034" s="244"/>
      <c r="C3034" s="245"/>
      <c r="D3034" s="245"/>
      <c r="E3034" s="246"/>
      <c r="F3034" s="246"/>
      <c r="G3034" s="225" t="e">
        <f aca="false">VLOOKUP(B3034,'NIVEL ENERO'!A:F,4,0)</f>
        <v>#N/A</v>
      </c>
      <c r="H3034" s="247"/>
      <c r="I3034" s="247"/>
      <c r="J3034" s="246"/>
      <c r="K3034" s="246"/>
      <c r="L3034" s="226"/>
      <c r="M3034" s="226"/>
      <c r="N3034" s="246"/>
      <c r="P3034" s="228"/>
      <c r="Q3034" s="245"/>
      <c r="R3034" s="186" t="str">
        <f aca="false">+PROPER(C3034&amp;" "&amp;D3034)</f>
        <v> </v>
      </c>
      <c r="S3034" s="230" t="n">
        <f aca="false">+YEARFRAC(L3034,$S$1)</f>
        <v>126.366666666667</v>
      </c>
      <c r="T3034" s="230" t="n">
        <f aca="false">+YEARFRAC(M3034,$S$1)</f>
        <v>126.366666666667</v>
      </c>
      <c r="U3034" s="231" t="n">
        <f aca="false">+$I3034</f>
        <v>0</v>
      </c>
      <c r="V3034" s="232" t="str">
        <f aca="false">+PROPER(F3034)</f>
        <v/>
      </c>
    </row>
    <row r="3035" customFormat="false" ht="14.25" hidden="false" customHeight="false" outlineLevel="0" collapsed="false">
      <c r="B3035" s="244"/>
      <c r="C3035" s="245"/>
      <c r="D3035" s="245"/>
      <c r="E3035" s="246"/>
      <c r="F3035" s="246"/>
      <c r="G3035" s="225" t="e">
        <f aca="false">VLOOKUP(B3035,'NIVEL ENERO'!A:F,4,0)</f>
        <v>#N/A</v>
      </c>
      <c r="H3035" s="247"/>
      <c r="I3035" s="247"/>
      <c r="J3035" s="246"/>
      <c r="K3035" s="246"/>
      <c r="L3035" s="226"/>
      <c r="M3035" s="226"/>
      <c r="N3035" s="246"/>
      <c r="P3035" s="228"/>
      <c r="Q3035" s="245"/>
      <c r="R3035" s="186" t="str">
        <f aca="false">+PROPER(C3035&amp;" "&amp;D3035)</f>
        <v> </v>
      </c>
      <c r="S3035" s="230" t="n">
        <f aca="false">+YEARFRAC(L3035,$S$1)</f>
        <v>126.366666666667</v>
      </c>
      <c r="T3035" s="230" t="n">
        <f aca="false">+YEARFRAC(M3035,$S$1)</f>
        <v>126.366666666667</v>
      </c>
      <c r="U3035" s="231" t="n">
        <f aca="false">+$I3035</f>
        <v>0</v>
      </c>
      <c r="V3035" s="232" t="str">
        <f aca="false">+PROPER(F3035)</f>
        <v/>
      </c>
    </row>
    <row r="3036" customFormat="false" ht="14.25" hidden="false" customHeight="false" outlineLevel="0" collapsed="false">
      <c r="B3036" s="244"/>
      <c r="C3036" s="245"/>
      <c r="D3036" s="245"/>
      <c r="E3036" s="246"/>
      <c r="F3036" s="246"/>
      <c r="G3036" s="225" t="e">
        <f aca="false">VLOOKUP(B3036,'NIVEL ENERO'!A:F,4,0)</f>
        <v>#N/A</v>
      </c>
      <c r="H3036" s="247"/>
      <c r="I3036" s="247"/>
      <c r="J3036" s="246"/>
      <c r="K3036" s="246"/>
      <c r="L3036" s="226"/>
      <c r="M3036" s="226"/>
      <c r="N3036" s="246"/>
      <c r="P3036" s="228"/>
      <c r="Q3036" s="245"/>
      <c r="R3036" s="186" t="str">
        <f aca="false">+PROPER(C3036&amp;" "&amp;D3036)</f>
        <v> </v>
      </c>
      <c r="S3036" s="230" t="n">
        <f aca="false">+YEARFRAC(L3036,$S$1)</f>
        <v>126.366666666667</v>
      </c>
      <c r="T3036" s="230" t="n">
        <f aca="false">+YEARFRAC(M3036,$S$1)</f>
        <v>126.366666666667</v>
      </c>
      <c r="U3036" s="231" t="n">
        <f aca="false">+$I3036</f>
        <v>0</v>
      </c>
      <c r="V3036" s="232" t="str">
        <f aca="false">+PROPER(F3036)</f>
        <v/>
      </c>
    </row>
    <row r="3037" customFormat="false" ht="14.25" hidden="false" customHeight="false" outlineLevel="0" collapsed="false">
      <c r="B3037" s="244"/>
      <c r="C3037" s="245"/>
      <c r="D3037" s="245"/>
      <c r="E3037" s="246"/>
      <c r="F3037" s="246"/>
      <c r="G3037" s="225" t="e">
        <f aca="false">VLOOKUP(B3037,'NIVEL ENERO'!A:F,4,0)</f>
        <v>#N/A</v>
      </c>
      <c r="H3037" s="247"/>
      <c r="I3037" s="247"/>
      <c r="J3037" s="246"/>
      <c r="K3037" s="246"/>
      <c r="L3037" s="226"/>
      <c r="M3037" s="226"/>
      <c r="N3037" s="246"/>
      <c r="P3037" s="228"/>
      <c r="Q3037" s="245"/>
      <c r="R3037" s="186" t="str">
        <f aca="false">+PROPER(C3037&amp;" "&amp;D3037)</f>
        <v> </v>
      </c>
      <c r="S3037" s="230" t="n">
        <f aca="false">+YEARFRAC(L3037,$S$1)</f>
        <v>126.366666666667</v>
      </c>
      <c r="T3037" s="230" t="n">
        <f aca="false">+YEARFRAC(M3037,$S$1)</f>
        <v>126.366666666667</v>
      </c>
      <c r="U3037" s="231" t="n">
        <f aca="false">+$I3037</f>
        <v>0</v>
      </c>
      <c r="V3037" s="232" t="str">
        <f aca="false">+PROPER(F3037)</f>
        <v/>
      </c>
    </row>
    <row r="3038" customFormat="false" ht="14.25" hidden="false" customHeight="false" outlineLevel="0" collapsed="false">
      <c r="B3038" s="244"/>
      <c r="C3038" s="245"/>
      <c r="D3038" s="245"/>
      <c r="E3038" s="246"/>
      <c r="F3038" s="246"/>
      <c r="G3038" s="225" t="e">
        <f aca="false">VLOOKUP(B3038,'NIVEL ENERO'!A:F,4,0)</f>
        <v>#N/A</v>
      </c>
      <c r="H3038" s="247"/>
      <c r="I3038" s="247"/>
      <c r="J3038" s="246"/>
      <c r="K3038" s="246"/>
      <c r="L3038" s="226"/>
      <c r="M3038" s="226"/>
      <c r="N3038" s="246"/>
      <c r="P3038" s="228"/>
      <c r="Q3038" s="245"/>
      <c r="R3038" s="186" t="str">
        <f aca="false">+PROPER(C3038&amp;" "&amp;D3038)</f>
        <v> </v>
      </c>
      <c r="S3038" s="230" t="n">
        <f aca="false">+YEARFRAC(L3038,$S$1)</f>
        <v>126.366666666667</v>
      </c>
      <c r="T3038" s="230" t="n">
        <f aca="false">+YEARFRAC(M3038,$S$1)</f>
        <v>126.366666666667</v>
      </c>
      <c r="U3038" s="231" t="n">
        <f aca="false">+$I3038</f>
        <v>0</v>
      </c>
      <c r="V3038" s="232" t="str">
        <f aca="false">+PROPER(F3038)</f>
        <v/>
      </c>
    </row>
    <row r="3039" customFormat="false" ht="14.25" hidden="false" customHeight="false" outlineLevel="0" collapsed="false">
      <c r="B3039" s="244"/>
      <c r="C3039" s="245"/>
      <c r="D3039" s="245"/>
      <c r="E3039" s="246"/>
      <c r="F3039" s="246"/>
      <c r="G3039" s="225" t="e">
        <f aca="false">VLOOKUP(B3039,'NIVEL ENERO'!A:F,4,0)</f>
        <v>#N/A</v>
      </c>
      <c r="H3039" s="247"/>
      <c r="I3039" s="247"/>
      <c r="J3039" s="246"/>
      <c r="K3039" s="246"/>
      <c r="L3039" s="226"/>
      <c r="M3039" s="226"/>
      <c r="N3039" s="246"/>
      <c r="P3039" s="228"/>
      <c r="Q3039" s="245"/>
      <c r="R3039" s="186" t="str">
        <f aca="false">+PROPER(C3039&amp;" "&amp;D3039)</f>
        <v> </v>
      </c>
      <c r="S3039" s="230" t="n">
        <f aca="false">+YEARFRAC(L3039,$S$1)</f>
        <v>126.366666666667</v>
      </c>
      <c r="T3039" s="230" t="n">
        <f aca="false">+YEARFRAC(M3039,$S$1)</f>
        <v>126.366666666667</v>
      </c>
      <c r="U3039" s="231" t="n">
        <f aca="false">+$I3039</f>
        <v>0</v>
      </c>
      <c r="V3039" s="232" t="str">
        <f aca="false">+PROPER(F3039)</f>
        <v/>
      </c>
    </row>
    <row r="3040" customFormat="false" ht="14.25" hidden="false" customHeight="false" outlineLevel="0" collapsed="false">
      <c r="B3040" s="244"/>
      <c r="C3040" s="245"/>
      <c r="D3040" s="245"/>
      <c r="E3040" s="246"/>
      <c r="F3040" s="246"/>
      <c r="G3040" s="225" t="e">
        <f aca="false">VLOOKUP(B3040,'NIVEL ENERO'!A:F,4,0)</f>
        <v>#N/A</v>
      </c>
      <c r="H3040" s="247"/>
      <c r="I3040" s="247"/>
      <c r="J3040" s="246"/>
      <c r="K3040" s="246"/>
      <c r="L3040" s="226"/>
      <c r="M3040" s="226"/>
      <c r="N3040" s="246"/>
      <c r="P3040" s="228"/>
      <c r="Q3040" s="245"/>
      <c r="R3040" s="186" t="str">
        <f aca="false">+PROPER(C3040&amp;" "&amp;D3040)</f>
        <v> </v>
      </c>
      <c r="S3040" s="230" t="n">
        <f aca="false">+YEARFRAC(L3040,$S$1)</f>
        <v>126.366666666667</v>
      </c>
      <c r="T3040" s="230" t="n">
        <f aca="false">+YEARFRAC(M3040,$S$1)</f>
        <v>126.366666666667</v>
      </c>
      <c r="U3040" s="231" t="n">
        <f aca="false">+$I3040</f>
        <v>0</v>
      </c>
      <c r="V3040" s="232" t="str">
        <f aca="false">+PROPER(F3040)</f>
        <v/>
      </c>
    </row>
    <row r="3041" customFormat="false" ht="14.25" hidden="false" customHeight="false" outlineLevel="0" collapsed="false">
      <c r="B3041" s="244"/>
      <c r="C3041" s="245"/>
      <c r="D3041" s="245"/>
      <c r="E3041" s="246"/>
      <c r="F3041" s="246"/>
      <c r="G3041" s="225" t="e">
        <f aca="false">VLOOKUP(B3041,'NIVEL ENERO'!A:F,4,0)</f>
        <v>#N/A</v>
      </c>
      <c r="H3041" s="247"/>
      <c r="I3041" s="247"/>
      <c r="J3041" s="246"/>
      <c r="K3041" s="246"/>
      <c r="L3041" s="226"/>
      <c r="M3041" s="226"/>
      <c r="N3041" s="246"/>
      <c r="P3041" s="228"/>
      <c r="Q3041" s="245"/>
      <c r="R3041" s="186" t="str">
        <f aca="false">+PROPER(C3041&amp;" "&amp;D3041)</f>
        <v> </v>
      </c>
      <c r="S3041" s="230" t="n">
        <f aca="false">+YEARFRAC(L3041,$S$1)</f>
        <v>126.366666666667</v>
      </c>
      <c r="T3041" s="230" t="n">
        <f aca="false">+YEARFRAC(M3041,$S$1)</f>
        <v>126.366666666667</v>
      </c>
      <c r="U3041" s="231" t="n">
        <f aca="false">+$I3041</f>
        <v>0</v>
      </c>
      <c r="V3041" s="232" t="str">
        <f aca="false">+PROPER(F3041)</f>
        <v/>
      </c>
    </row>
    <row r="3042" customFormat="false" ht="14.25" hidden="false" customHeight="false" outlineLevel="0" collapsed="false">
      <c r="B3042" s="244"/>
      <c r="C3042" s="245"/>
      <c r="D3042" s="245"/>
      <c r="E3042" s="246"/>
      <c r="F3042" s="246"/>
      <c r="G3042" s="225" t="e">
        <f aca="false">VLOOKUP(B3042,'NIVEL ENERO'!A:F,4,0)</f>
        <v>#N/A</v>
      </c>
      <c r="H3042" s="247"/>
      <c r="I3042" s="247"/>
      <c r="J3042" s="246"/>
      <c r="K3042" s="246"/>
      <c r="L3042" s="226"/>
      <c r="M3042" s="226"/>
      <c r="N3042" s="246"/>
      <c r="P3042" s="228"/>
      <c r="Q3042" s="245"/>
      <c r="R3042" s="186" t="str">
        <f aca="false">+PROPER(C3042&amp;" "&amp;D3042)</f>
        <v> </v>
      </c>
      <c r="S3042" s="230" t="n">
        <f aca="false">+YEARFRAC(L3042,$S$1)</f>
        <v>126.366666666667</v>
      </c>
      <c r="T3042" s="230" t="n">
        <f aca="false">+YEARFRAC(M3042,$S$1)</f>
        <v>126.366666666667</v>
      </c>
      <c r="U3042" s="231" t="n">
        <f aca="false">+$I3042</f>
        <v>0</v>
      </c>
      <c r="V3042" s="232" t="str">
        <f aca="false">+PROPER(F3042)</f>
        <v/>
      </c>
    </row>
    <row r="3043" customFormat="false" ht="14.25" hidden="false" customHeight="false" outlineLevel="0" collapsed="false">
      <c r="B3043" s="244"/>
      <c r="C3043" s="245"/>
      <c r="D3043" s="245"/>
      <c r="E3043" s="246"/>
      <c r="F3043" s="246"/>
      <c r="G3043" s="225" t="e">
        <f aca="false">VLOOKUP(B3043,'NIVEL ENERO'!A:F,4,0)</f>
        <v>#N/A</v>
      </c>
      <c r="H3043" s="247"/>
      <c r="I3043" s="247"/>
      <c r="J3043" s="246"/>
      <c r="K3043" s="246"/>
      <c r="L3043" s="226"/>
      <c r="M3043" s="226"/>
      <c r="N3043" s="246"/>
      <c r="P3043" s="228"/>
      <c r="Q3043" s="245"/>
      <c r="R3043" s="186" t="str">
        <f aca="false">+PROPER(C3043&amp;" "&amp;D3043)</f>
        <v> </v>
      </c>
      <c r="S3043" s="230" t="n">
        <f aca="false">+YEARFRAC(L3043,$S$1)</f>
        <v>126.366666666667</v>
      </c>
      <c r="T3043" s="230" t="n">
        <f aca="false">+YEARFRAC(M3043,$S$1)</f>
        <v>126.366666666667</v>
      </c>
      <c r="U3043" s="231" t="n">
        <f aca="false">+$I3043</f>
        <v>0</v>
      </c>
      <c r="V3043" s="232" t="str">
        <f aca="false">+PROPER(F3043)</f>
        <v/>
      </c>
    </row>
    <row r="3044" customFormat="false" ht="14.25" hidden="false" customHeight="false" outlineLevel="0" collapsed="false">
      <c r="B3044" s="244"/>
      <c r="C3044" s="245"/>
      <c r="D3044" s="245"/>
      <c r="E3044" s="246"/>
      <c r="F3044" s="246"/>
      <c r="G3044" s="225" t="e">
        <f aca="false">VLOOKUP(B3044,'NIVEL ENERO'!A:F,4,0)</f>
        <v>#N/A</v>
      </c>
      <c r="H3044" s="247"/>
      <c r="I3044" s="247"/>
      <c r="J3044" s="246"/>
      <c r="K3044" s="246"/>
      <c r="L3044" s="226"/>
      <c r="M3044" s="226"/>
      <c r="N3044" s="246"/>
      <c r="P3044" s="228"/>
      <c r="Q3044" s="245"/>
      <c r="R3044" s="186" t="str">
        <f aca="false">+PROPER(C3044&amp;" "&amp;D3044)</f>
        <v> </v>
      </c>
      <c r="S3044" s="230" t="n">
        <f aca="false">+YEARFRAC(L3044,$S$1)</f>
        <v>126.366666666667</v>
      </c>
      <c r="T3044" s="230" t="n">
        <f aca="false">+YEARFRAC(M3044,$S$1)</f>
        <v>126.366666666667</v>
      </c>
      <c r="U3044" s="231" t="n">
        <f aca="false">+$I3044</f>
        <v>0</v>
      </c>
      <c r="V3044" s="232" t="str">
        <f aca="false">+PROPER(F3044)</f>
        <v/>
      </c>
    </row>
    <row r="3045" customFormat="false" ht="14.25" hidden="false" customHeight="false" outlineLevel="0" collapsed="false">
      <c r="B3045" s="244"/>
      <c r="C3045" s="245"/>
      <c r="D3045" s="245"/>
      <c r="E3045" s="246"/>
      <c r="F3045" s="246"/>
      <c r="G3045" s="225" t="e">
        <f aca="false">VLOOKUP(B3045,'NIVEL ENERO'!A:F,4,0)</f>
        <v>#N/A</v>
      </c>
      <c r="H3045" s="247"/>
      <c r="I3045" s="247"/>
      <c r="J3045" s="246"/>
      <c r="K3045" s="246"/>
      <c r="L3045" s="226"/>
      <c r="M3045" s="226"/>
      <c r="N3045" s="246"/>
      <c r="P3045" s="228"/>
      <c r="Q3045" s="245"/>
      <c r="R3045" s="186" t="str">
        <f aca="false">+PROPER(C3045&amp;" "&amp;D3045)</f>
        <v> </v>
      </c>
      <c r="S3045" s="230" t="n">
        <f aca="false">+YEARFRAC(L3045,$S$1)</f>
        <v>126.366666666667</v>
      </c>
      <c r="T3045" s="230" t="n">
        <f aca="false">+YEARFRAC(M3045,$S$1)</f>
        <v>126.366666666667</v>
      </c>
      <c r="U3045" s="231" t="n">
        <f aca="false">+$I3045</f>
        <v>0</v>
      </c>
      <c r="V3045" s="232" t="str">
        <f aca="false">+PROPER(F3045)</f>
        <v/>
      </c>
    </row>
    <row r="3046" customFormat="false" ht="14.25" hidden="false" customHeight="false" outlineLevel="0" collapsed="false">
      <c r="B3046" s="244"/>
      <c r="C3046" s="245"/>
      <c r="D3046" s="245"/>
      <c r="E3046" s="246"/>
      <c r="F3046" s="246"/>
      <c r="G3046" s="225" t="e">
        <f aca="false">VLOOKUP(B3046,'NIVEL ENERO'!A:F,4,0)</f>
        <v>#N/A</v>
      </c>
      <c r="H3046" s="247"/>
      <c r="I3046" s="247"/>
      <c r="J3046" s="246"/>
      <c r="K3046" s="246"/>
      <c r="L3046" s="226"/>
      <c r="M3046" s="226"/>
      <c r="N3046" s="246"/>
      <c r="P3046" s="228"/>
      <c r="Q3046" s="245"/>
      <c r="R3046" s="186" t="str">
        <f aca="false">+PROPER(C3046&amp;" "&amp;D3046)</f>
        <v> </v>
      </c>
      <c r="S3046" s="230" t="n">
        <f aca="false">+YEARFRAC(L3046,$S$1)</f>
        <v>126.366666666667</v>
      </c>
      <c r="T3046" s="230" t="n">
        <f aca="false">+YEARFRAC(M3046,$S$1)</f>
        <v>126.366666666667</v>
      </c>
      <c r="U3046" s="231" t="n">
        <f aca="false">+$I3046</f>
        <v>0</v>
      </c>
      <c r="V3046" s="232" t="str">
        <f aca="false">+PROPER(F3046)</f>
        <v/>
      </c>
    </row>
    <row r="3047" customFormat="false" ht="14.25" hidden="false" customHeight="false" outlineLevel="0" collapsed="false">
      <c r="B3047" s="244"/>
      <c r="C3047" s="245"/>
      <c r="D3047" s="245"/>
      <c r="E3047" s="246"/>
      <c r="F3047" s="246"/>
      <c r="G3047" s="225" t="e">
        <f aca="false">VLOOKUP(B3047,'NIVEL ENERO'!A:F,4,0)</f>
        <v>#N/A</v>
      </c>
      <c r="H3047" s="247"/>
      <c r="I3047" s="247"/>
      <c r="J3047" s="246"/>
      <c r="K3047" s="246"/>
      <c r="L3047" s="226"/>
      <c r="M3047" s="226"/>
      <c r="N3047" s="246"/>
      <c r="P3047" s="228"/>
      <c r="Q3047" s="245"/>
      <c r="R3047" s="186" t="str">
        <f aca="false">+PROPER(C3047&amp;" "&amp;D3047)</f>
        <v> </v>
      </c>
      <c r="S3047" s="230" t="n">
        <f aca="false">+YEARFRAC(L3047,$S$1)</f>
        <v>126.366666666667</v>
      </c>
      <c r="T3047" s="230" t="n">
        <f aca="false">+YEARFRAC(M3047,$S$1)</f>
        <v>126.366666666667</v>
      </c>
      <c r="U3047" s="231" t="n">
        <f aca="false">+$I3047</f>
        <v>0</v>
      </c>
      <c r="V3047" s="232" t="str">
        <f aca="false">+PROPER(F3047)</f>
        <v/>
      </c>
    </row>
    <row r="3048" customFormat="false" ht="14.25" hidden="false" customHeight="false" outlineLevel="0" collapsed="false">
      <c r="B3048" s="244"/>
      <c r="C3048" s="245"/>
      <c r="D3048" s="245"/>
      <c r="E3048" s="246"/>
      <c r="F3048" s="246"/>
      <c r="G3048" s="225" t="e">
        <f aca="false">VLOOKUP(B3048,'NIVEL ENERO'!A:F,4,0)</f>
        <v>#N/A</v>
      </c>
      <c r="H3048" s="247"/>
      <c r="I3048" s="247"/>
      <c r="J3048" s="246"/>
      <c r="K3048" s="246"/>
      <c r="L3048" s="226"/>
      <c r="M3048" s="226"/>
      <c r="N3048" s="246"/>
      <c r="P3048" s="228"/>
      <c r="Q3048" s="245"/>
      <c r="R3048" s="186" t="str">
        <f aca="false">+PROPER(C3048&amp;" "&amp;D3048)</f>
        <v> </v>
      </c>
      <c r="S3048" s="230" t="n">
        <f aca="false">+YEARFRAC(L3048,$S$1)</f>
        <v>126.366666666667</v>
      </c>
      <c r="T3048" s="230" t="n">
        <f aca="false">+YEARFRAC(M3048,$S$1)</f>
        <v>126.366666666667</v>
      </c>
      <c r="U3048" s="231" t="n">
        <f aca="false">+$I3048</f>
        <v>0</v>
      </c>
      <c r="V3048" s="232" t="str">
        <f aca="false">+PROPER(F3048)</f>
        <v/>
      </c>
    </row>
    <row r="3049" customFormat="false" ht="14.25" hidden="false" customHeight="false" outlineLevel="0" collapsed="false">
      <c r="B3049" s="244"/>
      <c r="C3049" s="245"/>
      <c r="D3049" s="245"/>
      <c r="E3049" s="246"/>
      <c r="F3049" s="246"/>
      <c r="G3049" s="225" t="e">
        <f aca="false">VLOOKUP(B3049,'NIVEL ENERO'!A:F,4,0)</f>
        <v>#N/A</v>
      </c>
      <c r="H3049" s="247"/>
      <c r="I3049" s="247"/>
      <c r="J3049" s="246"/>
      <c r="K3049" s="246"/>
      <c r="L3049" s="226"/>
      <c r="M3049" s="226"/>
      <c r="N3049" s="246"/>
      <c r="P3049" s="228"/>
      <c r="Q3049" s="245"/>
      <c r="R3049" s="186" t="str">
        <f aca="false">+PROPER(C3049&amp;" "&amp;D3049)</f>
        <v> </v>
      </c>
      <c r="S3049" s="230" t="n">
        <f aca="false">+YEARFRAC(L3049,$S$1)</f>
        <v>126.366666666667</v>
      </c>
      <c r="T3049" s="230" t="n">
        <f aca="false">+YEARFRAC(M3049,$S$1)</f>
        <v>126.366666666667</v>
      </c>
      <c r="U3049" s="231" t="n">
        <f aca="false">+$I3049</f>
        <v>0</v>
      </c>
      <c r="V3049" s="232" t="str">
        <f aca="false">+PROPER(F3049)</f>
        <v/>
      </c>
    </row>
    <row r="3050" customFormat="false" ht="14.25" hidden="false" customHeight="false" outlineLevel="0" collapsed="false">
      <c r="B3050" s="244"/>
      <c r="C3050" s="245"/>
      <c r="D3050" s="245"/>
      <c r="E3050" s="246"/>
      <c r="F3050" s="246"/>
      <c r="G3050" s="225" t="e">
        <f aca="false">VLOOKUP(B3050,'NIVEL ENERO'!A:F,4,0)</f>
        <v>#N/A</v>
      </c>
      <c r="H3050" s="247"/>
      <c r="I3050" s="247"/>
      <c r="J3050" s="246"/>
      <c r="K3050" s="246"/>
      <c r="L3050" s="226"/>
      <c r="M3050" s="226"/>
      <c r="N3050" s="246"/>
      <c r="P3050" s="228"/>
      <c r="Q3050" s="245"/>
      <c r="R3050" s="186" t="str">
        <f aca="false">+PROPER(C3050&amp;" "&amp;D3050)</f>
        <v> </v>
      </c>
      <c r="S3050" s="230" t="n">
        <f aca="false">+YEARFRAC(L3050,$S$1)</f>
        <v>126.366666666667</v>
      </c>
      <c r="T3050" s="230" t="n">
        <f aca="false">+YEARFRAC(M3050,$S$1)</f>
        <v>126.366666666667</v>
      </c>
      <c r="U3050" s="231" t="n">
        <f aca="false">+$I3050</f>
        <v>0</v>
      </c>
      <c r="V3050" s="232" t="str">
        <f aca="false">+PROPER(F3050)</f>
        <v/>
      </c>
    </row>
    <row r="3051" customFormat="false" ht="14.25" hidden="false" customHeight="false" outlineLevel="0" collapsed="false">
      <c r="B3051" s="244"/>
      <c r="C3051" s="245"/>
      <c r="D3051" s="245"/>
      <c r="E3051" s="246"/>
      <c r="F3051" s="246"/>
      <c r="G3051" s="225" t="e">
        <f aca="false">VLOOKUP(B3051,'NIVEL ENERO'!A:F,4,0)</f>
        <v>#N/A</v>
      </c>
      <c r="H3051" s="247"/>
      <c r="I3051" s="247"/>
      <c r="J3051" s="246"/>
      <c r="K3051" s="246"/>
      <c r="L3051" s="226"/>
      <c r="M3051" s="226"/>
      <c r="N3051" s="246"/>
      <c r="P3051" s="228"/>
      <c r="Q3051" s="245"/>
      <c r="R3051" s="186" t="str">
        <f aca="false">+PROPER(C3051&amp;" "&amp;D3051)</f>
        <v> </v>
      </c>
      <c r="S3051" s="230" t="n">
        <f aca="false">+YEARFRAC(L3051,$S$1)</f>
        <v>126.366666666667</v>
      </c>
      <c r="T3051" s="230" t="n">
        <f aca="false">+YEARFRAC(M3051,$S$1)</f>
        <v>126.366666666667</v>
      </c>
      <c r="U3051" s="231" t="n">
        <f aca="false">+$I3051</f>
        <v>0</v>
      </c>
      <c r="V3051" s="232" t="str">
        <f aca="false">+PROPER(F3051)</f>
        <v/>
      </c>
    </row>
    <row r="3052" customFormat="false" ht="14.25" hidden="false" customHeight="false" outlineLevel="0" collapsed="false">
      <c r="B3052" s="244"/>
      <c r="C3052" s="245"/>
      <c r="D3052" s="245"/>
      <c r="E3052" s="246"/>
      <c r="F3052" s="246"/>
      <c r="G3052" s="225" t="e">
        <f aca="false">VLOOKUP(B3052,'NIVEL ENERO'!A:F,4,0)</f>
        <v>#N/A</v>
      </c>
      <c r="H3052" s="247"/>
      <c r="I3052" s="247"/>
      <c r="J3052" s="246"/>
      <c r="K3052" s="246"/>
      <c r="L3052" s="226"/>
      <c r="M3052" s="226"/>
      <c r="N3052" s="246"/>
      <c r="P3052" s="228"/>
      <c r="Q3052" s="245"/>
      <c r="R3052" s="186" t="str">
        <f aca="false">+PROPER(C3052&amp;" "&amp;D3052)</f>
        <v> </v>
      </c>
      <c r="S3052" s="230" t="n">
        <f aca="false">+YEARFRAC(L3052,$S$1)</f>
        <v>126.366666666667</v>
      </c>
      <c r="T3052" s="230" t="n">
        <f aca="false">+YEARFRAC(M3052,$S$1)</f>
        <v>126.366666666667</v>
      </c>
      <c r="U3052" s="231" t="n">
        <f aca="false">+$I3052</f>
        <v>0</v>
      </c>
      <c r="V3052" s="232" t="str">
        <f aca="false">+PROPER(F3052)</f>
        <v/>
      </c>
    </row>
    <row r="3053" customFormat="false" ht="14.25" hidden="false" customHeight="false" outlineLevel="0" collapsed="false">
      <c r="B3053" s="244"/>
      <c r="C3053" s="245"/>
      <c r="D3053" s="245"/>
      <c r="E3053" s="246"/>
      <c r="F3053" s="246"/>
      <c r="G3053" s="225" t="e">
        <f aca="false">VLOOKUP(B3053,'NIVEL ENERO'!A:F,4,0)</f>
        <v>#N/A</v>
      </c>
      <c r="H3053" s="247"/>
      <c r="I3053" s="247"/>
      <c r="J3053" s="246"/>
      <c r="K3053" s="246"/>
      <c r="L3053" s="226"/>
      <c r="M3053" s="226"/>
      <c r="N3053" s="246"/>
      <c r="P3053" s="228"/>
      <c r="Q3053" s="245"/>
      <c r="R3053" s="186" t="str">
        <f aca="false">+PROPER(C3053&amp;" "&amp;D3053)</f>
        <v> </v>
      </c>
      <c r="S3053" s="230" t="n">
        <f aca="false">+YEARFRAC(L3053,$S$1)</f>
        <v>126.366666666667</v>
      </c>
      <c r="T3053" s="230" t="n">
        <f aca="false">+YEARFRAC(M3053,$S$1)</f>
        <v>126.366666666667</v>
      </c>
      <c r="U3053" s="231" t="n">
        <f aca="false">+$I3053</f>
        <v>0</v>
      </c>
      <c r="V3053" s="232" t="str">
        <f aca="false">+PROPER(F3053)</f>
        <v/>
      </c>
    </row>
    <row r="3054" customFormat="false" ht="14.25" hidden="false" customHeight="false" outlineLevel="0" collapsed="false">
      <c r="B3054" s="244"/>
      <c r="C3054" s="245"/>
      <c r="D3054" s="245"/>
      <c r="E3054" s="246"/>
      <c r="F3054" s="246"/>
      <c r="G3054" s="225" t="e">
        <f aca="false">VLOOKUP(B3054,'NIVEL ENERO'!A:F,4,0)</f>
        <v>#N/A</v>
      </c>
      <c r="H3054" s="247"/>
      <c r="I3054" s="247"/>
      <c r="J3054" s="246"/>
      <c r="K3054" s="246"/>
      <c r="L3054" s="226"/>
      <c r="M3054" s="226"/>
      <c r="N3054" s="246"/>
      <c r="P3054" s="228"/>
      <c r="Q3054" s="245"/>
      <c r="R3054" s="186" t="str">
        <f aca="false">+PROPER(C3054&amp;" "&amp;D3054)</f>
        <v> </v>
      </c>
      <c r="S3054" s="230" t="n">
        <f aca="false">+YEARFRAC(L3054,$S$1)</f>
        <v>126.366666666667</v>
      </c>
      <c r="T3054" s="230" t="n">
        <f aca="false">+YEARFRAC(M3054,$S$1)</f>
        <v>126.366666666667</v>
      </c>
      <c r="U3054" s="231" t="n">
        <f aca="false">+$I3054</f>
        <v>0</v>
      </c>
      <c r="V3054" s="232" t="str">
        <f aca="false">+PROPER(F3054)</f>
        <v/>
      </c>
    </row>
    <row r="3055" customFormat="false" ht="14.25" hidden="false" customHeight="false" outlineLevel="0" collapsed="false">
      <c r="B3055" s="244"/>
      <c r="C3055" s="245"/>
      <c r="D3055" s="245"/>
      <c r="E3055" s="246"/>
      <c r="F3055" s="246"/>
      <c r="G3055" s="225" t="e">
        <f aca="false">VLOOKUP(B3055,'NIVEL ENERO'!A:F,4,0)</f>
        <v>#N/A</v>
      </c>
      <c r="H3055" s="247"/>
      <c r="I3055" s="247"/>
      <c r="J3055" s="246"/>
      <c r="K3055" s="246"/>
      <c r="L3055" s="226"/>
      <c r="M3055" s="226"/>
      <c r="N3055" s="246"/>
      <c r="P3055" s="228"/>
      <c r="Q3055" s="245"/>
      <c r="R3055" s="186" t="str">
        <f aca="false">+PROPER(C3055&amp;" "&amp;D3055)</f>
        <v> </v>
      </c>
      <c r="S3055" s="230" t="n">
        <f aca="false">+YEARFRAC(L3055,$S$1)</f>
        <v>126.366666666667</v>
      </c>
      <c r="T3055" s="230" t="n">
        <f aca="false">+YEARFRAC(M3055,$S$1)</f>
        <v>126.366666666667</v>
      </c>
      <c r="U3055" s="231" t="n">
        <f aca="false">+$I3055</f>
        <v>0</v>
      </c>
      <c r="V3055" s="232" t="str">
        <f aca="false">+PROPER(F3055)</f>
        <v/>
      </c>
    </row>
    <row r="3056" customFormat="false" ht="14.25" hidden="false" customHeight="false" outlineLevel="0" collapsed="false">
      <c r="B3056" s="244"/>
      <c r="C3056" s="245"/>
      <c r="D3056" s="245"/>
      <c r="E3056" s="246"/>
      <c r="F3056" s="246"/>
      <c r="G3056" s="225" t="e">
        <f aca="false">VLOOKUP(B3056,'NIVEL ENERO'!A:F,4,0)</f>
        <v>#N/A</v>
      </c>
      <c r="H3056" s="247"/>
      <c r="I3056" s="247"/>
      <c r="J3056" s="246"/>
      <c r="K3056" s="246"/>
      <c r="L3056" s="226"/>
      <c r="M3056" s="226"/>
      <c r="N3056" s="246"/>
      <c r="P3056" s="228"/>
      <c r="Q3056" s="245"/>
      <c r="R3056" s="186" t="str">
        <f aca="false">+PROPER(C3056&amp;" "&amp;D3056)</f>
        <v> </v>
      </c>
      <c r="S3056" s="230" t="n">
        <f aca="false">+YEARFRAC(L3056,$S$1)</f>
        <v>126.366666666667</v>
      </c>
      <c r="T3056" s="230" t="n">
        <f aca="false">+YEARFRAC(M3056,$S$1)</f>
        <v>126.366666666667</v>
      </c>
      <c r="U3056" s="231" t="n">
        <f aca="false">+$I3056</f>
        <v>0</v>
      </c>
      <c r="V3056" s="232" t="str">
        <f aca="false">+PROPER(F3056)</f>
        <v/>
      </c>
    </row>
    <row r="3057" customFormat="false" ht="14.25" hidden="false" customHeight="false" outlineLevel="0" collapsed="false">
      <c r="B3057" s="244"/>
      <c r="C3057" s="245"/>
      <c r="D3057" s="245"/>
      <c r="E3057" s="246"/>
      <c r="F3057" s="246"/>
      <c r="G3057" s="225" t="e">
        <f aca="false">VLOOKUP(B3057,'NIVEL ENERO'!A:F,4,0)</f>
        <v>#N/A</v>
      </c>
      <c r="H3057" s="247"/>
      <c r="I3057" s="247"/>
      <c r="J3057" s="246"/>
      <c r="K3057" s="246"/>
      <c r="L3057" s="226"/>
      <c r="M3057" s="226"/>
      <c r="N3057" s="246"/>
      <c r="P3057" s="228"/>
      <c r="Q3057" s="245"/>
      <c r="R3057" s="186" t="str">
        <f aca="false">+PROPER(C3057&amp;" "&amp;D3057)</f>
        <v> </v>
      </c>
      <c r="S3057" s="230" t="n">
        <f aca="false">+YEARFRAC(L3057,$S$1)</f>
        <v>126.366666666667</v>
      </c>
      <c r="T3057" s="230" t="n">
        <f aca="false">+YEARFRAC(M3057,$S$1)</f>
        <v>126.366666666667</v>
      </c>
      <c r="U3057" s="231" t="n">
        <f aca="false">+$I3057</f>
        <v>0</v>
      </c>
      <c r="V3057" s="232" t="str">
        <f aca="false">+PROPER(F3057)</f>
        <v/>
      </c>
    </row>
    <row r="3058" customFormat="false" ht="14.25" hidden="false" customHeight="false" outlineLevel="0" collapsed="false">
      <c r="B3058" s="244"/>
      <c r="C3058" s="245"/>
      <c r="D3058" s="245"/>
      <c r="E3058" s="246"/>
      <c r="F3058" s="246"/>
      <c r="G3058" s="225" t="e">
        <f aca="false">VLOOKUP(B3058,'NIVEL ENERO'!A:F,4,0)</f>
        <v>#N/A</v>
      </c>
      <c r="H3058" s="247"/>
      <c r="I3058" s="247"/>
      <c r="J3058" s="246"/>
      <c r="K3058" s="246"/>
      <c r="L3058" s="226"/>
      <c r="M3058" s="226"/>
      <c r="N3058" s="246"/>
      <c r="P3058" s="228"/>
      <c r="Q3058" s="245"/>
      <c r="R3058" s="186" t="str">
        <f aca="false">+PROPER(C3058&amp;" "&amp;D3058)</f>
        <v> </v>
      </c>
      <c r="S3058" s="230" t="n">
        <f aca="false">+YEARFRAC(L3058,$S$1)</f>
        <v>126.366666666667</v>
      </c>
      <c r="T3058" s="230" t="n">
        <f aca="false">+YEARFRAC(M3058,$S$1)</f>
        <v>126.366666666667</v>
      </c>
      <c r="U3058" s="231" t="n">
        <f aca="false">+$I3058</f>
        <v>0</v>
      </c>
      <c r="V3058" s="232" t="str">
        <f aca="false">+PROPER(F3058)</f>
        <v/>
      </c>
    </row>
    <row r="3059" customFormat="false" ht="14.25" hidden="false" customHeight="false" outlineLevel="0" collapsed="false">
      <c r="B3059" s="244"/>
      <c r="C3059" s="245"/>
      <c r="D3059" s="245"/>
      <c r="E3059" s="246"/>
      <c r="F3059" s="246"/>
      <c r="G3059" s="225" t="e">
        <f aca="false">VLOOKUP(B3059,'NIVEL ENERO'!A:F,4,0)</f>
        <v>#N/A</v>
      </c>
      <c r="H3059" s="247"/>
      <c r="I3059" s="247"/>
      <c r="J3059" s="246"/>
      <c r="K3059" s="246"/>
      <c r="L3059" s="226"/>
      <c r="M3059" s="226"/>
      <c r="N3059" s="246"/>
      <c r="P3059" s="228"/>
      <c r="Q3059" s="245"/>
      <c r="R3059" s="186" t="str">
        <f aca="false">+PROPER(C3059&amp;" "&amp;D3059)</f>
        <v> </v>
      </c>
      <c r="S3059" s="230" t="n">
        <f aca="false">+YEARFRAC(L3059,$S$1)</f>
        <v>126.366666666667</v>
      </c>
      <c r="T3059" s="230" t="n">
        <f aca="false">+YEARFRAC(M3059,$S$1)</f>
        <v>126.366666666667</v>
      </c>
      <c r="U3059" s="231" t="n">
        <f aca="false">+$I3059</f>
        <v>0</v>
      </c>
      <c r="V3059" s="232" t="str">
        <f aca="false">+PROPER(F3059)</f>
        <v/>
      </c>
    </row>
    <row r="3060" customFormat="false" ht="14.25" hidden="false" customHeight="false" outlineLevel="0" collapsed="false">
      <c r="B3060" s="244"/>
      <c r="C3060" s="245"/>
      <c r="D3060" s="245"/>
      <c r="E3060" s="246"/>
      <c r="F3060" s="246"/>
      <c r="G3060" s="225" t="e">
        <f aca="false">VLOOKUP(B3060,'NIVEL ENERO'!A:F,4,0)</f>
        <v>#N/A</v>
      </c>
      <c r="H3060" s="247"/>
      <c r="I3060" s="247"/>
      <c r="J3060" s="246"/>
      <c r="K3060" s="246"/>
      <c r="L3060" s="226"/>
      <c r="M3060" s="226"/>
      <c r="N3060" s="246"/>
      <c r="P3060" s="228"/>
      <c r="Q3060" s="245"/>
      <c r="R3060" s="186" t="str">
        <f aca="false">+PROPER(C3060&amp;" "&amp;D3060)</f>
        <v> </v>
      </c>
      <c r="S3060" s="230" t="n">
        <f aca="false">+YEARFRAC(L3060,$S$1)</f>
        <v>126.366666666667</v>
      </c>
      <c r="T3060" s="230" t="n">
        <f aca="false">+YEARFRAC(M3060,$S$1)</f>
        <v>126.366666666667</v>
      </c>
      <c r="U3060" s="231" t="n">
        <f aca="false">+$I3060</f>
        <v>0</v>
      </c>
      <c r="V3060" s="232" t="str">
        <f aca="false">+PROPER(F3060)</f>
        <v/>
      </c>
    </row>
    <row r="3061" customFormat="false" ht="14.25" hidden="false" customHeight="false" outlineLevel="0" collapsed="false">
      <c r="B3061" s="244"/>
      <c r="C3061" s="245"/>
      <c r="D3061" s="245"/>
      <c r="E3061" s="246"/>
      <c r="F3061" s="246"/>
      <c r="G3061" s="225" t="e">
        <f aca="false">VLOOKUP(B3061,'NIVEL ENERO'!A:F,4,0)</f>
        <v>#N/A</v>
      </c>
      <c r="H3061" s="247"/>
      <c r="I3061" s="247"/>
      <c r="J3061" s="246"/>
      <c r="K3061" s="246"/>
      <c r="L3061" s="226"/>
      <c r="M3061" s="226"/>
      <c r="N3061" s="246"/>
      <c r="P3061" s="228"/>
      <c r="Q3061" s="245"/>
      <c r="R3061" s="186" t="str">
        <f aca="false">+PROPER(C3061&amp;" "&amp;D3061)</f>
        <v> </v>
      </c>
      <c r="S3061" s="230" t="n">
        <f aca="false">+YEARFRAC(L3061,$S$1)</f>
        <v>126.366666666667</v>
      </c>
      <c r="T3061" s="230" t="n">
        <f aca="false">+YEARFRAC(M3061,$S$1)</f>
        <v>126.366666666667</v>
      </c>
      <c r="U3061" s="231" t="n">
        <f aca="false">+$I3061</f>
        <v>0</v>
      </c>
      <c r="V3061" s="232" t="str">
        <f aca="false">+PROPER(F3061)</f>
        <v/>
      </c>
    </row>
    <row r="3062" customFormat="false" ht="14.25" hidden="false" customHeight="false" outlineLevel="0" collapsed="false">
      <c r="B3062" s="244"/>
      <c r="C3062" s="245"/>
      <c r="D3062" s="245"/>
      <c r="E3062" s="246"/>
      <c r="F3062" s="246"/>
      <c r="G3062" s="225" t="e">
        <f aca="false">VLOOKUP(B3062,'NIVEL ENERO'!A:F,4,0)</f>
        <v>#N/A</v>
      </c>
      <c r="H3062" s="247"/>
      <c r="I3062" s="247"/>
      <c r="J3062" s="246"/>
      <c r="K3062" s="246"/>
      <c r="L3062" s="226"/>
      <c r="M3062" s="226"/>
      <c r="N3062" s="246"/>
      <c r="P3062" s="228"/>
      <c r="Q3062" s="245"/>
      <c r="R3062" s="186" t="str">
        <f aca="false">+PROPER(C3062&amp;" "&amp;D3062)</f>
        <v> </v>
      </c>
      <c r="S3062" s="230" t="n">
        <f aca="false">+YEARFRAC(L3062,$S$1)</f>
        <v>126.366666666667</v>
      </c>
      <c r="T3062" s="230" t="n">
        <f aca="false">+YEARFRAC(M3062,$S$1)</f>
        <v>126.366666666667</v>
      </c>
      <c r="U3062" s="231" t="n">
        <f aca="false">+$I3062</f>
        <v>0</v>
      </c>
      <c r="V3062" s="232" t="str">
        <f aca="false">+PROPER(F3062)</f>
        <v/>
      </c>
    </row>
    <row r="3063" customFormat="false" ht="14.25" hidden="false" customHeight="false" outlineLevel="0" collapsed="false">
      <c r="B3063" s="244"/>
      <c r="C3063" s="245"/>
      <c r="D3063" s="245"/>
      <c r="E3063" s="246"/>
      <c r="F3063" s="246"/>
      <c r="G3063" s="225" t="e">
        <f aca="false">VLOOKUP(B3063,'NIVEL ENERO'!A:F,4,0)</f>
        <v>#N/A</v>
      </c>
      <c r="H3063" s="247"/>
      <c r="I3063" s="247"/>
      <c r="J3063" s="246"/>
      <c r="K3063" s="246"/>
      <c r="L3063" s="226"/>
      <c r="M3063" s="226"/>
      <c r="N3063" s="246"/>
      <c r="P3063" s="228"/>
      <c r="Q3063" s="245"/>
      <c r="R3063" s="186" t="str">
        <f aca="false">+PROPER(C3063&amp;" "&amp;D3063)</f>
        <v> </v>
      </c>
      <c r="S3063" s="230" t="n">
        <f aca="false">+YEARFRAC(L3063,$S$1)</f>
        <v>126.366666666667</v>
      </c>
      <c r="T3063" s="230" t="n">
        <f aca="false">+YEARFRAC(M3063,$S$1)</f>
        <v>126.366666666667</v>
      </c>
      <c r="U3063" s="231" t="n">
        <f aca="false">+$I3063</f>
        <v>0</v>
      </c>
      <c r="V3063" s="232" t="str">
        <f aca="false">+PROPER(F3063)</f>
        <v/>
      </c>
    </row>
    <row r="3064" customFormat="false" ht="14.25" hidden="false" customHeight="false" outlineLevel="0" collapsed="false">
      <c r="B3064" s="244"/>
      <c r="C3064" s="245"/>
      <c r="D3064" s="245"/>
      <c r="E3064" s="246"/>
      <c r="F3064" s="246"/>
      <c r="G3064" s="225" t="e">
        <f aca="false">VLOOKUP(B3064,'NIVEL ENERO'!A:F,4,0)</f>
        <v>#N/A</v>
      </c>
      <c r="H3064" s="247"/>
      <c r="I3064" s="247"/>
      <c r="J3064" s="246"/>
      <c r="K3064" s="246"/>
      <c r="L3064" s="226"/>
      <c r="M3064" s="226"/>
      <c r="N3064" s="246"/>
      <c r="P3064" s="228"/>
      <c r="Q3064" s="245"/>
      <c r="R3064" s="186" t="str">
        <f aca="false">+PROPER(C3064&amp;" "&amp;D3064)</f>
        <v> </v>
      </c>
      <c r="S3064" s="230" t="n">
        <f aca="false">+YEARFRAC(L3064,$S$1)</f>
        <v>126.366666666667</v>
      </c>
      <c r="T3064" s="230" t="n">
        <f aca="false">+YEARFRAC(M3064,$S$1)</f>
        <v>126.366666666667</v>
      </c>
      <c r="U3064" s="231" t="n">
        <f aca="false">+$I3064</f>
        <v>0</v>
      </c>
      <c r="V3064" s="232" t="str">
        <f aca="false">+PROPER(F3064)</f>
        <v/>
      </c>
    </row>
    <row r="3065" customFormat="false" ht="14.25" hidden="false" customHeight="false" outlineLevel="0" collapsed="false">
      <c r="B3065" s="244"/>
      <c r="C3065" s="245"/>
      <c r="D3065" s="245"/>
      <c r="E3065" s="246"/>
      <c r="F3065" s="246"/>
      <c r="G3065" s="225" t="e">
        <f aca="false">VLOOKUP(B3065,'NIVEL ENERO'!A:F,4,0)</f>
        <v>#N/A</v>
      </c>
      <c r="H3065" s="247"/>
      <c r="I3065" s="247"/>
      <c r="J3065" s="246"/>
      <c r="K3065" s="246"/>
      <c r="L3065" s="226"/>
      <c r="M3065" s="226"/>
      <c r="N3065" s="246"/>
      <c r="P3065" s="228"/>
      <c r="Q3065" s="245"/>
      <c r="R3065" s="186" t="str">
        <f aca="false">+PROPER(C3065&amp;" "&amp;D3065)</f>
        <v> </v>
      </c>
      <c r="S3065" s="230" t="n">
        <f aca="false">+YEARFRAC(L3065,$S$1)</f>
        <v>126.366666666667</v>
      </c>
      <c r="T3065" s="230" t="n">
        <f aca="false">+YEARFRAC(M3065,$S$1)</f>
        <v>126.366666666667</v>
      </c>
      <c r="U3065" s="231" t="n">
        <f aca="false">+$I3065</f>
        <v>0</v>
      </c>
      <c r="V3065" s="232" t="str">
        <f aca="false">+PROPER(F3065)</f>
        <v/>
      </c>
    </row>
    <row r="3066" customFormat="false" ht="14.25" hidden="false" customHeight="false" outlineLevel="0" collapsed="false">
      <c r="B3066" s="244"/>
      <c r="C3066" s="245"/>
      <c r="D3066" s="245"/>
      <c r="E3066" s="246"/>
      <c r="F3066" s="246"/>
      <c r="G3066" s="225" t="e">
        <f aca="false">VLOOKUP(B3066,'NIVEL ENERO'!A:F,4,0)</f>
        <v>#N/A</v>
      </c>
      <c r="H3066" s="247"/>
      <c r="I3066" s="247"/>
      <c r="J3066" s="246"/>
      <c r="K3066" s="246"/>
      <c r="L3066" s="226"/>
      <c r="M3066" s="226"/>
      <c r="N3066" s="246"/>
      <c r="P3066" s="228"/>
      <c r="Q3066" s="245"/>
      <c r="R3066" s="186" t="str">
        <f aca="false">+PROPER(C3066&amp;" "&amp;D3066)</f>
        <v> </v>
      </c>
      <c r="S3066" s="230" t="n">
        <f aca="false">+YEARFRAC(L3066,$S$1)</f>
        <v>126.366666666667</v>
      </c>
      <c r="T3066" s="230" t="n">
        <f aca="false">+YEARFRAC(M3066,$S$1)</f>
        <v>126.366666666667</v>
      </c>
      <c r="U3066" s="231" t="n">
        <f aca="false">+$I3066</f>
        <v>0</v>
      </c>
      <c r="V3066" s="232" t="str">
        <f aca="false">+PROPER(F3066)</f>
        <v/>
      </c>
    </row>
    <row r="3067" customFormat="false" ht="14.25" hidden="false" customHeight="false" outlineLevel="0" collapsed="false">
      <c r="B3067" s="244"/>
      <c r="C3067" s="245"/>
      <c r="D3067" s="245"/>
      <c r="E3067" s="246"/>
      <c r="F3067" s="246"/>
      <c r="G3067" s="225" t="e">
        <f aca="false">VLOOKUP(B3067,'NIVEL ENERO'!A:F,4,0)</f>
        <v>#N/A</v>
      </c>
      <c r="H3067" s="247"/>
      <c r="I3067" s="247"/>
      <c r="J3067" s="246"/>
      <c r="K3067" s="246"/>
      <c r="L3067" s="226"/>
      <c r="M3067" s="226"/>
      <c r="N3067" s="246"/>
      <c r="P3067" s="228"/>
      <c r="Q3067" s="245"/>
      <c r="R3067" s="186" t="str">
        <f aca="false">+PROPER(C3067&amp;" "&amp;D3067)</f>
        <v> </v>
      </c>
      <c r="S3067" s="230" t="n">
        <f aca="false">+YEARFRAC(L3067,$S$1)</f>
        <v>126.366666666667</v>
      </c>
      <c r="T3067" s="230" t="n">
        <f aca="false">+YEARFRAC(M3067,$S$1)</f>
        <v>126.366666666667</v>
      </c>
      <c r="U3067" s="231" t="n">
        <f aca="false">+$I3067</f>
        <v>0</v>
      </c>
      <c r="V3067" s="232" t="str">
        <f aca="false">+PROPER(F3067)</f>
        <v/>
      </c>
    </row>
    <row r="3068" customFormat="false" ht="14.25" hidden="false" customHeight="false" outlineLevel="0" collapsed="false">
      <c r="B3068" s="244"/>
      <c r="C3068" s="245"/>
      <c r="D3068" s="245"/>
      <c r="E3068" s="246"/>
      <c r="F3068" s="246"/>
      <c r="G3068" s="225" t="e">
        <f aca="false">VLOOKUP(B3068,'NIVEL ENERO'!A:F,4,0)</f>
        <v>#N/A</v>
      </c>
      <c r="H3068" s="247"/>
      <c r="I3068" s="247"/>
      <c r="J3068" s="246"/>
      <c r="K3068" s="246"/>
      <c r="L3068" s="226"/>
      <c r="M3068" s="226"/>
      <c r="N3068" s="246"/>
      <c r="P3068" s="228"/>
      <c r="Q3068" s="245"/>
      <c r="R3068" s="186" t="str">
        <f aca="false">+PROPER(C3068&amp;" "&amp;D3068)</f>
        <v> </v>
      </c>
      <c r="S3068" s="230" t="n">
        <f aca="false">+YEARFRAC(L3068,$S$1)</f>
        <v>126.366666666667</v>
      </c>
      <c r="T3068" s="230" t="n">
        <f aca="false">+YEARFRAC(M3068,$S$1)</f>
        <v>126.366666666667</v>
      </c>
      <c r="U3068" s="231" t="n">
        <f aca="false">+$I3068</f>
        <v>0</v>
      </c>
      <c r="V3068" s="232" t="str">
        <f aca="false">+PROPER(F3068)</f>
        <v/>
      </c>
    </row>
    <row r="3069" customFormat="false" ht="14.25" hidden="false" customHeight="false" outlineLevel="0" collapsed="false">
      <c r="B3069" s="244"/>
      <c r="C3069" s="245"/>
      <c r="D3069" s="245"/>
      <c r="E3069" s="246"/>
      <c r="F3069" s="246"/>
      <c r="G3069" s="225" t="e">
        <f aca="false">VLOOKUP(B3069,'NIVEL ENERO'!A:F,4,0)</f>
        <v>#N/A</v>
      </c>
      <c r="H3069" s="247"/>
      <c r="I3069" s="247"/>
      <c r="J3069" s="246"/>
      <c r="K3069" s="246"/>
      <c r="L3069" s="226"/>
      <c r="M3069" s="226"/>
      <c r="N3069" s="246"/>
      <c r="P3069" s="228"/>
      <c r="Q3069" s="245"/>
      <c r="R3069" s="186" t="str">
        <f aca="false">+PROPER(C3069&amp;" "&amp;D3069)</f>
        <v> </v>
      </c>
      <c r="S3069" s="230" t="n">
        <f aca="false">+YEARFRAC(L3069,$S$1)</f>
        <v>126.366666666667</v>
      </c>
      <c r="T3069" s="230" t="n">
        <f aca="false">+YEARFRAC(M3069,$S$1)</f>
        <v>126.366666666667</v>
      </c>
      <c r="U3069" s="231" t="n">
        <f aca="false">+$I3069</f>
        <v>0</v>
      </c>
      <c r="V3069" s="232" t="str">
        <f aca="false">+PROPER(F3069)</f>
        <v/>
      </c>
    </row>
    <row r="3070" customFormat="false" ht="14.25" hidden="false" customHeight="false" outlineLevel="0" collapsed="false">
      <c r="B3070" s="244"/>
      <c r="C3070" s="245"/>
      <c r="D3070" s="245"/>
      <c r="E3070" s="246"/>
      <c r="F3070" s="246"/>
      <c r="G3070" s="225" t="e">
        <f aca="false">VLOOKUP(B3070,'NIVEL ENERO'!A:F,4,0)</f>
        <v>#N/A</v>
      </c>
      <c r="H3070" s="247"/>
      <c r="I3070" s="247"/>
      <c r="J3070" s="246"/>
      <c r="K3070" s="246"/>
      <c r="L3070" s="226"/>
      <c r="M3070" s="226"/>
      <c r="N3070" s="246"/>
      <c r="P3070" s="228"/>
      <c r="Q3070" s="245"/>
      <c r="R3070" s="186" t="str">
        <f aca="false">+PROPER(C3070&amp;" "&amp;D3070)</f>
        <v> </v>
      </c>
      <c r="S3070" s="230" t="n">
        <f aca="false">+YEARFRAC(L3070,$S$1)</f>
        <v>126.366666666667</v>
      </c>
      <c r="T3070" s="230" t="n">
        <f aca="false">+YEARFRAC(M3070,$S$1)</f>
        <v>126.366666666667</v>
      </c>
      <c r="U3070" s="231" t="n">
        <f aca="false">+$I3070</f>
        <v>0</v>
      </c>
      <c r="V3070" s="232" t="str">
        <f aca="false">+PROPER(F3070)</f>
        <v/>
      </c>
    </row>
    <row r="3071" customFormat="false" ht="14.25" hidden="false" customHeight="false" outlineLevel="0" collapsed="false">
      <c r="B3071" s="244"/>
      <c r="C3071" s="245"/>
      <c r="D3071" s="245"/>
      <c r="E3071" s="246"/>
      <c r="F3071" s="246"/>
      <c r="G3071" s="225" t="e">
        <f aca="false">VLOOKUP(B3071,'NIVEL ENERO'!A:F,4,0)</f>
        <v>#N/A</v>
      </c>
      <c r="H3071" s="247"/>
      <c r="I3071" s="247"/>
      <c r="J3071" s="246"/>
      <c r="K3071" s="246"/>
      <c r="L3071" s="226"/>
      <c r="M3071" s="226"/>
      <c r="N3071" s="246"/>
      <c r="P3071" s="228"/>
      <c r="Q3071" s="245"/>
      <c r="R3071" s="186" t="str">
        <f aca="false">+PROPER(C3071&amp;" "&amp;D3071)</f>
        <v> </v>
      </c>
      <c r="S3071" s="230" t="n">
        <f aca="false">+YEARFRAC(L3071,$S$1)</f>
        <v>126.366666666667</v>
      </c>
      <c r="T3071" s="230" t="n">
        <f aca="false">+YEARFRAC(M3071,$S$1)</f>
        <v>126.366666666667</v>
      </c>
      <c r="U3071" s="231" t="n">
        <f aca="false">+$I3071</f>
        <v>0</v>
      </c>
      <c r="V3071" s="232" t="str">
        <f aca="false">+PROPER(F3071)</f>
        <v/>
      </c>
    </row>
    <row r="3072" customFormat="false" ht="14.25" hidden="false" customHeight="false" outlineLevel="0" collapsed="false">
      <c r="B3072" s="244"/>
      <c r="C3072" s="245"/>
      <c r="D3072" s="245"/>
      <c r="E3072" s="246"/>
      <c r="F3072" s="246"/>
      <c r="G3072" s="225" t="e">
        <f aca="false">VLOOKUP(B3072,'NIVEL ENERO'!A:F,4,0)</f>
        <v>#N/A</v>
      </c>
      <c r="H3072" s="247"/>
      <c r="I3072" s="247"/>
      <c r="J3072" s="246"/>
      <c r="K3072" s="246"/>
      <c r="L3072" s="226"/>
      <c r="M3072" s="226"/>
      <c r="N3072" s="246"/>
      <c r="P3072" s="228"/>
      <c r="Q3072" s="245"/>
      <c r="R3072" s="186" t="str">
        <f aca="false">+PROPER(C3072&amp;" "&amp;D3072)</f>
        <v> </v>
      </c>
      <c r="S3072" s="230" t="n">
        <f aca="false">+YEARFRAC(L3072,$S$1)</f>
        <v>126.366666666667</v>
      </c>
      <c r="T3072" s="230" t="n">
        <f aca="false">+YEARFRAC(M3072,$S$1)</f>
        <v>126.366666666667</v>
      </c>
      <c r="U3072" s="231" t="n">
        <f aca="false">+$I3072</f>
        <v>0</v>
      </c>
      <c r="V3072" s="232" t="str">
        <f aca="false">+PROPER(F3072)</f>
        <v/>
      </c>
    </row>
    <row r="3073" customFormat="false" ht="14.25" hidden="false" customHeight="false" outlineLevel="0" collapsed="false">
      <c r="B3073" s="244"/>
      <c r="C3073" s="245"/>
      <c r="D3073" s="245"/>
      <c r="E3073" s="246"/>
      <c r="F3073" s="246"/>
      <c r="G3073" s="225" t="e">
        <f aca="false">VLOOKUP(B3073,'NIVEL ENERO'!A:F,4,0)</f>
        <v>#N/A</v>
      </c>
      <c r="H3073" s="247"/>
      <c r="I3073" s="247"/>
      <c r="J3073" s="246"/>
      <c r="K3073" s="246"/>
      <c r="L3073" s="226"/>
      <c r="M3073" s="226"/>
      <c r="N3073" s="246"/>
      <c r="P3073" s="228"/>
      <c r="Q3073" s="245"/>
      <c r="R3073" s="186" t="str">
        <f aca="false">+PROPER(C3073&amp;" "&amp;D3073)</f>
        <v> </v>
      </c>
      <c r="S3073" s="230" t="n">
        <f aca="false">+YEARFRAC(L3073,$S$1)</f>
        <v>126.366666666667</v>
      </c>
      <c r="T3073" s="230" t="n">
        <f aca="false">+YEARFRAC(M3073,$S$1)</f>
        <v>126.366666666667</v>
      </c>
      <c r="U3073" s="231" t="n">
        <f aca="false">+$I3073</f>
        <v>0</v>
      </c>
      <c r="V3073" s="232" t="str">
        <f aca="false">+PROPER(F3073)</f>
        <v/>
      </c>
    </row>
    <row r="3074" customFormat="false" ht="14.25" hidden="false" customHeight="false" outlineLevel="0" collapsed="false">
      <c r="B3074" s="244"/>
      <c r="C3074" s="245"/>
      <c r="D3074" s="245"/>
      <c r="E3074" s="246"/>
      <c r="F3074" s="246"/>
      <c r="G3074" s="225" t="e">
        <f aca="false">VLOOKUP(B3074,'NIVEL ENERO'!A:F,4,0)</f>
        <v>#N/A</v>
      </c>
      <c r="H3074" s="247"/>
      <c r="I3074" s="247"/>
      <c r="J3074" s="246"/>
      <c r="K3074" s="246"/>
      <c r="L3074" s="226"/>
      <c r="M3074" s="226"/>
      <c r="N3074" s="246"/>
      <c r="P3074" s="228"/>
      <c r="Q3074" s="245"/>
      <c r="R3074" s="186" t="str">
        <f aca="false">+PROPER(C3074&amp;" "&amp;D3074)</f>
        <v> </v>
      </c>
      <c r="S3074" s="230" t="n">
        <f aca="false">+YEARFRAC(L3074,$S$1)</f>
        <v>126.366666666667</v>
      </c>
      <c r="T3074" s="230" t="n">
        <f aca="false">+YEARFRAC(M3074,$S$1)</f>
        <v>126.366666666667</v>
      </c>
      <c r="U3074" s="231" t="n">
        <f aca="false">+$I3074</f>
        <v>0</v>
      </c>
      <c r="V3074" s="232" t="str">
        <f aca="false">+PROPER(F3074)</f>
        <v/>
      </c>
    </row>
    <row r="3075" customFormat="false" ht="14.25" hidden="false" customHeight="false" outlineLevel="0" collapsed="false">
      <c r="B3075" s="244"/>
      <c r="C3075" s="245"/>
      <c r="D3075" s="245"/>
      <c r="E3075" s="246"/>
      <c r="F3075" s="246"/>
      <c r="G3075" s="225" t="e">
        <f aca="false">VLOOKUP(B3075,'NIVEL ENERO'!A:F,4,0)</f>
        <v>#N/A</v>
      </c>
      <c r="H3075" s="247"/>
      <c r="I3075" s="247"/>
      <c r="J3075" s="246"/>
      <c r="K3075" s="246"/>
      <c r="L3075" s="226"/>
      <c r="M3075" s="226"/>
      <c r="N3075" s="246"/>
      <c r="P3075" s="228"/>
      <c r="Q3075" s="245"/>
      <c r="R3075" s="186" t="str">
        <f aca="false">+PROPER(C3075&amp;" "&amp;D3075)</f>
        <v> </v>
      </c>
      <c r="S3075" s="230" t="n">
        <f aca="false">+YEARFRAC(L3075,$S$1)</f>
        <v>126.366666666667</v>
      </c>
      <c r="T3075" s="230" t="n">
        <f aca="false">+YEARFRAC(M3075,$S$1)</f>
        <v>126.366666666667</v>
      </c>
      <c r="U3075" s="231" t="n">
        <f aca="false">+$I3075</f>
        <v>0</v>
      </c>
      <c r="V3075" s="232" t="str">
        <f aca="false">+PROPER(F3075)</f>
        <v/>
      </c>
    </row>
    <row r="3076" customFormat="false" ht="14.25" hidden="false" customHeight="false" outlineLevel="0" collapsed="false">
      <c r="B3076" s="244"/>
      <c r="C3076" s="245"/>
      <c r="D3076" s="245"/>
      <c r="E3076" s="246"/>
      <c r="F3076" s="246"/>
      <c r="G3076" s="225" t="e">
        <f aca="false">VLOOKUP(B3076,'NIVEL ENERO'!A:F,4,0)</f>
        <v>#N/A</v>
      </c>
      <c r="H3076" s="247"/>
      <c r="I3076" s="247"/>
      <c r="J3076" s="246"/>
      <c r="K3076" s="246"/>
      <c r="L3076" s="226"/>
      <c r="M3076" s="226"/>
      <c r="N3076" s="246"/>
      <c r="P3076" s="228"/>
      <c r="Q3076" s="245"/>
      <c r="R3076" s="186" t="str">
        <f aca="false">+PROPER(C3076&amp;" "&amp;D3076)</f>
        <v> </v>
      </c>
      <c r="S3076" s="230" t="n">
        <f aca="false">+YEARFRAC(L3076,$S$1)</f>
        <v>126.366666666667</v>
      </c>
      <c r="T3076" s="230" t="n">
        <f aca="false">+YEARFRAC(M3076,$S$1)</f>
        <v>126.366666666667</v>
      </c>
      <c r="U3076" s="231" t="n">
        <f aca="false">+$I3076</f>
        <v>0</v>
      </c>
      <c r="V3076" s="232" t="str">
        <f aca="false">+PROPER(F3076)</f>
        <v/>
      </c>
    </row>
    <row r="3077" customFormat="false" ht="14.25" hidden="false" customHeight="false" outlineLevel="0" collapsed="false">
      <c r="B3077" s="244"/>
      <c r="C3077" s="245"/>
      <c r="D3077" s="245"/>
      <c r="E3077" s="246"/>
      <c r="F3077" s="246"/>
      <c r="G3077" s="225" t="e">
        <f aca="false">VLOOKUP(B3077,'NIVEL ENERO'!A:F,4,0)</f>
        <v>#N/A</v>
      </c>
      <c r="H3077" s="247"/>
      <c r="I3077" s="247"/>
      <c r="J3077" s="246"/>
      <c r="K3077" s="246"/>
      <c r="L3077" s="226"/>
      <c r="M3077" s="226"/>
      <c r="N3077" s="246"/>
      <c r="P3077" s="228"/>
      <c r="Q3077" s="245"/>
      <c r="R3077" s="186" t="str">
        <f aca="false">+PROPER(C3077&amp;" "&amp;D3077)</f>
        <v> </v>
      </c>
      <c r="S3077" s="230" t="n">
        <f aca="false">+YEARFRAC(L3077,$S$1)</f>
        <v>126.366666666667</v>
      </c>
      <c r="T3077" s="230" t="n">
        <f aca="false">+YEARFRAC(M3077,$S$1)</f>
        <v>126.366666666667</v>
      </c>
      <c r="U3077" s="231" t="n">
        <f aca="false">+$I3077</f>
        <v>0</v>
      </c>
      <c r="V3077" s="232" t="str">
        <f aca="false">+PROPER(F3077)</f>
        <v/>
      </c>
    </row>
    <row r="3078" customFormat="false" ht="14.25" hidden="false" customHeight="false" outlineLevel="0" collapsed="false">
      <c r="B3078" s="244"/>
      <c r="C3078" s="245"/>
      <c r="D3078" s="245"/>
      <c r="E3078" s="246"/>
      <c r="F3078" s="246"/>
      <c r="G3078" s="225" t="e">
        <f aca="false">VLOOKUP(B3078,'NIVEL ENERO'!A:F,4,0)</f>
        <v>#N/A</v>
      </c>
      <c r="H3078" s="247"/>
      <c r="I3078" s="247"/>
      <c r="J3078" s="246"/>
      <c r="K3078" s="246"/>
      <c r="L3078" s="226"/>
      <c r="M3078" s="226"/>
      <c r="N3078" s="246"/>
      <c r="P3078" s="228"/>
      <c r="Q3078" s="245"/>
      <c r="R3078" s="186" t="str">
        <f aca="false">+PROPER(C3078&amp;" "&amp;D3078)</f>
        <v> </v>
      </c>
      <c r="S3078" s="230" t="n">
        <f aca="false">+YEARFRAC(L3078,$S$1)</f>
        <v>126.366666666667</v>
      </c>
      <c r="T3078" s="230" t="n">
        <f aca="false">+YEARFRAC(M3078,$S$1)</f>
        <v>126.366666666667</v>
      </c>
      <c r="U3078" s="231" t="n">
        <f aca="false">+$I3078</f>
        <v>0</v>
      </c>
      <c r="V3078" s="232" t="str">
        <f aca="false">+PROPER(F3078)</f>
        <v/>
      </c>
    </row>
    <row r="3079" customFormat="false" ht="14.25" hidden="false" customHeight="false" outlineLevel="0" collapsed="false">
      <c r="B3079" s="244"/>
      <c r="C3079" s="245"/>
      <c r="D3079" s="245"/>
      <c r="E3079" s="246"/>
      <c r="F3079" s="246"/>
      <c r="G3079" s="225" t="e">
        <f aca="false">VLOOKUP(B3079,'NIVEL ENERO'!A:F,4,0)</f>
        <v>#N/A</v>
      </c>
      <c r="H3079" s="247"/>
      <c r="I3079" s="247"/>
      <c r="J3079" s="246"/>
      <c r="K3079" s="246"/>
      <c r="L3079" s="226"/>
      <c r="M3079" s="226"/>
      <c r="N3079" s="246"/>
      <c r="P3079" s="228"/>
      <c r="Q3079" s="245"/>
      <c r="R3079" s="186" t="str">
        <f aca="false">+PROPER(C3079&amp;" "&amp;D3079)</f>
        <v> </v>
      </c>
      <c r="S3079" s="230" t="n">
        <f aca="false">+YEARFRAC(L3079,$S$1)</f>
        <v>126.366666666667</v>
      </c>
      <c r="T3079" s="230" t="n">
        <f aca="false">+YEARFRAC(M3079,$S$1)</f>
        <v>126.366666666667</v>
      </c>
      <c r="U3079" s="231" t="n">
        <f aca="false">+$I3079</f>
        <v>0</v>
      </c>
      <c r="V3079" s="232" t="str">
        <f aca="false">+PROPER(F3079)</f>
        <v/>
      </c>
    </row>
    <row r="3080" customFormat="false" ht="14.25" hidden="false" customHeight="false" outlineLevel="0" collapsed="false">
      <c r="B3080" s="244"/>
      <c r="C3080" s="245"/>
      <c r="D3080" s="245"/>
      <c r="E3080" s="246"/>
      <c r="F3080" s="246"/>
      <c r="G3080" s="225" t="e">
        <f aca="false">VLOOKUP(B3080,'NIVEL ENERO'!A:F,4,0)</f>
        <v>#N/A</v>
      </c>
      <c r="H3080" s="247"/>
      <c r="I3080" s="247"/>
      <c r="J3080" s="246"/>
      <c r="K3080" s="246"/>
      <c r="L3080" s="226"/>
      <c r="M3080" s="226"/>
      <c r="N3080" s="246"/>
      <c r="P3080" s="228"/>
      <c r="Q3080" s="245"/>
      <c r="R3080" s="186" t="str">
        <f aca="false">+PROPER(C3080&amp;" "&amp;D3080)</f>
        <v> </v>
      </c>
      <c r="S3080" s="230" t="n">
        <f aca="false">+YEARFRAC(L3080,$S$1)</f>
        <v>126.366666666667</v>
      </c>
      <c r="T3080" s="230" t="n">
        <f aca="false">+YEARFRAC(M3080,$S$1)</f>
        <v>126.366666666667</v>
      </c>
      <c r="U3080" s="231" t="n">
        <f aca="false">+$I3080</f>
        <v>0</v>
      </c>
      <c r="V3080" s="232" t="str">
        <f aca="false">+PROPER(F3080)</f>
        <v/>
      </c>
    </row>
    <row r="3081" customFormat="false" ht="14.25" hidden="false" customHeight="false" outlineLevel="0" collapsed="false">
      <c r="B3081" s="244"/>
      <c r="C3081" s="245"/>
      <c r="D3081" s="245"/>
      <c r="E3081" s="246"/>
      <c r="F3081" s="246"/>
      <c r="G3081" s="225" t="e">
        <f aca="false">VLOOKUP(B3081,'NIVEL ENERO'!A:F,4,0)</f>
        <v>#N/A</v>
      </c>
      <c r="H3081" s="247"/>
      <c r="I3081" s="247"/>
      <c r="J3081" s="246"/>
      <c r="K3081" s="246"/>
      <c r="L3081" s="226"/>
      <c r="M3081" s="226"/>
      <c r="N3081" s="246"/>
      <c r="P3081" s="228"/>
      <c r="Q3081" s="245"/>
      <c r="R3081" s="186" t="str">
        <f aca="false">+PROPER(C3081&amp;" "&amp;D3081)</f>
        <v> </v>
      </c>
      <c r="S3081" s="230" t="n">
        <f aca="false">+YEARFRAC(L3081,$S$1)</f>
        <v>126.366666666667</v>
      </c>
      <c r="T3081" s="230" t="n">
        <f aca="false">+YEARFRAC(M3081,$S$1)</f>
        <v>126.366666666667</v>
      </c>
      <c r="U3081" s="231" t="n">
        <f aca="false">+$I3081</f>
        <v>0</v>
      </c>
      <c r="V3081" s="232" t="str">
        <f aca="false">+PROPER(F3081)</f>
        <v/>
      </c>
    </row>
    <row r="3082" customFormat="false" ht="14.25" hidden="false" customHeight="false" outlineLevel="0" collapsed="false">
      <c r="B3082" s="244"/>
      <c r="C3082" s="245"/>
      <c r="D3082" s="245"/>
      <c r="E3082" s="246"/>
      <c r="F3082" s="246"/>
      <c r="G3082" s="225" t="e">
        <f aca="false">VLOOKUP(B3082,'NIVEL ENERO'!A:F,4,0)</f>
        <v>#N/A</v>
      </c>
      <c r="H3082" s="247"/>
      <c r="I3082" s="247"/>
      <c r="J3082" s="246"/>
      <c r="K3082" s="246"/>
      <c r="L3082" s="226"/>
      <c r="M3082" s="226"/>
      <c r="N3082" s="246"/>
      <c r="P3082" s="228"/>
      <c r="Q3082" s="245"/>
      <c r="R3082" s="186" t="str">
        <f aca="false">+PROPER(C3082&amp;" "&amp;D3082)</f>
        <v> </v>
      </c>
      <c r="S3082" s="230" t="n">
        <f aca="false">+YEARFRAC(L3082,$S$1)</f>
        <v>126.366666666667</v>
      </c>
      <c r="T3082" s="230" t="n">
        <f aca="false">+YEARFRAC(M3082,$S$1)</f>
        <v>126.366666666667</v>
      </c>
      <c r="U3082" s="231" t="n">
        <f aca="false">+$I3082</f>
        <v>0</v>
      </c>
      <c r="V3082" s="232" t="str">
        <f aca="false">+PROPER(F3082)</f>
        <v/>
      </c>
    </row>
    <row r="3083" customFormat="false" ht="14.25" hidden="false" customHeight="false" outlineLevel="0" collapsed="false">
      <c r="B3083" s="244"/>
      <c r="C3083" s="245"/>
      <c r="D3083" s="245"/>
      <c r="E3083" s="246"/>
      <c r="F3083" s="246"/>
      <c r="G3083" s="225" t="e">
        <f aca="false">VLOOKUP(B3083,'NIVEL ENERO'!A:F,4,0)</f>
        <v>#N/A</v>
      </c>
      <c r="H3083" s="247"/>
      <c r="I3083" s="247"/>
      <c r="J3083" s="246"/>
      <c r="K3083" s="246"/>
      <c r="L3083" s="226"/>
      <c r="M3083" s="226"/>
      <c r="N3083" s="246"/>
      <c r="P3083" s="228"/>
      <c r="Q3083" s="245"/>
      <c r="R3083" s="186" t="str">
        <f aca="false">+PROPER(C3083&amp;" "&amp;D3083)</f>
        <v> </v>
      </c>
      <c r="S3083" s="230" t="n">
        <f aca="false">+YEARFRAC(L3083,$S$1)</f>
        <v>126.366666666667</v>
      </c>
      <c r="T3083" s="230" t="n">
        <f aca="false">+YEARFRAC(M3083,$S$1)</f>
        <v>126.366666666667</v>
      </c>
      <c r="U3083" s="231" t="n">
        <f aca="false">+$I3083</f>
        <v>0</v>
      </c>
      <c r="V3083" s="232" t="str">
        <f aca="false">+PROPER(F3083)</f>
        <v/>
      </c>
    </row>
    <row r="3084" customFormat="false" ht="14.25" hidden="false" customHeight="false" outlineLevel="0" collapsed="false">
      <c r="B3084" s="244"/>
      <c r="C3084" s="245"/>
      <c r="D3084" s="245"/>
      <c r="E3084" s="246"/>
      <c r="F3084" s="246"/>
      <c r="G3084" s="225" t="e">
        <f aca="false">VLOOKUP(B3084,'NIVEL ENERO'!A:F,4,0)</f>
        <v>#N/A</v>
      </c>
      <c r="H3084" s="247"/>
      <c r="I3084" s="247"/>
      <c r="J3084" s="246"/>
      <c r="K3084" s="246"/>
      <c r="L3084" s="226"/>
      <c r="M3084" s="226"/>
      <c r="N3084" s="246"/>
      <c r="P3084" s="228"/>
      <c r="Q3084" s="245"/>
      <c r="R3084" s="186" t="str">
        <f aca="false">+PROPER(C3084&amp;" "&amp;D3084)</f>
        <v> </v>
      </c>
      <c r="S3084" s="230" t="n">
        <f aca="false">+YEARFRAC(L3084,$S$1)</f>
        <v>126.366666666667</v>
      </c>
      <c r="T3084" s="230" t="n">
        <f aca="false">+YEARFRAC(M3084,$S$1)</f>
        <v>126.366666666667</v>
      </c>
      <c r="U3084" s="231" t="n">
        <f aca="false">+$I3084</f>
        <v>0</v>
      </c>
      <c r="V3084" s="232" t="str">
        <f aca="false">+PROPER(F3084)</f>
        <v/>
      </c>
    </row>
    <row r="3085" customFormat="false" ht="14.25" hidden="false" customHeight="false" outlineLevel="0" collapsed="false">
      <c r="B3085" s="244"/>
      <c r="C3085" s="245"/>
      <c r="D3085" s="245"/>
      <c r="E3085" s="246"/>
      <c r="F3085" s="246"/>
      <c r="G3085" s="225" t="e">
        <f aca="false">VLOOKUP(B3085,'NIVEL ENERO'!A:F,4,0)</f>
        <v>#N/A</v>
      </c>
      <c r="H3085" s="247"/>
      <c r="I3085" s="247"/>
      <c r="J3085" s="246"/>
      <c r="K3085" s="246"/>
      <c r="L3085" s="226"/>
      <c r="M3085" s="226"/>
      <c r="N3085" s="246"/>
      <c r="P3085" s="228"/>
      <c r="Q3085" s="245"/>
      <c r="R3085" s="186" t="str">
        <f aca="false">+PROPER(C3085&amp;" "&amp;D3085)</f>
        <v> </v>
      </c>
      <c r="S3085" s="230" t="n">
        <f aca="false">+YEARFRAC(L3085,$S$1)</f>
        <v>126.366666666667</v>
      </c>
      <c r="T3085" s="230" t="n">
        <f aca="false">+YEARFRAC(M3085,$S$1)</f>
        <v>126.366666666667</v>
      </c>
      <c r="U3085" s="231" t="n">
        <f aca="false">+$I3085</f>
        <v>0</v>
      </c>
      <c r="V3085" s="232" t="str">
        <f aca="false">+PROPER(F3085)</f>
        <v/>
      </c>
    </row>
    <row r="3086" customFormat="false" ht="14.25" hidden="false" customHeight="false" outlineLevel="0" collapsed="false">
      <c r="B3086" s="244"/>
      <c r="C3086" s="245"/>
      <c r="D3086" s="245"/>
      <c r="E3086" s="246"/>
      <c r="F3086" s="246"/>
      <c r="G3086" s="225" t="e">
        <f aca="false">VLOOKUP(B3086,'NIVEL ENERO'!A:F,4,0)</f>
        <v>#N/A</v>
      </c>
      <c r="H3086" s="247"/>
      <c r="I3086" s="247"/>
      <c r="J3086" s="246"/>
      <c r="K3086" s="246"/>
      <c r="L3086" s="226"/>
      <c r="M3086" s="226"/>
      <c r="N3086" s="246"/>
      <c r="P3086" s="228"/>
      <c r="Q3086" s="245"/>
      <c r="R3086" s="186" t="str">
        <f aca="false">+PROPER(C3086&amp;" "&amp;D3086)</f>
        <v> </v>
      </c>
      <c r="S3086" s="230" t="n">
        <f aca="false">+YEARFRAC(L3086,$S$1)</f>
        <v>126.366666666667</v>
      </c>
      <c r="T3086" s="230" t="n">
        <f aca="false">+YEARFRAC(M3086,$S$1)</f>
        <v>126.366666666667</v>
      </c>
      <c r="U3086" s="231" t="n">
        <f aca="false">+$I3086</f>
        <v>0</v>
      </c>
      <c r="V3086" s="232" t="str">
        <f aca="false">+PROPER(F3086)</f>
        <v/>
      </c>
    </row>
    <row r="3087" customFormat="false" ht="14.25" hidden="false" customHeight="false" outlineLevel="0" collapsed="false">
      <c r="B3087" s="244"/>
      <c r="C3087" s="245"/>
      <c r="D3087" s="245"/>
      <c r="E3087" s="246"/>
      <c r="F3087" s="246"/>
      <c r="G3087" s="225" t="e">
        <f aca="false">VLOOKUP(B3087,'NIVEL ENERO'!A:F,4,0)</f>
        <v>#N/A</v>
      </c>
      <c r="H3087" s="247"/>
      <c r="I3087" s="247"/>
      <c r="J3087" s="246"/>
      <c r="K3087" s="246"/>
      <c r="L3087" s="226"/>
      <c r="M3087" s="226"/>
      <c r="N3087" s="246"/>
      <c r="P3087" s="228"/>
      <c r="Q3087" s="245"/>
      <c r="R3087" s="186" t="str">
        <f aca="false">+PROPER(C3087&amp;" "&amp;D3087)</f>
        <v> </v>
      </c>
      <c r="S3087" s="230" t="n">
        <f aca="false">+YEARFRAC(L3087,$S$1)</f>
        <v>126.366666666667</v>
      </c>
      <c r="T3087" s="230" t="n">
        <f aca="false">+YEARFRAC(M3087,$S$1)</f>
        <v>126.366666666667</v>
      </c>
      <c r="U3087" s="231" t="n">
        <f aca="false">+$I3087</f>
        <v>0</v>
      </c>
      <c r="V3087" s="232" t="str">
        <f aca="false">+PROPER(F3087)</f>
        <v/>
      </c>
    </row>
    <row r="3088" customFormat="false" ht="14.25" hidden="false" customHeight="false" outlineLevel="0" collapsed="false">
      <c r="B3088" s="244"/>
      <c r="C3088" s="245"/>
      <c r="D3088" s="245"/>
      <c r="E3088" s="246"/>
      <c r="F3088" s="246"/>
      <c r="G3088" s="225" t="e">
        <f aca="false">VLOOKUP(B3088,'NIVEL ENERO'!A:F,4,0)</f>
        <v>#N/A</v>
      </c>
      <c r="H3088" s="247"/>
      <c r="I3088" s="247"/>
      <c r="J3088" s="246"/>
      <c r="K3088" s="246"/>
      <c r="L3088" s="226"/>
      <c r="M3088" s="226"/>
      <c r="N3088" s="246"/>
      <c r="P3088" s="228"/>
      <c r="Q3088" s="245"/>
      <c r="R3088" s="186" t="str">
        <f aca="false">+PROPER(C3088&amp;" "&amp;D3088)</f>
        <v> </v>
      </c>
      <c r="S3088" s="230" t="n">
        <f aca="false">+YEARFRAC(L3088,$S$1)</f>
        <v>126.366666666667</v>
      </c>
      <c r="T3088" s="230" t="n">
        <f aca="false">+YEARFRAC(M3088,$S$1)</f>
        <v>126.366666666667</v>
      </c>
      <c r="U3088" s="231" t="n">
        <f aca="false">+$I3088</f>
        <v>0</v>
      </c>
      <c r="V3088" s="232" t="str">
        <f aca="false">+PROPER(F3088)</f>
        <v/>
      </c>
    </row>
    <row r="3089" customFormat="false" ht="14.25" hidden="false" customHeight="false" outlineLevel="0" collapsed="false">
      <c r="B3089" s="244"/>
      <c r="C3089" s="245"/>
      <c r="D3089" s="245"/>
      <c r="E3089" s="246"/>
      <c r="F3089" s="246"/>
      <c r="G3089" s="225" t="e">
        <f aca="false">VLOOKUP(B3089,'NIVEL ENERO'!A:F,4,0)</f>
        <v>#N/A</v>
      </c>
      <c r="H3089" s="247"/>
      <c r="I3089" s="247"/>
      <c r="J3089" s="246"/>
      <c r="K3089" s="246"/>
      <c r="L3089" s="226"/>
      <c r="M3089" s="226"/>
      <c r="N3089" s="246"/>
      <c r="P3089" s="228"/>
      <c r="Q3089" s="245"/>
      <c r="R3089" s="186" t="str">
        <f aca="false">+PROPER(C3089&amp;" "&amp;D3089)</f>
        <v> </v>
      </c>
      <c r="S3089" s="230" t="n">
        <f aca="false">+YEARFRAC(L3089,$S$1)</f>
        <v>126.366666666667</v>
      </c>
      <c r="T3089" s="230" t="n">
        <f aca="false">+YEARFRAC(M3089,$S$1)</f>
        <v>126.366666666667</v>
      </c>
      <c r="U3089" s="231" t="n">
        <f aca="false">+$I3089</f>
        <v>0</v>
      </c>
      <c r="V3089" s="232" t="str">
        <f aca="false">+PROPER(F3089)</f>
        <v/>
      </c>
    </row>
    <row r="3090" customFormat="false" ht="14.25" hidden="false" customHeight="false" outlineLevel="0" collapsed="false">
      <c r="B3090" s="244"/>
      <c r="C3090" s="245"/>
      <c r="D3090" s="245"/>
      <c r="E3090" s="246"/>
      <c r="F3090" s="246"/>
      <c r="G3090" s="225" t="e">
        <f aca="false">VLOOKUP(B3090,'NIVEL ENERO'!A:F,4,0)</f>
        <v>#N/A</v>
      </c>
      <c r="H3090" s="247"/>
      <c r="I3090" s="247"/>
      <c r="J3090" s="246"/>
      <c r="K3090" s="246"/>
      <c r="L3090" s="226"/>
      <c r="M3090" s="226"/>
      <c r="N3090" s="246"/>
      <c r="P3090" s="228"/>
      <c r="Q3090" s="245"/>
      <c r="R3090" s="186" t="str">
        <f aca="false">+PROPER(C3090&amp;" "&amp;D3090)</f>
        <v> </v>
      </c>
      <c r="S3090" s="230" t="n">
        <f aca="false">+YEARFRAC(L3090,$S$1)</f>
        <v>126.366666666667</v>
      </c>
      <c r="T3090" s="230" t="n">
        <f aca="false">+YEARFRAC(M3090,$S$1)</f>
        <v>126.366666666667</v>
      </c>
      <c r="U3090" s="231" t="n">
        <f aca="false">+$I3090</f>
        <v>0</v>
      </c>
      <c r="V3090" s="232" t="str">
        <f aca="false">+PROPER(F3090)</f>
        <v/>
      </c>
    </row>
    <row r="3091" customFormat="false" ht="14.25" hidden="false" customHeight="false" outlineLevel="0" collapsed="false">
      <c r="B3091" s="244"/>
      <c r="C3091" s="245"/>
      <c r="D3091" s="245"/>
      <c r="E3091" s="246"/>
      <c r="F3091" s="246"/>
      <c r="G3091" s="225" t="e">
        <f aca="false">VLOOKUP(B3091,'NIVEL ENERO'!A:F,4,0)</f>
        <v>#N/A</v>
      </c>
      <c r="H3091" s="247"/>
      <c r="I3091" s="247"/>
      <c r="J3091" s="246"/>
      <c r="K3091" s="246"/>
      <c r="L3091" s="226"/>
      <c r="M3091" s="226"/>
      <c r="N3091" s="246"/>
      <c r="P3091" s="228"/>
      <c r="Q3091" s="245"/>
      <c r="R3091" s="186" t="str">
        <f aca="false">+PROPER(C3091&amp;" "&amp;D3091)</f>
        <v> </v>
      </c>
      <c r="S3091" s="230" t="n">
        <f aca="false">+YEARFRAC(L3091,$S$1)</f>
        <v>126.366666666667</v>
      </c>
      <c r="T3091" s="230" t="n">
        <f aca="false">+YEARFRAC(M3091,$S$1)</f>
        <v>126.366666666667</v>
      </c>
      <c r="U3091" s="231" t="n">
        <f aca="false">+$I3091</f>
        <v>0</v>
      </c>
      <c r="V3091" s="232" t="str">
        <f aca="false">+PROPER(F3091)</f>
        <v/>
      </c>
    </row>
    <row r="3092" customFormat="false" ht="14.25" hidden="false" customHeight="false" outlineLevel="0" collapsed="false">
      <c r="B3092" s="244"/>
      <c r="C3092" s="245"/>
      <c r="D3092" s="245"/>
      <c r="E3092" s="246"/>
      <c r="F3092" s="246"/>
      <c r="G3092" s="225" t="e">
        <f aca="false">VLOOKUP(B3092,'NIVEL ENERO'!A:F,4,0)</f>
        <v>#N/A</v>
      </c>
      <c r="H3092" s="247"/>
      <c r="I3092" s="247"/>
      <c r="J3092" s="246"/>
      <c r="K3092" s="246"/>
      <c r="L3092" s="226"/>
      <c r="M3092" s="226"/>
      <c r="N3092" s="246"/>
      <c r="P3092" s="228"/>
      <c r="Q3092" s="245"/>
      <c r="R3092" s="186" t="str">
        <f aca="false">+PROPER(C3092&amp;" "&amp;D3092)</f>
        <v> </v>
      </c>
      <c r="S3092" s="230" t="n">
        <f aca="false">+YEARFRAC(L3092,$S$1)</f>
        <v>126.366666666667</v>
      </c>
      <c r="T3092" s="230" t="n">
        <f aca="false">+YEARFRAC(M3092,$S$1)</f>
        <v>126.366666666667</v>
      </c>
      <c r="U3092" s="231" t="n">
        <f aca="false">+$I3092</f>
        <v>0</v>
      </c>
      <c r="V3092" s="232" t="str">
        <f aca="false">+PROPER(F3092)</f>
        <v/>
      </c>
    </row>
    <row r="3093" customFormat="false" ht="14.25" hidden="false" customHeight="false" outlineLevel="0" collapsed="false">
      <c r="B3093" s="244"/>
      <c r="C3093" s="245"/>
      <c r="D3093" s="245"/>
      <c r="E3093" s="246"/>
      <c r="F3093" s="246"/>
      <c r="G3093" s="225" t="e">
        <f aca="false">VLOOKUP(B3093,'NIVEL ENERO'!A:F,4,0)</f>
        <v>#N/A</v>
      </c>
      <c r="H3093" s="247"/>
      <c r="I3093" s="247"/>
      <c r="J3093" s="246"/>
      <c r="K3093" s="246"/>
      <c r="L3093" s="226"/>
      <c r="M3093" s="226"/>
      <c r="N3093" s="246"/>
      <c r="P3093" s="228"/>
      <c r="Q3093" s="245"/>
      <c r="R3093" s="186" t="str">
        <f aca="false">+PROPER(C3093&amp;" "&amp;D3093)</f>
        <v> </v>
      </c>
      <c r="S3093" s="230" t="n">
        <f aca="false">+YEARFRAC(L3093,$S$1)</f>
        <v>126.366666666667</v>
      </c>
      <c r="T3093" s="230" t="n">
        <f aca="false">+YEARFRAC(M3093,$S$1)</f>
        <v>126.366666666667</v>
      </c>
      <c r="U3093" s="231" t="n">
        <f aca="false">+$I3093</f>
        <v>0</v>
      </c>
      <c r="V3093" s="232" t="str">
        <f aca="false">+PROPER(F3093)</f>
        <v/>
      </c>
    </row>
    <row r="3094" customFormat="false" ht="14.25" hidden="false" customHeight="false" outlineLevel="0" collapsed="false">
      <c r="B3094" s="244"/>
      <c r="C3094" s="245"/>
      <c r="D3094" s="245"/>
      <c r="E3094" s="246"/>
      <c r="F3094" s="246"/>
      <c r="G3094" s="225" t="e">
        <f aca="false">VLOOKUP(B3094,'NIVEL ENERO'!A:F,4,0)</f>
        <v>#N/A</v>
      </c>
      <c r="H3094" s="247"/>
      <c r="I3094" s="247"/>
      <c r="J3094" s="246"/>
      <c r="K3094" s="246"/>
      <c r="L3094" s="226"/>
      <c r="M3094" s="226"/>
      <c r="N3094" s="246"/>
      <c r="P3094" s="228"/>
      <c r="Q3094" s="245"/>
      <c r="R3094" s="186" t="str">
        <f aca="false">+PROPER(C3094&amp;" "&amp;D3094)</f>
        <v> </v>
      </c>
      <c r="S3094" s="230" t="n">
        <f aca="false">+YEARFRAC(L3094,$S$1)</f>
        <v>126.366666666667</v>
      </c>
      <c r="T3094" s="230" t="n">
        <f aca="false">+YEARFRAC(M3094,$S$1)</f>
        <v>126.366666666667</v>
      </c>
      <c r="U3094" s="231" t="n">
        <f aca="false">+$I3094</f>
        <v>0</v>
      </c>
      <c r="V3094" s="232" t="str">
        <f aca="false">+PROPER(F3094)</f>
        <v/>
      </c>
    </row>
    <row r="3095" customFormat="false" ht="14.25" hidden="false" customHeight="false" outlineLevel="0" collapsed="false">
      <c r="B3095" s="244"/>
      <c r="C3095" s="245"/>
      <c r="D3095" s="245"/>
      <c r="E3095" s="246"/>
      <c r="F3095" s="246"/>
      <c r="G3095" s="225" t="e">
        <f aca="false">VLOOKUP(B3095,'NIVEL ENERO'!A:F,4,0)</f>
        <v>#N/A</v>
      </c>
      <c r="H3095" s="247"/>
      <c r="I3095" s="247"/>
      <c r="J3095" s="246"/>
      <c r="K3095" s="246"/>
      <c r="L3095" s="226"/>
      <c r="M3095" s="226"/>
      <c r="N3095" s="246"/>
      <c r="P3095" s="228"/>
      <c r="Q3095" s="245"/>
      <c r="R3095" s="186" t="str">
        <f aca="false">+PROPER(C3095&amp;" "&amp;D3095)</f>
        <v> </v>
      </c>
      <c r="S3095" s="230" t="n">
        <f aca="false">+YEARFRAC(L3095,$S$1)</f>
        <v>126.366666666667</v>
      </c>
      <c r="T3095" s="230" t="n">
        <f aca="false">+YEARFRAC(M3095,$S$1)</f>
        <v>126.366666666667</v>
      </c>
      <c r="U3095" s="231" t="n">
        <f aca="false">+$I3095</f>
        <v>0</v>
      </c>
      <c r="V3095" s="232" t="str">
        <f aca="false">+PROPER(F3095)</f>
        <v/>
      </c>
    </row>
    <row r="3096" customFormat="false" ht="14.25" hidden="false" customHeight="false" outlineLevel="0" collapsed="false">
      <c r="B3096" s="244"/>
      <c r="C3096" s="245"/>
      <c r="D3096" s="245"/>
      <c r="E3096" s="246"/>
      <c r="F3096" s="246"/>
      <c r="G3096" s="225" t="e">
        <f aca="false">VLOOKUP(B3096,'NIVEL ENERO'!A:F,4,0)</f>
        <v>#N/A</v>
      </c>
      <c r="H3096" s="247"/>
      <c r="I3096" s="247"/>
      <c r="J3096" s="246"/>
      <c r="K3096" s="246"/>
      <c r="L3096" s="226"/>
      <c r="M3096" s="226"/>
      <c r="N3096" s="246"/>
      <c r="P3096" s="228"/>
      <c r="Q3096" s="245"/>
      <c r="R3096" s="186" t="str">
        <f aca="false">+PROPER(C3096&amp;" "&amp;D3096)</f>
        <v> </v>
      </c>
      <c r="S3096" s="230" t="n">
        <f aca="false">+YEARFRAC(L3096,$S$1)</f>
        <v>126.366666666667</v>
      </c>
      <c r="T3096" s="230" t="n">
        <f aca="false">+YEARFRAC(M3096,$S$1)</f>
        <v>126.366666666667</v>
      </c>
      <c r="U3096" s="231" t="n">
        <f aca="false">+$I3096</f>
        <v>0</v>
      </c>
      <c r="V3096" s="232" t="str">
        <f aca="false">+PROPER(F3096)</f>
        <v/>
      </c>
    </row>
    <row r="3097" customFormat="false" ht="14.25" hidden="false" customHeight="false" outlineLevel="0" collapsed="false">
      <c r="B3097" s="244"/>
      <c r="C3097" s="245"/>
      <c r="D3097" s="245"/>
      <c r="E3097" s="246"/>
      <c r="F3097" s="246"/>
      <c r="G3097" s="225" t="e">
        <f aca="false">VLOOKUP(B3097,'NIVEL ENERO'!A:F,4,0)</f>
        <v>#N/A</v>
      </c>
      <c r="H3097" s="247"/>
      <c r="I3097" s="247"/>
      <c r="J3097" s="246"/>
      <c r="K3097" s="246"/>
      <c r="L3097" s="226"/>
      <c r="M3097" s="226"/>
      <c r="N3097" s="246"/>
      <c r="P3097" s="228"/>
      <c r="Q3097" s="245"/>
      <c r="R3097" s="186" t="str">
        <f aca="false">+PROPER(C3097&amp;" "&amp;D3097)</f>
        <v> </v>
      </c>
      <c r="S3097" s="230" t="n">
        <f aca="false">+YEARFRAC(L3097,$S$1)</f>
        <v>126.366666666667</v>
      </c>
      <c r="T3097" s="230" t="n">
        <f aca="false">+YEARFRAC(M3097,$S$1)</f>
        <v>126.366666666667</v>
      </c>
      <c r="U3097" s="231" t="n">
        <f aca="false">+$I3097</f>
        <v>0</v>
      </c>
      <c r="V3097" s="232" t="str">
        <f aca="false">+PROPER(F3097)</f>
        <v/>
      </c>
    </row>
    <row r="3098" customFormat="false" ht="14.25" hidden="false" customHeight="false" outlineLevel="0" collapsed="false">
      <c r="B3098" s="244"/>
      <c r="C3098" s="245"/>
      <c r="D3098" s="245"/>
      <c r="E3098" s="246"/>
      <c r="F3098" s="246"/>
      <c r="G3098" s="225" t="e">
        <f aca="false">VLOOKUP(B3098,'NIVEL ENERO'!A:F,4,0)</f>
        <v>#N/A</v>
      </c>
      <c r="H3098" s="247"/>
      <c r="I3098" s="247"/>
      <c r="J3098" s="246"/>
      <c r="K3098" s="246"/>
      <c r="L3098" s="226"/>
      <c r="M3098" s="226"/>
      <c r="N3098" s="246"/>
      <c r="P3098" s="228"/>
      <c r="Q3098" s="245"/>
      <c r="R3098" s="186" t="str">
        <f aca="false">+PROPER(C3098&amp;" "&amp;D3098)</f>
        <v> </v>
      </c>
      <c r="S3098" s="230" t="n">
        <f aca="false">+YEARFRAC(L3098,$S$1)</f>
        <v>126.366666666667</v>
      </c>
      <c r="T3098" s="230" t="n">
        <f aca="false">+YEARFRAC(M3098,$S$1)</f>
        <v>126.366666666667</v>
      </c>
      <c r="U3098" s="231" t="n">
        <f aca="false">+$I3098</f>
        <v>0</v>
      </c>
      <c r="V3098" s="232" t="str">
        <f aca="false">+PROPER(F3098)</f>
        <v/>
      </c>
    </row>
    <row r="3099" customFormat="false" ht="14.25" hidden="false" customHeight="false" outlineLevel="0" collapsed="false">
      <c r="B3099" s="244"/>
      <c r="C3099" s="245"/>
      <c r="D3099" s="245"/>
      <c r="E3099" s="246"/>
      <c r="F3099" s="246"/>
      <c r="G3099" s="225" t="e">
        <f aca="false">VLOOKUP(B3099,'NIVEL ENERO'!A:F,4,0)</f>
        <v>#N/A</v>
      </c>
      <c r="H3099" s="247"/>
      <c r="I3099" s="247"/>
      <c r="J3099" s="246"/>
      <c r="K3099" s="246"/>
      <c r="L3099" s="226"/>
      <c r="M3099" s="226"/>
      <c r="N3099" s="246"/>
      <c r="P3099" s="228"/>
      <c r="Q3099" s="245"/>
      <c r="R3099" s="186" t="str">
        <f aca="false">+PROPER(C3099&amp;" "&amp;D3099)</f>
        <v> </v>
      </c>
      <c r="S3099" s="230" t="n">
        <f aca="false">+YEARFRAC(L3099,$S$1)</f>
        <v>126.366666666667</v>
      </c>
      <c r="T3099" s="230" t="n">
        <f aca="false">+YEARFRAC(M3099,$S$1)</f>
        <v>126.366666666667</v>
      </c>
      <c r="U3099" s="231" t="n">
        <f aca="false">+$I3099</f>
        <v>0</v>
      </c>
      <c r="V3099" s="232" t="str">
        <f aca="false">+PROPER(F3099)</f>
        <v/>
      </c>
    </row>
    <row r="3100" customFormat="false" ht="14.25" hidden="false" customHeight="false" outlineLevel="0" collapsed="false">
      <c r="B3100" s="244"/>
      <c r="C3100" s="245"/>
      <c r="D3100" s="245"/>
      <c r="E3100" s="246"/>
      <c r="F3100" s="246"/>
      <c r="G3100" s="225" t="e">
        <f aca="false">VLOOKUP(B3100,'NIVEL ENERO'!A:F,4,0)</f>
        <v>#N/A</v>
      </c>
      <c r="H3100" s="247"/>
      <c r="I3100" s="247"/>
      <c r="J3100" s="246"/>
      <c r="K3100" s="246"/>
      <c r="L3100" s="226"/>
      <c r="M3100" s="226"/>
      <c r="N3100" s="246"/>
      <c r="P3100" s="228"/>
      <c r="Q3100" s="245"/>
      <c r="R3100" s="186" t="str">
        <f aca="false">+PROPER(C3100&amp;" "&amp;D3100)</f>
        <v> </v>
      </c>
      <c r="S3100" s="230" t="n">
        <f aca="false">+YEARFRAC(L3100,$S$1)</f>
        <v>126.366666666667</v>
      </c>
      <c r="T3100" s="230" t="n">
        <f aca="false">+YEARFRAC(M3100,$S$1)</f>
        <v>126.366666666667</v>
      </c>
      <c r="U3100" s="231" t="n">
        <f aca="false">+$I3100</f>
        <v>0</v>
      </c>
      <c r="V3100" s="232" t="str">
        <f aca="false">+PROPER(F3100)</f>
        <v/>
      </c>
    </row>
    <row r="3101" customFormat="false" ht="14.25" hidden="false" customHeight="false" outlineLevel="0" collapsed="false">
      <c r="B3101" s="244"/>
      <c r="C3101" s="245"/>
      <c r="D3101" s="245"/>
      <c r="E3101" s="246"/>
      <c r="F3101" s="246"/>
      <c r="G3101" s="225" t="e">
        <f aca="false">VLOOKUP(B3101,'NIVEL ENERO'!A:F,4,0)</f>
        <v>#N/A</v>
      </c>
      <c r="H3101" s="247"/>
      <c r="I3101" s="247"/>
      <c r="J3101" s="246"/>
      <c r="K3101" s="246"/>
      <c r="L3101" s="226"/>
      <c r="M3101" s="226"/>
      <c r="N3101" s="246"/>
      <c r="P3101" s="228"/>
      <c r="Q3101" s="245"/>
      <c r="R3101" s="186" t="str">
        <f aca="false">+PROPER(C3101&amp;" "&amp;D3101)</f>
        <v> </v>
      </c>
      <c r="S3101" s="230" t="n">
        <f aca="false">+YEARFRAC(L3101,$S$1)</f>
        <v>126.366666666667</v>
      </c>
      <c r="T3101" s="230" t="n">
        <f aca="false">+YEARFRAC(M3101,$S$1)</f>
        <v>126.366666666667</v>
      </c>
      <c r="U3101" s="231" t="n">
        <f aca="false">+$I3101</f>
        <v>0</v>
      </c>
      <c r="V3101" s="232" t="str">
        <f aca="false">+PROPER(F3101)</f>
        <v/>
      </c>
    </row>
    <row r="3102" customFormat="false" ht="14.25" hidden="false" customHeight="false" outlineLevel="0" collapsed="false">
      <c r="B3102" s="244"/>
      <c r="C3102" s="245"/>
      <c r="D3102" s="245"/>
      <c r="E3102" s="246"/>
      <c r="F3102" s="246"/>
      <c r="G3102" s="225" t="e">
        <f aca="false">VLOOKUP(B3102,'NIVEL ENERO'!A:F,4,0)</f>
        <v>#N/A</v>
      </c>
      <c r="H3102" s="247"/>
      <c r="I3102" s="247"/>
      <c r="J3102" s="246"/>
      <c r="K3102" s="246"/>
      <c r="L3102" s="226"/>
      <c r="M3102" s="226"/>
      <c r="N3102" s="246"/>
      <c r="P3102" s="228"/>
      <c r="Q3102" s="245"/>
      <c r="R3102" s="186" t="str">
        <f aca="false">+PROPER(C3102&amp;" "&amp;D3102)</f>
        <v> </v>
      </c>
      <c r="S3102" s="230" t="n">
        <f aca="false">+YEARFRAC(L3102,$S$1)</f>
        <v>126.366666666667</v>
      </c>
      <c r="T3102" s="230" t="n">
        <f aca="false">+YEARFRAC(M3102,$S$1)</f>
        <v>126.366666666667</v>
      </c>
      <c r="U3102" s="231" t="n">
        <f aca="false">+$I3102</f>
        <v>0</v>
      </c>
      <c r="V3102" s="232" t="str">
        <f aca="false">+PROPER(F3102)</f>
        <v/>
      </c>
    </row>
    <row r="3103" customFormat="false" ht="14.25" hidden="false" customHeight="false" outlineLevel="0" collapsed="false">
      <c r="B3103" s="244"/>
      <c r="C3103" s="245"/>
      <c r="D3103" s="245"/>
      <c r="E3103" s="246"/>
      <c r="F3103" s="246"/>
      <c r="G3103" s="225" t="e">
        <f aca="false">VLOOKUP(B3103,'NIVEL ENERO'!A:F,4,0)</f>
        <v>#N/A</v>
      </c>
      <c r="H3103" s="247"/>
      <c r="I3103" s="247"/>
      <c r="J3103" s="246"/>
      <c r="K3103" s="246"/>
      <c r="L3103" s="226"/>
      <c r="M3103" s="226"/>
      <c r="N3103" s="246"/>
      <c r="P3103" s="228"/>
      <c r="Q3103" s="245"/>
      <c r="R3103" s="186" t="str">
        <f aca="false">+PROPER(C3103&amp;" "&amp;D3103)</f>
        <v> </v>
      </c>
      <c r="S3103" s="230" t="n">
        <f aca="false">+YEARFRAC(L3103,$S$1)</f>
        <v>126.366666666667</v>
      </c>
      <c r="T3103" s="230" t="n">
        <f aca="false">+YEARFRAC(M3103,$S$1)</f>
        <v>126.366666666667</v>
      </c>
      <c r="U3103" s="231" t="n">
        <f aca="false">+$I3103</f>
        <v>0</v>
      </c>
      <c r="V3103" s="232" t="str">
        <f aca="false">+PROPER(F3103)</f>
        <v/>
      </c>
    </row>
    <row r="3104" customFormat="false" ht="14.25" hidden="false" customHeight="false" outlineLevel="0" collapsed="false">
      <c r="B3104" s="244"/>
      <c r="C3104" s="245"/>
      <c r="D3104" s="245"/>
      <c r="E3104" s="246"/>
      <c r="F3104" s="246"/>
      <c r="G3104" s="225" t="e">
        <f aca="false">VLOOKUP(B3104,'NIVEL ENERO'!A:F,4,0)</f>
        <v>#N/A</v>
      </c>
      <c r="H3104" s="247"/>
      <c r="I3104" s="247"/>
      <c r="J3104" s="246"/>
      <c r="K3104" s="246"/>
      <c r="L3104" s="226"/>
      <c r="M3104" s="226"/>
      <c r="N3104" s="246"/>
      <c r="P3104" s="228"/>
      <c r="Q3104" s="245"/>
      <c r="R3104" s="186" t="str">
        <f aca="false">+PROPER(C3104&amp;" "&amp;D3104)</f>
        <v> </v>
      </c>
      <c r="S3104" s="230" t="n">
        <f aca="false">+YEARFRAC(L3104,$S$1)</f>
        <v>126.366666666667</v>
      </c>
      <c r="T3104" s="230" t="n">
        <f aca="false">+YEARFRAC(M3104,$S$1)</f>
        <v>126.366666666667</v>
      </c>
      <c r="U3104" s="231" t="n">
        <f aca="false">+$I3104</f>
        <v>0</v>
      </c>
      <c r="V3104" s="232" t="str">
        <f aca="false">+PROPER(F3104)</f>
        <v/>
      </c>
    </row>
    <row r="3105" customFormat="false" ht="14.25" hidden="false" customHeight="false" outlineLevel="0" collapsed="false">
      <c r="B3105" s="244"/>
      <c r="C3105" s="245"/>
      <c r="D3105" s="245"/>
      <c r="E3105" s="246"/>
      <c r="F3105" s="246"/>
      <c r="G3105" s="225" t="e">
        <f aca="false">VLOOKUP(B3105,'NIVEL ENERO'!A:F,4,0)</f>
        <v>#N/A</v>
      </c>
      <c r="H3105" s="247"/>
      <c r="I3105" s="247"/>
      <c r="J3105" s="246"/>
      <c r="K3105" s="246"/>
      <c r="L3105" s="226"/>
      <c r="M3105" s="226"/>
      <c r="N3105" s="246"/>
      <c r="P3105" s="228"/>
      <c r="Q3105" s="245"/>
      <c r="R3105" s="186" t="str">
        <f aca="false">+PROPER(C3105&amp;" "&amp;D3105)</f>
        <v> </v>
      </c>
      <c r="S3105" s="230" t="n">
        <f aca="false">+YEARFRAC(L3105,$S$1)</f>
        <v>126.366666666667</v>
      </c>
      <c r="T3105" s="230" t="n">
        <f aca="false">+YEARFRAC(M3105,$S$1)</f>
        <v>126.366666666667</v>
      </c>
      <c r="U3105" s="231" t="n">
        <f aca="false">+$I3105</f>
        <v>0</v>
      </c>
      <c r="V3105" s="232" t="str">
        <f aca="false">+PROPER(F3105)</f>
        <v/>
      </c>
    </row>
    <row r="3106" customFormat="false" ht="14.25" hidden="false" customHeight="false" outlineLevel="0" collapsed="false">
      <c r="B3106" s="244"/>
      <c r="C3106" s="245"/>
      <c r="D3106" s="245"/>
      <c r="E3106" s="246"/>
      <c r="F3106" s="246"/>
      <c r="G3106" s="225" t="e">
        <f aca="false">VLOOKUP(B3106,'NIVEL ENERO'!A:F,4,0)</f>
        <v>#N/A</v>
      </c>
      <c r="H3106" s="247"/>
      <c r="I3106" s="247"/>
      <c r="J3106" s="246"/>
      <c r="K3106" s="246"/>
      <c r="L3106" s="226"/>
      <c r="M3106" s="226"/>
      <c r="N3106" s="246"/>
      <c r="P3106" s="228"/>
      <c r="Q3106" s="245"/>
      <c r="R3106" s="186" t="str">
        <f aca="false">+PROPER(C3106&amp;" "&amp;D3106)</f>
        <v> </v>
      </c>
      <c r="S3106" s="230" t="n">
        <f aca="false">+YEARFRAC(L3106,$S$1)</f>
        <v>126.366666666667</v>
      </c>
      <c r="T3106" s="230" t="n">
        <f aca="false">+YEARFRAC(M3106,$S$1)</f>
        <v>126.366666666667</v>
      </c>
      <c r="U3106" s="231" t="n">
        <f aca="false">+$I3106</f>
        <v>0</v>
      </c>
      <c r="V3106" s="232" t="str">
        <f aca="false">+PROPER(F3106)</f>
        <v/>
      </c>
    </row>
    <row r="3107" customFormat="false" ht="14.25" hidden="false" customHeight="false" outlineLevel="0" collapsed="false">
      <c r="B3107" s="244"/>
      <c r="C3107" s="245"/>
      <c r="D3107" s="245"/>
      <c r="E3107" s="246"/>
      <c r="F3107" s="246"/>
      <c r="G3107" s="225" t="e">
        <f aca="false">VLOOKUP(B3107,'NIVEL ENERO'!A:F,4,0)</f>
        <v>#N/A</v>
      </c>
      <c r="H3107" s="247"/>
      <c r="I3107" s="247"/>
      <c r="J3107" s="246"/>
      <c r="K3107" s="246"/>
      <c r="L3107" s="226"/>
      <c r="M3107" s="226"/>
      <c r="N3107" s="246"/>
      <c r="P3107" s="228"/>
      <c r="Q3107" s="245"/>
      <c r="R3107" s="186" t="str">
        <f aca="false">+PROPER(C3107&amp;" "&amp;D3107)</f>
        <v> </v>
      </c>
      <c r="S3107" s="230" t="n">
        <f aca="false">+YEARFRAC(L3107,$S$1)</f>
        <v>126.366666666667</v>
      </c>
      <c r="T3107" s="230" t="n">
        <f aca="false">+YEARFRAC(M3107,$S$1)</f>
        <v>126.366666666667</v>
      </c>
      <c r="U3107" s="231" t="n">
        <f aca="false">+$I3107</f>
        <v>0</v>
      </c>
      <c r="V3107" s="232" t="str">
        <f aca="false">+PROPER(F3107)</f>
        <v/>
      </c>
    </row>
    <row r="3108" customFormat="false" ht="14.25" hidden="false" customHeight="false" outlineLevel="0" collapsed="false">
      <c r="B3108" s="244"/>
      <c r="C3108" s="245"/>
      <c r="D3108" s="245"/>
      <c r="E3108" s="246"/>
      <c r="F3108" s="246"/>
      <c r="G3108" s="225" t="e">
        <f aca="false">VLOOKUP(B3108,'NIVEL ENERO'!A:F,4,0)</f>
        <v>#N/A</v>
      </c>
      <c r="H3108" s="247"/>
      <c r="I3108" s="247"/>
      <c r="J3108" s="246"/>
      <c r="K3108" s="246"/>
      <c r="L3108" s="226"/>
      <c r="M3108" s="226"/>
      <c r="N3108" s="246"/>
      <c r="P3108" s="228"/>
      <c r="Q3108" s="245"/>
      <c r="R3108" s="186" t="str">
        <f aca="false">+PROPER(C3108&amp;" "&amp;D3108)</f>
        <v> </v>
      </c>
      <c r="S3108" s="230" t="n">
        <f aca="false">+YEARFRAC(L3108,$S$1)</f>
        <v>126.366666666667</v>
      </c>
      <c r="T3108" s="230" t="n">
        <f aca="false">+YEARFRAC(M3108,$S$1)</f>
        <v>126.366666666667</v>
      </c>
      <c r="U3108" s="231" t="n">
        <f aca="false">+$I3108</f>
        <v>0</v>
      </c>
      <c r="V3108" s="232" t="str">
        <f aca="false">+PROPER(F3108)</f>
        <v/>
      </c>
    </row>
    <row r="3109" customFormat="false" ht="14.25" hidden="false" customHeight="false" outlineLevel="0" collapsed="false">
      <c r="B3109" s="244"/>
      <c r="C3109" s="245"/>
      <c r="D3109" s="245"/>
      <c r="E3109" s="246"/>
      <c r="F3109" s="246"/>
      <c r="G3109" s="225" t="e">
        <f aca="false">VLOOKUP(B3109,'NIVEL ENERO'!A:F,4,0)</f>
        <v>#N/A</v>
      </c>
      <c r="H3109" s="247"/>
      <c r="I3109" s="247"/>
      <c r="J3109" s="246"/>
      <c r="K3109" s="246"/>
      <c r="L3109" s="226"/>
      <c r="M3109" s="226"/>
      <c r="N3109" s="246"/>
      <c r="P3109" s="228"/>
      <c r="Q3109" s="245"/>
      <c r="R3109" s="186" t="str">
        <f aca="false">+PROPER(C3109&amp;" "&amp;D3109)</f>
        <v> </v>
      </c>
      <c r="S3109" s="230" t="n">
        <f aca="false">+YEARFRAC(L3109,$S$1)</f>
        <v>126.366666666667</v>
      </c>
      <c r="T3109" s="230" t="n">
        <f aca="false">+YEARFRAC(M3109,$S$1)</f>
        <v>126.366666666667</v>
      </c>
      <c r="U3109" s="231" t="n">
        <f aca="false">+$I3109</f>
        <v>0</v>
      </c>
      <c r="V3109" s="232" t="str">
        <f aca="false">+PROPER(F3109)</f>
        <v/>
      </c>
    </row>
    <row r="3110" customFormat="false" ht="14.25" hidden="false" customHeight="false" outlineLevel="0" collapsed="false">
      <c r="B3110" s="244"/>
      <c r="C3110" s="245"/>
      <c r="D3110" s="245"/>
      <c r="E3110" s="246"/>
      <c r="F3110" s="246"/>
      <c r="G3110" s="225" t="e">
        <f aca="false">VLOOKUP(B3110,'NIVEL ENERO'!A:F,4,0)</f>
        <v>#N/A</v>
      </c>
      <c r="H3110" s="247"/>
      <c r="I3110" s="247"/>
      <c r="J3110" s="246"/>
      <c r="K3110" s="246"/>
      <c r="L3110" s="226"/>
      <c r="M3110" s="226"/>
      <c r="N3110" s="246"/>
      <c r="P3110" s="228"/>
      <c r="Q3110" s="245"/>
      <c r="R3110" s="186" t="str">
        <f aca="false">+PROPER(C3110&amp;" "&amp;D3110)</f>
        <v> </v>
      </c>
      <c r="S3110" s="230" t="n">
        <f aca="false">+YEARFRAC(L3110,$S$1)</f>
        <v>126.366666666667</v>
      </c>
      <c r="T3110" s="230" t="n">
        <f aca="false">+YEARFRAC(M3110,$S$1)</f>
        <v>126.366666666667</v>
      </c>
      <c r="U3110" s="231" t="n">
        <f aca="false">+$I3110</f>
        <v>0</v>
      </c>
      <c r="V3110" s="232" t="str">
        <f aca="false">+PROPER(F3110)</f>
        <v/>
      </c>
    </row>
    <row r="3111" customFormat="false" ht="14.25" hidden="false" customHeight="false" outlineLevel="0" collapsed="false">
      <c r="B3111" s="244"/>
      <c r="C3111" s="245"/>
      <c r="D3111" s="245"/>
      <c r="E3111" s="246"/>
      <c r="F3111" s="246"/>
      <c r="G3111" s="225" t="e">
        <f aca="false">VLOOKUP(B3111,'NIVEL ENERO'!A:F,4,0)</f>
        <v>#N/A</v>
      </c>
      <c r="H3111" s="247"/>
      <c r="I3111" s="247"/>
      <c r="J3111" s="246"/>
      <c r="K3111" s="246"/>
      <c r="L3111" s="226"/>
      <c r="M3111" s="226"/>
      <c r="N3111" s="246"/>
      <c r="P3111" s="228"/>
      <c r="Q3111" s="245"/>
      <c r="R3111" s="186" t="str">
        <f aca="false">+PROPER(C3111&amp;" "&amp;D3111)</f>
        <v> </v>
      </c>
      <c r="S3111" s="230" t="n">
        <f aca="false">+YEARFRAC(L3111,$S$1)</f>
        <v>126.366666666667</v>
      </c>
      <c r="T3111" s="230" t="n">
        <f aca="false">+YEARFRAC(M3111,$S$1)</f>
        <v>126.366666666667</v>
      </c>
      <c r="U3111" s="231" t="n">
        <f aca="false">+$I3111</f>
        <v>0</v>
      </c>
      <c r="V3111" s="232" t="str">
        <f aca="false">+PROPER(F3111)</f>
        <v/>
      </c>
    </row>
    <row r="3112" customFormat="false" ht="14.25" hidden="false" customHeight="false" outlineLevel="0" collapsed="false">
      <c r="B3112" s="244"/>
      <c r="C3112" s="245"/>
      <c r="D3112" s="245"/>
      <c r="E3112" s="246"/>
      <c r="F3112" s="246"/>
      <c r="G3112" s="225" t="e">
        <f aca="false">VLOOKUP(B3112,'NIVEL ENERO'!A:F,4,0)</f>
        <v>#N/A</v>
      </c>
      <c r="H3112" s="247"/>
      <c r="I3112" s="247"/>
      <c r="J3112" s="246"/>
      <c r="K3112" s="246"/>
      <c r="L3112" s="226"/>
      <c r="M3112" s="226"/>
      <c r="N3112" s="246"/>
      <c r="P3112" s="228"/>
      <c r="Q3112" s="245"/>
      <c r="R3112" s="186" t="str">
        <f aca="false">+PROPER(C3112&amp;" "&amp;D3112)</f>
        <v> </v>
      </c>
      <c r="S3112" s="230" t="n">
        <f aca="false">+YEARFRAC(L3112,$S$1)</f>
        <v>126.366666666667</v>
      </c>
      <c r="T3112" s="230" t="n">
        <f aca="false">+YEARFRAC(M3112,$S$1)</f>
        <v>126.366666666667</v>
      </c>
      <c r="U3112" s="231" t="n">
        <f aca="false">+$I3112</f>
        <v>0</v>
      </c>
      <c r="V3112" s="232" t="str">
        <f aca="false">+PROPER(F3112)</f>
        <v/>
      </c>
    </row>
    <row r="3113" customFormat="false" ht="14.25" hidden="false" customHeight="false" outlineLevel="0" collapsed="false">
      <c r="B3113" s="244"/>
      <c r="C3113" s="245"/>
      <c r="D3113" s="245"/>
      <c r="E3113" s="246"/>
      <c r="F3113" s="246"/>
      <c r="G3113" s="225" t="e">
        <f aca="false">VLOOKUP(B3113,'NIVEL ENERO'!A:F,4,0)</f>
        <v>#N/A</v>
      </c>
      <c r="H3113" s="247"/>
      <c r="I3113" s="247"/>
      <c r="J3113" s="246"/>
      <c r="K3113" s="246"/>
      <c r="L3113" s="226"/>
      <c r="M3113" s="226"/>
      <c r="N3113" s="246"/>
      <c r="P3113" s="228"/>
      <c r="Q3113" s="245"/>
      <c r="R3113" s="186" t="str">
        <f aca="false">+PROPER(C3113&amp;" "&amp;D3113)</f>
        <v> </v>
      </c>
      <c r="S3113" s="230" t="n">
        <f aca="false">+YEARFRAC(L3113,$S$1)</f>
        <v>126.366666666667</v>
      </c>
      <c r="T3113" s="230" t="n">
        <f aca="false">+YEARFRAC(M3113,$S$1)</f>
        <v>126.366666666667</v>
      </c>
      <c r="U3113" s="231" t="n">
        <f aca="false">+$I3113</f>
        <v>0</v>
      </c>
      <c r="V3113" s="232" t="str">
        <f aca="false">+PROPER(F3113)</f>
        <v/>
      </c>
    </row>
    <row r="3114" customFormat="false" ht="14.25" hidden="false" customHeight="false" outlineLevel="0" collapsed="false">
      <c r="B3114" s="244"/>
      <c r="C3114" s="245"/>
      <c r="D3114" s="245"/>
      <c r="E3114" s="246"/>
      <c r="F3114" s="246"/>
      <c r="G3114" s="225" t="e">
        <f aca="false">VLOOKUP(B3114,'NIVEL ENERO'!A:F,4,0)</f>
        <v>#N/A</v>
      </c>
      <c r="H3114" s="247"/>
      <c r="I3114" s="247"/>
      <c r="J3114" s="246"/>
      <c r="K3114" s="246"/>
      <c r="L3114" s="226"/>
      <c r="M3114" s="226"/>
      <c r="N3114" s="246"/>
      <c r="P3114" s="228"/>
      <c r="Q3114" s="245"/>
      <c r="R3114" s="186" t="str">
        <f aca="false">+PROPER(C3114&amp;" "&amp;D3114)</f>
        <v> </v>
      </c>
      <c r="S3114" s="230" t="n">
        <f aca="false">+YEARFRAC(L3114,$S$1)</f>
        <v>126.366666666667</v>
      </c>
      <c r="T3114" s="230" t="n">
        <f aca="false">+YEARFRAC(M3114,$S$1)</f>
        <v>126.366666666667</v>
      </c>
      <c r="U3114" s="231" t="n">
        <f aca="false">+$I3114</f>
        <v>0</v>
      </c>
      <c r="V3114" s="232" t="str">
        <f aca="false">+PROPER(F3114)</f>
        <v/>
      </c>
    </row>
    <row r="3115" customFormat="false" ht="14.25" hidden="false" customHeight="false" outlineLevel="0" collapsed="false">
      <c r="B3115" s="244"/>
      <c r="C3115" s="245"/>
      <c r="D3115" s="245"/>
      <c r="E3115" s="246"/>
      <c r="F3115" s="246"/>
      <c r="G3115" s="225" t="e">
        <f aca="false">VLOOKUP(B3115,'NIVEL ENERO'!A:F,4,0)</f>
        <v>#N/A</v>
      </c>
      <c r="H3115" s="247"/>
      <c r="I3115" s="247"/>
      <c r="J3115" s="246"/>
      <c r="K3115" s="246"/>
      <c r="L3115" s="226"/>
      <c r="M3115" s="226"/>
      <c r="N3115" s="246"/>
      <c r="P3115" s="228"/>
      <c r="Q3115" s="245"/>
      <c r="R3115" s="186" t="str">
        <f aca="false">+PROPER(C3115&amp;" "&amp;D3115)</f>
        <v> </v>
      </c>
      <c r="S3115" s="230" t="n">
        <f aca="false">+YEARFRAC(L3115,$S$1)</f>
        <v>126.366666666667</v>
      </c>
      <c r="T3115" s="230" t="n">
        <f aca="false">+YEARFRAC(M3115,$S$1)</f>
        <v>126.366666666667</v>
      </c>
      <c r="U3115" s="231" t="n">
        <f aca="false">+$I3115</f>
        <v>0</v>
      </c>
      <c r="V3115" s="232" t="str">
        <f aca="false">+PROPER(F3115)</f>
        <v/>
      </c>
    </row>
    <row r="3116" customFormat="false" ht="14.25" hidden="false" customHeight="false" outlineLevel="0" collapsed="false">
      <c r="B3116" s="244"/>
      <c r="C3116" s="245"/>
      <c r="D3116" s="245"/>
      <c r="E3116" s="246"/>
      <c r="F3116" s="246"/>
      <c r="G3116" s="225" t="e">
        <f aca="false">VLOOKUP(B3116,'NIVEL ENERO'!A:F,4,0)</f>
        <v>#N/A</v>
      </c>
      <c r="H3116" s="247"/>
      <c r="I3116" s="247"/>
      <c r="J3116" s="246"/>
      <c r="K3116" s="246"/>
      <c r="L3116" s="226"/>
      <c r="M3116" s="226"/>
      <c r="N3116" s="246"/>
      <c r="P3116" s="228"/>
      <c r="Q3116" s="245"/>
      <c r="R3116" s="186" t="str">
        <f aca="false">+PROPER(C3116&amp;" "&amp;D3116)</f>
        <v> </v>
      </c>
      <c r="S3116" s="230" t="n">
        <f aca="false">+YEARFRAC(L3116,$S$1)</f>
        <v>126.366666666667</v>
      </c>
      <c r="T3116" s="230" t="n">
        <f aca="false">+YEARFRAC(M3116,$S$1)</f>
        <v>126.366666666667</v>
      </c>
      <c r="U3116" s="231" t="n">
        <f aca="false">+$I3116</f>
        <v>0</v>
      </c>
      <c r="V3116" s="232" t="str">
        <f aca="false">+PROPER(F3116)</f>
        <v/>
      </c>
    </row>
    <row r="3117" customFormat="false" ht="14.25" hidden="false" customHeight="false" outlineLevel="0" collapsed="false">
      <c r="B3117" s="244"/>
      <c r="C3117" s="245"/>
      <c r="D3117" s="245"/>
      <c r="E3117" s="246"/>
      <c r="F3117" s="246"/>
      <c r="G3117" s="225" t="e">
        <f aca="false">VLOOKUP(B3117,'NIVEL ENERO'!A:F,4,0)</f>
        <v>#N/A</v>
      </c>
      <c r="H3117" s="247"/>
      <c r="I3117" s="247"/>
      <c r="J3117" s="246"/>
      <c r="K3117" s="246"/>
      <c r="L3117" s="226"/>
      <c r="M3117" s="226"/>
      <c r="N3117" s="246"/>
      <c r="P3117" s="228"/>
      <c r="Q3117" s="245"/>
      <c r="R3117" s="186" t="str">
        <f aca="false">+PROPER(C3117&amp;" "&amp;D3117)</f>
        <v> </v>
      </c>
      <c r="S3117" s="230" t="n">
        <f aca="false">+YEARFRAC(L3117,$S$1)</f>
        <v>126.366666666667</v>
      </c>
      <c r="T3117" s="230" t="n">
        <f aca="false">+YEARFRAC(M3117,$S$1)</f>
        <v>126.366666666667</v>
      </c>
      <c r="U3117" s="231" t="n">
        <f aca="false">+$I3117</f>
        <v>0</v>
      </c>
      <c r="V3117" s="232" t="str">
        <f aca="false">+PROPER(F3117)</f>
        <v/>
      </c>
    </row>
    <row r="3118" customFormat="false" ht="14.25" hidden="false" customHeight="false" outlineLevel="0" collapsed="false">
      <c r="B3118" s="244"/>
      <c r="C3118" s="245"/>
      <c r="D3118" s="245"/>
      <c r="E3118" s="246"/>
      <c r="F3118" s="246"/>
      <c r="G3118" s="225" t="e">
        <f aca="false">VLOOKUP(B3118,'NIVEL ENERO'!A:F,4,0)</f>
        <v>#N/A</v>
      </c>
      <c r="H3118" s="247"/>
      <c r="I3118" s="247"/>
      <c r="J3118" s="246"/>
      <c r="K3118" s="246"/>
      <c r="L3118" s="226"/>
      <c r="M3118" s="226"/>
      <c r="N3118" s="246"/>
      <c r="P3118" s="228"/>
      <c r="Q3118" s="245"/>
      <c r="R3118" s="186" t="str">
        <f aca="false">+PROPER(C3118&amp;" "&amp;D3118)</f>
        <v> </v>
      </c>
      <c r="S3118" s="230" t="n">
        <f aca="false">+YEARFRAC(L3118,$S$1)</f>
        <v>126.366666666667</v>
      </c>
      <c r="T3118" s="230" t="n">
        <f aca="false">+YEARFRAC(M3118,$S$1)</f>
        <v>126.366666666667</v>
      </c>
      <c r="U3118" s="231" t="n">
        <f aca="false">+$I3118</f>
        <v>0</v>
      </c>
      <c r="V3118" s="232" t="str">
        <f aca="false">+PROPER(F3118)</f>
        <v/>
      </c>
    </row>
    <row r="3119" customFormat="false" ht="14.25" hidden="false" customHeight="false" outlineLevel="0" collapsed="false">
      <c r="B3119" s="244"/>
      <c r="C3119" s="245"/>
      <c r="D3119" s="245"/>
      <c r="E3119" s="246"/>
      <c r="F3119" s="246"/>
      <c r="G3119" s="225" t="e">
        <f aca="false">VLOOKUP(B3119,'NIVEL ENERO'!A:F,4,0)</f>
        <v>#N/A</v>
      </c>
      <c r="H3119" s="247"/>
      <c r="I3119" s="247"/>
      <c r="J3119" s="246"/>
      <c r="K3119" s="246"/>
      <c r="L3119" s="226"/>
      <c r="M3119" s="226"/>
      <c r="N3119" s="246"/>
      <c r="P3119" s="228"/>
      <c r="Q3119" s="245"/>
      <c r="R3119" s="186" t="str">
        <f aca="false">+PROPER(C3119&amp;" "&amp;D3119)</f>
        <v> </v>
      </c>
      <c r="S3119" s="230" t="n">
        <f aca="false">+YEARFRAC(L3119,$S$1)</f>
        <v>126.366666666667</v>
      </c>
      <c r="T3119" s="230" t="n">
        <f aca="false">+YEARFRAC(M3119,$S$1)</f>
        <v>126.366666666667</v>
      </c>
      <c r="U3119" s="231" t="n">
        <f aca="false">+$I3119</f>
        <v>0</v>
      </c>
      <c r="V3119" s="232" t="str">
        <f aca="false">+PROPER(F3119)</f>
        <v/>
      </c>
    </row>
    <row r="3120" customFormat="false" ht="14.25" hidden="false" customHeight="false" outlineLevel="0" collapsed="false">
      <c r="B3120" s="244"/>
      <c r="C3120" s="245"/>
      <c r="D3120" s="245"/>
      <c r="E3120" s="246"/>
      <c r="F3120" s="246"/>
      <c r="G3120" s="225" t="e">
        <f aca="false">VLOOKUP(B3120,'NIVEL ENERO'!A:F,4,0)</f>
        <v>#N/A</v>
      </c>
      <c r="H3120" s="247"/>
      <c r="I3120" s="247"/>
      <c r="J3120" s="246"/>
      <c r="K3120" s="246"/>
      <c r="L3120" s="226"/>
      <c r="M3120" s="226"/>
      <c r="N3120" s="246"/>
      <c r="P3120" s="228"/>
      <c r="Q3120" s="245"/>
      <c r="R3120" s="186" t="str">
        <f aca="false">+PROPER(C3120&amp;" "&amp;D3120)</f>
        <v> </v>
      </c>
      <c r="S3120" s="230" t="n">
        <f aca="false">+YEARFRAC(L3120,$S$1)</f>
        <v>126.366666666667</v>
      </c>
      <c r="T3120" s="230" t="n">
        <f aca="false">+YEARFRAC(M3120,$S$1)</f>
        <v>126.366666666667</v>
      </c>
      <c r="U3120" s="231" t="n">
        <f aca="false">+$I3120</f>
        <v>0</v>
      </c>
      <c r="V3120" s="232" t="str">
        <f aca="false">+PROPER(F3120)</f>
        <v/>
      </c>
    </row>
    <row r="3121" customFormat="false" ht="14.25" hidden="false" customHeight="false" outlineLevel="0" collapsed="false">
      <c r="B3121" s="244"/>
      <c r="C3121" s="245"/>
      <c r="D3121" s="245"/>
      <c r="E3121" s="246"/>
      <c r="F3121" s="246"/>
      <c r="G3121" s="225" t="e">
        <f aca="false">VLOOKUP(B3121,'NIVEL ENERO'!A:F,4,0)</f>
        <v>#N/A</v>
      </c>
      <c r="H3121" s="247"/>
      <c r="I3121" s="247"/>
      <c r="J3121" s="246"/>
      <c r="K3121" s="246"/>
      <c r="L3121" s="226"/>
      <c r="M3121" s="226"/>
      <c r="N3121" s="246"/>
      <c r="P3121" s="228"/>
      <c r="Q3121" s="245"/>
      <c r="R3121" s="186" t="str">
        <f aca="false">+PROPER(C3121&amp;" "&amp;D3121)</f>
        <v> </v>
      </c>
      <c r="S3121" s="230" t="n">
        <f aca="false">+YEARFRAC(L3121,$S$1)</f>
        <v>126.366666666667</v>
      </c>
      <c r="T3121" s="230" t="n">
        <f aca="false">+YEARFRAC(M3121,$S$1)</f>
        <v>126.366666666667</v>
      </c>
      <c r="U3121" s="231" t="n">
        <f aca="false">+$I3121</f>
        <v>0</v>
      </c>
      <c r="V3121" s="232" t="str">
        <f aca="false">+PROPER(F3121)</f>
        <v/>
      </c>
    </row>
    <row r="3122" customFormat="false" ht="14.25" hidden="false" customHeight="false" outlineLevel="0" collapsed="false">
      <c r="B3122" s="244"/>
      <c r="C3122" s="245"/>
      <c r="D3122" s="245"/>
      <c r="E3122" s="246"/>
      <c r="F3122" s="246"/>
      <c r="G3122" s="225" t="e">
        <f aca="false">VLOOKUP(B3122,'NIVEL ENERO'!A:F,4,0)</f>
        <v>#N/A</v>
      </c>
      <c r="H3122" s="247"/>
      <c r="I3122" s="247"/>
      <c r="J3122" s="246"/>
      <c r="K3122" s="246"/>
      <c r="L3122" s="226"/>
      <c r="M3122" s="226"/>
      <c r="N3122" s="246"/>
      <c r="P3122" s="228"/>
      <c r="Q3122" s="245"/>
      <c r="R3122" s="186" t="str">
        <f aca="false">+PROPER(C3122&amp;" "&amp;D3122)</f>
        <v> </v>
      </c>
      <c r="S3122" s="230" t="n">
        <f aca="false">+YEARFRAC(L3122,$S$1)</f>
        <v>126.366666666667</v>
      </c>
      <c r="T3122" s="230" t="n">
        <f aca="false">+YEARFRAC(M3122,$S$1)</f>
        <v>126.366666666667</v>
      </c>
      <c r="U3122" s="231" t="n">
        <f aca="false">+$I3122</f>
        <v>0</v>
      </c>
      <c r="V3122" s="232" t="str">
        <f aca="false">+PROPER(F3122)</f>
        <v/>
      </c>
    </row>
    <row r="3123" customFormat="false" ht="14.25" hidden="false" customHeight="false" outlineLevel="0" collapsed="false">
      <c r="B3123" s="244"/>
      <c r="C3123" s="245"/>
      <c r="D3123" s="245"/>
      <c r="E3123" s="246"/>
      <c r="F3123" s="246"/>
      <c r="G3123" s="225" t="e">
        <f aca="false">VLOOKUP(B3123,'NIVEL ENERO'!A:F,4,0)</f>
        <v>#N/A</v>
      </c>
      <c r="H3123" s="247"/>
      <c r="I3123" s="247"/>
      <c r="J3123" s="246"/>
      <c r="K3123" s="246"/>
      <c r="L3123" s="226"/>
      <c r="M3123" s="226"/>
      <c r="N3123" s="246"/>
      <c r="P3123" s="228"/>
      <c r="Q3123" s="245"/>
      <c r="R3123" s="186" t="str">
        <f aca="false">+PROPER(C3123&amp;" "&amp;D3123)</f>
        <v> </v>
      </c>
      <c r="S3123" s="230" t="n">
        <f aca="false">+YEARFRAC(L3123,$S$1)</f>
        <v>126.366666666667</v>
      </c>
      <c r="T3123" s="230" t="n">
        <f aca="false">+YEARFRAC(M3123,$S$1)</f>
        <v>126.366666666667</v>
      </c>
      <c r="U3123" s="231" t="n">
        <f aca="false">+$I3123</f>
        <v>0</v>
      </c>
      <c r="V3123" s="232" t="str">
        <f aca="false">+PROPER(F3123)</f>
        <v/>
      </c>
    </row>
    <row r="3124" customFormat="false" ht="14.25" hidden="false" customHeight="false" outlineLevel="0" collapsed="false">
      <c r="B3124" s="244"/>
      <c r="C3124" s="245"/>
      <c r="D3124" s="245"/>
      <c r="E3124" s="246"/>
      <c r="F3124" s="246"/>
      <c r="G3124" s="225" t="e">
        <f aca="false">VLOOKUP(B3124,'NIVEL ENERO'!A:F,4,0)</f>
        <v>#N/A</v>
      </c>
      <c r="H3124" s="247"/>
      <c r="I3124" s="247"/>
      <c r="J3124" s="246"/>
      <c r="K3124" s="246"/>
      <c r="L3124" s="226"/>
      <c r="M3124" s="226"/>
      <c r="N3124" s="246"/>
      <c r="P3124" s="228"/>
      <c r="Q3124" s="245"/>
      <c r="R3124" s="186" t="str">
        <f aca="false">+PROPER(C3124&amp;" "&amp;D3124)</f>
        <v> </v>
      </c>
      <c r="S3124" s="230" t="n">
        <f aca="false">+YEARFRAC(L3124,$S$1)</f>
        <v>126.366666666667</v>
      </c>
      <c r="T3124" s="230" t="n">
        <f aca="false">+YEARFRAC(M3124,$S$1)</f>
        <v>126.366666666667</v>
      </c>
      <c r="U3124" s="231" t="n">
        <f aca="false">+$I3124</f>
        <v>0</v>
      </c>
      <c r="V3124" s="232" t="str">
        <f aca="false">+PROPER(F3124)</f>
        <v/>
      </c>
    </row>
    <row r="3125" customFormat="false" ht="14.25" hidden="false" customHeight="false" outlineLevel="0" collapsed="false">
      <c r="B3125" s="244"/>
      <c r="C3125" s="245"/>
      <c r="D3125" s="245"/>
      <c r="E3125" s="246"/>
      <c r="F3125" s="246"/>
      <c r="G3125" s="225" t="e">
        <f aca="false">VLOOKUP(B3125,'NIVEL ENERO'!A:F,4,0)</f>
        <v>#N/A</v>
      </c>
      <c r="H3125" s="247"/>
      <c r="I3125" s="247"/>
      <c r="J3125" s="246"/>
      <c r="K3125" s="246"/>
      <c r="L3125" s="226"/>
      <c r="M3125" s="226"/>
      <c r="N3125" s="246"/>
      <c r="P3125" s="228"/>
      <c r="Q3125" s="245"/>
      <c r="R3125" s="186" t="str">
        <f aca="false">+PROPER(C3125&amp;" "&amp;D3125)</f>
        <v> </v>
      </c>
      <c r="S3125" s="230" t="n">
        <f aca="false">+YEARFRAC(L3125,$S$1)</f>
        <v>126.366666666667</v>
      </c>
      <c r="T3125" s="230" t="n">
        <f aca="false">+YEARFRAC(M3125,$S$1)</f>
        <v>126.366666666667</v>
      </c>
      <c r="U3125" s="231" t="n">
        <f aca="false">+$I3125</f>
        <v>0</v>
      </c>
      <c r="V3125" s="232" t="str">
        <f aca="false">+PROPER(F3125)</f>
        <v/>
      </c>
    </row>
    <row r="3126" customFormat="false" ht="14.25" hidden="false" customHeight="false" outlineLevel="0" collapsed="false">
      <c r="B3126" s="244"/>
      <c r="C3126" s="245"/>
      <c r="D3126" s="245"/>
      <c r="E3126" s="246"/>
      <c r="F3126" s="246"/>
      <c r="G3126" s="225" t="e">
        <f aca="false">VLOOKUP(B3126,'NIVEL ENERO'!A:F,4,0)</f>
        <v>#N/A</v>
      </c>
      <c r="H3126" s="247"/>
      <c r="I3126" s="247"/>
      <c r="J3126" s="246"/>
      <c r="K3126" s="246"/>
      <c r="L3126" s="226"/>
      <c r="M3126" s="226"/>
      <c r="N3126" s="246"/>
      <c r="P3126" s="228"/>
      <c r="Q3126" s="245"/>
      <c r="R3126" s="186" t="str">
        <f aca="false">+PROPER(C3126&amp;" "&amp;D3126)</f>
        <v> </v>
      </c>
      <c r="S3126" s="230" t="n">
        <f aca="false">+YEARFRAC(L3126,$S$1)</f>
        <v>126.366666666667</v>
      </c>
      <c r="T3126" s="230" t="n">
        <f aca="false">+YEARFRAC(M3126,$S$1)</f>
        <v>126.366666666667</v>
      </c>
      <c r="U3126" s="231" t="n">
        <f aca="false">+$I3126</f>
        <v>0</v>
      </c>
      <c r="V3126" s="232" t="str">
        <f aca="false">+PROPER(F3126)</f>
        <v/>
      </c>
    </row>
    <row r="3127" customFormat="false" ht="14.25" hidden="false" customHeight="false" outlineLevel="0" collapsed="false">
      <c r="B3127" s="244"/>
      <c r="C3127" s="245"/>
      <c r="D3127" s="245"/>
      <c r="E3127" s="246"/>
      <c r="F3127" s="246"/>
      <c r="G3127" s="225" t="e">
        <f aca="false">VLOOKUP(B3127,'NIVEL ENERO'!A:F,4,0)</f>
        <v>#N/A</v>
      </c>
      <c r="H3127" s="247"/>
      <c r="I3127" s="247"/>
      <c r="J3127" s="246"/>
      <c r="K3127" s="246"/>
      <c r="L3127" s="226"/>
      <c r="M3127" s="226"/>
      <c r="N3127" s="246"/>
      <c r="P3127" s="228"/>
      <c r="Q3127" s="245"/>
      <c r="R3127" s="186" t="str">
        <f aca="false">+PROPER(C3127&amp;" "&amp;D3127)</f>
        <v> </v>
      </c>
      <c r="S3127" s="230" t="n">
        <f aca="false">+YEARFRAC(L3127,$S$1)</f>
        <v>126.366666666667</v>
      </c>
      <c r="T3127" s="230" t="n">
        <f aca="false">+YEARFRAC(M3127,$S$1)</f>
        <v>126.366666666667</v>
      </c>
      <c r="U3127" s="231" t="n">
        <f aca="false">+$I3127</f>
        <v>0</v>
      </c>
      <c r="V3127" s="232" t="str">
        <f aca="false">+PROPER(F3127)</f>
        <v/>
      </c>
    </row>
    <row r="3128" customFormat="false" ht="14.25" hidden="false" customHeight="false" outlineLevel="0" collapsed="false">
      <c r="B3128" s="244"/>
      <c r="C3128" s="245"/>
      <c r="D3128" s="245"/>
      <c r="E3128" s="246"/>
      <c r="F3128" s="246"/>
      <c r="G3128" s="225" t="e">
        <f aca="false">VLOOKUP(B3128,'NIVEL ENERO'!A:F,4,0)</f>
        <v>#N/A</v>
      </c>
      <c r="H3128" s="247"/>
      <c r="I3128" s="247"/>
      <c r="J3128" s="246"/>
      <c r="K3128" s="246"/>
      <c r="L3128" s="226"/>
      <c r="M3128" s="226"/>
      <c r="N3128" s="246"/>
      <c r="P3128" s="228"/>
      <c r="Q3128" s="245"/>
      <c r="R3128" s="186" t="str">
        <f aca="false">+PROPER(C3128&amp;" "&amp;D3128)</f>
        <v> </v>
      </c>
      <c r="S3128" s="230" t="n">
        <f aca="false">+YEARFRAC(L3128,$S$1)</f>
        <v>126.366666666667</v>
      </c>
      <c r="T3128" s="230" t="n">
        <f aca="false">+YEARFRAC(M3128,$S$1)</f>
        <v>126.366666666667</v>
      </c>
      <c r="U3128" s="231" t="n">
        <f aca="false">+$I3128</f>
        <v>0</v>
      </c>
      <c r="V3128" s="232" t="str">
        <f aca="false">+PROPER(F3128)</f>
        <v/>
      </c>
    </row>
    <row r="3129" customFormat="false" ht="14.25" hidden="false" customHeight="false" outlineLevel="0" collapsed="false">
      <c r="B3129" s="244"/>
      <c r="C3129" s="245"/>
      <c r="D3129" s="245"/>
      <c r="E3129" s="246"/>
      <c r="F3129" s="246"/>
      <c r="G3129" s="225" t="e">
        <f aca="false">VLOOKUP(B3129,'NIVEL ENERO'!A:F,4,0)</f>
        <v>#N/A</v>
      </c>
      <c r="H3129" s="247"/>
      <c r="I3129" s="247"/>
      <c r="J3129" s="246"/>
      <c r="K3129" s="246"/>
      <c r="L3129" s="226"/>
      <c r="M3129" s="226"/>
      <c r="N3129" s="246"/>
      <c r="P3129" s="228"/>
      <c r="Q3129" s="245"/>
      <c r="R3129" s="186" t="str">
        <f aca="false">+PROPER(C3129&amp;" "&amp;D3129)</f>
        <v> </v>
      </c>
      <c r="S3129" s="230" t="n">
        <f aca="false">+YEARFRAC(L3129,$S$1)</f>
        <v>126.366666666667</v>
      </c>
      <c r="T3129" s="230" t="n">
        <f aca="false">+YEARFRAC(M3129,$S$1)</f>
        <v>126.366666666667</v>
      </c>
      <c r="U3129" s="231" t="n">
        <f aca="false">+$I3129</f>
        <v>0</v>
      </c>
      <c r="V3129" s="232" t="str">
        <f aca="false">+PROPER(F3129)</f>
        <v/>
      </c>
    </row>
    <row r="3130" customFormat="false" ht="14.25" hidden="false" customHeight="false" outlineLevel="0" collapsed="false">
      <c r="B3130" s="244"/>
      <c r="C3130" s="245"/>
      <c r="D3130" s="245"/>
      <c r="E3130" s="246"/>
      <c r="F3130" s="246"/>
      <c r="G3130" s="225" t="e">
        <f aca="false">VLOOKUP(B3130,'NIVEL ENERO'!A:F,4,0)</f>
        <v>#N/A</v>
      </c>
      <c r="H3130" s="247"/>
      <c r="I3130" s="247"/>
      <c r="J3130" s="246"/>
      <c r="K3130" s="246"/>
      <c r="L3130" s="226"/>
      <c r="M3130" s="226"/>
      <c r="N3130" s="246"/>
      <c r="P3130" s="228"/>
      <c r="Q3130" s="245"/>
      <c r="R3130" s="186" t="str">
        <f aca="false">+PROPER(C3130&amp;" "&amp;D3130)</f>
        <v> </v>
      </c>
      <c r="S3130" s="230" t="n">
        <f aca="false">+YEARFRAC(L3130,$S$1)</f>
        <v>126.366666666667</v>
      </c>
      <c r="T3130" s="230" t="n">
        <f aca="false">+YEARFRAC(M3130,$S$1)</f>
        <v>126.366666666667</v>
      </c>
      <c r="U3130" s="231" t="n">
        <f aca="false">+$I3130</f>
        <v>0</v>
      </c>
      <c r="V3130" s="232" t="str">
        <f aca="false">+PROPER(F3130)</f>
        <v/>
      </c>
    </row>
    <row r="3131" customFormat="false" ht="14.25" hidden="false" customHeight="false" outlineLevel="0" collapsed="false">
      <c r="B3131" s="244"/>
      <c r="C3131" s="245"/>
      <c r="D3131" s="245"/>
      <c r="E3131" s="246"/>
      <c r="F3131" s="246"/>
      <c r="G3131" s="225" t="e">
        <f aca="false">VLOOKUP(B3131,'NIVEL ENERO'!A:F,4,0)</f>
        <v>#N/A</v>
      </c>
      <c r="H3131" s="247"/>
      <c r="I3131" s="247"/>
      <c r="J3131" s="246"/>
      <c r="K3131" s="246"/>
      <c r="L3131" s="226"/>
      <c r="M3131" s="226"/>
      <c r="N3131" s="246"/>
      <c r="P3131" s="228"/>
      <c r="Q3131" s="245"/>
      <c r="R3131" s="186" t="str">
        <f aca="false">+PROPER(C3131&amp;" "&amp;D3131)</f>
        <v> </v>
      </c>
      <c r="S3131" s="230" t="n">
        <f aca="false">+YEARFRAC(L3131,$S$1)</f>
        <v>126.366666666667</v>
      </c>
      <c r="T3131" s="230" t="n">
        <f aca="false">+YEARFRAC(M3131,$S$1)</f>
        <v>126.366666666667</v>
      </c>
      <c r="U3131" s="231" t="n">
        <f aca="false">+$I3131</f>
        <v>0</v>
      </c>
      <c r="V3131" s="232" t="str">
        <f aca="false">+PROPER(F3131)</f>
        <v/>
      </c>
    </row>
    <row r="3132" customFormat="false" ht="14.25" hidden="false" customHeight="false" outlineLevel="0" collapsed="false">
      <c r="B3132" s="244"/>
      <c r="C3132" s="245"/>
      <c r="D3132" s="245"/>
      <c r="E3132" s="246"/>
      <c r="F3132" s="246"/>
      <c r="G3132" s="225" t="e">
        <f aca="false">VLOOKUP(B3132,'NIVEL ENERO'!A:F,4,0)</f>
        <v>#N/A</v>
      </c>
      <c r="H3132" s="247"/>
      <c r="I3132" s="247"/>
      <c r="J3132" s="246"/>
      <c r="K3132" s="246"/>
      <c r="L3132" s="226"/>
      <c r="M3132" s="226"/>
      <c r="N3132" s="246"/>
      <c r="P3132" s="228"/>
      <c r="Q3132" s="245"/>
      <c r="R3132" s="186" t="str">
        <f aca="false">+PROPER(C3132&amp;" "&amp;D3132)</f>
        <v> </v>
      </c>
      <c r="S3132" s="230" t="n">
        <f aca="false">+YEARFRAC(L3132,$S$1)</f>
        <v>126.366666666667</v>
      </c>
      <c r="T3132" s="230" t="n">
        <f aca="false">+YEARFRAC(M3132,$S$1)</f>
        <v>126.366666666667</v>
      </c>
      <c r="U3132" s="231" t="n">
        <f aca="false">+$I3132</f>
        <v>0</v>
      </c>
      <c r="V3132" s="232" t="str">
        <f aca="false">+PROPER(F3132)</f>
        <v/>
      </c>
    </row>
    <row r="3133" customFormat="false" ht="14.25" hidden="false" customHeight="false" outlineLevel="0" collapsed="false">
      <c r="B3133" s="244"/>
      <c r="C3133" s="245"/>
      <c r="D3133" s="245"/>
      <c r="E3133" s="246"/>
      <c r="F3133" s="246"/>
      <c r="G3133" s="225" t="e">
        <f aca="false">VLOOKUP(B3133,'NIVEL ENERO'!A:F,4,0)</f>
        <v>#N/A</v>
      </c>
      <c r="H3133" s="247"/>
      <c r="I3133" s="247"/>
      <c r="J3133" s="246"/>
      <c r="K3133" s="246"/>
      <c r="L3133" s="226"/>
      <c r="M3133" s="226"/>
      <c r="N3133" s="246"/>
      <c r="P3133" s="228"/>
      <c r="Q3133" s="245"/>
      <c r="R3133" s="186" t="str">
        <f aca="false">+PROPER(C3133&amp;" "&amp;D3133)</f>
        <v> </v>
      </c>
      <c r="S3133" s="230" t="n">
        <f aca="false">+YEARFRAC(L3133,$S$1)</f>
        <v>126.366666666667</v>
      </c>
      <c r="T3133" s="230" t="n">
        <f aca="false">+YEARFRAC(M3133,$S$1)</f>
        <v>126.366666666667</v>
      </c>
      <c r="U3133" s="231" t="n">
        <f aca="false">+$I3133</f>
        <v>0</v>
      </c>
      <c r="V3133" s="232" t="str">
        <f aca="false">+PROPER(F3133)</f>
        <v/>
      </c>
    </row>
    <row r="3134" customFormat="false" ht="14.25" hidden="false" customHeight="false" outlineLevel="0" collapsed="false">
      <c r="B3134" s="244"/>
      <c r="C3134" s="245"/>
      <c r="D3134" s="245"/>
      <c r="E3134" s="246"/>
      <c r="F3134" s="246"/>
      <c r="G3134" s="225" t="e">
        <f aca="false">VLOOKUP(B3134,'NIVEL ENERO'!A:F,4,0)</f>
        <v>#N/A</v>
      </c>
      <c r="H3134" s="247"/>
      <c r="I3134" s="247"/>
      <c r="J3134" s="246"/>
      <c r="K3134" s="246"/>
      <c r="L3134" s="226"/>
      <c r="M3134" s="226"/>
      <c r="N3134" s="246"/>
      <c r="P3134" s="228"/>
      <c r="Q3134" s="245"/>
      <c r="R3134" s="186" t="str">
        <f aca="false">+PROPER(C3134&amp;" "&amp;D3134)</f>
        <v> </v>
      </c>
      <c r="S3134" s="230" t="n">
        <f aca="false">+YEARFRAC(L3134,$S$1)</f>
        <v>126.366666666667</v>
      </c>
      <c r="T3134" s="230" t="n">
        <f aca="false">+YEARFRAC(M3134,$S$1)</f>
        <v>126.366666666667</v>
      </c>
      <c r="U3134" s="231" t="n">
        <f aca="false">+$I3134</f>
        <v>0</v>
      </c>
      <c r="V3134" s="232" t="str">
        <f aca="false">+PROPER(F3134)</f>
        <v/>
      </c>
    </row>
    <row r="3135" customFormat="false" ht="14.25" hidden="false" customHeight="false" outlineLevel="0" collapsed="false">
      <c r="B3135" s="244"/>
      <c r="C3135" s="245"/>
      <c r="D3135" s="245"/>
      <c r="E3135" s="246"/>
      <c r="F3135" s="246"/>
      <c r="G3135" s="225" t="e">
        <f aca="false">VLOOKUP(B3135,'NIVEL ENERO'!A:F,4,0)</f>
        <v>#N/A</v>
      </c>
      <c r="H3135" s="247"/>
      <c r="I3135" s="247"/>
      <c r="J3135" s="246"/>
      <c r="K3135" s="246"/>
      <c r="L3135" s="226"/>
      <c r="M3135" s="226"/>
      <c r="N3135" s="246"/>
      <c r="P3135" s="228"/>
      <c r="Q3135" s="245"/>
      <c r="R3135" s="186" t="str">
        <f aca="false">+PROPER(C3135&amp;" "&amp;D3135)</f>
        <v> </v>
      </c>
      <c r="S3135" s="230" t="n">
        <f aca="false">+YEARFRAC(L3135,$S$1)</f>
        <v>126.366666666667</v>
      </c>
      <c r="T3135" s="230" t="n">
        <f aca="false">+YEARFRAC(M3135,$S$1)</f>
        <v>126.366666666667</v>
      </c>
      <c r="U3135" s="231" t="n">
        <f aca="false">+$I3135</f>
        <v>0</v>
      </c>
      <c r="V3135" s="232" t="str">
        <f aca="false">+PROPER(F3135)</f>
        <v/>
      </c>
    </row>
    <row r="3136" customFormat="false" ht="14.25" hidden="false" customHeight="false" outlineLevel="0" collapsed="false">
      <c r="B3136" s="244"/>
      <c r="C3136" s="245"/>
      <c r="D3136" s="245"/>
      <c r="E3136" s="246"/>
      <c r="F3136" s="246"/>
      <c r="G3136" s="225" t="e">
        <f aca="false">VLOOKUP(B3136,'NIVEL ENERO'!A:F,4,0)</f>
        <v>#N/A</v>
      </c>
      <c r="H3136" s="247"/>
      <c r="I3136" s="247"/>
      <c r="J3136" s="246"/>
      <c r="K3136" s="246"/>
      <c r="L3136" s="226"/>
      <c r="M3136" s="226"/>
      <c r="N3136" s="246"/>
      <c r="P3136" s="228"/>
      <c r="Q3136" s="245"/>
      <c r="R3136" s="186" t="str">
        <f aca="false">+PROPER(C3136&amp;" "&amp;D3136)</f>
        <v> </v>
      </c>
      <c r="S3136" s="230" t="n">
        <f aca="false">+YEARFRAC(L3136,$S$1)</f>
        <v>126.366666666667</v>
      </c>
      <c r="T3136" s="230" t="n">
        <f aca="false">+YEARFRAC(M3136,$S$1)</f>
        <v>126.366666666667</v>
      </c>
      <c r="U3136" s="231" t="n">
        <f aca="false">+$I3136</f>
        <v>0</v>
      </c>
      <c r="V3136" s="232" t="str">
        <f aca="false">+PROPER(F3136)</f>
        <v/>
      </c>
    </row>
    <row r="3137" customFormat="false" ht="14.25" hidden="false" customHeight="false" outlineLevel="0" collapsed="false">
      <c r="B3137" s="244"/>
      <c r="C3137" s="245"/>
      <c r="D3137" s="245"/>
      <c r="E3137" s="246"/>
      <c r="F3137" s="246"/>
      <c r="G3137" s="225" t="e">
        <f aca="false">VLOOKUP(B3137,'NIVEL ENERO'!A:F,4,0)</f>
        <v>#N/A</v>
      </c>
      <c r="H3137" s="247"/>
      <c r="I3137" s="247"/>
      <c r="J3137" s="246"/>
      <c r="K3137" s="246"/>
      <c r="L3137" s="226"/>
      <c r="M3137" s="226"/>
      <c r="N3137" s="246"/>
      <c r="P3137" s="228"/>
      <c r="Q3137" s="245"/>
      <c r="R3137" s="186" t="str">
        <f aca="false">+PROPER(C3137&amp;" "&amp;D3137)</f>
        <v> </v>
      </c>
      <c r="S3137" s="230" t="n">
        <f aca="false">+YEARFRAC(L3137,$S$1)</f>
        <v>126.366666666667</v>
      </c>
      <c r="T3137" s="230" t="n">
        <f aca="false">+YEARFRAC(M3137,$S$1)</f>
        <v>126.366666666667</v>
      </c>
      <c r="U3137" s="231" t="n">
        <f aca="false">+$I3137</f>
        <v>0</v>
      </c>
      <c r="V3137" s="232" t="str">
        <f aca="false">+PROPER(F3137)</f>
        <v/>
      </c>
    </row>
    <row r="3138" customFormat="false" ht="14.25" hidden="false" customHeight="false" outlineLevel="0" collapsed="false">
      <c r="B3138" s="244"/>
      <c r="C3138" s="245"/>
      <c r="D3138" s="245"/>
      <c r="E3138" s="246"/>
      <c r="F3138" s="246"/>
      <c r="G3138" s="225" t="e">
        <f aca="false">VLOOKUP(B3138,'NIVEL ENERO'!A:F,4,0)</f>
        <v>#N/A</v>
      </c>
      <c r="H3138" s="247"/>
      <c r="I3138" s="247"/>
      <c r="J3138" s="246"/>
      <c r="K3138" s="246"/>
      <c r="L3138" s="226"/>
      <c r="M3138" s="226"/>
      <c r="N3138" s="246"/>
      <c r="P3138" s="228"/>
      <c r="Q3138" s="245"/>
      <c r="R3138" s="186" t="str">
        <f aca="false">+PROPER(C3138&amp;" "&amp;D3138)</f>
        <v> </v>
      </c>
      <c r="S3138" s="230" t="n">
        <f aca="false">+YEARFRAC(L3138,$S$1)</f>
        <v>126.366666666667</v>
      </c>
      <c r="T3138" s="230" t="n">
        <f aca="false">+YEARFRAC(M3138,$S$1)</f>
        <v>126.366666666667</v>
      </c>
      <c r="U3138" s="231" t="n">
        <f aca="false">+$I3138</f>
        <v>0</v>
      </c>
      <c r="V3138" s="232" t="str">
        <f aca="false">+PROPER(F3138)</f>
        <v/>
      </c>
    </row>
    <row r="3139" customFormat="false" ht="14.25" hidden="false" customHeight="false" outlineLevel="0" collapsed="false">
      <c r="B3139" s="244"/>
      <c r="C3139" s="245"/>
      <c r="D3139" s="245"/>
      <c r="E3139" s="246"/>
      <c r="F3139" s="246"/>
      <c r="G3139" s="225" t="e">
        <f aca="false">VLOOKUP(B3139,'NIVEL ENERO'!A:F,4,0)</f>
        <v>#N/A</v>
      </c>
      <c r="H3139" s="247"/>
      <c r="I3139" s="247"/>
      <c r="J3139" s="246"/>
      <c r="K3139" s="246"/>
      <c r="L3139" s="226"/>
      <c r="M3139" s="226"/>
      <c r="N3139" s="246"/>
      <c r="P3139" s="228"/>
      <c r="Q3139" s="245"/>
      <c r="R3139" s="186" t="str">
        <f aca="false">+PROPER(C3139&amp;" "&amp;D3139)</f>
        <v> </v>
      </c>
      <c r="S3139" s="230" t="n">
        <f aca="false">+YEARFRAC(L3139,$S$1)</f>
        <v>126.366666666667</v>
      </c>
      <c r="T3139" s="230" t="n">
        <f aca="false">+YEARFRAC(M3139,$S$1)</f>
        <v>126.366666666667</v>
      </c>
      <c r="U3139" s="231" t="n">
        <f aca="false">+$I3139</f>
        <v>0</v>
      </c>
      <c r="V3139" s="232" t="str">
        <f aca="false">+PROPER(F3139)</f>
        <v/>
      </c>
    </row>
    <row r="3140" customFormat="false" ht="14.25" hidden="false" customHeight="false" outlineLevel="0" collapsed="false">
      <c r="B3140" s="244"/>
      <c r="C3140" s="245"/>
      <c r="D3140" s="245"/>
      <c r="E3140" s="246"/>
      <c r="F3140" s="246"/>
      <c r="G3140" s="225" t="e">
        <f aca="false">VLOOKUP(B3140,'NIVEL ENERO'!A:F,4,0)</f>
        <v>#N/A</v>
      </c>
      <c r="H3140" s="247"/>
      <c r="I3140" s="247"/>
      <c r="J3140" s="246"/>
      <c r="K3140" s="246"/>
      <c r="L3140" s="226"/>
      <c r="M3140" s="226"/>
      <c r="N3140" s="246"/>
      <c r="P3140" s="228"/>
      <c r="Q3140" s="245"/>
      <c r="R3140" s="186" t="str">
        <f aca="false">+PROPER(C3140&amp;" "&amp;D3140)</f>
        <v> </v>
      </c>
      <c r="S3140" s="230" t="n">
        <f aca="false">+YEARFRAC(L3140,$S$1)</f>
        <v>126.366666666667</v>
      </c>
      <c r="T3140" s="230" t="n">
        <f aca="false">+YEARFRAC(M3140,$S$1)</f>
        <v>126.366666666667</v>
      </c>
      <c r="U3140" s="231" t="n">
        <f aca="false">+$I3140</f>
        <v>0</v>
      </c>
      <c r="V3140" s="232" t="str">
        <f aca="false">+PROPER(F3140)</f>
        <v/>
      </c>
    </row>
    <row r="3141" customFormat="false" ht="14.25" hidden="false" customHeight="false" outlineLevel="0" collapsed="false">
      <c r="B3141" s="244"/>
      <c r="C3141" s="245"/>
      <c r="D3141" s="245"/>
      <c r="E3141" s="246"/>
      <c r="F3141" s="246"/>
      <c r="G3141" s="225" t="e">
        <f aca="false">VLOOKUP(B3141,'NIVEL ENERO'!A:F,4,0)</f>
        <v>#N/A</v>
      </c>
      <c r="H3141" s="247"/>
      <c r="I3141" s="247"/>
      <c r="J3141" s="246"/>
      <c r="K3141" s="246"/>
      <c r="L3141" s="226"/>
      <c r="M3141" s="226"/>
      <c r="N3141" s="246"/>
      <c r="P3141" s="228"/>
      <c r="Q3141" s="245"/>
      <c r="R3141" s="186" t="str">
        <f aca="false">+PROPER(C3141&amp;" "&amp;D3141)</f>
        <v> </v>
      </c>
      <c r="S3141" s="230" t="n">
        <f aca="false">+YEARFRAC(L3141,$S$1)</f>
        <v>126.366666666667</v>
      </c>
      <c r="T3141" s="230" t="n">
        <f aca="false">+YEARFRAC(M3141,$S$1)</f>
        <v>126.366666666667</v>
      </c>
      <c r="U3141" s="231" t="n">
        <f aca="false">+$I3141</f>
        <v>0</v>
      </c>
      <c r="V3141" s="232" t="str">
        <f aca="false">+PROPER(F3141)</f>
        <v/>
      </c>
    </row>
    <row r="3142" customFormat="false" ht="14.25" hidden="false" customHeight="false" outlineLevel="0" collapsed="false">
      <c r="B3142" s="244"/>
      <c r="C3142" s="245"/>
      <c r="D3142" s="245"/>
      <c r="E3142" s="246"/>
      <c r="F3142" s="246"/>
      <c r="G3142" s="225" t="e">
        <f aca="false">VLOOKUP(B3142,'NIVEL ENERO'!A:F,4,0)</f>
        <v>#N/A</v>
      </c>
      <c r="H3142" s="247"/>
      <c r="I3142" s="247"/>
      <c r="J3142" s="246"/>
      <c r="K3142" s="246"/>
      <c r="L3142" s="226"/>
      <c r="M3142" s="226"/>
      <c r="N3142" s="246"/>
      <c r="P3142" s="228"/>
      <c r="Q3142" s="245"/>
      <c r="R3142" s="186" t="str">
        <f aca="false">+PROPER(C3142&amp;" "&amp;D3142)</f>
        <v> </v>
      </c>
      <c r="S3142" s="230" t="n">
        <f aca="false">+YEARFRAC(L3142,$S$1)</f>
        <v>126.366666666667</v>
      </c>
      <c r="T3142" s="230" t="n">
        <f aca="false">+YEARFRAC(M3142,$S$1)</f>
        <v>126.366666666667</v>
      </c>
      <c r="U3142" s="231" t="n">
        <f aca="false">+$I3142</f>
        <v>0</v>
      </c>
      <c r="V3142" s="232" t="str">
        <f aca="false">+PROPER(F3142)</f>
        <v/>
      </c>
    </row>
    <row r="3143" customFormat="false" ht="14.25" hidden="false" customHeight="false" outlineLevel="0" collapsed="false">
      <c r="B3143" s="244"/>
      <c r="C3143" s="245"/>
      <c r="D3143" s="245"/>
      <c r="E3143" s="246"/>
      <c r="F3143" s="246"/>
      <c r="G3143" s="225" t="e">
        <f aca="false">VLOOKUP(B3143,'NIVEL ENERO'!A:F,4,0)</f>
        <v>#N/A</v>
      </c>
      <c r="H3143" s="247"/>
      <c r="I3143" s="247"/>
      <c r="J3143" s="246"/>
      <c r="K3143" s="246"/>
      <c r="L3143" s="226"/>
      <c r="M3143" s="226"/>
      <c r="N3143" s="246"/>
      <c r="P3143" s="228"/>
      <c r="Q3143" s="245"/>
      <c r="R3143" s="186" t="str">
        <f aca="false">+PROPER(C3143&amp;" "&amp;D3143)</f>
        <v> </v>
      </c>
      <c r="S3143" s="230" t="n">
        <f aca="false">+YEARFRAC(L3143,$S$1)</f>
        <v>126.366666666667</v>
      </c>
      <c r="T3143" s="230" t="n">
        <f aca="false">+YEARFRAC(M3143,$S$1)</f>
        <v>126.366666666667</v>
      </c>
      <c r="U3143" s="231" t="n">
        <f aca="false">+$I3143</f>
        <v>0</v>
      </c>
      <c r="V3143" s="232" t="str">
        <f aca="false">+PROPER(F3143)</f>
        <v/>
      </c>
    </row>
    <row r="3144" customFormat="false" ht="14.25" hidden="false" customHeight="false" outlineLevel="0" collapsed="false">
      <c r="B3144" s="244"/>
      <c r="C3144" s="245"/>
      <c r="D3144" s="245"/>
      <c r="E3144" s="246"/>
      <c r="F3144" s="246"/>
      <c r="G3144" s="225" t="e">
        <f aca="false">VLOOKUP(B3144,'NIVEL ENERO'!A:F,4,0)</f>
        <v>#N/A</v>
      </c>
      <c r="H3144" s="247"/>
      <c r="I3144" s="247"/>
      <c r="J3144" s="246"/>
      <c r="K3144" s="246"/>
      <c r="L3144" s="226"/>
      <c r="M3144" s="226"/>
      <c r="N3144" s="246"/>
      <c r="P3144" s="228"/>
      <c r="Q3144" s="245"/>
      <c r="R3144" s="186" t="str">
        <f aca="false">+PROPER(C3144&amp;" "&amp;D3144)</f>
        <v> </v>
      </c>
      <c r="S3144" s="230" t="n">
        <f aca="false">+YEARFRAC(L3144,$S$1)</f>
        <v>126.366666666667</v>
      </c>
      <c r="T3144" s="230" t="n">
        <f aca="false">+YEARFRAC(M3144,$S$1)</f>
        <v>126.366666666667</v>
      </c>
      <c r="U3144" s="231" t="n">
        <f aca="false">+$I3144</f>
        <v>0</v>
      </c>
      <c r="V3144" s="232" t="str">
        <f aca="false">+PROPER(F3144)</f>
        <v/>
      </c>
    </row>
    <row r="3145" customFormat="false" ht="14.25" hidden="false" customHeight="false" outlineLevel="0" collapsed="false">
      <c r="B3145" s="244"/>
      <c r="C3145" s="245"/>
      <c r="D3145" s="245"/>
      <c r="E3145" s="246"/>
      <c r="F3145" s="246"/>
      <c r="G3145" s="225" t="e">
        <f aca="false">VLOOKUP(B3145,'NIVEL ENERO'!A:F,4,0)</f>
        <v>#N/A</v>
      </c>
      <c r="H3145" s="247"/>
      <c r="I3145" s="247"/>
      <c r="J3145" s="246"/>
      <c r="K3145" s="246"/>
      <c r="L3145" s="226"/>
      <c r="M3145" s="226"/>
      <c r="N3145" s="246"/>
      <c r="P3145" s="228"/>
      <c r="Q3145" s="245"/>
      <c r="R3145" s="186" t="str">
        <f aca="false">+PROPER(C3145&amp;" "&amp;D3145)</f>
        <v> </v>
      </c>
      <c r="S3145" s="230" t="n">
        <f aca="false">+YEARFRAC(L3145,$S$1)</f>
        <v>126.366666666667</v>
      </c>
      <c r="T3145" s="230" t="n">
        <f aca="false">+YEARFRAC(M3145,$S$1)</f>
        <v>126.366666666667</v>
      </c>
      <c r="U3145" s="231" t="n">
        <f aca="false">+$I3145</f>
        <v>0</v>
      </c>
      <c r="V3145" s="232" t="str">
        <f aca="false">+PROPER(F3145)</f>
        <v/>
      </c>
    </row>
    <row r="3146" customFormat="false" ht="14.25" hidden="false" customHeight="false" outlineLevel="0" collapsed="false">
      <c r="B3146" s="244"/>
      <c r="C3146" s="245"/>
      <c r="D3146" s="245"/>
      <c r="E3146" s="246"/>
      <c r="F3146" s="246"/>
      <c r="G3146" s="225" t="e">
        <f aca="false">VLOOKUP(B3146,'NIVEL ENERO'!A:F,4,0)</f>
        <v>#N/A</v>
      </c>
      <c r="H3146" s="247"/>
      <c r="I3146" s="247"/>
      <c r="J3146" s="246"/>
      <c r="K3146" s="246"/>
      <c r="L3146" s="226"/>
      <c r="M3146" s="226"/>
      <c r="N3146" s="246"/>
      <c r="P3146" s="228"/>
      <c r="Q3146" s="245"/>
      <c r="R3146" s="186" t="str">
        <f aca="false">+PROPER(C3146&amp;" "&amp;D3146)</f>
        <v> </v>
      </c>
      <c r="S3146" s="230" t="n">
        <f aca="false">+YEARFRAC(L3146,$S$1)</f>
        <v>126.366666666667</v>
      </c>
      <c r="T3146" s="230" t="n">
        <f aca="false">+YEARFRAC(M3146,$S$1)</f>
        <v>126.366666666667</v>
      </c>
      <c r="U3146" s="231" t="n">
        <f aca="false">+$I3146</f>
        <v>0</v>
      </c>
      <c r="V3146" s="232" t="str">
        <f aca="false">+PROPER(F3146)</f>
        <v/>
      </c>
    </row>
    <row r="3147" customFormat="false" ht="14.25" hidden="false" customHeight="false" outlineLevel="0" collapsed="false">
      <c r="B3147" s="244"/>
      <c r="C3147" s="245"/>
      <c r="D3147" s="245"/>
      <c r="E3147" s="246"/>
      <c r="F3147" s="246"/>
      <c r="G3147" s="225" t="e">
        <f aca="false">VLOOKUP(B3147,'NIVEL ENERO'!A:F,4,0)</f>
        <v>#N/A</v>
      </c>
      <c r="H3147" s="247"/>
      <c r="I3147" s="247"/>
      <c r="J3147" s="246"/>
      <c r="K3147" s="246"/>
      <c r="L3147" s="226"/>
      <c r="M3147" s="226"/>
      <c r="N3147" s="246"/>
      <c r="P3147" s="228"/>
      <c r="Q3147" s="245"/>
      <c r="R3147" s="186" t="str">
        <f aca="false">+PROPER(C3147&amp;" "&amp;D3147)</f>
        <v> </v>
      </c>
      <c r="S3147" s="230" t="n">
        <f aca="false">+YEARFRAC(L3147,$S$1)</f>
        <v>126.366666666667</v>
      </c>
      <c r="T3147" s="230" t="n">
        <f aca="false">+YEARFRAC(M3147,$S$1)</f>
        <v>126.366666666667</v>
      </c>
      <c r="U3147" s="231" t="n">
        <f aca="false">+$I3147</f>
        <v>0</v>
      </c>
      <c r="V3147" s="232" t="str">
        <f aca="false">+PROPER(F3147)</f>
        <v/>
      </c>
    </row>
    <row r="3148" customFormat="false" ht="14.25" hidden="false" customHeight="false" outlineLevel="0" collapsed="false">
      <c r="B3148" s="244"/>
      <c r="C3148" s="245"/>
      <c r="D3148" s="245"/>
      <c r="E3148" s="246"/>
      <c r="F3148" s="246"/>
      <c r="G3148" s="225" t="e">
        <f aca="false">VLOOKUP(B3148,'NIVEL ENERO'!A:F,4,0)</f>
        <v>#N/A</v>
      </c>
      <c r="H3148" s="247"/>
      <c r="I3148" s="247"/>
      <c r="J3148" s="246"/>
      <c r="K3148" s="246"/>
      <c r="L3148" s="226"/>
      <c r="M3148" s="226"/>
      <c r="N3148" s="246"/>
      <c r="P3148" s="228"/>
      <c r="Q3148" s="245"/>
      <c r="R3148" s="186" t="str">
        <f aca="false">+PROPER(C3148&amp;" "&amp;D3148)</f>
        <v> </v>
      </c>
      <c r="S3148" s="230" t="n">
        <f aca="false">+YEARFRAC(L3148,$S$1)</f>
        <v>126.366666666667</v>
      </c>
      <c r="T3148" s="230" t="n">
        <f aca="false">+YEARFRAC(M3148,$S$1)</f>
        <v>126.366666666667</v>
      </c>
      <c r="U3148" s="231" t="n">
        <f aca="false">+$I3148</f>
        <v>0</v>
      </c>
      <c r="V3148" s="232" t="str">
        <f aca="false">+PROPER(F3148)</f>
        <v/>
      </c>
    </row>
    <row r="3149" customFormat="false" ht="14.25" hidden="false" customHeight="false" outlineLevel="0" collapsed="false">
      <c r="B3149" s="244"/>
      <c r="C3149" s="245"/>
      <c r="D3149" s="245"/>
      <c r="E3149" s="246"/>
      <c r="F3149" s="246"/>
      <c r="G3149" s="225" t="e">
        <f aca="false">VLOOKUP(B3149,'NIVEL ENERO'!A:F,4,0)</f>
        <v>#N/A</v>
      </c>
      <c r="H3149" s="247"/>
      <c r="I3149" s="247"/>
      <c r="J3149" s="246"/>
      <c r="K3149" s="246"/>
      <c r="L3149" s="226"/>
      <c r="M3149" s="226"/>
      <c r="N3149" s="246"/>
      <c r="P3149" s="228"/>
      <c r="Q3149" s="245"/>
      <c r="R3149" s="186" t="str">
        <f aca="false">+PROPER(C3149&amp;" "&amp;D3149)</f>
        <v> </v>
      </c>
      <c r="S3149" s="230" t="n">
        <f aca="false">+YEARFRAC(L3149,$S$1)</f>
        <v>126.366666666667</v>
      </c>
      <c r="T3149" s="230" t="n">
        <f aca="false">+YEARFRAC(M3149,$S$1)</f>
        <v>126.366666666667</v>
      </c>
      <c r="U3149" s="231" t="n">
        <f aca="false">+$I3149</f>
        <v>0</v>
      </c>
      <c r="V3149" s="232" t="str">
        <f aca="false">+PROPER(F3149)</f>
        <v/>
      </c>
    </row>
    <row r="3150" customFormat="false" ht="14.25" hidden="false" customHeight="false" outlineLevel="0" collapsed="false">
      <c r="B3150" s="244"/>
      <c r="C3150" s="245"/>
      <c r="D3150" s="245"/>
      <c r="E3150" s="246"/>
      <c r="F3150" s="246"/>
      <c r="G3150" s="225" t="e">
        <f aca="false">VLOOKUP(B3150,'NIVEL ENERO'!A:F,4,0)</f>
        <v>#N/A</v>
      </c>
      <c r="H3150" s="247"/>
      <c r="I3150" s="247"/>
      <c r="J3150" s="246"/>
      <c r="K3150" s="246"/>
      <c r="L3150" s="226"/>
      <c r="M3150" s="226"/>
      <c r="N3150" s="246"/>
      <c r="P3150" s="228"/>
      <c r="Q3150" s="245"/>
      <c r="R3150" s="186" t="str">
        <f aca="false">+PROPER(C3150&amp;" "&amp;D3150)</f>
        <v> </v>
      </c>
      <c r="S3150" s="230" t="n">
        <f aca="false">+YEARFRAC(L3150,$S$1)</f>
        <v>126.366666666667</v>
      </c>
      <c r="T3150" s="230" t="n">
        <f aca="false">+YEARFRAC(M3150,$S$1)</f>
        <v>126.366666666667</v>
      </c>
      <c r="U3150" s="231" t="n">
        <f aca="false">+$I3150</f>
        <v>0</v>
      </c>
      <c r="V3150" s="232" t="str">
        <f aca="false">+PROPER(F3150)</f>
        <v/>
      </c>
    </row>
    <row r="3151" customFormat="false" ht="14.25" hidden="false" customHeight="false" outlineLevel="0" collapsed="false">
      <c r="B3151" s="244"/>
      <c r="C3151" s="245"/>
      <c r="D3151" s="245"/>
      <c r="E3151" s="246"/>
      <c r="F3151" s="246"/>
      <c r="G3151" s="225" t="e">
        <f aca="false">VLOOKUP(B3151,'NIVEL ENERO'!A:F,4,0)</f>
        <v>#N/A</v>
      </c>
      <c r="H3151" s="247"/>
      <c r="I3151" s="247"/>
      <c r="J3151" s="246"/>
      <c r="K3151" s="246"/>
      <c r="L3151" s="226"/>
      <c r="M3151" s="226"/>
      <c r="N3151" s="246"/>
      <c r="P3151" s="228"/>
      <c r="Q3151" s="245"/>
      <c r="R3151" s="186" t="str">
        <f aca="false">+PROPER(C3151&amp;" "&amp;D3151)</f>
        <v> </v>
      </c>
      <c r="S3151" s="230" t="n">
        <f aca="false">+YEARFRAC(L3151,$S$1)</f>
        <v>126.366666666667</v>
      </c>
      <c r="T3151" s="230" t="n">
        <f aca="false">+YEARFRAC(M3151,$S$1)</f>
        <v>126.366666666667</v>
      </c>
      <c r="U3151" s="231" t="n">
        <f aca="false">+$I3151</f>
        <v>0</v>
      </c>
      <c r="V3151" s="232" t="str">
        <f aca="false">+PROPER(F3151)</f>
        <v/>
      </c>
    </row>
    <row r="3152" customFormat="false" ht="14.25" hidden="false" customHeight="false" outlineLevel="0" collapsed="false">
      <c r="B3152" s="244"/>
      <c r="C3152" s="245"/>
      <c r="D3152" s="245"/>
      <c r="E3152" s="246"/>
      <c r="F3152" s="246"/>
      <c r="G3152" s="225" t="e">
        <f aca="false">VLOOKUP(B3152,'NIVEL ENERO'!A:F,4,0)</f>
        <v>#N/A</v>
      </c>
      <c r="H3152" s="247"/>
      <c r="I3152" s="247"/>
      <c r="J3152" s="246"/>
      <c r="K3152" s="246"/>
      <c r="L3152" s="226"/>
      <c r="M3152" s="226"/>
      <c r="N3152" s="246"/>
      <c r="P3152" s="228"/>
      <c r="Q3152" s="245"/>
      <c r="R3152" s="186" t="str">
        <f aca="false">+PROPER(C3152&amp;" "&amp;D3152)</f>
        <v> </v>
      </c>
      <c r="S3152" s="230" t="n">
        <f aca="false">+YEARFRAC(L3152,$S$1)</f>
        <v>126.366666666667</v>
      </c>
      <c r="T3152" s="230" t="n">
        <f aca="false">+YEARFRAC(M3152,$S$1)</f>
        <v>126.366666666667</v>
      </c>
      <c r="U3152" s="231" t="n">
        <f aca="false">+$I3152</f>
        <v>0</v>
      </c>
      <c r="V3152" s="232" t="str">
        <f aca="false">+PROPER(F3152)</f>
        <v/>
      </c>
    </row>
    <row r="3153" customFormat="false" ht="14.25" hidden="false" customHeight="false" outlineLevel="0" collapsed="false">
      <c r="B3153" s="244"/>
      <c r="C3153" s="245"/>
      <c r="D3153" s="245"/>
      <c r="E3153" s="246"/>
      <c r="F3153" s="246"/>
      <c r="G3153" s="225" t="e">
        <f aca="false">VLOOKUP(B3153,'NIVEL ENERO'!A:F,4,0)</f>
        <v>#N/A</v>
      </c>
      <c r="H3153" s="247"/>
      <c r="I3153" s="247"/>
      <c r="J3153" s="246"/>
      <c r="K3153" s="246"/>
      <c r="L3153" s="226"/>
      <c r="M3153" s="226"/>
      <c r="N3153" s="246"/>
      <c r="P3153" s="228"/>
      <c r="Q3153" s="245"/>
      <c r="R3153" s="186" t="str">
        <f aca="false">+PROPER(C3153&amp;" "&amp;D3153)</f>
        <v> </v>
      </c>
      <c r="S3153" s="230" t="n">
        <f aca="false">+YEARFRAC(L3153,$S$1)</f>
        <v>126.366666666667</v>
      </c>
      <c r="T3153" s="230" t="n">
        <f aca="false">+YEARFRAC(M3153,$S$1)</f>
        <v>126.366666666667</v>
      </c>
      <c r="U3153" s="231" t="n">
        <f aca="false">+$I3153</f>
        <v>0</v>
      </c>
      <c r="V3153" s="232" t="str">
        <f aca="false">+PROPER(F3153)</f>
        <v/>
      </c>
    </row>
    <row r="3154" customFormat="false" ht="14.25" hidden="false" customHeight="false" outlineLevel="0" collapsed="false">
      <c r="B3154" s="244"/>
      <c r="C3154" s="245"/>
      <c r="D3154" s="245"/>
      <c r="E3154" s="246"/>
      <c r="F3154" s="246"/>
      <c r="G3154" s="225" t="e">
        <f aca="false">VLOOKUP(B3154,'NIVEL ENERO'!A:F,4,0)</f>
        <v>#N/A</v>
      </c>
      <c r="H3154" s="247"/>
      <c r="I3154" s="247"/>
      <c r="J3154" s="246"/>
      <c r="K3154" s="246"/>
      <c r="L3154" s="226"/>
      <c r="M3154" s="226"/>
      <c r="N3154" s="246"/>
      <c r="P3154" s="228"/>
      <c r="Q3154" s="245"/>
      <c r="R3154" s="186" t="str">
        <f aca="false">+PROPER(C3154&amp;" "&amp;D3154)</f>
        <v> </v>
      </c>
      <c r="S3154" s="230" t="n">
        <f aca="false">+YEARFRAC(L3154,$S$1)</f>
        <v>126.366666666667</v>
      </c>
      <c r="T3154" s="230" t="n">
        <f aca="false">+YEARFRAC(M3154,$S$1)</f>
        <v>126.366666666667</v>
      </c>
      <c r="U3154" s="231" t="n">
        <f aca="false">+$I3154</f>
        <v>0</v>
      </c>
      <c r="V3154" s="232" t="str">
        <f aca="false">+PROPER(F3154)</f>
        <v/>
      </c>
    </row>
    <row r="3155" customFormat="false" ht="14.25" hidden="false" customHeight="false" outlineLevel="0" collapsed="false">
      <c r="B3155" s="244"/>
      <c r="C3155" s="245"/>
      <c r="D3155" s="245"/>
      <c r="E3155" s="246"/>
      <c r="F3155" s="246"/>
      <c r="G3155" s="225" t="e">
        <f aca="false">VLOOKUP(B3155,'NIVEL ENERO'!A:F,4,0)</f>
        <v>#N/A</v>
      </c>
      <c r="H3155" s="247"/>
      <c r="I3155" s="247"/>
      <c r="J3155" s="246"/>
      <c r="K3155" s="246"/>
      <c r="L3155" s="226"/>
      <c r="M3155" s="226"/>
      <c r="N3155" s="246"/>
      <c r="P3155" s="228"/>
      <c r="Q3155" s="245"/>
      <c r="R3155" s="186" t="str">
        <f aca="false">+PROPER(C3155&amp;" "&amp;D3155)</f>
        <v> </v>
      </c>
      <c r="S3155" s="230" t="n">
        <f aca="false">+YEARFRAC(L3155,$S$1)</f>
        <v>126.366666666667</v>
      </c>
      <c r="T3155" s="230" t="n">
        <f aca="false">+YEARFRAC(M3155,$S$1)</f>
        <v>126.366666666667</v>
      </c>
      <c r="U3155" s="231" t="n">
        <f aca="false">+$I3155</f>
        <v>0</v>
      </c>
      <c r="V3155" s="232" t="str">
        <f aca="false">+PROPER(F3155)</f>
        <v/>
      </c>
    </row>
    <row r="3156" customFormat="false" ht="14.25" hidden="false" customHeight="false" outlineLevel="0" collapsed="false">
      <c r="B3156" s="244"/>
      <c r="C3156" s="245"/>
      <c r="D3156" s="245"/>
      <c r="E3156" s="246"/>
      <c r="F3156" s="246"/>
      <c r="G3156" s="225" t="e">
        <f aca="false">VLOOKUP(B3156,'NIVEL ENERO'!A:F,4,0)</f>
        <v>#N/A</v>
      </c>
      <c r="H3156" s="247"/>
      <c r="I3156" s="247"/>
      <c r="J3156" s="246"/>
      <c r="K3156" s="246"/>
      <c r="L3156" s="226"/>
      <c r="M3156" s="226"/>
      <c r="N3156" s="246"/>
      <c r="P3156" s="228"/>
      <c r="Q3156" s="245"/>
      <c r="R3156" s="186" t="str">
        <f aca="false">+PROPER(C3156&amp;" "&amp;D3156)</f>
        <v> </v>
      </c>
      <c r="S3156" s="230" t="n">
        <f aca="false">+YEARFRAC(L3156,$S$1)</f>
        <v>126.366666666667</v>
      </c>
      <c r="T3156" s="230" t="n">
        <f aca="false">+YEARFRAC(M3156,$S$1)</f>
        <v>126.366666666667</v>
      </c>
      <c r="U3156" s="231" t="n">
        <f aca="false">+$I3156</f>
        <v>0</v>
      </c>
      <c r="V3156" s="232" t="str">
        <f aca="false">+PROPER(F3156)</f>
        <v/>
      </c>
    </row>
    <row r="3157" customFormat="false" ht="14.25" hidden="false" customHeight="false" outlineLevel="0" collapsed="false">
      <c r="B3157" s="244"/>
      <c r="C3157" s="245"/>
      <c r="D3157" s="245"/>
      <c r="E3157" s="246"/>
      <c r="F3157" s="246"/>
      <c r="G3157" s="225" t="e">
        <f aca="false">VLOOKUP(B3157,'NIVEL ENERO'!A:F,4,0)</f>
        <v>#N/A</v>
      </c>
      <c r="H3157" s="247"/>
      <c r="I3157" s="247"/>
      <c r="J3157" s="246"/>
      <c r="K3157" s="246"/>
      <c r="L3157" s="226"/>
      <c r="M3157" s="226"/>
      <c r="N3157" s="246"/>
      <c r="P3157" s="228"/>
      <c r="Q3157" s="245"/>
      <c r="R3157" s="186" t="str">
        <f aca="false">+PROPER(C3157&amp;" "&amp;D3157)</f>
        <v> </v>
      </c>
      <c r="S3157" s="230" t="n">
        <f aca="false">+YEARFRAC(L3157,$S$1)</f>
        <v>126.366666666667</v>
      </c>
      <c r="T3157" s="230" t="n">
        <f aca="false">+YEARFRAC(M3157,$S$1)</f>
        <v>126.366666666667</v>
      </c>
      <c r="U3157" s="231" t="n">
        <f aca="false">+$I3157</f>
        <v>0</v>
      </c>
      <c r="V3157" s="232" t="str">
        <f aca="false">+PROPER(F3157)</f>
        <v/>
      </c>
    </row>
    <row r="3158" customFormat="false" ht="14.25" hidden="false" customHeight="false" outlineLevel="0" collapsed="false">
      <c r="B3158" s="244"/>
      <c r="C3158" s="245"/>
      <c r="D3158" s="245"/>
      <c r="E3158" s="246"/>
      <c r="F3158" s="246"/>
      <c r="G3158" s="225" t="e">
        <f aca="false">VLOOKUP(B3158,'NIVEL ENERO'!A:F,4,0)</f>
        <v>#N/A</v>
      </c>
      <c r="H3158" s="247"/>
      <c r="I3158" s="247"/>
      <c r="J3158" s="246"/>
      <c r="K3158" s="246"/>
      <c r="L3158" s="226"/>
      <c r="M3158" s="226"/>
      <c r="N3158" s="246"/>
      <c r="P3158" s="228"/>
      <c r="Q3158" s="245"/>
      <c r="R3158" s="186" t="str">
        <f aca="false">+PROPER(C3158&amp;" "&amp;D3158)</f>
        <v> </v>
      </c>
      <c r="S3158" s="230" t="n">
        <f aca="false">+YEARFRAC(L3158,$S$1)</f>
        <v>126.366666666667</v>
      </c>
      <c r="T3158" s="230" t="n">
        <f aca="false">+YEARFRAC(M3158,$S$1)</f>
        <v>126.366666666667</v>
      </c>
      <c r="U3158" s="231" t="n">
        <f aca="false">+$I3158</f>
        <v>0</v>
      </c>
      <c r="V3158" s="232" t="str">
        <f aca="false">+PROPER(F3158)</f>
        <v/>
      </c>
    </row>
    <row r="3159" customFormat="false" ht="14.25" hidden="false" customHeight="false" outlineLevel="0" collapsed="false">
      <c r="B3159" s="244"/>
      <c r="C3159" s="245"/>
      <c r="D3159" s="245"/>
      <c r="E3159" s="246"/>
      <c r="F3159" s="246"/>
      <c r="G3159" s="225" t="e">
        <f aca="false">VLOOKUP(B3159,'NIVEL ENERO'!A:F,4,0)</f>
        <v>#N/A</v>
      </c>
      <c r="H3159" s="247"/>
      <c r="I3159" s="247"/>
      <c r="J3159" s="246"/>
      <c r="K3159" s="246"/>
      <c r="L3159" s="226"/>
      <c r="M3159" s="226"/>
      <c r="N3159" s="246"/>
      <c r="P3159" s="228"/>
      <c r="Q3159" s="245"/>
      <c r="R3159" s="186" t="str">
        <f aca="false">+PROPER(C3159&amp;" "&amp;D3159)</f>
        <v> </v>
      </c>
      <c r="S3159" s="230" t="n">
        <f aca="false">+YEARFRAC(L3159,$S$1)</f>
        <v>126.366666666667</v>
      </c>
      <c r="T3159" s="230" t="n">
        <f aca="false">+YEARFRAC(M3159,$S$1)</f>
        <v>126.366666666667</v>
      </c>
      <c r="U3159" s="231" t="n">
        <f aca="false">+$I3159</f>
        <v>0</v>
      </c>
      <c r="V3159" s="232" t="str">
        <f aca="false">+PROPER(F3159)</f>
        <v/>
      </c>
    </row>
    <row r="3160" customFormat="false" ht="14.25" hidden="false" customHeight="false" outlineLevel="0" collapsed="false">
      <c r="B3160" s="244"/>
      <c r="C3160" s="245"/>
      <c r="D3160" s="245"/>
      <c r="E3160" s="246"/>
      <c r="F3160" s="246"/>
      <c r="G3160" s="225" t="e">
        <f aca="false">VLOOKUP(B3160,'NIVEL ENERO'!A:F,4,0)</f>
        <v>#N/A</v>
      </c>
      <c r="H3160" s="247"/>
      <c r="I3160" s="247"/>
      <c r="J3160" s="246"/>
      <c r="K3160" s="246"/>
      <c r="L3160" s="226"/>
      <c r="M3160" s="226"/>
      <c r="N3160" s="246"/>
      <c r="P3160" s="228"/>
      <c r="Q3160" s="245"/>
      <c r="R3160" s="186" t="str">
        <f aca="false">+PROPER(C3160&amp;" "&amp;D3160)</f>
        <v> </v>
      </c>
      <c r="S3160" s="230" t="n">
        <f aca="false">+YEARFRAC(L3160,$S$1)</f>
        <v>126.366666666667</v>
      </c>
      <c r="T3160" s="230" t="n">
        <f aca="false">+YEARFRAC(M3160,$S$1)</f>
        <v>126.366666666667</v>
      </c>
      <c r="U3160" s="231" t="n">
        <f aca="false">+$I3160</f>
        <v>0</v>
      </c>
      <c r="V3160" s="232" t="str">
        <f aca="false">+PROPER(F3160)</f>
        <v/>
      </c>
    </row>
    <row r="3161" customFormat="false" ht="14.25" hidden="false" customHeight="false" outlineLevel="0" collapsed="false">
      <c r="B3161" s="244"/>
      <c r="C3161" s="245"/>
      <c r="D3161" s="245"/>
      <c r="E3161" s="246"/>
      <c r="F3161" s="246"/>
      <c r="G3161" s="225" t="e">
        <f aca="false">VLOOKUP(B3161,'NIVEL ENERO'!A:F,4,0)</f>
        <v>#N/A</v>
      </c>
      <c r="H3161" s="247"/>
      <c r="I3161" s="247"/>
      <c r="J3161" s="246"/>
      <c r="K3161" s="246"/>
      <c r="L3161" s="226"/>
      <c r="M3161" s="226"/>
      <c r="N3161" s="246"/>
      <c r="P3161" s="228"/>
      <c r="Q3161" s="245"/>
      <c r="R3161" s="186" t="str">
        <f aca="false">+PROPER(C3161&amp;" "&amp;D3161)</f>
        <v> </v>
      </c>
      <c r="S3161" s="230" t="n">
        <f aca="false">+YEARFRAC(L3161,$S$1)</f>
        <v>126.366666666667</v>
      </c>
      <c r="T3161" s="230" t="n">
        <f aca="false">+YEARFRAC(M3161,$S$1)</f>
        <v>126.366666666667</v>
      </c>
      <c r="U3161" s="231" t="n">
        <f aca="false">+$I3161</f>
        <v>0</v>
      </c>
      <c r="V3161" s="232" t="str">
        <f aca="false">+PROPER(F3161)</f>
        <v/>
      </c>
    </row>
    <row r="3162" customFormat="false" ht="14.25" hidden="false" customHeight="false" outlineLevel="0" collapsed="false">
      <c r="B3162" s="244"/>
      <c r="C3162" s="245"/>
      <c r="D3162" s="245"/>
      <c r="E3162" s="246"/>
      <c r="F3162" s="246"/>
      <c r="G3162" s="225" t="e">
        <f aca="false">VLOOKUP(B3162,'NIVEL ENERO'!A:F,4,0)</f>
        <v>#N/A</v>
      </c>
      <c r="H3162" s="247"/>
      <c r="I3162" s="247"/>
      <c r="J3162" s="246"/>
      <c r="K3162" s="246"/>
      <c r="L3162" s="226"/>
      <c r="M3162" s="226"/>
      <c r="N3162" s="246"/>
      <c r="P3162" s="228"/>
      <c r="Q3162" s="245"/>
      <c r="R3162" s="186" t="str">
        <f aca="false">+PROPER(C3162&amp;" "&amp;D3162)</f>
        <v> </v>
      </c>
      <c r="S3162" s="230" t="n">
        <f aca="false">+YEARFRAC(L3162,$S$1)</f>
        <v>126.366666666667</v>
      </c>
      <c r="T3162" s="230" t="n">
        <f aca="false">+YEARFRAC(M3162,$S$1)</f>
        <v>126.366666666667</v>
      </c>
      <c r="U3162" s="231" t="n">
        <f aca="false">+$I3162</f>
        <v>0</v>
      </c>
      <c r="V3162" s="232" t="str">
        <f aca="false">+PROPER(F3162)</f>
        <v/>
      </c>
    </row>
    <row r="3163" customFormat="false" ht="14.25" hidden="false" customHeight="false" outlineLevel="0" collapsed="false">
      <c r="B3163" s="244"/>
      <c r="C3163" s="245"/>
      <c r="D3163" s="245"/>
      <c r="E3163" s="246"/>
      <c r="F3163" s="246"/>
      <c r="G3163" s="225" t="e">
        <f aca="false">VLOOKUP(B3163,'NIVEL ENERO'!A:F,4,0)</f>
        <v>#N/A</v>
      </c>
      <c r="H3163" s="247"/>
      <c r="I3163" s="247"/>
      <c r="J3163" s="246"/>
      <c r="K3163" s="246"/>
      <c r="L3163" s="226"/>
      <c r="M3163" s="226"/>
      <c r="N3163" s="246"/>
      <c r="P3163" s="228"/>
      <c r="Q3163" s="245"/>
      <c r="R3163" s="186" t="str">
        <f aca="false">+PROPER(C3163&amp;" "&amp;D3163)</f>
        <v> </v>
      </c>
      <c r="S3163" s="230" t="n">
        <f aca="false">+YEARFRAC(L3163,$S$1)</f>
        <v>126.366666666667</v>
      </c>
      <c r="T3163" s="230" t="n">
        <f aca="false">+YEARFRAC(M3163,$S$1)</f>
        <v>126.366666666667</v>
      </c>
      <c r="U3163" s="231" t="n">
        <f aca="false">+$I3163</f>
        <v>0</v>
      </c>
      <c r="V3163" s="232" t="str">
        <f aca="false">+PROPER(F3163)</f>
        <v/>
      </c>
    </row>
    <row r="3164" customFormat="false" ht="14.25" hidden="false" customHeight="false" outlineLevel="0" collapsed="false">
      <c r="B3164" s="244"/>
      <c r="C3164" s="245"/>
      <c r="D3164" s="245"/>
      <c r="E3164" s="246"/>
      <c r="F3164" s="246"/>
      <c r="G3164" s="225" t="e">
        <f aca="false">VLOOKUP(B3164,'NIVEL ENERO'!A:F,4,0)</f>
        <v>#N/A</v>
      </c>
      <c r="H3164" s="247"/>
      <c r="I3164" s="247"/>
      <c r="J3164" s="246"/>
      <c r="K3164" s="246"/>
      <c r="L3164" s="226"/>
      <c r="M3164" s="226"/>
      <c r="N3164" s="246"/>
      <c r="P3164" s="228"/>
      <c r="Q3164" s="245"/>
      <c r="R3164" s="186" t="str">
        <f aca="false">+PROPER(C3164&amp;" "&amp;D3164)</f>
        <v> </v>
      </c>
      <c r="S3164" s="230" t="n">
        <f aca="false">+YEARFRAC(L3164,$S$1)</f>
        <v>126.366666666667</v>
      </c>
      <c r="T3164" s="230" t="n">
        <f aca="false">+YEARFRAC(M3164,$S$1)</f>
        <v>126.366666666667</v>
      </c>
      <c r="U3164" s="231" t="n">
        <f aca="false">+$I3164</f>
        <v>0</v>
      </c>
      <c r="V3164" s="232" t="str">
        <f aca="false">+PROPER(F3164)</f>
        <v/>
      </c>
    </row>
    <row r="3165" customFormat="false" ht="14.25" hidden="false" customHeight="false" outlineLevel="0" collapsed="false">
      <c r="B3165" s="244"/>
      <c r="C3165" s="245"/>
      <c r="D3165" s="245"/>
      <c r="E3165" s="246"/>
      <c r="F3165" s="246"/>
      <c r="G3165" s="225" t="e">
        <f aca="false">VLOOKUP(B3165,'NIVEL ENERO'!A:F,4,0)</f>
        <v>#N/A</v>
      </c>
      <c r="H3165" s="247"/>
      <c r="I3165" s="247"/>
      <c r="J3165" s="246"/>
      <c r="K3165" s="246"/>
      <c r="L3165" s="226"/>
      <c r="M3165" s="226"/>
      <c r="N3165" s="246"/>
      <c r="P3165" s="228"/>
      <c r="Q3165" s="245"/>
      <c r="R3165" s="186" t="str">
        <f aca="false">+PROPER(C3165&amp;" "&amp;D3165)</f>
        <v> </v>
      </c>
      <c r="S3165" s="230" t="n">
        <f aca="false">+YEARFRAC(L3165,$S$1)</f>
        <v>126.366666666667</v>
      </c>
      <c r="T3165" s="230" t="n">
        <f aca="false">+YEARFRAC(M3165,$S$1)</f>
        <v>126.366666666667</v>
      </c>
      <c r="U3165" s="231" t="n">
        <f aca="false">+$I3165</f>
        <v>0</v>
      </c>
      <c r="V3165" s="232" t="str">
        <f aca="false">+PROPER(F3165)</f>
        <v/>
      </c>
    </row>
    <row r="3166" customFormat="false" ht="14.25" hidden="false" customHeight="false" outlineLevel="0" collapsed="false">
      <c r="B3166" s="244"/>
      <c r="C3166" s="245"/>
      <c r="D3166" s="245"/>
      <c r="E3166" s="246"/>
      <c r="F3166" s="246"/>
      <c r="G3166" s="225" t="e">
        <f aca="false">VLOOKUP(B3166,'NIVEL ENERO'!A:F,4,0)</f>
        <v>#N/A</v>
      </c>
      <c r="H3166" s="247"/>
      <c r="I3166" s="247"/>
      <c r="J3166" s="246"/>
      <c r="K3166" s="246"/>
      <c r="L3166" s="226"/>
      <c r="M3166" s="226"/>
      <c r="N3166" s="246"/>
      <c r="P3166" s="228"/>
      <c r="Q3166" s="245"/>
      <c r="R3166" s="186" t="str">
        <f aca="false">+PROPER(C3166&amp;" "&amp;D3166)</f>
        <v> </v>
      </c>
      <c r="S3166" s="230" t="n">
        <f aca="false">+YEARFRAC(L3166,$S$1)</f>
        <v>126.366666666667</v>
      </c>
      <c r="T3166" s="230" t="n">
        <f aca="false">+YEARFRAC(M3166,$S$1)</f>
        <v>126.366666666667</v>
      </c>
      <c r="U3166" s="231" t="n">
        <f aca="false">+$I3166</f>
        <v>0</v>
      </c>
      <c r="V3166" s="232" t="str">
        <f aca="false">+PROPER(F3166)</f>
        <v/>
      </c>
    </row>
    <row r="3167" customFormat="false" ht="14.25" hidden="false" customHeight="false" outlineLevel="0" collapsed="false">
      <c r="B3167" s="244"/>
      <c r="C3167" s="245"/>
      <c r="D3167" s="245"/>
      <c r="E3167" s="246"/>
      <c r="F3167" s="246"/>
      <c r="G3167" s="225" t="e">
        <f aca="false">VLOOKUP(B3167,'NIVEL ENERO'!A:F,4,0)</f>
        <v>#N/A</v>
      </c>
      <c r="H3167" s="247"/>
      <c r="I3167" s="247"/>
      <c r="J3167" s="246"/>
      <c r="K3167" s="246"/>
      <c r="L3167" s="226"/>
      <c r="M3167" s="226"/>
      <c r="N3167" s="246"/>
      <c r="P3167" s="228"/>
      <c r="Q3167" s="245"/>
      <c r="R3167" s="186" t="str">
        <f aca="false">+PROPER(C3167&amp;" "&amp;D3167)</f>
        <v> </v>
      </c>
      <c r="S3167" s="230" t="n">
        <f aca="false">+YEARFRAC(L3167,$S$1)</f>
        <v>126.366666666667</v>
      </c>
      <c r="T3167" s="230" t="n">
        <f aca="false">+YEARFRAC(M3167,$S$1)</f>
        <v>126.366666666667</v>
      </c>
      <c r="U3167" s="231" t="n">
        <f aca="false">+$I3167</f>
        <v>0</v>
      </c>
      <c r="V3167" s="232" t="str">
        <f aca="false">+PROPER(F3167)</f>
        <v/>
      </c>
    </row>
    <row r="3168" customFormat="false" ht="14.25" hidden="false" customHeight="false" outlineLevel="0" collapsed="false">
      <c r="B3168" s="244"/>
      <c r="C3168" s="245"/>
      <c r="D3168" s="245"/>
      <c r="E3168" s="246"/>
      <c r="F3168" s="246"/>
      <c r="G3168" s="225" t="e">
        <f aca="false">VLOOKUP(B3168,'NIVEL ENERO'!A:F,4,0)</f>
        <v>#N/A</v>
      </c>
      <c r="H3168" s="247"/>
      <c r="I3168" s="247"/>
      <c r="J3168" s="246"/>
      <c r="K3168" s="246"/>
      <c r="L3168" s="226"/>
      <c r="M3168" s="226"/>
      <c r="N3168" s="246"/>
      <c r="P3168" s="228"/>
      <c r="Q3168" s="245"/>
      <c r="R3168" s="186" t="str">
        <f aca="false">+PROPER(C3168&amp;" "&amp;D3168)</f>
        <v> </v>
      </c>
      <c r="S3168" s="230" t="n">
        <f aca="false">+YEARFRAC(L3168,$S$1)</f>
        <v>126.366666666667</v>
      </c>
      <c r="T3168" s="230" t="n">
        <f aca="false">+YEARFRAC(M3168,$S$1)</f>
        <v>126.366666666667</v>
      </c>
      <c r="U3168" s="231" t="n">
        <f aca="false">+$I3168</f>
        <v>0</v>
      </c>
      <c r="V3168" s="232" t="str">
        <f aca="false">+PROPER(F3168)</f>
        <v/>
      </c>
    </row>
    <row r="3169" customFormat="false" ht="14.25" hidden="false" customHeight="false" outlineLevel="0" collapsed="false">
      <c r="B3169" s="244"/>
      <c r="C3169" s="245"/>
      <c r="D3169" s="245"/>
      <c r="E3169" s="246"/>
      <c r="F3169" s="246"/>
      <c r="G3169" s="225" t="e">
        <f aca="false">VLOOKUP(B3169,'NIVEL ENERO'!A:F,4,0)</f>
        <v>#N/A</v>
      </c>
      <c r="H3169" s="247"/>
      <c r="I3169" s="247"/>
      <c r="J3169" s="246"/>
      <c r="K3169" s="246"/>
      <c r="L3169" s="226"/>
      <c r="M3169" s="226"/>
      <c r="N3169" s="246"/>
      <c r="P3169" s="228"/>
      <c r="Q3169" s="245"/>
      <c r="R3169" s="186" t="str">
        <f aca="false">+PROPER(C3169&amp;" "&amp;D3169)</f>
        <v> </v>
      </c>
      <c r="S3169" s="230" t="n">
        <f aca="false">+YEARFRAC(L3169,$S$1)</f>
        <v>126.366666666667</v>
      </c>
      <c r="T3169" s="230" t="n">
        <f aca="false">+YEARFRAC(M3169,$S$1)</f>
        <v>126.366666666667</v>
      </c>
      <c r="U3169" s="231" t="n">
        <f aca="false">+$I3169</f>
        <v>0</v>
      </c>
      <c r="V3169" s="232" t="str">
        <f aca="false">+PROPER(F3169)</f>
        <v/>
      </c>
    </row>
    <row r="3170" customFormat="false" ht="14.25" hidden="false" customHeight="false" outlineLevel="0" collapsed="false">
      <c r="B3170" s="244"/>
      <c r="C3170" s="245"/>
      <c r="D3170" s="245"/>
      <c r="E3170" s="246"/>
      <c r="F3170" s="246"/>
      <c r="G3170" s="225" t="e">
        <f aca="false">VLOOKUP(B3170,'NIVEL ENERO'!A:F,4,0)</f>
        <v>#N/A</v>
      </c>
      <c r="H3170" s="247"/>
      <c r="I3170" s="247"/>
      <c r="J3170" s="246"/>
      <c r="K3170" s="246"/>
      <c r="L3170" s="226"/>
      <c r="M3170" s="226"/>
      <c r="N3170" s="246"/>
      <c r="P3170" s="228"/>
      <c r="Q3170" s="245"/>
      <c r="R3170" s="186" t="str">
        <f aca="false">+PROPER(C3170&amp;" "&amp;D3170)</f>
        <v> </v>
      </c>
      <c r="S3170" s="230" t="n">
        <f aca="false">+YEARFRAC(L3170,$S$1)</f>
        <v>126.366666666667</v>
      </c>
      <c r="T3170" s="230" t="n">
        <f aca="false">+YEARFRAC(M3170,$S$1)</f>
        <v>126.366666666667</v>
      </c>
      <c r="U3170" s="231" t="n">
        <f aca="false">+$I3170</f>
        <v>0</v>
      </c>
      <c r="V3170" s="232" t="str">
        <f aca="false">+PROPER(F3170)</f>
        <v/>
      </c>
    </row>
    <row r="3171" customFormat="false" ht="14.25" hidden="false" customHeight="false" outlineLevel="0" collapsed="false">
      <c r="B3171" s="244"/>
      <c r="C3171" s="245"/>
      <c r="D3171" s="245"/>
      <c r="E3171" s="246"/>
      <c r="F3171" s="246"/>
      <c r="G3171" s="225" t="e">
        <f aca="false">VLOOKUP(B3171,'NIVEL ENERO'!A:F,4,0)</f>
        <v>#N/A</v>
      </c>
      <c r="H3171" s="247"/>
      <c r="I3171" s="247"/>
      <c r="J3171" s="246"/>
      <c r="K3171" s="246"/>
      <c r="L3171" s="226"/>
      <c r="M3171" s="226"/>
      <c r="N3171" s="246"/>
      <c r="P3171" s="228"/>
      <c r="Q3171" s="245"/>
      <c r="R3171" s="186" t="str">
        <f aca="false">+PROPER(C3171&amp;" "&amp;D3171)</f>
        <v> </v>
      </c>
      <c r="S3171" s="230" t="n">
        <f aca="false">+YEARFRAC(L3171,$S$1)</f>
        <v>126.366666666667</v>
      </c>
      <c r="T3171" s="230" t="n">
        <f aca="false">+YEARFRAC(M3171,$S$1)</f>
        <v>126.366666666667</v>
      </c>
      <c r="U3171" s="231" t="n">
        <f aca="false">+$I3171</f>
        <v>0</v>
      </c>
      <c r="V3171" s="232" t="str">
        <f aca="false">+PROPER(F3171)</f>
        <v/>
      </c>
    </row>
    <row r="3172" customFormat="false" ht="14.25" hidden="false" customHeight="false" outlineLevel="0" collapsed="false">
      <c r="B3172" s="244"/>
      <c r="C3172" s="245"/>
      <c r="D3172" s="245"/>
      <c r="E3172" s="246"/>
      <c r="F3172" s="246"/>
      <c r="G3172" s="225" t="e">
        <f aca="false">VLOOKUP(B3172,'NIVEL ENERO'!A:F,4,0)</f>
        <v>#N/A</v>
      </c>
      <c r="H3172" s="247"/>
      <c r="I3172" s="247"/>
      <c r="J3172" s="246"/>
      <c r="K3172" s="246"/>
      <c r="L3172" s="226"/>
      <c r="M3172" s="226"/>
      <c r="N3172" s="246"/>
      <c r="P3172" s="228"/>
      <c r="Q3172" s="245"/>
      <c r="R3172" s="186" t="str">
        <f aca="false">+PROPER(C3172&amp;" "&amp;D3172)</f>
        <v> </v>
      </c>
      <c r="S3172" s="230" t="n">
        <f aca="false">+YEARFRAC(L3172,$S$1)</f>
        <v>126.366666666667</v>
      </c>
      <c r="T3172" s="230" t="n">
        <f aca="false">+YEARFRAC(M3172,$S$1)</f>
        <v>126.366666666667</v>
      </c>
      <c r="U3172" s="231" t="n">
        <f aca="false">+$I3172</f>
        <v>0</v>
      </c>
      <c r="V3172" s="232" t="str">
        <f aca="false">+PROPER(F3172)</f>
        <v/>
      </c>
    </row>
    <row r="3173" customFormat="false" ht="14.25" hidden="false" customHeight="false" outlineLevel="0" collapsed="false">
      <c r="B3173" s="244"/>
      <c r="C3173" s="245"/>
      <c r="D3173" s="245"/>
      <c r="E3173" s="246"/>
      <c r="F3173" s="246"/>
      <c r="G3173" s="225" t="e">
        <f aca="false">VLOOKUP(B3173,'NIVEL ENERO'!A:F,4,0)</f>
        <v>#N/A</v>
      </c>
      <c r="H3173" s="247"/>
      <c r="I3173" s="247"/>
      <c r="J3173" s="246"/>
      <c r="K3173" s="246"/>
      <c r="L3173" s="226"/>
      <c r="M3173" s="226"/>
      <c r="N3173" s="246"/>
      <c r="P3173" s="228"/>
      <c r="Q3173" s="245"/>
      <c r="R3173" s="186" t="str">
        <f aca="false">+PROPER(C3173&amp;" "&amp;D3173)</f>
        <v> </v>
      </c>
      <c r="S3173" s="230" t="n">
        <f aca="false">+YEARFRAC(L3173,$S$1)</f>
        <v>126.366666666667</v>
      </c>
      <c r="T3173" s="230" t="n">
        <f aca="false">+YEARFRAC(M3173,$S$1)</f>
        <v>126.366666666667</v>
      </c>
      <c r="U3173" s="231" t="n">
        <f aca="false">+$I3173</f>
        <v>0</v>
      </c>
      <c r="V3173" s="232" t="str">
        <f aca="false">+PROPER(F3173)</f>
        <v/>
      </c>
    </row>
    <row r="3174" customFormat="false" ht="14.25" hidden="false" customHeight="false" outlineLevel="0" collapsed="false">
      <c r="B3174" s="244"/>
      <c r="C3174" s="245"/>
      <c r="D3174" s="245"/>
      <c r="E3174" s="246"/>
      <c r="F3174" s="246"/>
      <c r="G3174" s="225" t="e">
        <f aca="false">VLOOKUP(B3174,'NIVEL ENERO'!A:F,4,0)</f>
        <v>#N/A</v>
      </c>
      <c r="H3174" s="247"/>
      <c r="I3174" s="247"/>
      <c r="J3174" s="246"/>
      <c r="K3174" s="246"/>
      <c r="L3174" s="226"/>
      <c r="M3174" s="226"/>
      <c r="N3174" s="246"/>
      <c r="P3174" s="228"/>
      <c r="Q3174" s="245"/>
      <c r="R3174" s="186" t="str">
        <f aca="false">+PROPER(C3174&amp;" "&amp;D3174)</f>
        <v> </v>
      </c>
      <c r="S3174" s="230" t="n">
        <f aca="false">+YEARFRAC(L3174,$S$1)</f>
        <v>126.366666666667</v>
      </c>
      <c r="T3174" s="230" t="n">
        <f aca="false">+YEARFRAC(M3174,$S$1)</f>
        <v>126.366666666667</v>
      </c>
      <c r="U3174" s="231" t="n">
        <f aca="false">+$I3174</f>
        <v>0</v>
      </c>
      <c r="V3174" s="232" t="str">
        <f aca="false">+PROPER(F3174)</f>
        <v/>
      </c>
    </row>
    <row r="3175" customFormat="false" ht="14.25" hidden="false" customHeight="false" outlineLevel="0" collapsed="false">
      <c r="B3175" s="244"/>
      <c r="C3175" s="245"/>
      <c r="D3175" s="245"/>
      <c r="E3175" s="246"/>
      <c r="F3175" s="246"/>
      <c r="G3175" s="225" t="e">
        <f aca="false">VLOOKUP(B3175,'NIVEL ENERO'!A:F,4,0)</f>
        <v>#N/A</v>
      </c>
      <c r="H3175" s="247"/>
      <c r="I3175" s="247"/>
      <c r="J3175" s="246"/>
      <c r="K3175" s="246"/>
      <c r="L3175" s="226"/>
      <c r="M3175" s="226"/>
      <c r="N3175" s="246"/>
      <c r="P3175" s="228"/>
      <c r="Q3175" s="245"/>
      <c r="R3175" s="186" t="str">
        <f aca="false">+PROPER(C3175&amp;" "&amp;D3175)</f>
        <v> </v>
      </c>
      <c r="S3175" s="230" t="n">
        <f aca="false">+YEARFRAC(L3175,$S$1)</f>
        <v>126.366666666667</v>
      </c>
      <c r="T3175" s="230" t="n">
        <f aca="false">+YEARFRAC(M3175,$S$1)</f>
        <v>126.366666666667</v>
      </c>
      <c r="U3175" s="231" t="n">
        <f aca="false">+$I3175</f>
        <v>0</v>
      </c>
      <c r="V3175" s="232" t="str">
        <f aca="false">+PROPER(F3175)</f>
        <v/>
      </c>
    </row>
    <row r="3176" customFormat="false" ht="14.25" hidden="false" customHeight="false" outlineLevel="0" collapsed="false">
      <c r="B3176" s="244"/>
      <c r="C3176" s="245"/>
      <c r="D3176" s="245"/>
      <c r="E3176" s="246"/>
      <c r="F3176" s="246"/>
      <c r="G3176" s="225" t="e">
        <f aca="false">VLOOKUP(B3176,'NIVEL ENERO'!A:F,4,0)</f>
        <v>#N/A</v>
      </c>
      <c r="H3176" s="247"/>
      <c r="I3176" s="247"/>
      <c r="J3176" s="246"/>
      <c r="K3176" s="246"/>
      <c r="L3176" s="226"/>
      <c r="M3176" s="226"/>
      <c r="N3176" s="246"/>
      <c r="P3176" s="228"/>
      <c r="Q3176" s="245"/>
      <c r="R3176" s="186" t="str">
        <f aca="false">+PROPER(C3176&amp;" "&amp;D3176)</f>
        <v> </v>
      </c>
      <c r="S3176" s="230" t="n">
        <f aca="false">+YEARFRAC(L3176,$S$1)</f>
        <v>126.366666666667</v>
      </c>
      <c r="T3176" s="230" t="n">
        <f aca="false">+YEARFRAC(M3176,$S$1)</f>
        <v>126.366666666667</v>
      </c>
      <c r="U3176" s="231" t="n">
        <f aca="false">+$I3176</f>
        <v>0</v>
      </c>
      <c r="V3176" s="232" t="str">
        <f aca="false">+PROPER(F3176)</f>
        <v/>
      </c>
    </row>
    <row r="3177" customFormat="false" ht="14.25" hidden="false" customHeight="false" outlineLevel="0" collapsed="false">
      <c r="B3177" s="244"/>
      <c r="C3177" s="245"/>
      <c r="D3177" s="245"/>
      <c r="E3177" s="246"/>
      <c r="F3177" s="246"/>
      <c r="G3177" s="225" t="e">
        <f aca="false">VLOOKUP(B3177,'NIVEL ENERO'!A:F,4,0)</f>
        <v>#N/A</v>
      </c>
      <c r="H3177" s="247"/>
      <c r="I3177" s="247"/>
      <c r="J3177" s="246"/>
      <c r="K3177" s="246"/>
      <c r="L3177" s="226"/>
      <c r="M3177" s="226"/>
      <c r="N3177" s="246"/>
      <c r="P3177" s="228"/>
      <c r="Q3177" s="245"/>
      <c r="R3177" s="186" t="str">
        <f aca="false">+PROPER(C3177&amp;" "&amp;D3177)</f>
        <v> </v>
      </c>
      <c r="S3177" s="230" t="n">
        <f aca="false">+YEARFRAC(L3177,$S$1)</f>
        <v>126.366666666667</v>
      </c>
      <c r="T3177" s="230" t="n">
        <f aca="false">+YEARFRAC(M3177,$S$1)</f>
        <v>126.366666666667</v>
      </c>
      <c r="U3177" s="231" t="n">
        <f aca="false">+$I3177</f>
        <v>0</v>
      </c>
      <c r="V3177" s="232" t="str">
        <f aca="false">+PROPER(F3177)</f>
        <v/>
      </c>
    </row>
    <row r="3178" customFormat="false" ht="14.25" hidden="false" customHeight="false" outlineLevel="0" collapsed="false">
      <c r="B3178" s="244"/>
      <c r="C3178" s="245"/>
      <c r="D3178" s="245"/>
      <c r="E3178" s="246"/>
      <c r="F3178" s="246"/>
      <c r="G3178" s="225" t="e">
        <f aca="false">VLOOKUP(B3178,'NIVEL ENERO'!A:F,4,0)</f>
        <v>#N/A</v>
      </c>
      <c r="H3178" s="247"/>
      <c r="I3178" s="247"/>
      <c r="J3178" s="246"/>
      <c r="K3178" s="246"/>
      <c r="L3178" s="226"/>
      <c r="M3178" s="226"/>
      <c r="N3178" s="246"/>
      <c r="P3178" s="228"/>
      <c r="Q3178" s="245"/>
      <c r="R3178" s="186" t="str">
        <f aca="false">+PROPER(C3178&amp;" "&amp;D3178)</f>
        <v> </v>
      </c>
      <c r="S3178" s="230" t="n">
        <f aca="false">+YEARFRAC(L3178,$S$1)</f>
        <v>126.366666666667</v>
      </c>
      <c r="T3178" s="230" t="n">
        <f aca="false">+YEARFRAC(M3178,$S$1)</f>
        <v>126.366666666667</v>
      </c>
      <c r="U3178" s="231" t="n">
        <f aca="false">+$I3178</f>
        <v>0</v>
      </c>
      <c r="V3178" s="232" t="str">
        <f aca="false">+PROPER(F3178)</f>
        <v/>
      </c>
    </row>
    <row r="3179" customFormat="false" ht="14.25" hidden="false" customHeight="false" outlineLevel="0" collapsed="false">
      <c r="B3179" s="244"/>
      <c r="C3179" s="245"/>
      <c r="D3179" s="245"/>
      <c r="E3179" s="246"/>
      <c r="F3179" s="246"/>
      <c r="G3179" s="225" t="e">
        <f aca="false">VLOOKUP(B3179,'NIVEL ENERO'!A:F,4,0)</f>
        <v>#N/A</v>
      </c>
      <c r="H3179" s="247"/>
      <c r="I3179" s="247"/>
      <c r="J3179" s="246"/>
      <c r="K3179" s="246"/>
      <c r="L3179" s="226"/>
      <c r="M3179" s="226"/>
      <c r="N3179" s="246"/>
      <c r="P3179" s="228"/>
      <c r="Q3179" s="245"/>
      <c r="R3179" s="186" t="str">
        <f aca="false">+PROPER(C3179&amp;" "&amp;D3179)</f>
        <v> </v>
      </c>
      <c r="S3179" s="230" t="n">
        <f aca="false">+YEARFRAC(L3179,$S$1)</f>
        <v>126.366666666667</v>
      </c>
      <c r="T3179" s="230" t="n">
        <f aca="false">+YEARFRAC(M3179,$S$1)</f>
        <v>126.366666666667</v>
      </c>
      <c r="U3179" s="231" t="n">
        <f aca="false">+$I3179</f>
        <v>0</v>
      </c>
      <c r="V3179" s="232" t="str">
        <f aca="false">+PROPER(F3179)</f>
        <v/>
      </c>
    </row>
    <row r="3180" customFormat="false" ht="14.25" hidden="false" customHeight="false" outlineLevel="0" collapsed="false">
      <c r="B3180" s="244"/>
      <c r="C3180" s="245"/>
      <c r="D3180" s="245"/>
      <c r="E3180" s="246"/>
      <c r="F3180" s="246"/>
      <c r="G3180" s="225" t="e">
        <f aca="false">VLOOKUP(B3180,'NIVEL ENERO'!A:F,4,0)</f>
        <v>#N/A</v>
      </c>
      <c r="H3180" s="247"/>
      <c r="I3180" s="247"/>
      <c r="J3180" s="246"/>
      <c r="K3180" s="246"/>
      <c r="L3180" s="226"/>
      <c r="M3180" s="226"/>
      <c r="N3180" s="246"/>
      <c r="P3180" s="228"/>
      <c r="Q3180" s="245"/>
      <c r="R3180" s="186" t="str">
        <f aca="false">+PROPER(C3180&amp;" "&amp;D3180)</f>
        <v> </v>
      </c>
      <c r="S3180" s="230" t="n">
        <f aca="false">+YEARFRAC(L3180,$S$1)</f>
        <v>126.366666666667</v>
      </c>
      <c r="T3180" s="230" t="n">
        <f aca="false">+YEARFRAC(M3180,$S$1)</f>
        <v>126.366666666667</v>
      </c>
      <c r="U3180" s="231" t="n">
        <f aca="false">+$I3180</f>
        <v>0</v>
      </c>
      <c r="V3180" s="232" t="str">
        <f aca="false">+PROPER(F3180)</f>
        <v/>
      </c>
    </row>
    <row r="3181" customFormat="false" ht="14.25" hidden="false" customHeight="false" outlineLevel="0" collapsed="false">
      <c r="B3181" s="244"/>
      <c r="C3181" s="245"/>
      <c r="D3181" s="245"/>
      <c r="E3181" s="246"/>
      <c r="F3181" s="246"/>
      <c r="G3181" s="225" t="e">
        <f aca="false">VLOOKUP(B3181,'NIVEL ENERO'!A:F,4,0)</f>
        <v>#N/A</v>
      </c>
      <c r="H3181" s="247"/>
      <c r="I3181" s="247"/>
      <c r="J3181" s="246"/>
      <c r="K3181" s="246"/>
      <c r="L3181" s="226"/>
      <c r="M3181" s="226"/>
      <c r="N3181" s="246"/>
      <c r="P3181" s="228"/>
      <c r="Q3181" s="245"/>
      <c r="R3181" s="186" t="str">
        <f aca="false">+PROPER(C3181&amp;" "&amp;D3181)</f>
        <v> </v>
      </c>
      <c r="S3181" s="230" t="n">
        <f aca="false">+YEARFRAC(L3181,$S$1)</f>
        <v>126.366666666667</v>
      </c>
      <c r="T3181" s="230" t="n">
        <f aca="false">+YEARFRAC(M3181,$S$1)</f>
        <v>126.366666666667</v>
      </c>
      <c r="U3181" s="231" t="n">
        <f aca="false">+$I3181</f>
        <v>0</v>
      </c>
      <c r="V3181" s="232" t="str">
        <f aca="false">+PROPER(F3181)</f>
        <v/>
      </c>
    </row>
    <row r="3182" customFormat="false" ht="14.25" hidden="false" customHeight="false" outlineLevel="0" collapsed="false">
      <c r="B3182" s="244"/>
      <c r="C3182" s="245"/>
      <c r="D3182" s="245"/>
      <c r="E3182" s="246"/>
      <c r="F3182" s="246"/>
      <c r="G3182" s="225" t="e">
        <f aca="false">VLOOKUP(B3182,'NIVEL ENERO'!A:F,4,0)</f>
        <v>#N/A</v>
      </c>
      <c r="H3182" s="247"/>
      <c r="I3182" s="247"/>
      <c r="J3182" s="246"/>
      <c r="K3182" s="246"/>
      <c r="L3182" s="226"/>
      <c r="M3182" s="226"/>
      <c r="N3182" s="246"/>
      <c r="P3182" s="228"/>
      <c r="Q3182" s="245"/>
      <c r="R3182" s="186" t="str">
        <f aca="false">+PROPER(C3182&amp;" "&amp;D3182)</f>
        <v> </v>
      </c>
      <c r="S3182" s="230" t="n">
        <f aca="false">+YEARFRAC(L3182,$S$1)</f>
        <v>126.366666666667</v>
      </c>
      <c r="T3182" s="230" t="n">
        <f aca="false">+YEARFRAC(M3182,$S$1)</f>
        <v>126.366666666667</v>
      </c>
      <c r="U3182" s="231" t="n">
        <f aca="false">+$I3182</f>
        <v>0</v>
      </c>
      <c r="V3182" s="232" t="str">
        <f aca="false">+PROPER(F3182)</f>
        <v/>
      </c>
    </row>
    <row r="3183" customFormat="false" ht="14.25" hidden="false" customHeight="false" outlineLevel="0" collapsed="false">
      <c r="B3183" s="244"/>
      <c r="C3183" s="245"/>
      <c r="D3183" s="245"/>
      <c r="E3183" s="246"/>
      <c r="F3183" s="246"/>
      <c r="G3183" s="225" t="e">
        <f aca="false">VLOOKUP(B3183,'NIVEL ENERO'!A:F,4,0)</f>
        <v>#N/A</v>
      </c>
      <c r="H3183" s="247"/>
      <c r="I3183" s="247"/>
      <c r="J3183" s="246"/>
      <c r="K3183" s="246"/>
      <c r="L3183" s="226"/>
      <c r="M3183" s="226"/>
      <c r="N3183" s="246"/>
      <c r="P3183" s="228"/>
      <c r="Q3183" s="245"/>
      <c r="R3183" s="186" t="str">
        <f aca="false">+PROPER(C3183&amp;" "&amp;D3183)</f>
        <v> </v>
      </c>
      <c r="S3183" s="230" t="n">
        <f aca="false">+YEARFRAC(L3183,$S$1)</f>
        <v>126.366666666667</v>
      </c>
      <c r="T3183" s="230" t="n">
        <f aca="false">+YEARFRAC(M3183,$S$1)</f>
        <v>126.366666666667</v>
      </c>
      <c r="U3183" s="231" t="n">
        <f aca="false">+$I3183</f>
        <v>0</v>
      </c>
      <c r="V3183" s="232" t="str">
        <f aca="false">+PROPER(F3183)</f>
        <v/>
      </c>
    </row>
    <row r="3184" customFormat="false" ht="14.25" hidden="false" customHeight="false" outlineLevel="0" collapsed="false">
      <c r="B3184" s="244"/>
      <c r="C3184" s="245"/>
      <c r="D3184" s="245"/>
      <c r="E3184" s="246"/>
      <c r="F3184" s="246"/>
      <c r="G3184" s="225" t="e">
        <f aca="false">VLOOKUP(B3184,'NIVEL ENERO'!A:F,4,0)</f>
        <v>#N/A</v>
      </c>
      <c r="H3184" s="247"/>
      <c r="I3184" s="247"/>
      <c r="J3184" s="246"/>
      <c r="K3184" s="246"/>
      <c r="L3184" s="226"/>
      <c r="M3184" s="226"/>
      <c r="N3184" s="246"/>
      <c r="P3184" s="228"/>
      <c r="Q3184" s="245"/>
      <c r="R3184" s="186" t="str">
        <f aca="false">+PROPER(C3184&amp;" "&amp;D3184)</f>
        <v> </v>
      </c>
      <c r="S3184" s="230" t="n">
        <f aca="false">+YEARFRAC(L3184,$S$1)</f>
        <v>126.366666666667</v>
      </c>
      <c r="T3184" s="230" t="n">
        <f aca="false">+YEARFRAC(M3184,$S$1)</f>
        <v>126.366666666667</v>
      </c>
      <c r="U3184" s="231" t="n">
        <f aca="false">+$I3184</f>
        <v>0</v>
      </c>
      <c r="V3184" s="232" t="str">
        <f aca="false">+PROPER(F3184)</f>
        <v/>
      </c>
    </row>
    <row r="3185" customFormat="false" ht="14.25" hidden="false" customHeight="false" outlineLevel="0" collapsed="false">
      <c r="B3185" s="244"/>
      <c r="C3185" s="245"/>
      <c r="D3185" s="245"/>
      <c r="E3185" s="246"/>
      <c r="F3185" s="246"/>
      <c r="G3185" s="225" t="e">
        <f aca="false">VLOOKUP(B3185,'NIVEL ENERO'!A:F,4,0)</f>
        <v>#N/A</v>
      </c>
      <c r="H3185" s="247"/>
      <c r="I3185" s="247"/>
      <c r="J3185" s="246"/>
      <c r="K3185" s="246"/>
      <c r="L3185" s="226"/>
      <c r="M3185" s="226"/>
      <c r="N3185" s="246"/>
      <c r="P3185" s="228"/>
      <c r="Q3185" s="245"/>
      <c r="R3185" s="186" t="str">
        <f aca="false">+PROPER(C3185&amp;" "&amp;D3185)</f>
        <v> </v>
      </c>
      <c r="S3185" s="230" t="n">
        <f aca="false">+YEARFRAC(L3185,$S$1)</f>
        <v>126.366666666667</v>
      </c>
      <c r="T3185" s="230" t="n">
        <f aca="false">+YEARFRAC(M3185,$S$1)</f>
        <v>126.366666666667</v>
      </c>
      <c r="U3185" s="231" t="n">
        <f aca="false">+$I3185</f>
        <v>0</v>
      </c>
      <c r="V3185" s="232" t="str">
        <f aca="false">+PROPER(F3185)</f>
        <v/>
      </c>
    </row>
    <row r="3186" customFormat="false" ht="14.25" hidden="false" customHeight="false" outlineLevel="0" collapsed="false">
      <c r="B3186" s="244"/>
      <c r="C3186" s="245"/>
      <c r="D3186" s="245"/>
      <c r="E3186" s="246"/>
      <c r="F3186" s="246"/>
      <c r="G3186" s="225" t="e">
        <f aca="false">VLOOKUP(B3186,'NIVEL ENERO'!A:F,4,0)</f>
        <v>#N/A</v>
      </c>
      <c r="H3186" s="247"/>
      <c r="I3186" s="247"/>
      <c r="J3186" s="246"/>
      <c r="K3186" s="246"/>
      <c r="L3186" s="226"/>
      <c r="M3186" s="226"/>
      <c r="N3186" s="246"/>
      <c r="P3186" s="228"/>
      <c r="Q3186" s="245"/>
      <c r="R3186" s="186" t="str">
        <f aca="false">+PROPER(C3186&amp;" "&amp;D3186)</f>
        <v> </v>
      </c>
      <c r="S3186" s="230" t="n">
        <f aca="false">+YEARFRAC(L3186,$S$1)</f>
        <v>126.366666666667</v>
      </c>
      <c r="T3186" s="230" t="n">
        <f aca="false">+YEARFRAC(M3186,$S$1)</f>
        <v>126.366666666667</v>
      </c>
      <c r="U3186" s="231" t="n">
        <f aca="false">+$I3186</f>
        <v>0</v>
      </c>
      <c r="V3186" s="232" t="str">
        <f aca="false">+PROPER(F3186)</f>
        <v/>
      </c>
    </row>
    <row r="3187" customFormat="false" ht="14.25" hidden="false" customHeight="false" outlineLevel="0" collapsed="false">
      <c r="B3187" s="244"/>
      <c r="C3187" s="245"/>
      <c r="D3187" s="245"/>
      <c r="E3187" s="246"/>
      <c r="F3187" s="246"/>
      <c r="G3187" s="225" t="e">
        <f aca="false">VLOOKUP(B3187,'NIVEL ENERO'!A:F,4,0)</f>
        <v>#N/A</v>
      </c>
      <c r="H3187" s="247"/>
      <c r="I3187" s="247"/>
      <c r="J3187" s="246"/>
      <c r="K3187" s="246"/>
      <c r="L3187" s="226"/>
      <c r="M3187" s="226"/>
      <c r="N3187" s="246"/>
      <c r="P3187" s="228"/>
      <c r="Q3187" s="245"/>
      <c r="R3187" s="186" t="str">
        <f aca="false">+PROPER(C3187&amp;" "&amp;D3187)</f>
        <v> </v>
      </c>
      <c r="S3187" s="230" t="n">
        <f aca="false">+YEARFRAC(L3187,$S$1)</f>
        <v>126.366666666667</v>
      </c>
      <c r="T3187" s="230" t="n">
        <f aca="false">+YEARFRAC(M3187,$S$1)</f>
        <v>126.366666666667</v>
      </c>
      <c r="U3187" s="231" t="n">
        <f aca="false">+$I3187</f>
        <v>0</v>
      </c>
      <c r="V3187" s="232" t="str">
        <f aca="false">+PROPER(F3187)</f>
        <v/>
      </c>
    </row>
    <row r="3188" customFormat="false" ht="14.25" hidden="false" customHeight="false" outlineLevel="0" collapsed="false">
      <c r="B3188" s="244"/>
      <c r="C3188" s="245"/>
      <c r="D3188" s="245"/>
      <c r="E3188" s="246"/>
      <c r="F3188" s="246"/>
      <c r="G3188" s="225" t="e">
        <f aca="false">VLOOKUP(B3188,'NIVEL ENERO'!A:F,4,0)</f>
        <v>#N/A</v>
      </c>
      <c r="H3188" s="247"/>
      <c r="I3188" s="247"/>
      <c r="J3188" s="246"/>
      <c r="K3188" s="246"/>
      <c r="L3188" s="226"/>
      <c r="M3188" s="226"/>
      <c r="N3188" s="246"/>
      <c r="P3188" s="228"/>
      <c r="Q3188" s="245"/>
      <c r="R3188" s="186" t="str">
        <f aca="false">+PROPER(C3188&amp;" "&amp;D3188)</f>
        <v> </v>
      </c>
      <c r="S3188" s="230" t="n">
        <f aca="false">+YEARFRAC(L3188,$S$1)</f>
        <v>126.366666666667</v>
      </c>
      <c r="T3188" s="230" t="n">
        <f aca="false">+YEARFRAC(M3188,$S$1)</f>
        <v>126.366666666667</v>
      </c>
      <c r="U3188" s="231" t="n">
        <f aca="false">+$I3188</f>
        <v>0</v>
      </c>
      <c r="V3188" s="232" t="str">
        <f aca="false">+PROPER(F3188)</f>
        <v/>
      </c>
    </row>
    <row r="3189" customFormat="false" ht="14.25" hidden="false" customHeight="false" outlineLevel="0" collapsed="false">
      <c r="B3189" s="244"/>
      <c r="C3189" s="245"/>
      <c r="D3189" s="245"/>
      <c r="E3189" s="246"/>
      <c r="F3189" s="246"/>
      <c r="G3189" s="225" t="e">
        <f aca="false">VLOOKUP(B3189,'NIVEL ENERO'!A:F,4,0)</f>
        <v>#N/A</v>
      </c>
      <c r="H3189" s="247"/>
      <c r="I3189" s="247"/>
      <c r="J3189" s="246"/>
      <c r="K3189" s="246"/>
      <c r="L3189" s="226"/>
      <c r="M3189" s="226"/>
      <c r="N3189" s="246"/>
      <c r="P3189" s="228"/>
      <c r="Q3189" s="245"/>
      <c r="R3189" s="186" t="str">
        <f aca="false">+PROPER(C3189&amp;" "&amp;D3189)</f>
        <v> </v>
      </c>
      <c r="S3189" s="230" t="n">
        <f aca="false">+YEARFRAC(L3189,$S$1)</f>
        <v>126.366666666667</v>
      </c>
      <c r="T3189" s="230" t="n">
        <f aca="false">+YEARFRAC(M3189,$S$1)</f>
        <v>126.366666666667</v>
      </c>
      <c r="U3189" s="231" t="n">
        <f aca="false">+$I3189</f>
        <v>0</v>
      </c>
      <c r="V3189" s="232" t="str">
        <f aca="false">+PROPER(F3189)</f>
        <v/>
      </c>
    </row>
    <row r="3190" customFormat="false" ht="14.25" hidden="false" customHeight="false" outlineLevel="0" collapsed="false">
      <c r="B3190" s="244"/>
      <c r="C3190" s="245"/>
      <c r="D3190" s="245"/>
      <c r="E3190" s="246"/>
      <c r="F3190" s="246"/>
      <c r="G3190" s="225" t="e">
        <f aca="false">VLOOKUP(B3190,'NIVEL ENERO'!A:F,4,0)</f>
        <v>#N/A</v>
      </c>
      <c r="H3190" s="247"/>
      <c r="I3190" s="247"/>
      <c r="J3190" s="246"/>
      <c r="K3190" s="246"/>
      <c r="L3190" s="226"/>
      <c r="M3190" s="226"/>
      <c r="N3190" s="246"/>
      <c r="P3190" s="228"/>
      <c r="Q3190" s="245"/>
      <c r="R3190" s="186" t="str">
        <f aca="false">+PROPER(C3190&amp;" "&amp;D3190)</f>
        <v> </v>
      </c>
      <c r="S3190" s="230" t="n">
        <f aca="false">+YEARFRAC(L3190,$S$1)</f>
        <v>126.366666666667</v>
      </c>
      <c r="T3190" s="230" t="n">
        <f aca="false">+YEARFRAC(M3190,$S$1)</f>
        <v>126.366666666667</v>
      </c>
      <c r="U3190" s="231" t="n">
        <f aca="false">+$I3190</f>
        <v>0</v>
      </c>
      <c r="V3190" s="232" t="str">
        <f aca="false">+PROPER(F3190)</f>
        <v/>
      </c>
    </row>
    <row r="3191" customFormat="false" ht="14.25" hidden="false" customHeight="false" outlineLevel="0" collapsed="false">
      <c r="B3191" s="244"/>
      <c r="C3191" s="245"/>
      <c r="D3191" s="245"/>
      <c r="E3191" s="246"/>
      <c r="F3191" s="246"/>
      <c r="G3191" s="225" t="e">
        <f aca="false">VLOOKUP(B3191,'NIVEL ENERO'!A:F,4,0)</f>
        <v>#N/A</v>
      </c>
      <c r="H3191" s="247"/>
      <c r="I3191" s="247"/>
      <c r="J3191" s="246"/>
      <c r="K3191" s="246"/>
      <c r="L3191" s="226"/>
      <c r="M3191" s="226"/>
      <c r="N3191" s="246"/>
      <c r="P3191" s="228"/>
      <c r="Q3191" s="245"/>
      <c r="R3191" s="186" t="str">
        <f aca="false">+PROPER(C3191&amp;" "&amp;D3191)</f>
        <v> </v>
      </c>
      <c r="S3191" s="230" t="n">
        <f aca="false">+YEARFRAC(L3191,$S$1)</f>
        <v>126.366666666667</v>
      </c>
      <c r="T3191" s="230" t="n">
        <f aca="false">+YEARFRAC(M3191,$S$1)</f>
        <v>126.366666666667</v>
      </c>
      <c r="U3191" s="231" t="n">
        <f aca="false">+$I3191</f>
        <v>0</v>
      </c>
      <c r="V3191" s="232" t="str">
        <f aca="false">+PROPER(F3191)</f>
        <v/>
      </c>
    </row>
    <row r="3192" customFormat="false" ht="14.25" hidden="false" customHeight="false" outlineLevel="0" collapsed="false">
      <c r="B3192" s="244"/>
      <c r="C3192" s="245"/>
      <c r="D3192" s="245"/>
      <c r="E3192" s="246"/>
      <c r="F3192" s="246"/>
      <c r="G3192" s="225" t="e">
        <f aca="false">VLOOKUP(B3192,'NIVEL ENERO'!A:F,4,0)</f>
        <v>#N/A</v>
      </c>
      <c r="H3192" s="247"/>
      <c r="I3192" s="247"/>
      <c r="J3192" s="246"/>
      <c r="K3192" s="246"/>
      <c r="L3192" s="226"/>
      <c r="M3192" s="226"/>
      <c r="N3192" s="246"/>
      <c r="P3192" s="228"/>
      <c r="Q3192" s="245"/>
      <c r="R3192" s="186" t="str">
        <f aca="false">+PROPER(C3192&amp;" "&amp;D3192)</f>
        <v> </v>
      </c>
      <c r="S3192" s="230" t="n">
        <f aca="false">+YEARFRAC(L3192,$S$1)</f>
        <v>126.366666666667</v>
      </c>
      <c r="T3192" s="230" t="n">
        <f aca="false">+YEARFRAC(M3192,$S$1)</f>
        <v>126.366666666667</v>
      </c>
      <c r="U3192" s="231" t="n">
        <f aca="false">+$I3192</f>
        <v>0</v>
      </c>
      <c r="V3192" s="232" t="str">
        <f aca="false">+PROPER(F3192)</f>
        <v/>
      </c>
    </row>
    <row r="3193" customFormat="false" ht="14.25" hidden="false" customHeight="false" outlineLevel="0" collapsed="false">
      <c r="B3193" s="244"/>
      <c r="C3193" s="245"/>
      <c r="D3193" s="245"/>
      <c r="E3193" s="246"/>
      <c r="F3193" s="246"/>
      <c r="G3193" s="225" t="e">
        <f aca="false">VLOOKUP(B3193,'NIVEL ENERO'!A:F,4,0)</f>
        <v>#N/A</v>
      </c>
      <c r="H3193" s="247"/>
      <c r="I3193" s="247"/>
      <c r="J3193" s="246"/>
      <c r="K3193" s="246"/>
      <c r="L3193" s="226"/>
      <c r="M3193" s="226"/>
      <c r="N3193" s="246"/>
      <c r="P3193" s="228"/>
      <c r="Q3193" s="245"/>
      <c r="R3193" s="186" t="str">
        <f aca="false">+PROPER(C3193&amp;" "&amp;D3193)</f>
        <v> </v>
      </c>
      <c r="S3193" s="230" t="n">
        <f aca="false">+YEARFRAC(L3193,$S$1)</f>
        <v>126.366666666667</v>
      </c>
      <c r="T3193" s="230" t="n">
        <f aca="false">+YEARFRAC(M3193,$S$1)</f>
        <v>126.366666666667</v>
      </c>
      <c r="U3193" s="231" t="n">
        <f aca="false">+$I3193</f>
        <v>0</v>
      </c>
      <c r="V3193" s="232" t="str">
        <f aca="false">+PROPER(F3193)</f>
        <v/>
      </c>
    </row>
    <row r="3194" customFormat="false" ht="14.25" hidden="false" customHeight="false" outlineLevel="0" collapsed="false">
      <c r="B3194" s="244"/>
      <c r="C3194" s="245"/>
      <c r="D3194" s="245"/>
      <c r="E3194" s="246"/>
      <c r="F3194" s="246"/>
      <c r="G3194" s="225" t="e">
        <f aca="false">VLOOKUP(B3194,'NIVEL ENERO'!A:F,4,0)</f>
        <v>#N/A</v>
      </c>
      <c r="H3194" s="247"/>
      <c r="I3194" s="247"/>
      <c r="J3194" s="246"/>
      <c r="K3194" s="246"/>
      <c r="L3194" s="226"/>
      <c r="M3194" s="226"/>
      <c r="N3194" s="246"/>
      <c r="P3194" s="228"/>
      <c r="Q3194" s="245"/>
      <c r="R3194" s="186" t="str">
        <f aca="false">+PROPER(C3194&amp;" "&amp;D3194)</f>
        <v> </v>
      </c>
      <c r="S3194" s="230" t="n">
        <f aca="false">+YEARFRAC(L3194,$S$1)</f>
        <v>126.366666666667</v>
      </c>
      <c r="T3194" s="230" t="n">
        <f aca="false">+YEARFRAC(M3194,$S$1)</f>
        <v>126.366666666667</v>
      </c>
      <c r="U3194" s="231" t="n">
        <f aca="false">+$I3194</f>
        <v>0</v>
      </c>
      <c r="V3194" s="232" t="str">
        <f aca="false">+PROPER(F3194)</f>
        <v/>
      </c>
    </row>
    <row r="3195" customFormat="false" ht="14.25" hidden="false" customHeight="false" outlineLevel="0" collapsed="false">
      <c r="B3195" s="244"/>
      <c r="C3195" s="245"/>
      <c r="D3195" s="245"/>
      <c r="E3195" s="246"/>
      <c r="F3195" s="246"/>
      <c r="G3195" s="225" t="e">
        <f aca="false">VLOOKUP(B3195,'NIVEL ENERO'!A:F,4,0)</f>
        <v>#N/A</v>
      </c>
      <c r="H3195" s="247"/>
      <c r="I3195" s="247"/>
      <c r="J3195" s="246"/>
      <c r="K3195" s="246"/>
      <c r="L3195" s="226"/>
      <c r="M3195" s="226"/>
      <c r="N3195" s="246"/>
      <c r="P3195" s="228"/>
      <c r="Q3195" s="245"/>
      <c r="R3195" s="186" t="str">
        <f aca="false">+PROPER(C3195&amp;" "&amp;D3195)</f>
        <v> </v>
      </c>
      <c r="S3195" s="230" t="n">
        <f aca="false">+YEARFRAC(L3195,$S$1)</f>
        <v>126.366666666667</v>
      </c>
      <c r="T3195" s="230" t="n">
        <f aca="false">+YEARFRAC(M3195,$S$1)</f>
        <v>126.366666666667</v>
      </c>
      <c r="U3195" s="231" t="n">
        <f aca="false">+$I3195</f>
        <v>0</v>
      </c>
      <c r="V3195" s="232" t="str">
        <f aca="false">+PROPER(F3195)</f>
        <v/>
      </c>
    </row>
    <row r="3196" customFormat="false" ht="14.25" hidden="false" customHeight="false" outlineLevel="0" collapsed="false">
      <c r="B3196" s="244"/>
      <c r="C3196" s="245"/>
      <c r="D3196" s="245"/>
      <c r="E3196" s="246"/>
      <c r="F3196" s="246"/>
      <c r="G3196" s="225" t="e">
        <f aca="false">VLOOKUP(B3196,'NIVEL ENERO'!A:F,4,0)</f>
        <v>#N/A</v>
      </c>
      <c r="H3196" s="247"/>
      <c r="I3196" s="247"/>
      <c r="J3196" s="246"/>
      <c r="K3196" s="246"/>
      <c r="L3196" s="226"/>
      <c r="M3196" s="226"/>
      <c r="N3196" s="246"/>
      <c r="P3196" s="228"/>
      <c r="Q3196" s="245"/>
      <c r="R3196" s="186" t="str">
        <f aca="false">+PROPER(C3196&amp;" "&amp;D3196)</f>
        <v> </v>
      </c>
      <c r="S3196" s="230" t="n">
        <f aca="false">+YEARFRAC(L3196,$S$1)</f>
        <v>126.366666666667</v>
      </c>
      <c r="T3196" s="230" t="n">
        <f aca="false">+YEARFRAC(M3196,$S$1)</f>
        <v>126.366666666667</v>
      </c>
      <c r="U3196" s="231" t="n">
        <f aca="false">+$I3196</f>
        <v>0</v>
      </c>
      <c r="V3196" s="232" t="str">
        <f aca="false">+PROPER(F3196)</f>
        <v/>
      </c>
    </row>
    <row r="3197" customFormat="false" ht="14.25" hidden="false" customHeight="false" outlineLevel="0" collapsed="false">
      <c r="B3197" s="244"/>
      <c r="C3197" s="245"/>
      <c r="D3197" s="245"/>
      <c r="E3197" s="246"/>
      <c r="F3197" s="246"/>
      <c r="G3197" s="225" t="e">
        <f aca="false">VLOOKUP(B3197,'NIVEL ENERO'!A:F,4,0)</f>
        <v>#N/A</v>
      </c>
      <c r="H3197" s="247"/>
      <c r="I3197" s="247"/>
      <c r="J3197" s="246"/>
      <c r="K3197" s="246"/>
      <c r="L3197" s="226"/>
      <c r="M3197" s="226"/>
      <c r="N3197" s="246"/>
      <c r="P3197" s="228"/>
      <c r="Q3197" s="245"/>
      <c r="R3197" s="186" t="str">
        <f aca="false">+PROPER(C3197&amp;" "&amp;D3197)</f>
        <v> </v>
      </c>
      <c r="S3197" s="230" t="n">
        <f aca="false">+YEARFRAC(L3197,$S$1)</f>
        <v>126.366666666667</v>
      </c>
      <c r="T3197" s="230" t="n">
        <f aca="false">+YEARFRAC(M3197,$S$1)</f>
        <v>126.366666666667</v>
      </c>
      <c r="U3197" s="231" t="n">
        <f aca="false">+$I3197</f>
        <v>0</v>
      </c>
      <c r="V3197" s="232" t="str">
        <f aca="false">+PROPER(F3197)</f>
        <v/>
      </c>
    </row>
    <row r="3198" customFormat="false" ht="14.25" hidden="false" customHeight="false" outlineLevel="0" collapsed="false">
      <c r="B3198" s="244"/>
      <c r="C3198" s="245"/>
      <c r="D3198" s="245"/>
      <c r="E3198" s="246"/>
      <c r="F3198" s="246"/>
      <c r="G3198" s="225" t="e">
        <f aca="false">VLOOKUP(B3198,'NIVEL ENERO'!A:F,4,0)</f>
        <v>#N/A</v>
      </c>
      <c r="H3198" s="247"/>
      <c r="I3198" s="247"/>
      <c r="J3198" s="246"/>
      <c r="K3198" s="246"/>
      <c r="L3198" s="226"/>
      <c r="M3198" s="226"/>
      <c r="N3198" s="246"/>
      <c r="P3198" s="228"/>
      <c r="Q3198" s="245"/>
      <c r="R3198" s="186" t="str">
        <f aca="false">+PROPER(C3198&amp;" "&amp;D3198)</f>
        <v> </v>
      </c>
      <c r="S3198" s="230" t="n">
        <f aca="false">+YEARFRAC(L3198,$S$1)</f>
        <v>126.366666666667</v>
      </c>
      <c r="T3198" s="230" t="n">
        <f aca="false">+YEARFRAC(M3198,$S$1)</f>
        <v>126.366666666667</v>
      </c>
      <c r="U3198" s="231" t="n">
        <f aca="false">+$I3198</f>
        <v>0</v>
      </c>
      <c r="V3198" s="232" t="str">
        <f aca="false">+PROPER(F3198)</f>
        <v/>
      </c>
    </row>
    <row r="3199" customFormat="false" ht="14.25" hidden="false" customHeight="false" outlineLevel="0" collapsed="false">
      <c r="B3199" s="244"/>
      <c r="C3199" s="245"/>
      <c r="D3199" s="245"/>
      <c r="E3199" s="246"/>
      <c r="F3199" s="246"/>
      <c r="G3199" s="225" t="e">
        <f aca="false">VLOOKUP(B3199,'NIVEL ENERO'!A:F,4,0)</f>
        <v>#N/A</v>
      </c>
      <c r="H3199" s="247"/>
      <c r="I3199" s="247"/>
      <c r="J3199" s="246"/>
      <c r="K3199" s="246"/>
      <c r="L3199" s="226"/>
      <c r="M3199" s="226"/>
      <c r="N3199" s="246"/>
      <c r="P3199" s="228"/>
      <c r="Q3199" s="245"/>
      <c r="R3199" s="186" t="str">
        <f aca="false">+PROPER(C3199&amp;" "&amp;D3199)</f>
        <v> </v>
      </c>
      <c r="S3199" s="230" t="n">
        <f aca="false">+YEARFRAC(L3199,$S$1)</f>
        <v>126.366666666667</v>
      </c>
      <c r="T3199" s="230" t="n">
        <f aca="false">+YEARFRAC(M3199,$S$1)</f>
        <v>126.366666666667</v>
      </c>
      <c r="U3199" s="231" t="n">
        <f aca="false">+$I3199</f>
        <v>0</v>
      </c>
      <c r="V3199" s="232" t="str">
        <f aca="false">+PROPER(F3199)</f>
        <v/>
      </c>
    </row>
    <row r="3200" customFormat="false" ht="14.25" hidden="false" customHeight="false" outlineLevel="0" collapsed="false">
      <c r="B3200" s="244"/>
      <c r="C3200" s="245"/>
      <c r="D3200" s="245"/>
      <c r="E3200" s="246"/>
      <c r="F3200" s="246"/>
      <c r="G3200" s="225" t="e">
        <f aca="false">VLOOKUP(B3200,'NIVEL ENERO'!A:F,4,0)</f>
        <v>#N/A</v>
      </c>
      <c r="H3200" s="247"/>
      <c r="I3200" s="247"/>
      <c r="J3200" s="246"/>
      <c r="K3200" s="246"/>
      <c r="L3200" s="226"/>
      <c r="M3200" s="226"/>
      <c r="N3200" s="246"/>
      <c r="P3200" s="228"/>
      <c r="Q3200" s="245"/>
      <c r="R3200" s="186" t="str">
        <f aca="false">+PROPER(C3200&amp;" "&amp;D3200)</f>
        <v> </v>
      </c>
      <c r="S3200" s="230" t="n">
        <f aca="false">+YEARFRAC(L3200,$S$1)</f>
        <v>126.366666666667</v>
      </c>
      <c r="T3200" s="230" t="n">
        <f aca="false">+YEARFRAC(M3200,$S$1)</f>
        <v>126.366666666667</v>
      </c>
      <c r="U3200" s="231" t="n">
        <f aca="false">+$I3200</f>
        <v>0</v>
      </c>
      <c r="V3200" s="232" t="str">
        <f aca="false">+PROPER(F3200)</f>
        <v/>
      </c>
    </row>
    <row r="3201" customFormat="false" ht="14.25" hidden="false" customHeight="false" outlineLevel="0" collapsed="false">
      <c r="B3201" s="244"/>
      <c r="C3201" s="245"/>
      <c r="D3201" s="245"/>
      <c r="E3201" s="246"/>
      <c r="F3201" s="246"/>
      <c r="G3201" s="225" t="e">
        <f aca="false">VLOOKUP(B3201,'NIVEL ENERO'!A:F,4,0)</f>
        <v>#N/A</v>
      </c>
      <c r="H3201" s="247"/>
      <c r="I3201" s="247"/>
      <c r="J3201" s="246"/>
      <c r="K3201" s="246"/>
      <c r="L3201" s="226"/>
      <c r="M3201" s="226"/>
      <c r="N3201" s="246"/>
      <c r="P3201" s="228"/>
      <c r="Q3201" s="245"/>
      <c r="R3201" s="186" t="str">
        <f aca="false">+PROPER(C3201&amp;" "&amp;D3201)</f>
        <v> </v>
      </c>
      <c r="S3201" s="230" t="n">
        <f aca="false">+YEARFRAC(L3201,$S$1)</f>
        <v>126.366666666667</v>
      </c>
      <c r="T3201" s="230" t="n">
        <f aca="false">+YEARFRAC(M3201,$S$1)</f>
        <v>126.366666666667</v>
      </c>
      <c r="U3201" s="231" t="n">
        <f aca="false">+$I3201</f>
        <v>0</v>
      </c>
      <c r="V3201" s="232" t="str">
        <f aca="false">+PROPER(F3201)</f>
        <v/>
      </c>
    </row>
    <row r="3202" customFormat="false" ht="14.25" hidden="false" customHeight="false" outlineLevel="0" collapsed="false">
      <c r="B3202" s="244"/>
      <c r="C3202" s="245"/>
      <c r="D3202" s="245"/>
      <c r="E3202" s="246"/>
      <c r="F3202" s="246"/>
      <c r="G3202" s="225" t="e">
        <f aca="false">VLOOKUP(B3202,'NIVEL ENERO'!A:F,4,0)</f>
        <v>#N/A</v>
      </c>
      <c r="H3202" s="247"/>
      <c r="I3202" s="247"/>
      <c r="J3202" s="246"/>
      <c r="K3202" s="246"/>
      <c r="L3202" s="226"/>
      <c r="M3202" s="226"/>
      <c r="N3202" s="246"/>
      <c r="P3202" s="228"/>
      <c r="Q3202" s="245"/>
      <c r="R3202" s="186" t="str">
        <f aca="false">+PROPER(C3202&amp;" "&amp;D3202)</f>
        <v> </v>
      </c>
      <c r="S3202" s="230" t="n">
        <f aca="false">+YEARFRAC(L3202,$S$1)</f>
        <v>126.366666666667</v>
      </c>
      <c r="T3202" s="230" t="n">
        <f aca="false">+YEARFRAC(M3202,$S$1)</f>
        <v>126.366666666667</v>
      </c>
      <c r="U3202" s="231" t="n">
        <f aca="false">+$I3202</f>
        <v>0</v>
      </c>
      <c r="V3202" s="232" t="str">
        <f aca="false">+PROPER(F3202)</f>
        <v/>
      </c>
    </row>
    <row r="3203" customFormat="false" ht="14.25" hidden="false" customHeight="false" outlineLevel="0" collapsed="false">
      <c r="B3203" s="244"/>
      <c r="C3203" s="245"/>
      <c r="D3203" s="245"/>
      <c r="E3203" s="246"/>
      <c r="F3203" s="246"/>
      <c r="G3203" s="225" t="e">
        <f aca="false">VLOOKUP(B3203,'NIVEL ENERO'!A:F,4,0)</f>
        <v>#N/A</v>
      </c>
      <c r="H3203" s="247"/>
      <c r="I3203" s="247"/>
      <c r="J3203" s="246"/>
      <c r="K3203" s="246"/>
      <c r="L3203" s="226"/>
      <c r="M3203" s="226"/>
      <c r="N3203" s="246"/>
      <c r="P3203" s="228"/>
      <c r="Q3203" s="245"/>
      <c r="R3203" s="186" t="str">
        <f aca="false">+PROPER(C3203&amp;" "&amp;D3203)</f>
        <v> </v>
      </c>
      <c r="S3203" s="230" t="n">
        <f aca="false">+YEARFRAC(L3203,$S$1)</f>
        <v>126.366666666667</v>
      </c>
      <c r="T3203" s="230" t="n">
        <f aca="false">+YEARFRAC(M3203,$S$1)</f>
        <v>126.366666666667</v>
      </c>
      <c r="U3203" s="231" t="n">
        <f aca="false">+$I3203</f>
        <v>0</v>
      </c>
      <c r="V3203" s="232" t="str">
        <f aca="false">+PROPER(F3203)</f>
        <v/>
      </c>
    </row>
    <row r="3204" customFormat="false" ht="14.25" hidden="false" customHeight="false" outlineLevel="0" collapsed="false">
      <c r="B3204" s="244"/>
      <c r="C3204" s="245"/>
      <c r="D3204" s="245"/>
      <c r="E3204" s="246"/>
      <c r="F3204" s="246"/>
      <c r="G3204" s="225" t="e">
        <f aca="false">VLOOKUP(B3204,'NIVEL ENERO'!A:F,4,0)</f>
        <v>#N/A</v>
      </c>
      <c r="H3204" s="247"/>
      <c r="I3204" s="247"/>
      <c r="J3204" s="246"/>
      <c r="K3204" s="246"/>
      <c r="L3204" s="226"/>
      <c r="M3204" s="226"/>
      <c r="N3204" s="246"/>
      <c r="P3204" s="228"/>
      <c r="Q3204" s="245"/>
      <c r="R3204" s="186" t="str">
        <f aca="false">+PROPER(C3204&amp;" "&amp;D3204)</f>
        <v> </v>
      </c>
      <c r="S3204" s="230" t="n">
        <f aca="false">+YEARFRAC(L3204,$S$1)</f>
        <v>126.366666666667</v>
      </c>
      <c r="T3204" s="230" t="n">
        <f aca="false">+YEARFRAC(M3204,$S$1)</f>
        <v>126.366666666667</v>
      </c>
      <c r="U3204" s="231" t="n">
        <f aca="false">+$I3204</f>
        <v>0</v>
      </c>
      <c r="V3204" s="232" t="str">
        <f aca="false">+PROPER(F3204)</f>
        <v/>
      </c>
    </row>
    <row r="3205" customFormat="false" ht="14.25" hidden="false" customHeight="false" outlineLevel="0" collapsed="false">
      <c r="B3205" s="244"/>
      <c r="C3205" s="245"/>
      <c r="D3205" s="245"/>
      <c r="E3205" s="246"/>
      <c r="F3205" s="246"/>
      <c r="G3205" s="225" t="e">
        <f aca="false">VLOOKUP(B3205,'NIVEL ENERO'!A:F,4,0)</f>
        <v>#N/A</v>
      </c>
      <c r="H3205" s="247"/>
      <c r="I3205" s="247"/>
      <c r="J3205" s="246"/>
      <c r="K3205" s="246"/>
      <c r="L3205" s="226"/>
      <c r="M3205" s="226"/>
      <c r="N3205" s="246"/>
      <c r="P3205" s="228"/>
      <c r="Q3205" s="245"/>
      <c r="R3205" s="186" t="str">
        <f aca="false">+PROPER(C3205&amp;" "&amp;D3205)</f>
        <v> </v>
      </c>
      <c r="S3205" s="230" t="n">
        <f aca="false">+YEARFRAC(L3205,$S$1)</f>
        <v>126.366666666667</v>
      </c>
      <c r="T3205" s="230" t="n">
        <f aca="false">+YEARFRAC(M3205,$S$1)</f>
        <v>126.366666666667</v>
      </c>
      <c r="U3205" s="231" t="n">
        <f aca="false">+$I3205</f>
        <v>0</v>
      </c>
      <c r="V3205" s="232" t="str">
        <f aca="false">+PROPER(F3205)</f>
        <v/>
      </c>
    </row>
    <row r="3206" customFormat="false" ht="14.25" hidden="false" customHeight="false" outlineLevel="0" collapsed="false">
      <c r="B3206" s="244"/>
      <c r="C3206" s="245"/>
      <c r="D3206" s="245"/>
      <c r="E3206" s="246"/>
      <c r="F3206" s="246"/>
      <c r="G3206" s="225" t="e">
        <f aca="false">VLOOKUP(B3206,'NIVEL ENERO'!A:F,4,0)</f>
        <v>#N/A</v>
      </c>
      <c r="H3206" s="247"/>
      <c r="I3206" s="247"/>
      <c r="J3206" s="246"/>
      <c r="K3206" s="246"/>
      <c r="L3206" s="226"/>
      <c r="M3206" s="226"/>
      <c r="N3206" s="246"/>
      <c r="P3206" s="228"/>
      <c r="Q3206" s="245"/>
      <c r="R3206" s="186" t="str">
        <f aca="false">+PROPER(C3206&amp;" "&amp;D3206)</f>
        <v> </v>
      </c>
      <c r="S3206" s="230" t="n">
        <f aca="false">+YEARFRAC(L3206,$S$1)</f>
        <v>126.366666666667</v>
      </c>
      <c r="T3206" s="230" t="n">
        <f aca="false">+YEARFRAC(M3206,$S$1)</f>
        <v>126.366666666667</v>
      </c>
      <c r="U3206" s="231" t="n">
        <f aca="false">+$I3206</f>
        <v>0</v>
      </c>
      <c r="V3206" s="232" t="str">
        <f aca="false">+PROPER(F3206)</f>
        <v/>
      </c>
    </row>
    <row r="3207" customFormat="false" ht="14.25" hidden="false" customHeight="false" outlineLevel="0" collapsed="false">
      <c r="B3207" s="244"/>
      <c r="C3207" s="245"/>
      <c r="D3207" s="245"/>
      <c r="E3207" s="246"/>
      <c r="F3207" s="246"/>
      <c r="G3207" s="225" t="e">
        <f aca="false">VLOOKUP(B3207,'NIVEL ENERO'!A:F,4,0)</f>
        <v>#N/A</v>
      </c>
      <c r="H3207" s="247"/>
      <c r="I3207" s="247"/>
      <c r="J3207" s="246"/>
      <c r="K3207" s="246"/>
      <c r="L3207" s="226"/>
      <c r="M3207" s="226"/>
      <c r="N3207" s="246"/>
      <c r="P3207" s="228"/>
      <c r="Q3207" s="245"/>
      <c r="R3207" s="186" t="str">
        <f aca="false">+PROPER(C3207&amp;" "&amp;D3207)</f>
        <v> </v>
      </c>
      <c r="S3207" s="230" t="n">
        <f aca="false">+YEARFRAC(L3207,$S$1)</f>
        <v>126.366666666667</v>
      </c>
      <c r="T3207" s="230" t="n">
        <f aca="false">+YEARFRAC(M3207,$S$1)</f>
        <v>126.366666666667</v>
      </c>
      <c r="U3207" s="231" t="n">
        <f aca="false">+$I3207</f>
        <v>0</v>
      </c>
      <c r="V3207" s="232" t="str">
        <f aca="false">+PROPER(F3207)</f>
        <v/>
      </c>
    </row>
    <row r="3208" customFormat="false" ht="14.25" hidden="false" customHeight="false" outlineLevel="0" collapsed="false">
      <c r="B3208" s="244"/>
      <c r="C3208" s="245"/>
      <c r="D3208" s="245"/>
      <c r="E3208" s="246"/>
      <c r="F3208" s="246"/>
      <c r="G3208" s="225" t="e">
        <f aca="false">VLOOKUP(B3208,'NIVEL ENERO'!A:F,4,0)</f>
        <v>#N/A</v>
      </c>
      <c r="H3208" s="247"/>
      <c r="I3208" s="247"/>
      <c r="J3208" s="246"/>
      <c r="K3208" s="246"/>
      <c r="L3208" s="226"/>
      <c r="M3208" s="226"/>
      <c r="N3208" s="246"/>
      <c r="P3208" s="228"/>
      <c r="Q3208" s="245"/>
      <c r="R3208" s="186" t="str">
        <f aca="false">+PROPER(C3208&amp;" "&amp;D3208)</f>
        <v> </v>
      </c>
      <c r="S3208" s="230" t="n">
        <f aca="false">+YEARFRAC(L3208,$S$1)</f>
        <v>126.366666666667</v>
      </c>
      <c r="T3208" s="230" t="n">
        <f aca="false">+YEARFRAC(M3208,$S$1)</f>
        <v>126.366666666667</v>
      </c>
      <c r="U3208" s="231" t="n">
        <f aca="false">+$I3208</f>
        <v>0</v>
      </c>
      <c r="V3208" s="232" t="str">
        <f aca="false">+PROPER(F3208)</f>
        <v/>
      </c>
    </row>
    <row r="3209" customFormat="false" ht="14.25" hidden="false" customHeight="false" outlineLevel="0" collapsed="false">
      <c r="B3209" s="244"/>
      <c r="C3209" s="245"/>
      <c r="D3209" s="245"/>
      <c r="E3209" s="246"/>
      <c r="F3209" s="246"/>
      <c r="G3209" s="225" t="e">
        <f aca="false">VLOOKUP(B3209,'NIVEL ENERO'!A:F,4,0)</f>
        <v>#N/A</v>
      </c>
      <c r="H3209" s="247"/>
      <c r="I3209" s="247"/>
      <c r="J3209" s="246"/>
      <c r="K3209" s="246"/>
      <c r="L3209" s="226"/>
      <c r="M3209" s="226"/>
      <c r="N3209" s="246"/>
      <c r="P3209" s="228"/>
      <c r="Q3209" s="245"/>
      <c r="R3209" s="186" t="str">
        <f aca="false">+PROPER(C3209&amp;" "&amp;D3209)</f>
        <v> </v>
      </c>
      <c r="S3209" s="230" t="n">
        <f aca="false">+YEARFRAC(L3209,$S$1)</f>
        <v>126.366666666667</v>
      </c>
      <c r="T3209" s="230" t="n">
        <f aca="false">+YEARFRAC(M3209,$S$1)</f>
        <v>126.366666666667</v>
      </c>
      <c r="U3209" s="231" t="n">
        <f aca="false">+$I3209</f>
        <v>0</v>
      </c>
      <c r="V3209" s="232" t="str">
        <f aca="false">+PROPER(F3209)</f>
        <v/>
      </c>
    </row>
    <row r="3210" customFormat="false" ht="14.25" hidden="false" customHeight="false" outlineLevel="0" collapsed="false">
      <c r="B3210" s="244"/>
      <c r="C3210" s="245"/>
      <c r="D3210" s="245"/>
      <c r="E3210" s="246"/>
      <c r="F3210" s="246"/>
      <c r="G3210" s="225" t="e">
        <f aca="false">VLOOKUP(B3210,'NIVEL ENERO'!A:F,4,0)</f>
        <v>#N/A</v>
      </c>
      <c r="H3210" s="247"/>
      <c r="I3210" s="247"/>
      <c r="J3210" s="246"/>
      <c r="K3210" s="246"/>
      <c r="L3210" s="226"/>
      <c r="M3210" s="226"/>
      <c r="N3210" s="246"/>
      <c r="P3210" s="228"/>
      <c r="Q3210" s="245"/>
      <c r="R3210" s="186" t="str">
        <f aca="false">+PROPER(C3210&amp;" "&amp;D3210)</f>
        <v> </v>
      </c>
      <c r="S3210" s="230" t="n">
        <f aca="false">+YEARFRAC(L3210,$S$1)</f>
        <v>126.366666666667</v>
      </c>
      <c r="T3210" s="230" t="n">
        <f aca="false">+YEARFRAC(M3210,$S$1)</f>
        <v>126.366666666667</v>
      </c>
      <c r="U3210" s="231" t="n">
        <f aca="false">+$I3210</f>
        <v>0</v>
      </c>
      <c r="V3210" s="232" t="str">
        <f aca="false">+PROPER(F3210)</f>
        <v/>
      </c>
    </row>
    <row r="3211" customFormat="false" ht="14.25" hidden="false" customHeight="false" outlineLevel="0" collapsed="false">
      <c r="B3211" s="244"/>
      <c r="C3211" s="245"/>
      <c r="D3211" s="245"/>
      <c r="E3211" s="246"/>
      <c r="F3211" s="246"/>
      <c r="G3211" s="225" t="e">
        <f aca="false">VLOOKUP(B3211,'NIVEL ENERO'!A:F,4,0)</f>
        <v>#N/A</v>
      </c>
      <c r="H3211" s="247"/>
      <c r="I3211" s="247"/>
      <c r="J3211" s="246"/>
      <c r="K3211" s="246"/>
      <c r="L3211" s="226"/>
      <c r="M3211" s="226"/>
      <c r="N3211" s="246"/>
      <c r="P3211" s="228"/>
      <c r="Q3211" s="245"/>
      <c r="R3211" s="186" t="str">
        <f aca="false">+PROPER(C3211&amp;" "&amp;D3211)</f>
        <v> </v>
      </c>
      <c r="S3211" s="230" t="n">
        <f aca="false">+YEARFRAC(L3211,$S$1)</f>
        <v>126.366666666667</v>
      </c>
      <c r="T3211" s="230" t="n">
        <f aca="false">+YEARFRAC(M3211,$S$1)</f>
        <v>126.366666666667</v>
      </c>
      <c r="U3211" s="231" t="n">
        <f aca="false">+$I3211</f>
        <v>0</v>
      </c>
      <c r="V3211" s="232" t="str">
        <f aca="false">+PROPER(F3211)</f>
        <v/>
      </c>
    </row>
    <row r="3212" customFormat="false" ht="14.25" hidden="false" customHeight="false" outlineLevel="0" collapsed="false">
      <c r="B3212" s="244"/>
      <c r="C3212" s="245"/>
      <c r="D3212" s="245"/>
      <c r="E3212" s="246"/>
      <c r="F3212" s="246"/>
      <c r="G3212" s="225" t="e">
        <f aca="false">VLOOKUP(B3212,'NIVEL ENERO'!A:F,4,0)</f>
        <v>#N/A</v>
      </c>
      <c r="H3212" s="247"/>
      <c r="I3212" s="247"/>
      <c r="J3212" s="246"/>
      <c r="K3212" s="246"/>
      <c r="L3212" s="226"/>
      <c r="M3212" s="226"/>
      <c r="N3212" s="246"/>
      <c r="P3212" s="228"/>
      <c r="Q3212" s="245"/>
      <c r="R3212" s="186" t="str">
        <f aca="false">+PROPER(C3212&amp;" "&amp;D3212)</f>
        <v> </v>
      </c>
      <c r="S3212" s="230" t="n">
        <f aca="false">+YEARFRAC(L3212,$S$1)</f>
        <v>126.366666666667</v>
      </c>
      <c r="T3212" s="230" t="n">
        <f aca="false">+YEARFRAC(M3212,$S$1)</f>
        <v>126.366666666667</v>
      </c>
      <c r="U3212" s="231" t="n">
        <f aca="false">+$I3212</f>
        <v>0</v>
      </c>
      <c r="V3212" s="232" t="str">
        <f aca="false">+PROPER(F3212)</f>
        <v/>
      </c>
    </row>
    <row r="3213" customFormat="false" ht="14.25" hidden="false" customHeight="false" outlineLevel="0" collapsed="false">
      <c r="B3213" s="244"/>
      <c r="C3213" s="245"/>
      <c r="D3213" s="245"/>
      <c r="E3213" s="246"/>
      <c r="F3213" s="246"/>
      <c r="G3213" s="225" t="e">
        <f aca="false">VLOOKUP(B3213,'NIVEL ENERO'!A:F,4,0)</f>
        <v>#N/A</v>
      </c>
      <c r="H3213" s="247"/>
      <c r="I3213" s="247"/>
      <c r="J3213" s="246"/>
      <c r="K3213" s="246"/>
      <c r="L3213" s="226"/>
      <c r="M3213" s="226"/>
      <c r="N3213" s="246"/>
      <c r="P3213" s="228"/>
      <c r="Q3213" s="245"/>
      <c r="R3213" s="186" t="str">
        <f aca="false">+PROPER(C3213&amp;" "&amp;D3213)</f>
        <v> </v>
      </c>
      <c r="S3213" s="230" t="n">
        <f aca="false">+YEARFRAC(L3213,$S$1)</f>
        <v>126.366666666667</v>
      </c>
      <c r="T3213" s="230" t="n">
        <f aca="false">+YEARFRAC(M3213,$S$1)</f>
        <v>126.366666666667</v>
      </c>
      <c r="U3213" s="231" t="n">
        <f aca="false">+$I3213</f>
        <v>0</v>
      </c>
      <c r="V3213" s="232" t="str">
        <f aca="false">+PROPER(F3213)</f>
        <v/>
      </c>
    </row>
    <row r="3214" customFormat="false" ht="14.25" hidden="false" customHeight="false" outlineLevel="0" collapsed="false">
      <c r="B3214" s="244"/>
      <c r="C3214" s="245"/>
      <c r="D3214" s="245"/>
      <c r="E3214" s="246"/>
      <c r="F3214" s="246"/>
      <c r="G3214" s="225" t="e">
        <f aca="false">VLOOKUP(B3214,'NIVEL ENERO'!A:F,4,0)</f>
        <v>#N/A</v>
      </c>
      <c r="H3214" s="247"/>
      <c r="I3214" s="247"/>
      <c r="J3214" s="246"/>
      <c r="K3214" s="246"/>
      <c r="L3214" s="226"/>
      <c r="M3214" s="226"/>
      <c r="N3214" s="246"/>
      <c r="P3214" s="228"/>
      <c r="Q3214" s="245"/>
      <c r="R3214" s="186" t="str">
        <f aca="false">+PROPER(C3214&amp;" "&amp;D3214)</f>
        <v> </v>
      </c>
      <c r="S3214" s="230" t="n">
        <f aca="false">+YEARFRAC(L3214,$S$1)</f>
        <v>126.366666666667</v>
      </c>
      <c r="T3214" s="230" t="n">
        <f aca="false">+YEARFRAC(M3214,$S$1)</f>
        <v>126.366666666667</v>
      </c>
      <c r="U3214" s="231" t="n">
        <f aca="false">+$I3214</f>
        <v>0</v>
      </c>
      <c r="V3214" s="232" t="str">
        <f aca="false">+PROPER(F3214)</f>
        <v/>
      </c>
    </row>
    <row r="3215" customFormat="false" ht="14.25" hidden="false" customHeight="false" outlineLevel="0" collapsed="false">
      <c r="B3215" s="244"/>
      <c r="C3215" s="245"/>
      <c r="D3215" s="245"/>
      <c r="E3215" s="246"/>
      <c r="F3215" s="246"/>
      <c r="G3215" s="225" t="e">
        <f aca="false">VLOOKUP(B3215,'NIVEL ENERO'!A:F,4,0)</f>
        <v>#N/A</v>
      </c>
      <c r="H3215" s="247"/>
      <c r="I3215" s="247"/>
      <c r="J3215" s="246"/>
      <c r="K3215" s="246"/>
      <c r="L3215" s="226"/>
      <c r="M3215" s="226"/>
      <c r="N3215" s="246"/>
      <c r="P3215" s="228"/>
      <c r="Q3215" s="245"/>
      <c r="R3215" s="186" t="str">
        <f aca="false">+PROPER(C3215&amp;" "&amp;D3215)</f>
        <v> </v>
      </c>
      <c r="S3215" s="230" t="n">
        <f aca="false">+YEARFRAC(L3215,$S$1)</f>
        <v>126.366666666667</v>
      </c>
      <c r="T3215" s="230" t="n">
        <f aca="false">+YEARFRAC(M3215,$S$1)</f>
        <v>126.366666666667</v>
      </c>
      <c r="U3215" s="231" t="n">
        <f aca="false">+$I3215</f>
        <v>0</v>
      </c>
      <c r="V3215" s="232" t="str">
        <f aca="false">+PROPER(F3215)</f>
        <v/>
      </c>
    </row>
    <row r="3216" customFormat="false" ht="14.25" hidden="false" customHeight="false" outlineLevel="0" collapsed="false">
      <c r="B3216" s="244"/>
      <c r="C3216" s="245"/>
      <c r="D3216" s="245"/>
      <c r="E3216" s="246"/>
      <c r="F3216" s="246"/>
      <c r="G3216" s="225" t="e">
        <f aca="false">VLOOKUP(B3216,'NIVEL ENERO'!A:F,4,0)</f>
        <v>#N/A</v>
      </c>
      <c r="H3216" s="247"/>
      <c r="I3216" s="247"/>
      <c r="J3216" s="246"/>
      <c r="K3216" s="246"/>
      <c r="L3216" s="226"/>
      <c r="M3216" s="226"/>
      <c r="N3216" s="246"/>
      <c r="P3216" s="228"/>
      <c r="Q3216" s="245"/>
      <c r="R3216" s="186" t="str">
        <f aca="false">+PROPER(C3216&amp;" "&amp;D3216)</f>
        <v> </v>
      </c>
      <c r="S3216" s="230" t="n">
        <f aca="false">+YEARFRAC(L3216,$S$1)</f>
        <v>126.366666666667</v>
      </c>
      <c r="T3216" s="230" t="n">
        <f aca="false">+YEARFRAC(M3216,$S$1)</f>
        <v>126.366666666667</v>
      </c>
      <c r="U3216" s="231" t="n">
        <f aca="false">+$I3216</f>
        <v>0</v>
      </c>
      <c r="V3216" s="232" t="str">
        <f aca="false">+PROPER(F3216)</f>
        <v/>
      </c>
    </row>
    <row r="3217" customFormat="false" ht="14.25" hidden="false" customHeight="false" outlineLevel="0" collapsed="false">
      <c r="B3217" s="244"/>
      <c r="C3217" s="245"/>
      <c r="D3217" s="245"/>
      <c r="E3217" s="246"/>
      <c r="F3217" s="246"/>
      <c r="G3217" s="225" t="e">
        <f aca="false">VLOOKUP(B3217,'NIVEL ENERO'!A:F,4,0)</f>
        <v>#N/A</v>
      </c>
      <c r="H3217" s="247"/>
      <c r="I3217" s="247"/>
      <c r="J3217" s="246"/>
      <c r="K3217" s="246"/>
      <c r="L3217" s="226"/>
      <c r="M3217" s="226"/>
      <c r="N3217" s="246"/>
      <c r="P3217" s="228"/>
      <c r="Q3217" s="245"/>
      <c r="R3217" s="186" t="str">
        <f aca="false">+PROPER(C3217&amp;" "&amp;D3217)</f>
        <v> </v>
      </c>
      <c r="S3217" s="230" t="n">
        <f aca="false">+YEARFRAC(L3217,$S$1)</f>
        <v>126.366666666667</v>
      </c>
      <c r="T3217" s="230" t="n">
        <f aca="false">+YEARFRAC(M3217,$S$1)</f>
        <v>126.366666666667</v>
      </c>
      <c r="U3217" s="231" t="n">
        <f aca="false">+$I3217</f>
        <v>0</v>
      </c>
      <c r="V3217" s="232" t="str">
        <f aca="false">+PROPER(F3217)</f>
        <v/>
      </c>
    </row>
    <row r="3218" customFormat="false" ht="14.25" hidden="false" customHeight="false" outlineLevel="0" collapsed="false">
      <c r="B3218" s="244"/>
      <c r="C3218" s="245"/>
      <c r="D3218" s="245"/>
      <c r="E3218" s="246"/>
      <c r="F3218" s="246"/>
      <c r="G3218" s="225" t="e">
        <f aca="false">VLOOKUP(B3218,'NIVEL ENERO'!A:F,4,0)</f>
        <v>#N/A</v>
      </c>
      <c r="H3218" s="247"/>
      <c r="I3218" s="247"/>
      <c r="J3218" s="246"/>
      <c r="K3218" s="246"/>
      <c r="L3218" s="226"/>
      <c r="M3218" s="226"/>
      <c r="N3218" s="246"/>
      <c r="P3218" s="228"/>
      <c r="Q3218" s="245"/>
      <c r="R3218" s="186" t="str">
        <f aca="false">+PROPER(C3218&amp;" "&amp;D3218)</f>
        <v> </v>
      </c>
      <c r="S3218" s="230" t="n">
        <f aca="false">+YEARFRAC(L3218,$S$1)</f>
        <v>126.366666666667</v>
      </c>
      <c r="T3218" s="230" t="n">
        <f aca="false">+YEARFRAC(M3218,$S$1)</f>
        <v>126.366666666667</v>
      </c>
      <c r="U3218" s="231" t="n">
        <f aca="false">+$I3218</f>
        <v>0</v>
      </c>
      <c r="V3218" s="232" t="str">
        <f aca="false">+PROPER(F3218)</f>
        <v/>
      </c>
    </row>
    <row r="3219" customFormat="false" ht="14.25" hidden="false" customHeight="false" outlineLevel="0" collapsed="false">
      <c r="B3219" s="244"/>
      <c r="C3219" s="245"/>
      <c r="D3219" s="245"/>
      <c r="E3219" s="246"/>
      <c r="F3219" s="246"/>
      <c r="G3219" s="225" t="e">
        <f aca="false">VLOOKUP(B3219,'NIVEL ENERO'!A:F,4,0)</f>
        <v>#N/A</v>
      </c>
      <c r="H3219" s="247"/>
      <c r="I3219" s="247"/>
      <c r="J3219" s="246"/>
      <c r="K3219" s="246"/>
      <c r="L3219" s="226"/>
      <c r="M3219" s="226"/>
      <c r="N3219" s="246"/>
      <c r="P3219" s="228"/>
      <c r="Q3219" s="245"/>
      <c r="R3219" s="186" t="str">
        <f aca="false">+PROPER(C3219&amp;" "&amp;D3219)</f>
        <v> </v>
      </c>
      <c r="S3219" s="230" t="n">
        <f aca="false">+YEARFRAC(L3219,$S$1)</f>
        <v>126.366666666667</v>
      </c>
      <c r="T3219" s="230" t="n">
        <f aca="false">+YEARFRAC(M3219,$S$1)</f>
        <v>126.366666666667</v>
      </c>
      <c r="U3219" s="231" t="n">
        <f aca="false">+$I3219</f>
        <v>0</v>
      </c>
      <c r="V3219" s="232" t="str">
        <f aca="false">+PROPER(F3219)</f>
        <v/>
      </c>
    </row>
    <row r="3220" customFormat="false" ht="14.25" hidden="false" customHeight="false" outlineLevel="0" collapsed="false">
      <c r="B3220" s="244"/>
      <c r="C3220" s="245"/>
      <c r="D3220" s="245"/>
      <c r="E3220" s="246"/>
      <c r="F3220" s="246"/>
      <c r="G3220" s="225" t="e">
        <f aca="false">VLOOKUP(B3220,'NIVEL ENERO'!A:F,4,0)</f>
        <v>#N/A</v>
      </c>
      <c r="H3220" s="247"/>
      <c r="I3220" s="247"/>
      <c r="J3220" s="246"/>
      <c r="K3220" s="246"/>
      <c r="L3220" s="226"/>
      <c r="M3220" s="226"/>
      <c r="N3220" s="246"/>
      <c r="P3220" s="228"/>
      <c r="Q3220" s="245"/>
      <c r="R3220" s="186" t="str">
        <f aca="false">+PROPER(C3220&amp;" "&amp;D3220)</f>
        <v> </v>
      </c>
      <c r="S3220" s="230" t="n">
        <f aca="false">+YEARFRAC(L3220,$S$1)</f>
        <v>126.366666666667</v>
      </c>
      <c r="T3220" s="230" t="n">
        <f aca="false">+YEARFRAC(M3220,$S$1)</f>
        <v>126.366666666667</v>
      </c>
      <c r="U3220" s="231" t="n">
        <f aca="false">+$I3220</f>
        <v>0</v>
      </c>
      <c r="V3220" s="232" t="str">
        <f aca="false">+PROPER(F3220)</f>
        <v/>
      </c>
    </row>
    <row r="3221" customFormat="false" ht="14.25" hidden="false" customHeight="false" outlineLevel="0" collapsed="false">
      <c r="B3221" s="244"/>
      <c r="C3221" s="245"/>
      <c r="D3221" s="245"/>
      <c r="E3221" s="246"/>
      <c r="F3221" s="246"/>
      <c r="G3221" s="225" t="e">
        <f aca="false">VLOOKUP(B3221,'NIVEL ENERO'!A:F,4,0)</f>
        <v>#N/A</v>
      </c>
      <c r="H3221" s="247"/>
      <c r="I3221" s="247"/>
      <c r="J3221" s="246"/>
      <c r="K3221" s="246"/>
      <c r="L3221" s="226"/>
      <c r="M3221" s="226"/>
      <c r="N3221" s="246"/>
      <c r="P3221" s="228"/>
      <c r="Q3221" s="245"/>
      <c r="R3221" s="186" t="str">
        <f aca="false">+PROPER(C3221&amp;" "&amp;D3221)</f>
        <v> </v>
      </c>
      <c r="S3221" s="230" t="n">
        <f aca="false">+YEARFRAC(L3221,$S$1)</f>
        <v>126.366666666667</v>
      </c>
      <c r="T3221" s="230" t="n">
        <f aca="false">+YEARFRAC(M3221,$S$1)</f>
        <v>126.366666666667</v>
      </c>
      <c r="U3221" s="231" t="n">
        <f aca="false">+$I3221</f>
        <v>0</v>
      </c>
      <c r="V3221" s="232" t="str">
        <f aca="false">+PROPER(F3221)</f>
        <v/>
      </c>
    </row>
    <row r="3222" customFormat="false" ht="14.25" hidden="false" customHeight="false" outlineLevel="0" collapsed="false">
      <c r="B3222" s="244"/>
      <c r="C3222" s="245"/>
      <c r="D3222" s="245"/>
      <c r="E3222" s="246"/>
      <c r="F3222" s="246"/>
      <c r="G3222" s="225" t="e">
        <f aca="false">VLOOKUP(B3222,'NIVEL ENERO'!A:F,4,0)</f>
        <v>#N/A</v>
      </c>
      <c r="H3222" s="247"/>
      <c r="I3222" s="247"/>
      <c r="J3222" s="246"/>
      <c r="K3222" s="246"/>
      <c r="L3222" s="226"/>
      <c r="M3222" s="226"/>
      <c r="N3222" s="246"/>
      <c r="P3222" s="228"/>
      <c r="Q3222" s="245"/>
      <c r="R3222" s="186" t="str">
        <f aca="false">+PROPER(C3222&amp;" "&amp;D3222)</f>
        <v> </v>
      </c>
      <c r="S3222" s="230" t="n">
        <f aca="false">+YEARFRAC(L3222,$S$1)</f>
        <v>126.366666666667</v>
      </c>
      <c r="T3222" s="230" t="n">
        <f aca="false">+YEARFRAC(M3222,$S$1)</f>
        <v>126.366666666667</v>
      </c>
      <c r="U3222" s="231" t="n">
        <f aca="false">+$I3222</f>
        <v>0</v>
      </c>
      <c r="V3222" s="232" t="str">
        <f aca="false">+PROPER(F3222)</f>
        <v/>
      </c>
    </row>
    <row r="3223" customFormat="false" ht="14.25" hidden="false" customHeight="false" outlineLevel="0" collapsed="false">
      <c r="B3223" s="244"/>
      <c r="C3223" s="245"/>
      <c r="D3223" s="245"/>
      <c r="E3223" s="246"/>
      <c r="F3223" s="246"/>
      <c r="G3223" s="225" t="e">
        <f aca="false">VLOOKUP(B3223,'NIVEL ENERO'!A:F,4,0)</f>
        <v>#N/A</v>
      </c>
      <c r="H3223" s="247"/>
      <c r="I3223" s="247"/>
      <c r="J3223" s="246"/>
      <c r="K3223" s="246"/>
      <c r="L3223" s="226"/>
      <c r="M3223" s="226"/>
      <c r="N3223" s="246"/>
      <c r="P3223" s="228"/>
      <c r="Q3223" s="245"/>
      <c r="R3223" s="186" t="str">
        <f aca="false">+PROPER(C3223&amp;" "&amp;D3223)</f>
        <v> </v>
      </c>
      <c r="S3223" s="230" t="n">
        <f aca="false">+YEARFRAC(L3223,$S$1)</f>
        <v>126.366666666667</v>
      </c>
      <c r="T3223" s="230" t="n">
        <f aca="false">+YEARFRAC(M3223,$S$1)</f>
        <v>126.366666666667</v>
      </c>
      <c r="U3223" s="231" t="n">
        <f aca="false">+$I3223</f>
        <v>0</v>
      </c>
      <c r="V3223" s="232" t="str">
        <f aca="false">+PROPER(F3223)</f>
        <v/>
      </c>
    </row>
    <row r="3224" customFormat="false" ht="14.25" hidden="false" customHeight="false" outlineLevel="0" collapsed="false">
      <c r="B3224" s="244"/>
      <c r="C3224" s="245"/>
      <c r="D3224" s="245"/>
      <c r="E3224" s="246"/>
      <c r="F3224" s="246"/>
      <c r="G3224" s="225" t="e">
        <f aca="false">VLOOKUP(B3224,'NIVEL ENERO'!A:F,4,0)</f>
        <v>#N/A</v>
      </c>
      <c r="H3224" s="247"/>
      <c r="I3224" s="247"/>
      <c r="J3224" s="246"/>
      <c r="K3224" s="246"/>
      <c r="L3224" s="226"/>
      <c r="M3224" s="226"/>
      <c r="N3224" s="246"/>
      <c r="P3224" s="228"/>
      <c r="Q3224" s="245"/>
      <c r="R3224" s="186" t="str">
        <f aca="false">+PROPER(C3224&amp;" "&amp;D3224)</f>
        <v> </v>
      </c>
      <c r="S3224" s="230" t="n">
        <f aca="false">+YEARFRAC(L3224,$S$1)</f>
        <v>126.366666666667</v>
      </c>
      <c r="T3224" s="230" t="n">
        <f aca="false">+YEARFRAC(M3224,$S$1)</f>
        <v>126.366666666667</v>
      </c>
      <c r="U3224" s="231" t="n">
        <f aca="false">+$I3224</f>
        <v>0</v>
      </c>
      <c r="V3224" s="232" t="str">
        <f aca="false">+PROPER(F3224)</f>
        <v/>
      </c>
    </row>
    <row r="3225" customFormat="false" ht="14.25" hidden="false" customHeight="false" outlineLevel="0" collapsed="false">
      <c r="B3225" s="244"/>
      <c r="C3225" s="245"/>
      <c r="D3225" s="245"/>
      <c r="E3225" s="246"/>
      <c r="F3225" s="246"/>
      <c r="G3225" s="225" t="e">
        <f aca="false">VLOOKUP(B3225,'NIVEL ENERO'!A:F,4,0)</f>
        <v>#N/A</v>
      </c>
      <c r="H3225" s="247"/>
      <c r="I3225" s="247"/>
      <c r="J3225" s="246"/>
      <c r="K3225" s="246"/>
      <c r="L3225" s="226"/>
      <c r="M3225" s="226"/>
      <c r="N3225" s="246"/>
      <c r="P3225" s="228"/>
      <c r="Q3225" s="245"/>
      <c r="R3225" s="186" t="str">
        <f aca="false">+PROPER(C3225&amp;" "&amp;D3225)</f>
        <v> </v>
      </c>
      <c r="S3225" s="230" t="n">
        <f aca="false">+YEARFRAC(L3225,$S$1)</f>
        <v>126.366666666667</v>
      </c>
      <c r="T3225" s="230" t="n">
        <f aca="false">+YEARFRAC(M3225,$S$1)</f>
        <v>126.366666666667</v>
      </c>
      <c r="U3225" s="231" t="n">
        <f aca="false">+$I3225</f>
        <v>0</v>
      </c>
      <c r="V3225" s="232" t="str">
        <f aca="false">+PROPER(F3225)</f>
        <v/>
      </c>
    </row>
    <row r="3226" customFormat="false" ht="14.25" hidden="false" customHeight="false" outlineLevel="0" collapsed="false">
      <c r="B3226" s="244"/>
      <c r="C3226" s="245"/>
      <c r="D3226" s="245"/>
      <c r="E3226" s="246"/>
      <c r="F3226" s="246"/>
      <c r="G3226" s="225" t="e">
        <f aca="false">VLOOKUP(B3226,'NIVEL ENERO'!A:F,4,0)</f>
        <v>#N/A</v>
      </c>
      <c r="H3226" s="247"/>
      <c r="I3226" s="247"/>
      <c r="J3226" s="246"/>
      <c r="K3226" s="246"/>
      <c r="L3226" s="226"/>
      <c r="M3226" s="226"/>
      <c r="N3226" s="246"/>
      <c r="P3226" s="228"/>
      <c r="Q3226" s="245"/>
      <c r="R3226" s="186" t="str">
        <f aca="false">+PROPER(C3226&amp;" "&amp;D3226)</f>
        <v> </v>
      </c>
      <c r="S3226" s="230" t="n">
        <f aca="false">+YEARFRAC(L3226,$S$1)</f>
        <v>126.366666666667</v>
      </c>
      <c r="T3226" s="230" t="n">
        <f aca="false">+YEARFRAC(M3226,$S$1)</f>
        <v>126.366666666667</v>
      </c>
      <c r="U3226" s="231" t="n">
        <f aca="false">+$I3226</f>
        <v>0</v>
      </c>
      <c r="V3226" s="232" t="str">
        <f aca="false">+PROPER(F3226)</f>
        <v/>
      </c>
    </row>
    <row r="3227" customFormat="false" ht="14.25" hidden="false" customHeight="false" outlineLevel="0" collapsed="false">
      <c r="B3227" s="244"/>
      <c r="C3227" s="245"/>
      <c r="D3227" s="245"/>
      <c r="E3227" s="246"/>
      <c r="F3227" s="246"/>
      <c r="G3227" s="225" t="e">
        <f aca="false">VLOOKUP(B3227,'NIVEL ENERO'!A:F,4,0)</f>
        <v>#N/A</v>
      </c>
      <c r="H3227" s="247"/>
      <c r="I3227" s="247"/>
      <c r="J3227" s="246"/>
      <c r="K3227" s="246"/>
      <c r="L3227" s="226"/>
      <c r="M3227" s="226"/>
      <c r="N3227" s="246"/>
      <c r="P3227" s="228"/>
      <c r="Q3227" s="245"/>
      <c r="R3227" s="186" t="str">
        <f aca="false">+PROPER(C3227&amp;" "&amp;D3227)</f>
        <v> </v>
      </c>
      <c r="S3227" s="230" t="n">
        <f aca="false">+YEARFRAC(L3227,$S$1)</f>
        <v>126.366666666667</v>
      </c>
      <c r="T3227" s="230" t="n">
        <f aca="false">+YEARFRAC(M3227,$S$1)</f>
        <v>126.366666666667</v>
      </c>
      <c r="U3227" s="231" t="n">
        <f aca="false">+$I3227</f>
        <v>0</v>
      </c>
      <c r="V3227" s="232" t="str">
        <f aca="false">+PROPER(F3227)</f>
        <v/>
      </c>
    </row>
    <row r="3228" customFormat="false" ht="14.25" hidden="false" customHeight="false" outlineLevel="0" collapsed="false">
      <c r="B3228" s="244"/>
      <c r="C3228" s="245"/>
      <c r="D3228" s="245"/>
      <c r="E3228" s="246"/>
      <c r="F3228" s="246"/>
      <c r="G3228" s="225" t="e">
        <f aca="false">VLOOKUP(B3228,'NIVEL ENERO'!A:F,4,0)</f>
        <v>#N/A</v>
      </c>
      <c r="H3228" s="247"/>
      <c r="I3228" s="247"/>
      <c r="J3228" s="246"/>
      <c r="K3228" s="246"/>
      <c r="L3228" s="226"/>
      <c r="M3228" s="226"/>
      <c r="N3228" s="246"/>
      <c r="P3228" s="228"/>
      <c r="Q3228" s="245"/>
      <c r="R3228" s="186" t="str">
        <f aca="false">+PROPER(C3228&amp;" "&amp;D3228)</f>
        <v> </v>
      </c>
      <c r="S3228" s="230" t="n">
        <f aca="false">+YEARFRAC(L3228,$S$1)</f>
        <v>126.366666666667</v>
      </c>
      <c r="T3228" s="230" t="n">
        <f aca="false">+YEARFRAC(M3228,$S$1)</f>
        <v>126.366666666667</v>
      </c>
      <c r="U3228" s="231" t="n">
        <f aca="false">+$I3228</f>
        <v>0</v>
      </c>
      <c r="V3228" s="232" t="str">
        <f aca="false">+PROPER(F3228)</f>
        <v/>
      </c>
    </row>
    <row r="3229" customFormat="false" ht="14.25" hidden="false" customHeight="false" outlineLevel="0" collapsed="false">
      <c r="B3229" s="244"/>
      <c r="C3229" s="245"/>
      <c r="D3229" s="245"/>
      <c r="E3229" s="246"/>
      <c r="F3229" s="246"/>
      <c r="G3229" s="225" t="e">
        <f aca="false">VLOOKUP(B3229,'NIVEL ENERO'!A:F,4,0)</f>
        <v>#N/A</v>
      </c>
      <c r="H3229" s="247"/>
      <c r="I3229" s="247"/>
      <c r="J3229" s="246"/>
      <c r="K3229" s="246"/>
      <c r="L3229" s="226"/>
      <c r="M3229" s="226"/>
      <c r="N3229" s="246"/>
      <c r="P3229" s="228"/>
      <c r="Q3229" s="245"/>
      <c r="R3229" s="186" t="str">
        <f aca="false">+PROPER(C3229&amp;" "&amp;D3229)</f>
        <v> </v>
      </c>
      <c r="S3229" s="230" t="n">
        <f aca="false">+YEARFRAC(L3229,$S$1)</f>
        <v>126.366666666667</v>
      </c>
      <c r="T3229" s="230" t="n">
        <f aca="false">+YEARFRAC(M3229,$S$1)</f>
        <v>126.366666666667</v>
      </c>
      <c r="U3229" s="231" t="n">
        <f aca="false">+$I3229</f>
        <v>0</v>
      </c>
      <c r="V3229" s="232" t="str">
        <f aca="false">+PROPER(F3229)</f>
        <v/>
      </c>
    </row>
    <row r="3230" customFormat="false" ht="14.25" hidden="false" customHeight="false" outlineLevel="0" collapsed="false">
      <c r="B3230" s="244"/>
      <c r="C3230" s="245"/>
      <c r="D3230" s="245"/>
      <c r="E3230" s="246"/>
      <c r="F3230" s="246"/>
      <c r="G3230" s="225" t="e">
        <f aca="false">VLOOKUP(B3230,'NIVEL ENERO'!A:F,4,0)</f>
        <v>#N/A</v>
      </c>
      <c r="H3230" s="247"/>
      <c r="I3230" s="247"/>
      <c r="J3230" s="246"/>
      <c r="K3230" s="246"/>
      <c r="L3230" s="226"/>
      <c r="M3230" s="226"/>
      <c r="N3230" s="246"/>
      <c r="P3230" s="228"/>
      <c r="Q3230" s="245"/>
      <c r="R3230" s="186" t="str">
        <f aca="false">+PROPER(C3230&amp;" "&amp;D3230)</f>
        <v> </v>
      </c>
      <c r="S3230" s="230" t="n">
        <f aca="false">+YEARFRAC(L3230,$S$1)</f>
        <v>126.366666666667</v>
      </c>
      <c r="T3230" s="230" t="n">
        <f aca="false">+YEARFRAC(M3230,$S$1)</f>
        <v>126.366666666667</v>
      </c>
      <c r="U3230" s="231" t="n">
        <f aca="false">+$I3230</f>
        <v>0</v>
      </c>
      <c r="V3230" s="232" t="str">
        <f aca="false">+PROPER(F3230)</f>
        <v/>
      </c>
    </row>
    <row r="3231" customFormat="false" ht="14.25" hidden="false" customHeight="false" outlineLevel="0" collapsed="false">
      <c r="B3231" s="244"/>
      <c r="C3231" s="245"/>
      <c r="D3231" s="245"/>
      <c r="E3231" s="246"/>
      <c r="F3231" s="246"/>
      <c r="G3231" s="225" t="e">
        <f aca="false">VLOOKUP(B3231,'NIVEL ENERO'!A:F,4,0)</f>
        <v>#N/A</v>
      </c>
      <c r="H3231" s="247"/>
      <c r="I3231" s="247"/>
      <c r="J3231" s="246"/>
      <c r="K3231" s="246"/>
      <c r="L3231" s="226"/>
      <c r="M3231" s="226"/>
      <c r="N3231" s="246"/>
      <c r="P3231" s="228"/>
      <c r="Q3231" s="245"/>
      <c r="R3231" s="186" t="str">
        <f aca="false">+PROPER(C3231&amp;" "&amp;D3231)</f>
        <v> </v>
      </c>
      <c r="S3231" s="230" t="n">
        <f aca="false">+YEARFRAC(L3231,$S$1)</f>
        <v>126.366666666667</v>
      </c>
      <c r="T3231" s="230" t="n">
        <f aca="false">+YEARFRAC(M3231,$S$1)</f>
        <v>126.366666666667</v>
      </c>
      <c r="U3231" s="231" t="n">
        <f aca="false">+$I3231</f>
        <v>0</v>
      </c>
      <c r="V3231" s="232" t="str">
        <f aca="false">+PROPER(F3231)</f>
        <v/>
      </c>
    </row>
    <row r="3232" customFormat="false" ht="14.25" hidden="false" customHeight="false" outlineLevel="0" collapsed="false">
      <c r="B3232" s="244"/>
      <c r="C3232" s="245"/>
      <c r="D3232" s="245"/>
      <c r="E3232" s="246"/>
      <c r="F3232" s="246"/>
      <c r="G3232" s="225" t="e">
        <f aca="false">VLOOKUP(B3232,'NIVEL ENERO'!A:F,4,0)</f>
        <v>#N/A</v>
      </c>
      <c r="H3232" s="247"/>
      <c r="I3232" s="247"/>
      <c r="J3232" s="246"/>
      <c r="K3232" s="246"/>
      <c r="L3232" s="226"/>
      <c r="M3232" s="226"/>
      <c r="N3232" s="246"/>
      <c r="P3232" s="228"/>
      <c r="Q3232" s="245"/>
      <c r="R3232" s="186" t="str">
        <f aca="false">+PROPER(C3232&amp;" "&amp;D3232)</f>
        <v> </v>
      </c>
      <c r="S3232" s="230" t="n">
        <f aca="false">+YEARFRAC(L3232,$S$1)</f>
        <v>126.366666666667</v>
      </c>
      <c r="T3232" s="230" t="n">
        <f aca="false">+YEARFRAC(M3232,$S$1)</f>
        <v>126.366666666667</v>
      </c>
      <c r="U3232" s="231" t="n">
        <f aca="false">+$I3232</f>
        <v>0</v>
      </c>
      <c r="V3232" s="232" t="str">
        <f aca="false">+PROPER(F3232)</f>
        <v/>
      </c>
    </row>
    <row r="3233" customFormat="false" ht="14.25" hidden="false" customHeight="false" outlineLevel="0" collapsed="false">
      <c r="B3233" s="244"/>
      <c r="C3233" s="245"/>
      <c r="D3233" s="245"/>
      <c r="E3233" s="246"/>
      <c r="F3233" s="246"/>
      <c r="G3233" s="225" t="e">
        <f aca="false">VLOOKUP(B3233,'NIVEL ENERO'!A:F,4,0)</f>
        <v>#N/A</v>
      </c>
      <c r="H3233" s="247"/>
      <c r="I3233" s="247"/>
      <c r="J3233" s="246"/>
      <c r="K3233" s="246"/>
      <c r="L3233" s="226"/>
      <c r="M3233" s="226"/>
      <c r="N3233" s="246"/>
      <c r="P3233" s="228"/>
      <c r="Q3233" s="245"/>
      <c r="R3233" s="186" t="str">
        <f aca="false">+PROPER(C3233&amp;" "&amp;D3233)</f>
        <v> </v>
      </c>
      <c r="S3233" s="230" t="n">
        <f aca="false">+YEARFRAC(L3233,$S$1)</f>
        <v>126.366666666667</v>
      </c>
      <c r="T3233" s="230" t="n">
        <f aca="false">+YEARFRAC(M3233,$S$1)</f>
        <v>126.366666666667</v>
      </c>
      <c r="U3233" s="231" t="n">
        <f aca="false">+$I3233</f>
        <v>0</v>
      </c>
      <c r="V3233" s="232" t="str">
        <f aca="false">+PROPER(F3233)</f>
        <v/>
      </c>
    </row>
    <row r="3234" customFormat="false" ht="14.25" hidden="false" customHeight="false" outlineLevel="0" collapsed="false">
      <c r="B3234" s="244"/>
      <c r="C3234" s="245"/>
      <c r="D3234" s="245"/>
      <c r="E3234" s="246"/>
      <c r="F3234" s="246"/>
      <c r="G3234" s="225" t="e">
        <f aca="false">VLOOKUP(B3234,'NIVEL ENERO'!A:F,4,0)</f>
        <v>#N/A</v>
      </c>
      <c r="H3234" s="247"/>
      <c r="I3234" s="247"/>
      <c r="J3234" s="246"/>
      <c r="K3234" s="246"/>
      <c r="L3234" s="226"/>
      <c r="M3234" s="226"/>
      <c r="N3234" s="246"/>
      <c r="P3234" s="228"/>
      <c r="Q3234" s="245"/>
      <c r="R3234" s="186" t="str">
        <f aca="false">+PROPER(C3234&amp;" "&amp;D3234)</f>
        <v> </v>
      </c>
      <c r="S3234" s="230" t="n">
        <f aca="false">+YEARFRAC(L3234,$S$1)</f>
        <v>126.366666666667</v>
      </c>
      <c r="T3234" s="230" t="n">
        <f aca="false">+YEARFRAC(M3234,$S$1)</f>
        <v>126.366666666667</v>
      </c>
      <c r="U3234" s="231" t="n">
        <f aca="false">+$I3234</f>
        <v>0</v>
      </c>
      <c r="V3234" s="232" t="str">
        <f aca="false">+PROPER(F3234)</f>
        <v/>
      </c>
    </row>
    <row r="3235" customFormat="false" ht="14.25" hidden="false" customHeight="false" outlineLevel="0" collapsed="false">
      <c r="B3235" s="244"/>
      <c r="C3235" s="245"/>
      <c r="D3235" s="245"/>
      <c r="E3235" s="246"/>
      <c r="F3235" s="246"/>
      <c r="G3235" s="225" t="e">
        <f aca="false">VLOOKUP(B3235,'NIVEL ENERO'!A:F,4,0)</f>
        <v>#N/A</v>
      </c>
      <c r="H3235" s="247"/>
      <c r="I3235" s="247"/>
      <c r="J3235" s="246"/>
      <c r="K3235" s="246"/>
      <c r="L3235" s="226"/>
      <c r="M3235" s="226"/>
      <c r="N3235" s="246"/>
      <c r="P3235" s="228"/>
      <c r="Q3235" s="245"/>
      <c r="R3235" s="186" t="str">
        <f aca="false">+PROPER(C3235&amp;" "&amp;D3235)</f>
        <v> </v>
      </c>
      <c r="S3235" s="230" t="n">
        <f aca="false">+YEARFRAC(L3235,$S$1)</f>
        <v>126.366666666667</v>
      </c>
      <c r="T3235" s="230" t="n">
        <f aca="false">+YEARFRAC(M3235,$S$1)</f>
        <v>126.366666666667</v>
      </c>
      <c r="U3235" s="231" t="n">
        <f aca="false">+$I3235</f>
        <v>0</v>
      </c>
      <c r="V3235" s="232" t="str">
        <f aca="false">+PROPER(F3235)</f>
        <v/>
      </c>
    </row>
    <row r="3236" customFormat="false" ht="14.25" hidden="false" customHeight="false" outlineLevel="0" collapsed="false">
      <c r="B3236" s="244"/>
      <c r="C3236" s="245"/>
      <c r="D3236" s="245"/>
      <c r="E3236" s="246"/>
      <c r="F3236" s="246"/>
      <c r="G3236" s="225" t="e">
        <f aca="false">VLOOKUP(B3236,'NIVEL ENERO'!A:F,4,0)</f>
        <v>#N/A</v>
      </c>
      <c r="H3236" s="247"/>
      <c r="I3236" s="247"/>
      <c r="J3236" s="246"/>
      <c r="K3236" s="246"/>
      <c r="L3236" s="226"/>
      <c r="M3236" s="226"/>
      <c r="N3236" s="246"/>
      <c r="P3236" s="228"/>
      <c r="Q3236" s="245"/>
      <c r="R3236" s="186" t="str">
        <f aca="false">+PROPER(C3236&amp;" "&amp;D3236)</f>
        <v> </v>
      </c>
      <c r="S3236" s="230" t="n">
        <f aca="false">+YEARFRAC(L3236,$S$1)</f>
        <v>126.366666666667</v>
      </c>
      <c r="T3236" s="230" t="n">
        <f aca="false">+YEARFRAC(M3236,$S$1)</f>
        <v>126.366666666667</v>
      </c>
      <c r="U3236" s="231" t="n">
        <f aca="false">+$I3236</f>
        <v>0</v>
      </c>
      <c r="V3236" s="232" t="str">
        <f aca="false">+PROPER(F3236)</f>
        <v/>
      </c>
    </row>
    <row r="3237" customFormat="false" ht="14.25" hidden="false" customHeight="false" outlineLevel="0" collapsed="false">
      <c r="B3237" s="244"/>
      <c r="C3237" s="245"/>
      <c r="D3237" s="245"/>
      <c r="E3237" s="246"/>
      <c r="F3237" s="246"/>
      <c r="G3237" s="225" t="e">
        <f aca="false">VLOOKUP(B3237,'NIVEL ENERO'!A:F,4,0)</f>
        <v>#N/A</v>
      </c>
      <c r="H3237" s="247"/>
      <c r="I3237" s="247"/>
      <c r="J3237" s="246"/>
      <c r="K3237" s="246"/>
      <c r="L3237" s="226"/>
      <c r="M3237" s="226"/>
      <c r="N3237" s="246"/>
      <c r="P3237" s="228"/>
      <c r="Q3237" s="245"/>
      <c r="R3237" s="186" t="str">
        <f aca="false">+PROPER(C3237&amp;" "&amp;D3237)</f>
        <v> </v>
      </c>
      <c r="S3237" s="230" t="n">
        <f aca="false">+YEARFRAC(L3237,$S$1)</f>
        <v>126.366666666667</v>
      </c>
      <c r="T3237" s="230" t="n">
        <f aca="false">+YEARFRAC(M3237,$S$1)</f>
        <v>126.366666666667</v>
      </c>
      <c r="U3237" s="231" t="n">
        <f aca="false">+$I3237</f>
        <v>0</v>
      </c>
      <c r="V3237" s="232" t="str">
        <f aca="false">+PROPER(F3237)</f>
        <v/>
      </c>
    </row>
    <row r="3238" customFormat="false" ht="14.25" hidden="false" customHeight="false" outlineLevel="0" collapsed="false">
      <c r="B3238" s="244"/>
      <c r="C3238" s="245"/>
      <c r="D3238" s="245"/>
      <c r="E3238" s="246"/>
      <c r="F3238" s="246"/>
      <c r="G3238" s="225" t="e">
        <f aca="false">VLOOKUP(B3238,'NIVEL ENERO'!A:F,4,0)</f>
        <v>#N/A</v>
      </c>
      <c r="H3238" s="247"/>
      <c r="I3238" s="247"/>
      <c r="J3238" s="246"/>
      <c r="K3238" s="246"/>
      <c r="L3238" s="226"/>
      <c r="M3238" s="226"/>
      <c r="N3238" s="246"/>
      <c r="P3238" s="228"/>
      <c r="Q3238" s="245"/>
      <c r="R3238" s="186" t="str">
        <f aca="false">+PROPER(C3238&amp;" "&amp;D3238)</f>
        <v> </v>
      </c>
      <c r="S3238" s="230" t="n">
        <f aca="false">+YEARFRAC(L3238,$S$1)</f>
        <v>126.366666666667</v>
      </c>
      <c r="T3238" s="230" t="n">
        <f aca="false">+YEARFRAC(M3238,$S$1)</f>
        <v>126.366666666667</v>
      </c>
      <c r="U3238" s="231" t="n">
        <f aca="false">+$I3238</f>
        <v>0</v>
      </c>
      <c r="V3238" s="232" t="str">
        <f aca="false">+PROPER(F3238)</f>
        <v/>
      </c>
    </row>
    <row r="3239" customFormat="false" ht="14.25" hidden="false" customHeight="false" outlineLevel="0" collapsed="false">
      <c r="B3239" s="244"/>
      <c r="C3239" s="245"/>
      <c r="D3239" s="245"/>
      <c r="E3239" s="246"/>
      <c r="F3239" s="246"/>
      <c r="G3239" s="225" t="e">
        <f aca="false">VLOOKUP(B3239,'NIVEL ENERO'!A:F,4,0)</f>
        <v>#N/A</v>
      </c>
      <c r="H3239" s="247"/>
      <c r="I3239" s="247"/>
      <c r="J3239" s="246"/>
      <c r="K3239" s="246"/>
      <c r="L3239" s="226"/>
      <c r="M3239" s="226"/>
      <c r="N3239" s="246"/>
      <c r="P3239" s="228"/>
      <c r="Q3239" s="245"/>
      <c r="R3239" s="186" t="str">
        <f aca="false">+PROPER(C3239&amp;" "&amp;D3239)</f>
        <v> </v>
      </c>
      <c r="S3239" s="230" t="n">
        <f aca="false">+YEARFRAC(L3239,$S$1)</f>
        <v>126.366666666667</v>
      </c>
      <c r="T3239" s="230" t="n">
        <f aca="false">+YEARFRAC(M3239,$S$1)</f>
        <v>126.366666666667</v>
      </c>
      <c r="U3239" s="231" t="n">
        <f aca="false">+$I3239</f>
        <v>0</v>
      </c>
      <c r="V3239" s="232" t="str">
        <f aca="false">+PROPER(F3239)</f>
        <v/>
      </c>
    </row>
    <row r="3240" customFormat="false" ht="14.25" hidden="false" customHeight="false" outlineLevel="0" collapsed="false">
      <c r="B3240" s="244"/>
      <c r="C3240" s="245"/>
      <c r="D3240" s="245"/>
      <c r="E3240" s="246"/>
      <c r="F3240" s="246"/>
      <c r="G3240" s="225" t="e">
        <f aca="false">VLOOKUP(B3240,'NIVEL ENERO'!A:F,4,0)</f>
        <v>#N/A</v>
      </c>
      <c r="H3240" s="247"/>
      <c r="I3240" s="247"/>
      <c r="J3240" s="246"/>
      <c r="K3240" s="246"/>
      <c r="L3240" s="226"/>
      <c r="M3240" s="226"/>
      <c r="N3240" s="246"/>
      <c r="P3240" s="228"/>
      <c r="Q3240" s="245"/>
      <c r="R3240" s="186" t="str">
        <f aca="false">+PROPER(C3240&amp;" "&amp;D3240)</f>
        <v> </v>
      </c>
      <c r="S3240" s="230" t="n">
        <f aca="false">+YEARFRAC(L3240,$S$1)</f>
        <v>126.366666666667</v>
      </c>
      <c r="T3240" s="230" t="n">
        <f aca="false">+YEARFRAC(M3240,$S$1)</f>
        <v>126.366666666667</v>
      </c>
      <c r="U3240" s="231" t="n">
        <f aca="false">+$I3240</f>
        <v>0</v>
      </c>
      <c r="V3240" s="232" t="str">
        <f aca="false">+PROPER(F3240)</f>
        <v/>
      </c>
    </row>
    <row r="3241" customFormat="false" ht="14.25" hidden="false" customHeight="false" outlineLevel="0" collapsed="false">
      <c r="B3241" s="244"/>
      <c r="C3241" s="245"/>
      <c r="D3241" s="245"/>
      <c r="E3241" s="246"/>
      <c r="F3241" s="246"/>
      <c r="G3241" s="225" t="e">
        <f aca="false">VLOOKUP(B3241,'NIVEL ENERO'!A:F,4,0)</f>
        <v>#N/A</v>
      </c>
      <c r="H3241" s="247"/>
      <c r="I3241" s="247"/>
      <c r="J3241" s="246"/>
      <c r="K3241" s="246"/>
      <c r="L3241" s="226"/>
      <c r="M3241" s="226"/>
      <c r="N3241" s="246"/>
      <c r="P3241" s="228"/>
      <c r="Q3241" s="245"/>
      <c r="R3241" s="186" t="str">
        <f aca="false">+PROPER(C3241&amp;" "&amp;D3241)</f>
        <v> </v>
      </c>
      <c r="S3241" s="230" t="n">
        <f aca="false">+YEARFRAC(L3241,$S$1)</f>
        <v>126.366666666667</v>
      </c>
      <c r="T3241" s="230" t="n">
        <f aca="false">+YEARFRAC(M3241,$S$1)</f>
        <v>126.366666666667</v>
      </c>
      <c r="U3241" s="231" t="n">
        <f aca="false">+$I3241</f>
        <v>0</v>
      </c>
      <c r="V3241" s="232" t="str">
        <f aca="false">+PROPER(F3241)</f>
        <v/>
      </c>
    </row>
    <row r="3242" customFormat="false" ht="14.25" hidden="false" customHeight="false" outlineLevel="0" collapsed="false">
      <c r="B3242" s="244"/>
      <c r="C3242" s="245"/>
      <c r="D3242" s="245"/>
      <c r="E3242" s="246"/>
      <c r="F3242" s="246"/>
      <c r="G3242" s="225" t="e">
        <f aca="false">VLOOKUP(B3242,'NIVEL ENERO'!A:F,4,0)</f>
        <v>#N/A</v>
      </c>
      <c r="H3242" s="247"/>
      <c r="I3242" s="247"/>
      <c r="J3242" s="246"/>
      <c r="K3242" s="246"/>
      <c r="L3242" s="226"/>
      <c r="M3242" s="226"/>
      <c r="N3242" s="246"/>
      <c r="P3242" s="228"/>
      <c r="Q3242" s="245"/>
      <c r="R3242" s="186" t="str">
        <f aca="false">+PROPER(C3242&amp;" "&amp;D3242)</f>
        <v> </v>
      </c>
      <c r="S3242" s="230" t="n">
        <f aca="false">+YEARFRAC(L3242,$S$1)</f>
        <v>126.366666666667</v>
      </c>
      <c r="T3242" s="230" t="n">
        <f aca="false">+YEARFRAC(M3242,$S$1)</f>
        <v>126.366666666667</v>
      </c>
      <c r="U3242" s="231" t="n">
        <f aca="false">+$I3242</f>
        <v>0</v>
      </c>
      <c r="V3242" s="232" t="str">
        <f aca="false">+PROPER(F3242)</f>
        <v/>
      </c>
    </row>
    <row r="3243" customFormat="false" ht="14.25" hidden="false" customHeight="false" outlineLevel="0" collapsed="false">
      <c r="B3243" s="244"/>
      <c r="C3243" s="245"/>
      <c r="D3243" s="245"/>
      <c r="E3243" s="246"/>
      <c r="F3243" s="246"/>
      <c r="G3243" s="225" t="e">
        <f aca="false">VLOOKUP(B3243,'NIVEL ENERO'!A:F,4,0)</f>
        <v>#N/A</v>
      </c>
      <c r="H3243" s="247"/>
      <c r="I3243" s="247"/>
      <c r="J3243" s="246"/>
      <c r="K3243" s="246"/>
      <c r="L3243" s="226"/>
      <c r="M3243" s="226"/>
      <c r="N3243" s="246"/>
      <c r="P3243" s="228"/>
      <c r="Q3243" s="245"/>
      <c r="R3243" s="186" t="str">
        <f aca="false">+PROPER(C3243&amp;" "&amp;D3243)</f>
        <v> </v>
      </c>
      <c r="S3243" s="230" t="n">
        <f aca="false">+YEARFRAC(L3243,$S$1)</f>
        <v>126.366666666667</v>
      </c>
      <c r="T3243" s="230" t="n">
        <f aca="false">+YEARFRAC(M3243,$S$1)</f>
        <v>126.366666666667</v>
      </c>
      <c r="U3243" s="231" t="n">
        <f aca="false">+$I3243</f>
        <v>0</v>
      </c>
      <c r="V3243" s="232" t="str">
        <f aca="false">+PROPER(F3243)</f>
        <v/>
      </c>
    </row>
    <row r="3244" customFormat="false" ht="14.25" hidden="false" customHeight="false" outlineLevel="0" collapsed="false">
      <c r="B3244" s="244"/>
      <c r="C3244" s="245"/>
      <c r="D3244" s="245"/>
      <c r="E3244" s="246"/>
      <c r="F3244" s="246"/>
      <c r="G3244" s="225" t="e">
        <f aca="false">VLOOKUP(B3244,'NIVEL ENERO'!A:F,4,0)</f>
        <v>#N/A</v>
      </c>
      <c r="H3244" s="247"/>
      <c r="I3244" s="247"/>
      <c r="J3244" s="246"/>
      <c r="K3244" s="246"/>
      <c r="L3244" s="226"/>
      <c r="M3244" s="226"/>
      <c r="N3244" s="246"/>
      <c r="P3244" s="228"/>
      <c r="Q3244" s="245"/>
      <c r="R3244" s="186" t="str">
        <f aca="false">+PROPER(C3244&amp;" "&amp;D3244)</f>
        <v> </v>
      </c>
      <c r="S3244" s="230" t="n">
        <f aca="false">+YEARFRAC(L3244,$S$1)</f>
        <v>126.366666666667</v>
      </c>
      <c r="T3244" s="230" t="n">
        <f aca="false">+YEARFRAC(M3244,$S$1)</f>
        <v>126.366666666667</v>
      </c>
      <c r="U3244" s="231" t="n">
        <f aca="false">+$I3244</f>
        <v>0</v>
      </c>
      <c r="V3244" s="232" t="str">
        <f aca="false">+PROPER(F3244)</f>
        <v/>
      </c>
    </row>
    <row r="3245" customFormat="false" ht="14.25" hidden="false" customHeight="false" outlineLevel="0" collapsed="false">
      <c r="B3245" s="244"/>
      <c r="C3245" s="245"/>
      <c r="D3245" s="245"/>
      <c r="E3245" s="246"/>
      <c r="F3245" s="246"/>
      <c r="G3245" s="225" t="e">
        <f aca="false">VLOOKUP(B3245,'NIVEL ENERO'!A:F,4,0)</f>
        <v>#N/A</v>
      </c>
      <c r="H3245" s="247"/>
      <c r="I3245" s="247"/>
      <c r="J3245" s="246"/>
      <c r="K3245" s="246"/>
      <c r="L3245" s="226"/>
      <c r="M3245" s="226"/>
      <c r="N3245" s="246"/>
      <c r="P3245" s="228"/>
      <c r="Q3245" s="245"/>
      <c r="R3245" s="186" t="str">
        <f aca="false">+PROPER(C3245&amp;" "&amp;D3245)</f>
        <v> </v>
      </c>
      <c r="S3245" s="230" t="n">
        <f aca="false">+YEARFRAC(L3245,$S$1)</f>
        <v>126.366666666667</v>
      </c>
      <c r="T3245" s="230" t="n">
        <f aca="false">+YEARFRAC(M3245,$S$1)</f>
        <v>126.366666666667</v>
      </c>
      <c r="U3245" s="231" t="n">
        <f aca="false">+$I3245</f>
        <v>0</v>
      </c>
      <c r="V3245" s="232" t="str">
        <f aca="false">+PROPER(F3245)</f>
        <v/>
      </c>
    </row>
    <row r="3246" customFormat="false" ht="14.25" hidden="false" customHeight="false" outlineLevel="0" collapsed="false">
      <c r="B3246" s="244"/>
      <c r="C3246" s="245"/>
      <c r="D3246" s="245"/>
      <c r="E3246" s="246"/>
      <c r="F3246" s="246"/>
      <c r="G3246" s="225" t="e">
        <f aca="false">VLOOKUP(B3246,'NIVEL ENERO'!A:F,4,0)</f>
        <v>#N/A</v>
      </c>
      <c r="H3246" s="247"/>
      <c r="I3246" s="247"/>
      <c r="J3246" s="246"/>
      <c r="K3246" s="246"/>
      <c r="L3246" s="226"/>
      <c r="M3246" s="226"/>
      <c r="N3246" s="246"/>
      <c r="P3246" s="228"/>
      <c r="Q3246" s="245"/>
      <c r="R3246" s="186" t="str">
        <f aca="false">+PROPER(C3246&amp;" "&amp;D3246)</f>
        <v> </v>
      </c>
      <c r="S3246" s="230" t="n">
        <f aca="false">+YEARFRAC(L3246,$S$1)</f>
        <v>126.366666666667</v>
      </c>
      <c r="T3246" s="230" t="n">
        <f aca="false">+YEARFRAC(M3246,$S$1)</f>
        <v>126.366666666667</v>
      </c>
      <c r="U3246" s="231" t="n">
        <f aca="false">+$I3246</f>
        <v>0</v>
      </c>
      <c r="V3246" s="232" t="str">
        <f aca="false">+PROPER(F3246)</f>
        <v/>
      </c>
    </row>
    <row r="3247" customFormat="false" ht="14.25" hidden="false" customHeight="false" outlineLevel="0" collapsed="false">
      <c r="B3247" s="244"/>
      <c r="C3247" s="245"/>
      <c r="D3247" s="245"/>
      <c r="E3247" s="246"/>
      <c r="F3247" s="246"/>
      <c r="G3247" s="225" t="e">
        <f aca="false">VLOOKUP(B3247,'NIVEL ENERO'!A:F,4,0)</f>
        <v>#N/A</v>
      </c>
      <c r="H3247" s="247"/>
      <c r="I3247" s="247"/>
      <c r="J3247" s="246"/>
      <c r="K3247" s="246"/>
      <c r="L3247" s="226"/>
      <c r="M3247" s="226"/>
      <c r="N3247" s="246"/>
      <c r="P3247" s="228"/>
      <c r="Q3247" s="245"/>
      <c r="R3247" s="186" t="str">
        <f aca="false">+PROPER(C3247&amp;" "&amp;D3247)</f>
        <v> </v>
      </c>
      <c r="S3247" s="230" t="n">
        <f aca="false">+YEARFRAC(L3247,$S$1)</f>
        <v>126.366666666667</v>
      </c>
      <c r="T3247" s="230" t="n">
        <f aca="false">+YEARFRAC(M3247,$S$1)</f>
        <v>126.366666666667</v>
      </c>
      <c r="U3247" s="231" t="n">
        <f aca="false">+$I3247</f>
        <v>0</v>
      </c>
      <c r="V3247" s="232" t="str">
        <f aca="false">+PROPER(F3247)</f>
        <v/>
      </c>
    </row>
    <row r="3248" customFormat="false" ht="14.25" hidden="false" customHeight="false" outlineLevel="0" collapsed="false">
      <c r="B3248" s="244"/>
      <c r="C3248" s="245"/>
      <c r="D3248" s="245"/>
      <c r="E3248" s="246"/>
      <c r="F3248" s="246"/>
      <c r="G3248" s="225" t="e">
        <f aca="false">VLOOKUP(B3248,'NIVEL ENERO'!A:F,4,0)</f>
        <v>#N/A</v>
      </c>
      <c r="H3248" s="247"/>
      <c r="I3248" s="247"/>
      <c r="J3248" s="246"/>
      <c r="K3248" s="246"/>
      <c r="L3248" s="226"/>
      <c r="M3248" s="226"/>
      <c r="N3248" s="246"/>
      <c r="P3248" s="228"/>
      <c r="Q3248" s="245"/>
      <c r="R3248" s="186" t="str">
        <f aca="false">+PROPER(C3248&amp;" "&amp;D3248)</f>
        <v> </v>
      </c>
      <c r="S3248" s="230" t="n">
        <f aca="false">+YEARFRAC(L3248,$S$1)</f>
        <v>126.366666666667</v>
      </c>
      <c r="T3248" s="230" t="n">
        <f aca="false">+YEARFRAC(M3248,$S$1)</f>
        <v>126.366666666667</v>
      </c>
      <c r="U3248" s="231" t="n">
        <f aca="false">+$I3248</f>
        <v>0</v>
      </c>
      <c r="V3248" s="232" t="str">
        <f aca="false">+PROPER(F3248)</f>
        <v/>
      </c>
    </row>
    <row r="3249" customFormat="false" ht="14.25" hidden="false" customHeight="false" outlineLevel="0" collapsed="false">
      <c r="B3249" s="244"/>
      <c r="C3249" s="245"/>
      <c r="D3249" s="245"/>
      <c r="E3249" s="246"/>
      <c r="F3249" s="246"/>
      <c r="G3249" s="225" t="e">
        <f aca="false">VLOOKUP(B3249,'NIVEL ENERO'!A:F,4,0)</f>
        <v>#N/A</v>
      </c>
      <c r="H3249" s="247"/>
      <c r="I3249" s="247"/>
      <c r="J3249" s="246"/>
      <c r="K3249" s="246"/>
      <c r="L3249" s="226"/>
      <c r="M3249" s="226"/>
      <c r="N3249" s="246"/>
      <c r="P3249" s="228"/>
      <c r="Q3249" s="245"/>
      <c r="R3249" s="186" t="str">
        <f aca="false">+PROPER(C3249&amp;" "&amp;D3249)</f>
        <v> </v>
      </c>
      <c r="S3249" s="230" t="n">
        <f aca="false">+YEARFRAC(L3249,$S$1)</f>
        <v>126.366666666667</v>
      </c>
      <c r="T3249" s="230" t="n">
        <f aca="false">+YEARFRAC(M3249,$S$1)</f>
        <v>126.366666666667</v>
      </c>
      <c r="U3249" s="231" t="n">
        <f aca="false">+$I3249</f>
        <v>0</v>
      </c>
      <c r="V3249" s="232" t="str">
        <f aca="false">+PROPER(F3249)</f>
        <v/>
      </c>
    </row>
    <row r="3250" customFormat="false" ht="14.25" hidden="false" customHeight="false" outlineLevel="0" collapsed="false">
      <c r="B3250" s="244"/>
      <c r="C3250" s="245"/>
      <c r="D3250" s="245"/>
      <c r="E3250" s="246"/>
      <c r="F3250" s="246"/>
      <c r="G3250" s="225" t="e">
        <f aca="false">VLOOKUP(B3250,'NIVEL ENERO'!A:F,4,0)</f>
        <v>#N/A</v>
      </c>
      <c r="H3250" s="247"/>
      <c r="I3250" s="247"/>
      <c r="J3250" s="246"/>
      <c r="K3250" s="246"/>
      <c r="L3250" s="226"/>
      <c r="M3250" s="226"/>
      <c r="N3250" s="246"/>
      <c r="P3250" s="228"/>
      <c r="Q3250" s="245"/>
      <c r="R3250" s="186" t="str">
        <f aca="false">+PROPER(C3250&amp;" "&amp;D3250)</f>
        <v> </v>
      </c>
      <c r="S3250" s="230" t="n">
        <f aca="false">+YEARFRAC(L3250,$S$1)</f>
        <v>126.366666666667</v>
      </c>
      <c r="T3250" s="230" t="n">
        <f aca="false">+YEARFRAC(M3250,$S$1)</f>
        <v>126.366666666667</v>
      </c>
      <c r="U3250" s="231" t="n">
        <f aca="false">+$I3250</f>
        <v>0</v>
      </c>
      <c r="V3250" s="232" t="str">
        <f aca="false">+PROPER(F3250)</f>
        <v/>
      </c>
    </row>
    <row r="3251" customFormat="false" ht="14.25" hidden="false" customHeight="false" outlineLevel="0" collapsed="false">
      <c r="B3251" s="244"/>
      <c r="C3251" s="245"/>
      <c r="D3251" s="245"/>
      <c r="E3251" s="246"/>
      <c r="F3251" s="246"/>
      <c r="G3251" s="225" t="e">
        <f aca="false">VLOOKUP(B3251,'NIVEL ENERO'!A:F,4,0)</f>
        <v>#N/A</v>
      </c>
      <c r="H3251" s="247"/>
      <c r="I3251" s="247"/>
      <c r="J3251" s="246"/>
      <c r="K3251" s="246"/>
      <c r="L3251" s="226"/>
      <c r="M3251" s="226"/>
      <c r="N3251" s="246"/>
      <c r="P3251" s="228"/>
      <c r="Q3251" s="245"/>
      <c r="R3251" s="186" t="str">
        <f aca="false">+PROPER(C3251&amp;" "&amp;D3251)</f>
        <v> </v>
      </c>
      <c r="S3251" s="230" t="n">
        <f aca="false">+YEARFRAC(L3251,$S$1)</f>
        <v>126.366666666667</v>
      </c>
      <c r="T3251" s="230" t="n">
        <f aca="false">+YEARFRAC(M3251,$S$1)</f>
        <v>126.366666666667</v>
      </c>
      <c r="U3251" s="231" t="n">
        <f aca="false">+$I3251</f>
        <v>0</v>
      </c>
      <c r="V3251" s="232" t="str">
        <f aca="false">+PROPER(F3251)</f>
        <v/>
      </c>
    </row>
    <row r="3252" customFormat="false" ht="14.25" hidden="false" customHeight="false" outlineLevel="0" collapsed="false">
      <c r="B3252" s="244"/>
      <c r="C3252" s="245"/>
      <c r="D3252" s="245"/>
      <c r="E3252" s="246"/>
      <c r="F3252" s="246"/>
      <c r="G3252" s="225" t="e">
        <f aca="false">VLOOKUP(B3252,'NIVEL ENERO'!A:F,4,0)</f>
        <v>#N/A</v>
      </c>
      <c r="H3252" s="247"/>
      <c r="I3252" s="247"/>
      <c r="J3252" s="246"/>
      <c r="K3252" s="246"/>
      <c r="L3252" s="226"/>
      <c r="M3252" s="226"/>
      <c r="N3252" s="246"/>
      <c r="P3252" s="228"/>
      <c r="Q3252" s="245"/>
      <c r="R3252" s="186" t="str">
        <f aca="false">+PROPER(C3252&amp;" "&amp;D3252)</f>
        <v> </v>
      </c>
      <c r="S3252" s="230" t="n">
        <f aca="false">+YEARFRAC(L3252,$S$1)</f>
        <v>126.366666666667</v>
      </c>
      <c r="T3252" s="230" t="n">
        <f aca="false">+YEARFRAC(M3252,$S$1)</f>
        <v>126.366666666667</v>
      </c>
      <c r="U3252" s="231" t="n">
        <f aca="false">+$I3252</f>
        <v>0</v>
      </c>
      <c r="V3252" s="232" t="str">
        <f aca="false">+PROPER(F3252)</f>
        <v/>
      </c>
    </row>
    <row r="3253" customFormat="false" ht="14.25" hidden="false" customHeight="false" outlineLevel="0" collapsed="false">
      <c r="B3253" s="244"/>
      <c r="C3253" s="245"/>
      <c r="D3253" s="245"/>
      <c r="E3253" s="246"/>
      <c r="F3253" s="246"/>
      <c r="G3253" s="225" t="e">
        <f aca="false">VLOOKUP(B3253,'NIVEL ENERO'!A:F,4,0)</f>
        <v>#N/A</v>
      </c>
      <c r="H3253" s="247"/>
      <c r="I3253" s="247"/>
      <c r="J3253" s="246"/>
      <c r="K3253" s="246"/>
      <c r="L3253" s="226"/>
      <c r="M3253" s="226"/>
      <c r="N3253" s="246"/>
      <c r="P3253" s="228"/>
      <c r="Q3253" s="245"/>
      <c r="R3253" s="186" t="str">
        <f aca="false">+PROPER(C3253&amp;" "&amp;D3253)</f>
        <v> </v>
      </c>
      <c r="S3253" s="230" t="n">
        <f aca="false">+YEARFRAC(L3253,$S$1)</f>
        <v>126.366666666667</v>
      </c>
      <c r="T3253" s="230" t="n">
        <f aca="false">+YEARFRAC(M3253,$S$1)</f>
        <v>126.366666666667</v>
      </c>
      <c r="U3253" s="231" t="n">
        <f aca="false">+$I3253</f>
        <v>0</v>
      </c>
      <c r="V3253" s="232" t="str">
        <f aca="false">+PROPER(F3253)</f>
        <v/>
      </c>
    </row>
    <row r="3254" customFormat="false" ht="14.25" hidden="false" customHeight="false" outlineLevel="0" collapsed="false">
      <c r="B3254" s="244"/>
      <c r="C3254" s="245"/>
      <c r="D3254" s="245"/>
      <c r="E3254" s="246"/>
      <c r="F3254" s="246"/>
      <c r="G3254" s="225" t="e">
        <f aca="false">VLOOKUP(B3254,'NIVEL ENERO'!A:F,4,0)</f>
        <v>#N/A</v>
      </c>
      <c r="H3254" s="247"/>
      <c r="I3254" s="247"/>
      <c r="J3254" s="246"/>
      <c r="K3254" s="246"/>
      <c r="L3254" s="226"/>
      <c r="M3254" s="226"/>
      <c r="N3254" s="246"/>
      <c r="P3254" s="228"/>
      <c r="Q3254" s="245"/>
      <c r="R3254" s="186" t="str">
        <f aca="false">+PROPER(C3254&amp;" "&amp;D3254)</f>
        <v> </v>
      </c>
      <c r="S3254" s="230" t="n">
        <f aca="false">+YEARFRAC(L3254,$S$1)</f>
        <v>126.366666666667</v>
      </c>
      <c r="T3254" s="230" t="n">
        <f aca="false">+YEARFRAC(M3254,$S$1)</f>
        <v>126.366666666667</v>
      </c>
      <c r="U3254" s="231" t="n">
        <f aca="false">+$I3254</f>
        <v>0</v>
      </c>
      <c r="V3254" s="232" t="str">
        <f aca="false">+PROPER(F3254)</f>
        <v/>
      </c>
    </row>
    <row r="3255" customFormat="false" ht="14.25" hidden="false" customHeight="false" outlineLevel="0" collapsed="false">
      <c r="B3255" s="244"/>
      <c r="C3255" s="245"/>
      <c r="D3255" s="245"/>
      <c r="E3255" s="246"/>
      <c r="F3255" s="246"/>
      <c r="G3255" s="225" t="e">
        <f aca="false">VLOOKUP(B3255,'NIVEL ENERO'!A:F,4,0)</f>
        <v>#N/A</v>
      </c>
      <c r="H3255" s="247"/>
      <c r="I3255" s="247"/>
      <c r="J3255" s="246"/>
      <c r="K3255" s="246"/>
      <c r="L3255" s="226"/>
      <c r="M3255" s="226"/>
      <c r="N3255" s="246"/>
      <c r="P3255" s="228"/>
      <c r="Q3255" s="245"/>
      <c r="R3255" s="186" t="str">
        <f aca="false">+PROPER(C3255&amp;" "&amp;D3255)</f>
        <v> </v>
      </c>
      <c r="S3255" s="230" t="n">
        <f aca="false">+YEARFRAC(L3255,$S$1)</f>
        <v>126.366666666667</v>
      </c>
      <c r="T3255" s="230" t="n">
        <f aca="false">+YEARFRAC(M3255,$S$1)</f>
        <v>126.366666666667</v>
      </c>
      <c r="U3255" s="231" t="n">
        <f aca="false">+$I3255</f>
        <v>0</v>
      </c>
      <c r="V3255" s="232" t="str">
        <f aca="false">+PROPER(F3255)</f>
        <v/>
      </c>
    </row>
    <row r="3256" customFormat="false" ht="14.25" hidden="false" customHeight="false" outlineLevel="0" collapsed="false">
      <c r="B3256" s="244"/>
      <c r="C3256" s="245"/>
      <c r="D3256" s="245"/>
      <c r="E3256" s="246"/>
      <c r="F3256" s="246"/>
      <c r="G3256" s="225" t="e">
        <f aca="false">VLOOKUP(B3256,'NIVEL ENERO'!A:F,4,0)</f>
        <v>#N/A</v>
      </c>
      <c r="H3256" s="247"/>
      <c r="I3256" s="247"/>
      <c r="J3256" s="246"/>
      <c r="K3256" s="246"/>
      <c r="L3256" s="226"/>
      <c r="M3256" s="226"/>
      <c r="N3256" s="246"/>
      <c r="P3256" s="228"/>
      <c r="Q3256" s="245"/>
      <c r="R3256" s="186" t="str">
        <f aca="false">+PROPER(C3256&amp;" "&amp;D3256)</f>
        <v> </v>
      </c>
      <c r="S3256" s="230" t="n">
        <f aca="false">+YEARFRAC(L3256,$S$1)</f>
        <v>126.366666666667</v>
      </c>
      <c r="T3256" s="230" t="n">
        <f aca="false">+YEARFRAC(M3256,$S$1)</f>
        <v>126.366666666667</v>
      </c>
      <c r="U3256" s="231" t="n">
        <f aca="false">+$I3256</f>
        <v>0</v>
      </c>
      <c r="V3256" s="232" t="str">
        <f aca="false">+PROPER(F3256)</f>
        <v/>
      </c>
    </row>
    <row r="3257" customFormat="false" ht="14.25" hidden="false" customHeight="false" outlineLevel="0" collapsed="false">
      <c r="B3257" s="244"/>
      <c r="C3257" s="245"/>
      <c r="D3257" s="245"/>
      <c r="E3257" s="246"/>
      <c r="F3257" s="246"/>
      <c r="G3257" s="225" t="e">
        <f aca="false">VLOOKUP(B3257,'NIVEL ENERO'!A:F,4,0)</f>
        <v>#N/A</v>
      </c>
      <c r="H3257" s="247"/>
      <c r="I3257" s="247"/>
      <c r="J3257" s="246"/>
      <c r="K3257" s="246"/>
      <c r="L3257" s="226"/>
      <c r="M3257" s="226"/>
      <c r="N3257" s="246"/>
      <c r="P3257" s="228"/>
      <c r="Q3257" s="245"/>
      <c r="R3257" s="186" t="str">
        <f aca="false">+PROPER(C3257&amp;" "&amp;D3257)</f>
        <v> </v>
      </c>
      <c r="S3257" s="230" t="n">
        <f aca="false">+YEARFRAC(L3257,$S$1)</f>
        <v>126.366666666667</v>
      </c>
      <c r="T3257" s="230" t="n">
        <f aca="false">+YEARFRAC(M3257,$S$1)</f>
        <v>126.366666666667</v>
      </c>
      <c r="U3257" s="231" t="n">
        <f aca="false">+$I3257</f>
        <v>0</v>
      </c>
      <c r="V3257" s="232" t="str">
        <f aca="false">+PROPER(F3257)</f>
        <v/>
      </c>
    </row>
    <row r="3258" customFormat="false" ht="14.25" hidden="false" customHeight="false" outlineLevel="0" collapsed="false">
      <c r="B3258" s="244"/>
      <c r="C3258" s="245"/>
      <c r="D3258" s="245"/>
      <c r="E3258" s="246"/>
      <c r="F3258" s="246"/>
      <c r="G3258" s="225" t="e">
        <f aca="false">VLOOKUP(B3258,'NIVEL ENERO'!A:F,4,0)</f>
        <v>#N/A</v>
      </c>
      <c r="H3258" s="247"/>
      <c r="I3258" s="247"/>
      <c r="J3258" s="246"/>
      <c r="K3258" s="246"/>
      <c r="L3258" s="226"/>
      <c r="M3258" s="226"/>
      <c r="N3258" s="246"/>
      <c r="P3258" s="228"/>
      <c r="Q3258" s="245"/>
      <c r="R3258" s="186" t="str">
        <f aca="false">+PROPER(C3258&amp;" "&amp;D3258)</f>
        <v> </v>
      </c>
      <c r="S3258" s="230" t="n">
        <f aca="false">+YEARFRAC(L3258,$S$1)</f>
        <v>126.366666666667</v>
      </c>
      <c r="T3258" s="230" t="n">
        <f aca="false">+YEARFRAC(M3258,$S$1)</f>
        <v>126.366666666667</v>
      </c>
      <c r="U3258" s="231" t="n">
        <f aca="false">+$I3258</f>
        <v>0</v>
      </c>
      <c r="V3258" s="232" t="str">
        <f aca="false">+PROPER(F3258)</f>
        <v/>
      </c>
    </row>
    <row r="3259" customFormat="false" ht="14.25" hidden="false" customHeight="false" outlineLevel="0" collapsed="false">
      <c r="B3259" s="244"/>
      <c r="C3259" s="245"/>
      <c r="D3259" s="245"/>
      <c r="E3259" s="246"/>
      <c r="F3259" s="246"/>
      <c r="G3259" s="225" t="e">
        <f aca="false">VLOOKUP(B3259,'NIVEL ENERO'!A:F,4,0)</f>
        <v>#N/A</v>
      </c>
      <c r="H3259" s="247"/>
      <c r="I3259" s="247"/>
      <c r="J3259" s="246"/>
      <c r="K3259" s="246"/>
      <c r="L3259" s="226"/>
      <c r="M3259" s="226"/>
      <c r="N3259" s="246"/>
      <c r="P3259" s="228"/>
      <c r="Q3259" s="245"/>
      <c r="R3259" s="186" t="str">
        <f aca="false">+PROPER(C3259&amp;" "&amp;D3259)</f>
        <v> </v>
      </c>
      <c r="S3259" s="230" t="n">
        <f aca="false">+YEARFRAC(L3259,$S$1)</f>
        <v>126.366666666667</v>
      </c>
      <c r="T3259" s="230" t="n">
        <f aca="false">+YEARFRAC(M3259,$S$1)</f>
        <v>126.366666666667</v>
      </c>
      <c r="U3259" s="231" t="n">
        <f aca="false">+$I3259</f>
        <v>0</v>
      </c>
      <c r="V3259" s="232" t="str">
        <f aca="false">+PROPER(F3259)</f>
        <v/>
      </c>
    </row>
    <row r="3260" customFormat="false" ht="14.25" hidden="false" customHeight="false" outlineLevel="0" collapsed="false">
      <c r="B3260" s="244"/>
      <c r="C3260" s="245"/>
      <c r="D3260" s="245"/>
      <c r="E3260" s="246"/>
      <c r="F3260" s="246"/>
      <c r="G3260" s="225" t="e">
        <f aca="false">VLOOKUP(B3260,'NIVEL ENERO'!A:F,4,0)</f>
        <v>#N/A</v>
      </c>
      <c r="H3260" s="247"/>
      <c r="I3260" s="247"/>
      <c r="J3260" s="246"/>
      <c r="K3260" s="246"/>
      <c r="L3260" s="226"/>
      <c r="M3260" s="226"/>
      <c r="N3260" s="246"/>
      <c r="P3260" s="228"/>
      <c r="Q3260" s="245"/>
      <c r="R3260" s="186" t="str">
        <f aca="false">+PROPER(C3260&amp;" "&amp;D3260)</f>
        <v> </v>
      </c>
      <c r="S3260" s="230" t="n">
        <f aca="false">+YEARFRAC(L3260,$S$1)</f>
        <v>126.366666666667</v>
      </c>
      <c r="T3260" s="230" t="n">
        <f aca="false">+YEARFRAC(M3260,$S$1)</f>
        <v>126.366666666667</v>
      </c>
      <c r="U3260" s="231" t="n">
        <f aca="false">+$I3260</f>
        <v>0</v>
      </c>
      <c r="V3260" s="232" t="str">
        <f aca="false">+PROPER(F3260)</f>
        <v/>
      </c>
    </row>
    <row r="3261" customFormat="false" ht="14.25" hidden="false" customHeight="false" outlineLevel="0" collapsed="false">
      <c r="B3261" s="244"/>
      <c r="C3261" s="245"/>
      <c r="D3261" s="245"/>
      <c r="E3261" s="246"/>
      <c r="F3261" s="246"/>
      <c r="G3261" s="225" t="e">
        <f aca="false">VLOOKUP(B3261,'NIVEL ENERO'!A:F,4,0)</f>
        <v>#N/A</v>
      </c>
      <c r="H3261" s="247"/>
      <c r="I3261" s="247"/>
      <c r="J3261" s="246"/>
      <c r="K3261" s="246"/>
      <c r="L3261" s="226"/>
      <c r="M3261" s="226"/>
      <c r="N3261" s="246"/>
      <c r="P3261" s="228"/>
      <c r="Q3261" s="245"/>
      <c r="R3261" s="186" t="str">
        <f aca="false">+PROPER(C3261&amp;" "&amp;D3261)</f>
        <v> </v>
      </c>
      <c r="S3261" s="230" t="n">
        <f aca="false">+YEARFRAC(L3261,$S$1)</f>
        <v>126.366666666667</v>
      </c>
      <c r="T3261" s="230" t="n">
        <f aca="false">+YEARFRAC(M3261,$S$1)</f>
        <v>126.366666666667</v>
      </c>
      <c r="U3261" s="231" t="n">
        <f aca="false">+$I3261</f>
        <v>0</v>
      </c>
      <c r="V3261" s="232" t="str">
        <f aca="false">+PROPER(F3261)</f>
        <v/>
      </c>
    </row>
    <row r="3262" customFormat="false" ht="14.25" hidden="false" customHeight="false" outlineLevel="0" collapsed="false">
      <c r="B3262" s="244"/>
      <c r="C3262" s="245"/>
      <c r="D3262" s="245"/>
      <c r="E3262" s="246"/>
      <c r="F3262" s="246"/>
      <c r="G3262" s="225" t="e">
        <f aca="false">VLOOKUP(B3262,'NIVEL ENERO'!A:F,4,0)</f>
        <v>#N/A</v>
      </c>
      <c r="H3262" s="247"/>
      <c r="I3262" s="247"/>
      <c r="J3262" s="246"/>
      <c r="K3262" s="246"/>
      <c r="L3262" s="226"/>
      <c r="M3262" s="226"/>
      <c r="N3262" s="246"/>
      <c r="P3262" s="228"/>
      <c r="Q3262" s="245"/>
      <c r="R3262" s="186" t="str">
        <f aca="false">+PROPER(C3262&amp;" "&amp;D3262)</f>
        <v> </v>
      </c>
      <c r="S3262" s="230" t="n">
        <f aca="false">+YEARFRAC(L3262,$S$1)</f>
        <v>126.366666666667</v>
      </c>
      <c r="T3262" s="230" t="n">
        <f aca="false">+YEARFRAC(M3262,$S$1)</f>
        <v>126.366666666667</v>
      </c>
      <c r="U3262" s="231" t="n">
        <f aca="false">+$I3262</f>
        <v>0</v>
      </c>
      <c r="V3262" s="232" t="str">
        <f aca="false">+PROPER(F3262)</f>
        <v/>
      </c>
    </row>
    <row r="3263" customFormat="false" ht="14.25" hidden="false" customHeight="false" outlineLevel="0" collapsed="false">
      <c r="B3263" s="244"/>
      <c r="C3263" s="245"/>
      <c r="D3263" s="245"/>
      <c r="E3263" s="246"/>
      <c r="F3263" s="246"/>
      <c r="G3263" s="225" t="e">
        <f aca="false">VLOOKUP(B3263,'NIVEL ENERO'!A:F,4,0)</f>
        <v>#N/A</v>
      </c>
      <c r="H3263" s="247"/>
      <c r="I3263" s="247"/>
      <c r="J3263" s="246"/>
      <c r="K3263" s="246"/>
      <c r="L3263" s="226"/>
      <c r="M3263" s="226"/>
      <c r="N3263" s="246"/>
      <c r="P3263" s="228"/>
      <c r="Q3263" s="245"/>
      <c r="R3263" s="186" t="str">
        <f aca="false">+PROPER(C3263&amp;" "&amp;D3263)</f>
        <v> </v>
      </c>
      <c r="S3263" s="230" t="n">
        <f aca="false">+YEARFRAC(L3263,$S$1)</f>
        <v>126.366666666667</v>
      </c>
      <c r="T3263" s="230" t="n">
        <f aca="false">+YEARFRAC(M3263,$S$1)</f>
        <v>126.366666666667</v>
      </c>
      <c r="U3263" s="231" t="n">
        <f aca="false">+$I3263</f>
        <v>0</v>
      </c>
      <c r="V3263" s="232" t="str">
        <f aca="false">+PROPER(F3263)</f>
        <v/>
      </c>
    </row>
    <row r="3264" customFormat="false" ht="14.25" hidden="false" customHeight="false" outlineLevel="0" collapsed="false">
      <c r="B3264" s="244"/>
      <c r="C3264" s="245"/>
      <c r="D3264" s="245"/>
      <c r="E3264" s="246"/>
      <c r="F3264" s="246"/>
      <c r="G3264" s="225" t="e">
        <f aca="false">VLOOKUP(B3264,'NIVEL ENERO'!A:F,4,0)</f>
        <v>#N/A</v>
      </c>
      <c r="H3264" s="247"/>
      <c r="I3264" s="247"/>
      <c r="J3264" s="246"/>
      <c r="K3264" s="246"/>
      <c r="L3264" s="226"/>
      <c r="M3264" s="226"/>
      <c r="N3264" s="246"/>
      <c r="P3264" s="228"/>
      <c r="Q3264" s="245"/>
      <c r="R3264" s="186" t="str">
        <f aca="false">+PROPER(C3264&amp;" "&amp;D3264)</f>
        <v> </v>
      </c>
      <c r="S3264" s="230" t="n">
        <f aca="false">+YEARFRAC(L3264,$S$1)</f>
        <v>126.366666666667</v>
      </c>
      <c r="T3264" s="230" t="n">
        <f aca="false">+YEARFRAC(M3264,$S$1)</f>
        <v>126.366666666667</v>
      </c>
      <c r="U3264" s="231" t="n">
        <f aca="false">+$I3264</f>
        <v>0</v>
      </c>
      <c r="V3264" s="232" t="str">
        <f aca="false">+PROPER(F3264)</f>
        <v/>
      </c>
    </row>
    <row r="3265" customFormat="false" ht="14.25" hidden="false" customHeight="false" outlineLevel="0" collapsed="false">
      <c r="B3265" s="244"/>
      <c r="C3265" s="245"/>
      <c r="D3265" s="245"/>
      <c r="E3265" s="246"/>
      <c r="F3265" s="246"/>
      <c r="G3265" s="225" t="e">
        <f aca="false">VLOOKUP(B3265,'NIVEL ENERO'!A:F,4,0)</f>
        <v>#N/A</v>
      </c>
      <c r="H3265" s="247"/>
      <c r="I3265" s="247"/>
      <c r="J3265" s="246"/>
      <c r="K3265" s="246"/>
      <c r="L3265" s="226"/>
      <c r="M3265" s="226"/>
      <c r="N3265" s="246"/>
      <c r="P3265" s="228"/>
      <c r="Q3265" s="245"/>
      <c r="R3265" s="186" t="str">
        <f aca="false">+PROPER(C3265&amp;" "&amp;D3265)</f>
        <v> </v>
      </c>
      <c r="S3265" s="230" t="n">
        <f aca="false">+YEARFRAC(L3265,$S$1)</f>
        <v>126.366666666667</v>
      </c>
      <c r="T3265" s="230" t="n">
        <f aca="false">+YEARFRAC(M3265,$S$1)</f>
        <v>126.366666666667</v>
      </c>
      <c r="U3265" s="231" t="n">
        <f aca="false">+$I3265</f>
        <v>0</v>
      </c>
      <c r="V3265" s="232" t="str">
        <f aca="false">+PROPER(F3265)</f>
        <v/>
      </c>
    </row>
    <row r="3266" customFormat="false" ht="14.25" hidden="false" customHeight="false" outlineLevel="0" collapsed="false">
      <c r="B3266" s="244"/>
      <c r="C3266" s="245"/>
      <c r="D3266" s="245"/>
      <c r="E3266" s="246"/>
      <c r="F3266" s="246"/>
      <c r="G3266" s="225" t="e">
        <f aca="false">VLOOKUP(B3266,'NIVEL ENERO'!A:F,4,0)</f>
        <v>#N/A</v>
      </c>
      <c r="H3266" s="247"/>
      <c r="I3266" s="247"/>
      <c r="J3266" s="246"/>
      <c r="K3266" s="246"/>
      <c r="L3266" s="226"/>
      <c r="M3266" s="226"/>
      <c r="N3266" s="246"/>
      <c r="P3266" s="228"/>
      <c r="Q3266" s="245"/>
      <c r="R3266" s="186" t="str">
        <f aca="false">+PROPER(C3266&amp;" "&amp;D3266)</f>
        <v> </v>
      </c>
      <c r="S3266" s="230" t="n">
        <f aca="false">+YEARFRAC(L3266,$S$1)</f>
        <v>126.366666666667</v>
      </c>
      <c r="T3266" s="230" t="n">
        <f aca="false">+YEARFRAC(M3266,$S$1)</f>
        <v>126.366666666667</v>
      </c>
      <c r="U3266" s="231" t="n">
        <f aca="false">+$I3266</f>
        <v>0</v>
      </c>
      <c r="V3266" s="232" t="str">
        <f aca="false">+PROPER(F3266)</f>
        <v/>
      </c>
    </row>
    <row r="3267" customFormat="false" ht="14.25" hidden="false" customHeight="false" outlineLevel="0" collapsed="false">
      <c r="B3267" s="244"/>
      <c r="C3267" s="245"/>
      <c r="D3267" s="245"/>
      <c r="E3267" s="246"/>
      <c r="F3267" s="246"/>
      <c r="G3267" s="225" t="e">
        <f aca="false">VLOOKUP(B3267,'NIVEL ENERO'!A:F,4,0)</f>
        <v>#N/A</v>
      </c>
      <c r="H3267" s="247"/>
      <c r="I3267" s="247"/>
      <c r="J3267" s="246"/>
      <c r="K3267" s="246"/>
      <c r="L3267" s="226"/>
      <c r="M3267" s="226"/>
      <c r="N3267" s="246"/>
      <c r="P3267" s="228"/>
      <c r="Q3267" s="245"/>
      <c r="R3267" s="186" t="str">
        <f aca="false">+PROPER(C3267&amp;" "&amp;D3267)</f>
        <v> </v>
      </c>
      <c r="S3267" s="230" t="n">
        <f aca="false">+YEARFRAC(L3267,$S$1)</f>
        <v>126.366666666667</v>
      </c>
      <c r="T3267" s="230" t="n">
        <f aca="false">+YEARFRAC(M3267,$S$1)</f>
        <v>126.366666666667</v>
      </c>
      <c r="U3267" s="231" t="n">
        <f aca="false">+$I3267</f>
        <v>0</v>
      </c>
      <c r="V3267" s="232" t="str">
        <f aca="false">+PROPER(F3267)</f>
        <v/>
      </c>
    </row>
    <row r="3268" customFormat="false" ht="14.25" hidden="false" customHeight="false" outlineLevel="0" collapsed="false">
      <c r="B3268" s="244"/>
      <c r="C3268" s="245"/>
      <c r="D3268" s="245"/>
      <c r="E3268" s="246"/>
      <c r="F3268" s="246"/>
      <c r="G3268" s="225" t="e">
        <f aca="false">VLOOKUP(B3268,'NIVEL ENERO'!A:F,4,0)</f>
        <v>#N/A</v>
      </c>
      <c r="H3268" s="247"/>
      <c r="I3268" s="247"/>
      <c r="J3268" s="246"/>
      <c r="K3268" s="246"/>
      <c r="L3268" s="226"/>
      <c r="M3268" s="226"/>
      <c r="N3268" s="246"/>
      <c r="P3268" s="228"/>
      <c r="Q3268" s="245"/>
      <c r="R3268" s="186" t="str">
        <f aca="false">+PROPER(C3268&amp;" "&amp;D3268)</f>
        <v> </v>
      </c>
      <c r="S3268" s="230" t="n">
        <f aca="false">+YEARFRAC(L3268,$S$1)</f>
        <v>126.366666666667</v>
      </c>
      <c r="T3268" s="230" t="n">
        <f aca="false">+YEARFRAC(M3268,$S$1)</f>
        <v>126.366666666667</v>
      </c>
      <c r="U3268" s="231" t="n">
        <f aca="false">+$I3268</f>
        <v>0</v>
      </c>
      <c r="V3268" s="232" t="str">
        <f aca="false">+PROPER(F3268)</f>
        <v/>
      </c>
    </row>
    <row r="3269" customFormat="false" ht="14.25" hidden="false" customHeight="false" outlineLevel="0" collapsed="false">
      <c r="B3269" s="244"/>
      <c r="C3269" s="245"/>
      <c r="D3269" s="245"/>
      <c r="E3269" s="246"/>
      <c r="F3269" s="246"/>
      <c r="G3269" s="225" t="e">
        <f aca="false">VLOOKUP(B3269,'NIVEL ENERO'!A:F,4,0)</f>
        <v>#N/A</v>
      </c>
      <c r="H3269" s="247"/>
      <c r="I3269" s="247"/>
      <c r="J3269" s="246"/>
      <c r="K3269" s="246"/>
      <c r="L3269" s="226"/>
      <c r="M3269" s="226"/>
      <c r="N3269" s="246"/>
      <c r="P3269" s="228"/>
      <c r="Q3269" s="245"/>
      <c r="R3269" s="186" t="str">
        <f aca="false">+PROPER(C3269&amp;" "&amp;D3269)</f>
        <v> </v>
      </c>
      <c r="S3269" s="230" t="n">
        <f aca="false">+YEARFRAC(L3269,$S$1)</f>
        <v>126.366666666667</v>
      </c>
      <c r="T3269" s="230" t="n">
        <f aca="false">+YEARFRAC(M3269,$S$1)</f>
        <v>126.366666666667</v>
      </c>
      <c r="U3269" s="231" t="n">
        <f aca="false">+$I3269</f>
        <v>0</v>
      </c>
      <c r="V3269" s="232" t="str">
        <f aca="false">+PROPER(F3269)</f>
        <v/>
      </c>
    </row>
    <row r="3270" customFormat="false" ht="14.25" hidden="false" customHeight="false" outlineLevel="0" collapsed="false">
      <c r="B3270" s="244"/>
      <c r="C3270" s="245"/>
      <c r="D3270" s="245"/>
      <c r="E3270" s="246"/>
      <c r="F3270" s="246"/>
      <c r="G3270" s="225" t="e">
        <f aca="false">VLOOKUP(B3270,'NIVEL ENERO'!A:F,4,0)</f>
        <v>#N/A</v>
      </c>
      <c r="H3270" s="247"/>
      <c r="I3270" s="247"/>
      <c r="J3270" s="246"/>
      <c r="K3270" s="246"/>
      <c r="L3270" s="226"/>
      <c r="M3270" s="226"/>
      <c r="N3270" s="246"/>
      <c r="P3270" s="228"/>
      <c r="Q3270" s="245"/>
      <c r="R3270" s="186" t="str">
        <f aca="false">+PROPER(C3270&amp;" "&amp;D3270)</f>
        <v> </v>
      </c>
      <c r="S3270" s="230" t="n">
        <f aca="false">+YEARFRAC(L3270,$S$1)</f>
        <v>126.366666666667</v>
      </c>
      <c r="T3270" s="230" t="n">
        <f aca="false">+YEARFRAC(M3270,$S$1)</f>
        <v>126.366666666667</v>
      </c>
      <c r="U3270" s="231" t="n">
        <f aca="false">+$I3270</f>
        <v>0</v>
      </c>
      <c r="V3270" s="232" t="str">
        <f aca="false">+PROPER(F3270)</f>
        <v/>
      </c>
    </row>
    <row r="3271" customFormat="false" ht="14.25" hidden="false" customHeight="false" outlineLevel="0" collapsed="false">
      <c r="B3271" s="244"/>
      <c r="C3271" s="245"/>
      <c r="D3271" s="245"/>
      <c r="E3271" s="246"/>
      <c r="F3271" s="246"/>
      <c r="G3271" s="225" t="e">
        <f aca="false">VLOOKUP(B3271,'NIVEL ENERO'!A:F,4,0)</f>
        <v>#N/A</v>
      </c>
      <c r="H3271" s="247"/>
      <c r="I3271" s="247"/>
      <c r="J3271" s="246"/>
      <c r="K3271" s="246"/>
      <c r="L3271" s="226"/>
      <c r="M3271" s="226"/>
      <c r="N3271" s="246"/>
      <c r="P3271" s="228"/>
      <c r="Q3271" s="245"/>
      <c r="R3271" s="186" t="str">
        <f aca="false">+PROPER(C3271&amp;" "&amp;D3271)</f>
        <v> </v>
      </c>
      <c r="S3271" s="230" t="n">
        <f aca="false">+YEARFRAC(L3271,$S$1)</f>
        <v>126.366666666667</v>
      </c>
      <c r="T3271" s="230" t="n">
        <f aca="false">+YEARFRAC(M3271,$S$1)</f>
        <v>126.366666666667</v>
      </c>
      <c r="U3271" s="231" t="n">
        <f aca="false">+$I3271</f>
        <v>0</v>
      </c>
      <c r="V3271" s="232" t="str">
        <f aca="false">+PROPER(F3271)</f>
        <v/>
      </c>
    </row>
    <row r="3272" customFormat="false" ht="14.25" hidden="false" customHeight="false" outlineLevel="0" collapsed="false">
      <c r="B3272" s="244"/>
      <c r="C3272" s="245"/>
      <c r="D3272" s="245"/>
      <c r="E3272" s="246"/>
      <c r="F3272" s="246"/>
      <c r="G3272" s="225" t="e">
        <f aca="false">VLOOKUP(B3272,'NIVEL ENERO'!A:F,4,0)</f>
        <v>#N/A</v>
      </c>
      <c r="H3272" s="247"/>
      <c r="I3272" s="247"/>
      <c r="J3272" s="246"/>
      <c r="K3272" s="246"/>
      <c r="L3272" s="226"/>
      <c r="M3272" s="226"/>
      <c r="N3272" s="246"/>
      <c r="P3272" s="228"/>
      <c r="Q3272" s="245"/>
      <c r="R3272" s="186" t="str">
        <f aca="false">+PROPER(C3272&amp;" "&amp;D3272)</f>
        <v> </v>
      </c>
      <c r="S3272" s="230" t="n">
        <f aca="false">+YEARFRAC(L3272,$S$1)</f>
        <v>126.366666666667</v>
      </c>
      <c r="T3272" s="230" t="n">
        <f aca="false">+YEARFRAC(M3272,$S$1)</f>
        <v>126.366666666667</v>
      </c>
      <c r="U3272" s="231" t="n">
        <f aca="false">+$I3272</f>
        <v>0</v>
      </c>
      <c r="V3272" s="232" t="str">
        <f aca="false">+PROPER(F3272)</f>
        <v/>
      </c>
    </row>
    <row r="3273" customFormat="false" ht="14.25" hidden="false" customHeight="false" outlineLevel="0" collapsed="false">
      <c r="B3273" s="244"/>
      <c r="C3273" s="245"/>
      <c r="D3273" s="245"/>
      <c r="E3273" s="246"/>
      <c r="F3273" s="246"/>
      <c r="G3273" s="225" t="e">
        <f aca="false">VLOOKUP(B3273,'NIVEL ENERO'!A:F,4,0)</f>
        <v>#N/A</v>
      </c>
      <c r="H3273" s="247"/>
      <c r="I3273" s="247"/>
      <c r="J3273" s="246"/>
      <c r="K3273" s="246"/>
      <c r="L3273" s="226"/>
      <c r="M3273" s="226"/>
      <c r="N3273" s="246"/>
      <c r="P3273" s="228"/>
      <c r="Q3273" s="245"/>
      <c r="R3273" s="186" t="str">
        <f aca="false">+PROPER(C3273&amp;" "&amp;D3273)</f>
        <v> </v>
      </c>
      <c r="S3273" s="230" t="n">
        <f aca="false">+YEARFRAC(L3273,$S$1)</f>
        <v>126.366666666667</v>
      </c>
      <c r="T3273" s="230" t="n">
        <f aca="false">+YEARFRAC(M3273,$S$1)</f>
        <v>126.366666666667</v>
      </c>
      <c r="U3273" s="231" t="n">
        <f aca="false">+$I3273</f>
        <v>0</v>
      </c>
      <c r="V3273" s="232" t="str">
        <f aca="false">+PROPER(F3273)</f>
        <v/>
      </c>
    </row>
    <row r="3274" customFormat="false" ht="14.25" hidden="false" customHeight="false" outlineLevel="0" collapsed="false">
      <c r="B3274" s="244"/>
      <c r="C3274" s="245"/>
      <c r="D3274" s="245"/>
      <c r="E3274" s="246"/>
      <c r="F3274" s="246"/>
      <c r="G3274" s="225" t="e">
        <f aca="false">VLOOKUP(B3274,'NIVEL ENERO'!A:F,4,0)</f>
        <v>#N/A</v>
      </c>
      <c r="H3274" s="247"/>
      <c r="I3274" s="247"/>
      <c r="J3274" s="246"/>
      <c r="K3274" s="246"/>
      <c r="L3274" s="226"/>
      <c r="M3274" s="226"/>
      <c r="N3274" s="246"/>
      <c r="P3274" s="228"/>
      <c r="Q3274" s="245"/>
      <c r="R3274" s="186" t="str">
        <f aca="false">+PROPER(C3274&amp;" "&amp;D3274)</f>
        <v> </v>
      </c>
      <c r="S3274" s="230" t="n">
        <f aca="false">+YEARFRAC(L3274,$S$1)</f>
        <v>126.366666666667</v>
      </c>
      <c r="T3274" s="230" t="n">
        <f aca="false">+YEARFRAC(M3274,$S$1)</f>
        <v>126.366666666667</v>
      </c>
      <c r="U3274" s="231" t="n">
        <f aca="false">+$I3274</f>
        <v>0</v>
      </c>
      <c r="V3274" s="232" t="str">
        <f aca="false">+PROPER(F3274)</f>
        <v/>
      </c>
    </row>
    <row r="3275" customFormat="false" ht="14.25" hidden="false" customHeight="false" outlineLevel="0" collapsed="false">
      <c r="B3275" s="244"/>
      <c r="C3275" s="245"/>
      <c r="D3275" s="245"/>
      <c r="E3275" s="246"/>
      <c r="F3275" s="246"/>
      <c r="G3275" s="225" t="e">
        <f aca="false">VLOOKUP(B3275,'NIVEL ENERO'!A:F,4,0)</f>
        <v>#N/A</v>
      </c>
      <c r="H3275" s="247"/>
      <c r="I3275" s="247"/>
      <c r="J3275" s="246"/>
      <c r="K3275" s="246"/>
      <c r="L3275" s="226"/>
      <c r="M3275" s="226"/>
      <c r="N3275" s="246"/>
      <c r="P3275" s="228"/>
      <c r="Q3275" s="245"/>
      <c r="R3275" s="186" t="str">
        <f aca="false">+PROPER(C3275&amp;" "&amp;D3275)</f>
        <v> </v>
      </c>
      <c r="S3275" s="230" t="n">
        <f aca="false">+YEARFRAC(L3275,$S$1)</f>
        <v>126.366666666667</v>
      </c>
      <c r="T3275" s="230" t="n">
        <f aca="false">+YEARFRAC(M3275,$S$1)</f>
        <v>126.366666666667</v>
      </c>
      <c r="U3275" s="231" t="n">
        <f aca="false">+$I3275</f>
        <v>0</v>
      </c>
      <c r="V3275" s="232" t="str">
        <f aca="false">+PROPER(F3275)</f>
        <v/>
      </c>
    </row>
    <row r="3276" customFormat="false" ht="14.25" hidden="false" customHeight="false" outlineLevel="0" collapsed="false">
      <c r="B3276" s="244"/>
      <c r="C3276" s="245"/>
      <c r="D3276" s="245"/>
      <c r="E3276" s="246"/>
      <c r="F3276" s="246"/>
      <c r="G3276" s="225" t="e">
        <f aca="false">VLOOKUP(B3276,'NIVEL ENERO'!A:F,4,0)</f>
        <v>#N/A</v>
      </c>
      <c r="H3276" s="247"/>
      <c r="I3276" s="247"/>
      <c r="J3276" s="246"/>
      <c r="K3276" s="246"/>
      <c r="L3276" s="226"/>
      <c r="M3276" s="226"/>
      <c r="N3276" s="246"/>
      <c r="P3276" s="228"/>
      <c r="Q3276" s="245"/>
      <c r="R3276" s="186" t="str">
        <f aca="false">+PROPER(C3276&amp;" "&amp;D3276)</f>
        <v> </v>
      </c>
      <c r="S3276" s="230" t="n">
        <f aca="false">+YEARFRAC(L3276,$S$1)</f>
        <v>126.366666666667</v>
      </c>
      <c r="T3276" s="230" t="n">
        <f aca="false">+YEARFRAC(M3276,$S$1)</f>
        <v>126.366666666667</v>
      </c>
      <c r="U3276" s="231" t="n">
        <f aca="false">+$I3276</f>
        <v>0</v>
      </c>
      <c r="V3276" s="232" t="str">
        <f aca="false">+PROPER(F3276)</f>
        <v/>
      </c>
    </row>
    <row r="3277" customFormat="false" ht="14.25" hidden="false" customHeight="false" outlineLevel="0" collapsed="false">
      <c r="B3277" s="244"/>
      <c r="C3277" s="245"/>
      <c r="D3277" s="245"/>
      <c r="E3277" s="246"/>
      <c r="F3277" s="246"/>
      <c r="G3277" s="225" t="e">
        <f aca="false">VLOOKUP(B3277,'NIVEL ENERO'!A:F,4,0)</f>
        <v>#N/A</v>
      </c>
      <c r="H3277" s="247"/>
      <c r="I3277" s="247"/>
      <c r="J3277" s="246"/>
      <c r="K3277" s="246"/>
      <c r="L3277" s="226"/>
      <c r="M3277" s="226"/>
      <c r="N3277" s="246"/>
      <c r="P3277" s="228"/>
      <c r="Q3277" s="245"/>
      <c r="R3277" s="186" t="str">
        <f aca="false">+PROPER(C3277&amp;" "&amp;D3277)</f>
        <v> </v>
      </c>
      <c r="S3277" s="230" t="n">
        <f aca="false">+YEARFRAC(L3277,$S$1)</f>
        <v>126.366666666667</v>
      </c>
      <c r="T3277" s="230" t="n">
        <f aca="false">+YEARFRAC(M3277,$S$1)</f>
        <v>126.366666666667</v>
      </c>
      <c r="U3277" s="231" t="n">
        <f aca="false">+$I3277</f>
        <v>0</v>
      </c>
      <c r="V3277" s="232" t="str">
        <f aca="false">+PROPER(F3277)</f>
        <v/>
      </c>
    </row>
    <row r="3278" customFormat="false" ht="14.25" hidden="false" customHeight="false" outlineLevel="0" collapsed="false">
      <c r="B3278" s="244"/>
      <c r="C3278" s="245"/>
      <c r="D3278" s="245"/>
      <c r="E3278" s="246"/>
      <c r="F3278" s="246"/>
      <c r="G3278" s="225" t="e">
        <f aca="false">VLOOKUP(B3278,'NIVEL ENERO'!A:F,4,0)</f>
        <v>#N/A</v>
      </c>
      <c r="H3278" s="247"/>
      <c r="I3278" s="247"/>
      <c r="J3278" s="246"/>
      <c r="K3278" s="246"/>
      <c r="L3278" s="226"/>
      <c r="M3278" s="226"/>
      <c r="N3278" s="246"/>
      <c r="P3278" s="228"/>
      <c r="Q3278" s="245"/>
      <c r="R3278" s="186" t="str">
        <f aca="false">+PROPER(C3278&amp;" "&amp;D3278)</f>
        <v> </v>
      </c>
      <c r="S3278" s="230" t="n">
        <f aca="false">+YEARFRAC(L3278,$S$1)</f>
        <v>126.366666666667</v>
      </c>
      <c r="T3278" s="230" t="n">
        <f aca="false">+YEARFRAC(M3278,$S$1)</f>
        <v>126.366666666667</v>
      </c>
      <c r="U3278" s="231" t="n">
        <f aca="false">+$I3278</f>
        <v>0</v>
      </c>
      <c r="V3278" s="232" t="str">
        <f aca="false">+PROPER(F3278)</f>
        <v/>
      </c>
    </row>
    <row r="3279" customFormat="false" ht="14.25" hidden="false" customHeight="false" outlineLevel="0" collapsed="false">
      <c r="B3279" s="244"/>
      <c r="C3279" s="245"/>
      <c r="D3279" s="245"/>
      <c r="E3279" s="246"/>
      <c r="F3279" s="246"/>
      <c r="G3279" s="225" t="e">
        <f aca="false">VLOOKUP(B3279,'NIVEL ENERO'!A:F,4,0)</f>
        <v>#N/A</v>
      </c>
      <c r="H3279" s="247"/>
      <c r="I3279" s="247"/>
      <c r="J3279" s="246"/>
      <c r="K3279" s="246"/>
      <c r="L3279" s="226"/>
      <c r="M3279" s="226"/>
      <c r="N3279" s="246"/>
      <c r="P3279" s="228"/>
      <c r="Q3279" s="245"/>
      <c r="R3279" s="186" t="str">
        <f aca="false">+PROPER(C3279&amp;" "&amp;D3279)</f>
        <v> </v>
      </c>
      <c r="S3279" s="230" t="n">
        <f aca="false">+YEARFRAC(L3279,$S$1)</f>
        <v>126.366666666667</v>
      </c>
      <c r="T3279" s="230" t="n">
        <f aca="false">+YEARFRAC(M3279,$S$1)</f>
        <v>126.366666666667</v>
      </c>
      <c r="U3279" s="231" t="n">
        <f aca="false">+$I3279</f>
        <v>0</v>
      </c>
      <c r="V3279" s="232" t="str">
        <f aca="false">+PROPER(F3279)</f>
        <v/>
      </c>
    </row>
    <row r="3280" customFormat="false" ht="14.25" hidden="false" customHeight="false" outlineLevel="0" collapsed="false">
      <c r="B3280" s="244"/>
      <c r="C3280" s="245"/>
      <c r="D3280" s="245"/>
      <c r="E3280" s="246"/>
      <c r="F3280" s="246"/>
      <c r="G3280" s="225" t="e">
        <f aca="false">VLOOKUP(B3280,'NIVEL ENERO'!A:F,4,0)</f>
        <v>#N/A</v>
      </c>
      <c r="H3280" s="247"/>
      <c r="I3280" s="247"/>
      <c r="J3280" s="246"/>
      <c r="K3280" s="246"/>
      <c r="L3280" s="226"/>
      <c r="M3280" s="226"/>
      <c r="N3280" s="246"/>
      <c r="P3280" s="228"/>
      <c r="Q3280" s="245"/>
      <c r="R3280" s="186" t="str">
        <f aca="false">+PROPER(C3280&amp;" "&amp;D3280)</f>
        <v> </v>
      </c>
      <c r="S3280" s="230" t="n">
        <f aca="false">+YEARFRAC(L3280,$S$1)</f>
        <v>126.366666666667</v>
      </c>
      <c r="T3280" s="230" t="n">
        <f aca="false">+YEARFRAC(M3280,$S$1)</f>
        <v>126.366666666667</v>
      </c>
      <c r="U3280" s="231" t="n">
        <f aca="false">+$I3280</f>
        <v>0</v>
      </c>
      <c r="V3280" s="232" t="str">
        <f aca="false">+PROPER(F3280)</f>
        <v/>
      </c>
    </row>
    <row r="3281" customFormat="false" ht="14.25" hidden="false" customHeight="false" outlineLevel="0" collapsed="false">
      <c r="B3281" s="244"/>
      <c r="C3281" s="245"/>
      <c r="D3281" s="245"/>
      <c r="E3281" s="246"/>
      <c r="F3281" s="246"/>
      <c r="G3281" s="225" t="e">
        <f aca="false">VLOOKUP(B3281,'NIVEL ENERO'!A:F,4,0)</f>
        <v>#N/A</v>
      </c>
      <c r="H3281" s="247"/>
      <c r="I3281" s="247"/>
      <c r="J3281" s="246"/>
      <c r="K3281" s="246"/>
      <c r="L3281" s="226"/>
      <c r="M3281" s="226"/>
      <c r="N3281" s="246"/>
      <c r="P3281" s="228"/>
      <c r="Q3281" s="245"/>
      <c r="R3281" s="186" t="str">
        <f aca="false">+PROPER(C3281&amp;" "&amp;D3281)</f>
        <v> </v>
      </c>
      <c r="S3281" s="230" t="n">
        <f aca="false">+YEARFRAC(L3281,$S$1)</f>
        <v>126.366666666667</v>
      </c>
      <c r="T3281" s="230" t="n">
        <f aca="false">+YEARFRAC(M3281,$S$1)</f>
        <v>126.366666666667</v>
      </c>
      <c r="U3281" s="231" t="n">
        <f aca="false">+$I3281</f>
        <v>0</v>
      </c>
      <c r="V3281" s="232" t="str">
        <f aca="false">+PROPER(F3281)</f>
        <v/>
      </c>
    </row>
    <row r="3282" customFormat="false" ht="14.25" hidden="false" customHeight="false" outlineLevel="0" collapsed="false">
      <c r="B3282" s="244"/>
      <c r="C3282" s="245"/>
      <c r="D3282" s="245"/>
      <c r="E3282" s="246"/>
      <c r="F3282" s="246"/>
      <c r="G3282" s="225" t="e">
        <f aca="false">VLOOKUP(B3282,'NIVEL ENERO'!A:F,4,0)</f>
        <v>#N/A</v>
      </c>
      <c r="H3282" s="247"/>
      <c r="I3282" s="247"/>
      <c r="J3282" s="246"/>
      <c r="K3282" s="246"/>
      <c r="L3282" s="226"/>
      <c r="M3282" s="226"/>
      <c r="N3282" s="246"/>
      <c r="P3282" s="228"/>
      <c r="Q3282" s="245"/>
      <c r="R3282" s="186" t="str">
        <f aca="false">+PROPER(C3282&amp;" "&amp;D3282)</f>
        <v> </v>
      </c>
      <c r="S3282" s="230" t="n">
        <f aca="false">+YEARFRAC(L3282,$S$1)</f>
        <v>126.366666666667</v>
      </c>
      <c r="T3282" s="230" t="n">
        <f aca="false">+YEARFRAC(M3282,$S$1)</f>
        <v>126.366666666667</v>
      </c>
      <c r="U3282" s="231" t="n">
        <f aca="false">+$I3282</f>
        <v>0</v>
      </c>
      <c r="V3282" s="232" t="str">
        <f aca="false">+PROPER(F3282)</f>
        <v/>
      </c>
    </row>
    <row r="3283" customFormat="false" ht="14.25" hidden="false" customHeight="false" outlineLevel="0" collapsed="false">
      <c r="B3283" s="244"/>
      <c r="C3283" s="245"/>
      <c r="D3283" s="245"/>
      <c r="E3283" s="246"/>
      <c r="F3283" s="246"/>
      <c r="G3283" s="225" t="e">
        <f aca="false">VLOOKUP(B3283,'NIVEL ENERO'!A:F,4,0)</f>
        <v>#N/A</v>
      </c>
      <c r="H3283" s="247"/>
      <c r="I3283" s="247"/>
      <c r="J3283" s="246"/>
      <c r="K3283" s="246"/>
      <c r="L3283" s="226"/>
      <c r="M3283" s="226"/>
      <c r="N3283" s="246"/>
      <c r="P3283" s="228"/>
      <c r="Q3283" s="245"/>
      <c r="R3283" s="186" t="str">
        <f aca="false">+PROPER(C3283&amp;" "&amp;D3283)</f>
        <v> </v>
      </c>
      <c r="S3283" s="230" t="n">
        <f aca="false">+YEARFRAC(L3283,$S$1)</f>
        <v>126.366666666667</v>
      </c>
      <c r="T3283" s="230" t="n">
        <f aca="false">+YEARFRAC(M3283,$S$1)</f>
        <v>126.366666666667</v>
      </c>
      <c r="U3283" s="231" t="n">
        <f aca="false">+$I3283</f>
        <v>0</v>
      </c>
      <c r="V3283" s="232" t="str">
        <f aca="false">+PROPER(F3283)</f>
        <v/>
      </c>
    </row>
    <row r="3284" customFormat="false" ht="14.25" hidden="false" customHeight="false" outlineLevel="0" collapsed="false">
      <c r="B3284" s="244"/>
      <c r="C3284" s="245"/>
      <c r="D3284" s="245"/>
      <c r="E3284" s="246"/>
      <c r="F3284" s="246"/>
      <c r="G3284" s="225" t="e">
        <f aca="false">VLOOKUP(B3284,'NIVEL ENERO'!A:F,4,0)</f>
        <v>#N/A</v>
      </c>
      <c r="H3284" s="247"/>
      <c r="I3284" s="247"/>
      <c r="J3284" s="246"/>
      <c r="K3284" s="246"/>
      <c r="L3284" s="226"/>
      <c r="M3284" s="226"/>
      <c r="N3284" s="246"/>
      <c r="P3284" s="228"/>
      <c r="Q3284" s="245"/>
      <c r="R3284" s="186" t="str">
        <f aca="false">+PROPER(C3284&amp;" "&amp;D3284)</f>
        <v> </v>
      </c>
      <c r="S3284" s="230" t="n">
        <f aca="false">+YEARFRAC(L3284,$S$1)</f>
        <v>126.366666666667</v>
      </c>
      <c r="T3284" s="230" t="n">
        <f aca="false">+YEARFRAC(M3284,$S$1)</f>
        <v>126.366666666667</v>
      </c>
      <c r="U3284" s="231" t="n">
        <f aca="false">+$I3284</f>
        <v>0</v>
      </c>
      <c r="V3284" s="232" t="str">
        <f aca="false">+PROPER(F3284)</f>
        <v/>
      </c>
    </row>
    <row r="3285" customFormat="false" ht="14.25" hidden="false" customHeight="false" outlineLevel="0" collapsed="false">
      <c r="B3285" s="244"/>
      <c r="C3285" s="245"/>
      <c r="D3285" s="245"/>
      <c r="E3285" s="246"/>
      <c r="F3285" s="246"/>
      <c r="G3285" s="225" t="e">
        <f aca="false">VLOOKUP(B3285,'NIVEL ENERO'!A:F,4,0)</f>
        <v>#N/A</v>
      </c>
      <c r="H3285" s="247"/>
      <c r="I3285" s="247"/>
      <c r="J3285" s="246"/>
      <c r="K3285" s="246"/>
      <c r="L3285" s="226"/>
      <c r="M3285" s="226"/>
      <c r="N3285" s="246"/>
      <c r="P3285" s="228"/>
      <c r="Q3285" s="245"/>
      <c r="R3285" s="186" t="str">
        <f aca="false">+PROPER(C3285&amp;" "&amp;D3285)</f>
        <v> </v>
      </c>
      <c r="S3285" s="230" t="n">
        <f aca="false">+YEARFRAC(L3285,$S$1)</f>
        <v>126.366666666667</v>
      </c>
      <c r="T3285" s="230" t="n">
        <f aca="false">+YEARFRAC(M3285,$S$1)</f>
        <v>126.366666666667</v>
      </c>
      <c r="U3285" s="231" t="n">
        <f aca="false">+$I3285</f>
        <v>0</v>
      </c>
      <c r="V3285" s="232" t="str">
        <f aca="false">+PROPER(F3285)</f>
        <v/>
      </c>
    </row>
    <row r="3286" customFormat="false" ht="14.25" hidden="false" customHeight="false" outlineLevel="0" collapsed="false">
      <c r="B3286" s="244"/>
      <c r="C3286" s="245"/>
      <c r="D3286" s="245"/>
      <c r="E3286" s="246"/>
      <c r="F3286" s="246"/>
      <c r="G3286" s="225" t="e">
        <f aca="false">VLOOKUP(B3286,'NIVEL ENERO'!A:F,4,0)</f>
        <v>#N/A</v>
      </c>
      <c r="H3286" s="247"/>
      <c r="I3286" s="247"/>
      <c r="J3286" s="246"/>
      <c r="K3286" s="246"/>
      <c r="L3286" s="226"/>
      <c r="M3286" s="226"/>
      <c r="N3286" s="246"/>
      <c r="P3286" s="228"/>
      <c r="Q3286" s="245"/>
      <c r="R3286" s="186" t="str">
        <f aca="false">+PROPER(C3286&amp;" "&amp;D3286)</f>
        <v> </v>
      </c>
      <c r="S3286" s="230" t="n">
        <f aca="false">+YEARFRAC(L3286,$S$1)</f>
        <v>126.366666666667</v>
      </c>
      <c r="T3286" s="230" t="n">
        <f aca="false">+YEARFRAC(M3286,$S$1)</f>
        <v>126.366666666667</v>
      </c>
      <c r="U3286" s="231" t="n">
        <f aca="false">+$I3286</f>
        <v>0</v>
      </c>
      <c r="V3286" s="232" t="str">
        <f aca="false">+PROPER(F3286)</f>
        <v/>
      </c>
    </row>
    <row r="3287" customFormat="false" ht="14.25" hidden="false" customHeight="false" outlineLevel="0" collapsed="false">
      <c r="B3287" s="244"/>
      <c r="C3287" s="245"/>
      <c r="D3287" s="245"/>
      <c r="E3287" s="246"/>
      <c r="F3287" s="246"/>
      <c r="G3287" s="225" t="e">
        <f aca="false">VLOOKUP(B3287,'NIVEL ENERO'!A:F,4,0)</f>
        <v>#N/A</v>
      </c>
      <c r="H3287" s="247"/>
      <c r="I3287" s="247"/>
      <c r="J3287" s="246"/>
      <c r="K3287" s="246"/>
      <c r="L3287" s="226"/>
      <c r="M3287" s="226"/>
      <c r="N3287" s="246"/>
      <c r="P3287" s="228"/>
      <c r="Q3287" s="245"/>
      <c r="R3287" s="186" t="str">
        <f aca="false">+PROPER(C3287&amp;" "&amp;D3287)</f>
        <v> </v>
      </c>
      <c r="S3287" s="230" t="n">
        <f aca="false">+YEARFRAC(L3287,$S$1)</f>
        <v>126.366666666667</v>
      </c>
      <c r="T3287" s="230" t="n">
        <f aca="false">+YEARFRAC(M3287,$S$1)</f>
        <v>126.366666666667</v>
      </c>
      <c r="U3287" s="231" t="n">
        <f aca="false">+$I3287</f>
        <v>0</v>
      </c>
      <c r="V3287" s="232" t="str">
        <f aca="false">+PROPER(F3287)</f>
        <v/>
      </c>
    </row>
    <row r="3288" customFormat="false" ht="14.25" hidden="false" customHeight="false" outlineLevel="0" collapsed="false">
      <c r="B3288" s="244"/>
      <c r="C3288" s="245"/>
      <c r="D3288" s="245"/>
      <c r="E3288" s="246"/>
      <c r="F3288" s="246"/>
      <c r="G3288" s="225" t="e">
        <f aca="false">VLOOKUP(B3288,'NIVEL ENERO'!A:F,4,0)</f>
        <v>#N/A</v>
      </c>
      <c r="H3288" s="247"/>
      <c r="I3288" s="247"/>
      <c r="J3288" s="246"/>
      <c r="K3288" s="246"/>
      <c r="L3288" s="226"/>
      <c r="M3288" s="226"/>
      <c r="N3288" s="246"/>
      <c r="P3288" s="228"/>
      <c r="Q3288" s="245"/>
      <c r="R3288" s="186" t="str">
        <f aca="false">+PROPER(C3288&amp;" "&amp;D3288)</f>
        <v> </v>
      </c>
      <c r="S3288" s="230" t="n">
        <f aca="false">+YEARFRAC(L3288,$S$1)</f>
        <v>126.366666666667</v>
      </c>
      <c r="T3288" s="230" t="n">
        <f aca="false">+YEARFRAC(M3288,$S$1)</f>
        <v>126.366666666667</v>
      </c>
      <c r="U3288" s="231" t="n">
        <f aca="false">+$I3288</f>
        <v>0</v>
      </c>
      <c r="V3288" s="232" t="str">
        <f aca="false">+PROPER(F3288)</f>
        <v/>
      </c>
    </row>
    <row r="3289" customFormat="false" ht="14.25" hidden="false" customHeight="false" outlineLevel="0" collapsed="false">
      <c r="B3289" s="244"/>
      <c r="C3289" s="245"/>
      <c r="D3289" s="245"/>
      <c r="E3289" s="246"/>
      <c r="F3289" s="246"/>
      <c r="G3289" s="225" t="e">
        <f aca="false">VLOOKUP(B3289,'NIVEL ENERO'!A:F,4,0)</f>
        <v>#N/A</v>
      </c>
      <c r="H3289" s="247"/>
      <c r="I3289" s="247"/>
      <c r="J3289" s="246"/>
      <c r="K3289" s="246"/>
      <c r="L3289" s="226"/>
      <c r="M3289" s="226"/>
      <c r="N3289" s="246"/>
      <c r="P3289" s="228"/>
      <c r="Q3289" s="245"/>
      <c r="R3289" s="186" t="str">
        <f aca="false">+PROPER(C3289&amp;" "&amp;D3289)</f>
        <v> </v>
      </c>
      <c r="S3289" s="230" t="n">
        <f aca="false">+YEARFRAC(L3289,$S$1)</f>
        <v>126.366666666667</v>
      </c>
      <c r="T3289" s="230" t="n">
        <f aca="false">+YEARFRAC(M3289,$S$1)</f>
        <v>126.366666666667</v>
      </c>
      <c r="U3289" s="231" t="n">
        <f aca="false">+$I3289</f>
        <v>0</v>
      </c>
      <c r="V3289" s="232" t="str">
        <f aca="false">+PROPER(F3289)</f>
        <v/>
      </c>
    </row>
    <row r="3290" customFormat="false" ht="14.25" hidden="false" customHeight="false" outlineLevel="0" collapsed="false">
      <c r="B3290" s="244"/>
      <c r="C3290" s="245"/>
      <c r="D3290" s="245"/>
      <c r="E3290" s="246"/>
      <c r="F3290" s="246"/>
      <c r="G3290" s="225" t="e">
        <f aca="false">VLOOKUP(B3290,'NIVEL ENERO'!A:F,4,0)</f>
        <v>#N/A</v>
      </c>
      <c r="H3290" s="247"/>
      <c r="I3290" s="247"/>
      <c r="J3290" s="246"/>
      <c r="K3290" s="246"/>
      <c r="L3290" s="226"/>
      <c r="M3290" s="226"/>
      <c r="N3290" s="246"/>
      <c r="P3290" s="228"/>
      <c r="Q3290" s="245"/>
      <c r="R3290" s="186" t="str">
        <f aca="false">+PROPER(C3290&amp;" "&amp;D3290)</f>
        <v> </v>
      </c>
      <c r="S3290" s="230" t="n">
        <f aca="false">+YEARFRAC(L3290,$S$1)</f>
        <v>126.366666666667</v>
      </c>
      <c r="T3290" s="230" t="n">
        <f aca="false">+YEARFRAC(M3290,$S$1)</f>
        <v>126.366666666667</v>
      </c>
      <c r="U3290" s="231" t="n">
        <f aca="false">+$I3290</f>
        <v>0</v>
      </c>
      <c r="V3290" s="232" t="str">
        <f aca="false">+PROPER(F3290)</f>
        <v/>
      </c>
    </row>
    <row r="3291" customFormat="false" ht="14.25" hidden="false" customHeight="false" outlineLevel="0" collapsed="false">
      <c r="B3291" s="244"/>
      <c r="C3291" s="245"/>
      <c r="D3291" s="245"/>
      <c r="E3291" s="246"/>
      <c r="F3291" s="246"/>
      <c r="G3291" s="225" t="e">
        <f aca="false">VLOOKUP(B3291,'NIVEL ENERO'!A:F,4,0)</f>
        <v>#N/A</v>
      </c>
      <c r="H3291" s="247"/>
      <c r="I3291" s="247"/>
      <c r="J3291" s="246"/>
      <c r="K3291" s="246"/>
      <c r="L3291" s="226"/>
      <c r="M3291" s="226"/>
      <c r="N3291" s="246"/>
      <c r="P3291" s="228"/>
      <c r="Q3291" s="245"/>
      <c r="R3291" s="186" t="str">
        <f aca="false">+PROPER(C3291&amp;" "&amp;D3291)</f>
        <v> </v>
      </c>
      <c r="S3291" s="230" t="n">
        <f aca="false">+YEARFRAC(L3291,$S$1)</f>
        <v>126.366666666667</v>
      </c>
      <c r="T3291" s="230" t="n">
        <f aca="false">+YEARFRAC(M3291,$S$1)</f>
        <v>126.366666666667</v>
      </c>
      <c r="U3291" s="231" t="n">
        <f aca="false">+$I3291</f>
        <v>0</v>
      </c>
      <c r="V3291" s="232" t="str">
        <f aca="false">+PROPER(F3291)</f>
        <v/>
      </c>
    </row>
    <row r="3292" customFormat="false" ht="14.25" hidden="false" customHeight="false" outlineLevel="0" collapsed="false">
      <c r="B3292" s="244"/>
      <c r="C3292" s="245"/>
      <c r="D3292" s="245"/>
      <c r="E3292" s="246"/>
      <c r="F3292" s="246"/>
      <c r="G3292" s="225" t="e">
        <f aca="false">VLOOKUP(B3292,'NIVEL ENERO'!A:F,4,0)</f>
        <v>#N/A</v>
      </c>
      <c r="H3292" s="247"/>
      <c r="I3292" s="247"/>
      <c r="J3292" s="246"/>
      <c r="K3292" s="246"/>
      <c r="L3292" s="226"/>
      <c r="M3292" s="226"/>
      <c r="N3292" s="246"/>
      <c r="P3292" s="228"/>
      <c r="Q3292" s="245"/>
      <c r="R3292" s="186" t="str">
        <f aca="false">+PROPER(C3292&amp;" "&amp;D3292)</f>
        <v> </v>
      </c>
      <c r="S3292" s="230" t="n">
        <f aca="false">+YEARFRAC(L3292,$S$1)</f>
        <v>126.366666666667</v>
      </c>
      <c r="T3292" s="230" t="n">
        <f aca="false">+YEARFRAC(M3292,$S$1)</f>
        <v>126.366666666667</v>
      </c>
      <c r="U3292" s="231" t="n">
        <f aca="false">+$I3292</f>
        <v>0</v>
      </c>
      <c r="V3292" s="232" t="str">
        <f aca="false">+PROPER(F3292)</f>
        <v/>
      </c>
    </row>
    <row r="3293" customFormat="false" ht="14.25" hidden="false" customHeight="false" outlineLevel="0" collapsed="false">
      <c r="B3293" s="244"/>
      <c r="C3293" s="245"/>
      <c r="D3293" s="245"/>
      <c r="E3293" s="246"/>
      <c r="F3293" s="246"/>
      <c r="G3293" s="225" t="e">
        <f aca="false">VLOOKUP(B3293,'NIVEL ENERO'!A:F,4,0)</f>
        <v>#N/A</v>
      </c>
      <c r="H3293" s="247"/>
      <c r="I3293" s="247"/>
      <c r="J3293" s="246"/>
      <c r="K3293" s="246"/>
      <c r="L3293" s="226"/>
      <c r="M3293" s="226"/>
      <c r="N3293" s="246"/>
      <c r="P3293" s="228"/>
      <c r="Q3293" s="245"/>
      <c r="R3293" s="186" t="str">
        <f aca="false">+PROPER(C3293&amp;" "&amp;D3293)</f>
        <v> </v>
      </c>
      <c r="S3293" s="230" t="n">
        <f aca="false">+YEARFRAC(L3293,$S$1)</f>
        <v>126.366666666667</v>
      </c>
      <c r="T3293" s="230" t="n">
        <f aca="false">+YEARFRAC(M3293,$S$1)</f>
        <v>126.366666666667</v>
      </c>
      <c r="U3293" s="231" t="n">
        <f aca="false">+$I3293</f>
        <v>0</v>
      </c>
      <c r="V3293" s="232" t="str">
        <f aca="false">+PROPER(F3293)</f>
        <v/>
      </c>
    </row>
    <row r="3294" customFormat="false" ht="14.25" hidden="false" customHeight="false" outlineLevel="0" collapsed="false">
      <c r="B3294" s="244"/>
      <c r="C3294" s="245"/>
      <c r="D3294" s="245"/>
      <c r="E3294" s="246"/>
      <c r="F3294" s="246"/>
      <c r="G3294" s="225" t="e">
        <f aca="false">VLOOKUP(B3294,'NIVEL ENERO'!A:F,4,0)</f>
        <v>#N/A</v>
      </c>
      <c r="H3294" s="247"/>
      <c r="I3294" s="247"/>
      <c r="J3294" s="246"/>
      <c r="K3294" s="246"/>
      <c r="L3294" s="226"/>
      <c r="M3294" s="226"/>
      <c r="N3294" s="246"/>
      <c r="P3294" s="228"/>
      <c r="Q3294" s="245"/>
      <c r="R3294" s="186" t="str">
        <f aca="false">+PROPER(C3294&amp;" "&amp;D3294)</f>
        <v> </v>
      </c>
      <c r="S3294" s="230" t="n">
        <f aca="false">+YEARFRAC(L3294,$S$1)</f>
        <v>126.366666666667</v>
      </c>
      <c r="T3294" s="230" t="n">
        <f aca="false">+YEARFRAC(M3294,$S$1)</f>
        <v>126.366666666667</v>
      </c>
      <c r="U3294" s="231" t="n">
        <f aca="false">+$I3294</f>
        <v>0</v>
      </c>
      <c r="V3294" s="232" t="str">
        <f aca="false">+PROPER(F3294)</f>
        <v/>
      </c>
    </row>
    <row r="3295" customFormat="false" ht="14.25" hidden="false" customHeight="false" outlineLevel="0" collapsed="false">
      <c r="B3295" s="244"/>
      <c r="C3295" s="245"/>
      <c r="D3295" s="245"/>
      <c r="E3295" s="246"/>
      <c r="F3295" s="246"/>
      <c r="G3295" s="225" t="e">
        <f aca="false">VLOOKUP(B3295,'NIVEL ENERO'!A:F,4,0)</f>
        <v>#N/A</v>
      </c>
      <c r="H3295" s="247"/>
      <c r="I3295" s="247"/>
      <c r="J3295" s="246"/>
      <c r="K3295" s="246"/>
      <c r="L3295" s="226"/>
      <c r="M3295" s="226"/>
      <c r="N3295" s="246"/>
      <c r="P3295" s="228"/>
      <c r="Q3295" s="245"/>
      <c r="R3295" s="186" t="str">
        <f aca="false">+PROPER(C3295&amp;" "&amp;D3295)</f>
        <v> </v>
      </c>
      <c r="S3295" s="230" t="n">
        <f aca="false">+YEARFRAC(L3295,$S$1)</f>
        <v>126.366666666667</v>
      </c>
      <c r="T3295" s="230" t="n">
        <f aca="false">+YEARFRAC(M3295,$S$1)</f>
        <v>126.366666666667</v>
      </c>
      <c r="U3295" s="231" t="n">
        <f aca="false">+$I3295</f>
        <v>0</v>
      </c>
      <c r="V3295" s="232" t="str">
        <f aca="false">+PROPER(F3295)</f>
        <v/>
      </c>
    </row>
    <row r="3296" customFormat="false" ht="14.25" hidden="false" customHeight="false" outlineLevel="0" collapsed="false">
      <c r="B3296" s="244"/>
      <c r="C3296" s="245"/>
      <c r="D3296" s="245"/>
      <c r="E3296" s="246"/>
      <c r="F3296" s="246"/>
      <c r="G3296" s="225" t="e">
        <f aca="false">VLOOKUP(B3296,'NIVEL ENERO'!A:F,4,0)</f>
        <v>#N/A</v>
      </c>
      <c r="H3296" s="247"/>
      <c r="I3296" s="247"/>
      <c r="J3296" s="246"/>
      <c r="K3296" s="246"/>
      <c r="L3296" s="226"/>
      <c r="M3296" s="226"/>
      <c r="N3296" s="246"/>
      <c r="P3296" s="228"/>
      <c r="Q3296" s="245"/>
      <c r="R3296" s="186" t="str">
        <f aca="false">+PROPER(C3296&amp;" "&amp;D3296)</f>
        <v> </v>
      </c>
      <c r="S3296" s="230" t="n">
        <f aca="false">+YEARFRAC(L3296,$S$1)</f>
        <v>126.366666666667</v>
      </c>
      <c r="T3296" s="230" t="n">
        <f aca="false">+YEARFRAC(M3296,$S$1)</f>
        <v>126.366666666667</v>
      </c>
      <c r="U3296" s="231" t="n">
        <f aca="false">+$I3296</f>
        <v>0</v>
      </c>
      <c r="V3296" s="232" t="str">
        <f aca="false">+PROPER(F3296)</f>
        <v/>
      </c>
    </row>
    <row r="3297" customFormat="false" ht="14.25" hidden="false" customHeight="false" outlineLevel="0" collapsed="false">
      <c r="B3297" s="244"/>
      <c r="C3297" s="245"/>
      <c r="D3297" s="245"/>
      <c r="E3297" s="246"/>
      <c r="F3297" s="246"/>
      <c r="G3297" s="225" t="e">
        <f aca="false">VLOOKUP(B3297,'NIVEL ENERO'!A:F,4,0)</f>
        <v>#N/A</v>
      </c>
      <c r="H3297" s="247"/>
      <c r="I3297" s="247"/>
      <c r="J3297" s="246"/>
      <c r="K3297" s="246"/>
      <c r="L3297" s="226"/>
      <c r="M3297" s="226"/>
      <c r="N3297" s="246"/>
      <c r="P3297" s="228"/>
      <c r="Q3297" s="245"/>
      <c r="R3297" s="186" t="str">
        <f aca="false">+PROPER(C3297&amp;" "&amp;D3297)</f>
        <v> </v>
      </c>
      <c r="S3297" s="230" t="n">
        <f aca="false">+YEARFRAC(L3297,$S$1)</f>
        <v>126.366666666667</v>
      </c>
      <c r="T3297" s="230" t="n">
        <f aca="false">+YEARFRAC(M3297,$S$1)</f>
        <v>126.366666666667</v>
      </c>
      <c r="U3297" s="231" t="n">
        <f aca="false">+$I3297</f>
        <v>0</v>
      </c>
      <c r="V3297" s="232" t="str">
        <f aca="false">+PROPER(F3297)</f>
        <v/>
      </c>
    </row>
    <row r="3298" customFormat="false" ht="14.25" hidden="false" customHeight="false" outlineLevel="0" collapsed="false">
      <c r="B3298" s="244"/>
      <c r="C3298" s="245"/>
      <c r="D3298" s="245"/>
      <c r="E3298" s="246"/>
      <c r="F3298" s="246"/>
      <c r="G3298" s="225" t="e">
        <f aca="false">VLOOKUP(B3298,'NIVEL ENERO'!A:F,4,0)</f>
        <v>#N/A</v>
      </c>
      <c r="H3298" s="247"/>
      <c r="I3298" s="247"/>
      <c r="J3298" s="246"/>
      <c r="K3298" s="246"/>
      <c r="L3298" s="226"/>
      <c r="M3298" s="226"/>
      <c r="N3298" s="246"/>
      <c r="P3298" s="228"/>
      <c r="Q3298" s="245"/>
      <c r="R3298" s="186" t="str">
        <f aca="false">+PROPER(C3298&amp;" "&amp;D3298)</f>
        <v> </v>
      </c>
      <c r="S3298" s="230" t="n">
        <f aca="false">+YEARFRAC(L3298,$S$1)</f>
        <v>126.366666666667</v>
      </c>
      <c r="T3298" s="230" t="n">
        <f aca="false">+YEARFRAC(M3298,$S$1)</f>
        <v>126.366666666667</v>
      </c>
      <c r="U3298" s="231" t="n">
        <f aca="false">+$I3298</f>
        <v>0</v>
      </c>
      <c r="V3298" s="232" t="str">
        <f aca="false">+PROPER(F3298)</f>
        <v/>
      </c>
    </row>
    <row r="3299" customFormat="false" ht="14.25" hidden="false" customHeight="false" outlineLevel="0" collapsed="false">
      <c r="B3299" s="244"/>
      <c r="C3299" s="245"/>
      <c r="D3299" s="245"/>
      <c r="E3299" s="246"/>
      <c r="F3299" s="246"/>
      <c r="G3299" s="225" t="e">
        <f aca="false">VLOOKUP(B3299,'NIVEL ENERO'!A:F,4,0)</f>
        <v>#N/A</v>
      </c>
      <c r="H3299" s="247"/>
      <c r="I3299" s="247"/>
      <c r="J3299" s="246"/>
      <c r="K3299" s="246"/>
      <c r="L3299" s="226"/>
      <c r="M3299" s="226"/>
      <c r="N3299" s="246"/>
      <c r="P3299" s="228"/>
      <c r="Q3299" s="245"/>
      <c r="R3299" s="186" t="str">
        <f aca="false">+PROPER(C3299&amp;" "&amp;D3299)</f>
        <v> </v>
      </c>
      <c r="S3299" s="230" t="n">
        <f aca="false">+YEARFRAC(L3299,$S$1)</f>
        <v>126.366666666667</v>
      </c>
      <c r="T3299" s="230" t="n">
        <f aca="false">+YEARFRAC(M3299,$S$1)</f>
        <v>126.366666666667</v>
      </c>
      <c r="U3299" s="231" t="n">
        <f aca="false">+$I3299</f>
        <v>0</v>
      </c>
      <c r="V3299" s="232" t="str">
        <f aca="false">+PROPER(F3299)</f>
        <v/>
      </c>
    </row>
    <row r="3300" customFormat="false" ht="14.25" hidden="false" customHeight="false" outlineLevel="0" collapsed="false">
      <c r="B3300" s="244"/>
      <c r="C3300" s="245"/>
      <c r="D3300" s="245"/>
      <c r="E3300" s="246"/>
      <c r="F3300" s="246"/>
      <c r="G3300" s="225" t="e">
        <f aca="false">VLOOKUP(B3300,'NIVEL ENERO'!A:F,4,0)</f>
        <v>#N/A</v>
      </c>
      <c r="H3300" s="247"/>
      <c r="I3300" s="247"/>
      <c r="J3300" s="246"/>
      <c r="K3300" s="246"/>
      <c r="L3300" s="226"/>
      <c r="M3300" s="226"/>
      <c r="N3300" s="246"/>
      <c r="P3300" s="228"/>
      <c r="Q3300" s="245"/>
      <c r="R3300" s="186" t="str">
        <f aca="false">+PROPER(C3300&amp;" "&amp;D3300)</f>
        <v> </v>
      </c>
      <c r="S3300" s="230" t="n">
        <f aca="false">+YEARFRAC(L3300,$S$1)</f>
        <v>126.366666666667</v>
      </c>
      <c r="T3300" s="230" t="n">
        <f aca="false">+YEARFRAC(M3300,$S$1)</f>
        <v>126.366666666667</v>
      </c>
      <c r="U3300" s="231" t="n">
        <f aca="false">+$I3300</f>
        <v>0</v>
      </c>
      <c r="V3300" s="232" t="str">
        <f aca="false">+PROPER(F3300)</f>
        <v/>
      </c>
    </row>
    <row r="3301" customFormat="false" ht="14.25" hidden="false" customHeight="false" outlineLevel="0" collapsed="false">
      <c r="B3301" s="244"/>
      <c r="C3301" s="245"/>
      <c r="D3301" s="245"/>
      <c r="E3301" s="246"/>
      <c r="F3301" s="246"/>
      <c r="G3301" s="225" t="e">
        <f aca="false">VLOOKUP(B3301,'NIVEL ENERO'!A:F,4,0)</f>
        <v>#N/A</v>
      </c>
      <c r="H3301" s="247"/>
      <c r="I3301" s="247"/>
      <c r="J3301" s="246"/>
      <c r="K3301" s="246"/>
      <c r="L3301" s="226"/>
      <c r="M3301" s="226"/>
      <c r="N3301" s="246"/>
      <c r="P3301" s="228"/>
      <c r="Q3301" s="245"/>
      <c r="R3301" s="186" t="str">
        <f aca="false">+PROPER(C3301&amp;" "&amp;D3301)</f>
        <v> </v>
      </c>
      <c r="S3301" s="230" t="n">
        <f aca="false">+YEARFRAC(L3301,$S$1)</f>
        <v>126.366666666667</v>
      </c>
      <c r="T3301" s="230" t="n">
        <f aca="false">+YEARFRAC(M3301,$S$1)</f>
        <v>126.366666666667</v>
      </c>
      <c r="U3301" s="231" t="n">
        <f aca="false">+$I3301</f>
        <v>0</v>
      </c>
      <c r="V3301" s="232" t="str">
        <f aca="false">+PROPER(F3301)</f>
        <v/>
      </c>
    </row>
    <row r="3302" customFormat="false" ht="14.25" hidden="false" customHeight="false" outlineLevel="0" collapsed="false">
      <c r="B3302" s="244"/>
      <c r="C3302" s="245"/>
      <c r="D3302" s="245"/>
      <c r="E3302" s="246"/>
      <c r="F3302" s="246"/>
      <c r="G3302" s="225" t="e">
        <f aca="false">VLOOKUP(B3302,'NIVEL ENERO'!A:F,4,0)</f>
        <v>#N/A</v>
      </c>
      <c r="H3302" s="247"/>
      <c r="I3302" s="247"/>
      <c r="J3302" s="246"/>
      <c r="K3302" s="246"/>
      <c r="L3302" s="226"/>
      <c r="M3302" s="226"/>
      <c r="N3302" s="246"/>
      <c r="P3302" s="228"/>
      <c r="Q3302" s="245"/>
      <c r="R3302" s="186" t="str">
        <f aca="false">+PROPER(C3302&amp;" "&amp;D3302)</f>
        <v> </v>
      </c>
      <c r="S3302" s="230" t="n">
        <f aca="false">+YEARFRAC(L3302,$S$1)</f>
        <v>126.366666666667</v>
      </c>
      <c r="T3302" s="230" t="n">
        <f aca="false">+YEARFRAC(M3302,$S$1)</f>
        <v>126.366666666667</v>
      </c>
      <c r="U3302" s="231" t="n">
        <f aca="false">+$I3302</f>
        <v>0</v>
      </c>
      <c r="V3302" s="232" t="str">
        <f aca="false">+PROPER(F3302)</f>
        <v/>
      </c>
    </row>
    <row r="3303" customFormat="false" ht="14.25" hidden="false" customHeight="false" outlineLevel="0" collapsed="false">
      <c r="B3303" s="244"/>
      <c r="C3303" s="245"/>
      <c r="D3303" s="245"/>
      <c r="E3303" s="246"/>
      <c r="F3303" s="246"/>
      <c r="G3303" s="225" t="e">
        <f aca="false">VLOOKUP(B3303,'NIVEL ENERO'!A:F,4,0)</f>
        <v>#N/A</v>
      </c>
      <c r="H3303" s="247"/>
      <c r="I3303" s="247"/>
      <c r="J3303" s="246"/>
      <c r="K3303" s="246"/>
      <c r="L3303" s="226"/>
      <c r="M3303" s="226"/>
      <c r="N3303" s="246"/>
      <c r="P3303" s="228"/>
      <c r="Q3303" s="245"/>
      <c r="R3303" s="186" t="str">
        <f aca="false">+PROPER(C3303&amp;" "&amp;D3303)</f>
        <v> </v>
      </c>
      <c r="S3303" s="230" t="n">
        <f aca="false">+YEARFRAC(L3303,$S$1)</f>
        <v>126.366666666667</v>
      </c>
      <c r="T3303" s="230" t="n">
        <f aca="false">+YEARFRAC(M3303,$S$1)</f>
        <v>126.366666666667</v>
      </c>
      <c r="U3303" s="231" t="n">
        <f aca="false">+$I3303</f>
        <v>0</v>
      </c>
      <c r="V3303" s="232" t="str">
        <f aca="false">+PROPER(F3303)</f>
        <v/>
      </c>
    </row>
    <row r="3304" customFormat="false" ht="14.25" hidden="false" customHeight="false" outlineLevel="0" collapsed="false">
      <c r="B3304" s="244"/>
      <c r="C3304" s="245"/>
      <c r="D3304" s="245"/>
      <c r="E3304" s="246"/>
      <c r="F3304" s="246"/>
      <c r="G3304" s="225" t="e">
        <f aca="false">VLOOKUP(B3304,'NIVEL ENERO'!A:F,4,0)</f>
        <v>#N/A</v>
      </c>
      <c r="H3304" s="247"/>
      <c r="I3304" s="247"/>
      <c r="J3304" s="246"/>
      <c r="K3304" s="246"/>
      <c r="L3304" s="226"/>
      <c r="M3304" s="226"/>
      <c r="N3304" s="246"/>
      <c r="P3304" s="228"/>
      <c r="Q3304" s="245"/>
      <c r="R3304" s="186" t="str">
        <f aca="false">+PROPER(C3304&amp;" "&amp;D3304)</f>
        <v> </v>
      </c>
      <c r="S3304" s="230" t="n">
        <f aca="false">+YEARFRAC(L3304,$S$1)</f>
        <v>126.366666666667</v>
      </c>
      <c r="T3304" s="230" t="n">
        <f aca="false">+YEARFRAC(M3304,$S$1)</f>
        <v>126.366666666667</v>
      </c>
      <c r="U3304" s="231" t="n">
        <f aca="false">+$I3304</f>
        <v>0</v>
      </c>
      <c r="V3304" s="232" t="str">
        <f aca="false">+PROPER(F3304)</f>
        <v/>
      </c>
    </row>
    <row r="3305" customFormat="false" ht="14.25" hidden="false" customHeight="false" outlineLevel="0" collapsed="false">
      <c r="B3305" s="244"/>
      <c r="C3305" s="245"/>
      <c r="D3305" s="245"/>
      <c r="E3305" s="246"/>
      <c r="F3305" s="246"/>
      <c r="G3305" s="225" t="e">
        <f aca="false">VLOOKUP(B3305,'NIVEL ENERO'!A:F,4,0)</f>
        <v>#N/A</v>
      </c>
      <c r="H3305" s="247"/>
      <c r="I3305" s="247"/>
      <c r="J3305" s="246"/>
      <c r="K3305" s="246"/>
      <c r="L3305" s="226"/>
      <c r="M3305" s="226"/>
      <c r="N3305" s="246"/>
      <c r="P3305" s="228"/>
      <c r="Q3305" s="245"/>
      <c r="R3305" s="186" t="str">
        <f aca="false">+PROPER(C3305&amp;" "&amp;D3305)</f>
        <v> </v>
      </c>
      <c r="S3305" s="230" t="n">
        <f aca="false">+YEARFRAC(L3305,$S$1)</f>
        <v>126.366666666667</v>
      </c>
      <c r="T3305" s="230" t="n">
        <f aca="false">+YEARFRAC(M3305,$S$1)</f>
        <v>126.366666666667</v>
      </c>
      <c r="U3305" s="231" t="n">
        <f aca="false">+$I3305</f>
        <v>0</v>
      </c>
      <c r="V3305" s="232" t="str">
        <f aca="false">+PROPER(F3305)</f>
        <v/>
      </c>
    </row>
    <row r="3306" customFormat="false" ht="14.25" hidden="false" customHeight="false" outlineLevel="0" collapsed="false">
      <c r="B3306" s="244"/>
      <c r="C3306" s="245"/>
      <c r="D3306" s="245"/>
      <c r="E3306" s="246"/>
      <c r="F3306" s="246"/>
      <c r="G3306" s="225" t="e">
        <f aca="false">VLOOKUP(B3306,'NIVEL ENERO'!A:F,4,0)</f>
        <v>#N/A</v>
      </c>
      <c r="H3306" s="247"/>
      <c r="I3306" s="247"/>
      <c r="J3306" s="246"/>
      <c r="K3306" s="246"/>
      <c r="L3306" s="226"/>
      <c r="M3306" s="226"/>
      <c r="N3306" s="246"/>
      <c r="P3306" s="228"/>
      <c r="Q3306" s="245"/>
      <c r="R3306" s="186" t="str">
        <f aca="false">+PROPER(C3306&amp;" "&amp;D3306)</f>
        <v> </v>
      </c>
      <c r="S3306" s="230" t="n">
        <f aca="false">+YEARFRAC(L3306,$S$1)</f>
        <v>126.366666666667</v>
      </c>
      <c r="T3306" s="230" t="n">
        <f aca="false">+YEARFRAC(M3306,$S$1)</f>
        <v>126.366666666667</v>
      </c>
      <c r="U3306" s="231" t="n">
        <f aca="false">+$I3306</f>
        <v>0</v>
      </c>
      <c r="V3306" s="232" t="str">
        <f aca="false">+PROPER(F3306)</f>
        <v/>
      </c>
    </row>
    <row r="3307" customFormat="false" ht="14.25" hidden="false" customHeight="false" outlineLevel="0" collapsed="false">
      <c r="B3307" s="244"/>
      <c r="C3307" s="245"/>
      <c r="D3307" s="245"/>
      <c r="E3307" s="246"/>
      <c r="F3307" s="246"/>
      <c r="G3307" s="225" t="e">
        <f aca="false">VLOOKUP(B3307,'NIVEL ENERO'!A:F,4,0)</f>
        <v>#N/A</v>
      </c>
      <c r="H3307" s="247"/>
      <c r="I3307" s="247"/>
      <c r="J3307" s="246"/>
      <c r="K3307" s="246"/>
      <c r="L3307" s="226"/>
      <c r="M3307" s="226"/>
      <c r="N3307" s="246"/>
      <c r="P3307" s="228"/>
      <c r="Q3307" s="245"/>
      <c r="R3307" s="186" t="str">
        <f aca="false">+PROPER(C3307&amp;" "&amp;D3307)</f>
        <v> </v>
      </c>
      <c r="S3307" s="230" t="n">
        <f aca="false">+YEARFRAC(L3307,$S$1)</f>
        <v>126.366666666667</v>
      </c>
      <c r="T3307" s="230" t="n">
        <f aca="false">+YEARFRAC(M3307,$S$1)</f>
        <v>126.366666666667</v>
      </c>
      <c r="U3307" s="231" t="n">
        <f aca="false">+$I3307</f>
        <v>0</v>
      </c>
      <c r="V3307" s="232" t="str">
        <f aca="false">+PROPER(F3307)</f>
        <v/>
      </c>
    </row>
    <row r="3308" customFormat="false" ht="14.25" hidden="false" customHeight="false" outlineLevel="0" collapsed="false">
      <c r="B3308" s="244"/>
      <c r="C3308" s="245"/>
      <c r="D3308" s="245"/>
      <c r="E3308" s="246"/>
      <c r="F3308" s="246"/>
      <c r="G3308" s="225" t="e">
        <f aca="false">VLOOKUP(B3308,'NIVEL ENERO'!A:F,4,0)</f>
        <v>#N/A</v>
      </c>
      <c r="H3308" s="247"/>
      <c r="I3308" s="247"/>
      <c r="J3308" s="246"/>
      <c r="K3308" s="246"/>
      <c r="L3308" s="226"/>
      <c r="M3308" s="226"/>
      <c r="N3308" s="246"/>
      <c r="P3308" s="228"/>
      <c r="Q3308" s="245"/>
      <c r="R3308" s="186" t="str">
        <f aca="false">+PROPER(C3308&amp;" "&amp;D3308)</f>
        <v> </v>
      </c>
      <c r="S3308" s="230" t="n">
        <f aca="false">+YEARFRAC(L3308,$S$1)</f>
        <v>126.366666666667</v>
      </c>
      <c r="T3308" s="230" t="n">
        <f aca="false">+YEARFRAC(M3308,$S$1)</f>
        <v>126.366666666667</v>
      </c>
      <c r="U3308" s="231" t="n">
        <f aca="false">+$I3308</f>
        <v>0</v>
      </c>
      <c r="V3308" s="232" t="str">
        <f aca="false">+PROPER(F3308)</f>
        <v/>
      </c>
    </row>
    <row r="3309" customFormat="false" ht="14.25" hidden="false" customHeight="false" outlineLevel="0" collapsed="false">
      <c r="B3309" s="244"/>
      <c r="C3309" s="245"/>
      <c r="D3309" s="245"/>
      <c r="E3309" s="246"/>
      <c r="F3309" s="246"/>
      <c r="G3309" s="225" t="e">
        <f aca="false">VLOOKUP(B3309,'NIVEL ENERO'!A:F,4,0)</f>
        <v>#N/A</v>
      </c>
      <c r="H3309" s="247"/>
      <c r="I3309" s="247"/>
      <c r="J3309" s="246"/>
      <c r="K3309" s="246"/>
      <c r="L3309" s="226"/>
      <c r="M3309" s="226"/>
      <c r="N3309" s="246"/>
      <c r="P3309" s="228"/>
      <c r="Q3309" s="245"/>
      <c r="R3309" s="186" t="str">
        <f aca="false">+PROPER(C3309&amp;" "&amp;D3309)</f>
        <v> </v>
      </c>
      <c r="S3309" s="230" t="n">
        <f aca="false">+YEARFRAC(L3309,$S$1)</f>
        <v>126.366666666667</v>
      </c>
      <c r="T3309" s="230" t="n">
        <f aca="false">+YEARFRAC(M3309,$S$1)</f>
        <v>126.366666666667</v>
      </c>
      <c r="U3309" s="231" t="n">
        <f aca="false">+$I3309</f>
        <v>0</v>
      </c>
      <c r="V3309" s="232" t="str">
        <f aca="false">+PROPER(F3309)</f>
        <v/>
      </c>
    </row>
    <row r="3310" customFormat="false" ht="14.25" hidden="false" customHeight="false" outlineLevel="0" collapsed="false">
      <c r="B3310" s="244"/>
      <c r="C3310" s="245"/>
      <c r="D3310" s="245"/>
      <c r="E3310" s="246"/>
      <c r="F3310" s="246"/>
      <c r="G3310" s="225" t="e">
        <f aca="false">VLOOKUP(B3310,'NIVEL ENERO'!A:F,4,0)</f>
        <v>#N/A</v>
      </c>
      <c r="H3310" s="247"/>
      <c r="I3310" s="247"/>
      <c r="J3310" s="246"/>
      <c r="K3310" s="246"/>
      <c r="L3310" s="226"/>
      <c r="M3310" s="226"/>
      <c r="N3310" s="246"/>
      <c r="P3310" s="228"/>
      <c r="Q3310" s="245"/>
      <c r="R3310" s="186" t="str">
        <f aca="false">+PROPER(C3310&amp;" "&amp;D3310)</f>
        <v> </v>
      </c>
      <c r="S3310" s="230" t="n">
        <f aca="false">+YEARFRAC(L3310,$S$1)</f>
        <v>126.366666666667</v>
      </c>
      <c r="T3310" s="230" t="n">
        <f aca="false">+YEARFRAC(M3310,$S$1)</f>
        <v>126.366666666667</v>
      </c>
      <c r="U3310" s="231" t="n">
        <f aca="false">+$I3310</f>
        <v>0</v>
      </c>
      <c r="V3310" s="232" t="str">
        <f aca="false">+PROPER(F3310)</f>
        <v/>
      </c>
    </row>
    <row r="3311" customFormat="false" ht="14.25" hidden="false" customHeight="false" outlineLevel="0" collapsed="false">
      <c r="B3311" s="244"/>
      <c r="C3311" s="245"/>
      <c r="D3311" s="245"/>
      <c r="E3311" s="246"/>
      <c r="F3311" s="246"/>
      <c r="G3311" s="225" t="e">
        <f aca="false">VLOOKUP(B3311,'NIVEL ENERO'!A:F,4,0)</f>
        <v>#N/A</v>
      </c>
      <c r="H3311" s="247"/>
      <c r="I3311" s="247"/>
      <c r="J3311" s="246"/>
      <c r="K3311" s="246"/>
      <c r="L3311" s="226"/>
      <c r="M3311" s="226"/>
      <c r="N3311" s="246"/>
      <c r="P3311" s="228"/>
      <c r="Q3311" s="245"/>
      <c r="R3311" s="186" t="str">
        <f aca="false">+PROPER(C3311&amp;" "&amp;D3311)</f>
        <v> </v>
      </c>
      <c r="S3311" s="230" t="n">
        <f aca="false">+YEARFRAC(L3311,$S$1)</f>
        <v>126.366666666667</v>
      </c>
      <c r="T3311" s="230" t="n">
        <f aca="false">+YEARFRAC(M3311,$S$1)</f>
        <v>126.366666666667</v>
      </c>
      <c r="U3311" s="231" t="n">
        <f aca="false">+$I3311</f>
        <v>0</v>
      </c>
      <c r="V3311" s="232" t="str">
        <f aca="false">+PROPER(F3311)</f>
        <v/>
      </c>
    </row>
    <row r="3312" customFormat="false" ht="14.25" hidden="false" customHeight="false" outlineLevel="0" collapsed="false">
      <c r="B3312" s="244"/>
      <c r="C3312" s="245"/>
      <c r="D3312" s="245"/>
      <c r="E3312" s="246"/>
      <c r="F3312" s="246"/>
      <c r="G3312" s="225" t="e">
        <f aca="false">VLOOKUP(B3312,'NIVEL ENERO'!A:F,4,0)</f>
        <v>#N/A</v>
      </c>
      <c r="H3312" s="247"/>
      <c r="I3312" s="247"/>
      <c r="J3312" s="246"/>
      <c r="K3312" s="246"/>
      <c r="L3312" s="226"/>
      <c r="M3312" s="226"/>
      <c r="N3312" s="246"/>
      <c r="P3312" s="228"/>
      <c r="Q3312" s="245"/>
      <c r="R3312" s="186" t="str">
        <f aca="false">+PROPER(C3312&amp;" "&amp;D3312)</f>
        <v> </v>
      </c>
      <c r="S3312" s="230" t="n">
        <f aca="false">+YEARFRAC(L3312,$S$1)</f>
        <v>126.366666666667</v>
      </c>
      <c r="T3312" s="230" t="n">
        <f aca="false">+YEARFRAC(M3312,$S$1)</f>
        <v>126.366666666667</v>
      </c>
      <c r="U3312" s="231" t="n">
        <f aca="false">+$I3312</f>
        <v>0</v>
      </c>
      <c r="V3312" s="232" t="str">
        <f aca="false">+PROPER(F3312)</f>
        <v/>
      </c>
    </row>
    <row r="3313" customFormat="false" ht="14.25" hidden="false" customHeight="false" outlineLevel="0" collapsed="false">
      <c r="B3313" s="244"/>
      <c r="C3313" s="245"/>
      <c r="D3313" s="245"/>
      <c r="E3313" s="246"/>
      <c r="F3313" s="246"/>
      <c r="G3313" s="225" t="e">
        <f aca="false">VLOOKUP(B3313,'NIVEL ENERO'!A:F,4,0)</f>
        <v>#N/A</v>
      </c>
      <c r="H3313" s="247"/>
      <c r="I3313" s="247"/>
      <c r="J3313" s="246"/>
      <c r="K3313" s="246"/>
      <c r="L3313" s="226"/>
      <c r="M3313" s="226"/>
      <c r="N3313" s="246"/>
      <c r="P3313" s="228"/>
      <c r="Q3313" s="245"/>
      <c r="R3313" s="186" t="str">
        <f aca="false">+PROPER(C3313&amp;" "&amp;D3313)</f>
        <v> </v>
      </c>
      <c r="S3313" s="230" t="n">
        <f aca="false">+YEARFRAC(L3313,$S$1)</f>
        <v>126.366666666667</v>
      </c>
      <c r="T3313" s="230" t="n">
        <f aca="false">+YEARFRAC(M3313,$S$1)</f>
        <v>126.366666666667</v>
      </c>
      <c r="U3313" s="231" t="n">
        <f aca="false">+$I3313</f>
        <v>0</v>
      </c>
      <c r="V3313" s="232" t="str">
        <f aca="false">+PROPER(F3313)</f>
        <v/>
      </c>
    </row>
    <row r="3314" customFormat="false" ht="14.25" hidden="false" customHeight="false" outlineLevel="0" collapsed="false">
      <c r="B3314" s="244"/>
      <c r="C3314" s="245"/>
      <c r="D3314" s="245"/>
      <c r="E3314" s="246"/>
      <c r="F3314" s="246"/>
      <c r="G3314" s="225" t="e">
        <f aca="false">VLOOKUP(B3314,'NIVEL ENERO'!A:F,4,0)</f>
        <v>#N/A</v>
      </c>
      <c r="H3314" s="247"/>
      <c r="I3314" s="247"/>
      <c r="J3314" s="246"/>
      <c r="K3314" s="246"/>
      <c r="L3314" s="226"/>
      <c r="M3314" s="226"/>
      <c r="N3314" s="246"/>
      <c r="P3314" s="228"/>
      <c r="Q3314" s="245"/>
      <c r="R3314" s="186" t="str">
        <f aca="false">+PROPER(C3314&amp;" "&amp;D3314)</f>
        <v> </v>
      </c>
      <c r="S3314" s="230" t="n">
        <f aca="false">+YEARFRAC(L3314,$S$1)</f>
        <v>126.366666666667</v>
      </c>
      <c r="T3314" s="230" t="n">
        <f aca="false">+YEARFRAC(M3314,$S$1)</f>
        <v>126.366666666667</v>
      </c>
      <c r="U3314" s="231" t="n">
        <f aca="false">+$I3314</f>
        <v>0</v>
      </c>
      <c r="V3314" s="232" t="str">
        <f aca="false">+PROPER(F3314)</f>
        <v/>
      </c>
    </row>
    <row r="3315" customFormat="false" ht="14.25" hidden="false" customHeight="false" outlineLevel="0" collapsed="false">
      <c r="B3315" s="244"/>
      <c r="C3315" s="245"/>
      <c r="D3315" s="245"/>
      <c r="E3315" s="246"/>
      <c r="F3315" s="246"/>
      <c r="G3315" s="225" t="e">
        <f aca="false">VLOOKUP(B3315,'NIVEL ENERO'!A:F,4,0)</f>
        <v>#N/A</v>
      </c>
      <c r="H3315" s="247"/>
      <c r="I3315" s="247"/>
      <c r="J3315" s="246"/>
      <c r="K3315" s="246"/>
      <c r="L3315" s="226"/>
      <c r="M3315" s="226"/>
      <c r="N3315" s="246"/>
      <c r="P3315" s="228"/>
      <c r="Q3315" s="245"/>
      <c r="R3315" s="186" t="str">
        <f aca="false">+PROPER(C3315&amp;" "&amp;D3315)</f>
        <v> </v>
      </c>
      <c r="S3315" s="230" t="n">
        <f aca="false">+YEARFRAC(L3315,$S$1)</f>
        <v>126.366666666667</v>
      </c>
      <c r="T3315" s="230" t="n">
        <f aca="false">+YEARFRAC(M3315,$S$1)</f>
        <v>126.366666666667</v>
      </c>
      <c r="U3315" s="231" t="n">
        <f aca="false">+$I3315</f>
        <v>0</v>
      </c>
      <c r="V3315" s="232" t="str">
        <f aca="false">+PROPER(F3315)</f>
        <v/>
      </c>
    </row>
    <row r="3316" customFormat="false" ht="14.25" hidden="false" customHeight="false" outlineLevel="0" collapsed="false">
      <c r="B3316" s="244"/>
      <c r="C3316" s="245"/>
      <c r="D3316" s="245"/>
      <c r="E3316" s="246"/>
      <c r="F3316" s="246"/>
      <c r="G3316" s="225" t="e">
        <f aca="false">VLOOKUP(B3316,'NIVEL ENERO'!A:F,4,0)</f>
        <v>#N/A</v>
      </c>
      <c r="H3316" s="247"/>
      <c r="I3316" s="247"/>
      <c r="J3316" s="246"/>
      <c r="K3316" s="246"/>
      <c r="L3316" s="226"/>
      <c r="M3316" s="226"/>
      <c r="N3316" s="246"/>
      <c r="P3316" s="228"/>
      <c r="Q3316" s="245"/>
      <c r="R3316" s="186" t="str">
        <f aca="false">+PROPER(C3316&amp;" "&amp;D3316)</f>
        <v> </v>
      </c>
      <c r="S3316" s="230" t="n">
        <f aca="false">+YEARFRAC(L3316,$S$1)</f>
        <v>126.366666666667</v>
      </c>
      <c r="T3316" s="230" t="n">
        <f aca="false">+YEARFRAC(M3316,$S$1)</f>
        <v>126.366666666667</v>
      </c>
      <c r="U3316" s="231" t="n">
        <f aca="false">+$I3316</f>
        <v>0</v>
      </c>
      <c r="V3316" s="232" t="str">
        <f aca="false">+PROPER(F3316)</f>
        <v/>
      </c>
    </row>
    <row r="3317" customFormat="false" ht="14.25" hidden="false" customHeight="false" outlineLevel="0" collapsed="false">
      <c r="B3317" s="244"/>
      <c r="C3317" s="245"/>
      <c r="D3317" s="245"/>
      <c r="E3317" s="246"/>
      <c r="F3317" s="246"/>
      <c r="G3317" s="225" t="e">
        <f aca="false">VLOOKUP(B3317,'NIVEL ENERO'!A:F,4,0)</f>
        <v>#N/A</v>
      </c>
      <c r="H3317" s="247"/>
      <c r="I3317" s="247"/>
      <c r="J3317" s="246"/>
      <c r="K3317" s="246"/>
      <c r="L3317" s="226"/>
      <c r="M3317" s="226"/>
      <c r="N3317" s="246"/>
      <c r="P3317" s="228"/>
      <c r="Q3317" s="245"/>
      <c r="R3317" s="186" t="str">
        <f aca="false">+PROPER(C3317&amp;" "&amp;D3317)</f>
        <v> </v>
      </c>
      <c r="S3317" s="230" t="n">
        <f aca="false">+YEARFRAC(L3317,$S$1)</f>
        <v>126.366666666667</v>
      </c>
      <c r="T3317" s="230" t="n">
        <f aca="false">+YEARFRAC(M3317,$S$1)</f>
        <v>126.366666666667</v>
      </c>
      <c r="U3317" s="231" t="n">
        <f aca="false">+$I3317</f>
        <v>0</v>
      </c>
      <c r="V3317" s="232" t="str">
        <f aca="false">+PROPER(F3317)</f>
        <v/>
      </c>
    </row>
    <row r="3318" customFormat="false" ht="14.25" hidden="false" customHeight="false" outlineLevel="0" collapsed="false">
      <c r="B3318" s="244"/>
      <c r="C3318" s="245"/>
      <c r="D3318" s="245"/>
      <c r="E3318" s="246"/>
      <c r="F3318" s="246"/>
      <c r="G3318" s="225" t="e">
        <f aca="false">VLOOKUP(B3318,'NIVEL ENERO'!A:F,4,0)</f>
        <v>#N/A</v>
      </c>
      <c r="H3318" s="247"/>
      <c r="I3318" s="247"/>
      <c r="J3318" s="246"/>
      <c r="K3318" s="246"/>
      <c r="L3318" s="226"/>
      <c r="M3318" s="226"/>
      <c r="N3318" s="246"/>
      <c r="P3318" s="228"/>
      <c r="Q3318" s="245"/>
      <c r="R3318" s="186" t="str">
        <f aca="false">+PROPER(C3318&amp;" "&amp;D3318)</f>
        <v> </v>
      </c>
      <c r="S3318" s="230" t="n">
        <f aca="false">+YEARFRAC(L3318,$S$1)</f>
        <v>126.366666666667</v>
      </c>
      <c r="T3318" s="230" t="n">
        <f aca="false">+YEARFRAC(M3318,$S$1)</f>
        <v>126.366666666667</v>
      </c>
      <c r="U3318" s="231" t="n">
        <f aca="false">+$I3318</f>
        <v>0</v>
      </c>
      <c r="V3318" s="232" t="str">
        <f aca="false">+PROPER(F3318)</f>
        <v/>
      </c>
    </row>
    <row r="3319" customFormat="false" ht="14.25" hidden="false" customHeight="false" outlineLevel="0" collapsed="false">
      <c r="B3319" s="244"/>
      <c r="C3319" s="245"/>
      <c r="D3319" s="245"/>
      <c r="E3319" s="246"/>
      <c r="F3319" s="246"/>
      <c r="G3319" s="225" t="e">
        <f aca="false">VLOOKUP(B3319,'NIVEL ENERO'!A:F,4,0)</f>
        <v>#N/A</v>
      </c>
      <c r="H3319" s="247"/>
      <c r="I3319" s="247"/>
      <c r="J3319" s="246"/>
      <c r="K3319" s="246"/>
      <c r="L3319" s="226"/>
      <c r="M3319" s="226"/>
      <c r="N3319" s="246"/>
      <c r="P3319" s="228"/>
      <c r="Q3319" s="245"/>
      <c r="R3319" s="186" t="str">
        <f aca="false">+PROPER(C3319&amp;" "&amp;D3319)</f>
        <v> </v>
      </c>
      <c r="S3319" s="230" t="n">
        <f aca="false">+YEARFRAC(L3319,$S$1)</f>
        <v>126.366666666667</v>
      </c>
      <c r="T3319" s="230" t="n">
        <f aca="false">+YEARFRAC(M3319,$S$1)</f>
        <v>126.366666666667</v>
      </c>
      <c r="U3319" s="231" t="n">
        <f aca="false">+$I3319</f>
        <v>0</v>
      </c>
      <c r="V3319" s="232" t="str">
        <f aca="false">+PROPER(F3319)</f>
        <v/>
      </c>
    </row>
    <row r="3320" customFormat="false" ht="14.25" hidden="false" customHeight="false" outlineLevel="0" collapsed="false">
      <c r="B3320" s="244"/>
      <c r="C3320" s="245"/>
      <c r="D3320" s="245"/>
      <c r="E3320" s="246"/>
      <c r="F3320" s="246"/>
      <c r="G3320" s="225" t="e">
        <f aca="false">VLOOKUP(B3320,'NIVEL ENERO'!A:F,4,0)</f>
        <v>#N/A</v>
      </c>
      <c r="H3320" s="247"/>
      <c r="I3320" s="247"/>
      <c r="J3320" s="246"/>
      <c r="K3320" s="246"/>
      <c r="L3320" s="226"/>
      <c r="M3320" s="226"/>
      <c r="N3320" s="246"/>
      <c r="P3320" s="228"/>
      <c r="Q3320" s="245"/>
      <c r="R3320" s="186" t="str">
        <f aca="false">+PROPER(C3320&amp;" "&amp;D3320)</f>
        <v> </v>
      </c>
      <c r="S3320" s="230" t="n">
        <f aca="false">+YEARFRAC(L3320,$S$1)</f>
        <v>126.366666666667</v>
      </c>
      <c r="T3320" s="230" t="n">
        <f aca="false">+YEARFRAC(M3320,$S$1)</f>
        <v>126.366666666667</v>
      </c>
      <c r="U3320" s="231" t="n">
        <f aca="false">+$I3320</f>
        <v>0</v>
      </c>
      <c r="V3320" s="232" t="str">
        <f aca="false">+PROPER(F3320)</f>
        <v/>
      </c>
    </row>
    <row r="3321" customFormat="false" ht="14.25" hidden="false" customHeight="false" outlineLevel="0" collapsed="false">
      <c r="B3321" s="244"/>
      <c r="C3321" s="245"/>
      <c r="D3321" s="245"/>
      <c r="E3321" s="246"/>
      <c r="F3321" s="246"/>
      <c r="G3321" s="225" t="e">
        <f aca="false">VLOOKUP(B3321,'NIVEL ENERO'!A:F,4,0)</f>
        <v>#N/A</v>
      </c>
      <c r="H3321" s="247"/>
      <c r="I3321" s="247"/>
      <c r="J3321" s="246"/>
      <c r="K3321" s="246"/>
      <c r="L3321" s="226"/>
      <c r="M3321" s="226"/>
      <c r="N3321" s="246"/>
      <c r="P3321" s="228"/>
      <c r="Q3321" s="245"/>
      <c r="R3321" s="186" t="str">
        <f aca="false">+PROPER(C3321&amp;" "&amp;D3321)</f>
        <v> </v>
      </c>
      <c r="S3321" s="230" t="n">
        <f aca="false">+YEARFRAC(L3321,$S$1)</f>
        <v>126.366666666667</v>
      </c>
      <c r="T3321" s="230" t="n">
        <f aca="false">+YEARFRAC(M3321,$S$1)</f>
        <v>126.366666666667</v>
      </c>
      <c r="U3321" s="231" t="n">
        <f aca="false">+$I3321</f>
        <v>0</v>
      </c>
      <c r="V3321" s="232" t="str">
        <f aca="false">+PROPER(F3321)</f>
        <v/>
      </c>
    </row>
    <row r="3322" customFormat="false" ht="14.25" hidden="false" customHeight="false" outlineLevel="0" collapsed="false">
      <c r="B3322" s="244"/>
      <c r="C3322" s="245"/>
      <c r="D3322" s="245"/>
      <c r="E3322" s="246"/>
      <c r="F3322" s="246"/>
      <c r="G3322" s="225" t="e">
        <f aca="false">VLOOKUP(B3322,'NIVEL ENERO'!A:F,4,0)</f>
        <v>#N/A</v>
      </c>
      <c r="H3322" s="247"/>
      <c r="I3322" s="247"/>
      <c r="J3322" s="246"/>
      <c r="K3322" s="246"/>
      <c r="L3322" s="226"/>
      <c r="M3322" s="226"/>
      <c r="N3322" s="246"/>
      <c r="P3322" s="228"/>
      <c r="Q3322" s="245"/>
      <c r="R3322" s="186" t="str">
        <f aca="false">+PROPER(C3322&amp;" "&amp;D3322)</f>
        <v> </v>
      </c>
      <c r="S3322" s="230" t="n">
        <f aca="false">+YEARFRAC(L3322,$S$1)</f>
        <v>126.366666666667</v>
      </c>
      <c r="T3322" s="230" t="n">
        <f aca="false">+YEARFRAC(M3322,$S$1)</f>
        <v>126.366666666667</v>
      </c>
      <c r="U3322" s="231" t="n">
        <f aca="false">+$I3322</f>
        <v>0</v>
      </c>
      <c r="V3322" s="232" t="str">
        <f aca="false">+PROPER(F3322)</f>
        <v/>
      </c>
    </row>
    <row r="3323" customFormat="false" ht="14.25" hidden="false" customHeight="false" outlineLevel="0" collapsed="false">
      <c r="B3323" s="244"/>
      <c r="C3323" s="245"/>
      <c r="D3323" s="245"/>
      <c r="E3323" s="246"/>
      <c r="F3323" s="246"/>
      <c r="G3323" s="225" t="e">
        <f aca="false">VLOOKUP(B3323,'NIVEL ENERO'!A:F,4,0)</f>
        <v>#N/A</v>
      </c>
      <c r="H3323" s="247"/>
      <c r="I3323" s="247"/>
      <c r="J3323" s="246"/>
      <c r="K3323" s="246"/>
      <c r="L3323" s="226"/>
      <c r="M3323" s="226"/>
      <c r="N3323" s="246"/>
      <c r="P3323" s="228"/>
      <c r="Q3323" s="245"/>
      <c r="R3323" s="186" t="str">
        <f aca="false">+PROPER(C3323&amp;" "&amp;D3323)</f>
        <v> </v>
      </c>
      <c r="S3323" s="230" t="n">
        <f aca="false">+YEARFRAC(L3323,$S$1)</f>
        <v>126.366666666667</v>
      </c>
      <c r="T3323" s="230" t="n">
        <f aca="false">+YEARFRAC(M3323,$S$1)</f>
        <v>126.366666666667</v>
      </c>
      <c r="U3323" s="231" t="n">
        <f aca="false">+$I3323</f>
        <v>0</v>
      </c>
      <c r="V3323" s="232" t="str">
        <f aca="false">+PROPER(F3323)</f>
        <v/>
      </c>
    </row>
    <row r="3324" customFormat="false" ht="14.25" hidden="false" customHeight="false" outlineLevel="0" collapsed="false">
      <c r="B3324" s="244"/>
      <c r="C3324" s="245"/>
      <c r="D3324" s="245"/>
      <c r="E3324" s="246"/>
      <c r="F3324" s="246"/>
      <c r="G3324" s="225" t="e">
        <f aca="false">VLOOKUP(B3324,'NIVEL ENERO'!A:F,4,0)</f>
        <v>#N/A</v>
      </c>
      <c r="H3324" s="247"/>
      <c r="I3324" s="247"/>
      <c r="J3324" s="246"/>
      <c r="K3324" s="246"/>
      <c r="L3324" s="226"/>
      <c r="M3324" s="226"/>
      <c r="N3324" s="246"/>
      <c r="P3324" s="228"/>
      <c r="Q3324" s="245"/>
      <c r="R3324" s="186" t="str">
        <f aca="false">+PROPER(C3324&amp;" "&amp;D3324)</f>
        <v> </v>
      </c>
      <c r="S3324" s="230" t="n">
        <f aca="false">+YEARFRAC(L3324,$S$1)</f>
        <v>126.366666666667</v>
      </c>
      <c r="T3324" s="230" t="n">
        <f aca="false">+YEARFRAC(M3324,$S$1)</f>
        <v>126.366666666667</v>
      </c>
      <c r="U3324" s="231" t="n">
        <f aca="false">+$I3324</f>
        <v>0</v>
      </c>
      <c r="V3324" s="232" t="str">
        <f aca="false">+PROPER(F3324)</f>
        <v/>
      </c>
    </row>
    <row r="3325" customFormat="false" ht="14.25" hidden="false" customHeight="false" outlineLevel="0" collapsed="false">
      <c r="B3325" s="244"/>
      <c r="C3325" s="245"/>
      <c r="D3325" s="245"/>
      <c r="E3325" s="246"/>
      <c r="F3325" s="246"/>
      <c r="G3325" s="225" t="e">
        <f aca="false">VLOOKUP(B3325,'NIVEL ENERO'!A:F,4,0)</f>
        <v>#N/A</v>
      </c>
      <c r="H3325" s="247"/>
      <c r="I3325" s="247"/>
      <c r="J3325" s="246"/>
      <c r="K3325" s="246"/>
      <c r="L3325" s="226"/>
      <c r="M3325" s="226"/>
      <c r="N3325" s="246"/>
      <c r="P3325" s="228"/>
      <c r="Q3325" s="245"/>
      <c r="R3325" s="186" t="str">
        <f aca="false">+PROPER(C3325&amp;" "&amp;D3325)</f>
        <v> </v>
      </c>
      <c r="S3325" s="230" t="n">
        <f aca="false">+YEARFRAC(L3325,$S$1)</f>
        <v>126.366666666667</v>
      </c>
      <c r="T3325" s="230" t="n">
        <f aca="false">+YEARFRAC(M3325,$S$1)</f>
        <v>126.366666666667</v>
      </c>
      <c r="U3325" s="231" t="n">
        <f aca="false">+$I3325</f>
        <v>0</v>
      </c>
      <c r="V3325" s="232" t="str">
        <f aca="false">+PROPER(F3325)</f>
        <v/>
      </c>
    </row>
    <row r="3326" customFormat="false" ht="14.25" hidden="false" customHeight="false" outlineLevel="0" collapsed="false">
      <c r="B3326" s="244"/>
      <c r="C3326" s="245"/>
      <c r="D3326" s="245"/>
      <c r="E3326" s="246"/>
      <c r="F3326" s="246"/>
      <c r="G3326" s="225" t="e">
        <f aca="false">VLOOKUP(B3326,'NIVEL ENERO'!A:F,4,0)</f>
        <v>#N/A</v>
      </c>
      <c r="H3326" s="247"/>
      <c r="I3326" s="247"/>
      <c r="J3326" s="246"/>
      <c r="K3326" s="246"/>
      <c r="L3326" s="226"/>
      <c r="M3326" s="226"/>
      <c r="N3326" s="246"/>
      <c r="P3326" s="228"/>
      <c r="Q3326" s="245"/>
      <c r="R3326" s="186" t="str">
        <f aca="false">+PROPER(C3326&amp;" "&amp;D3326)</f>
        <v> </v>
      </c>
      <c r="S3326" s="230" t="n">
        <f aca="false">+YEARFRAC(L3326,$S$1)</f>
        <v>126.366666666667</v>
      </c>
      <c r="T3326" s="230" t="n">
        <f aca="false">+YEARFRAC(M3326,$S$1)</f>
        <v>126.366666666667</v>
      </c>
      <c r="U3326" s="231" t="n">
        <f aca="false">+$I3326</f>
        <v>0</v>
      </c>
      <c r="V3326" s="232" t="str">
        <f aca="false">+PROPER(F3326)</f>
        <v/>
      </c>
    </row>
    <row r="3327" customFormat="false" ht="14.25" hidden="false" customHeight="false" outlineLevel="0" collapsed="false">
      <c r="B3327" s="244"/>
      <c r="C3327" s="245"/>
      <c r="D3327" s="245"/>
      <c r="E3327" s="246"/>
      <c r="F3327" s="246"/>
      <c r="G3327" s="225" t="e">
        <f aca="false">VLOOKUP(B3327,'NIVEL ENERO'!A:F,4,0)</f>
        <v>#N/A</v>
      </c>
      <c r="H3327" s="247"/>
      <c r="I3327" s="247"/>
      <c r="J3327" s="246"/>
      <c r="K3327" s="246"/>
      <c r="L3327" s="226"/>
      <c r="M3327" s="226"/>
      <c r="N3327" s="246"/>
      <c r="P3327" s="228"/>
      <c r="Q3327" s="245"/>
      <c r="R3327" s="186" t="str">
        <f aca="false">+PROPER(C3327&amp;" "&amp;D3327)</f>
        <v> </v>
      </c>
      <c r="S3327" s="230" t="n">
        <f aca="false">+YEARFRAC(L3327,$S$1)</f>
        <v>126.366666666667</v>
      </c>
      <c r="T3327" s="230" t="n">
        <f aca="false">+YEARFRAC(M3327,$S$1)</f>
        <v>126.366666666667</v>
      </c>
      <c r="U3327" s="231" t="n">
        <f aca="false">+$I3327</f>
        <v>0</v>
      </c>
      <c r="V3327" s="232" t="str">
        <f aca="false">+PROPER(F3327)</f>
        <v/>
      </c>
    </row>
    <row r="3328" customFormat="false" ht="14.25" hidden="false" customHeight="false" outlineLevel="0" collapsed="false">
      <c r="B3328" s="244"/>
      <c r="C3328" s="245"/>
      <c r="D3328" s="245"/>
      <c r="E3328" s="246"/>
      <c r="F3328" s="246"/>
      <c r="G3328" s="225" t="e">
        <f aca="false">VLOOKUP(B3328,'NIVEL ENERO'!A:F,4,0)</f>
        <v>#N/A</v>
      </c>
      <c r="H3328" s="247"/>
      <c r="I3328" s="247"/>
      <c r="J3328" s="246"/>
      <c r="K3328" s="246"/>
      <c r="L3328" s="226"/>
      <c r="M3328" s="226"/>
      <c r="N3328" s="246"/>
      <c r="P3328" s="228"/>
      <c r="Q3328" s="245"/>
      <c r="R3328" s="186" t="str">
        <f aca="false">+PROPER(C3328&amp;" "&amp;D3328)</f>
        <v> </v>
      </c>
      <c r="S3328" s="230" t="n">
        <f aca="false">+YEARFRAC(L3328,$S$1)</f>
        <v>126.366666666667</v>
      </c>
      <c r="T3328" s="230" t="n">
        <f aca="false">+YEARFRAC(M3328,$S$1)</f>
        <v>126.366666666667</v>
      </c>
      <c r="U3328" s="231" t="n">
        <f aca="false">+$I3328</f>
        <v>0</v>
      </c>
      <c r="V3328" s="232" t="str">
        <f aca="false">+PROPER(F3328)</f>
        <v/>
      </c>
    </row>
    <row r="3329" customFormat="false" ht="14.25" hidden="false" customHeight="false" outlineLevel="0" collapsed="false">
      <c r="B3329" s="244"/>
      <c r="C3329" s="245"/>
      <c r="D3329" s="245"/>
      <c r="E3329" s="246"/>
      <c r="F3329" s="246"/>
      <c r="G3329" s="225" t="e">
        <f aca="false">VLOOKUP(B3329,'NIVEL ENERO'!A:F,4,0)</f>
        <v>#N/A</v>
      </c>
      <c r="H3329" s="247"/>
      <c r="I3329" s="247"/>
      <c r="J3329" s="246"/>
      <c r="K3329" s="246"/>
      <c r="L3329" s="226"/>
      <c r="M3329" s="226"/>
      <c r="N3329" s="246"/>
      <c r="P3329" s="228"/>
      <c r="Q3329" s="245"/>
      <c r="R3329" s="186" t="str">
        <f aca="false">+PROPER(C3329&amp;" "&amp;D3329)</f>
        <v> </v>
      </c>
      <c r="S3329" s="230" t="n">
        <f aca="false">+YEARFRAC(L3329,$S$1)</f>
        <v>126.366666666667</v>
      </c>
      <c r="T3329" s="230" t="n">
        <f aca="false">+YEARFRAC(M3329,$S$1)</f>
        <v>126.366666666667</v>
      </c>
      <c r="U3329" s="231" t="n">
        <f aca="false">+$I3329</f>
        <v>0</v>
      </c>
      <c r="V3329" s="232" t="str">
        <f aca="false">+PROPER(F3329)</f>
        <v/>
      </c>
    </row>
    <row r="3330" customFormat="false" ht="14.25" hidden="false" customHeight="false" outlineLevel="0" collapsed="false">
      <c r="B3330" s="244"/>
      <c r="C3330" s="245"/>
      <c r="D3330" s="245"/>
      <c r="E3330" s="246"/>
      <c r="F3330" s="246"/>
      <c r="G3330" s="225" t="e">
        <f aca="false">VLOOKUP(B3330,'NIVEL ENERO'!A:F,4,0)</f>
        <v>#N/A</v>
      </c>
      <c r="H3330" s="247"/>
      <c r="I3330" s="247"/>
      <c r="J3330" s="246"/>
      <c r="K3330" s="246"/>
      <c r="L3330" s="226"/>
      <c r="M3330" s="226"/>
      <c r="N3330" s="246"/>
      <c r="P3330" s="228"/>
      <c r="Q3330" s="245"/>
      <c r="R3330" s="186" t="str">
        <f aca="false">+PROPER(C3330&amp;" "&amp;D3330)</f>
        <v> </v>
      </c>
      <c r="S3330" s="230" t="n">
        <f aca="false">+YEARFRAC(L3330,$S$1)</f>
        <v>126.366666666667</v>
      </c>
      <c r="T3330" s="230" t="n">
        <f aca="false">+YEARFRAC(M3330,$S$1)</f>
        <v>126.366666666667</v>
      </c>
      <c r="U3330" s="231" t="n">
        <f aca="false">+$I3330</f>
        <v>0</v>
      </c>
      <c r="V3330" s="232" t="str">
        <f aca="false">+PROPER(F3330)</f>
        <v/>
      </c>
    </row>
    <row r="3331" customFormat="false" ht="14.25" hidden="false" customHeight="false" outlineLevel="0" collapsed="false">
      <c r="B3331" s="244"/>
      <c r="C3331" s="245"/>
      <c r="D3331" s="245"/>
      <c r="E3331" s="246"/>
      <c r="F3331" s="246"/>
      <c r="G3331" s="225" t="e">
        <f aca="false">VLOOKUP(B3331,'NIVEL ENERO'!A:F,4,0)</f>
        <v>#N/A</v>
      </c>
      <c r="H3331" s="247"/>
      <c r="I3331" s="247"/>
      <c r="J3331" s="246"/>
      <c r="K3331" s="246"/>
      <c r="L3331" s="226"/>
      <c r="M3331" s="226"/>
      <c r="N3331" s="246"/>
      <c r="P3331" s="228"/>
      <c r="Q3331" s="245"/>
      <c r="R3331" s="186" t="str">
        <f aca="false">+PROPER(C3331&amp;" "&amp;D3331)</f>
        <v> </v>
      </c>
      <c r="S3331" s="230" t="n">
        <f aca="false">+YEARFRAC(L3331,$S$1)</f>
        <v>126.366666666667</v>
      </c>
      <c r="T3331" s="230" t="n">
        <f aca="false">+YEARFRAC(M3331,$S$1)</f>
        <v>126.366666666667</v>
      </c>
      <c r="U3331" s="231" t="n">
        <f aca="false">+$I3331</f>
        <v>0</v>
      </c>
      <c r="V3331" s="232" t="str">
        <f aca="false">+PROPER(F3331)</f>
        <v/>
      </c>
    </row>
    <row r="3332" customFormat="false" ht="14.25" hidden="false" customHeight="false" outlineLevel="0" collapsed="false">
      <c r="B3332" s="244"/>
      <c r="C3332" s="245"/>
      <c r="D3332" s="245"/>
      <c r="E3332" s="246"/>
      <c r="F3332" s="246"/>
      <c r="G3332" s="225" t="e">
        <f aca="false">VLOOKUP(B3332,'NIVEL ENERO'!A:F,4,0)</f>
        <v>#N/A</v>
      </c>
      <c r="H3332" s="247"/>
      <c r="I3332" s="247"/>
      <c r="J3332" s="246"/>
      <c r="K3332" s="246"/>
      <c r="L3332" s="226"/>
      <c r="M3332" s="226"/>
      <c r="N3332" s="246"/>
      <c r="P3332" s="228"/>
      <c r="Q3332" s="245"/>
      <c r="R3332" s="186" t="str">
        <f aca="false">+PROPER(C3332&amp;" "&amp;D3332)</f>
        <v> </v>
      </c>
      <c r="S3332" s="230" t="n">
        <f aca="false">+YEARFRAC(L3332,$S$1)</f>
        <v>126.366666666667</v>
      </c>
      <c r="T3332" s="230" t="n">
        <f aca="false">+YEARFRAC(M3332,$S$1)</f>
        <v>126.366666666667</v>
      </c>
      <c r="U3332" s="231" t="n">
        <f aca="false">+$I3332</f>
        <v>0</v>
      </c>
      <c r="V3332" s="232" t="str">
        <f aca="false">+PROPER(F3332)</f>
        <v/>
      </c>
    </row>
    <row r="3333" customFormat="false" ht="14.25" hidden="false" customHeight="false" outlineLevel="0" collapsed="false">
      <c r="B3333" s="244"/>
      <c r="C3333" s="245"/>
      <c r="D3333" s="245"/>
      <c r="E3333" s="246"/>
      <c r="F3333" s="246"/>
      <c r="G3333" s="225" t="e">
        <f aca="false">VLOOKUP(B3333,'NIVEL ENERO'!A:F,4,0)</f>
        <v>#N/A</v>
      </c>
      <c r="H3333" s="247"/>
      <c r="I3333" s="247"/>
      <c r="J3333" s="246"/>
      <c r="K3333" s="246"/>
      <c r="L3333" s="226"/>
      <c r="M3333" s="226"/>
      <c r="N3333" s="246"/>
      <c r="P3333" s="228"/>
      <c r="Q3333" s="245"/>
      <c r="R3333" s="186" t="str">
        <f aca="false">+PROPER(C3333&amp;" "&amp;D3333)</f>
        <v> </v>
      </c>
      <c r="S3333" s="230" t="n">
        <f aca="false">+YEARFRAC(L3333,$S$1)</f>
        <v>126.366666666667</v>
      </c>
      <c r="T3333" s="230" t="n">
        <f aca="false">+YEARFRAC(M3333,$S$1)</f>
        <v>126.366666666667</v>
      </c>
      <c r="U3333" s="231" t="n">
        <f aca="false">+$I3333</f>
        <v>0</v>
      </c>
      <c r="V3333" s="232" t="str">
        <f aca="false">+PROPER(F3333)</f>
        <v/>
      </c>
    </row>
    <row r="3334" customFormat="false" ht="14.25" hidden="false" customHeight="false" outlineLevel="0" collapsed="false">
      <c r="B3334" s="244"/>
      <c r="C3334" s="245"/>
      <c r="D3334" s="245"/>
      <c r="E3334" s="246"/>
      <c r="F3334" s="246"/>
      <c r="G3334" s="225" t="e">
        <f aca="false">VLOOKUP(B3334,'NIVEL ENERO'!A:F,4,0)</f>
        <v>#N/A</v>
      </c>
      <c r="H3334" s="247"/>
      <c r="I3334" s="247"/>
      <c r="J3334" s="246"/>
      <c r="K3334" s="246"/>
      <c r="L3334" s="226"/>
      <c r="M3334" s="226"/>
      <c r="N3334" s="246"/>
      <c r="P3334" s="228"/>
      <c r="Q3334" s="245"/>
      <c r="R3334" s="186" t="str">
        <f aca="false">+PROPER(C3334&amp;" "&amp;D3334)</f>
        <v> </v>
      </c>
      <c r="S3334" s="230" t="n">
        <f aca="false">+YEARFRAC(L3334,$S$1)</f>
        <v>126.366666666667</v>
      </c>
      <c r="T3334" s="230" t="n">
        <f aca="false">+YEARFRAC(M3334,$S$1)</f>
        <v>126.366666666667</v>
      </c>
      <c r="U3334" s="231" t="n">
        <f aca="false">+$I3334</f>
        <v>0</v>
      </c>
      <c r="V3334" s="232" t="str">
        <f aca="false">+PROPER(F3334)</f>
        <v/>
      </c>
    </row>
    <row r="3335" customFormat="false" ht="14.25" hidden="false" customHeight="false" outlineLevel="0" collapsed="false">
      <c r="B3335" s="244"/>
      <c r="C3335" s="245"/>
      <c r="D3335" s="245"/>
      <c r="E3335" s="246"/>
      <c r="F3335" s="246"/>
      <c r="G3335" s="225" t="e">
        <f aca="false">VLOOKUP(B3335,'NIVEL ENERO'!A:F,4,0)</f>
        <v>#N/A</v>
      </c>
      <c r="H3335" s="247"/>
      <c r="I3335" s="247"/>
      <c r="J3335" s="246"/>
      <c r="K3335" s="246"/>
      <c r="L3335" s="226"/>
      <c r="M3335" s="226"/>
      <c r="N3335" s="246"/>
      <c r="P3335" s="228"/>
      <c r="Q3335" s="245"/>
      <c r="R3335" s="186" t="str">
        <f aca="false">+PROPER(C3335&amp;" "&amp;D3335)</f>
        <v> </v>
      </c>
      <c r="S3335" s="230" t="n">
        <f aca="false">+YEARFRAC(L3335,$S$1)</f>
        <v>126.366666666667</v>
      </c>
      <c r="T3335" s="230" t="n">
        <f aca="false">+YEARFRAC(M3335,$S$1)</f>
        <v>126.366666666667</v>
      </c>
      <c r="U3335" s="231" t="n">
        <f aca="false">+$I3335</f>
        <v>0</v>
      </c>
      <c r="V3335" s="232" t="str">
        <f aca="false">+PROPER(F3335)</f>
        <v/>
      </c>
    </row>
    <row r="3336" customFormat="false" ht="14.25" hidden="false" customHeight="false" outlineLevel="0" collapsed="false">
      <c r="B3336" s="244"/>
      <c r="C3336" s="245"/>
      <c r="D3336" s="245"/>
      <c r="E3336" s="246"/>
      <c r="F3336" s="246"/>
      <c r="G3336" s="225" t="e">
        <f aca="false">VLOOKUP(B3336,'NIVEL ENERO'!A:F,4,0)</f>
        <v>#N/A</v>
      </c>
      <c r="H3336" s="247"/>
      <c r="I3336" s="247"/>
      <c r="J3336" s="246"/>
      <c r="K3336" s="246"/>
      <c r="L3336" s="226"/>
      <c r="M3336" s="226"/>
      <c r="N3336" s="246"/>
      <c r="P3336" s="228"/>
      <c r="Q3336" s="245"/>
      <c r="R3336" s="186" t="str">
        <f aca="false">+PROPER(C3336&amp;" "&amp;D3336)</f>
        <v> </v>
      </c>
      <c r="S3336" s="230" t="n">
        <f aca="false">+YEARFRAC(L3336,$S$1)</f>
        <v>126.366666666667</v>
      </c>
      <c r="T3336" s="230" t="n">
        <f aca="false">+YEARFRAC(M3336,$S$1)</f>
        <v>126.366666666667</v>
      </c>
      <c r="U3336" s="231" t="n">
        <f aca="false">+$I3336</f>
        <v>0</v>
      </c>
      <c r="V3336" s="232" t="str">
        <f aca="false">+PROPER(F3336)</f>
        <v/>
      </c>
    </row>
    <row r="3337" customFormat="false" ht="14.25" hidden="false" customHeight="false" outlineLevel="0" collapsed="false">
      <c r="B3337" s="244"/>
      <c r="C3337" s="245"/>
      <c r="D3337" s="245"/>
      <c r="E3337" s="246"/>
      <c r="F3337" s="246"/>
      <c r="G3337" s="225" t="e">
        <f aca="false">VLOOKUP(B3337,'NIVEL ENERO'!A:F,4,0)</f>
        <v>#N/A</v>
      </c>
      <c r="H3337" s="247"/>
      <c r="I3337" s="247"/>
      <c r="J3337" s="246"/>
      <c r="K3337" s="246"/>
      <c r="L3337" s="226"/>
      <c r="M3337" s="226"/>
      <c r="N3337" s="246"/>
      <c r="P3337" s="228"/>
      <c r="Q3337" s="245"/>
      <c r="R3337" s="186" t="str">
        <f aca="false">+PROPER(C3337&amp;" "&amp;D3337)</f>
        <v> </v>
      </c>
      <c r="S3337" s="230" t="n">
        <f aca="false">+YEARFRAC(L3337,$S$1)</f>
        <v>126.366666666667</v>
      </c>
      <c r="T3337" s="230" t="n">
        <f aca="false">+YEARFRAC(M3337,$S$1)</f>
        <v>126.366666666667</v>
      </c>
      <c r="U3337" s="231" t="n">
        <f aca="false">+$I3337</f>
        <v>0</v>
      </c>
      <c r="V3337" s="232" t="str">
        <f aca="false">+PROPER(F3337)</f>
        <v/>
      </c>
    </row>
    <row r="3338" customFormat="false" ht="14.25" hidden="false" customHeight="false" outlineLevel="0" collapsed="false">
      <c r="B3338" s="244"/>
      <c r="C3338" s="245"/>
      <c r="D3338" s="245"/>
      <c r="E3338" s="246"/>
      <c r="F3338" s="246"/>
      <c r="G3338" s="225" t="e">
        <f aca="false">VLOOKUP(B3338,'NIVEL ENERO'!A:F,4,0)</f>
        <v>#N/A</v>
      </c>
      <c r="H3338" s="247"/>
      <c r="I3338" s="247"/>
      <c r="J3338" s="246"/>
      <c r="K3338" s="246"/>
      <c r="L3338" s="226"/>
      <c r="M3338" s="226"/>
      <c r="N3338" s="246"/>
      <c r="P3338" s="228"/>
      <c r="Q3338" s="245"/>
      <c r="R3338" s="186" t="str">
        <f aca="false">+PROPER(C3338&amp;" "&amp;D3338)</f>
        <v> </v>
      </c>
      <c r="S3338" s="230" t="n">
        <f aca="false">+YEARFRAC(L3338,$S$1)</f>
        <v>126.366666666667</v>
      </c>
      <c r="T3338" s="230" t="n">
        <f aca="false">+YEARFRAC(M3338,$S$1)</f>
        <v>126.366666666667</v>
      </c>
      <c r="U3338" s="231" t="n">
        <f aca="false">+$I3338</f>
        <v>0</v>
      </c>
      <c r="V3338" s="232" t="str">
        <f aca="false">+PROPER(F3338)</f>
        <v/>
      </c>
    </row>
    <row r="3339" customFormat="false" ht="14.25" hidden="false" customHeight="false" outlineLevel="0" collapsed="false">
      <c r="B3339" s="244"/>
      <c r="C3339" s="245"/>
      <c r="D3339" s="245"/>
      <c r="E3339" s="246"/>
      <c r="F3339" s="246"/>
      <c r="G3339" s="225" t="e">
        <f aca="false">VLOOKUP(B3339,'NIVEL ENERO'!A:F,4,0)</f>
        <v>#N/A</v>
      </c>
      <c r="H3339" s="247"/>
      <c r="I3339" s="247"/>
      <c r="J3339" s="246"/>
      <c r="K3339" s="246"/>
      <c r="L3339" s="226"/>
      <c r="M3339" s="226"/>
      <c r="N3339" s="246"/>
      <c r="P3339" s="228"/>
      <c r="Q3339" s="245"/>
      <c r="R3339" s="186" t="str">
        <f aca="false">+PROPER(C3339&amp;" "&amp;D3339)</f>
        <v> </v>
      </c>
      <c r="S3339" s="230" t="n">
        <f aca="false">+YEARFRAC(L3339,$S$1)</f>
        <v>126.366666666667</v>
      </c>
      <c r="T3339" s="230" t="n">
        <f aca="false">+YEARFRAC(M3339,$S$1)</f>
        <v>126.366666666667</v>
      </c>
      <c r="U3339" s="231" t="n">
        <f aca="false">+$I3339</f>
        <v>0</v>
      </c>
      <c r="V3339" s="232" t="str">
        <f aca="false">+PROPER(F3339)</f>
        <v/>
      </c>
    </row>
    <row r="3340" customFormat="false" ht="14.25" hidden="false" customHeight="false" outlineLevel="0" collapsed="false">
      <c r="B3340" s="244"/>
      <c r="C3340" s="245"/>
      <c r="D3340" s="245"/>
      <c r="E3340" s="246"/>
      <c r="F3340" s="246"/>
      <c r="G3340" s="225" t="e">
        <f aca="false">VLOOKUP(B3340,'NIVEL ENERO'!A:F,4,0)</f>
        <v>#N/A</v>
      </c>
      <c r="H3340" s="247"/>
      <c r="I3340" s="247"/>
      <c r="J3340" s="246"/>
      <c r="K3340" s="246"/>
      <c r="L3340" s="226"/>
      <c r="M3340" s="226"/>
      <c r="N3340" s="246"/>
      <c r="P3340" s="228"/>
      <c r="Q3340" s="245"/>
      <c r="R3340" s="186" t="str">
        <f aca="false">+PROPER(C3340&amp;" "&amp;D3340)</f>
        <v> </v>
      </c>
      <c r="S3340" s="230" t="n">
        <f aca="false">+YEARFRAC(L3340,$S$1)</f>
        <v>126.366666666667</v>
      </c>
      <c r="T3340" s="230" t="n">
        <f aca="false">+YEARFRAC(M3340,$S$1)</f>
        <v>126.366666666667</v>
      </c>
      <c r="U3340" s="231" t="n">
        <f aca="false">+$I3340</f>
        <v>0</v>
      </c>
      <c r="V3340" s="232" t="str">
        <f aca="false">+PROPER(F3340)</f>
        <v/>
      </c>
    </row>
    <row r="3341" customFormat="false" ht="14.25" hidden="false" customHeight="false" outlineLevel="0" collapsed="false">
      <c r="B3341" s="244"/>
      <c r="C3341" s="245"/>
      <c r="D3341" s="245"/>
      <c r="E3341" s="246"/>
      <c r="F3341" s="246"/>
      <c r="G3341" s="225" t="e">
        <f aca="false">VLOOKUP(B3341,'NIVEL ENERO'!A:F,4,0)</f>
        <v>#N/A</v>
      </c>
      <c r="H3341" s="247"/>
      <c r="I3341" s="247"/>
      <c r="J3341" s="246"/>
      <c r="K3341" s="246"/>
      <c r="L3341" s="226"/>
      <c r="M3341" s="226"/>
      <c r="N3341" s="246"/>
      <c r="P3341" s="228"/>
      <c r="Q3341" s="245"/>
      <c r="R3341" s="186" t="str">
        <f aca="false">+PROPER(C3341&amp;" "&amp;D3341)</f>
        <v> </v>
      </c>
      <c r="S3341" s="230" t="n">
        <f aca="false">+YEARFRAC(L3341,$S$1)</f>
        <v>126.366666666667</v>
      </c>
      <c r="T3341" s="230" t="n">
        <f aca="false">+YEARFRAC(M3341,$S$1)</f>
        <v>126.366666666667</v>
      </c>
      <c r="U3341" s="231" t="n">
        <f aca="false">+$I3341</f>
        <v>0</v>
      </c>
      <c r="V3341" s="232" t="str">
        <f aca="false">+PROPER(F3341)</f>
        <v/>
      </c>
    </row>
    <row r="3342" customFormat="false" ht="14.25" hidden="false" customHeight="false" outlineLevel="0" collapsed="false">
      <c r="B3342" s="244"/>
      <c r="C3342" s="245"/>
      <c r="D3342" s="245"/>
      <c r="E3342" s="246"/>
      <c r="F3342" s="246"/>
      <c r="G3342" s="225" t="e">
        <f aca="false">VLOOKUP(B3342,'NIVEL ENERO'!A:F,4,0)</f>
        <v>#N/A</v>
      </c>
      <c r="H3342" s="247"/>
      <c r="I3342" s="247"/>
      <c r="J3342" s="246"/>
      <c r="K3342" s="246"/>
      <c r="L3342" s="226"/>
      <c r="M3342" s="226"/>
      <c r="N3342" s="246"/>
      <c r="P3342" s="228"/>
      <c r="Q3342" s="245"/>
      <c r="R3342" s="186" t="str">
        <f aca="false">+PROPER(C3342&amp;" "&amp;D3342)</f>
        <v> </v>
      </c>
      <c r="S3342" s="230" t="n">
        <f aca="false">+YEARFRAC(L3342,$S$1)</f>
        <v>126.366666666667</v>
      </c>
      <c r="T3342" s="230" t="n">
        <f aca="false">+YEARFRAC(M3342,$S$1)</f>
        <v>126.366666666667</v>
      </c>
      <c r="U3342" s="231" t="n">
        <f aca="false">+$I3342</f>
        <v>0</v>
      </c>
      <c r="V3342" s="232" t="str">
        <f aca="false">+PROPER(F3342)</f>
        <v/>
      </c>
    </row>
    <row r="3343" customFormat="false" ht="14.25" hidden="false" customHeight="false" outlineLevel="0" collapsed="false">
      <c r="B3343" s="244"/>
      <c r="C3343" s="245"/>
      <c r="D3343" s="245"/>
      <c r="E3343" s="246"/>
      <c r="F3343" s="246"/>
      <c r="G3343" s="225" t="e">
        <f aca="false">VLOOKUP(B3343,'NIVEL ENERO'!A:F,4,0)</f>
        <v>#N/A</v>
      </c>
      <c r="H3343" s="247"/>
      <c r="I3343" s="247"/>
      <c r="J3343" s="246"/>
      <c r="K3343" s="246"/>
      <c r="L3343" s="226"/>
      <c r="M3343" s="226"/>
      <c r="N3343" s="246"/>
      <c r="P3343" s="228"/>
      <c r="Q3343" s="245"/>
      <c r="R3343" s="186" t="str">
        <f aca="false">+PROPER(C3343&amp;" "&amp;D3343)</f>
        <v> </v>
      </c>
      <c r="S3343" s="230" t="n">
        <f aca="false">+YEARFRAC(L3343,$S$1)</f>
        <v>126.366666666667</v>
      </c>
      <c r="T3343" s="230" t="n">
        <f aca="false">+YEARFRAC(M3343,$S$1)</f>
        <v>126.366666666667</v>
      </c>
      <c r="U3343" s="231" t="n">
        <f aca="false">+$I3343</f>
        <v>0</v>
      </c>
      <c r="V3343" s="232" t="str">
        <f aca="false">+PROPER(F3343)</f>
        <v/>
      </c>
    </row>
    <row r="3344" customFormat="false" ht="14.25" hidden="false" customHeight="false" outlineLevel="0" collapsed="false">
      <c r="B3344" s="244"/>
      <c r="C3344" s="245"/>
      <c r="D3344" s="245"/>
      <c r="E3344" s="246"/>
      <c r="F3344" s="246"/>
      <c r="G3344" s="225" t="e">
        <f aca="false">VLOOKUP(B3344,'NIVEL ENERO'!A:F,4,0)</f>
        <v>#N/A</v>
      </c>
      <c r="H3344" s="247"/>
      <c r="I3344" s="247"/>
      <c r="J3344" s="246"/>
      <c r="K3344" s="246"/>
      <c r="L3344" s="226"/>
      <c r="M3344" s="226"/>
      <c r="N3344" s="246"/>
      <c r="P3344" s="228"/>
      <c r="Q3344" s="245"/>
      <c r="R3344" s="186" t="str">
        <f aca="false">+PROPER(C3344&amp;" "&amp;D3344)</f>
        <v> </v>
      </c>
      <c r="S3344" s="230" t="n">
        <f aca="false">+YEARFRAC(L3344,$S$1)</f>
        <v>126.366666666667</v>
      </c>
      <c r="T3344" s="230" t="n">
        <f aca="false">+YEARFRAC(M3344,$S$1)</f>
        <v>126.366666666667</v>
      </c>
      <c r="U3344" s="231" t="n">
        <f aca="false">+$I3344</f>
        <v>0</v>
      </c>
      <c r="V3344" s="232" t="str">
        <f aca="false">+PROPER(F3344)</f>
        <v/>
      </c>
    </row>
    <row r="3345" customFormat="false" ht="14.25" hidden="false" customHeight="false" outlineLevel="0" collapsed="false">
      <c r="B3345" s="244"/>
      <c r="C3345" s="245"/>
      <c r="D3345" s="245"/>
      <c r="E3345" s="246"/>
      <c r="F3345" s="246"/>
      <c r="G3345" s="225" t="e">
        <f aca="false">VLOOKUP(B3345,'NIVEL ENERO'!A:F,4,0)</f>
        <v>#N/A</v>
      </c>
      <c r="H3345" s="247"/>
      <c r="I3345" s="247"/>
      <c r="J3345" s="246"/>
      <c r="K3345" s="246"/>
      <c r="L3345" s="226"/>
      <c r="M3345" s="226"/>
      <c r="N3345" s="246"/>
      <c r="P3345" s="228"/>
      <c r="Q3345" s="245"/>
      <c r="R3345" s="186" t="str">
        <f aca="false">+PROPER(C3345&amp;" "&amp;D3345)</f>
        <v> </v>
      </c>
      <c r="S3345" s="230" t="n">
        <f aca="false">+YEARFRAC(L3345,$S$1)</f>
        <v>126.366666666667</v>
      </c>
      <c r="T3345" s="230" t="n">
        <f aca="false">+YEARFRAC(M3345,$S$1)</f>
        <v>126.366666666667</v>
      </c>
      <c r="U3345" s="231" t="n">
        <f aca="false">+$I3345</f>
        <v>0</v>
      </c>
      <c r="V3345" s="232" t="str">
        <f aca="false">+PROPER(F3345)</f>
        <v/>
      </c>
    </row>
    <row r="3346" customFormat="false" ht="14.25" hidden="false" customHeight="false" outlineLevel="0" collapsed="false">
      <c r="B3346" s="244"/>
      <c r="C3346" s="245"/>
      <c r="D3346" s="245"/>
      <c r="E3346" s="246"/>
      <c r="F3346" s="246"/>
      <c r="G3346" s="225" t="e">
        <f aca="false">VLOOKUP(B3346,'NIVEL ENERO'!A:F,4,0)</f>
        <v>#N/A</v>
      </c>
      <c r="H3346" s="247"/>
      <c r="I3346" s="247"/>
      <c r="J3346" s="246"/>
      <c r="K3346" s="246"/>
      <c r="L3346" s="226"/>
      <c r="M3346" s="226"/>
      <c r="N3346" s="246"/>
      <c r="P3346" s="228"/>
      <c r="Q3346" s="245"/>
      <c r="R3346" s="186" t="str">
        <f aca="false">+PROPER(C3346&amp;" "&amp;D3346)</f>
        <v> </v>
      </c>
      <c r="S3346" s="230" t="n">
        <f aca="false">+YEARFRAC(L3346,$S$1)</f>
        <v>126.366666666667</v>
      </c>
      <c r="T3346" s="230" t="n">
        <f aca="false">+YEARFRAC(M3346,$S$1)</f>
        <v>126.366666666667</v>
      </c>
      <c r="U3346" s="231" t="n">
        <f aca="false">+$I3346</f>
        <v>0</v>
      </c>
      <c r="V3346" s="232" t="str">
        <f aca="false">+PROPER(F3346)</f>
        <v/>
      </c>
    </row>
    <row r="3347" customFormat="false" ht="14.25" hidden="false" customHeight="false" outlineLevel="0" collapsed="false">
      <c r="B3347" s="244"/>
      <c r="C3347" s="245"/>
      <c r="D3347" s="245"/>
      <c r="E3347" s="246"/>
      <c r="F3347" s="246"/>
      <c r="G3347" s="225" t="e">
        <f aca="false">VLOOKUP(B3347,'NIVEL ENERO'!A:F,4,0)</f>
        <v>#N/A</v>
      </c>
      <c r="H3347" s="247"/>
      <c r="I3347" s="247"/>
      <c r="J3347" s="246"/>
      <c r="K3347" s="246"/>
      <c r="L3347" s="226"/>
      <c r="M3347" s="226"/>
      <c r="N3347" s="246"/>
      <c r="P3347" s="228"/>
      <c r="Q3347" s="245"/>
      <c r="R3347" s="186" t="str">
        <f aca="false">+PROPER(C3347&amp;" "&amp;D3347)</f>
        <v> </v>
      </c>
      <c r="S3347" s="230" t="n">
        <f aca="false">+YEARFRAC(L3347,$S$1)</f>
        <v>126.366666666667</v>
      </c>
      <c r="T3347" s="230" t="n">
        <f aca="false">+YEARFRAC(M3347,$S$1)</f>
        <v>126.366666666667</v>
      </c>
      <c r="U3347" s="231" t="n">
        <f aca="false">+$I3347</f>
        <v>0</v>
      </c>
      <c r="V3347" s="232" t="str">
        <f aca="false">+PROPER(F3347)</f>
        <v/>
      </c>
    </row>
    <row r="3348" customFormat="false" ht="14.25" hidden="false" customHeight="false" outlineLevel="0" collapsed="false">
      <c r="B3348" s="244"/>
      <c r="C3348" s="245"/>
      <c r="D3348" s="245"/>
      <c r="E3348" s="246"/>
      <c r="F3348" s="246"/>
      <c r="G3348" s="225" t="e">
        <f aca="false">VLOOKUP(B3348,'NIVEL ENERO'!A:F,4,0)</f>
        <v>#N/A</v>
      </c>
      <c r="H3348" s="247"/>
      <c r="I3348" s="247"/>
      <c r="J3348" s="246"/>
      <c r="K3348" s="246"/>
      <c r="L3348" s="226"/>
      <c r="M3348" s="226"/>
      <c r="N3348" s="246"/>
      <c r="P3348" s="228"/>
      <c r="Q3348" s="245"/>
      <c r="R3348" s="186" t="str">
        <f aca="false">+PROPER(C3348&amp;" "&amp;D3348)</f>
        <v> </v>
      </c>
      <c r="S3348" s="230" t="n">
        <f aca="false">+YEARFRAC(L3348,$S$1)</f>
        <v>126.366666666667</v>
      </c>
      <c r="T3348" s="230" t="n">
        <f aca="false">+YEARFRAC(M3348,$S$1)</f>
        <v>126.366666666667</v>
      </c>
      <c r="U3348" s="231" t="n">
        <f aca="false">+$I3348</f>
        <v>0</v>
      </c>
      <c r="V3348" s="232" t="str">
        <f aca="false">+PROPER(F3348)</f>
        <v/>
      </c>
    </row>
    <row r="3349" customFormat="false" ht="14.25" hidden="false" customHeight="false" outlineLevel="0" collapsed="false">
      <c r="B3349" s="244"/>
      <c r="C3349" s="245"/>
      <c r="D3349" s="245"/>
      <c r="E3349" s="246"/>
      <c r="F3349" s="246"/>
      <c r="G3349" s="225" t="e">
        <f aca="false">VLOOKUP(B3349,'NIVEL ENERO'!A:F,4,0)</f>
        <v>#N/A</v>
      </c>
      <c r="H3349" s="247"/>
      <c r="I3349" s="247"/>
      <c r="J3349" s="246"/>
      <c r="K3349" s="246"/>
      <c r="L3349" s="226"/>
      <c r="M3349" s="226"/>
      <c r="N3349" s="246"/>
      <c r="P3349" s="228"/>
      <c r="Q3349" s="245"/>
      <c r="R3349" s="186" t="str">
        <f aca="false">+PROPER(C3349&amp;" "&amp;D3349)</f>
        <v> </v>
      </c>
      <c r="S3349" s="230" t="n">
        <f aca="false">+YEARFRAC(L3349,$S$1)</f>
        <v>126.366666666667</v>
      </c>
      <c r="T3349" s="230" t="n">
        <f aca="false">+YEARFRAC(M3349,$S$1)</f>
        <v>126.366666666667</v>
      </c>
      <c r="U3349" s="231" t="n">
        <f aca="false">+$I3349</f>
        <v>0</v>
      </c>
      <c r="V3349" s="232" t="str">
        <f aca="false">+PROPER(F3349)</f>
        <v/>
      </c>
    </row>
    <row r="3350" customFormat="false" ht="14.25" hidden="false" customHeight="false" outlineLevel="0" collapsed="false">
      <c r="B3350" s="244"/>
      <c r="C3350" s="245"/>
      <c r="D3350" s="245"/>
      <c r="E3350" s="246"/>
      <c r="F3350" s="246"/>
      <c r="G3350" s="225" t="e">
        <f aca="false">VLOOKUP(B3350,'NIVEL ENERO'!A:F,4,0)</f>
        <v>#N/A</v>
      </c>
      <c r="H3350" s="247"/>
      <c r="I3350" s="247"/>
      <c r="J3350" s="246"/>
      <c r="K3350" s="246"/>
      <c r="L3350" s="226"/>
      <c r="M3350" s="226"/>
      <c r="N3350" s="246"/>
      <c r="P3350" s="228"/>
      <c r="Q3350" s="245"/>
      <c r="R3350" s="186" t="str">
        <f aca="false">+PROPER(C3350&amp;" "&amp;D3350)</f>
        <v> </v>
      </c>
      <c r="S3350" s="230" t="n">
        <f aca="false">+YEARFRAC(L3350,$S$1)</f>
        <v>126.366666666667</v>
      </c>
      <c r="T3350" s="230" t="n">
        <f aca="false">+YEARFRAC(M3350,$S$1)</f>
        <v>126.366666666667</v>
      </c>
      <c r="U3350" s="231" t="n">
        <f aca="false">+$I3350</f>
        <v>0</v>
      </c>
      <c r="V3350" s="232" t="str">
        <f aca="false">+PROPER(F3350)</f>
        <v/>
      </c>
    </row>
    <row r="3351" customFormat="false" ht="14.25" hidden="false" customHeight="false" outlineLevel="0" collapsed="false">
      <c r="B3351" s="244"/>
      <c r="C3351" s="245"/>
      <c r="D3351" s="245"/>
      <c r="E3351" s="246"/>
      <c r="F3351" s="246"/>
      <c r="G3351" s="225" t="e">
        <f aca="false">VLOOKUP(B3351,'NIVEL ENERO'!A:F,4,0)</f>
        <v>#N/A</v>
      </c>
      <c r="H3351" s="247"/>
      <c r="I3351" s="247"/>
      <c r="J3351" s="246"/>
      <c r="K3351" s="246"/>
      <c r="L3351" s="226"/>
      <c r="M3351" s="226"/>
      <c r="N3351" s="246"/>
      <c r="P3351" s="228"/>
      <c r="Q3351" s="245"/>
      <c r="R3351" s="186" t="str">
        <f aca="false">+PROPER(C3351&amp;" "&amp;D3351)</f>
        <v> </v>
      </c>
      <c r="S3351" s="230" t="n">
        <f aca="false">+YEARFRAC(L3351,$S$1)</f>
        <v>126.366666666667</v>
      </c>
      <c r="T3351" s="230" t="n">
        <f aca="false">+YEARFRAC(M3351,$S$1)</f>
        <v>126.366666666667</v>
      </c>
      <c r="U3351" s="231" t="n">
        <f aca="false">+$I3351</f>
        <v>0</v>
      </c>
      <c r="V3351" s="232" t="str">
        <f aca="false">+PROPER(F3351)</f>
        <v/>
      </c>
    </row>
    <row r="3352" customFormat="false" ht="14.25" hidden="false" customHeight="false" outlineLevel="0" collapsed="false">
      <c r="B3352" s="244"/>
      <c r="C3352" s="245"/>
      <c r="D3352" s="245"/>
      <c r="E3352" s="246"/>
      <c r="F3352" s="246"/>
      <c r="G3352" s="225" t="e">
        <f aca="false">VLOOKUP(B3352,'NIVEL ENERO'!A:F,4,0)</f>
        <v>#N/A</v>
      </c>
      <c r="H3352" s="247"/>
      <c r="I3352" s="247"/>
      <c r="J3352" s="246"/>
      <c r="K3352" s="246"/>
      <c r="L3352" s="226"/>
      <c r="M3352" s="226"/>
      <c r="N3352" s="246"/>
      <c r="P3352" s="228"/>
      <c r="Q3352" s="245"/>
      <c r="R3352" s="186" t="str">
        <f aca="false">+PROPER(C3352&amp;" "&amp;D3352)</f>
        <v> </v>
      </c>
      <c r="S3352" s="230" t="n">
        <f aca="false">+YEARFRAC(L3352,$S$1)</f>
        <v>126.366666666667</v>
      </c>
      <c r="T3352" s="230" t="n">
        <f aca="false">+YEARFRAC(M3352,$S$1)</f>
        <v>126.366666666667</v>
      </c>
      <c r="U3352" s="231" t="n">
        <f aca="false">+$I3352</f>
        <v>0</v>
      </c>
      <c r="V3352" s="232" t="str">
        <f aca="false">+PROPER(F3352)</f>
        <v/>
      </c>
    </row>
    <row r="3353" customFormat="false" ht="14.25" hidden="false" customHeight="false" outlineLevel="0" collapsed="false">
      <c r="B3353" s="244"/>
      <c r="C3353" s="245"/>
      <c r="D3353" s="245"/>
      <c r="E3353" s="246"/>
      <c r="F3353" s="246"/>
      <c r="G3353" s="225" t="e">
        <f aca="false">VLOOKUP(B3353,'NIVEL ENERO'!A:F,4,0)</f>
        <v>#N/A</v>
      </c>
      <c r="H3353" s="247"/>
      <c r="I3353" s="247"/>
      <c r="J3353" s="246"/>
      <c r="K3353" s="246"/>
      <c r="L3353" s="226"/>
      <c r="M3353" s="226"/>
      <c r="N3353" s="246"/>
      <c r="P3353" s="228"/>
      <c r="Q3353" s="245"/>
      <c r="R3353" s="186" t="str">
        <f aca="false">+PROPER(C3353&amp;" "&amp;D3353)</f>
        <v> </v>
      </c>
      <c r="S3353" s="230" t="n">
        <f aca="false">+YEARFRAC(L3353,$S$1)</f>
        <v>126.366666666667</v>
      </c>
      <c r="T3353" s="230" t="n">
        <f aca="false">+YEARFRAC(M3353,$S$1)</f>
        <v>126.366666666667</v>
      </c>
      <c r="U3353" s="231" t="n">
        <f aca="false">+$I3353</f>
        <v>0</v>
      </c>
      <c r="V3353" s="232" t="str">
        <f aca="false">+PROPER(F3353)</f>
        <v/>
      </c>
    </row>
    <row r="3354" customFormat="false" ht="14.25" hidden="false" customHeight="false" outlineLevel="0" collapsed="false">
      <c r="B3354" s="244"/>
      <c r="C3354" s="245"/>
      <c r="D3354" s="245"/>
      <c r="E3354" s="246"/>
      <c r="F3354" s="246"/>
      <c r="G3354" s="225" t="e">
        <f aca="false">VLOOKUP(B3354,'NIVEL ENERO'!A:F,4,0)</f>
        <v>#N/A</v>
      </c>
      <c r="H3354" s="247"/>
      <c r="I3354" s="247"/>
      <c r="J3354" s="246"/>
      <c r="K3354" s="246"/>
      <c r="L3354" s="226"/>
      <c r="M3354" s="226"/>
      <c r="N3354" s="246"/>
      <c r="P3354" s="228"/>
      <c r="Q3354" s="245"/>
      <c r="R3354" s="186" t="str">
        <f aca="false">+PROPER(C3354&amp;" "&amp;D3354)</f>
        <v> </v>
      </c>
      <c r="S3354" s="230" t="n">
        <f aca="false">+YEARFRAC(L3354,$S$1)</f>
        <v>126.366666666667</v>
      </c>
      <c r="T3354" s="230" t="n">
        <f aca="false">+YEARFRAC(M3354,$S$1)</f>
        <v>126.366666666667</v>
      </c>
      <c r="U3354" s="231" t="n">
        <f aca="false">+$I3354</f>
        <v>0</v>
      </c>
      <c r="V3354" s="232" t="str">
        <f aca="false">+PROPER(F3354)</f>
        <v/>
      </c>
    </row>
    <row r="3355" customFormat="false" ht="14.25" hidden="false" customHeight="false" outlineLevel="0" collapsed="false">
      <c r="B3355" s="244"/>
      <c r="C3355" s="245"/>
      <c r="D3355" s="245"/>
      <c r="E3355" s="246"/>
      <c r="F3355" s="246"/>
      <c r="G3355" s="225" t="e">
        <f aca="false">VLOOKUP(B3355,'NIVEL ENERO'!A:F,4,0)</f>
        <v>#N/A</v>
      </c>
      <c r="H3355" s="247"/>
      <c r="I3355" s="247"/>
      <c r="J3355" s="246"/>
      <c r="K3355" s="246"/>
      <c r="L3355" s="226"/>
      <c r="M3355" s="226"/>
      <c r="N3355" s="246"/>
      <c r="P3355" s="228"/>
      <c r="Q3355" s="245"/>
      <c r="R3355" s="186" t="str">
        <f aca="false">+PROPER(C3355&amp;" "&amp;D3355)</f>
        <v> </v>
      </c>
      <c r="S3355" s="230" t="n">
        <f aca="false">+YEARFRAC(L3355,$S$1)</f>
        <v>126.366666666667</v>
      </c>
      <c r="T3355" s="230" t="n">
        <f aca="false">+YEARFRAC(M3355,$S$1)</f>
        <v>126.366666666667</v>
      </c>
      <c r="U3355" s="231" t="n">
        <f aca="false">+$I3355</f>
        <v>0</v>
      </c>
      <c r="V3355" s="232" t="str">
        <f aca="false">+PROPER(F3355)</f>
        <v/>
      </c>
    </row>
    <row r="3356" customFormat="false" ht="14.25" hidden="false" customHeight="false" outlineLevel="0" collapsed="false">
      <c r="B3356" s="244"/>
      <c r="C3356" s="245"/>
      <c r="D3356" s="245"/>
      <c r="E3356" s="246"/>
      <c r="F3356" s="246"/>
      <c r="G3356" s="225" t="e">
        <f aca="false">VLOOKUP(B3356,'NIVEL ENERO'!A:F,4,0)</f>
        <v>#N/A</v>
      </c>
      <c r="H3356" s="247"/>
      <c r="I3356" s="247"/>
      <c r="J3356" s="246"/>
      <c r="K3356" s="246"/>
      <c r="L3356" s="226"/>
      <c r="M3356" s="226"/>
      <c r="N3356" s="246"/>
      <c r="P3356" s="228"/>
      <c r="Q3356" s="245"/>
      <c r="R3356" s="186" t="str">
        <f aca="false">+PROPER(C3356&amp;" "&amp;D3356)</f>
        <v> </v>
      </c>
      <c r="S3356" s="230" t="n">
        <f aca="false">+YEARFRAC(L3356,$S$1)</f>
        <v>126.366666666667</v>
      </c>
      <c r="T3356" s="230" t="n">
        <f aca="false">+YEARFRAC(M3356,$S$1)</f>
        <v>126.366666666667</v>
      </c>
      <c r="U3356" s="231" t="n">
        <f aca="false">+$I3356</f>
        <v>0</v>
      </c>
      <c r="V3356" s="232" t="str">
        <f aca="false">+PROPER(F3356)</f>
        <v/>
      </c>
    </row>
    <row r="3357" customFormat="false" ht="14.25" hidden="false" customHeight="false" outlineLevel="0" collapsed="false">
      <c r="B3357" s="244"/>
      <c r="C3357" s="245"/>
      <c r="D3357" s="245"/>
      <c r="E3357" s="246"/>
      <c r="F3357" s="246"/>
      <c r="G3357" s="225" t="e">
        <f aca="false">VLOOKUP(B3357,'NIVEL ENERO'!A:F,4,0)</f>
        <v>#N/A</v>
      </c>
      <c r="H3357" s="247"/>
      <c r="I3357" s="247"/>
      <c r="J3357" s="246"/>
      <c r="K3357" s="246"/>
      <c r="L3357" s="226"/>
      <c r="M3357" s="226"/>
      <c r="N3357" s="246"/>
      <c r="P3357" s="228"/>
      <c r="Q3357" s="245"/>
      <c r="R3357" s="186" t="str">
        <f aca="false">+PROPER(C3357&amp;" "&amp;D3357)</f>
        <v> </v>
      </c>
      <c r="S3357" s="230" t="n">
        <f aca="false">+YEARFRAC(L3357,$S$1)</f>
        <v>126.366666666667</v>
      </c>
      <c r="T3357" s="230" t="n">
        <f aca="false">+YEARFRAC(M3357,$S$1)</f>
        <v>126.366666666667</v>
      </c>
      <c r="U3357" s="231" t="n">
        <f aca="false">+$I3357</f>
        <v>0</v>
      </c>
      <c r="V3357" s="232" t="str">
        <f aca="false">+PROPER(F3357)</f>
        <v/>
      </c>
    </row>
    <row r="3358" customFormat="false" ht="14.25" hidden="false" customHeight="false" outlineLevel="0" collapsed="false">
      <c r="B3358" s="244"/>
      <c r="C3358" s="245"/>
      <c r="D3358" s="245"/>
      <c r="E3358" s="246"/>
      <c r="F3358" s="246"/>
      <c r="G3358" s="225" t="e">
        <f aca="false">VLOOKUP(B3358,'NIVEL ENERO'!A:F,4,0)</f>
        <v>#N/A</v>
      </c>
      <c r="H3358" s="247"/>
      <c r="I3358" s="247"/>
      <c r="J3358" s="246"/>
      <c r="K3358" s="246"/>
      <c r="L3358" s="226"/>
      <c r="M3358" s="226"/>
      <c r="N3358" s="246"/>
      <c r="P3358" s="228"/>
      <c r="Q3358" s="245"/>
      <c r="R3358" s="186" t="str">
        <f aca="false">+PROPER(C3358&amp;" "&amp;D3358)</f>
        <v> </v>
      </c>
      <c r="S3358" s="230" t="n">
        <f aca="false">+YEARFRAC(L3358,$S$1)</f>
        <v>126.366666666667</v>
      </c>
      <c r="T3358" s="230" t="n">
        <f aca="false">+YEARFRAC(M3358,$S$1)</f>
        <v>126.366666666667</v>
      </c>
      <c r="U3358" s="231" t="n">
        <f aca="false">+$I3358</f>
        <v>0</v>
      </c>
      <c r="V3358" s="232" t="str">
        <f aca="false">+PROPER(F3358)</f>
        <v/>
      </c>
    </row>
    <row r="3359" customFormat="false" ht="14.25" hidden="false" customHeight="false" outlineLevel="0" collapsed="false">
      <c r="B3359" s="244"/>
      <c r="C3359" s="245"/>
      <c r="D3359" s="245"/>
      <c r="E3359" s="246"/>
      <c r="F3359" s="246"/>
      <c r="G3359" s="225" t="e">
        <f aca="false">VLOOKUP(B3359,'NIVEL ENERO'!A:F,4,0)</f>
        <v>#N/A</v>
      </c>
      <c r="H3359" s="247"/>
      <c r="I3359" s="247"/>
      <c r="J3359" s="246"/>
      <c r="K3359" s="246"/>
      <c r="L3359" s="226"/>
      <c r="M3359" s="226"/>
      <c r="N3359" s="246"/>
      <c r="P3359" s="228"/>
      <c r="Q3359" s="245"/>
      <c r="R3359" s="186" t="str">
        <f aca="false">+PROPER(C3359&amp;" "&amp;D3359)</f>
        <v> </v>
      </c>
      <c r="S3359" s="230" t="n">
        <f aca="false">+YEARFRAC(L3359,$S$1)</f>
        <v>126.366666666667</v>
      </c>
      <c r="T3359" s="230" t="n">
        <f aca="false">+YEARFRAC(M3359,$S$1)</f>
        <v>126.366666666667</v>
      </c>
      <c r="U3359" s="231" t="n">
        <f aca="false">+$I3359</f>
        <v>0</v>
      </c>
      <c r="V3359" s="232" t="str">
        <f aca="false">+PROPER(F3359)</f>
        <v/>
      </c>
    </row>
    <row r="3360" customFormat="false" ht="14.25" hidden="false" customHeight="false" outlineLevel="0" collapsed="false">
      <c r="B3360" s="244"/>
      <c r="C3360" s="245"/>
      <c r="D3360" s="245"/>
      <c r="E3360" s="246"/>
      <c r="F3360" s="246"/>
      <c r="G3360" s="225" t="e">
        <f aca="false">VLOOKUP(B3360,'NIVEL ENERO'!A:F,4,0)</f>
        <v>#N/A</v>
      </c>
      <c r="H3360" s="247"/>
      <c r="I3360" s="247"/>
      <c r="J3360" s="246"/>
      <c r="K3360" s="246"/>
      <c r="L3360" s="226"/>
      <c r="M3360" s="226"/>
      <c r="N3360" s="246"/>
      <c r="P3360" s="228"/>
      <c r="Q3360" s="245"/>
      <c r="R3360" s="186" t="str">
        <f aca="false">+PROPER(C3360&amp;" "&amp;D3360)</f>
        <v> </v>
      </c>
      <c r="S3360" s="230" t="n">
        <f aca="false">+YEARFRAC(L3360,$S$1)</f>
        <v>126.366666666667</v>
      </c>
      <c r="T3360" s="230" t="n">
        <f aca="false">+YEARFRAC(M3360,$S$1)</f>
        <v>126.366666666667</v>
      </c>
      <c r="U3360" s="231" t="n">
        <f aca="false">+$I3360</f>
        <v>0</v>
      </c>
      <c r="V3360" s="232" t="str">
        <f aca="false">+PROPER(F3360)</f>
        <v/>
      </c>
    </row>
    <row r="3361" customFormat="false" ht="14.25" hidden="false" customHeight="false" outlineLevel="0" collapsed="false">
      <c r="B3361" s="244"/>
      <c r="C3361" s="245"/>
      <c r="D3361" s="245"/>
      <c r="E3361" s="246"/>
      <c r="F3361" s="246"/>
      <c r="G3361" s="225" t="e">
        <f aca="false">VLOOKUP(B3361,'NIVEL ENERO'!A:F,4,0)</f>
        <v>#N/A</v>
      </c>
      <c r="H3361" s="247"/>
      <c r="I3361" s="247"/>
      <c r="J3361" s="246"/>
      <c r="K3361" s="246"/>
      <c r="L3361" s="226"/>
      <c r="M3361" s="226"/>
      <c r="N3361" s="246"/>
      <c r="P3361" s="228"/>
      <c r="Q3361" s="245"/>
      <c r="R3361" s="186" t="str">
        <f aca="false">+PROPER(C3361&amp;" "&amp;D3361)</f>
        <v> </v>
      </c>
      <c r="S3361" s="230" t="n">
        <f aca="false">+YEARFRAC(L3361,$S$1)</f>
        <v>126.366666666667</v>
      </c>
      <c r="T3361" s="230" t="n">
        <f aca="false">+YEARFRAC(M3361,$S$1)</f>
        <v>126.366666666667</v>
      </c>
      <c r="U3361" s="231" t="n">
        <f aca="false">+$I3361</f>
        <v>0</v>
      </c>
      <c r="V3361" s="232" t="str">
        <f aca="false">+PROPER(F3361)</f>
        <v/>
      </c>
    </row>
    <row r="3362" customFormat="false" ht="14.25" hidden="false" customHeight="false" outlineLevel="0" collapsed="false">
      <c r="B3362" s="244"/>
      <c r="C3362" s="245"/>
      <c r="D3362" s="245"/>
      <c r="E3362" s="246"/>
      <c r="F3362" s="246"/>
      <c r="G3362" s="225" t="e">
        <f aca="false">VLOOKUP(B3362,'NIVEL ENERO'!A:F,4,0)</f>
        <v>#N/A</v>
      </c>
      <c r="H3362" s="247"/>
      <c r="I3362" s="247"/>
      <c r="J3362" s="246"/>
      <c r="K3362" s="246"/>
      <c r="L3362" s="226"/>
      <c r="M3362" s="226"/>
      <c r="N3362" s="246"/>
      <c r="P3362" s="228"/>
      <c r="Q3362" s="245"/>
      <c r="R3362" s="186" t="str">
        <f aca="false">+PROPER(C3362&amp;" "&amp;D3362)</f>
        <v> </v>
      </c>
      <c r="S3362" s="230" t="n">
        <f aca="false">+YEARFRAC(L3362,$S$1)</f>
        <v>126.366666666667</v>
      </c>
      <c r="T3362" s="230" t="n">
        <f aca="false">+YEARFRAC(M3362,$S$1)</f>
        <v>126.366666666667</v>
      </c>
      <c r="U3362" s="231" t="n">
        <f aca="false">+$I3362</f>
        <v>0</v>
      </c>
      <c r="V3362" s="232" t="str">
        <f aca="false">+PROPER(F3362)</f>
        <v/>
      </c>
    </row>
    <row r="3363" customFormat="false" ht="14.25" hidden="false" customHeight="false" outlineLevel="0" collapsed="false">
      <c r="B3363" s="244"/>
      <c r="C3363" s="245"/>
      <c r="D3363" s="245"/>
      <c r="E3363" s="246"/>
      <c r="F3363" s="246"/>
      <c r="G3363" s="225" t="e">
        <f aca="false">VLOOKUP(B3363,'NIVEL ENERO'!A:F,4,0)</f>
        <v>#N/A</v>
      </c>
      <c r="H3363" s="247"/>
      <c r="I3363" s="247"/>
      <c r="J3363" s="246"/>
      <c r="K3363" s="246"/>
      <c r="L3363" s="226"/>
      <c r="M3363" s="226"/>
      <c r="N3363" s="246"/>
      <c r="P3363" s="228"/>
      <c r="Q3363" s="245"/>
      <c r="R3363" s="186" t="str">
        <f aca="false">+PROPER(C3363&amp;" "&amp;D3363)</f>
        <v> </v>
      </c>
      <c r="S3363" s="230" t="n">
        <f aca="false">+YEARFRAC(L3363,$S$1)</f>
        <v>126.366666666667</v>
      </c>
      <c r="T3363" s="230" t="n">
        <f aca="false">+YEARFRAC(M3363,$S$1)</f>
        <v>126.366666666667</v>
      </c>
      <c r="U3363" s="231" t="n">
        <f aca="false">+$I3363</f>
        <v>0</v>
      </c>
      <c r="V3363" s="232" t="str">
        <f aca="false">+PROPER(F3363)</f>
        <v/>
      </c>
    </row>
    <row r="3364" customFormat="false" ht="14.25" hidden="false" customHeight="false" outlineLevel="0" collapsed="false">
      <c r="B3364" s="244"/>
      <c r="C3364" s="245"/>
      <c r="D3364" s="245"/>
      <c r="E3364" s="246"/>
      <c r="F3364" s="246"/>
      <c r="G3364" s="225" t="e">
        <f aca="false">VLOOKUP(B3364,'NIVEL ENERO'!A:F,4,0)</f>
        <v>#N/A</v>
      </c>
      <c r="H3364" s="247"/>
      <c r="I3364" s="247"/>
      <c r="J3364" s="246"/>
      <c r="K3364" s="246"/>
      <c r="L3364" s="226"/>
      <c r="M3364" s="226"/>
      <c r="N3364" s="246"/>
      <c r="P3364" s="228"/>
      <c r="Q3364" s="245"/>
      <c r="R3364" s="186" t="str">
        <f aca="false">+PROPER(C3364&amp;" "&amp;D3364)</f>
        <v> </v>
      </c>
      <c r="S3364" s="230" t="n">
        <f aca="false">+YEARFRAC(L3364,$S$1)</f>
        <v>126.366666666667</v>
      </c>
      <c r="T3364" s="230" t="n">
        <f aca="false">+YEARFRAC(M3364,$S$1)</f>
        <v>126.366666666667</v>
      </c>
      <c r="U3364" s="231" t="n">
        <f aca="false">+$I3364</f>
        <v>0</v>
      </c>
      <c r="V3364" s="232" t="str">
        <f aca="false">+PROPER(F3364)</f>
        <v/>
      </c>
    </row>
    <row r="3365" customFormat="false" ht="14.25" hidden="false" customHeight="false" outlineLevel="0" collapsed="false">
      <c r="B3365" s="244"/>
      <c r="C3365" s="245"/>
      <c r="D3365" s="245"/>
      <c r="E3365" s="246"/>
      <c r="F3365" s="246"/>
      <c r="G3365" s="225" t="e">
        <f aca="false">VLOOKUP(B3365,'NIVEL ENERO'!A:F,4,0)</f>
        <v>#N/A</v>
      </c>
      <c r="H3365" s="247"/>
      <c r="I3365" s="247"/>
      <c r="J3365" s="246"/>
      <c r="K3365" s="246"/>
      <c r="L3365" s="226"/>
      <c r="M3365" s="226"/>
      <c r="N3365" s="246"/>
      <c r="P3365" s="228"/>
      <c r="Q3365" s="245"/>
      <c r="R3365" s="186" t="str">
        <f aca="false">+PROPER(C3365&amp;" "&amp;D3365)</f>
        <v> </v>
      </c>
      <c r="S3365" s="230" t="n">
        <f aca="false">+YEARFRAC(L3365,$S$1)</f>
        <v>126.366666666667</v>
      </c>
      <c r="T3365" s="230" t="n">
        <f aca="false">+YEARFRAC(M3365,$S$1)</f>
        <v>126.366666666667</v>
      </c>
      <c r="U3365" s="231" t="n">
        <f aca="false">+$I3365</f>
        <v>0</v>
      </c>
      <c r="V3365" s="232" t="str">
        <f aca="false">+PROPER(F3365)</f>
        <v/>
      </c>
    </row>
    <row r="3366" customFormat="false" ht="14.25" hidden="false" customHeight="false" outlineLevel="0" collapsed="false">
      <c r="B3366" s="244"/>
      <c r="C3366" s="245"/>
      <c r="D3366" s="245"/>
      <c r="E3366" s="246"/>
      <c r="F3366" s="246"/>
      <c r="G3366" s="225" t="e">
        <f aca="false">VLOOKUP(B3366,'NIVEL ENERO'!A:F,4,0)</f>
        <v>#N/A</v>
      </c>
      <c r="H3366" s="247"/>
      <c r="I3366" s="247"/>
      <c r="J3366" s="246"/>
      <c r="K3366" s="246"/>
      <c r="L3366" s="226"/>
      <c r="M3366" s="226"/>
      <c r="N3366" s="246"/>
      <c r="P3366" s="228"/>
      <c r="Q3366" s="245"/>
      <c r="R3366" s="186" t="str">
        <f aca="false">+PROPER(C3366&amp;" "&amp;D3366)</f>
        <v> </v>
      </c>
      <c r="S3366" s="230" t="n">
        <f aca="false">+YEARFRAC(L3366,$S$1)</f>
        <v>126.366666666667</v>
      </c>
      <c r="T3366" s="230" t="n">
        <f aca="false">+YEARFRAC(M3366,$S$1)</f>
        <v>126.366666666667</v>
      </c>
      <c r="U3366" s="231" t="n">
        <f aca="false">+$I3366</f>
        <v>0</v>
      </c>
      <c r="V3366" s="232" t="str">
        <f aca="false">+PROPER(F3366)</f>
        <v/>
      </c>
    </row>
    <row r="3367" customFormat="false" ht="14.25" hidden="false" customHeight="false" outlineLevel="0" collapsed="false">
      <c r="B3367" s="244"/>
      <c r="C3367" s="245"/>
      <c r="D3367" s="245"/>
      <c r="E3367" s="246"/>
      <c r="F3367" s="246"/>
      <c r="G3367" s="225" t="e">
        <f aca="false">VLOOKUP(B3367,'NIVEL ENERO'!A:F,4,0)</f>
        <v>#N/A</v>
      </c>
      <c r="H3367" s="247"/>
      <c r="I3367" s="247"/>
      <c r="J3367" s="246"/>
      <c r="K3367" s="246"/>
      <c r="L3367" s="226"/>
      <c r="M3367" s="226"/>
      <c r="N3367" s="246"/>
      <c r="P3367" s="228"/>
      <c r="Q3367" s="245"/>
      <c r="R3367" s="186" t="str">
        <f aca="false">+PROPER(C3367&amp;" "&amp;D3367)</f>
        <v> </v>
      </c>
      <c r="S3367" s="230" t="n">
        <f aca="false">+YEARFRAC(L3367,$S$1)</f>
        <v>126.366666666667</v>
      </c>
      <c r="T3367" s="230" t="n">
        <f aca="false">+YEARFRAC(M3367,$S$1)</f>
        <v>126.366666666667</v>
      </c>
      <c r="U3367" s="231" t="n">
        <f aca="false">+$I3367</f>
        <v>0</v>
      </c>
      <c r="V3367" s="232" t="str">
        <f aca="false">+PROPER(F3367)</f>
        <v/>
      </c>
    </row>
    <row r="3368" customFormat="false" ht="14.25" hidden="false" customHeight="false" outlineLevel="0" collapsed="false">
      <c r="B3368" s="244"/>
      <c r="C3368" s="245"/>
      <c r="D3368" s="245"/>
      <c r="E3368" s="246"/>
      <c r="F3368" s="246"/>
      <c r="G3368" s="225" t="e">
        <f aca="false">VLOOKUP(B3368,'NIVEL ENERO'!A:F,4,0)</f>
        <v>#N/A</v>
      </c>
      <c r="H3368" s="247"/>
      <c r="I3368" s="247"/>
      <c r="J3368" s="246"/>
      <c r="K3368" s="246"/>
      <c r="L3368" s="226"/>
      <c r="M3368" s="226"/>
      <c r="N3368" s="246"/>
      <c r="P3368" s="228"/>
      <c r="Q3368" s="245"/>
      <c r="R3368" s="186" t="str">
        <f aca="false">+PROPER(C3368&amp;" "&amp;D3368)</f>
        <v> </v>
      </c>
      <c r="S3368" s="230" t="n">
        <f aca="false">+YEARFRAC(L3368,$S$1)</f>
        <v>126.366666666667</v>
      </c>
      <c r="T3368" s="230" t="n">
        <f aca="false">+YEARFRAC(M3368,$S$1)</f>
        <v>126.366666666667</v>
      </c>
      <c r="U3368" s="231" t="n">
        <f aca="false">+$I3368</f>
        <v>0</v>
      </c>
      <c r="V3368" s="232" t="str">
        <f aca="false">+PROPER(F3368)</f>
        <v/>
      </c>
    </row>
    <row r="3369" customFormat="false" ht="14.25" hidden="false" customHeight="false" outlineLevel="0" collapsed="false">
      <c r="B3369" s="244"/>
      <c r="C3369" s="245"/>
      <c r="D3369" s="245"/>
      <c r="E3369" s="246"/>
      <c r="F3369" s="246"/>
      <c r="G3369" s="225" t="e">
        <f aca="false">VLOOKUP(B3369,'NIVEL ENERO'!A:F,4,0)</f>
        <v>#N/A</v>
      </c>
      <c r="H3369" s="247"/>
      <c r="I3369" s="247"/>
      <c r="J3369" s="246"/>
      <c r="K3369" s="246"/>
      <c r="L3369" s="226"/>
      <c r="M3369" s="226"/>
      <c r="N3369" s="246"/>
      <c r="P3369" s="228"/>
      <c r="Q3369" s="245"/>
      <c r="R3369" s="186" t="str">
        <f aca="false">+PROPER(C3369&amp;" "&amp;D3369)</f>
        <v> </v>
      </c>
      <c r="S3369" s="230" t="n">
        <f aca="false">+YEARFRAC(L3369,$S$1)</f>
        <v>126.366666666667</v>
      </c>
      <c r="T3369" s="230" t="n">
        <f aca="false">+YEARFRAC(M3369,$S$1)</f>
        <v>126.366666666667</v>
      </c>
      <c r="U3369" s="231" t="n">
        <f aca="false">+$I3369</f>
        <v>0</v>
      </c>
      <c r="V3369" s="232" t="str">
        <f aca="false">+PROPER(F3369)</f>
        <v/>
      </c>
    </row>
    <row r="3370" customFormat="false" ht="14.25" hidden="false" customHeight="false" outlineLevel="0" collapsed="false">
      <c r="B3370" s="244"/>
      <c r="C3370" s="245"/>
      <c r="D3370" s="245"/>
      <c r="E3370" s="246"/>
      <c r="F3370" s="246"/>
      <c r="G3370" s="225" t="e">
        <f aca="false">VLOOKUP(B3370,'NIVEL ENERO'!A:F,4,0)</f>
        <v>#N/A</v>
      </c>
      <c r="H3370" s="247"/>
      <c r="I3370" s="247"/>
      <c r="J3370" s="246"/>
      <c r="K3370" s="246"/>
      <c r="L3370" s="226"/>
      <c r="M3370" s="226"/>
      <c r="N3370" s="246"/>
      <c r="P3370" s="228"/>
      <c r="Q3370" s="245"/>
      <c r="R3370" s="186" t="str">
        <f aca="false">+PROPER(C3370&amp;" "&amp;D3370)</f>
        <v> </v>
      </c>
      <c r="S3370" s="230" t="n">
        <f aca="false">+YEARFRAC(L3370,$S$1)</f>
        <v>126.366666666667</v>
      </c>
      <c r="T3370" s="230" t="n">
        <f aca="false">+YEARFRAC(M3370,$S$1)</f>
        <v>126.366666666667</v>
      </c>
      <c r="U3370" s="231" t="n">
        <f aca="false">+$I3370</f>
        <v>0</v>
      </c>
      <c r="V3370" s="232" t="str">
        <f aca="false">+PROPER(F3370)</f>
        <v/>
      </c>
    </row>
    <row r="3371" customFormat="false" ht="14.25" hidden="false" customHeight="false" outlineLevel="0" collapsed="false">
      <c r="B3371" s="244"/>
      <c r="C3371" s="245"/>
      <c r="D3371" s="245"/>
      <c r="E3371" s="246"/>
      <c r="F3371" s="246"/>
      <c r="G3371" s="225" t="e">
        <f aca="false">VLOOKUP(B3371,'NIVEL ENERO'!A:F,4,0)</f>
        <v>#N/A</v>
      </c>
      <c r="H3371" s="247"/>
      <c r="I3371" s="247"/>
      <c r="J3371" s="246"/>
      <c r="K3371" s="246"/>
      <c r="L3371" s="226"/>
      <c r="M3371" s="226"/>
      <c r="N3371" s="246"/>
      <c r="P3371" s="228"/>
      <c r="Q3371" s="245"/>
      <c r="R3371" s="186" t="str">
        <f aca="false">+PROPER(C3371&amp;" "&amp;D3371)</f>
        <v> </v>
      </c>
      <c r="S3371" s="230" t="n">
        <f aca="false">+YEARFRAC(L3371,$S$1)</f>
        <v>126.366666666667</v>
      </c>
      <c r="T3371" s="230" t="n">
        <f aca="false">+YEARFRAC(M3371,$S$1)</f>
        <v>126.366666666667</v>
      </c>
      <c r="U3371" s="231" t="n">
        <f aca="false">+$I3371</f>
        <v>0</v>
      </c>
      <c r="V3371" s="232" t="str">
        <f aca="false">+PROPER(F3371)</f>
        <v/>
      </c>
    </row>
    <row r="3372" customFormat="false" ht="14.25" hidden="false" customHeight="false" outlineLevel="0" collapsed="false">
      <c r="B3372" s="244"/>
      <c r="C3372" s="245"/>
      <c r="D3372" s="245"/>
      <c r="E3372" s="246"/>
      <c r="F3372" s="246"/>
      <c r="G3372" s="225" t="e">
        <f aca="false">VLOOKUP(B3372,'NIVEL ENERO'!A:F,4,0)</f>
        <v>#N/A</v>
      </c>
      <c r="H3372" s="247"/>
      <c r="I3372" s="247"/>
      <c r="J3372" s="246"/>
      <c r="K3372" s="246"/>
      <c r="L3372" s="226"/>
      <c r="M3372" s="226"/>
      <c r="N3372" s="246"/>
      <c r="P3372" s="228"/>
      <c r="Q3372" s="245"/>
      <c r="R3372" s="186" t="str">
        <f aca="false">+PROPER(C3372&amp;" "&amp;D3372)</f>
        <v> </v>
      </c>
      <c r="S3372" s="230" t="n">
        <f aca="false">+YEARFRAC(L3372,$S$1)</f>
        <v>126.366666666667</v>
      </c>
      <c r="T3372" s="230" t="n">
        <f aca="false">+YEARFRAC(M3372,$S$1)</f>
        <v>126.366666666667</v>
      </c>
      <c r="U3372" s="231" t="n">
        <f aca="false">+$I3372</f>
        <v>0</v>
      </c>
      <c r="V3372" s="232" t="str">
        <f aca="false">+PROPER(F3372)</f>
        <v/>
      </c>
    </row>
    <row r="3373" customFormat="false" ht="14.25" hidden="false" customHeight="false" outlineLevel="0" collapsed="false">
      <c r="B3373" s="244"/>
      <c r="C3373" s="245"/>
      <c r="D3373" s="245"/>
      <c r="E3373" s="246"/>
      <c r="F3373" s="246"/>
      <c r="G3373" s="225" t="e">
        <f aca="false">VLOOKUP(B3373,'NIVEL ENERO'!A:F,4,0)</f>
        <v>#N/A</v>
      </c>
      <c r="H3373" s="247"/>
      <c r="I3373" s="247"/>
      <c r="J3373" s="246"/>
      <c r="K3373" s="246"/>
      <c r="L3373" s="226"/>
      <c r="M3373" s="226"/>
      <c r="N3373" s="246"/>
      <c r="P3373" s="228"/>
      <c r="Q3373" s="245"/>
      <c r="R3373" s="186" t="str">
        <f aca="false">+PROPER(C3373&amp;" "&amp;D3373)</f>
        <v> </v>
      </c>
      <c r="S3373" s="230" t="n">
        <f aca="false">+YEARFRAC(L3373,$S$1)</f>
        <v>126.366666666667</v>
      </c>
      <c r="T3373" s="230" t="n">
        <f aca="false">+YEARFRAC(M3373,$S$1)</f>
        <v>126.366666666667</v>
      </c>
      <c r="U3373" s="231" t="n">
        <f aca="false">+$I3373</f>
        <v>0</v>
      </c>
      <c r="V3373" s="232" t="str">
        <f aca="false">+PROPER(F3373)</f>
        <v/>
      </c>
    </row>
    <row r="3374" customFormat="false" ht="14.25" hidden="false" customHeight="false" outlineLevel="0" collapsed="false">
      <c r="B3374" s="244"/>
      <c r="C3374" s="245"/>
      <c r="D3374" s="245"/>
      <c r="E3374" s="246"/>
      <c r="F3374" s="246"/>
      <c r="G3374" s="225" t="e">
        <f aca="false">VLOOKUP(B3374,'NIVEL ENERO'!A:F,4,0)</f>
        <v>#N/A</v>
      </c>
      <c r="H3374" s="247"/>
      <c r="I3374" s="247"/>
      <c r="J3374" s="246"/>
      <c r="K3374" s="246"/>
      <c r="L3374" s="226"/>
      <c r="M3374" s="226"/>
      <c r="N3374" s="246"/>
      <c r="P3374" s="228"/>
      <c r="Q3374" s="245"/>
      <c r="R3374" s="186" t="str">
        <f aca="false">+PROPER(C3374&amp;" "&amp;D3374)</f>
        <v> </v>
      </c>
      <c r="S3374" s="230" t="n">
        <f aca="false">+YEARFRAC(L3374,$S$1)</f>
        <v>126.366666666667</v>
      </c>
      <c r="T3374" s="230" t="n">
        <f aca="false">+YEARFRAC(M3374,$S$1)</f>
        <v>126.366666666667</v>
      </c>
      <c r="U3374" s="231" t="n">
        <f aca="false">+$I3374</f>
        <v>0</v>
      </c>
      <c r="V3374" s="232" t="str">
        <f aca="false">+PROPER(F3374)</f>
        <v/>
      </c>
    </row>
    <row r="3375" customFormat="false" ht="14.25" hidden="false" customHeight="false" outlineLevel="0" collapsed="false">
      <c r="B3375" s="244"/>
      <c r="C3375" s="245"/>
      <c r="D3375" s="245"/>
      <c r="E3375" s="246"/>
      <c r="F3375" s="246"/>
      <c r="G3375" s="225" t="e">
        <f aca="false">VLOOKUP(B3375,'NIVEL ENERO'!A:F,4,0)</f>
        <v>#N/A</v>
      </c>
      <c r="H3375" s="247"/>
      <c r="I3375" s="247"/>
      <c r="J3375" s="246"/>
      <c r="K3375" s="246"/>
      <c r="L3375" s="226"/>
      <c r="M3375" s="226"/>
      <c r="N3375" s="246"/>
      <c r="P3375" s="228"/>
      <c r="Q3375" s="245"/>
      <c r="R3375" s="186" t="str">
        <f aca="false">+PROPER(C3375&amp;" "&amp;D3375)</f>
        <v> </v>
      </c>
      <c r="S3375" s="230" t="n">
        <f aca="false">+YEARFRAC(L3375,$S$1)</f>
        <v>126.366666666667</v>
      </c>
      <c r="T3375" s="230" t="n">
        <f aca="false">+YEARFRAC(M3375,$S$1)</f>
        <v>126.366666666667</v>
      </c>
      <c r="U3375" s="231" t="n">
        <f aca="false">+$I3375</f>
        <v>0</v>
      </c>
      <c r="V3375" s="232" t="str">
        <f aca="false">+PROPER(F3375)</f>
        <v/>
      </c>
    </row>
    <row r="3376" customFormat="false" ht="14.25" hidden="false" customHeight="false" outlineLevel="0" collapsed="false">
      <c r="B3376" s="244"/>
      <c r="C3376" s="245"/>
      <c r="D3376" s="245"/>
      <c r="E3376" s="246"/>
      <c r="F3376" s="246"/>
      <c r="G3376" s="225" t="e">
        <f aca="false">VLOOKUP(B3376,'NIVEL ENERO'!A:F,4,0)</f>
        <v>#N/A</v>
      </c>
      <c r="H3376" s="247"/>
      <c r="I3376" s="247"/>
      <c r="J3376" s="246"/>
      <c r="K3376" s="246"/>
      <c r="L3376" s="226"/>
      <c r="M3376" s="226"/>
      <c r="N3376" s="246"/>
      <c r="P3376" s="228"/>
      <c r="Q3376" s="245"/>
      <c r="R3376" s="186" t="str">
        <f aca="false">+PROPER(C3376&amp;" "&amp;D3376)</f>
        <v> </v>
      </c>
      <c r="S3376" s="230" t="n">
        <f aca="false">+YEARFRAC(L3376,$S$1)</f>
        <v>126.366666666667</v>
      </c>
      <c r="T3376" s="230" t="n">
        <f aca="false">+YEARFRAC(M3376,$S$1)</f>
        <v>126.366666666667</v>
      </c>
      <c r="U3376" s="231" t="n">
        <f aca="false">+$I3376</f>
        <v>0</v>
      </c>
      <c r="V3376" s="232" t="str">
        <f aca="false">+PROPER(F3376)</f>
        <v/>
      </c>
    </row>
    <row r="3377" customFormat="false" ht="14.25" hidden="false" customHeight="false" outlineLevel="0" collapsed="false">
      <c r="B3377" s="244"/>
      <c r="C3377" s="245"/>
      <c r="D3377" s="245"/>
      <c r="E3377" s="246"/>
      <c r="F3377" s="246"/>
      <c r="G3377" s="225" t="e">
        <f aca="false">VLOOKUP(B3377,'NIVEL ENERO'!A:F,4,0)</f>
        <v>#N/A</v>
      </c>
      <c r="H3377" s="247"/>
      <c r="I3377" s="247"/>
      <c r="J3377" s="246"/>
      <c r="K3377" s="246"/>
      <c r="L3377" s="226"/>
      <c r="M3377" s="226"/>
      <c r="N3377" s="246"/>
      <c r="P3377" s="228"/>
      <c r="Q3377" s="245"/>
      <c r="R3377" s="186" t="str">
        <f aca="false">+PROPER(C3377&amp;" "&amp;D3377)</f>
        <v> </v>
      </c>
      <c r="S3377" s="230" t="n">
        <f aca="false">+YEARFRAC(L3377,$S$1)</f>
        <v>126.366666666667</v>
      </c>
      <c r="T3377" s="230" t="n">
        <f aca="false">+YEARFRAC(M3377,$S$1)</f>
        <v>126.366666666667</v>
      </c>
      <c r="U3377" s="231" t="n">
        <f aca="false">+$I3377</f>
        <v>0</v>
      </c>
      <c r="V3377" s="232" t="str">
        <f aca="false">+PROPER(F3377)</f>
        <v/>
      </c>
    </row>
    <row r="3378" customFormat="false" ht="14.25" hidden="false" customHeight="false" outlineLevel="0" collapsed="false">
      <c r="B3378" s="244"/>
      <c r="C3378" s="245"/>
      <c r="D3378" s="245"/>
      <c r="E3378" s="246"/>
      <c r="F3378" s="246"/>
      <c r="G3378" s="225" t="e">
        <f aca="false">VLOOKUP(B3378,'NIVEL ENERO'!A:F,4,0)</f>
        <v>#N/A</v>
      </c>
      <c r="H3378" s="247"/>
      <c r="I3378" s="247"/>
      <c r="J3378" s="246"/>
      <c r="K3378" s="246"/>
      <c r="L3378" s="226"/>
      <c r="M3378" s="226"/>
      <c r="N3378" s="246"/>
      <c r="P3378" s="228"/>
      <c r="Q3378" s="245"/>
      <c r="R3378" s="186" t="str">
        <f aca="false">+PROPER(C3378&amp;" "&amp;D3378)</f>
        <v> </v>
      </c>
      <c r="S3378" s="230" t="n">
        <f aca="false">+YEARFRAC(L3378,$S$1)</f>
        <v>126.366666666667</v>
      </c>
      <c r="T3378" s="230" t="n">
        <f aca="false">+YEARFRAC(M3378,$S$1)</f>
        <v>126.366666666667</v>
      </c>
      <c r="U3378" s="231" t="n">
        <f aca="false">+$I3378</f>
        <v>0</v>
      </c>
      <c r="V3378" s="232" t="str">
        <f aca="false">+PROPER(F3378)</f>
        <v/>
      </c>
    </row>
    <row r="3379" customFormat="false" ht="14.25" hidden="false" customHeight="false" outlineLevel="0" collapsed="false">
      <c r="B3379" s="244"/>
      <c r="C3379" s="245"/>
      <c r="D3379" s="245"/>
      <c r="E3379" s="246"/>
      <c r="F3379" s="246"/>
      <c r="G3379" s="225" t="e">
        <f aca="false">VLOOKUP(B3379,'NIVEL ENERO'!A:F,4,0)</f>
        <v>#N/A</v>
      </c>
      <c r="H3379" s="247"/>
      <c r="I3379" s="247"/>
      <c r="J3379" s="246"/>
      <c r="K3379" s="246"/>
      <c r="L3379" s="226"/>
      <c r="M3379" s="226"/>
      <c r="N3379" s="246"/>
      <c r="P3379" s="228"/>
      <c r="Q3379" s="245"/>
      <c r="R3379" s="186" t="str">
        <f aca="false">+PROPER(C3379&amp;" "&amp;D3379)</f>
        <v> </v>
      </c>
      <c r="S3379" s="230" t="n">
        <f aca="false">+YEARFRAC(L3379,$S$1)</f>
        <v>126.366666666667</v>
      </c>
      <c r="T3379" s="230" t="n">
        <f aca="false">+YEARFRAC(M3379,$S$1)</f>
        <v>126.366666666667</v>
      </c>
      <c r="U3379" s="231" t="n">
        <f aca="false">+$I3379</f>
        <v>0</v>
      </c>
      <c r="V3379" s="232" t="str">
        <f aca="false">+PROPER(F3379)</f>
        <v/>
      </c>
    </row>
    <row r="3380" customFormat="false" ht="14.25" hidden="false" customHeight="false" outlineLevel="0" collapsed="false">
      <c r="B3380" s="244"/>
      <c r="C3380" s="245"/>
      <c r="D3380" s="245"/>
      <c r="E3380" s="246"/>
      <c r="F3380" s="246"/>
      <c r="G3380" s="225" t="e">
        <f aca="false">VLOOKUP(B3380,'NIVEL ENERO'!A:F,4,0)</f>
        <v>#N/A</v>
      </c>
      <c r="H3380" s="247"/>
      <c r="I3380" s="247"/>
      <c r="J3380" s="246"/>
      <c r="K3380" s="246"/>
      <c r="L3380" s="226"/>
      <c r="M3380" s="226"/>
      <c r="N3380" s="246"/>
      <c r="P3380" s="228"/>
      <c r="Q3380" s="245"/>
      <c r="R3380" s="186" t="str">
        <f aca="false">+PROPER(C3380&amp;" "&amp;D3380)</f>
        <v> </v>
      </c>
      <c r="S3380" s="230" t="n">
        <f aca="false">+YEARFRAC(L3380,$S$1)</f>
        <v>126.366666666667</v>
      </c>
      <c r="T3380" s="230" t="n">
        <f aca="false">+YEARFRAC(M3380,$S$1)</f>
        <v>126.366666666667</v>
      </c>
      <c r="U3380" s="231" t="n">
        <f aca="false">+$I3380</f>
        <v>0</v>
      </c>
      <c r="V3380" s="232" t="str">
        <f aca="false">+PROPER(F3380)</f>
        <v/>
      </c>
    </row>
    <row r="3381" customFormat="false" ht="14.25" hidden="false" customHeight="false" outlineLevel="0" collapsed="false">
      <c r="B3381" s="244"/>
      <c r="C3381" s="245"/>
      <c r="D3381" s="245"/>
      <c r="E3381" s="246"/>
      <c r="F3381" s="246"/>
      <c r="G3381" s="225" t="e">
        <f aca="false">VLOOKUP(B3381,'NIVEL ENERO'!A:F,4,0)</f>
        <v>#N/A</v>
      </c>
      <c r="H3381" s="247"/>
      <c r="I3381" s="247"/>
      <c r="J3381" s="246"/>
      <c r="K3381" s="246"/>
      <c r="L3381" s="226"/>
      <c r="M3381" s="226"/>
      <c r="N3381" s="246"/>
      <c r="P3381" s="228"/>
      <c r="Q3381" s="245"/>
      <c r="R3381" s="186" t="str">
        <f aca="false">+PROPER(C3381&amp;" "&amp;D3381)</f>
        <v> </v>
      </c>
      <c r="S3381" s="230" t="n">
        <f aca="false">+YEARFRAC(L3381,$S$1)</f>
        <v>126.366666666667</v>
      </c>
      <c r="T3381" s="230" t="n">
        <f aca="false">+YEARFRAC(M3381,$S$1)</f>
        <v>126.366666666667</v>
      </c>
      <c r="U3381" s="231" t="n">
        <f aca="false">+$I3381</f>
        <v>0</v>
      </c>
      <c r="V3381" s="232" t="str">
        <f aca="false">+PROPER(F3381)</f>
        <v/>
      </c>
    </row>
    <row r="3382" customFormat="false" ht="14.25" hidden="false" customHeight="false" outlineLevel="0" collapsed="false">
      <c r="B3382" s="244"/>
      <c r="C3382" s="245"/>
      <c r="D3382" s="245"/>
      <c r="E3382" s="246"/>
      <c r="F3382" s="246"/>
      <c r="G3382" s="225" t="e">
        <f aca="false">VLOOKUP(B3382,'NIVEL ENERO'!A:F,4,0)</f>
        <v>#N/A</v>
      </c>
      <c r="H3382" s="247"/>
      <c r="I3382" s="247"/>
      <c r="J3382" s="246"/>
      <c r="K3382" s="246"/>
      <c r="L3382" s="226"/>
      <c r="M3382" s="226"/>
      <c r="N3382" s="246"/>
      <c r="P3382" s="228"/>
      <c r="Q3382" s="245"/>
      <c r="R3382" s="186" t="str">
        <f aca="false">+PROPER(C3382&amp;" "&amp;D3382)</f>
        <v> </v>
      </c>
      <c r="S3382" s="230" t="n">
        <f aca="false">+YEARFRAC(L3382,$S$1)</f>
        <v>126.366666666667</v>
      </c>
      <c r="T3382" s="230" t="n">
        <f aca="false">+YEARFRAC(M3382,$S$1)</f>
        <v>126.366666666667</v>
      </c>
      <c r="U3382" s="231" t="n">
        <f aca="false">+$I3382</f>
        <v>0</v>
      </c>
      <c r="V3382" s="232" t="str">
        <f aca="false">+PROPER(F3382)</f>
        <v/>
      </c>
    </row>
    <row r="3383" customFormat="false" ht="14.25" hidden="false" customHeight="false" outlineLevel="0" collapsed="false">
      <c r="B3383" s="244"/>
      <c r="C3383" s="245"/>
      <c r="D3383" s="245"/>
      <c r="E3383" s="246"/>
      <c r="F3383" s="246"/>
      <c r="G3383" s="225" t="e">
        <f aca="false">VLOOKUP(B3383,'NIVEL ENERO'!A:F,4,0)</f>
        <v>#N/A</v>
      </c>
      <c r="H3383" s="247"/>
      <c r="I3383" s="247"/>
      <c r="J3383" s="246"/>
      <c r="K3383" s="246"/>
      <c r="L3383" s="226"/>
      <c r="M3383" s="226"/>
      <c r="N3383" s="246"/>
      <c r="P3383" s="228"/>
      <c r="Q3383" s="245"/>
      <c r="R3383" s="186" t="str">
        <f aca="false">+PROPER(C3383&amp;" "&amp;D3383)</f>
        <v> </v>
      </c>
      <c r="S3383" s="230" t="n">
        <f aca="false">+YEARFRAC(L3383,$S$1)</f>
        <v>126.366666666667</v>
      </c>
      <c r="T3383" s="230" t="n">
        <f aca="false">+YEARFRAC(M3383,$S$1)</f>
        <v>126.366666666667</v>
      </c>
      <c r="U3383" s="231" t="n">
        <f aca="false">+$I3383</f>
        <v>0</v>
      </c>
      <c r="V3383" s="232" t="str">
        <f aca="false">+PROPER(F3383)</f>
        <v/>
      </c>
    </row>
    <row r="3384" customFormat="false" ht="14.25" hidden="false" customHeight="false" outlineLevel="0" collapsed="false">
      <c r="B3384" s="244"/>
      <c r="C3384" s="245"/>
      <c r="D3384" s="245"/>
      <c r="E3384" s="246"/>
      <c r="F3384" s="246"/>
      <c r="G3384" s="225" t="e">
        <f aca="false">VLOOKUP(B3384,'NIVEL ENERO'!A:F,4,0)</f>
        <v>#N/A</v>
      </c>
      <c r="H3384" s="247"/>
      <c r="I3384" s="247"/>
      <c r="J3384" s="246"/>
      <c r="K3384" s="246"/>
      <c r="L3384" s="226"/>
      <c r="M3384" s="226"/>
      <c r="N3384" s="246"/>
      <c r="P3384" s="228"/>
      <c r="Q3384" s="245"/>
      <c r="R3384" s="186" t="str">
        <f aca="false">+PROPER(C3384&amp;" "&amp;D3384)</f>
        <v> </v>
      </c>
      <c r="S3384" s="230" t="n">
        <f aca="false">+YEARFRAC(L3384,$S$1)</f>
        <v>126.366666666667</v>
      </c>
      <c r="T3384" s="230" t="n">
        <f aca="false">+YEARFRAC(M3384,$S$1)</f>
        <v>126.366666666667</v>
      </c>
      <c r="U3384" s="231" t="n">
        <f aca="false">+$I3384</f>
        <v>0</v>
      </c>
      <c r="V3384" s="232" t="str">
        <f aca="false">+PROPER(F3384)</f>
        <v/>
      </c>
    </row>
    <row r="3385" customFormat="false" ht="14.25" hidden="false" customHeight="false" outlineLevel="0" collapsed="false">
      <c r="B3385" s="244"/>
      <c r="C3385" s="245"/>
      <c r="D3385" s="245"/>
      <c r="E3385" s="246"/>
      <c r="F3385" s="246"/>
      <c r="G3385" s="225" t="e">
        <f aca="false">VLOOKUP(B3385,'NIVEL ENERO'!A:F,4,0)</f>
        <v>#N/A</v>
      </c>
      <c r="H3385" s="247"/>
      <c r="I3385" s="247"/>
      <c r="J3385" s="246"/>
      <c r="K3385" s="246"/>
      <c r="L3385" s="226"/>
      <c r="M3385" s="226"/>
      <c r="N3385" s="246"/>
      <c r="P3385" s="228"/>
      <c r="Q3385" s="245"/>
      <c r="R3385" s="186" t="str">
        <f aca="false">+PROPER(C3385&amp;" "&amp;D3385)</f>
        <v> </v>
      </c>
      <c r="S3385" s="230" t="n">
        <f aca="false">+YEARFRAC(L3385,$S$1)</f>
        <v>126.366666666667</v>
      </c>
      <c r="T3385" s="230" t="n">
        <f aca="false">+YEARFRAC(M3385,$S$1)</f>
        <v>126.366666666667</v>
      </c>
      <c r="U3385" s="231" t="n">
        <f aca="false">+$I3385</f>
        <v>0</v>
      </c>
      <c r="V3385" s="232" t="str">
        <f aca="false">+PROPER(F3385)</f>
        <v/>
      </c>
    </row>
    <row r="3386" customFormat="false" ht="14.25" hidden="false" customHeight="false" outlineLevel="0" collapsed="false">
      <c r="B3386" s="244"/>
      <c r="C3386" s="245"/>
      <c r="D3386" s="245"/>
      <c r="E3386" s="246"/>
      <c r="F3386" s="246"/>
      <c r="G3386" s="225" t="e">
        <f aca="false">VLOOKUP(B3386,'NIVEL ENERO'!A:F,4,0)</f>
        <v>#N/A</v>
      </c>
      <c r="H3386" s="247"/>
      <c r="I3386" s="247"/>
      <c r="J3386" s="246"/>
      <c r="K3386" s="246"/>
      <c r="L3386" s="226"/>
      <c r="M3386" s="226"/>
      <c r="N3386" s="246"/>
      <c r="P3386" s="228"/>
      <c r="Q3386" s="245"/>
      <c r="R3386" s="186" t="str">
        <f aca="false">+PROPER(C3386&amp;" "&amp;D3386)</f>
        <v> </v>
      </c>
      <c r="S3386" s="230" t="n">
        <f aca="false">+YEARFRAC(L3386,$S$1)</f>
        <v>126.366666666667</v>
      </c>
      <c r="T3386" s="230" t="n">
        <f aca="false">+YEARFRAC(M3386,$S$1)</f>
        <v>126.366666666667</v>
      </c>
      <c r="U3386" s="231" t="n">
        <f aca="false">+$I3386</f>
        <v>0</v>
      </c>
      <c r="V3386" s="232" t="str">
        <f aca="false">+PROPER(F3386)</f>
        <v/>
      </c>
    </row>
    <row r="3387" customFormat="false" ht="14.25" hidden="false" customHeight="false" outlineLevel="0" collapsed="false">
      <c r="B3387" s="244"/>
      <c r="C3387" s="245"/>
      <c r="D3387" s="245"/>
      <c r="E3387" s="246"/>
      <c r="F3387" s="246"/>
      <c r="G3387" s="225" t="e">
        <f aca="false">VLOOKUP(B3387,'NIVEL ENERO'!A:F,4,0)</f>
        <v>#N/A</v>
      </c>
      <c r="H3387" s="247"/>
      <c r="I3387" s="247"/>
      <c r="J3387" s="246"/>
      <c r="K3387" s="246"/>
      <c r="L3387" s="226"/>
      <c r="M3387" s="226"/>
      <c r="N3387" s="246"/>
      <c r="P3387" s="228"/>
      <c r="Q3387" s="245"/>
      <c r="R3387" s="186" t="str">
        <f aca="false">+PROPER(C3387&amp;" "&amp;D3387)</f>
        <v> </v>
      </c>
      <c r="S3387" s="230" t="n">
        <f aca="false">+YEARFRAC(L3387,$S$1)</f>
        <v>126.366666666667</v>
      </c>
      <c r="T3387" s="230" t="n">
        <f aca="false">+YEARFRAC(M3387,$S$1)</f>
        <v>126.366666666667</v>
      </c>
      <c r="U3387" s="231" t="n">
        <f aca="false">+$I3387</f>
        <v>0</v>
      </c>
      <c r="V3387" s="232" t="str">
        <f aca="false">+PROPER(F3387)</f>
        <v/>
      </c>
    </row>
    <row r="3388" customFormat="false" ht="14.25" hidden="false" customHeight="false" outlineLevel="0" collapsed="false">
      <c r="B3388" s="244"/>
      <c r="C3388" s="245"/>
      <c r="D3388" s="245"/>
      <c r="E3388" s="246"/>
      <c r="F3388" s="246"/>
      <c r="G3388" s="225" t="e">
        <f aca="false">VLOOKUP(B3388,'NIVEL ENERO'!A:F,4,0)</f>
        <v>#N/A</v>
      </c>
      <c r="H3388" s="247"/>
      <c r="I3388" s="247"/>
      <c r="J3388" s="246"/>
      <c r="K3388" s="246"/>
      <c r="L3388" s="226"/>
      <c r="M3388" s="226"/>
      <c r="N3388" s="246"/>
      <c r="P3388" s="228"/>
      <c r="Q3388" s="245"/>
      <c r="R3388" s="186" t="str">
        <f aca="false">+PROPER(C3388&amp;" "&amp;D3388)</f>
        <v> </v>
      </c>
      <c r="S3388" s="230" t="n">
        <f aca="false">+YEARFRAC(L3388,$S$1)</f>
        <v>126.366666666667</v>
      </c>
      <c r="T3388" s="230" t="n">
        <f aca="false">+YEARFRAC(M3388,$S$1)</f>
        <v>126.366666666667</v>
      </c>
      <c r="U3388" s="231" t="n">
        <f aca="false">+$I3388</f>
        <v>0</v>
      </c>
      <c r="V3388" s="232" t="str">
        <f aca="false">+PROPER(F3388)</f>
        <v/>
      </c>
    </row>
    <row r="3389" customFormat="false" ht="14.25" hidden="false" customHeight="false" outlineLevel="0" collapsed="false">
      <c r="B3389" s="244"/>
      <c r="C3389" s="245"/>
      <c r="D3389" s="245"/>
      <c r="E3389" s="246"/>
      <c r="F3389" s="246"/>
      <c r="G3389" s="225" t="e">
        <f aca="false">VLOOKUP(B3389,'NIVEL ENERO'!A:F,4,0)</f>
        <v>#N/A</v>
      </c>
      <c r="H3389" s="247"/>
      <c r="I3389" s="247"/>
      <c r="J3389" s="246"/>
      <c r="K3389" s="246"/>
      <c r="L3389" s="226"/>
      <c r="M3389" s="226"/>
      <c r="N3389" s="246"/>
      <c r="P3389" s="228"/>
      <c r="Q3389" s="245"/>
      <c r="R3389" s="186" t="str">
        <f aca="false">+PROPER(C3389&amp;" "&amp;D3389)</f>
        <v> </v>
      </c>
      <c r="S3389" s="230" t="n">
        <f aca="false">+YEARFRAC(L3389,$S$1)</f>
        <v>126.366666666667</v>
      </c>
      <c r="T3389" s="230" t="n">
        <f aca="false">+YEARFRAC(M3389,$S$1)</f>
        <v>126.366666666667</v>
      </c>
      <c r="U3389" s="231" t="n">
        <f aca="false">+$I3389</f>
        <v>0</v>
      </c>
      <c r="V3389" s="232" t="str">
        <f aca="false">+PROPER(F3389)</f>
        <v/>
      </c>
    </row>
    <row r="3390" customFormat="false" ht="14.25" hidden="false" customHeight="false" outlineLevel="0" collapsed="false">
      <c r="B3390" s="244"/>
      <c r="C3390" s="245"/>
      <c r="D3390" s="245"/>
      <c r="E3390" s="246"/>
      <c r="F3390" s="246"/>
      <c r="G3390" s="225" t="e">
        <f aca="false">VLOOKUP(B3390,'NIVEL ENERO'!A:F,4,0)</f>
        <v>#N/A</v>
      </c>
      <c r="H3390" s="247"/>
      <c r="I3390" s="247"/>
      <c r="J3390" s="246"/>
      <c r="K3390" s="246"/>
      <c r="L3390" s="226"/>
      <c r="M3390" s="226"/>
      <c r="N3390" s="246"/>
      <c r="P3390" s="228"/>
      <c r="Q3390" s="245"/>
      <c r="R3390" s="186" t="str">
        <f aca="false">+PROPER(C3390&amp;" "&amp;D3390)</f>
        <v> </v>
      </c>
      <c r="S3390" s="230" t="n">
        <f aca="false">+YEARFRAC(L3390,$S$1)</f>
        <v>126.366666666667</v>
      </c>
      <c r="T3390" s="230" t="n">
        <f aca="false">+YEARFRAC(M3390,$S$1)</f>
        <v>126.366666666667</v>
      </c>
      <c r="U3390" s="231" t="n">
        <f aca="false">+$I3390</f>
        <v>0</v>
      </c>
      <c r="V3390" s="232" t="str">
        <f aca="false">+PROPER(F3390)</f>
        <v/>
      </c>
    </row>
    <row r="3391" customFormat="false" ht="14.25" hidden="false" customHeight="false" outlineLevel="0" collapsed="false">
      <c r="B3391" s="244"/>
      <c r="C3391" s="245"/>
      <c r="D3391" s="245"/>
      <c r="E3391" s="246"/>
      <c r="F3391" s="246"/>
      <c r="G3391" s="225" t="e">
        <f aca="false">VLOOKUP(B3391,'NIVEL ENERO'!A:F,4,0)</f>
        <v>#N/A</v>
      </c>
      <c r="H3391" s="247"/>
      <c r="I3391" s="247"/>
      <c r="J3391" s="246"/>
      <c r="K3391" s="246"/>
      <c r="L3391" s="226"/>
      <c r="M3391" s="226"/>
      <c r="N3391" s="246"/>
      <c r="P3391" s="228"/>
      <c r="Q3391" s="245"/>
      <c r="R3391" s="186" t="str">
        <f aca="false">+PROPER(C3391&amp;" "&amp;D3391)</f>
        <v> </v>
      </c>
      <c r="S3391" s="230" t="n">
        <f aca="false">+YEARFRAC(L3391,$S$1)</f>
        <v>126.366666666667</v>
      </c>
      <c r="T3391" s="230" t="n">
        <f aca="false">+YEARFRAC(M3391,$S$1)</f>
        <v>126.366666666667</v>
      </c>
      <c r="U3391" s="231" t="n">
        <f aca="false">+$I3391</f>
        <v>0</v>
      </c>
      <c r="V3391" s="232" t="str">
        <f aca="false">+PROPER(F3391)</f>
        <v/>
      </c>
    </row>
    <row r="3392" customFormat="false" ht="14.25" hidden="false" customHeight="false" outlineLevel="0" collapsed="false">
      <c r="B3392" s="244"/>
      <c r="C3392" s="245"/>
      <c r="D3392" s="245"/>
      <c r="E3392" s="246"/>
      <c r="F3392" s="246"/>
      <c r="G3392" s="225" t="e">
        <f aca="false">VLOOKUP(B3392,'NIVEL ENERO'!A:F,4,0)</f>
        <v>#N/A</v>
      </c>
      <c r="H3392" s="247"/>
      <c r="I3392" s="247"/>
      <c r="J3392" s="246"/>
      <c r="K3392" s="246"/>
      <c r="L3392" s="226"/>
      <c r="M3392" s="226"/>
      <c r="N3392" s="246"/>
      <c r="P3392" s="228"/>
      <c r="Q3392" s="245"/>
      <c r="R3392" s="186" t="str">
        <f aca="false">+PROPER(C3392&amp;" "&amp;D3392)</f>
        <v> </v>
      </c>
      <c r="S3392" s="230" t="n">
        <f aca="false">+YEARFRAC(L3392,$S$1)</f>
        <v>126.366666666667</v>
      </c>
      <c r="T3392" s="230" t="n">
        <f aca="false">+YEARFRAC(M3392,$S$1)</f>
        <v>126.366666666667</v>
      </c>
      <c r="U3392" s="231" t="n">
        <f aca="false">+$I3392</f>
        <v>0</v>
      </c>
      <c r="V3392" s="232" t="str">
        <f aca="false">+PROPER(F3392)</f>
        <v/>
      </c>
    </row>
    <row r="3393" customFormat="false" ht="14.25" hidden="false" customHeight="false" outlineLevel="0" collapsed="false">
      <c r="B3393" s="244"/>
      <c r="C3393" s="245"/>
      <c r="D3393" s="245"/>
      <c r="E3393" s="246"/>
      <c r="F3393" s="246"/>
      <c r="G3393" s="225" t="e">
        <f aca="false">VLOOKUP(B3393,'NIVEL ENERO'!A:F,4,0)</f>
        <v>#N/A</v>
      </c>
      <c r="H3393" s="247"/>
      <c r="I3393" s="247"/>
      <c r="J3393" s="246"/>
      <c r="K3393" s="246"/>
      <c r="L3393" s="226"/>
      <c r="M3393" s="226"/>
      <c r="N3393" s="246"/>
      <c r="P3393" s="228"/>
      <c r="Q3393" s="245"/>
      <c r="R3393" s="186" t="str">
        <f aca="false">+PROPER(C3393&amp;" "&amp;D3393)</f>
        <v> </v>
      </c>
      <c r="S3393" s="230" t="n">
        <f aca="false">+YEARFRAC(L3393,$S$1)</f>
        <v>126.366666666667</v>
      </c>
      <c r="T3393" s="230" t="n">
        <f aca="false">+YEARFRAC(M3393,$S$1)</f>
        <v>126.366666666667</v>
      </c>
      <c r="U3393" s="231" t="n">
        <f aca="false">+$I3393</f>
        <v>0</v>
      </c>
      <c r="V3393" s="232" t="str">
        <f aca="false">+PROPER(F3393)</f>
        <v/>
      </c>
    </row>
    <row r="3394" customFormat="false" ht="14.25" hidden="false" customHeight="false" outlineLevel="0" collapsed="false">
      <c r="B3394" s="244"/>
      <c r="C3394" s="245"/>
      <c r="D3394" s="245"/>
      <c r="E3394" s="246"/>
      <c r="F3394" s="246"/>
      <c r="G3394" s="225" t="e">
        <f aca="false">VLOOKUP(B3394,'NIVEL ENERO'!A:F,4,0)</f>
        <v>#N/A</v>
      </c>
      <c r="H3394" s="247"/>
      <c r="I3394" s="247"/>
      <c r="J3394" s="246"/>
      <c r="K3394" s="246"/>
      <c r="L3394" s="226"/>
      <c r="M3394" s="226"/>
      <c r="N3394" s="246"/>
      <c r="P3394" s="228"/>
      <c r="Q3394" s="245"/>
      <c r="R3394" s="186" t="str">
        <f aca="false">+PROPER(C3394&amp;" "&amp;D3394)</f>
        <v> </v>
      </c>
      <c r="S3394" s="230" t="n">
        <f aca="false">+YEARFRAC(L3394,$S$1)</f>
        <v>126.366666666667</v>
      </c>
      <c r="T3394" s="230" t="n">
        <f aca="false">+YEARFRAC(M3394,$S$1)</f>
        <v>126.366666666667</v>
      </c>
      <c r="U3394" s="231" t="n">
        <f aca="false">+$I3394</f>
        <v>0</v>
      </c>
      <c r="V3394" s="232" t="str">
        <f aca="false">+PROPER(F3394)</f>
        <v/>
      </c>
    </row>
    <row r="3395" customFormat="false" ht="14.25" hidden="false" customHeight="false" outlineLevel="0" collapsed="false">
      <c r="B3395" s="244"/>
      <c r="C3395" s="245"/>
      <c r="D3395" s="245"/>
      <c r="E3395" s="246"/>
      <c r="F3395" s="246"/>
      <c r="G3395" s="225" t="e">
        <f aca="false">VLOOKUP(B3395,'NIVEL ENERO'!A:F,4,0)</f>
        <v>#N/A</v>
      </c>
      <c r="H3395" s="247"/>
      <c r="I3395" s="247"/>
      <c r="J3395" s="246"/>
      <c r="K3395" s="246"/>
      <c r="L3395" s="226"/>
      <c r="M3395" s="226"/>
      <c r="N3395" s="246"/>
      <c r="P3395" s="228"/>
      <c r="Q3395" s="245"/>
      <c r="R3395" s="186" t="str">
        <f aca="false">+PROPER(C3395&amp;" "&amp;D3395)</f>
        <v> </v>
      </c>
      <c r="S3395" s="230" t="n">
        <f aca="false">+YEARFRAC(L3395,$S$1)</f>
        <v>126.366666666667</v>
      </c>
      <c r="T3395" s="230" t="n">
        <f aca="false">+YEARFRAC(M3395,$S$1)</f>
        <v>126.366666666667</v>
      </c>
      <c r="U3395" s="231" t="n">
        <f aca="false">+$I3395</f>
        <v>0</v>
      </c>
      <c r="V3395" s="232" t="str">
        <f aca="false">+PROPER(F3395)</f>
        <v/>
      </c>
    </row>
    <row r="3396" customFormat="false" ht="14.25" hidden="false" customHeight="false" outlineLevel="0" collapsed="false">
      <c r="B3396" s="244"/>
      <c r="C3396" s="245"/>
      <c r="D3396" s="245"/>
      <c r="E3396" s="246"/>
      <c r="F3396" s="246"/>
      <c r="G3396" s="225" t="e">
        <f aca="false">VLOOKUP(B3396,'NIVEL ENERO'!A:F,4,0)</f>
        <v>#N/A</v>
      </c>
      <c r="H3396" s="247"/>
      <c r="I3396" s="247"/>
      <c r="J3396" s="246"/>
      <c r="K3396" s="246"/>
      <c r="L3396" s="226"/>
      <c r="M3396" s="226"/>
      <c r="N3396" s="246"/>
      <c r="P3396" s="228"/>
      <c r="Q3396" s="245"/>
      <c r="R3396" s="186" t="str">
        <f aca="false">+PROPER(C3396&amp;" "&amp;D3396)</f>
        <v> </v>
      </c>
      <c r="S3396" s="230" t="n">
        <f aca="false">+YEARFRAC(L3396,$S$1)</f>
        <v>126.366666666667</v>
      </c>
      <c r="T3396" s="230" t="n">
        <f aca="false">+YEARFRAC(M3396,$S$1)</f>
        <v>126.366666666667</v>
      </c>
      <c r="U3396" s="231" t="n">
        <f aca="false">+$I3396</f>
        <v>0</v>
      </c>
      <c r="V3396" s="232" t="str">
        <f aca="false">+PROPER(F3396)</f>
        <v/>
      </c>
    </row>
    <row r="3397" customFormat="false" ht="14.25" hidden="false" customHeight="false" outlineLevel="0" collapsed="false">
      <c r="B3397" s="244"/>
      <c r="C3397" s="245"/>
      <c r="D3397" s="245"/>
      <c r="E3397" s="246"/>
      <c r="F3397" s="246"/>
      <c r="G3397" s="225" t="e">
        <f aca="false">VLOOKUP(B3397,'NIVEL ENERO'!A:F,4,0)</f>
        <v>#N/A</v>
      </c>
      <c r="H3397" s="247"/>
      <c r="I3397" s="247"/>
      <c r="J3397" s="246"/>
      <c r="K3397" s="246"/>
      <c r="L3397" s="226"/>
      <c r="M3397" s="226"/>
      <c r="N3397" s="246"/>
      <c r="P3397" s="228"/>
      <c r="Q3397" s="245"/>
      <c r="R3397" s="186" t="str">
        <f aca="false">+PROPER(C3397&amp;" "&amp;D3397)</f>
        <v> </v>
      </c>
      <c r="S3397" s="230" t="n">
        <f aca="false">+YEARFRAC(L3397,$S$1)</f>
        <v>126.366666666667</v>
      </c>
      <c r="T3397" s="230" t="n">
        <f aca="false">+YEARFRAC(M3397,$S$1)</f>
        <v>126.366666666667</v>
      </c>
      <c r="U3397" s="231" t="n">
        <f aca="false">+$I3397</f>
        <v>0</v>
      </c>
      <c r="V3397" s="232" t="str">
        <f aca="false">+PROPER(F3397)</f>
        <v/>
      </c>
    </row>
    <row r="3398" customFormat="false" ht="14.25" hidden="false" customHeight="false" outlineLevel="0" collapsed="false">
      <c r="B3398" s="244"/>
      <c r="C3398" s="245"/>
      <c r="D3398" s="245"/>
      <c r="E3398" s="246"/>
      <c r="F3398" s="246"/>
      <c r="G3398" s="225" t="e">
        <f aca="false">VLOOKUP(B3398,'NIVEL ENERO'!A:F,4,0)</f>
        <v>#N/A</v>
      </c>
      <c r="H3398" s="247"/>
      <c r="I3398" s="247"/>
      <c r="J3398" s="246"/>
      <c r="K3398" s="246"/>
      <c r="L3398" s="226"/>
      <c r="M3398" s="226"/>
      <c r="N3398" s="246"/>
      <c r="P3398" s="228"/>
      <c r="Q3398" s="245"/>
      <c r="R3398" s="186" t="str">
        <f aca="false">+PROPER(C3398&amp;" "&amp;D3398)</f>
        <v> </v>
      </c>
      <c r="S3398" s="230" t="n">
        <f aca="false">+YEARFRAC(L3398,$S$1)</f>
        <v>126.366666666667</v>
      </c>
      <c r="T3398" s="230" t="n">
        <f aca="false">+YEARFRAC(M3398,$S$1)</f>
        <v>126.366666666667</v>
      </c>
      <c r="U3398" s="231" t="n">
        <f aca="false">+$I3398</f>
        <v>0</v>
      </c>
      <c r="V3398" s="232" t="str">
        <f aca="false">+PROPER(F3398)</f>
        <v/>
      </c>
    </row>
    <row r="3399" customFormat="false" ht="14.25" hidden="false" customHeight="false" outlineLevel="0" collapsed="false">
      <c r="B3399" s="244"/>
      <c r="C3399" s="245"/>
      <c r="D3399" s="245"/>
      <c r="E3399" s="246"/>
      <c r="F3399" s="246"/>
      <c r="G3399" s="225" t="e">
        <f aca="false">VLOOKUP(B3399,'NIVEL ENERO'!A:F,4,0)</f>
        <v>#N/A</v>
      </c>
      <c r="H3399" s="247"/>
      <c r="I3399" s="247"/>
      <c r="J3399" s="246"/>
      <c r="K3399" s="246"/>
      <c r="L3399" s="226"/>
      <c r="M3399" s="226"/>
      <c r="N3399" s="246"/>
      <c r="P3399" s="228"/>
      <c r="Q3399" s="245"/>
      <c r="R3399" s="186" t="str">
        <f aca="false">+PROPER(C3399&amp;" "&amp;D3399)</f>
        <v> </v>
      </c>
      <c r="S3399" s="230" t="n">
        <f aca="false">+YEARFRAC(L3399,$S$1)</f>
        <v>126.366666666667</v>
      </c>
      <c r="T3399" s="230" t="n">
        <f aca="false">+YEARFRAC(M3399,$S$1)</f>
        <v>126.366666666667</v>
      </c>
      <c r="U3399" s="231" t="n">
        <f aca="false">+$I3399</f>
        <v>0</v>
      </c>
      <c r="V3399" s="232" t="str">
        <f aca="false">+PROPER(F3399)</f>
        <v/>
      </c>
    </row>
    <row r="3400" customFormat="false" ht="14.25" hidden="false" customHeight="false" outlineLevel="0" collapsed="false">
      <c r="B3400" s="244"/>
      <c r="C3400" s="245"/>
      <c r="D3400" s="245"/>
      <c r="E3400" s="246"/>
      <c r="F3400" s="246"/>
      <c r="G3400" s="225" t="e">
        <f aca="false">VLOOKUP(B3400,'NIVEL ENERO'!A:F,4,0)</f>
        <v>#N/A</v>
      </c>
      <c r="H3400" s="247"/>
      <c r="I3400" s="247"/>
      <c r="J3400" s="246"/>
      <c r="K3400" s="246"/>
      <c r="L3400" s="226"/>
      <c r="M3400" s="226"/>
      <c r="N3400" s="246"/>
      <c r="P3400" s="228"/>
      <c r="Q3400" s="245"/>
      <c r="R3400" s="186" t="str">
        <f aca="false">+PROPER(C3400&amp;" "&amp;D3400)</f>
        <v> </v>
      </c>
      <c r="S3400" s="230" t="n">
        <f aca="false">+YEARFRAC(L3400,$S$1)</f>
        <v>126.366666666667</v>
      </c>
      <c r="T3400" s="230" t="n">
        <f aca="false">+YEARFRAC(M3400,$S$1)</f>
        <v>126.366666666667</v>
      </c>
      <c r="U3400" s="231" t="n">
        <f aca="false">+$I3400</f>
        <v>0</v>
      </c>
      <c r="V3400" s="232" t="str">
        <f aca="false">+PROPER(F3400)</f>
        <v/>
      </c>
    </row>
    <row r="3401" customFormat="false" ht="14.25" hidden="false" customHeight="false" outlineLevel="0" collapsed="false">
      <c r="B3401" s="244"/>
      <c r="C3401" s="245"/>
      <c r="D3401" s="245"/>
      <c r="E3401" s="246"/>
      <c r="F3401" s="246"/>
      <c r="G3401" s="225" t="e">
        <f aca="false">VLOOKUP(B3401,'NIVEL ENERO'!A:F,4,0)</f>
        <v>#N/A</v>
      </c>
      <c r="H3401" s="247"/>
      <c r="I3401" s="247"/>
      <c r="J3401" s="246"/>
      <c r="K3401" s="246"/>
      <c r="L3401" s="226"/>
      <c r="M3401" s="226"/>
      <c r="N3401" s="246"/>
      <c r="P3401" s="228"/>
      <c r="Q3401" s="245"/>
      <c r="R3401" s="186" t="str">
        <f aca="false">+PROPER(C3401&amp;" "&amp;D3401)</f>
        <v> </v>
      </c>
      <c r="S3401" s="230" t="n">
        <f aca="false">+YEARFRAC(L3401,$S$1)</f>
        <v>126.366666666667</v>
      </c>
      <c r="T3401" s="230" t="n">
        <f aca="false">+YEARFRAC(M3401,$S$1)</f>
        <v>126.366666666667</v>
      </c>
      <c r="U3401" s="231" t="n">
        <f aca="false">+$I3401</f>
        <v>0</v>
      </c>
      <c r="V3401" s="232" t="str">
        <f aca="false">+PROPER(F3401)</f>
        <v/>
      </c>
    </row>
    <row r="3402" customFormat="false" ht="14.25" hidden="false" customHeight="false" outlineLevel="0" collapsed="false">
      <c r="B3402" s="244"/>
      <c r="C3402" s="245"/>
      <c r="D3402" s="245"/>
      <c r="E3402" s="246"/>
      <c r="F3402" s="246"/>
      <c r="G3402" s="225" t="e">
        <f aca="false">VLOOKUP(B3402,'NIVEL ENERO'!A:F,4,0)</f>
        <v>#N/A</v>
      </c>
      <c r="H3402" s="247"/>
      <c r="I3402" s="247"/>
      <c r="J3402" s="246"/>
      <c r="K3402" s="246"/>
      <c r="L3402" s="226"/>
      <c r="M3402" s="226"/>
      <c r="N3402" s="246"/>
      <c r="P3402" s="228"/>
      <c r="Q3402" s="245"/>
      <c r="R3402" s="186" t="str">
        <f aca="false">+PROPER(C3402&amp;" "&amp;D3402)</f>
        <v> </v>
      </c>
      <c r="S3402" s="230" t="n">
        <f aca="false">+YEARFRAC(L3402,$S$1)</f>
        <v>126.366666666667</v>
      </c>
      <c r="T3402" s="230" t="n">
        <f aca="false">+YEARFRAC(M3402,$S$1)</f>
        <v>126.366666666667</v>
      </c>
      <c r="U3402" s="231" t="n">
        <f aca="false">+$I3402</f>
        <v>0</v>
      </c>
      <c r="V3402" s="232" t="str">
        <f aca="false">+PROPER(F3402)</f>
        <v/>
      </c>
    </row>
    <row r="3403" customFormat="false" ht="14.25" hidden="false" customHeight="false" outlineLevel="0" collapsed="false">
      <c r="B3403" s="244"/>
      <c r="C3403" s="245"/>
      <c r="D3403" s="245"/>
      <c r="E3403" s="246"/>
      <c r="F3403" s="246"/>
      <c r="G3403" s="225" t="e">
        <f aca="false">VLOOKUP(B3403,'NIVEL ENERO'!A:F,4,0)</f>
        <v>#N/A</v>
      </c>
      <c r="H3403" s="247"/>
      <c r="I3403" s="247"/>
      <c r="J3403" s="246"/>
      <c r="K3403" s="246"/>
      <c r="L3403" s="226"/>
      <c r="M3403" s="226"/>
      <c r="N3403" s="246"/>
      <c r="P3403" s="228"/>
      <c r="Q3403" s="245"/>
      <c r="R3403" s="186" t="str">
        <f aca="false">+PROPER(C3403&amp;" "&amp;D3403)</f>
        <v> </v>
      </c>
      <c r="S3403" s="230" t="n">
        <f aca="false">+YEARFRAC(L3403,$S$1)</f>
        <v>126.366666666667</v>
      </c>
      <c r="T3403" s="230" t="n">
        <f aca="false">+YEARFRAC(M3403,$S$1)</f>
        <v>126.366666666667</v>
      </c>
      <c r="U3403" s="231" t="n">
        <f aca="false">+$I3403</f>
        <v>0</v>
      </c>
      <c r="V3403" s="232" t="str">
        <f aca="false">+PROPER(F3403)</f>
        <v/>
      </c>
    </row>
    <row r="3404" customFormat="false" ht="14.25" hidden="false" customHeight="false" outlineLevel="0" collapsed="false">
      <c r="B3404" s="244"/>
      <c r="C3404" s="245"/>
      <c r="D3404" s="245"/>
      <c r="E3404" s="246"/>
      <c r="F3404" s="246"/>
      <c r="G3404" s="225" t="e">
        <f aca="false">VLOOKUP(B3404,'NIVEL ENERO'!A:F,4,0)</f>
        <v>#N/A</v>
      </c>
      <c r="H3404" s="247"/>
      <c r="I3404" s="247"/>
      <c r="J3404" s="246"/>
      <c r="K3404" s="246"/>
      <c r="L3404" s="226"/>
      <c r="M3404" s="226"/>
      <c r="N3404" s="246"/>
      <c r="P3404" s="228"/>
      <c r="Q3404" s="245"/>
      <c r="R3404" s="186" t="str">
        <f aca="false">+PROPER(C3404&amp;" "&amp;D3404)</f>
        <v> </v>
      </c>
      <c r="S3404" s="230" t="n">
        <f aca="false">+YEARFRAC(L3404,$S$1)</f>
        <v>126.366666666667</v>
      </c>
      <c r="T3404" s="230" t="n">
        <f aca="false">+YEARFRAC(M3404,$S$1)</f>
        <v>126.366666666667</v>
      </c>
      <c r="U3404" s="231" t="n">
        <f aca="false">+$I3404</f>
        <v>0</v>
      </c>
      <c r="V3404" s="232" t="str">
        <f aca="false">+PROPER(F3404)</f>
        <v/>
      </c>
    </row>
    <row r="3405" customFormat="false" ht="14.25" hidden="false" customHeight="false" outlineLevel="0" collapsed="false">
      <c r="B3405" s="244"/>
      <c r="C3405" s="245"/>
      <c r="D3405" s="245"/>
      <c r="E3405" s="246"/>
      <c r="F3405" s="246"/>
      <c r="G3405" s="225" t="e">
        <f aca="false">VLOOKUP(B3405,'NIVEL ENERO'!A:F,4,0)</f>
        <v>#N/A</v>
      </c>
      <c r="H3405" s="247"/>
      <c r="I3405" s="247"/>
      <c r="J3405" s="246"/>
      <c r="K3405" s="246"/>
      <c r="L3405" s="226"/>
      <c r="M3405" s="226"/>
      <c r="N3405" s="246"/>
      <c r="P3405" s="228"/>
      <c r="Q3405" s="245"/>
      <c r="R3405" s="186" t="str">
        <f aca="false">+PROPER(C3405&amp;" "&amp;D3405)</f>
        <v> </v>
      </c>
      <c r="S3405" s="230" t="n">
        <f aca="false">+YEARFRAC(L3405,$S$1)</f>
        <v>126.366666666667</v>
      </c>
      <c r="T3405" s="230" t="n">
        <f aca="false">+YEARFRAC(M3405,$S$1)</f>
        <v>126.366666666667</v>
      </c>
      <c r="U3405" s="231" t="n">
        <f aca="false">+$I3405</f>
        <v>0</v>
      </c>
      <c r="V3405" s="232" t="str">
        <f aca="false">+PROPER(F3405)</f>
        <v/>
      </c>
    </row>
    <row r="3406" customFormat="false" ht="14.25" hidden="false" customHeight="false" outlineLevel="0" collapsed="false">
      <c r="B3406" s="244"/>
      <c r="C3406" s="245"/>
      <c r="D3406" s="245"/>
      <c r="E3406" s="246"/>
      <c r="F3406" s="246"/>
      <c r="G3406" s="225" t="e">
        <f aca="false">VLOOKUP(B3406,'NIVEL ENERO'!A:F,4,0)</f>
        <v>#N/A</v>
      </c>
      <c r="H3406" s="247"/>
      <c r="I3406" s="247"/>
      <c r="J3406" s="246"/>
      <c r="K3406" s="246"/>
      <c r="L3406" s="226"/>
      <c r="M3406" s="226"/>
      <c r="N3406" s="246"/>
      <c r="P3406" s="228"/>
      <c r="Q3406" s="245"/>
      <c r="R3406" s="186" t="str">
        <f aca="false">+PROPER(C3406&amp;" "&amp;D3406)</f>
        <v> </v>
      </c>
      <c r="S3406" s="230" t="n">
        <f aca="false">+YEARFRAC(L3406,$S$1)</f>
        <v>126.366666666667</v>
      </c>
      <c r="T3406" s="230" t="n">
        <f aca="false">+YEARFRAC(M3406,$S$1)</f>
        <v>126.366666666667</v>
      </c>
      <c r="U3406" s="231" t="n">
        <f aca="false">+$I3406</f>
        <v>0</v>
      </c>
      <c r="V3406" s="232" t="str">
        <f aca="false">+PROPER(F3406)</f>
        <v/>
      </c>
    </row>
    <row r="3407" customFormat="false" ht="14.25" hidden="false" customHeight="false" outlineLevel="0" collapsed="false">
      <c r="B3407" s="244"/>
      <c r="C3407" s="245"/>
      <c r="D3407" s="245"/>
      <c r="E3407" s="246"/>
      <c r="F3407" s="246"/>
      <c r="G3407" s="225" t="e">
        <f aca="false">VLOOKUP(B3407,'NIVEL ENERO'!A:F,4,0)</f>
        <v>#N/A</v>
      </c>
      <c r="H3407" s="247"/>
      <c r="I3407" s="247"/>
      <c r="J3407" s="246"/>
      <c r="K3407" s="246"/>
      <c r="L3407" s="226"/>
      <c r="M3407" s="226"/>
      <c r="N3407" s="246"/>
      <c r="P3407" s="228"/>
      <c r="Q3407" s="245"/>
      <c r="R3407" s="186" t="str">
        <f aca="false">+PROPER(C3407&amp;" "&amp;D3407)</f>
        <v> </v>
      </c>
      <c r="S3407" s="230" t="n">
        <f aca="false">+YEARFRAC(L3407,$S$1)</f>
        <v>126.366666666667</v>
      </c>
      <c r="T3407" s="230" t="n">
        <f aca="false">+YEARFRAC(M3407,$S$1)</f>
        <v>126.366666666667</v>
      </c>
      <c r="U3407" s="231" t="n">
        <f aca="false">+$I3407</f>
        <v>0</v>
      </c>
      <c r="V3407" s="232" t="str">
        <f aca="false">+PROPER(F3407)</f>
        <v/>
      </c>
    </row>
    <row r="3408" customFormat="false" ht="14.25" hidden="false" customHeight="false" outlineLevel="0" collapsed="false">
      <c r="B3408" s="244"/>
      <c r="C3408" s="245"/>
      <c r="D3408" s="245"/>
      <c r="E3408" s="246"/>
      <c r="F3408" s="246"/>
      <c r="G3408" s="225" t="e">
        <f aca="false">VLOOKUP(B3408,'NIVEL ENERO'!A:F,4,0)</f>
        <v>#N/A</v>
      </c>
      <c r="H3408" s="247"/>
      <c r="I3408" s="247"/>
      <c r="J3408" s="246"/>
      <c r="K3408" s="246"/>
      <c r="L3408" s="226"/>
      <c r="M3408" s="226"/>
      <c r="N3408" s="246"/>
      <c r="P3408" s="228"/>
      <c r="Q3408" s="245"/>
      <c r="R3408" s="186" t="str">
        <f aca="false">+PROPER(C3408&amp;" "&amp;D3408)</f>
        <v> </v>
      </c>
      <c r="S3408" s="230" t="n">
        <f aca="false">+YEARFRAC(L3408,$S$1)</f>
        <v>126.366666666667</v>
      </c>
      <c r="T3408" s="230" t="n">
        <f aca="false">+YEARFRAC(M3408,$S$1)</f>
        <v>126.366666666667</v>
      </c>
      <c r="U3408" s="231" t="n">
        <f aca="false">+$I3408</f>
        <v>0</v>
      </c>
      <c r="V3408" s="232" t="str">
        <f aca="false">+PROPER(F3408)</f>
        <v/>
      </c>
    </row>
    <row r="3409" customFormat="false" ht="14.25" hidden="false" customHeight="false" outlineLevel="0" collapsed="false">
      <c r="B3409" s="244"/>
      <c r="C3409" s="245"/>
      <c r="D3409" s="245"/>
      <c r="E3409" s="246"/>
      <c r="F3409" s="246"/>
      <c r="G3409" s="225" t="e">
        <f aca="false">VLOOKUP(B3409,'NIVEL ENERO'!A:F,4,0)</f>
        <v>#N/A</v>
      </c>
      <c r="H3409" s="247"/>
      <c r="I3409" s="247"/>
      <c r="J3409" s="246"/>
      <c r="K3409" s="246"/>
      <c r="L3409" s="226"/>
      <c r="M3409" s="226"/>
      <c r="N3409" s="246"/>
      <c r="P3409" s="228"/>
      <c r="Q3409" s="245"/>
      <c r="R3409" s="186" t="str">
        <f aca="false">+PROPER(C3409&amp;" "&amp;D3409)</f>
        <v> </v>
      </c>
      <c r="S3409" s="230" t="n">
        <f aca="false">+YEARFRAC(L3409,$S$1)</f>
        <v>126.366666666667</v>
      </c>
      <c r="T3409" s="230" t="n">
        <f aca="false">+YEARFRAC(M3409,$S$1)</f>
        <v>126.366666666667</v>
      </c>
      <c r="U3409" s="231" t="n">
        <f aca="false">+$I3409</f>
        <v>0</v>
      </c>
      <c r="V3409" s="232" t="str">
        <f aca="false">+PROPER(F3409)</f>
        <v/>
      </c>
    </row>
    <row r="3410" customFormat="false" ht="14.25" hidden="false" customHeight="false" outlineLevel="0" collapsed="false">
      <c r="B3410" s="244"/>
      <c r="C3410" s="245"/>
      <c r="D3410" s="245"/>
      <c r="E3410" s="246"/>
      <c r="F3410" s="246"/>
      <c r="G3410" s="225" t="e">
        <f aca="false">VLOOKUP(B3410,'NIVEL ENERO'!A:F,4,0)</f>
        <v>#N/A</v>
      </c>
      <c r="H3410" s="247"/>
      <c r="I3410" s="247"/>
      <c r="J3410" s="246"/>
      <c r="K3410" s="246"/>
      <c r="L3410" s="226"/>
      <c r="M3410" s="226"/>
      <c r="N3410" s="246"/>
      <c r="P3410" s="228"/>
      <c r="Q3410" s="245"/>
      <c r="R3410" s="186" t="str">
        <f aca="false">+PROPER(C3410&amp;" "&amp;D3410)</f>
        <v> </v>
      </c>
      <c r="S3410" s="230" t="n">
        <f aca="false">+YEARFRAC(L3410,$S$1)</f>
        <v>126.366666666667</v>
      </c>
      <c r="T3410" s="230" t="n">
        <f aca="false">+YEARFRAC(M3410,$S$1)</f>
        <v>126.366666666667</v>
      </c>
      <c r="U3410" s="231" t="n">
        <f aca="false">+$I3410</f>
        <v>0</v>
      </c>
      <c r="V3410" s="232" t="str">
        <f aca="false">+PROPER(F3410)</f>
        <v/>
      </c>
    </row>
    <row r="3411" customFormat="false" ht="14.25" hidden="false" customHeight="false" outlineLevel="0" collapsed="false">
      <c r="B3411" s="244"/>
      <c r="C3411" s="245"/>
      <c r="D3411" s="245"/>
      <c r="E3411" s="246"/>
      <c r="F3411" s="246"/>
      <c r="G3411" s="225" t="e">
        <f aca="false">VLOOKUP(B3411,'NIVEL ENERO'!A:F,4,0)</f>
        <v>#N/A</v>
      </c>
      <c r="H3411" s="247"/>
      <c r="I3411" s="247"/>
      <c r="J3411" s="246"/>
      <c r="K3411" s="246"/>
      <c r="L3411" s="226"/>
      <c r="M3411" s="226"/>
      <c r="N3411" s="246"/>
      <c r="P3411" s="228"/>
      <c r="Q3411" s="245"/>
      <c r="R3411" s="186" t="str">
        <f aca="false">+PROPER(C3411&amp;" "&amp;D3411)</f>
        <v> </v>
      </c>
      <c r="S3411" s="230" t="n">
        <f aca="false">+YEARFRAC(L3411,$S$1)</f>
        <v>126.366666666667</v>
      </c>
      <c r="T3411" s="230" t="n">
        <f aca="false">+YEARFRAC(M3411,$S$1)</f>
        <v>126.366666666667</v>
      </c>
      <c r="U3411" s="231" t="n">
        <f aca="false">+$I3411</f>
        <v>0</v>
      </c>
      <c r="V3411" s="232" t="str">
        <f aca="false">+PROPER(F3411)</f>
        <v/>
      </c>
    </row>
    <row r="3412" customFormat="false" ht="14.25" hidden="false" customHeight="false" outlineLevel="0" collapsed="false">
      <c r="B3412" s="244"/>
      <c r="C3412" s="245"/>
      <c r="D3412" s="245"/>
      <c r="E3412" s="246"/>
      <c r="F3412" s="246"/>
      <c r="G3412" s="225" t="e">
        <f aca="false">VLOOKUP(B3412,'NIVEL ENERO'!A:F,4,0)</f>
        <v>#N/A</v>
      </c>
      <c r="H3412" s="247"/>
      <c r="I3412" s="247"/>
      <c r="J3412" s="246"/>
      <c r="K3412" s="246"/>
      <c r="L3412" s="226"/>
      <c r="M3412" s="226"/>
      <c r="N3412" s="246"/>
      <c r="P3412" s="228"/>
      <c r="Q3412" s="245"/>
      <c r="R3412" s="186" t="str">
        <f aca="false">+PROPER(C3412&amp;" "&amp;D3412)</f>
        <v> </v>
      </c>
      <c r="S3412" s="230" t="n">
        <f aca="false">+YEARFRAC(L3412,$S$1)</f>
        <v>126.366666666667</v>
      </c>
      <c r="T3412" s="230" t="n">
        <f aca="false">+YEARFRAC(M3412,$S$1)</f>
        <v>126.366666666667</v>
      </c>
      <c r="U3412" s="231" t="n">
        <f aca="false">+$I3412</f>
        <v>0</v>
      </c>
      <c r="V3412" s="232" t="str">
        <f aca="false">+PROPER(F3412)</f>
        <v/>
      </c>
    </row>
    <row r="3413" customFormat="false" ht="14.25" hidden="false" customHeight="false" outlineLevel="0" collapsed="false">
      <c r="B3413" s="244"/>
      <c r="C3413" s="245"/>
      <c r="D3413" s="245"/>
      <c r="E3413" s="246"/>
      <c r="F3413" s="246"/>
      <c r="G3413" s="225" t="e">
        <f aca="false">VLOOKUP(B3413,'NIVEL ENERO'!A:F,4,0)</f>
        <v>#N/A</v>
      </c>
      <c r="H3413" s="247"/>
      <c r="I3413" s="247"/>
      <c r="J3413" s="246"/>
      <c r="K3413" s="246"/>
      <c r="L3413" s="226"/>
      <c r="M3413" s="226"/>
      <c r="N3413" s="246"/>
      <c r="P3413" s="228"/>
      <c r="Q3413" s="245"/>
      <c r="R3413" s="186" t="str">
        <f aca="false">+PROPER(C3413&amp;" "&amp;D3413)</f>
        <v> </v>
      </c>
      <c r="S3413" s="230" t="n">
        <f aca="false">+YEARFRAC(L3413,$S$1)</f>
        <v>126.366666666667</v>
      </c>
      <c r="T3413" s="230" t="n">
        <f aca="false">+YEARFRAC(M3413,$S$1)</f>
        <v>126.366666666667</v>
      </c>
      <c r="U3413" s="231" t="n">
        <f aca="false">+$I3413</f>
        <v>0</v>
      </c>
      <c r="V3413" s="232" t="str">
        <f aca="false">+PROPER(F3413)</f>
        <v/>
      </c>
    </row>
    <row r="3414" customFormat="false" ht="14.25" hidden="false" customHeight="false" outlineLevel="0" collapsed="false">
      <c r="B3414" s="244"/>
      <c r="C3414" s="245"/>
      <c r="D3414" s="245"/>
      <c r="E3414" s="246"/>
      <c r="F3414" s="246"/>
      <c r="G3414" s="225" t="e">
        <f aca="false">VLOOKUP(B3414,'NIVEL ENERO'!A:F,4,0)</f>
        <v>#N/A</v>
      </c>
      <c r="H3414" s="247"/>
      <c r="I3414" s="247"/>
      <c r="J3414" s="246"/>
      <c r="K3414" s="246"/>
      <c r="L3414" s="226"/>
      <c r="M3414" s="226"/>
      <c r="N3414" s="246"/>
      <c r="P3414" s="228"/>
      <c r="Q3414" s="245"/>
      <c r="R3414" s="186" t="str">
        <f aca="false">+PROPER(C3414&amp;" "&amp;D3414)</f>
        <v> </v>
      </c>
      <c r="S3414" s="230" t="n">
        <f aca="false">+YEARFRAC(L3414,$S$1)</f>
        <v>126.366666666667</v>
      </c>
      <c r="T3414" s="230" t="n">
        <f aca="false">+YEARFRAC(M3414,$S$1)</f>
        <v>126.366666666667</v>
      </c>
      <c r="U3414" s="231" t="n">
        <f aca="false">+$I3414</f>
        <v>0</v>
      </c>
      <c r="V3414" s="232" t="str">
        <f aca="false">+PROPER(F3414)</f>
        <v/>
      </c>
    </row>
    <row r="3415" customFormat="false" ht="14.25" hidden="false" customHeight="false" outlineLevel="0" collapsed="false">
      <c r="B3415" s="244"/>
      <c r="C3415" s="245"/>
      <c r="D3415" s="245"/>
      <c r="E3415" s="246"/>
      <c r="F3415" s="246"/>
      <c r="G3415" s="225" t="e">
        <f aca="false">VLOOKUP(B3415,'NIVEL ENERO'!A:F,4,0)</f>
        <v>#N/A</v>
      </c>
      <c r="H3415" s="247"/>
      <c r="I3415" s="247"/>
      <c r="J3415" s="246"/>
      <c r="K3415" s="246"/>
      <c r="L3415" s="226"/>
      <c r="M3415" s="226"/>
      <c r="N3415" s="246"/>
      <c r="P3415" s="228"/>
      <c r="Q3415" s="245"/>
      <c r="R3415" s="186" t="str">
        <f aca="false">+PROPER(C3415&amp;" "&amp;D3415)</f>
        <v> </v>
      </c>
      <c r="S3415" s="230" t="n">
        <f aca="false">+YEARFRAC(L3415,$S$1)</f>
        <v>126.366666666667</v>
      </c>
      <c r="T3415" s="230" t="n">
        <f aca="false">+YEARFRAC(M3415,$S$1)</f>
        <v>126.366666666667</v>
      </c>
      <c r="U3415" s="231" t="n">
        <f aca="false">+$I3415</f>
        <v>0</v>
      </c>
      <c r="V3415" s="232" t="str">
        <f aca="false">+PROPER(F3415)</f>
        <v/>
      </c>
    </row>
    <row r="3416" customFormat="false" ht="14.25" hidden="false" customHeight="false" outlineLevel="0" collapsed="false">
      <c r="B3416" s="244"/>
      <c r="C3416" s="245"/>
      <c r="D3416" s="245"/>
      <c r="E3416" s="246"/>
      <c r="F3416" s="246"/>
      <c r="G3416" s="225" t="e">
        <f aca="false">VLOOKUP(B3416,'NIVEL ENERO'!A:F,4,0)</f>
        <v>#N/A</v>
      </c>
      <c r="H3416" s="247"/>
      <c r="I3416" s="247"/>
      <c r="J3416" s="246"/>
      <c r="K3416" s="246"/>
      <c r="L3416" s="226"/>
      <c r="M3416" s="226"/>
      <c r="N3416" s="246"/>
      <c r="P3416" s="228"/>
      <c r="Q3416" s="245"/>
      <c r="R3416" s="186" t="str">
        <f aca="false">+PROPER(C3416&amp;" "&amp;D3416)</f>
        <v> </v>
      </c>
      <c r="S3416" s="230" t="n">
        <f aca="false">+YEARFRAC(L3416,$S$1)</f>
        <v>126.366666666667</v>
      </c>
      <c r="T3416" s="230" t="n">
        <f aca="false">+YEARFRAC(M3416,$S$1)</f>
        <v>126.366666666667</v>
      </c>
      <c r="U3416" s="231" t="n">
        <f aca="false">+$I3416</f>
        <v>0</v>
      </c>
      <c r="V3416" s="232" t="str">
        <f aca="false">+PROPER(F3416)</f>
        <v/>
      </c>
    </row>
    <row r="3417" customFormat="false" ht="14.25" hidden="false" customHeight="false" outlineLevel="0" collapsed="false">
      <c r="B3417" s="244"/>
      <c r="C3417" s="245"/>
      <c r="D3417" s="245"/>
      <c r="E3417" s="246"/>
      <c r="F3417" s="246"/>
      <c r="G3417" s="225" t="e">
        <f aca="false">VLOOKUP(B3417,'NIVEL ENERO'!A:F,4,0)</f>
        <v>#N/A</v>
      </c>
      <c r="H3417" s="247"/>
      <c r="I3417" s="247"/>
      <c r="J3417" s="246"/>
      <c r="K3417" s="246"/>
      <c r="L3417" s="226"/>
      <c r="M3417" s="226"/>
      <c r="N3417" s="246"/>
      <c r="P3417" s="228"/>
      <c r="Q3417" s="245"/>
      <c r="R3417" s="186" t="str">
        <f aca="false">+PROPER(C3417&amp;" "&amp;D3417)</f>
        <v> </v>
      </c>
      <c r="S3417" s="230" t="n">
        <f aca="false">+YEARFRAC(L3417,$S$1)</f>
        <v>126.366666666667</v>
      </c>
      <c r="T3417" s="230" t="n">
        <f aca="false">+YEARFRAC(M3417,$S$1)</f>
        <v>126.366666666667</v>
      </c>
      <c r="U3417" s="231" t="n">
        <f aca="false">+$I3417</f>
        <v>0</v>
      </c>
      <c r="V3417" s="232" t="str">
        <f aca="false">+PROPER(F3417)</f>
        <v/>
      </c>
    </row>
    <row r="3418" customFormat="false" ht="14.25" hidden="false" customHeight="false" outlineLevel="0" collapsed="false">
      <c r="B3418" s="244"/>
      <c r="C3418" s="245"/>
      <c r="D3418" s="245"/>
      <c r="E3418" s="246"/>
      <c r="F3418" s="246"/>
      <c r="G3418" s="225" t="e">
        <f aca="false">VLOOKUP(B3418,'NIVEL ENERO'!A:F,4,0)</f>
        <v>#N/A</v>
      </c>
      <c r="H3418" s="247"/>
      <c r="I3418" s="247"/>
      <c r="J3418" s="246"/>
      <c r="K3418" s="246"/>
      <c r="L3418" s="226"/>
      <c r="M3418" s="226"/>
      <c r="N3418" s="246"/>
      <c r="P3418" s="228"/>
      <c r="Q3418" s="245"/>
      <c r="R3418" s="186" t="str">
        <f aca="false">+PROPER(C3418&amp;" "&amp;D3418)</f>
        <v> </v>
      </c>
      <c r="S3418" s="230" t="n">
        <f aca="false">+YEARFRAC(L3418,$S$1)</f>
        <v>126.366666666667</v>
      </c>
      <c r="T3418" s="230" t="n">
        <f aca="false">+YEARFRAC(M3418,$S$1)</f>
        <v>126.366666666667</v>
      </c>
      <c r="U3418" s="231" t="n">
        <f aca="false">+$I3418</f>
        <v>0</v>
      </c>
      <c r="V3418" s="232" t="str">
        <f aca="false">+PROPER(F3418)</f>
        <v/>
      </c>
    </row>
    <row r="3419" customFormat="false" ht="14.25" hidden="false" customHeight="false" outlineLevel="0" collapsed="false">
      <c r="B3419" s="244"/>
      <c r="C3419" s="245"/>
      <c r="D3419" s="245"/>
      <c r="E3419" s="246"/>
      <c r="F3419" s="246"/>
      <c r="G3419" s="225" t="e">
        <f aca="false">VLOOKUP(B3419,'NIVEL ENERO'!A:F,4,0)</f>
        <v>#N/A</v>
      </c>
      <c r="H3419" s="247"/>
      <c r="I3419" s="247"/>
      <c r="J3419" s="246"/>
      <c r="K3419" s="246"/>
      <c r="L3419" s="226"/>
      <c r="M3419" s="226"/>
      <c r="N3419" s="246"/>
      <c r="P3419" s="228"/>
      <c r="Q3419" s="245"/>
      <c r="R3419" s="186" t="str">
        <f aca="false">+PROPER(C3419&amp;" "&amp;D3419)</f>
        <v> </v>
      </c>
      <c r="S3419" s="230" t="n">
        <f aca="false">+YEARFRAC(L3419,$S$1)</f>
        <v>126.366666666667</v>
      </c>
      <c r="T3419" s="230" t="n">
        <f aca="false">+YEARFRAC(M3419,$S$1)</f>
        <v>126.366666666667</v>
      </c>
      <c r="U3419" s="231" t="n">
        <f aca="false">+$I3419</f>
        <v>0</v>
      </c>
      <c r="V3419" s="232" t="str">
        <f aca="false">+PROPER(F3419)</f>
        <v/>
      </c>
    </row>
    <row r="3420" customFormat="false" ht="14.25" hidden="false" customHeight="false" outlineLevel="0" collapsed="false">
      <c r="B3420" s="244"/>
      <c r="C3420" s="245"/>
      <c r="D3420" s="245"/>
      <c r="E3420" s="246"/>
      <c r="F3420" s="246"/>
      <c r="G3420" s="225" t="e">
        <f aca="false">VLOOKUP(B3420,'NIVEL ENERO'!A:F,4,0)</f>
        <v>#N/A</v>
      </c>
      <c r="H3420" s="247"/>
      <c r="I3420" s="247"/>
      <c r="J3420" s="246"/>
      <c r="K3420" s="246"/>
      <c r="L3420" s="226"/>
      <c r="M3420" s="226"/>
      <c r="N3420" s="246"/>
      <c r="P3420" s="228"/>
      <c r="Q3420" s="245"/>
      <c r="R3420" s="186" t="str">
        <f aca="false">+PROPER(C3420&amp;" "&amp;D3420)</f>
        <v> </v>
      </c>
      <c r="S3420" s="230" t="n">
        <f aca="false">+YEARFRAC(L3420,$S$1)</f>
        <v>126.366666666667</v>
      </c>
      <c r="T3420" s="230" t="n">
        <f aca="false">+YEARFRAC(M3420,$S$1)</f>
        <v>126.366666666667</v>
      </c>
      <c r="U3420" s="231" t="n">
        <f aca="false">+$I3420</f>
        <v>0</v>
      </c>
      <c r="V3420" s="232" t="str">
        <f aca="false">+PROPER(F3420)</f>
        <v/>
      </c>
    </row>
    <row r="3421" customFormat="false" ht="14.25" hidden="false" customHeight="false" outlineLevel="0" collapsed="false">
      <c r="B3421" s="244"/>
      <c r="C3421" s="245"/>
      <c r="D3421" s="245"/>
      <c r="E3421" s="246"/>
      <c r="F3421" s="246"/>
      <c r="G3421" s="225" t="e">
        <f aca="false">VLOOKUP(B3421,'NIVEL ENERO'!A:F,4,0)</f>
        <v>#N/A</v>
      </c>
      <c r="H3421" s="247"/>
      <c r="I3421" s="247"/>
      <c r="J3421" s="246"/>
      <c r="K3421" s="246"/>
      <c r="L3421" s="226"/>
      <c r="M3421" s="226"/>
      <c r="N3421" s="246"/>
      <c r="P3421" s="228"/>
      <c r="Q3421" s="245"/>
      <c r="R3421" s="186" t="str">
        <f aca="false">+PROPER(C3421&amp;" "&amp;D3421)</f>
        <v> </v>
      </c>
      <c r="S3421" s="230" t="n">
        <f aca="false">+YEARFRAC(L3421,$S$1)</f>
        <v>126.366666666667</v>
      </c>
      <c r="T3421" s="230" t="n">
        <f aca="false">+YEARFRAC(M3421,$S$1)</f>
        <v>126.366666666667</v>
      </c>
      <c r="U3421" s="231" t="n">
        <f aca="false">+$I3421</f>
        <v>0</v>
      </c>
      <c r="V3421" s="232" t="str">
        <f aca="false">+PROPER(F3421)</f>
        <v/>
      </c>
    </row>
    <row r="3422" customFormat="false" ht="14.25" hidden="false" customHeight="false" outlineLevel="0" collapsed="false">
      <c r="B3422" s="244"/>
      <c r="C3422" s="245"/>
      <c r="D3422" s="245"/>
      <c r="E3422" s="246"/>
      <c r="F3422" s="246"/>
      <c r="G3422" s="225" t="e">
        <f aca="false">VLOOKUP(B3422,'NIVEL ENERO'!A:F,4,0)</f>
        <v>#N/A</v>
      </c>
      <c r="H3422" s="247"/>
      <c r="I3422" s="247"/>
      <c r="J3422" s="246"/>
      <c r="K3422" s="246"/>
      <c r="L3422" s="226"/>
      <c r="M3422" s="226"/>
      <c r="N3422" s="246"/>
      <c r="P3422" s="228"/>
      <c r="Q3422" s="245"/>
      <c r="R3422" s="186" t="str">
        <f aca="false">+PROPER(C3422&amp;" "&amp;D3422)</f>
        <v> </v>
      </c>
      <c r="S3422" s="230" t="n">
        <f aca="false">+YEARFRAC(L3422,$S$1)</f>
        <v>126.366666666667</v>
      </c>
      <c r="T3422" s="230" t="n">
        <f aca="false">+YEARFRAC(M3422,$S$1)</f>
        <v>126.366666666667</v>
      </c>
      <c r="U3422" s="231" t="n">
        <f aca="false">+$I3422</f>
        <v>0</v>
      </c>
      <c r="V3422" s="232" t="str">
        <f aca="false">+PROPER(F3422)</f>
        <v/>
      </c>
    </row>
    <row r="3423" customFormat="false" ht="14.25" hidden="false" customHeight="false" outlineLevel="0" collapsed="false">
      <c r="B3423" s="244"/>
      <c r="C3423" s="245"/>
      <c r="D3423" s="245"/>
      <c r="E3423" s="246"/>
      <c r="F3423" s="246"/>
      <c r="G3423" s="225" t="e">
        <f aca="false">VLOOKUP(B3423,'NIVEL ENERO'!A:F,4,0)</f>
        <v>#N/A</v>
      </c>
      <c r="H3423" s="247"/>
      <c r="I3423" s="247"/>
      <c r="J3423" s="246"/>
      <c r="K3423" s="246"/>
      <c r="L3423" s="226"/>
      <c r="M3423" s="226"/>
      <c r="N3423" s="246"/>
      <c r="P3423" s="228"/>
      <c r="Q3423" s="245"/>
      <c r="R3423" s="186" t="str">
        <f aca="false">+PROPER(C3423&amp;" "&amp;D3423)</f>
        <v> </v>
      </c>
      <c r="S3423" s="230" t="n">
        <f aca="false">+YEARFRAC(L3423,$S$1)</f>
        <v>126.366666666667</v>
      </c>
      <c r="T3423" s="230" t="n">
        <f aca="false">+YEARFRAC(M3423,$S$1)</f>
        <v>126.366666666667</v>
      </c>
      <c r="U3423" s="231" t="n">
        <f aca="false">+$I3423</f>
        <v>0</v>
      </c>
      <c r="V3423" s="232" t="str">
        <f aca="false">+PROPER(F3423)</f>
        <v/>
      </c>
    </row>
    <row r="3424" customFormat="false" ht="14.25" hidden="false" customHeight="false" outlineLevel="0" collapsed="false">
      <c r="B3424" s="244"/>
      <c r="C3424" s="245"/>
      <c r="D3424" s="245"/>
      <c r="E3424" s="246"/>
      <c r="F3424" s="246"/>
      <c r="G3424" s="225" t="e">
        <f aca="false">VLOOKUP(B3424,'NIVEL ENERO'!A:F,4,0)</f>
        <v>#N/A</v>
      </c>
      <c r="H3424" s="247"/>
      <c r="I3424" s="247"/>
      <c r="J3424" s="246"/>
      <c r="K3424" s="246"/>
      <c r="L3424" s="226"/>
      <c r="M3424" s="226"/>
      <c r="N3424" s="246"/>
      <c r="P3424" s="228"/>
      <c r="Q3424" s="245"/>
      <c r="R3424" s="186" t="str">
        <f aca="false">+PROPER(C3424&amp;" "&amp;D3424)</f>
        <v> </v>
      </c>
      <c r="S3424" s="230" t="n">
        <f aca="false">+YEARFRAC(L3424,$S$1)</f>
        <v>126.366666666667</v>
      </c>
      <c r="T3424" s="230" t="n">
        <f aca="false">+YEARFRAC(M3424,$S$1)</f>
        <v>126.366666666667</v>
      </c>
      <c r="U3424" s="231" t="n">
        <f aca="false">+$I3424</f>
        <v>0</v>
      </c>
      <c r="V3424" s="232" t="str">
        <f aca="false">+PROPER(F3424)</f>
        <v/>
      </c>
    </row>
    <row r="3425" customFormat="false" ht="14.25" hidden="false" customHeight="false" outlineLevel="0" collapsed="false">
      <c r="B3425" s="244"/>
      <c r="C3425" s="245"/>
      <c r="D3425" s="245"/>
      <c r="E3425" s="246"/>
      <c r="F3425" s="246"/>
      <c r="G3425" s="225" t="e">
        <f aca="false">VLOOKUP(B3425,'NIVEL ENERO'!A:F,4,0)</f>
        <v>#N/A</v>
      </c>
      <c r="H3425" s="247"/>
      <c r="I3425" s="247"/>
      <c r="J3425" s="246"/>
      <c r="K3425" s="246"/>
      <c r="L3425" s="226"/>
      <c r="M3425" s="226"/>
      <c r="N3425" s="246"/>
      <c r="P3425" s="228"/>
      <c r="Q3425" s="245"/>
      <c r="R3425" s="186" t="str">
        <f aca="false">+PROPER(C3425&amp;" "&amp;D3425)</f>
        <v> </v>
      </c>
      <c r="S3425" s="230" t="n">
        <f aca="false">+YEARFRAC(L3425,$S$1)</f>
        <v>126.366666666667</v>
      </c>
      <c r="T3425" s="230" t="n">
        <f aca="false">+YEARFRAC(M3425,$S$1)</f>
        <v>126.366666666667</v>
      </c>
      <c r="U3425" s="231" t="n">
        <f aca="false">+$I3425</f>
        <v>0</v>
      </c>
      <c r="V3425" s="232" t="str">
        <f aca="false">+PROPER(F3425)</f>
        <v/>
      </c>
    </row>
    <row r="3426" customFormat="false" ht="14.25" hidden="false" customHeight="false" outlineLevel="0" collapsed="false">
      <c r="B3426" s="244"/>
      <c r="C3426" s="245"/>
      <c r="D3426" s="245"/>
      <c r="E3426" s="246"/>
      <c r="F3426" s="246"/>
      <c r="G3426" s="225" t="e">
        <f aca="false">VLOOKUP(B3426,'NIVEL ENERO'!A:F,4,0)</f>
        <v>#N/A</v>
      </c>
      <c r="H3426" s="247"/>
      <c r="I3426" s="247"/>
      <c r="J3426" s="246"/>
      <c r="K3426" s="246"/>
      <c r="L3426" s="226"/>
      <c r="M3426" s="226"/>
      <c r="N3426" s="246"/>
      <c r="P3426" s="228"/>
      <c r="Q3426" s="245"/>
      <c r="R3426" s="186" t="str">
        <f aca="false">+PROPER(C3426&amp;" "&amp;D3426)</f>
        <v> </v>
      </c>
      <c r="S3426" s="230" t="n">
        <f aca="false">+YEARFRAC(L3426,$S$1)</f>
        <v>126.366666666667</v>
      </c>
      <c r="T3426" s="230" t="n">
        <f aca="false">+YEARFRAC(M3426,$S$1)</f>
        <v>126.366666666667</v>
      </c>
      <c r="U3426" s="231" t="n">
        <f aca="false">+$I3426</f>
        <v>0</v>
      </c>
      <c r="V3426" s="232" t="str">
        <f aca="false">+PROPER(F3426)</f>
        <v/>
      </c>
    </row>
    <row r="3427" customFormat="false" ht="14.25" hidden="false" customHeight="false" outlineLevel="0" collapsed="false">
      <c r="B3427" s="244"/>
      <c r="C3427" s="245"/>
      <c r="D3427" s="245"/>
      <c r="E3427" s="246"/>
      <c r="F3427" s="246"/>
      <c r="G3427" s="225" t="e">
        <f aca="false">VLOOKUP(B3427,'NIVEL ENERO'!A:F,4,0)</f>
        <v>#N/A</v>
      </c>
      <c r="H3427" s="247"/>
      <c r="I3427" s="247"/>
      <c r="J3427" s="246"/>
      <c r="K3427" s="246"/>
      <c r="L3427" s="226"/>
      <c r="M3427" s="226"/>
      <c r="N3427" s="246"/>
      <c r="P3427" s="228"/>
      <c r="Q3427" s="245"/>
      <c r="R3427" s="186" t="str">
        <f aca="false">+PROPER(C3427&amp;" "&amp;D3427)</f>
        <v> </v>
      </c>
      <c r="S3427" s="230" t="n">
        <f aca="false">+YEARFRAC(L3427,$S$1)</f>
        <v>126.366666666667</v>
      </c>
      <c r="T3427" s="230" t="n">
        <f aca="false">+YEARFRAC(M3427,$S$1)</f>
        <v>126.366666666667</v>
      </c>
      <c r="U3427" s="231" t="n">
        <f aca="false">+$I3427</f>
        <v>0</v>
      </c>
      <c r="V3427" s="232" t="str">
        <f aca="false">+PROPER(F3427)</f>
        <v/>
      </c>
    </row>
    <row r="3428" customFormat="false" ht="14.25" hidden="false" customHeight="false" outlineLevel="0" collapsed="false">
      <c r="B3428" s="244"/>
      <c r="C3428" s="245"/>
      <c r="D3428" s="245"/>
      <c r="E3428" s="246"/>
      <c r="F3428" s="246"/>
      <c r="G3428" s="225" t="e">
        <f aca="false">VLOOKUP(B3428,'NIVEL ENERO'!A:F,4,0)</f>
        <v>#N/A</v>
      </c>
      <c r="H3428" s="247"/>
      <c r="I3428" s="247"/>
      <c r="J3428" s="246"/>
      <c r="K3428" s="246"/>
      <c r="L3428" s="226"/>
      <c r="M3428" s="226"/>
      <c r="N3428" s="246"/>
      <c r="P3428" s="228"/>
      <c r="Q3428" s="245"/>
      <c r="R3428" s="186" t="str">
        <f aca="false">+PROPER(C3428&amp;" "&amp;D3428)</f>
        <v> </v>
      </c>
      <c r="S3428" s="230" t="n">
        <f aca="false">+YEARFRAC(L3428,$S$1)</f>
        <v>126.366666666667</v>
      </c>
      <c r="T3428" s="230" t="n">
        <f aca="false">+YEARFRAC(M3428,$S$1)</f>
        <v>126.366666666667</v>
      </c>
      <c r="U3428" s="231" t="n">
        <f aca="false">+$I3428</f>
        <v>0</v>
      </c>
      <c r="V3428" s="232" t="str">
        <f aca="false">+PROPER(F3428)</f>
        <v/>
      </c>
    </row>
    <row r="3429" customFormat="false" ht="14.25" hidden="false" customHeight="false" outlineLevel="0" collapsed="false">
      <c r="B3429" s="244"/>
      <c r="C3429" s="245"/>
      <c r="D3429" s="245"/>
      <c r="E3429" s="246"/>
      <c r="F3429" s="246"/>
      <c r="G3429" s="225" t="e">
        <f aca="false">VLOOKUP(B3429,'NIVEL ENERO'!A:F,4,0)</f>
        <v>#N/A</v>
      </c>
      <c r="H3429" s="247"/>
      <c r="I3429" s="247"/>
      <c r="J3429" s="246"/>
      <c r="K3429" s="246"/>
      <c r="L3429" s="226"/>
      <c r="M3429" s="226"/>
      <c r="N3429" s="246"/>
      <c r="P3429" s="228"/>
      <c r="Q3429" s="245"/>
      <c r="R3429" s="186" t="str">
        <f aca="false">+PROPER(C3429&amp;" "&amp;D3429)</f>
        <v> </v>
      </c>
      <c r="S3429" s="230" t="n">
        <f aca="false">+YEARFRAC(L3429,$S$1)</f>
        <v>126.366666666667</v>
      </c>
      <c r="T3429" s="230" t="n">
        <f aca="false">+YEARFRAC(M3429,$S$1)</f>
        <v>126.366666666667</v>
      </c>
      <c r="U3429" s="231" t="n">
        <f aca="false">+$I3429</f>
        <v>0</v>
      </c>
      <c r="V3429" s="232" t="str">
        <f aca="false">+PROPER(F3429)</f>
        <v/>
      </c>
    </row>
    <row r="3430" customFormat="false" ht="14.25" hidden="false" customHeight="false" outlineLevel="0" collapsed="false">
      <c r="B3430" s="244"/>
      <c r="C3430" s="245"/>
      <c r="D3430" s="245"/>
      <c r="E3430" s="246"/>
      <c r="F3430" s="246"/>
      <c r="G3430" s="225" t="e">
        <f aca="false">VLOOKUP(B3430,'NIVEL ENERO'!A:F,4,0)</f>
        <v>#N/A</v>
      </c>
      <c r="H3430" s="247"/>
      <c r="I3430" s="247"/>
      <c r="J3430" s="246"/>
      <c r="K3430" s="246"/>
      <c r="L3430" s="226"/>
      <c r="M3430" s="226"/>
      <c r="N3430" s="246"/>
      <c r="P3430" s="228"/>
      <c r="Q3430" s="245"/>
      <c r="R3430" s="186" t="str">
        <f aca="false">+PROPER(C3430&amp;" "&amp;D3430)</f>
        <v> </v>
      </c>
      <c r="S3430" s="230" t="n">
        <f aca="false">+YEARFRAC(L3430,$S$1)</f>
        <v>126.366666666667</v>
      </c>
      <c r="T3430" s="230" t="n">
        <f aca="false">+YEARFRAC(M3430,$S$1)</f>
        <v>126.366666666667</v>
      </c>
      <c r="U3430" s="231" t="n">
        <f aca="false">+$I3430</f>
        <v>0</v>
      </c>
      <c r="V3430" s="232" t="str">
        <f aca="false">+PROPER(F3430)</f>
        <v/>
      </c>
    </row>
    <row r="3431" customFormat="false" ht="14.25" hidden="false" customHeight="false" outlineLevel="0" collapsed="false">
      <c r="B3431" s="244"/>
      <c r="C3431" s="245"/>
      <c r="D3431" s="245"/>
      <c r="E3431" s="246"/>
      <c r="F3431" s="246"/>
      <c r="G3431" s="225" t="e">
        <f aca="false">VLOOKUP(B3431,'NIVEL ENERO'!A:F,4,0)</f>
        <v>#N/A</v>
      </c>
      <c r="H3431" s="247"/>
      <c r="I3431" s="247"/>
      <c r="J3431" s="246"/>
      <c r="K3431" s="246"/>
      <c r="L3431" s="226"/>
      <c r="M3431" s="226"/>
      <c r="N3431" s="246"/>
      <c r="P3431" s="228"/>
      <c r="Q3431" s="245"/>
      <c r="R3431" s="186" t="str">
        <f aca="false">+PROPER(C3431&amp;" "&amp;D3431)</f>
        <v> </v>
      </c>
      <c r="S3431" s="230" t="n">
        <f aca="false">+YEARFRAC(L3431,$S$1)</f>
        <v>126.366666666667</v>
      </c>
      <c r="T3431" s="230" t="n">
        <f aca="false">+YEARFRAC(M3431,$S$1)</f>
        <v>126.366666666667</v>
      </c>
      <c r="U3431" s="231" t="n">
        <f aca="false">+$I3431</f>
        <v>0</v>
      </c>
      <c r="V3431" s="232" t="str">
        <f aca="false">+PROPER(F3431)</f>
        <v/>
      </c>
    </row>
    <row r="3432" customFormat="false" ht="14.25" hidden="false" customHeight="false" outlineLevel="0" collapsed="false">
      <c r="B3432" s="244"/>
      <c r="C3432" s="245"/>
      <c r="D3432" s="245"/>
      <c r="E3432" s="246"/>
      <c r="F3432" s="246"/>
      <c r="G3432" s="225" t="e">
        <f aca="false">VLOOKUP(B3432,'NIVEL ENERO'!A:F,4,0)</f>
        <v>#N/A</v>
      </c>
      <c r="H3432" s="247"/>
      <c r="I3432" s="247"/>
      <c r="J3432" s="246"/>
      <c r="K3432" s="246"/>
      <c r="L3432" s="226"/>
      <c r="M3432" s="226"/>
      <c r="N3432" s="246"/>
      <c r="P3432" s="228"/>
      <c r="Q3432" s="245"/>
      <c r="R3432" s="186" t="str">
        <f aca="false">+PROPER(C3432&amp;" "&amp;D3432)</f>
        <v> </v>
      </c>
      <c r="S3432" s="230" t="n">
        <f aca="false">+YEARFRAC(L3432,$S$1)</f>
        <v>126.366666666667</v>
      </c>
      <c r="T3432" s="230" t="n">
        <f aca="false">+YEARFRAC(M3432,$S$1)</f>
        <v>126.366666666667</v>
      </c>
      <c r="U3432" s="231" t="n">
        <f aca="false">+$I3432</f>
        <v>0</v>
      </c>
      <c r="V3432" s="232" t="str">
        <f aca="false">+PROPER(F3432)</f>
        <v/>
      </c>
    </row>
    <row r="3433" customFormat="false" ht="14.25" hidden="false" customHeight="false" outlineLevel="0" collapsed="false">
      <c r="B3433" s="244"/>
      <c r="C3433" s="245"/>
      <c r="D3433" s="245"/>
      <c r="E3433" s="246"/>
      <c r="F3433" s="246"/>
      <c r="G3433" s="225" t="e">
        <f aca="false">VLOOKUP(B3433,'NIVEL ENERO'!A:F,4,0)</f>
        <v>#N/A</v>
      </c>
      <c r="H3433" s="247"/>
      <c r="I3433" s="247"/>
      <c r="J3433" s="246"/>
      <c r="K3433" s="246"/>
      <c r="L3433" s="226"/>
      <c r="M3433" s="226"/>
      <c r="N3433" s="246"/>
      <c r="P3433" s="228"/>
      <c r="Q3433" s="245"/>
      <c r="R3433" s="186" t="str">
        <f aca="false">+PROPER(C3433&amp;" "&amp;D3433)</f>
        <v> </v>
      </c>
      <c r="S3433" s="230" t="n">
        <f aca="false">+YEARFRAC(L3433,$S$1)</f>
        <v>126.366666666667</v>
      </c>
      <c r="T3433" s="230" t="n">
        <f aca="false">+YEARFRAC(M3433,$S$1)</f>
        <v>126.366666666667</v>
      </c>
      <c r="U3433" s="231" t="n">
        <f aca="false">+$I3433</f>
        <v>0</v>
      </c>
      <c r="V3433" s="232" t="str">
        <f aca="false">+PROPER(F3433)</f>
        <v/>
      </c>
    </row>
    <row r="3434" customFormat="false" ht="14.25" hidden="false" customHeight="false" outlineLevel="0" collapsed="false">
      <c r="B3434" s="244"/>
      <c r="C3434" s="245"/>
      <c r="D3434" s="245"/>
      <c r="E3434" s="246"/>
      <c r="F3434" s="246"/>
      <c r="G3434" s="225" t="e">
        <f aca="false">VLOOKUP(B3434,'NIVEL ENERO'!A:F,4,0)</f>
        <v>#N/A</v>
      </c>
      <c r="H3434" s="247"/>
      <c r="I3434" s="247"/>
      <c r="J3434" s="246"/>
      <c r="K3434" s="246"/>
      <c r="L3434" s="226"/>
      <c r="M3434" s="226"/>
      <c r="N3434" s="246"/>
      <c r="P3434" s="228"/>
      <c r="Q3434" s="245"/>
      <c r="R3434" s="186" t="str">
        <f aca="false">+PROPER(C3434&amp;" "&amp;D3434)</f>
        <v> </v>
      </c>
      <c r="S3434" s="230" t="n">
        <f aca="false">+YEARFRAC(L3434,$S$1)</f>
        <v>126.366666666667</v>
      </c>
      <c r="T3434" s="230" t="n">
        <f aca="false">+YEARFRAC(M3434,$S$1)</f>
        <v>126.366666666667</v>
      </c>
      <c r="U3434" s="231" t="n">
        <f aca="false">+$I3434</f>
        <v>0</v>
      </c>
      <c r="V3434" s="232" t="str">
        <f aca="false">+PROPER(F3434)</f>
        <v/>
      </c>
    </row>
    <row r="3435" customFormat="false" ht="14.25" hidden="false" customHeight="false" outlineLevel="0" collapsed="false">
      <c r="B3435" s="244"/>
      <c r="C3435" s="245"/>
      <c r="D3435" s="245"/>
      <c r="E3435" s="246"/>
      <c r="F3435" s="246"/>
      <c r="G3435" s="225" t="e">
        <f aca="false">VLOOKUP(B3435,'NIVEL ENERO'!A:F,4,0)</f>
        <v>#N/A</v>
      </c>
      <c r="H3435" s="247"/>
      <c r="I3435" s="247"/>
      <c r="J3435" s="246"/>
      <c r="K3435" s="246"/>
      <c r="L3435" s="226"/>
      <c r="M3435" s="226"/>
      <c r="N3435" s="246"/>
      <c r="P3435" s="228"/>
      <c r="Q3435" s="245"/>
      <c r="R3435" s="186" t="str">
        <f aca="false">+PROPER(C3435&amp;" "&amp;D3435)</f>
        <v> </v>
      </c>
      <c r="S3435" s="230" t="n">
        <f aca="false">+YEARFRAC(L3435,$S$1)</f>
        <v>126.366666666667</v>
      </c>
      <c r="T3435" s="230" t="n">
        <f aca="false">+YEARFRAC(M3435,$S$1)</f>
        <v>126.366666666667</v>
      </c>
      <c r="U3435" s="231" t="n">
        <f aca="false">+$I3435</f>
        <v>0</v>
      </c>
      <c r="V3435" s="232" t="str">
        <f aca="false">+PROPER(F3435)</f>
        <v/>
      </c>
    </row>
    <row r="3436" customFormat="false" ht="14.25" hidden="false" customHeight="false" outlineLevel="0" collapsed="false">
      <c r="B3436" s="244"/>
      <c r="C3436" s="245"/>
      <c r="D3436" s="245"/>
      <c r="E3436" s="246"/>
      <c r="F3436" s="246"/>
      <c r="G3436" s="225" t="e">
        <f aca="false">VLOOKUP(B3436,'NIVEL ENERO'!A:F,4,0)</f>
        <v>#N/A</v>
      </c>
      <c r="H3436" s="247"/>
      <c r="I3436" s="247"/>
      <c r="J3436" s="246"/>
      <c r="K3436" s="246"/>
      <c r="L3436" s="226"/>
      <c r="M3436" s="226"/>
      <c r="N3436" s="246"/>
      <c r="P3436" s="228"/>
      <c r="Q3436" s="245"/>
      <c r="R3436" s="186" t="str">
        <f aca="false">+PROPER(C3436&amp;" "&amp;D3436)</f>
        <v> </v>
      </c>
      <c r="S3436" s="230" t="n">
        <f aca="false">+YEARFRAC(L3436,$S$1)</f>
        <v>126.366666666667</v>
      </c>
      <c r="T3436" s="230" t="n">
        <f aca="false">+YEARFRAC(M3436,$S$1)</f>
        <v>126.366666666667</v>
      </c>
      <c r="U3436" s="231" t="n">
        <f aca="false">+$I3436</f>
        <v>0</v>
      </c>
      <c r="V3436" s="232" t="str">
        <f aca="false">+PROPER(F3436)</f>
        <v/>
      </c>
    </row>
    <row r="3437" customFormat="false" ht="14.25" hidden="false" customHeight="false" outlineLevel="0" collapsed="false">
      <c r="B3437" s="244"/>
      <c r="C3437" s="245"/>
      <c r="D3437" s="245"/>
      <c r="E3437" s="246"/>
      <c r="F3437" s="246"/>
      <c r="G3437" s="225" t="e">
        <f aca="false">VLOOKUP(B3437,'NIVEL ENERO'!A:F,4,0)</f>
        <v>#N/A</v>
      </c>
      <c r="H3437" s="247"/>
      <c r="I3437" s="247"/>
      <c r="J3437" s="246"/>
      <c r="K3437" s="246"/>
      <c r="L3437" s="226"/>
      <c r="M3437" s="226"/>
      <c r="N3437" s="246"/>
      <c r="P3437" s="228"/>
      <c r="Q3437" s="245"/>
      <c r="R3437" s="186" t="str">
        <f aca="false">+PROPER(C3437&amp;" "&amp;D3437)</f>
        <v> </v>
      </c>
      <c r="S3437" s="230" t="n">
        <f aca="false">+YEARFRAC(L3437,$S$1)</f>
        <v>126.366666666667</v>
      </c>
      <c r="T3437" s="230" t="n">
        <f aca="false">+YEARFRAC(M3437,$S$1)</f>
        <v>126.366666666667</v>
      </c>
      <c r="U3437" s="231" t="n">
        <f aca="false">+$I3437</f>
        <v>0</v>
      </c>
      <c r="V3437" s="232" t="str">
        <f aca="false">+PROPER(F3437)</f>
        <v/>
      </c>
    </row>
    <row r="3438" customFormat="false" ht="14.25" hidden="false" customHeight="false" outlineLevel="0" collapsed="false">
      <c r="B3438" s="244"/>
      <c r="C3438" s="245"/>
      <c r="D3438" s="245"/>
      <c r="E3438" s="246"/>
      <c r="F3438" s="246"/>
      <c r="G3438" s="225" t="e">
        <f aca="false">VLOOKUP(B3438,'NIVEL ENERO'!A:F,4,0)</f>
        <v>#N/A</v>
      </c>
      <c r="H3438" s="247"/>
      <c r="I3438" s="247"/>
      <c r="J3438" s="246"/>
      <c r="K3438" s="246"/>
      <c r="L3438" s="226"/>
      <c r="M3438" s="226"/>
      <c r="N3438" s="246"/>
      <c r="P3438" s="228"/>
      <c r="Q3438" s="245"/>
      <c r="R3438" s="186" t="str">
        <f aca="false">+PROPER(C3438&amp;" "&amp;D3438)</f>
        <v> </v>
      </c>
      <c r="S3438" s="230" t="n">
        <f aca="false">+YEARFRAC(L3438,$S$1)</f>
        <v>126.366666666667</v>
      </c>
      <c r="T3438" s="230" t="n">
        <f aca="false">+YEARFRAC(M3438,$S$1)</f>
        <v>126.366666666667</v>
      </c>
      <c r="U3438" s="231" t="n">
        <f aca="false">+$I3438</f>
        <v>0</v>
      </c>
      <c r="V3438" s="232" t="str">
        <f aca="false">+PROPER(F3438)</f>
        <v/>
      </c>
    </row>
    <row r="3439" customFormat="false" ht="14.25" hidden="false" customHeight="false" outlineLevel="0" collapsed="false">
      <c r="B3439" s="244"/>
      <c r="C3439" s="245"/>
      <c r="D3439" s="245"/>
      <c r="E3439" s="246"/>
      <c r="F3439" s="246"/>
      <c r="G3439" s="225" t="e">
        <f aca="false">VLOOKUP(B3439,'NIVEL ENERO'!A:F,4,0)</f>
        <v>#N/A</v>
      </c>
      <c r="H3439" s="247"/>
      <c r="I3439" s="247"/>
      <c r="J3439" s="246"/>
      <c r="K3439" s="246"/>
      <c r="L3439" s="226"/>
      <c r="M3439" s="226"/>
      <c r="N3439" s="246"/>
      <c r="P3439" s="228"/>
      <c r="Q3439" s="245"/>
      <c r="R3439" s="186" t="str">
        <f aca="false">+PROPER(C3439&amp;" "&amp;D3439)</f>
        <v> </v>
      </c>
      <c r="S3439" s="230" t="n">
        <f aca="false">+YEARFRAC(L3439,$S$1)</f>
        <v>126.366666666667</v>
      </c>
      <c r="T3439" s="230" t="n">
        <f aca="false">+YEARFRAC(M3439,$S$1)</f>
        <v>126.366666666667</v>
      </c>
      <c r="U3439" s="231" t="n">
        <f aca="false">+$I3439</f>
        <v>0</v>
      </c>
      <c r="V3439" s="232" t="str">
        <f aca="false">+PROPER(F3439)</f>
        <v/>
      </c>
    </row>
    <row r="3440" customFormat="false" ht="14.25" hidden="false" customHeight="false" outlineLevel="0" collapsed="false">
      <c r="B3440" s="244"/>
      <c r="C3440" s="245"/>
      <c r="D3440" s="245"/>
      <c r="E3440" s="246"/>
      <c r="F3440" s="246"/>
      <c r="G3440" s="225" t="e">
        <f aca="false">VLOOKUP(B3440,'NIVEL ENERO'!A:F,4,0)</f>
        <v>#N/A</v>
      </c>
      <c r="H3440" s="247"/>
      <c r="I3440" s="247"/>
      <c r="J3440" s="246"/>
      <c r="K3440" s="246"/>
      <c r="L3440" s="226"/>
      <c r="M3440" s="226"/>
      <c r="N3440" s="246"/>
      <c r="P3440" s="228"/>
      <c r="Q3440" s="245"/>
      <c r="R3440" s="186" t="str">
        <f aca="false">+PROPER(C3440&amp;" "&amp;D3440)</f>
        <v> </v>
      </c>
      <c r="S3440" s="230" t="n">
        <f aca="false">+YEARFRAC(L3440,$S$1)</f>
        <v>126.366666666667</v>
      </c>
      <c r="T3440" s="230" t="n">
        <f aca="false">+YEARFRAC(M3440,$S$1)</f>
        <v>126.366666666667</v>
      </c>
      <c r="U3440" s="231" t="n">
        <f aca="false">+$I3440</f>
        <v>0</v>
      </c>
      <c r="V3440" s="232" t="str">
        <f aca="false">+PROPER(F3440)</f>
        <v/>
      </c>
    </row>
    <row r="3441" customFormat="false" ht="14.25" hidden="false" customHeight="false" outlineLevel="0" collapsed="false">
      <c r="B3441" s="244"/>
      <c r="C3441" s="245"/>
      <c r="D3441" s="245"/>
      <c r="E3441" s="246"/>
      <c r="F3441" s="246"/>
      <c r="G3441" s="225" t="e">
        <f aca="false">VLOOKUP(B3441,'NIVEL ENERO'!A:F,4,0)</f>
        <v>#N/A</v>
      </c>
      <c r="H3441" s="247"/>
      <c r="I3441" s="247"/>
      <c r="J3441" s="246"/>
      <c r="K3441" s="246"/>
      <c r="L3441" s="226"/>
      <c r="M3441" s="226"/>
      <c r="N3441" s="246"/>
      <c r="P3441" s="228"/>
      <c r="Q3441" s="245"/>
      <c r="R3441" s="186" t="str">
        <f aca="false">+PROPER(C3441&amp;" "&amp;D3441)</f>
        <v> </v>
      </c>
      <c r="S3441" s="230" t="n">
        <f aca="false">+YEARFRAC(L3441,$S$1)</f>
        <v>126.366666666667</v>
      </c>
      <c r="T3441" s="230" t="n">
        <f aca="false">+YEARFRAC(M3441,$S$1)</f>
        <v>126.366666666667</v>
      </c>
      <c r="U3441" s="231" t="n">
        <f aca="false">+$I3441</f>
        <v>0</v>
      </c>
      <c r="V3441" s="232" t="str">
        <f aca="false">+PROPER(F3441)</f>
        <v/>
      </c>
    </row>
    <row r="3442" customFormat="false" ht="14.25" hidden="false" customHeight="false" outlineLevel="0" collapsed="false">
      <c r="B3442" s="244"/>
      <c r="C3442" s="245"/>
      <c r="D3442" s="245"/>
      <c r="E3442" s="246"/>
      <c r="F3442" s="246"/>
      <c r="G3442" s="225" t="e">
        <f aca="false">VLOOKUP(B3442,'NIVEL ENERO'!A:F,4,0)</f>
        <v>#N/A</v>
      </c>
      <c r="H3442" s="247"/>
      <c r="I3442" s="247"/>
      <c r="J3442" s="246"/>
      <c r="K3442" s="246"/>
      <c r="L3442" s="226"/>
      <c r="M3442" s="226"/>
      <c r="N3442" s="246"/>
      <c r="P3442" s="228"/>
      <c r="Q3442" s="245"/>
      <c r="R3442" s="186" t="str">
        <f aca="false">+PROPER(C3442&amp;" "&amp;D3442)</f>
        <v> </v>
      </c>
      <c r="S3442" s="230" t="n">
        <f aca="false">+YEARFRAC(L3442,$S$1)</f>
        <v>126.366666666667</v>
      </c>
      <c r="T3442" s="230" t="n">
        <f aca="false">+YEARFRAC(M3442,$S$1)</f>
        <v>126.366666666667</v>
      </c>
      <c r="U3442" s="231" t="n">
        <f aca="false">+$I3442</f>
        <v>0</v>
      </c>
      <c r="V3442" s="232" t="str">
        <f aca="false">+PROPER(F3442)</f>
        <v/>
      </c>
    </row>
    <row r="3443" customFormat="false" ht="14.25" hidden="false" customHeight="false" outlineLevel="0" collapsed="false">
      <c r="B3443" s="244"/>
      <c r="C3443" s="245"/>
      <c r="D3443" s="245"/>
      <c r="E3443" s="246"/>
      <c r="F3443" s="246"/>
      <c r="G3443" s="225" t="e">
        <f aca="false">VLOOKUP(B3443,'NIVEL ENERO'!A:F,4,0)</f>
        <v>#N/A</v>
      </c>
      <c r="H3443" s="247"/>
      <c r="I3443" s="247"/>
      <c r="J3443" s="246"/>
      <c r="K3443" s="246"/>
      <c r="L3443" s="226"/>
      <c r="M3443" s="226"/>
      <c r="N3443" s="246"/>
      <c r="P3443" s="228"/>
      <c r="Q3443" s="245"/>
      <c r="R3443" s="186" t="str">
        <f aca="false">+PROPER(C3443&amp;" "&amp;D3443)</f>
        <v> </v>
      </c>
      <c r="S3443" s="230" t="n">
        <f aca="false">+YEARFRAC(L3443,$S$1)</f>
        <v>126.366666666667</v>
      </c>
      <c r="T3443" s="230" t="n">
        <f aca="false">+YEARFRAC(M3443,$S$1)</f>
        <v>126.366666666667</v>
      </c>
      <c r="U3443" s="231" t="n">
        <f aca="false">+$I3443</f>
        <v>0</v>
      </c>
      <c r="V3443" s="232" t="str">
        <f aca="false">+PROPER(F3443)</f>
        <v/>
      </c>
    </row>
    <row r="3444" customFormat="false" ht="14.25" hidden="false" customHeight="false" outlineLevel="0" collapsed="false">
      <c r="B3444" s="244"/>
      <c r="C3444" s="245"/>
      <c r="D3444" s="245"/>
      <c r="E3444" s="246"/>
      <c r="F3444" s="246"/>
      <c r="G3444" s="225" t="e">
        <f aca="false">VLOOKUP(B3444,'NIVEL ENERO'!A:F,4,0)</f>
        <v>#N/A</v>
      </c>
      <c r="H3444" s="247"/>
      <c r="I3444" s="247"/>
      <c r="J3444" s="246"/>
      <c r="K3444" s="246"/>
      <c r="L3444" s="226"/>
      <c r="M3444" s="226"/>
      <c r="N3444" s="246"/>
      <c r="P3444" s="228"/>
      <c r="Q3444" s="245"/>
      <c r="R3444" s="186" t="str">
        <f aca="false">+PROPER(C3444&amp;" "&amp;D3444)</f>
        <v> </v>
      </c>
      <c r="S3444" s="230" t="n">
        <f aca="false">+YEARFRAC(L3444,$S$1)</f>
        <v>126.366666666667</v>
      </c>
      <c r="T3444" s="230" t="n">
        <f aca="false">+YEARFRAC(M3444,$S$1)</f>
        <v>126.366666666667</v>
      </c>
      <c r="U3444" s="231" t="n">
        <f aca="false">+$I3444</f>
        <v>0</v>
      </c>
      <c r="V3444" s="232" t="str">
        <f aca="false">+PROPER(F3444)</f>
        <v/>
      </c>
    </row>
    <row r="3445" customFormat="false" ht="14.25" hidden="false" customHeight="false" outlineLevel="0" collapsed="false">
      <c r="B3445" s="244"/>
      <c r="C3445" s="245"/>
      <c r="D3445" s="245"/>
      <c r="E3445" s="246"/>
      <c r="F3445" s="246"/>
      <c r="G3445" s="225" t="e">
        <f aca="false">VLOOKUP(B3445,'NIVEL ENERO'!A:F,4,0)</f>
        <v>#N/A</v>
      </c>
      <c r="H3445" s="247"/>
      <c r="I3445" s="247"/>
      <c r="J3445" s="246"/>
      <c r="K3445" s="246"/>
      <c r="L3445" s="226"/>
      <c r="M3445" s="226"/>
      <c r="N3445" s="246"/>
      <c r="P3445" s="228"/>
      <c r="Q3445" s="245"/>
      <c r="R3445" s="186" t="str">
        <f aca="false">+PROPER(C3445&amp;" "&amp;D3445)</f>
        <v> </v>
      </c>
      <c r="S3445" s="230" t="n">
        <f aca="false">+YEARFRAC(L3445,$S$1)</f>
        <v>126.366666666667</v>
      </c>
      <c r="T3445" s="230" t="n">
        <f aca="false">+YEARFRAC(M3445,$S$1)</f>
        <v>126.366666666667</v>
      </c>
      <c r="U3445" s="231" t="n">
        <f aca="false">+$I3445</f>
        <v>0</v>
      </c>
      <c r="V3445" s="232" t="str">
        <f aca="false">+PROPER(F3445)</f>
        <v/>
      </c>
    </row>
    <row r="3446" customFormat="false" ht="14.25" hidden="false" customHeight="false" outlineLevel="0" collapsed="false">
      <c r="B3446" s="244"/>
      <c r="C3446" s="245"/>
      <c r="D3446" s="245"/>
      <c r="E3446" s="246"/>
      <c r="F3446" s="246"/>
      <c r="G3446" s="225" t="e">
        <f aca="false">VLOOKUP(B3446,'NIVEL ENERO'!A:F,4,0)</f>
        <v>#N/A</v>
      </c>
      <c r="H3446" s="247"/>
      <c r="I3446" s="247"/>
      <c r="J3446" s="246"/>
      <c r="K3446" s="246"/>
      <c r="L3446" s="226"/>
      <c r="M3446" s="226"/>
      <c r="N3446" s="246"/>
      <c r="P3446" s="228"/>
      <c r="Q3446" s="245"/>
      <c r="R3446" s="186" t="str">
        <f aca="false">+PROPER(C3446&amp;" "&amp;D3446)</f>
        <v> </v>
      </c>
      <c r="S3446" s="230" t="n">
        <f aca="false">+YEARFRAC(L3446,$S$1)</f>
        <v>126.366666666667</v>
      </c>
      <c r="T3446" s="230" t="n">
        <f aca="false">+YEARFRAC(M3446,$S$1)</f>
        <v>126.366666666667</v>
      </c>
      <c r="U3446" s="231" t="n">
        <f aca="false">+$I3446</f>
        <v>0</v>
      </c>
      <c r="V3446" s="232" t="str">
        <f aca="false">+PROPER(F3446)</f>
        <v/>
      </c>
    </row>
    <row r="3447" customFormat="false" ht="14.25" hidden="false" customHeight="false" outlineLevel="0" collapsed="false">
      <c r="B3447" s="244"/>
      <c r="C3447" s="245"/>
      <c r="D3447" s="245"/>
      <c r="E3447" s="246"/>
      <c r="F3447" s="246"/>
      <c r="G3447" s="225" t="e">
        <f aca="false">VLOOKUP(B3447,'NIVEL ENERO'!A:F,4,0)</f>
        <v>#N/A</v>
      </c>
      <c r="H3447" s="247"/>
      <c r="I3447" s="247"/>
      <c r="J3447" s="246"/>
      <c r="K3447" s="246"/>
      <c r="L3447" s="226"/>
      <c r="M3447" s="226"/>
      <c r="N3447" s="246"/>
      <c r="P3447" s="228"/>
      <c r="Q3447" s="245"/>
      <c r="R3447" s="186" t="str">
        <f aca="false">+PROPER(C3447&amp;" "&amp;D3447)</f>
        <v> </v>
      </c>
      <c r="S3447" s="230" t="n">
        <f aca="false">+YEARFRAC(L3447,$S$1)</f>
        <v>126.366666666667</v>
      </c>
      <c r="T3447" s="230" t="n">
        <f aca="false">+YEARFRAC(M3447,$S$1)</f>
        <v>126.366666666667</v>
      </c>
      <c r="U3447" s="231" t="n">
        <f aca="false">+$I3447</f>
        <v>0</v>
      </c>
      <c r="V3447" s="232" t="str">
        <f aca="false">+PROPER(F3447)</f>
        <v/>
      </c>
    </row>
    <row r="3448" customFormat="false" ht="14.25" hidden="false" customHeight="false" outlineLevel="0" collapsed="false">
      <c r="B3448" s="244"/>
      <c r="C3448" s="245"/>
      <c r="D3448" s="245"/>
      <c r="E3448" s="246"/>
      <c r="F3448" s="246"/>
      <c r="G3448" s="225" t="e">
        <f aca="false">VLOOKUP(B3448,'NIVEL ENERO'!A:F,4,0)</f>
        <v>#N/A</v>
      </c>
      <c r="H3448" s="247"/>
      <c r="I3448" s="247"/>
      <c r="J3448" s="246"/>
      <c r="K3448" s="246"/>
      <c r="L3448" s="226"/>
      <c r="M3448" s="226"/>
      <c r="N3448" s="246"/>
      <c r="P3448" s="228"/>
      <c r="Q3448" s="245"/>
      <c r="R3448" s="186" t="str">
        <f aca="false">+PROPER(C3448&amp;" "&amp;D3448)</f>
        <v> </v>
      </c>
      <c r="S3448" s="230" t="n">
        <f aca="false">+YEARFRAC(L3448,$S$1)</f>
        <v>126.366666666667</v>
      </c>
      <c r="T3448" s="230" t="n">
        <f aca="false">+YEARFRAC(M3448,$S$1)</f>
        <v>126.366666666667</v>
      </c>
      <c r="U3448" s="231" t="n">
        <f aca="false">+$I3448</f>
        <v>0</v>
      </c>
      <c r="V3448" s="232" t="str">
        <f aca="false">+PROPER(F3448)</f>
        <v/>
      </c>
    </row>
    <row r="3449" customFormat="false" ht="14.25" hidden="false" customHeight="false" outlineLevel="0" collapsed="false">
      <c r="B3449" s="244"/>
      <c r="C3449" s="245"/>
      <c r="D3449" s="245"/>
      <c r="E3449" s="246"/>
      <c r="F3449" s="246"/>
      <c r="G3449" s="225" t="e">
        <f aca="false">VLOOKUP(B3449,'NIVEL ENERO'!A:F,4,0)</f>
        <v>#N/A</v>
      </c>
      <c r="H3449" s="247"/>
      <c r="I3449" s="247"/>
      <c r="J3449" s="246"/>
      <c r="K3449" s="246"/>
      <c r="L3449" s="226"/>
      <c r="M3449" s="226"/>
      <c r="N3449" s="246"/>
      <c r="P3449" s="228"/>
      <c r="Q3449" s="245"/>
      <c r="R3449" s="186" t="str">
        <f aca="false">+PROPER(C3449&amp;" "&amp;D3449)</f>
        <v> </v>
      </c>
      <c r="S3449" s="230" t="n">
        <f aca="false">+YEARFRAC(L3449,$S$1)</f>
        <v>126.366666666667</v>
      </c>
      <c r="T3449" s="230" t="n">
        <f aca="false">+YEARFRAC(M3449,$S$1)</f>
        <v>126.366666666667</v>
      </c>
      <c r="U3449" s="231" t="n">
        <f aca="false">+$I3449</f>
        <v>0</v>
      </c>
      <c r="V3449" s="232" t="str">
        <f aca="false">+PROPER(F3449)</f>
        <v/>
      </c>
    </row>
    <row r="3450" customFormat="false" ht="14.25" hidden="false" customHeight="false" outlineLevel="0" collapsed="false">
      <c r="B3450" s="244"/>
      <c r="C3450" s="245"/>
      <c r="D3450" s="245"/>
      <c r="E3450" s="246"/>
      <c r="F3450" s="246"/>
      <c r="G3450" s="225" t="e">
        <f aca="false">VLOOKUP(B3450,'NIVEL ENERO'!A:F,4,0)</f>
        <v>#N/A</v>
      </c>
      <c r="H3450" s="247"/>
      <c r="I3450" s="247"/>
      <c r="J3450" s="246"/>
      <c r="K3450" s="246"/>
      <c r="L3450" s="226"/>
      <c r="M3450" s="226"/>
      <c r="N3450" s="246"/>
      <c r="P3450" s="228"/>
      <c r="Q3450" s="245"/>
      <c r="R3450" s="186" t="str">
        <f aca="false">+PROPER(C3450&amp;" "&amp;D3450)</f>
        <v> </v>
      </c>
      <c r="S3450" s="230" t="n">
        <f aca="false">+YEARFRAC(L3450,$S$1)</f>
        <v>126.366666666667</v>
      </c>
      <c r="T3450" s="230" t="n">
        <f aca="false">+YEARFRAC(M3450,$S$1)</f>
        <v>126.366666666667</v>
      </c>
      <c r="U3450" s="231" t="n">
        <f aca="false">+$I3450</f>
        <v>0</v>
      </c>
      <c r="V3450" s="232" t="str">
        <f aca="false">+PROPER(F3450)</f>
        <v/>
      </c>
    </row>
    <row r="3451" customFormat="false" ht="14.25" hidden="false" customHeight="false" outlineLevel="0" collapsed="false">
      <c r="B3451" s="244"/>
      <c r="C3451" s="245"/>
      <c r="D3451" s="245"/>
      <c r="E3451" s="246"/>
      <c r="F3451" s="246"/>
      <c r="G3451" s="225" t="e">
        <f aca="false">VLOOKUP(B3451,'NIVEL ENERO'!A:F,4,0)</f>
        <v>#N/A</v>
      </c>
      <c r="H3451" s="247"/>
      <c r="I3451" s="247"/>
      <c r="J3451" s="246"/>
      <c r="K3451" s="246"/>
      <c r="L3451" s="226"/>
      <c r="M3451" s="226"/>
      <c r="N3451" s="246"/>
      <c r="P3451" s="228"/>
      <c r="Q3451" s="245"/>
      <c r="R3451" s="186" t="str">
        <f aca="false">+PROPER(C3451&amp;" "&amp;D3451)</f>
        <v> </v>
      </c>
      <c r="S3451" s="230" t="n">
        <f aca="false">+YEARFRAC(L3451,$S$1)</f>
        <v>126.366666666667</v>
      </c>
      <c r="T3451" s="230" t="n">
        <f aca="false">+YEARFRAC(M3451,$S$1)</f>
        <v>126.366666666667</v>
      </c>
      <c r="U3451" s="231" t="n">
        <f aca="false">+$I3451</f>
        <v>0</v>
      </c>
      <c r="V3451" s="232" t="str">
        <f aca="false">+PROPER(F3451)</f>
        <v/>
      </c>
    </row>
    <row r="3452" customFormat="false" ht="14.25" hidden="false" customHeight="false" outlineLevel="0" collapsed="false">
      <c r="B3452" s="244"/>
      <c r="C3452" s="245"/>
      <c r="D3452" s="245"/>
      <c r="E3452" s="246"/>
      <c r="F3452" s="246"/>
      <c r="G3452" s="225" t="e">
        <f aca="false">VLOOKUP(B3452,'NIVEL ENERO'!A:F,4,0)</f>
        <v>#N/A</v>
      </c>
      <c r="H3452" s="247"/>
      <c r="I3452" s="247"/>
      <c r="J3452" s="246"/>
      <c r="K3452" s="246"/>
      <c r="L3452" s="226"/>
      <c r="M3452" s="226"/>
      <c r="N3452" s="246"/>
      <c r="P3452" s="228"/>
      <c r="Q3452" s="245"/>
      <c r="R3452" s="186" t="str">
        <f aca="false">+PROPER(C3452&amp;" "&amp;D3452)</f>
        <v> </v>
      </c>
      <c r="S3452" s="230" t="n">
        <f aca="false">+YEARFRAC(L3452,$S$1)</f>
        <v>126.366666666667</v>
      </c>
      <c r="T3452" s="230" t="n">
        <f aca="false">+YEARFRAC(M3452,$S$1)</f>
        <v>126.366666666667</v>
      </c>
      <c r="U3452" s="231" t="n">
        <f aca="false">+$I3452</f>
        <v>0</v>
      </c>
      <c r="V3452" s="232" t="str">
        <f aca="false">+PROPER(F3452)</f>
        <v/>
      </c>
    </row>
    <row r="3453" customFormat="false" ht="14.25" hidden="false" customHeight="false" outlineLevel="0" collapsed="false">
      <c r="B3453" s="244"/>
      <c r="C3453" s="245"/>
      <c r="D3453" s="245"/>
      <c r="E3453" s="246"/>
      <c r="F3453" s="246"/>
      <c r="G3453" s="225" t="e">
        <f aca="false">VLOOKUP(B3453,'NIVEL ENERO'!A:F,4,0)</f>
        <v>#N/A</v>
      </c>
      <c r="H3453" s="247"/>
      <c r="I3453" s="247"/>
      <c r="J3453" s="246"/>
      <c r="K3453" s="246"/>
      <c r="L3453" s="226"/>
      <c r="M3453" s="226"/>
      <c r="N3453" s="246"/>
      <c r="P3453" s="228"/>
      <c r="Q3453" s="245"/>
      <c r="R3453" s="186" t="str">
        <f aca="false">+PROPER(C3453&amp;" "&amp;D3453)</f>
        <v> </v>
      </c>
      <c r="S3453" s="230" t="n">
        <f aca="false">+YEARFRAC(L3453,$S$1)</f>
        <v>126.366666666667</v>
      </c>
      <c r="T3453" s="230" t="n">
        <f aca="false">+YEARFRAC(M3453,$S$1)</f>
        <v>126.366666666667</v>
      </c>
      <c r="U3453" s="231" t="n">
        <f aca="false">+$I3453</f>
        <v>0</v>
      </c>
      <c r="V3453" s="232" t="str">
        <f aca="false">+PROPER(F3453)</f>
        <v/>
      </c>
    </row>
    <row r="3454" customFormat="false" ht="14.25" hidden="false" customHeight="false" outlineLevel="0" collapsed="false">
      <c r="B3454" s="244"/>
      <c r="C3454" s="245"/>
      <c r="D3454" s="245"/>
      <c r="E3454" s="246"/>
      <c r="F3454" s="246"/>
      <c r="G3454" s="225" t="e">
        <f aca="false">VLOOKUP(B3454,'NIVEL ENERO'!A:F,4,0)</f>
        <v>#N/A</v>
      </c>
      <c r="H3454" s="247"/>
      <c r="I3454" s="247"/>
      <c r="J3454" s="246"/>
      <c r="K3454" s="246"/>
      <c r="L3454" s="226"/>
      <c r="M3454" s="226"/>
      <c r="N3454" s="246"/>
      <c r="P3454" s="228"/>
      <c r="Q3454" s="245"/>
      <c r="R3454" s="186" t="str">
        <f aca="false">+PROPER(C3454&amp;" "&amp;D3454)</f>
        <v> </v>
      </c>
      <c r="S3454" s="230" t="n">
        <f aca="false">+YEARFRAC(L3454,$S$1)</f>
        <v>126.366666666667</v>
      </c>
      <c r="T3454" s="230" t="n">
        <f aca="false">+YEARFRAC(M3454,$S$1)</f>
        <v>126.366666666667</v>
      </c>
      <c r="U3454" s="231" t="n">
        <f aca="false">+$I3454</f>
        <v>0</v>
      </c>
      <c r="V3454" s="232" t="str">
        <f aca="false">+PROPER(F3454)</f>
        <v/>
      </c>
    </row>
    <row r="3455" customFormat="false" ht="14.25" hidden="false" customHeight="false" outlineLevel="0" collapsed="false">
      <c r="B3455" s="244"/>
      <c r="C3455" s="245"/>
      <c r="D3455" s="245"/>
      <c r="E3455" s="246"/>
      <c r="F3455" s="246"/>
      <c r="G3455" s="225" t="e">
        <f aca="false">VLOOKUP(B3455,'NIVEL ENERO'!A:F,4,0)</f>
        <v>#N/A</v>
      </c>
      <c r="H3455" s="247"/>
      <c r="I3455" s="247"/>
      <c r="J3455" s="246"/>
      <c r="K3455" s="246"/>
      <c r="L3455" s="226"/>
      <c r="M3455" s="226"/>
      <c r="N3455" s="246"/>
      <c r="P3455" s="228"/>
      <c r="Q3455" s="245"/>
      <c r="R3455" s="186" t="str">
        <f aca="false">+PROPER(C3455&amp;" "&amp;D3455)</f>
        <v> </v>
      </c>
      <c r="S3455" s="230" t="n">
        <f aca="false">+YEARFRAC(L3455,$S$1)</f>
        <v>126.366666666667</v>
      </c>
      <c r="T3455" s="230" t="n">
        <f aca="false">+YEARFRAC(M3455,$S$1)</f>
        <v>126.366666666667</v>
      </c>
      <c r="U3455" s="231" t="n">
        <f aca="false">+$I3455</f>
        <v>0</v>
      </c>
      <c r="V3455" s="232" t="str">
        <f aca="false">+PROPER(F3455)</f>
        <v/>
      </c>
    </row>
    <row r="3456" customFormat="false" ht="14.25" hidden="false" customHeight="false" outlineLevel="0" collapsed="false">
      <c r="B3456" s="244"/>
      <c r="C3456" s="245"/>
      <c r="D3456" s="245"/>
      <c r="E3456" s="246"/>
      <c r="F3456" s="246"/>
      <c r="G3456" s="225" t="e">
        <f aca="false">VLOOKUP(B3456,'NIVEL ENERO'!A:F,4,0)</f>
        <v>#N/A</v>
      </c>
      <c r="H3456" s="247"/>
      <c r="I3456" s="247"/>
      <c r="J3456" s="246"/>
      <c r="K3456" s="246"/>
      <c r="L3456" s="226"/>
      <c r="M3456" s="226"/>
      <c r="N3456" s="246"/>
      <c r="P3456" s="228"/>
      <c r="Q3456" s="245"/>
      <c r="R3456" s="186" t="str">
        <f aca="false">+PROPER(C3456&amp;" "&amp;D3456)</f>
        <v> </v>
      </c>
      <c r="S3456" s="230" t="n">
        <f aca="false">+YEARFRAC(L3456,$S$1)</f>
        <v>126.366666666667</v>
      </c>
      <c r="T3456" s="230" t="n">
        <f aca="false">+YEARFRAC(M3456,$S$1)</f>
        <v>126.366666666667</v>
      </c>
      <c r="U3456" s="231" t="n">
        <f aca="false">+$I3456</f>
        <v>0</v>
      </c>
      <c r="V3456" s="232" t="str">
        <f aca="false">+PROPER(F3456)</f>
        <v/>
      </c>
    </row>
    <row r="3457" customFormat="false" ht="14.25" hidden="false" customHeight="false" outlineLevel="0" collapsed="false">
      <c r="B3457" s="244"/>
      <c r="C3457" s="245"/>
      <c r="D3457" s="245"/>
      <c r="E3457" s="246"/>
      <c r="F3457" s="246"/>
      <c r="G3457" s="225" t="e">
        <f aca="false">VLOOKUP(B3457,'NIVEL ENERO'!A:F,4,0)</f>
        <v>#N/A</v>
      </c>
      <c r="H3457" s="247"/>
      <c r="I3457" s="247"/>
      <c r="J3457" s="246"/>
      <c r="K3457" s="246"/>
      <c r="L3457" s="226"/>
      <c r="M3457" s="226"/>
      <c r="N3457" s="246"/>
      <c r="P3457" s="228"/>
      <c r="Q3457" s="245"/>
      <c r="R3457" s="186" t="str">
        <f aca="false">+PROPER(C3457&amp;" "&amp;D3457)</f>
        <v> </v>
      </c>
      <c r="S3457" s="230" t="n">
        <f aca="false">+YEARFRAC(L3457,$S$1)</f>
        <v>126.366666666667</v>
      </c>
      <c r="T3457" s="230" t="n">
        <f aca="false">+YEARFRAC(M3457,$S$1)</f>
        <v>126.366666666667</v>
      </c>
      <c r="U3457" s="231" t="n">
        <f aca="false">+$I3457</f>
        <v>0</v>
      </c>
      <c r="V3457" s="232" t="str">
        <f aca="false">+PROPER(F3457)</f>
        <v/>
      </c>
    </row>
    <row r="3458" customFormat="false" ht="14.25" hidden="false" customHeight="false" outlineLevel="0" collapsed="false">
      <c r="B3458" s="244"/>
      <c r="C3458" s="245"/>
      <c r="D3458" s="245"/>
      <c r="E3458" s="246"/>
      <c r="F3458" s="246"/>
      <c r="G3458" s="225" t="e">
        <f aca="false">VLOOKUP(B3458,'NIVEL ENERO'!A:F,4,0)</f>
        <v>#N/A</v>
      </c>
      <c r="H3458" s="247"/>
      <c r="I3458" s="247"/>
      <c r="J3458" s="246"/>
      <c r="K3458" s="246"/>
      <c r="L3458" s="226"/>
      <c r="M3458" s="226"/>
      <c r="N3458" s="246"/>
      <c r="P3458" s="228"/>
      <c r="Q3458" s="245"/>
      <c r="R3458" s="186" t="str">
        <f aca="false">+PROPER(C3458&amp;" "&amp;D3458)</f>
        <v> </v>
      </c>
      <c r="S3458" s="230" t="n">
        <f aca="false">+YEARFRAC(L3458,$S$1)</f>
        <v>126.366666666667</v>
      </c>
      <c r="T3458" s="230" t="n">
        <f aca="false">+YEARFRAC(M3458,$S$1)</f>
        <v>126.366666666667</v>
      </c>
      <c r="U3458" s="231" t="n">
        <f aca="false">+$I3458</f>
        <v>0</v>
      </c>
      <c r="V3458" s="232" t="str">
        <f aca="false">+PROPER(F3458)</f>
        <v/>
      </c>
    </row>
    <row r="3459" customFormat="false" ht="14.25" hidden="false" customHeight="false" outlineLevel="0" collapsed="false">
      <c r="B3459" s="244"/>
      <c r="C3459" s="245"/>
      <c r="D3459" s="245"/>
      <c r="E3459" s="246"/>
      <c r="F3459" s="246"/>
      <c r="G3459" s="225" t="e">
        <f aca="false">VLOOKUP(B3459,'NIVEL ENERO'!A:F,4,0)</f>
        <v>#N/A</v>
      </c>
      <c r="H3459" s="247"/>
      <c r="I3459" s="247"/>
      <c r="J3459" s="246"/>
      <c r="K3459" s="246"/>
      <c r="L3459" s="226"/>
      <c r="M3459" s="226"/>
      <c r="N3459" s="246"/>
      <c r="P3459" s="228"/>
      <c r="Q3459" s="245"/>
      <c r="R3459" s="186" t="str">
        <f aca="false">+PROPER(C3459&amp;" "&amp;D3459)</f>
        <v> </v>
      </c>
      <c r="S3459" s="230" t="n">
        <f aca="false">+YEARFRAC(L3459,$S$1)</f>
        <v>126.366666666667</v>
      </c>
      <c r="T3459" s="230" t="n">
        <f aca="false">+YEARFRAC(M3459,$S$1)</f>
        <v>126.366666666667</v>
      </c>
      <c r="U3459" s="231" t="n">
        <f aca="false">+$I3459</f>
        <v>0</v>
      </c>
      <c r="V3459" s="232" t="str">
        <f aca="false">+PROPER(F3459)</f>
        <v/>
      </c>
    </row>
    <row r="3460" customFormat="false" ht="14.25" hidden="false" customHeight="false" outlineLevel="0" collapsed="false">
      <c r="B3460" s="244"/>
      <c r="C3460" s="245"/>
      <c r="D3460" s="245"/>
      <c r="E3460" s="246"/>
      <c r="F3460" s="246"/>
      <c r="G3460" s="225" t="e">
        <f aca="false">VLOOKUP(B3460,'NIVEL ENERO'!A:F,4,0)</f>
        <v>#N/A</v>
      </c>
      <c r="H3460" s="247"/>
      <c r="I3460" s="247"/>
      <c r="J3460" s="246"/>
      <c r="K3460" s="246"/>
      <c r="L3460" s="226"/>
      <c r="M3460" s="226"/>
      <c r="N3460" s="246"/>
      <c r="P3460" s="228"/>
      <c r="Q3460" s="245"/>
      <c r="R3460" s="186" t="str">
        <f aca="false">+PROPER(C3460&amp;" "&amp;D3460)</f>
        <v> </v>
      </c>
      <c r="S3460" s="230" t="n">
        <f aca="false">+YEARFRAC(L3460,$S$1)</f>
        <v>126.366666666667</v>
      </c>
      <c r="T3460" s="230" t="n">
        <f aca="false">+YEARFRAC(M3460,$S$1)</f>
        <v>126.366666666667</v>
      </c>
      <c r="U3460" s="231" t="n">
        <f aca="false">+$I3460</f>
        <v>0</v>
      </c>
      <c r="V3460" s="232" t="str">
        <f aca="false">+PROPER(F3460)</f>
        <v/>
      </c>
    </row>
    <row r="3461" customFormat="false" ht="14.25" hidden="false" customHeight="false" outlineLevel="0" collapsed="false">
      <c r="B3461" s="244"/>
      <c r="C3461" s="245"/>
      <c r="D3461" s="245"/>
      <c r="E3461" s="246"/>
      <c r="F3461" s="246"/>
      <c r="G3461" s="225" t="e">
        <f aca="false">VLOOKUP(B3461,'NIVEL ENERO'!A:F,4,0)</f>
        <v>#N/A</v>
      </c>
      <c r="H3461" s="247"/>
      <c r="I3461" s="247"/>
      <c r="J3461" s="246"/>
      <c r="K3461" s="246"/>
      <c r="L3461" s="226"/>
      <c r="M3461" s="226"/>
      <c r="N3461" s="246"/>
      <c r="P3461" s="228"/>
      <c r="Q3461" s="245"/>
      <c r="R3461" s="186" t="str">
        <f aca="false">+PROPER(C3461&amp;" "&amp;D3461)</f>
        <v> </v>
      </c>
      <c r="S3461" s="230" t="n">
        <f aca="false">+YEARFRAC(L3461,$S$1)</f>
        <v>126.366666666667</v>
      </c>
      <c r="T3461" s="230" t="n">
        <f aca="false">+YEARFRAC(M3461,$S$1)</f>
        <v>126.366666666667</v>
      </c>
      <c r="U3461" s="231" t="n">
        <f aca="false">+$I3461</f>
        <v>0</v>
      </c>
      <c r="V3461" s="232" t="str">
        <f aca="false">+PROPER(F3461)</f>
        <v/>
      </c>
    </row>
    <row r="3462" customFormat="false" ht="14.25" hidden="false" customHeight="false" outlineLevel="0" collapsed="false">
      <c r="B3462" s="244"/>
      <c r="C3462" s="245"/>
      <c r="D3462" s="245"/>
      <c r="E3462" s="246"/>
      <c r="F3462" s="246"/>
      <c r="G3462" s="225" t="e">
        <f aca="false">VLOOKUP(B3462,'NIVEL ENERO'!A:F,4,0)</f>
        <v>#N/A</v>
      </c>
      <c r="H3462" s="247"/>
      <c r="I3462" s="247"/>
      <c r="J3462" s="246"/>
      <c r="K3462" s="246"/>
      <c r="L3462" s="226"/>
      <c r="M3462" s="226"/>
      <c r="N3462" s="246"/>
      <c r="P3462" s="228"/>
      <c r="Q3462" s="245"/>
      <c r="R3462" s="186" t="str">
        <f aca="false">+PROPER(C3462&amp;" "&amp;D3462)</f>
        <v> </v>
      </c>
      <c r="S3462" s="230" t="n">
        <f aca="false">+YEARFRAC(L3462,$S$1)</f>
        <v>126.366666666667</v>
      </c>
      <c r="T3462" s="230" t="n">
        <f aca="false">+YEARFRAC(M3462,$S$1)</f>
        <v>126.366666666667</v>
      </c>
      <c r="U3462" s="231" t="n">
        <f aca="false">+$I3462</f>
        <v>0</v>
      </c>
      <c r="V3462" s="232" t="str">
        <f aca="false">+PROPER(F3462)</f>
        <v/>
      </c>
    </row>
    <row r="3463" customFormat="false" ht="14.25" hidden="false" customHeight="false" outlineLevel="0" collapsed="false">
      <c r="B3463" s="244"/>
      <c r="C3463" s="245"/>
      <c r="D3463" s="245"/>
      <c r="E3463" s="246"/>
      <c r="F3463" s="246"/>
      <c r="G3463" s="225" t="e">
        <f aca="false">VLOOKUP(B3463,'NIVEL ENERO'!A:F,4,0)</f>
        <v>#N/A</v>
      </c>
      <c r="H3463" s="247"/>
      <c r="I3463" s="247"/>
      <c r="J3463" s="246"/>
      <c r="K3463" s="246"/>
      <c r="L3463" s="226"/>
      <c r="M3463" s="226"/>
      <c r="N3463" s="246"/>
      <c r="P3463" s="228"/>
      <c r="Q3463" s="245"/>
      <c r="R3463" s="186" t="str">
        <f aca="false">+PROPER(C3463&amp;" "&amp;D3463)</f>
        <v> </v>
      </c>
      <c r="S3463" s="230" t="n">
        <f aca="false">+YEARFRAC(L3463,$S$1)</f>
        <v>126.366666666667</v>
      </c>
      <c r="T3463" s="230" t="n">
        <f aca="false">+YEARFRAC(M3463,$S$1)</f>
        <v>126.366666666667</v>
      </c>
      <c r="U3463" s="231" t="n">
        <f aca="false">+$I3463</f>
        <v>0</v>
      </c>
      <c r="V3463" s="232" t="str">
        <f aca="false">+PROPER(F3463)</f>
        <v/>
      </c>
    </row>
    <row r="3464" customFormat="false" ht="14.25" hidden="false" customHeight="false" outlineLevel="0" collapsed="false">
      <c r="B3464" s="244"/>
      <c r="C3464" s="245"/>
      <c r="D3464" s="245"/>
      <c r="E3464" s="246"/>
      <c r="F3464" s="246"/>
      <c r="G3464" s="225" t="e">
        <f aca="false">VLOOKUP(B3464,'NIVEL ENERO'!A:F,4,0)</f>
        <v>#N/A</v>
      </c>
      <c r="H3464" s="247"/>
      <c r="I3464" s="247"/>
      <c r="J3464" s="246"/>
      <c r="K3464" s="246"/>
      <c r="L3464" s="226"/>
      <c r="M3464" s="226"/>
      <c r="N3464" s="246"/>
      <c r="P3464" s="228"/>
      <c r="Q3464" s="245"/>
      <c r="R3464" s="186" t="str">
        <f aca="false">+PROPER(C3464&amp;" "&amp;D3464)</f>
        <v> </v>
      </c>
      <c r="S3464" s="230" t="n">
        <f aca="false">+YEARFRAC(L3464,$S$1)</f>
        <v>126.366666666667</v>
      </c>
      <c r="T3464" s="230" t="n">
        <f aca="false">+YEARFRAC(M3464,$S$1)</f>
        <v>126.366666666667</v>
      </c>
      <c r="U3464" s="231" t="n">
        <f aca="false">+$I3464</f>
        <v>0</v>
      </c>
      <c r="V3464" s="232" t="str">
        <f aca="false">+PROPER(F3464)</f>
        <v/>
      </c>
    </row>
    <row r="3465" customFormat="false" ht="14.25" hidden="false" customHeight="false" outlineLevel="0" collapsed="false">
      <c r="B3465" s="244"/>
      <c r="C3465" s="245"/>
      <c r="D3465" s="245"/>
      <c r="E3465" s="246"/>
      <c r="F3465" s="246"/>
      <c r="G3465" s="225" t="e">
        <f aca="false">VLOOKUP(B3465,'NIVEL ENERO'!A:F,4,0)</f>
        <v>#N/A</v>
      </c>
      <c r="H3465" s="247"/>
      <c r="I3465" s="247"/>
      <c r="J3465" s="246"/>
      <c r="K3465" s="246"/>
      <c r="L3465" s="226"/>
      <c r="M3465" s="226"/>
      <c r="N3465" s="246"/>
      <c r="P3465" s="228"/>
      <c r="Q3465" s="245"/>
      <c r="R3465" s="186" t="str">
        <f aca="false">+PROPER(C3465&amp;" "&amp;D3465)</f>
        <v> </v>
      </c>
      <c r="S3465" s="230" t="n">
        <f aca="false">+YEARFRAC(L3465,$S$1)</f>
        <v>126.366666666667</v>
      </c>
      <c r="T3465" s="230" t="n">
        <f aca="false">+YEARFRAC(M3465,$S$1)</f>
        <v>126.366666666667</v>
      </c>
      <c r="U3465" s="231" t="n">
        <f aca="false">+$I3465</f>
        <v>0</v>
      </c>
      <c r="V3465" s="232" t="str">
        <f aca="false">+PROPER(F3465)</f>
        <v/>
      </c>
    </row>
    <row r="3466" customFormat="false" ht="14.25" hidden="false" customHeight="false" outlineLevel="0" collapsed="false">
      <c r="B3466" s="244"/>
      <c r="C3466" s="245"/>
      <c r="D3466" s="245"/>
      <c r="E3466" s="246"/>
      <c r="F3466" s="246"/>
      <c r="G3466" s="225" t="e">
        <f aca="false">VLOOKUP(B3466,'NIVEL ENERO'!A:F,4,0)</f>
        <v>#N/A</v>
      </c>
      <c r="H3466" s="247"/>
      <c r="I3466" s="247"/>
      <c r="J3466" s="246"/>
      <c r="K3466" s="246"/>
      <c r="L3466" s="226"/>
      <c r="M3466" s="226"/>
      <c r="N3466" s="246"/>
      <c r="P3466" s="228"/>
      <c r="Q3466" s="245"/>
      <c r="R3466" s="186" t="str">
        <f aca="false">+PROPER(C3466&amp;" "&amp;D3466)</f>
        <v> </v>
      </c>
      <c r="S3466" s="230" t="n">
        <f aca="false">+YEARFRAC(L3466,$S$1)</f>
        <v>126.366666666667</v>
      </c>
      <c r="T3466" s="230" t="n">
        <f aca="false">+YEARFRAC(M3466,$S$1)</f>
        <v>126.366666666667</v>
      </c>
      <c r="U3466" s="231" t="n">
        <f aca="false">+$I3466</f>
        <v>0</v>
      </c>
      <c r="V3466" s="232" t="str">
        <f aca="false">+PROPER(F3466)</f>
        <v/>
      </c>
    </row>
    <row r="3467" customFormat="false" ht="14.25" hidden="false" customHeight="false" outlineLevel="0" collapsed="false">
      <c r="B3467" s="244"/>
      <c r="C3467" s="245"/>
      <c r="D3467" s="245"/>
      <c r="E3467" s="246"/>
      <c r="F3467" s="246"/>
      <c r="G3467" s="225" t="e">
        <f aca="false">VLOOKUP(B3467,'NIVEL ENERO'!A:F,4,0)</f>
        <v>#N/A</v>
      </c>
      <c r="H3467" s="247"/>
      <c r="I3467" s="247"/>
      <c r="J3467" s="246"/>
      <c r="K3467" s="246"/>
      <c r="L3467" s="226"/>
      <c r="M3467" s="226"/>
      <c r="N3467" s="246"/>
      <c r="P3467" s="228"/>
      <c r="Q3467" s="245"/>
      <c r="R3467" s="186" t="str">
        <f aca="false">+PROPER(C3467&amp;" "&amp;D3467)</f>
        <v> </v>
      </c>
      <c r="S3467" s="230" t="n">
        <f aca="false">+YEARFRAC(L3467,$S$1)</f>
        <v>126.366666666667</v>
      </c>
      <c r="T3467" s="230" t="n">
        <f aca="false">+YEARFRAC(M3467,$S$1)</f>
        <v>126.366666666667</v>
      </c>
      <c r="U3467" s="231" t="n">
        <f aca="false">+$I3467</f>
        <v>0</v>
      </c>
      <c r="V3467" s="232" t="str">
        <f aca="false">+PROPER(F3467)</f>
        <v/>
      </c>
    </row>
    <row r="3468" customFormat="false" ht="14.25" hidden="false" customHeight="false" outlineLevel="0" collapsed="false">
      <c r="B3468" s="244"/>
      <c r="C3468" s="245"/>
      <c r="D3468" s="245"/>
      <c r="E3468" s="246"/>
      <c r="F3468" s="246"/>
      <c r="G3468" s="225" t="e">
        <f aca="false">VLOOKUP(B3468,'NIVEL ENERO'!A:F,4,0)</f>
        <v>#N/A</v>
      </c>
      <c r="H3468" s="247"/>
      <c r="I3468" s="247"/>
      <c r="J3468" s="246"/>
      <c r="K3468" s="246"/>
      <c r="L3468" s="226"/>
      <c r="M3468" s="226"/>
      <c r="N3468" s="246"/>
      <c r="P3468" s="228"/>
      <c r="Q3468" s="245"/>
      <c r="R3468" s="186" t="str">
        <f aca="false">+PROPER(C3468&amp;" "&amp;D3468)</f>
        <v> </v>
      </c>
      <c r="S3468" s="230" t="n">
        <f aca="false">+YEARFRAC(L3468,$S$1)</f>
        <v>126.366666666667</v>
      </c>
      <c r="T3468" s="230" t="n">
        <f aca="false">+YEARFRAC(M3468,$S$1)</f>
        <v>126.366666666667</v>
      </c>
      <c r="U3468" s="231" t="n">
        <f aca="false">+$I3468</f>
        <v>0</v>
      </c>
      <c r="V3468" s="232" t="str">
        <f aca="false">+PROPER(F3468)</f>
        <v/>
      </c>
    </row>
    <row r="3469" customFormat="false" ht="14.25" hidden="false" customHeight="false" outlineLevel="0" collapsed="false">
      <c r="B3469" s="244"/>
      <c r="C3469" s="245"/>
      <c r="D3469" s="245"/>
      <c r="E3469" s="246"/>
      <c r="F3469" s="246"/>
      <c r="G3469" s="225" t="e">
        <f aca="false">VLOOKUP(B3469,'NIVEL ENERO'!A:F,4,0)</f>
        <v>#N/A</v>
      </c>
      <c r="H3469" s="247"/>
      <c r="I3469" s="247"/>
      <c r="J3469" s="246"/>
      <c r="K3469" s="246"/>
      <c r="L3469" s="226"/>
      <c r="M3469" s="226"/>
      <c r="N3469" s="246"/>
      <c r="P3469" s="228"/>
      <c r="Q3469" s="245"/>
      <c r="R3469" s="186" t="str">
        <f aca="false">+PROPER(C3469&amp;" "&amp;D3469)</f>
        <v> </v>
      </c>
      <c r="S3469" s="230" t="n">
        <f aca="false">+YEARFRAC(L3469,$S$1)</f>
        <v>126.366666666667</v>
      </c>
      <c r="T3469" s="230" t="n">
        <f aca="false">+YEARFRAC(M3469,$S$1)</f>
        <v>126.366666666667</v>
      </c>
      <c r="U3469" s="231" t="n">
        <f aca="false">+$I3469</f>
        <v>0</v>
      </c>
      <c r="V3469" s="232" t="str">
        <f aca="false">+PROPER(F3469)</f>
        <v/>
      </c>
    </row>
    <row r="3470" customFormat="false" ht="14.25" hidden="false" customHeight="false" outlineLevel="0" collapsed="false">
      <c r="B3470" s="244"/>
      <c r="C3470" s="245"/>
      <c r="D3470" s="245"/>
      <c r="E3470" s="246"/>
      <c r="F3470" s="246"/>
      <c r="G3470" s="225" t="e">
        <f aca="false">VLOOKUP(B3470,'NIVEL ENERO'!A:F,4,0)</f>
        <v>#N/A</v>
      </c>
      <c r="H3470" s="247"/>
      <c r="I3470" s="247"/>
      <c r="J3470" s="246"/>
      <c r="K3470" s="246"/>
      <c r="L3470" s="226"/>
      <c r="M3470" s="226"/>
      <c r="N3470" s="246"/>
      <c r="P3470" s="228"/>
      <c r="Q3470" s="245"/>
      <c r="R3470" s="186" t="str">
        <f aca="false">+PROPER(C3470&amp;" "&amp;D3470)</f>
        <v> </v>
      </c>
      <c r="S3470" s="230" t="n">
        <f aca="false">+YEARFRAC(L3470,$S$1)</f>
        <v>126.366666666667</v>
      </c>
      <c r="T3470" s="230" t="n">
        <f aca="false">+YEARFRAC(M3470,$S$1)</f>
        <v>126.366666666667</v>
      </c>
      <c r="U3470" s="231" t="n">
        <f aca="false">+$I3470</f>
        <v>0</v>
      </c>
      <c r="V3470" s="232" t="str">
        <f aca="false">+PROPER(F3470)</f>
        <v/>
      </c>
    </row>
    <row r="3471" customFormat="false" ht="14.25" hidden="false" customHeight="false" outlineLevel="0" collapsed="false">
      <c r="B3471" s="244"/>
      <c r="C3471" s="245"/>
      <c r="D3471" s="245"/>
      <c r="E3471" s="246"/>
      <c r="F3471" s="246"/>
      <c r="G3471" s="225" t="e">
        <f aca="false">VLOOKUP(B3471,'NIVEL ENERO'!A:F,4,0)</f>
        <v>#N/A</v>
      </c>
      <c r="H3471" s="247"/>
      <c r="I3471" s="247"/>
      <c r="J3471" s="246"/>
      <c r="K3471" s="246"/>
      <c r="L3471" s="226"/>
      <c r="M3471" s="226"/>
      <c r="N3471" s="246"/>
      <c r="P3471" s="228"/>
      <c r="Q3471" s="245"/>
      <c r="R3471" s="186" t="str">
        <f aca="false">+PROPER(C3471&amp;" "&amp;D3471)</f>
        <v> </v>
      </c>
      <c r="S3471" s="230" t="n">
        <f aca="false">+YEARFRAC(L3471,$S$1)</f>
        <v>126.366666666667</v>
      </c>
      <c r="T3471" s="230" t="n">
        <f aca="false">+YEARFRAC(M3471,$S$1)</f>
        <v>126.366666666667</v>
      </c>
      <c r="U3471" s="231" t="n">
        <f aca="false">+$I3471</f>
        <v>0</v>
      </c>
      <c r="V3471" s="232" t="str">
        <f aca="false">+PROPER(F3471)</f>
        <v/>
      </c>
    </row>
    <row r="3472" customFormat="false" ht="14.25" hidden="false" customHeight="false" outlineLevel="0" collapsed="false">
      <c r="B3472" s="244"/>
      <c r="C3472" s="245"/>
      <c r="D3472" s="245"/>
      <c r="E3472" s="246"/>
      <c r="F3472" s="246"/>
      <c r="G3472" s="225" t="e">
        <f aca="false">VLOOKUP(B3472,'NIVEL ENERO'!A:F,4,0)</f>
        <v>#N/A</v>
      </c>
      <c r="H3472" s="247"/>
      <c r="I3472" s="247"/>
      <c r="J3472" s="246"/>
      <c r="K3472" s="246"/>
      <c r="L3472" s="226"/>
      <c r="M3472" s="226"/>
      <c r="N3472" s="246"/>
      <c r="P3472" s="228"/>
      <c r="Q3472" s="245"/>
      <c r="R3472" s="186" t="str">
        <f aca="false">+PROPER(C3472&amp;" "&amp;D3472)</f>
        <v> </v>
      </c>
      <c r="S3472" s="230" t="n">
        <f aca="false">+YEARFRAC(L3472,$S$1)</f>
        <v>126.366666666667</v>
      </c>
      <c r="T3472" s="230" t="n">
        <f aca="false">+YEARFRAC(M3472,$S$1)</f>
        <v>126.366666666667</v>
      </c>
      <c r="U3472" s="231" t="n">
        <f aca="false">+$I3472</f>
        <v>0</v>
      </c>
      <c r="V3472" s="232" t="str">
        <f aca="false">+PROPER(F3472)</f>
        <v/>
      </c>
    </row>
    <row r="3473" customFormat="false" ht="14.25" hidden="false" customHeight="false" outlineLevel="0" collapsed="false">
      <c r="B3473" s="244"/>
      <c r="C3473" s="245"/>
      <c r="D3473" s="245"/>
      <c r="E3473" s="246"/>
      <c r="F3473" s="246"/>
      <c r="G3473" s="225" t="e">
        <f aca="false">VLOOKUP(B3473,'NIVEL ENERO'!A:F,4,0)</f>
        <v>#N/A</v>
      </c>
      <c r="H3473" s="247"/>
      <c r="I3473" s="247"/>
      <c r="J3473" s="246"/>
      <c r="K3473" s="246"/>
      <c r="L3473" s="226"/>
      <c r="M3473" s="226"/>
      <c r="N3473" s="246"/>
      <c r="P3473" s="228"/>
      <c r="Q3473" s="245"/>
      <c r="R3473" s="186" t="str">
        <f aca="false">+PROPER(C3473&amp;" "&amp;D3473)</f>
        <v> </v>
      </c>
      <c r="S3473" s="230" t="n">
        <f aca="false">+YEARFRAC(L3473,$S$1)</f>
        <v>126.366666666667</v>
      </c>
      <c r="T3473" s="230" t="n">
        <f aca="false">+YEARFRAC(M3473,$S$1)</f>
        <v>126.366666666667</v>
      </c>
      <c r="U3473" s="231" t="n">
        <f aca="false">+$I3473</f>
        <v>0</v>
      </c>
      <c r="V3473" s="232" t="str">
        <f aca="false">+PROPER(F3473)</f>
        <v/>
      </c>
    </row>
    <row r="3474" customFormat="false" ht="14.25" hidden="false" customHeight="false" outlineLevel="0" collapsed="false">
      <c r="B3474" s="244"/>
      <c r="C3474" s="245"/>
      <c r="D3474" s="245"/>
      <c r="E3474" s="246"/>
      <c r="F3474" s="246"/>
      <c r="G3474" s="225" t="e">
        <f aca="false">VLOOKUP(B3474,'NIVEL ENERO'!A:F,4,0)</f>
        <v>#N/A</v>
      </c>
      <c r="H3474" s="247"/>
      <c r="I3474" s="247"/>
      <c r="J3474" s="246"/>
      <c r="K3474" s="246"/>
      <c r="L3474" s="226"/>
      <c r="M3474" s="226"/>
      <c r="N3474" s="246"/>
      <c r="P3474" s="228"/>
      <c r="Q3474" s="245"/>
      <c r="R3474" s="186" t="str">
        <f aca="false">+PROPER(C3474&amp;" "&amp;D3474)</f>
        <v> </v>
      </c>
      <c r="S3474" s="230" t="n">
        <f aca="false">+YEARFRAC(L3474,$S$1)</f>
        <v>126.366666666667</v>
      </c>
      <c r="T3474" s="230" t="n">
        <f aca="false">+YEARFRAC(M3474,$S$1)</f>
        <v>126.366666666667</v>
      </c>
      <c r="U3474" s="231" t="n">
        <f aca="false">+$I3474</f>
        <v>0</v>
      </c>
      <c r="V3474" s="232" t="str">
        <f aca="false">+PROPER(F3474)</f>
        <v/>
      </c>
    </row>
    <row r="3475" customFormat="false" ht="14.25" hidden="false" customHeight="false" outlineLevel="0" collapsed="false">
      <c r="B3475" s="244"/>
      <c r="C3475" s="245"/>
      <c r="D3475" s="245"/>
      <c r="E3475" s="246"/>
      <c r="F3475" s="246"/>
      <c r="G3475" s="225" t="e">
        <f aca="false">VLOOKUP(B3475,'NIVEL ENERO'!A:F,4,0)</f>
        <v>#N/A</v>
      </c>
      <c r="H3475" s="247"/>
      <c r="I3475" s="247"/>
      <c r="J3475" s="246"/>
      <c r="K3475" s="246"/>
      <c r="L3475" s="226"/>
      <c r="M3475" s="226"/>
      <c r="N3475" s="246"/>
      <c r="P3475" s="228"/>
      <c r="Q3475" s="245"/>
      <c r="R3475" s="186" t="str">
        <f aca="false">+PROPER(C3475&amp;" "&amp;D3475)</f>
        <v> </v>
      </c>
      <c r="S3475" s="230" t="n">
        <f aca="false">+YEARFRAC(L3475,$S$1)</f>
        <v>126.366666666667</v>
      </c>
      <c r="T3475" s="230" t="n">
        <f aca="false">+YEARFRAC(M3475,$S$1)</f>
        <v>126.366666666667</v>
      </c>
      <c r="U3475" s="231" t="n">
        <f aca="false">+$I3475</f>
        <v>0</v>
      </c>
      <c r="V3475" s="232" t="str">
        <f aca="false">+PROPER(F3475)</f>
        <v/>
      </c>
    </row>
    <row r="3476" customFormat="false" ht="14.25" hidden="false" customHeight="false" outlineLevel="0" collapsed="false">
      <c r="B3476" s="244"/>
      <c r="C3476" s="245"/>
      <c r="D3476" s="245"/>
      <c r="E3476" s="246"/>
      <c r="F3476" s="246"/>
      <c r="G3476" s="225" t="e">
        <f aca="false">VLOOKUP(B3476,'NIVEL ENERO'!A:F,4,0)</f>
        <v>#N/A</v>
      </c>
      <c r="H3476" s="247"/>
      <c r="I3476" s="247"/>
      <c r="J3476" s="246"/>
      <c r="K3476" s="246"/>
      <c r="L3476" s="226"/>
      <c r="M3476" s="226"/>
      <c r="N3476" s="246"/>
      <c r="P3476" s="228"/>
      <c r="Q3476" s="245"/>
      <c r="R3476" s="186" t="str">
        <f aca="false">+PROPER(C3476&amp;" "&amp;D3476)</f>
        <v> </v>
      </c>
      <c r="S3476" s="230" t="n">
        <f aca="false">+YEARFRAC(L3476,$S$1)</f>
        <v>126.366666666667</v>
      </c>
      <c r="T3476" s="230" t="n">
        <f aca="false">+YEARFRAC(M3476,$S$1)</f>
        <v>126.366666666667</v>
      </c>
      <c r="U3476" s="231" t="n">
        <f aca="false">+$I3476</f>
        <v>0</v>
      </c>
      <c r="V3476" s="232" t="str">
        <f aca="false">+PROPER(F3476)</f>
        <v/>
      </c>
    </row>
    <row r="3477" customFormat="false" ht="14.25" hidden="false" customHeight="false" outlineLevel="0" collapsed="false">
      <c r="B3477" s="244"/>
      <c r="C3477" s="245"/>
      <c r="D3477" s="245"/>
      <c r="E3477" s="246"/>
      <c r="F3477" s="246"/>
      <c r="G3477" s="225" t="e">
        <f aca="false">VLOOKUP(B3477,'NIVEL ENERO'!A:F,4,0)</f>
        <v>#N/A</v>
      </c>
      <c r="H3477" s="247"/>
      <c r="I3477" s="247"/>
      <c r="J3477" s="246"/>
      <c r="K3477" s="246"/>
      <c r="L3477" s="226"/>
      <c r="M3477" s="226"/>
      <c r="N3477" s="246"/>
      <c r="P3477" s="228"/>
      <c r="Q3477" s="245"/>
      <c r="R3477" s="186" t="str">
        <f aca="false">+PROPER(C3477&amp;" "&amp;D3477)</f>
        <v> </v>
      </c>
      <c r="S3477" s="230" t="n">
        <f aca="false">+YEARFRAC(L3477,$S$1)</f>
        <v>126.366666666667</v>
      </c>
      <c r="T3477" s="230" t="n">
        <f aca="false">+YEARFRAC(M3477,$S$1)</f>
        <v>126.366666666667</v>
      </c>
      <c r="U3477" s="231" t="n">
        <f aca="false">+$I3477</f>
        <v>0</v>
      </c>
      <c r="V3477" s="232" t="str">
        <f aca="false">+PROPER(F3477)</f>
        <v/>
      </c>
    </row>
    <row r="3478" customFormat="false" ht="14.25" hidden="false" customHeight="false" outlineLevel="0" collapsed="false">
      <c r="B3478" s="244"/>
      <c r="C3478" s="245"/>
      <c r="D3478" s="245"/>
      <c r="E3478" s="246"/>
      <c r="F3478" s="246"/>
      <c r="G3478" s="225" t="e">
        <f aca="false">VLOOKUP(B3478,'NIVEL ENERO'!A:F,4,0)</f>
        <v>#N/A</v>
      </c>
      <c r="H3478" s="247"/>
      <c r="I3478" s="247"/>
      <c r="J3478" s="246"/>
      <c r="K3478" s="246"/>
      <c r="L3478" s="226"/>
      <c r="M3478" s="226"/>
      <c r="N3478" s="246"/>
      <c r="P3478" s="228"/>
      <c r="Q3478" s="245"/>
      <c r="R3478" s="186" t="str">
        <f aca="false">+PROPER(C3478&amp;" "&amp;D3478)</f>
        <v> </v>
      </c>
      <c r="S3478" s="230" t="n">
        <f aca="false">+YEARFRAC(L3478,$S$1)</f>
        <v>126.366666666667</v>
      </c>
      <c r="T3478" s="230" t="n">
        <f aca="false">+YEARFRAC(M3478,$S$1)</f>
        <v>126.366666666667</v>
      </c>
      <c r="U3478" s="231" t="n">
        <f aca="false">+$I3478</f>
        <v>0</v>
      </c>
      <c r="V3478" s="232" t="str">
        <f aca="false">+PROPER(F3478)</f>
        <v/>
      </c>
    </row>
    <row r="3479" customFormat="false" ht="14.25" hidden="false" customHeight="false" outlineLevel="0" collapsed="false">
      <c r="B3479" s="244"/>
      <c r="C3479" s="245"/>
      <c r="D3479" s="245"/>
      <c r="E3479" s="246"/>
      <c r="F3479" s="246"/>
      <c r="G3479" s="225" t="e">
        <f aca="false">VLOOKUP(B3479,'NIVEL ENERO'!A:F,4,0)</f>
        <v>#N/A</v>
      </c>
      <c r="H3479" s="247"/>
      <c r="I3479" s="247"/>
      <c r="J3479" s="246"/>
      <c r="K3479" s="246"/>
      <c r="L3479" s="226"/>
      <c r="M3479" s="226"/>
      <c r="N3479" s="246"/>
      <c r="P3479" s="228"/>
      <c r="Q3479" s="245"/>
      <c r="R3479" s="186" t="str">
        <f aca="false">+PROPER(C3479&amp;" "&amp;D3479)</f>
        <v> </v>
      </c>
      <c r="S3479" s="230" t="n">
        <f aca="false">+YEARFRAC(L3479,$S$1)</f>
        <v>126.366666666667</v>
      </c>
      <c r="T3479" s="230" t="n">
        <f aca="false">+YEARFRAC(M3479,$S$1)</f>
        <v>126.366666666667</v>
      </c>
      <c r="U3479" s="231" t="n">
        <f aca="false">+$I3479</f>
        <v>0</v>
      </c>
      <c r="V3479" s="232" t="str">
        <f aca="false">+PROPER(F3479)</f>
        <v/>
      </c>
    </row>
    <row r="3480" customFormat="false" ht="14.25" hidden="false" customHeight="false" outlineLevel="0" collapsed="false">
      <c r="B3480" s="244"/>
      <c r="C3480" s="245"/>
      <c r="D3480" s="245"/>
      <c r="E3480" s="246"/>
      <c r="F3480" s="246"/>
      <c r="G3480" s="225" t="e">
        <f aca="false">VLOOKUP(B3480,'NIVEL ENERO'!A:F,4,0)</f>
        <v>#N/A</v>
      </c>
      <c r="H3480" s="247"/>
      <c r="I3480" s="247"/>
      <c r="J3480" s="246"/>
      <c r="K3480" s="246"/>
      <c r="L3480" s="226"/>
      <c r="M3480" s="226"/>
      <c r="N3480" s="246"/>
      <c r="P3480" s="228"/>
      <c r="Q3480" s="245"/>
      <c r="R3480" s="186" t="str">
        <f aca="false">+PROPER(C3480&amp;" "&amp;D3480)</f>
        <v> </v>
      </c>
      <c r="S3480" s="230" t="n">
        <f aca="false">+YEARFRAC(L3480,$S$1)</f>
        <v>126.366666666667</v>
      </c>
      <c r="T3480" s="230" t="n">
        <f aca="false">+YEARFRAC(M3480,$S$1)</f>
        <v>126.366666666667</v>
      </c>
      <c r="U3480" s="231" t="n">
        <f aca="false">+$I3480</f>
        <v>0</v>
      </c>
      <c r="V3480" s="232" t="str">
        <f aca="false">+PROPER(F3480)</f>
        <v/>
      </c>
    </row>
    <row r="3481" customFormat="false" ht="14.25" hidden="false" customHeight="false" outlineLevel="0" collapsed="false">
      <c r="B3481" s="244"/>
      <c r="C3481" s="245"/>
      <c r="D3481" s="245"/>
      <c r="E3481" s="246"/>
      <c r="F3481" s="246"/>
      <c r="G3481" s="225" t="e">
        <f aca="false">VLOOKUP(B3481,'NIVEL ENERO'!A:F,4,0)</f>
        <v>#N/A</v>
      </c>
      <c r="H3481" s="247"/>
      <c r="I3481" s="247"/>
      <c r="J3481" s="246"/>
      <c r="K3481" s="246"/>
      <c r="L3481" s="226"/>
      <c r="M3481" s="226"/>
      <c r="N3481" s="246"/>
      <c r="P3481" s="228"/>
      <c r="Q3481" s="245"/>
      <c r="R3481" s="186" t="str">
        <f aca="false">+PROPER(C3481&amp;" "&amp;D3481)</f>
        <v> </v>
      </c>
      <c r="S3481" s="230" t="n">
        <f aca="false">+YEARFRAC(L3481,$S$1)</f>
        <v>126.366666666667</v>
      </c>
      <c r="T3481" s="230" t="n">
        <f aca="false">+YEARFRAC(M3481,$S$1)</f>
        <v>126.366666666667</v>
      </c>
      <c r="U3481" s="231" t="n">
        <f aca="false">+$I3481</f>
        <v>0</v>
      </c>
      <c r="V3481" s="232" t="str">
        <f aca="false">+PROPER(F3481)</f>
        <v/>
      </c>
    </row>
    <row r="3482" customFormat="false" ht="14.25" hidden="false" customHeight="false" outlineLevel="0" collapsed="false">
      <c r="B3482" s="244"/>
      <c r="C3482" s="245"/>
      <c r="D3482" s="245"/>
      <c r="E3482" s="246"/>
      <c r="F3482" s="246"/>
      <c r="G3482" s="225" t="e">
        <f aca="false">VLOOKUP(B3482,'NIVEL ENERO'!A:F,4,0)</f>
        <v>#N/A</v>
      </c>
      <c r="H3482" s="247"/>
      <c r="I3482" s="247"/>
      <c r="J3482" s="246"/>
      <c r="K3482" s="246"/>
      <c r="L3482" s="226"/>
      <c r="M3482" s="226"/>
      <c r="N3482" s="246"/>
      <c r="P3482" s="228"/>
      <c r="Q3482" s="245"/>
      <c r="R3482" s="186" t="str">
        <f aca="false">+PROPER(C3482&amp;" "&amp;D3482)</f>
        <v> </v>
      </c>
      <c r="S3482" s="230" t="n">
        <f aca="false">+YEARFRAC(L3482,$S$1)</f>
        <v>126.366666666667</v>
      </c>
      <c r="T3482" s="230" t="n">
        <f aca="false">+YEARFRAC(M3482,$S$1)</f>
        <v>126.366666666667</v>
      </c>
      <c r="U3482" s="231" t="n">
        <f aca="false">+$I3482</f>
        <v>0</v>
      </c>
      <c r="V3482" s="232" t="str">
        <f aca="false">+PROPER(F3482)</f>
        <v/>
      </c>
    </row>
    <row r="3483" customFormat="false" ht="14.25" hidden="false" customHeight="false" outlineLevel="0" collapsed="false">
      <c r="B3483" s="244"/>
      <c r="C3483" s="245"/>
      <c r="D3483" s="245"/>
      <c r="E3483" s="246"/>
      <c r="F3483" s="246"/>
      <c r="G3483" s="225" t="e">
        <f aca="false">VLOOKUP(B3483,'NIVEL ENERO'!A:F,4,0)</f>
        <v>#N/A</v>
      </c>
      <c r="H3483" s="247"/>
      <c r="I3483" s="247"/>
      <c r="J3483" s="246"/>
      <c r="K3483" s="246"/>
      <c r="L3483" s="226"/>
      <c r="M3483" s="226"/>
      <c r="N3483" s="246"/>
      <c r="P3483" s="228"/>
      <c r="Q3483" s="245"/>
      <c r="R3483" s="186" t="str">
        <f aca="false">+PROPER(C3483&amp;" "&amp;D3483)</f>
        <v> </v>
      </c>
      <c r="S3483" s="230" t="n">
        <f aca="false">+YEARFRAC(L3483,$S$1)</f>
        <v>126.366666666667</v>
      </c>
      <c r="T3483" s="230" t="n">
        <f aca="false">+YEARFRAC(M3483,$S$1)</f>
        <v>126.366666666667</v>
      </c>
      <c r="U3483" s="231" t="n">
        <f aca="false">+$I3483</f>
        <v>0</v>
      </c>
      <c r="V3483" s="232" t="str">
        <f aca="false">+PROPER(F3483)</f>
        <v/>
      </c>
    </row>
    <row r="3484" customFormat="false" ht="14.25" hidden="false" customHeight="false" outlineLevel="0" collapsed="false">
      <c r="B3484" s="244"/>
      <c r="C3484" s="245"/>
      <c r="D3484" s="245"/>
      <c r="E3484" s="246"/>
      <c r="F3484" s="246"/>
      <c r="G3484" s="225" t="e">
        <f aca="false">VLOOKUP(B3484,'NIVEL ENERO'!A:F,4,0)</f>
        <v>#N/A</v>
      </c>
      <c r="H3484" s="247"/>
      <c r="I3484" s="247"/>
      <c r="J3484" s="246"/>
      <c r="K3484" s="246"/>
      <c r="L3484" s="226"/>
      <c r="M3484" s="226"/>
      <c r="N3484" s="246"/>
      <c r="P3484" s="228"/>
      <c r="Q3484" s="245"/>
      <c r="R3484" s="186" t="str">
        <f aca="false">+PROPER(C3484&amp;" "&amp;D3484)</f>
        <v> </v>
      </c>
      <c r="S3484" s="230" t="n">
        <f aca="false">+YEARFRAC(L3484,$S$1)</f>
        <v>126.366666666667</v>
      </c>
      <c r="T3484" s="230" t="n">
        <f aca="false">+YEARFRAC(M3484,$S$1)</f>
        <v>126.366666666667</v>
      </c>
      <c r="U3484" s="231" t="n">
        <f aca="false">+$I3484</f>
        <v>0</v>
      </c>
      <c r="V3484" s="232" t="str">
        <f aca="false">+PROPER(F3484)</f>
        <v/>
      </c>
    </row>
    <row r="3485" customFormat="false" ht="14.25" hidden="false" customHeight="false" outlineLevel="0" collapsed="false">
      <c r="B3485" s="244"/>
      <c r="C3485" s="245"/>
      <c r="D3485" s="245"/>
      <c r="E3485" s="246"/>
      <c r="F3485" s="246"/>
      <c r="G3485" s="225" t="e">
        <f aca="false">VLOOKUP(B3485,'NIVEL ENERO'!A:F,4,0)</f>
        <v>#N/A</v>
      </c>
      <c r="H3485" s="247"/>
      <c r="I3485" s="247"/>
      <c r="J3485" s="246"/>
      <c r="K3485" s="246"/>
      <c r="L3485" s="226"/>
      <c r="M3485" s="226"/>
      <c r="N3485" s="246"/>
      <c r="P3485" s="228"/>
      <c r="Q3485" s="245"/>
      <c r="R3485" s="186" t="str">
        <f aca="false">+PROPER(C3485&amp;" "&amp;D3485)</f>
        <v> </v>
      </c>
      <c r="S3485" s="230" t="n">
        <f aca="false">+YEARFRAC(L3485,$S$1)</f>
        <v>126.366666666667</v>
      </c>
      <c r="T3485" s="230" t="n">
        <f aca="false">+YEARFRAC(M3485,$S$1)</f>
        <v>126.366666666667</v>
      </c>
      <c r="U3485" s="231" t="n">
        <f aca="false">+$I3485</f>
        <v>0</v>
      </c>
      <c r="V3485" s="232" t="str">
        <f aca="false">+PROPER(F3485)</f>
        <v/>
      </c>
    </row>
    <row r="3486" customFormat="false" ht="14.25" hidden="false" customHeight="false" outlineLevel="0" collapsed="false">
      <c r="B3486" s="244"/>
      <c r="C3486" s="245"/>
      <c r="D3486" s="245"/>
      <c r="E3486" s="246"/>
      <c r="F3486" s="246"/>
      <c r="G3486" s="225" t="e">
        <f aca="false">VLOOKUP(B3486,'NIVEL ENERO'!A:F,4,0)</f>
        <v>#N/A</v>
      </c>
      <c r="H3486" s="247"/>
      <c r="I3486" s="247"/>
      <c r="J3486" s="246"/>
      <c r="K3486" s="246"/>
      <c r="L3486" s="226"/>
      <c r="M3486" s="226"/>
      <c r="N3486" s="246"/>
      <c r="P3486" s="228"/>
      <c r="Q3486" s="245"/>
      <c r="R3486" s="186" t="str">
        <f aca="false">+PROPER(C3486&amp;" "&amp;D3486)</f>
        <v> </v>
      </c>
      <c r="S3486" s="230" t="n">
        <f aca="false">+YEARFRAC(L3486,$S$1)</f>
        <v>126.366666666667</v>
      </c>
      <c r="T3486" s="230" t="n">
        <f aca="false">+YEARFRAC(M3486,$S$1)</f>
        <v>126.366666666667</v>
      </c>
      <c r="U3486" s="231" t="n">
        <f aca="false">+$I3486</f>
        <v>0</v>
      </c>
      <c r="V3486" s="232" t="str">
        <f aca="false">+PROPER(F3486)</f>
        <v/>
      </c>
    </row>
    <row r="3487" customFormat="false" ht="14.25" hidden="false" customHeight="false" outlineLevel="0" collapsed="false">
      <c r="B3487" s="244"/>
      <c r="C3487" s="245"/>
      <c r="D3487" s="245"/>
      <c r="E3487" s="246"/>
      <c r="F3487" s="246"/>
      <c r="G3487" s="225" t="e">
        <f aca="false">VLOOKUP(B3487,'NIVEL ENERO'!A:F,4,0)</f>
        <v>#N/A</v>
      </c>
      <c r="H3487" s="247"/>
      <c r="I3487" s="247"/>
      <c r="J3487" s="246"/>
      <c r="K3487" s="246"/>
      <c r="L3487" s="226"/>
      <c r="M3487" s="226"/>
      <c r="N3487" s="246"/>
      <c r="P3487" s="228"/>
      <c r="Q3487" s="245"/>
      <c r="R3487" s="186" t="str">
        <f aca="false">+PROPER(C3487&amp;" "&amp;D3487)</f>
        <v> </v>
      </c>
      <c r="S3487" s="230" t="n">
        <f aca="false">+YEARFRAC(L3487,$S$1)</f>
        <v>126.366666666667</v>
      </c>
      <c r="T3487" s="230" t="n">
        <f aca="false">+YEARFRAC(M3487,$S$1)</f>
        <v>126.366666666667</v>
      </c>
      <c r="U3487" s="231" t="n">
        <f aca="false">+$I3487</f>
        <v>0</v>
      </c>
      <c r="V3487" s="232" t="str">
        <f aca="false">+PROPER(F3487)</f>
        <v/>
      </c>
    </row>
    <row r="3488" customFormat="false" ht="14.25" hidden="false" customHeight="false" outlineLevel="0" collapsed="false">
      <c r="B3488" s="244"/>
      <c r="C3488" s="245"/>
      <c r="D3488" s="245"/>
      <c r="E3488" s="246"/>
      <c r="F3488" s="246"/>
      <c r="G3488" s="225" t="e">
        <f aca="false">VLOOKUP(B3488,'NIVEL ENERO'!A:F,4,0)</f>
        <v>#N/A</v>
      </c>
      <c r="H3488" s="247"/>
      <c r="I3488" s="247"/>
      <c r="J3488" s="246"/>
      <c r="K3488" s="246"/>
      <c r="L3488" s="226"/>
      <c r="M3488" s="226"/>
      <c r="N3488" s="246"/>
      <c r="P3488" s="228"/>
      <c r="Q3488" s="245"/>
      <c r="R3488" s="186" t="str">
        <f aca="false">+PROPER(C3488&amp;" "&amp;D3488)</f>
        <v> </v>
      </c>
      <c r="S3488" s="230" t="n">
        <f aca="false">+YEARFRAC(L3488,$S$1)</f>
        <v>126.366666666667</v>
      </c>
      <c r="T3488" s="230" t="n">
        <f aca="false">+YEARFRAC(M3488,$S$1)</f>
        <v>126.366666666667</v>
      </c>
      <c r="U3488" s="231" t="n">
        <f aca="false">+$I3488</f>
        <v>0</v>
      </c>
      <c r="V3488" s="232" t="str">
        <f aca="false">+PROPER(F3488)</f>
        <v/>
      </c>
    </row>
    <row r="3489" customFormat="false" ht="14.25" hidden="false" customHeight="false" outlineLevel="0" collapsed="false">
      <c r="B3489" s="244"/>
      <c r="C3489" s="245"/>
      <c r="D3489" s="245"/>
      <c r="E3489" s="246"/>
      <c r="F3489" s="246"/>
      <c r="G3489" s="225" t="e">
        <f aca="false">VLOOKUP(B3489,'NIVEL ENERO'!A:F,4,0)</f>
        <v>#N/A</v>
      </c>
      <c r="H3489" s="247"/>
      <c r="I3489" s="247"/>
      <c r="J3489" s="246"/>
      <c r="K3489" s="246"/>
      <c r="L3489" s="226"/>
      <c r="M3489" s="226"/>
      <c r="N3489" s="246"/>
      <c r="P3489" s="228"/>
      <c r="Q3489" s="245"/>
      <c r="R3489" s="186" t="str">
        <f aca="false">+PROPER(C3489&amp;" "&amp;D3489)</f>
        <v> </v>
      </c>
      <c r="S3489" s="230" t="n">
        <f aca="false">+YEARFRAC(L3489,$S$1)</f>
        <v>126.366666666667</v>
      </c>
      <c r="T3489" s="230" t="n">
        <f aca="false">+YEARFRAC(M3489,$S$1)</f>
        <v>126.366666666667</v>
      </c>
      <c r="U3489" s="231" t="n">
        <f aca="false">+$I3489</f>
        <v>0</v>
      </c>
      <c r="V3489" s="232" t="str">
        <f aca="false">+PROPER(F3489)</f>
        <v/>
      </c>
    </row>
    <row r="3490" customFormat="false" ht="14.25" hidden="false" customHeight="false" outlineLevel="0" collapsed="false">
      <c r="B3490" s="244"/>
      <c r="C3490" s="245"/>
      <c r="D3490" s="245"/>
      <c r="E3490" s="246"/>
      <c r="F3490" s="246"/>
      <c r="G3490" s="225" t="e">
        <f aca="false">VLOOKUP(B3490,'NIVEL ENERO'!A:F,4,0)</f>
        <v>#N/A</v>
      </c>
      <c r="H3490" s="247"/>
      <c r="I3490" s="247"/>
      <c r="J3490" s="246"/>
      <c r="K3490" s="246"/>
      <c r="L3490" s="226"/>
      <c r="M3490" s="226"/>
      <c r="N3490" s="246"/>
      <c r="P3490" s="228"/>
      <c r="Q3490" s="245"/>
      <c r="R3490" s="186" t="str">
        <f aca="false">+PROPER(C3490&amp;" "&amp;D3490)</f>
        <v> </v>
      </c>
      <c r="S3490" s="230" t="n">
        <f aca="false">+YEARFRAC(L3490,$S$1)</f>
        <v>126.366666666667</v>
      </c>
      <c r="T3490" s="230" t="n">
        <f aca="false">+YEARFRAC(M3490,$S$1)</f>
        <v>126.366666666667</v>
      </c>
      <c r="U3490" s="231" t="n">
        <f aca="false">+$I3490</f>
        <v>0</v>
      </c>
      <c r="V3490" s="232" t="str">
        <f aca="false">+PROPER(F3490)</f>
        <v/>
      </c>
    </row>
    <row r="3491" customFormat="false" ht="14.25" hidden="false" customHeight="false" outlineLevel="0" collapsed="false">
      <c r="B3491" s="244"/>
      <c r="C3491" s="245"/>
      <c r="D3491" s="245"/>
      <c r="E3491" s="246"/>
      <c r="F3491" s="246"/>
      <c r="G3491" s="225" t="e">
        <f aca="false">VLOOKUP(B3491,'NIVEL ENERO'!A:F,4,0)</f>
        <v>#N/A</v>
      </c>
      <c r="H3491" s="247"/>
      <c r="I3491" s="247"/>
      <c r="J3491" s="246"/>
      <c r="K3491" s="246"/>
      <c r="L3491" s="226"/>
      <c r="M3491" s="226"/>
      <c r="N3491" s="246"/>
      <c r="P3491" s="228"/>
      <c r="Q3491" s="245"/>
      <c r="R3491" s="186" t="str">
        <f aca="false">+PROPER(C3491&amp;" "&amp;D3491)</f>
        <v> </v>
      </c>
      <c r="S3491" s="230" t="n">
        <f aca="false">+YEARFRAC(L3491,$S$1)</f>
        <v>126.366666666667</v>
      </c>
      <c r="T3491" s="230" t="n">
        <f aca="false">+YEARFRAC(M3491,$S$1)</f>
        <v>126.366666666667</v>
      </c>
      <c r="U3491" s="231" t="n">
        <f aca="false">+$I3491</f>
        <v>0</v>
      </c>
      <c r="V3491" s="232" t="str">
        <f aca="false">+PROPER(F3491)</f>
        <v/>
      </c>
    </row>
    <row r="3492" customFormat="false" ht="14.25" hidden="false" customHeight="false" outlineLevel="0" collapsed="false">
      <c r="B3492" s="244"/>
      <c r="C3492" s="245"/>
      <c r="D3492" s="245"/>
      <c r="E3492" s="246"/>
      <c r="F3492" s="246"/>
      <c r="G3492" s="225" t="e">
        <f aca="false">VLOOKUP(B3492,'NIVEL ENERO'!A:F,4,0)</f>
        <v>#N/A</v>
      </c>
      <c r="H3492" s="247"/>
      <c r="I3492" s="247"/>
      <c r="J3492" s="246"/>
      <c r="K3492" s="246"/>
      <c r="L3492" s="226"/>
      <c r="M3492" s="226"/>
      <c r="N3492" s="246"/>
      <c r="P3492" s="228"/>
      <c r="Q3492" s="245"/>
      <c r="R3492" s="186" t="str">
        <f aca="false">+PROPER(C3492&amp;" "&amp;D3492)</f>
        <v> </v>
      </c>
      <c r="S3492" s="230" t="n">
        <f aca="false">+YEARFRAC(L3492,$S$1)</f>
        <v>126.366666666667</v>
      </c>
      <c r="T3492" s="230" t="n">
        <f aca="false">+YEARFRAC(M3492,$S$1)</f>
        <v>126.366666666667</v>
      </c>
      <c r="U3492" s="231" t="n">
        <f aca="false">+$I3492</f>
        <v>0</v>
      </c>
      <c r="V3492" s="232" t="str">
        <f aca="false">+PROPER(F3492)</f>
        <v/>
      </c>
    </row>
    <row r="3493" customFormat="false" ht="14.25" hidden="false" customHeight="false" outlineLevel="0" collapsed="false">
      <c r="B3493" s="244"/>
      <c r="C3493" s="245"/>
      <c r="D3493" s="245"/>
      <c r="E3493" s="246"/>
      <c r="F3493" s="246"/>
      <c r="G3493" s="225" t="e">
        <f aca="false">VLOOKUP(B3493,'NIVEL ENERO'!A:F,4,0)</f>
        <v>#N/A</v>
      </c>
      <c r="H3493" s="247"/>
      <c r="I3493" s="247"/>
      <c r="J3493" s="246"/>
      <c r="K3493" s="246"/>
      <c r="L3493" s="226"/>
      <c r="M3493" s="226"/>
      <c r="N3493" s="246"/>
      <c r="P3493" s="228"/>
      <c r="Q3493" s="245"/>
      <c r="R3493" s="186" t="str">
        <f aca="false">+PROPER(C3493&amp;" "&amp;D3493)</f>
        <v> </v>
      </c>
      <c r="S3493" s="230" t="n">
        <f aca="false">+YEARFRAC(L3493,$S$1)</f>
        <v>126.366666666667</v>
      </c>
      <c r="T3493" s="230" t="n">
        <f aca="false">+YEARFRAC(M3493,$S$1)</f>
        <v>126.366666666667</v>
      </c>
      <c r="U3493" s="231" t="n">
        <f aca="false">+$I3493</f>
        <v>0</v>
      </c>
      <c r="V3493" s="232" t="str">
        <f aca="false">+PROPER(F3493)</f>
        <v/>
      </c>
    </row>
    <row r="3494" customFormat="false" ht="14.25" hidden="false" customHeight="false" outlineLevel="0" collapsed="false">
      <c r="B3494" s="244"/>
      <c r="C3494" s="245"/>
      <c r="D3494" s="245"/>
      <c r="E3494" s="246"/>
      <c r="F3494" s="246"/>
      <c r="G3494" s="225" t="e">
        <f aca="false">VLOOKUP(B3494,'NIVEL ENERO'!A:F,4,0)</f>
        <v>#N/A</v>
      </c>
      <c r="H3494" s="247"/>
      <c r="I3494" s="247"/>
      <c r="J3494" s="246"/>
      <c r="K3494" s="246"/>
      <c r="L3494" s="226"/>
      <c r="M3494" s="226"/>
      <c r="N3494" s="246"/>
      <c r="P3494" s="228"/>
      <c r="Q3494" s="245"/>
      <c r="R3494" s="186" t="str">
        <f aca="false">+PROPER(C3494&amp;" "&amp;D3494)</f>
        <v> </v>
      </c>
      <c r="S3494" s="230" t="n">
        <f aca="false">+YEARFRAC(L3494,$S$1)</f>
        <v>126.366666666667</v>
      </c>
      <c r="T3494" s="230" t="n">
        <f aca="false">+YEARFRAC(M3494,$S$1)</f>
        <v>126.366666666667</v>
      </c>
      <c r="U3494" s="231" t="n">
        <f aca="false">+$I3494</f>
        <v>0</v>
      </c>
      <c r="V3494" s="232" t="str">
        <f aca="false">+PROPER(F3494)</f>
        <v/>
      </c>
    </row>
    <row r="3495" customFormat="false" ht="14.25" hidden="false" customHeight="false" outlineLevel="0" collapsed="false">
      <c r="B3495" s="244"/>
      <c r="C3495" s="245"/>
      <c r="D3495" s="245"/>
      <c r="E3495" s="246"/>
      <c r="F3495" s="246"/>
      <c r="G3495" s="225" t="e">
        <f aca="false">VLOOKUP(B3495,'NIVEL ENERO'!A:F,4,0)</f>
        <v>#N/A</v>
      </c>
      <c r="H3495" s="247"/>
      <c r="I3495" s="247"/>
      <c r="J3495" s="246"/>
      <c r="K3495" s="246"/>
      <c r="L3495" s="226"/>
      <c r="M3495" s="226"/>
      <c r="N3495" s="246"/>
      <c r="P3495" s="228"/>
      <c r="Q3495" s="245"/>
      <c r="R3495" s="186" t="str">
        <f aca="false">+PROPER(C3495&amp;" "&amp;D3495)</f>
        <v> </v>
      </c>
      <c r="S3495" s="230" t="n">
        <f aca="false">+YEARFRAC(L3495,$S$1)</f>
        <v>126.366666666667</v>
      </c>
      <c r="T3495" s="230" t="n">
        <f aca="false">+YEARFRAC(M3495,$S$1)</f>
        <v>126.366666666667</v>
      </c>
      <c r="U3495" s="231" t="n">
        <f aca="false">+$I3495</f>
        <v>0</v>
      </c>
      <c r="V3495" s="232" t="str">
        <f aca="false">+PROPER(F3495)</f>
        <v/>
      </c>
    </row>
    <row r="3496" customFormat="false" ht="14.25" hidden="false" customHeight="false" outlineLevel="0" collapsed="false">
      <c r="B3496" s="244"/>
      <c r="C3496" s="245"/>
      <c r="D3496" s="245"/>
      <c r="E3496" s="246"/>
      <c r="F3496" s="246"/>
      <c r="G3496" s="225" t="e">
        <f aca="false">VLOOKUP(B3496,'NIVEL ENERO'!A:F,4,0)</f>
        <v>#N/A</v>
      </c>
      <c r="H3496" s="247"/>
      <c r="I3496" s="247"/>
      <c r="J3496" s="246"/>
      <c r="K3496" s="246"/>
      <c r="L3496" s="226"/>
      <c r="M3496" s="226"/>
      <c r="N3496" s="246"/>
      <c r="P3496" s="228"/>
      <c r="Q3496" s="245"/>
      <c r="R3496" s="186" t="str">
        <f aca="false">+PROPER(C3496&amp;" "&amp;D3496)</f>
        <v> </v>
      </c>
      <c r="S3496" s="230" t="n">
        <f aca="false">+YEARFRAC(L3496,$S$1)</f>
        <v>126.366666666667</v>
      </c>
      <c r="T3496" s="230" t="n">
        <f aca="false">+YEARFRAC(M3496,$S$1)</f>
        <v>126.366666666667</v>
      </c>
      <c r="U3496" s="231" t="n">
        <f aca="false">+$I3496</f>
        <v>0</v>
      </c>
      <c r="V3496" s="232" t="str">
        <f aca="false">+PROPER(F3496)</f>
        <v/>
      </c>
    </row>
    <row r="3497" customFormat="false" ht="14.25" hidden="false" customHeight="false" outlineLevel="0" collapsed="false">
      <c r="B3497" s="244"/>
      <c r="C3497" s="245"/>
      <c r="D3497" s="245"/>
      <c r="E3497" s="246"/>
      <c r="F3497" s="246"/>
      <c r="G3497" s="225" t="e">
        <f aca="false">VLOOKUP(B3497,'NIVEL ENERO'!A:F,4,0)</f>
        <v>#N/A</v>
      </c>
      <c r="H3497" s="247"/>
      <c r="I3497" s="247"/>
      <c r="J3497" s="246"/>
      <c r="K3497" s="246"/>
      <c r="L3497" s="226"/>
      <c r="M3497" s="226"/>
      <c r="N3497" s="246"/>
      <c r="P3497" s="228"/>
      <c r="Q3497" s="245"/>
      <c r="R3497" s="186" t="str">
        <f aca="false">+PROPER(C3497&amp;" "&amp;D3497)</f>
        <v> </v>
      </c>
      <c r="S3497" s="230" t="n">
        <f aca="false">+YEARFRAC(L3497,$S$1)</f>
        <v>126.366666666667</v>
      </c>
      <c r="T3497" s="230" t="n">
        <f aca="false">+YEARFRAC(M3497,$S$1)</f>
        <v>126.366666666667</v>
      </c>
      <c r="U3497" s="231" t="n">
        <f aca="false">+$I3497</f>
        <v>0</v>
      </c>
      <c r="V3497" s="232" t="str">
        <f aca="false">+PROPER(F3497)</f>
        <v/>
      </c>
    </row>
    <row r="3498" customFormat="false" ht="14.25" hidden="false" customHeight="false" outlineLevel="0" collapsed="false">
      <c r="B3498" s="244"/>
      <c r="C3498" s="245"/>
      <c r="D3498" s="245"/>
      <c r="E3498" s="246"/>
      <c r="F3498" s="246"/>
      <c r="G3498" s="225" t="e">
        <f aca="false">VLOOKUP(B3498,'NIVEL ENERO'!A:F,4,0)</f>
        <v>#N/A</v>
      </c>
      <c r="H3498" s="247"/>
      <c r="I3498" s="247"/>
      <c r="J3498" s="246"/>
      <c r="K3498" s="246"/>
      <c r="L3498" s="226"/>
      <c r="M3498" s="226"/>
      <c r="N3498" s="246"/>
      <c r="P3498" s="228"/>
      <c r="Q3498" s="245"/>
      <c r="R3498" s="186" t="str">
        <f aca="false">+PROPER(C3498&amp;" "&amp;D3498)</f>
        <v> </v>
      </c>
      <c r="S3498" s="230" t="n">
        <f aca="false">+YEARFRAC(L3498,$S$1)</f>
        <v>126.366666666667</v>
      </c>
      <c r="T3498" s="230" t="n">
        <f aca="false">+YEARFRAC(M3498,$S$1)</f>
        <v>126.366666666667</v>
      </c>
      <c r="U3498" s="231" t="n">
        <f aca="false">+$I3498</f>
        <v>0</v>
      </c>
      <c r="V3498" s="232" t="str">
        <f aca="false">+PROPER(F3498)</f>
        <v/>
      </c>
    </row>
    <row r="3499" customFormat="false" ht="14.25" hidden="false" customHeight="false" outlineLevel="0" collapsed="false">
      <c r="B3499" s="244"/>
      <c r="C3499" s="245"/>
      <c r="D3499" s="245"/>
      <c r="E3499" s="246"/>
      <c r="F3499" s="246"/>
      <c r="G3499" s="225" t="e">
        <f aca="false">VLOOKUP(B3499,'NIVEL ENERO'!A:F,4,0)</f>
        <v>#N/A</v>
      </c>
      <c r="H3499" s="247"/>
      <c r="I3499" s="247"/>
      <c r="J3499" s="246"/>
      <c r="K3499" s="246"/>
      <c r="L3499" s="226"/>
      <c r="M3499" s="226"/>
      <c r="N3499" s="246"/>
      <c r="P3499" s="228"/>
      <c r="Q3499" s="245"/>
      <c r="R3499" s="186" t="str">
        <f aca="false">+PROPER(C3499&amp;" "&amp;D3499)</f>
        <v> </v>
      </c>
      <c r="S3499" s="230" t="n">
        <f aca="false">+YEARFRAC(L3499,$S$1)</f>
        <v>126.366666666667</v>
      </c>
      <c r="T3499" s="230" t="n">
        <f aca="false">+YEARFRAC(M3499,$S$1)</f>
        <v>126.366666666667</v>
      </c>
      <c r="U3499" s="231" t="n">
        <f aca="false">+$I3499</f>
        <v>0</v>
      </c>
      <c r="V3499" s="232" t="str">
        <f aca="false">+PROPER(F3499)</f>
        <v/>
      </c>
    </row>
    <row r="3500" customFormat="false" ht="14.25" hidden="false" customHeight="false" outlineLevel="0" collapsed="false">
      <c r="B3500" s="244"/>
      <c r="C3500" s="245"/>
      <c r="D3500" s="245"/>
      <c r="E3500" s="246"/>
      <c r="F3500" s="246"/>
      <c r="G3500" s="225" t="e">
        <f aca="false">VLOOKUP(B3500,'NIVEL ENERO'!A:F,4,0)</f>
        <v>#N/A</v>
      </c>
      <c r="H3500" s="247"/>
      <c r="I3500" s="247"/>
      <c r="J3500" s="246"/>
      <c r="K3500" s="246"/>
      <c r="L3500" s="226"/>
      <c r="M3500" s="226"/>
      <c r="N3500" s="246"/>
      <c r="P3500" s="228"/>
      <c r="Q3500" s="245"/>
      <c r="R3500" s="186" t="str">
        <f aca="false">+PROPER(C3500&amp;" "&amp;D3500)</f>
        <v> </v>
      </c>
      <c r="S3500" s="230" t="n">
        <f aca="false">+YEARFRAC(L3500,$S$1)</f>
        <v>126.366666666667</v>
      </c>
      <c r="T3500" s="230" t="n">
        <f aca="false">+YEARFRAC(M3500,$S$1)</f>
        <v>126.366666666667</v>
      </c>
      <c r="U3500" s="231" t="n">
        <f aca="false">+$I3500</f>
        <v>0</v>
      </c>
      <c r="V3500" s="232" t="str">
        <f aca="false">+PROPER(F3500)</f>
        <v/>
      </c>
    </row>
    <row r="3501" customFormat="false" ht="14.25" hidden="false" customHeight="false" outlineLevel="0" collapsed="false">
      <c r="B3501" s="244"/>
      <c r="C3501" s="245"/>
      <c r="D3501" s="245"/>
      <c r="E3501" s="246"/>
      <c r="F3501" s="246"/>
      <c r="G3501" s="225" t="e">
        <f aca="false">VLOOKUP(B3501,'NIVEL ENERO'!A:F,4,0)</f>
        <v>#N/A</v>
      </c>
      <c r="H3501" s="247"/>
      <c r="I3501" s="247"/>
      <c r="J3501" s="246"/>
      <c r="K3501" s="246"/>
      <c r="L3501" s="226"/>
      <c r="M3501" s="226"/>
      <c r="N3501" s="246"/>
      <c r="P3501" s="228"/>
      <c r="Q3501" s="245"/>
      <c r="R3501" s="186" t="str">
        <f aca="false">+PROPER(C3501&amp;" "&amp;D3501)</f>
        <v> </v>
      </c>
      <c r="S3501" s="230" t="n">
        <f aca="false">+YEARFRAC(L3501,$S$1)</f>
        <v>126.366666666667</v>
      </c>
      <c r="T3501" s="230" t="n">
        <f aca="false">+YEARFRAC(M3501,$S$1)</f>
        <v>126.366666666667</v>
      </c>
      <c r="U3501" s="231" t="n">
        <f aca="false">+$I3501</f>
        <v>0</v>
      </c>
      <c r="V3501" s="232" t="str">
        <f aca="false">+PROPER(F3501)</f>
        <v/>
      </c>
    </row>
    <row r="3502" customFormat="false" ht="14.25" hidden="false" customHeight="false" outlineLevel="0" collapsed="false">
      <c r="B3502" s="244"/>
      <c r="C3502" s="245"/>
      <c r="D3502" s="245"/>
      <c r="E3502" s="246"/>
      <c r="F3502" s="246"/>
      <c r="G3502" s="225" t="e">
        <f aca="false">VLOOKUP(B3502,'NIVEL ENERO'!A:F,4,0)</f>
        <v>#N/A</v>
      </c>
      <c r="H3502" s="247"/>
      <c r="I3502" s="247"/>
      <c r="J3502" s="246"/>
      <c r="K3502" s="246"/>
      <c r="L3502" s="226"/>
      <c r="M3502" s="226"/>
      <c r="N3502" s="246"/>
      <c r="O3502" s="242"/>
      <c r="P3502" s="228"/>
      <c r="Q3502" s="245"/>
      <c r="R3502" s="186" t="str">
        <f aca="false">+PROPER(C3502&amp;" "&amp;D3502)</f>
        <v> </v>
      </c>
      <c r="S3502" s="230" t="n">
        <f aca="false">+YEARFRAC(L3502,$S$1)</f>
        <v>126.366666666667</v>
      </c>
      <c r="T3502" s="230" t="n">
        <f aca="false">+YEARFRAC(M3502,$S$1)</f>
        <v>126.366666666667</v>
      </c>
      <c r="U3502" s="231" t="n">
        <f aca="false">+$I3502</f>
        <v>0</v>
      </c>
      <c r="V3502" s="232" t="str">
        <f aca="false">+PROPER(F3502)</f>
        <v/>
      </c>
    </row>
    <row r="3503" customFormat="false" ht="14.25" hidden="false" customHeight="false" outlineLevel="0" collapsed="false">
      <c r="B3503" s="244"/>
      <c r="C3503" s="245"/>
      <c r="D3503" s="245"/>
      <c r="E3503" s="246"/>
      <c r="F3503" s="246"/>
      <c r="G3503" s="225" t="e">
        <f aca="false">VLOOKUP(B3503,'NIVEL ENERO'!A:F,4,0)</f>
        <v>#N/A</v>
      </c>
      <c r="H3503" s="247"/>
      <c r="I3503" s="247"/>
      <c r="J3503" s="246"/>
      <c r="K3503" s="246"/>
      <c r="L3503" s="226"/>
      <c r="M3503" s="226"/>
      <c r="N3503" s="246"/>
      <c r="O3503" s="246"/>
      <c r="P3503" s="228"/>
      <c r="Q3503" s="245"/>
      <c r="R3503" s="186" t="str">
        <f aca="false">+PROPER(C3503&amp;" "&amp;D3503)</f>
        <v> </v>
      </c>
      <c r="S3503" s="230" t="n">
        <f aca="false">+YEARFRAC(L3503,$S$1)</f>
        <v>126.366666666667</v>
      </c>
      <c r="T3503" s="230" t="n">
        <f aca="false">+YEARFRAC(M3503,$S$1)</f>
        <v>126.366666666667</v>
      </c>
      <c r="U3503" s="231" t="n">
        <f aca="false">+$I3503</f>
        <v>0</v>
      </c>
      <c r="V3503" s="232" t="str">
        <f aca="false">+PROPER(F3503)</f>
        <v/>
      </c>
    </row>
    <row r="3504" customFormat="false" ht="14.25" hidden="false" customHeight="false" outlineLevel="0" collapsed="false">
      <c r="B3504" s="244"/>
      <c r="C3504" s="245"/>
      <c r="D3504" s="245"/>
      <c r="E3504" s="246"/>
      <c r="F3504" s="246"/>
      <c r="G3504" s="225" t="e">
        <f aca="false">VLOOKUP(B3504,'NIVEL ENERO'!A:F,4,0)</f>
        <v>#N/A</v>
      </c>
      <c r="H3504" s="247"/>
      <c r="I3504" s="247"/>
      <c r="J3504" s="246"/>
      <c r="K3504" s="246"/>
      <c r="L3504" s="226"/>
      <c r="M3504" s="226"/>
      <c r="N3504" s="246"/>
      <c r="O3504" s="246"/>
      <c r="P3504" s="228"/>
      <c r="Q3504" s="245"/>
      <c r="R3504" s="186" t="str">
        <f aca="false">+PROPER(C3504&amp;" "&amp;D3504)</f>
        <v> </v>
      </c>
      <c r="S3504" s="230" t="n">
        <f aca="false">+YEARFRAC(L3504,$S$1)</f>
        <v>126.366666666667</v>
      </c>
      <c r="T3504" s="230" t="n">
        <f aca="false">+YEARFRAC(M3504,$S$1)</f>
        <v>126.366666666667</v>
      </c>
      <c r="U3504" s="231" t="n">
        <f aca="false">+$I3504</f>
        <v>0</v>
      </c>
      <c r="V3504" s="232" t="str">
        <f aca="false">+PROPER(F3504)</f>
        <v/>
      </c>
    </row>
    <row r="3505" customFormat="false" ht="14.25" hidden="false" customHeight="false" outlineLevel="0" collapsed="false">
      <c r="B3505" s="244"/>
      <c r="C3505" s="245"/>
      <c r="D3505" s="245"/>
      <c r="E3505" s="246"/>
      <c r="F3505" s="246"/>
      <c r="G3505" s="225" t="e">
        <f aca="false">VLOOKUP(B3505,'NIVEL ENERO'!A:F,4,0)</f>
        <v>#N/A</v>
      </c>
      <c r="H3505" s="247"/>
      <c r="I3505" s="247"/>
      <c r="J3505" s="246"/>
      <c r="K3505" s="246"/>
      <c r="L3505" s="226"/>
      <c r="M3505" s="226"/>
      <c r="N3505" s="246"/>
      <c r="O3505" s="246"/>
      <c r="P3505" s="228"/>
      <c r="Q3505" s="245"/>
      <c r="R3505" s="186" t="str">
        <f aca="false">+PROPER(C3505&amp;" "&amp;D3505)</f>
        <v> </v>
      </c>
      <c r="S3505" s="230" t="n">
        <f aca="false">+YEARFRAC(L3505,$S$1)</f>
        <v>126.366666666667</v>
      </c>
      <c r="T3505" s="230" t="n">
        <f aca="false">+YEARFRAC(M3505,$S$1)</f>
        <v>126.366666666667</v>
      </c>
      <c r="U3505" s="231" t="n">
        <f aca="false">+$I3505</f>
        <v>0</v>
      </c>
      <c r="V3505" s="232" t="str">
        <f aca="false">+PROPER(F3505)</f>
        <v/>
      </c>
    </row>
    <row r="3506" customFormat="false" ht="14.25" hidden="false" customHeight="false" outlineLevel="0" collapsed="false">
      <c r="B3506" s="244"/>
      <c r="C3506" s="245"/>
      <c r="D3506" s="245"/>
      <c r="E3506" s="246"/>
      <c r="F3506" s="246"/>
      <c r="G3506" s="225" t="e">
        <f aca="false">VLOOKUP(B3506,'NIVEL ENERO'!A:F,4,0)</f>
        <v>#N/A</v>
      </c>
      <c r="H3506" s="247"/>
      <c r="I3506" s="247"/>
      <c r="J3506" s="246"/>
      <c r="K3506" s="246"/>
      <c r="L3506" s="226"/>
      <c r="M3506" s="226"/>
      <c r="N3506" s="246"/>
      <c r="O3506" s="246"/>
      <c r="P3506" s="228"/>
      <c r="Q3506" s="245"/>
      <c r="R3506" s="186" t="str">
        <f aca="false">+PROPER(C3506&amp;" "&amp;D3506)</f>
        <v> </v>
      </c>
      <c r="S3506" s="230" t="n">
        <f aca="false">+YEARFRAC(L3506,$S$1)</f>
        <v>126.366666666667</v>
      </c>
      <c r="T3506" s="230" t="n">
        <f aca="false">+YEARFRAC(M3506,$S$1)</f>
        <v>126.366666666667</v>
      </c>
      <c r="U3506" s="231" t="n">
        <f aca="false">+$I3506</f>
        <v>0</v>
      </c>
      <c r="V3506" s="232" t="str">
        <f aca="false">+PROPER(F3506)</f>
        <v/>
      </c>
    </row>
    <row r="3507" customFormat="false" ht="14.25" hidden="false" customHeight="false" outlineLevel="0" collapsed="false">
      <c r="B3507" s="244"/>
      <c r="C3507" s="245"/>
      <c r="D3507" s="245"/>
      <c r="E3507" s="246"/>
      <c r="F3507" s="246"/>
      <c r="G3507" s="225" t="e">
        <f aca="false">VLOOKUP(B3507,'NIVEL ENERO'!A:F,4,0)</f>
        <v>#N/A</v>
      </c>
      <c r="H3507" s="247"/>
      <c r="I3507" s="247"/>
      <c r="J3507" s="246"/>
      <c r="K3507" s="246"/>
      <c r="L3507" s="226"/>
      <c r="M3507" s="226"/>
      <c r="N3507" s="246"/>
      <c r="O3507" s="246"/>
      <c r="P3507" s="228"/>
      <c r="Q3507" s="245"/>
      <c r="R3507" s="186" t="str">
        <f aca="false">+PROPER(C3507&amp;" "&amp;D3507)</f>
        <v> </v>
      </c>
      <c r="S3507" s="230" t="n">
        <f aca="false">+YEARFRAC(L3507,$S$1)</f>
        <v>126.366666666667</v>
      </c>
      <c r="T3507" s="230" t="n">
        <f aca="false">+YEARFRAC(M3507,$S$1)</f>
        <v>126.366666666667</v>
      </c>
      <c r="U3507" s="231" t="n">
        <f aca="false">+$I3507</f>
        <v>0</v>
      </c>
      <c r="V3507" s="232" t="str">
        <f aca="false">+PROPER(F3507)</f>
        <v/>
      </c>
    </row>
    <row r="3508" customFormat="false" ht="14.25" hidden="false" customHeight="false" outlineLevel="0" collapsed="false">
      <c r="B3508" s="244"/>
      <c r="C3508" s="245"/>
      <c r="D3508" s="245"/>
      <c r="E3508" s="246"/>
      <c r="F3508" s="246"/>
      <c r="G3508" s="225" t="e">
        <f aca="false">VLOOKUP(B3508,'NIVEL ENERO'!A:F,4,0)</f>
        <v>#N/A</v>
      </c>
      <c r="H3508" s="247"/>
      <c r="I3508" s="247"/>
      <c r="J3508" s="246"/>
      <c r="K3508" s="246"/>
      <c r="L3508" s="226"/>
      <c r="M3508" s="226"/>
      <c r="N3508" s="246"/>
      <c r="O3508" s="246"/>
      <c r="P3508" s="228"/>
      <c r="Q3508" s="245"/>
      <c r="R3508" s="186" t="str">
        <f aca="false">+PROPER(C3508&amp;" "&amp;D3508)</f>
        <v> </v>
      </c>
      <c r="S3508" s="230" t="n">
        <f aca="false">+YEARFRAC(L3508,$S$1)</f>
        <v>126.366666666667</v>
      </c>
      <c r="T3508" s="230" t="n">
        <f aca="false">+YEARFRAC(M3508,$S$1)</f>
        <v>126.366666666667</v>
      </c>
      <c r="U3508" s="231" t="n">
        <f aca="false">+$I3508</f>
        <v>0</v>
      </c>
      <c r="V3508" s="232" t="str">
        <f aca="false">+PROPER(F3508)</f>
        <v/>
      </c>
    </row>
    <row r="3509" customFormat="false" ht="14.25" hidden="false" customHeight="false" outlineLevel="0" collapsed="false">
      <c r="B3509" s="244"/>
      <c r="C3509" s="245"/>
      <c r="D3509" s="245"/>
      <c r="E3509" s="246"/>
      <c r="F3509" s="246"/>
      <c r="G3509" s="225" t="e">
        <f aca="false">VLOOKUP(B3509,'NIVEL ENERO'!A:F,4,0)</f>
        <v>#N/A</v>
      </c>
      <c r="H3509" s="247"/>
      <c r="I3509" s="247"/>
      <c r="J3509" s="246"/>
      <c r="K3509" s="246"/>
      <c r="L3509" s="226"/>
      <c r="M3509" s="226"/>
      <c r="N3509" s="246"/>
      <c r="O3509" s="246"/>
      <c r="P3509" s="228"/>
      <c r="Q3509" s="245"/>
      <c r="R3509" s="186" t="str">
        <f aca="false">+PROPER(C3509&amp;" "&amp;D3509)</f>
        <v> </v>
      </c>
      <c r="S3509" s="230" t="n">
        <f aca="false">+YEARFRAC(L3509,$S$1)</f>
        <v>126.366666666667</v>
      </c>
      <c r="T3509" s="230" t="n">
        <f aca="false">+YEARFRAC(M3509,$S$1)</f>
        <v>126.366666666667</v>
      </c>
      <c r="U3509" s="231" t="n">
        <f aca="false">+$I3509</f>
        <v>0</v>
      </c>
      <c r="V3509" s="232" t="str">
        <f aca="false">+PROPER(F3509)</f>
        <v/>
      </c>
    </row>
    <row r="3510" customFormat="false" ht="14.25" hidden="false" customHeight="false" outlineLevel="0" collapsed="false">
      <c r="B3510" s="244"/>
      <c r="C3510" s="245"/>
      <c r="D3510" s="245"/>
      <c r="E3510" s="246"/>
      <c r="F3510" s="246"/>
      <c r="G3510" s="225" t="e">
        <f aca="false">VLOOKUP(B3510,'NIVEL ENERO'!A:F,4,0)</f>
        <v>#N/A</v>
      </c>
      <c r="H3510" s="247"/>
      <c r="I3510" s="247"/>
      <c r="J3510" s="246"/>
      <c r="K3510" s="246"/>
      <c r="L3510" s="226"/>
      <c r="M3510" s="226"/>
      <c r="N3510" s="246"/>
      <c r="O3510" s="246"/>
      <c r="P3510" s="228"/>
      <c r="Q3510" s="245"/>
      <c r="R3510" s="186" t="str">
        <f aca="false">+PROPER(C3510&amp;" "&amp;D3510)</f>
        <v> </v>
      </c>
      <c r="S3510" s="230" t="n">
        <f aca="false">+YEARFRAC(L3510,$S$1)</f>
        <v>126.366666666667</v>
      </c>
      <c r="T3510" s="230" t="n">
        <f aca="false">+YEARFRAC(M3510,$S$1)</f>
        <v>126.366666666667</v>
      </c>
      <c r="U3510" s="231" t="n">
        <f aca="false">+$I3510</f>
        <v>0</v>
      </c>
      <c r="V3510" s="232" t="str">
        <f aca="false">+PROPER(F3510)</f>
        <v/>
      </c>
    </row>
    <row r="3511" customFormat="false" ht="14.25" hidden="false" customHeight="false" outlineLevel="0" collapsed="false">
      <c r="B3511" s="244"/>
      <c r="C3511" s="245"/>
      <c r="D3511" s="245"/>
      <c r="E3511" s="246"/>
      <c r="F3511" s="246"/>
      <c r="G3511" s="225" t="e">
        <f aca="false">VLOOKUP(B3511,'NIVEL ENERO'!A:F,4,0)</f>
        <v>#N/A</v>
      </c>
      <c r="H3511" s="247"/>
      <c r="I3511" s="247"/>
      <c r="J3511" s="246"/>
      <c r="K3511" s="246"/>
      <c r="L3511" s="226"/>
      <c r="M3511" s="226"/>
      <c r="N3511" s="246"/>
      <c r="O3511" s="246"/>
      <c r="P3511" s="228"/>
      <c r="Q3511" s="245"/>
      <c r="R3511" s="186" t="str">
        <f aca="false">+PROPER(C3511&amp;" "&amp;D3511)</f>
        <v> </v>
      </c>
      <c r="S3511" s="230" t="n">
        <f aca="false">+YEARFRAC(L3511,$S$1)</f>
        <v>126.366666666667</v>
      </c>
      <c r="T3511" s="230" t="n">
        <f aca="false">+YEARFRAC(M3511,$S$1)</f>
        <v>126.366666666667</v>
      </c>
      <c r="U3511" s="231" t="n">
        <f aca="false">+$I3511</f>
        <v>0</v>
      </c>
      <c r="V3511" s="232" t="str">
        <f aca="false">+PROPER(F3511)</f>
        <v/>
      </c>
    </row>
    <row r="3512" customFormat="false" ht="14.25" hidden="false" customHeight="false" outlineLevel="0" collapsed="false">
      <c r="B3512" s="244"/>
      <c r="C3512" s="245"/>
      <c r="D3512" s="245"/>
      <c r="E3512" s="246"/>
      <c r="F3512" s="246"/>
      <c r="G3512" s="225" t="e">
        <f aca="false">VLOOKUP(B3512,'NIVEL ENERO'!A:F,4,0)</f>
        <v>#N/A</v>
      </c>
      <c r="H3512" s="247"/>
      <c r="I3512" s="247"/>
      <c r="J3512" s="246"/>
      <c r="K3512" s="246"/>
      <c r="L3512" s="226"/>
      <c r="M3512" s="226"/>
      <c r="N3512" s="246"/>
      <c r="O3512" s="246"/>
      <c r="P3512" s="228"/>
      <c r="Q3512" s="245"/>
      <c r="R3512" s="186" t="str">
        <f aca="false">+PROPER(C3512&amp;" "&amp;D3512)</f>
        <v> </v>
      </c>
      <c r="S3512" s="230" t="n">
        <f aca="false">+YEARFRAC(L3512,$S$1)</f>
        <v>126.366666666667</v>
      </c>
      <c r="T3512" s="230" t="n">
        <f aca="false">+YEARFRAC(M3512,$S$1)</f>
        <v>126.366666666667</v>
      </c>
      <c r="U3512" s="231" t="n">
        <f aca="false">+$I3512</f>
        <v>0</v>
      </c>
      <c r="V3512" s="232" t="str">
        <f aca="false">+PROPER(F3512)</f>
        <v/>
      </c>
    </row>
    <row r="3513" customFormat="false" ht="14.25" hidden="false" customHeight="false" outlineLevel="0" collapsed="false">
      <c r="B3513" s="244"/>
      <c r="C3513" s="245"/>
      <c r="D3513" s="245"/>
      <c r="E3513" s="246"/>
      <c r="F3513" s="246"/>
      <c r="G3513" s="225" t="e">
        <f aca="false">VLOOKUP(B3513,'NIVEL ENERO'!A:F,4,0)</f>
        <v>#N/A</v>
      </c>
      <c r="H3513" s="247"/>
      <c r="I3513" s="247"/>
      <c r="J3513" s="246"/>
      <c r="K3513" s="246"/>
      <c r="L3513" s="226"/>
      <c r="M3513" s="226"/>
      <c r="N3513" s="246"/>
      <c r="O3513" s="246"/>
      <c r="P3513" s="228"/>
      <c r="Q3513" s="245"/>
      <c r="R3513" s="186" t="str">
        <f aca="false">+PROPER(C3513&amp;" "&amp;D3513)</f>
        <v> </v>
      </c>
      <c r="S3513" s="230" t="n">
        <f aca="false">+YEARFRAC(L3513,$S$1)</f>
        <v>126.366666666667</v>
      </c>
      <c r="T3513" s="230" t="n">
        <f aca="false">+YEARFRAC(M3513,$S$1)</f>
        <v>126.366666666667</v>
      </c>
      <c r="U3513" s="231" t="n">
        <f aca="false">+$I3513</f>
        <v>0</v>
      </c>
      <c r="V3513" s="232" t="str">
        <f aca="false">+PROPER(F3513)</f>
        <v/>
      </c>
    </row>
    <row r="3514" customFormat="false" ht="14.25" hidden="false" customHeight="false" outlineLevel="0" collapsed="false">
      <c r="B3514" s="244"/>
      <c r="C3514" s="245"/>
      <c r="D3514" s="245"/>
      <c r="E3514" s="246"/>
      <c r="F3514" s="246"/>
      <c r="G3514" s="225" t="e">
        <f aca="false">VLOOKUP(B3514,'NIVEL ENERO'!A:F,4,0)</f>
        <v>#N/A</v>
      </c>
      <c r="H3514" s="247"/>
      <c r="I3514" s="247"/>
      <c r="J3514" s="246"/>
      <c r="K3514" s="246"/>
      <c r="L3514" s="226"/>
      <c r="M3514" s="226"/>
      <c r="N3514" s="246"/>
      <c r="O3514" s="246"/>
      <c r="P3514" s="228"/>
      <c r="Q3514" s="245"/>
      <c r="R3514" s="186" t="str">
        <f aca="false">+PROPER(C3514&amp;" "&amp;D3514)</f>
        <v> </v>
      </c>
      <c r="S3514" s="230" t="n">
        <f aca="false">+YEARFRAC(L3514,$S$1)</f>
        <v>126.366666666667</v>
      </c>
      <c r="T3514" s="230" t="n">
        <f aca="false">+YEARFRAC(M3514,$S$1)</f>
        <v>126.366666666667</v>
      </c>
      <c r="U3514" s="231" t="n">
        <f aca="false">+$I3514</f>
        <v>0</v>
      </c>
      <c r="V3514" s="232" t="str">
        <f aca="false">+PROPER(F3514)</f>
        <v/>
      </c>
    </row>
    <row r="3515" customFormat="false" ht="14.25" hidden="false" customHeight="false" outlineLevel="0" collapsed="false">
      <c r="B3515" s="244"/>
      <c r="C3515" s="245"/>
      <c r="D3515" s="245"/>
      <c r="E3515" s="246"/>
      <c r="F3515" s="246"/>
      <c r="G3515" s="225" t="e">
        <f aca="false">VLOOKUP(B3515,'NIVEL ENERO'!A:F,4,0)</f>
        <v>#N/A</v>
      </c>
      <c r="H3515" s="247"/>
      <c r="I3515" s="247"/>
      <c r="J3515" s="246"/>
      <c r="K3515" s="246"/>
      <c r="L3515" s="226"/>
      <c r="M3515" s="226"/>
      <c r="N3515" s="246"/>
      <c r="O3515" s="246"/>
      <c r="P3515" s="228"/>
      <c r="Q3515" s="245"/>
      <c r="R3515" s="186" t="str">
        <f aca="false">+PROPER(C3515&amp;" "&amp;D3515)</f>
        <v> </v>
      </c>
      <c r="S3515" s="230" t="n">
        <f aca="false">+YEARFRAC(L3515,$S$1)</f>
        <v>126.366666666667</v>
      </c>
      <c r="T3515" s="230" t="n">
        <f aca="false">+YEARFRAC(M3515,$S$1)</f>
        <v>126.366666666667</v>
      </c>
      <c r="U3515" s="231" t="n">
        <f aca="false">+$I3515</f>
        <v>0</v>
      </c>
      <c r="V3515" s="232" t="str">
        <f aca="false">+PROPER(F3515)</f>
        <v/>
      </c>
    </row>
    <row r="3516" customFormat="false" ht="14.25" hidden="false" customHeight="false" outlineLevel="0" collapsed="false">
      <c r="B3516" s="244"/>
      <c r="C3516" s="245"/>
      <c r="D3516" s="245"/>
      <c r="E3516" s="246"/>
      <c r="F3516" s="246"/>
      <c r="G3516" s="225" t="e">
        <f aca="false">VLOOKUP(B3516,'NIVEL ENERO'!A:F,4,0)</f>
        <v>#N/A</v>
      </c>
      <c r="H3516" s="247"/>
      <c r="I3516" s="247"/>
      <c r="J3516" s="246"/>
      <c r="K3516" s="246"/>
      <c r="L3516" s="226"/>
      <c r="M3516" s="226"/>
      <c r="N3516" s="246"/>
      <c r="O3516" s="246"/>
      <c r="P3516" s="228"/>
      <c r="Q3516" s="245"/>
      <c r="R3516" s="186" t="str">
        <f aca="false">+PROPER(C3516&amp;" "&amp;D3516)</f>
        <v> </v>
      </c>
      <c r="S3516" s="230" t="n">
        <f aca="false">+YEARFRAC(L3516,$S$1)</f>
        <v>126.366666666667</v>
      </c>
      <c r="T3516" s="230" t="n">
        <f aca="false">+YEARFRAC(M3516,$S$1)</f>
        <v>126.366666666667</v>
      </c>
      <c r="U3516" s="231" t="n">
        <f aca="false">+$I3516</f>
        <v>0</v>
      </c>
      <c r="V3516" s="232" t="str">
        <f aca="false">+PROPER(F3516)</f>
        <v/>
      </c>
    </row>
    <row r="3517" customFormat="false" ht="14.25" hidden="false" customHeight="false" outlineLevel="0" collapsed="false">
      <c r="B3517" s="244"/>
      <c r="C3517" s="245"/>
      <c r="D3517" s="245"/>
      <c r="E3517" s="246"/>
      <c r="F3517" s="246"/>
      <c r="G3517" s="225" t="e">
        <f aca="false">VLOOKUP(B3517,'NIVEL ENERO'!A:F,4,0)</f>
        <v>#N/A</v>
      </c>
      <c r="H3517" s="247"/>
      <c r="I3517" s="247"/>
      <c r="J3517" s="246"/>
      <c r="K3517" s="246"/>
      <c r="L3517" s="226"/>
      <c r="M3517" s="226"/>
      <c r="N3517" s="246"/>
      <c r="O3517" s="246"/>
      <c r="P3517" s="228"/>
      <c r="Q3517" s="245"/>
      <c r="R3517" s="186" t="str">
        <f aca="false">+PROPER(C3517&amp;" "&amp;D3517)</f>
        <v> </v>
      </c>
      <c r="S3517" s="230" t="n">
        <f aca="false">+YEARFRAC(L3517,$S$1)</f>
        <v>126.366666666667</v>
      </c>
      <c r="T3517" s="230" t="n">
        <f aca="false">+YEARFRAC(M3517,$S$1)</f>
        <v>126.366666666667</v>
      </c>
      <c r="U3517" s="231" t="n">
        <f aca="false">+$I3517</f>
        <v>0</v>
      </c>
      <c r="V3517" s="232" t="str">
        <f aca="false">+PROPER(F3517)</f>
        <v/>
      </c>
    </row>
    <row r="3518" customFormat="false" ht="14.25" hidden="false" customHeight="false" outlineLevel="0" collapsed="false">
      <c r="B3518" s="244"/>
      <c r="C3518" s="245"/>
      <c r="D3518" s="245"/>
      <c r="E3518" s="246"/>
      <c r="F3518" s="246"/>
      <c r="G3518" s="225" t="e">
        <f aca="false">VLOOKUP(B3518,'NIVEL ENERO'!A:F,4,0)</f>
        <v>#N/A</v>
      </c>
      <c r="H3518" s="247"/>
      <c r="I3518" s="247"/>
      <c r="J3518" s="246"/>
      <c r="K3518" s="246"/>
      <c r="L3518" s="226"/>
      <c r="M3518" s="226"/>
      <c r="N3518" s="246"/>
      <c r="O3518" s="246"/>
      <c r="P3518" s="228"/>
      <c r="Q3518" s="245"/>
      <c r="R3518" s="186" t="str">
        <f aca="false">+PROPER(C3518&amp;" "&amp;D3518)</f>
        <v> </v>
      </c>
      <c r="S3518" s="230" t="n">
        <f aca="false">+YEARFRAC(L3518,$S$1)</f>
        <v>126.366666666667</v>
      </c>
      <c r="T3518" s="230" t="n">
        <f aca="false">+YEARFRAC(M3518,$S$1)</f>
        <v>126.366666666667</v>
      </c>
      <c r="U3518" s="231" t="n">
        <f aca="false">+$I3518</f>
        <v>0</v>
      </c>
      <c r="V3518" s="232" t="str">
        <f aca="false">+PROPER(F3518)</f>
        <v/>
      </c>
    </row>
    <row r="3519" customFormat="false" ht="14.25" hidden="false" customHeight="false" outlineLevel="0" collapsed="false">
      <c r="B3519" s="244"/>
      <c r="C3519" s="245"/>
      <c r="D3519" s="245"/>
      <c r="E3519" s="246"/>
      <c r="F3519" s="246"/>
      <c r="G3519" s="225" t="e">
        <f aca="false">VLOOKUP(B3519,'NIVEL ENERO'!A:F,4,0)</f>
        <v>#N/A</v>
      </c>
      <c r="H3519" s="247"/>
      <c r="I3519" s="247"/>
      <c r="J3519" s="246"/>
      <c r="K3519" s="246"/>
      <c r="L3519" s="226"/>
      <c r="M3519" s="226"/>
      <c r="N3519" s="246"/>
      <c r="O3519" s="246"/>
      <c r="P3519" s="228"/>
      <c r="Q3519" s="245"/>
      <c r="R3519" s="186" t="str">
        <f aca="false">+PROPER(C3519&amp;" "&amp;D3519)</f>
        <v> </v>
      </c>
      <c r="S3519" s="230" t="n">
        <f aca="false">+YEARFRAC(L3519,$S$1)</f>
        <v>126.366666666667</v>
      </c>
      <c r="T3519" s="230" t="n">
        <f aca="false">+YEARFRAC(M3519,$S$1)</f>
        <v>126.366666666667</v>
      </c>
      <c r="U3519" s="231" t="n">
        <f aca="false">+$I3519</f>
        <v>0</v>
      </c>
      <c r="V3519" s="232" t="str">
        <f aca="false">+PROPER(F3519)</f>
        <v/>
      </c>
    </row>
    <row r="3520" customFormat="false" ht="14.25" hidden="false" customHeight="false" outlineLevel="0" collapsed="false">
      <c r="B3520" s="244"/>
      <c r="C3520" s="245"/>
      <c r="D3520" s="245"/>
      <c r="E3520" s="246"/>
      <c r="F3520" s="246"/>
      <c r="G3520" s="225" t="e">
        <f aca="false">VLOOKUP(B3520,'NIVEL ENERO'!A:F,4,0)</f>
        <v>#N/A</v>
      </c>
      <c r="H3520" s="247"/>
      <c r="I3520" s="247"/>
      <c r="J3520" s="246"/>
      <c r="K3520" s="246"/>
      <c r="L3520" s="226"/>
      <c r="M3520" s="226"/>
      <c r="N3520" s="246"/>
      <c r="O3520" s="246"/>
      <c r="P3520" s="228"/>
      <c r="Q3520" s="245"/>
      <c r="R3520" s="186" t="str">
        <f aca="false">+PROPER(C3520&amp;" "&amp;D3520)</f>
        <v> </v>
      </c>
      <c r="S3520" s="230" t="n">
        <f aca="false">+YEARFRAC(L3520,$S$1)</f>
        <v>126.366666666667</v>
      </c>
      <c r="T3520" s="230" t="n">
        <f aca="false">+YEARFRAC(M3520,$S$1)</f>
        <v>126.366666666667</v>
      </c>
      <c r="U3520" s="231" t="n">
        <f aca="false">+$I3520</f>
        <v>0</v>
      </c>
      <c r="V3520" s="232" t="str">
        <f aca="false">+PROPER(F3520)</f>
        <v/>
      </c>
    </row>
    <row r="3521" customFormat="false" ht="14.25" hidden="false" customHeight="false" outlineLevel="0" collapsed="false">
      <c r="B3521" s="244"/>
      <c r="C3521" s="245"/>
      <c r="D3521" s="245"/>
      <c r="E3521" s="246"/>
      <c r="F3521" s="246"/>
      <c r="G3521" s="225" t="e">
        <f aca="false">VLOOKUP(B3521,'NIVEL ENERO'!A:F,4,0)</f>
        <v>#N/A</v>
      </c>
      <c r="H3521" s="247"/>
      <c r="I3521" s="247"/>
      <c r="J3521" s="246"/>
      <c r="K3521" s="246"/>
      <c r="L3521" s="226"/>
      <c r="M3521" s="226"/>
      <c r="N3521" s="246"/>
      <c r="O3521" s="246"/>
      <c r="P3521" s="228"/>
      <c r="Q3521" s="245"/>
      <c r="R3521" s="186" t="str">
        <f aca="false">+PROPER(C3521&amp;" "&amp;D3521)</f>
        <v> </v>
      </c>
      <c r="S3521" s="230" t="n">
        <f aca="false">+YEARFRAC(L3521,$S$1)</f>
        <v>126.366666666667</v>
      </c>
      <c r="T3521" s="230" t="n">
        <f aca="false">+YEARFRAC(M3521,$S$1)</f>
        <v>126.366666666667</v>
      </c>
      <c r="U3521" s="231" t="n">
        <f aca="false">+$I3521</f>
        <v>0</v>
      </c>
      <c r="V3521" s="232" t="str">
        <f aca="false">+PROPER(F3521)</f>
        <v/>
      </c>
    </row>
    <row r="3522" customFormat="false" ht="14.25" hidden="false" customHeight="false" outlineLevel="0" collapsed="false">
      <c r="B3522" s="244"/>
      <c r="C3522" s="245"/>
      <c r="D3522" s="245"/>
      <c r="E3522" s="246"/>
      <c r="F3522" s="246"/>
      <c r="G3522" s="225" t="e">
        <f aca="false">VLOOKUP(B3522,'NIVEL ENERO'!A:F,4,0)</f>
        <v>#N/A</v>
      </c>
      <c r="H3522" s="247"/>
      <c r="I3522" s="247"/>
      <c r="J3522" s="246"/>
      <c r="K3522" s="246"/>
      <c r="L3522" s="226"/>
      <c r="M3522" s="226"/>
      <c r="N3522" s="246"/>
      <c r="O3522" s="246"/>
      <c r="P3522" s="228"/>
      <c r="Q3522" s="245"/>
      <c r="R3522" s="186" t="str">
        <f aca="false">+PROPER(C3522&amp;" "&amp;D3522)</f>
        <v> </v>
      </c>
      <c r="S3522" s="230" t="n">
        <f aca="false">+YEARFRAC(L3522,$S$1)</f>
        <v>126.366666666667</v>
      </c>
      <c r="T3522" s="230" t="n">
        <f aca="false">+YEARFRAC(M3522,$S$1)</f>
        <v>126.366666666667</v>
      </c>
      <c r="U3522" s="231" t="n">
        <f aca="false">+$I3522</f>
        <v>0</v>
      </c>
      <c r="V3522" s="232" t="str">
        <f aca="false">+PROPER(F3522)</f>
        <v/>
      </c>
    </row>
    <row r="3523" customFormat="false" ht="14.25" hidden="false" customHeight="false" outlineLevel="0" collapsed="false">
      <c r="B3523" s="244"/>
      <c r="C3523" s="245"/>
      <c r="D3523" s="245"/>
      <c r="E3523" s="246"/>
      <c r="F3523" s="246"/>
      <c r="G3523" s="225" t="e">
        <f aca="false">VLOOKUP(B3523,'NIVEL ENERO'!A:F,4,0)</f>
        <v>#N/A</v>
      </c>
      <c r="H3523" s="247"/>
      <c r="I3523" s="247"/>
      <c r="J3523" s="246"/>
      <c r="K3523" s="246"/>
      <c r="L3523" s="226"/>
      <c r="M3523" s="226"/>
      <c r="N3523" s="246"/>
      <c r="O3523" s="246"/>
      <c r="P3523" s="228"/>
      <c r="Q3523" s="245"/>
      <c r="R3523" s="186" t="str">
        <f aca="false">+PROPER(C3523&amp;" "&amp;D3523)</f>
        <v> </v>
      </c>
      <c r="S3523" s="230" t="n">
        <f aca="false">+YEARFRAC(L3523,$S$1)</f>
        <v>126.366666666667</v>
      </c>
      <c r="T3523" s="230" t="n">
        <f aca="false">+YEARFRAC(M3523,$S$1)</f>
        <v>126.366666666667</v>
      </c>
      <c r="U3523" s="231" t="n">
        <f aca="false">+$I3523</f>
        <v>0</v>
      </c>
      <c r="V3523" s="232" t="str">
        <f aca="false">+PROPER(F3523)</f>
        <v/>
      </c>
    </row>
    <row r="3524" customFormat="false" ht="14.25" hidden="false" customHeight="false" outlineLevel="0" collapsed="false">
      <c r="B3524" s="244"/>
      <c r="C3524" s="245"/>
      <c r="D3524" s="245"/>
      <c r="E3524" s="246"/>
      <c r="F3524" s="246"/>
      <c r="G3524" s="225" t="e">
        <f aca="false">VLOOKUP(B3524,'NIVEL ENERO'!A:F,4,0)</f>
        <v>#N/A</v>
      </c>
      <c r="H3524" s="247"/>
      <c r="I3524" s="247"/>
      <c r="J3524" s="246"/>
      <c r="K3524" s="246"/>
      <c r="L3524" s="226"/>
      <c r="M3524" s="226"/>
      <c r="N3524" s="246"/>
      <c r="O3524" s="246"/>
      <c r="P3524" s="228"/>
      <c r="Q3524" s="245"/>
      <c r="R3524" s="186" t="str">
        <f aca="false">+PROPER(C3524&amp;" "&amp;D3524)</f>
        <v> </v>
      </c>
      <c r="S3524" s="230" t="n">
        <f aca="false">+YEARFRAC(L3524,$S$1)</f>
        <v>126.366666666667</v>
      </c>
      <c r="T3524" s="230" t="n">
        <f aca="false">+YEARFRAC(M3524,$S$1)</f>
        <v>126.366666666667</v>
      </c>
      <c r="U3524" s="231" t="n">
        <f aca="false">+$I3524</f>
        <v>0</v>
      </c>
      <c r="V3524" s="232" t="str">
        <f aca="false">+PROPER(F3524)</f>
        <v/>
      </c>
    </row>
    <row r="3525" customFormat="false" ht="14.25" hidden="false" customHeight="false" outlineLevel="0" collapsed="false">
      <c r="B3525" s="244"/>
      <c r="C3525" s="245"/>
      <c r="D3525" s="245"/>
      <c r="E3525" s="246"/>
      <c r="F3525" s="246"/>
      <c r="G3525" s="225" t="e">
        <f aca="false">VLOOKUP(B3525,'NIVEL ENERO'!A:F,4,0)</f>
        <v>#N/A</v>
      </c>
      <c r="H3525" s="247"/>
      <c r="I3525" s="247"/>
      <c r="J3525" s="246"/>
      <c r="K3525" s="246"/>
      <c r="L3525" s="226"/>
      <c r="M3525" s="226"/>
      <c r="N3525" s="246"/>
      <c r="O3525" s="246"/>
      <c r="P3525" s="228"/>
      <c r="Q3525" s="245"/>
      <c r="R3525" s="186" t="str">
        <f aca="false">+PROPER(C3525&amp;" "&amp;D3525)</f>
        <v> </v>
      </c>
      <c r="S3525" s="230" t="n">
        <f aca="false">+YEARFRAC(L3525,$S$1)</f>
        <v>126.366666666667</v>
      </c>
      <c r="T3525" s="230" t="n">
        <f aca="false">+YEARFRAC(M3525,$S$1)</f>
        <v>126.366666666667</v>
      </c>
      <c r="U3525" s="231" t="n">
        <f aca="false">+$I3525</f>
        <v>0</v>
      </c>
      <c r="V3525" s="232" t="str">
        <f aca="false">+PROPER(F3525)</f>
        <v/>
      </c>
    </row>
    <row r="3526" customFormat="false" ht="14.25" hidden="false" customHeight="false" outlineLevel="0" collapsed="false">
      <c r="B3526" s="244"/>
      <c r="C3526" s="245"/>
      <c r="D3526" s="245"/>
      <c r="E3526" s="246"/>
      <c r="F3526" s="246"/>
      <c r="G3526" s="225" t="e">
        <f aca="false">VLOOKUP(B3526,'NIVEL ENERO'!A:F,4,0)</f>
        <v>#N/A</v>
      </c>
      <c r="H3526" s="247"/>
      <c r="I3526" s="247"/>
      <c r="J3526" s="246"/>
      <c r="K3526" s="246"/>
      <c r="L3526" s="226"/>
      <c r="M3526" s="226"/>
      <c r="N3526" s="246"/>
      <c r="O3526" s="246"/>
      <c r="P3526" s="228"/>
      <c r="Q3526" s="245"/>
      <c r="R3526" s="186" t="str">
        <f aca="false">+PROPER(C3526&amp;" "&amp;D3526)</f>
        <v> </v>
      </c>
      <c r="S3526" s="230" t="n">
        <f aca="false">+YEARFRAC(L3526,$S$1)</f>
        <v>126.366666666667</v>
      </c>
      <c r="T3526" s="230" t="n">
        <f aca="false">+YEARFRAC(M3526,$S$1)</f>
        <v>126.366666666667</v>
      </c>
      <c r="U3526" s="231" t="n">
        <f aca="false">+$I3526</f>
        <v>0</v>
      </c>
      <c r="V3526" s="232" t="str">
        <f aca="false">+PROPER(F3526)</f>
        <v/>
      </c>
    </row>
    <row r="3527" customFormat="false" ht="14.25" hidden="false" customHeight="false" outlineLevel="0" collapsed="false">
      <c r="B3527" s="244"/>
      <c r="C3527" s="245"/>
      <c r="D3527" s="245"/>
      <c r="E3527" s="246"/>
      <c r="F3527" s="246"/>
      <c r="G3527" s="225" t="e">
        <f aca="false">VLOOKUP(B3527,'NIVEL ENERO'!A:F,4,0)</f>
        <v>#N/A</v>
      </c>
      <c r="H3527" s="247"/>
      <c r="I3527" s="247"/>
      <c r="J3527" s="246"/>
      <c r="K3527" s="246"/>
      <c r="L3527" s="226"/>
      <c r="M3527" s="226"/>
      <c r="N3527" s="246"/>
      <c r="O3527" s="246"/>
      <c r="P3527" s="228"/>
      <c r="Q3527" s="245"/>
      <c r="R3527" s="186" t="str">
        <f aca="false">+PROPER(C3527&amp;" "&amp;D3527)</f>
        <v> </v>
      </c>
      <c r="S3527" s="230" t="n">
        <f aca="false">+YEARFRAC(L3527,$S$1)</f>
        <v>126.366666666667</v>
      </c>
      <c r="T3527" s="230" t="n">
        <f aca="false">+YEARFRAC(M3527,$S$1)</f>
        <v>126.366666666667</v>
      </c>
      <c r="U3527" s="231" t="n">
        <f aca="false">+$I3527</f>
        <v>0</v>
      </c>
      <c r="V3527" s="232" t="str">
        <f aca="false">+PROPER(F3527)</f>
        <v/>
      </c>
    </row>
    <row r="3528" customFormat="false" ht="14.25" hidden="false" customHeight="false" outlineLevel="0" collapsed="false">
      <c r="B3528" s="244"/>
      <c r="C3528" s="245"/>
      <c r="D3528" s="245"/>
      <c r="E3528" s="246"/>
      <c r="F3528" s="246"/>
      <c r="G3528" s="225" t="e">
        <f aca="false">VLOOKUP(B3528,'NIVEL ENERO'!A:F,4,0)</f>
        <v>#N/A</v>
      </c>
      <c r="H3528" s="247"/>
      <c r="I3528" s="247"/>
      <c r="J3528" s="246"/>
      <c r="K3528" s="246"/>
      <c r="L3528" s="226"/>
      <c r="M3528" s="226"/>
      <c r="N3528" s="246"/>
      <c r="O3528" s="246"/>
      <c r="P3528" s="228"/>
      <c r="Q3528" s="245"/>
      <c r="R3528" s="186" t="str">
        <f aca="false">+PROPER(C3528&amp;" "&amp;D3528)</f>
        <v> </v>
      </c>
      <c r="S3528" s="230" t="n">
        <f aca="false">+YEARFRAC(L3528,$S$1)</f>
        <v>126.366666666667</v>
      </c>
      <c r="T3528" s="230" t="n">
        <f aca="false">+YEARFRAC(M3528,$S$1)</f>
        <v>126.366666666667</v>
      </c>
      <c r="U3528" s="231" t="n">
        <f aca="false">+$I3528</f>
        <v>0</v>
      </c>
      <c r="V3528" s="232" t="str">
        <f aca="false">+PROPER(F3528)</f>
        <v/>
      </c>
    </row>
    <row r="3529" customFormat="false" ht="14.25" hidden="false" customHeight="false" outlineLevel="0" collapsed="false">
      <c r="B3529" s="244"/>
      <c r="C3529" s="245"/>
      <c r="D3529" s="245"/>
      <c r="E3529" s="246"/>
      <c r="F3529" s="246"/>
      <c r="G3529" s="225" t="e">
        <f aca="false">VLOOKUP(B3529,'NIVEL ENERO'!A:F,4,0)</f>
        <v>#N/A</v>
      </c>
      <c r="H3529" s="247"/>
      <c r="I3529" s="247"/>
      <c r="J3529" s="246"/>
      <c r="K3529" s="246"/>
      <c r="L3529" s="226"/>
      <c r="M3529" s="226"/>
      <c r="N3529" s="246"/>
      <c r="O3529" s="246"/>
      <c r="P3529" s="228"/>
      <c r="Q3529" s="245"/>
      <c r="R3529" s="186" t="str">
        <f aca="false">+PROPER(C3529&amp;" "&amp;D3529)</f>
        <v> </v>
      </c>
      <c r="S3529" s="230" t="n">
        <f aca="false">+YEARFRAC(L3529,$S$1)</f>
        <v>126.366666666667</v>
      </c>
      <c r="T3529" s="230" t="n">
        <f aca="false">+YEARFRAC(M3529,$S$1)</f>
        <v>126.366666666667</v>
      </c>
      <c r="U3529" s="231" t="n">
        <f aca="false">+$I3529</f>
        <v>0</v>
      </c>
      <c r="V3529" s="232" t="str">
        <f aca="false">+PROPER(F3529)</f>
        <v/>
      </c>
    </row>
    <row r="3530" customFormat="false" ht="14.25" hidden="false" customHeight="false" outlineLevel="0" collapsed="false">
      <c r="B3530" s="244"/>
      <c r="C3530" s="245"/>
      <c r="D3530" s="245"/>
      <c r="E3530" s="246"/>
      <c r="F3530" s="246"/>
      <c r="G3530" s="225" t="e">
        <f aca="false">VLOOKUP(B3530,'NIVEL ENERO'!A:F,4,0)</f>
        <v>#N/A</v>
      </c>
      <c r="H3530" s="247"/>
      <c r="I3530" s="247"/>
      <c r="J3530" s="246"/>
      <c r="K3530" s="246"/>
      <c r="L3530" s="226"/>
      <c r="M3530" s="226"/>
      <c r="N3530" s="246"/>
      <c r="O3530" s="246"/>
      <c r="P3530" s="228"/>
      <c r="Q3530" s="245"/>
      <c r="R3530" s="186" t="str">
        <f aca="false">+PROPER(C3530&amp;" "&amp;D3530)</f>
        <v> </v>
      </c>
      <c r="S3530" s="230" t="n">
        <f aca="false">+YEARFRAC(L3530,$S$1)</f>
        <v>126.366666666667</v>
      </c>
      <c r="T3530" s="230" t="n">
        <f aca="false">+YEARFRAC(M3530,$S$1)</f>
        <v>126.366666666667</v>
      </c>
      <c r="U3530" s="231" t="n">
        <f aca="false">+$I3530</f>
        <v>0</v>
      </c>
      <c r="V3530" s="232" t="str">
        <f aca="false">+PROPER(F3530)</f>
        <v/>
      </c>
    </row>
    <row r="3531" customFormat="false" ht="14.25" hidden="false" customHeight="false" outlineLevel="0" collapsed="false">
      <c r="B3531" s="244"/>
      <c r="C3531" s="245"/>
      <c r="D3531" s="245"/>
      <c r="E3531" s="246"/>
      <c r="F3531" s="246"/>
      <c r="G3531" s="225" t="e">
        <f aca="false">VLOOKUP(B3531,'NIVEL ENERO'!A:F,4,0)</f>
        <v>#N/A</v>
      </c>
      <c r="H3531" s="247"/>
      <c r="I3531" s="247"/>
      <c r="J3531" s="246"/>
      <c r="K3531" s="246"/>
      <c r="L3531" s="226"/>
      <c r="M3531" s="226"/>
      <c r="N3531" s="246"/>
      <c r="O3531" s="246"/>
      <c r="P3531" s="228"/>
      <c r="Q3531" s="245"/>
      <c r="R3531" s="186" t="str">
        <f aca="false">+PROPER(C3531&amp;" "&amp;D3531)</f>
        <v> </v>
      </c>
      <c r="S3531" s="230" t="n">
        <f aca="false">+YEARFRAC(L3531,$S$1)</f>
        <v>126.366666666667</v>
      </c>
      <c r="T3531" s="230" t="n">
        <f aca="false">+YEARFRAC(M3531,$S$1)</f>
        <v>126.366666666667</v>
      </c>
      <c r="U3531" s="231" t="n">
        <f aca="false">+$I3531</f>
        <v>0</v>
      </c>
      <c r="V3531" s="232" t="str">
        <f aca="false">+PROPER(F3531)</f>
        <v/>
      </c>
    </row>
    <row r="3532" customFormat="false" ht="14.25" hidden="false" customHeight="false" outlineLevel="0" collapsed="false">
      <c r="B3532" s="244"/>
      <c r="C3532" s="245"/>
      <c r="D3532" s="245"/>
      <c r="E3532" s="246"/>
      <c r="F3532" s="246"/>
      <c r="G3532" s="225" t="e">
        <f aca="false">VLOOKUP(B3532,'NIVEL ENERO'!A:F,4,0)</f>
        <v>#N/A</v>
      </c>
      <c r="H3532" s="247"/>
      <c r="I3532" s="247"/>
      <c r="J3532" s="246"/>
      <c r="K3532" s="246"/>
      <c r="L3532" s="226"/>
      <c r="M3532" s="226"/>
      <c r="N3532" s="246"/>
      <c r="O3532" s="246"/>
      <c r="P3532" s="228"/>
      <c r="Q3532" s="245"/>
      <c r="R3532" s="186" t="str">
        <f aca="false">+PROPER(C3532&amp;" "&amp;D3532)</f>
        <v> </v>
      </c>
      <c r="S3532" s="230" t="n">
        <f aca="false">+YEARFRAC(L3532,$S$1)</f>
        <v>126.366666666667</v>
      </c>
      <c r="T3532" s="230" t="n">
        <f aca="false">+YEARFRAC(M3532,$S$1)</f>
        <v>126.366666666667</v>
      </c>
      <c r="U3532" s="231" t="n">
        <f aca="false">+$I3532</f>
        <v>0</v>
      </c>
      <c r="V3532" s="232" t="str">
        <f aca="false">+PROPER(F3532)</f>
        <v/>
      </c>
    </row>
    <row r="3533" customFormat="false" ht="14.25" hidden="false" customHeight="false" outlineLevel="0" collapsed="false">
      <c r="B3533" s="244"/>
      <c r="C3533" s="245"/>
      <c r="D3533" s="245"/>
      <c r="E3533" s="246"/>
      <c r="F3533" s="246"/>
      <c r="G3533" s="225" t="e">
        <f aca="false">VLOOKUP(B3533,'NIVEL ENERO'!A:F,4,0)</f>
        <v>#N/A</v>
      </c>
      <c r="H3533" s="247"/>
      <c r="I3533" s="247"/>
      <c r="J3533" s="246"/>
      <c r="K3533" s="246"/>
      <c r="L3533" s="226"/>
      <c r="M3533" s="226"/>
      <c r="N3533" s="246"/>
      <c r="O3533" s="246"/>
      <c r="P3533" s="228"/>
      <c r="Q3533" s="245"/>
      <c r="R3533" s="186" t="str">
        <f aca="false">+PROPER(C3533&amp;" "&amp;D3533)</f>
        <v> </v>
      </c>
      <c r="S3533" s="230" t="n">
        <f aca="false">+YEARFRAC(L3533,$S$1)</f>
        <v>126.366666666667</v>
      </c>
      <c r="T3533" s="230" t="n">
        <f aca="false">+YEARFRAC(M3533,$S$1)</f>
        <v>126.366666666667</v>
      </c>
      <c r="U3533" s="231" t="n">
        <f aca="false">+$I3533</f>
        <v>0</v>
      </c>
      <c r="V3533" s="232" t="str">
        <f aca="false">+PROPER(F3533)</f>
        <v/>
      </c>
    </row>
    <row r="3534" customFormat="false" ht="14.25" hidden="false" customHeight="false" outlineLevel="0" collapsed="false">
      <c r="B3534" s="244"/>
      <c r="C3534" s="245"/>
      <c r="D3534" s="245"/>
      <c r="E3534" s="246"/>
      <c r="F3534" s="246"/>
      <c r="G3534" s="225" t="e">
        <f aca="false">VLOOKUP(B3534,'NIVEL ENERO'!A:F,4,0)</f>
        <v>#N/A</v>
      </c>
      <c r="H3534" s="247"/>
      <c r="I3534" s="247"/>
      <c r="J3534" s="246"/>
      <c r="K3534" s="246"/>
      <c r="L3534" s="226"/>
      <c r="M3534" s="226"/>
      <c r="N3534" s="246"/>
      <c r="O3534" s="246"/>
      <c r="P3534" s="228"/>
      <c r="Q3534" s="245"/>
      <c r="R3534" s="186" t="str">
        <f aca="false">+PROPER(C3534&amp;" "&amp;D3534)</f>
        <v> </v>
      </c>
      <c r="S3534" s="230" t="n">
        <f aca="false">+YEARFRAC(L3534,$S$1)</f>
        <v>126.366666666667</v>
      </c>
      <c r="T3534" s="230" t="n">
        <f aca="false">+YEARFRAC(M3534,$S$1)</f>
        <v>126.366666666667</v>
      </c>
      <c r="U3534" s="231" t="n">
        <f aca="false">+$I3534</f>
        <v>0</v>
      </c>
      <c r="V3534" s="232" t="str">
        <f aca="false">+PROPER(F3534)</f>
        <v/>
      </c>
    </row>
    <row r="3535" customFormat="false" ht="14.25" hidden="false" customHeight="false" outlineLevel="0" collapsed="false">
      <c r="B3535" s="244"/>
      <c r="C3535" s="245"/>
      <c r="D3535" s="245"/>
      <c r="E3535" s="246"/>
      <c r="F3535" s="246"/>
      <c r="G3535" s="225" t="e">
        <f aca="false">VLOOKUP(B3535,'NIVEL ENERO'!A:F,4,0)</f>
        <v>#N/A</v>
      </c>
      <c r="H3535" s="247"/>
      <c r="I3535" s="247"/>
      <c r="J3535" s="246"/>
      <c r="K3535" s="246"/>
      <c r="L3535" s="226"/>
      <c r="M3535" s="226"/>
      <c r="N3535" s="246"/>
      <c r="O3535" s="246"/>
      <c r="P3535" s="228"/>
      <c r="Q3535" s="245"/>
      <c r="R3535" s="186" t="str">
        <f aca="false">+PROPER(C3535&amp;" "&amp;D3535)</f>
        <v> </v>
      </c>
      <c r="S3535" s="230" t="n">
        <f aca="false">+YEARFRAC(L3535,$S$1)</f>
        <v>126.366666666667</v>
      </c>
      <c r="T3535" s="230" t="n">
        <f aca="false">+YEARFRAC(M3535,$S$1)</f>
        <v>126.366666666667</v>
      </c>
      <c r="U3535" s="231" t="n">
        <f aca="false">+$I3535</f>
        <v>0</v>
      </c>
      <c r="V3535" s="232" t="str">
        <f aca="false">+PROPER(F3535)</f>
        <v/>
      </c>
    </row>
    <row r="3536" customFormat="false" ht="14.25" hidden="false" customHeight="false" outlineLevel="0" collapsed="false">
      <c r="B3536" s="244"/>
      <c r="C3536" s="245"/>
      <c r="D3536" s="245"/>
      <c r="E3536" s="246"/>
      <c r="F3536" s="246"/>
      <c r="G3536" s="225" t="e">
        <f aca="false">VLOOKUP(B3536,'NIVEL ENERO'!A:F,4,0)</f>
        <v>#N/A</v>
      </c>
      <c r="H3536" s="247"/>
      <c r="I3536" s="247"/>
      <c r="J3536" s="246"/>
      <c r="K3536" s="246"/>
      <c r="L3536" s="226"/>
      <c r="M3536" s="226"/>
      <c r="N3536" s="246"/>
      <c r="O3536" s="246"/>
      <c r="P3536" s="228"/>
      <c r="Q3536" s="245"/>
      <c r="R3536" s="186" t="str">
        <f aca="false">+PROPER(C3536&amp;" "&amp;D3536)</f>
        <v> </v>
      </c>
      <c r="S3536" s="230" t="n">
        <f aca="false">+YEARFRAC(L3536,$S$1)</f>
        <v>126.366666666667</v>
      </c>
      <c r="T3536" s="230" t="n">
        <f aca="false">+YEARFRAC(M3536,$S$1)</f>
        <v>126.366666666667</v>
      </c>
      <c r="U3536" s="231" t="n">
        <f aca="false">+$I3536</f>
        <v>0</v>
      </c>
      <c r="V3536" s="232" t="str">
        <f aca="false">+PROPER(F3536)</f>
        <v/>
      </c>
    </row>
    <row r="3537" customFormat="false" ht="14.25" hidden="false" customHeight="false" outlineLevel="0" collapsed="false">
      <c r="B3537" s="244"/>
      <c r="C3537" s="245"/>
      <c r="D3537" s="245"/>
      <c r="E3537" s="246"/>
      <c r="F3537" s="246"/>
      <c r="G3537" s="225" t="e">
        <f aca="false">VLOOKUP(B3537,'NIVEL ENERO'!A:F,4,0)</f>
        <v>#N/A</v>
      </c>
      <c r="H3537" s="247"/>
      <c r="I3537" s="247"/>
      <c r="J3537" s="246"/>
      <c r="K3537" s="246"/>
      <c r="L3537" s="226"/>
      <c r="M3537" s="226"/>
      <c r="N3537" s="246"/>
      <c r="O3537" s="246"/>
      <c r="P3537" s="228"/>
      <c r="Q3537" s="245"/>
      <c r="R3537" s="186" t="str">
        <f aca="false">+PROPER(C3537&amp;" "&amp;D3537)</f>
        <v> </v>
      </c>
      <c r="S3537" s="230" t="n">
        <f aca="false">+YEARFRAC(L3537,$S$1)</f>
        <v>126.366666666667</v>
      </c>
      <c r="T3537" s="230" t="n">
        <f aca="false">+YEARFRAC(M3537,$S$1)</f>
        <v>126.366666666667</v>
      </c>
      <c r="U3537" s="231" t="n">
        <f aca="false">+$I3537</f>
        <v>0</v>
      </c>
      <c r="V3537" s="232" t="str">
        <f aca="false">+PROPER(F3537)</f>
        <v/>
      </c>
    </row>
    <row r="3538" customFormat="false" ht="14.25" hidden="false" customHeight="false" outlineLevel="0" collapsed="false">
      <c r="B3538" s="244"/>
      <c r="C3538" s="245"/>
      <c r="D3538" s="245"/>
      <c r="E3538" s="246"/>
      <c r="F3538" s="246"/>
      <c r="G3538" s="225" t="e">
        <f aca="false">VLOOKUP(B3538,'NIVEL ENERO'!A:F,4,0)</f>
        <v>#N/A</v>
      </c>
      <c r="H3538" s="247"/>
      <c r="I3538" s="247"/>
      <c r="J3538" s="246"/>
      <c r="K3538" s="246"/>
      <c r="L3538" s="226"/>
      <c r="M3538" s="226"/>
      <c r="N3538" s="246"/>
      <c r="O3538" s="246"/>
      <c r="P3538" s="228"/>
      <c r="Q3538" s="245"/>
      <c r="R3538" s="186" t="str">
        <f aca="false">+PROPER(C3538&amp;" "&amp;D3538)</f>
        <v> </v>
      </c>
      <c r="S3538" s="230" t="n">
        <f aca="false">+YEARFRAC(L3538,$S$1)</f>
        <v>126.366666666667</v>
      </c>
      <c r="T3538" s="230" t="n">
        <f aca="false">+YEARFRAC(M3538,$S$1)</f>
        <v>126.366666666667</v>
      </c>
      <c r="U3538" s="231" t="n">
        <f aca="false">+$I3538</f>
        <v>0</v>
      </c>
      <c r="V3538" s="232" t="str">
        <f aca="false">+PROPER(F3538)</f>
        <v/>
      </c>
    </row>
    <row r="3539" customFormat="false" ht="14.25" hidden="false" customHeight="false" outlineLevel="0" collapsed="false">
      <c r="B3539" s="244"/>
      <c r="C3539" s="245"/>
      <c r="D3539" s="245"/>
      <c r="E3539" s="246"/>
      <c r="F3539" s="246"/>
      <c r="G3539" s="225" t="e">
        <f aca="false">VLOOKUP(B3539,'NIVEL ENERO'!A:F,4,0)</f>
        <v>#N/A</v>
      </c>
      <c r="H3539" s="247"/>
      <c r="I3539" s="247"/>
      <c r="J3539" s="246"/>
      <c r="K3539" s="246"/>
      <c r="L3539" s="226"/>
      <c r="M3539" s="226"/>
      <c r="N3539" s="246"/>
      <c r="O3539" s="246"/>
      <c r="P3539" s="228"/>
      <c r="Q3539" s="245"/>
      <c r="R3539" s="186" t="str">
        <f aca="false">+PROPER(C3539&amp;" "&amp;D3539)</f>
        <v> </v>
      </c>
      <c r="S3539" s="230" t="n">
        <f aca="false">+YEARFRAC(L3539,$S$1)</f>
        <v>126.366666666667</v>
      </c>
      <c r="T3539" s="230" t="n">
        <f aca="false">+YEARFRAC(M3539,$S$1)</f>
        <v>126.366666666667</v>
      </c>
      <c r="U3539" s="231" t="n">
        <f aca="false">+$I3539</f>
        <v>0</v>
      </c>
      <c r="V3539" s="232" t="str">
        <f aca="false">+PROPER(F3539)</f>
        <v/>
      </c>
    </row>
    <row r="3540" customFormat="false" ht="14.25" hidden="false" customHeight="false" outlineLevel="0" collapsed="false">
      <c r="B3540" s="244"/>
      <c r="C3540" s="245"/>
      <c r="D3540" s="245"/>
      <c r="E3540" s="246"/>
      <c r="F3540" s="246"/>
      <c r="G3540" s="225" t="e">
        <f aca="false">VLOOKUP(B3540,'NIVEL ENERO'!A:F,4,0)</f>
        <v>#N/A</v>
      </c>
      <c r="H3540" s="247"/>
      <c r="I3540" s="247"/>
      <c r="J3540" s="246"/>
      <c r="K3540" s="246"/>
      <c r="L3540" s="226"/>
      <c r="M3540" s="226"/>
      <c r="N3540" s="246"/>
      <c r="O3540" s="246"/>
      <c r="P3540" s="228"/>
      <c r="Q3540" s="245"/>
      <c r="R3540" s="186" t="str">
        <f aca="false">+PROPER(C3540&amp;" "&amp;D3540)</f>
        <v> </v>
      </c>
      <c r="S3540" s="230" t="n">
        <f aca="false">+YEARFRAC(L3540,$S$1)</f>
        <v>126.366666666667</v>
      </c>
      <c r="T3540" s="230" t="n">
        <f aca="false">+YEARFRAC(M3540,$S$1)</f>
        <v>126.366666666667</v>
      </c>
      <c r="U3540" s="231" t="n">
        <f aca="false">+$I3540</f>
        <v>0</v>
      </c>
      <c r="V3540" s="232" t="str">
        <f aca="false">+PROPER(F3540)</f>
        <v/>
      </c>
    </row>
    <row r="3541" customFormat="false" ht="14.25" hidden="false" customHeight="false" outlineLevel="0" collapsed="false">
      <c r="B3541" s="244"/>
      <c r="C3541" s="245"/>
      <c r="D3541" s="245"/>
      <c r="E3541" s="246"/>
      <c r="F3541" s="246"/>
      <c r="G3541" s="225" t="e">
        <f aca="false">VLOOKUP(B3541,'NIVEL ENERO'!A:F,4,0)</f>
        <v>#N/A</v>
      </c>
      <c r="H3541" s="247"/>
      <c r="I3541" s="247"/>
      <c r="J3541" s="246"/>
      <c r="K3541" s="246"/>
      <c r="L3541" s="226"/>
      <c r="M3541" s="226"/>
      <c r="N3541" s="246"/>
      <c r="O3541" s="246"/>
      <c r="P3541" s="228"/>
      <c r="Q3541" s="245"/>
      <c r="R3541" s="186" t="str">
        <f aca="false">+PROPER(C3541&amp;" "&amp;D3541)</f>
        <v> </v>
      </c>
      <c r="S3541" s="230" t="n">
        <f aca="false">+YEARFRAC(L3541,$S$1)</f>
        <v>126.366666666667</v>
      </c>
      <c r="T3541" s="230" t="n">
        <f aca="false">+YEARFRAC(M3541,$S$1)</f>
        <v>126.366666666667</v>
      </c>
      <c r="U3541" s="231" t="n">
        <f aca="false">+$I3541</f>
        <v>0</v>
      </c>
      <c r="V3541" s="232" t="str">
        <f aca="false">+PROPER(F3541)</f>
        <v/>
      </c>
    </row>
    <row r="3542" customFormat="false" ht="14.25" hidden="false" customHeight="false" outlineLevel="0" collapsed="false">
      <c r="B3542" s="244"/>
      <c r="C3542" s="245"/>
      <c r="D3542" s="245"/>
      <c r="E3542" s="246"/>
      <c r="F3542" s="246"/>
      <c r="G3542" s="225" t="e">
        <f aca="false">VLOOKUP(B3542,'NIVEL ENERO'!A:F,4,0)</f>
        <v>#N/A</v>
      </c>
      <c r="H3542" s="247"/>
      <c r="I3542" s="247"/>
      <c r="J3542" s="246"/>
      <c r="K3542" s="246"/>
      <c r="L3542" s="226"/>
      <c r="M3542" s="226"/>
      <c r="N3542" s="246"/>
      <c r="O3542" s="246"/>
      <c r="P3542" s="228"/>
      <c r="Q3542" s="245"/>
      <c r="R3542" s="186" t="str">
        <f aca="false">+PROPER(C3542&amp;" "&amp;D3542)</f>
        <v> </v>
      </c>
      <c r="S3542" s="230" t="n">
        <f aca="false">+YEARFRAC(L3542,$S$1)</f>
        <v>126.366666666667</v>
      </c>
      <c r="T3542" s="230" t="n">
        <f aca="false">+YEARFRAC(M3542,$S$1)</f>
        <v>126.366666666667</v>
      </c>
      <c r="U3542" s="231" t="n">
        <f aca="false">+$I3542</f>
        <v>0</v>
      </c>
      <c r="V3542" s="232" t="str">
        <f aca="false">+PROPER(F3542)</f>
        <v/>
      </c>
    </row>
    <row r="3543" customFormat="false" ht="14.25" hidden="false" customHeight="false" outlineLevel="0" collapsed="false">
      <c r="B3543" s="244"/>
      <c r="C3543" s="245"/>
      <c r="D3543" s="245"/>
      <c r="E3543" s="246"/>
      <c r="F3543" s="246"/>
      <c r="G3543" s="225" t="e">
        <f aca="false">VLOOKUP(B3543,'NIVEL ENERO'!A:F,4,0)</f>
        <v>#N/A</v>
      </c>
      <c r="H3543" s="247"/>
      <c r="I3543" s="247"/>
      <c r="J3543" s="246"/>
      <c r="K3543" s="246"/>
      <c r="L3543" s="226"/>
      <c r="M3543" s="226"/>
      <c r="N3543" s="246"/>
      <c r="O3543" s="246"/>
      <c r="P3543" s="228"/>
      <c r="Q3543" s="245"/>
      <c r="R3543" s="186" t="str">
        <f aca="false">+PROPER(C3543&amp;" "&amp;D3543)</f>
        <v> </v>
      </c>
      <c r="S3543" s="230" t="n">
        <f aca="false">+YEARFRAC(L3543,$S$1)</f>
        <v>126.366666666667</v>
      </c>
      <c r="T3543" s="230" t="n">
        <f aca="false">+YEARFRAC(M3543,$S$1)</f>
        <v>126.366666666667</v>
      </c>
      <c r="U3543" s="231" t="n">
        <f aca="false">+$I3543</f>
        <v>0</v>
      </c>
      <c r="V3543" s="232" t="str">
        <f aca="false">+PROPER(F3543)</f>
        <v/>
      </c>
    </row>
    <row r="3544" customFormat="false" ht="14.25" hidden="false" customHeight="false" outlineLevel="0" collapsed="false">
      <c r="B3544" s="244"/>
      <c r="C3544" s="245"/>
      <c r="D3544" s="245"/>
      <c r="E3544" s="246"/>
      <c r="F3544" s="246"/>
      <c r="G3544" s="225" t="e">
        <f aca="false">VLOOKUP(B3544,'NIVEL ENERO'!A:F,4,0)</f>
        <v>#N/A</v>
      </c>
      <c r="H3544" s="247"/>
      <c r="I3544" s="247"/>
      <c r="J3544" s="246"/>
      <c r="K3544" s="246"/>
      <c r="L3544" s="226"/>
      <c r="M3544" s="226"/>
      <c r="N3544" s="246"/>
      <c r="O3544" s="246"/>
      <c r="P3544" s="228"/>
      <c r="Q3544" s="245"/>
      <c r="R3544" s="186" t="str">
        <f aca="false">+PROPER(C3544&amp;" "&amp;D3544)</f>
        <v> </v>
      </c>
      <c r="S3544" s="230" t="n">
        <f aca="false">+YEARFRAC(L3544,$S$1)</f>
        <v>126.366666666667</v>
      </c>
      <c r="T3544" s="230" t="n">
        <f aca="false">+YEARFRAC(M3544,$S$1)</f>
        <v>126.366666666667</v>
      </c>
      <c r="U3544" s="231" t="n">
        <f aca="false">+$I3544</f>
        <v>0</v>
      </c>
      <c r="V3544" s="232" t="str">
        <f aca="false">+PROPER(F3544)</f>
        <v/>
      </c>
    </row>
    <row r="3545" customFormat="false" ht="14.25" hidden="false" customHeight="false" outlineLevel="0" collapsed="false">
      <c r="B3545" s="244"/>
      <c r="C3545" s="245"/>
      <c r="D3545" s="245"/>
      <c r="E3545" s="246"/>
      <c r="F3545" s="246"/>
      <c r="G3545" s="225" t="e">
        <f aca="false">VLOOKUP(B3545,'NIVEL ENERO'!A:F,4,0)</f>
        <v>#N/A</v>
      </c>
      <c r="H3545" s="247"/>
      <c r="I3545" s="247"/>
      <c r="J3545" s="246"/>
      <c r="K3545" s="246"/>
      <c r="L3545" s="226"/>
      <c r="M3545" s="226"/>
      <c r="N3545" s="246"/>
      <c r="O3545" s="246"/>
      <c r="P3545" s="228"/>
      <c r="Q3545" s="245"/>
      <c r="R3545" s="186" t="str">
        <f aca="false">+PROPER(C3545&amp;" "&amp;D3545)</f>
        <v> </v>
      </c>
      <c r="S3545" s="230" t="n">
        <f aca="false">+YEARFRAC(L3545,$S$1)</f>
        <v>126.366666666667</v>
      </c>
      <c r="T3545" s="230" t="n">
        <f aca="false">+YEARFRAC(M3545,$S$1)</f>
        <v>126.366666666667</v>
      </c>
      <c r="U3545" s="231" t="n">
        <f aca="false">+$I3545</f>
        <v>0</v>
      </c>
      <c r="V3545" s="232" t="str">
        <f aca="false">+PROPER(F3545)</f>
        <v/>
      </c>
    </row>
    <row r="3546" customFormat="false" ht="14.25" hidden="false" customHeight="false" outlineLevel="0" collapsed="false">
      <c r="B3546" s="244"/>
      <c r="C3546" s="245"/>
      <c r="D3546" s="245"/>
      <c r="E3546" s="246"/>
      <c r="F3546" s="246"/>
      <c r="G3546" s="225" t="e">
        <f aca="false">VLOOKUP(B3546,'NIVEL ENERO'!A:F,4,0)</f>
        <v>#N/A</v>
      </c>
      <c r="H3546" s="247"/>
      <c r="I3546" s="247"/>
      <c r="J3546" s="246"/>
      <c r="K3546" s="246"/>
      <c r="L3546" s="226"/>
      <c r="M3546" s="226"/>
      <c r="N3546" s="246"/>
      <c r="O3546" s="246"/>
      <c r="P3546" s="228"/>
      <c r="Q3546" s="245"/>
      <c r="R3546" s="186" t="str">
        <f aca="false">+PROPER(C3546&amp;" "&amp;D3546)</f>
        <v> </v>
      </c>
      <c r="S3546" s="230" t="n">
        <f aca="false">+YEARFRAC(L3546,$S$1)</f>
        <v>126.366666666667</v>
      </c>
      <c r="T3546" s="230" t="n">
        <f aca="false">+YEARFRAC(M3546,$S$1)</f>
        <v>126.366666666667</v>
      </c>
      <c r="U3546" s="231" t="n">
        <f aca="false">+$I3546</f>
        <v>0</v>
      </c>
      <c r="V3546" s="232" t="str">
        <f aca="false">+PROPER(F3546)</f>
        <v/>
      </c>
    </row>
    <row r="3547" customFormat="false" ht="14.25" hidden="false" customHeight="false" outlineLevel="0" collapsed="false">
      <c r="B3547" s="244"/>
      <c r="C3547" s="245"/>
      <c r="D3547" s="245"/>
      <c r="E3547" s="246"/>
      <c r="F3547" s="246"/>
      <c r="G3547" s="225" t="e">
        <f aca="false">VLOOKUP(B3547,'NIVEL ENERO'!A:F,4,0)</f>
        <v>#N/A</v>
      </c>
      <c r="H3547" s="247"/>
      <c r="I3547" s="247"/>
      <c r="J3547" s="246"/>
      <c r="K3547" s="246"/>
      <c r="L3547" s="226"/>
      <c r="M3547" s="226"/>
      <c r="N3547" s="246"/>
      <c r="O3547" s="246"/>
      <c r="P3547" s="228"/>
      <c r="Q3547" s="245"/>
      <c r="R3547" s="186" t="str">
        <f aca="false">+PROPER(C3547&amp;" "&amp;D3547)</f>
        <v> </v>
      </c>
      <c r="S3547" s="230" t="n">
        <f aca="false">+YEARFRAC(L3547,$S$1)</f>
        <v>126.366666666667</v>
      </c>
      <c r="T3547" s="230" t="n">
        <f aca="false">+YEARFRAC(M3547,$S$1)</f>
        <v>126.366666666667</v>
      </c>
      <c r="U3547" s="231" t="n">
        <f aca="false">+$I3547</f>
        <v>0</v>
      </c>
      <c r="V3547" s="232" t="str">
        <f aca="false">+PROPER(F3547)</f>
        <v/>
      </c>
    </row>
    <row r="3548" customFormat="false" ht="14.25" hidden="false" customHeight="false" outlineLevel="0" collapsed="false">
      <c r="B3548" s="244"/>
      <c r="C3548" s="245"/>
      <c r="D3548" s="245"/>
      <c r="E3548" s="246"/>
      <c r="F3548" s="246"/>
      <c r="G3548" s="225" t="e">
        <f aca="false">VLOOKUP(B3548,'NIVEL ENERO'!A:F,4,0)</f>
        <v>#N/A</v>
      </c>
      <c r="H3548" s="247"/>
      <c r="I3548" s="247"/>
      <c r="J3548" s="246"/>
      <c r="K3548" s="246"/>
      <c r="L3548" s="226"/>
      <c r="M3548" s="226"/>
      <c r="N3548" s="246"/>
      <c r="O3548" s="246"/>
      <c r="P3548" s="228"/>
      <c r="Q3548" s="245"/>
      <c r="R3548" s="186" t="str">
        <f aca="false">+PROPER(C3548&amp;" "&amp;D3548)</f>
        <v> </v>
      </c>
      <c r="S3548" s="230" t="n">
        <f aca="false">+YEARFRAC(L3548,$S$1)</f>
        <v>126.366666666667</v>
      </c>
      <c r="T3548" s="230" t="n">
        <f aca="false">+YEARFRAC(M3548,$S$1)</f>
        <v>126.366666666667</v>
      </c>
      <c r="U3548" s="231" t="n">
        <f aca="false">+$I3548</f>
        <v>0</v>
      </c>
      <c r="V3548" s="232" t="str">
        <f aca="false">+PROPER(F3548)</f>
        <v/>
      </c>
    </row>
    <row r="3549" customFormat="false" ht="14.25" hidden="false" customHeight="false" outlineLevel="0" collapsed="false">
      <c r="B3549" s="244"/>
      <c r="C3549" s="245"/>
      <c r="D3549" s="245"/>
      <c r="E3549" s="246"/>
      <c r="F3549" s="246"/>
      <c r="G3549" s="225" t="e">
        <f aca="false">VLOOKUP(B3549,'NIVEL ENERO'!A:F,4,0)</f>
        <v>#N/A</v>
      </c>
      <c r="H3549" s="247"/>
      <c r="I3549" s="247"/>
      <c r="J3549" s="246"/>
      <c r="K3549" s="246"/>
      <c r="L3549" s="226"/>
      <c r="M3549" s="226"/>
      <c r="N3549" s="246"/>
      <c r="O3549" s="246"/>
      <c r="P3549" s="228"/>
      <c r="Q3549" s="245"/>
      <c r="R3549" s="186" t="str">
        <f aca="false">+PROPER(C3549&amp;" "&amp;D3549)</f>
        <v> </v>
      </c>
      <c r="S3549" s="230" t="n">
        <f aca="false">+YEARFRAC(L3549,$S$1)</f>
        <v>126.366666666667</v>
      </c>
      <c r="T3549" s="230" t="n">
        <f aca="false">+YEARFRAC(M3549,$S$1)</f>
        <v>126.366666666667</v>
      </c>
      <c r="U3549" s="231" t="n">
        <f aca="false">+$I3549</f>
        <v>0</v>
      </c>
      <c r="V3549" s="232" t="str">
        <f aca="false">+PROPER(F3549)</f>
        <v/>
      </c>
    </row>
    <row r="3550" customFormat="false" ht="14.25" hidden="false" customHeight="false" outlineLevel="0" collapsed="false">
      <c r="B3550" s="244"/>
      <c r="C3550" s="245"/>
      <c r="D3550" s="245"/>
      <c r="E3550" s="246"/>
      <c r="F3550" s="246"/>
      <c r="G3550" s="225" t="e">
        <f aca="false">VLOOKUP(B3550,'NIVEL ENERO'!A:F,4,0)</f>
        <v>#N/A</v>
      </c>
      <c r="H3550" s="247"/>
      <c r="I3550" s="247"/>
      <c r="J3550" s="246"/>
      <c r="K3550" s="246"/>
      <c r="L3550" s="226"/>
      <c r="M3550" s="226"/>
      <c r="N3550" s="246"/>
      <c r="O3550" s="246"/>
      <c r="P3550" s="228"/>
      <c r="Q3550" s="245"/>
      <c r="R3550" s="186" t="str">
        <f aca="false">+PROPER(C3550&amp;" "&amp;D3550)</f>
        <v> </v>
      </c>
      <c r="S3550" s="230" t="n">
        <f aca="false">+YEARFRAC(L3550,$S$1)</f>
        <v>126.366666666667</v>
      </c>
      <c r="T3550" s="230" t="n">
        <f aca="false">+YEARFRAC(M3550,$S$1)</f>
        <v>126.366666666667</v>
      </c>
      <c r="U3550" s="231" t="n">
        <f aca="false">+$I3550</f>
        <v>0</v>
      </c>
      <c r="V3550" s="232" t="str">
        <f aca="false">+PROPER(F3550)</f>
        <v/>
      </c>
    </row>
    <row r="3551" customFormat="false" ht="14.25" hidden="false" customHeight="false" outlineLevel="0" collapsed="false">
      <c r="B3551" s="244"/>
      <c r="C3551" s="245"/>
      <c r="D3551" s="245"/>
      <c r="E3551" s="246"/>
      <c r="F3551" s="246"/>
      <c r="G3551" s="225" t="e">
        <f aca="false">VLOOKUP(B3551,'NIVEL ENERO'!A:F,4,0)</f>
        <v>#N/A</v>
      </c>
      <c r="H3551" s="247"/>
      <c r="I3551" s="247"/>
      <c r="J3551" s="246"/>
      <c r="K3551" s="246"/>
      <c r="L3551" s="226"/>
      <c r="M3551" s="226"/>
      <c r="N3551" s="246"/>
      <c r="O3551" s="246"/>
      <c r="P3551" s="228"/>
      <c r="Q3551" s="245"/>
      <c r="R3551" s="186" t="str">
        <f aca="false">+PROPER(C3551&amp;" "&amp;D3551)</f>
        <v> </v>
      </c>
      <c r="S3551" s="230" t="n">
        <f aca="false">+YEARFRAC(L3551,$S$1)</f>
        <v>126.366666666667</v>
      </c>
      <c r="T3551" s="230" t="n">
        <f aca="false">+YEARFRAC(M3551,$S$1)</f>
        <v>126.366666666667</v>
      </c>
      <c r="U3551" s="231" t="n">
        <f aca="false">+$I3551</f>
        <v>0</v>
      </c>
      <c r="V3551" s="232" t="str">
        <f aca="false">+PROPER(F3551)</f>
        <v/>
      </c>
    </row>
    <row r="3552" customFormat="false" ht="14.25" hidden="false" customHeight="false" outlineLevel="0" collapsed="false">
      <c r="B3552" s="244"/>
      <c r="C3552" s="245"/>
      <c r="D3552" s="245"/>
      <c r="E3552" s="246"/>
      <c r="F3552" s="246"/>
      <c r="G3552" s="225" t="e">
        <f aca="false">VLOOKUP(B3552,'NIVEL ENERO'!A:F,4,0)</f>
        <v>#N/A</v>
      </c>
      <c r="H3552" s="247"/>
      <c r="I3552" s="247"/>
      <c r="J3552" s="246"/>
      <c r="K3552" s="246"/>
      <c r="L3552" s="226"/>
      <c r="M3552" s="226"/>
      <c r="N3552" s="246"/>
      <c r="O3552" s="246"/>
      <c r="P3552" s="228"/>
      <c r="Q3552" s="245"/>
      <c r="R3552" s="186" t="str">
        <f aca="false">+PROPER(C3552&amp;" "&amp;D3552)</f>
        <v> </v>
      </c>
      <c r="S3552" s="230" t="n">
        <f aca="false">+YEARFRAC(L3552,$S$1)</f>
        <v>126.366666666667</v>
      </c>
      <c r="T3552" s="230" t="n">
        <f aca="false">+YEARFRAC(M3552,$S$1)</f>
        <v>126.366666666667</v>
      </c>
      <c r="U3552" s="231" t="n">
        <f aca="false">+$I3552</f>
        <v>0</v>
      </c>
      <c r="V3552" s="232" t="str">
        <f aca="false">+PROPER(F3552)</f>
        <v/>
      </c>
    </row>
    <row r="3553" customFormat="false" ht="14.25" hidden="false" customHeight="false" outlineLevel="0" collapsed="false">
      <c r="B3553" s="244"/>
      <c r="C3553" s="245"/>
      <c r="D3553" s="245"/>
      <c r="E3553" s="246"/>
      <c r="F3553" s="246"/>
      <c r="G3553" s="225" t="e">
        <f aca="false">VLOOKUP(B3553,'NIVEL ENERO'!A:F,4,0)</f>
        <v>#N/A</v>
      </c>
      <c r="H3553" s="247"/>
      <c r="I3553" s="247"/>
      <c r="J3553" s="246"/>
      <c r="K3553" s="246"/>
      <c r="L3553" s="226"/>
      <c r="M3553" s="226"/>
      <c r="N3553" s="246"/>
      <c r="O3553" s="246"/>
      <c r="P3553" s="228"/>
      <c r="Q3553" s="245"/>
      <c r="R3553" s="186" t="str">
        <f aca="false">+PROPER(C3553&amp;" "&amp;D3553)</f>
        <v> </v>
      </c>
      <c r="S3553" s="230" t="n">
        <f aca="false">+YEARFRAC(L3553,$S$1)</f>
        <v>126.366666666667</v>
      </c>
      <c r="T3553" s="230" t="n">
        <f aca="false">+YEARFRAC(M3553,$S$1)</f>
        <v>126.366666666667</v>
      </c>
      <c r="U3553" s="231" t="n">
        <f aca="false">+$I3553</f>
        <v>0</v>
      </c>
      <c r="V3553" s="232" t="str">
        <f aca="false">+PROPER(F3553)</f>
        <v/>
      </c>
    </row>
    <row r="3554" customFormat="false" ht="14.25" hidden="false" customHeight="false" outlineLevel="0" collapsed="false">
      <c r="B3554" s="244"/>
      <c r="C3554" s="245"/>
      <c r="D3554" s="245"/>
      <c r="E3554" s="246"/>
      <c r="F3554" s="246"/>
      <c r="G3554" s="225" t="e">
        <f aca="false">VLOOKUP(B3554,'NIVEL ENERO'!A:F,4,0)</f>
        <v>#N/A</v>
      </c>
      <c r="H3554" s="247"/>
      <c r="I3554" s="247"/>
      <c r="J3554" s="246"/>
      <c r="K3554" s="246"/>
      <c r="L3554" s="226"/>
      <c r="M3554" s="226"/>
      <c r="N3554" s="246"/>
      <c r="O3554" s="246"/>
      <c r="P3554" s="228"/>
      <c r="Q3554" s="245"/>
      <c r="R3554" s="186" t="str">
        <f aca="false">+PROPER(C3554&amp;" "&amp;D3554)</f>
        <v> </v>
      </c>
      <c r="S3554" s="230" t="n">
        <f aca="false">+YEARFRAC(L3554,$S$1)</f>
        <v>126.366666666667</v>
      </c>
      <c r="T3554" s="230" t="n">
        <f aca="false">+YEARFRAC(M3554,$S$1)</f>
        <v>126.366666666667</v>
      </c>
      <c r="U3554" s="231" t="n">
        <f aca="false">+$I3554</f>
        <v>0</v>
      </c>
      <c r="V3554" s="232" t="str">
        <f aca="false">+PROPER(F3554)</f>
        <v/>
      </c>
    </row>
    <row r="3555" customFormat="false" ht="14.25" hidden="false" customHeight="false" outlineLevel="0" collapsed="false">
      <c r="B3555" s="244"/>
      <c r="C3555" s="245"/>
      <c r="D3555" s="245"/>
      <c r="E3555" s="246"/>
      <c r="F3555" s="246"/>
      <c r="G3555" s="225" t="e">
        <f aca="false">VLOOKUP(B3555,'NIVEL ENERO'!A:F,4,0)</f>
        <v>#N/A</v>
      </c>
      <c r="H3555" s="247"/>
      <c r="I3555" s="247"/>
      <c r="J3555" s="246"/>
      <c r="K3555" s="246"/>
      <c r="L3555" s="226"/>
      <c r="M3555" s="226"/>
      <c r="N3555" s="246"/>
      <c r="O3555" s="246"/>
      <c r="P3555" s="228"/>
      <c r="Q3555" s="245"/>
      <c r="R3555" s="186" t="str">
        <f aca="false">+PROPER(C3555&amp;" "&amp;D3555)</f>
        <v> </v>
      </c>
      <c r="S3555" s="230" t="n">
        <f aca="false">+YEARFRAC(L3555,$S$1)</f>
        <v>126.366666666667</v>
      </c>
      <c r="T3555" s="230" t="n">
        <f aca="false">+YEARFRAC(M3555,$S$1)</f>
        <v>126.366666666667</v>
      </c>
      <c r="U3555" s="231" t="n">
        <f aca="false">+$I3555</f>
        <v>0</v>
      </c>
      <c r="V3555" s="232" t="str">
        <f aca="false">+PROPER(F3555)</f>
        <v/>
      </c>
    </row>
    <row r="3556" customFormat="false" ht="14.25" hidden="false" customHeight="false" outlineLevel="0" collapsed="false">
      <c r="B3556" s="244"/>
      <c r="C3556" s="245"/>
      <c r="D3556" s="245"/>
      <c r="E3556" s="246"/>
      <c r="F3556" s="246"/>
      <c r="G3556" s="225" t="e">
        <f aca="false">VLOOKUP(B3556,'NIVEL ENERO'!A:F,4,0)</f>
        <v>#N/A</v>
      </c>
      <c r="H3556" s="247"/>
      <c r="I3556" s="247"/>
      <c r="J3556" s="246"/>
      <c r="K3556" s="246"/>
      <c r="L3556" s="226"/>
      <c r="M3556" s="226"/>
      <c r="N3556" s="246"/>
      <c r="O3556" s="246"/>
      <c r="P3556" s="228"/>
      <c r="Q3556" s="245"/>
      <c r="R3556" s="186" t="str">
        <f aca="false">+PROPER(C3556&amp;" "&amp;D3556)</f>
        <v> </v>
      </c>
      <c r="S3556" s="230" t="n">
        <f aca="false">+YEARFRAC(L3556,$S$1)</f>
        <v>126.366666666667</v>
      </c>
      <c r="T3556" s="230" t="n">
        <f aca="false">+YEARFRAC(M3556,$S$1)</f>
        <v>126.366666666667</v>
      </c>
      <c r="U3556" s="231" t="n">
        <f aca="false">+$I3556</f>
        <v>0</v>
      </c>
      <c r="V3556" s="232" t="str">
        <f aca="false">+PROPER(F3556)</f>
        <v/>
      </c>
    </row>
    <row r="3557" customFormat="false" ht="14.25" hidden="false" customHeight="false" outlineLevel="0" collapsed="false">
      <c r="B3557" s="244"/>
      <c r="C3557" s="245"/>
      <c r="D3557" s="245"/>
      <c r="E3557" s="246"/>
      <c r="F3557" s="246"/>
      <c r="G3557" s="225" t="e">
        <f aca="false">VLOOKUP(B3557,'NIVEL ENERO'!A:F,4,0)</f>
        <v>#N/A</v>
      </c>
      <c r="H3557" s="247"/>
      <c r="I3557" s="247"/>
      <c r="J3557" s="246"/>
      <c r="K3557" s="246"/>
      <c r="L3557" s="226"/>
      <c r="M3557" s="226"/>
      <c r="N3557" s="246"/>
      <c r="O3557" s="246"/>
      <c r="P3557" s="228"/>
      <c r="Q3557" s="245"/>
      <c r="R3557" s="186" t="str">
        <f aca="false">+PROPER(C3557&amp;" "&amp;D3557)</f>
        <v> </v>
      </c>
      <c r="S3557" s="230" t="n">
        <f aca="false">+YEARFRAC(L3557,$S$1)</f>
        <v>126.366666666667</v>
      </c>
      <c r="T3557" s="230" t="n">
        <f aca="false">+YEARFRAC(M3557,$S$1)</f>
        <v>126.366666666667</v>
      </c>
      <c r="U3557" s="231" t="n">
        <f aca="false">+$I3557</f>
        <v>0</v>
      </c>
      <c r="V3557" s="232" t="str">
        <f aca="false">+PROPER(F3557)</f>
        <v/>
      </c>
    </row>
    <row r="3558" customFormat="false" ht="14.25" hidden="false" customHeight="false" outlineLevel="0" collapsed="false">
      <c r="B3558" s="244"/>
      <c r="C3558" s="245"/>
      <c r="D3558" s="245"/>
      <c r="E3558" s="246"/>
      <c r="F3558" s="246"/>
      <c r="G3558" s="225" t="e">
        <f aca="false">VLOOKUP(B3558,'NIVEL ENERO'!A:F,4,0)</f>
        <v>#N/A</v>
      </c>
      <c r="H3558" s="247"/>
      <c r="I3558" s="247"/>
      <c r="J3558" s="246"/>
      <c r="K3558" s="246"/>
      <c r="L3558" s="226"/>
      <c r="M3558" s="226"/>
      <c r="N3558" s="246"/>
      <c r="O3558" s="246"/>
      <c r="P3558" s="228"/>
      <c r="Q3558" s="245"/>
      <c r="R3558" s="186" t="str">
        <f aca="false">+PROPER(C3558&amp;" "&amp;D3558)</f>
        <v> </v>
      </c>
      <c r="S3558" s="230" t="n">
        <f aca="false">+YEARFRAC(L3558,$S$1)</f>
        <v>126.366666666667</v>
      </c>
      <c r="T3558" s="230" t="n">
        <f aca="false">+YEARFRAC(M3558,$S$1)</f>
        <v>126.366666666667</v>
      </c>
      <c r="U3558" s="231" t="n">
        <f aca="false">+$I3558</f>
        <v>0</v>
      </c>
      <c r="V3558" s="232" t="str">
        <f aca="false">+PROPER(F3558)</f>
        <v/>
      </c>
    </row>
    <row r="3559" customFormat="false" ht="14.25" hidden="false" customHeight="false" outlineLevel="0" collapsed="false">
      <c r="B3559" s="244"/>
      <c r="C3559" s="245"/>
      <c r="D3559" s="245"/>
      <c r="E3559" s="246"/>
      <c r="F3559" s="246"/>
      <c r="G3559" s="225" t="e">
        <f aca="false">VLOOKUP(B3559,'NIVEL ENERO'!A:F,4,0)</f>
        <v>#N/A</v>
      </c>
      <c r="H3559" s="247"/>
      <c r="I3559" s="247"/>
      <c r="J3559" s="246"/>
      <c r="K3559" s="246"/>
      <c r="L3559" s="226"/>
      <c r="M3559" s="226"/>
      <c r="N3559" s="246"/>
      <c r="O3559" s="246"/>
      <c r="P3559" s="228"/>
      <c r="Q3559" s="245"/>
      <c r="R3559" s="186" t="str">
        <f aca="false">+PROPER(C3559&amp;" "&amp;D3559)</f>
        <v> </v>
      </c>
      <c r="S3559" s="230" t="n">
        <f aca="false">+YEARFRAC(L3559,$S$1)</f>
        <v>126.366666666667</v>
      </c>
      <c r="T3559" s="230" t="n">
        <f aca="false">+YEARFRAC(M3559,$S$1)</f>
        <v>126.366666666667</v>
      </c>
      <c r="U3559" s="231" t="n">
        <f aca="false">+$I3559</f>
        <v>0</v>
      </c>
      <c r="V3559" s="232" t="str">
        <f aca="false">+PROPER(F3559)</f>
        <v/>
      </c>
    </row>
    <row r="3560" customFormat="false" ht="14.25" hidden="false" customHeight="false" outlineLevel="0" collapsed="false">
      <c r="B3560" s="244"/>
      <c r="C3560" s="245"/>
      <c r="D3560" s="245"/>
      <c r="E3560" s="246"/>
      <c r="F3560" s="246"/>
      <c r="G3560" s="225" t="e">
        <f aca="false">VLOOKUP(B3560,'NIVEL ENERO'!A:F,4,0)</f>
        <v>#N/A</v>
      </c>
      <c r="H3560" s="247"/>
      <c r="I3560" s="247"/>
      <c r="J3560" s="246"/>
      <c r="K3560" s="246"/>
      <c r="L3560" s="226"/>
      <c r="M3560" s="226"/>
      <c r="N3560" s="246"/>
      <c r="O3560" s="246"/>
      <c r="P3560" s="228"/>
      <c r="Q3560" s="245"/>
      <c r="R3560" s="186" t="str">
        <f aca="false">+PROPER(C3560&amp;" "&amp;D3560)</f>
        <v> </v>
      </c>
      <c r="S3560" s="230" t="n">
        <f aca="false">+YEARFRAC(L3560,$S$1)</f>
        <v>126.366666666667</v>
      </c>
      <c r="T3560" s="230" t="n">
        <f aca="false">+YEARFRAC(M3560,$S$1)</f>
        <v>126.366666666667</v>
      </c>
      <c r="U3560" s="231" t="n">
        <f aca="false">+$I3560</f>
        <v>0</v>
      </c>
      <c r="V3560" s="232" t="str">
        <f aca="false">+PROPER(F3560)</f>
        <v/>
      </c>
    </row>
    <row r="3561" customFormat="false" ht="14.25" hidden="false" customHeight="false" outlineLevel="0" collapsed="false">
      <c r="B3561" s="244"/>
      <c r="C3561" s="245"/>
      <c r="D3561" s="245"/>
      <c r="E3561" s="246"/>
      <c r="F3561" s="246"/>
      <c r="G3561" s="225" t="e">
        <f aca="false">VLOOKUP(B3561,'NIVEL ENERO'!A:F,4,0)</f>
        <v>#N/A</v>
      </c>
      <c r="H3561" s="247"/>
      <c r="I3561" s="247"/>
      <c r="J3561" s="246"/>
      <c r="K3561" s="246"/>
      <c r="L3561" s="226"/>
      <c r="M3561" s="226"/>
      <c r="N3561" s="246"/>
      <c r="O3561" s="246"/>
      <c r="P3561" s="228"/>
      <c r="Q3561" s="245"/>
      <c r="R3561" s="186" t="str">
        <f aca="false">+PROPER(C3561&amp;" "&amp;D3561)</f>
        <v> </v>
      </c>
      <c r="S3561" s="230" t="n">
        <f aca="false">+YEARFRAC(L3561,$S$1)</f>
        <v>126.366666666667</v>
      </c>
      <c r="T3561" s="230" t="n">
        <f aca="false">+YEARFRAC(M3561,$S$1)</f>
        <v>126.366666666667</v>
      </c>
      <c r="U3561" s="231" t="n">
        <f aca="false">+$I3561</f>
        <v>0</v>
      </c>
      <c r="V3561" s="232" t="str">
        <f aca="false">+PROPER(F3561)</f>
        <v/>
      </c>
    </row>
    <row r="3562" customFormat="false" ht="14.25" hidden="false" customHeight="false" outlineLevel="0" collapsed="false">
      <c r="B3562" s="244"/>
      <c r="C3562" s="245"/>
      <c r="D3562" s="245"/>
      <c r="E3562" s="246"/>
      <c r="F3562" s="246"/>
      <c r="G3562" s="225" t="e">
        <f aca="false">VLOOKUP(B3562,'NIVEL ENERO'!A:F,4,0)</f>
        <v>#N/A</v>
      </c>
      <c r="H3562" s="247"/>
      <c r="I3562" s="247"/>
      <c r="J3562" s="246"/>
      <c r="K3562" s="246"/>
      <c r="L3562" s="226"/>
      <c r="M3562" s="226"/>
      <c r="N3562" s="246"/>
      <c r="O3562" s="246"/>
      <c r="P3562" s="228"/>
      <c r="Q3562" s="245"/>
      <c r="R3562" s="186" t="str">
        <f aca="false">+PROPER(C3562&amp;" "&amp;D3562)</f>
        <v> </v>
      </c>
      <c r="S3562" s="230" t="n">
        <f aca="false">+YEARFRAC(L3562,$S$1)</f>
        <v>126.366666666667</v>
      </c>
      <c r="T3562" s="230" t="n">
        <f aca="false">+YEARFRAC(M3562,$S$1)</f>
        <v>126.366666666667</v>
      </c>
      <c r="U3562" s="231" t="n">
        <f aca="false">+$I3562</f>
        <v>0</v>
      </c>
      <c r="V3562" s="232" t="str">
        <f aca="false">+PROPER(F3562)</f>
        <v/>
      </c>
    </row>
    <row r="3563" customFormat="false" ht="14.25" hidden="false" customHeight="false" outlineLevel="0" collapsed="false">
      <c r="B3563" s="244"/>
      <c r="C3563" s="245"/>
      <c r="D3563" s="245"/>
      <c r="E3563" s="246"/>
      <c r="F3563" s="246"/>
      <c r="G3563" s="225" t="e">
        <f aca="false">VLOOKUP(B3563,'NIVEL ENERO'!A:F,4,0)</f>
        <v>#N/A</v>
      </c>
      <c r="H3563" s="247"/>
      <c r="I3563" s="247"/>
      <c r="J3563" s="246"/>
      <c r="K3563" s="246"/>
      <c r="L3563" s="226"/>
      <c r="M3563" s="226"/>
      <c r="N3563" s="246"/>
      <c r="O3563" s="246"/>
      <c r="P3563" s="228"/>
      <c r="Q3563" s="245"/>
      <c r="R3563" s="186" t="str">
        <f aca="false">+PROPER(C3563&amp;" "&amp;D3563)</f>
        <v> </v>
      </c>
      <c r="S3563" s="230" t="n">
        <f aca="false">+YEARFRAC(L3563,$S$1)</f>
        <v>126.366666666667</v>
      </c>
      <c r="T3563" s="230" t="n">
        <f aca="false">+YEARFRAC(M3563,$S$1)</f>
        <v>126.366666666667</v>
      </c>
      <c r="U3563" s="231" t="n">
        <f aca="false">+$I3563</f>
        <v>0</v>
      </c>
      <c r="V3563" s="232" t="str">
        <f aca="false">+PROPER(F3563)</f>
        <v/>
      </c>
    </row>
    <row r="3564" customFormat="false" ht="14.25" hidden="false" customHeight="false" outlineLevel="0" collapsed="false">
      <c r="B3564" s="244"/>
      <c r="C3564" s="245"/>
      <c r="D3564" s="245"/>
      <c r="E3564" s="246"/>
      <c r="F3564" s="246"/>
      <c r="G3564" s="225" t="e">
        <f aca="false">VLOOKUP(B3564,'NIVEL ENERO'!A:F,4,0)</f>
        <v>#N/A</v>
      </c>
      <c r="H3564" s="247"/>
      <c r="I3564" s="247"/>
      <c r="J3564" s="246"/>
      <c r="K3564" s="246"/>
      <c r="L3564" s="226"/>
      <c r="M3564" s="226"/>
      <c r="N3564" s="246"/>
      <c r="O3564" s="246"/>
      <c r="P3564" s="228"/>
      <c r="Q3564" s="245"/>
      <c r="R3564" s="186" t="str">
        <f aca="false">+PROPER(C3564&amp;" "&amp;D3564)</f>
        <v> </v>
      </c>
      <c r="S3564" s="230" t="n">
        <f aca="false">+YEARFRAC(L3564,$S$1)</f>
        <v>126.366666666667</v>
      </c>
      <c r="T3564" s="230" t="n">
        <f aca="false">+YEARFRAC(M3564,$S$1)</f>
        <v>126.366666666667</v>
      </c>
      <c r="U3564" s="231" t="n">
        <f aca="false">+$I3564</f>
        <v>0</v>
      </c>
      <c r="V3564" s="232" t="str">
        <f aca="false">+PROPER(F3564)</f>
        <v/>
      </c>
    </row>
    <row r="3565" customFormat="false" ht="14.25" hidden="false" customHeight="false" outlineLevel="0" collapsed="false">
      <c r="B3565" s="244"/>
      <c r="C3565" s="245"/>
      <c r="D3565" s="245"/>
      <c r="E3565" s="246"/>
      <c r="F3565" s="246"/>
      <c r="G3565" s="225" t="e">
        <f aca="false">VLOOKUP(B3565,'NIVEL ENERO'!A:F,4,0)</f>
        <v>#N/A</v>
      </c>
      <c r="H3565" s="247"/>
      <c r="I3565" s="247"/>
      <c r="J3565" s="246"/>
      <c r="K3565" s="246"/>
      <c r="L3565" s="226"/>
      <c r="M3565" s="226"/>
      <c r="N3565" s="246"/>
      <c r="O3565" s="246"/>
      <c r="P3565" s="228"/>
      <c r="Q3565" s="245"/>
      <c r="R3565" s="186" t="str">
        <f aca="false">+PROPER(C3565&amp;" "&amp;D3565)</f>
        <v> </v>
      </c>
      <c r="S3565" s="230" t="n">
        <f aca="false">+YEARFRAC(L3565,$S$1)</f>
        <v>126.366666666667</v>
      </c>
      <c r="T3565" s="230" t="n">
        <f aca="false">+YEARFRAC(M3565,$S$1)</f>
        <v>126.366666666667</v>
      </c>
      <c r="U3565" s="231" t="n">
        <f aca="false">+$I3565</f>
        <v>0</v>
      </c>
      <c r="V3565" s="232" t="str">
        <f aca="false">+PROPER(F3565)</f>
        <v/>
      </c>
    </row>
    <row r="3566" customFormat="false" ht="14.25" hidden="false" customHeight="false" outlineLevel="0" collapsed="false">
      <c r="B3566" s="244"/>
      <c r="C3566" s="245"/>
      <c r="D3566" s="245"/>
      <c r="E3566" s="246"/>
      <c r="F3566" s="246"/>
      <c r="G3566" s="225" t="e">
        <f aca="false">VLOOKUP(B3566,'NIVEL ENERO'!A:F,4,0)</f>
        <v>#N/A</v>
      </c>
      <c r="H3566" s="247"/>
      <c r="I3566" s="247"/>
      <c r="J3566" s="246"/>
      <c r="K3566" s="246"/>
      <c r="L3566" s="226"/>
      <c r="M3566" s="226"/>
      <c r="N3566" s="246"/>
      <c r="O3566" s="246"/>
      <c r="P3566" s="228"/>
      <c r="Q3566" s="245"/>
      <c r="R3566" s="186" t="str">
        <f aca="false">+PROPER(C3566&amp;" "&amp;D3566)</f>
        <v> </v>
      </c>
      <c r="S3566" s="230" t="n">
        <f aca="false">+YEARFRAC(L3566,$S$1)</f>
        <v>126.366666666667</v>
      </c>
      <c r="T3566" s="230" t="n">
        <f aca="false">+YEARFRAC(M3566,$S$1)</f>
        <v>126.366666666667</v>
      </c>
      <c r="U3566" s="231" t="n">
        <f aca="false">+$I3566</f>
        <v>0</v>
      </c>
      <c r="V3566" s="232" t="str">
        <f aca="false">+PROPER(F3566)</f>
        <v/>
      </c>
    </row>
    <row r="3567" customFormat="false" ht="14.25" hidden="false" customHeight="false" outlineLevel="0" collapsed="false">
      <c r="B3567" s="244"/>
      <c r="C3567" s="245"/>
      <c r="D3567" s="245"/>
      <c r="E3567" s="246"/>
      <c r="F3567" s="246"/>
      <c r="G3567" s="225" t="e">
        <f aca="false">VLOOKUP(B3567,'NIVEL ENERO'!A:F,4,0)</f>
        <v>#N/A</v>
      </c>
      <c r="H3567" s="247"/>
      <c r="I3567" s="247"/>
      <c r="J3567" s="246"/>
      <c r="K3567" s="246"/>
      <c r="L3567" s="226"/>
      <c r="M3567" s="226"/>
      <c r="N3567" s="246"/>
      <c r="O3567" s="246"/>
      <c r="P3567" s="228"/>
      <c r="Q3567" s="245"/>
      <c r="R3567" s="186" t="str">
        <f aca="false">+PROPER(C3567&amp;" "&amp;D3567)</f>
        <v> </v>
      </c>
      <c r="S3567" s="230" t="n">
        <f aca="false">+YEARFRAC(L3567,$S$1)</f>
        <v>126.366666666667</v>
      </c>
      <c r="T3567" s="230" t="n">
        <f aca="false">+YEARFRAC(M3567,$S$1)</f>
        <v>126.366666666667</v>
      </c>
      <c r="U3567" s="231" t="n">
        <f aca="false">+$I3567</f>
        <v>0</v>
      </c>
      <c r="V3567" s="232" t="str">
        <f aca="false">+PROPER(F3567)</f>
        <v/>
      </c>
    </row>
    <row r="3568" customFormat="false" ht="14.25" hidden="false" customHeight="false" outlineLevel="0" collapsed="false">
      <c r="B3568" s="244"/>
      <c r="C3568" s="245"/>
      <c r="D3568" s="245"/>
      <c r="E3568" s="246"/>
      <c r="F3568" s="246"/>
      <c r="G3568" s="225" t="e">
        <f aca="false">VLOOKUP(B3568,'NIVEL ENERO'!A:F,4,0)</f>
        <v>#N/A</v>
      </c>
      <c r="H3568" s="247"/>
      <c r="I3568" s="247"/>
      <c r="J3568" s="246"/>
      <c r="K3568" s="246"/>
      <c r="L3568" s="226"/>
      <c r="M3568" s="226"/>
      <c r="N3568" s="246"/>
      <c r="O3568" s="246"/>
      <c r="P3568" s="228"/>
      <c r="Q3568" s="245"/>
      <c r="R3568" s="186" t="str">
        <f aca="false">+PROPER(C3568&amp;" "&amp;D3568)</f>
        <v> </v>
      </c>
      <c r="S3568" s="230" t="n">
        <f aca="false">+YEARFRAC(L3568,$S$1)</f>
        <v>126.366666666667</v>
      </c>
      <c r="T3568" s="230" t="n">
        <f aca="false">+YEARFRAC(M3568,$S$1)</f>
        <v>126.366666666667</v>
      </c>
      <c r="U3568" s="231" t="n">
        <f aca="false">+$I3568</f>
        <v>0</v>
      </c>
      <c r="V3568" s="232" t="str">
        <f aca="false">+PROPER(F3568)</f>
        <v/>
      </c>
    </row>
    <row r="3569" customFormat="false" ht="14.25" hidden="false" customHeight="false" outlineLevel="0" collapsed="false">
      <c r="B3569" s="244"/>
      <c r="C3569" s="245"/>
      <c r="D3569" s="245"/>
      <c r="E3569" s="246"/>
      <c r="F3569" s="246"/>
      <c r="G3569" s="225" t="e">
        <f aca="false">VLOOKUP(B3569,'NIVEL ENERO'!A:F,4,0)</f>
        <v>#N/A</v>
      </c>
      <c r="H3569" s="247"/>
      <c r="I3569" s="247"/>
      <c r="J3569" s="246"/>
      <c r="K3569" s="246"/>
      <c r="L3569" s="226"/>
      <c r="M3569" s="226"/>
      <c r="N3569" s="246"/>
      <c r="O3569" s="246"/>
      <c r="P3569" s="228"/>
      <c r="Q3569" s="245"/>
      <c r="R3569" s="186" t="str">
        <f aca="false">+PROPER(C3569&amp;" "&amp;D3569)</f>
        <v> </v>
      </c>
      <c r="S3569" s="230" t="n">
        <f aca="false">+YEARFRAC(L3569,$S$1)</f>
        <v>126.366666666667</v>
      </c>
      <c r="T3569" s="230" t="n">
        <f aca="false">+YEARFRAC(M3569,$S$1)</f>
        <v>126.366666666667</v>
      </c>
      <c r="U3569" s="231" t="n">
        <f aca="false">+$I3569</f>
        <v>0</v>
      </c>
      <c r="V3569" s="232" t="str">
        <f aca="false">+PROPER(F3569)</f>
        <v/>
      </c>
    </row>
    <row r="3570" customFormat="false" ht="14.25" hidden="false" customHeight="false" outlineLevel="0" collapsed="false">
      <c r="B3570" s="244"/>
      <c r="C3570" s="245"/>
      <c r="D3570" s="245"/>
      <c r="E3570" s="246"/>
      <c r="F3570" s="246"/>
      <c r="G3570" s="225" t="e">
        <f aca="false">VLOOKUP(B3570,'NIVEL ENERO'!A:F,4,0)</f>
        <v>#N/A</v>
      </c>
      <c r="H3570" s="247"/>
      <c r="I3570" s="247"/>
      <c r="J3570" s="246"/>
      <c r="K3570" s="246"/>
      <c r="L3570" s="226"/>
      <c r="M3570" s="226"/>
      <c r="N3570" s="246"/>
      <c r="O3570" s="246"/>
      <c r="P3570" s="228"/>
      <c r="Q3570" s="245"/>
      <c r="R3570" s="186" t="str">
        <f aca="false">+PROPER(C3570&amp;" "&amp;D3570)</f>
        <v> </v>
      </c>
      <c r="S3570" s="230" t="n">
        <f aca="false">+YEARFRAC(L3570,$S$1)</f>
        <v>126.366666666667</v>
      </c>
      <c r="T3570" s="230" t="n">
        <f aca="false">+YEARFRAC(M3570,$S$1)</f>
        <v>126.366666666667</v>
      </c>
      <c r="U3570" s="231" t="n">
        <f aca="false">+$I3570</f>
        <v>0</v>
      </c>
      <c r="V3570" s="232" t="str">
        <f aca="false">+PROPER(F3570)</f>
        <v/>
      </c>
    </row>
    <row r="3571" customFormat="false" ht="14.25" hidden="false" customHeight="false" outlineLevel="0" collapsed="false">
      <c r="B3571" s="244"/>
      <c r="C3571" s="245"/>
      <c r="D3571" s="245"/>
      <c r="E3571" s="246"/>
      <c r="F3571" s="246"/>
      <c r="G3571" s="225" t="e">
        <f aca="false">VLOOKUP(B3571,'NIVEL ENERO'!A:F,4,0)</f>
        <v>#N/A</v>
      </c>
      <c r="H3571" s="247"/>
      <c r="I3571" s="247"/>
      <c r="J3571" s="246"/>
      <c r="K3571" s="246"/>
      <c r="L3571" s="226"/>
      <c r="M3571" s="226"/>
      <c r="N3571" s="246"/>
      <c r="O3571" s="246"/>
      <c r="P3571" s="228"/>
      <c r="Q3571" s="245"/>
      <c r="R3571" s="186" t="str">
        <f aca="false">+PROPER(C3571&amp;" "&amp;D3571)</f>
        <v> </v>
      </c>
      <c r="S3571" s="230" t="n">
        <f aca="false">+YEARFRAC(L3571,$S$1)</f>
        <v>126.366666666667</v>
      </c>
      <c r="T3571" s="230" t="n">
        <f aca="false">+YEARFRAC(M3571,$S$1)</f>
        <v>126.366666666667</v>
      </c>
      <c r="U3571" s="231" t="n">
        <f aca="false">+$I3571</f>
        <v>0</v>
      </c>
      <c r="V3571" s="232" t="str">
        <f aca="false">+PROPER(F3571)</f>
        <v/>
      </c>
    </row>
    <row r="3572" customFormat="false" ht="14.25" hidden="false" customHeight="false" outlineLevel="0" collapsed="false">
      <c r="B3572" s="244"/>
      <c r="C3572" s="245"/>
      <c r="D3572" s="245"/>
      <c r="E3572" s="246"/>
      <c r="F3572" s="246"/>
      <c r="G3572" s="225" t="e">
        <f aca="false">VLOOKUP(B3572,'NIVEL ENERO'!A:F,4,0)</f>
        <v>#N/A</v>
      </c>
      <c r="H3572" s="247"/>
      <c r="I3572" s="247"/>
      <c r="J3572" s="246"/>
      <c r="K3572" s="246"/>
      <c r="L3572" s="226"/>
      <c r="M3572" s="226"/>
      <c r="N3572" s="246"/>
      <c r="O3572" s="246"/>
      <c r="P3572" s="228"/>
      <c r="Q3572" s="245"/>
      <c r="R3572" s="186" t="str">
        <f aca="false">+PROPER(C3572&amp;" "&amp;D3572)</f>
        <v> </v>
      </c>
      <c r="S3572" s="230" t="n">
        <f aca="false">+YEARFRAC(L3572,$S$1)</f>
        <v>126.366666666667</v>
      </c>
      <c r="T3572" s="230" t="n">
        <f aca="false">+YEARFRAC(M3572,$S$1)</f>
        <v>126.366666666667</v>
      </c>
      <c r="U3572" s="231" t="n">
        <f aca="false">+$I3572</f>
        <v>0</v>
      </c>
      <c r="V3572" s="232" t="str">
        <f aca="false">+PROPER(F3572)</f>
        <v/>
      </c>
    </row>
    <row r="3573" customFormat="false" ht="14.25" hidden="false" customHeight="false" outlineLevel="0" collapsed="false">
      <c r="B3573" s="244"/>
      <c r="C3573" s="245"/>
      <c r="D3573" s="245"/>
      <c r="E3573" s="246"/>
      <c r="F3573" s="246"/>
      <c r="G3573" s="225" t="e">
        <f aca="false">VLOOKUP(B3573,'NIVEL ENERO'!A:F,4,0)</f>
        <v>#N/A</v>
      </c>
      <c r="H3573" s="247"/>
      <c r="I3573" s="247"/>
      <c r="J3573" s="246"/>
      <c r="K3573" s="246"/>
      <c r="L3573" s="226"/>
      <c r="M3573" s="226"/>
      <c r="N3573" s="246"/>
      <c r="O3573" s="246"/>
      <c r="P3573" s="228"/>
      <c r="Q3573" s="245"/>
      <c r="R3573" s="186" t="str">
        <f aca="false">+PROPER(C3573&amp;" "&amp;D3573)</f>
        <v> </v>
      </c>
      <c r="S3573" s="230" t="n">
        <f aca="false">+YEARFRAC(L3573,$S$1)</f>
        <v>126.366666666667</v>
      </c>
      <c r="T3573" s="230" t="n">
        <f aca="false">+YEARFRAC(M3573,$S$1)</f>
        <v>126.366666666667</v>
      </c>
      <c r="U3573" s="231" t="n">
        <f aca="false">+$I3573</f>
        <v>0</v>
      </c>
      <c r="V3573" s="232" t="str">
        <f aca="false">+PROPER(F3573)</f>
        <v/>
      </c>
    </row>
    <row r="3574" customFormat="false" ht="14.25" hidden="false" customHeight="false" outlineLevel="0" collapsed="false">
      <c r="B3574" s="244"/>
      <c r="C3574" s="245"/>
      <c r="D3574" s="245"/>
      <c r="E3574" s="246"/>
      <c r="F3574" s="246"/>
      <c r="G3574" s="225" t="e">
        <f aca="false">VLOOKUP(B3574,'NIVEL ENERO'!A:F,4,0)</f>
        <v>#N/A</v>
      </c>
      <c r="H3574" s="247"/>
      <c r="I3574" s="247"/>
      <c r="J3574" s="246"/>
      <c r="K3574" s="246"/>
      <c r="L3574" s="226"/>
      <c r="M3574" s="226"/>
      <c r="N3574" s="246"/>
      <c r="O3574" s="246"/>
      <c r="P3574" s="228"/>
      <c r="Q3574" s="245"/>
      <c r="R3574" s="186" t="str">
        <f aca="false">+PROPER(C3574&amp;" "&amp;D3574)</f>
        <v> </v>
      </c>
      <c r="S3574" s="230" t="n">
        <f aca="false">+YEARFRAC(L3574,$S$1)</f>
        <v>126.366666666667</v>
      </c>
      <c r="T3574" s="230" t="n">
        <f aca="false">+YEARFRAC(M3574,$S$1)</f>
        <v>126.366666666667</v>
      </c>
      <c r="U3574" s="231" t="n">
        <f aca="false">+$I3574</f>
        <v>0</v>
      </c>
      <c r="V3574" s="232" t="str">
        <f aca="false">+PROPER(F3574)</f>
        <v/>
      </c>
    </row>
    <row r="3575" customFormat="false" ht="14.25" hidden="false" customHeight="false" outlineLevel="0" collapsed="false">
      <c r="B3575" s="244"/>
      <c r="C3575" s="245"/>
      <c r="D3575" s="245"/>
      <c r="E3575" s="246"/>
      <c r="F3575" s="246"/>
      <c r="G3575" s="225" t="e">
        <f aca="false">VLOOKUP(B3575,'NIVEL ENERO'!A:F,4,0)</f>
        <v>#N/A</v>
      </c>
      <c r="H3575" s="247"/>
      <c r="I3575" s="247"/>
      <c r="J3575" s="246"/>
      <c r="K3575" s="246"/>
      <c r="L3575" s="226"/>
      <c r="M3575" s="226"/>
      <c r="N3575" s="246"/>
      <c r="O3575" s="246"/>
      <c r="P3575" s="228"/>
      <c r="Q3575" s="245"/>
      <c r="R3575" s="186" t="str">
        <f aca="false">+PROPER(C3575&amp;" "&amp;D3575)</f>
        <v> </v>
      </c>
      <c r="S3575" s="230" t="n">
        <f aca="false">+YEARFRAC(L3575,$S$1)</f>
        <v>126.366666666667</v>
      </c>
      <c r="T3575" s="230" t="n">
        <f aca="false">+YEARFRAC(M3575,$S$1)</f>
        <v>126.366666666667</v>
      </c>
      <c r="U3575" s="231" t="n">
        <f aca="false">+$I3575</f>
        <v>0</v>
      </c>
      <c r="V3575" s="232" t="str">
        <f aca="false">+PROPER(F3575)</f>
        <v/>
      </c>
    </row>
    <row r="3576" customFormat="false" ht="14.25" hidden="false" customHeight="false" outlineLevel="0" collapsed="false">
      <c r="B3576" s="244"/>
      <c r="C3576" s="245"/>
      <c r="D3576" s="245"/>
      <c r="E3576" s="246"/>
      <c r="F3576" s="246"/>
      <c r="G3576" s="225" t="e">
        <f aca="false">VLOOKUP(B3576,'NIVEL ENERO'!A:F,4,0)</f>
        <v>#N/A</v>
      </c>
      <c r="H3576" s="247"/>
      <c r="I3576" s="247"/>
      <c r="J3576" s="246"/>
      <c r="K3576" s="246"/>
      <c r="L3576" s="226"/>
      <c r="M3576" s="226"/>
      <c r="N3576" s="246"/>
      <c r="O3576" s="246"/>
      <c r="P3576" s="228"/>
      <c r="Q3576" s="245"/>
      <c r="R3576" s="186" t="str">
        <f aca="false">+PROPER(C3576&amp;" "&amp;D3576)</f>
        <v> </v>
      </c>
      <c r="S3576" s="230" t="n">
        <f aca="false">+YEARFRAC(L3576,$S$1)</f>
        <v>126.366666666667</v>
      </c>
      <c r="T3576" s="230" t="n">
        <f aca="false">+YEARFRAC(M3576,$S$1)</f>
        <v>126.366666666667</v>
      </c>
      <c r="U3576" s="231" t="n">
        <f aca="false">+$I3576</f>
        <v>0</v>
      </c>
      <c r="V3576" s="232" t="str">
        <f aca="false">+PROPER(F3576)</f>
        <v/>
      </c>
    </row>
    <row r="3577" customFormat="false" ht="14.25" hidden="false" customHeight="false" outlineLevel="0" collapsed="false">
      <c r="B3577" s="244"/>
      <c r="C3577" s="245"/>
      <c r="D3577" s="245"/>
      <c r="E3577" s="246"/>
      <c r="F3577" s="246"/>
      <c r="G3577" s="225" t="e">
        <f aca="false">VLOOKUP(B3577,'NIVEL ENERO'!A:F,4,0)</f>
        <v>#N/A</v>
      </c>
      <c r="H3577" s="247"/>
      <c r="I3577" s="247"/>
      <c r="J3577" s="246"/>
      <c r="K3577" s="246"/>
      <c r="L3577" s="226"/>
      <c r="M3577" s="226"/>
      <c r="N3577" s="246"/>
      <c r="O3577" s="246"/>
      <c r="P3577" s="228"/>
      <c r="Q3577" s="245"/>
      <c r="R3577" s="186" t="str">
        <f aca="false">+PROPER(C3577&amp;" "&amp;D3577)</f>
        <v> </v>
      </c>
      <c r="S3577" s="230" t="n">
        <f aca="false">+YEARFRAC(L3577,$S$1)</f>
        <v>126.366666666667</v>
      </c>
      <c r="T3577" s="230" t="n">
        <f aca="false">+YEARFRAC(M3577,$S$1)</f>
        <v>126.366666666667</v>
      </c>
      <c r="U3577" s="231" t="n">
        <f aca="false">+$I3577</f>
        <v>0</v>
      </c>
      <c r="V3577" s="232" t="str">
        <f aca="false">+PROPER(F3577)</f>
        <v/>
      </c>
    </row>
    <row r="3578" customFormat="false" ht="14.25" hidden="false" customHeight="false" outlineLevel="0" collapsed="false">
      <c r="B3578" s="244"/>
      <c r="C3578" s="245"/>
      <c r="D3578" s="245"/>
      <c r="E3578" s="246"/>
      <c r="F3578" s="246"/>
      <c r="G3578" s="225" t="e">
        <f aca="false">VLOOKUP(B3578,'NIVEL ENERO'!A:F,4,0)</f>
        <v>#N/A</v>
      </c>
      <c r="H3578" s="247"/>
      <c r="I3578" s="247"/>
      <c r="J3578" s="246"/>
      <c r="K3578" s="246"/>
      <c r="L3578" s="226"/>
      <c r="M3578" s="226"/>
      <c r="N3578" s="246"/>
      <c r="O3578" s="246"/>
      <c r="P3578" s="228"/>
      <c r="Q3578" s="245"/>
      <c r="R3578" s="186" t="str">
        <f aca="false">+PROPER(C3578&amp;" "&amp;D3578)</f>
        <v> </v>
      </c>
      <c r="S3578" s="230" t="n">
        <f aca="false">+YEARFRAC(L3578,$S$1)</f>
        <v>126.366666666667</v>
      </c>
      <c r="T3578" s="230" t="n">
        <f aca="false">+YEARFRAC(M3578,$S$1)</f>
        <v>126.366666666667</v>
      </c>
      <c r="U3578" s="231" t="n">
        <f aca="false">+$I3578</f>
        <v>0</v>
      </c>
      <c r="V3578" s="232" t="str">
        <f aca="false">+PROPER(F3578)</f>
        <v/>
      </c>
    </row>
    <row r="3579" customFormat="false" ht="14.25" hidden="false" customHeight="false" outlineLevel="0" collapsed="false">
      <c r="B3579" s="244"/>
      <c r="C3579" s="245"/>
      <c r="D3579" s="245"/>
      <c r="E3579" s="246"/>
      <c r="F3579" s="246"/>
      <c r="G3579" s="225" t="e">
        <f aca="false">VLOOKUP(B3579,'NIVEL ENERO'!A:F,4,0)</f>
        <v>#N/A</v>
      </c>
      <c r="H3579" s="247"/>
      <c r="I3579" s="247"/>
      <c r="J3579" s="246"/>
      <c r="K3579" s="246"/>
      <c r="L3579" s="226"/>
      <c r="M3579" s="226"/>
      <c r="N3579" s="246"/>
      <c r="O3579" s="246"/>
      <c r="P3579" s="228"/>
      <c r="Q3579" s="245"/>
      <c r="R3579" s="186" t="str">
        <f aca="false">+PROPER(C3579&amp;" "&amp;D3579)</f>
        <v> </v>
      </c>
      <c r="S3579" s="230" t="n">
        <f aca="false">+YEARFRAC(L3579,$S$1)</f>
        <v>126.366666666667</v>
      </c>
      <c r="T3579" s="230" t="n">
        <f aca="false">+YEARFRAC(M3579,$S$1)</f>
        <v>126.366666666667</v>
      </c>
      <c r="U3579" s="231" t="n">
        <f aca="false">+$I3579</f>
        <v>0</v>
      </c>
      <c r="V3579" s="232" t="str">
        <f aca="false">+PROPER(F3579)</f>
        <v/>
      </c>
    </row>
    <row r="3580" customFormat="false" ht="14.25" hidden="false" customHeight="false" outlineLevel="0" collapsed="false">
      <c r="B3580" s="244"/>
      <c r="C3580" s="245"/>
      <c r="D3580" s="245"/>
      <c r="E3580" s="246"/>
      <c r="F3580" s="246"/>
      <c r="G3580" s="225" t="e">
        <f aca="false">VLOOKUP(B3580,'NIVEL ENERO'!A:F,4,0)</f>
        <v>#N/A</v>
      </c>
      <c r="H3580" s="247"/>
      <c r="I3580" s="247"/>
      <c r="J3580" s="246"/>
      <c r="K3580" s="246"/>
      <c r="L3580" s="226"/>
      <c r="M3580" s="226"/>
      <c r="N3580" s="246"/>
      <c r="O3580" s="246"/>
      <c r="P3580" s="228"/>
      <c r="Q3580" s="245"/>
      <c r="R3580" s="186" t="str">
        <f aca="false">+PROPER(C3580&amp;" "&amp;D3580)</f>
        <v> </v>
      </c>
      <c r="S3580" s="230" t="n">
        <f aca="false">+YEARFRAC(L3580,$S$1)</f>
        <v>126.366666666667</v>
      </c>
      <c r="T3580" s="230" t="n">
        <f aca="false">+YEARFRAC(M3580,$S$1)</f>
        <v>126.366666666667</v>
      </c>
      <c r="U3580" s="231" t="n">
        <f aca="false">+$I3580</f>
        <v>0</v>
      </c>
      <c r="V3580" s="232" t="str">
        <f aca="false">+PROPER(F3580)</f>
        <v/>
      </c>
    </row>
    <row r="3581" customFormat="false" ht="14.25" hidden="false" customHeight="false" outlineLevel="0" collapsed="false">
      <c r="B3581" s="244"/>
      <c r="C3581" s="245"/>
      <c r="D3581" s="245"/>
      <c r="E3581" s="246"/>
      <c r="F3581" s="246"/>
      <c r="G3581" s="225" t="e">
        <f aca="false">VLOOKUP(B3581,'NIVEL ENERO'!A:F,4,0)</f>
        <v>#N/A</v>
      </c>
      <c r="H3581" s="247"/>
      <c r="I3581" s="247"/>
      <c r="J3581" s="246"/>
      <c r="K3581" s="246"/>
      <c r="L3581" s="226"/>
      <c r="M3581" s="226"/>
      <c r="N3581" s="246"/>
      <c r="O3581" s="246"/>
      <c r="P3581" s="228"/>
      <c r="Q3581" s="245"/>
      <c r="R3581" s="186" t="str">
        <f aca="false">+PROPER(C3581&amp;" "&amp;D3581)</f>
        <v> </v>
      </c>
      <c r="S3581" s="230" t="n">
        <f aca="false">+YEARFRAC(L3581,$S$1)</f>
        <v>126.366666666667</v>
      </c>
      <c r="T3581" s="230" t="n">
        <f aca="false">+YEARFRAC(M3581,$S$1)</f>
        <v>126.366666666667</v>
      </c>
      <c r="U3581" s="231" t="n">
        <f aca="false">+$I3581</f>
        <v>0</v>
      </c>
      <c r="V3581" s="232" t="str">
        <f aca="false">+PROPER(F3581)</f>
        <v/>
      </c>
    </row>
    <row r="3582" customFormat="false" ht="14.25" hidden="false" customHeight="false" outlineLevel="0" collapsed="false">
      <c r="B3582" s="244"/>
      <c r="C3582" s="245"/>
      <c r="D3582" s="245"/>
      <c r="E3582" s="246"/>
      <c r="F3582" s="246"/>
      <c r="G3582" s="225" t="e">
        <f aca="false">VLOOKUP(B3582,'NIVEL ENERO'!A:F,4,0)</f>
        <v>#N/A</v>
      </c>
      <c r="H3582" s="247"/>
      <c r="I3582" s="247"/>
      <c r="J3582" s="246"/>
      <c r="K3582" s="246"/>
      <c r="L3582" s="226"/>
      <c r="M3582" s="226"/>
      <c r="N3582" s="246"/>
      <c r="O3582" s="246"/>
      <c r="P3582" s="228"/>
      <c r="Q3582" s="245"/>
      <c r="R3582" s="186" t="str">
        <f aca="false">+PROPER(C3582&amp;" "&amp;D3582)</f>
        <v> </v>
      </c>
      <c r="S3582" s="230" t="n">
        <f aca="false">+YEARFRAC(L3582,$S$1)</f>
        <v>126.366666666667</v>
      </c>
      <c r="T3582" s="230" t="n">
        <f aca="false">+YEARFRAC(M3582,$S$1)</f>
        <v>126.366666666667</v>
      </c>
      <c r="U3582" s="231" t="n">
        <f aca="false">+$I3582</f>
        <v>0</v>
      </c>
      <c r="V3582" s="232" t="str">
        <f aca="false">+PROPER(F3582)</f>
        <v/>
      </c>
    </row>
    <row r="3583" customFormat="false" ht="14.25" hidden="false" customHeight="false" outlineLevel="0" collapsed="false">
      <c r="B3583" s="244"/>
      <c r="C3583" s="245"/>
      <c r="D3583" s="245"/>
      <c r="E3583" s="246"/>
      <c r="F3583" s="246"/>
      <c r="G3583" s="225" t="e">
        <f aca="false">VLOOKUP(B3583,'NIVEL ENERO'!A:F,4,0)</f>
        <v>#N/A</v>
      </c>
      <c r="H3583" s="247"/>
      <c r="I3583" s="247"/>
      <c r="J3583" s="246"/>
      <c r="K3583" s="246"/>
      <c r="L3583" s="226"/>
      <c r="M3583" s="226"/>
      <c r="N3583" s="246"/>
      <c r="O3583" s="246"/>
      <c r="P3583" s="228"/>
      <c r="Q3583" s="245"/>
      <c r="R3583" s="186" t="str">
        <f aca="false">+PROPER(C3583&amp;" "&amp;D3583)</f>
        <v> </v>
      </c>
      <c r="S3583" s="230" t="n">
        <f aca="false">+YEARFRAC(L3583,$S$1)</f>
        <v>126.366666666667</v>
      </c>
      <c r="T3583" s="230" t="n">
        <f aca="false">+YEARFRAC(M3583,$S$1)</f>
        <v>126.366666666667</v>
      </c>
      <c r="U3583" s="231" t="n">
        <f aca="false">+$I3583</f>
        <v>0</v>
      </c>
      <c r="V3583" s="232" t="str">
        <f aca="false">+PROPER(F3583)</f>
        <v/>
      </c>
    </row>
    <row r="3584" customFormat="false" ht="14.25" hidden="false" customHeight="false" outlineLevel="0" collapsed="false">
      <c r="B3584" s="244"/>
      <c r="C3584" s="245"/>
      <c r="D3584" s="245"/>
      <c r="E3584" s="246"/>
      <c r="F3584" s="246"/>
      <c r="G3584" s="225" t="e">
        <f aca="false">VLOOKUP(B3584,'NIVEL ENERO'!A:F,4,0)</f>
        <v>#N/A</v>
      </c>
      <c r="H3584" s="247"/>
      <c r="I3584" s="247"/>
      <c r="J3584" s="246"/>
      <c r="K3584" s="246"/>
      <c r="L3584" s="226"/>
      <c r="M3584" s="226"/>
      <c r="N3584" s="246"/>
      <c r="O3584" s="246"/>
      <c r="P3584" s="228"/>
      <c r="Q3584" s="245"/>
      <c r="R3584" s="186" t="str">
        <f aca="false">+PROPER(C3584&amp;" "&amp;D3584)</f>
        <v> </v>
      </c>
      <c r="S3584" s="230" t="n">
        <f aca="false">+YEARFRAC(L3584,$S$1)</f>
        <v>126.366666666667</v>
      </c>
      <c r="T3584" s="230" t="n">
        <f aca="false">+YEARFRAC(M3584,$S$1)</f>
        <v>126.366666666667</v>
      </c>
      <c r="U3584" s="231" t="n">
        <f aca="false">+$I3584</f>
        <v>0</v>
      </c>
      <c r="V3584" s="232" t="str">
        <f aca="false">+PROPER(F3584)</f>
        <v/>
      </c>
    </row>
    <row r="3585" customFormat="false" ht="14.25" hidden="false" customHeight="false" outlineLevel="0" collapsed="false">
      <c r="B3585" s="244"/>
      <c r="C3585" s="245"/>
      <c r="D3585" s="245"/>
      <c r="E3585" s="246"/>
      <c r="F3585" s="246"/>
      <c r="G3585" s="225" t="e">
        <f aca="false">VLOOKUP(B3585,'NIVEL ENERO'!A:F,4,0)</f>
        <v>#N/A</v>
      </c>
      <c r="H3585" s="247"/>
      <c r="I3585" s="247"/>
      <c r="J3585" s="246"/>
      <c r="K3585" s="246"/>
      <c r="L3585" s="226"/>
      <c r="M3585" s="226"/>
      <c r="N3585" s="246"/>
      <c r="O3585" s="246"/>
      <c r="P3585" s="228"/>
      <c r="Q3585" s="245"/>
      <c r="R3585" s="186" t="str">
        <f aca="false">+PROPER(C3585&amp;" "&amp;D3585)</f>
        <v> </v>
      </c>
      <c r="S3585" s="230" t="n">
        <f aca="false">+YEARFRAC(L3585,$S$1)</f>
        <v>126.366666666667</v>
      </c>
      <c r="T3585" s="230" t="n">
        <f aca="false">+YEARFRAC(M3585,$S$1)</f>
        <v>126.366666666667</v>
      </c>
      <c r="U3585" s="231" t="n">
        <f aca="false">+$I3585</f>
        <v>0</v>
      </c>
      <c r="V3585" s="232" t="str">
        <f aca="false">+PROPER(F3585)</f>
        <v/>
      </c>
    </row>
    <row r="3586" customFormat="false" ht="14.25" hidden="false" customHeight="false" outlineLevel="0" collapsed="false">
      <c r="B3586" s="244"/>
      <c r="C3586" s="245"/>
      <c r="D3586" s="245"/>
      <c r="E3586" s="246"/>
      <c r="F3586" s="246"/>
      <c r="G3586" s="225" t="e">
        <f aca="false">VLOOKUP(B3586,'NIVEL ENERO'!A:F,4,0)</f>
        <v>#N/A</v>
      </c>
      <c r="H3586" s="247"/>
      <c r="I3586" s="247"/>
      <c r="J3586" s="246"/>
      <c r="K3586" s="246"/>
      <c r="L3586" s="226"/>
      <c r="M3586" s="226"/>
      <c r="N3586" s="246"/>
      <c r="O3586" s="246"/>
      <c r="P3586" s="228"/>
      <c r="Q3586" s="245"/>
      <c r="R3586" s="186" t="str">
        <f aca="false">+PROPER(C3586&amp;" "&amp;D3586)</f>
        <v> </v>
      </c>
      <c r="S3586" s="230" t="n">
        <f aca="false">+YEARFRAC(L3586,$S$1)</f>
        <v>126.366666666667</v>
      </c>
      <c r="T3586" s="230" t="n">
        <f aca="false">+YEARFRAC(M3586,$S$1)</f>
        <v>126.366666666667</v>
      </c>
      <c r="U3586" s="231" t="n">
        <f aca="false">+$I3586</f>
        <v>0</v>
      </c>
      <c r="V3586" s="232" t="str">
        <f aca="false">+PROPER(F3586)</f>
        <v/>
      </c>
    </row>
    <row r="3587" customFormat="false" ht="14.25" hidden="false" customHeight="false" outlineLevel="0" collapsed="false">
      <c r="B3587" s="244"/>
      <c r="C3587" s="245"/>
      <c r="D3587" s="245"/>
      <c r="E3587" s="246"/>
      <c r="F3587" s="246"/>
      <c r="G3587" s="225" t="e">
        <f aca="false">VLOOKUP(B3587,'NIVEL ENERO'!A:F,4,0)</f>
        <v>#N/A</v>
      </c>
      <c r="H3587" s="247"/>
      <c r="I3587" s="247"/>
      <c r="J3587" s="246"/>
      <c r="K3587" s="246"/>
      <c r="L3587" s="226"/>
      <c r="M3587" s="226"/>
      <c r="N3587" s="246"/>
      <c r="O3587" s="246"/>
      <c r="P3587" s="228"/>
      <c r="Q3587" s="245"/>
      <c r="R3587" s="186" t="str">
        <f aca="false">+PROPER(C3587&amp;" "&amp;D3587)</f>
        <v> </v>
      </c>
      <c r="S3587" s="230" t="n">
        <f aca="false">+YEARFRAC(L3587,$S$1)</f>
        <v>126.366666666667</v>
      </c>
      <c r="T3587" s="230" t="n">
        <f aca="false">+YEARFRAC(M3587,$S$1)</f>
        <v>126.366666666667</v>
      </c>
      <c r="U3587" s="231" t="n">
        <f aca="false">+$I3587</f>
        <v>0</v>
      </c>
      <c r="V3587" s="232" t="str">
        <f aca="false">+PROPER(F3587)</f>
        <v/>
      </c>
    </row>
    <row r="3588" customFormat="false" ht="14.25" hidden="false" customHeight="false" outlineLevel="0" collapsed="false">
      <c r="B3588" s="244"/>
      <c r="C3588" s="245"/>
      <c r="D3588" s="245"/>
      <c r="E3588" s="246"/>
      <c r="F3588" s="246"/>
      <c r="G3588" s="225" t="e">
        <f aca="false">VLOOKUP(B3588,'NIVEL ENERO'!A:F,4,0)</f>
        <v>#N/A</v>
      </c>
      <c r="H3588" s="247"/>
      <c r="I3588" s="247"/>
      <c r="J3588" s="246"/>
      <c r="K3588" s="246"/>
      <c r="L3588" s="226"/>
      <c r="M3588" s="226"/>
      <c r="N3588" s="246"/>
      <c r="O3588" s="246"/>
      <c r="P3588" s="228"/>
      <c r="Q3588" s="245"/>
      <c r="R3588" s="186" t="str">
        <f aca="false">+PROPER(C3588&amp;" "&amp;D3588)</f>
        <v> </v>
      </c>
      <c r="S3588" s="230" t="n">
        <f aca="false">+YEARFRAC(L3588,$S$1)</f>
        <v>126.366666666667</v>
      </c>
      <c r="T3588" s="230" t="n">
        <f aca="false">+YEARFRAC(M3588,$S$1)</f>
        <v>126.366666666667</v>
      </c>
      <c r="U3588" s="231" t="n">
        <f aca="false">+$I3588</f>
        <v>0</v>
      </c>
      <c r="V3588" s="232" t="str">
        <f aca="false">+PROPER(F3588)</f>
        <v/>
      </c>
    </row>
    <row r="3589" customFormat="false" ht="14.25" hidden="false" customHeight="false" outlineLevel="0" collapsed="false">
      <c r="B3589" s="244"/>
      <c r="C3589" s="245"/>
      <c r="D3589" s="245"/>
      <c r="E3589" s="246"/>
      <c r="F3589" s="246"/>
      <c r="G3589" s="225" t="e">
        <f aca="false">VLOOKUP(B3589,'NIVEL ENERO'!A:F,4,0)</f>
        <v>#N/A</v>
      </c>
      <c r="H3589" s="247"/>
      <c r="I3589" s="247"/>
      <c r="J3589" s="246"/>
      <c r="K3589" s="246"/>
      <c r="L3589" s="226"/>
      <c r="M3589" s="226"/>
      <c r="N3589" s="246"/>
      <c r="O3589" s="246"/>
      <c r="P3589" s="228"/>
      <c r="Q3589" s="245"/>
      <c r="R3589" s="186" t="str">
        <f aca="false">+PROPER(C3589&amp;" "&amp;D3589)</f>
        <v> </v>
      </c>
      <c r="S3589" s="230" t="n">
        <f aca="false">+YEARFRAC(L3589,$S$1)</f>
        <v>126.366666666667</v>
      </c>
      <c r="T3589" s="230" t="n">
        <f aca="false">+YEARFRAC(M3589,$S$1)</f>
        <v>126.366666666667</v>
      </c>
      <c r="U3589" s="231" t="n">
        <f aca="false">+$I3589</f>
        <v>0</v>
      </c>
      <c r="V3589" s="232" t="str">
        <f aca="false">+PROPER(F3589)</f>
        <v/>
      </c>
    </row>
    <row r="3590" customFormat="false" ht="14.25" hidden="false" customHeight="false" outlineLevel="0" collapsed="false">
      <c r="B3590" s="244"/>
      <c r="C3590" s="245"/>
      <c r="D3590" s="245"/>
      <c r="E3590" s="246"/>
      <c r="F3590" s="246"/>
      <c r="G3590" s="225" t="e">
        <f aca="false">VLOOKUP(B3590,'NIVEL ENERO'!A:F,4,0)</f>
        <v>#N/A</v>
      </c>
      <c r="H3590" s="247"/>
      <c r="I3590" s="247"/>
      <c r="J3590" s="246"/>
      <c r="K3590" s="246"/>
      <c r="L3590" s="226"/>
      <c r="M3590" s="226"/>
      <c r="N3590" s="246"/>
      <c r="O3590" s="246"/>
      <c r="P3590" s="228"/>
      <c r="Q3590" s="245"/>
      <c r="R3590" s="186" t="str">
        <f aca="false">+PROPER(C3590&amp;" "&amp;D3590)</f>
        <v> </v>
      </c>
      <c r="S3590" s="230" t="n">
        <f aca="false">+YEARFRAC(L3590,$S$1)</f>
        <v>126.366666666667</v>
      </c>
      <c r="T3590" s="230" t="n">
        <f aca="false">+YEARFRAC(M3590,$S$1)</f>
        <v>126.366666666667</v>
      </c>
      <c r="U3590" s="231" t="n">
        <f aca="false">+$I3590</f>
        <v>0</v>
      </c>
      <c r="V3590" s="232" t="str">
        <f aca="false">+PROPER(F3590)</f>
        <v/>
      </c>
    </row>
    <row r="3591" customFormat="false" ht="14.25" hidden="false" customHeight="false" outlineLevel="0" collapsed="false">
      <c r="B3591" s="244"/>
      <c r="C3591" s="245"/>
      <c r="D3591" s="245"/>
      <c r="E3591" s="246"/>
      <c r="F3591" s="246"/>
      <c r="G3591" s="225" t="e">
        <f aca="false">VLOOKUP(B3591,'NIVEL ENERO'!A:F,4,0)</f>
        <v>#N/A</v>
      </c>
      <c r="H3591" s="247"/>
      <c r="I3591" s="247"/>
      <c r="J3591" s="246"/>
      <c r="K3591" s="246"/>
      <c r="L3591" s="226"/>
      <c r="M3591" s="226"/>
      <c r="N3591" s="246"/>
      <c r="O3591" s="246"/>
      <c r="P3591" s="228"/>
      <c r="Q3591" s="245"/>
      <c r="R3591" s="186" t="str">
        <f aca="false">+PROPER(C3591&amp;" "&amp;D3591)</f>
        <v> </v>
      </c>
      <c r="S3591" s="230" t="n">
        <f aca="false">+YEARFRAC(L3591,$S$1)</f>
        <v>126.366666666667</v>
      </c>
      <c r="T3591" s="230" t="n">
        <f aca="false">+YEARFRAC(M3591,$S$1)</f>
        <v>126.366666666667</v>
      </c>
      <c r="U3591" s="231" t="n">
        <f aca="false">+$I3591</f>
        <v>0</v>
      </c>
      <c r="V3591" s="232" t="str">
        <f aca="false">+PROPER(F3591)</f>
        <v/>
      </c>
    </row>
    <row r="3592" customFormat="false" ht="14.25" hidden="false" customHeight="false" outlineLevel="0" collapsed="false">
      <c r="B3592" s="244"/>
      <c r="C3592" s="245"/>
      <c r="D3592" s="245"/>
      <c r="E3592" s="246"/>
      <c r="F3592" s="246"/>
      <c r="G3592" s="225" t="e">
        <f aca="false">VLOOKUP(B3592,'NIVEL ENERO'!A:F,4,0)</f>
        <v>#N/A</v>
      </c>
      <c r="H3592" s="247"/>
      <c r="I3592" s="247"/>
      <c r="J3592" s="246"/>
      <c r="K3592" s="246"/>
      <c r="L3592" s="226"/>
      <c r="M3592" s="226"/>
      <c r="N3592" s="246"/>
      <c r="O3592" s="246"/>
      <c r="P3592" s="228"/>
      <c r="Q3592" s="245"/>
      <c r="R3592" s="186" t="str">
        <f aca="false">+PROPER(C3592&amp;" "&amp;D3592)</f>
        <v> </v>
      </c>
      <c r="S3592" s="230" t="n">
        <f aca="false">+YEARFRAC(L3592,$S$1)</f>
        <v>126.366666666667</v>
      </c>
      <c r="T3592" s="230" t="n">
        <f aca="false">+YEARFRAC(M3592,$S$1)</f>
        <v>126.366666666667</v>
      </c>
      <c r="U3592" s="231" t="n">
        <f aca="false">+$I3592</f>
        <v>0</v>
      </c>
      <c r="V3592" s="232" t="str">
        <f aca="false">+PROPER(F3592)</f>
        <v/>
      </c>
    </row>
    <row r="3593" customFormat="false" ht="14.25" hidden="false" customHeight="false" outlineLevel="0" collapsed="false">
      <c r="B3593" s="244"/>
      <c r="C3593" s="245"/>
      <c r="D3593" s="245"/>
      <c r="E3593" s="246"/>
      <c r="F3593" s="246"/>
      <c r="G3593" s="225" t="e">
        <f aca="false">VLOOKUP(B3593,'NIVEL ENERO'!A:F,4,0)</f>
        <v>#N/A</v>
      </c>
      <c r="H3593" s="247"/>
      <c r="I3593" s="247"/>
      <c r="J3593" s="246"/>
      <c r="K3593" s="246"/>
      <c r="L3593" s="226"/>
      <c r="M3593" s="226"/>
      <c r="N3593" s="246"/>
      <c r="O3593" s="246"/>
      <c r="P3593" s="228"/>
      <c r="Q3593" s="245"/>
      <c r="R3593" s="186" t="str">
        <f aca="false">+PROPER(C3593&amp;" "&amp;D3593)</f>
        <v> </v>
      </c>
      <c r="S3593" s="230" t="n">
        <f aca="false">+YEARFRAC(L3593,$S$1)</f>
        <v>126.366666666667</v>
      </c>
      <c r="T3593" s="230" t="n">
        <f aca="false">+YEARFRAC(M3593,$S$1)</f>
        <v>126.366666666667</v>
      </c>
      <c r="U3593" s="231" t="n">
        <f aca="false">+$I3593</f>
        <v>0</v>
      </c>
      <c r="V3593" s="232" t="str">
        <f aca="false">+PROPER(F3593)</f>
        <v/>
      </c>
    </row>
    <row r="3594" customFormat="false" ht="14.25" hidden="false" customHeight="false" outlineLevel="0" collapsed="false">
      <c r="B3594" s="244"/>
      <c r="C3594" s="245"/>
      <c r="D3594" s="245"/>
      <c r="E3594" s="246"/>
      <c r="F3594" s="246"/>
      <c r="G3594" s="225" t="e">
        <f aca="false">VLOOKUP(B3594,'NIVEL ENERO'!A:F,4,0)</f>
        <v>#N/A</v>
      </c>
      <c r="H3594" s="247"/>
      <c r="I3594" s="247"/>
      <c r="J3594" s="246"/>
      <c r="K3594" s="246"/>
      <c r="L3594" s="226"/>
      <c r="M3594" s="226"/>
      <c r="N3594" s="246"/>
      <c r="O3594" s="246"/>
      <c r="P3594" s="228"/>
      <c r="Q3594" s="245"/>
      <c r="R3594" s="186" t="str">
        <f aca="false">+PROPER(C3594&amp;" "&amp;D3594)</f>
        <v> </v>
      </c>
      <c r="S3594" s="230" t="n">
        <f aca="false">+YEARFRAC(L3594,$S$1)</f>
        <v>126.366666666667</v>
      </c>
      <c r="T3594" s="230" t="n">
        <f aca="false">+YEARFRAC(M3594,$S$1)</f>
        <v>126.366666666667</v>
      </c>
      <c r="U3594" s="231" t="n">
        <f aca="false">+$I3594</f>
        <v>0</v>
      </c>
      <c r="V3594" s="232" t="str">
        <f aca="false">+PROPER(F3594)</f>
        <v/>
      </c>
    </row>
    <row r="3595" customFormat="false" ht="14.25" hidden="false" customHeight="false" outlineLevel="0" collapsed="false">
      <c r="B3595" s="244"/>
      <c r="C3595" s="245"/>
      <c r="D3595" s="245"/>
      <c r="E3595" s="246"/>
      <c r="F3595" s="246"/>
      <c r="G3595" s="225" t="e">
        <f aca="false">VLOOKUP(B3595,'NIVEL ENERO'!A:F,4,0)</f>
        <v>#N/A</v>
      </c>
      <c r="H3595" s="247"/>
      <c r="I3595" s="247"/>
      <c r="J3595" s="246"/>
      <c r="K3595" s="246"/>
      <c r="L3595" s="226"/>
      <c r="M3595" s="226"/>
      <c r="N3595" s="246"/>
      <c r="O3595" s="246"/>
      <c r="P3595" s="228"/>
      <c r="Q3595" s="245"/>
      <c r="R3595" s="186" t="str">
        <f aca="false">+PROPER(C3595&amp;" "&amp;D3595)</f>
        <v> </v>
      </c>
      <c r="S3595" s="230" t="n">
        <f aca="false">+YEARFRAC(L3595,$S$1)</f>
        <v>126.366666666667</v>
      </c>
      <c r="T3595" s="230" t="n">
        <f aca="false">+YEARFRAC(M3595,$S$1)</f>
        <v>126.366666666667</v>
      </c>
      <c r="U3595" s="231" t="n">
        <f aca="false">+$I3595</f>
        <v>0</v>
      </c>
      <c r="V3595" s="232" t="str">
        <f aca="false">+PROPER(F3595)</f>
        <v/>
      </c>
    </row>
    <row r="3596" customFormat="false" ht="14.25" hidden="false" customHeight="false" outlineLevel="0" collapsed="false">
      <c r="B3596" s="244"/>
      <c r="C3596" s="245"/>
      <c r="D3596" s="245"/>
      <c r="E3596" s="246"/>
      <c r="F3596" s="246"/>
      <c r="G3596" s="225" t="e">
        <f aca="false">VLOOKUP(B3596,'NIVEL ENERO'!A:F,4,0)</f>
        <v>#N/A</v>
      </c>
      <c r="H3596" s="247"/>
      <c r="I3596" s="247"/>
      <c r="J3596" s="246"/>
      <c r="K3596" s="246"/>
      <c r="L3596" s="226"/>
      <c r="M3596" s="226"/>
      <c r="N3596" s="246"/>
      <c r="O3596" s="246"/>
      <c r="P3596" s="228"/>
      <c r="Q3596" s="245"/>
      <c r="R3596" s="186" t="str">
        <f aca="false">+PROPER(C3596&amp;" "&amp;D3596)</f>
        <v> </v>
      </c>
      <c r="S3596" s="230" t="n">
        <f aca="false">+YEARFRAC(L3596,$S$1)</f>
        <v>126.366666666667</v>
      </c>
      <c r="T3596" s="230" t="n">
        <f aca="false">+YEARFRAC(M3596,$S$1)</f>
        <v>126.366666666667</v>
      </c>
      <c r="U3596" s="231" t="n">
        <f aca="false">+$I3596</f>
        <v>0</v>
      </c>
      <c r="V3596" s="232" t="str">
        <f aca="false">+PROPER(F3596)</f>
        <v/>
      </c>
    </row>
    <row r="3597" customFormat="false" ht="14.25" hidden="false" customHeight="false" outlineLevel="0" collapsed="false">
      <c r="B3597" s="244"/>
      <c r="C3597" s="245"/>
      <c r="D3597" s="245"/>
      <c r="E3597" s="246"/>
      <c r="F3597" s="246"/>
      <c r="G3597" s="225" t="e">
        <f aca="false">VLOOKUP(B3597,'NIVEL ENERO'!A:F,4,0)</f>
        <v>#N/A</v>
      </c>
      <c r="H3597" s="247"/>
      <c r="I3597" s="247"/>
      <c r="J3597" s="246"/>
      <c r="K3597" s="246"/>
      <c r="L3597" s="226"/>
      <c r="M3597" s="226"/>
      <c r="N3597" s="246"/>
      <c r="O3597" s="246"/>
      <c r="P3597" s="228"/>
      <c r="Q3597" s="245"/>
      <c r="R3597" s="186" t="str">
        <f aca="false">+PROPER(C3597&amp;" "&amp;D3597)</f>
        <v> </v>
      </c>
      <c r="S3597" s="230" t="n">
        <f aca="false">+YEARFRAC(L3597,$S$1)</f>
        <v>126.366666666667</v>
      </c>
      <c r="T3597" s="230" t="n">
        <f aca="false">+YEARFRAC(M3597,$S$1)</f>
        <v>126.366666666667</v>
      </c>
      <c r="U3597" s="231" t="n">
        <f aca="false">+$I3597</f>
        <v>0</v>
      </c>
      <c r="V3597" s="232" t="str">
        <f aca="false">+PROPER(F3597)</f>
        <v/>
      </c>
    </row>
    <row r="3598" customFormat="false" ht="14.25" hidden="false" customHeight="false" outlineLevel="0" collapsed="false">
      <c r="B3598" s="244"/>
      <c r="C3598" s="245"/>
      <c r="D3598" s="245"/>
      <c r="E3598" s="246"/>
      <c r="F3598" s="246"/>
      <c r="G3598" s="225" t="e">
        <f aca="false">VLOOKUP(B3598,'NIVEL ENERO'!A:F,4,0)</f>
        <v>#N/A</v>
      </c>
      <c r="H3598" s="247"/>
      <c r="I3598" s="247"/>
      <c r="J3598" s="246"/>
      <c r="K3598" s="246"/>
      <c r="L3598" s="226"/>
      <c r="M3598" s="226"/>
      <c r="N3598" s="246"/>
      <c r="O3598" s="246"/>
      <c r="P3598" s="228"/>
      <c r="Q3598" s="245"/>
      <c r="R3598" s="186" t="str">
        <f aca="false">+PROPER(C3598&amp;" "&amp;D3598)</f>
        <v> </v>
      </c>
      <c r="S3598" s="230" t="n">
        <f aca="false">+YEARFRAC(L3598,$S$1)</f>
        <v>126.366666666667</v>
      </c>
      <c r="T3598" s="230" t="n">
        <f aca="false">+YEARFRAC(M3598,$S$1)</f>
        <v>126.366666666667</v>
      </c>
      <c r="U3598" s="231" t="n">
        <f aca="false">+$I3598</f>
        <v>0</v>
      </c>
      <c r="V3598" s="232" t="str">
        <f aca="false">+PROPER(F3598)</f>
        <v/>
      </c>
    </row>
    <row r="3599" customFormat="false" ht="14.25" hidden="false" customHeight="false" outlineLevel="0" collapsed="false">
      <c r="B3599" s="244"/>
      <c r="C3599" s="245"/>
      <c r="D3599" s="245"/>
      <c r="E3599" s="246"/>
      <c r="F3599" s="246"/>
      <c r="G3599" s="225" t="e">
        <f aca="false">VLOOKUP(B3599,'NIVEL ENERO'!A:F,4,0)</f>
        <v>#N/A</v>
      </c>
      <c r="H3599" s="247"/>
      <c r="I3599" s="247"/>
      <c r="J3599" s="246"/>
      <c r="K3599" s="246"/>
      <c r="L3599" s="226"/>
      <c r="M3599" s="226"/>
      <c r="N3599" s="246"/>
      <c r="O3599" s="246"/>
      <c r="P3599" s="228"/>
      <c r="Q3599" s="245"/>
      <c r="R3599" s="186" t="str">
        <f aca="false">+PROPER(C3599&amp;" "&amp;D3599)</f>
        <v> </v>
      </c>
      <c r="S3599" s="230" t="n">
        <f aca="false">+YEARFRAC(L3599,$S$1)</f>
        <v>126.366666666667</v>
      </c>
      <c r="T3599" s="230" t="n">
        <f aca="false">+YEARFRAC(M3599,$S$1)</f>
        <v>126.366666666667</v>
      </c>
      <c r="U3599" s="231" t="n">
        <f aca="false">+$I3599</f>
        <v>0</v>
      </c>
      <c r="V3599" s="232" t="str">
        <f aca="false">+PROPER(F3599)</f>
        <v/>
      </c>
    </row>
    <row r="3600" customFormat="false" ht="14.25" hidden="false" customHeight="false" outlineLevel="0" collapsed="false">
      <c r="B3600" s="244"/>
      <c r="C3600" s="245"/>
      <c r="D3600" s="245"/>
      <c r="E3600" s="246"/>
      <c r="F3600" s="246"/>
      <c r="G3600" s="225" t="e">
        <f aca="false">VLOOKUP(B3600,'NIVEL ENERO'!A:F,4,0)</f>
        <v>#N/A</v>
      </c>
      <c r="H3600" s="247"/>
      <c r="I3600" s="247"/>
      <c r="J3600" s="246"/>
      <c r="K3600" s="246"/>
      <c r="L3600" s="226"/>
      <c r="M3600" s="226"/>
      <c r="N3600" s="246"/>
      <c r="O3600" s="246"/>
      <c r="P3600" s="228"/>
      <c r="Q3600" s="245"/>
      <c r="R3600" s="186" t="str">
        <f aca="false">+PROPER(C3600&amp;" "&amp;D3600)</f>
        <v> </v>
      </c>
      <c r="S3600" s="230" t="n">
        <f aca="false">+YEARFRAC(L3600,$S$1)</f>
        <v>126.366666666667</v>
      </c>
      <c r="T3600" s="230" t="n">
        <f aca="false">+YEARFRAC(M3600,$S$1)</f>
        <v>126.366666666667</v>
      </c>
      <c r="U3600" s="231" t="n">
        <f aca="false">+$I3600</f>
        <v>0</v>
      </c>
      <c r="V3600" s="232" t="str">
        <f aca="false">+PROPER(F3600)</f>
        <v/>
      </c>
    </row>
    <row r="3601" customFormat="false" ht="14.25" hidden="false" customHeight="false" outlineLevel="0" collapsed="false">
      <c r="B3601" s="244"/>
      <c r="C3601" s="245"/>
      <c r="D3601" s="245"/>
      <c r="E3601" s="246"/>
      <c r="F3601" s="246"/>
      <c r="G3601" s="225" t="e">
        <f aca="false">VLOOKUP(B3601,'NIVEL ENERO'!A:F,4,0)</f>
        <v>#N/A</v>
      </c>
      <c r="H3601" s="247"/>
      <c r="I3601" s="247"/>
      <c r="J3601" s="246"/>
      <c r="K3601" s="246"/>
      <c r="L3601" s="226"/>
      <c r="M3601" s="226"/>
      <c r="N3601" s="246"/>
      <c r="O3601" s="246"/>
      <c r="P3601" s="228"/>
      <c r="Q3601" s="245"/>
      <c r="R3601" s="186" t="str">
        <f aca="false">+PROPER(C3601&amp;" "&amp;D3601)</f>
        <v> </v>
      </c>
      <c r="S3601" s="230" t="n">
        <f aca="false">+YEARFRAC(L3601,$S$1)</f>
        <v>126.366666666667</v>
      </c>
      <c r="T3601" s="230" t="n">
        <f aca="false">+YEARFRAC(M3601,$S$1)</f>
        <v>126.366666666667</v>
      </c>
      <c r="U3601" s="231" t="n">
        <f aca="false">+$I3601</f>
        <v>0</v>
      </c>
      <c r="V3601" s="232" t="str">
        <f aca="false">+PROPER(F3601)</f>
        <v/>
      </c>
    </row>
    <row r="3602" customFormat="false" ht="14.25" hidden="false" customHeight="false" outlineLevel="0" collapsed="false">
      <c r="B3602" s="244"/>
      <c r="C3602" s="245"/>
      <c r="D3602" s="245"/>
      <c r="E3602" s="246"/>
      <c r="F3602" s="246"/>
      <c r="G3602" s="225" t="e">
        <f aca="false">VLOOKUP(B3602,'NIVEL ENERO'!A:F,4,0)</f>
        <v>#N/A</v>
      </c>
      <c r="H3602" s="247"/>
      <c r="I3602" s="247"/>
      <c r="J3602" s="246"/>
      <c r="K3602" s="246"/>
      <c r="L3602" s="226"/>
      <c r="M3602" s="226"/>
      <c r="N3602" s="246"/>
      <c r="O3602" s="246"/>
      <c r="P3602" s="228"/>
      <c r="Q3602" s="245"/>
      <c r="R3602" s="186" t="str">
        <f aca="false">+PROPER(C3602&amp;" "&amp;D3602)</f>
        <v> </v>
      </c>
      <c r="S3602" s="230" t="n">
        <f aca="false">+YEARFRAC(L3602,$S$1)</f>
        <v>126.366666666667</v>
      </c>
      <c r="T3602" s="230" t="n">
        <f aca="false">+YEARFRAC(M3602,$S$1)</f>
        <v>126.366666666667</v>
      </c>
      <c r="U3602" s="231" t="n">
        <f aca="false">+$I3602</f>
        <v>0</v>
      </c>
      <c r="V3602" s="232" t="str">
        <f aca="false">+PROPER(F3602)</f>
        <v/>
      </c>
    </row>
    <row r="3603" customFormat="false" ht="14.25" hidden="false" customHeight="false" outlineLevel="0" collapsed="false">
      <c r="B3603" s="244"/>
      <c r="C3603" s="245"/>
      <c r="D3603" s="245"/>
      <c r="E3603" s="246"/>
      <c r="F3603" s="246"/>
      <c r="G3603" s="225" t="e">
        <f aca="false">VLOOKUP(B3603,'NIVEL ENERO'!A:F,4,0)</f>
        <v>#N/A</v>
      </c>
      <c r="H3603" s="247"/>
      <c r="I3603" s="247"/>
      <c r="J3603" s="246"/>
      <c r="K3603" s="246"/>
      <c r="L3603" s="226"/>
      <c r="M3603" s="226"/>
      <c r="N3603" s="246"/>
      <c r="O3603" s="246"/>
      <c r="P3603" s="228"/>
      <c r="Q3603" s="245"/>
      <c r="R3603" s="186" t="str">
        <f aca="false">+PROPER(C3603&amp;" "&amp;D3603)</f>
        <v> </v>
      </c>
      <c r="S3603" s="230" t="n">
        <f aca="false">+YEARFRAC(L3603,$S$1)</f>
        <v>126.366666666667</v>
      </c>
      <c r="T3603" s="230" t="n">
        <f aca="false">+YEARFRAC(M3603,$S$1)</f>
        <v>126.366666666667</v>
      </c>
      <c r="U3603" s="231" t="n">
        <f aca="false">+$I3603</f>
        <v>0</v>
      </c>
      <c r="V3603" s="232" t="str">
        <f aca="false">+PROPER(F3603)</f>
        <v/>
      </c>
    </row>
    <row r="3604" customFormat="false" ht="14.25" hidden="false" customHeight="false" outlineLevel="0" collapsed="false">
      <c r="B3604" s="244"/>
      <c r="C3604" s="245"/>
      <c r="D3604" s="245"/>
      <c r="E3604" s="246"/>
      <c r="F3604" s="246"/>
      <c r="G3604" s="225" t="e">
        <f aca="false">VLOOKUP(B3604,'NIVEL ENERO'!A:F,4,0)</f>
        <v>#N/A</v>
      </c>
      <c r="H3604" s="247"/>
      <c r="I3604" s="247"/>
      <c r="J3604" s="246"/>
      <c r="K3604" s="246"/>
      <c r="L3604" s="226"/>
      <c r="M3604" s="226"/>
      <c r="N3604" s="246"/>
      <c r="O3604" s="246"/>
      <c r="P3604" s="228"/>
      <c r="Q3604" s="245"/>
      <c r="R3604" s="186" t="str">
        <f aca="false">+PROPER(C3604&amp;" "&amp;D3604)</f>
        <v> </v>
      </c>
      <c r="S3604" s="230" t="n">
        <f aca="false">+YEARFRAC(L3604,$S$1)</f>
        <v>126.366666666667</v>
      </c>
      <c r="T3604" s="230" t="n">
        <f aca="false">+YEARFRAC(M3604,$S$1)</f>
        <v>126.366666666667</v>
      </c>
      <c r="U3604" s="231" t="n">
        <f aca="false">+$I3604</f>
        <v>0</v>
      </c>
      <c r="V3604" s="232" t="str">
        <f aca="false">+PROPER(F3604)</f>
        <v/>
      </c>
    </row>
    <row r="3605" customFormat="false" ht="14.25" hidden="false" customHeight="false" outlineLevel="0" collapsed="false">
      <c r="B3605" s="244"/>
      <c r="C3605" s="245"/>
      <c r="D3605" s="245"/>
      <c r="E3605" s="246"/>
      <c r="F3605" s="246"/>
      <c r="G3605" s="225" t="e">
        <f aca="false">VLOOKUP(B3605,'NIVEL ENERO'!A:F,4,0)</f>
        <v>#N/A</v>
      </c>
      <c r="H3605" s="247"/>
      <c r="I3605" s="247"/>
      <c r="J3605" s="246"/>
      <c r="K3605" s="246"/>
      <c r="L3605" s="226"/>
      <c r="M3605" s="226"/>
      <c r="N3605" s="246"/>
      <c r="O3605" s="246"/>
      <c r="P3605" s="228"/>
      <c r="Q3605" s="245"/>
      <c r="R3605" s="186" t="str">
        <f aca="false">+PROPER(C3605&amp;" "&amp;D3605)</f>
        <v> </v>
      </c>
      <c r="S3605" s="230" t="n">
        <f aca="false">+YEARFRAC(L3605,$S$1)</f>
        <v>126.366666666667</v>
      </c>
      <c r="T3605" s="230" t="n">
        <f aca="false">+YEARFRAC(M3605,$S$1)</f>
        <v>126.366666666667</v>
      </c>
      <c r="U3605" s="231" t="n">
        <f aca="false">+$I3605</f>
        <v>0</v>
      </c>
      <c r="V3605" s="232" t="str">
        <f aca="false">+PROPER(F3605)</f>
        <v/>
      </c>
    </row>
    <row r="3606" customFormat="false" ht="14.25" hidden="false" customHeight="false" outlineLevel="0" collapsed="false">
      <c r="B3606" s="244"/>
      <c r="C3606" s="245"/>
      <c r="D3606" s="245"/>
      <c r="E3606" s="246"/>
      <c r="F3606" s="246"/>
      <c r="G3606" s="225" t="e">
        <f aca="false">VLOOKUP(B3606,'NIVEL ENERO'!A:F,4,0)</f>
        <v>#N/A</v>
      </c>
      <c r="H3606" s="247"/>
      <c r="I3606" s="247"/>
      <c r="J3606" s="246"/>
      <c r="K3606" s="246"/>
      <c r="L3606" s="226"/>
      <c r="M3606" s="226"/>
      <c r="N3606" s="246"/>
      <c r="O3606" s="246"/>
      <c r="P3606" s="228"/>
      <c r="Q3606" s="245"/>
      <c r="R3606" s="186" t="str">
        <f aca="false">+PROPER(C3606&amp;" "&amp;D3606)</f>
        <v> </v>
      </c>
      <c r="S3606" s="230" t="n">
        <f aca="false">+YEARFRAC(L3606,$S$1)</f>
        <v>126.366666666667</v>
      </c>
      <c r="T3606" s="230" t="n">
        <f aca="false">+YEARFRAC(M3606,$S$1)</f>
        <v>126.366666666667</v>
      </c>
      <c r="U3606" s="231" t="n">
        <f aca="false">+$I3606</f>
        <v>0</v>
      </c>
      <c r="V3606" s="232" t="str">
        <f aca="false">+PROPER(F3606)</f>
        <v/>
      </c>
    </row>
    <row r="3607" customFormat="false" ht="14.25" hidden="false" customHeight="false" outlineLevel="0" collapsed="false">
      <c r="B3607" s="244"/>
      <c r="C3607" s="245"/>
      <c r="D3607" s="245"/>
      <c r="E3607" s="246"/>
      <c r="F3607" s="246"/>
      <c r="G3607" s="225" t="e">
        <f aca="false">VLOOKUP(B3607,'NIVEL ENERO'!A:F,4,0)</f>
        <v>#N/A</v>
      </c>
      <c r="H3607" s="247"/>
      <c r="I3607" s="247"/>
      <c r="J3607" s="246"/>
      <c r="K3607" s="246"/>
      <c r="L3607" s="226"/>
      <c r="M3607" s="226"/>
      <c r="N3607" s="246"/>
      <c r="O3607" s="246"/>
      <c r="P3607" s="228"/>
      <c r="Q3607" s="245"/>
      <c r="R3607" s="186" t="str">
        <f aca="false">+PROPER(C3607&amp;" "&amp;D3607)</f>
        <v> </v>
      </c>
      <c r="S3607" s="230" t="n">
        <f aca="false">+YEARFRAC(L3607,$S$1)</f>
        <v>126.366666666667</v>
      </c>
      <c r="T3607" s="230" t="n">
        <f aca="false">+YEARFRAC(M3607,$S$1)</f>
        <v>126.366666666667</v>
      </c>
      <c r="U3607" s="231" t="n">
        <f aca="false">+$I3607</f>
        <v>0</v>
      </c>
      <c r="V3607" s="232" t="str">
        <f aca="false">+PROPER(F3607)</f>
        <v/>
      </c>
    </row>
    <row r="3608" customFormat="false" ht="14.25" hidden="false" customHeight="false" outlineLevel="0" collapsed="false">
      <c r="B3608" s="244"/>
      <c r="C3608" s="245"/>
      <c r="D3608" s="245"/>
      <c r="E3608" s="246"/>
      <c r="F3608" s="246"/>
      <c r="G3608" s="225" t="e">
        <f aca="false">VLOOKUP(B3608,'NIVEL ENERO'!A:F,4,0)</f>
        <v>#N/A</v>
      </c>
      <c r="H3608" s="247"/>
      <c r="I3608" s="247"/>
      <c r="J3608" s="246"/>
      <c r="K3608" s="246"/>
      <c r="L3608" s="226"/>
      <c r="M3608" s="226"/>
      <c r="N3608" s="246"/>
      <c r="O3608" s="246"/>
      <c r="P3608" s="228"/>
      <c r="Q3608" s="245"/>
      <c r="R3608" s="186" t="str">
        <f aca="false">+PROPER(C3608&amp;" "&amp;D3608)</f>
        <v> </v>
      </c>
      <c r="S3608" s="230" t="n">
        <f aca="false">+YEARFRAC(L3608,$S$1)</f>
        <v>126.366666666667</v>
      </c>
      <c r="T3608" s="230" t="n">
        <f aca="false">+YEARFRAC(M3608,$S$1)</f>
        <v>126.366666666667</v>
      </c>
      <c r="U3608" s="231" t="n">
        <f aca="false">+$I3608</f>
        <v>0</v>
      </c>
      <c r="V3608" s="232" t="str">
        <f aca="false">+PROPER(F3608)</f>
        <v/>
      </c>
    </row>
    <row r="3609" customFormat="false" ht="14.25" hidden="false" customHeight="false" outlineLevel="0" collapsed="false">
      <c r="B3609" s="244"/>
      <c r="C3609" s="245"/>
      <c r="D3609" s="245"/>
      <c r="E3609" s="246"/>
      <c r="F3609" s="246"/>
      <c r="G3609" s="225" t="e">
        <f aca="false">VLOOKUP(B3609,'NIVEL ENERO'!A:F,4,0)</f>
        <v>#N/A</v>
      </c>
      <c r="H3609" s="247"/>
      <c r="I3609" s="247"/>
      <c r="J3609" s="246"/>
      <c r="K3609" s="246"/>
      <c r="L3609" s="226"/>
      <c r="M3609" s="226"/>
      <c r="N3609" s="246"/>
      <c r="O3609" s="246"/>
      <c r="P3609" s="228"/>
      <c r="Q3609" s="245"/>
      <c r="R3609" s="186" t="str">
        <f aca="false">+PROPER(C3609&amp;" "&amp;D3609)</f>
        <v> </v>
      </c>
      <c r="S3609" s="230" t="n">
        <f aca="false">+YEARFRAC(L3609,$S$1)</f>
        <v>126.366666666667</v>
      </c>
      <c r="T3609" s="230" t="n">
        <f aca="false">+YEARFRAC(M3609,$S$1)</f>
        <v>126.366666666667</v>
      </c>
      <c r="U3609" s="231" t="n">
        <f aca="false">+$I3609</f>
        <v>0</v>
      </c>
      <c r="V3609" s="232" t="str">
        <f aca="false">+PROPER(F3609)</f>
        <v/>
      </c>
    </row>
    <row r="3610" customFormat="false" ht="14.25" hidden="false" customHeight="false" outlineLevel="0" collapsed="false">
      <c r="B3610" s="244"/>
      <c r="C3610" s="245"/>
      <c r="D3610" s="245"/>
      <c r="E3610" s="246"/>
      <c r="F3610" s="246"/>
      <c r="G3610" s="225" t="e">
        <f aca="false">VLOOKUP(B3610,'NIVEL ENERO'!A:F,4,0)</f>
        <v>#N/A</v>
      </c>
      <c r="H3610" s="247"/>
      <c r="I3610" s="247"/>
      <c r="J3610" s="246"/>
      <c r="K3610" s="246"/>
      <c r="L3610" s="226"/>
      <c r="M3610" s="226"/>
      <c r="N3610" s="246"/>
      <c r="O3610" s="246"/>
      <c r="P3610" s="228"/>
      <c r="Q3610" s="245"/>
      <c r="R3610" s="186" t="str">
        <f aca="false">+PROPER(C3610&amp;" "&amp;D3610)</f>
        <v> </v>
      </c>
      <c r="S3610" s="230" t="n">
        <f aca="false">+YEARFRAC(L3610,$S$1)</f>
        <v>126.366666666667</v>
      </c>
      <c r="T3610" s="230" t="n">
        <f aca="false">+YEARFRAC(M3610,$S$1)</f>
        <v>126.366666666667</v>
      </c>
      <c r="U3610" s="231" t="n">
        <f aca="false">+$I3610</f>
        <v>0</v>
      </c>
      <c r="V3610" s="232" t="str">
        <f aca="false">+PROPER(F3610)</f>
        <v/>
      </c>
    </row>
    <row r="3611" customFormat="false" ht="14.25" hidden="false" customHeight="false" outlineLevel="0" collapsed="false">
      <c r="B3611" s="244"/>
      <c r="C3611" s="245"/>
      <c r="D3611" s="245"/>
      <c r="E3611" s="246"/>
      <c r="F3611" s="246"/>
      <c r="G3611" s="225" t="e">
        <f aca="false">VLOOKUP(B3611,'NIVEL ENERO'!A:F,4,0)</f>
        <v>#N/A</v>
      </c>
      <c r="H3611" s="247"/>
      <c r="I3611" s="247"/>
      <c r="J3611" s="246"/>
      <c r="K3611" s="246"/>
      <c r="L3611" s="226"/>
      <c r="M3611" s="226"/>
      <c r="N3611" s="246"/>
      <c r="O3611" s="246"/>
      <c r="P3611" s="228"/>
      <c r="Q3611" s="245"/>
      <c r="R3611" s="186" t="str">
        <f aca="false">+PROPER(C3611&amp;" "&amp;D3611)</f>
        <v> </v>
      </c>
      <c r="S3611" s="230" t="n">
        <f aca="false">+YEARFRAC(L3611,$S$1)</f>
        <v>126.366666666667</v>
      </c>
      <c r="T3611" s="230" t="n">
        <f aca="false">+YEARFRAC(M3611,$S$1)</f>
        <v>126.366666666667</v>
      </c>
      <c r="U3611" s="231" t="n">
        <f aca="false">+$I3611</f>
        <v>0</v>
      </c>
      <c r="V3611" s="232" t="str">
        <f aca="false">+PROPER(F3611)</f>
        <v/>
      </c>
    </row>
    <row r="3612" customFormat="false" ht="14.25" hidden="false" customHeight="false" outlineLevel="0" collapsed="false">
      <c r="B3612" s="244"/>
      <c r="C3612" s="245"/>
      <c r="D3612" s="245"/>
      <c r="E3612" s="246"/>
      <c r="F3612" s="246"/>
      <c r="G3612" s="225" t="e">
        <f aca="false">VLOOKUP(B3612,'NIVEL ENERO'!A:F,4,0)</f>
        <v>#N/A</v>
      </c>
      <c r="H3612" s="247"/>
      <c r="I3612" s="247"/>
      <c r="J3612" s="246"/>
      <c r="K3612" s="246"/>
      <c r="L3612" s="226"/>
      <c r="M3612" s="226"/>
      <c r="N3612" s="246"/>
      <c r="O3612" s="246"/>
      <c r="P3612" s="228"/>
      <c r="Q3612" s="245"/>
      <c r="R3612" s="186" t="str">
        <f aca="false">+PROPER(C3612&amp;" "&amp;D3612)</f>
        <v> </v>
      </c>
      <c r="S3612" s="230" t="n">
        <f aca="false">+YEARFRAC(L3612,$S$1)</f>
        <v>126.366666666667</v>
      </c>
      <c r="T3612" s="230" t="n">
        <f aca="false">+YEARFRAC(M3612,$S$1)</f>
        <v>126.366666666667</v>
      </c>
      <c r="U3612" s="231" t="n">
        <f aca="false">+$I3612</f>
        <v>0</v>
      </c>
      <c r="V3612" s="232" t="str">
        <f aca="false">+PROPER(F3612)</f>
        <v/>
      </c>
    </row>
    <row r="3613" customFormat="false" ht="14.25" hidden="false" customHeight="false" outlineLevel="0" collapsed="false">
      <c r="B3613" s="244"/>
      <c r="C3613" s="245"/>
      <c r="D3613" s="245"/>
      <c r="E3613" s="246"/>
      <c r="F3613" s="246"/>
      <c r="G3613" s="225" t="e">
        <f aca="false">VLOOKUP(B3613,'NIVEL ENERO'!A:F,4,0)</f>
        <v>#N/A</v>
      </c>
      <c r="H3613" s="247"/>
      <c r="I3613" s="247"/>
      <c r="J3613" s="246"/>
      <c r="K3613" s="246"/>
      <c r="L3613" s="226"/>
      <c r="M3613" s="226"/>
      <c r="N3613" s="246"/>
      <c r="O3613" s="246"/>
      <c r="P3613" s="228"/>
      <c r="Q3613" s="245"/>
      <c r="R3613" s="186" t="str">
        <f aca="false">+PROPER(C3613&amp;" "&amp;D3613)</f>
        <v> </v>
      </c>
      <c r="S3613" s="230" t="n">
        <f aca="false">+YEARFRAC(L3613,$S$1)</f>
        <v>126.366666666667</v>
      </c>
      <c r="T3613" s="230" t="n">
        <f aca="false">+YEARFRAC(M3613,$S$1)</f>
        <v>126.366666666667</v>
      </c>
      <c r="U3613" s="231" t="n">
        <f aca="false">+$I3613</f>
        <v>0</v>
      </c>
      <c r="V3613" s="232" t="str">
        <f aca="false">+PROPER(F3613)</f>
        <v/>
      </c>
    </row>
    <row r="3614" customFormat="false" ht="14.25" hidden="false" customHeight="false" outlineLevel="0" collapsed="false">
      <c r="B3614" s="244"/>
      <c r="C3614" s="245"/>
      <c r="D3614" s="245"/>
      <c r="E3614" s="246"/>
      <c r="F3614" s="246"/>
      <c r="G3614" s="225" t="e">
        <f aca="false">VLOOKUP(B3614,'NIVEL ENERO'!A:F,4,0)</f>
        <v>#N/A</v>
      </c>
      <c r="H3614" s="247"/>
      <c r="I3614" s="247"/>
      <c r="J3614" s="246"/>
      <c r="K3614" s="246"/>
      <c r="L3614" s="226"/>
      <c r="M3614" s="226"/>
      <c r="N3614" s="246"/>
      <c r="O3614" s="246"/>
      <c r="P3614" s="228"/>
      <c r="Q3614" s="245"/>
      <c r="R3614" s="186" t="str">
        <f aca="false">+PROPER(C3614&amp;" "&amp;D3614)</f>
        <v> </v>
      </c>
      <c r="S3614" s="230" t="n">
        <f aca="false">+YEARFRAC(L3614,$S$1)</f>
        <v>126.366666666667</v>
      </c>
      <c r="T3614" s="230" t="n">
        <f aca="false">+YEARFRAC(M3614,$S$1)</f>
        <v>126.366666666667</v>
      </c>
      <c r="U3614" s="231" t="n">
        <f aca="false">+$I3614</f>
        <v>0</v>
      </c>
      <c r="V3614" s="232" t="str">
        <f aca="false">+PROPER(F3614)</f>
        <v/>
      </c>
    </row>
    <row r="3615" customFormat="false" ht="14.25" hidden="false" customHeight="false" outlineLevel="0" collapsed="false">
      <c r="B3615" s="244"/>
      <c r="C3615" s="245"/>
      <c r="D3615" s="245"/>
      <c r="E3615" s="246"/>
      <c r="F3615" s="246"/>
      <c r="G3615" s="225" t="e">
        <f aca="false">VLOOKUP(B3615,'NIVEL ENERO'!A:F,4,0)</f>
        <v>#N/A</v>
      </c>
      <c r="H3615" s="247"/>
      <c r="I3615" s="247"/>
      <c r="J3615" s="246"/>
      <c r="K3615" s="246"/>
      <c r="L3615" s="226"/>
      <c r="M3615" s="226"/>
      <c r="N3615" s="246"/>
      <c r="O3615" s="246"/>
      <c r="P3615" s="228"/>
      <c r="Q3615" s="245"/>
      <c r="R3615" s="186" t="str">
        <f aca="false">+PROPER(C3615&amp;" "&amp;D3615)</f>
        <v> </v>
      </c>
      <c r="S3615" s="230" t="n">
        <f aca="false">+YEARFRAC(L3615,$S$1)</f>
        <v>126.366666666667</v>
      </c>
      <c r="T3615" s="230" t="n">
        <f aca="false">+YEARFRAC(M3615,$S$1)</f>
        <v>126.366666666667</v>
      </c>
      <c r="U3615" s="231" t="n">
        <f aca="false">+$I3615</f>
        <v>0</v>
      </c>
      <c r="V3615" s="232" t="str">
        <f aca="false">+PROPER(F3615)</f>
        <v/>
      </c>
    </row>
    <row r="3616" customFormat="false" ht="14.25" hidden="false" customHeight="false" outlineLevel="0" collapsed="false">
      <c r="B3616" s="244"/>
      <c r="C3616" s="245"/>
      <c r="D3616" s="245"/>
      <c r="E3616" s="246"/>
      <c r="F3616" s="246"/>
      <c r="G3616" s="225" t="e">
        <f aca="false">VLOOKUP(B3616,'NIVEL ENERO'!A:F,4,0)</f>
        <v>#N/A</v>
      </c>
      <c r="H3616" s="247"/>
      <c r="I3616" s="247"/>
      <c r="J3616" s="246"/>
      <c r="K3616" s="246"/>
      <c r="L3616" s="226"/>
      <c r="M3616" s="226"/>
      <c r="N3616" s="246"/>
      <c r="O3616" s="246"/>
      <c r="P3616" s="228"/>
      <c r="Q3616" s="245"/>
      <c r="R3616" s="186" t="str">
        <f aca="false">+PROPER(C3616&amp;" "&amp;D3616)</f>
        <v> </v>
      </c>
      <c r="S3616" s="230" t="n">
        <f aca="false">+YEARFRAC(L3616,$S$1)</f>
        <v>126.366666666667</v>
      </c>
      <c r="T3616" s="230" t="n">
        <f aca="false">+YEARFRAC(M3616,$S$1)</f>
        <v>126.366666666667</v>
      </c>
      <c r="U3616" s="231" t="n">
        <f aca="false">+$I3616</f>
        <v>0</v>
      </c>
      <c r="V3616" s="232" t="str">
        <f aca="false">+PROPER(F3616)</f>
        <v/>
      </c>
    </row>
    <row r="3617" customFormat="false" ht="14.25" hidden="false" customHeight="false" outlineLevel="0" collapsed="false">
      <c r="B3617" s="244"/>
      <c r="C3617" s="245"/>
      <c r="D3617" s="245"/>
      <c r="E3617" s="246"/>
      <c r="F3617" s="246"/>
      <c r="G3617" s="225" t="e">
        <f aca="false">VLOOKUP(B3617,'NIVEL ENERO'!A:F,4,0)</f>
        <v>#N/A</v>
      </c>
      <c r="H3617" s="247"/>
      <c r="I3617" s="247"/>
      <c r="J3617" s="246"/>
      <c r="K3617" s="246"/>
      <c r="L3617" s="226"/>
      <c r="M3617" s="226"/>
      <c r="N3617" s="246"/>
      <c r="O3617" s="246"/>
      <c r="P3617" s="228"/>
      <c r="Q3617" s="245"/>
      <c r="R3617" s="186" t="str">
        <f aca="false">+PROPER(C3617&amp;" "&amp;D3617)</f>
        <v> </v>
      </c>
      <c r="S3617" s="230" t="n">
        <f aca="false">+YEARFRAC(L3617,$S$1)</f>
        <v>126.366666666667</v>
      </c>
      <c r="T3617" s="230" t="n">
        <f aca="false">+YEARFRAC(M3617,$S$1)</f>
        <v>126.366666666667</v>
      </c>
      <c r="U3617" s="231" t="n">
        <f aca="false">+$I3617</f>
        <v>0</v>
      </c>
      <c r="V3617" s="232" t="str">
        <f aca="false">+PROPER(F3617)</f>
        <v/>
      </c>
    </row>
    <row r="3618" customFormat="false" ht="14.25" hidden="false" customHeight="false" outlineLevel="0" collapsed="false">
      <c r="B3618" s="244"/>
      <c r="C3618" s="245"/>
      <c r="D3618" s="245"/>
      <c r="E3618" s="246"/>
      <c r="F3618" s="246"/>
      <c r="G3618" s="225" t="e">
        <f aca="false">VLOOKUP(B3618,'NIVEL ENERO'!A:F,4,0)</f>
        <v>#N/A</v>
      </c>
      <c r="H3618" s="247"/>
      <c r="I3618" s="247"/>
      <c r="J3618" s="246"/>
      <c r="K3618" s="246"/>
      <c r="L3618" s="226"/>
      <c r="M3618" s="226"/>
      <c r="N3618" s="246"/>
      <c r="O3618" s="246"/>
      <c r="P3618" s="228"/>
      <c r="Q3618" s="245"/>
      <c r="R3618" s="186" t="str">
        <f aca="false">+PROPER(C3618&amp;" "&amp;D3618)</f>
        <v> </v>
      </c>
      <c r="S3618" s="230" t="n">
        <f aca="false">+YEARFRAC(L3618,$S$1)</f>
        <v>126.366666666667</v>
      </c>
      <c r="T3618" s="230" t="n">
        <f aca="false">+YEARFRAC(M3618,$S$1)</f>
        <v>126.366666666667</v>
      </c>
      <c r="U3618" s="231" t="n">
        <f aca="false">+$I3618</f>
        <v>0</v>
      </c>
      <c r="V3618" s="232" t="str">
        <f aca="false">+PROPER(F3618)</f>
        <v/>
      </c>
    </row>
    <row r="3619" customFormat="false" ht="14.25" hidden="false" customHeight="false" outlineLevel="0" collapsed="false">
      <c r="B3619" s="244"/>
      <c r="C3619" s="245"/>
      <c r="D3619" s="245"/>
      <c r="E3619" s="246"/>
      <c r="F3619" s="246"/>
      <c r="G3619" s="225" t="e">
        <f aca="false">VLOOKUP(B3619,'NIVEL ENERO'!A:F,4,0)</f>
        <v>#N/A</v>
      </c>
      <c r="H3619" s="247"/>
      <c r="I3619" s="247"/>
      <c r="J3619" s="246"/>
      <c r="K3619" s="246"/>
      <c r="L3619" s="226"/>
      <c r="M3619" s="226"/>
      <c r="N3619" s="246"/>
      <c r="O3619" s="246"/>
      <c r="P3619" s="228"/>
      <c r="Q3619" s="245"/>
      <c r="R3619" s="186" t="str">
        <f aca="false">+PROPER(C3619&amp;" "&amp;D3619)</f>
        <v> </v>
      </c>
      <c r="S3619" s="230" t="n">
        <f aca="false">+YEARFRAC(L3619,$S$1)</f>
        <v>126.366666666667</v>
      </c>
      <c r="T3619" s="230" t="n">
        <f aca="false">+YEARFRAC(M3619,$S$1)</f>
        <v>126.366666666667</v>
      </c>
      <c r="U3619" s="231" t="n">
        <f aca="false">+$I3619</f>
        <v>0</v>
      </c>
      <c r="V3619" s="232" t="str">
        <f aca="false">+PROPER(F3619)</f>
        <v/>
      </c>
    </row>
    <row r="3620" customFormat="false" ht="14.25" hidden="false" customHeight="false" outlineLevel="0" collapsed="false">
      <c r="B3620" s="244"/>
      <c r="C3620" s="245"/>
      <c r="D3620" s="245"/>
      <c r="E3620" s="246"/>
      <c r="F3620" s="246"/>
      <c r="G3620" s="225" t="e">
        <f aca="false">VLOOKUP(B3620,'NIVEL ENERO'!A:F,4,0)</f>
        <v>#N/A</v>
      </c>
      <c r="H3620" s="247"/>
      <c r="I3620" s="247"/>
      <c r="J3620" s="246"/>
      <c r="K3620" s="246"/>
      <c r="L3620" s="226"/>
      <c r="M3620" s="226"/>
      <c r="N3620" s="246"/>
      <c r="O3620" s="246"/>
      <c r="P3620" s="228"/>
      <c r="Q3620" s="245"/>
      <c r="R3620" s="186" t="str">
        <f aca="false">+PROPER(C3620&amp;" "&amp;D3620)</f>
        <v> </v>
      </c>
      <c r="S3620" s="230" t="n">
        <f aca="false">+YEARFRAC(L3620,$S$1)</f>
        <v>126.366666666667</v>
      </c>
      <c r="T3620" s="230" t="n">
        <f aca="false">+YEARFRAC(M3620,$S$1)</f>
        <v>126.366666666667</v>
      </c>
      <c r="U3620" s="231" t="n">
        <f aca="false">+$I3620</f>
        <v>0</v>
      </c>
      <c r="V3620" s="232" t="str">
        <f aca="false">+PROPER(F3620)</f>
        <v/>
      </c>
    </row>
    <row r="3621" customFormat="false" ht="14.25" hidden="false" customHeight="false" outlineLevel="0" collapsed="false">
      <c r="B3621" s="244"/>
      <c r="C3621" s="245"/>
      <c r="D3621" s="245"/>
      <c r="E3621" s="246"/>
      <c r="F3621" s="246"/>
      <c r="G3621" s="225" t="e">
        <f aca="false">VLOOKUP(B3621,'NIVEL ENERO'!A:F,4,0)</f>
        <v>#N/A</v>
      </c>
      <c r="H3621" s="247"/>
      <c r="I3621" s="247"/>
      <c r="J3621" s="246"/>
      <c r="K3621" s="246"/>
      <c r="L3621" s="226"/>
      <c r="M3621" s="226"/>
      <c r="N3621" s="246"/>
      <c r="O3621" s="246"/>
      <c r="P3621" s="228"/>
      <c r="Q3621" s="245"/>
      <c r="R3621" s="186" t="str">
        <f aca="false">+PROPER(C3621&amp;" "&amp;D3621)</f>
        <v> </v>
      </c>
      <c r="S3621" s="230" t="n">
        <f aca="false">+YEARFRAC(L3621,$S$1)</f>
        <v>126.366666666667</v>
      </c>
      <c r="T3621" s="230" t="n">
        <f aca="false">+YEARFRAC(M3621,$S$1)</f>
        <v>126.366666666667</v>
      </c>
      <c r="U3621" s="231" t="n">
        <f aca="false">+$I3621</f>
        <v>0</v>
      </c>
      <c r="V3621" s="232" t="str">
        <f aca="false">+PROPER(F3621)</f>
        <v/>
      </c>
    </row>
    <row r="3622" customFormat="false" ht="14.25" hidden="false" customHeight="false" outlineLevel="0" collapsed="false">
      <c r="B3622" s="244"/>
      <c r="C3622" s="245"/>
      <c r="D3622" s="245"/>
      <c r="E3622" s="246"/>
      <c r="F3622" s="246"/>
      <c r="G3622" s="225" t="e">
        <f aca="false">VLOOKUP(B3622,'NIVEL ENERO'!A:F,4,0)</f>
        <v>#N/A</v>
      </c>
      <c r="H3622" s="247"/>
      <c r="I3622" s="247"/>
      <c r="J3622" s="246"/>
      <c r="K3622" s="246"/>
      <c r="L3622" s="226"/>
      <c r="M3622" s="226"/>
      <c r="N3622" s="246"/>
      <c r="O3622" s="246"/>
      <c r="P3622" s="228"/>
      <c r="Q3622" s="245"/>
      <c r="R3622" s="186" t="str">
        <f aca="false">+PROPER(C3622&amp;" "&amp;D3622)</f>
        <v> </v>
      </c>
      <c r="S3622" s="230" t="n">
        <f aca="false">+YEARFRAC(L3622,$S$1)</f>
        <v>126.366666666667</v>
      </c>
      <c r="T3622" s="230" t="n">
        <f aca="false">+YEARFRAC(M3622,$S$1)</f>
        <v>126.366666666667</v>
      </c>
      <c r="U3622" s="231" t="n">
        <f aca="false">+$I3622</f>
        <v>0</v>
      </c>
      <c r="V3622" s="232" t="str">
        <f aca="false">+PROPER(F3622)</f>
        <v/>
      </c>
    </row>
    <row r="3623" customFormat="false" ht="14.25" hidden="false" customHeight="false" outlineLevel="0" collapsed="false">
      <c r="B3623" s="244"/>
      <c r="C3623" s="245"/>
      <c r="D3623" s="245"/>
      <c r="E3623" s="246"/>
      <c r="F3623" s="246"/>
      <c r="G3623" s="225" t="e">
        <f aca="false">VLOOKUP(B3623,'NIVEL ENERO'!A:F,4,0)</f>
        <v>#N/A</v>
      </c>
      <c r="H3623" s="247"/>
      <c r="I3623" s="247"/>
      <c r="J3623" s="246"/>
      <c r="K3623" s="246"/>
      <c r="L3623" s="226"/>
      <c r="M3623" s="226"/>
      <c r="N3623" s="246"/>
      <c r="O3623" s="246"/>
      <c r="P3623" s="228"/>
      <c r="Q3623" s="245"/>
      <c r="R3623" s="186" t="str">
        <f aca="false">+PROPER(C3623&amp;" "&amp;D3623)</f>
        <v> </v>
      </c>
      <c r="S3623" s="230" t="n">
        <f aca="false">+YEARFRAC(L3623,$S$1)</f>
        <v>126.366666666667</v>
      </c>
      <c r="T3623" s="230" t="n">
        <f aca="false">+YEARFRAC(M3623,$S$1)</f>
        <v>126.366666666667</v>
      </c>
      <c r="U3623" s="231" t="n">
        <f aca="false">+$I3623</f>
        <v>0</v>
      </c>
      <c r="V3623" s="232" t="str">
        <f aca="false">+PROPER(F3623)</f>
        <v/>
      </c>
    </row>
    <row r="3624" customFormat="false" ht="14.25" hidden="false" customHeight="false" outlineLevel="0" collapsed="false">
      <c r="B3624" s="244"/>
      <c r="C3624" s="245"/>
      <c r="D3624" s="245"/>
      <c r="E3624" s="246"/>
      <c r="F3624" s="246"/>
      <c r="G3624" s="225" t="e">
        <f aca="false">VLOOKUP(B3624,'NIVEL ENERO'!A:F,4,0)</f>
        <v>#N/A</v>
      </c>
      <c r="H3624" s="247"/>
      <c r="I3624" s="247"/>
      <c r="J3624" s="246"/>
      <c r="K3624" s="246"/>
      <c r="L3624" s="226"/>
      <c r="M3624" s="226"/>
      <c r="N3624" s="246"/>
      <c r="O3624" s="246"/>
      <c r="P3624" s="228"/>
      <c r="Q3624" s="245"/>
      <c r="R3624" s="186" t="str">
        <f aca="false">+PROPER(C3624&amp;" "&amp;D3624)</f>
        <v> </v>
      </c>
      <c r="S3624" s="230" t="n">
        <f aca="false">+YEARFRAC(L3624,$S$1)</f>
        <v>126.366666666667</v>
      </c>
      <c r="T3624" s="230" t="n">
        <f aca="false">+YEARFRAC(M3624,$S$1)</f>
        <v>126.366666666667</v>
      </c>
      <c r="U3624" s="231" t="n">
        <f aca="false">+$I3624</f>
        <v>0</v>
      </c>
      <c r="V3624" s="232" t="str">
        <f aca="false">+PROPER(F3624)</f>
        <v/>
      </c>
    </row>
    <row r="3625" customFormat="false" ht="14.25" hidden="false" customHeight="false" outlineLevel="0" collapsed="false">
      <c r="B3625" s="244"/>
      <c r="C3625" s="245"/>
      <c r="D3625" s="245"/>
      <c r="E3625" s="246"/>
      <c r="F3625" s="246"/>
      <c r="G3625" s="225" t="e">
        <f aca="false">VLOOKUP(B3625,'NIVEL ENERO'!A:F,4,0)</f>
        <v>#N/A</v>
      </c>
      <c r="H3625" s="247"/>
      <c r="I3625" s="247"/>
      <c r="J3625" s="246"/>
      <c r="K3625" s="246"/>
      <c r="L3625" s="226"/>
      <c r="M3625" s="226"/>
      <c r="N3625" s="246"/>
      <c r="O3625" s="246"/>
      <c r="P3625" s="228"/>
      <c r="Q3625" s="245"/>
      <c r="R3625" s="186" t="str">
        <f aca="false">+PROPER(C3625&amp;" "&amp;D3625)</f>
        <v> </v>
      </c>
      <c r="S3625" s="230" t="n">
        <f aca="false">+YEARFRAC(L3625,$S$1)</f>
        <v>126.366666666667</v>
      </c>
      <c r="T3625" s="230" t="n">
        <f aca="false">+YEARFRAC(M3625,$S$1)</f>
        <v>126.366666666667</v>
      </c>
      <c r="U3625" s="231" t="n">
        <f aca="false">+$I3625</f>
        <v>0</v>
      </c>
      <c r="V3625" s="232" t="str">
        <f aca="false">+PROPER(F3625)</f>
        <v/>
      </c>
    </row>
    <row r="3626" customFormat="false" ht="14.25" hidden="false" customHeight="false" outlineLevel="0" collapsed="false">
      <c r="B3626" s="244"/>
      <c r="C3626" s="245"/>
      <c r="D3626" s="245"/>
      <c r="E3626" s="246"/>
      <c r="F3626" s="246"/>
      <c r="G3626" s="225" t="e">
        <f aca="false">VLOOKUP(B3626,'NIVEL ENERO'!A:F,4,0)</f>
        <v>#N/A</v>
      </c>
      <c r="H3626" s="247"/>
      <c r="I3626" s="247"/>
      <c r="J3626" s="246"/>
      <c r="K3626" s="246"/>
      <c r="L3626" s="226"/>
      <c r="M3626" s="226"/>
      <c r="N3626" s="246"/>
      <c r="O3626" s="246"/>
      <c r="P3626" s="228"/>
      <c r="Q3626" s="245"/>
      <c r="R3626" s="186" t="str">
        <f aca="false">+PROPER(C3626&amp;" "&amp;D3626)</f>
        <v> </v>
      </c>
      <c r="S3626" s="230" t="n">
        <f aca="false">+YEARFRAC(L3626,$S$1)</f>
        <v>126.366666666667</v>
      </c>
      <c r="T3626" s="230" t="n">
        <f aca="false">+YEARFRAC(M3626,$S$1)</f>
        <v>126.366666666667</v>
      </c>
      <c r="U3626" s="231" t="n">
        <f aca="false">+$I3626</f>
        <v>0</v>
      </c>
      <c r="V3626" s="232" t="str">
        <f aca="false">+PROPER(F3626)</f>
        <v/>
      </c>
    </row>
    <row r="3627" customFormat="false" ht="14.25" hidden="false" customHeight="false" outlineLevel="0" collapsed="false">
      <c r="B3627" s="244"/>
      <c r="C3627" s="245"/>
      <c r="D3627" s="245"/>
      <c r="E3627" s="246"/>
      <c r="F3627" s="246"/>
      <c r="G3627" s="225" t="e">
        <f aca="false">VLOOKUP(B3627,'NIVEL ENERO'!A:F,4,0)</f>
        <v>#N/A</v>
      </c>
      <c r="H3627" s="247"/>
      <c r="I3627" s="247"/>
      <c r="J3627" s="246"/>
      <c r="K3627" s="246"/>
      <c r="L3627" s="226"/>
      <c r="M3627" s="226"/>
      <c r="N3627" s="246"/>
      <c r="O3627" s="246"/>
      <c r="P3627" s="228"/>
      <c r="Q3627" s="245"/>
      <c r="R3627" s="186" t="str">
        <f aca="false">+PROPER(C3627&amp;" "&amp;D3627)</f>
        <v> </v>
      </c>
      <c r="S3627" s="230" t="n">
        <f aca="false">+YEARFRAC(L3627,$S$1)</f>
        <v>126.366666666667</v>
      </c>
      <c r="T3627" s="230" t="n">
        <f aca="false">+YEARFRAC(M3627,$S$1)</f>
        <v>126.366666666667</v>
      </c>
      <c r="U3627" s="231" t="n">
        <f aca="false">+$I3627</f>
        <v>0</v>
      </c>
      <c r="V3627" s="232" t="str">
        <f aca="false">+PROPER(F3627)</f>
        <v/>
      </c>
    </row>
    <row r="3628" customFormat="false" ht="14.25" hidden="false" customHeight="false" outlineLevel="0" collapsed="false">
      <c r="B3628" s="244"/>
      <c r="C3628" s="245"/>
      <c r="D3628" s="245"/>
      <c r="E3628" s="246"/>
      <c r="F3628" s="246"/>
      <c r="G3628" s="225" t="e">
        <f aca="false">VLOOKUP(B3628,'NIVEL ENERO'!A:F,4,0)</f>
        <v>#N/A</v>
      </c>
      <c r="H3628" s="247"/>
      <c r="I3628" s="247"/>
      <c r="J3628" s="246"/>
      <c r="K3628" s="246"/>
      <c r="L3628" s="226"/>
      <c r="M3628" s="226"/>
      <c r="N3628" s="246"/>
      <c r="O3628" s="246"/>
      <c r="P3628" s="228"/>
      <c r="Q3628" s="245"/>
      <c r="R3628" s="186" t="str">
        <f aca="false">+PROPER(C3628&amp;" "&amp;D3628)</f>
        <v> </v>
      </c>
      <c r="S3628" s="230" t="n">
        <f aca="false">+YEARFRAC(L3628,$S$1)</f>
        <v>126.366666666667</v>
      </c>
      <c r="T3628" s="230" t="n">
        <f aca="false">+YEARFRAC(M3628,$S$1)</f>
        <v>126.366666666667</v>
      </c>
      <c r="U3628" s="231" t="n">
        <f aca="false">+$I3628</f>
        <v>0</v>
      </c>
      <c r="V3628" s="232" t="str">
        <f aca="false">+PROPER(F3628)</f>
        <v/>
      </c>
    </row>
    <row r="3629" customFormat="false" ht="14.25" hidden="false" customHeight="false" outlineLevel="0" collapsed="false">
      <c r="B3629" s="244"/>
      <c r="C3629" s="245"/>
      <c r="D3629" s="245"/>
      <c r="E3629" s="246"/>
      <c r="F3629" s="246"/>
      <c r="G3629" s="225" t="e">
        <f aca="false">VLOOKUP(B3629,'NIVEL ENERO'!A:F,4,0)</f>
        <v>#N/A</v>
      </c>
      <c r="H3629" s="247"/>
      <c r="I3629" s="247"/>
      <c r="J3629" s="246"/>
      <c r="K3629" s="246"/>
      <c r="L3629" s="226"/>
      <c r="M3629" s="226"/>
      <c r="N3629" s="246"/>
      <c r="O3629" s="246"/>
      <c r="P3629" s="228"/>
      <c r="Q3629" s="245"/>
      <c r="R3629" s="186" t="str">
        <f aca="false">+PROPER(C3629&amp;" "&amp;D3629)</f>
        <v> </v>
      </c>
      <c r="S3629" s="230" t="n">
        <f aca="false">+YEARFRAC(L3629,$S$1)</f>
        <v>126.366666666667</v>
      </c>
      <c r="T3629" s="230" t="n">
        <f aca="false">+YEARFRAC(M3629,$S$1)</f>
        <v>126.366666666667</v>
      </c>
      <c r="U3629" s="231" t="n">
        <f aca="false">+$I3629</f>
        <v>0</v>
      </c>
      <c r="V3629" s="232" t="str">
        <f aca="false">+PROPER(F3629)</f>
        <v/>
      </c>
    </row>
    <row r="3630" customFormat="false" ht="14.25" hidden="false" customHeight="false" outlineLevel="0" collapsed="false">
      <c r="B3630" s="244"/>
      <c r="C3630" s="245"/>
      <c r="D3630" s="245"/>
      <c r="E3630" s="246"/>
      <c r="F3630" s="246"/>
      <c r="G3630" s="225" t="e">
        <f aca="false">VLOOKUP(B3630,'NIVEL ENERO'!A:F,4,0)</f>
        <v>#N/A</v>
      </c>
      <c r="H3630" s="247"/>
      <c r="I3630" s="247"/>
      <c r="J3630" s="246"/>
      <c r="K3630" s="246"/>
      <c r="L3630" s="226"/>
      <c r="M3630" s="226"/>
      <c r="N3630" s="246"/>
      <c r="O3630" s="246"/>
      <c r="P3630" s="228"/>
      <c r="Q3630" s="245"/>
      <c r="R3630" s="186" t="str">
        <f aca="false">+PROPER(C3630&amp;" "&amp;D3630)</f>
        <v> </v>
      </c>
      <c r="S3630" s="230" t="n">
        <f aca="false">+YEARFRAC(L3630,$S$1)</f>
        <v>126.366666666667</v>
      </c>
      <c r="T3630" s="230" t="n">
        <f aca="false">+YEARFRAC(M3630,$S$1)</f>
        <v>126.366666666667</v>
      </c>
      <c r="U3630" s="231" t="n">
        <f aca="false">+$I3630</f>
        <v>0</v>
      </c>
      <c r="V3630" s="232" t="str">
        <f aca="false">+PROPER(F3630)</f>
        <v/>
      </c>
    </row>
    <row r="3631" customFormat="false" ht="14.25" hidden="false" customHeight="false" outlineLevel="0" collapsed="false">
      <c r="B3631" s="244"/>
      <c r="C3631" s="245"/>
      <c r="D3631" s="245"/>
      <c r="E3631" s="246"/>
      <c r="F3631" s="246"/>
      <c r="G3631" s="225" t="e">
        <f aca="false">VLOOKUP(B3631,'NIVEL ENERO'!A:F,4,0)</f>
        <v>#N/A</v>
      </c>
      <c r="H3631" s="247"/>
      <c r="I3631" s="247"/>
      <c r="J3631" s="246"/>
      <c r="K3631" s="246"/>
      <c r="L3631" s="226"/>
      <c r="M3631" s="226"/>
      <c r="N3631" s="246"/>
      <c r="O3631" s="246"/>
      <c r="P3631" s="228"/>
      <c r="Q3631" s="245"/>
      <c r="R3631" s="186" t="str">
        <f aca="false">+PROPER(C3631&amp;" "&amp;D3631)</f>
        <v> </v>
      </c>
      <c r="S3631" s="230" t="n">
        <f aca="false">+YEARFRAC(L3631,$S$1)</f>
        <v>126.366666666667</v>
      </c>
      <c r="T3631" s="230" t="n">
        <f aca="false">+YEARFRAC(M3631,$S$1)</f>
        <v>126.366666666667</v>
      </c>
      <c r="U3631" s="231" t="n">
        <f aca="false">+$I3631</f>
        <v>0</v>
      </c>
      <c r="V3631" s="232" t="str">
        <f aca="false">+PROPER(F3631)</f>
        <v/>
      </c>
    </row>
    <row r="3632" customFormat="false" ht="14.25" hidden="false" customHeight="false" outlineLevel="0" collapsed="false">
      <c r="B3632" s="244"/>
      <c r="C3632" s="245"/>
      <c r="D3632" s="245"/>
      <c r="E3632" s="246"/>
      <c r="F3632" s="246"/>
      <c r="G3632" s="225" t="e">
        <f aca="false">VLOOKUP(B3632,'NIVEL ENERO'!A:F,4,0)</f>
        <v>#N/A</v>
      </c>
      <c r="H3632" s="247"/>
      <c r="I3632" s="247"/>
      <c r="J3632" s="246"/>
      <c r="K3632" s="246"/>
      <c r="L3632" s="226"/>
      <c r="M3632" s="226"/>
      <c r="N3632" s="246"/>
      <c r="O3632" s="246"/>
      <c r="P3632" s="228"/>
      <c r="Q3632" s="245"/>
      <c r="R3632" s="186" t="str">
        <f aca="false">+PROPER(C3632&amp;" "&amp;D3632)</f>
        <v> </v>
      </c>
      <c r="S3632" s="230" t="n">
        <f aca="false">+YEARFRAC(L3632,$S$1)</f>
        <v>126.366666666667</v>
      </c>
      <c r="T3632" s="230" t="n">
        <f aca="false">+YEARFRAC(M3632,$S$1)</f>
        <v>126.366666666667</v>
      </c>
      <c r="U3632" s="231" t="n">
        <f aca="false">+$I3632</f>
        <v>0</v>
      </c>
      <c r="V3632" s="232" t="str">
        <f aca="false">+PROPER(F3632)</f>
        <v/>
      </c>
    </row>
    <row r="3633" customFormat="false" ht="14.25" hidden="false" customHeight="false" outlineLevel="0" collapsed="false">
      <c r="B3633" s="244"/>
      <c r="C3633" s="245"/>
      <c r="D3633" s="245"/>
      <c r="E3633" s="246"/>
      <c r="F3633" s="246"/>
      <c r="G3633" s="225" t="e">
        <f aca="false">VLOOKUP(B3633,'NIVEL ENERO'!A:F,4,0)</f>
        <v>#N/A</v>
      </c>
      <c r="H3633" s="247"/>
      <c r="I3633" s="247"/>
      <c r="J3633" s="246"/>
      <c r="K3633" s="246"/>
      <c r="L3633" s="226"/>
      <c r="M3633" s="226"/>
      <c r="N3633" s="246"/>
      <c r="O3633" s="246"/>
      <c r="P3633" s="228"/>
      <c r="Q3633" s="245"/>
      <c r="R3633" s="186" t="str">
        <f aca="false">+PROPER(C3633&amp;" "&amp;D3633)</f>
        <v> </v>
      </c>
      <c r="S3633" s="230" t="n">
        <f aca="false">+YEARFRAC(L3633,$S$1)</f>
        <v>126.366666666667</v>
      </c>
      <c r="T3633" s="230" t="n">
        <f aca="false">+YEARFRAC(M3633,$S$1)</f>
        <v>126.366666666667</v>
      </c>
      <c r="U3633" s="231" t="n">
        <f aca="false">+$I3633</f>
        <v>0</v>
      </c>
      <c r="V3633" s="232" t="str">
        <f aca="false">+PROPER(F3633)</f>
        <v/>
      </c>
    </row>
    <row r="3634" customFormat="false" ht="14.25" hidden="false" customHeight="false" outlineLevel="0" collapsed="false">
      <c r="B3634" s="244"/>
      <c r="C3634" s="245"/>
      <c r="D3634" s="245"/>
      <c r="E3634" s="246"/>
      <c r="F3634" s="246"/>
      <c r="G3634" s="225" t="e">
        <f aca="false">VLOOKUP(B3634,'NIVEL ENERO'!A:F,4,0)</f>
        <v>#N/A</v>
      </c>
      <c r="H3634" s="247"/>
      <c r="I3634" s="247"/>
      <c r="J3634" s="246"/>
      <c r="K3634" s="246"/>
      <c r="L3634" s="226"/>
      <c r="M3634" s="226"/>
      <c r="N3634" s="246"/>
      <c r="O3634" s="246"/>
      <c r="P3634" s="228"/>
      <c r="Q3634" s="245"/>
      <c r="R3634" s="186" t="str">
        <f aca="false">+PROPER(C3634&amp;" "&amp;D3634)</f>
        <v> </v>
      </c>
      <c r="S3634" s="230" t="n">
        <f aca="false">+YEARFRAC(L3634,$S$1)</f>
        <v>126.366666666667</v>
      </c>
      <c r="T3634" s="230" t="n">
        <f aca="false">+YEARFRAC(M3634,$S$1)</f>
        <v>126.366666666667</v>
      </c>
      <c r="U3634" s="231" t="n">
        <f aca="false">+$I3634</f>
        <v>0</v>
      </c>
      <c r="V3634" s="232" t="str">
        <f aca="false">+PROPER(F3634)</f>
        <v/>
      </c>
    </row>
    <row r="3635" customFormat="false" ht="14.25" hidden="false" customHeight="false" outlineLevel="0" collapsed="false">
      <c r="B3635" s="244"/>
      <c r="C3635" s="245"/>
      <c r="D3635" s="245"/>
      <c r="E3635" s="246"/>
      <c r="F3635" s="246"/>
      <c r="G3635" s="225" t="e">
        <f aca="false">VLOOKUP(B3635,'NIVEL ENERO'!A:F,4,0)</f>
        <v>#N/A</v>
      </c>
      <c r="H3635" s="247"/>
      <c r="I3635" s="247"/>
      <c r="J3635" s="246"/>
      <c r="K3635" s="246"/>
      <c r="L3635" s="226"/>
      <c r="M3635" s="226"/>
      <c r="N3635" s="246"/>
      <c r="O3635" s="246"/>
      <c r="P3635" s="228"/>
      <c r="Q3635" s="245"/>
      <c r="R3635" s="186" t="str">
        <f aca="false">+PROPER(C3635&amp;" "&amp;D3635)</f>
        <v> </v>
      </c>
      <c r="S3635" s="230" t="n">
        <f aca="false">+YEARFRAC(L3635,$S$1)</f>
        <v>126.366666666667</v>
      </c>
      <c r="T3635" s="230" t="n">
        <f aca="false">+YEARFRAC(M3635,$S$1)</f>
        <v>126.366666666667</v>
      </c>
      <c r="U3635" s="231" t="n">
        <f aca="false">+$I3635</f>
        <v>0</v>
      </c>
      <c r="V3635" s="232" t="str">
        <f aca="false">+PROPER(F3635)</f>
        <v/>
      </c>
    </row>
    <row r="3636" customFormat="false" ht="14.25" hidden="false" customHeight="false" outlineLevel="0" collapsed="false">
      <c r="B3636" s="244"/>
      <c r="C3636" s="245"/>
      <c r="D3636" s="245"/>
      <c r="E3636" s="246"/>
      <c r="F3636" s="246"/>
      <c r="G3636" s="225" t="e">
        <f aca="false">VLOOKUP(B3636,'NIVEL ENERO'!A:F,4,0)</f>
        <v>#N/A</v>
      </c>
      <c r="H3636" s="247"/>
      <c r="I3636" s="247"/>
      <c r="J3636" s="246"/>
      <c r="K3636" s="246"/>
      <c r="L3636" s="226"/>
      <c r="M3636" s="226"/>
      <c r="N3636" s="246"/>
      <c r="O3636" s="246"/>
      <c r="P3636" s="228"/>
      <c r="Q3636" s="245"/>
      <c r="R3636" s="186" t="str">
        <f aca="false">+PROPER(C3636&amp;" "&amp;D3636)</f>
        <v> </v>
      </c>
      <c r="S3636" s="230" t="n">
        <f aca="false">+YEARFRAC(L3636,$S$1)</f>
        <v>126.366666666667</v>
      </c>
      <c r="T3636" s="230" t="n">
        <f aca="false">+YEARFRAC(M3636,$S$1)</f>
        <v>126.366666666667</v>
      </c>
      <c r="U3636" s="231" t="n">
        <f aca="false">+$I3636</f>
        <v>0</v>
      </c>
      <c r="V3636" s="232" t="str">
        <f aca="false">+PROPER(F3636)</f>
        <v/>
      </c>
    </row>
    <row r="3637" customFormat="false" ht="14.25" hidden="false" customHeight="false" outlineLevel="0" collapsed="false">
      <c r="B3637" s="244"/>
      <c r="C3637" s="245"/>
      <c r="D3637" s="245"/>
      <c r="E3637" s="246"/>
      <c r="F3637" s="246"/>
      <c r="G3637" s="225" t="e">
        <f aca="false">VLOOKUP(B3637,'NIVEL ENERO'!A:F,4,0)</f>
        <v>#N/A</v>
      </c>
      <c r="H3637" s="247"/>
      <c r="I3637" s="247"/>
      <c r="J3637" s="246"/>
      <c r="K3637" s="246"/>
      <c r="L3637" s="226"/>
      <c r="M3637" s="226"/>
      <c r="N3637" s="246"/>
      <c r="O3637" s="246"/>
      <c r="P3637" s="228"/>
      <c r="Q3637" s="245"/>
      <c r="R3637" s="186" t="str">
        <f aca="false">+PROPER(C3637&amp;" "&amp;D3637)</f>
        <v> </v>
      </c>
      <c r="S3637" s="230" t="n">
        <f aca="false">+YEARFRAC(L3637,$S$1)</f>
        <v>126.366666666667</v>
      </c>
      <c r="T3637" s="230" t="n">
        <f aca="false">+YEARFRAC(M3637,$S$1)</f>
        <v>126.366666666667</v>
      </c>
      <c r="U3637" s="231" t="n">
        <f aca="false">+$I3637</f>
        <v>0</v>
      </c>
      <c r="V3637" s="232" t="str">
        <f aca="false">+PROPER(F3637)</f>
        <v/>
      </c>
    </row>
    <row r="3638" customFormat="false" ht="14.25" hidden="false" customHeight="false" outlineLevel="0" collapsed="false">
      <c r="B3638" s="244"/>
      <c r="C3638" s="245"/>
      <c r="D3638" s="245"/>
      <c r="E3638" s="246"/>
      <c r="F3638" s="246"/>
      <c r="G3638" s="225" t="e">
        <f aca="false">VLOOKUP(B3638,'NIVEL ENERO'!A:F,4,0)</f>
        <v>#N/A</v>
      </c>
      <c r="H3638" s="247"/>
      <c r="I3638" s="247"/>
      <c r="J3638" s="246"/>
      <c r="K3638" s="246"/>
      <c r="L3638" s="226"/>
      <c r="M3638" s="226"/>
      <c r="N3638" s="246"/>
      <c r="O3638" s="246"/>
      <c r="P3638" s="228"/>
      <c r="Q3638" s="245"/>
      <c r="R3638" s="186" t="str">
        <f aca="false">+PROPER(C3638&amp;" "&amp;D3638)</f>
        <v> </v>
      </c>
      <c r="S3638" s="230" t="n">
        <f aca="false">+YEARFRAC(L3638,$S$1)</f>
        <v>126.366666666667</v>
      </c>
      <c r="T3638" s="230" t="n">
        <f aca="false">+YEARFRAC(M3638,$S$1)</f>
        <v>126.366666666667</v>
      </c>
      <c r="U3638" s="231" t="n">
        <f aca="false">+$I3638</f>
        <v>0</v>
      </c>
      <c r="V3638" s="232" t="str">
        <f aca="false">+PROPER(F3638)</f>
        <v/>
      </c>
    </row>
    <row r="3639" customFormat="false" ht="14.25" hidden="false" customHeight="false" outlineLevel="0" collapsed="false">
      <c r="B3639" s="244"/>
      <c r="C3639" s="245"/>
      <c r="D3639" s="245"/>
      <c r="E3639" s="246"/>
      <c r="F3639" s="246"/>
      <c r="G3639" s="225" t="e">
        <f aca="false">VLOOKUP(B3639,'NIVEL ENERO'!A:F,4,0)</f>
        <v>#N/A</v>
      </c>
      <c r="H3639" s="247"/>
      <c r="I3639" s="247"/>
      <c r="J3639" s="246"/>
      <c r="K3639" s="246"/>
      <c r="L3639" s="226"/>
      <c r="M3639" s="226"/>
      <c r="N3639" s="246"/>
      <c r="O3639" s="246"/>
      <c r="P3639" s="228"/>
      <c r="Q3639" s="245"/>
      <c r="R3639" s="186" t="str">
        <f aca="false">+PROPER(C3639&amp;" "&amp;D3639)</f>
        <v> </v>
      </c>
      <c r="S3639" s="230" t="n">
        <f aca="false">+YEARFRAC(L3639,$S$1)</f>
        <v>126.366666666667</v>
      </c>
      <c r="T3639" s="230" t="n">
        <f aca="false">+YEARFRAC(M3639,$S$1)</f>
        <v>126.366666666667</v>
      </c>
      <c r="U3639" s="231" t="n">
        <f aca="false">+$I3639</f>
        <v>0</v>
      </c>
      <c r="V3639" s="232" t="str">
        <f aca="false">+PROPER(F3639)</f>
        <v/>
      </c>
    </row>
    <row r="3640" customFormat="false" ht="14.25" hidden="false" customHeight="false" outlineLevel="0" collapsed="false">
      <c r="B3640" s="244"/>
      <c r="C3640" s="245"/>
      <c r="D3640" s="245"/>
      <c r="E3640" s="246"/>
      <c r="F3640" s="246"/>
      <c r="G3640" s="225" t="e">
        <f aca="false">VLOOKUP(B3640,'NIVEL ENERO'!A:F,4,0)</f>
        <v>#N/A</v>
      </c>
      <c r="H3640" s="247"/>
      <c r="I3640" s="247"/>
      <c r="J3640" s="246"/>
      <c r="K3640" s="246"/>
      <c r="L3640" s="226"/>
      <c r="M3640" s="226"/>
      <c r="N3640" s="246"/>
      <c r="O3640" s="246"/>
      <c r="P3640" s="228"/>
      <c r="Q3640" s="245"/>
      <c r="R3640" s="186" t="str">
        <f aca="false">+PROPER(C3640&amp;" "&amp;D3640)</f>
        <v> </v>
      </c>
      <c r="S3640" s="230" t="n">
        <f aca="false">+YEARFRAC(L3640,$S$1)</f>
        <v>126.366666666667</v>
      </c>
      <c r="T3640" s="230" t="n">
        <f aca="false">+YEARFRAC(M3640,$S$1)</f>
        <v>126.366666666667</v>
      </c>
      <c r="U3640" s="231" t="n">
        <f aca="false">+$I3640</f>
        <v>0</v>
      </c>
      <c r="V3640" s="232" t="str">
        <f aca="false">+PROPER(F3640)</f>
        <v/>
      </c>
    </row>
    <row r="3641" customFormat="false" ht="14.25" hidden="false" customHeight="false" outlineLevel="0" collapsed="false">
      <c r="B3641" s="244"/>
      <c r="C3641" s="245"/>
      <c r="D3641" s="245"/>
      <c r="E3641" s="246"/>
      <c r="F3641" s="246"/>
      <c r="G3641" s="225" t="e">
        <f aca="false">VLOOKUP(B3641,'NIVEL ENERO'!A:F,4,0)</f>
        <v>#N/A</v>
      </c>
      <c r="H3641" s="247"/>
      <c r="I3641" s="247"/>
      <c r="J3641" s="246"/>
      <c r="K3641" s="246"/>
      <c r="L3641" s="226"/>
      <c r="M3641" s="226"/>
      <c r="N3641" s="246"/>
      <c r="O3641" s="246"/>
      <c r="P3641" s="228"/>
      <c r="Q3641" s="245"/>
      <c r="R3641" s="186" t="str">
        <f aca="false">+PROPER(C3641&amp;" "&amp;D3641)</f>
        <v> </v>
      </c>
      <c r="S3641" s="230" t="n">
        <f aca="false">+YEARFRAC(L3641,$S$1)</f>
        <v>126.366666666667</v>
      </c>
      <c r="T3641" s="230" t="n">
        <f aca="false">+YEARFRAC(M3641,$S$1)</f>
        <v>126.366666666667</v>
      </c>
      <c r="U3641" s="231" t="n">
        <f aca="false">+$I3641</f>
        <v>0</v>
      </c>
      <c r="V3641" s="232" t="str">
        <f aca="false">+PROPER(F3641)</f>
        <v/>
      </c>
    </row>
    <row r="3642" customFormat="false" ht="14.25" hidden="false" customHeight="false" outlineLevel="0" collapsed="false">
      <c r="B3642" s="244"/>
      <c r="C3642" s="245"/>
      <c r="D3642" s="245"/>
      <c r="E3642" s="246"/>
      <c r="F3642" s="246"/>
      <c r="G3642" s="225" t="e">
        <f aca="false">VLOOKUP(B3642,'NIVEL ENERO'!A:F,4,0)</f>
        <v>#N/A</v>
      </c>
      <c r="H3642" s="247"/>
      <c r="I3642" s="247"/>
      <c r="J3642" s="246"/>
      <c r="K3642" s="246"/>
      <c r="L3642" s="226"/>
      <c r="M3642" s="226"/>
      <c r="N3642" s="246"/>
      <c r="O3642" s="246"/>
      <c r="P3642" s="228"/>
      <c r="Q3642" s="245"/>
      <c r="R3642" s="186" t="str">
        <f aca="false">+PROPER(C3642&amp;" "&amp;D3642)</f>
        <v> </v>
      </c>
      <c r="S3642" s="230" t="n">
        <f aca="false">+YEARFRAC(L3642,$S$1)</f>
        <v>126.366666666667</v>
      </c>
      <c r="T3642" s="230" t="n">
        <f aca="false">+YEARFRAC(M3642,$S$1)</f>
        <v>126.366666666667</v>
      </c>
      <c r="U3642" s="231" t="n">
        <f aca="false">+$I3642</f>
        <v>0</v>
      </c>
      <c r="V3642" s="232" t="str">
        <f aca="false">+PROPER(F3642)</f>
        <v/>
      </c>
    </row>
    <row r="3643" customFormat="false" ht="14.25" hidden="false" customHeight="false" outlineLevel="0" collapsed="false">
      <c r="B3643" s="244"/>
      <c r="C3643" s="245"/>
      <c r="D3643" s="245"/>
      <c r="E3643" s="246"/>
      <c r="F3643" s="246"/>
      <c r="G3643" s="225" t="e">
        <f aca="false">VLOOKUP(B3643,'NIVEL ENERO'!A:F,4,0)</f>
        <v>#N/A</v>
      </c>
      <c r="H3643" s="247"/>
      <c r="I3643" s="247"/>
      <c r="J3643" s="246"/>
      <c r="K3643" s="246"/>
      <c r="L3643" s="226"/>
      <c r="M3643" s="226"/>
      <c r="N3643" s="246"/>
      <c r="O3643" s="246"/>
      <c r="P3643" s="228"/>
      <c r="Q3643" s="245"/>
      <c r="R3643" s="186" t="str">
        <f aca="false">+PROPER(C3643&amp;" "&amp;D3643)</f>
        <v> </v>
      </c>
      <c r="S3643" s="230" t="n">
        <f aca="false">+YEARFRAC(L3643,$S$1)</f>
        <v>126.366666666667</v>
      </c>
      <c r="T3643" s="230" t="n">
        <f aca="false">+YEARFRAC(M3643,$S$1)</f>
        <v>126.366666666667</v>
      </c>
      <c r="U3643" s="231" t="n">
        <f aca="false">+$I3643</f>
        <v>0</v>
      </c>
      <c r="V3643" s="232" t="str">
        <f aca="false">+PROPER(F3643)</f>
        <v/>
      </c>
    </row>
    <row r="3644" customFormat="false" ht="14.25" hidden="false" customHeight="false" outlineLevel="0" collapsed="false">
      <c r="B3644" s="244"/>
      <c r="C3644" s="245"/>
      <c r="D3644" s="245"/>
      <c r="E3644" s="246"/>
      <c r="F3644" s="246"/>
      <c r="G3644" s="225" t="e">
        <f aca="false">VLOOKUP(B3644,'NIVEL ENERO'!A:F,4,0)</f>
        <v>#N/A</v>
      </c>
      <c r="H3644" s="247"/>
      <c r="I3644" s="247"/>
      <c r="J3644" s="246"/>
      <c r="K3644" s="246"/>
      <c r="L3644" s="226"/>
      <c r="M3644" s="226"/>
      <c r="N3644" s="246"/>
      <c r="O3644" s="246"/>
      <c r="P3644" s="228"/>
      <c r="Q3644" s="245"/>
      <c r="R3644" s="186" t="str">
        <f aca="false">+PROPER(C3644&amp;" "&amp;D3644)</f>
        <v> </v>
      </c>
      <c r="S3644" s="230" t="n">
        <f aca="false">+YEARFRAC(L3644,$S$1)</f>
        <v>126.366666666667</v>
      </c>
      <c r="T3644" s="230" t="n">
        <f aca="false">+YEARFRAC(M3644,$S$1)</f>
        <v>126.366666666667</v>
      </c>
      <c r="U3644" s="231" t="n">
        <f aca="false">+$I3644</f>
        <v>0</v>
      </c>
      <c r="V3644" s="232" t="str">
        <f aca="false">+PROPER(F3644)</f>
        <v/>
      </c>
    </row>
    <row r="3645" customFormat="false" ht="14.25" hidden="false" customHeight="false" outlineLevel="0" collapsed="false">
      <c r="B3645" s="244"/>
      <c r="C3645" s="245"/>
      <c r="D3645" s="245"/>
      <c r="E3645" s="246"/>
      <c r="F3645" s="246"/>
      <c r="G3645" s="225" t="e">
        <f aca="false">VLOOKUP(B3645,'NIVEL ENERO'!A:F,4,0)</f>
        <v>#N/A</v>
      </c>
      <c r="H3645" s="247"/>
      <c r="I3645" s="247"/>
      <c r="J3645" s="246"/>
      <c r="K3645" s="246"/>
      <c r="L3645" s="226"/>
      <c r="M3645" s="226"/>
      <c r="N3645" s="246"/>
      <c r="O3645" s="246"/>
      <c r="P3645" s="228"/>
      <c r="Q3645" s="245"/>
      <c r="R3645" s="186" t="str">
        <f aca="false">+PROPER(C3645&amp;" "&amp;D3645)</f>
        <v> </v>
      </c>
      <c r="S3645" s="230" t="n">
        <f aca="false">+YEARFRAC(L3645,$S$1)</f>
        <v>126.366666666667</v>
      </c>
      <c r="T3645" s="230" t="n">
        <f aca="false">+YEARFRAC(M3645,$S$1)</f>
        <v>126.366666666667</v>
      </c>
      <c r="U3645" s="231" t="n">
        <f aca="false">+$I3645</f>
        <v>0</v>
      </c>
      <c r="V3645" s="232" t="str">
        <f aca="false">+PROPER(F3645)</f>
        <v/>
      </c>
    </row>
    <row r="3646" customFormat="false" ht="14.25" hidden="false" customHeight="false" outlineLevel="0" collapsed="false">
      <c r="B3646" s="244"/>
      <c r="C3646" s="245"/>
      <c r="D3646" s="245"/>
      <c r="E3646" s="246"/>
      <c r="F3646" s="246"/>
      <c r="G3646" s="225" t="e">
        <f aca="false">VLOOKUP(B3646,'NIVEL ENERO'!A:F,4,0)</f>
        <v>#N/A</v>
      </c>
      <c r="H3646" s="247"/>
      <c r="I3646" s="247"/>
      <c r="J3646" s="246"/>
      <c r="K3646" s="246"/>
      <c r="L3646" s="226"/>
      <c r="M3646" s="226"/>
      <c r="N3646" s="246"/>
      <c r="O3646" s="246"/>
      <c r="P3646" s="228"/>
      <c r="Q3646" s="245"/>
      <c r="R3646" s="186" t="str">
        <f aca="false">+PROPER(C3646&amp;" "&amp;D3646)</f>
        <v> </v>
      </c>
      <c r="S3646" s="230" t="n">
        <f aca="false">+YEARFRAC(L3646,$S$1)</f>
        <v>126.366666666667</v>
      </c>
      <c r="T3646" s="230" t="n">
        <f aca="false">+YEARFRAC(M3646,$S$1)</f>
        <v>126.366666666667</v>
      </c>
      <c r="U3646" s="231" t="n">
        <f aca="false">+$I3646</f>
        <v>0</v>
      </c>
      <c r="V3646" s="232" t="str">
        <f aca="false">+PROPER(F3646)</f>
        <v/>
      </c>
    </row>
    <row r="3647" customFormat="false" ht="14.25" hidden="false" customHeight="false" outlineLevel="0" collapsed="false">
      <c r="B3647" s="244"/>
      <c r="C3647" s="245"/>
      <c r="D3647" s="245"/>
      <c r="E3647" s="246"/>
      <c r="F3647" s="246"/>
      <c r="G3647" s="225" t="e">
        <f aca="false">VLOOKUP(B3647,'NIVEL ENERO'!A:F,4,0)</f>
        <v>#N/A</v>
      </c>
      <c r="H3647" s="247"/>
      <c r="I3647" s="247"/>
      <c r="J3647" s="246"/>
      <c r="K3647" s="246"/>
      <c r="L3647" s="226"/>
      <c r="M3647" s="226"/>
      <c r="N3647" s="246"/>
      <c r="O3647" s="246"/>
      <c r="P3647" s="228"/>
      <c r="Q3647" s="245"/>
      <c r="R3647" s="186" t="str">
        <f aca="false">+PROPER(C3647&amp;" "&amp;D3647)</f>
        <v> </v>
      </c>
      <c r="S3647" s="230" t="n">
        <f aca="false">+YEARFRAC(L3647,$S$1)</f>
        <v>126.366666666667</v>
      </c>
      <c r="T3647" s="230" t="n">
        <f aca="false">+YEARFRAC(M3647,$S$1)</f>
        <v>126.366666666667</v>
      </c>
      <c r="U3647" s="231" t="n">
        <f aca="false">+$I3647</f>
        <v>0</v>
      </c>
      <c r="V3647" s="232" t="str">
        <f aca="false">+PROPER(F3647)</f>
        <v/>
      </c>
    </row>
    <row r="3648" customFormat="false" ht="14.25" hidden="false" customHeight="false" outlineLevel="0" collapsed="false">
      <c r="B3648" s="244"/>
      <c r="C3648" s="245"/>
      <c r="D3648" s="245"/>
      <c r="E3648" s="246"/>
      <c r="F3648" s="246"/>
      <c r="G3648" s="225" t="e">
        <f aca="false">VLOOKUP(B3648,'NIVEL ENERO'!A:F,4,0)</f>
        <v>#N/A</v>
      </c>
      <c r="H3648" s="247"/>
      <c r="I3648" s="247"/>
      <c r="J3648" s="246"/>
      <c r="K3648" s="246"/>
      <c r="L3648" s="226"/>
      <c r="M3648" s="226"/>
      <c r="N3648" s="246"/>
      <c r="O3648" s="246"/>
      <c r="P3648" s="228"/>
      <c r="Q3648" s="245"/>
      <c r="R3648" s="186" t="str">
        <f aca="false">+PROPER(C3648&amp;" "&amp;D3648)</f>
        <v> </v>
      </c>
      <c r="S3648" s="230" t="n">
        <f aca="false">+YEARFRAC(L3648,$S$1)</f>
        <v>126.366666666667</v>
      </c>
      <c r="T3648" s="230" t="n">
        <f aca="false">+YEARFRAC(M3648,$S$1)</f>
        <v>126.366666666667</v>
      </c>
      <c r="U3648" s="231" t="n">
        <f aca="false">+$I3648</f>
        <v>0</v>
      </c>
      <c r="V3648" s="232" t="str">
        <f aca="false">+PROPER(F3648)</f>
        <v/>
      </c>
    </row>
    <row r="3649" customFormat="false" ht="14.25" hidden="false" customHeight="false" outlineLevel="0" collapsed="false">
      <c r="B3649" s="244"/>
      <c r="C3649" s="245"/>
      <c r="D3649" s="245"/>
      <c r="E3649" s="246"/>
      <c r="F3649" s="246"/>
      <c r="G3649" s="225" t="e">
        <f aca="false">VLOOKUP(B3649,'NIVEL ENERO'!A:F,4,0)</f>
        <v>#N/A</v>
      </c>
      <c r="H3649" s="247"/>
      <c r="I3649" s="247"/>
      <c r="J3649" s="246"/>
      <c r="K3649" s="246"/>
      <c r="L3649" s="226"/>
      <c r="M3649" s="226"/>
      <c r="N3649" s="246"/>
      <c r="O3649" s="246"/>
      <c r="P3649" s="228"/>
      <c r="Q3649" s="245"/>
      <c r="R3649" s="186" t="str">
        <f aca="false">+PROPER(C3649&amp;" "&amp;D3649)</f>
        <v> </v>
      </c>
      <c r="S3649" s="230" t="n">
        <f aca="false">+YEARFRAC(L3649,$S$1)</f>
        <v>126.366666666667</v>
      </c>
      <c r="T3649" s="230" t="n">
        <f aca="false">+YEARFRAC(M3649,$S$1)</f>
        <v>126.366666666667</v>
      </c>
      <c r="U3649" s="231" t="n">
        <f aca="false">+$I3649</f>
        <v>0</v>
      </c>
      <c r="V3649" s="232" t="str">
        <f aca="false">+PROPER(F3649)</f>
        <v/>
      </c>
    </row>
    <row r="3650" customFormat="false" ht="14.25" hidden="false" customHeight="false" outlineLevel="0" collapsed="false">
      <c r="B3650" s="244"/>
      <c r="C3650" s="245"/>
      <c r="D3650" s="245"/>
      <c r="E3650" s="246"/>
      <c r="F3650" s="246"/>
      <c r="G3650" s="225" t="e">
        <f aca="false">VLOOKUP(B3650,'NIVEL ENERO'!A:F,4,0)</f>
        <v>#N/A</v>
      </c>
      <c r="H3650" s="247"/>
      <c r="I3650" s="247"/>
      <c r="J3650" s="246"/>
      <c r="K3650" s="246"/>
      <c r="L3650" s="226"/>
      <c r="M3650" s="226"/>
      <c r="N3650" s="246"/>
      <c r="O3650" s="246"/>
      <c r="P3650" s="228"/>
      <c r="Q3650" s="245"/>
      <c r="R3650" s="186" t="str">
        <f aca="false">+PROPER(C3650&amp;" "&amp;D3650)</f>
        <v> </v>
      </c>
      <c r="S3650" s="230" t="n">
        <f aca="false">+YEARFRAC(L3650,$S$1)</f>
        <v>126.366666666667</v>
      </c>
      <c r="T3650" s="230" t="n">
        <f aca="false">+YEARFRAC(M3650,$S$1)</f>
        <v>126.366666666667</v>
      </c>
      <c r="U3650" s="231" t="n">
        <f aca="false">+$I3650</f>
        <v>0</v>
      </c>
      <c r="V3650" s="232" t="str">
        <f aca="false">+PROPER(F3650)</f>
        <v/>
      </c>
    </row>
    <row r="3651" customFormat="false" ht="14.25" hidden="false" customHeight="false" outlineLevel="0" collapsed="false">
      <c r="B3651" s="244"/>
      <c r="C3651" s="245"/>
      <c r="D3651" s="245"/>
      <c r="E3651" s="246"/>
      <c r="F3651" s="246"/>
      <c r="G3651" s="225" t="e">
        <f aca="false">VLOOKUP(B3651,'NIVEL ENERO'!A:F,4,0)</f>
        <v>#N/A</v>
      </c>
      <c r="H3651" s="247"/>
      <c r="I3651" s="247"/>
      <c r="J3651" s="246"/>
      <c r="K3651" s="246"/>
      <c r="L3651" s="226"/>
      <c r="M3651" s="226"/>
      <c r="N3651" s="246"/>
      <c r="O3651" s="246"/>
      <c r="P3651" s="228"/>
      <c r="Q3651" s="245"/>
      <c r="R3651" s="186" t="str">
        <f aca="false">+PROPER(C3651&amp;" "&amp;D3651)</f>
        <v> </v>
      </c>
      <c r="S3651" s="230" t="n">
        <f aca="false">+YEARFRAC(L3651,$S$1)</f>
        <v>126.366666666667</v>
      </c>
      <c r="T3651" s="230" t="n">
        <f aca="false">+YEARFRAC(M3651,$S$1)</f>
        <v>126.366666666667</v>
      </c>
      <c r="U3651" s="231" t="n">
        <f aca="false">+$I3651</f>
        <v>0</v>
      </c>
      <c r="V3651" s="232" t="str">
        <f aca="false">+PROPER(F3651)</f>
        <v/>
      </c>
    </row>
    <row r="3652" customFormat="false" ht="14.25" hidden="false" customHeight="false" outlineLevel="0" collapsed="false">
      <c r="B3652" s="244"/>
      <c r="C3652" s="245"/>
      <c r="D3652" s="245"/>
      <c r="E3652" s="246"/>
      <c r="F3652" s="246"/>
      <c r="G3652" s="225" t="e">
        <f aca="false">VLOOKUP(B3652,'NIVEL ENERO'!A:F,4,0)</f>
        <v>#N/A</v>
      </c>
      <c r="H3652" s="247"/>
      <c r="I3652" s="247"/>
      <c r="J3652" s="246"/>
      <c r="K3652" s="246"/>
      <c r="L3652" s="226"/>
      <c r="M3652" s="226"/>
      <c r="N3652" s="246"/>
      <c r="O3652" s="246"/>
      <c r="P3652" s="228"/>
      <c r="Q3652" s="245"/>
      <c r="R3652" s="186" t="str">
        <f aca="false">+PROPER(C3652&amp;" "&amp;D3652)</f>
        <v> </v>
      </c>
      <c r="S3652" s="230" t="n">
        <f aca="false">+YEARFRAC(L3652,$S$1)</f>
        <v>126.366666666667</v>
      </c>
      <c r="T3652" s="230" t="n">
        <f aca="false">+YEARFRAC(M3652,$S$1)</f>
        <v>126.366666666667</v>
      </c>
      <c r="U3652" s="231" t="n">
        <f aca="false">+$I3652</f>
        <v>0</v>
      </c>
      <c r="V3652" s="232" t="str">
        <f aca="false">+PROPER(F3652)</f>
        <v/>
      </c>
    </row>
    <row r="3653" customFormat="false" ht="14.25" hidden="false" customHeight="false" outlineLevel="0" collapsed="false">
      <c r="B3653" s="244"/>
      <c r="C3653" s="245"/>
      <c r="D3653" s="245"/>
      <c r="E3653" s="246"/>
      <c r="F3653" s="246"/>
      <c r="G3653" s="225" t="e">
        <f aca="false">VLOOKUP(B3653,'NIVEL ENERO'!A:F,4,0)</f>
        <v>#N/A</v>
      </c>
      <c r="H3653" s="247"/>
      <c r="I3653" s="247"/>
      <c r="J3653" s="246"/>
      <c r="K3653" s="246"/>
      <c r="L3653" s="226"/>
      <c r="M3653" s="226"/>
      <c r="N3653" s="246"/>
      <c r="O3653" s="246"/>
      <c r="P3653" s="228"/>
      <c r="Q3653" s="245"/>
      <c r="R3653" s="186" t="str">
        <f aca="false">+PROPER(C3653&amp;" "&amp;D3653)</f>
        <v> </v>
      </c>
      <c r="S3653" s="230" t="n">
        <f aca="false">+YEARFRAC(L3653,$S$1)</f>
        <v>126.366666666667</v>
      </c>
      <c r="T3653" s="230" t="n">
        <f aca="false">+YEARFRAC(M3653,$S$1)</f>
        <v>126.366666666667</v>
      </c>
      <c r="U3653" s="231" t="n">
        <f aca="false">+$I3653</f>
        <v>0</v>
      </c>
      <c r="V3653" s="232" t="str">
        <f aca="false">+PROPER(F3653)</f>
        <v/>
      </c>
    </row>
    <row r="3654" customFormat="false" ht="14.25" hidden="false" customHeight="false" outlineLevel="0" collapsed="false">
      <c r="B3654" s="244"/>
      <c r="C3654" s="245"/>
      <c r="D3654" s="245"/>
      <c r="E3654" s="246"/>
      <c r="F3654" s="246"/>
      <c r="G3654" s="225" t="e">
        <f aca="false">VLOOKUP(B3654,'NIVEL ENERO'!A:F,4,0)</f>
        <v>#N/A</v>
      </c>
      <c r="H3654" s="247"/>
      <c r="I3654" s="247"/>
      <c r="J3654" s="246"/>
      <c r="K3654" s="246"/>
      <c r="L3654" s="226"/>
      <c r="M3654" s="226"/>
      <c r="N3654" s="246"/>
      <c r="O3654" s="246"/>
      <c r="P3654" s="228"/>
      <c r="Q3654" s="245"/>
      <c r="R3654" s="186" t="str">
        <f aca="false">+PROPER(C3654&amp;" "&amp;D3654)</f>
        <v> </v>
      </c>
      <c r="S3654" s="230" t="n">
        <f aca="false">+YEARFRAC(L3654,$S$1)</f>
        <v>126.366666666667</v>
      </c>
      <c r="T3654" s="230" t="n">
        <f aca="false">+YEARFRAC(M3654,$S$1)</f>
        <v>126.366666666667</v>
      </c>
      <c r="U3654" s="231" t="n">
        <f aca="false">+$I3654</f>
        <v>0</v>
      </c>
      <c r="V3654" s="232" t="str">
        <f aca="false">+PROPER(F3654)</f>
        <v/>
      </c>
    </row>
    <row r="3655" customFormat="false" ht="14.25" hidden="false" customHeight="false" outlineLevel="0" collapsed="false">
      <c r="B3655" s="244"/>
      <c r="C3655" s="245"/>
      <c r="D3655" s="245"/>
      <c r="E3655" s="246"/>
      <c r="F3655" s="246"/>
      <c r="G3655" s="225" t="e">
        <f aca="false">VLOOKUP(B3655,'NIVEL ENERO'!A:F,4,0)</f>
        <v>#N/A</v>
      </c>
      <c r="H3655" s="247"/>
      <c r="I3655" s="247"/>
      <c r="J3655" s="246"/>
      <c r="K3655" s="246"/>
      <c r="L3655" s="226"/>
      <c r="M3655" s="226"/>
      <c r="N3655" s="246"/>
      <c r="O3655" s="246"/>
      <c r="P3655" s="228"/>
      <c r="Q3655" s="245"/>
      <c r="R3655" s="186" t="str">
        <f aca="false">+PROPER(C3655&amp;" "&amp;D3655)</f>
        <v> </v>
      </c>
      <c r="S3655" s="230" t="n">
        <f aca="false">+YEARFRAC(L3655,$S$1)</f>
        <v>126.366666666667</v>
      </c>
      <c r="T3655" s="230" t="n">
        <f aca="false">+YEARFRAC(M3655,$S$1)</f>
        <v>126.366666666667</v>
      </c>
      <c r="U3655" s="231" t="n">
        <f aca="false">+$I3655</f>
        <v>0</v>
      </c>
      <c r="V3655" s="232" t="str">
        <f aca="false">+PROPER(F3655)</f>
        <v/>
      </c>
    </row>
    <row r="3656" customFormat="false" ht="14.25" hidden="false" customHeight="false" outlineLevel="0" collapsed="false">
      <c r="B3656" s="244"/>
      <c r="C3656" s="245"/>
      <c r="D3656" s="245"/>
      <c r="E3656" s="246"/>
      <c r="F3656" s="246"/>
      <c r="G3656" s="225" t="e">
        <f aca="false">VLOOKUP(B3656,'NIVEL ENERO'!A:F,4,0)</f>
        <v>#N/A</v>
      </c>
      <c r="H3656" s="247"/>
      <c r="I3656" s="247"/>
      <c r="J3656" s="246"/>
      <c r="K3656" s="246"/>
      <c r="L3656" s="226"/>
      <c r="M3656" s="226"/>
      <c r="N3656" s="246"/>
      <c r="O3656" s="246"/>
      <c r="P3656" s="228"/>
      <c r="Q3656" s="245"/>
      <c r="R3656" s="186" t="str">
        <f aca="false">+PROPER(C3656&amp;" "&amp;D3656)</f>
        <v> </v>
      </c>
      <c r="S3656" s="230" t="n">
        <f aca="false">+YEARFRAC(L3656,$S$1)</f>
        <v>126.366666666667</v>
      </c>
      <c r="T3656" s="230" t="n">
        <f aca="false">+YEARFRAC(M3656,$S$1)</f>
        <v>126.366666666667</v>
      </c>
      <c r="U3656" s="231" t="n">
        <f aca="false">+$I3656</f>
        <v>0</v>
      </c>
      <c r="V3656" s="232" t="str">
        <f aca="false">+PROPER(F3656)</f>
        <v/>
      </c>
    </row>
    <row r="3657" customFormat="false" ht="14.25" hidden="false" customHeight="false" outlineLevel="0" collapsed="false">
      <c r="B3657" s="244"/>
      <c r="C3657" s="245"/>
      <c r="D3657" s="245"/>
      <c r="E3657" s="246"/>
      <c r="F3657" s="246"/>
      <c r="G3657" s="225" t="e">
        <f aca="false">VLOOKUP(B3657,'NIVEL ENERO'!A:F,4,0)</f>
        <v>#N/A</v>
      </c>
      <c r="H3657" s="247"/>
      <c r="I3657" s="247"/>
      <c r="J3657" s="246"/>
      <c r="K3657" s="246"/>
      <c r="L3657" s="226"/>
      <c r="M3657" s="226"/>
      <c r="N3657" s="246"/>
      <c r="O3657" s="246"/>
      <c r="P3657" s="228"/>
      <c r="Q3657" s="245"/>
      <c r="R3657" s="186" t="str">
        <f aca="false">+PROPER(C3657&amp;" "&amp;D3657)</f>
        <v> </v>
      </c>
      <c r="S3657" s="230" t="n">
        <f aca="false">+YEARFRAC(L3657,$S$1)</f>
        <v>126.366666666667</v>
      </c>
      <c r="T3657" s="230" t="n">
        <f aca="false">+YEARFRAC(M3657,$S$1)</f>
        <v>126.366666666667</v>
      </c>
      <c r="U3657" s="231" t="n">
        <f aca="false">+$I3657</f>
        <v>0</v>
      </c>
      <c r="V3657" s="232" t="str">
        <f aca="false">+PROPER(F3657)</f>
        <v/>
      </c>
    </row>
    <row r="3658" customFormat="false" ht="14.25" hidden="false" customHeight="false" outlineLevel="0" collapsed="false">
      <c r="B3658" s="244"/>
      <c r="C3658" s="245"/>
      <c r="D3658" s="245"/>
      <c r="E3658" s="246"/>
      <c r="F3658" s="246"/>
      <c r="G3658" s="225" t="e">
        <f aca="false">VLOOKUP(B3658,'NIVEL ENERO'!A:F,4,0)</f>
        <v>#N/A</v>
      </c>
      <c r="H3658" s="247"/>
      <c r="I3658" s="247"/>
      <c r="J3658" s="246"/>
      <c r="K3658" s="246"/>
      <c r="L3658" s="226"/>
      <c r="M3658" s="226"/>
      <c r="N3658" s="246"/>
      <c r="O3658" s="246"/>
      <c r="P3658" s="228"/>
      <c r="Q3658" s="245"/>
      <c r="R3658" s="186" t="str">
        <f aca="false">+PROPER(C3658&amp;" "&amp;D3658)</f>
        <v> </v>
      </c>
      <c r="S3658" s="230" t="n">
        <f aca="false">+YEARFRAC(L3658,$S$1)</f>
        <v>126.366666666667</v>
      </c>
      <c r="T3658" s="230" t="n">
        <f aca="false">+YEARFRAC(M3658,$S$1)</f>
        <v>126.366666666667</v>
      </c>
      <c r="U3658" s="231" t="n">
        <f aca="false">+$I3658</f>
        <v>0</v>
      </c>
      <c r="V3658" s="232" t="str">
        <f aca="false">+PROPER(F3658)</f>
        <v/>
      </c>
    </row>
    <row r="3659" customFormat="false" ht="14.25" hidden="false" customHeight="false" outlineLevel="0" collapsed="false">
      <c r="B3659" s="244"/>
      <c r="C3659" s="245"/>
      <c r="D3659" s="245"/>
      <c r="E3659" s="246"/>
      <c r="F3659" s="246"/>
      <c r="G3659" s="225" t="e">
        <f aca="false">VLOOKUP(B3659,'NIVEL ENERO'!A:F,4,0)</f>
        <v>#N/A</v>
      </c>
      <c r="H3659" s="247"/>
      <c r="I3659" s="247"/>
      <c r="J3659" s="246"/>
      <c r="K3659" s="246"/>
      <c r="L3659" s="226"/>
      <c r="M3659" s="226"/>
      <c r="N3659" s="246"/>
      <c r="O3659" s="246"/>
      <c r="P3659" s="228"/>
      <c r="Q3659" s="245"/>
      <c r="R3659" s="186" t="str">
        <f aca="false">+PROPER(C3659&amp;" "&amp;D3659)</f>
        <v> </v>
      </c>
      <c r="S3659" s="230" t="n">
        <f aca="false">+YEARFRAC(L3659,$S$1)</f>
        <v>126.366666666667</v>
      </c>
      <c r="T3659" s="230" t="n">
        <f aca="false">+YEARFRAC(M3659,$S$1)</f>
        <v>126.366666666667</v>
      </c>
      <c r="U3659" s="231" t="n">
        <f aca="false">+$I3659</f>
        <v>0</v>
      </c>
      <c r="V3659" s="232" t="str">
        <f aca="false">+PROPER(F3659)</f>
        <v/>
      </c>
    </row>
    <row r="3660" customFormat="false" ht="14.25" hidden="false" customHeight="false" outlineLevel="0" collapsed="false">
      <c r="B3660" s="244"/>
      <c r="C3660" s="245"/>
      <c r="D3660" s="245"/>
      <c r="E3660" s="246"/>
      <c r="F3660" s="246"/>
      <c r="G3660" s="225" t="e">
        <f aca="false">VLOOKUP(B3660,'NIVEL ENERO'!A:F,4,0)</f>
        <v>#N/A</v>
      </c>
      <c r="H3660" s="247"/>
      <c r="I3660" s="247"/>
      <c r="J3660" s="246"/>
      <c r="K3660" s="246"/>
      <c r="L3660" s="226"/>
      <c r="M3660" s="226"/>
      <c r="N3660" s="246"/>
      <c r="O3660" s="246"/>
      <c r="P3660" s="228"/>
      <c r="Q3660" s="245"/>
      <c r="R3660" s="186" t="str">
        <f aca="false">+PROPER(C3660&amp;" "&amp;D3660)</f>
        <v> </v>
      </c>
      <c r="S3660" s="230" t="n">
        <f aca="false">+YEARFRAC(L3660,$S$1)</f>
        <v>126.366666666667</v>
      </c>
      <c r="T3660" s="230" t="n">
        <f aca="false">+YEARFRAC(M3660,$S$1)</f>
        <v>126.366666666667</v>
      </c>
      <c r="U3660" s="231" t="n">
        <f aca="false">+$I3660</f>
        <v>0</v>
      </c>
      <c r="V3660" s="232" t="str">
        <f aca="false">+PROPER(F3660)</f>
        <v/>
      </c>
    </row>
    <row r="3661" customFormat="false" ht="14.25" hidden="false" customHeight="false" outlineLevel="0" collapsed="false">
      <c r="B3661" s="244"/>
      <c r="C3661" s="245"/>
      <c r="D3661" s="245"/>
      <c r="E3661" s="246"/>
      <c r="F3661" s="246"/>
      <c r="G3661" s="225" t="e">
        <f aca="false">VLOOKUP(B3661,'NIVEL ENERO'!A:F,4,0)</f>
        <v>#N/A</v>
      </c>
      <c r="H3661" s="247"/>
      <c r="I3661" s="247"/>
      <c r="J3661" s="246"/>
      <c r="K3661" s="246"/>
      <c r="L3661" s="226"/>
      <c r="M3661" s="226"/>
      <c r="N3661" s="246"/>
      <c r="O3661" s="246"/>
      <c r="P3661" s="228"/>
      <c r="Q3661" s="245"/>
      <c r="R3661" s="186" t="str">
        <f aca="false">+PROPER(C3661&amp;" "&amp;D3661)</f>
        <v> </v>
      </c>
      <c r="S3661" s="230" t="n">
        <f aca="false">+YEARFRAC(L3661,$S$1)</f>
        <v>126.366666666667</v>
      </c>
      <c r="T3661" s="230" t="n">
        <f aca="false">+YEARFRAC(M3661,$S$1)</f>
        <v>126.366666666667</v>
      </c>
      <c r="U3661" s="231" t="n">
        <f aca="false">+$I3661</f>
        <v>0</v>
      </c>
      <c r="V3661" s="232" t="str">
        <f aca="false">+PROPER(F3661)</f>
        <v/>
      </c>
    </row>
    <row r="3662" customFormat="false" ht="14.25" hidden="false" customHeight="false" outlineLevel="0" collapsed="false">
      <c r="B3662" s="244"/>
      <c r="C3662" s="245"/>
      <c r="D3662" s="245"/>
      <c r="E3662" s="246"/>
      <c r="F3662" s="246"/>
      <c r="G3662" s="225" t="e">
        <f aca="false">VLOOKUP(B3662,'NIVEL ENERO'!A:F,4,0)</f>
        <v>#N/A</v>
      </c>
      <c r="H3662" s="247"/>
      <c r="I3662" s="247"/>
      <c r="J3662" s="246"/>
      <c r="K3662" s="246"/>
      <c r="L3662" s="226"/>
      <c r="M3662" s="226"/>
      <c r="N3662" s="246"/>
      <c r="O3662" s="246"/>
      <c r="P3662" s="228"/>
      <c r="Q3662" s="245"/>
      <c r="R3662" s="186" t="str">
        <f aca="false">+PROPER(C3662&amp;" "&amp;D3662)</f>
        <v> </v>
      </c>
      <c r="S3662" s="230" t="n">
        <f aca="false">+YEARFRAC(L3662,$S$1)</f>
        <v>126.366666666667</v>
      </c>
      <c r="T3662" s="230" t="n">
        <f aca="false">+YEARFRAC(M3662,$S$1)</f>
        <v>126.366666666667</v>
      </c>
      <c r="U3662" s="231" t="n">
        <f aca="false">+$I3662</f>
        <v>0</v>
      </c>
      <c r="V3662" s="232" t="str">
        <f aca="false">+PROPER(F3662)</f>
        <v/>
      </c>
    </row>
    <row r="3663" customFormat="false" ht="14.25" hidden="false" customHeight="false" outlineLevel="0" collapsed="false">
      <c r="B3663" s="244"/>
      <c r="C3663" s="245"/>
      <c r="D3663" s="245"/>
      <c r="E3663" s="246"/>
      <c r="F3663" s="246"/>
      <c r="G3663" s="225" t="e">
        <f aca="false">VLOOKUP(B3663,'NIVEL ENERO'!A:F,4,0)</f>
        <v>#N/A</v>
      </c>
      <c r="H3663" s="247"/>
      <c r="I3663" s="247"/>
      <c r="J3663" s="246"/>
      <c r="K3663" s="246"/>
      <c r="L3663" s="226"/>
      <c r="M3663" s="226"/>
      <c r="N3663" s="246"/>
      <c r="O3663" s="246"/>
      <c r="P3663" s="228"/>
      <c r="Q3663" s="245"/>
      <c r="R3663" s="186" t="str">
        <f aca="false">+PROPER(C3663&amp;" "&amp;D3663)</f>
        <v> </v>
      </c>
      <c r="S3663" s="230" t="n">
        <f aca="false">+YEARFRAC(L3663,$S$1)</f>
        <v>126.366666666667</v>
      </c>
      <c r="T3663" s="230" t="n">
        <f aca="false">+YEARFRAC(M3663,$S$1)</f>
        <v>126.366666666667</v>
      </c>
      <c r="U3663" s="231" t="n">
        <f aca="false">+$I3663</f>
        <v>0</v>
      </c>
      <c r="V3663" s="232" t="str">
        <f aca="false">+PROPER(F3663)</f>
        <v/>
      </c>
    </row>
    <row r="3664" customFormat="false" ht="14.25" hidden="false" customHeight="false" outlineLevel="0" collapsed="false">
      <c r="B3664" s="244"/>
      <c r="C3664" s="245"/>
      <c r="D3664" s="245"/>
      <c r="E3664" s="246"/>
      <c r="F3664" s="246"/>
      <c r="G3664" s="225" t="e">
        <f aca="false">VLOOKUP(B3664,'NIVEL ENERO'!A:F,4,0)</f>
        <v>#N/A</v>
      </c>
      <c r="H3664" s="247"/>
      <c r="I3664" s="247"/>
      <c r="J3664" s="246"/>
      <c r="K3664" s="246"/>
      <c r="L3664" s="226"/>
      <c r="M3664" s="226"/>
      <c r="N3664" s="246"/>
      <c r="O3664" s="246"/>
      <c r="P3664" s="228"/>
      <c r="Q3664" s="245"/>
      <c r="R3664" s="186" t="str">
        <f aca="false">+PROPER(C3664&amp;" "&amp;D3664)</f>
        <v> </v>
      </c>
      <c r="S3664" s="230" t="n">
        <f aca="false">+YEARFRAC(L3664,$S$1)</f>
        <v>126.366666666667</v>
      </c>
      <c r="T3664" s="230" t="n">
        <f aca="false">+YEARFRAC(M3664,$S$1)</f>
        <v>126.366666666667</v>
      </c>
      <c r="U3664" s="231" t="n">
        <f aca="false">+$I3664</f>
        <v>0</v>
      </c>
      <c r="V3664" s="232" t="str">
        <f aca="false">+PROPER(F3664)</f>
        <v/>
      </c>
    </row>
    <row r="3665" customFormat="false" ht="14.25" hidden="false" customHeight="false" outlineLevel="0" collapsed="false">
      <c r="B3665" s="244"/>
      <c r="C3665" s="245"/>
      <c r="D3665" s="245"/>
      <c r="E3665" s="246"/>
      <c r="F3665" s="246"/>
      <c r="G3665" s="225" t="e">
        <f aca="false">VLOOKUP(B3665,'NIVEL ENERO'!A:F,4,0)</f>
        <v>#N/A</v>
      </c>
      <c r="H3665" s="247"/>
      <c r="I3665" s="247"/>
      <c r="J3665" s="246"/>
      <c r="K3665" s="246"/>
      <c r="L3665" s="226"/>
      <c r="M3665" s="226"/>
      <c r="N3665" s="246"/>
      <c r="O3665" s="246"/>
      <c r="P3665" s="228"/>
      <c r="Q3665" s="245"/>
      <c r="R3665" s="186" t="str">
        <f aca="false">+PROPER(C3665&amp;" "&amp;D3665)</f>
        <v> </v>
      </c>
      <c r="S3665" s="230" t="n">
        <f aca="false">+YEARFRAC(L3665,$S$1)</f>
        <v>126.366666666667</v>
      </c>
      <c r="T3665" s="230" t="n">
        <f aca="false">+YEARFRAC(M3665,$S$1)</f>
        <v>126.366666666667</v>
      </c>
      <c r="U3665" s="231" t="n">
        <f aca="false">+$I3665</f>
        <v>0</v>
      </c>
      <c r="V3665" s="232" t="str">
        <f aca="false">+PROPER(F3665)</f>
        <v/>
      </c>
    </row>
    <row r="3666" customFormat="false" ht="14.25" hidden="false" customHeight="false" outlineLevel="0" collapsed="false">
      <c r="B3666" s="244"/>
      <c r="C3666" s="245"/>
      <c r="D3666" s="245"/>
      <c r="E3666" s="246"/>
      <c r="F3666" s="246"/>
      <c r="G3666" s="225" t="e">
        <f aca="false">VLOOKUP(B3666,'NIVEL ENERO'!A:F,4,0)</f>
        <v>#N/A</v>
      </c>
      <c r="H3666" s="247"/>
      <c r="I3666" s="247"/>
      <c r="J3666" s="246"/>
      <c r="K3666" s="246"/>
      <c r="L3666" s="226"/>
      <c r="M3666" s="226"/>
      <c r="N3666" s="246"/>
      <c r="O3666" s="246"/>
      <c r="P3666" s="228"/>
      <c r="Q3666" s="245"/>
      <c r="R3666" s="186" t="str">
        <f aca="false">+PROPER(C3666&amp;" "&amp;D3666)</f>
        <v> </v>
      </c>
      <c r="S3666" s="230" t="n">
        <f aca="false">+YEARFRAC(L3666,$S$1)</f>
        <v>126.366666666667</v>
      </c>
      <c r="T3666" s="230" t="n">
        <f aca="false">+YEARFRAC(M3666,$S$1)</f>
        <v>126.366666666667</v>
      </c>
      <c r="U3666" s="231" t="n">
        <f aca="false">+$I3666</f>
        <v>0</v>
      </c>
      <c r="V3666" s="232" t="str">
        <f aca="false">+PROPER(F3666)</f>
        <v/>
      </c>
    </row>
    <row r="3667" customFormat="false" ht="14.25" hidden="false" customHeight="false" outlineLevel="0" collapsed="false">
      <c r="B3667" s="244"/>
      <c r="C3667" s="245"/>
      <c r="D3667" s="245"/>
      <c r="E3667" s="246"/>
      <c r="F3667" s="246"/>
      <c r="G3667" s="225" t="e">
        <f aca="false">VLOOKUP(B3667,'NIVEL ENERO'!A:F,4,0)</f>
        <v>#N/A</v>
      </c>
      <c r="H3667" s="247"/>
      <c r="I3667" s="247"/>
      <c r="J3667" s="246"/>
      <c r="K3667" s="246"/>
      <c r="L3667" s="226"/>
      <c r="M3667" s="226"/>
      <c r="N3667" s="246"/>
      <c r="O3667" s="246"/>
      <c r="P3667" s="228"/>
      <c r="Q3667" s="245"/>
      <c r="R3667" s="186" t="str">
        <f aca="false">+PROPER(C3667&amp;" "&amp;D3667)</f>
        <v> </v>
      </c>
      <c r="S3667" s="230" t="n">
        <f aca="false">+YEARFRAC(L3667,$S$1)</f>
        <v>126.366666666667</v>
      </c>
      <c r="T3667" s="230" t="n">
        <f aca="false">+YEARFRAC(M3667,$S$1)</f>
        <v>126.366666666667</v>
      </c>
      <c r="U3667" s="231" t="n">
        <f aca="false">+$I3667</f>
        <v>0</v>
      </c>
      <c r="V3667" s="232" t="str">
        <f aca="false">+PROPER(F3667)</f>
        <v/>
      </c>
    </row>
    <row r="3668" customFormat="false" ht="14.25" hidden="false" customHeight="false" outlineLevel="0" collapsed="false">
      <c r="B3668" s="244"/>
      <c r="C3668" s="245"/>
      <c r="D3668" s="245"/>
      <c r="E3668" s="246"/>
      <c r="F3668" s="246"/>
      <c r="G3668" s="225" t="e">
        <f aca="false">VLOOKUP(B3668,'NIVEL ENERO'!A:F,4,0)</f>
        <v>#N/A</v>
      </c>
      <c r="H3668" s="247"/>
      <c r="I3668" s="247"/>
      <c r="J3668" s="246"/>
      <c r="K3668" s="246"/>
      <c r="L3668" s="226"/>
      <c r="M3668" s="226"/>
      <c r="N3668" s="246"/>
      <c r="O3668" s="246"/>
      <c r="P3668" s="228"/>
      <c r="Q3668" s="245"/>
      <c r="R3668" s="186" t="str">
        <f aca="false">+PROPER(C3668&amp;" "&amp;D3668)</f>
        <v> </v>
      </c>
      <c r="S3668" s="230" t="n">
        <f aca="false">+YEARFRAC(L3668,$S$1)</f>
        <v>126.366666666667</v>
      </c>
      <c r="T3668" s="230" t="n">
        <f aca="false">+YEARFRAC(M3668,$S$1)</f>
        <v>126.366666666667</v>
      </c>
      <c r="U3668" s="231" t="n">
        <f aca="false">+$I3668</f>
        <v>0</v>
      </c>
      <c r="V3668" s="232" t="str">
        <f aca="false">+PROPER(F3668)</f>
        <v/>
      </c>
    </row>
    <row r="3669" customFormat="false" ht="14.25" hidden="false" customHeight="false" outlineLevel="0" collapsed="false">
      <c r="B3669" s="244"/>
      <c r="C3669" s="245"/>
      <c r="D3669" s="245"/>
      <c r="E3669" s="246"/>
      <c r="F3669" s="246"/>
      <c r="G3669" s="225" t="e">
        <f aca="false">VLOOKUP(B3669,'NIVEL ENERO'!A:F,4,0)</f>
        <v>#N/A</v>
      </c>
      <c r="H3669" s="247"/>
      <c r="I3669" s="247"/>
      <c r="J3669" s="246"/>
      <c r="K3669" s="246"/>
      <c r="L3669" s="226"/>
      <c r="M3669" s="226"/>
      <c r="N3669" s="246"/>
      <c r="O3669" s="246"/>
      <c r="P3669" s="228"/>
      <c r="Q3669" s="245"/>
      <c r="R3669" s="186" t="str">
        <f aca="false">+PROPER(C3669&amp;" "&amp;D3669)</f>
        <v> </v>
      </c>
      <c r="S3669" s="230" t="n">
        <f aca="false">+YEARFRAC(L3669,$S$1)</f>
        <v>126.366666666667</v>
      </c>
      <c r="T3669" s="230" t="n">
        <f aca="false">+YEARFRAC(M3669,$S$1)</f>
        <v>126.366666666667</v>
      </c>
      <c r="U3669" s="231" t="n">
        <f aca="false">+$I3669</f>
        <v>0</v>
      </c>
      <c r="V3669" s="232" t="str">
        <f aca="false">+PROPER(F3669)</f>
        <v/>
      </c>
    </row>
    <row r="3670" customFormat="false" ht="14.25" hidden="false" customHeight="false" outlineLevel="0" collapsed="false">
      <c r="B3670" s="244"/>
      <c r="C3670" s="245"/>
      <c r="D3670" s="245"/>
      <c r="E3670" s="246"/>
      <c r="F3670" s="246"/>
      <c r="G3670" s="225" t="e">
        <f aca="false">VLOOKUP(B3670,'NIVEL ENERO'!A:F,4,0)</f>
        <v>#N/A</v>
      </c>
      <c r="H3670" s="247"/>
      <c r="I3670" s="247"/>
      <c r="J3670" s="246"/>
      <c r="K3670" s="246"/>
      <c r="L3670" s="226"/>
      <c r="M3670" s="226"/>
      <c r="N3670" s="246"/>
      <c r="O3670" s="246"/>
      <c r="P3670" s="228"/>
      <c r="Q3670" s="245"/>
      <c r="R3670" s="186" t="str">
        <f aca="false">+PROPER(C3670&amp;" "&amp;D3670)</f>
        <v> </v>
      </c>
      <c r="S3670" s="230" t="n">
        <f aca="false">+YEARFRAC(L3670,$S$1)</f>
        <v>126.366666666667</v>
      </c>
      <c r="T3670" s="230" t="n">
        <f aca="false">+YEARFRAC(M3670,$S$1)</f>
        <v>126.366666666667</v>
      </c>
      <c r="U3670" s="231" t="n">
        <f aca="false">+$I3670</f>
        <v>0</v>
      </c>
      <c r="V3670" s="232" t="str">
        <f aca="false">+PROPER(F3670)</f>
        <v/>
      </c>
    </row>
    <row r="3671" customFormat="false" ht="14.25" hidden="false" customHeight="false" outlineLevel="0" collapsed="false">
      <c r="B3671" s="244"/>
      <c r="C3671" s="245"/>
      <c r="D3671" s="245"/>
      <c r="E3671" s="246"/>
      <c r="F3671" s="246"/>
      <c r="G3671" s="225" t="e">
        <f aca="false">VLOOKUP(B3671,'NIVEL ENERO'!A:F,4,0)</f>
        <v>#N/A</v>
      </c>
      <c r="H3671" s="247"/>
      <c r="I3671" s="247"/>
      <c r="J3671" s="246"/>
      <c r="K3671" s="246"/>
      <c r="L3671" s="226"/>
      <c r="M3671" s="226"/>
      <c r="N3671" s="246"/>
      <c r="O3671" s="246"/>
      <c r="P3671" s="228"/>
      <c r="Q3671" s="245"/>
      <c r="R3671" s="186" t="str">
        <f aca="false">+PROPER(C3671&amp;" "&amp;D3671)</f>
        <v> </v>
      </c>
      <c r="S3671" s="230" t="n">
        <f aca="false">+YEARFRAC(L3671,$S$1)</f>
        <v>126.366666666667</v>
      </c>
      <c r="T3671" s="230" t="n">
        <f aca="false">+YEARFRAC(M3671,$S$1)</f>
        <v>126.366666666667</v>
      </c>
      <c r="U3671" s="231" t="n">
        <f aca="false">+$I3671</f>
        <v>0</v>
      </c>
      <c r="V3671" s="232" t="str">
        <f aca="false">+PROPER(F3671)</f>
        <v/>
      </c>
    </row>
    <row r="3672" customFormat="false" ht="14.25" hidden="false" customHeight="false" outlineLevel="0" collapsed="false">
      <c r="B3672" s="244"/>
      <c r="C3672" s="245"/>
      <c r="D3672" s="245"/>
      <c r="E3672" s="246"/>
      <c r="F3672" s="246"/>
      <c r="G3672" s="225" t="e">
        <f aca="false">VLOOKUP(B3672,'NIVEL ENERO'!A:F,4,0)</f>
        <v>#N/A</v>
      </c>
      <c r="H3672" s="247"/>
      <c r="I3672" s="247"/>
      <c r="J3672" s="246"/>
      <c r="K3672" s="246"/>
      <c r="L3672" s="226"/>
      <c r="M3672" s="226"/>
      <c r="N3672" s="246"/>
      <c r="O3672" s="246"/>
      <c r="P3672" s="228"/>
      <c r="Q3672" s="245"/>
      <c r="R3672" s="186" t="str">
        <f aca="false">+PROPER(C3672&amp;" "&amp;D3672)</f>
        <v> </v>
      </c>
      <c r="S3672" s="230" t="n">
        <f aca="false">+YEARFRAC(L3672,$S$1)</f>
        <v>126.366666666667</v>
      </c>
      <c r="T3672" s="230" t="n">
        <f aca="false">+YEARFRAC(M3672,$S$1)</f>
        <v>126.366666666667</v>
      </c>
      <c r="U3672" s="231" t="n">
        <f aca="false">+$I3672</f>
        <v>0</v>
      </c>
      <c r="V3672" s="232" t="str">
        <f aca="false">+PROPER(F3672)</f>
        <v/>
      </c>
    </row>
    <row r="3673" customFormat="false" ht="14.25" hidden="false" customHeight="false" outlineLevel="0" collapsed="false">
      <c r="B3673" s="244"/>
      <c r="C3673" s="245"/>
      <c r="D3673" s="245"/>
      <c r="E3673" s="246"/>
      <c r="F3673" s="246"/>
      <c r="G3673" s="225" t="e">
        <f aca="false">VLOOKUP(B3673,'NIVEL ENERO'!A:F,4,0)</f>
        <v>#N/A</v>
      </c>
      <c r="H3673" s="247"/>
      <c r="I3673" s="247"/>
      <c r="J3673" s="246"/>
      <c r="K3673" s="246"/>
      <c r="L3673" s="226"/>
      <c r="M3673" s="226"/>
      <c r="N3673" s="246"/>
      <c r="O3673" s="246"/>
      <c r="P3673" s="228"/>
      <c r="Q3673" s="245"/>
      <c r="R3673" s="186" t="str">
        <f aca="false">+PROPER(C3673&amp;" "&amp;D3673)</f>
        <v> </v>
      </c>
      <c r="S3673" s="230" t="n">
        <f aca="false">+YEARFRAC(L3673,$S$1)</f>
        <v>126.366666666667</v>
      </c>
      <c r="T3673" s="230" t="n">
        <f aca="false">+YEARFRAC(M3673,$S$1)</f>
        <v>126.366666666667</v>
      </c>
      <c r="U3673" s="231" t="n">
        <f aca="false">+$I3673</f>
        <v>0</v>
      </c>
      <c r="V3673" s="232" t="str">
        <f aca="false">+PROPER(F3673)</f>
        <v/>
      </c>
    </row>
    <row r="3674" customFormat="false" ht="14.25" hidden="false" customHeight="false" outlineLevel="0" collapsed="false">
      <c r="B3674" s="244"/>
      <c r="C3674" s="245"/>
      <c r="D3674" s="245"/>
      <c r="E3674" s="246"/>
      <c r="F3674" s="246"/>
      <c r="G3674" s="225" t="e">
        <f aca="false">VLOOKUP(B3674,'NIVEL ENERO'!A:F,4,0)</f>
        <v>#N/A</v>
      </c>
      <c r="H3674" s="247"/>
      <c r="I3674" s="247"/>
      <c r="J3674" s="246"/>
      <c r="K3674" s="246"/>
      <c r="L3674" s="226"/>
      <c r="M3674" s="226"/>
      <c r="N3674" s="246"/>
      <c r="O3674" s="246"/>
      <c r="P3674" s="228"/>
      <c r="Q3674" s="245"/>
      <c r="R3674" s="186" t="str">
        <f aca="false">+PROPER(C3674&amp;" "&amp;D3674)</f>
        <v> </v>
      </c>
      <c r="S3674" s="230" t="n">
        <f aca="false">+YEARFRAC(L3674,$S$1)</f>
        <v>126.366666666667</v>
      </c>
      <c r="T3674" s="230" t="n">
        <f aca="false">+YEARFRAC(M3674,$S$1)</f>
        <v>126.366666666667</v>
      </c>
      <c r="U3674" s="231" t="n">
        <f aca="false">+$I3674</f>
        <v>0</v>
      </c>
      <c r="V3674" s="232" t="str">
        <f aca="false">+PROPER(F3674)</f>
        <v/>
      </c>
    </row>
    <row r="3675" customFormat="false" ht="14.25" hidden="false" customHeight="false" outlineLevel="0" collapsed="false">
      <c r="B3675" s="244"/>
      <c r="C3675" s="245"/>
      <c r="D3675" s="245"/>
      <c r="E3675" s="246"/>
      <c r="F3675" s="246"/>
      <c r="G3675" s="225" t="e">
        <f aca="false">VLOOKUP(B3675,'NIVEL ENERO'!A:F,4,0)</f>
        <v>#N/A</v>
      </c>
      <c r="H3675" s="247"/>
      <c r="I3675" s="247"/>
      <c r="J3675" s="246"/>
      <c r="K3675" s="246"/>
      <c r="L3675" s="226"/>
      <c r="M3675" s="226"/>
      <c r="N3675" s="246"/>
      <c r="O3675" s="246"/>
      <c r="P3675" s="228"/>
      <c r="Q3675" s="245"/>
      <c r="R3675" s="186" t="str">
        <f aca="false">+PROPER(C3675&amp;" "&amp;D3675)</f>
        <v> </v>
      </c>
      <c r="S3675" s="230" t="n">
        <f aca="false">+YEARFRAC(L3675,$S$1)</f>
        <v>126.366666666667</v>
      </c>
      <c r="T3675" s="230" t="n">
        <f aca="false">+YEARFRAC(M3675,$S$1)</f>
        <v>126.366666666667</v>
      </c>
      <c r="U3675" s="231" t="n">
        <f aca="false">+$I3675</f>
        <v>0</v>
      </c>
      <c r="V3675" s="232" t="str">
        <f aca="false">+PROPER(F3675)</f>
        <v/>
      </c>
    </row>
    <row r="3676" customFormat="false" ht="14.25" hidden="false" customHeight="false" outlineLevel="0" collapsed="false">
      <c r="B3676" s="244"/>
      <c r="C3676" s="245"/>
      <c r="D3676" s="245"/>
      <c r="E3676" s="246"/>
      <c r="F3676" s="246"/>
      <c r="G3676" s="225" t="e">
        <f aca="false">VLOOKUP(B3676,'NIVEL ENERO'!A:F,4,0)</f>
        <v>#N/A</v>
      </c>
      <c r="H3676" s="247"/>
      <c r="I3676" s="247"/>
      <c r="J3676" s="246"/>
      <c r="K3676" s="246"/>
      <c r="L3676" s="226"/>
      <c r="M3676" s="226"/>
      <c r="N3676" s="246"/>
      <c r="O3676" s="246"/>
      <c r="P3676" s="228"/>
      <c r="Q3676" s="245"/>
      <c r="R3676" s="186" t="str">
        <f aca="false">+PROPER(C3676&amp;" "&amp;D3676)</f>
        <v> </v>
      </c>
      <c r="S3676" s="230" t="n">
        <f aca="false">+YEARFRAC(L3676,$S$1)</f>
        <v>126.366666666667</v>
      </c>
      <c r="T3676" s="230" t="n">
        <f aca="false">+YEARFRAC(M3676,$S$1)</f>
        <v>126.366666666667</v>
      </c>
      <c r="U3676" s="231" t="n">
        <f aca="false">+$I3676</f>
        <v>0</v>
      </c>
      <c r="V3676" s="232" t="str">
        <f aca="false">+PROPER(F3676)</f>
        <v/>
      </c>
    </row>
    <row r="3677" customFormat="false" ht="14.25" hidden="false" customHeight="false" outlineLevel="0" collapsed="false">
      <c r="B3677" s="244"/>
      <c r="C3677" s="245"/>
      <c r="D3677" s="245"/>
      <c r="E3677" s="246"/>
      <c r="F3677" s="246"/>
      <c r="G3677" s="225" t="e">
        <f aca="false">VLOOKUP(B3677,'NIVEL ENERO'!A:F,4,0)</f>
        <v>#N/A</v>
      </c>
      <c r="H3677" s="247"/>
      <c r="I3677" s="247"/>
      <c r="J3677" s="246"/>
      <c r="K3677" s="246"/>
      <c r="L3677" s="226"/>
      <c r="M3677" s="226"/>
      <c r="N3677" s="246"/>
      <c r="O3677" s="246"/>
      <c r="P3677" s="228"/>
      <c r="Q3677" s="245"/>
      <c r="R3677" s="186" t="str">
        <f aca="false">+PROPER(C3677&amp;" "&amp;D3677)</f>
        <v> </v>
      </c>
      <c r="S3677" s="230" t="n">
        <f aca="false">+YEARFRAC(L3677,$S$1)</f>
        <v>126.366666666667</v>
      </c>
      <c r="T3677" s="230" t="n">
        <f aca="false">+YEARFRAC(M3677,$S$1)</f>
        <v>126.366666666667</v>
      </c>
      <c r="U3677" s="231" t="n">
        <f aca="false">+$I3677</f>
        <v>0</v>
      </c>
      <c r="V3677" s="232" t="str">
        <f aca="false">+PROPER(F3677)</f>
        <v/>
      </c>
    </row>
    <row r="3678" customFormat="false" ht="14.25" hidden="false" customHeight="false" outlineLevel="0" collapsed="false">
      <c r="B3678" s="244"/>
      <c r="C3678" s="245"/>
      <c r="D3678" s="245"/>
      <c r="E3678" s="246"/>
      <c r="F3678" s="246"/>
      <c r="G3678" s="225" t="e">
        <f aca="false">VLOOKUP(B3678,'NIVEL ENERO'!A:F,4,0)</f>
        <v>#N/A</v>
      </c>
      <c r="H3678" s="247"/>
      <c r="I3678" s="247"/>
      <c r="J3678" s="246"/>
      <c r="K3678" s="246"/>
      <c r="L3678" s="226"/>
      <c r="M3678" s="226"/>
      <c r="N3678" s="246"/>
      <c r="O3678" s="246"/>
      <c r="P3678" s="228"/>
      <c r="Q3678" s="245"/>
      <c r="R3678" s="186" t="str">
        <f aca="false">+PROPER(C3678&amp;" "&amp;D3678)</f>
        <v> </v>
      </c>
      <c r="S3678" s="230" t="n">
        <f aca="false">+YEARFRAC(L3678,$S$1)</f>
        <v>126.366666666667</v>
      </c>
      <c r="T3678" s="230" t="n">
        <f aca="false">+YEARFRAC(M3678,$S$1)</f>
        <v>126.366666666667</v>
      </c>
      <c r="U3678" s="231" t="n">
        <f aca="false">+$I3678</f>
        <v>0</v>
      </c>
      <c r="V3678" s="232" t="str">
        <f aca="false">+PROPER(F3678)</f>
        <v/>
      </c>
    </row>
    <row r="3679" customFormat="false" ht="14.25" hidden="false" customHeight="false" outlineLevel="0" collapsed="false">
      <c r="B3679" s="244"/>
      <c r="C3679" s="245"/>
      <c r="D3679" s="245"/>
      <c r="E3679" s="246"/>
      <c r="F3679" s="246"/>
      <c r="G3679" s="225" t="e">
        <f aca="false">VLOOKUP(B3679,'NIVEL ENERO'!A:F,4,0)</f>
        <v>#N/A</v>
      </c>
      <c r="H3679" s="247"/>
      <c r="I3679" s="247"/>
      <c r="J3679" s="246"/>
      <c r="K3679" s="246"/>
      <c r="L3679" s="226"/>
      <c r="M3679" s="226"/>
      <c r="N3679" s="246"/>
      <c r="O3679" s="246"/>
      <c r="P3679" s="228"/>
      <c r="Q3679" s="245"/>
      <c r="R3679" s="186" t="str">
        <f aca="false">+PROPER(C3679&amp;" "&amp;D3679)</f>
        <v> </v>
      </c>
      <c r="S3679" s="230" t="n">
        <f aca="false">+YEARFRAC(L3679,$S$1)</f>
        <v>126.366666666667</v>
      </c>
      <c r="T3679" s="230" t="n">
        <f aca="false">+YEARFRAC(M3679,$S$1)</f>
        <v>126.366666666667</v>
      </c>
      <c r="U3679" s="231" t="n">
        <f aca="false">+$I3679</f>
        <v>0</v>
      </c>
      <c r="V3679" s="232" t="str">
        <f aca="false">+PROPER(F3679)</f>
        <v/>
      </c>
    </row>
    <row r="3680" customFormat="false" ht="14.25" hidden="false" customHeight="false" outlineLevel="0" collapsed="false">
      <c r="B3680" s="244"/>
      <c r="C3680" s="245"/>
      <c r="D3680" s="245"/>
      <c r="E3680" s="246"/>
      <c r="F3680" s="246"/>
      <c r="G3680" s="225" t="e">
        <f aca="false">VLOOKUP(B3680,'NIVEL ENERO'!A:F,4,0)</f>
        <v>#N/A</v>
      </c>
      <c r="H3680" s="247"/>
      <c r="I3680" s="247"/>
      <c r="J3680" s="246"/>
      <c r="K3680" s="246"/>
      <c r="L3680" s="226"/>
      <c r="M3680" s="226"/>
      <c r="N3680" s="246"/>
      <c r="O3680" s="246"/>
      <c r="P3680" s="228"/>
      <c r="Q3680" s="245"/>
      <c r="R3680" s="186" t="str">
        <f aca="false">+PROPER(C3680&amp;" "&amp;D3680)</f>
        <v> </v>
      </c>
      <c r="S3680" s="230" t="n">
        <f aca="false">+YEARFRAC(L3680,$S$1)</f>
        <v>126.366666666667</v>
      </c>
      <c r="T3680" s="230" t="n">
        <f aca="false">+YEARFRAC(M3680,$S$1)</f>
        <v>126.366666666667</v>
      </c>
      <c r="U3680" s="231" t="n">
        <f aca="false">+$I3680</f>
        <v>0</v>
      </c>
      <c r="V3680" s="232" t="str">
        <f aca="false">+PROPER(F3680)</f>
        <v/>
      </c>
    </row>
    <row r="3681" customFormat="false" ht="14.25" hidden="false" customHeight="false" outlineLevel="0" collapsed="false">
      <c r="B3681" s="244"/>
      <c r="C3681" s="245"/>
      <c r="D3681" s="245"/>
      <c r="E3681" s="246"/>
      <c r="F3681" s="246"/>
      <c r="G3681" s="225" t="e">
        <f aca="false">VLOOKUP(B3681,'NIVEL ENERO'!A:F,4,0)</f>
        <v>#N/A</v>
      </c>
      <c r="H3681" s="247"/>
      <c r="I3681" s="247"/>
      <c r="J3681" s="246"/>
      <c r="K3681" s="246"/>
      <c r="L3681" s="226"/>
      <c r="M3681" s="226"/>
      <c r="N3681" s="246"/>
      <c r="O3681" s="246"/>
      <c r="P3681" s="228"/>
      <c r="Q3681" s="245"/>
      <c r="R3681" s="186" t="str">
        <f aca="false">+PROPER(C3681&amp;" "&amp;D3681)</f>
        <v> </v>
      </c>
      <c r="S3681" s="230" t="n">
        <f aca="false">+YEARFRAC(L3681,$S$1)</f>
        <v>126.366666666667</v>
      </c>
      <c r="T3681" s="230" t="n">
        <f aca="false">+YEARFRAC(M3681,$S$1)</f>
        <v>126.366666666667</v>
      </c>
      <c r="U3681" s="231" t="n">
        <f aca="false">+$I3681</f>
        <v>0</v>
      </c>
      <c r="V3681" s="232" t="str">
        <f aca="false">+PROPER(F3681)</f>
        <v/>
      </c>
    </row>
    <row r="3682" customFormat="false" ht="14.25" hidden="false" customHeight="false" outlineLevel="0" collapsed="false">
      <c r="B3682" s="244"/>
      <c r="C3682" s="245"/>
      <c r="D3682" s="245"/>
      <c r="E3682" s="246"/>
      <c r="F3682" s="246"/>
      <c r="G3682" s="225" t="e">
        <f aca="false">VLOOKUP(B3682,'NIVEL ENERO'!A:F,4,0)</f>
        <v>#N/A</v>
      </c>
      <c r="H3682" s="247"/>
      <c r="I3682" s="247"/>
      <c r="J3682" s="246"/>
      <c r="K3682" s="246"/>
      <c r="L3682" s="226"/>
      <c r="M3682" s="226"/>
      <c r="N3682" s="246"/>
      <c r="O3682" s="246"/>
      <c r="P3682" s="228"/>
      <c r="Q3682" s="245"/>
      <c r="R3682" s="186" t="str">
        <f aca="false">+PROPER(C3682&amp;" "&amp;D3682)</f>
        <v> </v>
      </c>
      <c r="S3682" s="230" t="n">
        <f aca="false">+YEARFRAC(L3682,$S$1)</f>
        <v>126.366666666667</v>
      </c>
      <c r="T3682" s="230" t="n">
        <f aca="false">+YEARFRAC(M3682,$S$1)</f>
        <v>126.366666666667</v>
      </c>
      <c r="U3682" s="231" t="n">
        <f aca="false">+$I3682</f>
        <v>0</v>
      </c>
      <c r="V3682" s="232" t="str">
        <f aca="false">+PROPER(F3682)</f>
        <v/>
      </c>
    </row>
    <row r="3683" customFormat="false" ht="14.25" hidden="false" customHeight="false" outlineLevel="0" collapsed="false">
      <c r="B3683" s="244"/>
      <c r="C3683" s="245"/>
      <c r="D3683" s="245"/>
      <c r="E3683" s="246"/>
      <c r="F3683" s="246"/>
      <c r="G3683" s="225" t="e">
        <f aca="false">VLOOKUP(B3683,'NIVEL ENERO'!A:F,4,0)</f>
        <v>#N/A</v>
      </c>
      <c r="H3683" s="247"/>
      <c r="I3683" s="247"/>
      <c r="J3683" s="246"/>
      <c r="K3683" s="246"/>
      <c r="L3683" s="226"/>
      <c r="M3683" s="226"/>
      <c r="N3683" s="246"/>
      <c r="O3683" s="246"/>
      <c r="P3683" s="228"/>
      <c r="Q3683" s="245"/>
      <c r="R3683" s="186" t="str">
        <f aca="false">+PROPER(C3683&amp;" "&amp;D3683)</f>
        <v> </v>
      </c>
      <c r="S3683" s="230" t="n">
        <f aca="false">+YEARFRAC(L3683,$S$1)</f>
        <v>126.366666666667</v>
      </c>
      <c r="T3683" s="230" t="n">
        <f aca="false">+YEARFRAC(M3683,$S$1)</f>
        <v>126.366666666667</v>
      </c>
      <c r="U3683" s="231" t="n">
        <f aca="false">+$I3683</f>
        <v>0</v>
      </c>
      <c r="V3683" s="232" t="str">
        <f aca="false">+PROPER(F3683)</f>
        <v/>
      </c>
    </row>
    <row r="3684" customFormat="false" ht="14.25" hidden="false" customHeight="false" outlineLevel="0" collapsed="false">
      <c r="B3684" s="244"/>
      <c r="C3684" s="245"/>
      <c r="D3684" s="245"/>
      <c r="E3684" s="246"/>
      <c r="F3684" s="246"/>
      <c r="G3684" s="225" t="e">
        <f aca="false">VLOOKUP(B3684,'NIVEL ENERO'!A:F,4,0)</f>
        <v>#N/A</v>
      </c>
      <c r="H3684" s="247"/>
      <c r="I3684" s="247"/>
      <c r="J3684" s="246"/>
      <c r="K3684" s="246"/>
      <c r="L3684" s="226"/>
      <c r="M3684" s="226"/>
      <c r="N3684" s="246"/>
      <c r="O3684" s="246"/>
      <c r="P3684" s="228"/>
      <c r="Q3684" s="245"/>
      <c r="R3684" s="186" t="str">
        <f aca="false">+PROPER(C3684&amp;" "&amp;D3684)</f>
        <v> </v>
      </c>
      <c r="S3684" s="230" t="n">
        <f aca="false">+YEARFRAC(L3684,$S$1)</f>
        <v>126.366666666667</v>
      </c>
      <c r="T3684" s="230" t="n">
        <f aca="false">+YEARFRAC(M3684,$S$1)</f>
        <v>126.366666666667</v>
      </c>
      <c r="U3684" s="231" t="n">
        <f aca="false">+$I3684</f>
        <v>0</v>
      </c>
      <c r="V3684" s="232" t="str">
        <f aca="false">+PROPER(F3684)</f>
        <v/>
      </c>
    </row>
    <row r="3685" customFormat="false" ht="14.25" hidden="false" customHeight="false" outlineLevel="0" collapsed="false">
      <c r="B3685" s="244"/>
      <c r="C3685" s="245"/>
      <c r="D3685" s="245"/>
      <c r="E3685" s="246"/>
      <c r="F3685" s="246"/>
      <c r="G3685" s="225" t="e">
        <f aca="false">VLOOKUP(B3685,'NIVEL ENERO'!A:F,4,0)</f>
        <v>#N/A</v>
      </c>
      <c r="H3685" s="247"/>
      <c r="I3685" s="247"/>
      <c r="J3685" s="246"/>
      <c r="K3685" s="246"/>
      <c r="L3685" s="226"/>
      <c r="M3685" s="226"/>
      <c r="N3685" s="246"/>
      <c r="O3685" s="246"/>
      <c r="P3685" s="228"/>
      <c r="Q3685" s="245"/>
      <c r="R3685" s="186" t="str">
        <f aca="false">+PROPER(C3685&amp;" "&amp;D3685)</f>
        <v> </v>
      </c>
      <c r="S3685" s="230" t="n">
        <f aca="false">+YEARFRAC(L3685,$S$1)</f>
        <v>126.366666666667</v>
      </c>
      <c r="T3685" s="230" t="n">
        <f aca="false">+YEARFRAC(M3685,$S$1)</f>
        <v>126.366666666667</v>
      </c>
      <c r="U3685" s="231" t="n">
        <f aca="false">+$I3685</f>
        <v>0</v>
      </c>
      <c r="V3685" s="232" t="str">
        <f aca="false">+PROPER(F3685)</f>
        <v/>
      </c>
    </row>
    <row r="3686" customFormat="false" ht="14.25" hidden="false" customHeight="false" outlineLevel="0" collapsed="false">
      <c r="B3686" s="244"/>
      <c r="C3686" s="245"/>
      <c r="D3686" s="245"/>
      <c r="E3686" s="246"/>
      <c r="F3686" s="246"/>
      <c r="G3686" s="225" t="e">
        <f aca="false">VLOOKUP(B3686,'NIVEL ENERO'!A:F,4,0)</f>
        <v>#N/A</v>
      </c>
      <c r="H3686" s="247"/>
      <c r="I3686" s="247"/>
      <c r="J3686" s="246"/>
      <c r="K3686" s="246"/>
      <c r="L3686" s="226"/>
      <c r="M3686" s="226"/>
      <c r="N3686" s="246"/>
      <c r="O3686" s="246"/>
      <c r="P3686" s="228"/>
      <c r="Q3686" s="245"/>
      <c r="R3686" s="186" t="str">
        <f aca="false">+PROPER(C3686&amp;" "&amp;D3686)</f>
        <v> </v>
      </c>
      <c r="S3686" s="230" t="n">
        <f aca="false">+YEARFRAC(L3686,$S$1)</f>
        <v>126.366666666667</v>
      </c>
      <c r="T3686" s="230" t="n">
        <f aca="false">+YEARFRAC(M3686,$S$1)</f>
        <v>126.366666666667</v>
      </c>
      <c r="U3686" s="231" t="n">
        <f aca="false">+$I3686</f>
        <v>0</v>
      </c>
      <c r="V3686" s="232" t="str">
        <f aca="false">+PROPER(F3686)</f>
        <v/>
      </c>
    </row>
    <row r="3687" customFormat="false" ht="14.25" hidden="false" customHeight="false" outlineLevel="0" collapsed="false">
      <c r="B3687" s="244"/>
      <c r="C3687" s="245"/>
      <c r="D3687" s="245"/>
      <c r="E3687" s="246"/>
      <c r="F3687" s="246"/>
      <c r="G3687" s="225" t="e">
        <f aca="false">VLOOKUP(B3687,'NIVEL ENERO'!A:F,4,0)</f>
        <v>#N/A</v>
      </c>
      <c r="H3687" s="247"/>
      <c r="I3687" s="247"/>
      <c r="J3687" s="246"/>
      <c r="K3687" s="246"/>
      <c r="L3687" s="226"/>
      <c r="M3687" s="226"/>
      <c r="N3687" s="246"/>
      <c r="O3687" s="246"/>
      <c r="P3687" s="228"/>
      <c r="Q3687" s="245"/>
      <c r="R3687" s="186" t="str">
        <f aca="false">+PROPER(C3687&amp;" "&amp;D3687)</f>
        <v> </v>
      </c>
      <c r="S3687" s="230" t="n">
        <f aca="false">+YEARFRAC(L3687,$S$1)</f>
        <v>126.366666666667</v>
      </c>
      <c r="T3687" s="230" t="n">
        <f aca="false">+YEARFRAC(M3687,$S$1)</f>
        <v>126.366666666667</v>
      </c>
      <c r="U3687" s="231" t="n">
        <f aca="false">+$I3687</f>
        <v>0</v>
      </c>
      <c r="V3687" s="232" t="str">
        <f aca="false">+PROPER(F3687)</f>
        <v/>
      </c>
    </row>
    <row r="3688" customFormat="false" ht="14.25" hidden="false" customHeight="false" outlineLevel="0" collapsed="false">
      <c r="B3688" s="244"/>
      <c r="C3688" s="245"/>
      <c r="D3688" s="245"/>
      <c r="E3688" s="246"/>
      <c r="F3688" s="246"/>
      <c r="G3688" s="225" t="e">
        <f aca="false">VLOOKUP(B3688,'NIVEL ENERO'!A:F,4,0)</f>
        <v>#N/A</v>
      </c>
      <c r="H3688" s="247"/>
      <c r="I3688" s="247"/>
      <c r="J3688" s="246"/>
      <c r="K3688" s="246"/>
      <c r="L3688" s="226"/>
      <c r="M3688" s="226"/>
      <c r="N3688" s="246"/>
      <c r="O3688" s="246"/>
      <c r="P3688" s="228"/>
      <c r="Q3688" s="245"/>
      <c r="R3688" s="186" t="str">
        <f aca="false">+PROPER(C3688&amp;" "&amp;D3688)</f>
        <v> </v>
      </c>
      <c r="S3688" s="230" t="n">
        <f aca="false">+YEARFRAC(L3688,$S$1)</f>
        <v>126.366666666667</v>
      </c>
      <c r="T3688" s="230" t="n">
        <f aca="false">+YEARFRAC(M3688,$S$1)</f>
        <v>126.366666666667</v>
      </c>
      <c r="U3688" s="231" t="n">
        <f aca="false">+$I3688</f>
        <v>0</v>
      </c>
      <c r="V3688" s="232" t="str">
        <f aca="false">+PROPER(F3688)</f>
        <v/>
      </c>
    </row>
    <row r="3689" customFormat="false" ht="14.25" hidden="false" customHeight="false" outlineLevel="0" collapsed="false">
      <c r="B3689" s="244"/>
      <c r="C3689" s="245"/>
      <c r="D3689" s="245"/>
      <c r="E3689" s="246"/>
      <c r="F3689" s="246"/>
      <c r="G3689" s="225" t="e">
        <f aca="false">VLOOKUP(B3689,'NIVEL ENERO'!A:F,4,0)</f>
        <v>#N/A</v>
      </c>
      <c r="H3689" s="247"/>
      <c r="I3689" s="247"/>
      <c r="J3689" s="246"/>
      <c r="K3689" s="246"/>
      <c r="L3689" s="226"/>
      <c r="M3689" s="226"/>
      <c r="N3689" s="246"/>
      <c r="O3689" s="246"/>
      <c r="P3689" s="228"/>
      <c r="Q3689" s="245"/>
      <c r="R3689" s="186" t="str">
        <f aca="false">+PROPER(C3689&amp;" "&amp;D3689)</f>
        <v> </v>
      </c>
      <c r="S3689" s="230" t="n">
        <f aca="false">+YEARFRAC(L3689,$S$1)</f>
        <v>126.366666666667</v>
      </c>
      <c r="T3689" s="230" t="n">
        <f aca="false">+YEARFRAC(M3689,$S$1)</f>
        <v>126.366666666667</v>
      </c>
      <c r="U3689" s="231" t="n">
        <f aca="false">+$I3689</f>
        <v>0</v>
      </c>
      <c r="V3689" s="232" t="str">
        <f aca="false">+PROPER(F3689)</f>
        <v/>
      </c>
    </row>
    <row r="3690" customFormat="false" ht="14.25" hidden="false" customHeight="false" outlineLevel="0" collapsed="false">
      <c r="B3690" s="244"/>
      <c r="C3690" s="245"/>
      <c r="D3690" s="245"/>
      <c r="E3690" s="246"/>
      <c r="F3690" s="246"/>
      <c r="G3690" s="225" t="e">
        <f aca="false">VLOOKUP(B3690,'NIVEL ENERO'!A:F,4,0)</f>
        <v>#N/A</v>
      </c>
      <c r="H3690" s="247"/>
      <c r="I3690" s="247"/>
      <c r="J3690" s="246"/>
      <c r="K3690" s="246"/>
      <c r="L3690" s="226"/>
      <c r="M3690" s="226"/>
      <c r="N3690" s="246"/>
      <c r="O3690" s="246"/>
      <c r="P3690" s="228"/>
      <c r="Q3690" s="245"/>
      <c r="R3690" s="186" t="str">
        <f aca="false">+PROPER(C3690&amp;" "&amp;D3690)</f>
        <v> </v>
      </c>
      <c r="S3690" s="230" t="n">
        <f aca="false">+YEARFRAC(L3690,$S$1)</f>
        <v>126.366666666667</v>
      </c>
      <c r="T3690" s="230" t="n">
        <f aca="false">+YEARFRAC(M3690,$S$1)</f>
        <v>126.366666666667</v>
      </c>
      <c r="U3690" s="231" t="n">
        <f aca="false">+$I3690</f>
        <v>0</v>
      </c>
      <c r="V3690" s="232" t="str">
        <f aca="false">+PROPER(F3690)</f>
        <v/>
      </c>
    </row>
    <row r="3691" customFormat="false" ht="14.25" hidden="false" customHeight="false" outlineLevel="0" collapsed="false">
      <c r="B3691" s="244"/>
      <c r="C3691" s="245"/>
      <c r="D3691" s="245"/>
      <c r="E3691" s="246"/>
      <c r="F3691" s="246"/>
      <c r="G3691" s="225" t="e">
        <f aca="false">VLOOKUP(B3691,'NIVEL ENERO'!A:F,4,0)</f>
        <v>#N/A</v>
      </c>
      <c r="H3691" s="247"/>
      <c r="I3691" s="247"/>
      <c r="J3691" s="246"/>
      <c r="K3691" s="246"/>
      <c r="L3691" s="226"/>
      <c r="M3691" s="226"/>
      <c r="N3691" s="246"/>
      <c r="O3691" s="246"/>
      <c r="P3691" s="228"/>
      <c r="Q3691" s="245"/>
      <c r="R3691" s="186" t="str">
        <f aca="false">+PROPER(C3691&amp;" "&amp;D3691)</f>
        <v> </v>
      </c>
      <c r="S3691" s="230" t="n">
        <f aca="false">+YEARFRAC(L3691,$S$1)</f>
        <v>126.366666666667</v>
      </c>
      <c r="T3691" s="230" t="n">
        <f aca="false">+YEARFRAC(M3691,$S$1)</f>
        <v>126.366666666667</v>
      </c>
      <c r="U3691" s="231" t="n">
        <f aca="false">+$I3691</f>
        <v>0</v>
      </c>
      <c r="V3691" s="232" t="str">
        <f aca="false">+PROPER(F3691)</f>
        <v/>
      </c>
    </row>
    <row r="3692" customFormat="false" ht="14.25" hidden="false" customHeight="false" outlineLevel="0" collapsed="false">
      <c r="B3692" s="244"/>
      <c r="C3692" s="245"/>
      <c r="D3692" s="245"/>
      <c r="E3692" s="246"/>
      <c r="F3692" s="246"/>
      <c r="G3692" s="225" t="e">
        <f aca="false">VLOOKUP(B3692,'NIVEL ENERO'!A:F,4,0)</f>
        <v>#N/A</v>
      </c>
      <c r="H3692" s="247"/>
      <c r="I3692" s="247"/>
      <c r="J3692" s="246"/>
      <c r="K3692" s="246"/>
      <c r="L3692" s="226"/>
      <c r="M3692" s="226"/>
      <c r="N3692" s="246"/>
      <c r="O3692" s="246"/>
      <c r="P3692" s="228"/>
      <c r="Q3692" s="245"/>
      <c r="R3692" s="186" t="str">
        <f aca="false">+PROPER(C3692&amp;" "&amp;D3692)</f>
        <v> </v>
      </c>
      <c r="S3692" s="230" t="n">
        <f aca="false">+YEARFRAC(L3692,$S$1)</f>
        <v>126.366666666667</v>
      </c>
      <c r="T3692" s="230" t="n">
        <f aca="false">+YEARFRAC(M3692,$S$1)</f>
        <v>126.366666666667</v>
      </c>
      <c r="U3692" s="231" t="n">
        <f aca="false">+$I3692</f>
        <v>0</v>
      </c>
      <c r="V3692" s="232" t="str">
        <f aca="false">+PROPER(F3692)</f>
        <v/>
      </c>
    </row>
    <row r="3693" customFormat="false" ht="14.25" hidden="false" customHeight="false" outlineLevel="0" collapsed="false">
      <c r="B3693" s="244"/>
      <c r="C3693" s="245"/>
      <c r="D3693" s="245"/>
      <c r="E3693" s="246"/>
      <c r="F3693" s="246"/>
      <c r="G3693" s="225" t="e">
        <f aca="false">VLOOKUP(B3693,'NIVEL ENERO'!A:F,4,0)</f>
        <v>#N/A</v>
      </c>
      <c r="H3693" s="247"/>
      <c r="I3693" s="247"/>
      <c r="J3693" s="246"/>
      <c r="K3693" s="246"/>
      <c r="L3693" s="226"/>
      <c r="M3693" s="226"/>
      <c r="N3693" s="246"/>
      <c r="O3693" s="246"/>
      <c r="P3693" s="228"/>
      <c r="Q3693" s="245"/>
      <c r="R3693" s="186" t="str">
        <f aca="false">+PROPER(C3693&amp;" "&amp;D3693)</f>
        <v> </v>
      </c>
      <c r="S3693" s="230" t="n">
        <f aca="false">+YEARFRAC(L3693,$S$1)</f>
        <v>126.366666666667</v>
      </c>
      <c r="T3693" s="230" t="n">
        <f aca="false">+YEARFRAC(M3693,$S$1)</f>
        <v>126.366666666667</v>
      </c>
      <c r="U3693" s="231" t="n">
        <f aca="false">+$I3693</f>
        <v>0</v>
      </c>
      <c r="V3693" s="232" t="str">
        <f aca="false">+PROPER(F3693)</f>
        <v/>
      </c>
    </row>
    <row r="3694" customFormat="false" ht="14.25" hidden="false" customHeight="false" outlineLevel="0" collapsed="false">
      <c r="B3694" s="244"/>
      <c r="C3694" s="245"/>
      <c r="D3694" s="245"/>
      <c r="E3694" s="246"/>
      <c r="F3694" s="246"/>
      <c r="G3694" s="225" t="e">
        <f aca="false">VLOOKUP(B3694,'NIVEL ENERO'!A:F,4,0)</f>
        <v>#N/A</v>
      </c>
      <c r="H3694" s="247"/>
      <c r="I3694" s="247"/>
      <c r="J3694" s="246"/>
      <c r="K3694" s="246"/>
      <c r="L3694" s="226"/>
      <c r="M3694" s="226"/>
      <c r="N3694" s="246"/>
      <c r="O3694" s="246"/>
      <c r="P3694" s="228"/>
      <c r="Q3694" s="245"/>
      <c r="R3694" s="186" t="str">
        <f aca="false">+PROPER(C3694&amp;" "&amp;D3694)</f>
        <v> </v>
      </c>
      <c r="S3694" s="230" t="n">
        <f aca="false">+YEARFRAC(L3694,$S$1)</f>
        <v>126.366666666667</v>
      </c>
      <c r="T3694" s="230" t="n">
        <f aca="false">+YEARFRAC(M3694,$S$1)</f>
        <v>126.366666666667</v>
      </c>
      <c r="U3694" s="231" t="n">
        <f aca="false">+$I3694</f>
        <v>0</v>
      </c>
      <c r="V3694" s="232" t="str">
        <f aca="false">+PROPER(F3694)</f>
        <v/>
      </c>
    </row>
    <row r="3695" customFormat="false" ht="14.25" hidden="false" customHeight="false" outlineLevel="0" collapsed="false">
      <c r="B3695" s="244"/>
      <c r="C3695" s="245"/>
      <c r="D3695" s="245"/>
      <c r="E3695" s="246"/>
      <c r="F3695" s="246"/>
      <c r="G3695" s="225" t="e">
        <f aca="false">VLOOKUP(B3695,'NIVEL ENERO'!A:F,4,0)</f>
        <v>#N/A</v>
      </c>
      <c r="H3695" s="247"/>
      <c r="I3695" s="247"/>
      <c r="J3695" s="246"/>
      <c r="K3695" s="246"/>
      <c r="L3695" s="226"/>
      <c r="M3695" s="226"/>
      <c r="N3695" s="246"/>
      <c r="O3695" s="246"/>
      <c r="P3695" s="228"/>
      <c r="Q3695" s="245"/>
      <c r="R3695" s="186" t="str">
        <f aca="false">+PROPER(C3695&amp;" "&amp;D3695)</f>
        <v> </v>
      </c>
      <c r="S3695" s="230" t="n">
        <f aca="false">+YEARFRAC(L3695,$S$1)</f>
        <v>126.366666666667</v>
      </c>
      <c r="T3695" s="230" t="n">
        <f aca="false">+YEARFRAC(M3695,$S$1)</f>
        <v>126.366666666667</v>
      </c>
      <c r="U3695" s="231" t="n">
        <f aca="false">+$I3695</f>
        <v>0</v>
      </c>
      <c r="V3695" s="232" t="str">
        <f aca="false">+PROPER(F3695)</f>
        <v/>
      </c>
    </row>
    <row r="3696" customFormat="false" ht="14.25" hidden="false" customHeight="false" outlineLevel="0" collapsed="false">
      <c r="B3696" s="244"/>
      <c r="C3696" s="245"/>
      <c r="D3696" s="245"/>
      <c r="E3696" s="246"/>
      <c r="F3696" s="246"/>
      <c r="G3696" s="225" t="e">
        <f aca="false">VLOOKUP(B3696,'NIVEL ENERO'!A:F,4,0)</f>
        <v>#N/A</v>
      </c>
      <c r="H3696" s="247"/>
      <c r="I3696" s="247"/>
      <c r="J3696" s="246"/>
      <c r="K3696" s="246"/>
      <c r="L3696" s="226"/>
      <c r="M3696" s="226"/>
      <c r="N3696" s="246"/>
      <c r="O3696" s="246"/>
      <c r="P3696" s="228"/>
      <c r="Q3696" s="245"/>
      <c r="R3696" s="186" t="str">
        <f aca="false">+PROPER(C3696&amp;" "&amp;D3696)</f>
        <v> </v>
      </c>
      <c r="S3696" s="230" t="n">
        <f aca="false">+YEARFRAC(L3696,$S$1)</f>
        <v>126.366666666667</v>
      </c>
      <c r="T3696" s="230" t="n">
        <f aca="false">+YEARFRAC(M3696,$S$1)</f>
        <v>126.366666666667</v>
      </c>
      <c r="U3696" s="231" t="n">
        <f aca="false">+$I3696</f>
        <v>0</v>
      </c>
      <c r="V3696" s="232" t="str">
        <f aca="false">+PROPER(F3696)</f>
        <v/>
      </c>
    </row>
    <row r="3697" customFormat="false" ht="14.25" hidden="false" customHeight="false" outlineLevel="0" collapsed="false">
      <c r="B3697" s="244"/>
      <c r="C3697" s="245"/>
      <c r="D3697" s="245"/>
      <c r="E3697" s="246"/>
      <c r="F3697" s="246"/>
      <c r="G3697" s="225" t="e">
        <f aca="false">VLOOKUP(B3697,'NIVEL ENERO'!A:F,4,0)</f>
        <v>#N/A</v>
      </c>
      <c r="H3697" s="247"/>
      <c r="I3697" s="247"/>
      <c r="J3697" s="246"/>
      <c r="K3697" s="246"/>
      <c r="L3697" s="226"/>
      <c r="M3697" s="226"/>
      <c r="N3697" s="246"/>
      <c r="O3697" s="246"/>
      <c r="P3697" s="228"/>
      <c r="Q3697" s="245"/>
      <c r="R3697" s="186" t="str">
        <f aca="false">+PROPER(C3697&amp;" "&amp;D3697)</f>
        <v> </v>
      </c>
      <c r="S3697" s="230" t="n">
        <f aca="false">+YEARFRAC(L3697,$S$1)</f>
        <v>126.366666666667</v>
      </c>
      <c r="T3697" s="230" t="n">
        <f aca="false">+YEARFRAC(M3697,$S$1)</f>
        <v>126.366666666667</v>
      </c>
      <c r="U3697" s="231" t="n">
        <f aca="false">+$I3697</f>
        <v>0</v>
      </c>
      <c r="V3697" s="232" t="str">
        <f aca="false">+PROPER(F3697)</f>
        <v/>
      </c>
    </row>
    <row r="3698" customFormat="false" ht="14.25" hidden="false" customHeight="false" outlineLevel="0" collapsed="false">
      <c r="B3698" s="244"/>
      <c r="C3698" s="245"/>
      <c r="D3698" s="245"/>
      <c r="E3698" s="246"/>
      <c r="F3698" s="246"/>
      <c r="G3698" s="225" t="e">
        <f aca="false">VLOOKUP(B3698,'NIVEL ENERO'!A:F,4,0)</f>
        <v>#N/A</v>
      </c>
      <c r="H3698" s="247"/>
      <c r="I3698" s="247"/>
      <c r="J3698" s="246"/>
      <c r="K3698" s="246"/>
      <c r="L3698" s="226"/>
      <c r="M3698" s="226"/>
      <c r="N3698" s="246"/>
      <c r="O3698" s="246"/>
      <c r="P3698" s="228"/>
      <c r="Q3698" s="245"/>
      <c r="R3698" s="186" t="str">
        <f aca="false">+PROPER(C3698&amp;" "&amp;D3698)</f>
        <v> </v>
      </c>
      <c r="S3698" s="230" t="n">
        <f aca="false">+YEARFRAC(L3698,$S$1)</f>
        <v>126.366666666667</v>
      </c>
      <c r="T3698" s="230" t="n">
        <f aca="false">+YEARFRAC(M3698,$S$1)</f>
        <v>126.366666666667</v>
      </c>
      <c r="U3698" s="231" t="n">
        <f aca="false">+$I3698</f>
        <v>0</v>
      </c>
      <c r="V3698" s="232" t="str">
        <f aca="false">+PROPER(F3698)</f>
        <v/>
      </c>
    </row>
    <row r="3699" customFormat="false" ht="14.25" hidden="false" customHeight="false" outlineLevel="0" collapsed="false">
      <c r="B3699" s="244"/>
      <c r="C3699" s="245"/>
      <c r="D3699" s="245"/>
      <c r="E3699" s="246"/>
      <c r="F3699" s="246"/>
      <c r="G3699" s="225" t="e">
        <f aca="false">VLOOKUP(B3699,'NIVEL ENERO'!A:F,4,0)</f>
        <v>#N/A</v>
      </c>
      <c r="H3699" s="247"/>
      <c r="I3699" s="247"/>
      <c r="J3699" s="246"/>
      <c r="K3699" s="246"/>
      <c r="L3699" s="226"/>
      <c r="M3699" s="226"/>
      <c r="N3699" s="246"/>
      <c r="O3699" s="246"/>
      <c r="P3699" s="228"/>
      <c r="Q3699" s="245"/>
      <c r="R3699" s="186" t="str">
        <f aca="false">+PROPER(C3699&amp;" "&amp;D3699)</f>
        <v> </v>
      </c>
      <c r="S3699" s="230" t="n">
        <f aca="false">+YEARFRAC(L3699,$S$1)</f>
        <v>126.366666666667</v>
      </c>
      <c r="T3699" s="230" t="n">
        <f aca="false">+YEARFRAC(M3699,$S$1)</f>
        <v>126.366666666667</v>
      </c>
      <c r="U3699" s="231" t="n">
        <f aca="false">+$I3699</f>
        <v>0</v>
      </c>
      <c r="V3699" s="232" t="str">
        <f aca="false">+PROPER(F3699)</f>
        <v/>
      </c>
    </row>
    <row r="3700" customFormat="false" ht="14.25" hidden="false" customHeight="false" outlineLevel="0" collapsed="false">
      <c r="B3700" s="244"/>
      <c r="C3700" s="245"/>
      <c r="D3700" s="245"/>
      <c r="E3700" s="246"/>
      <c r="F3700" s="246"/>
      <c r="G3700" s="225" t="e">
        <f aca="false">VLOOKUP(B3700,'NIVEL ENERO'!A:F,4,0)</f>
        <v>#N/A</v>
      </c>
      <c r="H3700" s="247"/>
      <c r="I3700" s="247"/>
      <c r="J3700" s="246"/>
      <c r="K3700" s="246"/>
      <c r="L3700" s="226"/>
      <c r="M3700" s="226"/>
      <c r="N3700" s="246"/>
      <c r="O3700" s="246"/>
      <c r="P3700" s="228"/>
      <c r="Q3700" s="245"/>
      <c r="R3700" s="186" t="str">
        <f aca="false">+PROPER(C3700&amp;" "&amp;D3700)</f>
        <v> </v>
      </c>
      <c r="S3700" s="230" t="n">
        <f aca="false">+YEARFRAC(L3700,$S$1)</f>
        <v>126.366666666667</v>
      </c>
      <c r="T3700" s="230" t="n">
        <f aca="false">+YEARFRAC(M3700,$S$1)</f>
        <v>126.366666666667</v>
      </c>
      <c r="U3700" s="231" t="n">
        <f aca="false">+$I3700</f>
        <v>0</v>
      </c>
      <c r="V3700" s="232" t="str">
        <f aca="false">+PROPER(F3700)</f>
        <v/>
      </c>
    </row>
    <row r="3701" customFormat="false" ht="14.25" hidden="false" customHeight="false" outlineLevel="0" collapsed="false">
      <c r="B3701" s="244"/>
      <c r="C3701" s="245"/>
      <c r="D3701" s="245"/>
      <c r="E3701" s="246"/>
      <c r="F3701" s="246"/>
      <c r="G3701" s="225" t="e">
        <f aca="false">VLOOKUP(B3701,'NIVEL ENERO'!A:F,4,0)</f>
        <v>#N/A</v>
      </c>
      <c r="H3701" s="247"/>
      <c r="I3701" s="247"/>
      <c r="J3701" s="246"/>
      <c r="K3701" s="246"/>
      <c r="L3701" s="226"/>
      <c r="M3701" s="226"/>
      <c r="N3701" s="246"/>
      <c r="O3701" s="246"/>
      <c r="P3701" s="228"/>
      <c r="Q3701" s="245"/>
      <c r="R3701" s="186" t="str">
        <f aca="false">+PROPER(C3701&amp;" "&amp;D3701)</f>
        <v> </v>
      </c>
      <c r="S3701" s="230" t="n">
        <f aca="false">+YEARFRAC(L3701,$S$1)</f>
        <v>126.366666666667</v>
      </c>
      <c r="T3701" s="230" t="n">
        <f aca="false">+YEARFRAC(M3701,$S$1)</f>
        <v>126.366666666667</v>
      </c>
      <c r="U3701" s="231" t="n">
        <f aca="false">+$I3701</f>
        <v>0</v>
      </c>
      <c r="V3701" s="232" t="str">
        <f aca="false">+PROPER(F3701)</f>
        <v/>
      </c>
    </row>
    <row r="3702" customFormat="false" ht="14.25" hidden="false" customHeight="false" outlineLevel="0" collapsed="false">
      <c r="B3702" s="244"/>
      <c r="C3702" s="245"/>
      <c r="D3702" s="245"/>
      <c r="E3702" s="246"/>
      <c r="F3702" s="246"/>
      <c r="G3702" s="225" t="e">
        <f aca="false">VLOOKUP(B3702,'NIVEL ENERO'!A:F,4,0)</f>
        <v>#N/A</v>
      </c>
      <c r="H3702" s="247"/>
      <c r="I3702" s="247"/>
      <c r="J3702" s="246"/>
      <c r="K3702" s="246"/>
      <c r="L3702" s="226"/>
      <c r="M3702" s="226"/>
      <c r="N3702" s="246"/>
      <c r="O3702" s="246"/>
      <c r="P3702" s="228"/>
      <c r="Q3702" s="245"/>
      <c r="R3702" s="186" t="str">
        <f aca="false">+PROPER(C3702&amp;" "&amp;D3702)</f>
        <v> </v>
      </c>
      <c r="S3702" s="230" t="n">
        <f aca="false">+YEARFRAC(L3702,$S$1)</f>
        <v>126.366666666667</v>
      </c>
      <c r="T3702" s="230" t="n">
        <f aca="false">+YEARFRAC(M3702,$S$1)</f>
        <v>126.366666666667</v>
      </c>
      <c r="U3702" s="231" t="n">
        <f aca="false">+$I3702</f>
        <v>0</v>
      </c>
      <c r="V3702" s="232" t="str">
        <f aca="false">+PROPER(F3702)</f>
        <v/>
      </c>
    </row>
    <row r="3703" customFormat="false" ht="14.25" hidden="false" customHeight="false" outlineLevel="0" collapsed="false">
      <c r="B3703" s="244"/>
      <c r="C3703" s="245"/>
      <c r="D3703" s="245"/>
      <c r="E3703" s="246"/>
      <c r="F3703" s="246"/>
      <c r="G3703" s="225" t="e">
        <f aca="false">VLOOKUP(B3703,'NIVEL ENERO'!A:F,4,0)</f>
        <v>#N/A</v>
      </c>
      <c r="H3703" s="247"/>
      <c r="I3703" s="247"/>
      <c r="J3703" s="246"/>
      <c r="K3703" s="246"/>
      <c r="L3703" s="226"/>
      <c r="M3703" s="226"/>
      <c r="N3703" s="246"/>
      <c r="O3703" s="246"/>
      <c r="P3703" s="228"/>
      <c r="Q3703" s="245"/>
      <c r="R3703" s="186" t="str">
        <f aca="false">+PROPER(C3703&amp;" "&amp;D3703)</f>
        <v> </v>
      </c>
      <c r="S3703" s="230" t="n">
        <f aca="false">+YEARFRAC(L3703,$S$1)</f>
        <v>126.366666666667</v>
      </c>
      <c r="T3703" s="230" t="n">
        <f aca="false">+YEARFRAC(M3703,$S$1)</f>
        <v>126.366666666667</v>
      </c>
      <c r="U3703" s="231" t="n">
        <f aca="false">+$I3703</f>
        <v>0</v>
      </c>
      <c r="V3703" s="232" t="str">
        <f aca="false">+PROPER(F3703)</f>
        <v/>
      </c>
    </row>
    <row r="3704" customFormat="false" ht="14.25" hidden="false" customHeight="false" outlineLevel="0" collapsed="false">
      <c r="B3704" s="244"/>
      <c r="C3704" s="245"/>
      <c r="D3704" s="245"/>
      <c r="E3704" s="246"/>
      <c r="F3704" s="246"/>
      <c r="G3704" s="225" t="e">
        <f aca="false">VLOOKUP(B3704,'NIVEL ENERO'!A:F,4,0)</f>
        <v>#N/A</v>
      </c>
      <c r="H3704" s="247"/>
      <c r="I3704" s="247"/>
      <c r="J3704" s="246"/>
      <c r="K3704" s="246"/>
      <c r="L3704" s="226"/>
      <c r="M3704" s="226"/>
      <c r="N3704" s="246"/>
      <c r="O3704" s="246"/>
      <c r="P3704" s="228"/>
      <c r="Q3704" s="245"/>
      <c r="R3704" s="186" t="str">
        <f aca="false">+PROPER(C3704&amp;" "&amp;D3704)</f>
        <v> </v>
      </c>
      <c r="S3704" s="230" t="n">
        <f aca="false">+YEARFRAC(L3704,$S$1)</f>
        <v>126.366666666667</v>
      </c>
      <c r="T3704" s="230" t="n">
        <f aca="false">+YEARFRAC(M3704,$S$1)</f>
        <v>126.366666666667</v>
      </c>
      <c r="U3704" s="231" t="n">
        <f aca="false">+$I3704</f>
        <v>0</v>
      </c>
      <c r="V3704" s="232" t="str">
        <f aca="false">+PROPER(F3704)</f>
        <v/>
      </c>
    </row>
    <row r="3705" customFormat="false" ht="14.25" hidden="false" customHeight="false" outlineLevel="0" collapsed="false">
      <c r="B3705" s="244"/>
      <c r="C3705" s="245"/>
      <c r="D3705" s="245"/>
      <c r="E3705" s="246"/>
      <c r="F3705" s="246"/>
      <c r="G3705" s="225" t="e">
        <f aca="false">VLOOKUP(B3705,'NIVEL ENERO'!A:F,4,0)</f>
        <v>#N/A</v>
      </c>
      <c r="H3705" s="247"/>
      <c r="I3705" s="247"/>
      <c r="J3705" s="246"/>
      <c r="K3705" s="246"/>
      <c r="L3705" s="226"/>
      <c r="M3705" s="226"/>
      <c r="N3705" s="246"/>
      <c r="O3705" s="246"/>
      <c r="P3705" s="228"/>
      <c r="Q3705" s="245"/>
      <c r="R3705" s="186" t="str">
        <f aca="false">+PROPER(C3705&amp;" "&amp;D3705)</f>
        <v> </v>
      </c>
      <c r="S3705" s="230" t="n">
        <f aca="false">+YEARFRAC(L3705,$S$1)</f>
        <v>126.366666666667</v>
      </c>
      <c r="T3705" s="230" t="n">
        <f aca="false">+YEARFRAC(M3705,$S$1)</f>
        <v>126.366666666667</v>
      </c>
      <c r="U3705" s="231" t="n">
        <f aca="false">+$I3705</f>
        <v>0</v>
      </c>
      <c r="V3705" s="232" t="str">
        <f aca="false">+PROPER(F3705)</f>
        <v/>
      </c>
    </row>
    <row r="3706" customFormat="false" ht="14.25" hidden="false" customHeight="false" outlineLevel="0" collapsed="false">
      <c r="B3706" s="244"/>
      <c r="C3706" s="245"/>
      <c r="D3706" s="245"/>
      <c r="E3706" s="246"/>
      <c r="F3706" s="246"/>
      <c r="G3706" s="225" t="e">
        <f aca="false">VLOOKUP(B3706,'NIVEL ENERO'!A:F,4,0)</f>
        <v>#N/A</v>
      </c>
      <c r="H3706" s="247"/>
      <c r="I3706" s="247"/>
      <c r="J3706" s="246"/>
      <c r="K3706" s="246"/>
      <c r="L3706" s="226"/>
      <c r="M3706" s="226"/>
      <c r="N3706" s="246"/>
      <c r="O3706" s="246"/>
      <c r="P3706" s="228"/>
      <c r="Q3706" s="245"/>
      <c r="R3706" s="186" t="str">
        <f aca="false">+PROPER(C3706&amp;" "&amp;D3706)</f>
        <v> </v>
      </c>
      <c r="S3706" s="230" t="n">
        <f aca="false">+YEARFRAC(L3706,$S$1)</f>
        <v>126.366666666667</v>
      </c>
      <c r="T3706" s="230" t="n">
        <f aca="false">+YEARFRAC(M3706,$S$1)</f>
        <v>126.366666666667</v>
      </c>
      <c r="U3706" s="231" t="n">
        <f aca="false">+$I3706</f>
        <v>0</v>
      </c>
      <c r="V3706" s="232" t="str">
        <f aca="false">+PROPER(F3706)</f>
        <v/>
      </c>
    </row>
    <row r="3707" customFormat="false" ht="14.25" hidden="false" customHeight="false" outlineLevel="0" collapsed="false">
      <c r="B3707" s="244"/>
      <c r="C3707" s="245"/>
      <c r="D3707" s="245"/>
      <c r="E3707" s="246"/>
      <c r="F3707" s="246"/>
      <c r="G3707" s="225" t="e">
        <f aca="false">VLOOKUP(B3707,'NIVEL ENERO'!A:F,4,0)</f>
        <v>#N/A</v>
      </c>
      <c r="H3707" s="247"/>
      <c r="I3707" s="247"/>
      <c r="J3707" s="246"/>
      <c r="K3707" s="246"/>
      <c r="L3707" s="226"/>
      <c r="M3707" s="226"/>
      <c r="N3707" s="246"/>
      <c r="O3707" s="246"/>
      <c r="P3707" s="228"/>
      <c r="Q3707" s="245"/>
      <c r="R3707" s="186" t="str">
        <f aca="false">+PROPER(C3707&amp;" "&amp;D3707)</f>
        <v> </v>
      </c>
      <c r="S3707" s="230" t="n">
        <f aca="false">+YEARFRAC(L3707,$S$1)</f>
        <v>126.366666666667</v>
      </c>
      <c r="T3707" s="230" t="n">
        <f aca="false">+YEARFRAC(M3707,$S$1)</f>
        <v>126.366666666667</v>
      </c>
      <c r="U3707" s="231" t="n">
        <f aca="false">+$I3707</f>
        <v>0</v>
      </c>
      <c r="V3707" s="232" t="str">
        <f aca="false">+PROPER(F3707)</f>
        <v/>
      </c>
    </row>
    <row r="3708" customFormat="false" ht="14.25" hidden="false" customHeight="false" outlineLevel="0" collapsed="false">
      <c r="B3708" s="244"/>
      <c r="C3708" s="245"/>
      <c r="D3708" s="245"/>
      <c r="E3708" s="246"/>
      <c r="F3708" s="246"/>
      <c r="G3708" s="225" t="e">
        <f aca="false">VLOOKUP(B3708,'NIVEL ENERO'!A:F,4,0)</f>
        <v>#N/A</v>
      </c>
      <c r="H3708" s="247"/>
      <c r="I3708" s="247"/>
      <c r="J3708" s="246"/>
      <c r="K3708" s="246"/>
      <c r="L3708" s="226"/>
      <c r="M3708" s="226"/>
      <c r="N3708" s="246"/>
      <c r="O3708" s="246"/>
      <c r="P3708" s="228"/>
      <c r="Q3708" s="245"/>
      <c r="R3708" s="186" t="str">
        <f aca="false">+PROPER(C3708&amp;" "&amp;D3708)</f>
        <v> </v>
      </c>
      <c r="S3708" s="230" t="n">
        <f aca="false">+YEARFRAC(L3708,$S$1)</f>
        <v>126.366666666667</v>
      </c>
      <c r="T3708" s="230" t="n">
        <f aca="false">+YEARFRAC(M3708,$S$1)</f>
        <v>126.366666666667</v>
      </c>
      <c r="U3708" s="231" t="n">
        <f aca="false">+$I3708</f>
        <v>0</v>
      </c>
      <c r="V3708" s="232" t="str">
        <f aca="false">+PROPER(F3708)</f>
        <v/>
      </c>
    </row>
    <row r="3709" customFormat="false" ht="14.25" hidden="false" customHeight="false" outlineLevel="0" collapsed="false">
      <c r="B3709" s="244"/>
      <c r="C3709" s="245"/>
      <c r="D3709" s="245"/>
      <c r="E3709" s="246"/>
      <c r="F3709" s="246"/>
      <c r="G3709" s="225" t="e">
        <f aca="false">VLOOKUP(B3709,'NIVEL ENERO'!A:F,4,0)</f>
        <v>#N/A</v>
      </c>
      <c r="H3709" s="247"/>
      <c r="I3709" s="247"/>
      <c r="J3709" s="246"/>
      <c r="K3709" s="246"/>
      <c r="L3709" s="226"/>
      <c r="M3709" s="226"/>
      <c r="N3709" s="246"/>
      <c r="O3709" s="246"/>
      <c r="P3709" s="228"/>
      <c r="Q3709" s="245"/>
      <c r="R3709" s="186" t="str">
        <f aca="false">+PROPER(C3709&amp;" "&amp;D3709)</f>
        <v> </v>
      </c>
      <c r="S3709" s="230" t="n">
        <f aca="false">+YEARFRAC(L3709,$S$1)</f>
        <v>126.366666666667</v>
      </c>
      <c r="T3709" s="230" t="n">
        <f aca="false">+YEARFRAC(M3709,$S$1)</f>
        <v>126.366666666667</v>
      </c>
      <c r="U3709" s="231" t="n">
        <f aca="false">+$I3709</f>
        <v>0</v>
      </c>
      <c r="V3709" s="232" t="str">
        <f aca="false">+PROPER(F3709)</f>
        <v/>
      </c>
    </row>
    <row r="3710" customFormat="false" ht="14.25" hidden="false" customHeight="false" outlineLevel="0" collapsed="false">
      <c r="B3710" s="244"/>
      <c r="C3710" s="245"/>
      <c r="D3710" s="245"/>
      <c r="E3710" s="246"/>
      <c r="F3710" s="246"/>
      <c r="G3710" s="225" t="e">
        <f aca="false">VLOOKUP(B3710,'NIVEL ENERO'!A:F,4,0)</f>
        <v>#N/A</v>
      </c>
      <c r="H3710" s="247"/>
      <c r="I3710" s="247"/>
      <c r="J3710" s="246"/>
      <c r="K3710" s="246"/>
      <c r="L3710" s="226"/>
      <c r="M3710" s="226"/>
      <c r="N3710" s="246"/>
      <c r="O3710" s="246"/>
      <c r="P3710" s="228"/>
      <c r="Q3710" s="245"/>
      <c r="R3710" s="186" t="str">
        <f aca="false">+PROPER(C3710&amp;" "&amp;D3710)</f>
        <v> </v>
      </c>
      <c r="S3710" s="230" t="n">
        <f aca="false">+YEARFRAC(L3710,$S$1)</f>
        <v>126.366666666667</v>
      </c>
      <c r="T3710" s="230" t="n">
        <f aca="false">+YEARFRAC(M3710,$S$1)</f>
        <v>126.366666666667</v>
      </c>
      <c r="U3710" s="231" t="n">
        <f aca="false">+$I3710</f>
        <v>0</v>
      </c>
      <c r="V3710" s="232" t="str">
        <f aca="false">+PROPER(F3710)</f>
        <v/>
      </c>
    </row>
    <row r="3711" customFormat="false" ht="14.25" hidden="false" customHeight="false" outlineLevel="0" collapsed="false">
      <c r="B3711" s="244"/>
      <c r="C3711" s="245"/>
      <c r="D3711" s="245"/>
      <c r="E3711" s="246"/>
      <c r="F3711" s="246"/>
      <c r="G3711" s="225" t="e">
        <f aca="false">VLOOKUP(B3711,'NIVEL ENERO'!A:F,4,0)</f>
        <v>#N/A</v>
      </c>
      <c r="H3711" s="247"/>
      <c r="I3711" s="247"/>
      <c r="J3711" s="246"/>
      <c r="K3711" s="246"/>
      <c r="L3711" s="226"/>
      <c r="M3711" s="226"/>
      <c r="N3711" s="246"/>
      <c r="O3711" s="246"/>
      <c r="P3711" s="228"/>
      <c r="Q3711" s="245"/>
      <c r="R3711" s="186" t="str">
        <f aca="false">+PROPER(C3711&amp;" "&amp;D3711)</f>
        <v> </v>
      </c>
      <c r="S3711" s="230" t="n">
        <f aca="false">+YEARFRAC(L3711,$S$1)</f>
        <v>126.366666666667</v>
      </c>
      <c r="T3711" s="230" t="n">
        <f aca="false">+YEARFRAC(M3711,$S$1)</f>
        <v>126.366666666667</v>
      </c>
      <c r="U3711" s="231" t="n">
        <f aca="false">+$I3711</f>
        <v>0</v>
      </c>
      <c r="V3711" s="232" t="str">
        <f aca="false">+PROPER(F3711)</f>
        <v/>
      </c>
    </row>
    <row r="3712" customFormat="false" ht="14.25" hidden="false" customHeight="false" outlineLevel="0" collapsed="false">
      <c r="B3712" s="244"/>
      <c r="C3712" s="245"/>
      <c r="D3712" s="245"/>
      <c r="E3712" s="246"/>
      <c r="F3712" s="246"/>
      <c r="G3712" s="225" t="e">
        <f aca="false">VLOOKUP(B3712,'NIVEL ENERO'!A:F,4,0)</f>
        <v>#N/A</v>
      </c>
      <c r="H3712" s="247"/>
      <c r="I3712" s="247"/>
      <c r="J3712" s="246"/>
      <c r="K3712" s="246"/>
      <c r="L3712" s="226"/>
      <c r="M3712" s="226"/>
      <c r="N3712" s="246"/>
      <c r="O3712" s="246"/>
      <c r="P3712" s="228"/>
      <c r="Q3712" s="245"/>
      <c r="R3712" s="186" t="str">
        <f aca="false">+PROPER(C3712&amp;" "&amp;D3712)</f>
        <v> </v>
      </c>
      <c r="S3712" s="230" t="n">
        <f aca="false">+YEARFRAC(L3712,$S$1)</f>
        <v>126.366666666667</v>
      </c>
      <c r="T3712" s="230" t="n">
        <f aca="false">+YEARFRAC(M3712,$S$1)</f>
        <v>126.366666666667</v>
      </c>
      <c r="U3712" s="231" t="n">
        <f aca="false">+$I3712</f>
        <v>0</v>
      </c>
      <c r="V3712" s="232" t="str">
        <f aca="false">+PROPER(F3712)</f>
        <v/>
      </c>
    </row>
    <row r="3713" customFormat="false" ht="14.25" hidden="false" customHeight="false" outlineLevel="0" collapsed="false">
      <c r="B3713" s="244"/>
      <c r="C3713" s="245"/>
      <c r="D3713" s="245"/>
      <c r="E3713" s="246"/>
      <c r="F3713" s="246"/>
      <c r="G3713" s="225" t="e">
        <f aca="false">VLOOKUP(B3713,'NIVEL ENERO'!A:F,4,0)</f>
        <v>#N/A</v>
      </c>
      <c r="H3713" s="247"/>
      <c r="I3713" s="247"/>
      <c r="J3713" s="246"/>
      <c r="K3713" s="246"/>
      <c r="L3713" s="226"/>
      <c r="M3713" s="226"/>
      <c r="N3713" s="246"/>
      <c r="O3713" s="246"/>
      <c r="P3713" s="228"/>
      <c r="Q3713" s="245"/>
      <c r="R3713" s="186" t="str">
        <f aca="false">+PROPER(C3713&amp;" "&amp;D3713)</f>
        <v> </v>
      </c>
      <c r="S3713" s="230" t="n">
        <f aca="false">+YEARFRAC(L3713,$S$1)</f>
        <v>126.366666666667</v>
      </c>
      <c r="T3713" s="230" t="n">
        <f aca="false">+YEARFRAC(M3713,$S$1)</f>
        <v>126.366666666667</v>
      </c>
      <c r="U3713" s="231" t="n">
        <f aca="false">+$I3713</f>
        <v>0</v>
      </c>
      <c r="V3713" s="232" t="str">
        <f aca="false">+PROPER(F3713)</f>
        <v/>
      </c>
    </row>
    <row r="3714" customFormat="false" ht="14.25" hidden="false" customHeight="false" outlineLevel="0" collapsed="false">
      <c r="B3714" s="244"/>
      <c r="C3714" s="245"/>
      <c r="D3714" s="245"/>
      <c r="E3714" s="246"/>
      <c r="F3714" s="246"/>
      <c r="G3714" s="225" t="e">
        <f aca="false">VLOOKUP(B3714,'NIVEL ENERO'!A:F,4,0)</f>
        <v>#N/A</v>
      </c>
      <c r="H3714" s="247"/>
      <c r="I3714" s="247"/>
      <c r="J3714" s="246"/>
      <c r="K3714" s="246"/>
      <c r="L3714" s="226"/>
      <c r="M3714" s="226"/>
      <c r="N3714" s="246"/>
      <c r="O3714" s="246"/>
      <c r="P3714" s="228"/>
      <c r="Q3714" s="245"/>
      <c r="R3714" s="186" t="str">
        <f aca="false">+PROPER(C3714&amp;" "&amp;D3714)</f>
        <v> </v>
      </c>
      <c r="S3714" s="230" t="n">
        <f aca="false">+YEARFRAC(L3714,$S$1)</f>
        <v>126.366666666667</v>
      </c>
      <c r="T3714" s="230" t="n">
        <f aca="false">+YEARFRAC(M3714,$S$1)</f>
        <v>126.366666666667</v>
      </c>
      <c r="U3714" s="231" t="n">
        <f aca="false">+$I3714</f>
        <v>0</v>
      </c>
      <c r="V3714" s="232" t="str">
        <f aca="false">+PROPER(F3714)</f>
        <v/>
      </c>
    </row>
    <row r="3715" customFormat="false" ht="14.25" hidden="false" customHeight="false" outlineLevel="0" collapsed="false">
      <c r="B3715" s="244"/>
      <c r="C3715" s="245"/>
      <c r="D3715" s="245"/>
      <c r="E3715" s="246"/>
      <c r="F3715" s="246"/>
      <c r="G3715" s="225" t="e">
        <f aca="false">VLOOKUP(B3715,'NIVEL ENERO'!A:F,4,0)</f>
        <v>#N/A</v>
      </c>
      <c r="H3715" s="247"/>
      <c r="I3715" s="247"/>
      <c r="J3715" s="246"/>
      <c r="K3715" s="246"/>
      <c r="L3715" s="226"/>
      <c r="M3715" s="226"/>
      <c r="N3715" s="246"/>
      <c r="O3715" s="246"/>
      <c r="P3715" s="228"/>
      <c r="Q3715" s="245"/>
      <c r="R3715" s="186" t="str">
        <f aca="false">+PROPER(C3715&amp;" "&amp;D3715)</f>
        <v> </v>
      </c>
      <c r="S3715" s="230" t="n">
        <f aca="false">+YEARFRAC(L3715,$S$1)</f>
        <v>126.366666666667</v>
      </c>
      <c r="T3715" s="230" t="n">
        <f aca="false">+YEARFRAC(M3715,$S$1)</f>
        <v>126.366666666667</v>
      </c>
      <c r="U3715" s="231" t="n">
        <f aca="false">+$I3715</f>
        <v>0</v>
      </c>
      <c r="V3715" s="232" t="str">
        <f aca="false">+PROPER(F3715)</f>
        <v/>
      </c>
    </row>
    <row r="3716" customFormat="false" ht="14.25" hidden="false" customHeight="false" outlineLevel="0" collapsed="false">
      <c r="B3716" s="244"/>
      <c r="C3716" s="245"/>
      <c r="D3716" s="245"/>
      <c r="E3716" s="246"/>
      <c r="F3716" s="246"/>
      <c r="G3716" s="225" t="e">
        <f aca="false">VLOOKUP(B3716,'NIVEL ENERO'!A:F,4,0)</f>
        <v>#N/A</v>
      </c>
      <c r="H3716" s="247"/>
      <c r="I3716" s="247"/>
      <c r="J3716" s="246"/>
      <c r="K3716" s="246"/>
      <c r="L3716" s="226"/>
      <c r="M3716" s="226"/>
      <c r="N3716" s="246"/>
      <c r="O3716" s="246"/>
      <c r="P3716" s="228"/>
      <c r="Q3716" s="245"/>
      <c r="R3716" s="186" t="str">
        <f aca="false">+PROPER(C3716&amp;" "&amp;D3716)</f>
        <v> </v>
      </c>
      <c r="S3716" s="230" t="n">
        <f aca="false">+YEARFRAC(L3716,$S$1)</f>
        <v>126.366666666667</v>
      </c>
      <c r="T3716" s="230" t="n">
        <f aca="false">+YEARFRAC(M3716,$S$1)</f>
        <v>126.366666666667</v>
      </c>
      <c r="U3716" s="231" t="n">
        <f aca="false">+$I3716</f>
        <v>0</v>
      </c>
      <c r="V3716" s="232" t="str">
        <f aca="false">+PROPER(F3716)</f>
        <v/>
      </c>
    </row>
    <row r="3717" customFormat="false" ht="14.25" hidden="false" customHeight="false" outlineLevel="0" collapsed="false">
      <c r="B3717" s="244"/>
      <c r="C3717" s="245"/>
      <c r="D3717" s="245"/>
      <c r="E3717" s="246"/>
      <c r="F3717" s="246"/>
      <c r="G3717" s="225" t="e">
        <f aca="false">VLOOKUP(B3717,'NIVEL ENERO'!A:F,4,0)</f>
        <v>#N/A</v>
      </c>
      <c r="H3717" s="247"/>
      <c r="I3717" s="247"/>
      <c r="J3717" s="246"/>
      <c r="K3717" s="246"/>
      <c r="L3717" s="226"/>
      <c r="M3717" s="226"/>
      <c r="N3717" s="246"/>
      <c r="O3717" s="246"/>
      <c r="P3717" s="228"/>
      <c r="Q3717" s="245"/>
      <c r="R3717" s="186" t="str">
        <f aca="false">+PROPER(C3717&amp;" "&amp;D3717)</f>
        <v> </v>
      </c>
      <c r="S3717" s="230" t="n">
        <f aca="false">+YEARFRAC(L3717,$S$1)</f>
        <v>126.366666666667</v>
      </c>
      <c r="T3717" s="230" t="n">
        <f aca="false">+YEARFRAC(M3717,$S$1)</f>
        <v>126.366666666667</v>
      </c>
      <c r="U3717" s="231" t="n">
        <f aca="false">+$I3717</f>
        <v>0</v>
      </c>
      <c r="V3717" s="232" t="str">
        <f aca="false">+PROPER(F3717)</f>
        <v/>
      </c>
    </row>
    <row r="3718" customFormat="false" ht="14.25" hidden="false" customHeight="false" outlineLevel="0" collapsed="false">
      <c r="B3718" s="244"/>
      <c r="C3718" s="245"/>
      <c r="D3718" s="245"/>
      <c r="E3718" s="246"/>
      <c r="F3718" s="246"/>
      <c r="G3718" s="225" t="e">
        <f aca="false">VLOOKUP(B3718,'NIVEL ENERO'!A:F,4,0)</f>
        <v>#N/A</v>
      </c>
      <c r="H3718" s="247"/>
      <c r="I3718" s="247"/>
      <c r="J3718" s="246"/>
      <c r="K3718" s="246"/>
      <c r="L3718" s="226"/>
      <c r="M3718" s="226"/>
      <c r="N3718" s="246"/>
      <c r="O3718" s="246"/>
      <c r="P3718" s="228"/>
      <c r="Q3718" s="245"/>
      <c r="R3718" s="186" t="str">
        <f aca="false">+PROPER(C3718&amp;" "&amp;D3718)</f>
        <v> </v>
      </c>
      <c r="S3718" s="230" t="n">
        <f aca="false">+YEARFRAC(L3718,$S$1)</f>
        <v>126.366666666667</v>
      </c>
      <c r="T3718" s="230" t="n">
        <f aca="false">+YEARFRAC(M3718,$S$1)</f>
        <v>126.366666666667</v>
      </c>
      <c r="U3718" s="231" t="n">
        <f aca="false">+$I3718</f>
        <v>0</v>
      </c>
      <c r="V3718" s="232" t="str">
        <f aca="false">+PROPER(F3718)</f>
        <v/>
      </c>
    </row>
    <row r="3719" customFormat="false" ht="14.25" hidden="false" customHeight="false" outlineLevel="0" collapsed="false">
      <c r="B3719" s="244"/>
      <c r="C3719" s="245"/>
      <c r="D3719" s="245"/>
      <c r="E3719" s="246"/>
      <c r="F3719" s="246"/>
      <c r="G3719" s="225" t="e">
        <f aca="false">VLOOKUP(B3719,'NIVEL ENERO'!A:F,4,0)</f>
        <v>#N/A</v>
      </c>
      <c r="H3719" s="247"/>
      <c r="I3719" s="247"/>
      <c r="J3719" s="246"/>
      <c r="K3719" s="246"/>
      <c r="L3719" s="226"/>
      <c r="M3719" s="226"/>
      <c r="N3719" s="246"/>
      <c r="O3719" s="246"/>
      <c r="P3719" s="228"/>
      <c r="Q3719" s="245"/>
      <c r="R3719" s="186" t="str">
        <f aca="false">+PROPER(C3719&amp;" "&amp;D3719)</f>
        <v> </v>
      </c>
      <c r="S3719" s="230" t="n">
        <f aca="false">+YEARFRAC(L3719,$S$1)</f>
        <v>126.366666666667</v>
      </c>
      <c r="T3719" s="230" t="n">
        <f aca="false">+YEARFRAC(M3719,$S$1)</f>
        <v>126.366666666667</v>
      </c>
      <c r="U3719" s="231" t="n">
        <f aca="false">+$I3719</f>
        <v>0</v>
      </c>
      <c r="V3719" s="232" t="str">
        <f aca="false">+PROPER(F3719)</f>
        <v/>
      </c>
    </row>
    <row r="3720" customFormat="false" ht="14.25" hidden="false" customHeight="false" outlineLevel="0" collapsed="false">
      <c r="B3720" s="244"/>
      <c r="C3720" s="245"/>
      <c r="D3720" s="245"/>
      <c r="E3720" s="246"/>
      <c r="F3720" s="246"/>
      <c r="G3720" s="225" t="e">
        <f aca="false">VLOOKUP(B3720,'NIVEL ENERO'!A:F,4,0)</f>
        <v>#N/A</v>
      </c>
      <c r="H3720" s="247"/>
      <c r="I3720" s="247"/>
      <c r="J3720" s="246"/>
      <c r="K3720" s="246"/>
      <c r="L3720" s="226"/>
      <c r="M3720" s="226"/>
      <c r="N3720" s="246"/>
      <c r="O3720" s="246"/>
      <c r="P3720" s="228"/>
      <c r="Q3720" s="245"/>
      <c r="R3720" s="186" t="str">
        <f aca="false">+PROPER(C3720&amp;" "&amp;D3720)</f>
        <v> </v>
      </c>
      <c r="S3720" s="230" t="n">
        <f aca="false">+YEARFRAC(L3720,$S$1)</f>
        <v>126.366666666667</v>
      </c>
      <c r="T3720" s="230" t="n">
        <f aca="false">+YEARFRAC(M3720,$S$1)</f>
        <v>126.366666666667</v>
      </c>
      <c r="U3720" s="231" t="n">
        <f aca="false">+$I3720</f>
        <v>0</v>
      </c>
      <c r="V3720" s="232" t="str">
        <f aca="false">+PROPER(F3720)</f>
        <v/>
      </c>
    </row>
    <row r="3721" customFormat="false" ht="14.25" hidden="false" customHeight="false" outlineLevel="0" collapsed="false">
      <c r="B3721" s="244"/>
      <c r="C3721" s="245"/>
      <c r="D3721" s="245"/>
      <c r="E3721" s="246"/>
      <c r="F3721" s="246"/>
      <c r="G3721" s="225" t="e">
        <f aca="false">VLOOKUP(B3721,'NIVEL ENERO'!A:F,4,0)</f>
        <v>#N/A</v>
      </c>
      <c r="H3721" s="247"/>
      <c r="I3721" s="247"/>
      <c r="J3721" s="246"/>
      <c r="K3721" s="246"/>
      <c r="L3721" s="226"/>
      <c r="M3721" s="226"/>
      <c r="N3721" s="246"/>
      <c r="O3721" s="246"/>
      <c r="P3721" s="228"/>
      <c r="Q3721" s="245"/>
      <c r="R3721" s="186" t="str">
        <f aca="false">+PROPER(C3721&amp;" "&amp;D3721)</f>
        <v> </v>
      </c>
      <c r="S3721" s="230" t="n">
        <f aca="false">+YEARFRAC(L3721,$S$1)</f>
        <v>126.366666666667</v>
      </c>
      <c r="T3721" s="230" t="n">
        <f aca="false">+YEARFRAC(M3721,$S$1)</f>
        <v>126.366666666667</v>
      </c>
      <c r="U3721" s="231" t="n">
        <f aca="false">+$I3721</f>
        <v>0</v>
      </c>
      <c r="V3721" s="232" t="str">
        <f aca="false">+PROPER(F3721)</f>
        <v/>
      </c>
    </row>
    <row r="3722" customFormat="false" ht="14.25" hidden="false" customHeight="false" outlineLevel="0" collapsed="false">
      <c r="B3722" s="244"/>
      <c r="C3722" s="245"/>
      <c r="D3722" s="245"/>
      <c r="E3722" s="246"/>
      <c r="F3722" s="246"/>
      <c r="G3722" s="225" t="e">
        <f aca="false">VLOOKUP(B3722,'NIVEL ENERO'!A:F,4,0)</f>
        <v>#N/A</v>
      </c>
      <c r="H3722" s="247"/>
      <c r="I3722" s="247"/>
      <c r="J3722" s="246"/>
      <c r="K3722" s="246"/>
      <c r="L3722" s="226"/>
      <c r="M3722" s="226"/>
      <c r="N3722" s="246"/>
      <c r="O3722" s="246"/>
      <c r="P3722" s="228"/>
      <c r="Q3722" s="245"/>
      <c r="R3722" s="186" t="str">
        <f aca="false">+PROPER(C3722&amp;" "&amp;D3722)</f>
        <v> </v>
      </c>
      <c r="S3722" s="230" t="n">
        <f aca="false">+YEARFRAC(L3722,$S$1)</f>
        <v>126.366666666667</v>
      </c>
      <c r="T3722" s="230" t="n">
        <f aca="false">+YEARFRAC(M3722,$S$1)</f>
        <v>126.366666666667</v>
      </c>
      <c r="U3722" s="231" t="n">
        <f aca="false">+$I3722</f>
        <v>0</v>
      </c>
      <c r="V3722" s="232" t="str">
        <f aca="false">+PROPER(F3722)</f>
        <v/>
      </c>
    </row>
    <row r="3723" customFormat="false" ht="14.25" hidden="false" customHeight="false" outlineLevel="0" collapsed="false">
      <c r="B3723" s="244"/>
      <c r="C3723" s="245"/>
      <c r="D3723" s="245"/>
      <c r="E3723" s="246"/>
      <c r="F3723" s="246"/>
      <c r="G3723" s="225" t="e">
        <f aca="false">VLOOKUP(B3723,'NIVEL ENERO'!A:F,4,0)</f>
        <v>#N/A</v>
      </c>
      <c r="H3723" s="247"/>
      <c r="I3723" s="247"/>
      <c r="J3723" s="246"/>
      <c r="K3723" s="246"/>
      <c r="L3723" s="226"/>
      <c r="M3723" s="226"/>
      <c r="N3723" s="246"/>
      <c r="O3723" s="246"/>
      <c r="P3723" s="228"/>
      <c r="Q3723" s="245"/>
      <c r="R3723" s="186" t="str">
        <f aca="false">+PROPER(C3723&amp;" "&amp;D3723)</f>
        <v> </v>
      </c>
      <c r="S3723" s="230" t="n">
        <f aca="false">+YEARFRAC(L3723,$S$1)</f>
        <v>126.366666666667</v>
      </c>
      <c r="T3723" s="230" t="n">
        <f aca="false">+YEARFRAC(M3723,$S$1)</f>
        <v>126.366666666667</v>
      </c>
      <c r="U3723" s="231" t="n">
        <f aca="false">+$I3723</f>
        <v>0</v>
      </c>
      <c r="V3723" s="232" t="str">
        <f aca="false">+PROPER(F3723)</f>
        <v/>
      </c>
    </row>
    <row r="3724" customFormat="false" ht="14.25" hidden="false" customHeight="false" outlineLevel="0" collapsed="false">
      <c r="B3724" s="244"/>
      <c r="C3724" s="245"/>
      <c r="D3724" s="245"/>
      <c r="E3724" s="246"/>
      <c r="F3724" s="246"/>
      <c r="G3724" s="225" t="e">
        <f aca="false">VLOOKUP(B3724,'NIVEL ENERO'!A:F,4,0)</f>
        <v>#N/A</v>
      </c>
      <c r="H3724" s="247"/>
      <c r="I3724" s="247"/>
      <c r="J3724" s="246"/>
      <c r="K3724" s="246"/>
      <c r="L3724" s="226"/>
      <c r="M3724" s="226"/>
      <c r="N3724" s="246"/>
      <c r="O3724" s="246"/>
      <c r="P3724" s="228"/>
      <c r="Q3724" s="245"/>
      <c r="R3724" s="186" t="str">
        <f aca="false">+PROPER(C3724&amp;" "&amp;D3724)</f>
        <v> </v>
      </c>
      <c r="S3724" s="230" t="n">
        <f aca="false">+YEARFRAC(L3724,$S$1)</f>
        <v>126.366666666667</v>
      </c>
      <c r="T3724" s="230" t="n">
        <f aca="false">+YEARFRAC(M3724,$S$1)</f>
        <v>126.366666666667</v>
      </c>
      <c r="U3724" s="231" t="n">
        <f aca="false">+$I3724</f>
        <v>0</v>
      </c>
      <c r="V3724" s="232" t="str">
        <f aca="false">+PROPER(F3724)</f>
        <v/>
      </c>
    </row>
    <row r="3725" customFormat="false" ht="14.25" hidden="false" customHeight="false" outlineLevel="0" collapsed="false">
      <c r="B3725" s="244"/>
      <c r="C3725" s="245"/>
      <c r="D3725" s="245"/>
      <c r="E3725" s="246"/>
      <c r="F3725" s="246"/>
      <c r="G3725" s="225" t="e">
        <f aca="false">VLOOKUP(B3725,'NIVEL ENERO'!A:F,4,0)</f>
        <v>#N/A</v>
      </c>
      <c r="H3725" s="247"/>
      <c r="I3725" s="247"/>
      <c r="J3725" s="246"/>
      <c r="K3725" s="246"/>
      <c r="L3725" s="226"/>
      <c r="M3725" s="226"/>
      <c r="N3725" s="246"/>
      <c r="O3725" s="246"/>
      <c r="P3725" s="228"/>
      <c r="Q3725" s="245"/>
      <c r="R3725" s="186" t="str">
        <f aca="false">+PROPER(C3725&amp;" "&amp;D3725)</f>
        <v> </v>
      </c>
      <c r="S3725" s="230" t="n">
        <f aca="false">+YEARFRAC(L3725,$S$1)</f>
        <v>126.366666666667</v>
      </c>
      <c r="T3725" s="230" t="n">
        <f aca="false">+YEARFRAC(M3725,$S$1)</f>
        <v>126.366666666667</v>
      </c>
      <c r="U3725" s="231" t="n">
        <f aca="false">+$I3725</f>
        <v>0</v>
      </c>
      <c r="V3725" s="232" t="str">
        <f aca="false">+PROPER(F3725)</f>
        <v/>
      </c>
    </row>
    <row r="3726" customFormat="false" ht="14.25" hidden="false" customHeight="false" outlineLevel="0" collapsed="false">
      <c r="B3726" s="244"/>
      <c r="C3726" s="245"/>
      <c r="D3726" s="245"/>
      <c r="E3726" s="246"/>
      <c r="F3726" s="246"/>
      <c r="G3726" s="225" t="e">
        <f aca="false">VLOOKUP(B3726,'NIVEL ENERO'!A:F,4,0)</f>
        <v>#N/A</v>
      </c>
      <c r="H3726" s="247"/>
      <c r="I3726" s="247"/>
      <c r="J3726" s="246"/>
      <c r="K3726" s="246"/>
      <c r="L3726" s="226"/>
      <c r="M3726" s="226"/>
      <c r="N3726" s="246"/>
      <c r="O3726" s="246"/>
      <c r="P3726" s="228"/>
      <c r="Q3726" s="245"/>
      <c r="R3726" s="186" t="str">
        <f aca="false">+PROPER(C3726&amp;" "&amp;D3726)</f>
        <v> </v>
      </c>
      <c r="S3726" s="230" t="n">
        <f aca="false">+YEARFRAC(L3726,$S$1)</f>
        <v>126.366666666667</v>
      </c>
      <c r="T3726" s="230" t="n">
        <f aca="false">+YEARFRAC(M3726,$S$1)</f>
        <v>126.366666666667</v>
      </c>
      <c r="U3726" s="231" t="n">
        <f aca="false">+$I3726</f>
        <v>0</v>
      </c>
      <c r="V3726" s="232" t="str">
        <f aca="false">+PROPER(F3726)</f>
        <v/>
      </c>
    </row>
    <row r="3727" customFormat="false" ht="14.25" hidden="false" customHeight="false" outlineLevel="0" collapsed="false">
      <c r="B3727" s="244"/>
      <c r="C3727" s="245"/>
      <c r="D3727" s="245"/>
      <c r="E3727" s="246"/>
      <c r="F3727" s="246"/>
      <c r="G3727" s="225" t="e">
        <f aca="false">VLOOKUP(B3727,'NIVEL ENERO'!A:F,4,0)</f>
        <v>#N/A</v>
      </c>
      <c r="H3727" s="247"/>
      <c r="I3727" s="247"/>
      <c r="J3727" s="246"/>
      <c r="K3727" s="246"/>
      <c r="L3727" s="226"/>
      <c r="M3727" s="226"/>
      <c r="N3727" s="246"/>
      <c r="O3727" s="246"/>
      <c r="P3727" s="228"/>
      <c r="Q3727" s="245"/>
      <c r="R3727" s="186" t="str">
        <f aca="false">+PROPER(C3727&amp;" "&amp;D3727)</f>
        <v> </v>
      </c>
      <c r="S3727" s="230" t="n">
        <f aca="false">+YEARFRAC(L3727,$S$1)</f>
        <v>126.366666666667</v>
      </c>
      <c r="T3727" s="230" t="n">
        <f aca="false">+YEARFRAC(M3727,$S$1)</f>
        <v>126.366666666667</v>
      </c>
      <c r="U3727" s="231" t="n">
        <f aca="false">+$I3727</f>
        <v>0</v>
      </c>
      <c r="V3727" s="232" t="str">
        <f aca="false">+PROPER(F3727)</f>
        <v/>
      </c>
    </row>
    <row r="3728" customFormat="false" ht="14.25" hidden="false" customHeight="false" outlineLevel="0" collapsed="false">
      <c r="B3728" s="244"/>
      <c r="C3728" s="245"/>
      <c r="D3728" s="245"/>
      <c r="E3728" s="246"/>
      <c r="F3728" s="246"/>
      <c r="G3728" s="225" t="e">
        <f aca="false">VLOOKUP(B3728,'NIVEL ENERO'!A:F,4,0)</f>
        <v>#N/A</v>
      </c>
      <c r="H3728" s="247"/>
      <c r="I3728" s="247"/>
      <c r="J3728" s="246"/>
      <c r="K3728" s="246"/>
      <c r="L3728" s="226"/>
      <c r="M3728" s="226"/>
      <c r="N3728" s="246"/>
      <c r="O3728" s="246"/>
      <c r="P3728" s="228"/>
      <c r="Q3728" s="245"/>
      <c r="R3728" s="186" t="str">
        <f aca="false">+PROPER(C3728&amp;" "&amp;D3728)</f>
        <v> </v>
      </c>
      <c r="S3728" s="230" t="n">
        <f aca="false">+YEARFRAC(L3728,$S$1)</f>
        <v>126.366666666667</v>
      </c>
      <c r="T3728" s="230" t="n">
        <f aca="false">+YEARFRAC(M3728,$S$1)</f>
        <v>126.366666666667</v>
      </c>
      <c r="U3728" s="231" t="n">
        <f aca="false">+$I3728</f>
        <v>0</v>
      </c>
      <c r="V3728" s="232" t="str">
        <f aca="false">+PROPER(F3728)</f>
        <v/>
      </c>
    </row>
    <row r="3729" customFormat="false" ht="14.25" hidden="false" customHeight="false" outlineLevel="0" collapsed="false">
      <c r="B3729" s="244"/>
      <c r="C3729" s="245"/>
      <c r="D3729" s="245"/>
      <c r="E3729" s="246"/>
      <c r="F3729" s="246"/>
      <c r="G3729" s="225" t="e">
        <f aca="false">VLOOKUP(B3729,'NIVEL ENERO'!A:F,4,0)</f>
        <v>#N/A</v>
      </c>
      <c r="H3729" s="247"/>
      <c r="I3729" s="247"/>
      <c r="J3729" s="246"/>
      <c r="K3729" s="246"/>
      <c r="L3729" s="226"/>
      <c r="M3729" s="226"/>
      <c r="N3729" s="246"/>
      <c r="O3729" s="246"/>
      <c r="P3729" s="228"/>
      <c r="Q3729" s="245"/>
      <c r="R3729" s="186" t="str">
        <f aca="false">+PROPER(C3729&amp;" "&amp;D3729)</f>
        <v> </v>
      </c>
      <c r="S3729" s="230" t="n">
        <f aca="false">+YEARFRAC(L3729,$S$1)</f>
        <v>126.366666666667</v>
      </c>
      <c r="T3729" s="230" t="n">
        <f aca="false">+YEARFRAC(M3729,$S$1)</f>
        <v>126.366666666667</v>
      </c>
      <c r="U3729" s="231" t="n">
        <f aca="false">+$I3729</f>
        <v>0</v>
      </c>
      <c r="V3729" s="232" t="str">
        <f aca="false">+PROPER(F3729)</f>
        <v/>
      </c>
    </row>
    <row r="3730" customFormat="false" ht="14.25" hidden="false" customHeight="false" outlineLevel="0" collapsed="false">
      <c r="B3730" s="244"/>
      <c r="C3730" s="245"/>
      <c r="D3730" s="245"/>
      <c r="E3730" s="246"/>
      <c r="F3730" s="246"/>
      <c r="G3730" s="225" t="e">
        <f aca="false">VLOOKUP(B3730,'NIVEL ENERO'!A:F,4,0)</f>
        <v>#N/A</v>
      </c>
      <c r="H3730" s="247"/>
      <c r="I3730" s="247"/>
      <c r="J3730" s="246"/>
      <c r="K3730" s="246"/>
      <c r="L3730" s="226"/>
      <c r="M3730" s="226"/>
      <c r="N3730" s="246"/>
      <c r="O3730" s="246"/>
      <c r="P3730" s="228"/>
      <c r="Q3730" s="245"/>
      <c r="R3730" s="186" t="str">
        <f aca="false">+PROPER(C3730&amp;" "&amp;D3730)</f>
        <v> </v>
      </c>
      <c r="S3730" s="230" t="n">
        <f aca="false">+YEARFRAC(L3730,$S$1)</f>
        <v>126.366666666667</v>
      </c>
      <c r="T3730" s="230" t="n">
        <f aca="false">+YEARFRAC(M3730,$S$1)</f>
        <v>126.366666666667</v>
      </c>
      <c r="U3730" s="231" t="n">
        <f aca="false">+$I3730</f>
        <v>0</v>
      </c>
      <c r="V3730" s="232" t="str">
        <f aca="false">+PROPER(F3730)</f>
        <v/>
      </c>
    </row>
    <row r="3731" customFormat="false" ht="14.25" hidden="false" customHeight="false" outlineLevel="0" collapsed="false">
      <c r="B3731" s="244"/>
      <c r="C3731" s="245"/>
      <c r="D3731" s="245"/>
      <c r="E3731" s="246"/>
      <c r="F3731" s="246"/>
      <c r="G3731" s="225" t="e">
        <f aca="false">VLOOKUP(B3731,'NIVEL ENERO'!A:F,4,0)</f>
        <v>#N/A</v>
      </c>
      <c r="H3731" s="247"/>
      <c r="I3731" s="247"/>
      <c r="J3731" s="246"/>
      <c r="K3731" s="246"/>
      <c r="L3731" s="226"/>
      <c r="M3731" s="226"/>
      <c r="N3731" s="246"/>
      <c r="O3731" s="246"/>
      <c r="P3731" s="228"/>
      <c r="Q3731" s="245"/>
      <c r="R3731" s="186" t="str">
        <f aca="false">+PROPER(C3731&amp;" "&amp;D3731)</f>
        <v> </v>
      </c>
      <c r="S3731" s="230" t="n">
        <f aca="false">+YEARFRAC(L3731,$S$1)</f>
        <v>126.366666666667</v>
      </c>
      <c r="T3731" s="230" t="n">
        <f aca="false">+YEARFRAC(M3731,$S$1)</f>
        <v>126.366666666667</v>
      </c>
      <c r="U3731" s="231" t="n">
        <f aca="false">+$I3731</f>
        <v>0</v>
      </c>
      <c r="V3731" s="232" t="str">
        <f aca="false">+PROPER(F3731)</f>
        <v/>
      </c>
    </row>
    <row r="3732" customFormat="false" ht="14.25" hidden="false" customHeight="false" outlineLevel="0" collapsed="false">
      <c r="B3732" s="244"/>
      <c r="C3732" s="245"/>
      <c r="D3732" s="245"/>
      <c r="E3732" s="246"/>
      <c r="F3732" s="246"/>
      <c r="G3732" s="225" t="e">
        <f aca="false">VLOOKUP(B3732,'NIVEL ENERO'!A:F,4,0)</f>
        <v>#N/A</v>
      </c>
      <c r="H3732" s="247"/>
      <c r="I3732" s="247"/>
      <c r="J3732" s="246"/>
      <c r="K3732" s="246"/>
      <c r="L3732" s="226"/>
      <c r="M3732" s="226"/>
      <c r="N3732" s="246"/>
      <c r="O3732" s="246"/>
      <c r="P3732" s="228"/>
      <c r="Q3732" s="245"/>
      <c r="R3732" s="186" t="str">
        <f aca="false">+PROPER(C3732&amp;" "&amp;D3732)</f>
        <v> </v>
      </c>
      <c r="S3732" s="230" t="n">
        <f aca="false">+YEARFRAC(L3732,$S$1)</f>
        <v>126.366666666667</v>
      </c>
      <c r="T3732" s="230" t="n">
        <f aca="false">+YEARFRAC(M3732,$S$1)</f>
        <v>126.366666666667</v>
      </c>
      <c r="U3732" s="231" t="n">
        <f aca="false">+$I3732</f>
        <v>0</v>
      </c>
      <c r="V3732" s="232" t="str">
        <f aca="false">+PROPER(F3732)</f>
        <v/>
      </c>
    </row>
    <row r="3733" customFormat="false" ht="14.25" hidden="false" customHeight="false" outlineLevel="0" collapsed="false">
      <c r="B3733" s="244"/>
      <c r="C3733" s="245"/>
      <c r="D3733" s="245"/>
      <c r="E3733" s="246"/>
      <c r="F3733" s="246"/>
      <c r="G3733" s="225" t="e">
        <f aca="false">VLOOKUP(B3733,'NIVEL ENERO'!A:F,4,0)</f>
        <v>#N/A</v>
      </c>
      <c r="H3733" s="247"/>
      <c r="I3733" s="247"/>
      <c r="J3733" s="246"/>
      <c r="K3733" s="246"/>
      <c r="L3733" s="226"/>
      <c r="M3733" s="226"/>
      <c r="N3733" s="246"/>
      <c r="O3733" s="246"/>
      <c r="P3733" s="228"/>
      <c r="Q3733" s="245"/>
      <c r="R3733" s="186" t="str">
        <f aca="false">+PROPER(C3733&amp;" "&amp;D3733)</f>
        <v> </v>
      </c>
      <c r="S3733" s="230" t="n">
        <f aca="false">+YEARFRAC(L3733,$S$1)</f>
        <v>126.366666666667</v>
      </c>
      <c r="T3733" s="230" t="n">
        <f aca="false">+YEARFRAC(M3733,$S$1)</f>
        <v>126.366666666667</v>
      </c>
      <c r="U3733" s="231" t="n">
        <f aca="false">+$I3733</f>
        <v>0</v>
      </c>
      <c r="V3733" s="232" t="str">
        <f aca="false">+PROPER(F3733)</f>
        <v/>
      </c>
    </row>
    <row r="3734" customFormat="false" ht="14.25" hidden="false" customHeight="false" outlineLevel="0" collapsed="false">
      <c r="B3734" s="244"/>
      <c r="C3734" s="245"/>
      <c r="D3734" s="245"/>
      <c r="E3734" s="246"/>
      <c r="F3734" s="246"/>
      <c r="G3734" s="225" t="e">
        <f aca="false">VLOOKUP(B3734,'NIVEL ENERO'!A:F,4,0)</f>
        <v>#N/A</v>
      </c>
      <c r="H3734" s="247"/>
      <c r="I3734" s="247"/>
      <c r="J3734" s="246"/>
      <c r="K3734" s="246"/>
      <c r="L3734" s="226"/>
      <c r="M3734" s="226"/>
      <c r="N3734" s="246"/>
      <c r="O3734" s="246"/>
      <c r="P3734" s="228"/>
      <c r="Q3734" s="245"/>
      <c r="R3734" s="186" t="str">
        <f aca="false">+PROPER(C3734&amp;" "&amp;D3734)</f>
        <v> </v>
      </c>
      <c r="S3734" s="230" t="n">
        <f aca="false">+YEARFRAC(L3734,$S$1)</f>
        <v>126.366666666667</v>
      </c>
      <c r="T3734" s="230" t="n">
        <f aca="false">+YEARFRAC(M3734,$S$1)</f>
        <v>126.366666666667</v>
      </c>
      <c r="U3734" s="231" t="n">
        <f aca="false">+$I3734</f>
        <v>0</v>
      </c>
      <c r="V3734" s="232" t="str">
        <f aca="false">+PROPER(F3734)</f>
        <v/>
      </c>
    </row>
    <row r="3735" customFormat="false" ht="14.25" hidden="false" customHeight="false" outlineLevel="0" collapsed="false">
      <c r="B3735" s="244"/>
      <c r="C3735" s="245"/>
      <c r="D3735" s="245"/>
      <c r="E3735" s="246"/>
      <c r="F3735" s="246"/>
      <c r="G3735" s="225" t="e">
        <f aca="false">VLOOKUP(B3735,'NIVEL ENERO'!A:F,4,0)</f>
        <v>#N/A</v>
      </c>
      <c r="H3735" s="247"/>
      <c r="I3735" s="247"/>
      <c r="J3735" s="246"/>
      <c r="K3735" s="246"/>
      <c r="L3735" s="226"/>
      <c r="M3735" s="226"/>
      <c r="N3735" s="246"/>
      <c r="O3735" s="246"/>
      <c r="P3735" s="228"/>
      <c r="Q3735" s="245"/>
      <c r="R3735" s="186" t="str">
        <f aca="false">+PROPER(C3735&amp;" "&amp;D3735)</f>
        <v> </v>
      </c>
      <c r="S3735" s="230" t="n">
        <f aca="false">+YEARFRAC(L3735,$S$1)</f>
        <v>126.366666666667</v>
      </c>
      <c r="T3735" s="230" t="n">
        <f aca="false">+YEARFRAC(M3735,$S$1)</f>
        <v>126.366666666667</v>
      </c>
      <c r="U3735" s="231" t="n">
        <f aca="false">+$I3735</f>
        <v>0</v>
      </c>
      <c r="V3735" s="232" t="str">
        <f aca="false">+PROPER(F3735)</f>
        <v/>
      </c>
    </row>
    <row r="3736" customFormat="false" ht="14.25" hidden="false" customHeight="false" outlineLevel="0" collapsed="false">
      <c r="B3736" s="244"/>
      <c r="C3736" s="245"/>
      <c r="D3736" s="245"/>
      <c r="E3736" s="246"/>
      <c r="F3736" s="246"/>
      <c r="G3736" s="225" t="e">
        <f aca="false">VLOOKUP(B3736,'NIVEL ENERO'!A:F,4,0)</f>
        <v>#N/A</v>
      </c>
      <c r="H3736" s="247"/>
      <c r="I3736" s="247"/>
      <c r="J3736" s="246"/>
      <c r="K3736" s="246"/>
      <c r="L3736" s="226"/>
      <c r="M3736" s="226"/>
      <c r="N3736" s="246"/>
      <c r="O3736" s="246"/>
      <c r="P3736" s="228"/>
      <c r="Q3736" s="245"/>
      <c r="R3736" s="186" t="str">
        <f aca="false">+PROPER(C3736&amp;" "&amp;D3736)</f>
        <v> </v>
      </c>
      <c r="S3736" s="230" t="n">
        <f aca="false">+YEARFRAC(L3736,$S$1)</f>
        <v>126.366666666667</v>
      </c>
      <c r="T3736" s="230" t="n">
        <f aca="false">+YEARFRAC(M3736,$S$1)</f>
        <v>126.366666666667</v>
      </c>
      <c r="U3736" s="231" t="n">
        <f aca="false">+$I3736</f>
        <v>0</v>
      </c>
      <c r="V3736" s="232" t="str">
        <f aca="false">+PROPER(F3736)</f>
        <v/>
      </c>
    </row>
    <row r="3737" customFormat="false" ht="14.25" hidden="false" customHeight="false" outlineLevel="0" collapsed="false">
      <c r="B3737" s="244"/>
      <c r="C3737" s="245"/>
      <c r="D3737" s="245"/>
      <c r="E3737" s="246"/>
      <c r="F3737" s="246"/>
      <c r="G3737" s="225" t="e">
        <f aca="false">VLOOKUP(B3737,'NIVEL ENERO'!A:F,4,0)</f>
        <v>#N/A</v>
      </c>
      <c r="H3737" s="247"/>
      <c r="I3737" s="247"/>
      <c r="J3737" s="246"/>
      <c r="K3737" s="246"/>
      <c r="L3737" s="226"/>
      <c r="M3737" s="226"/>
      <c r="N3737" s="246"/>
      <c r="O3737" s="246"/>
      <c r="P3737" s="228"/>
      <c r="Q3737" s="245"/>
      <c r="R3737" s="186" t="str">
        <f aca="false">+PROPER(C3737&amp;" "&amp;D3737)</f>
        <v> </v>
      </c>
      <c r="S3737" s="230" t="n">
        <f aca="false">+YEARFRAC(L3737,$S$1)</f>
        <v>126.366666666667</v>
      </c>
      <c r="T3737" s="230" t="n">
        <f aca="false">+YEARFRAC(M3737,$S$1)</f>
        <v>126.366666666667</v>
      </c>
      <c r="U3737" s="231" t="n">
        <f aca="false">+$I3737</f>
        <v>0</v>
      </c>
      <c r="V3737" s="232" t="str">
        <f aca="false">+PROPER(F3737)</f>
        <v/>
      </c>
    </row>
    <row r="3738" customFormat="false" ht="14.25" hidden="false" customHeight="false" outlineLevel="0" collapsed="false">
      <c r="B3738" s="244"/>
      <c r="C3738" s="245"/>
      <c r="D3738" s="245"/>
      <c r="E3738" s="246"/>
      <c r="F3738" s="246"/>
      <c r="G3738" s="225" t="e">
        <f aca="false">VLOOKUP(B3738,'NIVEL ENERO'!A:F,4,0)</f>
        <v>#N/A</v>
      </c>
      <c r="H3738" s="247"/>
      <c r="I3738" s="247"/>
      <c r="J3738" s="246"/>
      <c r="K3738" s="246"/>
      <c r="L3738" s="226"/>
      <c r="M3738" s="226"/>
      <c r="N3738" s="246"/>
      <c r="O3738" s="246"/>
      <c r="P3738" s="228"/>
      <c r="Q3738" s="245"/>
      <c r="R3738" s="186" t="str">
        <f aca="false">+PROPER(C3738&amp;" "&amp;D3738)</f>
        <v> </v>
      </c>
      <c r="S3738" s="230" t="n">
        <f aca="false">+YEARFRAC(L3738,$S$1)</f>
        <v>126.366666666667</v>
      </c>
      <c r="T3738" s="230" t="n">
        <f aca="false">+YEARFRAC(M3738,$S$1)</f>
        <v>126.366666666667</v>
      </c>
      <c r="U3738" s="231" t="n">
        <f aca="false">+$I3738</f>
        <v>0</v>
      </c>
      <c r="V3738" s="232" t="str">
        <f aca="false">+PROPER(F3738)</f>
        <v/>
      </c>
    </row>
    <row r="3739" customFormat="false" ht="14.25" hidden="false" customHeight="false" outlineLevel="0" collapsed="false">
      <c r="B3739" s="244"/>
      <c r="C3739" s="245"/>
      <c r="D3739" s="245"/>
      <c r="E3739" s="246"/>
      <c r="F3739" s="246"/>
      <c r="G3739" s="225" t="e">
        <f aca="false">VLOOKUP(B3739,'NIVEL ENERO'!A:F,4,0)</f>
        <v>#N/A</v>
      </c>
      <c r="H3739" s="247"/>
      <c r="I3739" s="247"/>
      <c r="J3739" s="246"/>
      <c r="K3739" s="246"/>
      <c r="L3739" s="226"/>
      <c r="M3739" s="226"/>
      <c r="N3739" s="246"/>
      <c r="O3739" s="246"/>
      <c r="P3739" s="228"/>
      <c r="Q3739" s="245"/>
      <c r="R3739" s="186" t="str">
        <f aca="false">+PROPER(C3739&amp;" "&amp;D3739)</f>
        <v> </v>
      </c>
      <c r="S3739" s="230" t="n">
        <f aca="false">+YEARFRAC(L3739,$S$1)</f>
        <v>126.366666666667</v>
      </c>
      <c r="T3739" s="230" t="n">
        <f aca="false">+YEARFRAC(M3739,$S$1)</f>
        <v>126.366666666667</v>
      </c>
      <c r="U3739" s="231" t="n">
        <f aca="false">+$I3739</f>
        <v>0</v>
      </c>
      <c r="V3739" s="232" t="str">
        <f aca="false">+PROPER(F3739)</f>
        <v/>
      </c>
    </row>
    <row r="3740" customFormat="false" ht="14.25" hidden="false" customHeight="false" outlineLevel="0" collapsed="false">
      <c r="B3740" s="244"/>
      <c r="C3740" s="245"/>
      <c r="D3740" s="245"/>
      <c r="E3740" s="246"/>
      <c r="F3740" s="246"/>
      <c r="G3740" s="225" t="e">
        <f aca="false">VLOOKUP(B3740,'NIVEL ENERO'!A:F,4,0)</f>
        <v>#N/A</v>
      </c>
      <c r="H3740" s="247"/>
      <c r="I3740" s="247"/>
      <c r="J3740" s="246"/>
      <c r="K3740" s="246"/>
      <c r="L3740" s="226"/>
      <c r="M3740" s="226"/>
      <c r="N3740" s="246"/>
      <c r="O3740" s="246"/>
      <c r="P3740" s="228"/>
      <c r="Q3740" s="245"/>
      <c r="R3740" s="186" t="str">
        <f aca="false">+PROPER(C3740&amp;" "&amp;D3740)</f>
        <v> </v>
      </c>
      <c r="S3740" s="230" t="n">
        <f aca="false">+YEARFRAC(L3740,$S$1)</f>
        <v>126.366666666667</v>
      </c>
      <c r="T3740" s="230" t="n">
        <f aca="false">+YEARFRAC(M3740,$S$1)</f>
        <v>126.366666666667</v>
      </c>
      <c r="U3740" s="231" t="n">
        <f aca="false">+$I3740</f>
        <v>0</v>
      </c>
      <c r="V3740" s="232" t="str">
        <f aca="false">+PROPER(F3740)</f>
        <v/>
      </c>
    </row>
    <row r="3741" customFormat="false" ht="14.25" hidden="false" customHeight="false" outlineLevel="0" collapsed="false">
      <c r="B3741" s="244"/>
      <c r="C3741" s="245"/>
      <c r="D3741" s="245"/>
      <c r="E3741" s="246"/>
      <c r="F3741" s="246"/>
      <c r="G3741" s="225" t="e">
        <f aca="false">VLOOKUP(B3741,'NIVEL ENERO'!A:F,4,0)</f>
        <v>#N/A</v>
      </c>
      <c r="H3741" s="247"/>
      <c r="I3741" s="247"/>
      <c r="J3741" s="246"/>
      <c r="K3741" s="246"/>
      <c r="L3741" s="226"/>
      <c r="M3741" s="226"/>
      <c r="N3741" s="246"/>
      <c r="O3741" s="246"/>
      <c r="P3741" s="228"/>
      <c r="Q3741" s="245"/>
      <c r="R3741" s="186" t="str">
        <f aca="false">+PROPER(C3741&amp;" "&amp;D3741)</f>
        <v> </v>
      </c>
      <c r="S3741" s="230" t="n">
        <f aca="false">+YEARFRAC(L3741,$S$1)</f>
        <v>126.366666666667</v>
      </c>
      <c r="T3741" s="230" t="n">
        <f aca="false">+YEARFRAC(M3741,$S$1)</f>
        <v>126.366666666667</v>
      </c>
      <c r="U3741" s="231" t="n">
        <f aca="false">+$I3741</f>
        <v>0</v>
      </c>
      <c r="V3741" s="232" t="str">
        <f aca="false">+PROPER(F3741)</f>
        <v/>
      </c>
    </row>
    <row r="3742" customFormat="false" ht="14.25" hidden="false" customHeight="false" outlineLevel="0" collapsed="false">
      <c r="B3742" s="244"/>
      <c r="C3742" s="245"/>
      <c r="D3742" s="245"/>
      <c r="E3742" s="246"/>
      <c r="F3742" s="246"/>
      <c r="G3742" s="225" t="e">
        <f aca="false">VLOOKUP(B3742,'NIVEL ENERO'!A:F,4,0)</f>
        <v>#N/A</v>
      </c>
      <c r="H3742" s="247"/>
      <c r="I3742" s="247"/>
      <c r="J3742" s="246"/>
      <c r="K3742" s="246"/>
      <c r="L3742" s="226"/>
      <c r="M3742" s="226"/>
      <c r="N3742" s="246"/>
      <c r="O3742" s="246"/>
      <c r="P3742" s="228"/>
      <c r="Q3742" s="245"/>
      <c r="R3742" s="186" t="str">
        <f aca="false">+PROPER(C3742&amp;" "&amp;D3742)</f>
        <v> </v>
      </c>
      <c r="S3742" s="230" t="n">
        <f aca="false">+YEARFRAC(L3742,$S$1)</f>
        <v>126.366666666667</v>
      </c>
      <c r="T3742" s="230" t="n">
        <f aca="false">+YEARFRAC(M3742,$S$1)</f>
        <v>126.366666666667</v>
      </c>
      <c r="U3742" s="231" t="n">
        <f aca="false">+$I3742</f>
        <v>0</v>
      </c>
      <c r="V3742" s="232" t="str">
        <f aca="false">+PROPER(F3742)</f>
        <v/>
      </c>
    </row>
    <row r="3743" customFormat="false" ht="14.25" hidden="false" customHeight="false" outlineLevel="0" collapsed="false">
      <c r="B3743" s="244"/>
      <c r="C3743" s="245"/>
      <c r="D3743" s="245"/>
      <c r="E3743" s="246"/>
      <c r="F3743" s="246"/>
      <c r="G3743" s="225" t="e">
        <f aca="false">VLOOKUP(B3743,'NIVEL ENERO'!A:F,4,0)</f>
        <v>#N/A</v>
      </c>
      <c r="H3743" s="247"/>
      <c r="I3743" s="247"/>
      <c r="J3743" s="246"/>
      <c r="K3743" s="246"/>
      <c r="L3743" s="226"/>
      <c r="M3743" s="226"/>
      <c r="N3743" s="246"/>
      <c r="O3743" s="246"/>
      <c r="P3743" s="228"/>
      <c r="Q3743" s="245"/>
      <c r="R3743" s="186" t="str">
        <f aca="false">+PROPER(C3743&amp;" "&amp;D3743)</f>
        <v> </v>
      </c>
      <c r="S3743" s="230" t="n">
        <f aca="false">+YEARFRAC(L3743,$S$1)</f>
        <v>126.366666666667</v>
      </c>
      <c r="T3743" s="230" t="n">
        <f aca="false">+YEARFRAC(M3743,$S$1)</f>
        <v>126.366666666667</v>
      </c>
      <c r="U3743" s="231" t="n">
        <f aca="false">+$I3743</f>
        <v>0</v>
      </c>
      <c r="V3743" s="232" t="str">
        <f aca="false">+PROPER(F3743)</f>
        <v/>
      </c>
    </row>
    <row r="3744" customFormat="false" ht="14.25" hidden="false" customHeight="false" outlineLevel="0" collapsed="false">
      <c r="B3744" s="244"/>
      <c r="C3744" s="245"/>
      <c r="D3744" s="245"/>
      <c r="E3744" s="246"/>
      <c r="F3744" s="246"/>
      <c r="G3744" s="225" t="e">
        <f aca="false">VLOOKUP(B3744,'NIVEL ENERO'!A:F,4,0)</f>
        <v>#N/A</v>
      </c>
      <c r="H3744" s="247"/>
      <c r="I3744" s="247"/>
      <c r="J3744" s="246"/>
      <c r="K3744" s="246"/>
      <c r="L3744" s="226"/>
      <c r="M3744" s="226"/>
      <c r="N3744" s="246"/>
      <c r="O3744" s="246"/>
      <c r="P3744" s="228"/>
      <c r="Q3744" s="245"/>
      <c r="R3744" s="186" t="str">
        <f aca="false">+PROPER(C3744&amp;" "&amp;D3744)</f>
        <v> </v>
      </c>
      <c r="S3744" s="230" t="n">
        <f aca="false">+YEARFRAC(L3744,$S$1)</f>
        <v>126.366666666667</v>
      </c>
      <c r="T3744" s="230" t="n">
        <f aca="false">+YEARFRAC(M3744,$S$1)</f>
        <v>126.366666666667</v>
      </c>
      <c r="U3744" s="231" t="n">
        <f aca="false">+$I3744</f>
        <v>0</v>
      </c>
      <c r="V3744" s="232" t="str">
        <f aca="false">+PROPER(F3744)</f>
        <v/>
      </c>
    </row>
    <row r="3745" customFormat="false" ht="14.25" hidden="false" customHeight="false" outlineLevel="0" collapsed="false">
      <c r="B3745" s="244"/>
      <c r="C3745" s="245"/>
      <c r="D3745" s="245"/>
      <c r="E3745" s="246"/>
      <c r="F3745" s="246"/>
      <c r="G3745" s="225" t="e">
        <f aca="false">VLOOKUP(B3745,'NIVEL ENERO'!A:F,4,0)</f>
        <v>#N/A</v>
      </c>
      <c r="H3745" s="247"/>
      <c r="I3745" s="247"/>
      <c r="J3745" s="246"/>
      <c r="K3745" s="246"/>
      <c r="L3745" s="226"/>
      <c r="M3745" s="226"/>
      <c r="N3745" s="246"/>
      <c r="O3745" s="246"/>
      <c r="P3745" s="228"/>
      <c r="Q3745" s="245"/>
      <c r="R3745" s="186" t="str">
        <f aca="false">+PROPER(C3745&amp;" "&amp;D3745)</f>
        <v> </v>
      </c>
      <c r="S3745" s="230" t="n">
        <f aca="false">+YEARFRAC(L3745,$S$1)</f>
        <v>126.366666666667</v>
      </c>
      <c r="T3745" s="230" t="n">
        <f aca="false">+YEARFRAC(M3745,$S$1)</f>
        <v>126.366666666667</v>
      </c>
      <c r="U3745" s="231" t="n">
        <f aca="false">+$I3745</f>
        <v>0</v>
      </c>
      <c r="V3745" s="232" t="str">
        <f aca="false">+PROPER(F3745)</f>
        <v/>
      </c>
    </row>
    <row r="3746" customFormat="false" ht="14.25" hidden="false" customHeight="false" outlineLevel="0" collapsed="false">
      <c r="B3746" s="244"/>
      <c r="C3746" s="245"/>
      <c r="D3746" s="245"/>
      <c r="E3746" s="246"/>
      <c r="F3746" s="246"/>
      <c r="G3746" s="225" t="e">
        <f aca="false">VLOOKUP(B3746,'NIVEL ENERO'!A:F,4,0)</f>
        <v>#N/A</v>
      </c>
      <c r="H3746" s="247"/>
      <c r="I3746" s="247"/>
      <c r="J3746" s="246"/>
      <c r="K3746" s="246"/>
      <c r="L3746" s="226"/>
      <c r="M3746" s="226"/>
      <c r="N3746" s="246"/>
      <c r="O3746" s="246"/>
      <c r="P3746" s="228"/>
      <c r="Q3746" s="245"/>
      <c r="R3746" s="186" t="str">
        <f aca="false">+PROPER(C3746&amp;" "&amp;D3746)</f>
        <v> </v>
      </c>
      <c r="S3746" s="230" t="n">
        <f aca="false">+YEARFRAC(L3746,$S$1)</f>
        <v>126.366666666667</v>
      </c>
      <c r="T3746" s="230" t="n">
        <f aca="false">+YEARFRAC(M3746,$S$1)</f>
        <v>126.366666666667</v>
      </c>
      <c r="U3746" s="231" t="n">
        <f aca="false">+$I3746</f>
        <v>0</v>
      </c>
      <c r="V3746" s="232" t="str">
        <f aca="false">+PROPER(F3746)</f>
        <v/>
      </c>
    </row>
    <row r="3747" customFormat="false" ht="14.25" hidden="false" customHeight="false" outlineLevel="0" collapsed="false">
      <c r="B3747" s="244"/>
      <c r="C3747" s="245"/>
      <c r="D3747" s="245"/>
      <c r="E3747" s="246"/>
      <c r="F3747" s="246"/>
      <c r="G3747" s="225" t="e">
        <f aca="false">VLOOKUP(B3747,'NIVEL ENERO'!A:F,4,0)</f>
        <v>#N/A</v>
      </c>
      <c r="H3747" s="247"/>
      <c r="I3747" s="247"/>
      <c r="J3747" s="246"/>
      <c r="K3747" s="246"/>
      <c r="L3747" s="226"/>
      <c r="M3747" s="226"/>
      <c r="N3747" s="246"/>
      <c r="O3747" s="246"/>
      <c r="P3747" s="228"/>
      <c r="Q3747" s="245"/>
      <c r="R3747" s="186" t="str">
        <f aca="false">+PROPER(C3747&amp;" "&amp;D3747)</f>
        <v> </v>
      </c>
      <c r="S3747" s="230" t="n">
        <f aca="false">+YEARFRAC(L3747,$S$1)</f>
        <v>126.366666666667</v>
      </c>
      <c r="T3747" s="230" t="n">
        <f aca="false">+YEARFRAC(M3747,$S$1)</f>
        <v>126.366666666667</v>
      </c>
      <c r="U3747" s="231" t="n">
        <f aca="false">+$I3747</f>
        <v>0</v>
      </c>
      <c r="V3747" s="232" t="str">
        <f aca="false">+PROPER(F3747)</f>
        <v/>
      </c>
    </row>
    <row r="3748" customFormat="false" ht="14.25" hidden="false" customHeight="false" outlineLevel="0" collapsed="false">
      <c r="B3748" s="244"/>
      <c r="C3748" s="245"/>
      <c r="D3748" s="245"/>
      <c r="E3748" s="246"/>
      <c r="F3748" s="246"/>
      <c r="G3748" s="225" t="e">
        <f aca="false">VLOOKUP(B3748,'NIVEL ENERO'!A:F,4,0)</f>
        <v>#N/A</v>
      </c>
      <c r="H3748" s="247"/>
      <c r="I3748" s="247"/>
      <c r="J3748" s="246"/>
      <c r="K3748" s="246"/>
      <c r="L3748" s="226"/>
      <c r="M3748" s="226"/>
      <c r="N3748" s="246"/>
      <c r="O3748" s="246"/>
      <c r="P3748" s="228"/>
      <c r="Q3748" s="245"/>
      <c r="R3748" s="186" t="str">
        <f aca="false">+PROPER(C3748&amp;" "&amp;D3748)</f>
        <v> </v>
      </c>
      <c r="S3748" s="230" t="n">
        <f aca="false">+YEARFRAC(L3748,$S$1)</f>
        <v>126.366666666667</v>
      </c>
      <c r="T3748" s="230" t="n">
        <f aca="false">+YEARFRAC(M3748,$S$1)</f>
        <v>126.366666666667</v>
      </c>
      <c r="U3748" s="231" t="n">
        <f aca="false">+$I3748</f>
        <v>0</v>
      </c>
      <c r="V3748" s="232" t="str">
        <f aca="false">+PROPER(F3748)</f>
        <v/>
      </c>
    </row>
    <row r="3749" customFormat="false" ht="14.25" hidden="false" customHeight="false" outlineLevel="0" collapsed="false">
      <c r="B3749" s="244"/>
      <c r="C3749" s="245"/>
      <c r="D3749" s="245"/>
      <c r="E3749" s="246"/>
      <c r="F3749" s="246"/>
      <c r="G3749" s="225" t="e">
        <f aca="false">VLOOKUP(B3749,'NIVEL ENERO'!A:F,4,0)</f>
        <v>#N/A</v>
      </c>
      <c r="H3749" s="247"/>
      <c r="I3749" s="247"/>
      <c r="J3749" s="246"/>
      <c r="K3749" s="246"/>
      <c r="L3749" s="226"/>
      <c r="M3749" s="226"/>
      <c r="N3749" s="246"/>
      <c r="O3749" s="246"/>
      <c r="P3749" s="228"/>
      <c r="Q3749" s="245"/>
      <c r="R3749" s="186" t="str">
        <f aca="false">+PROPER(C3749&amp;" "&amp;D3749)</f>
        <v> </v>
      </c>
      <c r="S3749" s="230" t="n">
        <f aca="false">+YEARFRAC(L3749,$S$1)</f>
        <v>126.366666666667</v>
      </c>
      <c r="T3749" s="230" t="n">
        <f aca="false">+YEARFRAC(M3749,$S$1)</f>
        <v>126.366666666667</v>
      </c>
      <c r="U3749" s="231" t="n">
        <f aca="false">+$I3749</f>
        <v>0</v>
      </c>
      <c r="V3749" s="232" t="str">
        <f aca="false">+PROPER(F3749)</f>
        <v/>
      </c>
    </row>
    <row r="3750" customFormat="false" ht="14.25" hidden="false" customHeight="false" outlineLevel="0" collapsed="false">
      <c r="B3750" s="244"/>
      <c r="C3750" s="245"/>
      <c r="D3750" s="245"/>
      <c r="E3750" s="246"/>
      <c r="F3750" s="246"/>
      <c r="G3750" s="225" t="e">
        <f aca="false">VLOOKUP(B3750,'NIVEL ENERO'!A:F,4,0)</f>
        <v>#N/A</v>
      </c>
      <c r="H3750" s="247"/>
      <c r="I3750" s="247"/>
      <c r="J3750" s="246"/>
      <c r="K3750" s="246"/>
      <c r="L3750" s="226"/>
      <c r="M3750" s="226"/>
      <c r="N3750" s="246"/>
      <c r="O3750" s="246"/>
      <c r="P3750" s="228"/>
      <c r="Q3750" s="245"/>
      <c r="R3750" s="186" t="str">
        <f aca="false">+PROPER(C3750&amp;" "&amp;D3750)</f>
        <v> </v>
      </c>
      <c r="S3750" s="230" t="n">
        <f aca="false">+YEARFRAC(L3750,$S$1)</f>
        <v>126.366666666667</v>
      </c>
      <c r="T3750" s="230" t="n">
        <f aca="false">+YEARFRAC(M3750,$S$1)</f>
        <v>126.366666666667</v>
      </c>
      <c r="U3750" s="231" t="n">
        <f aca="false">+$I3750</f>
        <v>0</v>
      </c>
      <c r="V3750" s="232" t="str">
        <f aca="false">+PROPER(F3750)</f>
        <v/>
      </c>
    </row>
    <row r="3751" customFormat="false" ht="14.25" hidden="false" customHeight="false" outlineLevel="0" collapsed="false">
      <c r="B3751" s="244"/>
      <c r="C3751" s="245"/>
      <c r="D3751" s="245"/>
      <c r="E3751" s="246"/>
      <c r="F3751" s="246"/>
      <c r="G3751" s="225" t="e">
        <f aca="false">VLOOKUP(B3751,'NIVEL ENERO'!A:F,4,0)</f>
        <v>#N/A</v>
      </c>
      <c r="H3751" s="247"/>
      <c r="I3751" s="247"/>
      <c r="J3751" s="246"/>
      <c r="K3751" s="246"/>
      <c r="L3751" s="226"/>
      <c r="M3751" s="226"/>
      <c r="N3751" s="246"/>
      <c r="O3751" s="246"/>
      <c r="P3751" s="228"/>
      <c r="Q3751" s="245"/>
      <c r="R3751" s="186" t="str">
        <f aca="false">+PROPER(C3751&amp;" "&amp;D3751)</f>
        <v> </v>
      </c>
      <c r="S3751" s="230" t="n">
        <f aca="false">+YEARFRAC(L3751,$S$1)</f>
        <v>126.366666666667</v>
      </c>
      <c r="T3751" s="230" t="n">
        <f aca="false">+YEARFRAC(M3751,$S$1)</f>
        <v>126.366666666667</v>
      </c>
      <c r="U3751" s="231" t="n">
        <f aca="false">+$I3751</f>
        <v>0</v>
      </c>
      <c r="V3751" s="232" t="str">
        <f aca="false">+PROPER(F3751)</f>
        <v/>
      </c>
    </row>
    <row r="3752" customFormat="false" ht="14.25" hidden="false" customHeight="false" outlineLevel="0" collapsed="false">
      <c r="B3752" s="244"/>
      <c r="C3752" s="245"/>
      <c r="D3752" s="245"/>
      <c r="E3752" s="246"/>
      <c r="F3752" s="246"/>
      <c r="G3752" s="225" t="e">
        <f aca="false">VLOOKUP(B3752,'NIVEL ENERO'!A:F,4,0)</f>
        <v>#N/A</v>
      </c>
      <c r="H3752" s="247"/>
      <c r="I3752" s="247"/>
      <c r="J3752" s="246"/>
      <c r="K3752" s="246"/>
      <c r="L3752" s="226"/>
      <c r="M3752" s="226"/>
      <c r="N3752" s="246"/>
      <c r="O3752" s="246"/>
      <c r="P3752" s="228"/>
      <c r="Q3752" s="245"/>
      <c r="R3752" s="186" t="str">
        <f aca="false">+PROPER(C3752&amp;" "&amp;D3752)</f>
        <v> </v>
      </c>
      <c r="S3752" s="230" t="n">
        <f aca="false">+YEARFRAC(L3752,$S$1)</f>
        <v>126.366666666667</v>
      </c>
      <c r="T3752" s="230" t="n">
        <f aca="false">+YEARFRAC(M3752,$S$1)</f>
        <v>126.366666666667</v>
      </c>
      <c r="U3752" s="231" t="n">
        <f aca="false">+$I3752</f>
        <v>0</v>
      </c>
      <c r="V3752" s="232" t="str">
        <f aca="false">+PROPER(F3752)</f>
        <v/>
      </c>
    </row>
    <row r="3753" customFormat="false" ht="14.25" hidden="false" customHeight="false" outlineLevel="0" collapsed="false">
      <c r="B3753" s="244"/>
      <c r="C3753" s="245"/>
      <c r="D3753" s="245"/>
      <c r="E3753" s="246"/>
      <c r="F3753" s="246"/>
      <c r="G3753" s="225" t="e">
        <f aca="false">VLOOKUP(B3753,'NIVEL ENERO'!A:F,4,0)</f>
        <v>#N/A</v>
      </c>
      <c r="H3753" s="247"/>
      <c r="I3753" s="247"/>
      <c r="J3753" s="246"/>
      <c r="K3753" s="246"/>
      <c r="L3753" s="226"/>
      <c r="M3753" s="226"/>
      <c r="N3753" s="246"/>
      <c r="O3753" s="246"/>
      <c r="P3753" s="228"/>
      <c r="Q3753" s="245"/>
      <c r="R3753" s="186" t="str">
        <f aca="false">+PROPER(C3753&amp;" "&amp;D3753)</f>
        <v> </v>
      </c>
      <c r="S3753" s="230" t="n">
        <f aca="false">+YEARFRAC(L3753,$S$1)</f>
        <v>126.366666666667</v>
      </c>
      <c r="T3753" s="230" t="n">
        <f aca="false">+YEARFRAC(M3753,$S$1)</f>
        <v>126.366666666667</v>
      </c>
      <c r="U3753" s="231" t="n">
        <f aca="false">+$I3753</f>
        <v>0</v>
      </c>
      <c r="V3753" s="232" t="str">
        <f aca="false">+PROPER(F3753)</f>
        <v/>
      </c>
    </row>
    <row r="3754" customFormat="false" ht="14.25" hidden="false" customHeight="false" outlineLevel="0" collapsed="false">
      <c r="B3754" s="244"/>
      <c r="C3754" s="245"/>
      <c r="D3754" s="245"/>
      <c r="E3754" s="246"/>
      <c r="F3754" s="246"/>
      <c r="G3754" s="225" t="e">
        <f aca="false">VLOOKUP(B3754,'NIVEL ENERO'!A:F,4,0)</f>
        <v>#N/A</v>
      </c>
      <c r="H3754" s="247"/>
      <c r="I3754" s="247"/>
      <c r="J3754" s="246"/>
      <c r="K3754" s="246"/>
      <c r="L3754" s="226"/>
      <c r="M3754" s="226"/>
      <c r="N3754" s="246"/>
      <c r="O3754" s="246"/>
      <c r="P3754" s="228"/>
      <c r="Q3754" s="245"/>
      <c r="R3754" s="186" t="str">
        <f aca="false">+PROPER(C3754&amp;" "&amp;D3754)</f>
        <v> </v>
      </c>
      <c r="S3754" s="230" t="n">
        <f aca="false">+YEARFRAC(L3754,$S$1)</f>
        <v>126.366666666667</v>
      </c>
      <c r="T3754" s="230" t="n">
        <f aca="false">+YEARFRAC(M3754,$S$1)</f>
        <v>126.366666666667</v>
      </c>
      <c r="U3754" s="231" t="n">
        <f aca="false">+$I3754</f>
        <v>0</v>
      </c>
      <c r="V3754" s="232" t="str">
        <f aca="false">+PROPER(F3754)</f>
        <v/>
      </c>
    </row>
    <row r="3755" customFormat="false" ht="14.25" hidden="false" customHeight="false" outlineLevel="0" collapsed="false">
      <c r="B3755" s="244"/>
      <c r="C3755" s="245"/>
      <c r="D3755" s="245"/>
      <c r="E3755" s="246"/>
      <c r="F3755" s="246"/>
      <c r="G3755" s="225" t="e">
        <f aca="false">VLOOKUP(B3755,'NIVEL ENERO'!A:F,4,0)</f>
        <v>#N/A</v>
      </c>
      <c r="H3755" s="247"/>
      <c r="I3755" s="247"/>
      <c r="J3755" s="246"/>
      <c r="K3755" s="246"/>
      <c r="L3755" s="226"/>
      <c r="M3755" s="226"/>
      <c r="N3755" s="246"/>
      <c r="O3755" s="246"/>
      <c r="P3755" s="228"/>
      <c r="Q3755" s="245"/>
      <c r="R3755" s="186" t="str">
        <f aca="false">+PROPER(C3755&amp;" "&amp;D3755)</f>
        <v> </v>
      </c>
      <c r="S3755" s="230" t="n">
        <f aca="false">+YEARFRAC(L3755,$S$1)</f>
        <v>126.366666666667</v>
      </c>
      <c r="T3755" s="230" t="n">
        <f aca="false">+YEARFRAC(M3755,$S$1)</f>
        <v>126.366666666667</v>
      </c>
      <c r="U3755" s="231" t="n">
        <f aca="false">+$I3755</f>
        <v>0</v>
      </c>
      <c r="V3755" s="232" t="str">
        <f aca="false">+PROPER(F3755)</f>
        <v/>
      </c>
    </row>
    <row r="3756" customFormat="false" ht="14.25" hidden="false" customHeight="false" outlineLevel="0" collapsed="false">
      <c r="B3756" s="244"/>
      <c r="C3756" s="245"/>
      <c r="D3756" s="245"/>
      <c r="E3756" s="246"/>
      <c r="F3756" s="246"/>
      <c r="G3756" s="225" t="e">
        <f aca="false">VLOOKUP(B3756,'NIVEL ENERO'!A:F,4,0)</f>
        <v>#N/A</v>
      </c>
      <c r="H3756" s="247"/>
      <c r="I3756" s="247"/>
      <c r="J3756" s="246"/>
      <c r="K3756" s="246"/>
      <c r="L3756" s="226"/>
      <c r="M3756" s="226"/>
      <c r="N3756" s="246"/>
      <c r="O3756" s="246"/>
      <c r="P3756" s="228"/>
      <c r="Q3756" s="245"/>
      <c r="R3756" s="186" t="str">
        <f aca="false">+PROPER(C3756&amp;" "&amp;D3756)</f>
        <v> </v>
      </c>
      <c r="S3756" s="230" t="n">
        <f aca="false">+YEARFRAC(L3756,$S$1)</f>
        <v>126.366666666667</v>
      </c>
      <c r="T3756" s="230" t="n">
        <f aca="false">+YEARFRAC(M3756,$S$1)</f>
        <v>126.366666666667</v>
      </c>
      <c r="U3756" s="231" t="n">
        <f aca="false">+$I3756</f>
        <v>0</v>
      </c>
      <c r="V3756" s="232" t="str">
        <f aca="false">+PROPER(F3756)</f>
        <v/>
      </c>
    </row>
    <row r="3757" customFormat="false" ht="14.25" hidden="false" customHeight="false" outlineLevel="0" collapsed="false">
      <c r="B3757" s="244"/>
      <c r="C3757" s="245"/>
      <c r="D3757" s="245"/>
      <c r="E3757" s="246"/>
      <c r="F3757" s="246"/>
      <c r="G3757" s="225" t="e">
        <f aca="false">VLOOKUP(B3757,'NIVEL ENERO'!A:F,4,0)</f>
        <v>#N/A</v>
      </c>
      <c r="H3757" s="247"/>
      <c r="I3757" s="247"/>
      <c r="J3757" s="246"/>
      <c r="K3757" s="246"/>
      <c r="L3757" s="226"/>
      <c r="M3757" s="226"/>
      <c r="N3757" s="246"/>
      <c r="O3757" s="246"/>
      <c r="P3757" s="228"/>
      <c r="Q3757" s="245"/>
      <c r="R3757" s="186" t="str">
        <f aca="false">+PROPER(C3757&amp;" "&amp;D3757)</f>
        <v> </v>
      </c>
      <c r="S3757" s="230" t="n">
        <f aca="false">+YEARFRAC(L3757,$S$1)</f>
        <v>126.366666666667</v>
      </c>
      <c r="T3757" s="230" t="n">
        <f aca="false">+YEARFRAC(M3757,$S$1)</f>
        <v>126.366666666667</v>
      </c>
      <c r="U3757" s="231" t="n">
        <f aca="false">+$I3757</f>
        <v>0</v>
      </c>
      <c r="V3757" s="232" t="str">
        <f aca="false">+PROPER(F3757)</f>
        <v/>
      </c>
    </row>
    <row r="3758" customFormat="false" ht="14.25" hidden="false" customHeight="false" outlineLevel="0" collapsed="false">
      <c r="B3758" s="244"/>
      <c r="C3758" s="245"/>
      <c r="D3758" s="245"/>
      <c r="E3758" s="246"/>
      <c r="F3758" s="246"/>
      <c r="G3758" s="225" t="e">
        <f aca="false">VLOOKUP(B3758,'NIVEL ENERO'!A:F,4,0)</f>
        <v>#N/A</v>
      </c>
      <c r="H3758" s="247"/>
      <c r="I3758" s="247"/>
      <c r="J3758" s="246"/>
      <c r="K3758" s="246"/>
      <c r="L3758" s="226"/>
      <c r="M3758" s="226"/>
      <c r="N3758" s="246"/>
      <c r="O3758" s="246"/>
      <c r="P3758" s="228"/>
      <c r="Q3758" s="245"/>
      <c r="R3758" s="186" t="str">
        <f aca="false">+PROPER(C3758&amp;" "&amp;D3758)</f>
        <v> </v>
      </c>
      <c r="S3758" s="230" t="n">
        <f aca="false">+YEARFRAC(L3758,$S$1)</f>
        <v>126.366666666667</v>
      </c>
      <c r="T3758" s="230" t="n">
        <f aca="false">+YEARFRAC(M3758,$S$1)</f>
        <v>126.366666666667</v>
      </c>
      <c r="U3758" s="231" t="n">
        <f aca="false">+$I3758</f>
        <v>0</v>
      </c>
      <c r="V3758" s="232" t="str">
        <f aca="false">+PROPER(F3758)</f>
        <v/>
      </c>
    </row>
    <row r="3759" customFormat="false" ht="14.25" hidden="false" customHeight="false" outlineLevel="0" collapsed="false">
      <c r="B3759" s="244"/>
      <c r="C3759" s="245"/>
      <c r="D3759" s="245"/>
      <c r="E3759" s="246"/>
      <c r="F3759" s="246"/>
      <c r="G3759" s="225" t="e">
        <f aca="false">VLOOKUP(B3759,'NIVEL ENERO'!A:F,4,0)</f>
        <v>#N/A</v>
      </c>
      <c r="H3759" s="247"/>
      <c r="I3759" s="247"/>
      <c r="J3759" s="246"/>
      <c r="K3759" s="246"/>
      <c r="L3759" s="226"/>
      <c r="M3759" s="226"/>
      <c r="N3759" s="246"/>
      <c r="O3759" s="246"/>
      <c r="P3759" s="228"/>
      <c r="Q3759" s="245"/>
      <c r="R3759" s="186" t="str">
        <f aca="false">+PROPER(C3759&amp;" "&amp;D3759)</f>
        <v> </v>
      </c>
      <c r="S3759" s="230" t="n">
        <f aca="false">+YEARFRAC(L3759,$S$1)</f>
        <v>126.366666666667</v>
      </c>
      <c r="T3759" s="230" t="n">
        <f aca="false">+YEARFRAC(M3759,$S$1)</f>
        <v>126.366666666667</v>
      </c>
      <c r="U3759" s="231" t="n">
        <f aca="false">+$I3759</f>
        <v>0</v>
      </c>
      <c r="V3759" s="232" t="str">
        <f aca="false">+PROPER(F3759)</f>
        <v/>
      </c>
    </row>
    <row r="3760" customFormat="false" ht="14.25" hidden="false" customHeight="false" outlineLevel="0" collapsed="false">
      <c r="B3760" s="244"/>
      <c r="C3760" s="245"/>
      <c r="D3760" s="245"/>
      <c r="E3760" s="246"/>
      <c r="F3760" s="246"/>
      <c r="G3760" s="225" t="e">
        <f aca="false">VLOOKUP(B3760,'NIVEL ENERO'!A:F,4,0)</f>
        <v>#N/A</v>
      </c>
      <c r="H3760" s="247"/>
      <c r="I3760" s="247"/>
      <c r="J3760" s="246"/>
      <c r="K3760" s="246"/>
      <c r="L3760" s="226"/>
      <c r="M3760" s="226"/>
      <c r="N3760" s="246"/>
      <c r="O3760" s="246"/>
      <c r="P3760" s="228"/>
      <c r="Q3760" s="245"/>
      <c r="R3760" s="186" t="str">
        <f aca="false">+PROPER(C3760&amp;" "&amp;D3760)</f>
        <v> </v>
      </c>
      <c r="S3760" s="230" t="n">
        <f aca="false">+YEARFRAC(L3760,$S$1)</f>
        <v>126.366666666667</v>
      </c>
      <c r="T3760" s="230" t="n">
        <f aca="false">+YEARFRAC(M3760,$S$1)</f>
        <v>126.366666666667</v>
      </c>
      <c r="U3760" s="231" t="n">
        <f aca="false">+$I3760</f>
        <v>0</v>
      </c>
      <c r="V3760" s="232" t="str">
        <f aca="false">+PROPER(F3760)</f>
        <v/>
      </c>
    </row>
    <row r="3761" customFormat="false" ht="14.25" hidden="false" customHeight="false" outlineLevel="0" collapsed="false">
      <c r="B3761" s="244"/>
      <c r="C3761" s="245"/>
      <c r="D3761" s="245"/>
      <c r="E3761" s="246"/>
      <c r="F3761" s="246"/>
      <c r="G3761" s="225" t="e">
        <f aca="false">VLOOKUP(B3761,'NIVEL ENERO'!A:F,4,0)</f>
        <v>#N/A</v>
      </c>
      <c r="H3761" s="247"/>
      <c r="I3761" s="247"/>
      <c r="J3761" s="246"/>
      <c r="K3761" s="246"/>
      <c r="L3761" s="226"/>
      <c r="M3761" s="226"/>
      <c r="N3761" s="246"/>
      <c r="O3761" s="246"/>
      <c r="P3761" s="228"/>
      <c r="Q3761" s="245"/>
      <c r="R3761" s="186" t="str">
        <f aca="false">+PROPER(C3761&amp;" "&amp;D3761)</f>
        <v> </v>
      </c>
      <c r="S3761" s="230" t="n">
        <f aca="false">+YEARFRAC(L3761,$S$1)</f>
        <v>126.366666666667</v>
      </c>
      <c r="T3761" s="230" t="n">
        <f aca="false">+YEARFRAC(M3761,$S$1)</f>
        <v>126.366666666667</v>
      </c>
      <c r="U3761" s="231" t="n">
        <f aca="false">+$I3761</f>
        <v>0</v>
      </c>
      <c r="V3761" s="232" t="str">
        <f aca="false">+PROPER(F3761)</f>
        <v/>
      </c>
    </row>
    <row r="3762" customFormat="false" ht="14.25" hidden="false" customHeight="false" outlineLevel="0" collapsed="false">
      <c r="B3762" s="244"/>
      <c r="C3762" s="245"/>
      <c r="D3762" s="245"/>
      <c r="E3762" s="246"/>
      <c r="F3762" s="246"/>
      <c r="G3762" s="225" t="e">
        <f aca="false">VLOOKUP(B3762,'NIVEL ENERO'!A:F,4,0)</f>
        <v>#N/A</v>
      </c>
      <c r="H3762" s="247"/>
      <c r="I3762" s="247"/>
      <c r="J3762" s="246"/>
      <c r="K3762" s="246"/>
      <c r="L3762" s="226"/>
      <c r="M3762" s="226"/>
      <c r="N3762" s="246"/>
      <c r="O3762" s="246"/>
      <c r="P3762" s="228"/>
      <c r="Q3762" s="245"/>
      <c r="R3762" s="186" t="str">
        <f aca="false">+PROPER(C3762&amp;" "&amp;D3762)</f>
        <v> </v>
      </c>
      <c r="S3762" s="230" t="n">
        <f aca="false">+YEARFRAC(L3762,$S$1)</f>
        <v>126.366666666667</v>
      </c>
      <c r="T3762" s="230" t="n">
        <f aca="false">+YEARFRAC(M3762,$S$1)</f>
        <v>126.366666666667</v>
      </c>
      <c r="U3762" s="231" t="n">
        <f aca="false">+$I3762</f>
        <v>0</v>
      </c>
      <c r="V3762" s="232" t="str">
        <f aca="false">+PROPER(F3762)</f>
        <v/>
      </c>
    </row>
    <row r="3763" customFormat="false" ht="14.25" hidden="false" customHeight="false" outlineLevel="0" collapsed="false">
      <c r="B3763" s="244"/>
      <c r="C3763" s="245"/>
      <c r="D3763" s="245"/>
      <c r="E3763" s="246"/>
      <c r="F3763" s="246"/>
      <c r="G3763" s="225" t="e">
        <f aca="false">VLOOKUP(B3763,'NIVEL ENERO'!A:F,4,0)</f>
        <v>#N/A</v>
      </c>
      <c r="H3763" s="247"/>
      <c r="I3763" s="247"/>
      <c r="J3763" s="246"/>
      <c r="K3763" s="246"/>
      <c r="L3763" s="226"/>
      <c r="M3763" s="226"/>
      <c r="N3763" s="246"/>
      <c r="O3763" s="246"/>
      <c r="P3763" s="228"/>
      <c r="Q3763" s="245"/>
      <c r="R3763" s="186" t="str">
        <f aca="false">+PROPER(C3763&amp;" "&amp;D3763)</f>
        <v> </v>
      </c>
      <c r="S3763" s="230" t="n">
        <f aca="false">+YEARFRAC(L3763,$S$1)</f>
        <v>126.366666666667</v>
      </c>
      <c r="T3763" s="230" t="n">
        <f aca="false">+YEARFRAC(M3763,$S$1)</f>
        <v>126.366666666667</v>
      </c>
      <c r="U3763" s="231" t="n">
        <f aca="false">+$I3763</f>
        <v>0</v>
      </c>
      <c r="V3763" s="232" t="str">
        <f aca="false">+PROPER(F3763)</f>
        <v/>
      </c>
    </row>
    <row r="3764" customFormat="false" ht="14.25" hidden="false" customHeight="false" outlineLevel="0" collapsed="false">
      <c r="B3764" s="244"/>
      <c r="C3764" s="245"/>
      <c r="D3764" s="245"/>
      <c r="E3764" s="246"/>
      <c r="F3764" s="246"/>
      <c r="G3764" s="225" t="e">
        <f aca="false">VLOOKUP(B3764,'NIVEL ENERO'!A:F,4,0)</f>
        <v>#N/A</v>
      </c>
      <c r="H3764" s="247"/>
      <c r="I3764" s="247"/>
      <c r="J3764" s="246"/>
      <c r="K3764" s="246"/>
      <c r="L3764" s="226"/>
      <c r="M3764" s="226"/>
      <c r="N3764" s="246"/>
      <c r="O3764" s="246"/>
      <c r="P3764" s="228"/>
      <c r="Q3764" s="245"/>
      <c r="R3764" s="186" t="str">
        <f aca="false">+PROPER(C3764&amp;" "&amp;D3764)</f>
        <v> </v>
      </c>
      <c r="S3764" s="230" t="n">
        <f aca="false">+YEARFRAC(L3764,$S$1)</f>
        <v>126.366666666667</v>
      </c>
      <c r="T3764" s="230" t="n">
        <f aca="false">+YEARFRAC(M3764,$S$1)</f>
        <v>126.366666666667</v>
      </c>
      <c r="U3764" s="231" t="n">
        <f aca="false">+$I3764</f>
        <v>0</v>
      </c>
      <c r="V3764" s="232" t="str">
        <f aca="false">+PROPER(F3764)</f>
        <v/>
      </c>
    </row>
    <row r="3765" customFormat="false" ht="14.25" hidden="false" customHeight="false" outlineLevel="0" collapsed="false">
      <c r="B3765" s="244"/>
      <c r="C3765" s="245"/>
      <c r="D3765" s="245"/>
      <c r="E3765" s="246"/>
      <c r="F3765" s="246"/>
      <c r="G3765" s="225" t="e">
        <f aca="false">VLOOKUP(B3765,'NIVEL ENERO'!A:F,4,0)</f>
        <v>#N/A</v>
      </c>
      <c r="H3765" s="247"/>
      <c r="I3765" s="247"/>
      <c r="J3765" s="246"/>
      <c r="K3765" s="246"/>
      <c r="L3765" s="226"/>
      <c r="M3765" s="226"/>
      <c r="N3765" s="246"/>
      <c r="O3765" s="246"/>
      <c r="P3765" s="228"/>
      <c r="Q3765" s="245"/>
      <c r="R3765" s="186" t="str">
        <f aca="false">+PROPER(C3765&amp;" "&amp;D3765)</f>
        <v> </v>
      </c>
      <c r="S3765" s="230" t="n">
        <f aca="false">+YEARFRAC(L3765,$S$1)</f>
        <v>126.366666666667</v>
      </c>
      <c r="T3765" s="230" t="n">
        <f aca="false">+YEARFRAC(M3765,$S$1)</f>
        <v>126.366666666667</v>
      </c>
      <c r="U3765" s="231" t="n">
        <f aca="false">+$I3765</f>
        <v>0</v>
      </c>
      <c r="V3765" s="232" t="str">
        <f aca="false">+PROPER(F3765)</f>
        <v/>
      </c>
    </row>
    <row r="3766" customFormat="false" ht="14.25" hidden="false" customHeight="false" outlineLevel="0" collapsed="false">
      <c r="B3766" s="244"/>
      <c r="C3766" s="245"/>
      <c r="D3766" s="245"/>
      <c r="E3766" s="246"/>
      <c r="F3766" s="246"/>
      <c r="G3766" s="225" t="e">
        <f aca="false">VLOOKUP(B3766,'NIVEL ENERO'!A:F,4,0)</f>
        <v>#N/A</v>
      </c>
      <c r="H3766" s="247"/>
      <c r="I3766" s="247"/>
      <c r="J3766" s="246"/>
      <c r="K3766" s="246"/>
      <c r="L3766" s="226"/>
      <c r="M3766" s="226"/>
      <c r="N3766" s="246"/>
      <c r="O3766" s="246"/>
      <c r="P3766" s="228"/>
      <c r="Q3766" s="245"/>
      <c r="R3766" s="186" t="str">
        <f aca="false">+PROPER(C3766&amp;" "&amp;D3766)</f>
        <v> </v>
      </c>
      <c r="S3766" s="230" t="n">
        <f aca="false">+YEARFRAC(L3766,$S$1)</f>
        <v>126.366666666667</v>
      </c>
      <c r="T3766" s="230" t="n">
        <f aca="false">+YEARFRAC(M3766,$S$1)</f>
        <v>126.366666666667</v>
      </c>
      <c r="U3766" s="231" t="n">
        <f aca="false">+$I3766</f>
        <v>0</v>
      </c>
      <c r="V3766" s="232" t="str">
        <f aca="false">+PROPER(F3766)</f>
        <v/>
      </c>
    </row>
    <row r="3767" customFormat="false" ht="14.25" hidden="false" customHeight="false" outlineLevel="0" collapsed="false">
      <c r="B3767" s="244"/>
      <c r="C3767" s="245"/>
      <c r="D3767" s="245"/>
      <c r="E3767" s="246"/>
      <c r="F3767" s="246"/>
      <c r="G3767" s="225" t="e">
        <f aca="false">VLOOKUP(B3767,'NIVEL ENERO'!A:F,4,0)</f>
        <v>#N/A</v>
      </c>
      <c r="H3767" s="247"/>
      <c r="I3767" s="247"/>
      <c r="J3767" s="246"/>
      <c r="K3767" s="246"/>
      <c r="L3767" s="226"/>
      <c r="M3767" s="226"/>
      <c r="N3767" s="246"/>
      <c r="O3767" s="246"/>
      <c r="P3767" s="228"/>
      <c r="Q3767" s="245"/>
      <c r="R3767" s="186" t="str">
        <f aca="false">+PROPER(C3767&amp;" "&amp;D3767)</f>
        <v> </v>
      </c>
      <c r="S3767" s="230" t="n">
        <f aca="false">+YEARFRAC(L3767,$S$1)</f>
        <v>126.366666666667</v>
      </c>
      <c r="T3767" s="230" t="n">
        <f aca="false">+YEARFRAC(M3767,$S$1)</f>
        <v>126.366666666667</v>
      </c>
      <c r="U3767" s="231" t="n">
        <f aca="false">+$I3767</f>
        <v>0</v>
      </c>
      <c r="V3767" s="232" t="str">
        <f aca="false">+PROPER(F3767)</f>
        <v/>
      </c>
    </row>
    <row r="3768" customFormat="false" ht="14.25" hidden="false" customHeight="false" outlineLevel="0" collapsed="false">
      <c r="B3768" s="244"/>
      <c r="C3768" s="245"/>
      <c r="D3768" s="245"/>
      <c r="E3768" s="246"/>
      <c r="F3768" s="246"/>
      <c r="G3768" s="225" t="e">
        <f aca="false">VLOOKUP(B3768,'NIVEL ENERO'!A:F,4,0)</f>
        <v>#N/A</v>
      </c>
      <c r="H3768" s="247"/>
      <c r="I3768" s="247"/>
      <c r="J3768" s="246"/>
      <c r="K3768" s="246"/>
      <c r="L3768" s="226"/>
      <c r="M3768" s="226"/>
      <c r="N3768" s="246"/>
      <c r="O3768" s="246"/>
      <c r="P3768" s="228"/>
      <c r="Q3768" s="245"/>
      <c r="R3768" s="186" t="str">
        <f aca="false">+PROPER(C3768&amp;" "&amp;D3768)</f>
        <v> </v>
      </c>
      <c r="S3768" s="230" t="n">
        <f aca="false">+YEARFRAC(L3768,$S$1)</f>
        <v>126.366666666667</v>
      </c>
      <c r="T3768" s="230" t="n">
        <f aca="false">+YEARFRAC(M3768,$S$1)</f>
        <v>126.366666666667</v>
      </c>
      <c r="U3768" s="231" t="n">
        <f aca="false">+$I3768</f>
        <v>0</v>
      </c>
      <c r="V3768" s="232" t="str">
        <f aca="false">+PROPER(F3768)</f>
        <v/>
      </c>
    </row>
    <row r="3769" customFormat="false" ht="14.25" hidden="false" customHeight="false" outlineLevel="0" collapsed="false">
      <c r="B3769" s="244"/>
      <c r="C3769" s="245"/>
      <c r="D3769" s="245"/>
      <c r="E3769" s="246"/>
      <c r="F3769" s="246"/>
      <c r="G3769" s="225" t="e">
        <f aca="false">VLOOKUP(B3769,'NIVEL ENERO'!A:F,4,0)</f>
        <v>#N/A</v>
      </c>
      <c r="H3769" s="247"/>
      <c r="I3769" s="247"/>
      <c r="J3769" s="246"/>
      <c r="K3769" s="246"/>
      <c r="L3769" s="226"/>
      <c r="M3769" s="226"/>
      <c r="N3769" s="246"/>
      <c r="O3769" s="246"/>
      <c r="P3769" s="228"/>
      <c r="Q3769" s="245"/>
      <c r="R3769" s="186" t="str">
        <f aca="false">+PROPER(C3769&amp;" "&amp;D3769)</f>
        <v> </v>
      </c>
      <c r="S3769" s="230" t="n">
        <f aca="false">+YEARFRAC(L3769,$S$1)</f>
        <v>126.366666666667</v>
      </c>
      <c r="T3769" s="230" t="n">
        <f aca="false">+YEARFRAC(M3769,$S$1)</f>
        <v>126.366666666667</v>
      </c>
      <c r="U3769" s="231" t="n">
        <f aca="false">+$I3769</f>
        <v>0</v>
      </c>
      <c r="V3769" s="232" t="str">
        <f aca="false">+PROPER(F3769)</f>
        <v/>
      </c>
    </row>
    <row r="3770" customFormat="false" ht="14.25" hidden="false" customHeight="false" outlineLevel="0" collapsed="false">
      <c r="B3770" s="244"/>
      <c r="C3770" s="245"/>
      <c r="D3770" s="245"/>
      <c r="E3770" s="246"/>
      <c r="F3770" s="246"/>
      <c r="G3770" s="225" t="e">
        <f aca="false">VLOOKUP(B3770,'NIVEL ENERO'!A:F,4,0)</f>
        <v>#N/A</v>
      </c>
      <c r="H3770" s="247"/>
      <c r="I3770" s="247"/>
      <c r="J3770" s="246"/>
      <c r="K3770" s="246"/>
      <c r="L3770" s="226"/>
      <c r="M3770" s="226"/>
      <c r="N3770" s="246"/>
      <c r="O3770" s="246"/>
      <c r="P3770" s="228"/>
      <c r="Q3770" s="245"/>
      <c r="R3770" s="186" t="str">
        <f aca="false">+PROPER(C3770&amp;" "&amp;D3770)</f>
        <v> </v>
      </c>
      <c r="S3770" s="230" t="n">
        <f aca="false">+YEARFRAC(L3770,$S$1)</f>
        <v>126.366666666667</v>
      </c>
      <c r="T3770" s="230" t="n">
        <f aca="false">+YEARFRAC(M3770,$S$1)</f>
        <v>126.366666666667</v>
      </c>
      <c r="U3770" s="231" t="n">
        <f aca="false">+$I3770</f>
        <v>0</v>
      </c>
      <c r="V3770" s="232" t="str">
        <f aca="false">+PROPER(F3770)</f>
        <v/>
      </c>
    </row>
    <row r="3771" customFormat="false" ht="14.25" hidden="false" customHeight="false" outlineLevel="0" collapsed="false">
      <c r="B3771" s="244"/>
      <c r="C3771" s="245"/>
      <c r="D3771" s="245"/>
      <c r="E3771" s="246"/>
      <c r="F3771" s="246"/>
      <c r="G3771" s="225" t="e">
        <f aca="false">VLOOKUP(B3771,'NIVEL ENERO'!A:F,4,0)</f>
        <v>#N/A</v>
      </c>
      <c r="H3771" s="247"/>
      <c r="I3771" s="247"/>
      <c r="J3771" s="246"/>
      <c r="K3771" s="246"/>
      <c r="L3771" s="226"/>
      <c r="M3771" s="226"/>
      <c r="N3771" s="246"/>
      <c r="O3771" s="246"/>
      <c r="P3771" s="228"/>
      <c r="Q3771" s="245"/>
      <c r="R3771" s="186" t="str">
        <f aca="false">+PROPER(C3771&amp;" "&amp;D3771)</f>
        <v> </v>
      </c>
      <c r="S3771" s="230" t="n">
        <f aca="false">+YEARFRAC(L3771,$S$1)</f>
        <v>126.366666666667</v>
      </c>
      <c r="T3771" s="230" t="n">
        <f aca="false">+YEARFRAC(M3771,$S$1)</f>
        <v>126.366666666667</v>
      </c>
      <c r="U3771" s="231" t="n">
        <f aca="false">+$I3771</f>
        <v>0</v>
      </c>
      <c r="V3771" s="232" t="str">
        <f aca="false">+PROPER(F3771)</f>
        <v/>
      </c>
    </row>
    <row r="3772" customFormat="false" ht="14.25" hidden="false" customHeight="false" outlineLevel="0" collapsed="false">
      <c r="B3772" s="244"/>
      <c r="C3772" s="245"/>
      <c r="D3772" s="245"/>
      <c r="E3772" s="246"/>
      <c r="F3772" s="246"/>
      <c r="G3772" s="225" t="e">
        <f aca="false">VLOOKUP(B3772,'NIVEL ENERO'!A:F,4,0)</f>
        <v>#N/A</v>
      </c>
      <c r="H3772" s="247"/>
      <c r="I3772" s="247"/>
      <c r="J3772" s="246"/>
      <c r="K3772" s="246"/>
      <c r="L3772" s="226"/>
      <c r="M3772" s="226"/>
      <c r="N3772" s="246"/>
      <c r="O3772" s="246"/>
      <c r="P3772" s="228"/>
      <c r="Q3772" s="245"/>
      <c r="R3772" s="186" t="str">
        <f aca="false">+PROPER(C3772&amp;" "&amp;D3772)</f>
        <v> </v>
      </c>
      <c r="S3772" s="230" t="n">
        <f aca="false">+YEARFRAC(L3772,$S$1)</f>
        <v>126.366666666667</v>
      </c>
      <c r="T3772" s="230" t="n">
        <f aca="false">+YEARFRAC(M3772,$S$1)</f>
        <v>126.366666666667</v>
      </c>
      <c r="U3772" s="231" t="n">
        <f aca="false">+$I3772</f>
        <v>0</v>
      </c>
      <c r="V3772" s="232" t="str">
        <f aca="false">+PROPER(F3772)</f>
        <v/>
      </c>
    </row>
    <row r="3773" customFormat="false" ht="14.25" hidden="false" customHeight="false" outlineLevel="0" collapsed="false">
      <c r="B3773" s="244"/>
      <c r="C3773" s="245"/>
      <c r="D3773" s="245"/>
      <c r="E3773" s="246"/>
      <c r="F3773" s="246"/>
      <c r="G3773" s="225" t="e">
        <f aca="false">VLOOKUP(B3773,'NIVEL ENERO'!A:F,4,0)</f>
        <v>#N/A</v>
      </c>
      <c r="H3773" s="247"/>
      <c r="I3773" s="247"/>
      <c r="J3773" s="246"/>
      <c r="K3773" s="246"/>
      <c r="L3773" s="226"/>
      <c r="M3773" s="226"/>
      <c r="N3773" s="246"/>
      <c r="O3773" s="246"/>
      <c r="P3773" s="228"/>
      <c r="Q3773" s="245"/>
      <c r="R3773" s="186" t="str">
        <f aca="false">+PROPER(C3773&amp;" "&amp;D3773)</f>
        <v> </v>
      </c>
      <c r="S3773" s="230" t="n">
        <f aca="false">+YEARFRAC(L3773,$S$1)</f>
        <v>126.366666666667</v>
      </c>
      <c r="T3773" s="230" t="n">
        <f aca="false">+YEARFRAC(M3773,$S$1)</f>
        <v>126.366666666667</v>
      </c>
      <c r="U3773" s="231" t="n">
        <f aca="false">+$I3773</f>
        <v>0</v>
      </c>
      <c r="V3773" s="232" t="str">
        <f aca="false">+PROPER(F3773)</f>
        <v/>
      </c>
    </row>
    <row r="3774" customFormat="false" ht="14.25" hidden="false" customHeight="false" outlineLevel="0" collapsed="false">
      <c r="B3774" s="244"/>
      <c r="C3774" s="245"/>
      <c r="D3774" s="245"/>
      <c r="E3774" s="246"/>
      <c r="F3774" s="246"/>
      <c r="G3774" s="225" t="e">
        <f aca="false">VLOOKUP(B3774,'NIVEL ENERO'!A:F,4,0)</f>
        <v>#N/A</v>
      </c>
      <c r="H3774" s="247"/>
      <c r="I3774" s="247"/>
      <c r="J3774" s="246"/>
      <c r="K3774" s="246"/>
      <c r="L3774" s="226"/>
      <c r="M3774" s="226"/>
      <c r="N3774" s="246"/>
      <c r="O3774" s="246"/>
      <c r="P3774" s="228"/>
      <c r="Q3774" s="245"/>
      <c r="R3774" s="186" t="str">
        <f aca="false">+PROPER(C3774&amp;" "&amp;D3774)</f>
        <v> </v>
      </c>
      <c r="S3774" s="230" t="n">
        <f aca="false">+YEARFRAC(L3774,$S$1)</f>
        <v>126.366666666667</v>
      </c>
      <c r="T3774" s="230" t="n">
        <f aca="false">+YEARFRAC(M3774,$S$1)</f>
        <v>126.366666666667</v>
      </c>
      <c r="U3774" s="231" t="n">
        <f aca="false">+$I3774</f>
        <v>0</v>
      </c>
      <c r="V3774" s="232" t="str">
        <f aca="false">+PROPER(F3774)</f>
        <v/>
      </c>
    </row>
    <row r="3775" customFormat="false" ht="14.25" hidden="false" customHeight="false" outlineLevel="0" collapsed="false">
      <c r="B3775" s="244"/>
      <c r="C3775" s="245"/>
      <c r="D3775" s="245"/>
      <c r="E3775" s="246"/>
      <c r="F3775" s="246"/>
      <c r="G3775" s="225" t="e">
        <f aca="false">VLOOKUP(B3775,'NIVEL ENERO'!A:F,4,0)</f>
        <v>#N/A</v>
      </c>
      <c r="H3775" s="247"/>
      <c r="I3775" s="247"/>
      <c r="J3775" s="246"/>
      <c r="K3775" s="246"/>
      <c r="L3775" s="226"/>
      <c r="M3775" s="226"/>
      <c r="N3775" s="246"/>
      <c r="O3775" s="246"/>
      <c r="P3775" s="228"/>
      <c r="Q3775" s="245"/>
      <c r="R3775" s="186" t="str">
        <f aca="false">+PROPER(C3775&amp;" "&amp;D3775)</f>
        <v> </v>
      </c>
      <c r="S3775" s="230" t="n">
        <f aca="false">+YEARFRAC(L3775,$S$1)</f>
        <v>126.366666666667</v>
      </c>
      <c r="T3775" s="230" t="n">
        <f aca="false">+YEARFRAC(M3775,$S$1)</f>
        <v>126.366666666667</v>
      </c>
      <c r="U3775" s="231" t="n">
        <f aca="false">+$I3775</f>
        <v>0</v>
      </c>
      <c r="V3775" s="232" t="str">
        <f aca="false">+PROPER(F3775)</f>
        <v/>
      </c>
    </row>
    <row r="3776" customFormat="false" ht="14.25" hidden="false" customHeight="false" outlineLevel="0" collapsed="false">
      <c r="B3776" s="244"/>
      <c r="C3776" s="245"/>
      <c r="D3776" s="245"/>
      <c r="E3776" s="246"/>
      <c r="F3776" s="246"/>
      <c r="G3776" s="225" t="e">
        <f aca="false">VLOOKUP(B3776,'NIVEL ENERO'!A:F,4,0)</f>
        <v>#N/A</v>
      </c>
      <c r="H3776" s="247"/>
      <c r="I3776" s="247"/>
      <c r="J3776" s="246"/>
      <c r="K3776" s="246"/>
      <c r="L3776" s="226"/>
      <c r="M3776" s="226"/>
      <c r="N3776" s="246"/>
      <c r="O3776" s="246"/>
      <c r="P3776" s="228"/>
      <c r="Q3776" s="245"/>
      <c r="R3776" s="186" t="str">
        <f aca="false">+PROPER(C3776&amp;" "&amp;D3776)</f>
        <v> </v>
      </c>
      <c r="S3776" s="230" t="n">
        <f aca="false">+YEARFRAC(L3776,$S$1)</f>
        <v>126.366666666667</v>
      </c>
      <c r="T3776" s="230" t="n">
        <f aca="false">+YEARFRAC(M3776,$S$1)</f>
        <v>126.366666666667</v>
      </c>
      <c r="U3776" s="231" t="n">
        <f aca="false">+$I3776</f>
        <v>0</v>
      </c>
      <c r="V3776" s="232" t="str">
        <f aca="false">+PROPER(F3776)</f>
        <v/>
      </c>
    </row>
    <row r="3777" customFormat="false" ht="14.25" hidden="false" customHeight="false" outlineLevel="0" collapsed="false">
      <c r="B3777" s="244"/>
      <c r="C3777" s="245"/>
      <c r="D3777" s="245"/>
      <c r="E3777" s="246"/>
      <c r="F3777" s="246"/>
      <c r="G3777" s="225" t="e">
        <f aca="false">VLOOKUP(B3777,'NIVEL ENERO'!A:F,4,0)</f>
        <v>#N/A</v>
      </c>
      <c r="H3777" s="247"/>
      <c r="I3777" s="247"/>
      <c r="J3777" s="246"/>
      <c r="K3777" s="246"/>
      <c r="L3777" s="226"/>
      <c r="M3777" s="226"/>
      <c r="N3777" s="246"/>
      <c r="O3777" s="246"/>
      <c r="P3777" s="228"/>
      <c r="Q3777" s="245"/>
      <c r="R3777" s="186" t="str">
        <f aca="false">+PROPER(C3777&amp;" "&amp;D3777)</f>
        <v> </v>
      </c>
      <c r="S3777" s="230" t="n">
        <f aca="false">+YEARFRAC(L3777,$S$1)</f>
        <v>126.366666666667</v>
      </c>
      <c r="T3777" s="230" t="n">
        <f aca="false">+YEARFRAC(M3777,$S$1)</f>
        <v>126.366666666667</v>
      </c>
      <c r="U3777" s="231" t="n">
        <f aca="false">+$I3777</f>
        <v>0</v>
      </c>
      <c r="V3777" s="232" t="str">
        <f aca="false">+PROPER(F3777)</f>
        <v/>
      </c>
    </row>
    <row r="3778" customFormat="false" ht="14.25" hidden="false" customHeight="false" outlineLevel="0" collapsed="false">
      <c r="B3778" s="244"/>
      <c r="C3778" s="245"/>
      <c r="D3778" s="245"/>
      <c r="E3778" s="246"/>
      <c r="F3778" s="246"/>
      <c r="G3778" s="225" t="e">
        <f aca="false">VLOOKUP(B3778,'NIVEL ENERO'!A:F,4,0)</f>
        <v>#N/A</v>
      </c>
      <c r="H3778" s="247"/>
      <c r="I3778" s="247"/>
      <c r="J3778" s="246"/>
      <c r="K3778" s="246"/>
      <c r="L3778" s="226"/>
      <c r="M3778" s="226"/>
      <c r="N3778" s="246"/>
      <c r="O3778" s="246"/>
      <c r="P3778" s="228"/>
      <c r="Q3778" s="245"/>
      <c r="R3778" s="186" t="str">
        <f aca="false">+PROPER(C3778&amp;" "&amp;D3778)</f>
        <v> </v>
      </c>
      <c r="S3778" s="230" t="n">
        <f aca="false">+YEARFRAC(L3778,$S$1)</f>
        <v>126.366666666667</v>
      </c>
      <c r="T3778" s="230" t="n">
        <f aca="false">+YEARFRAC(M3778,$S$1)</f>
        <v>126.366666666667</v>
      </c>
      <c r="U3778" s="231" t="n">
        <f aca="false">+$I3778</f>
        <v>0</v>
      </c>
      <c r="V3778" s="232" t="str">
        <f aca="false">+PROPER(F3778)</f>
        <v/>
      </c>
    </row>
    <row r="3779" customFormat="false" ht="14.25" hidden="false" customHeight="false" outlineLevel="0" collapsed="false">
      <c r="B3779" s="244"/>
      <c r="C3779" s="245"/>
      <c r="D3779" s="245"/>
      <c r="E3779" s="246"/>
      <c r="F3779" s="246"/>
      <c r="G3779" s="225" t="e">
        <f aca="false">VLOOKUP(B3779,'NIVEL ENERO'!A:F,4,0)</f>
        <v>#N/A</v>
      </c>
      <c r="H3779" s="247"/>
      <c r="I3779" s="247"/>
      <c r="J3779" s="246"/>
      <c r="K3779" s="246"/>
      <c r="L3779" s="226"/>
      <c r="M3779" s="226"/>
      <c r="N3779" s="246"/>
      <c r="O3779" s="246"/>
      <c r="P3779" s="228"/>
      <c r="Q3779" s="245"/>
      <c r="R3779" s="186" t="str">
        <f aca="false">+PROPER(C3779&amp;" "&amp;D3779)</f>
        <v> </v>
      </c>
      <c r="S3779" s="230" t="n">
        <f aca="false">+YEARFRAC(L3779,$S$1)</f>
        <v>126.366666666667</v>
      </c>
      <c r="T3779" s="230" t="n">
        <f aca="false">+YEARFRAC(M3779,$S$1)</f>
        <v>126.366666666667</v>
      </c>
      <c r="U3779" s="231" t="n">
        <f aca="false">+$I3779</f>
        <v>0</v>
      </c>
      <c r="V3779" s="232" t="str">
        <f aca="false">+PROPER(F3779)</f>
        <v/>
      </c>
    </row>
    <row r="3780" customFormat="false" ht="14.25" hidden="false" customHeight="false" outlineLevel="0" collapsed="false">
      <c r="B3780" s="244"/>
      <c r="C3780" s="245"/>
      <c r="D3780" s="245"/>
      <c r="E3780" s="246"/>
      <c r="F3780" s="246"/>
      <c r="G3780" s="225" t="e">
        <f aca="false">VLOOKUP(B3780,'NIVEL ENERO'!A:F,4,0)</f>
        <v>#N/A</v>
      </c>
      <c r="H3780" s="247"/>
      <c r="I3780" s="247"/>
      <c r="J3780" s="246"/>
      <c r="K3780" s="246"/>
      <c r="L3780" s="226"/>
      <c r="M3780" s="226"/>
      <c r="N3780" s="246"/>
      <c r="O3780" s="246"/>
      <c r="P3780" s="228"/>
      <c r="Q3780" s="245"/>
      <c r="R3780" s="186" t="str">
        <f aca="false">+PROPER(C3780&amp;" "&amp;D3780)</f>
        <v> </v>
      </c>
      <c r="S3780" s="230" t="n">
        <f aca="false">+YEARFRAC(L3780,$S$1)</f>
        <v>126.366666666667</v>
      </c>
      <c r="T3780" s="230" t="n">
        <f aca="false">+YEARFRAC(M3780,$S$1)</f>
        <v>126.366666666667</v>
      </c>
      <c r="U3780" s="231" t="n">
        <f aca="false">+$I3780</f>
        <v>0</v>
      </c>
      <c r="V3780" s="232" t="str">
        <f aca="false">+PROPER(F3780)</f>
        <v/>
      </c>
    </row>
    <row r="3781" customFormat="false" ht="14.25" hidden="false" customHeight="false" outlineLevel="0" collapsed="false">
      <c r="B3781" s="244"/>
      <c r="C3781" s="245"/>
      <c r="D3781" s="245"/>
      <c r="E3781" s="246"/>
      <c r="F3781" s="246"/>
      <c r="G3781" s="225" t="e">
        <f aca="false">VLOOKUP(B3781,'NIVEL ENERO'!A:F,4,0)</f>
        <v>#N/A</v>
      </c>
      <c r="H3781" s="247"/>
      <c r="I3781" s="247"/>
      <c r="J3781" s="246"/>
      <c r="K3781" s="246"/>
      <c r="L3781" s="226"/>
      <c r="M3781" s="226"/>
      <c r="N3781" s="246"/>
      <c r="O3781" s="246"/>
      <c r="P3781" s="228"/>
      <c r="Q3781" s="245"/>
      <c r="R3781" s="186" t="str">
        <f aca="false">+PROPER(C3781&amp;" "&amp;D3781)</f>
        <v> </v>
      </c>
      <c r="S3781" s="230" t="n">
        <f aca="false">+YEARFRAC(L3781,$S$1)</f>
        <v>126.366666666667</v>
      </c>
      <c r="T3781" s="230" t="n">
        <f aca="false">+YEARFRAC(M3781,$S$1)</f>
        <v>126.366666666667</v>
      </c>
      <c r="U3781" s="231" t="n">
        <f aca="false">+$I3781</f>
        <v>0</v>
      </c>
      <c r="V3781" s="232" t="str">
        <f aca="false">+PROPER(F3781)</f>
        <v/>
      </c>
    </row>
    <row r="3782" customFormat="false" ht="14.25" hidden="false" customHeight="false" outlineLevel="0" collapsed="false">
      <c r="B3782" s="244"/>
      <c r="C3782" s="245"/>
      <c r="D3782" s="245"/>
      <c r="E3782" s="246"/>
      <c r="F3782" s="246"/>
      <c r="G3782" s="225" t="e">
        <f aca="false">VLOOKUP(B3782,'NIVEL ENERO'!A:F,4,0)</f>
        <v>#N/A</v>
      </c>
      <c r="H3782" s="247"/>
      <c r="I3782" s="247"/>
      <c r="J3782" s="246"/>
      <c r="K3782" s="246"/>
      <c r="L3782" s="226"/>
      <c r="M3782" s="226"/>
      <c r="N3782" s="246"/>
      <c r="O3782" s="246"/>
      <c r="P3782" s="228"/>
      <c r="Q3782" s="245"/>
      <c r="R3782" s="186" t="str">
        <f aca="false">+PROPER(C3782&amp;" "&amp;D3782)</f>
        <v> </v>
      </c>
      <c r="S3782" s="230" t="n">
        <f aca="false">+YEARFRAC(L3782,$S$1)</f>
        <v>126.366666666667</v>
      </c>
      <c r="T3782" s="230" t="n">
        <f aca="false">+YEARFRAC(M3782,$S$1)</f>
        <v>126.366666666667</v>
      </c>
      <c r="U3782" s="231" t="n">
        <f aca="false">+$I3782</f>
        <v>0</v>
      </c>
      <c r="V3782" s="232" t="str">
        <f aca="false">+PROPER(F3782)</f>
        <v/>
      </c>
    </row>
    <row r="3783" customFormat="false" ht="14.25" hidden="false" customHeight="false" outlineLevel="0" collapsed="false">
      <c r="B3783" s="244"/>
      <c r="C3783" s="245"/>
      <c r="D3783" s="245"/>
      <c r="E3783" s="246"/>
      <c r="F3783" s="246"/>
      <c r="G3783" s="225" t="e">
        <f aca="false">VLOOKUP(B3783,'NIVEL ENERO'!A:F,4,0)</f>
        <v>#N/A</v>
      </c>
      <c r="H3783" s="247"/>
      <c r="I3783" s="247"/>
      <c r="J3783" s="246"/>
      <c r="K3783" s="246"/>
      <c r="L3783" s="226"/>
      <c r="M3783" s="226"/>
      <c r="N3783" s="246"/>
      <c r="O3783" s="246"/>
      <c r="P3783" s="228"/>
      <c r="Q3783" s="245"/>
      <c r="R3783" s="186" t="str">
        <f aca="false">+PROPER(C3783&amp;" "&amp;D3783)</f>
        <v> </v>
      </c>
      <c r="S3783" s="230" t="n">
        <f aca="false">+YEARFRAC(L3783,$S$1)</f>
        <v>126.366666666667</v>
      </c>
      <c r="T3783" s="230" t="n">
        <f aca="false">+YEARFRAC(M3783,$S$1)</f>
        <v>126.366666666667</v>
      </c>
      <c r="U3783" s="231" t="n">
        <f aca="false">+$I3783</f>
        <v>0</v>
      </c>
      <c r="V3783" s="232" t="str">
        <f aca="false">+PROPER(F3783)</f>
        <v/>
      </c>
    </row>
    <row r="3784" customFormat="false" ht="14.25" hidden="false" customHeight="false" outlineLevel="0" collapsed="false">
      <c r="B3784" s="244"/>
      <c r="C3784" s="245"/>
      <c r="D3784" s="245"/>
      <c r="E3784" s="246"/>
      <c r="F3784" s="246"/>
      <c r="G3784" s="225" t="e">
        <f aca="false">VLOOKUP(B3784,'NIVEL ENERO'!A:F,4,0)</f>
        <v>#N/A</v>
      </c>
      <c r="H3784" s="247"/>
      <c r="I3784" s="247"/>
      <c r="J3784" s="246"/>
      <c r="K3784" s="246"/>
      <c r="L3784" s="226"/>
      <c r="M3784" s="226"/>
      <c r="N3784" s="246"/>
      <c r="O3784" s="246"/>
      <c r="P3784" s="228"/>
      <c r="Q3784" s="245"/>
      <c r="R3784" s="186" t="str">
        <f aca="false">+PROPER(C3784&amp;" "&amp;D3784)</f>
        <v> </v>
      </c>
      <c r="S3784" s="230" t="n">
        <f aca="false">+YEARFRAC(L3784,$S$1)</f>
        <v>126.366666666667</v>
      </c>
      <c r="T3784" s="230" t="n">
        <f aca="false">+YEARFRAC(M3784,$S$1)</f>
        <v>126.366666666667</v>
      </c>
      <c r="U3784" s="231" t="n">
        <f aca="false">+$I3784</f>
        <v>0</v>
      </c>
      <c r="V3784" s="232" t="str">
        <f aca="false">+PROPER(F3784)</f>
        <v/>
      </c>
    </row>
    <row r="3785" customFormat="false" ht="14.25" hidden="false" customHeight="false" outlineLevel="0" collapsed="false">
      <c r="B3785" s="244"/>
      <c r="C3785" s="245"/>
      <c r="D3785" s="245"/>
      <c r="E3785" s="246"/>
      <c r="F3785" s="246"/>
      <c r="G3785" s="225" t="e">
        <f aca="false">VLOOKUP(B3785,'NIVEL ENERO'!A:F,4,0)</f>
        <v>#N/A</v>
      </c>
      <c r="H3785" s="247"/>
      <c r="I3785" s="247"/>
      <c r="J3785" s="246"/>
      <c r="K3785" s="246"/>
      <c r="L3785" s="226"/>
      <c r="M3785" s="226"/>
      <c r="N3785" s="246"/>
      <c r="O3785" s="246"/>
      <c r="P3785" s="228"/>
      <c r="Q3785" s="245"/>
      <c r="R3785" s="186" t="str">
        <f aca="false">+PROPER(C3785&amp;" "&amp;D3785)</f>
        <v> </v>
      </c>
      <c r="S3785" s="230" t="n">
        <f aca="false">+YEARFRAC(L3785,$S$1)</f>
        <v>126.366666666667</v>
      </c>
      <c r="T3785" s="230" t="n">
        <f aca="false">+YEARFRAC(M3785,$S$1)</f>
        <v>126.366666666667</v>
      </c>
      <c r="U3785" s="231" t="n">
        <f aca="false">+$I3785</f>
        <v>0</v>
      </c>
      <c r="V3785" s="232" t="str">
        <f aca="false">+PROPER(F3785)</f>
        <v/>
      </c>
    </row>
    <row r="3786" customFormat="false" ht="14.25" hidden="false" customHeight="false" outlineLevel="0" collapsed="false">
      <c r="B3786" s="244"/>
      <c r="C3786" s="245"/>
      <c r="D3786" s="245"/>
      <c r="E3786" s="246"/>
      <c r="F3786" s="246"/>
      <c r="G3786" s="225" t="e">
        <f aca="false">VLOOKUP(B3786,'NIVEL ENERO'!A:F,4,0)</f>
        <v>#N/A</v>
      </c>
      <c r="H3786" s="247"/>
      <c r="I3786" s="247"/>
      <c r="J3786" s="246"/>
      <c r="K3786" s="246"/>
      <c r="L3786" s="226"/>
      <c r="M3786" s="226"/>
      <c r="N3786" s="246"/>
      <c r="O3786" s="246"/>
      <c r="P3786" s="228"/>
      <c r="Q3786" s="245"/>
      <c r="R3786" s="186" t="str">
        <f aca="false">+PROPER(C3786&amp;" "&amp;D3786)</f>
        <v> </v>
      </c>
      <c r="S3786" s="230" t="n">
        <f aca="false">+YEARFRAC(L3786,$S$1)</f>
        <v>126.366666666667</v>
      </c>
      <c r="T3786" s="230" t="n">
        <f aca="false">+YEARFRAC(M3786,$S$1)</f>
        <v>126.366666666667</v>
      </c>
      <c r="U3786" s="231" t="n">
        <f aca="false">+$I3786</f>
        <v>0</v>
      </c>
      <c r="V3786" s="232" t="str">
        <f aca="false">+PROPER(F3786)</f>
        <v/>
      </c>
    </row>
    <row r="3787" customFormat="false" ht="14.25" hidden="false" customHeight="false" outlineLevel="0" collapsed="false">
      <c r="B3787" s="244"/>
      <c r="C3787" s="245"/>
      <c r="D3787" s="245"/>
      <c r="E3787" s="246"/>
      <c r="F3787" s="246"/>
      <c r="G3787" s="225" t="e">
        <f aca="false">VLOOKUP(B3787,'NIVEL ENERO'!A:F,4,0)</f>
        <v>#N/A</v>
      </c>
      <c r="H3787" s="247"/>
      <c r="I3787" s="247"/>
      <c r="J3787" s="246"/>
      <c r="K3787" s="246"/>
      <c r="L3787" s="226"/>
      <c r="M3787" s="226"/>
      <c r="N3787" s="246"/>
      <c r="O3787" s="246"/>
      <c r="P3787" s="228"/>
      <c r="Q3787" s="245"/>
      <c r="R3787" s="186" t="str">
        <f aca="false">+PROPER(C3787&amp;" "&amp;D3787)</f>
        <v> </v>
      </c>
      <c r="S3787" s="230" t="n">
        <f aca="false">+YEARFRAC(L3787,$S$1)</f>
        <v>126.366666666667</v>
      </c>
      <c r="T3787" s="230" t="n">
        <f aca="false">+YEARFRAC(M3787,$S$1)</f>
        <v>126.366666666667</v>
      </c>
      <c r="U3787" s="231" t="n">
        <f aca="false">+$I3787</f>
        <v>0</v>
      </c>
      <c r="V3787" s="232" t="str">
        <f aca="false">+PROPER(F3787)</f>
        <v/>
      </c>
    </row>
    <row r="3788" customFormat="false" ht="14.25" hidden="false" customHeight="false" outlineLevel="0" collapsed="false">
      <c r="B3788" s="244"/>
      <c r="C3788" s="245"/>
      <c r="D3788" s="245"/>
      <c r="E3788" s="246"/>
      <c r="F3788" s="246"/>
      <c r="G3788" s="225" t="e">
        <f aca="false">VLOOKUP(B3788,'NIVEL ENERO'!A:F,4,0)</f>
        <v>#N/A</v>
      </c>
      <c r="H3788" s="247"/>
      <c r="I3788" s="247"/>
      <c r="J3788" s="246"/>
      <c r="K3788" s="246"/>
      <c r="L3788" s="226"/>
      <c r="M3788" s="226"/>
      <c r="N3788" s="246"/>
      <c r="O3788" s="246"/>
      <c r="P3788" s="228"/>
      <c r="Q3788" s="245"/>
      <c r="R3788" s="186" t="str">
        <f aca="false">+PROPER(C3788&amp;" "&amp;D3788)</f>
        <v> </v>
      </c>
      <c r="S3788" s="230" t="n">
        <f aca="false">+YEARFRAC(L3788,$S$1)</f>
        <v>126.366666666667</v>
      </c>
      <c r="T3788" s="230" t="n">
        <f aca="false">+YEARFRAC(M3788,$S$1)</f>
        <v>126.366666666667</v>
      </c>
      <c r="U3788" s="231" t="n">
        <f aca="false">+$I3788</f>
        <v>0</v>
      </c>
      <c r="V3788" s="232" t="str">
        <f aca="false">+PROPER(F3788)</f>
        <v/>
      </c>
    </row>
    <row r="3789" customFormat="false" ht="14.25" hidden="false" customHeight="false" outlineLevel="0" collapsed="false">
      <c r="B3789" s="244"/>
      <c r="C3789" s="245"/>
      <c r="D3789" s="245"/>
      <c r="E3789" s="246"/>
      <c r="F3789" s="246"/>
      <c r="G3789" s="225" t="e">
        <f aca="false">VLOOKUP(B3789,'NIVEL ENERO'!A:F,4,0)</f>
        <v>#N/A</v>
      </c>
      <c r="H3789" s="247"/>
      <c r="I3789" s="247"/>
      <c r="J3789" s="246"/>
      <c r="K3789" s="246"/>
      <c r="L3789" s="226"/>
      <c r="M3789" s="226"/>
      <c r="N3789" s="246"/>
      <c r="O3789" s="246"/>
      <c r="P3789" s="228"/>
      <c r="Q3789" s="245"/>
      <c r="R3789" s="186" t="str">
        <f aca="false">+PROPER(C3789&amp;" "&amp;D3789)</f>
        <v> </v>
      </c>
      <c r="S3789" s="230" t="n">
        <f aca="false">+YEARFRAC(L3789,$S$1)</f>
        <v>126.366666666667</v>
      </c>
      <c r="T3789" s="230" t="n">
        <f aca="false">+YEARFRAC(M3789,$S$1)</f>
        <v>126.366666666667</v>
      </c>
      <c r="U3789" s="231" t="n">
        <f aca="false">+$I3789</f>
        <v>0</v>
      </c>
      <c r="V3789" s="232" t="str">
        <f aca="false">+PROPER(F3789)</f>
        <v/>
      </c>
    </row>
    <row r="3790" customFormat="false" ht="14.25" hidden="false" customHeight="false" outlineLevel="0" collapsed="false">
      <c r="B3790" s="244"/>
      <c r="C3790" s="245"/>
      <c r="D3790" s="245"/>
      <c r="E3790" s="246"/>
      <c r="F3790" s="246"/>
      <c r="G3790" s="225" t="e">
        <f aca="false">VLOOKUP(B3790,'NIVEL ENERO'!A:F,4,0)</f>
        <v>#N/A</v>
      </c>
      <c r="H3790" s="247"/>
      <c r="I3790" s="247"/>
      <c r="J3790" s="246"/>
      <c r="K3790" s="246"/>
      <c r="L3790" s="226"/>
      <c r="M3790" s="226"/>
      <c r="N3790" s="246"/>
      <c r="O3790" s="246"/>
      <c r="P3790" s="228"/>
      <c r="Q3790" s="245"/>
      <c r="R3790" s="186" t="str">
        <f aca="false">+PROPER(C3790&amp;" "&amp;D3790)</f>
        <v> </v>
      </c>
      <c r="S3790" s="230" t="n">
        <f aca="false">+YEARFRAC(L3790,$S$1)</f>
        <v>126.366666666667</v>
      </c>
      <c r="T3790" s="230" t="n">
        <f aca="false">+YEARFRAC(M3790,$S$1)</f>
        <v>126.366666666667</v>
      </c>
      <c r="U3790" s="231" t="n">
        <f aca="false">+$I3790</f>
        <v>0</v>
      </c>
      <c r="V3790" s="232" t="str">
        <f aca="false">+PROPER(F3790)</f>
        <v/>
      </c>
    </row>
    <row r="3791" customFormat="false" ht="14.25" hidden="false" customHeight="false" outlineLevel="0" collapsed="false">
      <c r="B3791" s="244"/>
      <c r="C3791" s="245"/>
      <c r="D3791" s="245"/>
      <c r="E3791" s="246"/>
      <c r="F3791" s="246"/>
      <c r="G3791" s="225" t="e">
        <f aca="false">VLOOKUP(B3791,'NIVEL ENERO'!A:F,4,0)</f>
        <v>#N/A</v>
      </c>
      <c r="H3791" s="247"/>
      <c r="I3791" s="247"/>
      <c r="J3791" s="246"/>
      <c r="K3791" s="246"/>
      <c r="L3791" s="226"/>
      <c r="M3791" s="226"/>
      <c r="N3791" s="246"/>
      <c r="O3791" s="246"/>
      <c r="P3791" s="228"/>
      <c r="Q3791" s="245"/>
      <c r="R3791" s="186" t="str">
        <f aca="false">+PROPER(C3791&amp;" "&amp;D3791)</f>
        <v> </v>
      </c>
      <c r="S3791" s="230" t="n">
        <f aca="false">+YEARFRAC(L3791,$S$1)</f>
        <v>126.366666666667</v>
      </c>
      <c r="T3791" s="230" t="n">
        <f aca="false">+YEARFRAC(M3791,$S$1)</f>
        <v>126.366666666667</v>
      </c>
      <c r="U3791" s="231" t="n">
        <f aca="false">+$I3791</f>
        <v>0</v>
      </c>
      <c r="V3791" s="232" t="str">
        <f aca="false">+PROPER(F3791)</f>
        <v/>
      </c>
    </row>
    <row r="3792" customFormat="false" ht="14.25" hidden="false" customHeight="false" outlineLevel="0" collapsed="false">
      <c r="B3792" s="244"/>
      <c r="C3792" s="245"/>
      <c r="D3792" s="245"/>
      <c r="E3792" s="246"/>
      <c r="F3792" s="246"/>
      <c r="G3792" s="225" t="e">
        <f aca="false">VLOOKUP(B3792,'NIVEL ENERO'!A:F,4,0)</f>
        <v>#N/A</v>
      </c>
      <c r="H3792" s="247"/>
      <c r="I3792" s="247"/>
      <c r="J3792" s="246"/>
      <c r="K3792" s="246"/>
      <c r="L3792" s="226"/>
      <c r="M3792" s="226"/>
      <c r="N3792" s="246"/>
      <c r="O3792" s="246"/>
      <c r="P3792" s="228"/>
      <c r="Q3792" s="245"/>
      <c r="R3792" s="186" t="str">
        <f aca="false">+PROPER(C3792&amp;" "&amp;D3792)</f>
        <v> </v>
      </c>
      <c r="S3792" s="230" t="n">
        <f aca="false">+YEARFRAC(L3792,$S$1)</f>
        <v>126.366666666667</v>
      </c>
      <c r="T3792" s="230" t="n">
        <f aca="false">+YEARFRAC(M3792,$S$1)</f>
        <v>126.366666666667</v>
      </c>
      <c r="U3792" s="231" t="n">
        <f aca="false">+$I3792</f>
        <v>0</v>
      </c>
      <c r="V3792" s="232" t="str">
        <f aca="false">+PROPER(F3792)</f>
        <v/>
      </c>
    </row>
    <row r="3793" customFormat="false" ht="14.25" hidden="false" customHeight="false" outlineLevel="0" collapsed="false">
      <c r="B3793" s="244"/>
      <c r="C3793" s="245"/>
      <c r="D3793" s="245"/>
      <c r="E3793" s="246"/>
      <c r="F3793" s="246"/>
      <c r="G3793" s="225" t="e">
        <f aca="false">VLOOKUP(B3793,'NIVEL ENERO'!A:F,4,0)</f>
        <v>#N/A</v>
      </c>
      <c r="H3793" s="247"/>
      <c r="I3793" s="247"/>
      <c r="J3793" s="246"/>
      <c r="K3793" s="246"/>
      <c r="L3793" s="226"/>
      <c r="M3793" s="226"/>
      <c r="N3793" s="246"/>
      <c r="O3793" s="246"/>
      <c r="P3793" s="228"/>
      <c r="Q3793" s="245"/>
      <c r="R3793" s="186" t="str">
        <f aca="false">+PROPER(C3793&amp;" "&amp;D3793)</f>
        <v> </v>
      </c>
      <c r="S3793" s="230" t="n">
        <f aca="false">+YEARFRAC(L3793,$S$1)</f>
        <v>126.366666666667</v>
      </c>
      <c r="T3793" s="230" t="n">
        <f aca="false">+YEARFRAC(M3793,$S$1)</f>
        <v>126.366666666667</v>
      </c>
      <c r="U3793" s="231" t="n">
        <f aca="false">+$I3793</f>
        <v>0</v>
      </c>
      <c r="V3793" s="232" t="str">
        <f aca="false">+PROPER(F3793)</f>
        <v/>
      </c>
    </row>
    <row r="3794" customFormat="false" ht="14.25" hidden="false" customHeight="false" outlineLevel="0" collapsed="false">
      <c r="B3794" s="244"/>
      <c r="C3794" s="245"/>
      <c r="D3794" s="245"/>
      <c r="E3794" s="246"/>
      <c r="F3794" s="246"/>
      <c r="G3794" s="225" t="e">
        <f aca="false">VLOOKUP(B3794,'NIVEL ENERO'!A:F,4,0)</f>
        <v>#N/A</v>
      </c>
      <c r="H3794" s="247"/>
      <c r="I3794" s="247"/>
      <c r="J3794" s="246"/>
      <c r="K3794" s="246"/>
      <c r="L3794" s="226"/>
      <c r="M3794" s="226"/>
      <c r="N3794" s="246"/>
      <c r="O3794" s="246"/>
      <c r="P3794" s="228"/>
      <c r="Q3794" s="245"/>
      <c r="R3794" s="186" t="str">
        <f aca="false">+PROPER(C3794&amp;" "&amp;D3794)</f>
        <v> </v>
      </c>
      <c r="S3794" s="230" t="n">
        <f aca="false">+YEARFRAC(L3794,$S$1)</f>
        <v>126.366666666667</v>
      </c>
      <c r="T3794" s="230" t="n">
        <f aca="false">+YEARFRAC(M3794,$S$1)</f>
        <v>126.366666666667</v>
      </c>
      <c r="U3794" s="231" t="n">
        <f aca="false">+$I3794</f>
        <v>0</v>
      </c>
      <c r="V3794" s="232" t="str">
        <f aca="false">+PROPER(F3794)</f>
        <v/>
      </c>
    </row>
    <row r="3795" customFormat="false" ht="14.25" hidden="false" customHeight="false" outlineLevel="0" collapsed="false">
      <c r="B3795" s="244"/>
      <c r="C3795" s="245"/>
      <c r="D3795" s="245"/>
      <c r="E3795" s="246"/>
      <c r="F3795" s="246"/>
      <c r="G3795" s="225" t="e">
        <f aca="false">VLOOKUP(B3795,'NIVEL ENERO'!A:F,4,0)</f>
        <v>#N/A</v>
      </c>
      <c r="H3795" s="247"/>
      <c r="I3795" s="247"/>
      <c r="J3795" s="246"/>
      <c r="K3795" s="246"/>
      <c r="L3795" s="226"/>
      <c r="M3795" s="226"/>
      <c r="N3795" s="246"/>
      <c r="O3795" s="246"/>
      <c r="P3795" s="228"/>
      <c r="Q3795" s="245"/>
      <c r="R3795" s="186" t="str">
        <f aca="false">+PROPER(C3795&amp;" "&amp;D3795)</f>
        <v> </v>
      </c>
      <c r="S3795" s="230" t="n">
        <f aca="false">+YEARFRAC(L3795,$S$1)</f>
        <v>126.366666666667</v>
      </c>
      <c r="T3795" s="230" t="n">
        <f aca="false">+YEARFRAC(M3795,$S$1)</f>
        <v>126.366666666667</v>
      </c>
      <c r="U3795" s="231" t="n">
        <f aca="false">+$I3795</f>
        <v>0</v>
      </c>
      <c r="V3795" s="232" t="str">
        <f aca="false">+PROPER(F3795)</f>
        <v/>
      </c>
    </row>
    <row r="3796" customFormat="false" ht="14.25" hidden="false" customHeight="false" outlineLevel="0" collapsed="false">
      <c r="B3796" s="244"/>
      <c r="C3796" s="245"/>
      <c r="D3796" s="245"/>
      <c r="E3796" s="246"/>
      <c r="F3796" s="246"/>
      <c r="G3796" s="225" t="e">
        <f aca="false">VLOOKUP(B3796,'NIVEL ENERO'!A:F,4,0)</f>
        <v>#N/A</v>
      </c>
      <c r="H3796" s="247"/>
      <c r="I3796" s="247"/>
      <c r="J3796" s="246"/>
      <c r="K3796" s="246"/>
      <c r="L3796" s="226"/>
      <c r="M3796" s="226"/>
      <c r="N3796" s="246"/>
      <c r="O3796" s="246"/>
      <c r="P3796" s="228"/>
      <c r="Q3796" s="245"/>
      <c r="R3796" s="186" t="str">
        <f aca="false">+PROPER(C3796&amp;" "&amp;D3796)</f>
        <v> </v>
      </c>
      <c r="S3796" s="230" t="n">
        <f aca="false">+YEARFRAC(L3796,$S$1)</f>
        <v>126.366666666667</v>
      </c>
      <c r="T3796" s="230" t="n">
        <f aca="false">+YEARFRAC(M3796,$S$1)</f>
        <v>126.366666666667</v>
      </c>
      <c r="U3796" s="231" t="n">
        <f aca="false">+$I3796</f>
        <v>0</v>
      </c>
      <c r="V3796" s="232" t="str">
        <f aca="false">+PROPER(F3796)</f>
        <v/>
      </c>
    </row>
    <row r="3797" customFormat="false" ht="14.25" hidden="false" customHeight="false" outlineLevel="0" collapsed="false">
      <c r="B3797" s="244"/>
      <c r="C3797" s="245"/>
      <c r="D3797" s="245"/>
      <c r="E3797" s="246"/>
      <c r="F3797" s="246"/>
      <c r="G3797" s="225" t="e">
        <f aca="false">VLOOKUP(B3797,'NIVEL ENERO'!A:F,4,0)</f>
        <v>#N/A</v>
      </c>
      <c r="H3797" s="247"/>
      <c r="I3797" s="247"/>
      <c r="J3797" s="246"/>
      <c r="K3797" s="246"/>
      <c r="L3797" s="226"/>
      <c r="M3797" s="226"/>
      <c r="N3797" s="246"/>
      <c r="O3797" s="246"/>
      <c r="P3797" s="228"/>
      <c r="Q3797" s="245"/>
      <c r="R3797" s="186" t="str">
        <f aca="false">+PROPER(C3797&amp;" "&amp;D3797)</f>
        <v> </v>
      </c>
      <c r="S3797" s="230" t="n">
        <f aca="false">+YEARFRAC(L3797,$S$1)</f>
        <v>126.366666666667</v>
      </c>
      <c r="T3797" s="230" t="n">
        <f aca="false">+YEARFRAC(M3797,$S$1)</f>
        <v>126.366666666667</v>
      </c>
      <c r="U3797" s="231" t="n">
        <f aca="false">+$I3797</f>
        <v>0</v>
      </c>
      <c r="V3797" s="232" t="str">
        <f aca="false">+PROPER(F3797)</f>
        <v/>
      </c>
    </row>
    <row r="3798" customFormat="false" ht="14.25" hidden="false" customHeight="false" outlineLevel="0" collapsed="false">
      <c r="B3798" s="244"/>
      <c r="C3798" s="245"/>
      <c r="D3798" s="245"/>
      <c r="E3798" s="246"/>
      <c r="F3798" s="246"/>
      <c r="G3798" s="225" t="e">
        <f aca="false">VLOOKUP(B3798,'NIVEL ENERO'!A:F,4,0)</f>
        <v>#N/A</v>
      </c>
      <c r="H3798" s="247"/>
      <c r="I3798" s="247"/>
      <c r="J3798" s="246"/>
      <c r="K3798" s="246"/>
      <c r="L3798" s="226"/>
      <c r="M3798" s="226"/>
      <c r="N3798" s="246"/>
      <c r="O3798" s="246"/>
      <c r="P3798" s="228"/>
      <c r="Q3798" s="245"/>
      <c r="R3798" s="186" t="str">
        <f aca="false">+PROPER(C3798&amp;" "&amp;D3798)</f>
        <v> </v>
      </c>
      <c r="S3798" s="230" t="n">
        <f aca="false">+YEARFRAC(L3798,$S$1)</f>
        <v>126.366666666667</v>
      </c>
      <c r="T3798" s="230" t="n">
        <f aca="false">+YEARFRAC(M3798,$S$1)</f>
        <v>126.366666666667</v>
      </c>
      <c r="U3798" s="231" t="n">
        <f aca="false">+$I3798</f>
        <v>0</v>
      </c>
      <c r="V3798" s="232" t="str">
        <f aca="false">+PROPER(F3798)</f>
        <v/>
      </c>
    </row>
    <row r="3799" customFormat="false" ht="14.25" hidden="false" customHeight="false" outlineLevel="0" collapsed="false">
      <c r="B3799" s="244"/>
      <c r="C3799" s="245"/>
      <c r="D3799" s="245"/>
      <c r="E3799" s="246"/>
      <c r="F3799" s="246"/>
      <c r="G3799" s="225" t="e">
        <f aca="false">VLOOKUP(B3799,'NIVEL ENERO'!A:F,4,0)</f>
        <v>#N/A</v>
      </c>
      <c r="H3799" s="247"/>
      <c r="I3799" s="247"/>
      <c r="J3799" s="246"/>
      <c r="K3799" s="246"/>
      <c r="L3799" s="226"/>
      <c r="M3799" s="226"/>
      <c r="N3799" s="246"/>
      <c r="O3799" s="246"/>
      <c r="P3799" s="228"/>
      <c r="Q3799" s="245"/>
      <c r="R3799" s="186" t="str">
        <f aca="false">+PROPER(C3799&amp;" "&amp;D3799)</f>
        <v> </v>
      </c>
      <c r="S3799" s="230" t="n">
        <f aca="false">+YEARFRAC(L3799,$S$1)</f>
        <v>126.366666666667</v>
      </c>
      <c r="T3799" s="230" t="n">
        <f aca="false">+YEARFRAC(M3799,$S$1)</f>
        <v>126.366666666667</v>
      </c>
      <c r="U3799" s="231" t="n">
        <f aca="false">+$I3799</f>
        <v>0</v>
      </c>
      <c r="V3799" s="232" t="str">
        <f aca="false">+PROPER(F3799)</f>
        <v/>
      </c>
    </row>
    <row r="3800" customFormat="false" ht="14.25" hidden="false" customHeight="false" outlineLevel="0" collapsed="false">
      <c r="B3800" s="244"/>
      <c r="C3800" s="245"/>
      <c r="D3800" s="245"/>
      <c r="E3800" s="246"/>
      <c r="F3800" s="246"/>
      <c r="G3800" s="225" t="e">
        <f aca="false">VLOOKUP(B3800,'NIVEL ENERO'!A:F,4,0)</f>
        <v>#N/A</v>
      </c>
      <c r="H3800" s="247"/>
      <c r="I3800" s="247"/>
      <c r="J3800" s="246"/>
      <c r="K3800" s="246"/>
      <c r="L3800" s="226"/>
      <c r="M3800" s="226"/>
      <c r="N3800" s="246"/>
      <c r="O3800" s="246"/>
      <c r="P3800" s="228"/>
      <c r="Q3800" s="245"/>
      <c r="R3800" s="186" t="str">
        <f aca="false">+PROPER(C3800&amp;" "&amp;D3800)</f>
        <v> </v>
      </c>
      <c r="S3800" s="230" t="n">
        <f aca="false">+YEARFRAC(L3800,$S$1)</f>
        <v>126.366666666667</v>
      </c>
      <c r="T3800" s="230" t="n">
        <f aca="false">+YEARFRAC(M3800,$S$1)</f>
        <v>126.366666666667</v>
      </c>
      <c r="U3800" s="231" t="n">
        <f aca="false">+$I3800</f>
        <v>0</v>
      </c>
      <c r="V3800" s="232" t="str">
        <f aca="false">+PROPER(F3800)</f>
        <v/>
      </c>
    </row>
    <row r="3801" customFormat="false" ht="14.25" hidden="false" customHeight="false" outlineLevel="0" collapsed="false">
      <c r="B3801" s="244"/>
      <c r="C3801" s="245"/>
      <c r="D3801" s="245"/>
      <c r="E3801" s="246"/>
      <c r="F3801" s="246"/>
      <c r="G3801" s="225" t="e">
        <f aca="false">VLOOKUP(B3801,'NIVEL ENERO'!A:F,4,0)</f>
        <v>#N/A</v>
      </c>
      <c r="H3801" s="247"/>
      <c r="I3801" s="247"/>
      <c r="J3801" s="246"/>
      <c r="K3801" s="246"/>
      <c r="L3801" s="226"/>
      <c r="M3801" s="226"/>
      <c r="N3801" s="246"/>
      <c r="O3801" s="246"/>
      <c r="P3801" s="228"/>
      <c r="Q3801" s="245"/>
      <c r="R3801" s="186" t="str">
        <f aca="false">+PROPER(C3801&amp;" "&amp;D3801)</f>
        <v> </v>
      </c>
      <c r="S3801" s="230" t="n">
        <f aca="false">+YEARFRAC(L3801,$S$1)</f>
        <v>126.366666666667</v>
      </c>
      <c r="T3801" s="230" t="n">
        <f aca="false">+YEARFRAC(M3801,$S$1)</f>
        <v>126.366666666667</v>
      </c>
      <c r="U3801" s="231" t="n">
        <f aca="false">+$I3801</f>
        <v>0</v>
      </c>
      <c r="V3801" s="232" t="str">
        <f aca="false">+PROPER(F3801)</f>
        <v/>
      </c>
    </row>
    <row r="3802" customFormat="false" ht="14.25" hidden="false" customHeight="false" outlineLevel="0" collapsed="false">
      <c r="B3802" s="244"/>
      <c r="C3802" s="245"/>
      <c r="D3802" s="245"/>
      <c r="E3802" s="246"/>
      <c r="F3802" s="246"/>
      <c r="G3802" s="225" t="e">
        <f aca="false">VLOOKUP(B3802,'NIVEL ENERO'!A:F,4,0)</f>
        <v>#N/A</v>
      </c>
      <c r="H3802" s="247"/>
      <c r="I3802" s="247"/>
      <c r="J3802" s="246"/>
      <c r="K3802" s="246"/>
      <c r="L3802" s="226"/>
      <c r="M3802" s="226"/>
      <c r="N3802" s="246"/>
      <c r="O3802" s="246"/>
      <c r="P3802" s="228"/>
      <c r="Q3802" s="245"/>
      <c r="R3802" s="186" t="str">
        <f aca="false">+PROPER(C3802&amp;" "&amp;D3802)</f>
        <v> </v>
      </c>
      <c r="S3802" s="230" t="n">
        <f aca="false">+YEARFRAC(L3802,$S$1)</f>
        <v>126.366666666667</v>
      </c>
      <c r="T3802" s="230" t="n">
        <f aca="false">+YEARFRAC(M3802,$S$1)</f>
        <v>126.366666666667</v>
      </c>
      <c r="U3802" s="231" t="n">
        <f aca="false">+$I3802</f>
        <v>0</v>
      </c>
      <c r="V3802" s="232" t="str">
        <f aca="false">+PROPER(F3802)</f>
        <v/>
      </c>
    </row>
    <row r="3803" customFormat="false" ht="14.25" hidden="false" customHeight="false" outlineLevel="0" collapsed="false">
      <c r="B3803" s="244"/>
      <c r="C3803" s="245"/>
      <c r="D3803" s="245"/>
      <c r="E3803" s="246"/>
      <c r="F3803" s="246"/>
      <c r="G3803" s="225" t="e">
        <f aca="false">VLOOKUP(B3803,'NIVEL ENERO'!A:F,4,0)</f>
        <v>#N/A</v>
      </c>
      <c r="H3803" s="247"/>
      <c r="I3803" s="247"/>
      <c r="J3803" s="246"/>
      <c r="K3803" s="246"/>
      <c r="L3803" s="226"/>
      <c r="M3803" s="226"/>
      <c r="N3803" s="246"/>
      <c r="O3803" s="246"/>
      <c r="P3803" s="228"/>
      <c r="Q3803" s="245"/>
      <c r="R3803" s="186" t="str">
        <f aca="false">+PROPER(C3803&amp;" "&amp;D3803)</f>
        <v> </v>
      </c>
      <c r="S3803" s="230" t="n">
        <f aca="false">+YEARFRAC(L3803,$S$1)</f>
        <v>126.366666666667</v>
      </c>
      <c r="T3803" s="230" t="n">
        <f aca="false">+YEARFRAC(M3803,$S$1)</f>
        <v>126.366666666667</v>
      </c>
      <c r="U3803" s="231" t="n">
        <f aca="false">+$I3803</f>
        <v>0</v>
      </c>
      <c r="V3803" s="232" t="str">
        <f aca="false">+PROPER(F3803)</f>
        <v/>
      </c>
    </row>
    <row r="3804" customFormat="false" ht="14.25" hidden="false" customHeight="false" outlineLevel="0" collapsed="false">
      <c r="B3804" s="244"/>
      <c r="C3804" s="245"/>
      <c r="D3804" s="245"/>
      <c r="E3804" s="246"/>
      <c r="F3804" s="246"/>
      <c r="G3804" s="225" t="e">
        <f aca="false">VLOOKUP(B3804,'NIVEL ENERO'!A:F,4,0)</f>
        <v>#N/A</v>
      </c>
      <c r="H3804" s="247"/>
      <c r="I3804" s="247"/>
      <c r="J3804" s="246"/>
      <c r="K3804" s="246"/>
      <c r="L3804" s="226"/>
      <c r="M3804" s="226"/>
      <c r="N3804" s="246"/>
      <c r="O3804" s="246"/>
      <c r="P3804" s="228"/>
      <c r="Q3804" s="245"/>
      <c r="R3804" s="186" t="str">
        <f aca="false">+PROPER(C3804&amp;" "&amp;D3804)</f>
        <v> </v>
      </c>
      <c r="S3804" s="230" t="n">
        <f aca="false">+YEARFRAC(L3804,$S$1)</f>
        <v>126.366666666667</v>
      </c>
      <c r="T3804" s="230" t="n">
        <f aca="false">+YEARFRAC(M3804,$S$1)</f>
        <v>126.366666666667</v>
      </c>
      <c r="U3804" s="231" t="n">
        <f aca="false">+$I3804</f>
        <v>0</v>
      </c>
      <c r="V3804" s="232" t="str">
        <f aca="false">+PROPER(F3804)</f>
        <v/>
      </c>
    </row>
    <row r="3805" customFormat="false" ht="14.25" hidden="false" customHeight="false" outlineLevel="0" collapsed="false">
      <c r="B3805" s="244"/>
      <c r="C3805" s="245"/>
      <c r="D3805" s="245"/>
      <c r="E3805" s="246"/>
      <c r="F3805" s="246"/>
      <c r="G3805" s="225" t="e">
        <f aca="false">VLOOKUP(B3805,'NIVEL ENERO'!A:F,4,0)</f>
        <v>#N/A</v>
      </c>
      <c r="H3805" s="247"/>
      <c r="I3805" s="247"/>
      <c r="J3805" s="246"/>
      <c r="K3805" s="246"/>
      <c r="L3805" s="226"/>
      <c r="M3805" s="226"/>
      <c r="N3805" s="246"/>
      <c r="O3805" s="246"/>
      <c r="P3805" s="228"/>
      <c r="Q3805" s="245"/>
      <c r="R3805" s="186" t="str">
        <f aca="false">+PROPER(C3805&amp;" "&amp;D3805)</f>
        <v> </v>
      </c>
      <c r="S3805" s="230" t="n">
        <f aca="false">+YEARFRAC(L3805,$S$1)</f>
        <v>126.366666666667</v>
      </c>
      <c r="T3805" s="230" t="n">
        <f aca="false">+YEARFRAC(M3805,$S$1)</f>
        <v>126.366666666667</v>
      </c>
      <c r="U3805" s="231" t="n">
        <f aca="false">+$I3805</f>
        <v>0</v>
      </c>
      <c r="V3805" s="232" t="str">
        <f aca="false">+PROPER(F3805)</f>
        <v/>
      </c>
    </row>
    <row r="3806" customFormat="false" ht="14.25" hidden="false" customHeight="false" outlineLevel="0" collapsed="false">
      <c r="B3806" s="244"/>
      <c r="C3806" s="245"/>
      <c r="D3806" s="245"/>
      <c r="E3806" s="246"/>
      <c r="F3806" s="246"/>
      <c r="G3806" s="225" t="e">
        <f aca="false">VLOOKUP(B3806,'NIVEL ENERO'!A:F,4,0)</f>
        <v>#N/A</v>
      </c>
      <c r="H3806" s="247"/>
      <c r="I3806" s="247"/>
      <c r="J3806" s="246"/>
      <c r="K3806" s="246"/>
      <c r="L3806" s="226"/>
      <c r="M3806" s="226"/>
      <c r="N3806" s="246"/>
      <c r="O3806" s="246"/>
      <c r="P3806" s="228"/>
      <c r="Q3806" s="245"/>
      <c r="R3806" s="186" t="str">
        <f aca="false">+PROPER(C3806&amp;" "&amp;D3806)</f>
        <v> </v>
      </c>
      <c r="S3806" s="230" t="n">
        <f aca="false">+YEARFRAC(L3806,$S$1)</f>
        <v>126.366666666667</v>
      </c>
      <c r="T3806" s="230" t="n">
        <f aca="false">+YEARFRAC(M3806,$S$1)</f>
        <v>126.366666666667</v>
      </c>
      <c r="U3806" s="231" t="n">
        <f aca="false">+$I3806</f>
        <v>0</v>
      </c>
      <c r="V3806" s="232" t="str">
        <f aca="false">+PROPER(F3806)</f>
        <v/>
      </c>
    </row>
    <row r="3807" customFormat="false" ht="14.25" hidden="false" customHeight="false" outlineLevel="0" collapsed="false">
      <c r="B3807" s="244"/>
      <c r="C3807" s="245"/>
      <c r="D3807" s="245"/>
      <c r="E3807" s="246"/>
      <c r="F3807" s="246"/>
      <c r="G3807" s="225" t="e">
        <f aca="false">VLOOKUP(B3807,'NIVEL ENERO'!A:F,4,0)</f>
        <v>#N/A</v>
      </c>
      <c r="H3807" s="247"/>
      <c r="I3807" s="247"/>
      <c r="J3807" s="246"/>
      <c r="K3807" s="246"/>
      <c r="L3807" s="226"/>
      <c r="M3807" s="226"/>
      <c r="N3807" s="246"/>
      <c r="O3807" s="246"/>
      <c r="P3807" s="228"/>
      <c r="Q3807" s="245"/>
      <c r="R3807" s="186" t="str">
        <f aca="false">+PROPER(C3807&amp;" "&amp;D3807)</f>
        <v> </v>
      </c>
      <c r="S3807" s="230" t="n">
        <f aca="false">+YEARFRAC(L3807,$S$1)</f>
        <v>126.366666666667</v>
      </c>
      <c r="T3807" s="230" t="n">
        <f aca="false">+YEARFRAC(M3807,$S$1)</f>
        <v>126.366666666667</v>
      </c>
      <c r="U3807" s="231" t="n">
        <f aca="false">+$I3807</f>
        <v>0</v>
      </c>
      <c r="V3807" s="232" t="str">
        <f aca="false">+PROPER(F3807)</f>
        <v/>
      </c>
    </row>
    <row r="3808" customFormat="false" ht="14.25" hidden="false" customHeight="false" outlineLevel="0" collapsed="false">
      <c r="B3808" s="244"/>
      <c r="C3808" s="245"/>
      <c r="D3808" s="245"/>
      <c r="E3808" s="246"/>
      <c r="F3808" s="246"/>
      <c r="G3808" s="225" t="e">
        <f aca="false">VLOOKUP(B3808,'NIVEL ENERO'!A:F,4,0)</f>
        <v>#N/A</v>
      </c>
      <c r="H3808" s="247"/>
      <c r="I3808" s="247"/>
      <c r="J3808" s="246"/>
      <c r="K3808" s="246"/>
      <c r="L3808" s="226"/>
      <c r="M3808" s="226"/>
      <c r="N3808" s="246"/>
      <c r="O3808" s="246"/>
      <c r="P3808" s="228"/>
      <c r="Q3808" s="245"/>
      <c r="R3808" s="186" t="str">
        <f aca="false">+PROPER(C3808&amp;" "&amp;D3808)</f>
        <v> </v>
      </c>
      <c r="S3808" s="230" t="n">
        <f aca="false">+YEARFRAC(L3808,$S$1)</f>
        <v>126.366666666667</v>
      </c>
      <c r="T3808" s="230" t="n">
        <f aca="false">+YEARFRAC(M3808,$S$1)</f>
        <v>126.366666666667</v>
      </c>
      <c r="U3808" s="231" t="n">
        <f aca="false">+$I3808</f>
        <v>0</v>
      </c>
      <c r="V3808" s="232" t="str">
        <f aca="false">+PROPER(F3808)</f>
        <v/>
      </c>
    </row>
    <row r="3809" customFormat="false" ht="14.25" hidden="false" customHeight="false" outlineLevel="0" collapsed="false">
      <c r="B3809" s="244"/>
      <c r="C3809" s="245"/>
      <c r="D3809" s="245"/>
      <c r="E3809" s="246"/>
      <c r="F3809" s="246"/>
      <c r="G3809" s="225" t="e">
        <f aca="false">VLOOKUP(B3809,'NIVEL ENERO'!A:F,4,0)</f>
        <v>#N/A</v>
      </c>
      <c r="H3809" s="247"/>
      <c r="I3809" s="247"/>
      <c r="J3809" s="246"/>
      <c r="K3809" s="246"/>
      <c r="L3809" s="226"/>
      <c r="M3809" s="226"/>
      <c r="N3809" s="246"/>
      <c r="O3809" s="246"/>
      <c r="P3809" s="228"/>
      <c r="Q3809" s="245"/>
      <c r="R3809" s="186" t="str">
        <f aca="false">+PROPER(C3809&amp;" "&amp;D3809)</f>
        <v> </v>
      </c>
      <c r="S3809" s="230" t="n">
        <f aca="false">+YEARFRAC(L3809,$S$1)</f>
        <v>126.366666666667</v>
      </c>
      <c r="T3809" s="230" t="n">
        <f aca="false">+YEARFRAC(M3809,$S$1)</f>
        <v>126.366666666667</v>
      </c>
      <c r="U3809" s="231" t="n">
        <f aca="false">+$I3809</f>
        <v>0</v>
      </c>
      <c r="V3809" s="232" t="str">
        <f aca="false">+PROPER(F3809)</f>
        <v/>
      </c>
    </row>
    <row r="3810" customFormat="false" ht="14.25" hidden="false" customHeight="false" outlineLevel="0" collapsed="false">
      <c r="B3810" s="244"/>
      <c r="C3810" s="245"/>
      <c r="D3810" s="245"/>
      <c r="E3810" s="246"/>
      <c r="F3810" s="246"/>
      <c r="G3810" s="225" t="e">
        <f aca="false">VLOOKUP(B3810,'NIVEL ENERO'!A:F,4,0)</f>
        <v>#N/A</v>
      </c>
      <c r="H3810" s="247"/>
      <c r="I3810" s="247"/>
      <c r="J3810" s="246"/>
      <c r="K3810" s="246"/>
      <c r="L3810" s="226"/>
      <c r="M3810" s="226"/>
      <c r="N3810" s="246"/>
      <c r="O3810" s="246"/>
      <c r="P3810" s="228"/>
      <c r="Q3810" s="245"/>
      <c r="R3810" s="186" t="str">
        <f aca="false">+PROPER(C3810&amp;" "&amp;D3810)</f>
        <v> </v>
      </c>
      <c r="S3810" s="230" t="n">
        <f aca="false">+YEARFRAC(L3810,$S$1)</f>
        <v>126.366666666667</v>
      </c>
      <c r="T3810" s="230" t="n">
        <f aca="false">+YEARFRAC(M3810,$S$1)</f>
        <v>126.366666666667</v>
      </c>
      <c r="U3810" s="231" t="n">
        <f aca="false">+$I3810</f>
        <v>0</v>
      </c>
      <c r="V3810" s="232" t="str">
        <f aca="false">+PROPER(F3810)</f>
        <v/>
      </c>
    </row>
    <row r="3811" customFormat="false" ht="14.25" hidden="false" customHeight="false" outlineLevel="0" collapsed="false">
      <c r="B3811" s="244"/>
      <c r="C3811" s="245"/>
      <c r="D3811" s="245"/>
      <c r="E3811" s="246"/>
      <c r="F3811" s="246"/>
      <c r="G3811" s="225" t="e">
        <f aca="false">VLOOKUP(B3811,'NIVEL ENERO'!A:F,4,0)</f>
        <v>#N/A</v>
      </c>
      <c r="H3811" s="247"/>
      <c r="I3811" s="247"/>
      <c r="J3811" s="246"/>
      <c r="K3811" s="246"/>
      <c r="L3811" s="226"/>
      <c r="M3811" s="226"/>
      <c r="N3811" s="246"/>
      <c r="O3811" s="246"/>
      <c r="P3811" s="228"/>
      <c r="Q3811" s="245"/>
      <c r="R3811" s="186" t="str">
        <f aca="false">+PROPER(C3811&amp;" "&amp;D3811)</f>
        <v> </v>
      </c>
      <c r="S3811" s="230" t="n">
        <f aca="false">+YEARFRAC(L3811,$S$1)</f>
        <v>126.366666666667</v>
      </c>
      <c r="T3811" s="230" t="n">
        <f aca="false">+YEARFRAC(M3811,$S$1)</f>
        <v>126.366666666667</v>
      </c>
      <c r="U3811" s="231" t="n">
        <f aca="false">+$I3811</f>
        <v>0</v>
      </c>
      <c r="V3811" s="232" t="str">
        <f aca="false">+PROPER(F3811)</f>
        <v/>
      </c>
    </row>
    <row r="3812" customFormat="false" ht="14.25" hidden="false" customHeight="false" outlineLevel="0" collapsed="false">
      <c r="B3812" s="244"/>
      <c r="C3812" s="245"/>
      <c r="D3812" s="245"/>
      <c r="E3812" s="246"/>
      <c r="F3812" s="246"/>
      <c r="G3812" s="225" t="e">
        <f aca="false">VLOOKUP(B3812,'NIVEL ENERO'!A:F,4,0)</f>
        <v>#N/A</v>
      </c>
      <c r="H3812" s="247"/>
      <c r="I3812" s="247"/>
      <c r="J3812" s="246"/>
      <c r="K3812" s="246"/>
      <c r="L3812" s="226"/>
      <c r="M3812" s="226"/>
      <c r="N3812" s="246"/>
      <c r="O3812" s="246"/>
      <c r="P3812" s="228"/>
      <c r="Q3812" s="245"/>
      <c r="R3812" s="186" t="str">
        <f aca="false">+PROPER(C3812&amp;" "&amp;D3812)</f>
        <v> </v>
      </c>
      <c r="S3812" s="230" t="n">
        <f aca="false">+YEARFRAC(L3812,$S$1)</f>
        <v>126.366666666667</v>
      </c>
      <c r="T3812" s="230" t="n">
        <f aca="false">+YEARFRAC(M3812,$S$1)</f>
        <v>126.366666666667</v>
      </c>
      <c r="U3812" s="231" t="n">
        <f aca="false">+$I3812</f>
        <v>0</v>
      </c>
      <c r="V3812" s="232" t="str">
        <f aca="false">+PROPER(F3812)</f>
        <v/>
      </c>
    </row>
    <row r="3813" customFormat="false" ht="14.25" hidden="false" customHeight="false" outlineLevel="0" collapsed="false">
      <c r="B3813" s="244"/>
      <c r="C3813" s="245"/>
      <c r="D3813" s="245"/>
      <c r="E3813" s="246"/>
      <c r="F3813" s="246"/>
      <c r="G3813" s="225" t="e">
        <f aca="false">VLOOKUP(B3813,'NIVEL ENERO'!A:F,4,0)</f>
        <v>#N/A</v>
      </c>
      <c r="H3813" s="247"/>
      <c r="I3813" s="247"/>
      <c r="J3813" s="246"/>
      <c r="K3813" s="246"/>
      <c r="L3813" s="226"/>
      <c r="M3813" s="226"/>
      <c r="N3813" s="246"/>
      <c r="O3813" s="246"/>
      <c r="P3813" s="228"/>
      <c r="Q3813" s="245"/>
      <c r="R3813" s="186" t="str">
        <f aca="false">+PROPER(C3813&amp;" "&amp;D3813)</f>
        <v> </v>
      </c>
      <c r="S3813" s="230" t="n">
        <f aca="false">+YEARFRAC(L3813,$S$1)</f>
        <v>126.366666666667</v>
      </c>
      <c r="T3813" s="230" t="n">
        <f aca="false">+YEARFRAC(M3813,$S$1)</f>
        <v>126.366666666667</v>
      </c>
      <c r="U3813" s="231" t="n">
        <f aca="false">+$I3813</f>
        <v>0</v>
      </c>
      <c r="V3813" s="232" t="str">
        <f aca="false">+PROPER(F3813)</f>
        <v/>
      </c>
    </row>
    <row r="3814" customFormat="false" ht="14.25" hidden="false" customHeight="false" outlineLevel="0" collapsed="false">
      <c r="B3814" s="249"/>
      <c r="C3814" s="250"/>
      <c r="D3814" s="250"/>
      <c r="E3814" s="251"/>
      <c r="F3814" s="251"/>
      <c r="G3814" s="225" t="e">
        <f aca="false">VLOOKUP(B3814,'NIVEL ENERO'!A:F,4,0)</f>
        <v>#N/A</v>
      </c>
      <c r="H3814" s="252"/>
      <c r="I3814" s="252"/>
      <c r="J3814" s="251"/>
      <c r="K3814" s="251"/>
      <c r="L3814" s="253"/>
      <c r="M3814" s="253"/>
      <c r="N3814" s="251"/>
      <c r="O3814" s="251"/>
      <c r="P3814" s="254"/>
      <c r="Q3814" s="250"/>
      <c r="R3814" s="186" t="str">
        <f aca="false">+PROPER(C3814&amp;" "&amp;D3814)</f>
        <v> </v>
      </c>
      <c r="S3814" s="230" t="n">
        <f aca="false">+YEARFRAC(L3814,$S$1)</f>
        <v>126.366666666667</v>
      </c>
      <c r="T3814" s="230" t="n">
        <f aca="false">+YEARFRAC(M3814,$S$1)</f>
        <v>126.366666666667</v>
      </c>
      <c r="U3814" s="231" t="n">
        <f aca="false">+$I3814</f>
        <v>0</v>
      </c>
      <c r="V3814" s="232" t="str">
        <f aca="false">+PROPER(F3814)</f>
        <v/>
      </c>
    </row>
    <row r="3815" customFormat="false" ht="14.25" hidden="false" customHeight="false" outlineLevel="0" collapsed="false">
      <c r="B3815" s="249"/>
      <c r="C3815" s="250"/>
      <c r="D3815" s="250"/>
      <c r="E3815" s="251"/>
      <c r="F3815" s="251"/>
      <c r="G3815" s="225" t="e">
        <f aca="false">VLOOKUP(B3815,'NIVEL ENERO'!A:F,4,0)</f>
        <v>#N/A</v>
      </c>
      <c r="H3815" s="252"/>
      <c r="I3815" s="252"/>
      <c r="J3815" s="251"/>
      <c r="K3815" s="251"/>
      <c r="L3815" s="253"/>
      <c r="M3815" s="253"/>
      <c r="N3815" s="251"/>
      <c r="O3815" s="251"/>
      <c r="P3815" s="254"/>
      <c r="Q3815" s="250"/>
      <c r="R3815" s="186" t="str">
        <f aca="false">+PROPER(C3815&amp;" "&amp;D3815)</f>
        <v> </v>
      </c>
      <c r="S3815" s="230" t="n">
        <f aca="false">+YEARFRAC(L3815,$S$1)</f>
        <v>126.366666666667</v>
      </c>
      <c r="T3815" s="230" t="n">
        <f aca="false">+YEARFRAC(M3815,$S$1)</f>
        <v>126.366666666667</v>
      </c>
      <c r="U3815" s="231" t="n">
        <f aca="false">+$I3815</f>
        <v>0</v>
      </c>
      <c r="V3815" s="232" t="str">
        <f aca="false">+PROPER(F3815)</f>
        <v/>
      </c>
    </row>
    <row r="3816" customFormat="false" ht="14.25" hidden="false" customHeight="false" outlineLevel="0" collapsed="false">
      <c r="B3816" s="249"/>
      <c r="C3816" s="250"/>
      <c r="D3816" s="250"/>
      <c r="E3816" s="251"/>
      <c r="F3816" s="251"/>
      <c r="G3816" s="225" t="e">
        <f aca="false">VLOOKUP(B3816,'NIVEL ENERO'!A:F,4,0)</f>
        <v>#N/A</v>
      </c>
      <c r="H3816" s="252"/>
      <c r="I3816" s="252"/>
      <c r="J3816" s="251"/>
      <c r="K3816" s="251"/>
      <c r="L3816" s="253"/>
      <c r="M3816" s="253"/>
      <c r="N3816" s="251"/>
      <c r="O3816" s="251"/>
      <c r="P3816" s="254"/>
      <c r="Q3816" s="250"/>
      <c r="R3816" s="186" t="str">
        <f aca="false">+PROPER(C3816&amp;" "&amp;D3816)</f>
        <v> </v>
      </c>
      <c r="S3816" s="230" t="n">
        <f aca="false">+YEARFRAC(L3816,$S$1)</f>
        <v>126.366666666667</v>
      </c>
      <c r="T3816" s="230" t="n">
        <f aca="false">+YEARFRAC(M3816,$S$1)</f>
        <v>126.366666666667</v>
      </c>
      <c r="U3816" s="231" t="n">
        <f aca="false">+$I3816</f>
        <v>0</v>
      </c>
      <c r="V3816" s="232" t="str">
        <f aca="false">+PROPER(F3816)</f>
        <v/>
      </c>
    </row>
    <row r="3817" customFormat="false" ht="14.25" hidden="false" customHeight="false" outlineLevel="0" collapsed="false">
      <c r="B3817" s="249"/>
      <c r="C3817" s="250"/>
      <c r="D3817" s="250"/>
      <c r="E3817" s="251"/>
      <c r="F3817" s="251"/>
      <c r="G3817" s="225" t="e">
        <f aca="false">VLOOKUP(B3817,'NIVEL ENERO'!A:F,4,0)</f>
        <v>#N/A</v>
      </c>
      <c r="H3817" s="252"/>
      <c r="I3817" s="252"/>
      <c r="J3817" s="251"/>
      <c r="K3817" s="251"/>
      <c r="L3817" s="253"/>
      <c r="M3817" s="253"/>
      <c r="N3817" s="251"/>
      <c r="O3817" s="251"/>
      <c r="P3817" s="254"/>
      <c r="Q3817" s="250"/>
      <c r="R3817" s="186" t="str">
        <f aca="false">+PROPER(C3817&amp;" "&amp;D3817)</f>
        <v> </v>
      </c>
      <c r="S3817" s="230" t="n">
        <f aca="false">+YEARFRAC(L3817,$S$1)</f>
        <v>126.366666666667</v>
      </c>
      <c r="T3817" s="230" t="n">
        <f aca="false">+YEARFRAC(M3817,$S$1)</f>
        <v>126.366666666667</v>
      </c>
      <c r="U3817" s="231" t="n">
        <f aca="false">+$I3817</f>
        <v>0</v>
      </c>
      <c r="V3817" s="232" t="str">
        <f aca="false">+PROPER(F3817)</f>
        <v/>
      </c>
    </row>
    <row r="3818" customFormat="false" ht="14.25" hidden="false" customHeight="false" outlineLevel="0" collapsed="false">
      <c r="B3818" s="249"/>
      <c r="C3818" s="250"/>
      <c r="D3818" s="250"/>
      <c r="E3818" s="251"/>
      <c r="F3818" s="251"/>
      <c r="G3818" s="225" t="e">
        <f aca="false">VLOOKUP(B3818,'NIVEL ENERO'!A:F,4,0)</f>
        <v>#N/A</v>
      </c>
      <c r="H3818" s="252"/>
      <c r="I3818" s="252"/>
      <c r="J3818" s="251"/>
      <c r="K3818" s="251"/>
      <c r="L3818" s="253"/>
      <c r="M3818" s="253"/>
      <c r="N3818" s="251"/>
      <c r="O3818" s="251"/>
      <c r="P3818" s="254"/>
      <c r="Q3818" s="250"/>
      <c r="R3818" s="186" t="str">
        <f aca="false">+PROPER(C3818&amp;" "&amp;D3818)</f>
        <v> </v>
      </c>
      <c r="S3818" s="230" t="n">
        <f aca="false">+YEARFRAC(L3818,$S$1)</f>
        <v>126.366666666667</v>
      </c>
      <c r="T3818" s="230" t="n">
        <f aca="false">+YEARFRAC(M3818,$S$1)</f>
        <v>126.366666666667</v>
      </c>
      <c r="U3818" s="231" t="n">
        <f aca="false">+$I3818</f>
        <v>0</v>
      </c>
      <c r="V3818" s="232" t="str">
        <f aca="false">+PROPER(F3818)</f>
        <v/>
      </c>
    </row>
    <row r="3819" customFormat="false" ht="14.25" hidden="false" customHeight="false" outlineLevel="0" collapsed="false">
      <c r="B3819" s="249"/>
      <c r="C3819" s="250"/>
      <c r="D3819" s="250"/>
      <c r="E3819" s="251"/>
      <c r="F3819" s="251"/>
      <c r="G3819" s="225" t="e">
        <f aca="false">VLOOKUP(B3819,'NIVEL ENERO'!A:F,4,0)</f>
        <v>#N/A</v>
      </c>
      <c r="H3819" s="252"/>
      <c r="I3819" s="252"/>
      <c r="J3819" s="251"/>
      <c r="K3819" s="251"/>
      <c r="L3819" s="253"/>
      <c r="M3819" s="253"/>
      <c r="N3819" s="251"/>
      <c r="O3819" s="251"/>
      <c r="P3819" s="254"/>
      <c r="Q3819" s="250"/>
      <c r="R3819" s="186" t="str">
        <f aca="false">+PROPER(C3819&amp;" "&amp;D3819)</f>
        <v> </v>
      </c>
      <c r="S3819" s="230" t="n">
        <f aca="false">+YEARFRAC(L3819,$S$1)</f>
        <v>126.366666666667</v>
      </c>
      <c r="T3819" s="230" t="n">
        <f aca="false">+YEARFRAC(M3819,$S$1)</f>
        <v>126.366666666667</v>
      </c>
      <c r="U3819" s="231" t="n">
        <f aca="false">+$I3819</f>
        <v>0</v>
      </c>
      <c r="V3819" s="232" t="str">
        <f aca="false">+PROPER(F3819)</f>
        <v/>
      </c>
    </row>
    <row r="3820" customFormat="false" ht="14.25" hidden="false" customHeight="false" outlineLevel="0" collapsed="false">
      <c r="B3820" s="249"/>
      <c r="C3820" s="250"/>
      <c r="D3820" s="250"/>
      <c r="E3820" s="251"/>
      <c r="F3820" s="251"/>
      <c r="G3820" s="225" t="e">
        <f aca="false">VLOOKUP(B3820,'NIVEL ENERO'!A:F,4,0)</f>
        <v>#N/A</v>
      </c>
      <c r="H3820" s="252"/>
      <c r="I3820" s="252"/>
      <c r="J3820" s="251"/>
      <c r="K3820" s="251"/>
      <c r="L3820" s="253"/>
      <c r="M3820" s="253"/>
      <c r="N3820" s="251"/>
      <c r="O3820" s="251"/>
      <c r="P3820" s="254"/>
      <c r="Q3820" s="250"/>
      <c r="R3820" s="186" t="str">
        <f aca="false">+PROPER(C3820&amp;" "&amp;D3820)</f>
        <v> </v>
      </c>
      <c r="S3820" s="230" t="n">
        <f aca="false">+YEARFRAC(L3820,$S$1)</f>
        <v>126.366666666667</v>
      </c>
      <c r="T3820" s="230" t="n">
        <f aca="false">+YEARFRAC(M3820,$S$1)</f>
        <v>126.366666666667</v>
      </c>
      <c r="U3820" s="231" t="n">
        <f aca="false">+$I3820</f>
        <v>0</v>
      </c>
      <c r="V3820" s="232" t="str">
        <f aca="false">+PROPER(F3820)</f>
        <v/>
      </c>
    </row>
    <row r="3821" customFormat="false" ht="14.25" hidden="false" customHeight="false" outlineLevel="0" collapsed="false">
      <c r="B3821" s="249"/>
      <c r="C3821" s="250"/>
      <c r="D3821" s="250"/>
      <c r="E3821" s="251"/>
      <c r="F3821" s="251"/>
      <c r="G3821" s="225" t="e">
        <f aca="false">VLOOKUP(B3821,'NIVEL ENERO'!A:F,4,0)</f>
        <v>#N/A</v>
      </c>
      <c r="H3821" s="252"/>
      <c r="I3821" s="252"/>
      <c r="J3821" s="251"/>
      <c r="K3821" s="251"/>
      <c r="L3821" s="253"/>
      <c r="M3821" s="253"/>
      <c r="N3821" s="251"/>
      <c r="O3821" s="251"/>
      <c r="P3821" s="254"/>
      <c r="Q3821" s="250"/>
      <c r="R3821" s="186" t="str">
        <f aca="false">+PROPER(C3821&amp;" "&amp;D3821)</f>
        <v> </v>
      </c>
      <c r="S3821" s="230" t="n">
        <f aca="false">+YEARFRAC(L3821,$S$1)</f>
        <v>126.366666666667</v>
      </c>
      <c r="T3821" s="230" t="n">
        <f aca="false">+YEARFRAC(M3821,$S$1)</f>
        <v>126.366666666667</v>
      </c>
      <c r="U3821" s="231" t="n">
        <f aca="false">+$I3821</f>
        <v>0</v>
      </c>
      <c r="V3821" s="232" t="str">
        <f aca="false">+PROPER(F3821)</f>
        <v/>
      </c>
    </row>
    <row r="3822" customFormat="false" ht="14.25" hidden="false" customHeight="false" outlineLevel="0" collapsed="false">
      <c r="B3822" s="249"/>
      <c r="C3822" s="250"/>
      <c r="D3822" s="250"/>
      <c r="E3822" s="251"/>
      <c r="F3822" s="251"/>
      <c r="G3822" s="225" t="e">
        <f aca="false">VLOOKUP(B3822,'NIVEL ENERO'!A:F,4,0)</f>
        <v>#N/A</v>
      </c>
      <c r="H3822" s="252"/>
      <c r="I3822" s="252"/>
      <c r="J3822" s="251"/>
      <c r="K3822" s="251"/>
      <c r="L3822" s="253"/>
      <c r="M3822" s="253"/>
      <c r="N3822" s="251"/>
      <c r="O3822" s="251"/>
      <c r="P3822" s="254"/>
      <c r="Q3822" s="250"/>
      <c r="R3822" s="186" t="str">
        <f aca="false">+PROPER(C3822&amp;" "&amp;D3822)</f>
        <v> </v>
      </c>
      <c r="S3822" s="230" t="n">
        <f aca="false">+YEARFRAC(L3822,$S$1)</f>
        <v>126.366666666667</v>
      </c>
      <c r="T3822" s="230" t="n">
        <f aca="false">+YEARFRAC(M3822,$S$1)</f>
        <v>126.366666666667</v>
      </c>
      <c r="U3822" s="231" t="n">
        <f aca="false">+$I3822</f>
        <v>0</v>
      </c>
      <c r="V3822" s="232" t="str">
        <f aca="false">+PROPER(F3822)</f>
        <v/>
      </c>
    </row>
    <row r="3823" customFormat="false" ht="14.25" hidden="false" customHeight="false" outlineLevel="0" collapsed="false">
      <c r="B3823" s="249"/>
      <c r="C3823" s="250"/>
      <c r="D3823" s="250"/>
      <c r="E3823" s="251"/>
      <c r="F3823" s="251"/>
      <c r="G3823" s="225" t="e">
        <f aca="false">VLOOKUP(B3823,'NIVEL ENERO'!A:F,4,0)</f>
        <v>#N/A</v>
      </c>
      <c r="H3823" s="252"/>
      <c r="I3823" s="252"/>
      <c r="J3823" s="251"/>
      <c r="K3823" s="251"/>
      <c r="L3823" s="253"/>
      <c r="M3823" s="253"/>
      <c r="N3823" s="251"/>
      <c r="O3823" s="251"/>
      <c r="P3823" s="254"/>
      <c r="Q3823" s="250"/>
      <c r="R3823" s="186" t="str">
        <f aca="false">+PROPER(C3823&amp;" "&amp;D3823)</f>
        <v> </v>
      </c>
      <c r="S3823" s="230" t="n">
        <f aca="false">+YEARFRAC(L3823,$S$1)</f>
        <v>126.366666666667</v>
      </c>
      <c r="T3823" s="230" t="n">
        <f aca="false">+YEARFRAC(M3823,$S$1)</f>
        <v>126.366666666667</v>
      </c>
      <c r="U3823" s="231" t="n">
        <f aca="false">+$I3823</f>
        <v>0</v>
      </c>
      <c r="V3823" s="232" t="str">
        <f aca="false">+PROPER(F3823)</f>
        <v/>
      </c>
    </row>
    <row r="3824" customFormat="false" ht="14.25" hidden="false" customHeight="false" outlineLevel="0" collapsed="false">
      <c r="B3824" s="249"/>
      <c r="C3824" s="250"/>
      <c r="D3824" s="250"/>
      <c r="E3824" s="251"/>
      <c r="F3824" s="251"/>
      <c r="G3824" s="225" t="e">
        <f aca="false">VLOOKUP(B3824,'NIVEL ENERO'!A:F,4,0)</f>
        <v>#N/A</v>
      </c>
      <c r="H3824" s="252"/>
      <c r="I3824" s="252"/>
      <c r="J3824" s="251"/>
      <c r="K3824" s="251"/>
      <c r="L3824" s="253"/>
      <c r="M3824" s="253"/>
      <c r="N3824" s="251"/>
      <c r="O3824" s="251"/>
      <c r="P3824" s="254"/>
      <c r="Q3824" s="250"/>
      <c r="R3824" s="186" t="str">
        <f aca="false">+PROPER(C3824&amp;" "&amp;D3824)</f>
        <v> </v>
      </c>
      <c r="S3824" s="230" t="n">
        <f aca="false">+YEARFRAC(L3824,$S$1)</f>
        <v>126.366666666667</v>
      </c>
      <c r="T3824" s="230" t="n">
        <f aca="false">+YEARFRAC(M3824,$S$1)</f>
        <v>126.366666666667</v>
      </c>
      <c r="U3824" s="231" t="n">
        <f aca="false">+$I3824</f>
        <v>0</v>
      </c>
      <c r="V3824" s="232" t="str">
        <f aca="false">+PROPER(F3824)</f>
        <v/>
      </c>
    </row>
    <row r="3825" customFormat="false" ht="14.25" hidden="false" customHeight="false" outlineLevel="0" collapsed="false">
      <c r="B3825" s="249"/>
      <c r="C3825" s="250"/>
      <c r="D3825" s="250"/>
      <c r="E3825" s="251"/>
      <c r="F3825" s="251"/>
      <c r="G3825" s="225" t="e">
        <f aca="false">VLOOKUP(B3825,'NIVEL ENERO'!A:F,4,0)</f>
        <v>#N/A</v>
      </c>
      <c r="H3825" s="252"/>
      <c r="I3825" s="252"/>
      <c r="J3825" s="251"/>
      <c r="K3825" s="251"/>
      <c r="L3825" s="253"/>
      <c r="M3825" s="253"/>
      <c r="N3825" s="251"/>
      <c r="O3825" s="251"/>
      <c r="P3825" s="254"/>
      <c r="Q3825" s="250"/>
      <c r="R3825" s="186" t="str">
        <f aca="false">+PROPER(C3825&amp;" "&amp;D3825)</f>
        <v> </v>
      </c>
      <c r="S3825" s="230" t="n">
        <f aca="false">+YEARFRAC(L3825,$S$1)</f>
        <v>126.366666666667</v>
      </c>
      <c r="T3825" s="230" t="n">
        <f aca="false">+YEARFRAC(M3825,$S$1)</f>
        <v>126.366666666667</v>
      </c>
      <c r="U3825" s="231" t="n">
        <f aca="false">+$I3825</f>
        <v>0</v>
      </c>
      <c r="V3825" s="232" t="str">
        <f aca="false">+PROPER(F3825)</f>
        <v/>
      </c>
    </row>
    <row r="3826" customFormat="false" ht="14.25" hidden="false" customHeight="false" outlineLevel="0" collapsed="false">
      <c r="B3826" s="249"/>
      <c r="C3826" s="250"/>
      <c r="D3826" s="250"/>
      <c r="E3826" s="251"/>
      <c r="F3826" s="251"/>
      <c r="G3826" s="225" t="e">
        <f aca="false">VLOOKUP(B3826,'NIVEL ENERO'!A:F,4,0)</f>
        <v>#N/A</v>
      </c>
      <c r="H3826" s="252"/>
      <c r="I3826" s="252"/>
      <c r="J3826" s="251"/>
      <c r="K3826" s="251"/>
      <c r="L3826" s="253"/>
      <c r="M3826" s="253"/>
      <c r="N3826" s="251"/>
      <c r="O3826" s="251"/>
      <c r="P3826" s="254"/>
      <c r="Q3826" s="250"/>
      <c r="R3826" s="186" t="str">
        <f aca="false">+PROPER(C3826&amp;" "&amp;D3826)</f>
        <v> </v>
      </c>
      <c r="S3826" s="230" t="n">
        <f aca="false">+YEARFRAC(L3826,$S$1)</f>
        <v>126.366666666667</v>
      </c>
      <c r="T3826" s="230" t="n">
        <f aca="false">+YEARFRAC(M3826,$S$1)</f>
        <v>126.366666666667</v>
      </c>
      <c r="U3826" s="231" t="n">
        <f aca="false">+$I3826</f>
        <v>0</v>
      </c>
      <c r="V3826" s="232" t="str">
        <f aca="false">+PROPER(F3826)</f>
        <v/>
      </c>
    </row>
    <row r="3827" customFormat="false" ht="14.25" hidden="false" customHeight="false" outlineLevel="0" collapsed="false">
      <c r="B3827" s="249"/>
      <c r="C3827" s="250"/>
      <c r="D3827" s="250"/>
      <c r="E3827" s="251"/>
      <c r="F3827" s="251"/>
      <c r="G3827" s="225" t="e">
        <f aca="false">VLOOKUP(B3827,'NIVEL ENERO'!A:F,4,0)</f>
        <v>#N/A</v>
      </c>
      <c r="H3827" s="252"/>
      <c r="I3827" s="252"/>
      <c r="J3827" s="251"/>
      <c r="K3827" s="251"/>
      <c r="L3827" s="253"/>
      <c r="M3827" s="253"/>
      <c r="N3827" s="251"/>
      <c r="O3827" s="251"/>
      <c r="P3827" s="254"/>
      <c r="Q3827" s="250"/>
      <c r="R3827" s="186" t="str">
        <f aca="false">+PROPER(C3827&amp;" "&amp;D3827)</f>
        <v> </v>
      </c>
      <c r="S3827" s="230" t="n">
        <f aca="false">+YEARFRAC(L3827,$S$1)</f>
        <v>126.366666666667</v>
      </c>
      <c r="T3827" s="230" t="n">
        <f aca="false">+YEARFRAC(M3827,$S$1)</f>
        <v>126.366666666667</v>
      </c>
      <c r="U3827" s="231" t="n">
        <f aca="false">+$I3827</f>
        <v>0</v>
      </c>
      <c r="V3827" s="232" t="str">
        <f aca="false">+PROPER(F3827)</f>
        <v/>
      </c>
    </row>
    <row r="3828" customFormat="false" ht="14.25" hidden="false" customHeight="false" outlineLevel="0" collapsed="false">
      <c r="B3828" s="249"/>
      <c r="C3828" s="250"/>
      <c r="D3828" s="250"/>
      <c r="E3828" s="251"/>
      <c r="F3828" s="251"/>
      <c r="G3828" s="225" t="e">
        <f aca="false">VLOOKUP(B3828,'NIVEL ENERO'!A:F,4,0)</f>
        <v>#N/A</v>
      </c>
      <c r="H3828" s="252"/>
      <c r="I3828" s="252"/>
      <c r="J3828" s="251"/>
      <c r="K3828" s="251"/>
      <c r="L3828" s="253"/>
      <c r="M3828" s="253"/>
      <c r="N3828" s="251"/>
      <c r="O3828" s="251"/>
      <c r="P3828" s="254"/>
      <c r="Q3828" s="250"/>
      <c r="R3828" s="186" t="str">
        <f aca="false">+PROPER(C3828&amp;" "&amp;D3828)</f>
        <v> </v>
      </c>
      <c r="S3828" s="230" t="n">
        <f aca="false">+YEARFRAC(L3828,$S$1)</f>
        <v>126.366666666667</v>
      </c>
      <c r="T3828" s="230" t="n">
        <f aca="false">+YEARFRAC(M3828,$S$1)</f>
        <v>126.366666666667</v>
      </c>
      <c r="U3828" s="231" t="n">
        <f aca="false">+$I3828</f>
        <v>0</v>
      </c>
      <c r="V3828" s="232" t="str">
        <f aca="false">+PROPER(F3828)</f>
        <v/>
      </c>
    </row>
    <row r="3829" customFormat="false" ht="14.25" hidden="false" customHeight="false" outlineLevel="0" collapsed="false">
      <c r="B3829" s="249"/>
      <c r="C3829" s="250"/>
      <c r="D3829" s="250"/>
      <c r="E3829" s="251"/>
      <c r="F3829" s="251"/>
      <c r="G3829" s="225" t="e">
        <f aca="false">VLOOKUP(B3829,'NIVEL ENERO'!A:F,4,0)</f>
        <v>#N/A</v>
      </c>
      <c r="H3829" s="252"/>
      <c r="I3829" s="252"/>
      <c r="J3829" s="251"/>
      <c r="K3829" s="251"/>
      <c r="L3829" s="253"/>
      <c r="M3829" s="253"/>
      <c r="N3829" s="251"/>
      <c r="O3829" s="251"/>
      <c r="P3829" s="254"/>
      <c r="Q3829" s="250"/>
      <c r="R3829" s="186" t="str">
        <f aca="false">+PROPER(C3829&amp;" "&amp;D3829)</f>
        <v> </v>
      </c>
      <c r="S3829" s="230" t="n">
        <f aca="false">+YEARFRAC(L3829,$S$1)</f>
        <v>126.366666666667</v>
      </c>
      <c r="T3829" s="230" t="n">
        <f aca="false">+YEARFRAC(M3829,$S$1)</f>
        <v>126.366666666667</v>
      </c>
      <c r="U3829" s="231" t="n">
        <f aca="false">+$I3829</f>
        <v>0</v>
      </c>
      <c r="V3829" s="232" t="str">
        <f aca="false">+PROPER(F3829)</f>
        <v/>
      </c>
    </row>
    <row r="3830" customFormat="false" ht="14.25" hidden="false" customHeight="false" outlineLevel="0" collapsed="false">
      <c r="B3830" s="249"/>
      <c r="C3830" s="250"/>
      <c r="D3830" s="250"/>
      <c r="E3830" s="251"/>
      <c r="F3830" s="251"/>
      <c r="G3830" s="225" t="e">
        <f aca="false">VLOOKUP(B3830,'NIVEL ENERO'!A:F,4,0)</f>
        <v>#N/A</v>
      </c>
      <c r="H3830" s="252"/>
      <c r="I3830" s="252"/>
      <c r="J3830" s="251"/>
      <c r="K3830" s="251"/>
      <c r="L3830" s="253"/>
      <c r="M3830" s="253"/>
      <c r="N3830" s="251"/>
      <c r="O3830" s="251"/>
      <c r="P3830" s="254"/>
      <c r="Q3830" s="250"/>
      <c r="R3830" s="186" t="str">
        <f aca="false">+PROPER(C3830&amp;" "&amp;D3830)</f>
        <v> </v>
      </c>
      <c r="S3830" s="230" t="n">
        <f aca="false">+YEARFRAC(L3830,$S$1)</f>
        <v>126.366666666667</v>
      </c>
      <c r="T3830" s="230" t="n">
        <f aca="false">+YEARFRAC(M3830,$S$1)</f>
        <v>126.366666666667</v>
      </c>
      <c r="U3830" s="231" t="n">
        <f aca="false">+$I3830</f>
        <v>0</v>
      </c>
      <c r="V3830" s="232" t="str">
        <f aca="false">+PROPER(F3830)</f>
        <v/>
      </c>
    </row>
    <row r="3831" customFormat="false" ht="14.25" hidden="false" customHeight="false" outlineLevel="0" collapsed="false">
      <c r="B3831" s="249"/>
      <c r="C3831" s="250"/>
      <c r="D3831" s="250"/>
      <c r="E3831" s="251"/>
      <c r="F3831" s="251"/>
      <c r="G3831" s="225" t="e">
        <f aca="false">VLOOKUP(B3831,'NIVEL ENERO'!A:F,4,0)</f>
        <v>#N/A</v>
      </c>
      <c r="H3831" s="252"/>
      <c r="I3831" s="252"/>
      <c r="J3831" s="251"/>
      <c r="K3831" s="251"/>
      <c r="L3831" s="253"/>
      <c r="M3831" s="253"/>
      <c r="N3831" s="251"/>
      <c r="O3831" s="251"/>
      <c r="P3831" s="254"/>
      <c r="Q3831" s="250"/>
      <c r="R3831" s="186" t="str">
        <f aca="false">+PROPER(C3831&amp;" "&amp;D3831)</f>
        <v> </v>
      </c>
      <c r="S3831" s="230" t="n">
        <f aca="false">+YEARFRAC(L3831,$S$1)</f>
        <v>126.366666666667</v>
      </c>
      <c r="T3831" s="230" t="n">
        <f aca="false">+YEARFRAC(M3831,$S$1)</f>
        <v>126.366666666667</v>
      </c>
      <c r="U3831" s="231" t="n">
        <f aca="false">+$I3831</f>
        <v>0</v>
      </c>
      <c r="V3831" s="232" t="str">
        <f aca="false">+PROPER(F3831)</f>
        <v/>
      </c>
    </row>
    <row r="3832" customFormat="false" ht="14.25" hidden="false" customHeight="false" outlineLevel="0" collapsed="false">
      <c r="B3832" s="249"/>
      <c r="C3832" s="250"/>
      <c r="D3832" s="250"/>
      <c r="E3832" s="251"/>
      <c r="F3832" s="251"/>
      <c r="G3832" s="225" t="e">
        <f aca="false">VLOOKUP(B3832,'NIVEL ENERO'!A:F,4,0)</f>
        <v>#N/A</v>
      </c>
      <c r="H3832" s="252"/>
      <c r="I3832" s="252"/>
      <c r="J3832" s="251"/>
      <c r="K3832" s="251"/>
      <c r="L3832" s="253"/>
      <c r="M3832" s="253"/>
      <c r="N3832" s="251"/>
      <c r="O3832" s="251"/>
      <c r="P3832" s="254"/>
      <c r="Q3832" s="250"/>
      <c r="R3832" s="186" t="str">
        <f aca="false">+PROPER(C3832&amp;" "&amp;D3832)</f>
        <v> </v>
      </c>
      <c r="S3832" s="230" t="n">
        <f aca="false">+YEARFRAC(L3832,$S$1)</f>
        <v>126.366666666667</v>
      </c>
      <c r="T3832" s="230" t="n">
        <f aca="false">+YEARFRAC(M3832,$S$1)</f>
        <v>126.366666666667</v>
      </c>
      <c r="U3832" s="231" t="n">
        <f aca="false">+$I3832</f>
        <v>0</v>
      </c>
      <c r="V3832" s="232" t="str">
        <f aca="false">+PROPER(F3832)</f>
        <v/>
      </c>
    </row>
    <row r="3833" customFormat="false" ht="14.25" hidden="false" customHeight="false" outlineLevel="0" collapsed="false">
      <c r="B3833" s="249"/>
      <c r="C3833" s="250"/>
      <c r="D3833" s="250"/>
      <c r="E3833" s="251"/>
      <c r="F3833" s="251"/>
      <c r="G3833" s="225" t="e">
        <f aca="false">VLOOKUP(B3833,'NIVEL ENERO'!A:F,4,0)</f>
        <v>#N/A</v>
      </c>
      <c r="H3833" s="252"/>
      <c r="I3833" s="252"/>
      <c r="J3833" s="251"/>
      <c r="K3833" s="251"/>
      <c r="L3833" s="253"/>
      <c r="M3833" s="253"/>
      <c r="N3833" s="251"/>
      <c r="O3833" s="251"/>
      <c r="P3833" s="254"/>
      <c r="Q3833" s="250"/>
      <c r="R3833" s="186" t="str">
        <f aca="false">+PROPER(C3833&amp;" "&amp;D3833)</f>
        <v> </v>
      </c>
      <c r="S3833" s="230" t="n">
        <f aca="false">+YEARFRAC(L3833,$S$1)</f>
        <v>126.366666666667</v>
      </c>
      <c r="T3833" s="230" t="n">
        <f aca="false">+YEARFRAC(M3833,$S$1)</f>
        <v>126.366666666667</v>
      </c>
      <c r="U3833" s="231" t="n">
        <f aca="false">+$I3833</f>
        <v>0</v>
      </c>
      <c r="V3833" s="232" t="str">
        <f aca="false">+PROPER(F3833)</f>
        <v/>
      </c>
    </row>
    <row r="3834" customFormat="false" ht="14.25" hidden="false" customHeight="false" outlineLevel="0" collapsed="false">
      <c r="B3834" s="249"/>
      <c r="C3834" s="250"/>
      <c r="D3834" s="250"/>
      <c r="E3834" s="251"/>
      <c r="F3834" s="251"/>
      <c r="G3834" s="225" t="e">
        <f aca="false">VLOOKUP(B3834,'NIVEL ENERO'!A:F,4,0)</f>
        <v>#N/A</v>
      </c>
      <c r="H3834" s="252"/>
      <c r="I3834" s="252"/>
      <c r="J3834" s="251"/>
      <c r="K3834" s="251"/>
      <c r="L3834" s="253"/>
      <c r="M3834" s="253"/>
      <c r="N3834" s="251"/>
      <c r="O3834" s="251"/>
      <c r="P3834" s="254"/>
      <c r="Q3834" s="250"/>
      <c r="R3834" s="186" t="str">
        <f aca="false">+PROPER(C3834&amp;" "&amp;D3834)</f>
        <v> </v>
      </c>
      <c r="S3834" s="230" t="n">
        <f aca="false">+YEARFRAC(L3834,$S$1)</f>
        <v>126.366666666667</v>
      </c>
      <c r="T3834" s="230" t="n">
        <f aca="false">+YEARFRAC(M3834,$S$1)</f>
        <v>126.366666666667</v>
      </c>
      <c r="U3834" s="231" t="n">
        <f aca="false">+$I3834</f>
        <v>0</v>
      </c>
      <c r="V3834" s="232" t="str">
        <f aca="false">+PROPER(F3834)</f>
        <v/>
      </c>
    </row>
    <row r="3835" customFormat="false" ht="14.25" hidden="false" customHeight="false" outlineLevel="0" collapsed="false">
      <c r="B3835" s="249"/>
      <c r="C3835" s="250"/>
      <c r="D3835" s="250"/>
      <c r="E3835" s="251"/>
      <c r="F3835" s="251"/>
      <c r="G3835" s="225" t="e">
        <f aca="false">VLOOKUP(B3835,'NIVEL ENERO'!A:F,4,0)</f>
        <v>#N/A</v>
      </c>
      <c r="H3835" s="252"/>
      <c r="I3835" s="252"/>
      <c r="J3835" s="251"/>
      <c r="K3835" s="251"/>
      <c r="L3835" s="253"/>
      <c r="M3835" s="253"/>
      <c r="N3835" s="251"/>
      <c r="O3835" s="251"/>
      <c r="P3835" s="254"/>
      <c r="Q3835" s="250"/>
      <c r="R3835" s="186" t="str">
        <f aca="false">+PROPER(C3835&amp;" "&amp;D3835)</f>
        <v> </v>
      </c>
      <c r="S3835" s="230" t="n">
        <f aca="false">+YEARFRAC(L3835,$S$1)</f>
        <v>126.366666666667</v>
      </c>
      <c r="T3835" s="230" t="n">
        <f aca="false">+YEARFRAC(M3835,$S$1)</f>
        <v>126.366666666667</v>
      </c>
      <c r="U3835" s="231" t="n">
        <f aca="false">+$I3835</f>
        <v>0</v>
      </c>
      <c r="V3835" s="232" t="str">
        <f aca="false">+PROPER(F3835)</f>
        <v/>
      </c>
    </row>
    <row r="3836" customFormat="false" ht="14.25" hidden="false" customHeight="false" outlineLevel="0" collapsed="false">
      <c r="B3836" s="249"/>
      <c r="C3836" s="250"/>
      <c r="D3836" s="250"/>
      <c r="E3836" s="251"/>
      <c r="F3836" s="251"/>
      <c r="G3836" s="225" t="e">
        <f aca="false">VLOOKUP(B3836,'NIVEL ENERO'!A:F,4,0)</f>
        <v>#N/A</v>
      </c>
      <c r="H3836" s="252"/>
      <c r="I3836" s="252"/>
      <c r="J3836" s="251"/>
      <c r="K3836" s="251"/>
      <c r="L3836" s="253"/>
      <c r="M3836" s="253"/>
      <c r="N3836" s="251"/>
      <c r="O3836" s="251"/>
      <c r="P3836" s="254"/>
      <c r="Q3836" s="250"/>
      <c r="R3836" s="186" t="str">
        <f aca="false">+PROPER(C3836&amp;" "&amp;D3836)</f>
        <v> </v>
      </c>
      <c r="S3836" s="230" t="n">
        <f aca="false">+YEARFRAC(L3836,$S$1)</f>
        <v>126.366666666667</v>
      </c>
      <c r="T3836" s="230" t="n">
        <f aca="false">+YEARFRAC(M3836,$S$1)</f>
        <v>126.366666666667</v>
      </c>
      <c r="U3836" s="231" t="n">
        <f aca="false">+$I3836</f>
        <v>0</v>
      </c>
      <c r="V3836" s="232" t="str">
        <f aca="false">+PROPER(F3836)</f>
        <v/>
      </c>
    </row>
    <row r="3837" customFormat="false" ht="14.25" hidden="false" customHeight="false" outlineLevel="0" collapsed="false">
      <c r="B3837" s="249"/>
      <c r="C3837" s="250"/>
      <c r="D3837" s="250"/>
      <c r="E3837" s="251"/>
      <c r="F3837" s="251"/>
      <c r="G3837" s="225" t="e">
        <f aca="false">VLOOKUP(B3837,'NIVEL ENERO'!A:F,4,0)</f>
        <v>#N/A</v>
      </c>
      <c r="H3837" s="252"/>
      <c r="I3837" s="252"/>
      <c r="J3837" s="251"/>
      <c r="K3837" s="251"/>
      <c r="L3837" s="253"/>
      <c r="M3837" s="253"/>
      <c r="N3837" s="251"/>
      <c r="O3837" s="251"/>
      <c r="P3837" s="254"/>
      <c r="Q3837" s="250"/>
      <c r="R3837" s="186" t="str">
        <f aca="false">+PROPER(C3837&amp;" "&amp;D3837)</f>
        <v> </v>
      </c>
      <c r="S3837" s="230" t="n">
        <f aca="false">+YEARFRAC(L3837,$S$1)</f>
        <v>126.366666666667</v>
      </c>
      <c r="T3837" s="230" t="n">
        <f aca="false">+YEARFRAC(M3837,$S$1)</f>
        <v>126.366666666667</v>
      </c>
      <c r="U3837" s="231" t="n">
        <f aca="false">+$I3837</f>
        <v>0</v>
      </c>
      <c r="V3837" s="232" t="str">
        <f aca="false">+PROPER(F3837)</f>
        <v/>
      </c>
    </row>
    <row r="3838" customFormat="false" ht="14.25" hidden="false" customHeight="false" outlineLevel="0" collapsed="false">
      <c r="B3838" s="249"/>
      <c r="C3838" s="250"/>
      <c r="D3838" s="250"/>
      <c r="E3838" s="251"/>
      <c r="F3838" s="251"/>
      <c r="G3838" s="225" t="e">
        <f aca="false">VLOOKUP(B3838,'NIVEL ENERO'!A:F,4,0)</f>
        <v>#N/A</v>
      </c>
      <c r="H3838" s="252"/>
      <c r="I3838" s="252"/>
      <c r="J3838" s="251"/>
      <c r="K3838" s="251"/>
      <c r="L3838" s="253"/>
      <c r="M3838" s="253"/>
      <c r="N3838" s="251"/>
      <c r="O3838" s="251"/>
      <c r="P3838" s="254"/>
      <c r="Q3838" s="250"/>
      <c r="R3838" s="186" t="str">
        <f aca="false">+PROPER(C3838&amp;" "&amp;D3838)</f>
        <v> </v>
      </c>
      <c r="S3838" s="230" t="n">
        <f aca="false">+YEARFRAC(L3838,$S$1)</f>
        <v>126.366666666667</v>
      </c>
      <c r="T3838" s="230" t="n">
        <f aca="false">+YEARFRAC(M3838,$S$1)</f>
        <v>126.366666666667</v>
      </c>
      <c r="U3838" s="231" t="n">
        <f aca="false">+$I3838</f>
        <v>0</v>
      </c>
      <c r="V3838" s="232" t="str">
        <f aca="false">+PROPER(F3838)</f>
        <v/>
      </c>
    </row>
    <row r="3839" customFormat="false" ht="14.25" hidden="false" customHeight="false" outlineLevel="0" collapsed="false">
      <c r="B3839" s="249"/>
      <c r="C3839" s="250"/>
      <c r="D3839" s="250"/>
      <c r="E3839" s="251"/>
      <c r="F3839" s="251"/>
      <c r="G3839" s="225" t="e">
        <f aca="false">VLOOKUP(B3839,'NIVEL ENERO'!A:F,4,0)</f>
        <v>#N/A</v>
      </c>
      <c r="H3839" s="252"/>
      <c r="I3839" s="252"/>
      <c r="J3839" s="251"/>
      <c r="K3839" s="251"/>
      <c r="L3839" s="253"/>
      <c r="M3839" s="253"/>
      <c r="N3839" s="251"/>
      <c r="O3839" s="251"/>
      <c r="P3839" s="254"/>
      <c r="Q3839" s="250"/>
      <c r="R3839" s="186" t="str">
        <f aca="false">+PROPER(C3839&amp;" "&amp;D3839)</f>
        <v> </v>
      </c>
      <c r="S3839" s="230" t="n">
        <f aca="false">+YEARFRAC(L3839,$S$1)</f>
        <v>126.366666666667</v>
      </c>
      <c r="T3839" s="230" t="n">
        <f aca="false">+YEARFRAC(M3839,$S$1)</f>
        <v>126.366666666667</v>
      </c>
      <c r="U3839" s="231" t="n">
        <f aca="false">+$I3839</f>
        <v>0</v>
      </c>
      <c r="V3839" s="232" t="str">
        <f aca="false">+PROPER(F3839)</f>
        <v/>
      </c>
    </row>
    <row r="3840" customFormat="false" ht="14.25" hidden="false" customHeight="false" outlineLevel="0" collapsed="false">
      <c r="B3840" s="249"/>
      <c r="C3840" s="250"/>
      <c r="D3840" s="250"/>
      <c r="E3840" s="251"/>
      <c r="F3840" s="251"/>
      <c r="G3840" s="225" t="e">
        <f aca="false">VLOOKUP(B3840,'NIVEL ENERO'!A:F,4,0)</f>
        <v>#N/A</v>
      </c>
      <c r="H3840" s="252"/>
      <c r="I3840" s="252"/>
      <c r="J3840" s="251"/>
      <c r="K3840" s="251"/>
      <c r="L3840" s="253"/>
      <c r="M3840" s="253"/>
      <c r="N3840" s="251"/>
      <c r="O3840" s="251"/>
      <c r="P3840" s="254"/>
      <c r="Q3840" s="250"/>
      <c r="R3840" s="186" t="str">
        <f aca="false">+PROPER(C3840&amp;" "&amp;D3840)</f>
        <v> </v>
      </c>
      <c r="S3840" s="230" t="n">
        <f aca="false">+YEARFRAC(L3840,$S$1)</f>
        <v>126.366666666667</v>
      </c>
      <c r="T3840" s="230" t="n">
        <f aca="false">+YEARFRAC(M3840,$S$1)</f>
        <v>126.366666666667</v>
      </c>
      <c r="U3840" s="231" t="n">
        <f aca="false">+$I3840</f>
        <v>0</v>
      </c>
      <c r="V3840" s="232" t="str">
        <f aca="false">+PROPER(F3840)</f>
        <v/>
      </c>
    </row>
    <row r="3841" customFormat="false" ht="14.25" hidden="false" customHeight="false" outlineLevel="0" collapsed="false">
      <c r="B3841" s="249"/>
      <c r="C3841" s="250"/>
      <c r="D3841" s="250"/>
      <c r="E3841" s="251"/>
      <c r="F3841" s="251"/>
      <c r="G3841" s="225" t="e">
        <f aca="false">VLOOKUP(B3841,'NIVEL ENERO'!A:F,4,0)</f>
        <v>#N/A</v>
      </c>
      <c r="H3841" s="252"/>
      <c r="I3841" s="252"/>
      <c r="J3841" s="251"/>
      <c r="K3841" s="251"/>
      <c r="L3841" s="253"/>
      <c r="M3841" s="253"/>
      <c r="N3841" s="251"/>
      <c r="O3841" s="251"/>
      <c r="P3841" s="254"/>
      <c r="Q3841" s="250"/>
      <c r="R3841" s="186" t="str">
        <f aca="false">+PROPER(C3841&amp;" "&amp;D3841)</f>
        <v> </v>
      </c>
      <c r="S3841" s="230" t="n">
        <f aca="false">+YEARFRAC(L3841,$S$1)</f>
        <v>126.366666666667</v>
      </c>
      <c r="T3841" s="230" t="n">
        <f aca="false">+YEARFRAC(M3841,$S$1)</f>
        <v>126.366666666667</v>
      </c>
      <c r="U3841" s="231" t="n">
        <f aca="false">+$I3841</f>
        <v>0</v>
      </c>
      <c r="V3841" s="232" t="str">
        <f aca="false">+PROPER(F3841)</f>
        <v/>
      </c>
    </row>
    <row r="3842" customFormat="false" ht="14.25" hidden="false" customHeight="false" outlineLevel="0" collapsed="false">
      <c r="B3842" s="249"/>
      <c r="C3842" s="250"/>
      <c r="D3842" s="250"/>
      <c r="E3842" s="251"/>
      <c r="F3842" s="251"/>
      <c r="G3842" s="225" t="e">
        <f aca="false">VLOOKUP(B3842,'NIVEL ENERO'!A:F,4,0)</f>
        <v>#N/A</v>
      </c>
      <c r="H3842" s="252"/>
      <c r="I3842" s="252"/>
      <c r="J3842" s="251"/>
      <c r="K3842" s="251"/>
      <c r="L3842" s="253"/>
      <c r="M3842" s="253"/>
      <c r="N3842" s="251"/>
      <c r="O3842" s="251"/>
      <c r="P3842" s="254"/>
      <c r="Q3842" s="250"/>
      <c r="R3842" s="186" t="str">
        <f aca="false">+PROPER(C3842&amp;" "&amp;D3842)</f>
        <v> </v>
      </c>
      <c r="S3842" s="230" t="n">
        <f aca="false">+YEARFRAC(L3842,$S$1)</f>
        <v>126.366666666667</v>
      </c>
      <c r="T3842" s="230" t="n">
        <f aca="false">+YEARFRAC(M3842,$S$1)</f>
        <v>126.366666666667</v>
      </c>
      <c r="U3842" s="231" t="n">
        <f aca="false">+$I3842</f>
        <v>0</v>
      </c>
      <c r="V3842" s="232" t="str">
        <f aca="false">+PROPER(F3842)</f>
        <v/>
      </c>
    </row>
    <row r="3843" customFormat="false" ht="14.25" hidden="false" customHeight="false" outlineLevel="0" collapsed="false">
      <c r="B3843" s="249"/>
      <c r="C3843" s="250"/>
      <c r="D3843" s="250"/>
      <c r="E3843" s="251"/>
      <c r="F3843" s="251"/>
      <c r="G3843" s="225" t="e">
        <f aca="false">VLOOKUP(B3843,'NIVEL ENERO'!A:F,4,0)</f>
        <v>#N/A</v>
      </c>
      <c r="H3843" s="252"/>
      <c r="I3843" s="252"/>
      <c r="J3843" s="251"/>
      <c r="K3843" s="251"/>
      <c r="L3843" s="253"/>
      <c r="M3843" s="253"/>
      <c r="N3843" s="251"/>
      <c r="O3843" s="251"/>
      <c r="P3843" s="254"/>
      <c r="Q3843" s="250"/>
      <c r="R3843" s="186" t="str">
        <f aca="false">+PROPER(C3843&amp;" "&amp;D3843)</f>
        <v> </v>
      </c>
      <c r="S3843" s="230" t="n">
        <f aca="false">+YEARFRAC(L3843,$S$1)</f>
        <v>126.366666666667</v>
      </c>
      <c r="T3843" s="230" t="n">
        <f aca="false">+YEARFRAC(M3843,$S$1)</f>
        <v>126.366666666667</v>
      </c>
      <c r="U3843" s="231" t="n">
        <f aca="false">+$I3843</f>
        <v>0</v>
      </c>
      <c r="V3843" s="232" t="str">
        <f aca="false">+PROPER(F3843)</f>
        <v/>
      </c>
    </row>
    <row r="3844" customFormat="false" ht="14.25" hidden="false" customHeight="false" outlineLevel="0" collapsed="false">
      <c r="B3844" s="249"/>
      <c r="C3844" s="250"/>
      <c r="D3844" s="250"/>
      <c r="E3844" s="251"/>
      <c r="F3844" s="251"/>
      <c r="G3844" s="225" t="e">
        <f aca="false">VLOOKUP(B3844,'NIVEL ENERO'!A:F,4,0)</f>
        <v>#N/A</v>
      </c>
      <c r="H3844" s="252"/>
      <c r="I3844" s="252"/>
      <c r="J3844" s="251"/>
      <c r="K3844" s="251"/>
      <c r="L3844" s="253"/>
      <c r="M3844" s="253"/>
      <c r="N3844" s="251"/>
      <c r="O3844" s="251"/>
      <c r="P3844" s="254"/>
      <c r="Q3844" s="250"/>
      <c r="R3844" s="186" t="str">
        <f aca="false">+PROPER(C3844&amp;" "&amp;D3844)</f>
        <v> </v>
      </c>
      <c r="S3844" s="230" t="n">
        <f aca="false">+YEARFRAC(L3844,$S$1)</f>
        <v>126.366666666667</v>
      </c>
      <c r="T3844" s="230" t="n">
        <f aca="false">+YEARFRAC(M3844,$S$1)</f>
        <v>126.366666666667</v>
      </c>
      <c r="U3844" s="231" t="n">
        <f aca="false">+$I3844</f>
        <v>0</v>
      </c>
      <c r="V3844" s="232" t="str">
        <f aca="false">+PROPER(F3844)</f>
        <v/>
      </c>
    </row>
    <row r="3845" customFormat="false" ht="14.25" hidden="false" customHeight="false" outlineLevel="0" collapsed="false">
      <c r="B3845" s="249"/>
      <c r="C3845" s="250"/>
      <c r="D3845" s="250"/>
      <c r="E3845" s="251"/>
      <c r="F3845" s="251"/>
      <c r="G3845" s="225" t="e">
        <f aca="false">VLOOKUP(B3845,'NIVEL ENERO'!A:F,4,0)</f>
        <v>#N/A</v>
      </c>
      <c r="H3845" s="252"/>
      <c r="I3845" s="252"/>
      <c r="J3845" s="251"/>
      <c r="K3845" s="251"/>
      <c r="L3845" s="253"/>
      <c r="M3845" s="253"/>
      <c r="N3845" s="251"/>
      <c r="O3845" s="251"/>
      <c r="P3845" s="254"/>
      <c r="Q3845" s="250"/>
      <c r="R3845" s="186" t="str">
        <f aca="false">+PROPER(C3845&amp;" "&amp;D3845)</f>
        <v> </v>
      </c>
      <c r="S3845" s="230" t="n">
        <f aca="false">+YEARFRAC(L3845,$S$1)</f>
        <v>126.366666666667</v>
      </c>
      <c r="T3845" s="230" t="n">
        <f aca="false">+YEARFRAC(M3845,$S$1)</f>
        <v>126.366666666667</v>
      </c>
      <c r="U3845" s="231" t="n">
        <f aca="false">+$I3845</f>
        <v>0</v>
      </c>
      <c r="V3845" s="232" t="str">
        <f aca="false">+PROPER(F3845)</f>
        <v/>
      </c>
    </row>
    <row r="3846" customFormat="false" ht="14.25" hidden="false" customHeight="false" outlineLevel="0" collapsed="false">
      <c r="B3846" s="249"/>
      <c r="C3846" s="250"/>
      <c r="D3846" s="250"/>
      <c r="E3846" s="251"/>
      <c r="F3846" s="251"/>
      <c r="G3846" s="225" t="e">
        <f aca="false">VLOOKUP(B3846,'NIVEL ENERO'!A:F,4,0)</f>
        <v>#N/A</v>
      </c>
      <c r="H3846" s="252"/>
      <c r="I3846" s="252"/>
      <c r="J3846" s="251"/>
      <c r="K3846" s="251"/>
      <c r="L3846" s="253"/>
      <c r="M3846" s="253"/>
      <c r="N3846" s="251"/>
      <c r="O3846" s="251"/>
      <c r="P3846" s="254"/>
      <c r="Q3846" s="250"/>
      <c r="R3846" s="186" t="str">
        <f aca="false">+PROPER(C3846&amp;" "&amp;D3846)</f>
        <v> </v>
      </c>
      <c r="S3846" s="230" t="n">
        <f aca="false">+YEARFRAC(L3846,$S$1)</f>
        <v>126.366666666667</v>
      </c>
      <c r="T3846" s="230" t="n">
        <f aca="false">+YEARFRAC(M3846,$S$1)</f>
        <v>126.366666666667</v>
      </c>
      <c r="U3846" s="231" t="n">
        <f aca="false">+$I3846</f>
        <v>0</v>
      </c>
      <c r="V3846" s="232" t="str">
        <f aca="false">+PROPER(F3846)</f>
        <v/>
      </c>
    </row>
    <row r="3847" customFormat="false" ht="14.25" hidden="false" customHeight="false" outlineLevel="0" collapsed="false">
      <c r="B3847" s="249"/>
      <c r="C3847" s="250"/>
      <c r="D3847" s="250"/>
      <c r="E3847" s="251"/>
      <c r="F3847" s="251"/>
      <c r="G3847" s="225" t="e">
        <f aca="false">VLOOKUP(B3847,'NIVEL ENERO'!A:F,4,0)</f>
        <v>#N/A</v>
      </c>
      <c r="H3847" s="252"/>
      <c r="I3847" s="252"/>
      <c r="J3847" s="251"/>
      <c r="K3847" s="251"/>
      <c r="L3847" s="253"/>
      <c r="M3847" s="253"/>
      <c r="N3847" s="251"/>
      <c r="O3847" s="251"/>
      <c r="P3847" s="254"/>
      <c r="Q3847" s="250"/>
      <c r="R3847" s="186" t="str">
        <f aca="false">+PROPER(C3847&amp;" "&amp;D3847)</f>
        <v> </v>
      </c>
      <c r="S3847" s="230" t="n">
        <f aca="false">+YEARFRAC(L3847,$S$1)</f>
        <v>126.366666666667</v>
      </c>
      <c r="T3847" s="230" t="n">
        <f aca="false">+YEARFRAC(M3847,$S$1)</f>
        <v>126.366666666667</v>
      </c>
      <c r="U3847" s="231" t="n">
        <f aca="false">+$I3847</f>
        <v>0</v>
      </c>
      <c r="V3847" s="232" t="str">
        <f aca="false">+PROPER(F3847)</f>
        <v/>
      </c>
    </row>
    <row r="3848" customFormat="false" ht="14.25" hidden="false" customHeight="false" outlineLevel="0" collapsed="false">
      <c r="B3848" s="249"/>
      <c r="C3848" s="250"/>
      <c r="D3848" s="250"/>
      <c r="E3848" s="251"/>
      <c r="F3848" s="251"/>
      <c r="G3848" s="225" t="e">
        <f aca="false">VLOOKUP(B3848,'NIVEL ENERO'!A:F,4,0)</f>
        <v>#N/A</v>
      </c>
      <c r="H3848" s="252"/>
      <c r="I3848" s="252"/>
      <c r="J3848" s="251"/>
      <c r="K3848" s="251"/>
      <c r="L3848" s="253"/>
      <c r="M3848" s="253"/>
      <c r="N3848" s="251"/>
      <c r="O3848" s="251"/>
      <c r="P3848" s="254"/>
      <c r="Q3848" s="250"/>
      <c r="R3848" s="186" t="str">
        <f aca="false">+PROPER(C3848&amp;" "&amp;D3848)</f>
        <v> </v>
      </c>
      <c r="S3848" s="230" t="n">
        <f aca="false">+YEARFRAC(L3848,$S$1)</f>
        <v>126.366666666667</v>
      </c>
      <c r="T3848" s="230" t="n">
        <f aca="false">+YEARFRAC(M3848,$S$1)</f>
        <v>126.366666666667</v>
      </c>
      <c r="U3848" s="231" t="n">
        <f aca="false">+$I3848</f>
        <v>0</v>
      </c>
      <c r="V3848" s="232" t="str">
        <f aca="false">+PROPER(F3848)</f>
        <v/>
      </c>
    </row>
    <row r="3849" customFormat="false" ht="14.25" hidden="false" customHeight="false" outlineLevel="0" collapsed="false">
      <c r="B3849" s="249"/>
      <c r="C3849" s="250"/>
      <c r="D3849" s="250"/>
      <c r="E3849" s="251"/>
      <c r="F3849" s="251"/>
      <c r="G3849" s="225" t="e">
        <f aca="false">VLOOKUP(B3849,'NIVEL ENERO'!A:F,4,0)</f>
        <v>#N/A</v>
      </c>
      <c r="H3849" s="252"/>
      <c r="I3849" s="252"/>
      <c r="J3849" s="251"/>
      <c r="K3849" s="251"/>
      <c r="L3849" s="253"/>
      <c r="M3849" s="253"/>
      <c r="N3849" s="251"/>
      <c r="O3849" s="251"/>
      <c r="P3849" s="254"/>
      <c r="Q3849" s="250"/>
      <c r="R3849" s="186" t="str">
        <f aca="false">+PROPER(C3849&amp;" "&amp;D3849)</f>
        <v> </v>
      </c>
      <c r="S3849" s="230" t="n">
        <f aca="false">+YEARFRAC(L3849,$S$1)</f>
        <v>126.366666666667</v>
      </c>
      <c r="T3849" s="230" t="n">
        <f aca="false">+YEARFRAC(M3849,$S$1)</f>
        <v>126.366666666667</v>
      </c>
      <c r="U3849" s="231" t="n">
        <f aca="false">+$I3849</f>
        <v>0</v>
      </c>
      <c r="V3849" s="232" t="str">
        <f aca="false">+PROPER(F3849)</f>
        <v/>
      </c>
    </row>
    <row r="3850" customFormat="false" ht="14.25" hidden="false" customHeight="false" outlineLevel="0" collapsed="false">
      <c r="B3850" s="249"/>
      <c r="C3850" s="250"/>
      <c r="D3850" s="250"/>
      <c r="E3850" s="251"/>
      <c r="F3850" s="251"/>
      <c r="G3850" s="225" t="e">
        <f aca="false">VLOOKUP(B3850,'NIVEL ENERO'!A:F,4,0)</f>
        <v>#N/A</v>
      </c>
      <c r="H3850" s="252"/>
      <c r="I3850" s="252"/>
      <c r="J3850" s="251"/>
      <c r="K3850" s="251"/>
      <c r="L3850" s="253"/>
      <c r="M3850" s="253"/>
      <c r="N3850" s="251"/>
      <c r="O3850" s="251"/>
      <c r="P3850" s="254"/>
      <c r="Q3850" s="250"/>
      <c r="R3850" s="186" t="str">
        <f aca="false">+PROPER(C3850&amp;" "&amp;D3850)</f>
        <v> </v>
      </c>
      <c r="S3850" s="230" t="n">
        <f aca="false">+YEARFRAC(L3850,$S$1)</f>
        <v>126.366666666667</v>
      </c>
      <c r="T3850" s="230" t="n">
        <f aca="false">+YEARFRAC(M3850,$S$1)</f>
        <v>126.366666666667</v>
      </c>
      <c r="U3850" s="231" t="n">
        <f aca="false">+$I3850</f>
        <v>0</v>
      </c>
      <c r="V3850" s="232" t="str">
        <f aca="false">+PROPER(F3850)</f>
        <v/>
      </c>
    </row>
    <row r="3851" customFormat="false" ht="14.25" hidden="false" customHeight="false" outlineLevel="0" collapsed="false">
      <c r="B3851" s="249"/>
      <c r="C3851" s="250"/>
      <c r="D3851" s="250"/>
      <c r="E3851" s="251"/>
      <c r="F3851" s="251"/>
      <c r="G3851" s="225" t="e">
        <f aca="false">VLOOKUP(B3851,'NIVEL ENERO'!A:F,4,0)</f>
        <v>#N/A</v>
      </c>
      <c r="H3851" s="252"/>
      <c r="I3851" s="252"/>
      <c r="J3851" s="251"/>
      <c r="K3851" s="251"/>
      <c r="L3851" s="253"/>
      <c r="M3851" s="253"/>
      <c r="N3851" s="251"/>
      <c r="O3851" s="251"/>
      <c r="P3851" s="254"/>
      <c r="Q3851" s="250"/>
      <c r="R3851" s="186" t="str">
        <f aca="false">+PROPER(C3851&amp;" "&amp;D3851)</f>
        <v> </v>
      </c>
      <c r="S3851" s="230" t="n">
        <f aca="false">+YEARFRAC(L3851,$S$1)</f>
        <v>126.366666666667</v>
      </c>
      <c r="T3851" s="230" t="n">
        <f aca="false">+YEARFRAC(M3851,$S$1)</f>
        <v>126.366666666667</v>
      </c>
      <c r="U3851" s="231" t="n">
        <f aca="false">+$I3851</f>
        <v>0</v>
      </c>
      <c r="V3851" s="232" t="str">
        <f aca="false">+PROPER(F3851)</f>
        <v/>
      </c>
    </row>
    <row r="3852" customFormat="false" ht="14.25" hidden="false" customHeight="false" outlineLevel="0" collapsed="false">
      <c r="B3852" s="249"/>
      <c r="C3852" s="250"/>
      <c r="D3852" s="250"/>
      <c r="E3852" s="251"/>
      <c r="F3852" s="251"/>
      <c r="G3852" s="225" t="e">
        <f aca="false">VLOOKUP(B3852,'NIVEL ENERO'!A:F,4,0)</f>
        <v>#N/A</v>
      </c>
      <c r="H3852" s="252"/>
      <c r="I3852" s="252"/>
      <c r="J3852" s="251"/>
      <c r="K3852" s="251"/>
      <c r="L3852" s="253"/>
      <c r="M3852" s="253"/>
      <c r="N3852" s="251"/>
      <c r="O3852" s="251"/>
      <c r="P3852" s="254"/>
      <c r="Q3852" s="250"/>
      <c r="R3852" s="186" t="str">
        <f aca="false">+PROPER(C3852&amp;" "&amp;D3852)</f>
        <v> </v>
      </c>
      <c r="S3852" s="230" t="n">
        <f aca="false">+YEARFRAC(L3852,$S$1)</f>
        <v>126.366666666667</v>
      </c>
      <c r="T3852" s="230" t="n">
        <f aca="false">+YEARFRAC(M3852,$S$1)</f>
        <v>126.366666666667</v>
      </c>
      <c r="U3852" s="231" t="n">
        <f aca="false">+$I3852</f>
        <v>0</v>
      </c>
      <c r="V3852" s="232" t="str">
        <f aca="false">+PROPER(F3852)</f>
        <v/>
      </c>
    </row>
    <row r="3853" customFormat="false" ht="14.25" hidden="false" customHeight="false" outlineLevel="0" collapsed="false">
      <c r="B3853" s="249"/>
      <c r="C3853" s="250"/>
      <c r="D3853" s="250"/>
      <c r="E3853" s="251"/>
      <c r="F3853" s="251"/>
      <c r="G3853" s="225" t="e">
        <f aca="false">VLOOKUP(B3853,'NIVEL ENERO'!A:F,4,0)</f>
        <v>#N/A</v>
      </c>
      <c r="H3853" s="252"/>
      <c r="I3853" s="252"/>
      <c r="J3853" s="251"/>
      <c r="K3853" s="251"/>
      <c r="L3853" s="253"/>
      <c r="M3853" s="253"/>
      <c r="N3853" s="251"/>
      <c r="O3853" s="251"/>
      <c r="P3853" s="254"/>
      <c r="Q3853" s="250"/>
      <c r="R3853" s="186" t="str">
        <f aca="false">+PROPER(C3853&amp;" "&amp;D3853)</f>
        <v> </v>
      </c>
      <c r="S3853" s="230" t="n">
        <f aca="false">+YEARFRAC(L3853,$S$1)</f>
        <v>126.366666666667</v>
      </c>
      <c r="T3853" s="230" t="n">
        <f aca="false">+YEARFRAC(M3853,$S$1)</f>
        <v>126.366666666667</v>
      </c>
      <c r="U3853" s="231" t="n">
        <f aca="false">+$I3853</f>
        <v>0</v>
      </c>
      <c r="V3853" s="232" t="str">
        <f aca="false">+PROPER(F3853)</f>
        <v/>
      </c>
    </row>
    <row r="3854" customFormat="false" ht="14.25" hidden="false" customHeight="false" outlineLevel="0" collapsed="false">
      <c r="B3854" s="249"/>
      <c r="C3854" s="250"/>
      <c r="D3854" s="250"/>
      <c r="E3854" s="251"/>
      <c r="F3854" s="251"/>
      <c r="G3854" s="225" t="e">
        <f aca="false">VLOOKUP(B3854,'NIVEL ENERO'!A:F,4,0)</f>
        <v>#N/A</v>
      </c>
      <c r="H3854" s="252"/>
      <c r="I3854" s="252"/>
      <c r="J3854" s="251"/>
      <c r="K3854" s="251"/>
      <c r="L3854" s="253"/>
      <c r="M3854" s="253"/>
      <c r="N3854" s="251"/>
      <c r="O3854" s="251"/>
      <c r="P3854" s="254"/>
      <c r="Q3854" s="250"/>
      <c r="R3854" s="186" t="str">
        <f aca="false">+PROPER(C3854&amp;" "&amp;D3854)</f>
        <v> </v>
      </c>
      <c r="S3854" s="230" t="n">
        <f aca="false">+YEARFRAC(L3854,$S$1)</f>
        <v>126.366666666667</v>
      </c>
      <c r="T3854" s="230" t="n">
        <f aca="false">+YEARFRAC(M3854,$S$1)</f>
        <v>126.366666666667</v>
      </c>
      <c r="U3854" s="231" t="n">
        <f aca="false">+$I3854</f>
        <v>0</v>
      </c>
      <c r="V3854" s="232" t="str">
        <f aca="false">+PROPER(F3854)</f>
        <v/>
      </c>
    </row>
    <row r="3855" customFormat="false" ht="14.25" hidden="false" customHeight="false" outlineLevel="0" collapsed="false">
      <c r="B3855" s="249"/>
      <c r="C3855" s="250"/>
      <c r="D3855" s="250"/>
      <c r="E3855" s="251"/>
      <c r="F3855" s="251"/>
      <c r="G3855" s="225" t="e">
        <f aca="false">VLOOKUP(B3855,'NIVEL ENERO'!A:F,4,0)</f>
        <v>#N/A</v>
      </c>
      <c r="H3855" s="252"/>
      <c r="I3855" s="252"/>
      <c r="J3855" s="251"/>
      <c r="K3855" s="251"/>
      <c r="L3855" s="253"/>
      <c r="M3855" s="253"/>
      <c r="N3855" s="251"/>
      <c r="O3855" s="251"/>
      <c r="P3855" s="254"/>
      <c r="Q3855" s="250"/>
      <c r="R3855" s="186" t="str">
        <f aca="false">+PROPER(C3855&amp;" "&amp;D3855)</f>
        <v> </v>
      </c>
      <c r="S3855" s="230" t="n">
        <f aca="false">+YEARFRAC(L3855,$S$1)</f>
        <v>126.366666666667</v>
      </c>
      <c r="T3855" s="230" t="n">
        <f aca="false">+YEARFRAC(M3855,$S$1)</f>
        <v>126.366666666667</v>
      </c>
      <c r="U3855" s="231" t="n">
        <f aca="false">+$I3855</f>
        <v>0</v>
      </c>
      <c r="V3855" s="232" t="str">
        <f aca="false">+PROPER(F3855)</f>
        <v/>
      </c>
    </row>
    <row r="3856" customFormat="false" ht="14.25" hidden="false" customHeight="false" outlineLevel="0" collapsed="false">
      <c r="B3856" s="249"/>
      <c r="C3856" s="250"/>
      <c r="D3856" s="250"/>
      <c r="E3856" s="251"/>
      <c r="F3856" s="251"/>
      <c r="G3856" s="225" t="e">
        <f aca="false">VLOOKUP(B3856,'NIVEL ENERO'!A:F,4,0)</f>
        <v>#N/A</v>
      </c>
      <c r="H3856" s="252"/>
      <c r="I3856" s="252"/>
      <c r="J3856" s="251"/>
      <c r="K3856" s="251"/>
      <c r="L3856" s="253"/>
      <c r="M3856" s="253"/>
      <c r="N3856" s="251"/>
      <c r="O3856" s="251"/>
      <c r="P3856" s="254"/>
      <c r="Q3856" s="250"/>
      <c r="R3856" s="186" t="str">
        <f aca="false">+PROPER(C3856&amp;" "&amp;D3856)</f>
        <v> </v>
      </c>
      <c r="S3856" s="230" t="n">
        <f aca="false">+YEARFRAC(L3856,$S$1)</f>
        <v>126.366666666667</v>
      </c>
      <c r="T3856" s="230" t="n">
        <f aca="false">+YEARFRAC(M3856,$S$1)</f>
        <v>126.366666666667</v>
      </c>
      <c r="U3856" s="231" t="n">
        <f aca="false">+$I3856</f>
        <v>0</v>
      </c>
      <c r="V3856" s="232" t="str">
        <f aca="false">+PROPER(F3856)</f>
        <v/>
      </c>
    </row>
    <row r="3857" customFormat="false" ht="14.25" hidden="false" customHeight="false" outlineLevel="0" collapsed="false">
      <c r="B3857" s="249"/>
      <c r="C3857" s="250"/>
      <c r="D3857" s="250"/>
      <c r="E3857" s="251"/>
      <c r="F3857" s="251"/>
      <c r="G3857" s="225" t="e">
        <f aca="false">VLOOKUP(B3857,'NIVEL ENERO'!A:F,4,0)</f>
        <v>#N/A</v>
      </c>
      <c r="H3857" s="252"/>
      <c r="I3857" s="252"/>
      <c r="J3857" s="251"/>
      <c r="K3857" s="251"/>
      <c r="L3857" s="253"/>
      <c r="M3857" s="253"/>
      <c r="N3857" s="251"/>
      <c r="O3857" s="251"/>
      <c r="P3857" s="254"/>
      <c r="Q3857" s="250"/>
      <c r="R3857" s="186" t="str">
        <f aca="false">+PROPER(C3857&amp;" "&amp;D3857)</f>
        <v> </v>
      </c>
      <c r="S3857" s="230" t="n">
        <f aca="false">+YEARFRAC(L3857,$S$1)</f>
        <v>126.366666666667</v>
      </c>
      <c r="T3857" s="230" t="n">
        <f aca="false">+YEARFRAC(M3857,$S$1)</f>
        <v>126.366666666667</v>
      </c>
      <c r="U3857" s="231" t="n">
        <f aca="false">+$I3857</f>
        <v>0</v>
      </c>
      <c r="V3857" s="232" t="str">
        <f aca="false">+PROPER(F3857)</f>
        <v/>
      </c>
    </row>
    <row r="3858" customFormat="false" ht="14.25" hidden="false" customHeight="false" outlineLevel="0" collapsed="false">
      <c r="B3858" s="249"/>
      <c r="C3858" s="250"/>
      <c r="D3858" s="250"/>
      <c r="E3858" s="251"/>
      <c r="F3858" s="251"/>
      <c r="G3858" s="225" t="e">
        <f aca="false">VLOOKUP(B3858,'NIVEL ENERO'!A:F,4,0)</f>
        <v>#N/A</v>
      </c>
      <c r="H3858" s="252"/>
      <c r="I3858" s="252"/>
      <c r="J3858" s="251"/>
      <c r="K3858" s="251"/>
      <c r="L3858" s="253"/>
      <c r="M3858" s="253"/>
      <c r="N3858" s="251"/>
      <c r="O3858" s="251"/>
      <c r="P3858" s="254"/>
      <c r="Q3858" s="250"/>
      <c r="R3858" s="186" t="str">
        <f aca="false">+PROPER(C3858&amp;" "&amp;D3858)</f>
        <v> </v>
      </c>
      <c r="S3858" s="230" t="n">
        <f aca="false">+YEARFRAC(L3858,$S$1)</f>
        <v>126.366666666667</v>
      </c>
      <c r="T3858" s="230" t="n">
        <f aca="false">+YEARFRAC(M3858,$S$1)</f>
        <v>126.366666666667</v>
      </c>
      <c r="U3858" s="231" t="n">
        <f aca="false">+$I3858</f>
        <v>0</v>
      </c>
      <c r="V3858" s="232" t="str">
        <f aca="false">+PROPER(F3858)</f>
        <v/>
      </c>
    </row>
    <row r="3859" customFormat="false" ht="14.25" hidden="false" customHeight="false" outlineLevel="0" collapsed="false">
      <c r="B3859" s="249"/>
      <c r="C3859" s="250"/>
      <c r="D3859" s="250"/>
      <c r="E3859" s="251"/>
      <c r="F3859" s="251"/>
      <c r="G3859" s="225" t="e">
        <f aca="false">VLOOKUP(B3859,'NIVEL ENERO'!A:F,4,0)</f>
        <v>#N/A</v>
      </c>
      <c r="H3859" s="252"/>
      <c r="I3859" s="252"/>
      <c r="J3859" s="251"/>
      <c r="K3859" s="251"/>
      <c r="L3859" s="253"/>
      <c r="M3859" s="253"/>
      <c r="N3859" s="251"/>
      <c r="O3859" s="251"/>
      <c r="P3859" s="254"/>
      <c r="Q3859" s="250"/>
      <c r="R3859" s="186" t="str">
        <f aca="false">+PROPER(C3859&amp;" "&amp;D3859)</f>
        <v> </v>
      </c>
      <c r="S3859" s="230" t="n">
        <f aca="false">+YEARFRAC(L3859,$S$1)</f>
        <v>126.366666666667</v>
      </c>
      <c r="T3859" s="230" t="n">
        <f aca="false">+YEARFRAC(M3859,$S$1)</f>
        <v>126.366666666667</v>
      </c>
      <c r="U3859" s="231" t="n">
        <f aca="false">+$I3859</f>
        <v>0</v>
      </c>
      <c r="V3859" s="232" t="str">
        <f aca="false">+PROPER(F3859)</f>
        <v/>
      </c>
    </row>
    <row r="3860" customFormat="false" ht="14.25" hidden="false" customHeight="false" outlineLevel="0" collapsed="false">
      <c r="B3860" s="249"/>
      <c r="C3860" s="250"/>
      <c r="D3860" s="250"/>
      <c r="E3860" s="251"/>
      <c r="F3860" s="251"/>
      <c r="G3860" s="225" t="e">
        <f aca="false">VLOOKUP(B3860,'NIVEL ENERO'!A:F,4,0)</f>
        <v>#N/A</v>
      </c>
      <c r="H3860" s="252"/>
      <c r="I3860" s="252"/>
      <c r="J3860" s="251"/>
      <c r="K3860" s="251"/>
      <c r="L3860" s="253"/>
      <c r="M3860" s="253"/>
      <c r="N3860" s="251"/>
      <c r="O3860" s="251"/>
      <c r="P3860" s="254"/>
      <c r="Q3860" s="250"/>
      <c r="R3860" s="186" t="str">
        <f aca="false">+PROPER(C3860&amp;" "&amp;D3860)</f>
        <v> </v>
      </c>
      <c r="S3860" s="230" t="n">
        <f aca="false">+YEARFRAC(L3860,$S$1)</f>
        <v>126.366666666667</v>
      </c>
      <c r="T3860" s="230" t="n">
        <f aca="false">+YEARFRAC(M3860,$S$1)</f>
        <v>126.366666666667</v>
      </c>
      <c r="U3860" s="231" t="n">
        <f aca="false">+$I3860</f>
        <v>0</v>
      </c>
      <c r="V3860" s="232" t="str">
        <f aca="false">+PROPER(F3860)</f>
        <v/>
      </c>
    </row>
    <row r="3861" customFormat="false" ht="14.25" hidden="false" customHeight="false" outlineLevel="0" collapsed="false">
      <c r="B3861" s="249"/>
      <c r="C3861" s="250"/>
      <c r="D3861" s="250"/>
      <c r="E3861" s="251"/>
      <c r="F3861" s="251"/>
      <c r="G3861" s="225" t="e">
        <f aca="false">VLOOKUP(B3861,'NIVEL ENERO'!A:F,4,0)</f>
        <v>#N/A</v>
      </c>
      <c r="H3861" s="252"/>
      <c r="I3861" s="252"/>
      <c r="J3861" s="251"/>
      <c r="K3861" s="251"/>
      <c r="L3861" s="253"/>
      <c r="M3861" s="253"/>
      <c r="N3861" s="251"/>
      <c r="O3861" s="251"/>
      <c r="P3861" s="254"/>
      <c r="Q3861" s="250"/>
      <c r="R3861" s="186" t="str">
        <f aca="false">+PROPER(C3861&amp;" "&amp;D3861)</f>
        <v> </v>
      </c>
      <c r="S3861" s="230" t="n">
        <f aca="false">+YEARFRAC(L3861,$S$1)</f>
        <v>126.366666666667</v>
      </c>
      <c r="T3861" s="230" t="n">
        <f aca="false">+YEARFRAC(M3861,$S$1)</f>
        <v>126.366666666667</v>
      </c>
      <c r="U3861" s="231" t="n">
        <f aca="false">+$I3861</f>
        <v>0</v>
      </c>
      <c r="V3861" s="232" t="str">
        <f aca="false">+PROPER(F3861)</f>
        <v/>
      </c>
    </row>
    <row r="3862" customFormat="false" ht="14.25" hidden="false" customHeight="false" outlineLevel="0" collapsed="false">
      <c r="B3862" s="249"/>
      <c r="C3862" s="250"/>
      <c r="D3862" s="250"/>
      <c r="E3862" s="251"/>
      <c r="F3862" s="251"/>
      <c r="G3862" s="225" t="e">
        <f aca="false">VLOOKUP(B3862,'NIVEL ENERO'!A:F,4,0)</f>
        <v>#N/A</v>
      </c>
      <c r="H3862" s="252"/>
      <c r="I3862" s="252"/>
      <c r="J3862" s="251"/>
      <c r="K3862" s="251"/>
      <c r="L3862" s="253"/>
      <c r="M3862" s="253"/>
      <c r="N3862" s="251"/>
      <c r="O3862" s="251"/>
      <c r="P3862" s="254"/>
      <c r="Q3862" s="250"/>
      <c r="R3862" s="186" t="str">
        <f aca="false">+PROPER(C3862&amp;" "&amp;D3862)</f>
        <v> </v>
      </c>
      <c r="S3862" s="230" t="n">
        <f aca="false">+YEARFRAC(L3862,$S$1)</f>
        <v>126.366666666667</v>
      </c>
      <c r="T3862" s="230" t="n">
        <f aca="false">+YEARFRAC(M3862,$S$1)</f>
        <v>126.366666666667</v>
      </c>
      <c r="U3862" s="231" t="n">
        <f aca="false">+$I3862</f>
        <v>0</v>
      </c>
      <c r="V3862" s="232" t="str">
        <f aca="false">+PROPER(F3862)</f>
        <v/>
      </c>
    </row>
    <row r="3863" customFormat="false" ht="14.25" hidden="false" customHeight="false" outlineLevel="0" collapsed="false">
      <c r="B3863" s="249"/>
      <c r="C3863" s="250"/>
      <c r="D3863" s="250"/>
      <c r="E3863" s="251"/>
      <c r="F3863" s="251"/>
      <c r="G3863" s="225" t="e">
        <f aca="false">VLOOKUP(B3863,'NIVEL ENERO'!A:F,4,0)</f>
        <v>#N/A</v>
      </c>
      <c r="H3863" s="252"/>
      <c r="I3863" s="252"/>
      <c r="J3863" s="251"/>
      <c r="K3863" s="251"/>
      <c r="L3863" s="253"/>
      <c r="M3863" s="253"/>
      <c r="N3863" s="251"/>
      <c r="O3863" s="251"/>
      <c r="P3863" s="254"/>
      <c r="Q3863" s="250"/>
      <c r="R3863" s="186" t="str">
        <f aca="false">+PROPER(C3863&amp;" "&amp;D3863)</f>
        <v> </v>
      </c>
      <c r="S3863" s="230" t="n">
        <f aca="false">+YEARFRAC(L3863,$S$1)</f>
        <v>126.366666666667</v>
      </c>
      <c r="T3863" s="230" t="n">
        <f aca="false">+YEARFRAC(M3863,$S$1)</f>
        <v>126.366666666667</v>
      </c>
      <c r="U3863" s="231" t="n">
        <f aca="false">+$I3863</f>
        <v>0</v>
      </c>
      <c r="V3863" s="232" t="str">
        <f aca="false">+PROPER(F3863)</f>
        <v/>
      </c>
    </row>
    <row r="3864" customFormat="false" ht="14.25" hidden="false" customHeight="false" outlineLevel="0" collapsed="false">
      <c r="B3864" s="249"/>
      <c r="C3864" s="250"/>
      <c r="D3864" s="250"/>
      <c r="E3864" s="251"/>
      <c r="F3864" s="251"/>
      <c r="G3864" s="225" t="e">
        <f aca="false">VLOOKUP(B3864,'NIVEL ENERO'!A:F,4,0)</f>
        <v>#N/A</v>
      </c>
      <c r="H3864" s="252"/>
      <c r="I3864" s="252"/>
      <c r="J3864" s="251"/>
      <c r="K3864" s="251"/>
      <c r="L3864" s="253"/>
      <c r="M3864" s="253"/>
      <c r="N3864" s="251"/>
      <c r="O3864" s="251"/>
      <c r="P3864" s="254"/>
      <c r="Q3864" s="250"/>
      <c r="R3864" s="186" t="str">
        <f aca="false">+PROPER(C3864&amp;" "&amp;D3864)</f>
        <v> </v>
      </c>
      <c r="S3864" s="230" t="n">
        <f aca="false">+YEARFRAC(L3864,$S$1)</f>
        <v>126.366666666667</v>
      </c>
      <c r="T3864" s="230" t="n">
        <f aca="false">+YEARFRAC(M3864,$S$1)</f>
        <v>126.366666666667</v>
      </c>
      <c r="U3864" s="231" t="n">
        <f aca="false">+$I3864</f>
        <v>0</v>
      </c>
      <c r="V3864" s="232" t="str">
        <f aca="false">+PROPER(F3864)</f>
        <v/>
      </c>
    </row>
    <row r="3865" customFormat="false" ht="14.25" hidden="false" customHeight="false" outlineLevel="0" collapsed="false">
      <c r="B3865" s="249"/>
      <c r="C3865" s="250"/>
      <c r="D3865" s="250"/>
      <c r="E3865" s="251"/>
      <c r="F3865" s="251"/>
      <c r="G3865" s="225" t="e">
        <f aca="false">VLOOKUP(B3865,'NIVEL ENERO'!A:F,4,0)</f>
        <v>#N/A</v>
      </c>
      <c r="H3865" s="252"/>
      <c r="I3865" s="252"/>
      <c r="J3865" s="251"/>
      <c r="K3865" s="251"/>
      <c r="L3865" s="253"/>
      <c r="M3865" s="253"/>
      <c r="N3865" s="251"/>
      <c r="O3865" s="251"/>
      <c r="P3865" s="254"/>
      <c r="Q3865" s="250"/>
      <c r="R3865" s="186" t="str">
        <f aca="false">+PROPER(C3865&amp;" "&amp;D3865)</f>
        <v> </v>
      </c>
      <c r="S3865" s="230" t="n">
        <f aca="false">+YEARFRAC(L3865,$S$1)</f>
        <v>126.366666666667</v>
      </c>
      <c r="T3865" s="230" t="n">
        <f aca="false">+YEARFRAC(M3865,$S$1)</f>
        <v>126.366666666667</v>
      </c>
      <c r="U3865" s="231" t="n">
        <f aca="false">+$I3865</f>
        <v>0</v>
      </c>
      <c r="V3865" s="232" t="str">
        <f aca="false">+PROPER(F3865)</f>
        <v/>
      </c>
    </row>
    <row r="3866" customFormat="false" ht="14.25" hidden="false" customHeight="false" outlineLevel="0" collapsed="false">
      <c r="B3866" s="249"/>
      <c r="C3866" s="250"/>
      <c r="D3866" s="250"/>
      <c r="E3866" s="251"/>
      <c r="F3866" s="251"/>
      <c r="G3866" s="225" t="e">
        <f aca="false">VLOOKUP(B3866,'NIVEL ENERO'!A:F,4,0)</f>
        <v>#N/A</v>
      </c>
      <c r="H3866" s="252"/>
      <c r="I3866" s="252"/>
      <c r="J3866" s="251"/>
      <c r="K3866" s="251"/>
      <c r="L3866" s="253"/>
      <c r="M3866" s="253"/>
      <c r="N3866" s="251"/>
      <c r="O3866" s="251"/>
      <c r="P3866" s="254"/>
      <c r="Q3866" s="250"/>
      <c r="R3866" s="186" t="str">
        <f aca="false">+PROPER(C3866&amp;" "&amp;D3866)</f>
        <v> </v>
      </c>
      <c r="S3866" s="230" t="n">
        <f aca="false">+YEARFRAC(L3866,$S$1)</f>
        <v>126.366666666667</v>
      </c>
      <c r="T3866" s="230" t="n">
        <f aca="false">+YEARFRAC(M3866,$S$1)</f>
        <v>126.366666666667</v>
      </c>
      <c r="U3866" s="231" t="n">
        <f aca="false">+$I3866</f>
        <v>0</v>
      </c>
      <c r="V3866" s="232" t="str">
        <f aca="false">+PROPER(F3866)</f>
        <v/>
      </c>
    </row>
    <row r="3867" customFormat="false" ht="14.25" hidden="false" customHeight="false" outlineLevel="0" collapsed="false">
      <c r="B3867" s="249"/>
      <c r="C3867" s="250"/>
      <c r="D3867" s="250"/>
      <c r="E3867" s="251"/>
      <c r="F3867" s="251"/>
      <c r="G3867" s="225" t="e">
        <f aca="false">VLOOKUP(B3867,'NIVEL ENERO'!A:F,4,0)</f>
        <v>#N/A</v>
      </c>
      <c r="H3867" s="252"/>
      <c r="I3867" s="252"/>
      <c r="J3867" s="251"/>
      <c r="K3867" s="251"/>
      <c r="L3867" s="253"/>
      <c r="M3867" s="253"/>
      <c r="N3867" s="251"/>
      <c r="O3867" s="251"/>
      <c r="P3867" s="254"/>
      <c r="Q3867" s="250"/>
      <c r="R3867" s="186" t="str">
        <f aca="false">+PROPER(C3867&amp;" "&amp;D3867)</f>
        <v> </v>
      </c>
      <c r="S3867" s="230" t="n">
        <f aca="false">+YEARFRAC(L3867,$S$1)</f>
        <v>126.366666666667</v>
      </c>
      <c r="T3867" s="230" t="n">
        <f aca="false">+YEARFRAC(M3867,$S$1)</f>
        <v>126.366666666667</v>
      </c>
      <c r="U3867" s="231" t="n">
        <f aca="false">+$I3867</f>
        <v>0</v>
      </c>
      <c r="V3867" s="232" t="str">
        <f aca="false">+PROPER(F3867)</f>
        <v/>
      </c>
    </row>
    <row r="3868" customFormat="false" ht="14.25" hidden="false" customHeight="false" outlineLevel="0" collapsed="false">
      <c r="B3868" s="249"/>
      <c r="C3868" s="250"/>
      <c r="D3868" s="250"/>
      <c r="E3868" s="251"/>
      <c r="F3868" s="251"/>
      <c r="G3868" s="225" t="e">
        <f aca="false">VLOOKUP(B3868,'NIVEL ENERO'!A:F,4,0)</f>
        <v>#N/A</v>
      </c>
      <c r="H3868" s="252"/>
      <c r="I3868" s="252"/>
      <c r="J3868" s="251"/>
      <c r="K3868" s="251"/>
      <c r="L3868" s="253"/>
      <c r="M3868" s="253"/>
      <c r="N3868" s="251"/>
      <c r="O3868" s="251"/>
      <c r="P3868" s="254"/>
      <c r="Q3868" s="250"/>
      <c r="R3868" s="186" t="str">
        <f aca="false">+PROPER(C3868&amp;" "&amp;D3868)</f>
        <v> </v>
      </c>
      <c r="S3868" s="230" t="n">
        <f aca="false">+YEARFRAC(L3868,$S$1)</f>
        <v>126.366666666667</v>
      </c>
      <c r="T3868" s="230" t="n">
        <f aca="false">+YEARFRAC(M3868,$S$1)</f>
        <v>126.366666666667</v>
      </c>
      <c r="U3868" s="231" t="n">
        <f aca="false">+$I3868</f>
        <v>0</v>
      </c>
      <c r="V3868" s="232" t="str">
        <f aca="false">+PROPER(F3868)</f>
        <v/>
      </c>
    </row>
    <row r="3869" customFormat="false" ht="14.25" hidden="false" customHeight="false" outlineLevel="0" collapsed="false">
      <c r="B3869" s="249"/>
      <c r="C3869" s="250"/>
      <c r="D3869" s="250"/>
      <c r="E3869" s="251"/>
      <c r="F3869" s="251"/>
      <c r="G3869" s="225" t="e">
        <f aca="false">VLOOKUP(B3869,'NIVEL ENERO'!A:F,4,0)</f>
        <v>#N/A</v>
      </c>
      <c r="H3869" s="252"/>
      <c r="I3869" s="252"/>
      <c r="J3869" s="251"/>
      <c r="K3869" s="251"/>
      <c r="L3869" s="253"/>
      <c r="M3869" s="253"/>
      <c r="N3869" s="251"/>
      <c r="O3869" s="251"/>
      <c r="P3869" s="254"/>
      <c r="Q3869" s="250"/>
      <c r="R3869" s="186" t="str">
        <f aca="false">+PROPER(C3869&amp;" "&amp;D3869)</f>
        <v> </v>
      </c>
      <c r="S3869" s="230" t="n">
        <f aca="false">+YEARFRAC(L3869,$S$1)</f>
        <v>126.366666666667</v>
      </c>
      <c r="T3869" s="230" t="n">
        <f aca="false">+YEARFRAC(M3869,$S$1)</f>
        <v>126.366666666667</v>
      </c>
      <c r="U3869" s="231" t="n">
        <f aca="false">+$I3869</f>
        <v>0</v>
      </c>
      <c r="V3869" s="232" t="str">
        <f aca="false">+PROPER(F3869)</f>
        <v/>
      </c>
    </row>
    <row r="3870" customFormat="false" ht="14.25" hidden="false" customHeight="false" outlineLevel="0" collapsed="false">
      <c r="B3870" s="249"/>
      <c r="C3870" s="250"/>
      <c r="D3870" s="250"/>
      <c r="E3870" s="251"/>
      <c r="F3870" s="251"/>
      <c r="G3870" s="225" t="e">
        <f aca="false">VLOOKUP(B3870,'NIVEL ENERO'!A:F,4,0)</f>
        <v>#N/A</v>
      </c>
      <c r="H3870" s="252"/>
      <c r="I3870" s="252"/>
      <c r="J3870" s="251"/>
      <c r="K3870" s="251"/>
      <c r="L3870" s="253"/>
      <c r="M3870" s="253"/>
      <c r="N3870" s="251"/>
      <c r="O3870" s="251"/>
      <c r="P3870" s="254"/>
      <c r="Q3870" s="250"/>
      <c r="R3870" s="186" t="str">
        <f aca="false">+PROPER(C3870&amp;" "&amp;D3870)</f>
        <v> </v>
      </c>
      <c r="S3870" s="230" t="n">
        <f aca="false">+YEARFRAC(L3870,$S$1)</f>
        <v>126.366666666667</v>
      </c>
      <c r="T3870" s="230" t="n">
        <f aca="false">+YEARFRAC(M3870,$S$1)</f>
        <v>126.366666666667</v>
      </c>
      <c r="U3870" s="231" t="n">
        <f aca="false">+$I3870</f>
        <v>0</v>
      </c>
      <c r="V3870" s="232" t="str">
        <f aca="false">+PROPER(F3870)</f>
        <v/>
      </c>
    </row>
    <row r="3871" customFormat="false" ht="14.25" hidden="false" customHeight="false" outlineLevel="0" collapsed="false">
      <c r="B3871" s="249"/>
      <c r="C3871" s="250"/>
      <c r="D3871" s="250"/>
      <c r="E3871" s="251"/>
      <c r="F3871" s="251"/>
      <c r="G3871" s="225" t="e">
        <f aca="false">VLOOKUP(B3871,'NIVEL ENERO'!A:F,4,0)</f>
        <v>#N/A</v>
      </c>
      <c r="H3871" s="252"/>
      <c r="I3871" s="252"/>
      <c r="J3871" s="251"/>
      <c r="K3871" s="251"/>
      <c r="L3871" s="253"/>
      <c r="M3871" s="253"/>
      <c r="N3871" s="251"/>
      <c r="O3871" s="251"/>
      <c r="P3871" s="254"/>
      <c r="Q3871" s="250"/>
      <c r="R3871" s="186" t="str">
        <f aca="false">+PROPER(C3871&amp;" "&amp;D3871)</f>
        <v> </v>
      </c>
      <c r="S3871" s="230" t="n">
        <f aca="false">+YEARFRAC(L3871,$S$1)</f>
        <v>126.366666666667</v>
      </c>
      <c r="T3871" s="230" t="n">
        <f aca="false">+YEARFRAC(M3871,$S$1)</f>
        <v>126.366666666667</v>
      </c>
      <c r="U3871" s="231" t="n">
        <f aca="false">+$I3871</f>
        <v>0</v>
      </c>
      <c r="V3871" s="232" t="str">
        <f aca="false">+PROPER(F3871)</f>
        <v/>
      </c>
    </row>
    <row r="3872" customFormat="false" ht="14.25" hidden="false" customHeight="false" outlineLevel="0" collapsed="false">
      <c r="B3872" s="249"/>
      <c r="C3872" s="250"/>
      <c r="D3872" s="250"/>
      <c r="E3872" s="251"/>
      <c r="F3872" s="251"/>
      <c r="G3872" s="225" t="e">
        <f aca="false">VLOOKUP(B3872,'NIVEL ENERO'!A:F,4,0)</f>
        <v>#N/A</v>
      </c>
      <c r="H3872" s="252"/>
      <c r="I3872" s="252"/>
      <c r="J3872" s="251"/>
      <c r="K3872" s="251"/>
      <c r="L3872" s="253"/>
      <c r="M3872" s="253"/>
      <c r="N3872" s="251"/>
      <c r="O3872" s="251"/>
      <c r="P3872" s="254"/>
      <c r="Q3872" s="250"/>
      <c r="R3872" s="186" t="str">
        <f aca="false">+PROPER(C3872&amp;" "&amp;D3872)</f>
        <v> </v>
      </c>
      <c r="S3872" s="230" t="n">
        <f aca="false">+YEARFRAC(L3872,$S$1)</f>
        <v>126.366666666667</v>
      </c>
      <c r="T3872" s="230" t="n">
        <f aca="false">+YEARFRAC(M3872,$S$1)</f>
        <v>126.366666666667</v>
      </c>
      <c r="U3872" s="231" t="n">
        <f aca="false">+$I3872</f>
        <v>0</v>
      </c>
      <c r="V3872" s="232" t="str">
        <f aca="false">+PROPER(F3872)</f>
        <v/>
      </c>
    </row>
    <row r="3873" customFormat="false" ht="14.25" hidden="false" customHeight="false" outlineLevel="0" collapsed="false">
      <c r="B3873" s="249"/>
      <c r="C3873" s="250"/>
      <c r="D3873" s="250"/>
      <c r="E3873" s="251"/>
      <c r="F3873" s="251"/>
      <c r="G3873" s="225" t="e">
        <f aca="false">VLOOKUP(B3873,'NIVEL ENERO'!A:F,4,0)</f>
        <v>#N/A</v>
      </c>
      <c r="H3873" s="252"/>
      <c r="I3873" s="252"/>
      <c r="J3873" s="251"/>
      <c r="K3873" s="251"/>
      <c r="L3873" s="253"/>
      <c r="M3873" s="253"/>
      <c r="N3873" s="251"/>
      <c r="O3873" s="251"/>
      <c r="P3873" s="254"/>
      <c r="Q3873" s="250"/>
      <c r="R3873" s="186" t="str">
        <f aca="false">+PROPER(C3873&amp;" "&amp;D3873)</f>
        <v> </v>
      </c>
      <c r="S3873" s="230" t="n">
        <f aca="false">+YEARFRAC(L3873,$S$1)</f>
        <v>126.366666666667</v>
      </c>
      <c r="T3873" s="230" t="n">
        <f aca="false">+YEARFRAC(M3873,$S$1)</f>
        <v>126.366666666667</v>
      </c>
      <c r="U3873" s="231" t="n">
        <f aca="false">+$I3873</f>
        <v>0</v>
      </c>
      <c r="V3873" s="232" t="str">
        <f aca="false">+PROPER(F3873)</f>
        <v/>
      </c>
    </row>
    <row r="3874" customFormat="false" ht="14.25" hidden="false" customHeight="false" outlineLevel="0" collapsed="false">
      <c r="B3874" s="249"/>
      <c r="C3874" s="250"/>
      <c r="D3874" s="250"/>
      <c r="E3874" s="251"/>
      <c r="F3874" s="251"/>
      <c r="G3874" s="225" t="e">
        <f aca="false">VLOOKUP(B3874,'NIVEL ENERO'!A:F,4,0)</f>
        <v>#N/A</v>
      </c>
      <c r="H3874" s="252"/>
      <c r="I3874" s="252"/>
      <c r="J3874" s="251"/>
      <c r="K3874" s="251"/>
      <c r="L3874" s="253"/>
      <c r="M3874" s="253"/>
      <c r="N3874" s="251"/>
      <c r="O3874" s="251"/>
      <c r="P3874" s="254"/>
      <c r="Q3874" s="250"/>
      <c r="R3874" s="186" t="str">
        <f aca="false">+PROPER(C3874&amp;" "&amp;D3874)</f>
        <v> </v>
      </c>
      <c r="S3874" s="230" t="n">
        <f aca="false">+YEARFRAC(L3874,$S$1)</f>
        <v>126.366666666667</v>
      </c>
      <c r="T3874" s="230" t="n">
        <f aca="false">+YEARFRAC(M3874,$S$1)</f>
        <v>126.366666666667</v>
      </c>
      <c r="U3874" s="231" t="n">
        <f aca="false">+$I3874</f>
        <v>0</v>
      </c>
      <c r="V3874" s="232" t="str">
        <f aca="false">+PROPER(F3874)</f>
        <v/>
      </c>
    </row>
    <row r="3875" customFormat="false" ht="14.25" hidden="false" customHeight="false" outlineLevel="0" collapsed="false">
      <c r="B3875" s="249"/>
      <c r="C3875" s="250"/>
      <c r="D3875" s="250"/>
      <c r="E3875" s="251"/>
      <c r="F3875" s="251"/>
      <c r="G3875" s="225" t="e">
        <f aca="false">VLOOKUP(B3875,'NIVEL ENERO'!A:F,4,0)</f>
        <v>#N/A</v>
      </c>
      <c r="H3875" s="252"/>
      <c r="I3875" s="252"/>
      <c r="J3875" s="251"/>
      <c r="K3875" s="251"/>
      <c r="L3875" s="253"/>
      <c r="M3875" s="253"/>
      <c r="N3875" s="251"/>
      <c r="O3875" s="251"/>
      <c r="P3875" s="254"/>
      <c r="Q3875" s="250"/>
      <c r="R3875" s="186" t="str">
        <f aca="false">+PROPER(C3875&amp;" "&amp;D3875)</f>
        <v> </v>
      </c>
      <c r="S3875" s="230" t="n">
        <f aca="false">+YEARFRAC(L3875,$S$1)</f>
        <v>126.366666666667</v>
      </c>
      <c r="T3875" s="230" t="n">
        <f aca="false">+YEARFRAC(M3875,$S$1)</f>
        <v>126.366666666667</v>
      </c>
      <c r="U3875" s="231" t="n">
        <f aca="false">+$I3875</f>
        <v>0</v>
      </c>
      <c r="V3875" s="232" t="str">
        <f aca="false">+PROPER(F3875)</f>
        <v/>
      </c>
    </row>
    <row r="3876" customFormat="false" ht="14.25" hidden="false" customHeight="false" outlineLevel="0" collapsed="false">
      <c r="B3876" s="249"/>
      <c r="C3876" s="250"/>
      <c r="D3876" s="250"/>
      <c r="E3876" s="251"/>
      <c r="F3876" s="251"/>
      <c r="G3876" s="225" t="e">
        <f aca="false">VLOOKUP(B3876,'NIVEL ENERO'!A:F,4,0)</f>
        <v>#N/A</v>
      </c>
      <c r="H3876" s="252"/>
      <c r="I3876" s="252"/>
      <c r="J3876" s="251"/>
      <c r="K3876" s="251"/>
      <c r="L3876" s="253"/>
      <c r="M3876" s="253"/>
      <c r="N3876" s="251"/>
      <c r="O3876" s="251"/>
      <c r="P3876" s="254"/>
      <c r="Q3876" s="250"/>
      <c r="R3876" s="186" t="str">
        <f aca="false">+PROPER(C3876&amp;" "&amp;D3876)</f>
        <v> </v>
      </c>
      <c r="S3876" s="230" t="n">
        <f aca="false">+YEARFRAC(L3876,$S$1)</f>
        <v>126.366666666667</v>
      </c>
      <c r="T3876" s="230" t="n">
        <f aca="false">+YEARFRAC(M3876,$S$1)</f>
        <v>126.366666666667</v>
      </c>
      <c r="U3876" s="231" t="n">
        <f aca="false">+$I3876</f>
        <v>0</v>
      </c>
      <c r="V3876" s="232" t="str">
        <f aca="false">+PROPER(F3876)</f>
        <v/>
      </c>
    </row>
    <row r="3877" customFormat="false" ht="14.25" hidden="false" customHeight="false" outlineLevel="0" collapsed="false">
      <c r="B3877" s="249"/>
      <c r="C3877" s="250"/>
      <c r="D3877" s="250"/>
      <c r="E3877" s="251"/>
      <c r="F3877" s="251"/>
      <c r="G3877" s="225" t="e">
        <f aca="false">VLOOKUP(B3877,'NIVEL ENERO'!A:F,4,0)</f>
        <v>#N/A</v>
      </c>
      <c r="H3877" s="252"/>
      <c r="I3877" s="252"/>
      <c r="J3877" s="251"/>
      <c r="K3877" s="251"/>
      <c r="L3877" s="253"/>
      <c r="M3877" s="253"/>
      <c r="N3877" s="251"/>
      <c r="O3877" s="251"/>
      <c r="P3877" s="254"/>
      <c r="Q3877" s="250"/>
      <c r="R3877" s="186" t="str">
        <f aca="false">+PROPER(C3877&amp;" "&amp;D3877)</f>
        <v> </v>
      </c>
      <c r="S3877" s="230" t="n">
        <f aca="false">+YEARFRAC(L3877,$S$1)</f>
        <v>126.366666666667</v>
      </c>
      <c r="T3877" s="230" t="n">
        <f aca="false">+YEARFRAC(M3877,$S$1)</f>
        <v>126.366666666667</v>
      </c>
      <c r="U3877" s="231" t="n">
        <f aca="false">+$I3877</f>
        <v>0</v>
      </c>
      <c r="V3877" s="232" t="str">
        <f aca="false">+PROPER(F3877)</f>
        <v/>
      </c>
    </row>
    <row r="3878" customFormat="false" ht="14.25" hidden="false" customHeight="false" outlineLevel="0" collapsed="false">
      <c r="B3878" s="249"/>
      <c r="C3878" s="250"/>
      <c r="D3878" s="250"/>
      <c r="E3878" s="251"/>
      <c r="F3878" s="251"/>
      <c r="G3878" s="225" t="e">
        <f aca="false">VLOOKUP(B3878,'NIVEL ENERO'!A:F,4,0)</f>
        <v>#N/A</v>
      </c>
      <c r="H3878" s="252"/>
      <c r="I3878" s="252"/>
      <c r="J3878" s="251"/>
      <c r="K3878" s="251"/>
      <c r="L3878" s="253"/>
      <c r="M3878" s="253"/>
      <c r="N3878" s="251"/>
      <c r="O3878" s="251"/>
      <c r="P3878" s="254"/>
      <c r="Q3878" s="250"/>
      <c r="R3878" s="186" t="str">
        <f aca="false">+PROPER(C3878&amp;" "&amp;D3878)</f>
        <v> </v>
      </c>
      <c r="S3878" s="230" t="n">
        <f aca="false">+YEARFRAC(L3878,$S$1)</f>
        <v>126.366666666667</v>
      </c>
      <c r="T3878" s="230" t="n">
        <f aca="false">+YEARFRAC(M3878,$S$1)</f>
        <v>126.366666666667</v>
      </c>
      <c r="U3878" s="231" t="n">
        <f aca="false">+$I3878</f>
        <v>0</v>
      </c>
      <c r="V3878" s="232" t="str">
        <f aca="false">+PROPER(F3878)</f>
        <v/>
      </c>
    </row>
    <row r="3879" customFormat="false" ht="14.25" hidden="false" customHeight="false" outlineLevel="0" collapsed="false">
      <c r="B3879" s="249"/>
      <c r="C3879" s="250"/>
      <c r="D3879" s="250"/>
      <c r="E3879" s="251"/>
      <c r="F3879" s="251"/>
      <c r="G3879" s="225" t="e">
        <f aca="false">VLOOKUP(B3879,'NIVEL ENERO'!A:F,4,0)</f>
        <v>#N/A</v>
      </c>
      <c r="H3879" s="252"/>
      <c r="I3879" s="252"/>
      <c r="J3879" s="251"/>
      <c r="K3879" s="251"/>
      <c r="L3879" s="253"/>
      <c r="M3879" s="253"/>
      <c r="N3879" s="251"/>
      <c r="O3879" s="251"/>
      <c r="P3879" s="254"/>
      <c r="Q3879" s="250"/>
      <c r="R3879" s="186" t="str">
        <f aca="false">+PROPER(C3879&amp;" "&amp;D3879)</f>
        <v> </v>
      </c>
      <c r="S3879" s="230" t="n">
        <f aca="false">+YEARFRAC(L3879,$S$1)</f>
        <v>126.366666666667</v>
      </c>
      <c r="T3879" s="230" t="n">
        <f aca="false">+YEARFRAC(M3879,$S$1)</f>
        <v>126.366666666667</v>
      </c>
      <c r="U3879" s="231" t="n">
        <f aca="false">+$I3879</f>
        <v>0</v>
      </c>
      <c r="V3879" s="232" t="str">
        <f aca="false">+PROPER(F3879)</f>
        <v/>
      </c>
    </row>
    <row r="3880" customFormat="false" ht="14.25" hidden="false" customHeight="false" outlineLevel="0" collapsed="false">
      <c r="B3880" s="249"/>
      <c r="C3880" s="250"/>
      <c r="D3880" s="250"/>
      <c r="E3880" s="251"/>
      <c r="F3880" s="251"/>
      <c r="G3880" s="225" t="e">
        <f aca="false">VLOOKUP(B3880,'NIVEL ENERO'!A:F,4,0)</f>
        <v>#N/A</v>
      </c>
      <c r="H3880" s="252"/>
      <c r="I3880" s="252"/>
      <c r="J3880" s="251"/>
      <c r="K3880" s="251"/>
      <c r="L3880" s="253"/>
      <c r="M3880" s="253"/>
      <c r="N3880" s="251"/>
      <c r="O3880" s="251"/>
      <c r="P3880" s="254"/>
      <c r="Q3880" s="250"/>
      <c r="R3880" s="186" t="str">
        <f aca="false">+PROPER(C3880&amp;" "&amp;D3880)</f>
        <v> </v>
      </c>
      <c r="S3880" s="230" t="n">
        <f aca="false">+YEARFRAC(L3880,$S$1)</f>
        <v>126.366666666667</v>
      </c>
      <c r="T3880" s="230" t="n">
        <f aca="false">+YEARFRAC(M3880,$S$1)</f>
        <v>126.366666666667</v>
      </c>
      <c r="U3880" s="231" t="n">
        <f aca="false">+$I3880</f>
        <v>0</v>
      </c>
      <c r="V3880" s="232" t="str">
        <f aca="false">+PROPER(F3880)</f>
        <v/>
      </c>
    </row>
    <row r="3881" customFormat="false" ht="14.25" hidden="false" customHeight="false" outlineLevel="0" collapsed="false">
      <c r="B3881" s="249"/>
      <c r="C3881" s="250"/>
      <c r="D3881" s="250"/>
      <c r="E3881" s="251"/>
      <c r="F3881" s="251"/>
      <c r="G3881" s="225" t="e">
        <f aca="false">VLOOKUP(B3881,'NIVEL ENERO'!A:F,4,0)</f>
        <v>#N/A</v>
      </c>
      <c r="H3881" s="252"/>
      <c r="I3881" s="252"/>
      <c r="J3881" s="251"/>
      <c r="K3881" s="251"/>
      <c r="L3881" s="253"/>
      <c r="M3881" s="253"/>
      <c r="N3881" s="251"/>
      <c r="O3881" s="251"/>
      <c r="P3881" s="254"/>
      <c r="Q3881" s="250"/>
      <c r="R3881" s="186" t="str">
        <f aca="false">+PROPER(C3881&amp;" "&amp;D3881)</f>
        <v> </v>
      </c>
      <c r="S3881" s="230" t="n">
        <f aca="false">+YEARFRAC(L3881,$S$1)</f>
        <v>126.366666666667</v>
      </c>
      <c r="T3881" s="230" t="n">
        <f aca="false">+YEARFRAC(M3881,$S$1)</f>
        <v>126.366666666667</v>
      </c>
      <c r="U3881" s="231" t="n">
        <f aca="false">+$I3881</f>
        <v>0</v>
      </c>
      <c r="V3881" s="232" t="str">
        <f aca="false">+PROPER(F3881)</f>
        <v/>
      </c>
    </row>
    <row r="3882" customFormat="false" ht="14.25" hidden="false" customHeight="false" outlineLevel="0" collapsed="false">
      <c r="B3882" s="249"/>
      <c r="C3882" s="250"/>
      <c r="D3882" s="250"/>
      <c r="E3882" s="251"/>
      <c r="F3882" s="251"/>
      <c r="G3882" s="225" t="e">
        <f aca="false">VLOOKUP(B3882,'NIVEL ENERO'!A:F,4,0)</f>
        <v>#N/A</v>
      </c>
      <c r="H3882" s="252"/>
      <c r="I3882" s="252"/>
      <c r="J3882" s="251"/>
      <c r="K3882" s="251"/>
      <c r="L3882" s="253"/>
      <c r="M3882" s="253"/>
      <c r="N3882" s="251"/>
      <c r="O3882" s="251"/>
      <c r="P3882" s="254"/>
      <c r="Q3882" s="250"/>
      <c r="R3882" s="186" t="str">
        <f aca="false">+PROPER(C3882&amp;" "&amp;D3882)</f>
        <v> </v>
      </c>
      <c r="S3882" s="230" t="n">
        <f aca="false">+YEARFRAC(L3882,$S$1)</f>
        <v>126.366666666667</v>
      </c>
      <c r="T3882" s="230" t="n">
        <f aca="false">+YEARFRAC(M3882,$S$1)</f>
        <v>126.366666666667</v>
      </c>
      <c r="U3882" s="231" t="n">
        <f aca="false">+$I3882</f>
        <v>0</v>
      </c>
      <c r="V3882" s="232" t="str">
        <f aca="false">+PROPER(F3882)</f>
        <v/>
      </c>
    </row>
    <row r="3883" customFormat="false" ht="14.25" hidden="false" customHeight="false" outlineLevel="0" collapsed="false">
      <c r="B3883" s="249"/>
      <c r="C3883" s="250"/>
      <c r="D3883" s="250"/>
      <c r="E3883" s="251"/>
      <c r="F3883" s="251"/>
      <c r="G3883" s="225" t="e">
        <f aca="false">VLOOKUP(B3883,'NIVEL ENERO'!A:F,4,0)</f>
        <v>#N/A</v>
      </c>
      <c r="H3883" s="252"/>
      <c r="I3883" s="252"/>
      <c r="J3883" s="251"/>
      <c r="K3883" s="251"/>
      <c r="L3883" s="253"/>
      <c r="M3883" s="253"/>
      <c r="N3883" s="251"/>
      <c r="O3883" s="251"/>
      <c r="P3883" s="254"/>
      <c r="Q3883" s="250"/>
      <c r="R3883" s="186" t="str">
        <f aca="false">+PROPER(C3883&amp;" "&amp;D3883)</f>
        <v> </v>
      </c>
      <c r="S3883" s="230" t="n">
        <f aca="false">+YEARFRAC(L3883,$S$1)</f>
        <v>126.366666666667</v>
      </c>
      <c r="T3883" s="230" t="n">
        <f aca="false">+YEARFRAC(M3883,$S$1)</f>
        <v>126.366666666667</v>
      </c>
      <c r="U3883" s="231" t="n">
        <f aca="false">+$I3883</f>
        <v>0</v>
      </c>
      <c r="V3883" s="232" t="str">
        <f aca="false">+PROPER(F3883)</f>
        <v/>
      </c>
    </row>
    <row r="3884" customFormat="false" ht="14.25" hidden="false" customHeight="false" outlineLevel="0" collapsed="false">
      <c r="B3884" s="249"/>
      <c r="C3884" s="250"/>
      <c r="D3884" s="250"/>
      <c r="E3884" s="251"/>
      <c r="F3884" s="251"/>
      <c r="G3884" s="225" t="e">
        <f aca="false">VLOOKUP(B3884,'NIVEL ENERO'!A:F,4,0)</f>
        <v>#N/A</v>
      </c>
      <c r="H3884" s="252"/>
      <c r="I3884" s="252"/>
      <c r="J3884" s="251"/>
      <c r="K3884" s="251"/>
      <c r="L3884" s="253"/>
      <c r="M3884" s="253"/>
      <c r="N3884" s="251"/>
      <c r="O3884" s="251"/>
      <c r="P3884" s="254"/>
      <c r="Q3884" s="250"/>
      <c r="R3884" s="186" t="str">
        <f aca="false">+PROPER(C3884&amp;" "&amp;D3884)</f>
        <v> </v>
      </c>
      <c r="S3884" s="230" t="n">
        <f aca="false">+YEARFRAC(L3884,$S$1)</f>
        <v>126.366666666667</v>
      </c>
      <c r="T3884" s="230" t="n">
        <f aca="false">+YEARFRAC(M3884,$S$1)</f>
        <v>126.366666666667</v>
      </c>
      <c r="U3884" s="231" t="n">
        <f aca="false">+$I3884</f>
        <v>0</v>
      </c>
      <c r="V3884" s="232" t="str">
        <f aca="false">+PROPER(F3884)</f>
        <v/>
      </c>
    </row>
    <row r="3885" customFormat="false" ht="14.25" hidden="false" customHeight="false" outlineLevel="0" collapsed="false">
      <c r="B3885" s="249"/>
      <c r="C3885" s="250"/>
      <c r="D3885" s="250"/>
      <c r="E3885" s="251"/>
      <c r="F3885" s="251"/>
      <c r="G3885" s="225" t="e">
        <f aca="false">VLOOKUP(B3885,'NIVEL ENERO'!A:F,4,0)</f>
        <v>#N/A</v>
      </c>
      <c r="H3885" s="252"/>
      <c r="I3885" s="252"/>
      <c r="J3885" s="251"/>
      <c r="K3885" s="251"/>
      <c r="L3885" s="253"/>
      <c r="M3885" s="253"/>
      <c r="N3885" s="251"/>
      <c r="O3885" s="251"/>
      <c r="P3885" s="254"/>
      <c r="Q3885" s="250"/>
      <c r="R3885" s="186" t="str">
        <f aca="false">+PROPER(C3885&amp;" "&amp;D3885)</f>
        <v> </v>
      </c>
      <c r="S3885" s="230" t="n">
        <f aca="false">+YEARFRAC(L3885,$S$1)</f>
        <v>126.366666666667</v>
      </c>
      <c r="T3885" s="230" t="n">
        <f aca="false">+YEARFRAC(M3885,$S$1)</f>
        <v>126.366666666667</v>
      </c>
      <c r="U3885" s="231" t="n">
        <f aca="false">+$I3885</f>
        <v>0</v>
      </c>
      <c r="V3885" s="232" t="str">
        <f aca="false">+PROPER(F3885)</f>
        <v/>
      </c>
    </row>
    <row r="3886" customFormat="false" ht="14.25" hidden="false" customHeight="false" outlineLevel="0" collapsed="false">
      <c r="B3886" s="249"/>
      <c r="C3886" s="250"/>
      <c r="D3886" s="250"/>
      <c r="E3886" s="251"/>
      <c r="F3886" s="251"/>
      <c r="G3886" s="225" t="e">
        <f aca="false">VLOOKUP(B3886,'NIVEL ENERO'!A:F,4,0)</f>
        <v>#N/A</v>
      </c>
      <c r="H3886" s="252"/>
      <c r="I3886" s="252"/>
      <c r="J3886" s="251"/>
      <c r="K3886" s="251"/>
      <c r="L3886" s="253"/>
      <c r="M3886" s="253"/>
      <c r="N3886" s="251"/>
      <c r="O3886" s="251"/>
      <c r="P3886" s="254"/>
      <c r="Q3886" s="250"/>
      <c r="R3886" s="186" t="str">
        <f aca="false">+PROPER(C3886&amp;" "&amp;D3886)</f>
        <v> </v>
      </c>
      <c r="S3886" s="230" t="n">
        <f aca="false">+YEARFRAC(L3886,$S$1)</f>
        <v>126.366666666667</v>
      </c>
      <c r="T3886" s="230" t="n">
        <f aca="false">+YEARFRAC(M3886,$S$1)</f>
        <v>126.366666666667</v>
      </c>
      <c r="U3886" s="231" t="n">
        <f aca="false">+$I3886</f>
        <v>0</v>
      </c>
      <c r="V3886" s="232" t="str">
        <f aca="false">+PROPER(F3886)</f>
        <v/>
      </c>
    </row>
    <row r="3887" customFormat="false" ht="14.25" hidden="false" customHeight="false" outlineLevel="0" collapsed="false">
      <c r="B3887" s="249"/>
      <c r="C3887" s="250"/>
      <c r="D3887" s="250"/>
      <c r="E3887" s="251"/>
      <c r="F3887" s="251"/>
      <c r="G3887" s="225" t="e">
        <f aca="false">VLOOKUP(B3887,'NIVEL ENERO'!A:F,4,0)</f>
        <v>#N/A</v>
      </c>
      <c r="H3887" s="252"/>
      <c r="I3887" s="252"/>
      <c r="J3887" s="251"/>
      <c r="K3887" s="251"/>
      <c r="L3887" s="253"/>
      <c r="M3887" s="253"/>
      <c r="N3887" s="251"/>
      <c r="O3887" s="251"/>
      <c r="P3887" s="254"/>
      <c r="Q3887" s="250"/>
      <c r="R3887" s="186" t="str">
        <f aca="false">+PROPER(C3887&amp;" "&amp;D3887)</f>
        <v> </v>
      </c>
      <c r="S3887" s="230" t="n">
        <f aca="false">+YEARFRAC(L3887,$S$1)</f>
        <v>126.366666666667</v>
      </c>
      <c r="T3887" s="230" t="n">
        <f aca="false">+YEARFRAC(M3887,$S$1)</f>
        <v>126.366666666667</v>
      </c>
      <c r="U3887" s="231" t="n">
        <f aca="false">+$I3887</f>
        <v>0</v>
      </c>
      <c r="V3887" s="232" t="str">
        <f aca="false">+PROPER(F3887)</f>
        <v/>
      </c>
    </row>
    <row r="3888" customFormat="false" ht="14.25" hidden="false" customHeight="false" outlineLevel="0" collapsed="false">
      <c r="B3888" s="249"/>
      <c r="C3888" s="250"/>
      <c r="D3888" s="250"/>
      <c r="E3888" s="251"/>
      <c r="F3888" s="251"/>
      <c r="G3888" s="225" t="e">
        <f aca="false">VLOOKUP(B3888,'NIVEL ENERO'!A:F,4,0)</f>
        <v>#N/A</v>
      </c>
      <c r="H3888" s="252"/>
      <c r="I3888" s="252"/>
      <c r="J3888" s="251"/>
      <c r="K3888" s="251"/>
      <c r="L3888" s="253"/>
      <c r="M3888" s="253"/>
      <c r="N3888" s="251"/>
      <c r="O3888" s="251"/>
      <c r="P3888" s="254"/>
      <c r="Q3888" s="250"/>
      <c r="R3888" s="186" t="str">
        <f aca="false">+PROPER(C3888&amp;" "&amp;D3888)</f>
        <v> </v>
      </c>
      <c r="S3888" s="230" t="n">
        <f aca="false">+YEARFRAC(L3888,$S$1)</f>
        <v>126.366666666667</v>
      </c>
      <c r="T3888" s="230" t="n">
        <f aca="false">+YEARFRAC(M3888,$S$1)</f>
        <v>126.366666666667</v>
      </c>
      <c r="U3888" s="231" t="n">
        <f aca="false">+$I3888</f>
        <v>0</v>
      </c>
      <c r="V3888" s="232" t="str">
        <f aca="false">+PROPER(F3888)</f>
        <v/>
      </c>
    </row>
    <row r="3889" customFormat="false" ht="14.25" hidden="false" customHeight="false" outlineLevel="0" collapsed="false">
      <c r="B3889" s="249"/>
      <c r="C3889" s="250"/>
      <c r="D3889" s="250"/>
      <c r="E3889" s="251"/>
      <c r="F3889" s="251"/>
      <c r="G3889" s="225" t="e">
        <f aca="false">VLOOKUP(B3889,'NIVEL ENERO'!A:F,4,0)</f>
        <v>#N/A</v>
      </c>
      <c r="H3889" s="252"/>
      <c r="I3889" s="252"/>
      <c r="J3889" s="251"/>
      <c r="K3889" s="251"/>
      <c r="L3889" s="253"/>
      <c r="M3889" s="253"/>
      <c r="N3889" s="251"/>
      <c r="O3889" s="251"/>
      <c r="P3889" s="254"/>
      <c r="Q3889" s="250"/>
      <c r="R3889" s="186" t="str">
        <f aca="false">+PROPER(C3889&amp;" "&amp;D3889)</f>
        <v> </v>
      </c>
      <c r="S3889" s="230" t="n">
        <f aca="false">+YEARFRAC(L3889,$S$1)</f>
        <v>126.366666666667</v>
      </c>
      <c r="T3889" s="230" t="n">
        <f aca="false">+YEARFRAC(M3889,$S$1)</f>
        <v>126.366666666667</v>
      </c>
      <c r="U3889" s="231" t="n">
        <f aca="false">+$I3889</f>
        <v>0</v>
      </c>
      <c r="V3889" s="232" t="str">
        <f aca="false">+PROPER(F3889)</f>
        <v/>
      </c>
    </row>
    <row r="3890" customFormat="false" ht="14.25" hidden="false" customHeight="false" outlineLevel="0" collapsed="false">
      <c r="B3890" s="249"/>
      <c r="C3890" s="250"/>
      <c r="D3890" s="250"/>
      <c r="E3890" s="251"/>
      <c r="F3890" s="251"/>
      <c r="G3890" s="225" t="e">
        <f aca="false">VLOOKUP(B3890,'NIVEL ENERO'!A:F,4,0)</f>
        <v>#N/A</v>
      </c>
      <c r="H3890" s="252"/>
      <c r="I3890" s="252"/>
      <c r="J3890" s="251"/>
      <c r="K3890" s="251"/>
      <c r="L3890" s="253"/>
      <c r="M3890" s="253"/>
      <c r="N3890" s="251"/>
      <c r="O3890" s="251"/>
      <c r="P3890" s="254"/>
      <c r="Q3890" s="250"/>
      <c r="R3890" s="186" t="str">
        <f aca="false">+PROPER(C3890&amp;" "&amp;D3890)</f>
        <v> </v>
      </c>
      <c r="S3890" s="230" t="n">
        <f aca="false">+YEARFRAC(L3890,$S$1)</f>
        <v>126.366666666667</v>
      </c>
      <c r="T3890" s="230" t="n">
        <f aca="false">+YEARFRAC(M3890,$S$1)</f>
        <v>126.366666666667</v>
      </c>
      <c r="U3890" s="231" t="n">
        <f aca="false">+$I3890</f>
        <v>0</v>
      </c>
      <c r="V3890" s="232" t="str">
        <f aca="false">+PROPER(F3890)</f>
        <v/>
      </c>
    </row>
    <row r="3891" customFormat="false" ht="14.25" hidden="false" customHeight="false" outlineLevel="0" collapsed="false">
      <c r="B3891" s="249"/>
      <c r="C3891" s="250"/>
      <c r="D3891" s="250"/>
      <c r="E3891" s="251"/>
      <c r="F3891" s="251"/>
      <c r="G3891" s="225" t="e">
        <f aca="false">VLOOKUP(B3891,'NIVEL ENERO'!A:F,4,0)</f>
        <v>#N/A</v>
      </c>
      <c r="H3891" s="252"/>
      <c r="I3891" s="252"/>
      <c r="J3891" s="251"/>
      <c r="K3891" s="251"/>
      <c r="L3891" s="253"/>
      <c r="M3891" s="253"/>
      <c r="N3891" s="251"/>
      <c r="O3891" s="251"/>
      <c r="P3891" s="254"/>
      <c r="Q3891" s="250"/>
      <c r="R3891" s="186" t="str">
        <f aca="false">+PROPER(C3891&amp;" "&amp;D3891)</f>
        <v> </v>
      </c>
      <c r="S3891" s="230" t="n">
        <f aca="false">+YEARFRAC(L3891,$S$1)</f>
        <v>126.366666666667</v>
      </c>
      <c r="T3891" s="230" t="n">
        <f aca="false">+YEARFRAC(M3891,$S$1)</f>
        <v>126.366666666667</v>
      </c>
      <c r="U3891" s="231" t="n">
        <f aca="false">+$I3891</f>
        <v>0</v>
      </c>
      <c r="V3891" s="232" t="str">
        <f aca="false">+PROPER(F3891)</f>
        <v/>
      </c>
    </row>
    <row r="3892" customFormat="false" ht="14.25" hidden="false" customHeight="false" outlineLevel="0" collapsed="false">
      <c r="B3892" s="249"/>
      <c r="C3892" s="250"/>
      <c r="D3892" s="250"/>
      <c r="E3892" s="251"/>
      <c r="F3892" s="251"/>
      <c r="G3892" s="225" t="e">
        <f aca="false">VLOOKUP(B3892,'NIVEL ENERO'!A:F,4,0)</f>
        <v>#N/A</v>
      </c>
      <c r="H3892" s="252"/>
      <c r="I3892" s="252"/>
      <c r="J3892" s="251"/>
      <c r="K3892" s="251"/>
      <c r="L3892" s="253"/>
      <c r="M3892" s="253"/>
      <c r="N3892" s="251"/>
      <c r="O3892" s="251"/>
      <c r="P3892" s="254"/>
      <c r="Q3892" s="250"/>
      <c r="R3892" s="186" t="str">
        <f aca="false">+PROPER(C3892&amp;" "&amp;D3892)</f>
        <v> </v>
      </c>
      <c r="S3892" s="230" t="n">
        <f aca="false">+YEARFRAC(L3892,$S$1)</f>
        <v>126.366666666667</v>
      </c>
      <c r="T3892" s="230" t="n">
        <f aca="false">+YEARFRAC(M3892,$S$1)</f>
        <v>126.366666666667</v>
      </c>
      <c r="U3892" s="231" t="n">
        <f aca="false">+$I3892</f>
        <v>0</v>
      </c>
      <c r="V3892" s="232" t="str">
        <f aca="false">+PROPER(F3892)</f>
        <v/>
      </c>
    </row>
    <row r="3893" customFormat="false" ht="14.25" hidden="false" customHeight="false" outlineLevel="0" collapsed="false">
      <c r="B3893" s="249"/>
      <c r="C3893" s="250"/>
      <c r="D3893" s="250"/>
      <c r="E3893" s="251"/>
      <c r="F3893" s="251"/>
      <c r="G3893" s="225" t="e">
        <f aca="false">VLOOKUP(B3893,'NIVEL ENERO'!A:F,4,0)</f>
        <v>#N/A</v>
      </c>
      <c r="H3893" s="252"/>
      <c r="I3893" s="252"/>
      <c r="J3893" s="251"/>
      <c r="K3893" s="251"/>
      <c r="L3893" s="253"/>
      <c r="M3893" s="253"/>
      <c r="N3893" s="251"/>
      <c r="O3893" s="251"/>
      <c r="P3893" s="254"/>
      <c r="Q3893" s="250"/>
      <c r="R3893" s="186" t="str">
        <f aca="false">+PROPER(C3893&amp;" "&amp;D3893)</f>
        <v> </v>
      </c>
      <c r="S3893" s="230" t="n">
        <f aca="false">+YEARFRAC(L3893,$S$1)</f>
        <v>126.366666666667</v>
      </c>
      <c r="T3893" s="230" t="n">
        <f aca="false">+YEARFRAC(M3893,$S$1)</f>
        <v>126.366666666667</v>
      </c>
      <c r="U3893" s="231" t="n">
        <f aca="false">+$I3893</f>
        <v>0</v>
      </c>
      <c r="V3893" s="232" t="str">
        <f aca="false">+PROPER(F3893)</f>
        <v/>
      </c>
    </row>
    <row r="3894" customFormat="false" ht="14.25" hidden="false" customHeight="false" outlineLevel="0" collapsed="false">
      <c r="B3894" s="249"/>
      <c r="C3894" s="250"/>
      <c r="D3894" s="250"/>
      <c r="E3894" s="251"/>
      <c r="F3894" s="251"/>
      <c r="G3894" s="225" t="e">
        <f aca="false">VLOOKUP(B3894,'NIVEL ENERO'!A:F,4,0)</f>
        <v>#N/A</v>
      </c>
      <c r="H3894" s="252"/>
      <c r="I3894" s="252"/>
      <c r="J3894" s="251"/>
      <c r="K3894" s="251"/>
      <c r="L3894" s="253"/>
      <c r="M3894" s="253"/>
      <c r="N3894" s="251"/>
      <c r="O3894" s="251"/>
      <c r="P3894" s="254"/>
      <c r="Q3894" s="250"/>
      <c r="R3894" s="186" t="str">
        <f aca="false">+PROPER(C3894&amp;" "&amp;D3894)</f>
        <v> </v>
      </c>
      <c r="S3894" s="230" t="n">
        <f aca="false">+YEARFRAC(L3894,$S$1)</f>
        <v>126.366666666667</v>
      </c>
      <c r="T3894" s="230" t="n">
        <f aca="false">+YEARFRAC(M3894,$S$1)</f>
        <v>126.366666666667</v>
      </c>
      <c r="U3894" s="231" t="n">
        <f aca="false">+$I3894</f>
        <v>0</v>
      </c>
      <c r="V3894" s="232" t="str">
        <f aca="false">+PROPER(F3894)</f>
        <v/>
      </c>
    </row>
    <row r="3895" customFormat="false" ht="14.25" hidden="false" customHeight="false" outlineLevel="0" collapsed="false">
      <c r="B3895" s="249"/>
      <c r="C3895" s="250"/>
      <c r="D3895" s="250"/>
      <c r="E3895" s="251"/>
      <c r="F3895" s="251"/>
      <c r="G3895" s="225" t="e">
        <f aca="false">VLOOKUP(B3895,'NIVEL ENERO'!A:F,4,0)</f>
        <v>#N/A</v>
      </c>
      <c r="H3895" s="252"/>
      <c r="I3895" s="252"/>
      <c r="J3895" s="251"/>
      <c r="K3895" s="251"/>
      <c r="L3895" s="253"/>
      <c r="M3895" s="253"/>
      <c r="N3895" s="251"/>
      <c r="O3895" s="251"/>
      <c r="P3895" s="254"/>
      <c r="Q3895" s="250"/>
      <c r="R3895" s="186" t="str">
        <f aca="false">+PROPER(C3895&amp;" "&amp;D3895)</f>
        <v> </v>
      </c>
      <c r="S3895" s="230" t="n">
        <f aca="false">+YEARFRAC(L3895,$S$1)</f>
        <v>126.366666666667</v>
      </c>
      <c r="T3895" s="230" t="n">
        <f aca="false">+YEARFRAC(M3895,$S$1)</f>
        <v>126.366666666667</v>
      </c>
      <c r="U3895" s="231" t="n">
        <f aca="false">+$I3895</f>
        <v>0</v>
      </c>
      <c r="V3895" s="232" t="str">
        <f aca="false">+PROPER(F3895)</f>
        <v/>
      </c>
    </row>
    <row r="3896" customFormat="false" ht="14.25" hidden="false" customHeight="false" outlineLevel="0" collapsed="false">
      <c r="B3896" s="249"/>
      <c r="C3896" s="250"/>
      <c r="D3896" s="250"/>
      <c r="E3896" s="251"/>
      <c r="F3896" s="251"/>
      <c r="G3896" s="225" t="e">
        <f aca="false">VLOOKUP(B3896,'NIVEL ENERO'!A:F,4,0)</f>
        <v>#N/A</v>
      </c>
      <c r="H3896" s="252"/>
      <c r="I3896" s="252"/>
      <c r="J3896" s="251"/>
      <c r="K3896" s="251"/>
      <c r="L3896" s="253"/>
      <c r="M3896" s="253"/>
      <c r="N3896" s="251"/>
      <c r="O3896" s="251"/>
      <c r="P3896" s="254"/>
      <c r="Q3896" s="250"/>
      <c r="R3896" s="186" t="str">
        <f aca="false">+PROPER(C3896&amp;" "&amp;D3896)</f>
        <v> </v>
      </c>
      <c r="S3896" s="230" t="n">
        <f aca="false">+YEARFRAC(L3896,$S$1)</f>
        <v>126.366666666667</v>
      </c>
      <c r="T3896" s="230" t="n">
        <f aca="false">+YEARFRAC(M3896,$S$1)</f>
        <v>126.366666666667</v>
      </c>
      <c r="U3896" s="231" t="n">
        <f aca="false">+$I3896</f>
        <v>0</v>
      </c>
      <c r="V3896" s="232" t="str">
        <f aca="false">+PROPER(F3896)</f>
        <v/>
      </c>
    </row>
    <row r="3897" customFormat="false" ht="14.25" hidden="false" customHeight="false" outlineLevel="0" collapsed="false">
      <c r="B3897" s="249"/>
      <c r="C3897" s="250"/>
      <c r="D3897" s="250"/>
      <c r="E3897" s="251"/>
      <c r="F3897" s="251"/>
      <c r="G3897" s="225" t="e">
        <f aca="false">VLOOKUP(B3897,'NIVEL ENERO'!A:F,4,0)</f>
        <v>#N/A</v>
      </c>
      <c r="H3897" s="252"/>
      <c r="I3897" s="252"/>
      <c r="J3897" s="251"/>
      <c r="K3897" s="251"/>
      <c r="L3897" s="253"/>
      <c r="M3897" s="253"/>
      <c r="N3897" s="251"/>
      <c r="O3897" s="251"/>
      <c r="P3897" s="254"/>
      <c r="Q3897" s="250"/>
      <c r="R3897" s="186" t="str">
        <f aca="false">+PROPER(C3897&amp;" "&amp;D3897)</f>
        <v> </v>
      </c>
      <c r="S3897" s="230" t="n">
        <f aca="false">+YEARFRAC(L3897,$S$1)</f>
        <v>126.366666666667</v>
      </c>
      <c r="T3897" s="230" t="n">
        <f aca="false">+YEARFRAC(M3897,$S$1)</f>
        <v>126.366666666667</v>
      </c>
      <c r="U3897" s="231" t="n">
        <f aca="false">+$I3897</f>
        <v>0</v>
      </c>
      <c r="V3897" s="232" t="str">
        <f aca="false">+PROPER(F3897)</f>
        <v/>
      </c>
    </row>
    <row r="3898" customFormat="false" ht="14.25" hidden="false" customHeight="false" outlineLevel="0" collapsed="false">
      <c r="B3898" s="249"/>
      <c r="C3898" s="250"/>
      <c r="D3898" s="250"/>
      <c r="E3898" s="251"/>
      <c r="F3898" s="251"/>
      <c r="G3898" s="225" t="e">
        <f aca="false">VLOOKUP(B3898,'NIVEL ENERO'!A:F,4,0)</f>
        <v>#N/A</v>
      </c>
      <c r="H3898" s="252"/>
      <c r="I3898" s="252"/>
      <c r="J3898" s="251"/>
      <c r="K3898" s="251"/>
      <c r="L3898" s="253"/>
      <c r="M3898" s="253"/>
      <c r="N3898" s="251"/>
      <c r="O3898" s="251"/>
      <c r="P3898" s="254"/>
      <c r="Q3898" s="250"/>
      <c r="R3898" s="186" t="str">
        <f aca="false">+PROPER(C3898&amp;" "&amp;D3898)</f>
        <v> </v>
      </c>
      <c r="S3898" s="230" t="n">
        <f aca="false">+YEARFRAC(L3898,$S$1)</f>
        <v>126.366666666667</v>
      </c>
      <c r="T3898" s="230" t="n">
        <f aca="false">+YEARFRAC(M3898,$S$1)</f>
        <v>126.366666666667</v>
      </c>
      <c r="U3898" s="231" t="n">
        <f aca="false">+$I3898</f>
        <v>0</v>
      </c>
      <c r="V3898" s="232" t="str">
        <f aca="false">+PROPER(F3898)</f>
        <v/>
      </c>
    </row>
    <row r="3899" customFormat="false" ht="14.25" hidden="false" customHeight="false" outlineLevel="0" collapsed="false">
      <c r="B3899" s="249"/>
      <c r="C3899" s="250"/>
      <c r="D3899" s="250"/>
      <c r="E3899" s="251"/>
      <c r="F3899" s="251"/>
      <c r="G3899" s="225" t="e">
        <f aca="false">VLOOKUP(B3899,'NIVEL ENERO'!A:F,4,0)</f>
        <v>#N/A</v>
      </c>
      <c r="H3899" s="252"/>
      <c r="I3899" s="252"/>
      <c r="J3899" s="251"/>
      <c r="K3899" s="251"/>
      <c r="L3899" s="253"/>
      <c r="M3899" s="253"/>
      <c r="N3899" s="251"/>
      <c r="O3899" s="251"/>
      <c r="P3899" s="254"/>
      <c r="Q3899" s="250"/>
      <c r="R3899" s="186" t="str">
        <f aca="false">+PROPER(C3899&amp;" "&amp;D3899)</f>
        <v> </v>
      </c>
      <c r="S3899" s="230" t="n">
        <f aca="false">+YEARFRAC(L3899,$S$1)</f>
        <v>126.366666666667</v>
      </c>
      <c r="T3899" s="230" t="n">
        <f aca="false">+YEARFRAC(M3899,$S$1)</f>
        <v>126.366666666667</v>
      </c>
      <c r="U3899" s="231" t="n">
        <f aca="false">+$I3899</f>
        <v>0</v>
      </c>
      <c r="V3899" s="232" t="str">
        <f aca="false">+PROPER(F3899)</f>
        <v/>
      </c>
    </row>
    <row r="3900" customFormat="false" ht="14.25" hidden="false" customHeight="false" outlineLevel="0" collapsed="false">
      <c r="B3900" s="249"/>
      <c r="C3900" s="250"/>
      <c r="D3900" s="250"/>
      <c r="E3900" s="251"/>
      <c r="F3900" s="251"/>
      <c r="G3900" s="225" t="e">
        <f aca="false">VLOOKUP(B3900,'NIVEL ENERO'!A:F,4,0)</f>
        <v>#N/A</v>
      </c>
      <c r="H3900" s="252"/>
      <c r="I3900" s="252"/>
      <c r="J3900" s="251"/>
      <c r="K3900" s="251"/>
      <c r="L3900" s="253"/>
      <c r="M3900" s="253"/>
      <c r="N3900" s="251"/>
      <c r="O3900" s="251"/>
      <c r="P3900" s="254"/>
      <c r="Q3900" s="250"/>
      <c r="R3900" s="186" t="str">
        <f aca="false">+PROPER(C3900&amp;" "&amp;D3900)</f>
        <v> </v>
      </c>
      <c r="S3900" s="230" t="n">
        <f aca="false">+YEARFRAC(L3900,$S$1)</f>
        <v>126.366666666667</v>
      </c>
      <c r="T3900" s="230" t="n">
        <f aca="false">+YEARFRAC(M3900,$S$1)</f>
        <v>126.366666666667</v>
      </c>
      <c r="U3900" s="231" t="n">
        <f aca="false">+$I3900</f>
        <v>0</v>
      </c>
      <c r="V3900" s="232" t="str">
        <f aca="false">+PROPER(F3900)</f>
        <v/>
      </c>
    </row>
    <row r="3901" customFormat="false" ht="14.25" hidden="false" customHeight="false" outlineLevel="0" collapsed="false">
      <c r="B3901" s="249"/>
      <c r="C3901" s="250"/>
      <c r="D3901" s="250"/>
      <c r="E3901" s="251"/>
      <c r="F3901" s="251"/>
      <c r="G3901" s="225" t="e">
        <f aca="false">VLOOKUP(B3901,'NIVEL ENERO'!A:F,4,0)</f>
        <v>#N/A</v>
      </c>
      <c r="H3901" s="252"/>
      <c r="I3901" s="252"/>
      <c r="J3901" s="251"/>
      <c r="K3901" s="251"/>
      <c r="L3901" s="253"/>
      <c r="M3901" s="253"/>
      <c r="N3901" s="251"/>
      <c r="O3901" s="251"/>
      <c r="P3901" s="254"/>
      <c r="Q3901" s="250"/>
      <c r="R3901" s="186" t="str">
        <f aca="false">+PROPER(C3901&amp;" "&amp;D3901)</f>
        <v> </v>
      </c>
      <c r="S3901" s="230" t="n">
        <f aca="false">+YEARFRAC(L3901,$S$1)</f>
        <v>126.366666666667</v>
      </c>
      <c r="T3901" s="230" t="n">
        <f aca="false">+YEARFRAC(M3901,$S$1)</f>
        <v>126.366666666667</v>
      </c>
      <c r="U3901" s="231" t="n">
        <f aca="false">+$I3901</f>
        <v>0</v>
      </c>
      <c r="V3901" s="232" t="str">
        <f aca="false">+PROPER(F3901)</f>
        <v/>
      </c>
    </row>
    <row r="3902" customFormat="false" ht="14.25" hidden="false" customHeight="false" outlineLevel="0" collapsed="false">
      <c r="B3902" s="249"/>
      <c r="C3902" s="250"/>
      <c r="D3902" s="250"/>
      <c r="E3902" s="251"/>
      <c r="F3902" s="251"/>
      <c r="G3902" s="225" t="e">
        <f aca="false">VLOOKUP(B3902,'NIVEL ENERO'!A:F,4,0)</f>
        <v>#N/A</v>
      </c>
      <c r="H3902" s="252"/>
      <c r="I3902" s="252"/>
      <c r="J3902" s="251"/>
      <c r="K3902" s="251"/>
      <c r="L3902" s="253"/>
      <c r="M3902" s="253"/>
      <c r="N3902" s="251"/>
      <c r="O3902" s="251"/>
      <c r="P3902" s="254"/>
      <c r="Q3902" s="250"/>
      <c r="R3902" s="186" t="str">
        <f aca="false">+PROPER(C3902&amp;" "&amp;D3902)</f>
        <v> </v>
      </c>
      <c r="S3902" s="230" t="n">
        <f aca="false">+YEARFRAC(L3902,$S$1)</f>
        <v>126.366666666667</v>
      </c>
      <c r="T3902" s="230" t="n">
        <f aca="false">+YEARFRAC(M3902,$S$1)</f>
        <v>126.366666666667</v>
      </c>
      <c r="U3902" s="231" t="n">
        <f aca="false">+$I3902</f>
        <v>0</v>
      </c>
      <c r="V3902" s="232" t="str">
        <f aca="false">+PROPER(F3902)</f>
        <v/>
      </c>
    </row>
    <row r="3903" customFormat="false" ht="14.25" hidden="false" customHeight="false" outlineLevel="0" collapsed="false">
      <c r="B3903" s="249"/>
      <c r="C3903" s="250"/>
      <c r="D3903" s="250"/>
      <c r="E3903" s="251"/>
      <c r="F3903" s="251"/>
      <c r="G3903" s="225" t="e">
        <f aca="false">VLOOKUP(B3903,'NIVEL ENERO'!A:F,4,0)</f>
        <v>#N/A</v>
      </c>
      <c r="H3903" s="252"/>
      <c r="I3903" s="252"/>
      <c r="J3903" s="251"/>
      <c r="K3903" s="251"/>
      <c r="L3903" s="253"/>
      <c r="M3903" s="253"/>
      <c r="N3903" s="251"/>
      <c r="O3903" s="251"/>
      <c r="P3903" s="254"/>
      <c r="Q3903" s="250"/>
      <c r="R3903" s="186" t="str">
        <f aca="false">+PROPER(C3903&amp;" "&amp;D3903)</f>
        <v> </v>
      </c>
      <c r="S3903" s="230" t="n">
        <f aca="false">+YEARFRAC(L3903,$S$1)</f>
        <v>126.366666666667</v>
      </c>
      <c r="T3903" s="230" t="n">
        <f aca="false">+YEARFRAC(M3903,$S$1)</f>
        <v>126.366666666667</v>
      </c>
      <c r="U3903" s="231" t="n">
        <f aca="false">+$I3903</f>
        <v>0</v>
      </c>
      <c r="V3903" s="232" t="str">
        <f aca="false">+PROPER(F3903)</f>
        <v/>
      </c>
    </row>
    <row r="3904" customFormat="false" ht="14.25" hidden="false" customHeight="false" outlineLevel="0" collapsed="false">
      <c r="B3904" s="249"/>
      <c r="C3904" s="250"/>
      <c r="D3904" s="250"/>
      <c r="E3904" s="251"/>
      <c r="F3904" s="251"/>
      <c r="G3904" s="225" t="e">
        <f aca="false">VLOOKUP(B3904,'NIVEL ENERO'!A:F,4,0)</f>
        <v>#N/A</v>
      </c>
      <c r="H3904" s="252"/>
      <c r="I3904" s="252"/>
      <c r="J3904" s="251"/>
      <c r="K3904" s="251"/>
      <c r="L3904" s="253"/>
      <c r="M3904" s="253"/>
      <c r="N3904" s="251"/>
      <c r="O3904" s="251"/>
      <c r="P3904" s="254"/>
      <c r="Q3904" s="250"/>
      <c r="R3904" s="186" t="str">
        <f aca="false">+PROPER(C3904&amp;" "&amp;D3904)</f>
        <v> </v>
      </c>
      <c r="S3904" s="230" t="n">
        <f aca="false">+YEARFRAC(L3904,$S$1)</f>
        <v>126.366666666667</v>
      </c>
      <c r="T3904" s="230" t="n">
        <f aca="false">+YEARFRAC(M3904,$S$1)</f>
        <v>126.366666666667</v>
      </c>
      <c r="U3904" s="231" t="n">
        <f aca="false">+$I3904</f>
        <v>0</v>
      </c>
      <c r="V3904" s="232" t="str">
        <f aca="false">+PROPER(F3904)</f>
        <v/>
      </c>
    </row>
    <row r="3905" customFormat="false" ht="14.25" hidden="false" customHeight="false" outlineLevel="0" collapsed="false">
      <c r="B3905" s="249"/>
      <c r="C3905" s="250"/>
      <c r="D3905" s="250"/>
      <c r="E3905" s="251"/>
      <c r="F3905" s="251"/>
      <c r="G3905" s="225" t="e">
        <f aca="false">VLOOKUP(B3905,'NIVEL ENERO'!A:F,4,0)</f>
        <v>#N/A</v>
      </c>
      <c r="H3905" s="252"/>
      <c r="I3905" s="252"/>
      <c r="J3905" s="251"/>
      <c r="K3905" s="251"/>
      <c r="L3905" s="253"/>
      <c r="M3905" s="253"/>
      <c r="N3905" s="251"/>
      <c r="O3905" s="251"/>
      <c r="P3905" s="254"/>
      <c r="Q3905" s="250"/>
      <c r="R3905" s="186" t="str">
        <f aca="false">+PROPER(C3905&amp;" "&amp;D3905)</f>
        <v> </v>
      </c>
      <c r="S3905" s="230" t="n">
        <f aca="false">+YEARFRAC(L3905,$S$1)</f>
        <v>126.366666666667</v>
      </c>
      <c r="T3905" s="230" t="n">
        <f aca="false">+YEARFRAC(M3905,$S$1)</f>
        <v>126.366666666667</v>
      </c>
      <c r="U3905" s="231" t="n">
        <f aca="false">+$I3905</f>
        <v>0</v>
      </c>
      <c r="V3905" s="232" t="str">
        <f aca="false">+PROPER(F3905)</f>
        <v/>
      </c>
    </row>
    <row r="3906" customFormat="false" ht="14.25" hidden="false" customHeight="false" outlineLevel="0" collapsed="false">
      <c r="B3906" s="249"/>
      <c r="C3906" s="250"/>
      <c r="D3906" s="250"/>
      <c r="E3906" s="251"/>
      <c r="F3906" s="251"/>
      <c r="G3906" s="225" t="e">
        <f aca="false">VLOOKUP(B3906,'NIVEL ENERO'!A:F,4,0)</f>
        <v>#N/A</v>
      </c>
      <c r="H3906" s="252"/>
      <c r="I3906" s="252"/>
      <c r="J3906" s="251"/>
      <c r="K3906" s="251"/>
      <c r="L3906" s="253"/>
      <c r="M3906" s="253"/>
      <c r="N3906" s="251"/>
      <c r="O3906" s="251"/>
      <c r="P3906" s="254"/>
      <c r="Q3906" s="250"/>
      <c r="R3906" s="186" t="str">
        <f aca="false">+PROPER(C3906&amp;" "&amp;D3906)</f>
        <v> </v>
      </c>
      <c r="S3906" s="230" t="n">
        <f aca="false">+YEARFRAC(L3906,$S$1)</f>
        <v>126.366666666667</v>
      </c>
      <c r="T3906" s="230" t="n">
        <f aca="false">+YEARFRAC(M3906,$S$1)</f>
        <v>126.366666666667</v>
      </c>
      <c r="U3906" s="231" t="n">
        <f aca="false">+$I3906</f>
        <v>0</v>
      </c>
      <c r="V3906" s="232" t="str">
        <f aca="false">+PROPER(F3906)</f>
        <v/>
      </c>
    </row>
    <row r="3907" customFormat="false" ht="14.25" hidden="false" customHeight="false" outlineLevel="0" collapsed="false">
      <c r="B3907" s="249"/>
      <c r="C3907" s="250"/>
      <c r="D3907" s="250"/>
      <c r="E3907" s="251"/>
      <c r="F3907" s="251"/>
      <c r="G3907" s="225" t="e">
        <f aca="false">VLOOKUP(B3907,'NIVEL ENERO'!A:F,4,0)</f>
        <v>#N/A</v>
      </c>
      <c r="H3907" s="252"/>
      <c r="I3907" s="252"/>
      <c r="J3907" s="251"/>
      <c r="K3907" s="251"/>
      <c r="L3907" s="253"/>
      <c r="M3907" s="253"/>
      <c r="N3907" s="251"/>
      <c r="O3907" s="251"/>
      <c r="P3907" s="254"/>
      <c r="Q3907" s="250"/>
      <c r="R3907" s="186" t="str">
        <f aca="false">+PROPER(C3907&amp;" "&amp;D3907)</f>
        <v> </v>
      </c>
      <c r="S3907" s="230" t="n">
        <f aca="false">+YEARFRAC(L3907,$S$1)</f>
        <v>126.366666666667</v>
      </c>
      <c r="T3907" s="230" t="n">
        <f aca="false">+YEARFRAC(M3907,$S$1)</f>
        <v>126.366666666667</v>
      </c>
      <c r="U3907" s="231" t="n">
        <f aca="false">+$I3907</f>
        <v>0</v>
      </c>
      <c r="V3907" s="232" t="str">
        <f aca="false">+PROPER(F3907)</f>
        <v/>
      </c>
    </row>
    <row r="3908" customFormat="false" ht="14.25" hidden="false" customHeight="false" outlineLevel="0" collapsed="false">
      <c r="B3908" s="249"/>
      <c r="C3908" s="250"/>
      <c r="D3908" s="250"/>
      <c r="E3908" s="251"/>
      <c r="F3908" s="251"/>
      <c r="G3908" s="225" t="e">
        <f aca="false">VLOOKUP(B3908,'NIVEL ENERO'!A:F,4,0)</f>
        <v>#N/A</v>
      </c>
      <c r="H3908" s="252"/>
      <c r="I3908" s="252"/>
      <c r="J3908" s="251"/>
      <c r="K3908" s="251"/>
      <c r="L3908" s="253"/>
      <c r="M3908" s="253"/>
      <c r="N3908" s="251"/>
      <c r="O3908" s="251"/>
      <c r="P3908" s="254"/>
      <c r="Q3908" s="250"/>
      <c r="R3908" s="186" t="str">
        <f aca="false">+PROPER(C3908&amp;" "&amp;D3908)</f>
        <v> </v>
      </c>
      <c r="S3908" s="230" t="n">
        <f aca="false">+YEARFRAC(L3908,$S$1)</f>
        <v>126.366666666667</v>
      </c>
      <c r="T3908" s="230" t="n">
        <f aca="false">+YEARFRAC(M3908,$S$1)</f>
        <v>126.366666666667</v>
      </c>
      <c r="U3908" s="231" t="n">
        <f aca="false">+$I3908</f>
        <v>0</v>
      </c>
      <c r="V3908" s="232" t="str">
        <f aca="false">+PROPER(F3908)</f>
        <v/>
      </c>
    </row>
    <row r="3909" customFormat="false" ht="14.25" hidden="false" customHeight="false" outlineLevel="0" collapsed="false">
      <c r="B3909" s="249"/>
      <c r="C3909" s="250"/>
      <c r="D3909" s="250"/>
      <c r="E3909" s="251"/>
      <c r="F3909" s="251"/>
      <c r="G3909" s="225" t="e">
        <f aca="false">VLOOKUP(B3909,'NIVEL ENERO'!A:F,4,0)</f>
        <v>#N/A</v>
      </c>
      <c r="H3909" s="252"/>
      <c r="I3909" s="252"/>
      <c r="J3909" s="251"/>
      <c r="K3909" s="251"/>
      <c r="L3909" s="253"/>
      <c r="M3909" s="253"/>
      <c r="N3909" s="251"/>
      <c r="O3909" s="251"/>
      <c r="P3909" s="254"/>
      <c r="Q3909" s="250"/>
      <c r="R3909" s="186" t="str">
        <f aca="false">+PROPER(C3909&amp;" "&amp;D3909)</f>
        <v> </v>
      </c>
      <c r="S3909" s="230" t="n">
        <f aca="false">+YEARFRAC(L3909,$S$1)</f>
        <v>126.366666666667</v>
      </c>
      <c r="T3909" s="230" t="n">
        <f aca="false">+YEARFRAC(M3909,$S$1)</f>
        <v>126.366666666667</v>
      </c>
      <c r="U3909" s="231" t="n">
        <f aca="false">+$I3909</f>
        <v>0</v>
      </c>
      <c r="V3909" s="232" t="str">
        <f aca="false">+PROPER(F3909)</f>
        <v/>
      </c>
    </row>
    <row r="3910" customFormat="false" ht="14.25" hidden="false" customHeight="false" outlineLevel="0" collapsed="false">
      <c r="B3910" s="249"/>
      <c r="C3910" s="250"/>
      <c r="D3910" s="250"/>
      <c r="E3910" s="251"/>
      <c r="F3910" s="251"/>
      <c r="G3910" s="225" t="e">
        <f aca="false">VLOOKUP(B3910,'NIVEL ENERO'!A:F,4,0)</f>
        <v>#N/A</v>
      </c>
      <c r="H3910" s="252"/>
      <c r="I3910" s="252"/>
      <c r="J3910" s="251"/>
      <c r="K3910" s="251"/>
      <c r="L3910" s="253"/>
      <c r="M3910" s="253"/>
      <c r="N3910" s="251"/>
      <c r="O3910" s="251"/>
      <c r="P3910" s="254"/>
      <c r="Q3910" s="250"/>
      <c r="R3910" s="186" t="str">
        <f aca="false">+PROPER(C3910&amp;" "&amp;D3910)</f>
        <v> </v>
      </c>
      <c r="S3910" s="230" t="n">
        <f aca="false">+YEARFRAC(L3910,$S$1)</f>
        <v>126.366666666667</v>
      </c>
      <c r="T3910" s="230" t="n">
        <f aca="false">+YEARFRAC(M3910,$S$1)</f>
        <v>126.366666666667</v>
      </c>
      <c r="U3910" s="231" t="n">
        <f aca="false">+$I3910</f>
        <v>0</v>
      </c>
      <c r="V3910" s="232" t="str">
        <f aca="false">+PROPER(F3910)</f>
        <v/>
      </c>
    </row>
    <row r="3911" customFormat="false" ht="14.25" hidden="false" customHeight="false" outlineLevel="0" collapsed="false">
      <c r="B3911" s="249"/>
      <c r="C3911" s="250"/>
      <c r="D3911" s="250"/>
      <c r="E3911" s="251"/>
      <c r="F3911" s="251"/>
      <c r="G3911" s="225" t="e">
        <f aca="false">VLOOKUP(B3911,'NIVEL ENERO'!A:F,4,0)</f>
        <v>#N/A</v>
      </c>
      <c r="H3911" s="252"/>
      <c r="I3911" s="252"/>
      <c r="J3911" s="251"/>
      <c r="K3911" s="251"/>
      <c r="L3911" s="253"/>
      <c r="M3911" s="253"/>
      <c r="N3911" s="251"/>
      <c r="O3911" s="251"/>
      <c r="P3911" s="254"/>
      <c r="Q3911" s="250"/>
      <c r="R3911" s="186" t="str">
        <f aca="false">+PROPER(C3911&amp;" "&amp;D3911)</f>
        <v> </v>
      </c>
      <c r="S3911" s="230" t="n">
        <f aca="false">+YEARFRAC(L3911,$S$1)</f>
        <v>126.366666666667</v>
      </c>
      <c r="T3911" s="230" t="n">
        <f aca="false">+YEARFRAC(M3911,$S$1)</f>
        <v>126.366666666667</v>
      </c>
      <c r="U3911" s="231" t="n">
        <f aca="false">+$I3911</f>
        <v>0</v>
      </c>
      <c r="V3911" s="232" t="str">
        <f aca="false">+PROPER(F3911)</f>
        <v/>
      </c>
    </row>
    <row r="3912" customFormat="false" ht="14.25" hidden="false" customHeight="false" outlineLevel="0" collapsed="false">
      <c r="B3912" s="249"/>
      <c r="C3912" s="250"/>
      <c r="D3912" s="250"/>
      <c r="E3912" s="251"/>
      <c r="F3912" s="251"/>
      <c r="G3912" s="225" t="e">
        <f aca="false">VLOOKUP(B3912,'NIVEL ENERO'!A:F,4,0)</f>
        <v>#N/A</v>
      </c>
      <c r="H3912" s="252"/>
      <c r="I3912" s="252"/>
      <c r="J3912" s="251"/>
      <c r="K3912" s="251"/>
      <c r="L3912" s="253"/>
      <c r="M3912" s="253"/>
      <c r="N3912" s="251"/>
      <c r="O3912" s="251"/>
      <c r="P3912" s="254"/>
      <c r="Q3912" s="250"/>
      <c r="R3912" s="186" t="str">
        <f aca="false">+PROPER(C3912&amp;" "&amp;D3912)</f>
        <v> </v>
      </c>
      <c r="S3912" s="230" t="n">
        <f aca="false">+YEARFRAC(L3912,$S$1)</f>
        <v>126.366666666667</v>
      </c>
      <c r="T3912" s="230" t="n">
        <f aca="false">+YEARFRAC(M3912,$S$1)</f>
        <v>126.366666666667</v>
      </c>
      <c r="U3912" s="231" t="n">
        <f aca="false">+$I3912</f>
        <v>0</v>
      </c>
      <c r="V3912" s="232" t="str">
        <f aca="false">+PROPER(F3912)</f>
        <v/>
      </c>
    </row>
    <row r="3913" customFormat="false" ht="14.25" hidden="false" customHeight="false" outlineLevel="0" collapsed="false">
      <c r="B3913" s="249"/>
      <c r="C3913" s="250"/>
      <c r="D3913" s="250"/>
      <c r="E3913" s="251"/>
      <c r="F3913" s="251"/>
      <c r="G3913" s="225" t="e">
        <f aca="false">VLOOKUP(B3913,'NIVEL ENERO'!A:F,4,0)</f>
        <v>#N/A</v>
      </c>
      <c r="H3913" s="252"/>
      <c r="I3913" s="252"/>
      <c r="J3913" s="251"/>
      <c r="K3913" s="251"/>
      <c r="L3913" s="253"/>
      <c r="M3913" s="253"/>
      <c r="N3913" s="251"/>
      <c r="O3913" s="251"/>
      <c r="P3913" s="254"/>
      <c r="Q3913" s="250"/>
      <c r="R3913" s="186" t="str">
        <f aca="false">+PROPER(C3913&amp;" "&amp;D3913)</f>
        <v> </v>
      </c>
      <c r="S3913" s="230" t="n">
        <f aca="false">+YEARFRAC(L3913,$S$1)</f>
        <v>126.366666666667</v>
      </c>
      <c r="T3913" s="230" t="n">
        <f aca="false">+YEARFRAC(M3913,$S$1)</f>
        <v>126.366666666667</v>
      </c>
      <c r="U3913" s="231" t="n">
        <f aca="false">+$I3913</f>
        <v>0</v>
      </c>
      <c r="V3913" s="232" t="str">
        <f aca="false">+PROPER(F3913)</f>
        <v/>
      </c>
    </row>
    <row r="3914" customFormat="false" ht="14.25" hidden="false" customHeight="false" outlineLevel="0" collapsed="false">
      <c r="B3914" s="249"/>
      <c r="C3914" s="250"/>
      <c r="D3914" s="250"/>
      <c r="E3914" s="251"/>
      <c r="F3914" s="251"/>
      <c r="G3914" s="225" t="e">
        <f aca="false">VLOOKUP(B3914,'NIVEL ENERO'!A:F,4,0)</f>
        <v>#N/A</v>
      </c>
      <c r="H3914" s="252"/>
      <c r="I3914" s="252"/>
      <c r="J3914" s="251"/>
      <c r="K3914" s="251"/>
      <c r="L3914" s="253"/>
      <c r="M3914" s="253"/>
      <c r="N3914" s="251"/>
      <c r="O3914" s="251"/>
      <c r="P3914" s="254"/>
      <c r="Q3914" s="250"/>
      <c r="R3914" s="186" t="str">
        <f aca="false">+PROPER(C3914&amp;" "&amp;D3914)</f>
        <v> </v>
      </c>
      <c r="S3914" s="230" t="n">
        <f aca="false">+YEARFRAC(L3914,$S$1)</f>
        <v>126.366666666667</v>
      </c>
      <c r="T3914" s="230" t="n">
        <f aca="false">+YEARFRAC(M3914,$S$1)</f>
        <v>126.366666666667</v>
      </c>
      <c r="U3914" s="231" t="n">
        <f aca="false">+$I3914</f>
        <v>0</v>
      </c>
      <c r="V3914" s="232" t="str">
        <f aca="false">+PROPER(F3914)</f>
        <v/>
      </c>
    </row>
    <row r="3915" customFormat="false" ht="14.25" hidden="false" customHeight="false" outlineLevel="0" collapsed="false">
      <c r="B3915" s="249"/>
      <c r="C3915" s="250"/>
      <c r="D3915" s="250"/>
      <c r="E3915" s="251"/>
      <c r="F3915" s="251"/>
      <c r="G3915" s="225" t="e">
        <f aca="false">VLOOKUP(B3915,'NIVEL ENERO'!A:F,4,0)</f>
        <v>#N/A</v>
      </c>
      <c r="H3915" s="252"/>
      <c r="I3915" s="252"/>
      <c r="J3915" s="251"/>
      <c r="K3915" s="251"/>
      <c r="L3915" s="253"/>
      <c r="M3915" s="253"/>
      <c r="N3915" s="251"/>
      <c r="O3915" s="251"/>
      <c r="P3915" s="254"/>
      <c r="Q3915" s="250"/>
      <c r="R3915" s="186" t="str">
        <f aca="false">+PROPER(C3915&amp;" "&amp;D3915)</f>
        <v> </v>
      </c>
      <c r="S3915" s="230" t="n">
        <f aca="false">+YEARFRAC(L3915,$S$1)</f>
        <v>126.366666666667</v>
      </c>
      <c r="T3915" s="230" t="n">
        <f aca="false">+YEARFRAC(M3915,$S$1)</f>
        <v>126.366666666667</v>
      </c>
      <c r="U3915" s="231" t="n">
        <f aca="false">+$I3915</f>
        <v>0</v>
      </c>
      <c r="V3915" s="232" t="str">
        <f aca="false">+PROPER(F3915)</f>
        <v/>
      </c>
    </row>
    <row r="3916" customFormat="false" ht="14.25" hidden="false" customHeight="false" outlineLevel="0" collapsed="false">
      <c r="B3916" s="249"/>
      <c r="C3916" s="250"/>
      <c r="D3916" s="250"/>
      <c r="E3916" s="251"/>
      <c r="F3916" s="251"/>
      <c r="G3916" s="225" t="e">
        <f aca="false">VLOOKUP(B3916,'NIVEL ENERO'!A:F,4,0)</f>
        <v>#N/A</v>
      </c>
      <c r="H3916" s="252"/>
      <c r="I3916" s="252"/>
      <c r="J3916" s="251"/>
      <c r="K3916" s="251"/>
      <c r="L3916" s="253"/>
      <c r="M3916" s="253"/>
      <c r="N3916" s="251"/>
      <c r="O3916" s="251"/>
      <c r="P3916" s="254"/>
      <c r="Q3916" s="250"/>
      <c r="R3916" s="186" t="str">
        <f aca="false">+PROPER(C3916&amp;" "&amp;D3916)</f>
        <v> </v>
      </c>
      <c r="S3916" s="230" t="n">
        <f aca="false">+YEARFRAC(L3916,$S$1)</f>
        <v>126.366666666667</v>
      </c>
      <c r="T3916" s="230" t="n">
        <f aca="false">+YEARFRAC(M3916,$S$1)</f>
        <v>126.366666666667</v>
      </c>
      <c r="U3916" s="231" t="n">
        <f aca="false">+$I3916</f>
        <v>0</v>
      </c>
      <c r="V3916" s="232" t="str">
        <f aca="false">+PROPER(F3916)</f>
        <v/>
      </c>
    </row>
    <row r="3917" customFormat="false" ht="14.25" hidden="false" customHeight="false" outlineLevel="0" collapsed="false">
      <c r="B3917" s="249"/>
      <c r="C3917" s="250"/>
      <c r="D3917" s="250"/>
      <c r="E3917" s="251"/>
      <c r="F3917" s="251"/>
      <c r="G3917" s="225" t="e">
        <f aca="false">VLOOKUP(B3917,'NIVEL ENERO'!A:F,4,0)</f>
        <v>#N/A</v>
      </c>
      <c r="H3917" s="252"/>
      <c r="I3917" s="252"/>
      <c r="J3917" s="251"/>
      <c r="K3917" s="251"/>
      <c r="L3917" s="253"/>
      <c r="M3917" s="253"/>
      <c r="N3917" s="251"/>
      <c r="O3917" s="251"/>
      <c r="P3917" s="254"/>
      <c r="Q3917" s="250"/>
      <c r="R3917" s="186" t="str">
        <f aca="false">+PROPER(C3917&amp;" "&amp;D3917)</f>
        <v> </v>
      </c>
      <c r="S3917" s="230" t="n">
        <f aca="false">+YEARFRAC(L3917,$S$1)</f>
        <v>126.366666666667</v>
      </c>
      <c r="T3917" s="230" t="n">
        <f aca="false">+YEARFRAC(M3917,$S$1)</f>
        <v>126.366666666667</v>
      </c>
      <c r="U3917" s="231" t="n">
        <f aca="false">+$I3917</f>
        <v>0</v>
      </c>
      <c r="V3917" s="232" t="str">
        <f aca="false">+PROPER(F3917)</f>
        <v/>
      </c>
    </row>
    <row r="3918" customFormat="false" ht="14.25" hidden="false" customHeight="false" outlineLevel="0" collapsed="false">
      <c r="B3918" s="249"/>
      <c r="C3918" s="250"/>
      <c r="D3918" s="250"/>
      <c r="E3918" s="251"/>
      <c r="F3918" s="251"/>
      <c r="G3918" s="225" t="e">
        <f aca="false">VLOOKUP(B3918,'NIVEL ENERO'!A:F,4,0)</f>
        <v>#N/A</v>
      </c>
      <c r="H3918" s="252"/>
      <c r="I3918" s="252"/>
      <c r="J3918" s="251"/>
      <c r="K3918" s="251"/>
      <c r="L3918" s="253"/>
      <c r="M3918" s="253"/>
      <c r="N3918" s="251"/>
      <c r="O3918" s="251"/>
      <c r="P3918" s="254"/>
      <c r="Q3918" s="250"/>
      <c r="R3918" s="186" t="str">
        <f aca="false">+PROPER(C3918&amp;" "&amp;D3918)</f>
        <v> </v>
      </c>
      <c r="S3918" s="230" t="n">
        <f aca="false">+YEARFRAC(L3918,$S$1)</f>
        <v>126.366666666667</v>
      </c>
      <c r="T3918" s="230" t="n">
        <f aca="false">+YEARFRAC(M3918,$S$1)</f>
        <v>126.366666666667</v>
      </c>
      <c r="U3918" s="231" t="n">
        <f aca="false">+$I3918</f>
        <v>0</v>
      </c>
      <c r="V3918" s="232" t="str">
        <f aca="false">+PROPER(F3918)</f>
        <v/>
      </c>
    </row>
    <row r="3919" customFormat="false" ht="14.25" hidden="false" customHeight="false" outlineLevel="0" collapsed="false">
      <c r="B3919" s="249"/>
      <c r="C3919" s="250"/>
      <c r="D3919" s="250"/>
      <c r="E3919" s="251"/>
      <c r="F3919" s="251"/>
      <c r="G3919" s="225" t="e">
        <f aca="false">VLOOKUP(B3919,'NIVEL ENERO'!A:F,4,0)</f>
        <v>#N/A</v>
      </c>
      <c r="H3919" s="252"/>
      <c r="I3919" s="252"/>
      <c r="J3919" s="251"/>
      <c r="K3919" s="251"/>
      <c r="L3919" s="253"/>
      <c r="M3919" s="253"/>
      <c r="N3919" s="251"/>
      <c r="O3919" s="251"/>
      <c r="P3919" s="254"/>
      <c r="Q3919" s="250"/>
      <c r="R3919" s="186" t="str">
        <f aca="false">+PROPER(C3919&amp;" "&amp;D3919)</f>
        <v> </v>
      </c>
      <c r="S3919" s="230" t="n">
        <f aca="false">+YEARFRAC(L3919,$S$1)</f>
        <v>126.366666666667</v>
      </c>
      <c r="T3919" s="230" t="n">
        <f aca="false">+YEARFRAC(M3919,$S$1)</f>
        <v>126.366666666667</v>
      </c>
      <c r="U3919" s="231" t="n">
        <f aca="false">+$I3919</f>
        <v>0</v>
      </c>
      <c r="V3919" s="232" t="str">
        <f aca="false">+PROPER(F3919)</f>
        <v/>
      </c>
    </row>
    <row r="3920" customFormat="false" ht="14.25" hidden="false" customHeight="false" outlineLevel="0" collapsed="false">
      <c r="B3920" s="249"/>
      <c r="C3920" s="250"/>
      <c r="D3920" s="250"/>
      <c r="E3920" s="251"/>
      <c r="F3920" s="251"/>
      <c r="G3920" s="225" t="e">
        <f aca="false">VLOOKUP(B3920,'NIVEL ENERO'!A:F,4,0)</f>
        <v>#N/A</v>
      </c>
      <c r="H3920" s="252"/>
      <c r="I3920" s="252"/>
      <c r="J3920" s="251"/>
      <c r="K3920" s="251"/>
      <c r="L3920" s="253"/>
      <c r="M3920" s="253"/>
      <c r="N3920" s="251"/>
      <c r="O3920" s="251"/>
      <c r="P3920" s="254"/>
      <c r="Q3920" s="250"/>
      <c r="R3920" s="186" t="str">
        <f aca="false">+PROPER(C3920&amp;" "&amp;D3920)</f>
        <v> </v>
      </c>
      <c r="S3920" s="230" t="n">
        <f aca="false">+YEARFRAC(L3920,$S$1)</f>
        <v>126.366666666667</v>
      </c>
      <c r="T3920" s="230" t="n">
        <f aca="false">+YEARFRAC(M3920,$S$1)</f>
        <v>126.366666666667</v>
      </c>
      <c r="U3920" s="231" t="n">
        <f aca="false">+$I3920</f>
        <v>0</v>
      </c>
      <c r="V3920" s="232" t="str">
        <f aca="false">+PROPER(F3920)</f>
        <v/>
      </c>
    </row>
    <row r="3921" customFormat="false" ht="14.25" hidden="false" customHeight="false" outlineLevel="0" collapsed="false">
      <c r="B3921" s="249"/>
      <c r="C3921" s="250"/>
      <c r="D3921" s="250"/>
      <c r="E3921" s="251"/>
      <c r="F3921" s="251"/>
      <c r="G3921" s="225" t="e">
        <f aca="false">VLOOKUP(B3921,'NIVEL ENERO'!A:F,4,0)</f>
        <v>#N/A</v>
      </c>
      <c r="H3921" s="252"/>
      <c r="I3921" s="252"/>
      <c r="J3921" s="251"/>
      <c r="K3921" s="251"/>
      <c r="L3921" s="253"/>
      <c r="M3921" s="253"/>
      <c r="N3921" s="251"/>
      <c r="O3921" s="251"/>
      <c r="P3921" s="254"/>
      <c r="Q3921" s="250"/>
      <c r="R3921" s="186" t="str">
        <f aca="false">+PROPER(C3921&amp;" "&amp;D3921)</f>
        <v> </v>
      </c>
      <c r="S3921" s="230" t="n">
        <f aca="false">+YEARFRAC(L3921,$S$1)</f>
        <v>126.366666666667</v>
      </c>
      <c r="T3921" s="230" t="n">
        <f aca="false">+YEARFRAC(M3921,$S$1)</f>
        <v>126.366666666667</v>
      </c>
      <c r="U3921" s="231" t="n">
        <f aca="false">+$I3921</f>
        <v>0</v>
      </c>
      <c r="V3921" s="232" t="str">
        <f aca="false">+PROPER(F3921)</f>
        <v/>
      </c>
    </row>
    <row r="3922" customFormat="false" ht="14.25" hidden="false" customHeight="false" outlineLevel="0" collapsed="false">
      <c r="B3922" s="249"/>
      <c r="C3922" s="250"/>
      <c r="D3922" s="250"/>
      <c r="E3922" s="251"/>
      <c r="F3922" s="251"/>
      <c r="G3922" s="225" t="e">
        <f aca="false">VLOOKUP(B3922,'NIVEL ENERO'!A:F,4,0)</f>
        <v>#N/A</v>
      </c>
      <c r="H3922" s="252"/>
      <c r="I3922" s="252"/>
      <c r="J3922" s="251"/>
      <c r="K3922" s="251"/>
      <c r="L3922" s="253"/>
      <c r="M3922" s="253"/>
      <c r="N3922" s="251"/>
      <c r="O3922" s="251"/>
      <c r="P3922" s="254"/>
      <c r="Q3922" s="250"/>
      <c r="R3922" s="186" t="str">
        <f aca="false">+PROPER(C3922&amp;" "&amp;D3922)</f>
        <v> </v>
      </c>
      <c r="S3922" s="230" t="n">
        <f aca="false">+YEARFRAC(L3922,$S$1)</f>
        <v>126.366666666667</v>
      </c>
      <c r="T3922" s="230" t="n">
        <f aca="false">+YEARFRAC(M3922,$S$1)</f>
        <v>126.366666666667</v>
      </c>
      <c r="U3922" s="231" t="n">
        <f aca="false">+$I3922</f>
        <v>0</v>
      </c>
      <c r="V3922" s="232" t="str">
        <f aca="false">+PROPER(F3922)</f>
        <v/>
      </c>
    </row>
    <row r="3923" customFormat="false" ht="14.25" hidden="false" customHeight="false" outlineLevel="0" collapsed="false">
      <c r="B3923" s="249"/>
      <c r="C3923" s="250"/>
      <c r="D3923" s="250"/>
      <c r="E3923" s="251"/>
      <c r="F3923" s="251"/>
      <c r="G3923" s="225" t="e">
        <f aca="false">VLOOKUP(B3923,'NIVEL ENERO'!A:F,4,0)</f>
        <v>#N/A</v>
      </c>
      <c r="H3923" s="252"/>
      <c r="I3923" s="252"/>
      <c r="J3923" s="251"/>
      <c r="K3923" s="251"/>
      <c r="L3923" s="253"/>
      <c r="M3923" s="253"/>
      <c r="N3923" s="251"/>
      <c r="O3923" s="251"/>
      <c r="P3923" s="254"/>
      <c r="Q3923" s="250"/>
      <c r="R3923" s="186" t="str">
        <f aca="false">+PROPER(C3923&amp;" "&amp;D3923)</f>
        <v> </v>
      </c>
      <c r="S3923" s="230" t="n">
        <f aca="false">+YEARFRAC(L3923,$S$1)</f>
        <v>126.366666666667</v>
      </c>
      <c r="T3923" s="230" t="n">
        <f aca="false">+YEARFRAC(M3923,$S$1)</f>
        <v>126.366666666667</v>
      </c>
      <c r="U3923" s="231" t="n">
        <f aca="false">+$I3923</f>
        <v>0</v>
      </c>
      <c r="V3923" s="232" t="str">
        <f aca="false">+PROPER(F3923)</f>
        <v/>
      </c>
    </row>
    <row r="3924" customFormat="false" ht="14.25" hidden="false" customHeight="false" outlineLevel="0" collapsed="false">
      <c r="B3924" s="249"/>
      <c r="C3924" s="250"/>
      <c r="D3924" s="250"/>
      <c r="E3924" s="251"/>
      <c r="F3924" s="251"/>
      <c r="G3924" s="225" t="e">
        <f aca="false">VLOOKUP(B3924,'NIVEL ENERO'!A:F,4,0)</f>
        <v>#N/A</v>
      </c>
      <c r="H3924" s="252"/>
      <c r="I3924" s="252"/>
      <c r="J3924" s="251"/>
      <c r="K3924" s="251"/>
      <c r="L3924" s="253"/>
      <c r="M3924" s="253"/>
      <c r="N3924" s="251"/>
      <c r="O3924" s="251"/>
      <c r="P3924" s="254"/>
      <c r="Q3924" s="250"/>
      <c r="R3924" s="186" t="str">
        <f aca="false">+PROPER(C3924&amp;" "&amp;D3924)</f>
        <v> </v>
      </c>
      <c r="S3924" s="230" t="n">
        <f aca="false">+YEARFRAC(L3924,$S$1)</f>
        <v>126.366666666667</v>
      </c>
      <c r="T3924" s="230" t="n">
        <f aca="false">+YEARFRAC(M3924,$S$1)</f>
        <v>126.366666666667</v>
      </c>
      <c r="U3924" s="231" t="n">
        <f aca="false">+$I3924</f>
        <v>0</v>
      </c>
      <c r="V3924" s="232" t="str">
        <f aca="false">+PROPER(F3924)</f>
        <v/>
      </c>
    </row>
    <row r="3925" customFormat="false" ht="14.25" hidden="false" customHeight="false" outlineLevel="0" collapsed="false">
      <c r="B3925" s="249"/>
      <c r="C3925" s="250"/>
      <c r="D3925" s="250"/>
      <c r="E3925" s="251"/>
      <c r="F3925" s="251"/>
      <c r="G3925" s="225" t="e">
        <f aca="false">VLOOKUP(B3925,'NIVEL ENERO'!A:F,4,0)</f>
        <v>#N/A</v>
      </c>
      <c r="H3925" s="252"/>
      <c r="I3925" s="252"/>
      <c r="J3925" s="251"/>
      <c r="K3925" s="251"/>
      <c r="L3925" s="253"/>
      <c r="M3925" s="253"/>
      <c r="N3925" s="251"/>
      <c r="O3925" s="251"/>
      <c r="P3925" s="254"/>
      <c r="Q3925" s="250"/>
      <c r="R3925" s="186" t="str">
        <f aca="false">+PROPER(C3925&amp;" "&amp;D3925)</f>
        <v> </v>
      </c>
      <c r="S3925" s="230" t="n">
        <f aca="false">+YEARFRAC(L3925,$S$1)</f>
        <v>126.366666666667</v>
      </c>
      <c r="T3925" s="230" t="n">
        <f aca="false">+YEARFRAC(M3925,$S$1)</f>
        <v>126.366666666667</v>
      </c>
      <c r="U3925" s="231" t="n">
        <f aca="false">+$I3925</f>
        <v>0</v>
      </c>
      <c r="V3925" s="232" t="str">
        <f aca="false">+PROPER(F3925)</f>
        <v/>
      </c>
    </row>
    <row r="3926" customFormat="false" ht="14.25" hidden="false" customHeight="false" outlineLevel="0" collapsed="false">
      <c r="B3926" s="249"/>
      <c r="C3926" s="250"/>
      <c r="D3926" s="250"/>
      <c r="E3926" s="251"/>
      <c r="F3926" s="251"/>
      <c r="G3926" s="225" t="e">
        <f aca="false">VLOOKUP(B3926,'NIVEL ENERO'!A:F,4,0)</f>
        <v>#N/A</v>
      </c>
      <c r="H3926" s="252"/>
      <c r="I3926" s="252"/>
      <c r="J3926" s="251"/>
      <c r="K3926" s="251"/>
      <c r="L3926" s="253"/>
      <c r="M3926" s="253"/>
      <c r="N3926" s="251"/>
      <c r="O3926" s="251"/>
      <c r="P3926" s="254"/>
      <c r="Q3926" s="250"/>
      <c r="R3926" s="186" t="str">
        <f aca="false">+PROPER(C3926&amp;" "&amp;D3926)</f>
        <v> </v>
      </c>
      <c r="S3926" s="230" t="n">
        <f aca="false">+YEARFRAC(L3926,$S$1)</f>
        <v>126.366666666667</v>
      </c>
      <c r="T3926" s="230" t="n">
        <f aca="false">+YEARFRAC(M3926,$S$1)</f>
        <v>126.366666666667</v>
      </c>
      <c r="U3926" s="231" t="n">
        <f aca="false">+$I3926</f>
        <v>0</v>
      </c>
      <c r="V3926" s="232" t="str">
        <f aca="false">+PROPER(F3926)</f>
        <v/>
      </c>
    </row>
    <row r="3927" customFormat="false" ht="14.25" hidden="false" customHeight="false" outlineLevel="0" collapsed="false">
      <c r="B3927" s="249"/>
      <c r="C3927" s="250"/>
      <c r="D3927" s="250"/>
      <c r="E3927" s="251"/>
      <c r="F3927" s="251"/>
      <c r="G3927" s="225" t="e">
        <f aca="false">VLOOKUP(B3927,'NIVEL ENERO'!A:F,4,0)</f>
        <v>#N/A</v>
      </c>
      <c r="H3927" s="252"/>
      <c r="I3927" s="252"/>
      <c r="J3927" s="251"/>
      <c r="K3927" s="251"/>
      <c r="L3927" s="253"/>
      <c r="M3927" s="253"/>
      <c r="N3927" s="251"/>
      <c r="O3927" s="251"/>
      <c r="P3927" s="254"/>
      <c r="Q3927" s="250"/>
      <c r="R3927" s="186" t="str">
        <f aca="false">+PROPER(C3927&amp;" "&amp;D3927)</f>
        <v> </v>
      </c>
      <c r="S3927" s="230" t="n">
        <f aca="false">+YEARFRAC(L3927,$S$1)</f>
        <v>126.366666666667</v>
      </c>
      <c r="T3927" s="230" t="n">
        <f aca="false">+YEARFRAC(M3927,$S$1)</f>
        <v>126.366666666667</v>
      </c>
      <c r="U3927" s="231" t="n">
        <f aca="false">+$I3927</f>
        <v>0</v>
      </c>
      <c r="V3927" s="232" t="str">
        <f aca="false">+PROPER(F3927)</f>
        <v/>
      </c>
    </row>
    <row r="3928" customFormat="false" ht="14.25" hidden="false" customHeight="false" outlineLevel="0" collapsed="false">
      <c r="B3928" s="249"/>
      <c r="C3928" s="250"/>
      <c r="D3928" s="250"/>
      <c r="E3928" s="251"/>
      <c r="F3928" s="251"/>
      <c r="G3928" s="225" t="e">
        <f aca="false">VLOOKUP(B3928,'NIVEL ENERO'!A:F,4,0)</f>
        <v>#N/A</v>
      </c>
      <c r="H3928" s="252"/>
      <c r="I3928" s="252"/>
      <c r="J3928" s="251"/>
      <c r="K3928" s="251"/>
      <c r="L3928" s="253"/>
      <c r="M3928" s="253"/>
      <c r="N3928" s="251"/>
      <c r="O3928" s="251"/>
      <c r="P3928" s="254"/>
      <c r="Q3928" s="250"/>
      <c r="R3928" s="186" t="str">
        <f aca="false">+PROPER(C3928&amp;" "&amp;D3928)</f>
        <v> </v>
      </c>
      <c r="S3928" s="230" t="n">
        <f aca="false">+YEARFRAC(L3928,$S$1)</f>
        <v>126.366666666667</v>
      </c>
      <c r="T3928" s="230" t="n">
        <f aca="false">+YEARFRAC(M3928,$S$1)</f>
        <v>126.366666666667</v>
      </c>
      <c r="U3928" s="231" t="n">
        <f aca="false">+$I3928</f>
        <v>0</v>
      </c>
      <c r="V3928" s="232" t="str">
        <f aca="false">+PROPER(F3928)</f>
        <v/>
      </c>
    </row>
    <row r="3929" customFormat="false" ht="14.25" hidden="false" customHeight="false" outlineLevel="0" collapsed="false">
      <c r="B3929" s="249"/>
      <c r="C3929" s="250"/>
      <c r="D3929" s="250"/>
      <c r="E3929" s="251"/>
      <c r="F3929" s="251"/>
      <c r="G3929" s="225" t="e">
        <f aca="false">VLOOKUP(B3929,'NIVEL ENERO'!A:F,4,0)</f>
        <v>#N/A</v>
      </c>
      <c r="H3929" s="252"/>
      <c r="I3929" s="252"/>
      <c r="J3929" s="251"/>
      <c r="K3929" s="251"/>
      <c r="L3929" s="253"/>
      <c r="M3929" s="253"/>
      <c r="N3929" s="251"/>
      <c r="O3929" s="251"/>
      <c r="P3929" s="254"/>
      <c r="Q3929" s="250"/>
      <c r="R3929" s="186" t="str">
        <f aca="false">+PROPER(C3929&amp;" "&amp;D3929)</f>
        <v> </v>
      </c>
      <c r="S3929" s="230" t="n">
        <f aca="false">+YEARFRAC(L3929,$S$1)</f>
        <v>126.366666666667</v>
      </c>
      <c r="T3929" s="230" t="n">
        <f aca="false">+YEARFRAC(M3929,$S$1)</f>
        <v>126.366666666667</v>
      </c>
      <c r="U3929" s="231" t="n">
        <f aca="false">+$I3929</f>
        <v>0</v>
      </c>
      <c r="V3929" s="232" t="str">
        <f aca="false">+PROPER(F3929)</f>
        <v/>
      </c>
    </row>
    <row r="3930" customFormat="false" ht="14.25" hidden="false" customHeight="false" outlineLevel="0" collapsed="false">
      <c r="B3930" s="249"/>
      <c r="C3930" s="250"/>
      <c r="D3930" s="250"/>
      <c r="E3930" s="251"/>
      <c r="F3930" s="251"/>
      <c r="G3930" s="225" t="e">
        <f aca="false">VLOOKUP(B3930,'NIVEL ENERO'!A:F,4,0)</f>
        <v>#N/A</v>
      </c>
      <c r="H3930" s="252"/>
      <c r="I3930" s="252"/>
      <c r="J3930" s="251"/>
      <c r="K3930" s="251"/>
      <c r="L3930" s="253"/>
      <c r="M3930" s="253"/>
      <c r="N3930" s="251"/>
      <c r="O3930" s="251"/>
      <c r="P3930" s="254"/>
      <c r="Q3930" s="250"/>
      <c r="R3930" s="186" t="str">
        <f aca="false">+PROPER(C3930&amp;" "&amp;D3930)</f>
        <v> </v>
      </c>
      <c r="S3930" s="230" t="n">
        <f aca="false">+YEARFRAC(L3930,$S$1)</f>
        <v>126.366666666667</v>
      </c>
      <c r="T3930" s="230" t="n">
        <f aca="false">+YEARFRAC(M3930,$S$1)</f>
        <v>126.366666666667</v>
      </c>
      <c r="U3930" s="231" t="n">
        <f aca="false">+$I3930</f>
        <v>0</v>
      </c>
      <c r="V3930" s="232" t="str">
        <f aca="false">+PROPER(F3930)</f>
        <v/>
      </c>
    </row>
    <row r="3931" customFormat="false" ht="14.25" hidden="false" customHeight="false" outlineLevel="0" collapsed="false">
      <c r="B3931" s="249"/>
      <c r="C3931" s="250"/>
      <c r="D3931" s="250"/>
      <c r="E3931" s="251"/>
      <c r="F3931" s="251"/>
      <c r="G3931" s="225" t="e">
        <f aca="false">VLOOKUP(B3931,'NIVEL ENERO'!A:F,4,0)</f>
        <v>#N/A</v>
      </c>
      <c r="H3931" s="252"/>
      <c r="I3931" s="252"/>
      <c r="J3931" s="251"/>
      <c r="K3931" s="251"/>
      <c r="L3931" s="253"/>
      <c r="M3931" s="253"/>
      <c r="N3931" s="251"/>
      <c r="O3931" s="251"/>
      <c r="P3931" s="254"/>
      <c r="Q3931" s="250"/>
      <c r="R3931" s="186" t="str">
        <f aca="false">+PROPER(C3931&amp;" "&amp;D3931)</f>
        <v> </v>
      </c>
      <c r="S3931" s="230" t="n">
        <f aca="false">+YEARFRAC(L3931,$S$1)</f>
        <v>126.366666666667</v>
      </c>
      <c r="T3931" s="230" t="n">
        <f aca="false">+YEARFRAC(M3931,$S$1)</f>
        <v>126.366666666667</v>
      </c>
      <c r="U3931" s="231" t="n">
        <f aca="false">+$I3931</f>
        <v>0</v>
      </c>
      <c r="V3931" s="232" t="str">
        <f aca="false">+PROPER(F3931)</f>
        <v/>
      </c>
    </row>
    <row r="3932" customFormat="false" ht="14.25" hidden="false" customHeight="false" outlineLevel="0" collapsed="false">
      <c r="B3932" s="249"/>
      <c r="C3932" s="250"/>
      <c r="D3932" s="250"/>
      <c r="E3932" s="251"/>
      <c r="F3932" s="251"/>
      <c r="G3932" s="225" t="e">
        <f aca="false">VLOOKUP(B3932,'NIVEL ENERO'!A:F,4,0)</f>
        <v>#N/A</v>
      </c>
      <c r="H3932" s="252"/>
      <c r="I3932" s="252"/>
      <c r="J3932" s="251"/>
      <c r="K3932" s="251"/>
      <c r="L3932" s="253"/>
      <c r="M3932" s="253"/>
      <c r="N3932" s="251"/>
      <c r="O3932" s="251"/>
      <c r="P3932" s="254"/>
      <c r="Q3932" s="250"/>
      <c r="R3932" s="186" t="str">
        <f aca="false">+PROPER(C3932&amp;" "&amp;D3932)</f>
        <v> </v>
      </c>
      <c r="S3932" s="230" t="n">
        <f aca="false">+YEARFRAC(L3932,$S$1)</f>
        <v>126.366666666667</v>
      </c>
      <c r="T3932" s="230" t="n">
        <f aca="false">+YEARFRAC(M3932,$S$1)</f>
        <v>126.366666666667</v>
      </c>
      <c r="U3932" s="231" t="n">
        <f aca="false">+$I3932</f>
        <v>0</v>
      </c>
      <c r="V3932" s="232" t="str">
        <f aca="false">+PROPER(F3932)</f>
        <v/>
      </c>
    </row>
    <row r="3933" customFormat="false" ht="14.25" hidden="false" customHeight="false" outlineLevel="0" collapsed="false">
      <c r="B3933" s="249"/>
      <c r="C3933" s="250"/>
      <c r="D3933" s="250"/>
      <c r="E3933" s="251"/>
      <c r="F3933" s="251"/>
      <c r="G3933" s="225" t="e">
        <f aca="false">VLOOKUP(B3933,'NIVEL ENERO'!A:F,4,0)</f>
        <v>#N/A</v>
      </c>
      <c r="H3933" s="252"/>
      <c r="I3933" s="252"/>
      <c r="J3933" s="251"/>
      <c r="K3933" s="251"/>
      <c r="L3933" s="253"/>
      <c r="M3933" s="253"/>
      <c r="N3933" s="251"/>
      <c r="O3933" s="251"/>
      <c r="P3933" s="254"/>
      <c r="Q3933" s="250"/>
      <c r="R3933" s="186" t="str">
        <f aca="false">+PROPER(C3933&amp;" "&amp;D3933)</f>
        <v> </v>
      </c>
      <c r="S3933" s="230" t="n">
        <f aca="false">+YEARFRAC(L3933,$S$1)</f>
        <v>126.366666666667</v>
      </c>
      <c r="T3933" s="230" t="n">
        <f aca="false">+YEARFRAC(M3933,$S$1)</f>
        <v>126.366666666667</v>
      </c>
      <c r="U3933" s="231" t="n">
        <f aca="false">+$I3933</f>
        <v>0</v>
      </c>
      <c r="V3933" s="232" t="str">
        <f aca="false">+PROPER(F3933)</f>
        <v/>
      </c>
    </row>
    <row r="3934" customFormat="false" ht="14.25" hidden="false" customHeight="false" outlineLevel="0" collapsed="false">
      <c r="B3934" s="249"/>
      <c r="C3934" s="250"/>
      <c r="D3934" s="250"/>
      <c r="E3934" s="251"/>
      <c r="F3934" s="251"/>
      <c r="G3934" s="225" t="e">
        <f aca="false">VLOOKUP(B3934,'NIVEL ENERO'!A:F,4,0)</f>
        <v>#N/A</v>
      </c>
      <c r="H3934" s="252"/>
      <c r="I3934" s="252"/>
      <c r="J3934" s="251"/>
      <c r="K3934" s="251"/>
      <c r="L3934" s="253"/>
      <c r="M3934" s="253"/>
      <c r="N3934" s="251"/>
      <c r="O3934" s="251"/>
      <c r="P3934" s="254"/>
      <c r="Q3934" s="250"/>
      <c r="R3934" s="186" t="str">
        <f aca="false">+PROPER(C3934&amp;" "&amp;D3934)</f>
        <v> </v>
      </c>
      <c r="S3934" s="230" t="n">
        <f aca="false">+YEARFRAC(L3934,$S$1)</f>
        <v>126.366666666667</v>
      </c>
      <c r="T3934" s="230" t="n">
        <f aca="false">+YEARFRAC(M3934,$S$1)</f>
        <v>126.366666666667</v>
      </c>
      <c r="U3934" s="231" t="n">
        <f aca="false">+$I3934</f>
        <v>0</v>
      </c>
      <c r="V3934" s="232" t="str">
        <f aca="false">+PROPER(F3934)</f>
        <v/>
      </c>
    </row>
    <row r="3935" customFormat="false" ht="14.25" hidden="false" customHeight="false" outlineLevel="0" collapsed="false">
      <c r="B3935" s="249"/>
      <c r="C3935" s="250"/>
      <c r="D3935" s="250"/>
      <c r="E3935" s="251"/>
      <c r="F3935" s="251"/>
      <c r="G3935" s="225" t="e">
        <f aca="false">VLOOKUP(B3935,'NIVEL ENERO'!A:F,4,0)</f>
        <v>#N/A</v>
      </c>
      <c r="H3935" s="252"/>
      <c r="I3935" s="252"/>
      <c r="J3935" s="251"/>
      <c r="K3935" s="251"/>
      <c r="L3935" s="253"/>
      <c r="M3935" s="253"/>
      <c r="N3935" s="251"/>
      <c r="O3935" s="251"/>
      <c r="P3935" s="254"/>
      <c r="Q3935" s="250"/>
      <c r="R3935" s="186" t="str">
        <f aca="false">+PROPER(C3935&amp;" "&amp;D3935)</f>
        <v> </v>
      </c>
      <c r="S3935" s="230" t="n">
        <f aca="false">+YEARFRAC(L3935,$S$1)</f>
        <v>126.366666666667</v>
      </c>
      <c r="T3935" s="230" t="n">
        <f aca="false">+YEARFRAC(M3935,$S$1)</f>
        <v>126.366666666667</v>
      </c>
      <c r="U3935" s="231" t="n">
        <f aca="false">+$I3935</f>
        <v>0</v>
      </c>
      <c r="V3935" s="232" t="str">
        <f aca="false">+PROPER(F3935)</f>
        <v/>
      </c>
    </row>
    <row r="3936" customFormat="false" ht="14.25" hidden="false" customHeight="false" outlineLevel="0" collapsed="false">
      <c r="B3936" s="249"/>
      <c r="C3936" s="250"/>
      <c r="D3936" s="250"/>
      <c r="E3936" s="251"/>
      <c r="F3936" s="251"/>
      <c r="G3936" s="225" t="e">
        <f aca="false">VLOOKUP(B3936,'NIVEL ENERO'!A:F,4,0)</f>
        <v>#N/A</v>
      </c>
      <c r="H3936" s="252"/>
      <c r="I3936" s="252"/>
      <c r="J3936" s="251"/>
      <c r="K3936" s="251"/>
      <c r="L3936" s="253"/>
      <c r="M3936" s="253"/>
      <c r="N3936" s="251"/>
      <c r="O3936" s="251"/>
      <c r="P3936" s="254"/>
      <c r="Q3936" s="250"/>
      <c r="R3936" s="186" t="str">
        <f aca="false">+PROPER(C3936&amp;" "&amp;D3936)</f>
        <v> </v>
      </c>
      <c r="S3936" s="230" t="n">
        <f aca="false">+YEARFRAC(L3936,$S$1)</f>
        <v>126.366666666667</v>
      </c>
      <c r="T3936" s="230" t="n">
        <f aca="false">+YEARFRAC(M3936,$S$1)</f>
        <v>126.366666666667</v>
      </c>
      <c r="U3936" s="231" t="n">
        <f aca="false">+$I3936</f>
        <v>0</v>
      </c>
      <c r="V3936" s="232" t="str">
        <f aca="false">+PROPER(F3936)</f>
        <v/>
      </c>
    </row>
    <row r="3937" customFormat="false" ht="14.25" hidden="false" customHeight="false" outlineLevel="0" collapsed="false">
      <c r="B3937" s="249"/>
      <c r="C3937" s="250"/>
      <c r="D3937" s="250"/>
      <c r="E3937" s="251"/>
      <c r="F3937" s="251"/>
      <c r="G3937" s="225" t="e">
        <f aca="false">VLOOKUP(B3937,'NIVEL ENERO'!A:F,4,0)</f>
        <v>#N/A</v>
      </c>
      <c r="H3937" s="252"/>
      <c r="I3937" s="252"/>
      <c r="J3937" s="251"/>
      <c r="K3937" s="251"/>
      <c r="L3937" s="253"/>
      <c r="M3937" s="253"/>
      <c r="N3937" s="251"/>
      <c r="O3937" s="251"/>
      <c r="P3937" s="254"/>
      <c r="Q3937" s="250"/>
      <c r="R3937" s="186" t="str">
        <f aca="false">+PROPER(C3937&amp;" "&amp;D3937)</f>
        <v> </v>
      </c>
      <c r="S3937" s="230" t="n">
        <f aca="false">+YEARFRAC(L3937,$S$1)</f>
        <v>126.366666666667</v>
      </c>
      <c r="T3937" s="230" t="n">
        <f aca="false">+YEARFRAC(M3937,$S$1)</f>
        <v>126.366666666667</v>
      </c>
      <c r="U3937" s="231" t="n">
        <f aca="false">+$I3937</f>
        <v>0</v>
      </c>
      <c r="V3937" s="232" t="str">
        <f aca="false">+PROPER(F3937)</f>
        <v/>
      </c>
    </row>
    <row r="3938" customFormat="false" ht="14.25" hidden="false" customHeight="false" outlineLevel="0" collapsed="false">
      <c r="B3938" s="249"/>
      <c r="C3938" s="250"/>
      <c r="D3938" s="250"/>
      <c r="E3938" s="251"/>
      <c r="F3938" s="251"/>
      <c r="G3938" s="225" t="e">
        <f aca="false">VLOOKUP(B3938,'NIVEL ENERO'!A:F,4,0)</f>
        <v>#N/A</v>
      </c>
      <c r="H3938" s="252"/>
      <c r="I3938" s="252"/>
      <c r="J3938" s="251"/>
      <c r="K3938" s="251"/>
      <c r="L3938" s="253"/>
      <c r="M3938" s="253"/>
      <c r="N3938" s="251"/>
      <c r="O3938" s="251"/>
      <c r="P3938" s="254"/>
      <c r="Q3938" s="250"/>
      <c r="R3938" s="186" t="str">
        <f aca="false">+PROPER(C3938&amp;" "&amp;D3938)</f>
        <v> </v>
      </c>
      <c r="S3938" s="230" t="n">
        <f aca="false">+YEARFRAC(L3938,$S$1)</f>
        <v>126.366666666667</v>
      </c>
      <c r="T3938" s="230" t="n">
        <f aca="false">+YEARFRAC(M3938,$S$1)</f>
        <v>126.366666666667</v>
      </c>
      <c r="U3938" s="231" t="n">
        <f aca="false">+$I3938</f>
        <v>0</v>
      </c>
      <c r="V3938" s="232" t="str">
        <f aca="false">+PROPER(F3938)</f>
        <v/>
      </c>
    </row>
    <row r="3939" customFormat="false" ht="14.25" hidden="false" customHeight="false" outlineLevel="0" collapsed="false">
      <c r="B3939" s="249"/>
      <c r="C3939" s="250"/>
      <c r="D3939" s="250"/>
      <c r="E3939" s="251"/>
      <c r="F3939" s="251"/>
      <c r="G3939" s="225" t="e">
        <f aca="false">VLOOKUP(B3939,'NIVEL ENERO'!A:F,4,0)</f>
        <v>#N/A</v>
      </c>
      <c r="H3939" s="252"/>
      <c r="I3939" s="252"/>
      <c r="J3939" s="251"/>
      <c r="K3939" s="251"/>
      <c r="L3939" s="253"/>
      <c r="M3939" s="253"/>
      <c r="N3939" s="251"/>
      <c r="O3939" s="251"/>
      <c r="P3939" s="254"/>
      <c r="Q3939" s="250"/>
      <c r="R3939" s="186" t="str">
        <f aca="false">+PROPER(C3939&amp;" "&amp;D3939)</f>
        <v> </v>
      </c>
      <c r="S3939" s="230" t="n">
        <f aca="false">+YEARFRAC(L3939,$S$1)</f>
        <v>126.366666666667</v>
      </c>
      <c r="T3939" s="230" t="n">
        <f aca="false">+YEARFRAC(M3939,$S$1)</f>
        <v>126.366666666667</v>
      </c>
      <c r="U3939" s="231" t="n">
        <f aca="false">+$I3939</f>
        <v>0</v>
      </c>
      <c r="V3939" s="232" t="str">
        <f aca="false">+PROPER(F3939)</f>
        <v/>
      </c>
    </row>
    <row r="3940" customFormat="false" ht="14.25" hidden="false" customHeight="false" outlineLevel="0" collapsed="false">
      <c r="B3940" s="249"/>
      <c r="C3940" s="250"/>
      <c r="D3940" s="250"/>
      <c r="E3940" s="251"/>
      <c r="F3940" s="251"/>
      <c r="G3940" s="225" t="e">
        <f aca="false">VLOOKUP(B3940,'NIVEL ENERO'!A:F,4,0)</f>
        <v>#N/A</v>
      </c>
      <c r="H3940" s="252"/>
      <c r="I3940" s="252"/>
      <c r="J3940" s="251"/>
      <c r="K3940" s="251"/>
      <c r="L3940" s="253"/>
      <c r="M3940" s="253"/>
      <c r="N3940" s="251"/>
      <c r="O3940" s="251"/>
      <c r="P3940" s="254"/>
      <c r="Q3940" s="250"/>
      <c r="R3940" s="186" t="str">
        <f aca="false">+PROPER(C3940&amp;" "&amp;D3940)</f>
        <v> </v>
      </c>
      <c r="S3940" s="230" t="n">
        <f aca="false">+YEARFRAC(L3940,$S$1)</f>
        <v>126.366666666667</v>
      </c>
      <c r="T3940" s="230" t="n">
        <f aca="false">+YEARFRAC(M3940,$S$1)</f>
        <v>126.366666666667</v>
      </c>
      <c r="U3940" s="231" t="n">
        <f aca="false">+$I3940</f>
        <v>0</v>
      </c>
      <c r="V3940" s="232" t="str">
        <f aca="false">+PROPER(F3940)</f>
        <v/>
      </c>
    </row>
    <row r="3941" customFormat="false" ht="14.25" hidden="false" customHeight="false" outlineLevel="0" collapsed="false">
      <c r="B3941" s="249"/>
      <c r="C3941" s="250"/>
      <c r="D3941" s="250"/>
      <c r="E3941" s="251"/>
      <c r="F3941" s="251"/>
      <c r="G3941" s="225" t="e">
        <f aca="false">VLOOKUP(B3941,'NIVEL ENERO'!A:F,4,0)</f>
        <v>#N/A</v>
      </c>
      <c r="H3941" s="252"/>
      <c r="I3941" s="252"/>
      <c r="J3941" s="251"/>
      <c r="K3941" s="251"/>
      <c r="L3941" s="253"/>
      <c r="M3941" s="253"/>
      <c r="N3941" s="251"/>
      <c r="O3941" s="251"/>
      <c r="P3941" s="254"/>
      <c r="Q3941" s="250"/>
      <c r="R3941" s="186" t="str">
        <f aca="false">+PROPER(C3941&amp;" "&amp;D3941)</f>
        <v> </v>
      </c>
      <c r="S3941" s="230" t="n">
        <f aca="false">+YEARFRAC(L3941,$S$1)</f>
        <v>126.366666666667</v>
      </c>
      <c r="T3941" s="230" t="n">
        <f aca="false">+YEARFRAC(M3941,$S$1)</f>
        <v>126.366666666667</v>
      </c>
      <c r="U3941" s="231" t="n">
        <f aca="false">+$I3941</f>
        <v>0</v>
      </c>
      <c r="V3941" s="232" t="str">
        <f aca="false">+PROPER(F3941)</f>
        <v/>
      </c>
    </row>
    <row r="3942" customFormat="false" ht="14.25" hidden="false" customHeight="false" outlineLevel="0" collapsed="false">
      <c r="B3942" s="249"/>
      <c r="C3942" s="250"/>
      <c r="D3942" s="250"/>
      <c r="E3942" s="251"/>
      <c r="F3942" s="251"/>
      <c r="G3942" s="225" t="e">
        <f aca="false">VLOOKUP(B3942,'NIVEL ENERO'!A:F,4,0)</f>
        <v>#N/A</v>
      </c>
      <c r="H3942" s="252"/>
      <c r="I3942" s="252"/>
      <c r="J3942" s="251"/>
      <c r="K3942" s="251"/>
      <c r="L3942" s="253"/>
      <c r="M3942" s="253"/>
      <c r="N3942" s="251"/>
      <c r="O3942" s="251"/>
      <c r="P3942" s="254"/>
      <c r="Q3942" s="250"/>
      <c r="R3942" s="186" t="str">
        <f aca="false">+PROPER(C3942&amp;" "&amp;D3942)</f>
        <v> </v>
      </c>
      <c r="S3942" s="230" t="n">
        <f aca="false">+YEARFRAC(L3942,$S$1)</f>
        <v>126.366666666667</v>
      </c>
      <c r="T3942" s="230" t="n">
        <f aca="false">+YEARFRAC(M3942,$S$1)</f>
        <v>126.366666666667</v>
      </c>
      <c r="U3942" s="231" t="n">
        <f aca="false">+$I3942</f>
        <v>0</v>
      </c>
      <c r="V3942" s="232" t="str">
        <f aca="false">+PROPER(F3942)</f>
        <v/>
      </c>
    </row>
    <row r="3943" customFormat="false" ht="14.25" hidden="false" customHeight="false" outlineLevel="0" collapsed="false">
      <c r="B3943" s="249"/>
      <c r="C3943" s="250"/>
      <c r="D3943" s="250"/>
      <c r="E3943" s="251"/>
      <c r="F3943" s="251"/>
      <c r="G3943" s="225" t="e">
        <f aca="false">VLOOKUP(B3943,'NIVEL ENERO'!A:F,4,0)</f>
        <v>#N/A</v>
      </c>
      <c r="H3943" s="252"/>
      <c r="I3943" s="252"/>
      <c r="J3943" s="251"/>
      <c r="K3943" s="251"/>
      <c r="L3943" s="253"/>
      <c r="M3943" s="253"/>
      <c r="N3943" s="251"/>
      <c r="O3943" s="251"/>
      <c r="P3943" s="254"/>
      <c r="Q3943" s="250"/>
      <c r="R3943" s="186" t="str">
        <f aca="false">+PROPER(C3943&amp;" "&amp;D3943)</f>
        <v> </v>
      </c>
      <c r="S3943" s="230" t="n">
        <f aca="false">+YEARFRAC(L3943,$S$1)</f>
        <v>126.366666666667</v>
      </c>
      <c r="T3943" s="230" t="n">
        <f aca="false">+YEARFRAC(M3943,$S$1)</f>
        <v>126.366666666667</v>
      </c>
      <c r="U3943" s="231" t="n">
        <f aca="false">+$I3943</f>
        <v>0</v>
      </c>
      <c r="V3943" s="232" t="str">
        <f aca="false">+PROPER(F3943)</f>
        <v/>
      </c>
    </row>
    <row r="3944" customFormat="false" ht="14.25" hidden="false" customHeight="false" outlineLevel="0" collapsed="false">
      <c r="B3944" s="249"/>
      <c r="C3944" s="250"/>
      <c r="D3944" s="250"/>
      <c r="E3944" s="251"/>
      <c r="F3944" s="251"/>
      <c r="G3944" s="225" t="e">
        <f aca="false">VLOOKUP(B3944,'NIVEL ENERO'!A:F,4,0)</f>
        <v>#N/A</v>
      </c>
      <c r="H3944" s="252"/>
      <c r="I3944" s="252"/>
      <c r="J3944" s="251"/>
      <c r="K3944" s="251"/>
      <c r="L3944" s="253"/>
      <c r="M3944" s="253"/>
      <c r="N3944" s="251"/>
      <c r="O3944" s="251"/>
      <c r="P3944" s="254"/>
      <c r="Q3944" s="250"/>
      <c r="R3944" s="186" t="str">
        <f aca="false">+PROPER(C3944&amp;" "&amp;D3944)</f>
        <v> </v>
      </c>
      <c r="S3944" s="230" t="n">
        <f aca="false">+YEARFRAC(L3944,$S$1)</f>
        <v>126.366666666667</v>
      </c>
      <c r="T3944" s="230" t="n">
        <f aca="false">+YEARFRAC(M3944,$S$1)</f>
        <v>126.366666666667</v>
      </c>
      <c r="U3944" s="231" t="n">
        <f aca="false">+$I3944</f>
        <v>0</v>
      </c>
      <c r="V3944" s="232" t="str">
        <f aca="false">+PROPER(F3944)</f>
        <v/>
      </c>
    </row>
    <row r="3945" customFormat="false" ht="14.25" hidden="false" customHeight="false" outlineLevel="0" collapsed="false">
      <c r="B3945" s="249"/>
      <c r="C3945" s="250"/>
      <c r="D3945" s="250"/>
      <c r="E3945" s="251"/>
      <c r="F3945" s="251"/>
      <c r="G3945" s="225" t="e">
        <f aca="false">VLOOKUP(B3945,'NIVEL ENERO'!A:F,4,0)</f>
        <v>#N/A</v>
      </c>
      <c r="H3945" s="252"/>
      <c r="I3945" s="252"/>
      <c r="J3945" s="251"/>
      <c r="K3945" s="251"/>
      <c r="L3945" s="253"/>
      <c r="M3945" s="253"/>
      <c r="N3945" s="251"/>
      <c r="O3945" s="251"/>
      <c r="P3945" s="254"/>
      <c r="Q3945" s="250"/>
      <c r="R3945" s="186" t="str">
        <f aca="false">+PROPER(C3945&amp;" "&amp;D3945)</f>
        <v> </v>
      </c>
      <c r="S3945" s="230" t="n">
        <f aca="false">+YEARFRAC(L3945,$S$1)</f>
        <v>126.366666666667</v>
      </c>
      <c r="T3945" s="230" t="n">
        <f aca="false">+YEARFRAC(M3945,$S$1)</f>
        <v>126.366666666667</v>
      </c>
      <c r="U3945" s="231" t="n">
        <f aca="false">+$I3945</f>
        <v>0</v>
      </c>
      <c r="V3945" s="232" t="str">
        <f aca="false">+PROPER(F3945)</f>
        <v/>
      </c>
    </row>
    <row r="3946" customFormat="false" ht="14.25" hidden="false" customHeight="false" outlineLevel="0" collapsed="false">
      <c r="B3946" s="249"/>
      <c r="C3946" s="250"/>
      <c r="D3946" s="250"/>
      <c r="E3946" s="251"/>
      <c r="F3946" s="251"/>
      <c r="G3946" s="225" t="e">
        <f aca="false">VLOOKUP(B3946,'NIVEL ENERO'!A:F,4,0)</f>
        <v>#N/A</v>
      </c>
      <c r="H3946" s="252"/>
      <c r="I3946" s="252"/>
      <c r="J3946" s="251"/>
      <c r="K3946" s="251"/>
      <c r="L3946" s="253"/>
      <c r="M3946" s="253"/>
      <c r="N3946" s="251"/>
      <c r="O3946" s="251"/>
      <c r="P3946" s="254"/>
      <c r="Q3946" s="250"/>
      <c r="R3946" s="186" t="str">
        <f aca="false">+PROPER(C3946&amp;" "&amp;D3946)</f>
        <v> </v>
      </c>
      <c r="S3946" s="230" t="n">
        <f aca="false">+YEARFRAC(L3946,$S$1)</f>
        <v>126.366666666667</v>
      </c>
      <c r="T3946" s="230" t="n">
        <f aca="false">+YEARFRAC(M3946,$S$1)</f>
        <v>126.366666666667</v>
      </c>
      <c r="U3946" s="231" t="n">
        <f aca="false">+$I3946</f>
        <v>0</v>
      </c>
      <c r="V3946" s="232" t="str">
        <f aca="false">+PROPER(F3946)</f>
        <v/>
      </c>
    </row>
    <row r="3947" customFormat="false" ht="14.25" hidden="false" customHeight="false" outlineLevel="0" collapsed="false">
      <c r="B3947" s="249"/>
      <c r="C3947" s="250"/>
      <c r="D3947" s="250"/>
      <c r="E3947" s="251"/>
      <c r="F3947" s="251"/>
      <c r="G3947" s="225" t="e">
        <f aca="false">VLOOKUP(B3947,'NIVEL ENERO'!A:F,4,0)</f>
        <v>#N/A</v>
      </c>
      <c r="H3947" s="252"/>
      <c r="I3947" s="252"/>
      <c r="J3947" s="251"/>
      <c r="K3947" s="251"/>
      <c r="L3947" s="253"/>
      <c r="M3947" s="253"/>
      <c r="N3947" s="251"/>
      <c r="O3947" s="251"/>
      <c r="P3947" s="254"/>
      <c r="Q3947" s="250"/>
      <c r="R3947" s="186" t="str">
        <f aca="false">+PROPER(C3947&amp;" "&amp;D3947)</f>
        <v> </v>
      </c>
      <c r="S3947" s="230" t="n">
        <f aca="false">+YEARFRAC(L3947,$S$1)</f>
        <v>126.366666666667</v>
      </c>
      <c r="T3947" s="230" t="n">
        <f aca="false">+YEARFRAC(M3947,$S$1)</f>
        <v>126.366666666667</v>
      </c>
      <c r="U3947" s="231" t="n">
        <f aca="false">+$I3947</f>
        <v>0</v>
      </c>
      <c r="V3947" s="232" t="str">
        <f aca="false">+PROPER(F3947)</f>
        <v/>
      </c>
    </row>
    <row r="3948" customFormat="false" ht="14.25" hidden="false" customHeight="false" outlineLevel="0" collapsed="false">
      <c r="B3948" s="249"/>
      <c r="C3948" s="250"/>
      <c r="D3948" s="250"/>
      <c r="E3948" s="251"/>
      <c r="F3948" s="251"/>
      <c r="G3948" s="225" t="e">
        <f aca="false">VLOOKUP(B3948,'NIVEL ENERO'!A:F,4,0)</f>
        <v>#N/A</v>
      </c>
      <c r="H3948" s="252"/>
      <c r="I3948" s="252"/>
      <c r="J3948" s="251"/>
      <c r="K3948" s="251"/>
      <c r="L3948" s="253"/>
      <c r="M3948" s="253"/>
      <c r="N3948" s="251"/>
      <c r="O3948" s="251"/>
      <c r="P3948" s="254"/>
      <c r="Q3948" s="250"/>
      <c r="R3948" s="186" t="str">
        <f aca="false">+PROPER(C3948&amp;" "&amp;D3948)</f>
        <v> </v>
      </c>
      <c r="S3948" s="230" t="n">
        <f aca="false">+YEARFRAC(L3948,$S$1)</f>
        <v>126.366666666667</v>
      </c>
      <c r="T3948" s="230" t="n">
        <f aca="false">+YEARFRAC(M3948,$S$1)</f>
        <v>126.366666666667</v>
      </c>
      <c r="U3948" s="231" t="n">
        <f aca="false">+$I3948</f>
        <v>0</v>
      </c>
      <c r="V3948" s="232" t="str">
        <f aca="false">+PROPER(F3948)</f>
        <v/>
      </c>
    </row>
    <row r="3949" customFormat="false" ht="14.25" hidden="false" customHeight="false" outlineLevel="0" collapsed="false">
      <c r="B3949" s="249"/>
      <c r="C3949" s="250"/>
      <c r="D3949" s="250"/>
      <c r="E3949" s="251"/>
      <c r="F3949" s="251"/>
      <c r="G3949" s="225" t="e">
        <f aca="false">VLOOKUP(B3949,'NIVEL ENERO'!A:F,4,0)</f>
        <v>#N/A</v>
      </c>
      <c r="H3949" s="252"/>
      <c r="I3949" s="252"/>
      <c r="J3949" s="251"/>
      <c r="K3949" s="251"/>
      <c r="L3949" s="253"/>
      <c r="M3949" s="253"/>
      <c r="N3949" s="251"/>
      <c r="O3949" s="251"/>
      <c r="P3949" s="254"/>
      <c r="Q3949" s="250"/>
      <c r="R3949" s="186" t="str">
        <f aca="false">+PROPER(C3949&amp;" "&amp;D3949)</f>
        <v> </v>
      </c>
      <c r="S3949" s="230" t="n">
        <f aca="false">+YEARFRAC(L3949,$S$1)</f>
        <v>126.366666666667</v>
      </c>
      <c r="T3949" s="230" t="n">
        <f aca="false">+YEARFRAC(M3949,$S$1)</f>
        <v>126.366666666667</v>
      </c>
      <c r="U3949" s="231" t="n">
        <f aca="false">+$I3949</f>
        <v>0</v>
      </c>
      <c r="V3949" s="232" t="str">
        <f aca="false">+PROPER(F3949)</f>
        <v/>
      </c>
    </row>
    <row r="3950" customFormat="false" ht="14.25" hidden="false" customHeight="false" outlineLevel="0" collapsed="false">
      <c r="B3950" s="249"/>
      <c r="C3950" s="250"/>
      <c r="D3950" s="250"/>
      <c r="E3950" s="251"/>
      <c r="F3950" s="251"/>
      <c r="G3950" s="225" t="e">
        <f aca="false">VLOOKUP(B3950,'NIVEL ENERO'!A:F,4,0)</f>
        <v>#N/A</v>
      </c>
      <c r="H3950" s="252"/>
      <c r="I3950" s="252"/>
      <c r="J3950" s="251"/>
      <c r="K3950" s="251"/>
      <c r="L3950" s="253"/>
      <c r="M3950" s="253"/>
      <c r="N3950" s="251"/>
      <c r="O3950" s="251"/>
      <c r="P3950" s="254"/>
      <c r="Q3950" s="250"/>
      <c r="R3950" s="186" t="str">
        <f aca="false">+PROPER(C3950&amp;" "&amp;D3950)</f>
        <v> </v>
      </c>
      <c r="S3950" s="230" t="n">
        <f aca="false">+YEARFRAC(L3950,$S$1)</f>
        <v>126.366666666667</v>
      </c>
      <c r="T3950" s="230" t="n">
        <f aca="false">+YEARFRAC(M3950,$S$1)</f>
        <v>126.366666666667</v>
      </c>
      <c r="U3950" s="231" t="n">
        <f aca="false">+$I3950</f>
        <v>0</v>
      </c>
      <c r="V3950" s="232" t="str">
        <f aca="false">+PROPER(F3950)</f>
        <v/>
      </c>
    </row>
    <row r="3951" customFormat="false" ht="14.25" hidden="false" customHeight="false" outlineLevel="0" collapsed="false">
      <c r="B3951" s="249"/>
      <c r="C3951" s="250"/>
      <c r="D3951" s="250"/>
      <c r="E3951" s="251"/>
      <c r="F3951" s="251"/>
      <c r="G3951" s="225" t="e">
        <f aca="false">VLOOKUP(B3951,'NIVEL ENERO'!A:F,4,0)</f>
        <v>#N/A</v>
      </c>
      <c r="H3951" s="252"/>
      <c r="I3951" s="252"/>
      <c r="J3951" s="251"/>
      <c r="K3951" s="251"/>
      <c r="L3951" s="253"/>
      <c r="M3951" s="253"/>
      <c r="N3951" s="251"/>
      <c r="O3951" s="251"/>
      <c r="P3951" s="254"/>
      <c r="Q3951" s="250"/>
      <c r="R3951" s="186" t="str">
        <f aca="false">+PROPER(C3951&amp;" "&amp;D3951)</f>
        <v> </v>
      </c>
      <c r="S3951" s="230" t="n">
        <f aca="false">+YEARFRAC(L3951,$S$1)</f>
        <v>126.366666666667</v>
      </c>
      <c r="T3951" s="230" t="n">
        <f aca="false">+YEARFRAC(M3951,$S$1)</f>
        <v>126.366666666667</v>
      </c>
      <c r="U3951" s="231" t="n">
        <f aca="false">+$I3951</f>
        <v>0</v>
      </c>
      <c r="V3951" s="232" t="str">
        <f aca="false">+PROPER(F3951)</f>
        <v/>
      </c>
    </row>
    <row r="3952" customFormat="false" ht="14.25" hidden="false" customHeight="false" outlineLevel="0" collapsed="false">
      <c r="B3952" s="255"/>
      <c r="C3952" s="256"/>
      <c r="D3952" s="256"/>
      <c r="E3952" s="257"/>
      <c r="F3952" s="257"/>
      <c r="G3952" s="225" t="e">
        <f aca="false">VLOOKUP(B3952,'NIVEL ENERO'!A:F,4,0)</f>
        <v>#N/A</v>
      </c>
      <c r="H3952" s="258"/>
      <c r="I3952" s="258"/>
      <c r="J3952" s="257"/>
      <c r="K3952" s="257"/>
      <c r="L3952" s="259"/>
      <c r="M3952" s="259"/>
      <c r="N3952" s="257"/>
      <c r="O3952" s="257"/>
      <c r="P3952" s="260"/>
      <c r="Q3952" s="256"/>
      <c r="R3952" s="261" t="str">
        <f aca="false">+PROPER(C3952&amp;" "&amp;D3952)</f>
        <v> </v>
      </c>
      <c r="S3952" s="230" t="n">
        <f aca="false">+YEARFRAC(L3952,$S$1)</f>
        <v>126.366666666667</v>
      </c>
      <c r="T3952" s="230" t="n">
        <f aca="false">+YEARFRAC(M3952,$S$1)</f>
        <v>126.366666666667</v>
      </c>
      <c r="U3952" s="231" t="n">
        <f aca="false">+$I3952</f>
        <v>0</v>
      </c>
      <c r="V3952" s="262" t="str">
        <f aca="false">+PROPER(F3952)</f>
        <v/>
      </c>
    </row>
  </sheetData>
  <autoFilter ref="B5:AK3952"/>
  <mergeCells count="2">
    <mergeCell ref="B4:F4"/>
    <mergeCell ref="R4:V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N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4453125" defaultRowHeight="13.5" customHeight="false" zeroHeight="false" outlineLevelRow="0" outlineLevelCol="0"/>
  <cols>
    <col collapsed="false" customWidth="true" hidden="false" outlineLevel="0" max="1" min="1" style="1" width="31.56"/>
    <col collapsed="false" customWidth="true" hidden="false" outlineLevel="0" max="2" min="2" style="1" width="50.44"/>
    <col collapsed="false" customWidth="true" hidden="false" outlineLevel="0" max="3" min="3" style="1" width="40.56"/>
    <col collapsed="false" customWidth="true" hidden="false" outlineLevel="0" max="4" min="4" style="1" width="13.67"/>
    <col collapsed="false" customWidth="true" hidden="false" outlineLevel="0" max="5" min="5" style="1" width="16.56"/>
    <col collapsed="false" customWidth="true" hidden="false" outlineLevel="0" max="6" min="6" style="1" width="6.67"/>
    <col collapsed="false" customWidth="true" hidden="false" outlineLevel="0" max="7" min="7" style="1" width="7.88"/>
    <col collapsed="false" customWidth="true" hidden="false" outlineLevel="0" max="8" min="8" style="1" width="6"/>
    <col collapsed="false" customWidth="true" hidden="false" outlineLevel="0" max="11" min="9" style="1" width="16.67"/>
    <col collapsed="false" customWidth="true" hidden="false" outlineLevel="0" max="12" min="12" style="1" width="21.56"/>
    <col collapsed="false" customWidth="true" hidden="false" outlineLevel="0" max="13" min="13" style="1" width="18.34"/>
    <col collapsed="false" customWidth="true" hidden="false" outlineLevel="0" max="14" min="14" style="1" width="16.67"/>
    <col collapsed="false" customWidth="true" hidden="false" outlineLevel="0" max="15" min="15" style="1" width="31.67"/>
    <col collapsed="false" customWidth="false" hidden="false" outlineLevel="0" max="33" min="16" style="1" width="11.44"/>
    <col collapsed="false" customWidth="true" hidden="false" outlineLevel="0" max="34" min="34" style="1" width="13.11"/>
    <col collapsed="false" customWidth="true" hidden="false" outlineLevel="0" max="35" min="35" style="1" width="26"/>
    <col collapsed="false" customWidth="false" hidden="false" outlineLevel="0" max="36" min="36" style="1" width="11.44"/>
    <col collapsed="false" customWidth="true" hidden="false" outlineLevel="0" max="37" min="37" style="1" width="12.67"/>
    <col collapsed="false" customWidth="true" hidden="false" outlineLevel="0" max="38" min="38" style="1" width="18.34"/>
    <col collapsed="false" customWidth="true" hidden="false" outlineLevel="0" max="39" min="39" style="1" width="19.67"/>
    <col collapsed="false" customWidth="true" hidden="false" outlineLevel="0" max="40" min="40" style="1" width="17.11"/>
    <col collapsed="false" customWidth="false" hidden="false" outlineLevel="0" max="16384" min="41" style="1" width="11.44"/>
  </cols>
  <sheetData>
    <row r="1" customFormat="false" ht="16.15" hidden="false" customHeight="false" outlineLevel="0" collapsed="false">
      <c r="A1" s="263" t="s">
        <v>3977</v>
      </c>
      <c r="B1" s="264" t="s">
        <v>3978</v>
      </c>
      <c r="C1" s="264"/>
      <c r="D1" s="265"/>
      <c r="E1" s="266"/>
      <c r="F1" s="266"/>
      <c r="G1" s="266"/>
      <c r="H1" s="266"/>
      <c r="I1" s="266"/>
      <c r="J1" s="266"/>
      <c r="O1" s="267" t="n">
        <f aca="false">+IF(Datos_Iniciales!C8=2,(Capacidad_Endeudamiento!$C$25*Parametros!$H$5),Capacidad_Endeudamiento!$C$25)</f>
        <v>2500000</v>
      </c>
    </row>
    <row r="2" customFormat="false" ht="15" hidden="false" customHeight="false" outlineLevel="0" collapsed="false">
      <c r="A2" s="265"/>
      <c r="B2" s="268" t="s">
        <v>3979</v>
      </c>
      <c r="C2" s="268"/>
      <c r="D2" s="265"/>
      <c r="E2" s="266"/>
      <c r="F2" s="266"/>
      <c r="G2" s="266"/>
      <c r="H2" s="266"/>
      <c r="I2" s="266"/>
      <c r="J2" s="266"/>
      <c r="O2" s="269" t="n">
        <f aca="false">IF($C$25&gt;Parametros!$G$9,Parametros!$H$9,Parametros!$H$4)</f>
        <v>0.08</v>
      </c>
      <c r="V2" s="270" t="s">
        <v>109</v>
      </c>
      <c r="W2" s="270" t="s">
        <v>110</v>
      </c>
      <c r="X2" s="270" t="s">
        <v>111</v>
      </c>
      <c r="Y2" s="270" t="s">
        <v>112</v>
      </c>
      <c r="Z2" s="270" t="s">
        <v>113</v>
      </c>
      <c r="AA2" s="270" t="s">
        <v>114</v>
      </c>
      <c r="AB2" s="270" t="s">
        <v>115</v>
      </c>
      <c r="AC2" s="270" t="s">
        <v>116</v>
      </c>
      <c r="AD2" s="270" t="s">
        <v>117</v>
      </c>
      <c r="AE2" s="270" t="s">
        <v>118</v>
      </c>
      <c r="AF2" s="270" t="s">
        <v>119</v>
      </c>
      <c r="AG2" s="270" t="s">
        <v>120</v>
      </c>
      <c r="AH2" s="270" t="s">
        <v>121</v>
      </c>
      <c r="AI2" s="270" t="s">
        <v>122</v>
      </c>
      <c r="AJ2" s="270" t="s">
        <v>123</v>
      </c>
      <c r="AK2" s="270" t="s">
        <v>124</v>
      </c>
      <c r="AL2" s="270" t="s">
        <v>125</v>
      </c>
      <c r="AM2" s="270" t="s">
        <v>126</v>
      </c>
      <c r="AN2" s="270" t="s">
        <v>127</v>
      </c>
    </row>
    <row r="3" customFormat="false" ht="15" hidden="false" customHeight="false" outlineLevel="0" collapsed="false">
      <c r="A3" s="265"/>
      <c r="B3" s="271" t="n">
        <f aca="true">+TODAY()</f>
        <v>46154</v>
      </c>
      <c r="C3" s="272" t="s">
        <v>3980</v>
      </c>
      <c r="D3" s="265"/>
      <c r="E3" s="266"/>
      <c r="F3" s="266"/>
      <c r="G3" s="266"/>
      <c r="H3" s="266"/>
      <c r="I3" s="266"/>
      <c r="J3" s="266"/>
      <c r="O3" s="269"/>
      <c r="V3" s="273" t="n">
        <f aca="false">+$C$11</f>
        <v>1112878165</v>
      </c>
      <c r="W3" s="274" t="str">
        <f aca="false">+$C$12</f>
        <v>Varon Barrios Yina Marcela</v>
      </c>
      <c r="X3" s="274" t="str">
        <f aca="false">+$C$13</f>
        <v>FUNDACION VALLE DEL LILI</v>
      </c>
      <c r="Y3" s="273" t="n">
        <f aca="false">+$C$25</f>
        <v>2500000</v>
      </c>
      <c r="Z3" s="273" t="str">
        <f aca="false">+$C$60</f>
        <v>Cred.Ord. Gerencia</v>
      </c>
      <c r="AA3" s="273" t="n">
        <f aca="false">+$C$61</f>
        <v>4000000</v>
      </c>
      <c r="AB3" s="273" t="n">
        <f aca="false">+$C$31</f>
        <v>657</v>
      </c>
      <c r="AC3" s="275" t="n">
        <f aca="false">+$C$84</f>
        <v>0.26</v>
      </c>
      <c r="AD3" s="275" t="n">
        <f aca="false">+$C$86</f>
        <v>0.35</v>
      </c>
      <c r="AE3" s="273" t="e">
        <f aca="false">+#REF!</f>
        <v>#REF!</v>
      </c>
      <c r="AF3" s="275" t="n">
        <f aca="false">+$C$7</f>
        <v>0.35</v>
      </c>
      <c r="AG3" s="273" t="str">
        <f aca="false">+$C$5</f>
        <v>C</v>
      </c>
      <c r="AH3" s="276" t="n">
        <f aca="false">+$C$93</f>
        <v>0.398438068962082</v>
      </c>
      <c r="AI3" s="276" t="e">
        <f aca="false">+#REF!</f>
        <v>#REF!</v>
      </c>
      <c r="AJ3" s="277" t="n">
        <f aca="false">+$C$64</f>
        <v>0.011040393817862</v>
      </c>
      <c r="AK3" s="273" t="str">
        <f aca="false">+$C$8</f>
        <v>Aportes</v>
      </c>
      <c r="AL3" s="273" t="n">
        <f aca="false">+$C$17</f>
        <v>0</v>
      </c>
      <c r="AM3" s="273" t="n">
        <f aca="false">+$B$114</f>
        <v>0</v>
      </c>
      <c r="AN3" s="278" t="n">
        <f aca="true">+NOW()</f>
        <v>46154.7238543689</v>
      </c>
    </row>
    <row r="4" customFormat="false" ht="7.5" hidden="false" customHeight="true" outlineLevel="0" collapsed="false">
      <c r="A4" s="265"/>
      <c r="B4" s="266"/>
      <c r="C4" s="266"/>
      <c r="D4" s="265"/>
      <c r="E4" s="266"/>
      <c r="F4" s="266"/>
      <c r="G4" s="266"/>
      <c r="H4" s="266"/>
      <c r="I4" s="266"/>
      <c r="J4" s="266"/>
      <c r="K4" s="266"/>
      <c r="O4" s="26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customFormat="false" ht="15" hidden="false" customHeight="false" outlineLevel="0" collapsed="false">
      <c r="A5" s="265"/>
      <c r="B5" s="279" t="s">
        <v>120</v>
      </c>
      <c r="C5" s="280" t="str">
        <f aca="false">+'Base Perfil'!$V$4</f>
        <v>C</v>
      </c>
      <c r="D5" s="281" t="s">
        <v>3981</v>
      </c>
      <c r="E5" s="266"/>
      <c r="F5" s="266"/>
      <c r="G5" s="266"/>
      <c r="H5" s="266"/>
      <c r="I5" s="266"/>
      <c r="J5" s="266"/>
      <c r="K5" s="266"/>
      <c r="O5" s="267" t="n">
        <f aca="false">+$C$25-($O$2*$O$1)</f>
        <v>2300000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customFormat="false" ht="15" hidden="false" customHeight="true" outlineLevel="0" collapsed="false">
      <c r="A6" s="265"/>
      <c r="B6" s="282" t="s">
        <v>3982</v>
      </c>
      <c r="C6" s="283" t="n">
        <f aca="false">+IF(Datos_Iniciales!$C$4=1,IF($C$5=Parametros!$B$40,Parametros!$D$40,IF($C$5=Parametros!$B$41,Parametros!$D$41)),IF(AND($C$5=Parametros!$D$28,$C$37&gt;=Parametros!$B$28,$C$37&lt;=Parametros!$C$28),Parametros!$F$28,IF(AND($C$5=Parametros!$D$29,$C$37&gt;=Parametros!$B$29,$C$37&lt;=Parametros!$C$29),Parametros!$F$29,IF(AND($C$5=Parametros!$D$30,$C$37&gt;=Parametros!$B$30,$C$37&lt;=Parametros!$C$30),Parametros!$F$30,IF(AND($C$5=Parametros!$D$31,$C$37&gt;=Parametros!$B$31,$C$37&lt;=Parametros!$C$31),Parametros!$F$31,IF(AND($C$5=Parametros!$D$32,$C$37&gt;=Parametros!$B$32,$C$37&lt;=Parametros!$C$32),Parametros!$F$32,IF(AND($C$5=Parametros!$D$33,$C$37&gt;=Parametros!$B$33,$C$37&lt;=Parametros!$C$33),Parametros!$F$33,IF(AND($C$5=Parametros!$D$34,$C$37&gt;=Parametros!$B$34),Parametros!$F$34,IF(AND($C$5=Parametros!$D$35,$C$37&gt;=Parametros!$B$35),Parametros!$F$35,IF(AND($C$5=Parametros!$D$36,$C$37&gt;=Parametros!$B$36),Parametros!$F$36,"N/A"))))))))))</f>
        <v>3501810</v>
      </c>
      <c r="D6" s="281" t="s">
        <v>3981</v>
      </c>
      <c r="E6" s="284"/>
      <c r="F6" s="266"/>
      <c r="G6" s="266"/>
      <c r="H6" s="266"/>
      <c r="I6" s="266"/>
      <c r="J6" s="26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customFormat="false" ht="15" hidden="false" customHeight="false" outlineLevel="0" collapsed="false">
      <c r="A7" s="266"/>
      <c r="B7" s="282" t="str">
        <f aca="false">+$O$7&amp;"  "&amp;$O$9</f>
        <v>VIABLE  CMD</v>
      </c>
      <c r="C7" s="285" t="n">
        <f aca="false">+IFERROR(MROUND(($C$75+$C$28-C20)/$O$5,1%),"")</f>
        <v>0.35</v>
      </c>
      <c r="D7" s="281" t="s">
        <v>3981</v>
      </c>
      <c r="E7" s="266"/>
      <c r="F7" s="266"/>
      <c r="G7" s="286"/>
      <c r="H7" s="266"/>
      <c r="I7" s="266"/>
      <c r="J7" s="266"/>
      <c r="O7" s="287" t="str">
        <f aca="false">+IF(C7&gt;51%,"NO VIABLE","VIABLE")</f>
        <v>VIABLE</v>
      </c>
      <c r="P7" s="287"/>
      <c r="V7" s="288" t="s">
        <v>3983</v>
      </c>
      <c r="W7" s="289" t="str">
        <f aca="false">+IF($C$8="","FALTA "&amp;$B$8,IF($C$64="","FALTA TASA DE INTERES",""))</f>
        <v/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customFormat="false" ht="15" hidden="false" customHeight="false" outlineLevel="0" collapsed="false">
      <c r="A8" s="266"/>
      <c r="B8" s="290" t="s">
        <v>3984</v>
      </c>
      <c r="C8" s="291" t="s">
        <v>130</v>
      </c>
      <c r="D8" s="292" t="s">
        <v>3985</v>
      </c>
      <c r="E8" s="266"/>
      <c r="F8" s="266"/>
      <c r="G8" s="266"/>
      <c r="H8" s="266"/>
      <c r="I8" s="266"/>
      <c r="J8" s="266"/>
      <c r="L8" s="293" t="s">
        <v>3986</v>
      </c>
      <c r="M8" s="294" t="str">
        <f aca="false">+VLOOKUP(Datos_Iniciales!$E$13,Datos_Iniciales!$Q$10:$R$12,2,FALSE())</f>
        <v>Mensual</v>
      </c>
      <c r="O8" s="287"/>
      <c r="P8" s="287"/>
    </row>
    <row r="9" customFormat="false" ht="19.5" hidden="false" customHeight="true" outlineLevel="0" collapsed="false">
      <c r="A9" s="266"/>
      <c r="B9" s="295"/>
      <c r="C9" s="296"/>
      <c r="D9" s="266"/>
      <c r="E9" s="266"/>
      <c r="F9" s="266"/>
      <c r="G9" s="266"/>
      <c r="H9" s="266"/>
      <c r="I9" s="266"/>
      <c r="J9" s="266"/>
      <c r="L9" s="297" t="s">
        <v>3987</v>
      </c>
      <c r="M9" s="298" t="n">
        <f aca="false">+$C$61</f>
        <v>4000000</v>
      </c>
      <c r="O9" s="287" t="s">
        <v>119</v>
      </c>
      <c r="P9" s="287"/>
    </row>
    <row r="10" customFormat="false" ht="15" hidden="false" customHeight="false" outlineLevel="0" collapsed="false">
      <c r="A10" s="266"/>
      <c r="B10" s="266"/>
      <c r="C10" s="266"/>
      <c r="D10" s="266"/>
      <c r="E10" s="266"/>
      <c r="F10" s="266"/>
      <c r="G10" s="266"/>
      <c r="H10" s="286"/>
      <c r="I10" s="266"/>
      <c r="J10" s="266"/>
      <c r="L10" s="297" t="s">
        <v>3988</v>
      </c>
      <c r="M10" s="299" t="n">
        <f aca="false">+$C$64*12</f>
        <v>0.132484725814344</v>
      </c>
      <c r="N10" s="300"/>
    </row>
    <row r="11" customFormat="false" ht="15" hidden="false" customHeight="false" outlineLevel="0" collapsed="false">
      <c r="A11" s="266"/>
      <c r="B11" s="301" t="s">
        <v>3989</v>
      </c>
      <c r="C11" s="302" t="n">
        <v>1112878165</v>
      </c>
      <c r="D11" s="303"/>
      <c r="E11" s="266"/>
      <c r="F11" s="266"/>
      <c r="G11" s="266"/>
      <c r="H11" s="266"/>
      <c r="I11" s="266"/>
      <c r="J11" s="266"/>
      <c r="L11" s="297" t="s">
        <v>3990</v>
      </c>
      <c r="M11" s="298" t="n">
        <f aca="false">+$C$30</f>
        <v>1</v>
      </c>
    </row>
    <row r="12" customFormat="false" ht="15" hidden="false" customHeight="false" outlineLevel="0" collapsed="false">
      <c r="A12" s="266" t="s">
        <v>3991</v>
      </c>
      <c r="B12" s="304" t="s">
        <v>3992</v>
      </c>
      <c r="C12" s="305" t="str">
        <f aca="false">+INDEX(Base_Asociados!$B$6:$V$9877,MATCH($C$11,Base_Asociados!$B$6:$B$9877,0),MATCH($B12,Base_Asociados!$B$5:$V$5,0))</f>
        <v>Varon Barrios Yina Marcela</v>
      </c>
      <c r="D12" s="306" t="s">
        <v>97</v>
      </c>
      <c r="E12" s="266"/>
      <c r="F12" s="266"/>
      <c r="G12" s="307"/>
      <c r="H12" s="266"/>
      <c r="I12" s="266"/>
      <c r="J12" s="266"/>
      <c r="L12" s="297" t="s">
        <v>3993</v>
      </c>
      <c r="M12" s="308" t="n">
        <f aca="false">+IF(Datos_Iniciales!$E$13=1,Datos_Iniciales!$S$10,IF(Datos_Iniciales!$E$13=2,Datos_Iniciales!$S$11,Datos_Iniciales!$S$12))</f>
        <v>12</v>
      </c>
      <c r="Q12" s="309"/>
    </row>
    <row r="13" customFormat="false" ht="15" hidden="false" customHeight="false" outlineLevel="0" collapsed="false">
      <c r="A13" s="266" t="s">
        <v>3994</v>
      </c>
      <c r="B13" s="304" t="s">
        <v>935</v>
      </c>
      <c r="C13" s="305" t="str">
        <f aca="false">+INDEX(Base_Asociados!$B$6:$V$9877,MATCH($C$11,Base_Asociados!$B$6:$B$9877,0),MATCH($B13,Base_Asociados!$B$5:$V$5,0))</f>
        <v>FUNDACION VALLE DEL LILI</v>
      </c>
      <c r="D13" s="306" t="s">
        <v>97</v>
      </c>
      <c r="E13" s="266"/>
      <c r="F13" s="310"/>
      <c r="G13" s="266"/>
      <c r="H13" s="266"/>
      <c r="I13" s="266"/>
      <c r="J13" s="266"/>
      <c r="L13" s="297" t="s">
        <v>3995</v>
      </c>
      <c r="M13" s="311" t="n">
        <f aca="false">-PMT(M10/M12,M11*M12,M9)</f>
        <v>357735.56848099</v>
      </c>
    </row>
    <row r="14" customFormat="false" ht="15" hidden="false" customHeight="false" outlineLevel="0" collapsed="false">
      <c r="A14" s="266" t="s">
        <v>3996</v>
      </c>
      <c r="B14" s="304" t="s">
        <v>130</v>
      </c>
      <c r="C14" s="312" t="n">
        <v>3500000</v>
      </c>
      <c r="D14" s="306" t="s">
        <v>97</v>
      </c>
      <c r="E14" s="266"/>
      <c r="F14" s="310"/>
      <c r="G14" s="307"/>
      <c r="H14" s="266"/>
      <c r="I14" s="266"/>
      <c r="J14" s="266"/>
      <c r="L14" s="313" t="s">
        <v>3997</v>
      </c>
      <c r="M14" s="314" t="n">
        <f aca="false">+IF(M8="Semanal",($M$13*$M$12)/12,IF(M8="Quincenal",M13*2,M13))</f>
        <v>357735.56848099</v>
      </c>
    </row>
    <row r="15" customFormat="false" ht="13.5" hidden="false" customHeight="false" outlineLevel="0" collapsed="false">
      <c r="A15" s="1" t="s">
        <v>3998</v>
      </c>
      <c r="B15" s="304" t="s">
        <v>3999</v>
      </c>
      <c r="C15" s="312" t="n">
        <v>2500671</v>
      </c>
      <c r="D15" s="306" t="s">
        <v>97</v>
      </c>
      <c r="E15" s="266"/>
      <c r="F15" s="310"/>
      <c r="G15" s="307"/>
      <c r="H15" s="266"/>
      <c r="I15" s="266"/>
      <c r="J15" s="266"/>
      <c r="N15" s="161"/>
    </row>
    <row r="16" customFormat="false" ht="13.5" hidden="false" customHeight="false" outlineLevel="0" collapsed="false">
      <c r="A16" s="266"/>
      <c r="B16" s="304" t="s">
        <v>4000</v>
      </c>
      <c r="C16" s="315"/>
      <c r="D16" s="316"/>
      <c r="E16" s="266"/>
      <c r="F16" s="310"/>
      <c r="G16" s="307"/>
      <c r="H16" s="266"/>
      <c r="I16" s="266"/>
      <c r="J16" s="266"/>
      <c r="N16" s="161"/>
    </row>
    <row r="17" customFormat="false" ht="13.5" hidden="false" customHeight="false" outlineLevel="0" collapsed="false">
      <c r="A17" s="266" t="s">
        <v>4001</v>
      </c>
      <c r="B17" s="304" t="s">
        <v>4002</v>
      </c>
      <c r="C17" s="312" t="n">
        <v>0</v>
      </c>
      <c r="D17" s="317" t="s">
        <v>95</v>
      </c>
      <c r="E17" s="266"/>
      <c r="F17" s="266"/>
      <c r="G17" s="266"/>
      <c r="H17" s="266"/>
      <c r="I17" s="266"/>
      <c r="J17" s="266"/>
      <c r="L17" s="2"/>
      <c r="M17" s="318"/>
    </row>
    <row r="18" customFormat="false" ht="13.5" hidden="false" customHeight="false" outlineLevel="0" collapsed="false">
      <c r="A18" s="266" t="s">
        <v>4003</v>
      </c>
      <c r="B18" s="304" t="s">
        <v>4004</v>
      </c>
      <c r="C18" s="312" t="n">
        <v>4258000</v>
      </c>
      <c r="D18" s="317" t="s">
        <v>95</v>
      </c>
      <c r="E18" s="266"/>
      <c r="F18" s="266"/>
      <c r="G18" s="266"/>
      <c r="H18" s="266"/>
      <c r="I18" s="266"/>
      <c r="J18" s="266"/>
      <c r="L18" s="2"/>
      <c r="M18" s="318"/>
      <c r="O18" s="309" t="s">
        <v>10</v>
      </c>
      <c r="Q18" s="309"/>
    </row>
    <row r="19" customFormat="false" ht="13.5" hidden="false" customHeight="false" outlineLevel="0" collapsed="false">
      <c r="A19" s="266"/>
      <c r="B19" s="304" t="s">
        <v>4005</v>
      </c>
      <c r="C19" s="312" t="n">
        <f aca="false">+Datos_Iniciales!$E$18</f>
        <v>181631.402943302</v>
      </c>
      <c r="D19" s="281" t="s">
        <v>3981</v>
      </c>
      <c r="E19" s="266"/>
      <c r="F19" s="266"/>
      <c r="G19" s="266"/>
      <c r="H19" s="266"/>
      <c r="I19" s="266"/>
      <c r="J19" s="266"/>
      <c r="L19" s="2"/>
      <c r="M19" s="318"/>
      <c r="O19" s="309" t="s">
        <v>12</v>
      </c>
      <c r="Q19" s="309"/>
    </row>
    <row r="20" customFormat="false" ht="13.8" hidden="false" customHeight="false" outlineLevel="0" collapsed="false">
      <c r="A20" s="266" t="s">
        <v>4006</v>
      </c>
      <c r="B20" s="304" t="s">
        <v>4007</v>
      </c>
      <c r="C20" s="315"/>
      <c r="D20" s="306" t="s">
        <v>97</v>
      </c>
      <c r="E20" s="266"/>
      <c r="F20" s="266"/>
      <c r="G20" s="266"/>
      <c r="H20" s="266"/>
      <c r="I20" s="266"/>
      <c r="J20" s="266"/>
      <c r="M20" s="318"/>
      <c r="O20" s="309"/>
      <c r="Q20" s="309"/>
    </row>
    <row r="21" customFormat="false" ht="13.8" hidden="false" customHeight="false" outlineLevel="0" collapsed="false">
      <c r="A21" s="266"/>
      <c r="B21" s="319" t="s">
        <v>4008</v>
      </c>
      <c r="C21" s="320"/>
      <c r="D21" s="317" t="s">
        <v>95</v>
      </c>
      <c r="E21" s="307"/>
      <c r="F21" s="266"/>
      <c r="G21" s="266"/>
      <c r="H21" s="266"/>
      <c r="I21" s="266"/>
      <c r="J21" s="266"/>
      <c r="M21" s="318"/>
    </row>
    <row r="22" customFormat="false" ht="6" hidden="false" customHeight="true" outlineLevel="0" collapsed="false">
      <c r="A22" s="266"/>
      <c r="B22" s="321"/>
      <c r="C22" s="266"/>
      <c r="D22" s="266"/>
      <c r="E22" s="307"/>
      <c r="F22" s="266"/>
      <c r="G22" s="266"/>
      <c r="H22" s="266"/>
      <c r="I22" s="266"/>
      <c r="J22" s="266"/>
      <c r="M22" s="161"/>
      <c r="O22" s="1" t="s">
        <v>881</v>
      </c>
    </row>
    <row r="23" customFormat="false" ht="6" hidden="false" customHeight="true" outlineLevel="0" collapsed="false">
      <c r="A23" s="266"/>
      <c r="B23" s="321"/>
      <c r="C23" s="266"/>
      <c r="D23" s="266"/>
      <c r="E23" s="307"/>
      <c r="F23" s="266"/>
      <c r="G23" s="266"/>
      <c r="H23" s="266"/>
      <c r="I23" s="266"/>
      <c r="J23" s="266"/>
      <c r="M23" s="161"/>
    </row>
    <row r="24" customFormat="false" ht="13.8" hidden="false" customHeight="false" outlineLevel="0" collapsed="false">
      <c r="A24" s="266"/>
      <c r="B24" s="321"/>
      <c r="C24" s="322" t="n">
        <f aca="false">+Datos_Iniciales!$C$8</f>
        <v>1</v>
      </c>
      <c r="D24" s="266"/>
      <c r="E24" s="307"/>
      <c r="F24" s="266"/>
      <c r="G24" s="266"/>
      <c r="H24" s="266"/>
      <c r="I24" s="266"/>
      <c r="J24" s="266"/>
      <c r="O24" s="1" t="s">
        <v>882</v>
      </c>
    </row>
    <row r="25" customFormat="false" ht="13.8" hidden="false" customHeight="false" outlineLevel="0" collapsed="false">
      <c r="A25" s="266"/>
      <c r="B25" s="301" t="s">
        <v>901</v>
      </c>
      <c r="C25" s="323" t="n">
        <v>2500000</v>
      </c>
      <c r="D25" s="324" t="s">
        <v>4009</v>
      </c>
      <c r="E25" s="325" t="s">
        <v>4010</v>
      </c>
      <c r="F25" s="266"/>
      <c r="G25" s="266"/>
      <c r="H25" s="266"/>
      <c r="I25" s="266"/>
      <c r="J25" s="266"/>
      <c r="O25" s="1" t="s">
        <v>883</v>
      </c>
    </row>
    <row r="26" customFormat="false" ht="13.8" hidden="false" customHeight="false" outlineLevel="0" collapsed="false">
      <c r="A26" s="266"/>
      <c r="B26" s="304" t="s">
        <v>4011</v>
      </c>
      <c r="C26" s="326"/>
      <c r="D26" s="327" t="s">
        <v>4012</v>
      </c>
      <c r="E26" s="307"/>
      <c r="F26" s="266"/>
      <c r="G26" s="328"/>
      <c r="H26" s="266"/>
      <c r="I26" s="266"/>
      <c r="J26" s="266"/>
    </row>
    <row r="27" customFormat="false" ht="13.8" hidden="false" customHeight="false" outlineLevel="0" collapsed="false">
      <c r="A27" s="266"/>
      <c r="B27" s="304" t="s">
        <v>4013</v>
      </c>
      <c r="C27" s="329" t="n">
        <f aca="false">+IF(AND($C$24=1,$C$25&gt;Parametros!$G$9),$C$25*Parametros!$H$9,IF(AND($C$24=1,$C$25&lt;=Parametros!$G$9),$C$25*Parametros!$H$4,IF(AND($C$24=2,$C$25&gt;Parametros!$G$9),($C$25*Parametros!$H$5)*Parametros!$H$9,IF(AND($C$24=2,$C$25&lt;=Parametros!$G$9),($C$25*Parametros!$H$5)*Parametros!$H$4,IF($C$24=3,$C$25*Parametros!$H$6)))))</f>
        <v>200000</v>
      </c>
      <c r="D27" s="281" t="s">
        <v>4014</v>
      </c>
      <c r="E27" s="307"/>
      <c r="F27" s="307"/>
      <c r="G27" s="330"/>
      <c r="H27" s="266"/>
      <c r="I27" s="266"/>
      <c r="J27" s="266"/>
    </row>
    <row r="28" customFormat="false" ht="13.8" hidden="false" customHeight="false" outlineLevel="0" collapsed="false">
      <c r="A28" s="266"/>
      <c r="B28" s="304" t="s">
        <v>4015</v>
      </c>
      <c r="C28" s="326" t="n">
        <v>600000</v>
      </c>
      <c r="D28" s="324" t="s">
        <v>4009</v>
      </c>
      <c r="E28" s="325" t="s">
        <v>4010</v>
      </c>
      <c r="F28" s="266"/>
      <c r="G28" s="266"/>
      <c r="H28" s="266"/>
      <c r="I28" s="266"/>
      <c r="J28" s="266"/>
    </row>
    <row r="29" customFormat="false" ht="13.8" hidden="false" customHeight="false" outlineLevel="0" collapsed="false">
      <c r="A29" s="266"/>
      <c r="B29" s="304" t="s">
        <v>4016</v>
      </c>
      <c r="C29" s="326" t="n">
        <v>0</v>
      </c>
      <c r="D29" s="317" t="s">
        <v>95</v>
      </c>
      <c r="E29" s="331"/>
      <c r="F29" s="331"/>
      <c r="G29" s="307"/>
      <c r="H29" s="266"/>
      <c r="I29" s="266"/>
      <c r="J29" s="266"/>
    </row>
    <row r="30" customFormat="false" ht="13.8" hidden="false" customHeight="false" outlineLevel="0" collapsed="false">
      <c r="A30" s="266"/>
      <c r="B30" s="332" t="s">
        <v>4017</v>
      </c>
      <c r="C30" s="333" t="n">
        <v>1</v>
      </c>
      <c r="D30" s="334" t="s">
        <v>4012</v>
      </c>
      <c r="E30" s="335"/>
      <c r="F30" s="335"/>
      <c r="G30" s="307"/>
      <c r="H30" s="307"/>
      <c r="I30" s="307"/>
      <c r="J30" s="307"/>
      <c r="K30" s="161"/>
      <c r="L30" s="161"/>
      <c r="M30" s="161"/>
      <c r="N30" s="161"/>
    </row>
    <row r="31" customFormat="false" ht="13.8" hidden="false" customHeight="false" outlineLevel="0" collapsed="false">
      <c r="A31" s="266"/>
      <c r="B31" s="304" t="s">
        <v>4018</v>
      </c>
      <c r="C31" s="336" t="n">
        <v>657</v>
      </c>
      <c r="D31" s="337" t="s">
        <v>95</v>
      </c>
      <c r="E31" s="338"/>
      <c r="F31" s="338"/>
      <c r="G31" s="307"/>
      <c r="H31" s="307"/>
      <c r="I31" s="307"/>
      <c r="J31" s="307"/>
      <c r="K31" s="161"/>
      <c r="L31" s="161"/>
      <c r="M31" s="161"/>
      <c r="N31" s="161"/>
    </row>
    <row r="32" customFormat="false" ht="13.8" hidden="false" customHeight="false" outlineLevel="0" collapsed="false">
      <c r="A32" s="266"/>
      <c r="B32" s="304" t="s">
        <v>4019</v>
      </c>
      <c r="C32" s="339" t="n">
        <v>0.3015</v>
      </c>
      <c r="D32" s="292" t="s">
        <v>3985</v>
      </c>
      <c r="E32" s="307"/>
      <c r="F32" s="307"/>
      <c r="G32" s="266"/>
      <c r="H32" s="266"/>
      <c r="I32" s="266"/>
      <c r="J32" s="266"/>
    </row>
    <row r="33" customFormat="false" ht="13.8" hidden="false" customHeight="false" outlineLevel="0" collapsed="false">
      <c r="A33" s="340" t="s">
        <v>4020</v>
      </c>
      <c r="B33" s="341" t="s">
        <v>4021</v>
      </c>
      <c r="C33" s="342" t="s">
        <v>4022</v>
      </c>
      <c r="D33" s="324" t="s">
        <v>4009</v>
      </c>
      <c r="E33" s="266"/>
      <c r="F33" s="343"/>
      <c r="G33" s="266"/>
      <c r="H33" s="266"/>
      <c r="I33" s="266"/>
      <c r="J33" s="266"/>
    </row>
    <row r="34" customFormat="false" ht="13.8" hidden="false" customHeight="false" outlineLevel="0" collapsed="false">
      <c r="A34" s="340" t="s">
        <v>4023</v>
      </c>
      <c r="B34" s="341" t="s">
        <v>4024</v>
      </c>
      <c r="C34" s="344" t="n">
        <f aca="false">IF(C33="semanal",4,IF(C33="quincenal",2,IF(C33="mensual",1,"Revisar")))</f>
        <v>2</v>
      </c>
      <c r="D34" s="281" t="s">
        <v>4014</v>
      </c>
      <c r="E34" s="266"/>
      <c r="F34" s="343"/>
      <c r="G34" s="266"/>
      <c r="H34" s="266"/>
      <c r="I34" s="266"/>
      <c r="J34" s="266"/>
    </row>
    <row r="35" customFormat="false" ht="6" hidden="false" customHeight="true" outlineLevel="0" collapsed="false">
      <c r="A35" s="266"/>
      <c r="B35" s="266"/>
      <c r="C35" s="266"/>
      <c r="D35" s="266"/>
      <c r="E35" s="266"/>
      <c r="F35" s="266"/>
      <c r="G35" s="266"/>
      <c r="H35" s="266"/>
      <c r="I35" s="266"/>
      <c r="J35" s="266"/>
    </row>
    <row r="36" customFormat="false" ht="6" hidden="false" customHeight="true" outlineLevel="0" collapsed="false">
      <c r="A36" s="266"/>
      <c r="B36" s="266"/>
      <c r="C36" s="266"/>
      <c r="D36" s="345"/>
      <c r="E36" s="266"/>
      <c r="F36" s="266"/>
      <c r="G36" s="266"/>
      <c r="H36" s="266"/>
      <c r="I36" s="266"/>
      <c r="J36" s="266"/>
    </row>
    <row r="37" customFormat="false" ht="13.8" hidden="false" customHeight="false" outlineLevel="0" collapsed="false">
      <c r="A37" s="266"/>
      <c r="B37" s="346" t="s">
        <v>4025</v>
      </c>
      <c r="C37" s="347" t="n">
        <f aca="false">+$C$25</f>
        <v>2500000</v>
      </c>
      <c r="D37" s="281" t="s">
        <v>4014</v>
      </c>
      <c r="E37" s="325" t="s">
        <v>4026</v>
      </c>
      <c r="F37" s="348"/>
      <c r="G37" s="348"/>
      <c r="H37" s="349"/>
      <c r="I37" s="348"/>
      <c r="J37" s="348"/>
      <c r="K37" s="350"/>
      <c r="L37" s="350"/>
      <c r="M37" s="350"/>
      <c r="N37" s="350"/>
    </row>
    <row r="38" customFormat="false" ht="13.8" hidden="false" customHeight="false" outlineLevel="0" collapsed="false">
      <c r="A38" s="266"/>
      <c r="B38" s="346" t="s">
        <v>4027</v>
      </c>
      <c r="C38" s="347" t="n">
        <f aca="false">+IF(AND(C25&gt;=Parametros!$B$5,C25&lt;=Parametros!$C$5),$C$25*Parametros!$D$5,IF(AND(C25&gt;Parametros!$C$5,C25&lt;=Parametros!$C$6),$C$25*Parametros!$D$6,IF(C25&gt;Parametros!$C$7,$C$25*Parametros!D7)))</f>
        <v>1250000</v>
      </c>
      <c r="D38" s="281" t="s">
        <v>4014</v>
      </c>
      <c r="E38" s="349"/>
      <c r="F38" s="348"/>
      <c r="G38" s="348"/>
      <c r="H38" s="348"/>
      <c r="I38" s="348"/>
      <c r="J38" s="348"/>
      <c r="K38" s="350"/>
      <c r="L38" s="350"/>
      <c r="M38" s="350"/>
      <c r="N38" s="350"/>
    </row>
    <row r="39" customFormat="false" ht="13.8" hidden="false" customHeight="false" outlineLevel="0" collapsed="false">
      <c r="A39" s="266"/>
      <c r="B39" s="346" t="s">
        <v>4028</v>
      </c>
      <c r="C39" s="347" t="n">
        <f aca="false">+($C$28+$C$29+C19-C20-C21)-($C$26/2)</f>
        <v>781631.402943302</v>
      </c>
      <c r="D39" s="281" t="s">
        <v>4014</v>
      </c>
      <c r="E39" s="349"/>
      <c r="F39" s="348"/>
      <c r="G39" s="348"/>
      <c r="H39" s="348"/>
      <c r="I39" s="348"/>
      <c r="J39" s="348"/>
      <c r="K39" s="350"/>
      <c r="L39" s="350"/>
      <c r="M39" s="350"/>
      <c r="N39" s="350"/>
    </row>
    <row r="40" customFormat="false" ht="13.8" hidden="false" customHeight="false" outlineLevel="0" collapsed="false">
      <c r="A40" s="351" t="s">
        <v>4029</v>
      </c>
      <c r="B40" s="352" t="s">
        <v>4030</v>
      </c>
      <c r="C40" s="353" t="n">
        <f aca="false">+C25*0.5-C28</f>
        <v>650000</v>
      </c>
      <c r="D40" s="281" t="s">
        <v>4014</v>
      </c>
      <c r="E40" s="325" t="s">
        <v>4026</v>
      </c>
      <c r="F40" s="348"/>
      <c r="G40" s="348"/>
      <c r="H40" s="348"/>
      <c r="I40" s="348"/>
      <c r="J40" s="348"/>
      <c r="K40" s="350"/>
      <c r="L40" s="350"/>
      <c r="M40" s="350"/>
      <c r="N40" s="350"/>
    </row>
    <row r="41" customFormat="false" ht="13.8" hidden="false" customHeight="false" outlineLevel="0" collapsed="false">
      <c r="A41" s="351" t="s">
        <v>4031</v>
      </c>
      <c r="B41" s="352" t="s">
        <v>4032</v>
      </c>
      <c r="C41" s="353" t="n">
        <f aca="false">+C40/C34</f>
        <v>325000</v>
      </c>
      <c r="D41" s="281" t="s">
        <v>4014</v>
      </c>
      <c r="E41" s="325"/>
      <c r="F41" s="348"/>
      <c r="G41" s="348"/>
      <c r="H41" s="348"/>
      <c r="I41" s="348"/>
      <c r="J41" s="348"/>
      <c r="K41" s="350"/>
      <c r="L41" s="350"/>
      <c r="M41" s="350"/>
      <c r="N41" s="350"/>
    </row>
    <row r="42" customFormat="false" ht="13.8" hidden="false" customHeight="false" outlineLevel="0" collapsed="false">
      <c r="A42" s="351" t="s">
        <v>4033</v>
      </c>
      <c r="B42" s="352" t="s">
        <v>4034</v>
      </c>
      <c r="C42" s="353" t="n">
        <f aca="false">IF((C37-C38-C39)&lt;0,0,(C37-C38-C39))</f>
        <v>468368.597056698</v>
      </c>
      <c r="D42" s="281" t="s">
        <v>4014</v>
      </c>
      <c r="E42" s="325" t="s">
        <v>4026</v>
      </c>
      <c r="F42" s="348"/>
      <c r="G42" s="348"/>
      <c r="H42" s="348"/>
      <c r="I42" s="348"/>
      <c r="J42" s="348"/>
      <c r="K42" s="350"/>
      <c r="L42" s="350"/>
      <c r="M42" s="350"/>
      <c r="N42" s="350"/>
    </row>
    <row r="43" customFormat="false" ht="13.8" hidden="false" customHeight="false" outlineLevel="0" collapsed="false">
      <c r="A43" s="351" t="s">
        <v>4035</v>
      </c>
      <c r="B43" s="352" t="s">
        <v>4036</v>
      </c>
      <c r="C43" s="353" t="n">
        <f aca="false">+C42/C34</f>
        <v>234184.298528349</v>
      </c>
      <c r="D43" s="281" t="s">
        <v>4014</v>
      </c>
      <c r="E43" s="325"/>
      <c r="F43" s="348"/>
      <c r="G43" s="348"/>
      <c r="H43" s="348"/>
      <c r="I43" s="348"/>
      <c r="J43" s="348"/>
      <c r="K43" s="350"/>
      <c r="L43" s="350"/>
      <c r="M43" s="350"/>
      <c r="N43" s="350"/>
    </row>
    <row r="44" customFormat="false" ht="13.8" hidden="false" customHeight="false" outlineLevel="0" collapsed="false">
      <c r="A44" s="351" t="s">
        <v>4037</v>
      </c>
      <c r="B44" s="352" t="s">
        <v>4038</v>
      </c>
      <c r="C44" s="353" t="n">
        <f aca="false">MIN(C43,C41)</f>
        <v>234184.298528349</v>
      </c>
      <c r="D44" s="281" t="s">
        <v>4014</v>
      </c>
      <c r="E44" s="325"/>
      <c r="F44" s="348"/>
      <c r="G44" s="349"/>
      <c r="H44" s="349"/>
      <c r="I44" s="349"/>
      <c r="J44" s="349"/>
      <c r="K44" s="354"/>
      <c r="L44" s="354"/>
      <c r="M44" s="354"/>
      <c r="N44" s="354"/>
    </row>
    <row r="45" customFormat="false" ht="15" hidden="false" customHeight="true" outlineLevel="0" collapsed="false">
      <c r="A45" s="351" t="s">
        <v>4039</v>
      </c>
      <c r="B45" s="355" t="s">
        <v>4040</v>
      </c>
      <c r="C45" s="356" t="n">
        <f aca="false">IF(C44&lt;=0,"Revisar",IFERROR(FLOOR($C$44*((1-(1+$C$64)^-$C$63)/$C$64),100000),0))</f>
        <v>4900000</v>
      </c>
      <c r="D45" s="281" t="s">
        <v>4014</v>
      </c>
      <c r="E45" s="266"/>
      <c r="F45" s="266"/>
      <c r="G45" s="266"/>
      <c r="H45" s="266"/>
      <c r="I45" s="266"/>
      <c r="J45" s="266"/>
    </row>
    <row r="46" customFormat="false" ht="6" hidden="false" customHeight="true" outlineLevel="0" collapsed="false">
      <c r="A46" s="266"/>
      <c r="B46" s="357"/>
      <c r="C46" s="357"/>
      <c r="D46" s="349"/>
      <c r="E46" s="349"/>
      <c r="F46" s="348"/>
      <c r="G46" s="349"/>
      <c r="H46" s="349"/>
      <c r="I46" s="349"/>
      <c r="J46" s="349"/>
      <c r="K46" s="354"/>
      <c r="L46" s="354"/>
      <c r="M46" s="354"/>
      <c r="N46" s="354"/>
    </row>
    <row r="47" customFormat="false" ht="6.75" hidden="false" customHeight="true" outlineLevel="0" collapsed="false">
      <c r="A47" s="266"/>
      <c r="B47" s="138"/>
      <c r="C47" s="2"/>
      <c r="D47" s="349"/>
      <c r="E47" s="286"/>
      <c r="F47" s="348"/>
      <c r="G47" s="349"/>
      <c r="H47" s="349"/>
      <c r="I47" s="349"/>
      <c r="J47" s="349"/>
      <c r="K47" s="354"/>
      <c r="L47" s="354"/>
      <c r="M47" s="354"/>
      <c r="N47" s="354"/>
    </row>
    <row r="48" customFormat="false" ht="13.8" hidden="false" customHeight="false" outlineLevel="0" collapsed="false">
      <c r="A48" s="266"/>
      <c r="B48" s="138"/>
      <c r="C48" s="2"/>
      <c r="D48" s="349"/>
      <c r="E48" s="286"/>
      <c r="F48" s="348"/>
      <c r="G48" s="349"/>
      <c r="H48" s="349"/>
      <c r="I48" s="349"/>
      <c r="J48" s="349"/>
      <c r="K48" s="354"/>
      <c r="L48" s="354"/>
      <c r="M48" s="354"/>
      <c r="N48" s="354"/>
    </row>
    <row r="49" customFormat="false" ht="13.8" hidden="false" customHeight="false" outlineLevel="0" collapsed="false">
      <c r="A49" s="266"/>
      <c r="B49" s="301" t="s">
        <v>4041</v>
      </c>
      <c r="C49" s="358" t="n">
        <f aca="false">+$C$14+Datos_Iniciales!$C$25</f>
        <v>3500000</v>
      </c>
      <c r="D49" s="306" t="s">
        <v>97</v>
      </c>
      <c r="E49" s="286"/>
      <c r="F49" s="348"/>
      <c r="G49" s="349"/>
      <c r="H49" s="349"/>
      <c r="I49" s="349"/>
      <c r="J49" s="349"/>
      <c r="K49" s="354"/>
      <c r="L49" s="354"/>
      <c r="M49" s="354"/>
      <c r="N49" s="354"/>
    </row>
    <row r="50" customFormat="false" ht="13.8" hidden="false" customHeight="false" outlineLevel="0" collapsed="false">
      <c r="A50" s="266"/>
      <c r="B50" s="332" t="s">
        <v>4042</v>
      </c>
      <c r="C50" s="333" t="n">
        <v>0</v>
      </c>
      <c r="D50" s="334" t="s">
        <v>4012</v>
      </c>
      <c r="E50" s="286"/>
      <c r="F50" s="348"/>
      <c r="G50" s="349"/>
      <c r="H50" s="349"/>
      <c r="I50" s="349"/>
      <c r="J50" s="349"/>
      <c r="K50" s="354"/>
      <c r="L50" s="354"/>
      <c r="M50" s="354"/>
      <c r="N50" s="354"/>
    </row>
    <row r="51" customFormat="false" ht="13.8" hidden="false" customHeight="false" outlineLevel="0" collapsed="false">
      <c r="A51" s="266"/>
      <c r="B51" s="332" t="s">
        <v>4043</v>
      </c>
      <c r="C51" s="333" t="n">
        <v>0</v>
      </c>
      <c r="D51" s="334" t="s">
        <v>4012</v>
      </c>
      <c r="E51" s="286"/>
      <c r="F51" s="348"/>
      <c r="G51" s="349"/>
      <c r="H51" s="349"/>
      <c r="I51" s="349"/>
      <c r="J51" s="349"/>
      <c r="K51" s="354"/>
      <c r="L51" s="354"/>
      <c r="M51" s="354"/>
      <c r="N51" s="354"/>
    </row>
    <row r="52" customFormat="false" ht="13.8" hidden="false" customHeight="false" outlineLevel="0" collapsed="false">
      <c r="A52" s="266"/>
      <c r="B52" s="359" t="s">
        <v>4044</v>
      </c>
      <c r="C52" s="360" t="n">
        <f aca="false">SUM(C49:C51)</f>
        <v>3500000</v>
      </c>
      <c r="D52" s="281" t="s">
        <v>4014</v>
      </c>
      <c r="E52" s="361"/>
      <c r="F52" s="348"/>
      <c r="G52" s="349"/>
      <c r="H52" s="349"/>
      <c r="I52" s="349"/>
      <c r="J52" s="349"/>
      <c r="K52" s="354"/>
      <c r="L52" s="354"/>
      <c r="M52" s="354"/>
      <c r="N52" s="354"/>
    </row>
    <row r="53" customFormat="false" ht="24" hidden="false" customHeight="true" outlineLevel="0" collapsed="false">
      <c r="A53" s="340" t="s">
        <v>4045</v>
      </c>
      <c r="B53" s="341" t="s">
        <v>4046</v>
      </c>
      <c r="C53" s="356" t="n">
        <f aca="false">FLOOR(C52+C6-C15,100000)</f>
        <v>4500000</v>
      </c>
      <c r="D53" s="281" t="s">
        <v>4014</v>
      </c>
      <c r="E53" s="362" t="s">
        <v>4047</v>
      </c>
      <c r="G53" s="349"/>
      <c r="H53" s="349"/>
      <c r="I53" s="349"/>
      <c r="J53" s="349"/>
      <c r="K53" s="354"/>
      <c r="L53" s="354"/>
      <c r="M53" s="354"/>
      <c r="N53" s="354"/>
    </row>
    <row r="54" customFormat="false" ht="24" hidden="false" customHeight="true" outlineLevel="0" collapsed="false">
      <c r="A54" s="286"/>
      <c r="B54" s="286"/>
      <c r="C54" s="286"/>
      <c r="D54" s="286"/>
      <c r="E54" s="286"/>
      <c r="F54" s="362"/>
      <c r="G54" s="349"/>
      <c r="H54" s="349"/>
      <c r="I54" s="349"/>
      <c r="J54" s="349"/>
      <c r="K54" s="354"/>
      <c r="L54" s="354"/>
      <c r="M54" s="354"/>
      <c r="N54" s="354"/>
    </row>
    <row r="55" customFormat="false" ht="15" hidden="false" customHeight="true" outlineLevel="0" collapsed="false">
      <c r="A55" s="363" t="s">
        <v>4048</v>
      </c>
      <c r="B55" s="341" t="s">
        <v>4049</v>
      </c>
      <c r="C55" s="356" t="n">
        <f aca="false">MIN(C45,C53)</f>
        <v>4500000</v>
      </c>
      <c r="D55" s="281" t="s">
        <v>4014</v>
      </c>
      <c r="E55" s="266"/>
      <c r="F55" s="266"/>
      <c r="G55" s="266"/>
      <c r="H55" s="266"/>
      <c r="I55" s="266"/>
      <c r="J55" s="266"/>
    </row>
    <row r="56" customFormat="false" ht="11.25" hidden="false" customHeight="true" outlineLevel="0" collapsed="false">
      <c r="A56" s="266"/>
      <c r="B56" s="266"/>
      <c r="C56" s="364" t="str">
        <f aca="false">+IF(C45="Revisar","OJO revisar CME",IF(C45&lt;C61,"OJO revisar CME",""))</f>
        <v/>
      </c>
      <c r="D56" s="365"/>
      <c r="E56" s="266"/>
      <c r="F56" s="266"/>
      <c r="G56" s="266"/>
      <c r="H56" s="266"/>
      <c r="I56" s="266"/>
      <c r="J56" s="266"/>
    </row>
    <row r="57" customFormat="false" ht="11.25" hidden="false" customHeight="true" outlineLevel="0" collapsed="false">
      <c r="A57" s="266"/>
      <c r="B57" s="266"/>
      <c r="C57" s="364"/>
      <c r="D57" s="365"/>
      <c r="E57" s="266"/>
      <c r="F57" s="266"/>
      <c r="G57" s="266"/>
      <c r="H57" s="266"/>
      <c r="I57" s="266"/>
      <c r="J57" s="266"/>
    </row>
    <row r="58" customFormat="false" ht="13.5" hidden="false" customHeight="false" outlineLevel="0" collapsed="false">
      <c r="A58" s="266"/>
      <c r="B58" s="266"/>
      <c r="C58" s="266"/>
      <c r="D58" s="266"/>
      <c r="E58" s="266"/>
      <c r="F58" s="266"/>
      <c r="G58" s="266"/>
      <c r="H58" s="266"/>
      <c r="I58" s="266"/>
      <c r="J58" s="266"/>
    </row>
    <row r="59" customFormat="false" ht="6" hidden="false" customHeight="true" outlineLevel="0" collapsed="false">
      <c r="A59" s="266"/>
      <c r="B59" s="366"/>
      <c r="C59" s="366"/>
      <c r="D59" s="266"/>
      <c r="E59" s="266"/>
      <c r="F59" s="266"/>
      <c r="G59" s="266"/>
      <c r="H59" s="266"/>
      <c r="I59" s="266"/>
      <c r="J59" s="266"/>
    </row>
    <row r="60" customFormat="false" ht="13.5" hidden="false" customHeight="false" outlineLevel="0" collapsed="false">
      <c r="B60" s="301" t="s">
        <v>4050</v>
      </c>
      <c r="C60" s="367" t="str">
        <f aca="false">+VLOOKUP(Datos_Iniciales!$C$6,'Lineas de Credito'!$A$5:$C$238,3,FALSE())</f>
        <v>Cred.Ord. Gerencia</v>
      </c>
      <c r="D60" s="324" t="s">
        <v>4009</v>
      </c>
      <c r="E60" s="266"/>
      <c r="F60" s="266"/>
      <c r="G60" s="266"/>
      <c r="H60" s="266"/>
      <c r="I60" s="266"/>
      <c r="J60" s="266"/>
    </row>
    <row r="61" customFormat="false" ht="13.5" hidden="false" customHeight="false" outlineLevel="0" collapsed="false">
      <c r="A61" s="341" t="s">
        <v>4051</v>
      </c>
      <c r="B61" s="304" t="s">
        <v>4052</v>
      </c>
      <c r="C61" s="329" t="n">
        <v>4000000</v>
      </c>
      <c r="D61" s="324" t="s">
        <v>4009</v>
      </c>
      <c r="F61" s="266"/>
      <c r="G61" s="266"/>
      <c r="H61" s="266"/>
      <c r="I61" s="266"/>
      <c r="J61" s="266"/>
    </row>
    <row r="62" customFormat="false" ht="13.5" hidden="false" customHeight="false" outlineLevel="0" collapsed="false">
      <c r="A62" s="340" t="s">
        <v>4053</v>
      </c>
      <c r="B62" s="368" t="s">
        <v>4054</v>
      </c>
      <c r="C62" s="369" t="n">
        <f aca="false">+NOMINAL(C32,C63)</f>
        <v>0.264969451628689</v>
      </c>
      <c r="D62" s="281" t="s">
        <v>4014</v>
      </c>
      <c r="E62" s="266"/>
      <c r="F62" s="266"/>
      <c r="G62" s="266"/>
      <c r="H62" s="266"/>
      <c r="I62" s="266"/>
      <c r="J62" s="266"/>
    </row>
    <row r="63" customFormat="false" ht="13.5" hidden="false" customHeight="false" outlineLevel="0" collapsed="false">
      <c r="A63" s="340" t="s">
        <v>4055</v>
      </c>
      <c r="B63" s="368" t="s">
        <v>4056</v>
      </c>
      <c r="C63" s="370" t="n">
        <f aca="false">IF(C33="Mensual",12,IF(C33="Quincenal",24,IF(C33="Semanal",52,"")))</f>
        <v>24</v>
      </c>
      <c r="D63" s="281" t="s">
        <v>4014</v>
      </c>
      <c r="E63" s="266"/>
      <c r="F63" s="266"/>
      <c r="G63" s="266"/>
      <c r="H63" s="266"/>
      <c r="I63" s="266"/>
      <c r="J63" s="266"/>
    </row>
    <row r="64" customFormat="false" ht="13.5" hidden="false" customHeight="false" outlineLevel="0" collapsed="false">
      <c r="A64" s="340" t="s">
        <v>4057</v>
      </c>
      <c r="B64" s="368" t="s">
        <v>4054</v>
      </c>
      <c r="C64" s="369" t="n">
        <f aca="false">+C62/C63</f>
        <v>0.011040393817862</v>
      </c>
      <c r="D64" s="281" t="s">
        <v>4014</v>
      </c>
      <c r="E64" s="266"/>
      <c r="F64" s="266"/>
      <c r="G64" s="266"/>
      <c r="H64" s="266"/>
      <c r="I64" s="266"/>
      <c r="J64" s="266"/>
    </row>
    <row r="65" customFormat="false" ht="13.5" hidden="false" customHeight="false" outlineLevel="0" collapsed="false">
      <c r="A65" s="341" t="s">
        <v>4058</v>
      </c>
      <c r="B65" s="341" t="s">
        <v>4059</v>
      </c>
      <c r="C65" s="371" t="n">
        <f aca="false">PMT(C64,C63,-C61)</f>
        <v>190634.461743914</v>
      </c>
      <c r="D65" s="281" t="s">
        <v>4014</v>
      </c>
      <c r="E65" s="307"/>
      <c r="F65" s="307"/>
      <c r="G65" s="307"/>
      <c r="H65" s="307"/>
      <c r="I65" s="307"/>
      <c r="J65" s="307"/>
      <c r="K65" s="161"/>
      <c r="L65" s="161"/>
      <c r="M65" s="161"/>
      <c r="N65" s="161"/>
    </row>
    <row r="66" customFormat="false" ht="11.25" hidden="false" customHeight="true" outlineLevel="0" collapsed="false">
      <c r="A66" s="266"/>
      <c r="B66" s="266"/>
      <c r="C66" s="364"/>
      <c r="D66" s="365"/>
      <c r="E66" s="266"/>
      <c r="F66" s="266"/>
      <c r="G66" s="266"/>
      <c r="H66" s="266"/>
      <c r="I66" s="266"/>
      <c r="J66" s="266"/>
    </row>
    <row r="67" customFormat="false" ht="21.75" hidden="false" customHeight="true" outlineLevel="0" collapsed="false">
      <c r="A67" s="341" t="s">
        <v>4060</v>
      </c>
      <c r="B67" s="341" t="s">
        <v>4061</v>
      </c>
      <c r="C67" s="371" t="n">
        <v>2000000</v>
      </c>
      <c r="D67" s="292" t="s">
        <v>3985</v>
      </c>
      <c r="E67" s="266"/>
      <c r="F67" s="266"/>
      <c r="G67" s="266"/>
      <c r="H67" s="266"/>
      <c r="I67" s="266"/>
      <c r="J67" s="266"/>
    </row>
    <row r="68" customFormat="false" ht="11.25" hidden="false" customHeight="true" outlineLevel="0" collapsed="false">
      <c r="A68" s="340"/>
      <c r="B68" s="340"/>
      <c r="C68" s="372"/>
      <c r="D68" s="365"/>
      <c r="E68" s="266"/>
      <c r="F68" s="266"/>
      <c r="G68" s="266"/>
      <c r="H68" s="266"/>
      <c r="I68" s="266"/>
      <c r="J68" s="266"/>
    </row>
    <row r="69" customFormat="false" ht="18.75" hidden="false" customHeight="true" outlineLevel="0" collapsed="false">
      <c r="A69" s="341" t="s">
        <v>4062</v>
      </c>
      <c r="B69" s="341" t="s">
        <v>4063</v>
      </c>
      <c r="C69" s="373" t="n">
        <f aca="false">IF(C55&gt;=C61,1,0)</f>
        <v>1</v>
      </c>
      <c r="D69" s="281" t="s">
        <v>4014</v>
      </c>
      <c r="E69" s="374" t="s">
        <v>4064</v>
      </c>
      <c r="F69" s="266"/>
      <c r="G69" s="266"/>
      <c r="H69" s="266"/>
      <c r="I69" s="266"/>
      <c r="J69" s="266"/>
    </row>
    <row r="70" customFormat="false" ht="18.75" hidden="false" customHeight="true" outlineLevel="0" collapsed="false">
      <c r="A70" s="341" t="s">
        <v>4065</v>
      </c>
      <c r="B70" s="341" t="s">
        <v>4066</v>
      </c>
      <c r="C70" s="373" t="n">
        <f aca="false">IF(AND(C55&gt;=C67,C69=0),1,0)</f>
        <v>0</v>
      </c>
      <c r="D70" s="281" t="s">
        <v>4014</v>
      </c>
      <c r="E70" s="374" t="s">
        <v>4064</v>
      </c>
      <c r="F70" s="266"/>
      <c r="G70" s="266"/>
      <c r="H70" s="266"/>
      <c r="I70" s="266"/>
      <c r="J70" s="266"/>
    </row>
    <row r="71" customFormat="false" ht="18.75" hidden="false" customHeight="true" outlineLevel="0" collapsed="false">
      <c r="A71" s="341" t="s">
        <v>4067</v>
      </c>
      <c r="B71" s="341" t="s">
        <v>4068</v>
      </c>
      <c r="C71" s="373" t="n">
        <f aca="false">IF(AND(C67&gt;C55,C69=0,C70=0),1,0)</f>
        <v>0</v>
      </c>
      <c r="D71" s="281" t="s">
        <v>4014</v>
      </c>
      <c r="E71" s="374" t="s">
        <v>4064</v>
      </c>
      <c r="F71" s="266"/>
      <c r="G71" s="266"/>
      <c r="H71" s="266"/>
      <c r="I71" s="266"/>
      <c r="J71" s="266"/>
    </row>
    <row r="72" customFormat="false" ht="11.25" hidden="false" customHeight="true" outlineLevel="0" collapsed="false">
      <c r="A72" s="266"/>
      <c r="B72" s="266"/>
      <c r="C72" s="364"/>
      <c r="D72" s="365"/>
      <c r="E72" s="266"/>
      <c r="F72" s="266"/>
      <c r="G72" s="266"/>
      <c r="H72" s="266"/>
      <c r="I72" s="266"/>
      <c r="J72" s="266"/>
    </row>
    <row r="73" customFormat="false" ht="11.25" hidden="false" customHeight="true" outlineLevel="0" collapsed="false">
      <c r="A73" s="266"/>
      <c r="B73" s="375"/>
      <c r="C73" s="364"/>
      <c r="D73" s="365"/>
      <c r="E73" s="266"/>
      <c r="F73" s="266"/>
      <c r="G73" s="266"/>
      <c r="H73" s="266"/>
      <c r="I73" s="266"/>
      <c r="J73" s="266"/>
    </row>
    <row r="74" customFormat="false" ht="21.75" hidden="false" customHeight="true" outlineLevel="0" collapsed="false">
      <c r="A74" s="341" t="s">
        <v>4069</v>
      </c>
      <c r="B74" s="341" t="s">
        <v>4070</v>
      </c>
      <c r="C74" s="371" t="n">
        <f aca="false">IF(C69=1,C55,IF(C70=1,C55,
IF(C71=1,0,"Revisar")
))</f>
        <v>4500000</v>
      </c>
      <c r="D74" s="281" t="s">
        <v>4014</v>
      </c>
      <c r="E74" s="266"/>
      <c r="F74" s="266"/>
      <c r="G74" s="266"/>
      <c r="H74" s="266"/>
      <c r="I74" s="266"/>
      <c r="J74" s="266"/>
    </row>
    <row r="75" customFormat="false" ht="21.75" hidden="false" customHeight="true" outlineLevel="0" collapsed="false">
      <c r="A75" s="341" t="s">
        <v>4071</v>
      </c>
      <c r="B75" s="341" t="s">
        <v>4072</v>
      </c>
      <c r="C75" s="371" t="n">
        <f aca="false">PMT(C64,C63,-C74)</f>
        <v>214463.769461903</v>
      </c>
      <c r="D75" s="281" t="s">
        <v>4014</v>
      </c>
      <c r="E75" s="266"/>
      <c r="F75" s="266"/>
      <c r="G75" s="266"/>
      <c r="H75" s="266"/>
      <c r="I75" s="266"/>
      <c r="J75" s="266"/>
    </row>
    <row r="76" customFormat="false" ht="21.75" hidden="false" customHeight="true" outlineLevel="0" collapsed="false">
      <c r="A76" s="341" t="s">
        <v>4073</v>
      </c>
      <c r="B76" s="341" t="s">
        <v>4074</v>
      </c>
      <c r="C76" s="371" t="str">
        <f aca="false">IF(C69=1,"Preaprobado",IF(C70=1,"Preaprobado",
IF(C71=1,"No viable","Revisar")
))</f>
        <v>Preaprobado</v>
      </c>
      <c r="D76" s="281" t="s">
        <v>4014</v>
      </c>
      <c r="E76" s="266"/>
      <c r="F76" s="266"/>
      <c r="G76" s="266"/>
      <c r="H76" s="266"/>
      <c r="I76" s="266"/>
      <c r="J76" s="266"/>
    </row>
    <row r="77" customFormat="false" ht="11.25" hidden="false" customHeight="true" outlineLevel="0" collapsed="false">
      <c r="A77" s="266"/>
      <c r="B77" s="266"/>
      <c r="C77" s="364"/>
      <c r="D77" s="365"/>
      <c r="E77" s="266"/>
      <c r="F77" s="266"/>
      <c r="G77" s="266"/>
      <c r="H77" s="266"/>
      <c r="I77" s="266"/>
      <c r="J77" s="266"/>
    </row>
    <row r="78" customFormat="false" ht="11.25" hidden="false" customHeight="true" outlineLevel="0" collapsed="false">
      <c r="A78" s="266"/>
      <c r="B78" s="266"/>
      <c r="C78" s="364"/>
      <c r="D78" s="365"/>
      <c r="E78" s="266"/>
      <c r="F78" s="266"/>
      <c r="G78" s="266"/>
      <c r="H78" s="266"/>
      <c r="I78" s="266"/>
      <c r="J78" s="266"/>
    </row>
    <row r="79" customFormat="false" ht="6" hidden="false" customHeight="true" outlineLevel="0" collapsed="false">
      <c r="A79" s="266"/>
      <c r="B79" s="357"/>
      <c r="C79" s="357"/>
      <c r="D79" s="349"/>
      <c r="E79" s="349"/>
      <c r="F79" s="348"/>
      <c r="G79" s="349"/>
      <c r="H79" s="349"/>
      <c r="I79" s="349"/>
      <c r="J79" s="349"/>
      <c r="K79" s="354"/>
      <c r="L79" s="354"/>
      <c r="M79" s="354"/>
      <c r="N79" s="354"/>
    </row>
    <row r="80" customFormat="false" ht="6" hidden="false" customHeight="true" outlineLevel="0" collapsed="false">
      <c r="A80" s="266"/>
      <c r="B80" s="357"/>
      <c r="C80" s="357"/>
      <c r="D80" s="349"/>
      <c r="E80" s="349"/>
      <c r="F80" s="348"/>
      <c r="G80" s="349"/>
      <c r="H80" s="349"/>
      <c r="I80" s="349"/>
      <c r="J80" s="349"/>
      <c r="K80" s="354"/>
      <c r="L80" s="354"/>
      <c r="M80" s="354"/>
      <c r="N80" s="354"/>
    </row>
    <row r="81" customFormat="false" ht="6" hidden="false" customHeight="true" outlineLevel="0" collapsed="false">
      <c r="A81" s="266"/>
      <c r="B81" s="357"/>
      <c r="C81" s="357"/>
      <c r="D81" s="349"/>
      <c r="E81" s="349"/>
      <c r="F81" s="348"/>
      <c r="G81" s="349"/>
      <c r="H81" s="349"/>
      <c r="I81" s="349"/>
      <c r="J81" s="349"/>
      <c r="K81" s="354"/>
      <c r="L81" s="354"/>
      <c r="M81" s="354"/>
      <c r="N81" s="354"/>
    </row>
    <row r="82" customFormat="false" ht="6" hidden="false" customHeight="true" outlineLevel="0" collapsed="false">
      <c r="A82" s="266"/>
      <c r="B82" s="349"/>
      <c r="C82" s="349"/>
      <c r="D82" s="349"/>
      <c r="E82" s="349"/>
      <c r="F82" s="348"/>
      <c r="G82" s="349"/>
      <c r="H82" s="349"/>
      <c r="I82" s="349"/>
      <c r="J82" s="349"/>
      <c r="K82" s="354"/>
      <c r="L82" s="354"/>
      <c r="M82" s="354"/>
      <c r="N82" s="354"/>
    </row>
    <row r="83" customFormat="false" ht="13.8" hidden="false" customHeight="false" outlineLevel="0" collapsed="false">
      <c r="A83" s="266"/>
      <c r="B83" s="301" t="s">
        <v>4075</v>
      </c>
      <c r="C83" s="349"/>
      <c r="D83" s="349"/>
      <c r="E83" s="349"/>
      <c r="F83" s="348"/>
      <c r="G83" s="349"/>
      <c r="H83" s="349"/>
      <c r="I83" s="349"/>
      <c r="J83" s="349"/>
      <c r="K83" s="354"/>
      <c r="L83" s="354"/>
      <c r="M83" s="354"/>
      <c r="N83" s="354"/>
    </row>
    <row r="84" customFormat="false" ht="13.5" hidden="false" customHeight="false" outlineLevel="0" collapsed="false">
      <c r="A84" s="341" t="s">
        <v>4076</v>
      </c>
      <c r="B84" s="301" t="s">
        <v>4077</v>
      </c>
      <c r="C84" s="376" t="n">
        <f aca="false">+IFERROR(MROUND(($C$28)/$O$5,1%),"")</f>
        <v>0.26</v>
      </c>
      <c r="D84" s="281" t="s">
        <v>4014</v>
      </c>
      <c r="E84" s="349"/>
      <c r="F84" s="348"/>
      <c r="G84" s="349"/>
      <c r="H84" s="349"/>
      <c r="I84" s="349"/>
      <c r="J84" s="349"/>
      <c r="K84" s="354"/>
      <c r="L84" s="354"/>
      <c r="M84" s="354"/>
      <c r="N84" s="354"/>
    </row>
    <row r="85" customFormat="false" ht="13.5" hidden="false" customHeight="false" outlineLevel="0" collapsed="false">
      <c r="A85" s="341" t="s">
        <v>4078</v>
      </c>
      <c r="B85" s="304" t="s">
        <v>4079</v>
      </c>
      <c r="C85" s="377" t="n">
        <f aca="false">+IFERROR(MROUND(($C$28+$C$16)/$O$5,1%),"")</f>
        <v>0.26</v>
      </c>
      <c r="D85" s="281" t="s">
        <v>4014</v>
      </c>
      <c r="E85" s="348"/>
      <c r="F85" s="348"/>
      <c r="G85" s="349"/>
      <c r="H85" s="349"/>
      <c r="I85" s="349"/>
      <c r="J85" s="349"/>
      <c r="K85" s="354"/>
      <c r="L85" s="354"/>
      <c r="M85" s="354"/>
      <c r="N85" s="354"/>
    </row>
    <row r="86" customFormat="false" ht="13.5" hidden="false" customHeight="false" outlineLevel="0" collapsed="false">
      <c r="A86" s="341" t="s">
        <v>4080</v>
      </c>
      <c r="B86" s="341" t="s">
        <v>4081</v>
      </c>
      <c r="C86" s="378" t="n">
        <f aca="false">+IFERROR(MROUND(($C$28+$C$75-C20)/$O$5,1%),"")</f>
        <v>0.35</v>
      </c>
      <c r="D86" s="281" t="s">
        <v>4014</v>
      </c>
      <c r="E86" s="286"/>
      <c r="F86" s="348"/>
      <c r="G86" s="349"/>
      <c r="H86" s="349"/>
      <c r="I86" s="349"/>
      <c r="J86" s="349"/>
      <c r="K86" s="354"/>
      <c r="L86" s="354"/>
      <c r="M86" s="354"/>
      <c r="N86" s="354"/>
    </row>
    <row r="87" customFormat="false" ht="13.5" hidden="false" customHeight="false" outlineLevel="0" collapsed="false">
      <c r="A87" s="341" t="s">
        <v>4082</v>
      </c>
      <c r="B87" s="341" t="s">
        <v>4083</v>
      </c>
      <c r="C87" s="378" t="n">
        <f aca="false">+IFERROR(MROUND(($C$28+$C$75+$C$16-C20)/$O$5,1%),"")</f>
        <v>0.35</v>
      </c>
      <c r="D87" s="281" t="s">
        <v>4014</v>
      </c>
      <c r="E87" s="286"/>
      <c r="F87" s="348"/>
      <c r="G87" s="349"/>
      <c r="H87" s="349"/>
      <c r="I87" s="349"/>
      <c r="J87" s="349"/>
      <c r="K87" s="354"/>
      <c r="L87" s="354"/>
      <c r="M87" s="354"/>
      <c r="N87" s="354"/>
    </row>
    <row r="88" customFormat="false" ht="13.5" hidden="false" customHeight="false" outlineLevel="0" collapsed="false">
      <c r="A88" s="341" t="s">
        <v>4084</v>
      </c>
      <c r="B88" s="341" t="s">
        <v>4085</v>
      </c>
      <c r="C88" s="378" t="n">
        <v>0.5</v>
      </c>
      <c r="D88" s="281" t="s">
        <v>4014</v>
      </c>
      <c r="E88" s="286"/>
      <c r="F88" s="348"/>
      <c r="G88" s="349"/>
      <c r="H88" s="349"/>
      <c r="I88" s="349"/>
      <c r="J88" s="349"/>
      <c r="K88" s="354"/>
      <c r="L88" s="354"/>
      <c r="M88" s="354"/>
      <c r="N88" s="354"/>
    </row>
    <row r="89" customFormat="false" ht="16.4" hidden="false" customHeight="false" outlineLevel="0" collapsed="false">
      <c r="A89" s="341" t="s">
        <v>4086</v>
      </c>
      <c r="B89" s="341" t="s">
        <v>4087</v>
      </c>
      <c r="C89" s="373" t="n">
        <f aca="false">IF(C86&lt;=C88,1,0)</f>
        <v>1</v>
      </c>
      <c r="D89" s="281" t="s">
        <v>4014</v>
      </c>
      <c r="E89" s="374" t="s">
        <v>4088</v>
      </c>
      <c r="F89" s="348"/>
      <c r="G89" s="349"/>
      <c r="H89" s="349"/>
      <c r="I89" s="349"/>
      <c r="J89" s="349"/>
      <c r="K89" s="354"/>
      <c r="L89" s="354"/>
      <c r="M89" s="354"/>
      <c r="N89" s="354"/>
    </row>
    <row r="90" customFormat="false" ht="13.5" hidden="false" customHeight="false" outlineLevel="0" collapsed="false">
      <c r="A90" s="266"/>
      <c r="B90" s="379" t="s">
        <v>937</v>
      </c>
      <c r="C90" s="380" t="n">
        <f aca="false">+IFERROR(INDEX(Base_Asociados!$B$6:$V$9877,MATCH($C$11,Base_Asociados!$B$6:$B$9877,0),MATCH($B90,Base_Asociados!$B$5:$V$5,0)),0)</f>
        <v>267259.04</v>
      </c>
      <c r="D90" s="334" t="s">
        <v>4012</v>
      </c>
      <c r="E90" s="286"/>
      <c r="F90" s="348"/>
      <c r="G90" s="349"/>
      <c r="H90" s="349"/>
      <c r="I90" s="349"/>
      <c r="J90" s="349"/>
      <c r="K90" s="354"/>
      <c r="L90" s="354"/>
      <c r="M90" s="354"/>
      <c r="N90" s="354"/>
    </row>
    <row r="91" customFormat="false" ht="13.8" hidden="false" customHeight="false" outlineLevel="0" collapsed="false">
      <c r="A91" s="266"/>
      <c r="B91" s="266"/>
      <c r="C91" s="266"/>
      <c r="D91" s="266"/>
      <c r="E91" s="286"/>
      <c r="F91" s="348"/>
      <c r="G91" s="349"/>
      <c r="H91" s="349"/>
      <c r="I91" s="349"/>
      <c r="J91" s="349"/>
      <c r="K91" s="354"/>
      <c r="L91" s="354"/>
      <c r="M91" s="354"/>
      <c r="N91" s="354"/>
    </row>
    <row r="92" customFormat="false" ht="13.8" hidden="false" customHeight="false" outlineLevel="0" collapsed="false">
      <c r="A92" s="266"/>
      <c r="B92" s="301" t="s">
        <v>4089</v>
      </c>
      <c r="C92" s="266"/>
      <c r="D92" s="266"/>
      <c r="E92" s="286"/>
      <c r="F92" s="348"/>
      <c r="G92" s="349"/>
      <c r="H92" s="349"/>
      <c r="I92" s="349"/>
      <c r="J92" s="349"/>
      <c r="K92" s="354"/>
      <c r="L92" s="354"/>
      <c r="M92" s="354"/>
      <c r="N92" s="354"/>
    </row>
    <row r="93" customFormat="false" ht="13.8" hidden="false" customHeight="false" outlineLevel="0" collapsed="false">
      <c r="A93" s="341" t="s">
        <v>4090</v>
      </c>
      <c r="B93" s="341" t="s">
        <v>4091</v>
      </c>
      <c r="C93" s="381" t="n">
        <f aca="false">+IFERROR((C39+C75)/($C$25),"")</f>
        <v>0.398438068962082</v>
      </c>
      <c r="D93" s="281" t="s">
        <v>4014</v>
      </c>
      <c r="E93" s="286"/>
      <c r="F93" s="348"/>
      <c r="G93" s="349"/>
      <c r="H93" s="349"/>
      <c r="I93" s="349"/>
      <c r="J93" s="349"/>
      <c r="K93" s="354"/>
      <c r="L93" s="354"/>
      <c r="M93" s="354"/>
      <c r="N93" s="354"/>
    </row>
    <row r="94" customFormat="false" ht="16.4" hidden="false" customHeight="false" outlineLevel="0" collapsed="false">
      <c r="A94" s="341" t="s">
        <v>4092</v>
      </c>
      <c r="B94" s="341" t="s">
        <v>4087</v>
      </c>
      <c r="C94" s="373" t="n">
        <f aca="false">+IF(C93&lt;=1,1,0)</f>
        <v>1</v>
      </c>
      <c r="D94" s="281" t="s">
        <v>4014</v>
      </c>
      <c r="E94" s="374" t="s">
        <v>4088</v>
      </c>
      <c r="F94" s="348"/>
      <c r="G94" s="349"/>
      <c r="H94" s="349"/>
      <c r="I94" s="349"/>
      <c r="J94" s="349"/>
      <c r="K94" s="354"/>
      <c r="L94" s="354"/>
      <c r="M94" s="354"/>
      <c r="N94" s="354"/>
    </row>
    <row r="95" customFormat="false" ht="13.8" hidden="false" customHeight="false" outlineLevel="0" collapsed="false">
      <c r="A95" s="266"/>
      <c r="B95" s="359"/>
      <c r="C95" s="359"/>
      <c r="D95" s="286"/>
      <c r="E95" s="286"/>
      <c r="F95" s="348"/>
      <c r="G95" s="349"/>
      <c r="H95" s="349"/>
      <c r="I95" s="349"/>
      <c r="J95" s="349"/>
      <c r="K95" s="354"/>
      <c r="L95" s="354"/>
      <c r="M95" s="354"/>
      <c r="N95" s="354"/>
    </row>
    <row r="96" customFormat="false" ht="13.8" hidden="false" customHeight="false" outlineLevel="0" collapsed="false">
      <c r="A96" s="266"/>
      <c r="B96" s="301" t="s">
        <v>4093</v>
      </c>
      <c r="C96" s="266"/>
      <c r="D96" s="266"/>
      <c r="E96" s="286"/>
      <c r="F96" s="348"/>
      <c r="G96" s="349"/>
      <c r="H96" s="349"/>
      <c r="I96" s="349"/>
      <c r="J96" s="349"/>
      <c r="K96" s="354"/>
      <c r="L96" s="354"/>
      <c r="M96" s="354"/>
      <c r="N96" s="354"/>
    </row>
    <row r="97" customFormat="false" ht="13.8" hidden="false" customHeight="false" outlineLevel="0" collapsed="false">
      <c r="A97" s="341" t="s">
        <v>4094</v>
      </c>
      <c r="B97" s="341" t="s">
        <v>4095</v>
      </c>
      <c r="C97" s="371" t="n">
        <f aca="false">+C37-C38-C39-C75</f>
        <v>253904.827594795</v>
      </c>
      <c r="D97" s="281" t="s">
        <v>4014</v>
      </c>
      <c r="E97" s="286"/>
      <c r="F97" s="348"/>
      <c r="G97" s="349"/>
      <c r="H97" s="349"/>
      <c r="I97" s="349"/>
      <c r="J97" s="349"/>
      <c r="K97" s="354"/>
      <c r="L97" s="354"/>
      <c r="M97" s="354"/>
      <c r="N97" s="354"/>
    </row>
    <row r="98" customFormat="false" ht="16.4" hidden="false" customHeight="false" outlineLevel="0" collapsed="false">
      <c r="A98" s="341" t="s">
        <v>4096</v>
      </c>
      <c r="B98" s="341" t="s">
        <v>4087</v>
      </c>
      <c r="C98" s="373" t="n">
        <f aca="false">+IF(C97&gt;10000,1,0)</f>
        <v>1</v>
      </c>
      <c r="D98" s="281" t="s">
        <v>4014</v>
      </c>
      <c r="E98" s="374" t="s">
        <v>4088</v>
      </c>
      <c r="F98" s="348"/>
      <c r="G98" s="349"/>
      <c r="H98" s="349"/>
      <c r="I98" s="349"/>
      <c r="J98" s="349"/>
      <c r="K98" s="354"/>
      <c r="L98" s="354"/>
      <c r="M98" s="354"/>
      <c r="N98" s="354"/>
    </row>
    <row r="99" s="384" customFormat="true" ht="13.8" hidden="false" customHeight="false" outlineLevel="0" collapsed="false">
      <c r="A99" s="382"/>
      <c r="B99" s="383"/>
      <c r="C99" s="383"/>
      <c r="E99" s="385"/>
      <c r="F99" s="350"/>
      <c r="G99" s="354"/>
      <c r="H99" s="354"/>
      <c r="I99" s="354"/>
      <c r="J99" s="354"/>
      <c r="K99" s="354"/>
      <c r="L99" s="354"/>
      <c r="M99" s="354"/>
      <c r="N99" s="354"/>
    </row>
    <row r="100" customFormat="false" ht="13.8" hidden="false" customHeight="false" outlineLevel="0" collapsed="false">
      <c r="A100" s="266"/>
      <c r="B100" s="301" t="s">
        <v>4097</v>
      </c>
      <c r="C100" s="266"/>
      <c r="D100" s="266"/>
      <c r="E100" s="286"/>
      <c r="F100" s="348"/>
      <c r="G100" s="349"/>
      <c r="H100" s="349"/>
      <c r="I100" s="349"/>
      <c r="J100" s="349"/>
      <c r="K100" s="354"/>
      <c r="L100" s="354"/>
      <c r="M100" s="354"/>
      <c r="N100" s="354"/>
    </row>
    <row r="101" customFormat="false" ht="13.8" hidden="false" customHeight="false" outlineLevel="0" collapsed="false">
      <c r="A101" s="341" t="s">
        <v>4098</v>
      </c>
      <c r="B101" s="341" t="s">
        <v>4099</v>
      </c>
      <c r="C101" s="371" t="n">
        <f aca="false">+C6</f>
        <v>3501810</v>
      </c>
      <c r="D101" s="281" t="s">
        <v>4014</v>
      </c>
      <c r="F101" s="348"/>
      <c r="G101" s="349"/>
      <c r="H101" s="349"/>
      <c r="I101" s="349"/>
      <c r="J101" s="349"/>
      <c r="K101" s="354"/>
      <c r="L101" s="354"/>
      <c r="M101" s="354"/>
      <c r="N101" s="354"/>
    </row>
    <row r="102" customFormat="false" ht="13.8" hidden="false" customHeight="false" outlineLevel="0" collapsed="false">
      <c r="A102" s="341" t="s">
        <v>4100</v>
      </c>
      <c r="B102" s="341" t="s">
        <v>906</v>
      </c>
      <c r="C102" s="371" t="n">
        <f aca="false">-C52+C74+C15</f>
        <v>3500671</v>
      </c>
      <c r="D102" s="281" t="s">
        <v>4014</v>
      </c>
      <c r="E102" s="286"/>
      <c r="F102" s="362"/>
      <c r="G102" s="349"/>
      <c r="H102" s="349"/>
      <c r="I102" s="349"/>
      <c r="J102" s="349"/>
      <c r="K102" s="354"/>
      <c r="L102" s="354"/>
      <c r="M102" s="354"/>
      <c r="N102" s="354"/>
    </row>
    <row r="103" customFormat="false" ht="16.4" hidden="false" customHeight="false" outlineLevel="0" collapsed="false">
      <c r="A103" s="341" t="s">
        <v>4092</v>
      </c>
      <c r="B103" s="341" t="s">
        <v>4087</v>
      </c>
      <c r="C103" s="373" t="n">
        <f aca="false">IF(C102&lt;=C101,1,0)</f>
        <v>1</v>
      </c>
      <c r="D103" s="281" t="s">
        <v>4014</v>
      </c>
      <c r="E103" s="374" t="s">
        <v>4088</v>
      </c>
      <c r="F103" s="348"/>
      <c r="G103" s="349"/>
      <c r="H103" s="349"/>
      <c r="I103" s="349"/>
      <c r="J103" s="349"/>
      <c r="K103" s="354"/>
      <c r="L103" s="354"/>
      <c r="M103" s="354"/>
      <c r="N103" s="354"/>
    </row>
    <row r="104" s="384" customFormat="true" ht="13.8" hidden="false" customHeight="false" outlineLevel="0" collapsed="false">
      <c r="A104" s="385"/>
      <c r="B104" s="385"/>
      <c r="C104" s="385"/>
      <c r="D104" s="385"/>
      <c r="E104" s="385"/>
      <c r="F104" s="350"/>
      <c r="G104" s="354"/>
      <c r="H104" s="354"/>
      <c r="I104" s="354"/>
      <c r="J104" s="354"/>
      <c r="K104" s="354"/>
      <c r="L104" s="354"/>
      <c r="M104" s="354"/>
      <c r="N104" s="354"/>
    </row>
    <row r="105" s="384" customFormat="true" ht="13.8" hidden="false" customHeight="false" outlineLevel="0" collapsed="false">
      <c r="A105" s="385"/>
      <c r="B105" s="301" t="s">
        <v>4101</v>
      </c>
      <c r="C105" s="385"/>
      <c r="D105" s="385"/>
      <c r="E105" s="385"/>
      <c r="F105" s="350"/>
      <c r="G105" s="354"/>
      <c r="H105" s="354"/>
      <c r="I105" s="354"/>
      <c r="J105" s="354"/>
      <c r="K105" s="354"/>
      <c r="L105" s="354"/>
      <c r="M105" s="354"/>
      <c r="N105" s="354"/>
    </row>
    <row r="106" customFormat="false" ht="16.4" hidden="false" customHeight="false" outlineLevel="0" collapsed="false">
      <c r="A106" s="341" t="s">
        <v>4102</v>
      </c>
      <c r="B106" s="341" t="s">
        <v>4103</v>
      </c>
      <c r="C106" s="373" t="n">
        <f aca="false">IF(C89+C94+C98+C103=4,1,0)</f>
        <v>1</v>
      </c>
      <c r="D106" s="281" t="s">
        <v>4014</v>
      </c>
      <c r="E106" s="374" t="s">
        <v>4088</v>
      </c>
      <c r="F106" s="348"/>
      <c r="G106" s="349"/>
      <c r="H106" s="349"/>
      <c r="I106" s="349"/>
      <c r="J106" s="349"/>
      <c r="K106" s="354"/>
      <c r="L106" s="354"/>
      <c r="M106" s="354"/>
      <c r="N106" s="354"/>
    </row>
    <row r="107" s="384" customFormat="true" ht="13.5" hidden="false" customHeight="false" outlineLevel="0" collapsed="false">
      <c r="A107" s="385"/>
      <c r="B107" s="385"/>
      <c r="C107" s="385"/>
      <c r="D107" s="385"/>
      <c r="E107" s="385"/>
      <c r="F107" s="350"/>
      <c r="G107" s="354"/>
      <c r="H107" s="354"/>
      <c r="I107" s="354"/>
      <c r="J107" s="354"/>
      <c r="K107" s="354"/>
      <c r="L107" s="354"/>
      <c r="M107" s="354"/>
      <c r="N107" s="354"/>
    </row>
    <row r="108" s="384" customFormat="true" ht="13.5" hidden="false" customHeight="false" outlineLevel="0" collapsed="false">
      <c r="A108" s="385"/>
      <c r="B108" s="385"/>
      <c r="C108" s="385"/>
      <c r="D108" s="385"/>
      <c r="E108" s="385"/>
      <c r="F108" s="350"/>
      <c r="G108" s="354"/>
      <c r="H108" s="354"/>
      <c r="I108" s="354"/>
      <c r="J108" s="354"/>
      <c r="K108" s="354"/>
      <c r="L108" s="354"/>
      <c r="M108" s="354"/>
      <c r="N108" s="354"/>
    </row>
    <row r="109" customFormat="false" ht="14.15" hidden="false" customHeight="false" outlineLevel="0" collapsed="false">
      <c r="A109" s="266"/>
      <c r="B109" s="386" t="s">
        <v>4104</v>
      </c>
      <c r="C109" s="387" t="s">
        <v>4105</v>
      </c>
      <c r="D109" s="292" t="s">
        <v>3985</v>
      </c>
      <c r="E109" s="286"/>
      <c r="F109" s="348"/>
      <c r="G109" s="349"/>
      <c r="H109" s="349"/>
      <c r="I109" s="349"/>
      <c r="J109" s="349"/>
      <c r="K109" s="354"/>
      <c r="L109" s="354"/>
      <c r="M109" s="354"/>
      <c r="N109" s="354"/>
    </row>
    <row r="110" customFormat="false" ht="11.25" hidden="false" customHeight="true" outlineLevel="0" collapsed="false">
      <c r="A110" s="266"/>
      <c r="B110" s="266"/>
      <c r="C110" s="364"/>
      <c r="D110" s="365"/>
      <c r="E110" s="266"/>
      <c r="F110" s="266"/>
      <c r="G110" s="266"/>
      <c r="H110" s="266"/>
      <c r="I110" s="266"/>
      <c r="J110" s="266"/>
    </row>
    <row r="111" customFormat="false" ht="11.25" hidden="false" customHeight="true" outlineLevel="0" collapsed="false">
      <c r="A111" s="266"/>
      <c r="B111" s="266"/>
      <c r="C111" s="364"/>
      <c r="D111" s="365"/>
      <c r="E111" s="266"/>
      <c r="F111" s="266"/>
      <c r="G111" s="266"/>
      <c r="H111" s="266"/>
      <c r="I111" s="266"/>
      <c r="J111" s="266"/>
    </row>
    <row r="112" customFormat="false" ht="11.25" hidden="false" customHeight="true" outlineLevel="0" collapsed="false">
      <c r="A112" s="266"/>
      <c r="B112" s="266"/>
      <c r="C112" s="364"/>
      <c r="D112" s="365"/>
      <c r="E112" s="266"/>
      <c r="F112" s="266"/>
      <c r="G112" s="266"/>
      <c r="H112" s="266"/>
      <c r="I112" s="266"/>
      <c r="J112" s="266"/>
    </row>
    <row r="113" customFormat="false" ht="13.5" hidden="false" customHeight="true" outlineLevel="0" collapsed="false">
      <c r="A113" s="266"/>
      <c r="B113" s="375" t="s">
        <v>4106</v>
      </c>
      <c r="C113" s="388"/>
      <c r="D113" s="365"/>
      <c r="E113" s="266"/>
      <c r="F113" s="266"/>
      <c r="G113" s="266"/>
      <c r="H113" s="266"/>
      <c r="I113" s="266"/>
      <c r="J113" s="266"/>
    </row>
    <row r="114" customFormat="false" ht="12.75" hidden="false" customHeight="true" outlineLevel="0" collapsed="false">
      <c r="A114" s="266"/>
      <c r="B114" s="389"/>
      <c r="C114" s="389"/>
      <c r="D114" s="365"/>
      <c r="E114" s="266"/>
      <c r="F114" s="266"/>
      <c r="G114" s="266"/>
      <c r="H114" s="266"/>
      <c r="I114" s="266"/>
      <c r="J114" s="266"/>
    </row>
    <row r="115" customFormat="false" ht="15" hidden="false" customHeight="true" outlineLevel="0" collapsed="false">
      <c r="A115" s="266"/>
      <c r="B115" s="389"/>
      <c r="C115" s="389"/>
      <c r="D115" s="365"/>
      <c r="E115" s="266"/>
      <c r="F115" s="266"/>
      <c r="G115" s="266"/>
      <c r="H115" s="266"/>
      <c r="I115" s="266"/>
      <c r="J115" s="266"/>
    </row>
    <row r="116" customFormat="false" ht="15" hidden="false" customHeight="true" outlineLevel="0" collapsed="false">
      <c r="A116" s="266"/>
      <c r="B116" s="389"/>
      <c r="C116" s="389"/>
      <c r="D116" s="266"/>
      <c r="E116" s="266"/>
      <c r="F116" s="266"/>
      <c r="G116" s="266"/>
      <c r="H116" s="266"/>
      <c r="I116" s="266"/>
      <c r="J116" s="266"/>
    </row>
    <row r="117" customFormat="false" ht="13.5" hidden="false" customHeight="true" outlineLevel="0" collapsed="false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</row>
    <row r="118" customFormat="false" ht="13.5" hidden="false" customHeight="true" outlineLevel="0" collapsed="false">
      <c r="A118" s="266"/>
      <c r="B118" s="390" t="s">
        <v>909</v>
      </c>
      <c r="C118" s="390" t="s">
        <v>910</v>
      </c>
      <c r="D118" s="391" t="s">
        <v>4107</v>
      </c>
      <c r="E118" s="266"/>
      <c r="F118" s="266"/>
      <c r="G118" s="266"/>
      <c r="H118" s="266"/>
      <c r="I118" s="266"/>
      <c r="J118" s="266"/>
    </row>
    <row r="119" customFormat="false" ht="13.5" hidden="false" customHeight="false" outlineLevel="0" collapsed="false">
      <c r="A119" s="266"/>
      <c r="B119" s="266" t="s">
        <v>4108</v>
      </c>
      <c r="C119" s="266" t="s">
        <v>4109</v>
      </c>
      <c r="D119" s="391"/>
      <c r="E119" s="266"/>
      <c r="F119" s="266"/>
      <c r="G119" s="266"/>
      <c r="H119" s="266"/>
      <c r="I119" s="266"/>
      <c r="J119" s="266"/>
    </row>
    <row r="124" customFormat="false" ht="13.5" hidden="false" customHeight="false" outlineLevel="0" collapsed="false">
      <c r="B124" s="1" t="str">
        <f aca="false">+CONCATENATE("Historico Nivel de Endeudamiento"," - ",$C$12)</f>
        <v>Historico Nivel de Endeudamiento - Varon Barrios Yina Marcela</v>
      </c>
    </row>
    <row r="129" customFormat="false" ht="13.5" hidden="false" customHeight="false" outlineLevel="0" collapsed="false">
      <c r="E129" s="138" t="s">
        <v>4110</v>
      </c>
    </row>
    <row r="130" customFormat="false" ht="13.5" hidden="false" customHeight="false" outlineLevel="0" collapsed="false">
      <c r="E130" s="392" t="n">
        <v>2021</v>
      </c>
      <c r="F130" s="392" t="n">
        <v>2022</v>
      </c>
      <c r="G130" s="392" t="n">
        <v>2023</v>
      </c>
      <c r="H130" s="392" t="n">
        <v>2024</v>
      </c>
    </row>
    <row r="131" customFormat="false" ht="13.5" hidden="false" customHeight="false" outlineLevel="0" collapsed="false">
      <c r="E131" s="393" t="e">
        <f aca="false">+INDEX('Evaluacion de Cartera'!$B$3:$D$894,MATCH(Capacidad_Endeudamiento!$C$11,'Evaluacion de Cartera'!$B$3:$B$894,0),MATCH(Capacidad_Endeudamiento!E$130,'Evaluacion de Cartera'!$B$2:$D$2,0))</f>
        <v>#N/A</v>
      </c>
      <c r="F131" s="393" t="e">
        <f aca="false">+INDEX('Evaluacion de Cartera'!$B$3:$D$894,MATCH(Capacidad_Endeudamiento!$C$11,'Evaluacion de Cartera'!$B$3:$B$894,0),MATCH(Capacidad_Endeudamiento!F$130,'Evaluacion de Cartera'!$B$2:$D$2,0))</f>
        <v>#N/A</v>
      </c>
      <c r="G131" s="393" t="e">
        <f aca="false">+INDEX('Evaluacion de Cartera'!$B$3:$E$894,MATCH(Capacidad_Endeudamiento!$C$11,'Evaluacion de Cartera'!$B$3:$B$894,0),MATCH(Capacidad_Endeudamiento!G$130,'Evaluacion de Cartera'!$B$2:$E$2,0))</f>
        <v>#N/A</v>
      </c>
      <c r="H131" s="394" t="e">
        <f aca="false">+#REF!</f>
        <v>#REF!</v>
      </c>
    </row>
  </sheetData>
  <mergeCells count="4">
    <mergeCell ref="B1:C1"/>
    <mergeCell ref="B2:C2"/>
    <mergeCell ref="B114:C116"/>
    <mergeCell ref="D118:D119"/>
  </mergeCells>
  <conditionalFormatting sqref="E55 E45">
    <cfRule type="containsText" priority="2" operator="containsText" aboveAverage="0" equalAverage="0" bottom="0" percent="0" rank="0" text="Revisar" dxfId="7">
      <formula>NOT(ISERROR(SEARCH("Revisar",E45)))</formula>
    </cfRule>
  </conditionalFormatting>
  <conditionalFormatting sqref="D36">
    <cfRule type="containsText" priority="3" operator="containsText" aboveAverage="0" equalAverage="0" bottom="0" percent="0" rank="0" text="Ojo no ha digitado la tasa de interes A.M.V" dxfId="8">
      <formula>NOT(ISERROR(SEARCH("Ojo no ha digitado la tasa de interes A.M.V",D36)))</formula>
    </cfRule>
  </conditionalFormatting>
  <conditionalFormatting sqref="C68 C72:C73 C56:C64 C66 C77:C81 C84:C85 C90 C109:C112">
    <cfRule type="containsText" priority="4" operator="containsText" aboveAverage="0" equalAverage="0" bottom="0" percent="0" rank="0" text="OJO revisar CME" dxfId="9">
      <formula>NOT(ISERROR(SEARCH("OJO revisar CME",C56)))</formula>
    </cfRule>
    <cfRule type="containsText" priority="5" operator="containsText" aboveAverage="0" equalAverage="0" bottom="0" percent="0" rank="0" text="OJO revisar CME" dxfId="10">
      <formula>NOT(ISERROR(SEARCH("OJO revisar CME",C56)))</formula>
    </cfRule>
  </conditionalFormatting>
  <conditionalFormatting sqref="C7">
    <cfRule type="cellIs" priority="6" operator="greaterThanOrEqual" aboveAverage="0" equalAverage="0" bottom="0" percent="0" rank="0" text="" dxfId="11">
      <formula>0.5099999</formula>
    </cfRule>
  </conditionalFormatting>
  <conditionalFormatting sqref="C12:C13 C14 C15:C21">
    <cfRule type="containsText" priority="7" operator="containsText" aboveAverage="0" equalAverage="0" bottom="0" percent="0" rank="0" text="Asociado no Beneficiado" dxfId="12">
      <formula>NOT(ISERROR(SEARCH("Asociado no Beneficiado",C12)))</formula>
    </cfRule>
  </conditionalFormatting>
  <conditionalFormatting sqref="B7:B8 B6">
    <cfRule type="containsText" priority="8" operator="containsText" aboveAverage="0" equalAverage="0" bottom="0" percent="0" rank="0" text="NO VIABLE" dxfId="13">
      <formula>NOT(ISERROR(SEARCH("NO VIABLE",B6)))</formula>
    </cfRule>
  </conditionalFormatting>
  <dataValidations count="5">
    <dataValidation allowBlank="true" errorStyle="stop" operator="between" showDropDown="false" showErrorMessage="true" showInputMessage="true" sqref="B118" type="list">
      <formula1>Analistas</formula1>
      <formula2>0</formula2>
    </dataValidation>
    <dataValidation allowBlank="true" errorStyle="stop" operator="between" showDropDown="false" showErrorMessage="true" showInputMessage="true" sqref="C118" type="list">
      <formula1>Jefes</formula1>
      <formula2>0</formula2>
    </dataValidation>
    <dataValidation allowBlank="true" errorStyle="stop" operator="between" prompt="Diligenciar la garantia correspondiente." promptTitle="Garantia" showDropDown="false" showErrorMessage="true" showInputMessage="true" sqref="C8" type="none">
      <formula1>0</formula1>
      <formula2>0</formula2>
    </dataValidation>
    <dataValidation allowBlank="true" errorStyle="stop" operator="between" prompt="Digitar la tasa de interes nominal mensual." promptTitle="Tasa de interes" showDropDown="false" showErrorMessage="true" showInputMessage="true" sqref="C63:C64" type="none">
      <formula1>0</formula1>
      <formula2>0</formula2>
    </dataValidation>
    <dataValidation allowBlank="true" errorStyle="stop" operator="between" showDropDown="false" showErrorMessage="true" showInputMessage="true" sqref="C33" type="list">
      <formula1>"mensual,quincenal,semanal"</formula1>
      <formula2>0</formula2>
    </dataValidation>
  </dataValidations>
  <printOptions headings="false" gridLines="false" gridLinesSet="true" horizontalCentered="true" verticalCentered="false"/>
  <pageMargins left="0.708333333333333" right="0.708333333333333" top="0.196527777777778" bottom="0.196527777777778" header="0.511811023622047" footer="0.511811023622047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3">
              <controlPr defaultSize="0" print="false" autoFill="0" autoPict="0" macro="Módulo10.Grabar">
                <anchor moveWithCells="true" sizeWithCells="false">
                  <from>
                    <xdr:col>8</xdr:col>
                    <xdr:colOff>615240</xdr:colOff>
                    <xdr:row>4</xdr:row>
                    <xdr:rowOff>90000</xdr:rowOff>
                  </from>
                  <to>
                    <xdr:col>9</xdr:col>
                    <xdr:colOff>-317520</xdr:colOff>
                    <xdr:row>7</xdr:row>
                    <xdr:rowOff>137880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4"/>
    <pageSetUpPr fitToPage="false"/>
  </sheetPr>
  <dimension ref="A1:BC5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8" activeCellId="0" sqref="E18"/>
    </sheetView>
  </sheetViews>
  <sheetFormatPr defaultColWidth="11.4453125" defaultRowHeight="13.5" customHeight="false" zeroHeight="false" outlineLevelRow="0" outlineLevelCol="0"/>
  <cols>
    <col collapsed="false" customWidth="true" hidden="false" outlineLevel="0" max="1" min="1" style="395" width="5.11"/>
    <col collapsed="false" customWidth="true" hidden="false" outlineLevel="0" max="2" min="2" style="395" width="48.33"/>
    <col collapsed="false" customWidth="true" hidden="false" outlineLevel="0" max="3" min="3" style="395" width="22.56"/>
    <col collapsed="false" customWidth="true" hidden="false" outlineLevel="0" max="4" min="4" style="395" width="12.33"/>
    <col collapsed="false" customWidth="false" hidden="false" outlineLevel="0" max="5" min="5" style="395" width="11.44"/>
    <col collapsed="false" customWidth="true" hidden="false" outlineLevel="0" max="6" min="6" style="395" width="12.44"/>
    <col collapsed="false" customWidth="true" hidden="false" outlineLevel="0" max="7" min="7" style="395" width="4.33"/>
    <col collapsed="false" customWidth="true" hidden="false" outlineLevel="0" max="8" min="8" style="395" width="64.56"/>
    <col collapsed="false" customWidth="false" hidden="false" outlineLevel="0" max="16384" min="9" style="395" width="11.44"/>
  </cols>
  <sheetData>
    <row r="1" customFormat="false" ht="23.25" hidden="false" customHeight="true" outlineLevel="0" collapsed="false">
      <c r="A1" s="396"/>
      <c r="B1" s="397" t="s">
        <v>153</v>
      </c>
      <c r="C1" s="396"/>
      <c r="D1" s="396"/>
      <c r="E1" s="396"/>
      <c r="F1" s="396"/>
      <c r="G1" s="396"/>
      <c r="H1" s="398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</row>
    <row r="2" customFormat="false" ht="34.5" hidden="false" customHeight="true" outlineLevel="0" collapsed="false">
      <c r="A2" s="396"/>
      <c r="B2" s="399" t="s">
        <v>4111</v>
      </c>
      <c r="C2" s="396"/>
      <c r="D2" s="396"/>
      <c r="E2" s="396"/>
      <c r="F2" s="396"/>
      <c r="G2" s="396"/>
      <c r="H2" s="398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</row>
    <row r="3" customFormat="false" ht="13.8" hidden="false" customHeight="false" outlineLevel="0" collapsed="false">
      <c r="A3" s="396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396"/>
      <c r="AN3" s="396"/>
      <c r="AO3" s="396"/>
      <c r="AP3" s="396"/>
      <c r="AQ3" s="396"/>
      <c r="AR3" s="396"/>
      <c r="AS3" s="396"/>
      <c r="AT3" s="396"/>
      <c r="AU3" s="396"/>
      <c r="AV3" s="396"/>
      <c r="AW3" s="396"/>
      <c r="AX3" s="396"/>
      <c r="AY3" s="396"/>
      <c r="AZ3" s="396"/>
      <c r="BA3" s="396"/>
      <c r="BB3" s="396"/>
      <c r="BC3" s="396"/>
    </row>
    <row r="4" customFormat="false" ht="19.7" hidden="false" customHeight="false" outlineLevel="0" collapsed="false">
      <c r="A4" s="396"/>
      <c r="B4" s="400" t="s">
        <v>4112</v>
      </c>
      <c r="C4" s="401" t="n">
        <v>2</v>
      </c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396"/>
      <c r="Q4" s="396"/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6"/>
      <c r="AC4" s="396"/>
      <c r="AD4" s="396"/>
      <c r="AE4" s="396"/>
      <c r="AF4" s="396"/>
      <c r="AG4" s="396"/>
      <c r="AH4" s="396"/>
      <c r="AI4" s="396"/>
      <c r="AJ4" s="396"/>
      <c r="AK4" s="396"/>
      <c r="AL4" s="396"/>
      <c r="AM4" s="396"/>
      <c r="AN4" s="396"/>
      <c r="AO4" s="396"/>
      <c r="AP4" s="396"/>
      <c r="AQ4" s="396"/>
      <c r="AR4" s="396"/>
      <c r="AS4" s="396"/>
      <c r="AT4" s="396"/>
      <c r="AU4" s="396"/>
      <c r="AV4" s="396"/>
      <c r="AW4" s="396"/>
      <c r="AX4" s="396"/>
      <c r="AY4" s="396"/>
      <c r="AZ4" s="396"/>
      <c r="BA4" s="396"/>
      <c r="BB4" s="396"/>
      <c r="BC4" s="396"/>
    </row>
    <row r="5" customFormat="false" ht="4.5" hidden="false" customHeight="true" outlineLevel="0" collapsed="false">
      <c r="A5" s="396"/>
      <c r="B5" s="402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6"/>
      <c r="AH5" s="396"/>
      <c r="AI5" s="396"/>
      <c r="AJ5" s="396"/>
      <c r="AK5" s="396"/>
      <c r="AL5" s="396"/>
      <c r="AM5" s="396"/>
      <c r="AN5" s="396"/>
      <c r="AO5" s="396"/>
      <c r="AP5" s="396"/>
      <c r="AQ5" s="396"/>
      <c r="AR5" s="396"/>
      <c r="AS5" s="396"/>
      <c r="AT5" s="396"/>
      <c r="AU5" s="396"/>
      <c r="AV5" s="396"/>
      <c r="AW5" s="396"/>
      <c r="AX5" s="396"/>
      <c r="AY5" s="396"/>
      <c r="AZ5" s="396"/>
      <c r="BA5" s="396"/>
      <c r="BB5" s="396"/>
      <c r="BC5" s="396"/>
    </row>
    <row r="6" customFormat="false" ht="19.7" hidden="false" customHeight="false" outlineLevel="0" collapsed="false">
      <c r="A6" s="396"/>
      <c r="B6" s="400" t="s">
        <v>4113</v>
      </c>
      <c r="C6" s="403" t="n">
        <v>19</v>
      </c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  <c r="AA6" s="396"/>
      <c r="AB6" s="396"/>
      <c r="AC6" s="396"/>
      <c r="AD6" s="396"/>
      <c r="AE6" s="396"/>
      <c r="AF6" s="396"/>
      <c r="AG6" s="396"/>
      <c r="AH6" s="396"/>
      <c r="AI6" s="396"/>
      <c r="AJ6" s="396"/>
      <c r="AK6" s="396"/>
      <c r="AL6" s="396"/>
      <c r="AM6" s="396"/>
      <c r="AN6" s="396"/>
      <c r="AO6" s="396"/>
      <c r="AP6" s="396"/>
      <c r="AQ6" s="396"/>
      <c r="AR6" s="396"/>
      <c r="AS6" s="396"/>
      <c r="AT6" s="396"/>
      <c r="AU6" s="396"/>
      <c r="AV6" s="396"/>
      <c r="AW6" s="396"/>
      <c r="AX6" s="396"/>
      <c r="AY6" s="396"/>
      <c r="AZ6" s="396"/>
      <c r="BA6" s="396"/>
      <c r="BB6" s="396"/>
      <c r="BC6" s="396"/>
    </row>
    <row r="7" customFormat="false" ht="4.5" hidden="false" customHeight="true" outlineLevel="0" collapsed="false">
      <c r="A7" s="396"/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  <c r="X7" s="396"/>
      <c r="Y7" s="396"/>
      <c r="Z7" s="396"/>
      <c r="AA7" s="396"/>
      <c r="AB7" s="396"/>
      <c r="AC7" s="396"/>
      <c r="AD7" s="396"/>
      <c r="AE7" s="396"/>
      <c r="AF7" s="396"/>
      <c r="AG7" s="396"/>
      <c r="AH7" s="396"/>
      <c r="AI7" s="396"/>
      <c r="AJ7" s="396"/>
      <c r="AK7" s="396"/>
      <c r="AL7" s="396"/>
      <c r="AM7" s="396"/>
      <c r="AN7" s="396"/>
      <c r="AO7" s="396"/>
      <c r="AP7" s="396"/>
      <c r="AQ7" s="396"/>
      <c r="AR7" s="396"/>
      <c r="AS7" s="396"/>
      <c r="AT7" s="396"/>
      <c r="AU7" s="396"/>
      <c r="AV7" s="396"/>
      <c r="AW7" s="396"/>
      <c r="AX7" s="396"/>
      <c r="AY7" s="396"/>
      <c r="AZ7" s="396"/>
      <c r="BA7" s="396"/>
      <c r="BB7" s="396"/>
      <c r="BC7" s="396"/>
    </row>
    <row r="8" customFormat="false" ht="19.7" hidden="false" customHeight="false" outlineLevel="0" collapsed="false">
      <c r="A8" s="396"/>
      <c r="B8" s="400" t="s">
        <v>4114</v>
      </c>
      <c r="C8" s="403" t="n">
        <v>1</v>
      </c>
      <c r="D8" s="396"/>
      <c r="E8" s="396"/>
      <c r="F8" s="396"/>
      <c r="G8" s="396"/>
      <c r="H8" s="396"/>
      <c r="I8" s="396"/>
      <c r="J8" s="396"/>
      <c r="K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396"/>
      <c r="AY8" s="396"/>
      <c r="AZ8" s="396"/>
      <c r="BA8" s="396"/>
      <c r="BB8" s="396"/>
      <c r="BC8" s="396"/>
    </row>
    <row r="9" customFormat="false" ht="7.5" hidden="false" customHeight="true" outlineLevel="0" collapsed="false">
      <c r="A9" s="396"/>
      <c r="B9" s="404"/>
      <c r="C9" s="405"/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6"/>
      <c r="AU9" s="396"/>
      <c r="AV9" s="396"/>
      <c r="AW9" s="396"/>
      <c r="AX9" s="396"/>
      <c r="AY9" s="396"/>
      <c r="AZ9" s="396"/>
      <c r="BA9" s="396"/>
      <c r="BB9" s="396"/>
      <c r="BC9" s="396"/>
    </row>
    <row r="10" customFormat="false" ht="19.7" hidden="false" customHeight="false" outlineLevel="0" collapsed="false">
      <c r="A10" s="396"/>
      <c r="B10" s="406" t="s">
        <v>3989</v>
      </c>
      <c r="C10" s="130" t="n">
        <v>1112878165</v>
      </c>
      <c r="D10" s="396"/>
      <c r="E10" s="396"/>
      <c r="F10" s="396"/>
      <c r="G10" s="396"/>
      <c r="H10" s="396"/>
      <c r="I10" s="396"/>
      <c r="J10" s="396"/>
      <c r="K10" s="396"/>
      <c r="L10" s="396"/>
      <c r="M10" s="396"/>
      <c r="N10" s="396"/>
      <c r="O10" s="396"/>
      <c r="P10" s="396"/>
      <c r="Q10" s="407" t="n">
        <v>1</v>
      </c>
      <c r="R10" s="408" t="s">
        <v>4115</v>
      </c>
      <c r="S10" s="408" t="n">
        <v>52</v>
      </c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6"/>
      <c r="AK10" s="396"/>
      <c r="AL10" s="396"/>
      <c r="AM10" s="396"/>
      <c r="AN10" s="396"/>
      <c r="AO10" s="396"/>
      <c r="AP10" s="396"/>
      <c r="AQ10" s="396"/>
      <c r="AR10" s="396"/>
      <c r="AS10" s="396"/>
      <c r="AT10" s="396"/>
      <c r="AU10" s="396"/>
      <c r="AV10" s="396"/>
      <c r="AW10" s="396"/>
      <c r="AX10" s="396"/>
      <c r="AY10" s="396"/>
      <c r="AZ10" s="396"/>
      <c r="BA10" s="396"/>
      <c r="BB10" s="396"/>
      <c r="BC10" s="396"/>
    </row>
    <row r="11" customFormat="false" ht="19.7" hidden="false" customHeight="false" outlineLevel="0" collapsed="false">
      <c r="A11" s="396"/>
      <c r="B11" s="409" t="s">
        <v>901</v>
      </c>
      <c r="C11" s="410" t="n">
        <f aca="false">+INDEX(Base_Asociados!$B$6:$V$9877,MATCH(Datos_Iniciales!$C$10,Base_Asociados!$B$6:$B$9877,0),MATCH(Datos_Iniciales!$B11,Base_Asociados!$B$5:$V$5,0))</f>
        <v>1625000</v>
      </c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407" t="n">
        <v>2</v>
      </c>
      <c r="R11" s="408" t="s">
        <v>4116</v>
      </c>
      <c r="S11" s="408" t="n">
        <v>24</v>
      </c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396"/>
      <c r="AI11" s="396"/>
      <c r="AJ11" s="396"/>
      <c r="AK11" s="396"/>
      <c r="AL11" s="396"/>
      <c r="AM11" s="396"/>
      <c r="AN11" s="396"/>
      <c r="AO11" s="396"/>
      <c r="AP11" s="396"/>
      <c r="AQ11" s="396"/>
      <c r="AR11" s="396"/>
      <c r="AS11" s="396"/>
      <c r="AT11" s="396"/>
      <c r="AU11" s="396"/>
      <c r="AV11" s="396"/>
      <c r="AW11" s="396"/>
      <c r="AX11" s="396"/>
      <c r="AY11" s="396"/>
      <c r="AZ11" s="396"/>
      <c r="BA11" s="396"/>
      <c r="BB11" s="396"/>
      <c r="BC11" s="396"/>
    </row>
    <row r="12" customFormat="false" ht="19.7" hidden="false" customHeight="false" outlineLevel="0" collapsed="false">
      <c r="A12" s="396"/>
      <c r="B12" s="409" t="s">
        <v>4011</v>
      </c>
      <c r="C12" s="411"/>
      <c r="D12" s="396"/>
      <c r="E12" s="396"/>
      <c r="F12" s="396"/>
      <c r="G12" s="396"/>
      <c r="H12" s="396"/>
      <c r="I12" s="396"/>
      <c r="J12" s="396"/>
      <c r="K12" s="396"/>
      <c r="L12" s="396"/>
      <c r="M12" s="396"/>
      <c r="N12" s="396"/>
      <c r="O12" s="396"/>
      <c r="P12" s="396"/>
      <c r="Q12" s="407" t="n">
        <v>3</v>
      </c>
      <c r="R12" s="408" t="s">
        <v>4117</v>
      </c>
      <c r="S12" s="408" t="n">
        <v>12</v>
      </c>
      <c r="T12" s="396"/>
      <c r="U12" s="396"/>
      <c r="V12" s="396"/>
      <c r="W12" s="396"/>
      <c r="X12" s="396"/>
      <c r="Y12" s="396"/>
      <c r="Z12" s="396"/>
      <c r="AA12" s="396"/>
      <c r="AB12" s="396"/>
      <c r="AC12" s="396"/>
      <c r="AD12" s="396"/>
      <c r="AE12" s="396"/>
      <c r="AF12" s="396"/>
      <c r="AG12" s="396"/>
      <c r="AH12" s="396"/>
      <c r="AI12" s="396"/>
      <c r="AJ12" s="396"/>
      <c r="AK12" s="396"/>
      <c r="AL12" s="396"/>
      <c r="AM12" s="396"/>
      <c r="AN12" s="396"/>
      <c r="AO12" s="396"/>
      <c r="AP12" s="396"/>
      <c r="AQ12" s="396"/>
      <c r="AR12" s="396"/>
      <c r="AS12" s="396"/>
      <c r="AT12" s="396"/>
      <c r="AU12" s="396"/>
      <c r="AV12" s="396"/>
      <c r="AW12" s="396"/>
      <c r="AX12" s="396"/>
      <c r="AY12" s="396"/>
      <c r="AZ12" s="396"/>
      <c r="BA12" s="396"/>
      <c r="BB12" s="396"/>
      <c r="BC12" s="396"/>
    </row>
    <row r="13" customFormat="false" ht="19.7" hidden="false" customHeight="false" outlineLevel="0" collapsed="false">
      <c r="A13" s="396"/>
      <c r="B13" s="409" t="s">
        <v>4015</v>
      </c>
      <c r="C13" s="411" t="n">
        <v>476010</v>
      </c>
      <c r="D13" s="396"/>
      <c r="E13" s="403" t="n">
        <v>3</v>
      </c>
      <c r="F13" s="396"/>
      <c r="G13" s="396"/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  <c r="Z13" s="396"/>
      <c r="AA13" s="396"/>
      <c r="AB13" s="396"/>
      <c r="AC13" s="396"/>
      <c r="AD13" s="396"/>
      <c r="AE13" s="396"/>
      <c r="AF13" s="396"/>
      <c r="AG13" s="396"/>
      <c r="AH13" s="396"/>
      <c r="AI13" s="396"/>
      <c r="AJ13" s="396"/>
      <c r="AK13" s="396"/>
      <c r="AL13" s="396"/>
      <c r="AM13" s="396"/>
      <c r="AN13" s="396"/>
      <c r="AO13" s="396"/>
      <c r="AP13" s="396"/>
      <c r="AQ13" s="396"/>
      <c r="AR13" s="396"/>
      <c r="AS13" s="396"/>
      <c r="AT13" s="396"/>
      <c r="AU13" s="396"/>
      <c r="AV13" s="396"/>
      <c r="AW13" s="396"/>
      <c r="AX13" s="396"/>
      <c r="AY13" s="396"/>
      <c r="AZ13" s="396"/>
      <c r="BA13" s="396"/>
      <c r="BB13" s="396"/>
      <c r="BC13" s="396"/>
    </row>
    <row r="14" customFormat="false" ht="19.7" hidden="false" customHeight="false" outlineLevel="0" collapsed="false">
      <c r="A14" s="396"/>
      <c r="B14" s="409" t="s">
        <v>4118</v>
      </c>
      <c r="C14" s="411" t="n">
        <v>0</v>
      </c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  <c r="AS14" s="396"/>
      <c r="AT14" s="396"/>
      <c r="AU14" s="396"/>
      <c r="AV14" s="396"/>
      <c r="AW14" s="396"/>
      <c r="AX14" s="396"/>
      <c r="AY14" s="396"/>
      <c r="AZ14" s="396"/>
      <c r="BA14" s="396"/>
      <c r="BB14" s="396"/>
      <c r="BC14" s="396"/>
    </row>
    <row r="15" customFormat="false" ht="19.7" hidden="false" customHeight="false" outlineLevel="0" collapsed="false">
      <c r="A15" s="396"/>
      <c r="B15" s="409" t="s">
        <v>4119</v>
      </c>
      <c r="C15" s="411" t="n">
        <v>1</v>
      </c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  <c r="AL15" s="396"/>
      <c r="AM15" s="396"/>
      <c r="AN15" s="396"/>
      <c r="AO15" s="396"/>
      <c r="AP15" s="396"/>
      <c r="AQ15" s="396"/>
      <c r="AR15" s="396"/>
      <c r="AS15" s="396"/>
      <c r="AT15" s="396"/>
      <c r="AU15" s="396"/>
      <c r="AV15" s="396"/>
      <c r="AW15" s="396"/>
      <c r="AX15" s="396"/>
      <c r="AY15" s="396"/>
      <c r="AZ15" s="396"/>
      <c r="BA15" s="396"/>
      <c r="BB15" s="396"/>
      <c r="BC15" s="396"/>
    </row>
    <row r="16" customFormat="false" ht="19.7" hidden="false" customHeight="false" outlineLevel="0" collapsed="false">
      <c r="A16" s="396"/>
      <c r="B16" s="409" t="s">
        <v>4120</v>
      </c>
      <c r="C16" s="410" t="n">
        <f aca="false">+VLOOKUP($C$10,Score_Cifin!$B$2:$C$1985,2,FALSE())</f>
        <v>657</v>
      </c>
      <c r="D16" s="396"/>
      <c r="E16" s="396"/>
      <c r="F16" s="403" t="n">
        <v>1</v>
      </c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396"/>
      <c r="BB16" s="396"/>
      <c r="BC16" s="396"/>
    </row>
    <row r="17" customFormat="false" ht="19.7" hidden="false" customHeight="false" outlineLevel="0" collapsed="false">
      <c r="A17" s="396"/>
      <c r="B17" s="409" t="s">
        <v>4052</v>
      </c>
      <c r="C17" s="411" t="n">
        <v>1400000</v>
      </c>
      <c r="D17" s="396"/>
      <c r="E17" s="412" t="s">
        <v>4121</v>
      </c>
      <c r="F17" s="412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6"/>
      <c r="AX17" s="396"/>
      <c r="AY17" s="396"/>
      <c r="AZ17" s="396"/>
      <c r="BA17" s="396"/>
      <c r="BB17" s="396"/>
      <c r="BC17" s="396"/>
    </row>
    <row r="18" customFormat="false" ht="19.7" hidden="false" customHeight="false" outlineLevel="0" collapsed="false">
      <c r="A18" s="396"/>
      <c r="B18" s="409" t="s">
        <v>4122</v>
      </c>
      <c r="C18" s="411" t="n">
        <v>4258000</v>
      </c>
      <c r="D18" s="396"/>
      <c r="E18" s="413" t="n">
        <f aca="false">IF($F$16=1,-PMT(Parametros!$D$9,Parametros!D10,Datos_Iniciales!$C$18),0)</f>
        <v>181631.402943302</v>
      </c>
      <c r="F18" s="413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  <c r="AG18" s="396"/>
      <c r="AH18" s="396"/>
      <c r="AI18" s="396"/>
      <c r="AJ18" s="396"/>
      <c r="AK18" s="396"/>
      <c r="AL18" s="396"/>
      <c r="AM18" s="396"/>
      <c r="AN18" s="396"/>
      <c r="AO18" s="396"/>
      <c r="AP18" s="396"/>
      <c r="AQ18" s="396"/>
      <c r="AR18" s="396"/>
      <c r="AS18" s="396"/>
      <c r="AT18" s="396"/>
      <c r="AU18" s="396"/>
      <c r="AV18" s="396"/>
      <c r="AW18" s="396"/>
      <c r="AX18" s="396"/>
      <c r="AY18" s="396"/>
      <c r="AZ18" s="396"/>
      <c r="BA18" s="396"/>
      <c r="BB18" s="396"/>
      <c r="BC18" s="396"/>
    </row>
    <row r="19" customFormat="false" ht="19.7" hidden="false" customHeight="false" outlineLevel="0" collapsed="false">
      <c r="A19" s="396"/>
      <c r="B19" s="409" t="s">
        <v>130</v>
      </c>
      <c r="C19" s="411" t="n">
        <v>1355255</v>
      </c>
      <c r="D19" s="414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6"/>
      <c r="AU19" s="396"/>
      <c r="AV19" s="396"/>
      <c r="AW19" s="396"/>
      <c r="AX19" s="396"/>
      <c r="AY19" s="396"/>
      <c r="AZ19" s="396"/>
      <c r="BA19" s="396"/>
      <c r="BB19" s="396"/>
      <c r="BC19" s="396"/>
    </row>
    <row r="20" customFormat="false" ht="19.7" hidden="false" customHeight="false" outlineLevel="0" collapsed="false">
      <c r="A20" s="396"/>
      <c r="B20" s="415" t="s">
        <v>3999</v>
      </c>
      <c r="C20" s="411" t="n">
        <v>2500671</v>
      </c>
      <c r="D20" s="396"/>
      <c r="E20" s="396"/>
      <c r="F20" s="396"/>
      <c r="G20" s="396"/>
      <c r="H20" s="396"/>
      <c r="I20" s="396"/>
      <c r="J20" s="396"/>
      <c r="K20" s="396"/>
      <c r="L20" s="396"/>
      <c r="M20" s="396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  <c r="AG20" s="396"/>
      <c r="AH20" s="396"/>
      <c r="AI20" s="396"/>
      <c r="AJ20" s="396"/>
      <c r="AK20" s="396"/>
      <c r="AL20" s="396"/>
      <c r="AM20" s="396"/>
      <c r="AN20" s="396"/>
      <c r="AO20" s="396"/>
      <c r="AP20" s="396"/>
      <c r="AQ20" s="396"/>
      <c r="AR20" s="396"/>
      <c r="AS20" s="396"/>
      <c r="AT20" s="396"/>
      <c r="AU20" s="396"/>
      <c r="AV20" s="396"/>
      <c r="AW20" s="396"/>
      <c r="AX20" s="396"/>
      <c r="AY20" s="396"/>
      <c r="AZ20" s="396"/>
      <c r="BA20" s="396"/>
      <c r="BB20" s="396"/>
      <c r="BC20" s="396"/>
    </row>
    <row r="21" customFormat="false" ht="19.7" hidden="false" customHeight="false" outlineLevel="0" collapsed="false">
      <c r="A21" s="396"/>
      <c r="B21" s="416" t="s">
        <v>4002</v>
      </c>
      <c r="C21" s="411" t="n">
        <v>0</v>
      </c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6"/>
      <c r="AU21" s="396"/>
      <c r="AV21" s="396"/>
      <c r="AW21" s="396"/>
      <c r="AX21" s="396"/>
      <c r="AY21" s="396"/>
      <c r="AZ21" s="396"/>
      <c r="BA21" s="396"/>
      <c r="BB21" s="396"/>
      <c r="BC21" s="396"/>
    </row>
    <row r="22" customFormat="false" ht="19.7" hidden="false" customHeight="false" outlineLevel="0" collapsed="false">
      <c r="A22" s="396"/>
      <c r="B22" s="417" t="s">
        <v>4123</v>
      </c>
      <c r="C22" s="411"/>
      <c r="D22" s="396"/>
      <c r="E22" s="396"/>
      <c r="F22" s="396"/>
      <c r="G22" s="396"/>
      <c r="H22" s="396"/>
      <c r="I22" s="396"/>
      <c r="J22" s="396"/>
      <c r="K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396"/>
      <c r="AL22" s="396"/>
      <c r="AM22" s="396"/>
      <c r="AN22" s="396"/>
      <c r="AO22" s="396"/>
      <c r="AP22" s="396"/>
      <c r="AQ22" s="396"/>
      <c r="AR22" s="396"/>
      <c r="AS22" s="396"/>
      <c r="AT22" s="396"/>
      <c r="AU22" s="396"/>
      <c r="AV22" s="396"/>
      <c r="AW22" s="396"/>
      <c r="AX22" s="396"/>
      <c r="AY22" s="396"/>
      <c r="AZ22" s="396"/>
      <c r="BA22" s="396"/>
      <c r="BB22" s="396"/>
      <c r="BC22" s="396"/>
    </row>
    <row r="23" customFormat="false" ht="19.7" hidden="false" customHeight="false" outlineLevel="0" collapsed="false">
      <c r="A23" s="396"/>
      <c r="B23" s="417" t="s">
        <v>4124</v>
      </c>
      <c r="C23" s="411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396"/>
      <c r="AU23" s="396"/>
      <c r="AV23" s="396"/>
      <c r="AW23" s="396"/>
      <c r="AX23" s="396"/>
      <c r="AY23" s="396"/>
      <c r="AZ23" s="396"/>
      <c r="BA23" s="396"/>
      <c r="BB23" s="396"/>
      <c r="BC23" s="396"/>
    </row>
    <row r="24" customFormat="false" ht="19.7" hidden="false" customHeight="false" outlineLevel="0" collapsed="false">
      <c r="A24" s="396"/>
      <c r="B24" s="417" t="s">
        <v>4125</v>
      </c>
      <c r="C24" s="411"/>
      <c r="D24" s="396"/>
      <c r="E24" s="396"/>
      <c r="F24" s="396"/>
      <c r="G24" s="396"/>
      <c r="H24" s="396"/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6"/>
      <c r="AE24" s="396"/>
      <c r="AF24" s="396"/>
      <c r="AG24" s="396"/>
      <c r="AH24" s="396"/>
      <c r="AI24" s="396"/>
      <c r="AJ24" s="396"/>
      <c r="AK24" s="396"/>
      <c r="AL24" s="396"/>
      <c r="AM24" s="396"/>
      <c r="AN24" s="396"/>
      <c r="AO24" s="396"/>
      <c r="AP24" s="396"/>
      <c r="AQ24" s="396"/>
      <c r="AR24" s="396"/>
      <c r="AS24" s="396"/>
      <c r="AT24" s="396"/>
      <c r="AU24" s="396"/>
      <c r="AV24" s="396"/>
      <c r="AW24" s="396"/>
      <c r="AX24" s="396"/>
      <c r="AY24" s="396"/>
      <c r="AZ24" s="396"/>
      <c r="BA24" s="396"/>
      <c r="BB24" s="396"/>
      <c r="BC24" s="396"/>
    </row>
    <row r="25" customFormat="false" ht="19.7" hidden="false" customHeight="false" outlineLevel="0" collapsed="false">
      <c r="A25" s="396"/>
      <c r="B25" s="417" t="s">
        <v>4126</v>
      </c>
      <c r="C25" s="411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  <c r="AG25" s="396"/>
      <c r="AH25" s="396"/>
      <c r="AI25" s="396"/>
      <c r="AJ25" s="396"/>
      <c r="AK25" s="396"/>
      <c r="AL25" s="396"/>
      <c r="AM25" s="396"/>
      <c r="AN25" s="396"/>
      <c r="AO25" s="396"/>
      <c r="AP25" s="396"/>
      <c r="AQ25" s="396"/>
      <c r="AR25" s="396"/>
      <c r="AS25" s="396"/>
      <c r="AT25" s="396"/>
      <c r="AU25" s="396"/>
      <c r="AV25" s="396"/>
      <c r="AW25" s="396"/>
      <c r="AX25" s="396"/>
      <c r="AY25" s="396"/>
      <c r="AZ25" s="396"/>
      <c r="BA25" s="396"/>
      <c r="BB25" s="396"/>
      <c r="BC25" s="396"/>
    </row>
    <row r="26" customFormat="false" ht="19.7" hidden="false" customHeight="false" outlineLevel="0" collapsed="false">
      <c r="A26" s="396"/>
      <c r="B26" s="417" t="s">
        <v>940</v>
      </c>
      <c r="C26" s="411" t="n">
        <v>2592933</v>
      </c>
      <c r="D26" s="414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6"/>
      <c r="BA26" s="396"/>
      <c r="BB26" s="396"/>
      <c r="BC26" s="396"/>
    </row>
    <row r="27" customFormat="false" ht="19.7" hidden="false" customHeight="false" outlineLevel="0" collapsed="false">
      <c r="A27" s="396"/>
      <c r="B27" s="417" t="s">
        <v>4127</v>
      </c>
      <c r="C27" s="410" t="n">
        <f aca="false">+INDEX(Base_Asociados!$B$6:$V$9877,MATCH(Datos_Iniciales!$C$10,Base_Asociados!$B$6:$B$9877,0),MATCH(Datos_Iniciales!$B27,Base_Asociados!$B$5:$V$5,0))</f>
        <v>38</v>
      </c>
      <c r="D27" s="396"/>
      <c r="E27" s="396"/>
      <c r="F27" s="396"/>
      <c r="G27" s="396"/>
      <c r="H27" s="396"/>
      <c r="I27" s="396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396"/>
      <c r="AL27" s="396"/>
      <c r="AM27" s="396"/>
      <c r="AN27" s="396"/>
      <c r="AO27" s="396"/>
      <c r="AP27" s="396"/>
      <c r="AQ27" s="396"/>
      <c r="AR27" s="396"/>
      <c r="AS27" s="396"/>
      <c r="AT27" s="396"/>
      <c r="AU27" s="396"/>
      <c r="AV27" s="396"/>
      <c r="AW27" s="396"/>
      <c r="AX27" s="396"/>
      <c r="AY27" s="396"/>
      <c r="AZ27" s="396"/>
      <c r="BA27" s="396"/>
      <c r="BB27" s="396"/>
      <c r="BC27" s="396"/>
    </row>
    <row r="28" customFormat="false" ht="19.7" hidden="false" customHeight="false" outlineLevel="0" collapsed="false">
      <c r="A28" s="396"/>
      <c r="B28" s="417" t="s">
        <v>4128</v>
      </c>
      <c r="C28" s="410" t="n">
        <f aca="false">+INDEX(Base_Asociados!$B$6:$V$9877,MATCH(Datos_Iniciales!$C$10,Base_Asociados!$B$6:$B$9877,0),MATCH(Datos_Iniciales!$B28,Base_Asociados!$B$5:$V$5,0))</f>
        <v>0</v>
      </c>
      <c r="D28" s="396"/>
      <c r="E28" s="396"/>
      <c r="F28" s="396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396"/>
      <c r="AM28" s="396"/>
      <c r="AN28" s="396"/>
      <c r="AO28" s="396"/>
      <c r="AP28" s="396"/>
      <c r="AQ28" s="396"/>
      <c r="AR28" s="396"/>
      <c r="AS28" s="396"/>
      <c r="AT28" s="396"/>
      <c r="AU28" s="396"/>
      <c r="AV28" s="396"/>
      <c r="AW28" s="396"/>
      <c r="AX28" s="396"/>
      <c r="AY28" s="396"/>
      <c r="AZ28" s="396"/>
      <c r="BA28" s="396"/>
      <c r="BB28" s="396"/>
      <c r="BC28" s="396"/>
    </row>
    <row r="29" customFormat="false" ht="19.7" hidden="false" customHeight="false" outlineLevel="0" collapsed="false">
      <c r="A29" s="396"/>
      <c r="B29" s="417" t="s">
        <v>931</v>
      </c>
      <c r="C29" s="410" t="n">
        <f aca="false">+INDEX(Base_Asociados!$B$6:$V$9877,MATCH(Datos_Iniciales!$C$10,Base_Asociados!$B$6:$B$9877,0),MATCH(Datos_Iniciales!$B29,Base_Asociados!$B$5:$V$5,0))</f>
        <v>4</v>
      </c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  <c r="AA29" s="396"/>
      <c r="AB29" s="396"/>
      <c r="AC29" s="396"/>
      <c r="AD29" s="396"/>
      <c r="AE29" s="396"/>
      <c r="AF29" s="396"/>
      <c r="AG29" s="396"/>
      <c r="AH29" s="396"/>
      <c r="AI29" s="396"/>
      <c r="AJ29" s="396"/>
      <c r="AK29" s="396"/>
      <c r="AL29" s="396"/>
      <c r="AM29" s="396"/>
      <c r="AN29" s="396"/>
      <c r="AO29" s="396"/>
      <c r="AP29" s="396"/>
      <c r="AQ29" s="396"/>
      <c r="AR29" s="396"/>
      <c r="AS29" s="396"/>
      <c r="AT29" s="396"/>
      <c r="AU29" s="396"/>
      <c r="AV29" s="396"/>
      <c r="AW29" s="396"/>
      <c r="AX29" s="396"/>
      <c r="AY29" s="396"/>
      <c r="AZ29" s="396"/>
      <c r="BA29" s="396"/>
      <c r="BB29" s="396"/>
      <c r="BC29" s="396"/>
    </row>
    <row r="30" customFormat="false" ht="19.7" hidden="false" customHeight="false" outlineLevel="0" collapsed="false">
      <c r="A30" s="396"/>
      <c r="B30" s="417" t="s">
        <v>938</v>
      </c>
      <c r="C30" s="410" t="n">
        <f aca="false">+INDEX(Base_Asociados!$B$6:$V$9877,MATCH(Datos_Iniciales!$C$10,Base_Asociados!$B$6:$B$9877,0),MATCH(Datos_Iniciales!$B30,Base_Asociados!$B$5:$V$5,0))</f>
        <v>3.15833333333333</v>
      </c>
      <c r="D30" s="396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396"/>
      <c r="AM30" s="396"/>
      <c r="AN30" s="396"/>
      <c r="AO30" s="396"/>
      <c r="AP30" s="396"/>
      <c r="AQ30" s="396"/>
      <c r="AR30" s="396"/>
      <c r="AS30" s="396"/>
      <c r="AT30" s="396"/>
      <c r="AU30" s="396"/>
      <c r="AV30" s="396"/>
      <c r="AW30" s="396"/>
      <c r="AX30" s="396"/>
      <c r="AY30" s="396"/>
      <c r="AZ30" s="396"/>
      <c r="BA30" s="396"/>
      <c r="BB30" s="396"/>
      <c r="BC30" s="396"/>
    </row>
    <row r="31" customFormat="false" ht="19.7" hidden="false" customHeight="false" outlineLevel="0" collapsed="false">
      <c r="A31" s="396"/>
      <c r="B31" s="417" t="s">
        <v>939</v>
      </c>
      <c r="C31" s="410" t="n">
        <f aca="false">+INDEX(Base_Asociados!$B$6:$V$9877,MATCH(Datos_Iniciales!$C$10,Base_Asociados!$B$6:$B$9877,0),MATCH(Datos_Iniciales!$B31,Base_Asociados!$B$5:$V$5,0))</f>
        <v>3.40833333333333</v>
      </c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  <c r="AL31" s="396"/>
      <c r="AM31" s="396"/>
      <c r="AN31" s="396"/>
      <c r="AO31" s="396"/>
      <c r="AP31" s="396"/>
      <c r="AQ31" s="396"/>
      <c r="AR31" s="396"/>
      <c r="AS31" s="396"/>
      <c r="AT31" s="396"/>
      <c r="AU31" s="396"/>
      <c r="AV31" s="396"/>
      <c r="AW31" s="396"/>
      <c r="AX31" s="396"/>
      <c r="AY31" s="396"/>
      <c r="AZ31" s="396"/>
      <c r="BA31" s="396"/>
      <c r="BB31" s="396"/>
      <c r="BC31" s="396"/>
    </row>
    <row r="32" customFormat="false" ht="19.7" hidden="false" customHeight="false" outlineLevel="0" collapsed="false">
      <c r="A32" s="396"/>
      <c r="B32" s="417"/>
      <c r="C32" s="410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  <c r="AA32" s="396"/>
      <c r="AB32" s="396"/>
      <c r="AC32" s="396"/>
      <c r="AD32" s="396"/>
      <c r="AE32" s="396"/>
      <c r="AF32" s="396"/>
      <c r="AG32" s="396"/>
      <c r="AH32" s="396"/>
      <c r="AI32" s="396"/>
      <c r="AJ32" s="396"/>
      <c r="AK32" s="396"/>
      <c r="AL32" s="396"/>
      <c r="AM32" s="396"/>
      <c r="AN32" s="396"/>
      <c r="AO32" s="396"/>
      <c r="AP32" s="396"/>
      <c r="AQ32" s="396"/>
      <c r="AR32" s="396"/>
      <c r="AS32" s="396"/>
      <c r="AT32" s="396"/>
      <c r="AU32" s="396"/>
      <c r="AV32" s="396"/>
      <c r="AW32" s="396"/>
      <c r="AX32" s="396"/>
      <c r="AY32" s="396"/>
      <c r="AZ32" s="396"/>
      <c r="BA32" s="396"/>
      <c r="BB32" s="396"/>
      <c r="BC32" s="396"/>
    </row>
    <row r="33" customFormat="false" ht="19.7" hidden="false" customHeight="false" outlineLevel="0" collapsed="false">
      <c r="A33" s="396"/>
      <c r="B33" s="417" t="s">
        <v>4129</v>
      </c>
      <c r="C33" s="410" t="n">
        <f aca="false">+C13+C14+E18</f>
        <v>657641.402943302</v>
      </c>
      <c r="D33" s="396"/>
      <c r="E33" s="396"/>
      <c r="F33" s="396"/>
      <c r="G33" s="396"/>
      <c r="H33" s="396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6"/>
      <c r="AA33" s="396"/>
      <c r="AB33" s="396"/>
      <c r="AC33" s="396"/>
      <c r="AD33" s="396"/>
      <c r="AE33" s="396"/>
      <c r="AF33" s="396"/>
      <c r="AG33" s="396"/>
      <c r="AH33" s="396"/>
      <c r="AI33" s="396"/>
      <c r="AJ33" s="396"/>
      <c r="AK33" s="396"/>
      <c r="AL33" s="396"/>
      <c r="AM33" s="396"/>
      <c r="AN33" s="396"/>
      <c r="AO33" s="396"/>
      <c r="AP33" s="396"/>
      <c r="AQ33" s="396"/>
      <c r="AR33" s="396"/>
      <c r="AS33" s="396"/>
      <c r="AT33" s="396"/>
      <c r="AU33" s="396"/>
      <c r="AV33" s="396"/>
      <c r="AW33" s="396"/>
      <c r="AX33" s="396"/>
      <c r="AY33" s="396"/>
      <c r="AZ33" s="396"/>
      <c r="BA33" s="396"/>
      <c r="BB33" s="396"/>
      <c r="BC33" s="396"/>
    </row>
    <row r="34" customFormat="false" ht="19.7" hidden="false" customHeight="false" outlineLevel="0" collapsed="false">
      <c r="A34" s="396"/>
      <c r="B34" s="417" t="s">
        <v>4130</v>
      </c>
      <c r="C34" s="411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  <c r="AO34" s="396"/>
      <c r="AP34" s="396"/>
      <c r="AQ34" s="396"/>
      <c r="AR34" s="396"/>
      <c r="AS34" s="396"/>
      <c r="AT34" s="396"/>
      <c r="AU34" s="396"/>
      <c r="AV34" s="396"/>
      <c r="AW34" s="396"/>
      <c r="AX34" s="396"/>
      <c r="AY34" s="396"/>
      <c r="AZ34" s="396"/>
      <c r="BA34" s="396"/>
      <c r="BB34" s="396"/>
      <c r="BC34" s="396"/>
    </row>
    <row r="35" customFormat="false" ht="19.7" hidden="false" customHeight="false" outlineLevel="0" collapsed="false">
      <c r="A35" s="396"/>
      <c r="B35" s="417" t="s">
        <v>4043</v>
      </c>
      <c r="C35" s="411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396"/>
      <c r="BB35" s="396"/>
      <c r="BC35" s="396"/>
    </row>
    <row r="36" customFormat="false" ht="19.7" hidden="false" customHeight="false" outlineLevel="0" collapsed="false">
      <c r="A36" s="396"/>
      <c r="B36" s="418"/>
      <c r="C36" s="419"/>
      <c r="F36" s="396"/>
      <c r="G36" s="396"/>
      <c r="H36" s="396"/>
      <c r="I36" s="396"/>
      <c r="J36" s="396"/>
      <c r="K36" s="396"/>
      <c r="L36" s="396"/>
      <c r="M36" s="396"/>
      <c r="N36" s="396"/>
      <c r="O36" s="39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6"/>
      <c r="AA36" s="396"/>
      <c r="AB36" s="396"/>
      <c r="AC36" s="396"/>
      <c r="AD36" s="396"/>
      <c r="AE36" s="396"/>
      <c r="AF36" s="396"/>
      <c r="AG36" s="396"/>
      <c r="AH36" s="396"/>
      <c r="AI36" s="396"/>
      <c r="AJ36" s="396"/>
      <c r="AK36" s="396"/>
      <c r="AL36" s="396"/>
      <c r="AM36" s="396"/>
      <c r="AN36" s="396"/>
      <c r="AO36" s="396"/>
      <c r="AP36" s="396"/>
      <c r="AQ36" s="396"/>
      <c r="AR36" s="396"/>
      <c r="AS36" s="396"/>
      <c r="AT36" s="396"/>
      <c r="AU36" s="396"/>
      <c r="AV36" s="396"/>
      <c r="AW36" s="396"/>
      <c r="AX36" s="396"/>
      <c r="AY36" s="396"/>
      <c r="AZ36" s="396"/>
      <c r="BA36" s="396"/>
      <c r="BB36" s="396"/>
      <c r="BC36" s="396"/>
    </row>
    <row r="37" customFormat="false" ht="19.7" hidden="false" customHeight="false" outlineLevel="0" collapsed="false">
      <c r="A37" s="396"/>
      <c r="B37" s="420"/>
      <c r="C37" s="421"/>
      <c r="F37" s="396"/>
      <c r="G37" s="396"/>
      <c r="H37" s="396"/>
      <c r="I37" s="396"/>
      <c r="J37" s="396"/>
      <c r="K37" s="396"/>
      <c r="L37" s="396"/>
      <c r="M37" s="396"/>
      <c r="N37" s="396"/>
      <c r="O37" s="396"/>
      <c r="P37" s="396"/>
      <c r="Q37" s="396"/>
      <c r="R37" s="396"/>
      <c r="S37" s="396"/>
      <c r="T37" s="396"/>
      <c r="U37" s="396"/>
      <c r="V37" s="396"/>
      <c r="W37" s="396"/>
      <c r="X37" s="396"/>
      <c r="Y37" s="396"/>
      <c r="Z37" s="396"/>
      <c r="AA37" s="396"/>
      <c r="AB37" s="396"/>
      <c r="AC37" s="396"/>
      <c r="AD37" s="396"/>
      <c r="AE37" s="396"/>
      <c r="AF37" s="396"/>
      <c r="AG37" s="396"/>
      <c r="AH37" s="396"/>
      <c r="AI37" s="396"/>
      <c r="AJ37" s="396"/>
      <c r="AK37" s="396"/>
      <c r="AL37" s="396"/>
      <c r="AM37" s="396"/>
      <c r="AN37" s="396"/>
      <c r="AO37" s="396"/>
      <c r="AP37" s="396"/>
      <c r="AQ37" s="396"/>
      <c r="AR37" s="396"/>
      <c r="AS37" s="396"/>
      <c r="AT37" s="396"/>
      <c r="AU37" s="396"/>
      <c r="AV37" s="396"/>
      <c r="AW37" s="396"/>
      <c r="AX37" s="396"/>
      <c r="AY37" s="396"/>
      <c r="AZ37" s="396"/>
      <c r="BA37" s="396"/>
      <c r="BB37" s="396"/>
      <c r="BC37" s="396"/>
    </row>
    <row r="38" customFormat="false" ht="19.7" hidden="false" customHeight="false" outlineLevel="0" collapsed="false">
      <c r="A38" s="396"/>
      <c r="B38" s="422"/>
      <c r="C38" s="423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6"/>
      <c r="AQ38" s="396"/>
      <c r="AR38" s="396"/>
      <c r="AS38" s="396"/>
      <c r="AT38" s="396"/>
      <c r="AU38" s="396"/>
      <c r="AV38" s="396"/>
      <c r="AW38" s="396"/>
      <c r="AX38" s="396"/>
      <c r="AY38" s="396"/>
      <c r="AZ38" s="396"/>
      <c r="BA38" s="396"/>
      <c r="BB38" s="396"/>
      <c r="BC38" s="396"/>
    </row>
    <row r="39" customFormat="false" ht="19.7" hidden="false" customHeight="false" outlineLevel="0" collapsed="false">
      <c r="A39" s="396"/>
      <c r="B39" s="422"/>
      <c r="C39" s="423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396"/>
      <c r="AL39" s="396"/>
      <c r="AM39" s="396"/>
      <c r="AN39" s="396"/>
      <c r="AO39" s="396"/>
      <c r="AP39" s="396"/>
      <c r="AQ39" s="396"/>
      <c r="AR39" s="396"/>
      <c r="AS39" s="396"/>
      <c r="AT39" s="396"/>
      <c r="AU39" s="396"/>
      <c r="AV39" s="396"/>
      <c r="AW39" s="396"/>
      <c r="AX39" s="396"/>
      <c r="AY39" s="396"/>
      <c r="AZ39" s="396"/>
      <c r="BA39" s="396"/>
      <c r="BB39" s="396"/>
      <c r="BC39" s="396"/>
    </row>
    <row r="40" customFormat="false" ht="13.5" hidden="false" customHeight="false" outlineLevel="0" collapsed="false">
      <c r="A40" s="396"/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396"/>
      <c r="AE40" s="396"/>
      <c r="AF40" s="396"/>
      <c r="AG40" s="396"/>
      <c r="AH40" s="396"/>
      <c r="AI40" s="396"/>
      <c r="AJ40" s="396"/>
      <c r="AK40" s="396"/>
      <c r="AL40" s="396"/>
      <c r="AM40" s="396"/>
      <c r="AN40" s="396"/>
      <c r="AO40" s="396"/>
      <c r="AP40" s="396"/>
      <c r="AQ40" s="396"/>
      <c r="AR40" s="396"/>
      <c r="AS40" s="396"/>
      <c r="AT40" s="396"/>
      <c r="AU40" s="396"/>
      <c r="AV40" s="396"/>
      <c r="AW40" s="396"/>
      <c r="AX40" s="396"/>
      <c r="AY40" s="396"/>
      <c r="AZ40" s="396"/>
      <c r="BA40" s="396"/>
      <c r="BB40" s="396"/>
      <c r="BC40" s="396"/>
    </row>
    <row r="41" customFormat="false" ht="13.5" hidden="false" customHeight="false" outlineLevel="0" collapsed="false">
      <c r="A41" s="396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6"/>
      <c r="AZ41" s="396"/>
      <c r="BA41" s="396"/>
      <c r="BB41" s="396"/>
      <c r="BC41" s="396"/>
    </row>
    <row r="42" customFormat="false" ht="13.5" hidden="false" customHeight="false" outlineLevel="0" collapsed="false">
      <c r="A42" s="396"/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396"/>
      <c r="AK42" s="396"/>
      <c r="AL42" s="396"/>
      <c r="AM42" s="396"/>
      <c r="AN42" s="396"/>
      <c r="AO42" s="396"/>
      <c r="AP42" s="396"/>
      <c r="AQ42" s="396"/>
      <c r="AR42" s="396"/>
      <c r="AS42" s="396"/>
      <c r="AT42" s="396"/>
      <c r="AU42" s="396"/>
      <c r="AV42" s="396"/>
      <c r="AW42" s="396"/>
      <c r="AX42" s="396"/>
      <c r="AY42" s="396"/>
      <c r="AZ42" s="396"/>
      <c r="BA42" s="396"/>
      <c r="BB42" s="396"/>
      <c r="BC42" s="396"/>
    </row>
    <row r="43" customFormat="false" ht="13.5" hidden="false" customHeight="false" outlineLevel="0" collapsed="false">
      <c r="A43" s="396"/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396"/>
      <c r="AA43" s="396"/>
      <c r="AB43" s="396"/>
      <c r="AC43" s="396"/>
      <c r="AD43" s="396"/>
      <c r="AE43" s="396"/>
      <c r="AF43" s="396"/>
      <c r="AG43" s="396"/>
      <c r="AH43" s="396"/>
      <c r="AI43" s="396"/>
      <c r="AJ43" s="396"/>
      <c r="AK43" s="396"/>
      <c r="AL43" s="396"/>
      <c r="AM43" s="396"/>
      <c r="AN43" s="396"/>
      <c r="AO43" s="396"/>
      <c r="AP43" s="396"/>
      <c r="AQ43" s="396"/>
      <c r="AR43" s="396"/>
      <c r="AS43" s="396"/>
      <c r="AT43" s="396"/>
      <c r="AU43" s="396"/>
      <c r="AV43" s="396"/>
      <c r="AW43" s="396"/>
      <c r="AX43" s="396"/>
      <c r="AY43" s="396"/>
      <c r="AZ43" s="396"/>
      <c r="BA43" s="396"/>
      <c r="BB43" s="396"/>
      <c r="BC43" s="396"/>
    </row>
    <row r="44" customFormat="false" ht="13.5" hidden="false" customHeight="false" outlineLevel="0" collapsed="false">
      <c r="A44" s="396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6"/>
      <c r="AB44" s="396"/>
      <c r="AC44" s="396"/>
      <c r="AD44" s="396"/>
      <c r="AE44" s="396"/>
      <c r="AF44" s="396"/>
      <c r="AG44" s="396"/>
      <c r="AH44" s="396"/>
      <c r="AI44" s="396"/>
      <c r="AJ44" s="396"/>
      <c r="AK44" s="396"/>
      <c r="AL44" s="396"/>
      <c r="AM44" s="396"/>
      <c r="AN44" s="396"/>
      <c r="AO44" s="396"/>
      <c r="AP44" s="396"/>
      <c r="AQ44" s="396"/>
      <c r="AR44" s="396"/>
      <c r="AS44" s="396"/>
      <c r="AT44" s="396"/>
      <c r="AU44" s="396"/>
      <c r="AV44" s="396"/>
      <c r="AW44" s="396"/>
      <c r="AX44" s="396"/>
      <c r="AY44" s="396"/>
      <c r="AZ44" s="396"/>
      <c r="BA44" s="396"/>
      <c r="BB44" s="396"/>
      <c r="BC44" s="396"/>
    </row>
    <row r="45" customFormat="false" ht="13.5" hidden="false" customHeight="false" outlineLevel="0" collapsed="false">
      <c r="A45" s="396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396"/>
      <c r="AA45" s="396"/>
      <c r="AB45" s="396"/>
      <c r="AC45" s="396"/>
      <c r="AD45" s="396"/>
      <c r="AE45" s="396"/>
      <c r="AF45" s="396"/>
      <c r="AG45" s="396"/>
      <c r="AH45" s="396"/>
      <c r="AI45" s="396"/>
      <c r="AJ45" s="396"/>
      <c r="AK45" s="396"/>
      <c r="AL45" s="396"/>
      <c r="AM45" s="396"/>
      <c r="AN45" s="396"/>
      <c r="AO45" s="396"/>
      <c r="AP45" s="396"/>
      <c r="AQ45" s="396"/>
      <c r="AR45" s="396"/>
      <c r="AS45" s="396"/>
      <c r="AT45" s="396"/>
      <c r="AU45" s="396"/>
      <c r="AV45" s="396"/>
      <c r="AW45" s="396"/>
      <c r="AX45" s="396"/>
      <c r="AY45" s="396"/>
      <c r="AZ45" s="396"/>
      <c r="BA45" s="396"/>
      <c r="BB45" s="396"/>
      <c r="BC45" s="396"/>
    </row>
    <row r="46" customFormat="false" ht="13.5" hidden="false" customHeight="false" outlineLevel="0" collapsed="false">
      <c r="A46" s="396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396"/>
      <c r="AA46" s="396"/>
      <c r="AB46" s="396"/>
      <c r="AC46" s="396"/>
      <c r="AD46" s="396"/>
      <c r="AE46" s="396"/>
      <c r="AF46" s="396"/>
      <c r="AG46" s="396"/>
      <c r="AH46" s="396"/>
      <c r="AI46" s="396"/>
      <c r="AJ46" s="396"/>
      <c r="AK46" s="396"/>
      <c r="AL46" s="396"/>
      <c r="AM46" s="396"/>
      <c r="AN46" s="396"/>
      <c r="AO46" s="396"/>
      <c r="AP46" s="396"/>
      <c r="AQ46" s="396"/>
      <c r="AR46" s="396"/>
      <c r="AS46" s="396"/>
      <c r="AT46" s="396"/>
      <c r="AU46" s="396"/>
      <c r="AV46" s="396"/>
      <c r="AW46" s="396"/>
      <c r="AX46" s="396"/>
      <c r="AY46" s="396"/>
      <c r="AZ46" s="396"/>
      <c r="BA46" s="396"/>
      <c r="BB46" s="396"/>
      <c r="BC46" s="396"/>
    </row>
    <row r="47" customFormat="false" ht="13.5" hidden="false" customHeight="false" outlineLevel="0" collapsed="false">
      <c r="A47" s="396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  <c r="AL47" s="396"/>
      <c r="AM47" s="396"/>
      <c r="AN47" s="396"/>
      <c r="AO47" s="396"/>
      <c r="AP47" s="396"/>
      <c r="AQ47" s="396"/>
      <c r="AR47" s="396"/>
      <c r="AS47" s="396"/>
      <c r="AT47" s="396"/>
      <c r="AU47" s="396"/>
      <c r="AV47" s="396"/>
      <c r="AW47" s="396"/>
      <c r="AX47" s="396"/>
      <c r="AY47" s="396"/>
      <c r="AZ47" s="396"/>
      <c r="BA47" s="396"/>
      <c r="BB47" s="396"/>
      <c r="BC47" s="396"/>
    </row>
    <row r="48" customFormat="false" ht="13.5" hidden="false" customHeight="false" outlineLevel="0" collapsed="false">
      <c r="A48" s="396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396"/>
      <c r="AA48" s="396"/>
      <c r="AB48" s="396"/>
      <c r="AC48" s="396"/>
      <c r="AD48" s="396"/>
      <c r="AE48" s="396"/>
      <c r="AF48" s="396"/>
      <c r="AG48" s="396"/>
      <c r="AH48" s="396"/>
      <c r="AI48" s="396"/>
      <c r="AJ48" s="396"/>
      <c r="AK48" s="396"/>
      <c r="AL48" s="396"/>
      <c r="AM48" s="396"/>
      <c r="AN48" s="396"/>
      <c r="AO48" s="396"/>
      <c r="AP48" s="396"/>
      <c r="AQ48" s="396"/>
      <c r="AR48" s="396"/>
      <c r="AS48" s="396"/>
      <c r="AT48" s="396"/>
      <c r="AU48" s="396"/>
      <c r="AV48" s="396"/>
      <c r="AW48" s="396"/>
      <c r="AX48" s="396"/>
      <c r="AY48" s="396"/>
      <c r="AZ48" s="396"/>
      <c r="BA48" s="396"/>
      <c r="BB48" s="396"/>
      <c r="BC48" s="396"/>
    </row>
    <row r="54" customFormat="false" ht="13.5" hidden="false" customHeight="false" outlineLevel="0" collapsed="false">
      <c r="C54" s="424" t="n">
        <f aca="false">+(Datos_Iniciales!$C$20+Datos_Iniciales!$C$21)</f>
        <v>2500671</v>
      </c>
    </row>
  </sheetData>
  <mergeCells count="2">
    <mergeCell ref="E17:F17"/>
    <mergeCell ref="E18:F18"/>
  </mergeCells>
  <conditionalFormatting sqref="H2">
    <cfRule type="containsText" priority="2" operator="containsText" aboveAverage="0" equalAverage="0" bottom="0" percent="0" rank="0" text="OJO ofrecer líneas de créditos tradicionales, y pendiente por revisar en campaña 20 años" dxfId="14">
      <formula>NOT(ISERROR(SEARCH("OJO ofrecer líneas de créditos tradicionales, y pendiente por revisar en campaña 20 años",H2)))</formula>
    </cfRule>
    <cfRule type="containsText" priority="3" operator="containsText" aboveAverage="0" equalAverage="0" bottom="0" percent="0" rank="0" text="Asociado benefeciado con la campaña 20 años, continue ingresando datos" dxfId="15">
      <formula>NOT(ISERROR(SEARCH("Asociado benefeciado con la campaña 20 años, continue ingresando datos",H2)))</formula>
    </cfRule>
    <cfRule type="containsText" priority="4" operator="containsText" aboveAverage="0" equalAverage="0" bottom="0" percent="0" rank="0" text="Asociado no beneficiado para la campaña 20 años" dxfId="16">
      <formula>NOT(ISERROR(SEARCH("Asociado no beneficiado para la campaña 20 años",H2)))</formula>
    </cfRule>
  </conditionalFormatting>
  <conditionalFormatting sqref="H1">
    <cfRule type="containsText" priority="5" operator="containsText" aboveAverage="0" equalAverage="0" bottom="0" percent="0" rank="0" text="Asociado beneficiado con la campaña 20 años, continúe ingresando datos" dxfId="17">
      <formula>NOT(ISERROR(SEARCH("Asociado beneficiado con la campaña 20 años, continúe ingresando datos",H1)))</formula>
    </cfRule>
    <cfRule type="containsText" priority="6" operator="containsText" aboveAverage="0" equalAverage="0" bottom="0" percent="0" rank="0" text="Asociado no beneficiado para la campaña 20 años" dxfId="18">
      <formula>NOT(ISERROR(SEARCH("Asociado no beneficiado para la campaña 20 años",H1)))</formula>
    </cfRule>
  </conditionalFormatting>
  <conditionalFormatting sqref="E10:G10">
    <cfRule type="containsText" priority="7" operator="containsText" aboveAverage="0" equalAverage="0" bottom="0" percent="0" rank="0" text="Asociado no beneficiado para Campaña" dxfId="19">
      <formula>NOT(ISERROR(SEARCH("Asociado no beneficiado para Campaña",E10)))</formula>
    </cfRule>
  </conditionalFormatting>
  <dataValidations count="18">
    <dataValidation allowBlank="true" errorStyle="stop" operator="between" prompt="Digite solo los ingresos adicionales demostrables (Eje: Arrendamientos, pensiones)." promptTitle="Otros Ingresos" showDropDown="false" showErrorMessage="true" showInputMessage="true" sqref="C12" type="none">
      <formula1>0</formula1>
      <formula2>0</formula2>
    </dataValidation>
    <dataValidation allowBlank="true" errorStyle="stop" operator="between" prompt="Digite todos los descuentos que tenga el asociado en el volante de pago (incluyendo Coopvalili), SIN incluir los descuentos de ley.&#10;" promptTitle="Egresos Volante de Pago" showDropDown="false" showErrorMessage="true" showInputMessage="true" sqref="C13" type="none">
      <formula1>0</formula1>
      <formula2>0</formula2>
    </dataValidation>
    <dataValidation allowBlank="true" errorStyle="stop" operator="between" prompt="Digite todas las cuotas que el asociado tenga en el sector financiero." promptTitle="Egresos Cuotas Sector" showDropDown="false" showErrorMessage="true" showInputMessage="true" sqref="C14" type="none">
      <formula1>0</formula1>
      <formula2>0</formula2>
    </dataValidation>
    <dataValidation allowBlank="true" errorStyle="stop" operator="between" prompt="Digite el plazo del crédito solicitado por el asociado en años." promptTitle="Plazo en años" showDropDown="false" showErrorMessage="true" showInputMessage="true" sqref="C15" type="none">
      <formula1>0</formula1>
      <formula2>0</formula2>
    </dataValidation>
    <dataValidation allowBlank="true" errorStyle="stop" operator="between" prompt="Digite el puntaje del score suministrado por CIFIN." promptTitle="Score" showDropDown="false" showErrorMessage="true" showInputMessage="true" sqref="C16" type="none">
      <formula1>0</formula1>
      <formula2>0</formula2>
    </dataValidation>
    <dataValidation allowBlank="true" errorStyle="stop" operator="between" prompt="Digite el monto del crédito solicitado por el asociado." promptTitle="Monto Solicitado" showDropDown="false" showErrorMessage="true" showInputMessage="true" sqref="C17" type="none">
      <formula1>0</formula1>
      <formula2>0</formula2>
    </dataValidation>
    <dataValidation allowBlank="true" errorStyle="stop" operator="between" prompt="Digite todos los cupos de las tarjetas que muestra el reporte de CIFIN." promptTitle="Cupos Tarjetas" showDropDown="false" showErrorMessage="true" showInputMessage="true" sqref="C18:C19" type="none">
      <formula1>0</formula1>
      <formula2>0</formula2>
    </dataValidation>
    <dataValidation allowBlank="true" errorStyle="stop" operator="between" prompt="Digite el valor de los aportes incluyendo revalorizaciones" promptTitle="Aportes" showDropDown="false" showErrorMessage="true" showInputMessage="true" sqref="C20 C26" type="none">
      <formula1>0</formula1>
      <formula2>0</formula2>
    </dataValidation>
    <dataValidation allowBlank="true" errorStyle="stop" operator="between" prompt="Digite el saldo de las obligaciones financieras actuales sin la deuda actual de Coopvalili." promptTitle="Deuda_Sector" showDropDown="false" showErrorMessage="true" showInputMessage="true" sqref="C21" type="none">
      <formula1>0</formula1>
      <formula2>0</formula2>
    </dataValidation>
    <dataValidation allowBlank="true" errorStyle="stop" operator="between" prompt="Digite el valor de la cuota de COOPVALILI que se proyecta recoger." promptTitle="Recoge_Cuotas_Coopvalili" showDropDown="false" showErrorMessage="true" showInputMessage="true" sqref="C22" type="none">
      <formula1>0</formula1>
      <formula2>0</formula2>
    </dataValidation>
    <dataValidation allowBlank="true" errorStyle="stop" operator="between" prompt="Digite el valor de la cuota del SECTOR que se proyecta recoger." promptTitle="Recoge_Cuota_Sector" showDropDown="false" showErrorMessage="true" showInputMessage="true" sqref="C23" type="none">
      <formula1>0</formula1>
      <formula2>0</formula2>
    </dataValidation>
    <dataValidation allowBlank="true" errorStyle="stop" operator="between" prompt="Digite el valor del cupo rotativo asignado al asociado." promptTitle="Cupo_Rotativo_Coopvalili" showDropDown="false" showErrorMessage="true" showInputMessage="true" sqref="C24" type="none">
      <formula1>0</formula1>
      <formula2>0</formula2>
    </dataValidation>
    <dataValidation allowBlank="true" errorStyle="stop" operator="between" prompt="Digite la edad del asociado" promptTitle="Edad_Asociado" showDropDown="false" showErrorMessage="true" showInputMessage="true" sqref="C27" type="none">
      <formula1>0</formula1>
      <formula2>0</formula2>
    </dataValidation>
    <dataValidation allowBlank="true" errorStyle="stop" operator="between" prompt="Digite el numero de personas a cargo del asociado." promptTitle="Personas_a_Cargo" showDropDown="false" showErrorMessage="true" showInputMessage="true" sqref="C28" type="none">
      <formula1>0</formula1>
      <formula2>0</formula2>
    </dataValidation>
    <dataValidation allowBlank="true" errorStyle="stop" operator="between" prompt="Digitar los numeros 1, 2, 3, 4, 5 de la siguiente manera:&#10;1 - Propia Sin Hipoteca.&#10;2 - Arrendada.&#10;3 - Hipoteca.&#10;4 - Familiar.&#10;5 - Otros.&#10;" promptTitle="Tipo_Vivienda" showDropDown="false" showErrorMessage="true" showInputMessage="true" sqref="C29" type="none">
      <formula1>0</formula1>
      <formula2>0</formula2>
    </dataValidation>
    <dataValidation allowBlank="true" errorStyle="stop" operator="between" prompt="Digite la antiguedad como asociado en años." promptTitle="Antiguedad_Cooperativa" showDropDown="false" showErrorMessage="true" showInputMessage="true" sqref="C30" type="none">
      <formula1>0</formula1>
      <formula2>0</formula2>
    </dataValidation>
    <dataValidation allowBlank="true" errorStyle="stop" operator="between" prompt="Digite el valor $ de la prenda" promptTitle="Prenda" showDropDown="false" showErrorMessage="true" showInputMessage="true" sqref="C34" type="none">
      <formula1>0</formula1>
      <formula2>0</formula2>
    </dataValidation>
    <dataValidation allowBlank="true" errorStyle="stop" operator="between" prompt="Digite el valor de cesantias pignoradas." promptTitle="Cesantias" showDropDown="false" showErrorMessage="true" showInputMessage="true" sqref="C3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5" style="0" width="15.56"/>
    <col collapsed="false" customWidth="true" hidden="false" outlineLevel="0" max="6" min="6" style="0" width="12"/>
  </cols>
  <sheetData>
    <row r="2" customFormat="false" ht="14.25" hidden="false" customHeight="false" outlineLevel="0" collapsed="false">
      <c r="D2" s="0" t="s">
        <v>3987</v>
      </c>
      <c r="E2" s="225" t="n">
        <v>98000000</v>
      </c>
    </row>
    <row r="3" customFormat="false" ht="14.25" hidden="false" customHeight="false" outlineLevel="0" collapsed="false">
      <c r="D3" s="0" t="s">
        <v>4131</v>
      </c>
      <c r="E3" s="0" t="n">
        <v>96</v>
      </c>
    </row>
    <row r="4" customFormat="false" ht="14.25" hidden="false" customHeight="false" outlineLevel="0" collapsed="false">
      <c r="D4" s="0" t="s">
        <v>4132</v>
      </c>
      <c r="E4" s="425" t="n">
        <v>0.0135</v>
      </c>
    </row>
    <row r="5" customFormat="false" ht="14.25" hidden="false" customHeight="false" outlineLevel="0" collapsed="false">
      <c r="D5" s="0" t="s">
        <v>4133</v>
      </c>
      <c r="E5" s="426" t="n">
        <f aca="false">+PMT(E4,E3,-E2)</f>
        <v>1827365.11273394</v>
      </c>
    </row>
    <row r="7" customFormat="false" ht="14.25" hidden="false" customHeight="false" outlineLevel="0" collapsed="false">
      <c r="D7" s="0" t="s">
        <v>4134</v>
      </c>
      <c r="E7" s="225" t="n">
        <v>1867588</v>
      </c>
      <c r="F7" s="426" t="n">
        <f aca="false">+E7-E5</f>
        <v>40222.8872660585</v>
      </c>
    </row>
    <row r="8" customFormat="false" ht="14.25" hidden="false" customHeight="false" outlineLevel="0" collapsed="false">
      <c r="D8" s="0" t="s">
        <v>4135</v>
      </c>
      <c r="E8" s="427" t="n">
        <f aca="false">RATE(E3,E7,-E2)</f>
        <v>0.014076688965338</v>
      </c>
    </row>
    <row r="9" customFormat="false" ht="14.25" hidden="false" customHeight="false" outlineLevel="0" collapsed="false">
      <c r="F9" s="225" t="n">
        <f aca="false">+F7*E3</f>
        <v>3861397.17754161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2" min="2" style="0" width="44"/>
    <col collapsed="false" customWidth="true" hidden="false" outlineLevel="0" max="4" min="3" style="0" width="16.89"/>
    <col collapsed="false" customWidth="true" hidden="false" outlineLevel="0" max="6" min="6" style="0" width="14.56"/>
  </cols>
  <sheetData>
    <row r="1" customFormat="false" ht="14.25" hidden="false" customHeight="false" outlineLevel="0" collapsed="false">
      <c r="A1" s="0" t="n">
        <v>4661060</v>
      </c>
      <c r="B1" s="0" t="s">
        <v>4136</v>
      </c>
      <c r="C1" s="0" t="n">
        <v>0.393374581650773</v>
      </c>
      <c r="D1" s="0" t="n">
        <v>88218.54</v>
      </c>
      <c r="E1" s="0" t="s">
        <v>4137</v>
      </c>
    </row>
    <row r="2" customFormat="false" ht="14.25" hidden="false" customHeight="false" outlineLevel="0" collapsed="false">
      <c r="A2" s="0" t="n">
        <v>5824652</v>
      </c>
      <c r="B2" s="0" t="s">
        <v>4138</v>
      </c>
      <c r="C2" s="0" t="n">
        <v>0.482230875362874</v>
      </c>
      <c r="D2" s="0" t="n">
        <v>-222943</v>
      </c>
      <c r="E2" s="0" t="s">
        <v>4137</v>
      </c>
      <c r="F2" s="225"/>
    </row>
    <row r="3" customFormat="false" ht="14.25" hidden="false" customHeight="false" outlineLevel="0" collapsed="false">
      <c r="A3" s="0" t="n">
        <v>6537914</v>
      </c>
      <c r="B3" s="0" t="s">
        <v>4139</v>
      </c>
      <c r="C3" s="0" t="n">
        <v>0.164202100565164</v>
      </c>
      <c r="D3" s="0" t="n">
        <v>2109156</v>
      </c>
      <c r="E3" s="0" t="s">
        <v>4137</v>
      </c>
      <c r="F3" s="225"/>
    </row>
    <row r="4" customFormat="false" ht="14.25" hidden="false" customHeight="false" outlineLevel="0" collapsed="false">
      <c r="A4" s="0" t="n">
        <v>10280915</v>
      </c>
      <c r="B4" s="0" t="s">
        <v>4140</v>
      </c>
      <c r="C4" s="0" t="n">
        <v>0.475654412831221</v>
      </c>
      <c r="D4" s="0" t="n">
        <v>-1187939.88</v>
      </c>
      <c r="E4" s="0" t="s">
        <v>4137</v>
      </c>
      <c r="F4" s="225"/>
    </row>
    <row r="5" customFormat="false" ht="14.25" hidden="false" customHeight="false" outlineLevel="0" collapsed="false">
      <c r="A5" s="0" t="n">
        <v>10285994</v>
      </c>
      <c r="B5" s="0" t="s">
        <v>4141</v>
      </c>
      <c r="C5" s="0" t="n">
        <v>0.175959085184319</v>
      </c>
      <c r="D5" s="0" t="n">
        <v>1861721.76</v>
      </c>
      <c r="E5" s="0" t="s">
        <v>4137</v>
      </c>
      <c r="F5" s="225"/>
    </row>
    <row r="6" customFormat="false" ht="14.25" hidden="false" customHeight="false" outlineLevel="0" collapsed="false">
      <c r="A6" s="0" t="n">
        <v>11320970</v>
      </c>
      <c r="B6" s="0" t="s">
        <v>4142</v>
      </c>
      <c r="C6" s="0" t="n">
        <v>0.427546207387687</v>
      </c>
      <c r="D6" s="0" t="n">
        <v>-56033.8799999999</v>
      </c>
      <c r="E6" s="0" t="s">
        <v>4137</v>
      </c>
      <c r="F6" s="225"/>
    </row>
    <row r="7" customFormat="false" ht="14.25" hidden="false" customHeight="false" outlineLevel="0" collapsed="false">
      <c r="A7" s="0" t="n">
        <v>14465776</v>
      </c>
      <c r="B7" s="0" t="s">
        <v>4143</v>
      </c>
      <c r="C7" s="0" t="n">
        <v>0.462339476472295</v>
      </c>
      <c r="D7" s="0" t="n">
        <v>-188224.8</v>
      </c>
      <c r="E7" s="0" t="s">
        <v>4137</v>
      </c>
      <c r="F7" s="225"/>
    </row>
    <row r="8" customFormat="false" ht="14.25" hidden="false" customHeight="false" outlineLevel="0" collapsed="false">
      <c r="A8" s="0" t="n">
        <v>14590768</v>
      </c>
      <c r="B8" s="0" t="s">
        <v>4144</v>
      </c>
      <c r="C8" s="0" t="n">
        <v>0.265182774707868</v>
      </c>
      <c r="D8" s="0" t="n">
        <v>1231980.88</v>
      </c>
      <c r="E8" s="0" t="s">
        <v>4137</v>
      </c>
      <c r="F8" s="225"/>
    </row>
    <row r="9" customFormat="false" ht="14.25" hidden="false" customHeight="false" outlineLevel="0" collapsed="false">
      <c r="A9" s="0" t="n">
        <v>14608714</v>
      </c>
      <c r="B9" s="0" t="s">
        <v>4145</v>
      </c>
      <c r="C9" s="0" t="n">
        <v>0.188363872916158</v>
      </c>
      <c r="D9" s="0" t="n">
        <v>1768999.08</v>
      </c>
      <c r="E9" s="0" t="s">
        <v>4137</v>
      </c>
      <c r="F9" s="225"/>
    </row>
    <row r="10" customFormat="false" ht="14.25" hidden="false" customHeight="false" outlineLevel="0" collapsed="false">
      <c r="A10" s="0" t="n">
        <v>14621610</v>
      </c>
      <c r="B10" s="0" t="s">
        <v>4146</v>
      </c>
      <c r="C10" s="0" t="n">
        <v>0.224526554526555</v>
      </c>
      <c r="D10" s="0" t="n">
        <v>930825</v>
      </c>
      <c r="E10" s="0" t="s">
        <v>4147</v>
      </c>
      <c r="F10" s="225"/>
    </row>
    <row r="11" customFormat="false" ht="14.25" hidden="false" customHeight="false" outlineLevel="0" collapsed="false">
      <c r="A11" s="0" t="n">
        <v>14837964</v>
      </c>
      <c r="B11" s="0" t="s">
        <v>4148</v>
      </c>
      <c r="C11" s="0" t="n">
        <v>0.36386528097363</v>
      </c>
      <c r="D11" s="0" t="n">
        <v>223252.68</v>
      </c>
      <c r="E11" s="0" t="s">
        <v>4137</v>
      </c>
      <c r="F11" s="225"/>
    </row>
    <row r="12" customFormat="false" ht="14.25" hidden="false" customHeight="false" outlineLevel="0" collapsed="false">
      <c r="A12" s="0" t="n">
        <v>14839579</v>
      </c>
      <c r="B12" s="0" t="s">
        <v>4149</v>
      </c>
      <c r="C12" s="0" t="n">
        <v>0.108644976924405</v>
      </c>
      <c r="D12" s="0" t="n">
        <v>1497029.2</v>
      </c>
      <c r="E12" s="0" t="s">
        <v>4147</v>
      </c>
      <c r="F12" s="225"/>
    </row>
    <row r="13" customFormat="false" ht="14.25" hidden="false" customHeight="false" outlineLevel="0" collapsed="false">
      <c r="A13" s="0" t="n">
        <v>16377725</v>
      </c>
      <c r="B13" s="0" t="s">
        <v>4150</v>
      </c>
      <c r="C13" s="0" t="n">
        <v>0.329201907968508</v>
      </c>
      <c r="D13" s="0" t="n">
        <v>760755.9</v>
      </c>
      <c r="E13" s="0" t="s">
        <v>4137</v>
      </c>
      <c r="F13" s="225"/>
    </row>
    <row r="14" customFormat="false" ht="14.25" hidden="false" customHeight="false" outlineLevel="0" collapsed="false">
      <c r="A14" s="0" t="n">
        <v>16457828</v>
      </c>
      <c r="B14" s="0" t="s">
        <v>4151</v>
      </c>
      <c r="C14" s="0" t="n">
        <v>0.155105436097729</v>
      </c>
      <c r="D14" s="0" t="n">
        <v>1084615.56</v>
      </c>
      <c r="E14" s="0" t="s">
        <v>4137</v>
      </c>
      <c r="F14" s="225"/>
    </row>
    <row r="15" customFormat="false" ht="14.25" hidden="false" customHeight="false" outlineLevel="0" collapsed="false">
      <c r="A15" s="0" t="n">
        <v>16699405</v>
      </c>
      <c r="B15" s="0" t="s">
        <v>4152</v>
      </c>
      <c r="C15" s="0" t="n">
        <v>0.338117594566457</v>
      </c>
      <c r="D15" s="0" t="n">
        <v>165165</v>
      </c>
      <c r="E15" s="0" t="s">
        <v>4137</v>
      </c>
      <c r="F15" s="225"/>
    </row>
    <row r="16" customFormat="false" ht="14.25" hidden="false" customHeight="false" outlineLevel="0" collapsed="false">
      <c r="A16" s="0" t="n">
        <v>16701228</v>
      </c>
      <c r="B16" s="0" t="s">
        <v>4153</v>
      </c>
      <c r="C16" s="0" t="n">
        <v>0.153674174232719</v>
      </c>
      <c r="D16" s="0" t="n">
        <v>917559.14</v>
      </c>
      <c r="E16" s="0" t="s">
        <v>4137</v>
      </c>
      <c r="F16" s="225"/>
    </row>
    <row r="17" customFormat="false" ht="14.25" hidden="false" customHeight="false" outlineLevel="0" collapsed="false">
      <c r="A17" s="0" t="n">
        <v>16729830</v>
      </c>
      <c r="B17" s="0" t="s">
        <v>4154</v>
      </c>
      <c r="C17" s="0" t="n">
        <v>0.28172912360532</v>
      </c>
      <c r="D17" s="0" t="n">
        <v>2722678</v>
      </c>
      <c r="E17" s="0" t="s">
        <v>4137</v>
      </c>
      <c r="F17" s="225"/>
    </row>
    <row r="18" customFormat="false" ht="14.25" hidden="false" customHeight="false" outlineLevel="0" collapsed="false">
      <c r="A18" s="0" t="n">
        <v>16737817</v>
      </c>
      <c r="B18" s="0" t="s">
        <v>4155</v>
      </c>
      <c r="C18" s="0" t="n">
        <v>0.314642343070672</v>
      </c>
      <c r="D18" s="0" t="n">
        <v>957469.42</v>
      </c>
      <c r="E18" s="0" t="s">
        <v>4137</v>
      </c>
      <c r="F18" s="225"/>
    </row>
    <row r="19" customFormat="false" ht="14.25" hidden="false" customHeight="false" outlineLevel="0" collapsed="false">
      <c r="A19" s="0" t="n">
        <v>16745578</v>
      </c>
      <c r="B19" s="0" t="s">
        <v>4156</v>
      </c>
      <c r="C19" s="0" t="n">
        <v>0.327570524171053</v>
      </c>
      <c r="D19" s="0" t="n">
        <v>762118</v>
      </c>
      <c r="E19" s="0" t="s">
        <v>4137</v>
      </c>
      <c r="F19" s="225"/>
    </row>
    <row r="20" customFormat="false" ht="14.25" hidden="false" customHeight="false" outlineLevel="0" collapsed="false">
      <c r="A20" s="0" t="n">
        <v>16749432</v>
      </c>
      <c r="B20" s="0" t="s">
        <v>4157</v>
      </c>
      <c r="C20" s="0" t="n">
        <v>0.41219884213892</v>
      </c>
      <c r="D20" s="0" t="n">
        <v>31449.5799999998</v>
      </c>
      <c r="E20" s="0" t="s">
        <v>4147</v>
      </c>
      <c r="F20" s="225"/>
    </row>
    <row r="21" customFormat="false" ht="14.25" hidden="false" customHeight="false" outlineLevel="0" collapsed="false">
      <c r="A21" s="0" t="n">
        <v>16767193</v>
      </c>
      <c r="B21" s="0" t="s">
        <v>4158</v>
      </c>
      <c r="C21" s="0" t="n">
        <v>0.147383831026948</v>
      </c>
      <c r="D21" s="0" t="n">
        <v>2058661</v>
      </c>
      <c r="E21" s="0" t="s">
        <v>4137</v>
      </c>
      <c r="F21" s="225"/>
    </row>
    <row r="22" customFormat="false" ht="14.25" hidden="false" customHeight="false" outlineLevel="0" collapsed="false">
      <c r="A22" s="0" t="n">
        <v>16768054</v>
      </c>
      <c r="B22" s="0" t="s">
        <v>4159</v>
      </c>
      <c r="C22" s="0" t="n">
        <v>0.334530556422007</v>
      </c>
      <c r="D22" s="0" t="n">
        <v>712422</v>
      </c>
      <c r="E22" s="0" t="s">
        <v>4137</v>
      </c>
      <c r="F22" s="225"/>
    </row>
    <row r="23" customFormat="false" ht="14.25" hidden="false" customHeight="false" outlineLevel="0" collapsed="false">
      <c r="A23" s="0" t="n">
        <v>16769506</v>
      </c>
      <c r="B23" s="0" t="s">
        <v>4160</v>
      </c>
      <c r="C23" s="0" t="n">
        <v>0.268830789342151</v>
      </c>
      <c r="D23" s="0" t="n">
        <v>393176</v>
      </c>
      <c r="E23" s="0" t="s">
        <v>4137</v>
      </c>
      <c r="F23" s="225"/>
    </row>
    <row r="24" customFormat="false" ht="14.25" hidden="false" customHeight="false" outlineLevel="0" collapsed="false">
      <c r="A24" s="0" t="n">
        <v>16774204</v>
      </c>
      <c r="B24" s="0" t="s">
        <v>4161</v>
      </c>
      <c r="C24" s="0" t="n">
        <v>0.464806248050484</v>
      </c>
      <c r="D24" s="0" t="n">
        <v>-373478</v>
      </c>
      <c r="E24" s="0" t="s">
        <v>4137</v>
      </c>
      <c r="F24" s="225"/>
    </row>
    <row r="25" customFormat="false" ht="14.25" hidden="false" customHeight="false" outlineLevel="0" collapsed="false">
      <c r="A25" s="0" t="n">
        <v>16776926</v>
      </c>
      <c r="B25" s="0" t="s">
        <v>4162</v>
      </c>
      <c r="C25" s="0" t="n">
        <v>0.162101758151838</v>
      </c>
      <c r="D25" s="0" t="n">
        <v>910222.96</v>
      </c>
      <c r="E25" s="0" t="s">
        <v>4137</v>
      </c>
      <c r="F25" s="225"/>
    </row>
    <row r="26" customFormat="false" ht="14.25" hidden="false" customHeight="false" outlineLevel="0" collapsed="false">
      <c r="A26" s="0" t="n">
        <v>16778716</v>
      </c>
      <c r="B26" s="0" t="s">
        <v>4163</v>
      </c>
      <c r="C26" s="0" t="n">
        <v>0.279149988165742</v>
      </c>
      <c r="D26" s="0" t="n">
        <v>433228.72</v>
      </c>
      <c r="E26" s="0" t="s">
        <v>4137</v>
      </c>
      <c r="F26" s="225"/>
    </row>
    <row r="27" customFormat="false" ht="14.25" hidden="false" customHeight="false" outlineLevel="0" collapsed="false">
      <c r="A27" s="0" t="n">
        <v>16786534</v>
      </c>
      <c r="B27" s="0" t="s">
        <v>4164</v>
      </c>
      <c r="C27" s="0" t="n">
        <v>0.378495268618042</v>
      </c>
      <c r="D27" s="0" t="n">
        <v>158366.38</v>
      </c>
      <c r="E27" s="0" t="s">
        <v>4137</v>
      </c>
      <c r="F27" s="225"/>
    </row>
    <row r="28" customFormat="false" ht="14.25" hidden="false" customHeight="false" outlineLevel="0" collapsed="false">
      <c r="A28" s="0" t="n">
        <v>16799691</v>
      </c>
      <c r="B28" s="0" t="s">
        <v>4165</v>
      </c>
      <c r="C28" s="0" t="n">
        <v>0.261346326629346</v>
      </c>
      <c r="D28" s="0" t="n">
        <v>459112</v>
      </c>
      <c r="E28" s="0" t="s">
        <v>4137</v>
      </c>
      <c r="F28" s="225"/>
    </row>
    <row r="29" customFormat="false" ht="14.25" hidden="false" customHeight="false" outlineLevel="0" collapsed="false">
      <c r="A29" s="0" t="n">
        <v>16845092</v>
      </c>
      <c r="B29" s="0" t="s">
        <v>4166</v>
      </c>
      <c r="C29" s="0" t="n">
        <v>0.380484027006906</v>
      </c>
      <c r="D29" s="0" t="n">
        <v>139651.78</v>
      </c>
      <c r="E29" s="0" t="s">
        <v>4137</v>
      </c>
      <c r="F29" s="225"/>
    </row>
    <row r="30" customFormat="false" ht="14.25" hidden="false" customHeight="false" outlineLevel="0" collapsed="false">
      <c r="A30" s="0" t="n">
        <v>16849715</v>
      </c>
      <c r="B30" s="0" t="s">
        <v>4167</v>
      </c>
      <c r="C30" s="0" t="n">
        <v>0.152361858883536</v>
      </c>
      <c r="D30" s="0" t="n">
        <v>1133394</v>
      </c>
      <c r="E30" s="0" t="s">
        <v>4137</v>
      </c>
      <c r="F30" s="225"/>
    </row>
    <row r="31" customFormat="false" ht="14.25" hidden="false" customHeight="false" outlineLevel="0" collapsed="false">
      <c r="A31" s="0" t="n">
        <v>16915378</v>
      </c>
      <c r="B31" s="0" t="s">
        <v>4168</v>
      </c>
      <c r="C31" s="0" t="n">
        <v>0.392542541216977</v>
      </c>
      <c r="D31" s="0" t="n">
        <v>207345</v>
      </c>
      <c r="E31" s="0" t="s">
        <v>4137</v>
      </c>
      <c r="F31" s="225"/>
    </row>
    <row r="32" customFormat="false" ht="14.25" hidden="false" customHeight="false" outlineLevel="0" collapsed="false">
      <c r="A32" s="0" t="n">
        <v>16918531</v>
      </c>
      <c r="B32" s="0" t="s">
        <v>4169</v>
      </c>
      <c r="C32" s="0" t="n">
        <v>0.472931677496251</v>
      </c>
      <c r="D32" s="0" t="n">
        <v>-137670</v>
      </c>
      <c r="E32" s="0" t="s">
        <v>4137</v>
      </c>
      <c r="F32" s="225"/>
    </row>
    <row r="33" customFormat="false" ht="14.25" hidden="false" customHeight="false" outlineLevel="0" collapsed="false">
      <c r="A33" s="0" t="n">
        <v>16918596</v>
      </c>
      <c r="B33" s="0" t="s">
        <v>4170</v>
      </c>
      <c r="C33" s="0" t="n">
        <v>0.382215689448361</v>
      </c>
      <c r="D33" s="0" t="n">
        <v>106910.48</v>
      </c>
      <c r="E33" s="0" t="s">
        <v>4137</v>
      </c>
      <c r="F33" s="225"/>
    </row>
    <row r="34" customFormat="false" ht="14.25" hidden="false" customHeight="false" outlineLevel="0" collapsed="false">
      <c r="A34" s="0" t="n">
        <v>16918654</v>
      </c>
      <c r="B34" s="0" t="s">
        <v>4171</v>
      </c>
      <c r="C34" s="0" t="n">
        <v>0.113623210845032</v>
      </c>
      <c r="D34" s="0" t="n">
        <v>1780907</v>
      </c>
      <c r="E34" s="0" t="s">
        <v>4137</v>
      </c>
      <c r="F34" s="225"/>
    </row>
    <row r="35" customFormat="false" ht="14.25" hidden="false" customHeight="false" outlineLevel="0" collapsed="false">
      <c r="A35" s="0" t="n">
        <v>16918838</v>
      </c>
      <c r="B35" s="0" t="s">
        <v>4172</v>
      </c>
      <c r="C35" s="0" t="n">
        <v>0.360600248807796</v>
      </c>
      <c r="D35" s="0" t="n">
        <v>171891</v>
      </c>
      <c r="E35" s="0" t="s">
        <v>4137</v>
      </c>
      <c r="F35" s="225"/>
    </row>
    <row r="36" customFormat="false" ht="14.25" hidden="false" customHeight="false" outlineLevel="0" collapsed="false">
      <c r="A36" s="0" t="n">
        <v>16926618</v>
      </c>
      <c r="B36" s="0" t="s">
        <v>4173</v>
      </c>
      <c r="C36" s="0" t="n">
        <v>0.416624622665272</v>
      </c>
      <c r="D36" s="0" t="n">
        <v>8746.2799999998</v>
      </c>
      <c r="E36" s="0" t="s">
        <v>4137</v>
      </c>
      <c r="F36" s="225"/>
    </row>
    <row r="37" customFormat="false" ht="14.25" hidden="false" customHeight="false" outlineLevel="0" collapsed="false">
      <c r="A37" s="0" t="n">
        <v>16930766</v>
      </c>
      <c r="B37" s="0" t="s">
        <v>4174</v>
      </c>
      <c r="C37" s="0" t="n">
        <v>0.39589724585617</v>
      </c>
      <c r="D37" s="0" t="n">
        <v>81777.6399999999</v>
      </c>
      <c r="E37" s="0" t="s">
        <v>4137</v>
      </c>
      <c r="F37" s="225"/>
    </row>
    <row r="38" customFormat="false" ht="14.25" hidden="false" customHeight="false" outlineLevel="0" collapsed="false">
      <c r="A38" s="0" t="n">
        <v>16940638</v>
      </c>
      <c r="B38" s="0" t="s">
        <v>4175</v>
      </c>
      <c r="C38" s="0" t="n">
        <v>0.210772748590101</v>
      </c>
      <c r="D38" s="0" t="n">
        <v>679159.26</v>
      </c>
      <c r="E38" s="0" t="s">
        <v>4147</v>
      </c>
      <c r="F38" s="225"/>
    </row>
    <row r="39" customFormat="false" ht="14.25" hidden="false" customHeight="false" outlineLevel="0" collapsed="false">
      <c r="A39" s="0" t="n">
        <v>16985476</v>
      </c>
      <c r="B39" s="0" t="s">
        <v>4176</v>
      </c>
      <c r="C39" s="0" t="n">
        <v>0.395932015853649</v>
      </c>
      <c r="D39" s="0" t="n">
        <v>73696.3599999999</v>
      </c>
      <c r="E39" s="0" t="s">
        <v>4137</v>
      </c>
      <c r="F39" s="225"/>
    </row>
    <row r="40" customFormat="false" ht="14.25" hidden="false" customHeight="false" outlineLevel="0" collapsed="false">
      <c r="A40" s="0" t="n">
        <v>24331999</v>
      </c>
      <c r="B40" s="0" t="s">
        <v>4177</v>
      </c>
      <c r="C40" s="0" t="n">
        <v>0.174554873738996</v>
      </c>
      <c r="D40" s="0" t="n">
        <v>1527945</v>
      </c>
      <c r="E40" s="0" t="s">
        <v>4137</v>
      </c>
      <c r="F40" s="225"/>
    </row>
    <row r="41" customFormat="false" ht="14.25" hidden="false" customHeight="false" outlineLevel="0" collapsed="false">
      <c r="A41" s="0" t="n">
        <v>24348754</v>
      </c>
      <c r="B41" s="0" t="s">
        <v>4178</v>
      </c>
      <c r="C41" s="0" t="n">
        <v>0.292284553643081</v>
      </c>
      <c r="D41" s="0" t="n">
        <v>749897.08</v>
      </c>
      <c r="E41" s="0" t="s">
        <v>4137</v>
      </c>
      <c r="F41" s="225"/>
    </row>
    <row r="42" customFormat="false" ht="14.25" hidden="false" customHeight="false" outlineLevel="0" collapsed="false">
      <c r="A42" s="0" t="n">
        <v>25277703</v>
      </c>
      <c r="B42" s="0" t="s">
        <v>4179</v>
      </c>
      <c r="C42" s="0" t="n">
        <v>0.359213065254061</v>
      </c>
      <c r="D42" s="0" t="n">
        <v>448689.58</v>
      </c>
      <c r="E42" s="0" t="s">
        <v>4137</v>
      </c>
      <c r="F42" s="225"/>
    </row>
    <row r="43" customFormat="false" ht="14.25" hidden="false" customHeight="false" outlineLevel="0" collapsed="false">
      <c r="A43" s="0" t="n">
        <v>25283493</v>
      </c>
      <c r="B43" s="0" t="s">
        <v>4180</v>
      </c>
      <c r="C43" s="0" t="n">
        <v>0.131243418594382</v>
      </c>
      <c r="D43" s="0" t="n">
        <v>1700141</v>
      </c>
      <c r="E43" s="0" t="s">
        <v>4137</v>
      </c>
      <c r="F43" s="225"/>
    </row>
    <row r="44" customFormat="false" ht="14.25" hidden="false" customHeight="false" outlineLevel="0" collapsed="false">
      <c r="A44" s="0" t="n">
        <v>25364521</v>
      </c>
      <c r="B44" s="0" t="s">
        <v>4181</v>
      </c>
      <c r="C44" s="0" t="n">
        <v>0.38987026767988</v>
      </c>
      <c r="D44" s="0" t="n">
        <v>176042</v>
      </c>
      <c r="E44" s="0" t="s">
        <v>4137</v>
      </c>
      <c r="F44" s="225"/>
    </row>
    <row r="45" customFormat="false" ht="14.25" hidden="false" customHeight="false" outlineLevel="0" collapsed="false">
      <c r="A45" s="0" t="n">
        <v>25454154</v>
      </c>
      <c r="B45" s="0" t="s">
        <v>4182</v>
      </c>
      <c r="C45" s="0" t="n">
        <v>0.426270976979656</v>
      </c>
      <c r="D45" s="0" t="n">
        <v>-24526</v>
      </c>
      <c r="E45" s="0" t="s">
        <v>4137</v>
      </c>
      <c r="F45" s="225"/>
    </row>
    <row r="46" customFormat="false" ht="14.25" hidden="false" customHeight="false" outlineLevel="0" collapsed="false">
      <c r="A46" s="0" t="n">
        <v>29109508</v>
      </c>
      <c r="B46" s="0" t="s">
        <v>4183</v>
      </c>
      <c r="C46" s="0" t="n">
        <v>0.403191440780123</v>
      </c>
      <c r="D46" s="0" t="n">
        <v>59382.04</v>
      </c>
      <c r="E46" s="0" t="s">
        <v>4137</v>
      </c>
      <c r="F46" s="225"/>
    </row>
    <row r="47" customFormat="false" ht="14.25" hidden="false" customHeight="false" outlineLevel="0" collapsed="false">
      <c r="A47" s="0" t="n">
        <v>29110131</v>
      </c>
      <c r="B47" s="0" t="s">
        <v>4184</v>
      </c>
      <c r="C47" s="0" t="n">
        <v>0.219753543753544</v>
      </c>
      <c r="D47" s="0" t="n">
        <v>1059504</v>
      </c>
      <c r="E47" s="0" t="s">
        <v>4137</v>
      </c>
      <c r="F47" s="225"/>
    </row>
    <row r="48" customFormat="false" ht="14.25" hidden="false" customHeight="false" outlineLevel="0" collapsed="false">
      <c r="A48" s="0" t="n">
        <v>29111206</v>
      </c>
      <c r="B48" s="0" t="s">
        <v>4185</v>
      </c>
      <c r="C48" s="0" t="n">
        <v>0.437202476868264</v>
      </c>
      <c r="D48" s="0" t="n">
        <v>-51598.6000000001</v>
      </c>
      <c r="E48" s="0" t="s">
        <v>4137</v>
      </c>
      <c r="F48" s="225"/>
    </row>
    <row r="49" customFormat="false" ht="14.25" hidden="false" customHeight="false" outlineLevel="0" collapsed="false">
      <c r="A49" s="0" t="n">
        <v>29115289</v>
      </c>
      <c r="B49" s="0" t="s">
        <v>4186</v>
      </c>
      <c r="C49" s="0" t="n">
        <v>0.128927977268645</v>
      </c>
      <c r="D49" s="0" t="n">
        <v>1734496.34</v>
      </c>
      <c r="E49" s="0" t="s">
        <v>4137</v>
      </c>
      <c r="F49" s="225"/>
    </row>
    <row r="50" customFormat="false" ht="14.25" hidden="false" customHeight="false" outlineLevel="0" collapsed="false">
      <c r="A50" s="0" t="n">
        <v>29116368</v>
      </c>
      <c r="B50" s="0" t="s">
        <v>4187</v>
      </c>
      <c r="C50" s="0" t="n">
        <v>0.411888520284747</v>
      </c>
      <c r="D50" s="0" t="n">
        <v>23473</v>
      </c>
      <c r="E50" s="0" t="s">
        <v>4137</v>
      </c>
      <c r="F50" s="225"/>
    </row>
    <row r="51" customFormat="false" ht="14.25" hidden="false" customHeight="false" outlineLevel="0" collapsed="false">
      <c r="A51" s="0" t="n">
        <v>29118369</v>
      </c>
      <c r="B51" s="0" t="s">
        <v>4188</v>
      </c>
      <c r="C51" s="0" t="n">
        <v>0.152920787503466</v>
      </c>
      <c r="D51" s="0" t="n">
        <v>1155812</v>
      </c>
      <c r="E51" s="0" t="s">
        <v>4137</v>
      </c>
      <c r="F51" s="225"/>
    </row>
    <row r="52" customFormat="false" ht="14.25" hidden="false" customHeight="false" outlineLevel="0" collapsed="false">
      <c r="A52" s="0" t="n">
        <v>29119003</v>
      </c>
      <c r="B52" s="0" t="s">
        <v>4189</v>
      </c>
      <c r="C52" s="0" t="n">
        <v>0.366861900961628</v>
      </c>
      <c r="D52" s="0" t="n">
        <v>230914.16</v>
      </c>
      <c r="E52" s="0" t="s">
        <v>4137</v>
      </c>
      <c r="F52" s="225"/>
    </row>
    <row r="53" customFormat="false" ht="14.25" hidden="false" customHeight="false" outlineLevel="0" collapsed="false">
      <c r="A53" s="0" t="n">
        <v>29121696</v>
      </c>
      <c r="B53" s="0" t="s">
        <v>4190</v>
      </c>
      <c r="C53" s="0" t="n">
        <v>0.355760566367062</v>
      </c>
      <c r="D53" s="0" t="n">
        <v>393807</v>
      </c>
      <c r="E53" s="0" t="s">
        <v>4137</v>
      </c>
      <c r="F53" s="225"/>
    </row>
    <row r="54" customFormat="false" ht="14.25" hidden="false" customHeight="false" outlineLevel="0" collapsed="false">
      <c r="A54" s="0" t="n">
        <v>29123511</v>
      </c>
      <c r="B54" s="0" t="s">
        <v>4191</v>
      </c>
      <c r="C54" s="0" t="n">
        <v>0.304192905038147</v>
      </c>
      <c r="D54" s="0" t="n">
        <v>457971.78</v>
      </c>
      <c r="E54" s="0" t="s">
        <v>4137</v>
      </c>
      <c r="F54" s="225"/>
    </row>
    <row r="55" customFormat="false" ht="14.25" hidden="false" customHeight="false" outlineLevel="0" collapsed="false">
      <c r="A55" s="0" t="n">
        <v>29125244</v>
      </c>
      <c r="B55" s="0" t="s">
        <v>4192</v>
      </c>
      <c r="C55" s="0" t="n">
        <v>0.280991775520077</v>
      </c>
      <c r="D55" s="0" t="n">
        <v>402262</v>
      </c>
      <c r="E55" s="0" t="s">
        <v>4147</v>
      </c>
      <c r="F55" s="225"/>
    </row>
    <row r="56" customFormat="false" ht="14.25" hidden="false" customHeight="false" outlineLevel="0" collapsed="false">
      <c r="A56" s="0" t="n">
        <v>29179489</v>
      </c>
      <c r="B56" s="0" t="s">
        <v>4193</v>
      </c>
      <c r="C56" s="0" t="n">
        <v>0.449772837745876</v>
      </c>
      <c r="D56" s="0" t="n">
        <v>-183752</v>
      </c>
      <c r="E56" s="0" t="s">
        <v>4137</v>
      </c>
      <c r="F56" s="225"/>
    </row>
    <row r="57" customFormat="false" ht="14.25" hidden="false" customHeight="false" outlineLevel="0" collapsed="false">
      <c r="A57" s="0" t="n">
        <v>29182423</v>
      </c>
      <c r="B57" s="0" t="s">
        <v>4194</v>
      </c>
      <c r="C57" s="0" t="n">
        <v>0.175046811891677</v>
      </c>
      <c r="D57" s="0" t="n">
        <v>1849764</v>
      </c>
      <c r="E57" s="0" t="s">
        <v>4137</v>
      </c>
      <c r="F57" s="225"/>
    </row>
    <row r="58" customFormat="false" ht="14.25" hidden="false" customHeight="false" outlineLevel="0" collapsed="false">
      <c r="A58" s="0" t="n">
        <v>29182544</v>
      </c>
      <c r="B58" s="0" t="s">
        <v>4195</v>
      </c>
      <c r="C58" s="0" t="n">
        <v>0.308365837877808</v>
      </c>
      <c r="D58" s="0" t="n">
        <v>483108</v>
      </c>
      <c r="E58" s="0" t="s">
        <v>4137</v>
      </c>
      <c r="F58" s="225"/>
    </row>
    <row r="59" customFormat="false" ht="14.25" hidden="false" customHeight="false" outlineLevel="0" collapsed="false">
      <c r="A59" s="0" t="n">
        <v>29307666</v>
      </c>
      <c r="B59" s="0" t="s">
        <v>4196</v>
      </c>
      <c r="C59" s="0" t="n">
        <v>0.462586512242431</v>
      </c>
      <c r="D59" s="0" t="n">
        <v>-302986</v>
      </c>
      <c r="E59" s="0" t="s">
        <v>4137</v>
      </c>
      <c r="F59" s="225"/>
    </row>
    <row r="60" customFormat="false" ht="14.25" hidden="false" customHeight="false" outlineLevel="0" collapsed="false">
      <c r="A60" s="0" t="n">
        <v>29347426</v>
      </c>
      <c r="B60" s="0" t="s">
        <v>4197</v>
      </c>
      <c r="C60" s="0" t="n">
        <v>0.345568890568891</v>
      </c>
      <c r="D60" s="0" t="n">
        <v>393815</v>
      </c>
      <c r="E60" s="0" t="s">
        <v>4137</v>
      </c>
      <c r="F60" s="225"/>
    </row>
    <row r="61" customFormat="false" ht="14.25" hidden="false" customHeight="false" outlineLevel="0" collapsed="false">
      <c r="A61" s="0" t="n">
        <v>29347777</v>
      </c>
      <c r="B61" s="0" t="s">
        <v>4198</v>
      </c>
      <c r="C61" s="0" t="n">
        <v>0.40423823221096</v>
      </c>
      <c r="D61" s="0" t="n">
        <v>123404.879999999</v>
      </c>
      <c r="E61" s="0" t="s">
        <v>4137</v>
      </c>
      <c r="F61" s="225"/>
    </row>
    <row r="62" customFormat="false" ht="14.25" hidden="false" customHeight="false" outlineLevel="0" collapsed="false">
      <c r="A62" s="0" t="n">
        <v>29360220</v>
      </c>
      <c r="B62" s="0" t="s">
        <v>4199</v>
      </c>
      <c r="C62" s="0" t="n">
        <v>0.258890682993937</v>
      </c>
      <c r="D62" s="0" t="n">
        <v>1135262.28</v>
      </c>
      <c r="E62" s="0" t="s">
        <v>4137</v>
      </c>
      <c r="F62" s="225"/>
    </row>
    <row r="63" customFormat="false" ht="14.25" hidden="false" customHeight="false" outlineLevel="0" collapsed="false">
      <c r="A63" s="0" t="n">
        <v>29363464</v>
      </c>
      <c r="B63" s="0" t="s">
        <v>4200</v>
      </c>
      <c r="C63" s="0" t="n">
        <v>0.345608702296961</v>
      </c>
      <c r="D63" s="0" t="n">
        <v>316717.28</v>
      </c>
      <c r="E63" s="0" t="s">
        <v>4137</v>
      </c>
      <c r="F63" s="225"/>
    </row>
    <row r="64" customFormat="false" ht="14.25" hidden="false" customHeight="false" outlineLevel="0" collapsed="false">
      <c r="A64" s="0" t="n">
        <v>29544732</v>
      </c>
      <c r="B64" s="0" t="s">
        <v>4201</v>
      </c>
      <c r="C64" s="0" t="n">
        <v>0.209901371549964</v>
      </c>
      <c r="D64" s="0" t="n">
        <v>855084.82</v>
      </c>
      <c r="E64" s="0" t="s">
        <v>4137</v>
      </c>
      <c r="F64" s="225"/>
    </row>
    <row r="65" customFormat="false" ht="14.25" hidden="false" customHeight="false" outlineLevel="0" collapsed="false">
      <c r="A65" s="0" t="n">
        <v>29582380</v>
      </c>
      <c r="B65" s="0" t="s">
        <v>4202</v>
      </c>
      <c r="C65" s="0" t="n">
        <v>0.131884732208082</v>
      </c>
      <c r="D65" s="0" t="n">
        <v>749359</v>
      </c>
      <c r="E65" s="0" t="s">
        <v>4137</v>
      </c>
      <c r="F65" s="225"/>
    </row>
    <row r="66" customFormat="false" ht="14.25" hidden="false" customHeight="false" outlineLevel="0" collapsed="false">
      <c r="A66" s="0" t="n">
        <v>29677772</v>
      </c>
      <c r="B66" s="0" t="s">
        <v>4203</v>
      </c>
      <c r="C66" s="0" t="n">
        <v>0.252377496717119</v>
      </c>
      <c r="D66" s="0" t="n">
        <v>485066</v>
      </c>
      <c r="E66" s="0" t="s">
        <v>4137</v>
      </c>
      <c r="F66" s="225"/>
    </row>
    <row r="67" customFormat="false" ht="14.25" hidden="false" customHeight="false" outlineLevel="0" collapsed="false">
      <c r="A67" s="0" t="n">
        <v>29679168</v>
      </c>
      <c r="B67" s="0" t="s">
        <v>4204</v>
      </c>
      <c r="C67" s="0" t="n">
        <v>0.460502799087705</v>
      </c>
      <c r="D67" s="0" t="n">
        <v>-117207</v>
      </c>
      <c r="E67" s="0" t="s">
        <v>4137</v>
      </c>
      <c r="F67" s="225"/>
    </row>
    <row r="68" customFormat="false" ht="14.25" hidden="false" customHeight="false" outlineLevel="0" collapsed="false">
      <c r="A68" s="0" t="n">
        <v>29679637</v>
      </c>
      <c r="B68" s="0" t="s">
        <v>4205</v>
      </c>
      <c r="C68" s="0" t="n">
        <v>0.270040042970791</v>
      </c>
      <c r="D68" s="0" t="n">
        <v>724577.92</v>
      </c>
      <c r="E68" s="0" t="s">
        <v>4137</v>
      </c>
      <c r="F68" s="225"/>
    </row>
    <row r="69" customFormat="false" ht="14.25" hidden="false" customHeight="false" outlineLevel="0" collapsed="false">
      <c r="A69" s="0" t="n">
        <v>29679941</v>
      </c>
      <c r="B69" s="0" t="s">
        <v>4206</v>
      </c>
      <c r="C69" s="0" t="n">
        <v>0.108835720085628</v>
      </c>
      <c r="D69" s="0" t="n">
        <v>1686137</v>
      </c>
      <c r="E69" s="0" t="s">
        <v>4137</v>
      </c>
      <c r="F69" s="225"/>
    </row>
    <row r="70" customFormat="false" ht="14.25" hidden="false" customHeight="false" outlineLevel="0" collapsed="false">
      <c r="A70" s="0" t="n">
        <v>29681380</v>
      </c>
      <c r="B70" s="0" t="s">
        <v>4207</v>
      </c>
      <c r="C70" s="0" t="n">
        <v>0.342053062534157</v>
      </c>
      <c r="D70" s="0" t="n">
        <v>292238.58</v>
      </c>
      <c r="E70" s="0" t="s">
        <v>4137</v>
      </c>
      <c r="F70" s="225"/>
    </row>
    <row r="71" customFormat="false" ht="14.25" hidden="false" customHeight="false" outlineLevel="0" collapsed="false">
      <c r="A71" s="0" t="n">
        <v>29688760</v>
      </c>
      <c r="B71" s="0" t="s">
        <v>4208</v>
      </c>
      <c r="C71" s="0" t="n">
        <v>0.259582392003834</v>
      </c>
      <c r="D71" s="0" t="n">
        <v>937288</v>
      </c>
      <c r="E71" s="0" t="s">
        <v>4147</v>
      </c>
      <c r="F71" s="225"/>
    </row>
    <row r="72" customFormat="false" ht="14.25" hidden="false" customHeight="false" outlineLevel="0" collapsed="false">
      <c r="A72" s="0" t="n">
        <v>29689010</v>
      </c>
      <c r="B72" s="0" t="s">
        <v>4209</v>
      </c>
      <c r="C72" s="0" t="n">
        <v>0.277283151913466</v>
      </c>
      <c r="D72" s="0" t="n">
        <v>833866</v>
      </c>
      <c r="E72" s="0" t="s">
        <v>4137</v>
      </c>
      <c r="F72" s="225"/>
    </row>
    <row r="73" customFormat="false" ht="14.25" hidden="false" customHeight="false" outlineLevel="0" collapsed="false">
      <c r="A73" s="0" t="n">
        <v>29706405</v>
      </c>
      <c r="B73" s="0" t="s">
        <v>4210</v>
      </c>
      <c r="C73" s="0" t="n">
        <v>0.303912241731559</v>
      </c>
      <c r="D73" s="0" t="n">
        <v>670771.9</v>
      </c>
      <c r="E73" s="0" t="s">
        <v>4137</v>
      </c>
      <c r="F73" s="225"/>
    </row>
    <row r="74" customFormat="false" ht="14.25" hidden="false" customHeight="false" outlineLevel="0" collapsed="false">
      <c r="A74" s="0" t="n">
        <v>29706560</v>
      </c>
      <c r="B74" s="0" t="s">
        <v>4211</v>
      </c>
      <c r="C74" s="0" t="n">
        <v>0.476569526764712</v>
      </c>
      <c r="D74" s="0" t="n">
        <v>-158244.2</v>
      </c>
      <c r="E74" s="0" t="s">
        <v>4147</v>
      </c>
      <c r="F74" s="225"/>
    </row>
    <row r="75" customFormat="false" ht="14.25" hidden="false" customHeight="false" outlineLevel="0" collapsed="false">
      <c r="A75" s="0" t="n">
        <v>30039684</v>
      </c>
      <c r="B75" s="0" t="s">
        <v>4212</v>
      </c>
      <c r="C75" s="0" t="n">
        <v>0.173525833097485</v>
      </c>
      <c r="D75" s="0" t="n">
        <v>2226831.74</v>
      </c>
      <c r="E75" s="0" t="s">
        <v>4137</v>
      </c>
      <c r="F75" s="225"/>
    </row>
    <row r="76" customFormat="false" ht="14.25" hidden="false" customHeight="false" outlineLevel="0" collapsed="false">
      <c r="A76" s="0" t="n">
        <v>30332791</v>
      </c>
      <c r="B76" s="0" t="s">
        <v>4213</v>
      </c>
      <c r="C76" s="0" t="n">
        <v>0.373829342142888</v>
      </c>
      <c r="D76" s="0" t="n">
        <v>325192.04</v>
      </c>
      <c r="E76" s="0" t="s">
        <v>4137</v>
      </c>
      <c r="F76" s="225"/>
    </row>
    <row r="77" customFormat="false" ht="14.25" hidden="false" customHeight="false" outlineLevel="0" collapsed="false">
      <c r="A77" s="0" t="n">
        <v>30335201</v>
      </c>
      <c r="B77" s="0" t="s">
        <v>4214</v>
      </c>
      <c r="C77" s="0" t="n">
        <v>0.133067936098382</v>
      </c>
      <c r="D77" s="0" t="n">
        <v>1715531.9</v>
      </c>
      <c r="E77" s="0" t="s">
        <v>4137</v>
      </c>
      <c r="F77" s="225"/>
    </row>
    <row r="78" customFormat="false" ht="14.25" hidden="false" customHeight="false" outlineLevel="0" collapsed="false">
      <c r="A78" s="0" t="n">
        <v>30395903</v>
      </c>
      <c r="B78" s="0" t="s">
        <v>4215</v>
      </c>
      <c r="C78" s="0" t="n">
        <v>0.336568278066988</v>
      </c>
      <c r="D78" s="0" t="n">
        <v>479536.42</v>
      </c>
      <c r="E78" s="0" t="s">
        <v>4137</v>
      </c>
      <c r="F78" s="225"/>
    </row>
    <row r="79" customFormat="false" ht="14.25" hidden="false" customHeight="false" outlineLevel="0" collapsed="false">
      <c r="A79" s="0" t="n">
        <v>30398858</v>
      </c>
      <c r="B79" s="0" t="s">
        <v>4216</v>
      </c>
      <c r="C79" s="0" t="n">
        <v>0.325304422591219</v>
      </c>
      <c r="D79" s="0" t="n">
        <v>704876</v>
      </c>
      <c r="E79" s="0" t="s">
        <v>4137</v>
      </c>
      <c r="F79" s="225"/>
    </row>
    <row r="80" customFormat="false" ht="14.25" hidden="false" customHeight="false" outlineLevel="0" collapsed="false">
      <c r="A80" s="0" t="n">
        <v>30668215</v>
      </c>
      <c r="B80" s="0" t="s">
        <v>4217</v>
      </c>
      <c r="C80" s="0" t="n">
        <v>0.164674278269218</v>
      </c>
      <c r="D80" s="0" t="n">
        <v>744683</v>
      </c>
      <c r="E80" s="0" t="s">
        <v>4137</v>
      </c>
      <c r="F80" s="225"/>
    </row>
    <row r="81" customFormat="false" ht="14.25" hidden="false" customHeight="false" outlineLevel="0" collapsed="false">
      <c r="A81" s="0" t="n">
        <v>30732717</v>
      </c>
      <c r="B81" s="0" t="s">
        <v>4218</v>
      </c>
      <c r="C81" s="0" t="n">
        <v>0.388835489833641</v>
      </c>
      <c r="D81" s="0" t="n">
        <v>182088</v>
      </c>
      <c r="E81" s="0" t="s">
        <v>4137</v>
      </c>
      <c r="F81" s="225"/>
    </row>
    <row r="82" customFormat="false" ht="14.25" hidden="false" customHeight="false" outlineLevel="0" collapsed="false">
      <c r="A82" s="0" t="n">
        <v>30736513</v>
      </c>
      <c r="B82" s="0" t="s">
        <v>4219</v>
      </c>
      <c r="C82" s="0" t="n">
        <v>0.432296404576505</v>
      </c>
      <c r="D82" s="0" t="n">
        <v>-87484</v>
      </c>
      <c r="E82" s="0" t="s">
        <v>4137</v>
      </c>
      <c r="F82" s="225"/>
    </row>
    <row r="83" customFormat="false" ht="14.25" hidden="false" customHeight="false" outlineLevel="0" collapsed="false">
      <c r="A83" s="0" t="n">
        <v>30744172</v>
      </c>
      <c r="B83" s="0" t="s">
        <v>4220</v>
      </c>
      <c r="C83" s="0" t="n">
        <v>0.331121373051771</v>
      </c>
      <c r="D83" s="0" t="n">
        <v>691955.84</v>
      </c>
      <c r="E83" s="0" t="s">
        <v>4137</v>
      </c>
      <c r="F83" s="225"/>
    </row>
    <row r="84" customFormat="false" ht="14.25" hidden="false" customHeight="false" outlineLevel="0" collapsed="false">
      <c r="A84" s="0" t="n">
        <v>31306752</v>
      </c>
      <c r="B84" s="0" t="s">
        <v>4221</v>
      </c>
      <c r="C84" s="0" t="n">
        <v>0.337715115073606</v>
      </c>
      <c r="D84" s="0" t="n">
        <v>238116</v>
      </c>
      <c r="E84" s="0" t="s">
        <v>4137</v>
      </c>
      <c r="F84" s="225"/>
    </row>
    <row r="85" customFormat="false" ht="14.25" hidden="false" customHeight="false" outlineLevel="0" collapsed="false">
      <c r="A85" s="0" t="n">
        <v>31308604</v>
      </c>
      <c r="B85" s="0" t="s">
        <v>4222</v>
      </c>
      <c r="C85" s="0" t="n">
        <v>0.298901299159831</v>
      </c>
      <c r="D85" s="0" t="n">
        <v>460289.34</v>
      </c>
      <c r="E85" s="0" t="s">
        <v>4137</v>
      </c>
      <c r="F85" s="225"/>
    </row>
    <row r="86" customFormat="false" ht="14.25" hidden="false" customHeight="false" outlineLevel="0" collapsed="false">
      <c r="A86" s="0" t="n">
        <v>31309273</v>
      </c>
      <c r="B86" s="0" t="s">
        <v>4223</v>
      </c>
      <c r="C86" s="0" t="n">
        <v>0.297114156114156</v>
      </c>
      <c r="D86" s="0" t="n">
        <v>650189</v>
      </c>
      <c r="E86" s="0" t="s">
        <v>4147</v>
      </c>
      <c r="F86" s="225"/>
    </row>
    <row r="87" customFormat="false" ht="14.25" hidden="false" customHeight="false" outlineLevel="0" collapsed="false">
      <c r="A87" s="0" t="n">
        <v>31321149</v>
      </c>
      <c r="B87" s="0" t="s">
        <v>4224</v>
      </c>
      <c r="C87" s="0" t="n">
        <v>0.398173522926013</v>
      </c>
      <c r="D87" s="0" t="n">
        <v>86112</v>
      </c>
      <c r="E87" s="0" t="s">
        <v>4137</v>
      </c>
      <c r="F87" s="225"/>
    </row>
    <row r="88" customFormat="false" ht="14.25" hidden="false" customHeight="false" outlineLevel="0" collapsed="false">
      <c r="A88" s="0" t="n">
        <v>31323960</v>
      </c>
      <c r="B88" s="0" t="s">
        <v>4225</v>
      </c>
      <c r="C88" s="0" t="n">
        <v>0.26519274316361</v>
      </c>
      <c r="D88" s="0" t="n">
        <v>1169027</v>
      </c>
      <c r="E88" s="0" t="s">
        <v>4137</v>
      </c>
      <c r="F88" s="225"/>
    </row>
    <row r="89" customFormat="false" ht="14.25" hidden="false" customHeight="false" outlineLevel="0" collapsed="false">
      <c r="A89" s="0" t="n">
        <v>31324751</v>
      </c>
      <c r="B89" s="0" t="s">
        <v>4226</v>
      </c>
      <c r="C89" s="0" t="n">
        <v>0.324303502656531</v>
      </c>
      <c r="D89" s="0" t="n">
        <v>370785.84</v>
      </c>
      <c r="E89" s="0" t="s">
        <v>4137</v>
      </c>
      <c r="F89" s="225"/>
    </row>
    <row r="90" customFormat="false" ht="14.25" hidden="false" customHeight="false" outlineLevel="0" collapsed="false">
      <c r="A90" s="0" t="n">
        <v>31411666</v>
      </c>
      <c r="B90" s="0" t="s">
        <v>4227</v>
      </c>
      <c r="C90" s="0" t="n">
        <v>0.387714069608429</v>
      </c>
      <c r="D90" s="0" t="n">
        <v>136792.28</v>
      </c>
      <c r="E90" s="0" t="s">
        <v>4137</v>
      </c>
      <c r="F90" s="225"/>
    </row>
    <row r="91" customFormat="false" ht="14.25" hidden="false" customHeight="false" outlineLevel="0" collapsed="false">
      <c r="A91" s="0" t="n">
        <v>31431781</v>
      </c>
      <c r="B91" s="0" t="s">
        <v>4228</v>
      </c>
      <c r="C91" s="0" t="n">
        <v>0.320559903927066</v>
      </c>
      <c r="D91" s="0" t="n">
        <v>376260.64</v>
      </c>
      <c r="E91" s="0" t="s">
        <v>4137</v>
      </c>
      <c r="F91" s="225"/>
    </row>
    <row r="92" customFormat="false" ht="14.25" hidden="false" customHeight="false" outlineLevel="0" collapsed="false">
      <c r="A92" s="0" t="n">
        <v>31446899</v>
      </c>
      <c r="B92" s="0" t="s">
        <v>4229</v>
      </c>
      <c r="C92" s="0" t="n">
        <v>0.303274778882334</v>
      </c>
      <c r="D92" s="0" t="n">
        <v>296844.26</v>
      </c>
      <c r="E92" s="0" t="s">
        <v>4137</v>
      </c>
      <c r="F92" s="225"/>
    </row>
    <row r="93" customFormat="false" ht="14.25" hidden="false" customHeight="false" outlineLevel="0" collapsed="false">
      <c r="A93" s="0" t="n">
        <v>31483756</v>
      </c>
      <c r="B93" s="0" t="s">
        <v>4230</v>
      </c>
      <c r="C93" s="0" t="n">
        <v>0.226235601984697</v>
      </c>
      <c r="D93" s="0" t="n">
        <v>768654.26</v>
      </c>
      <c r="E93" s="0" t="s">
        <v>4137</v>
      </c>
      <c r="F93" s="225"/>
    </row>
    <row r="94" customFormat="false" ht="14.25" hidden="false" customHeight="false" outlineLevel="0" collapsed="false">
      <c r="A94" s="0" t="n">
        <v>31525225</v>
      </c>
      <c r="B94" s="0" t="s">
        <v>4231</v>
      </c>
      <c r="C94" s="0" t="n">
        <v>0.386278526946108</v>
      </c>
      <c r="D94" s="0" t="n">
        <v>134083</v>
      </c>
      <c r="E94" s="0" t="s">
        <v>4137</v>
      </c>
      <c r="F94" s="225"/>
    </row>
    <row r="95" customFormat="false" ht="14.25" hidden="false" customHeight="false" outlineLevel="0" collapsed="false">
      <c r="A95" s="0" t="n">
        <v>31530816</v>
      </c>
      <c r="B95" s="0" t="s">
        <v>4232</v>
      </c>
      <c r="C95" s="0" t="n">
        <v>0.469153664670659</v>
      </c>
      <c r="D95" s="0" t="n">
        <v>-195444.333333333</v>
      </c>
      <c r="E95" s="0" t="s">
        <v>4137</v>
      </c>
      <c r="F95" s="225"/>
    </row>
    <row r="96" customFormat="false" ht="14.25" hidden="false" customHeight="false" outlineLevel="0" collapsed="false">
      <c r="A96" s="0" t="n">
        <v>31532714</v>
      </c>
      <c r="B96" s="0" t="s">
        <v>4233</v>
      </c>
      <c r="C96" s="0" t="n">
        <v>0.461107337685087</v>
      </c>
      <c r="D96" s="0" t="n">
        <v>-114991.2</v>
      </c>
      <c r="E96" s="0" t="s">
        <v>4137</v>
      </c>
      <c r="F96" s="225"/>
    </row>
    <row r="97" customFormat="false" ht="14.25" hidden="false" customHeight="false" outlineLevel="0" collapsed="false">
      <c r="A97" s="0" t="n">
        <v>31537574</v>
      </c>
      <c r="B97" s="0" t="s">
        <v>4234</v>
      </c>
      <c r="C97" s="0" t="n">
        <v>0.422970369134135</v>
      </c>
      <c r="D97" s="0" t="n">
        <v>-9136.40000000014</v>
      </c>
      <c r="E97" s="0" t="s">
        <v>4147</v>
      </c>
      <c r="F97" s="225"/>
    </row>
    <row r="98" customFormat="false" ht="14.25" hidden="false" customHeight="false" outlineLevel="0" collapsed="false">
      <c r="A98" s="0" t="n">
        <v>31538587</v>
      </c>
      <c r="B98" s="0" t="s">
        <v>4235</v>
      </c>
      <c r="C98" s="0" t="n">
        <v>0.31368348717598</v>
      </c>
      <c r="D98" s="0" t="n">
        <v>261156.52</v>
      </c>
      <c r="E98" s="0" t="s">
        <v>4137</v>
      </c>
      <c r="F98" s="225"/>
    </row>
    <row r="99" customFormat="false" ht="14.25" hidden="false" customHeight="false" outlineLevel="0" collapsed="false">
      <c r="A99" s="0" t="n">
        <v>31571567</v>
      </c>
      <c r="B99" s="0" t="s">
        <v>4236</v>
      </c>
      <c r="C99" s="0" t="n">
        <v>0.480423301866003</v>
      </c>
      <c r="D99" s="0" t="n">
        <v>-238551.8</v>
      </c>
      <c r="E99" s="0" t="s">
        <v>4137</v>
      </c>
      <c r="F99" s="225"/>
    </row>
    <row r="100" customFormat="false" ht="14.25" hidden="false" customHeight="false" outlineLevel="0" collapsed="false">
      <c r="A100" s="0" t="n">
        <v>31573111</v>
      </c>
      <c r="B100" s="0" t="s">
        <v>4237</v>
      </c>
      <c r="C100" s="0" t="n">
        <v>0.388428382289759</v>
      </c>
      <c r="D100" s="0" t="n">
        <v>96068.1599999999</v>
      </c>
      <c r="E100" s="0" t="s">
        <v>4137</v>
      </c>
      <c r="F100" s="225"/>
    </row>
    <row r="101" customFormat="false" ht="14.25" hidden="false" customHeight="false" outlineLevel="0" collapsed="false">
      <c r="A101" s="0" t="n">
        <v>31574118</v>
      </c>
      <c r="B101" s="0" t="s">
        <v>4238</v>
      </c>
      <c r="C101" s="0" t="n">
        <v>0.189307215309433</v>
      </c>
      <c r="D101" s="0" t="n">
        <v>1123520</v>
      </c>
      <c r="E101" s="0" t="s">
        <v>4137</v>
      </c>
      <c r="F101" s="225"/>
    </row>
    <row r="102" customFormat="false" ht="14.25" hidden="false" customHeight="false" outlineLevel="0" collapsed="false">
      <c r="A102" s="0" t="n">
        <v>31574407</v>
      </c>
      <c r="B102" s="0" t="s">
        <v>4239</v>
      </c>
      <c r="C102" s="0" t="n">
        <v>0.134647301852838</v>
      </c>
      <c r="D102" s="0" t="n">
        <v>1125802</v>
      </c>
      <c r="E102" s="0" t="s">
        <v>4137</v>
      </c>
      <c r="F102" s="225"/>
    </row>
    <row r="103" customFormat="false" ht="14.25" hidden="false" customHeight="false" outlineLevel="0" collapsed="false">
      <c r="A103" s="0" t="n">
        <v>31576196</v>
      </c>
      <c r="B103" s="0" t="s">
        <v>4240</v>
      </c>
      <c r="C103" s="0" t="n">
        <v>0.107764485396998</v>
      </c>
      <c r="D103" s="0" t="n">
        <v>1652038.42</v>
      </c>
      <c r="E103" s="0" t="s">
        <v>4137</v>
      </c>
      <c r="F103" s="225"/>
    </row>
    <row r="104" customFormat="false" ht="14.25" hidden="false" customHeight="false" outlineLevel="0" collapsed="false">
      <c r="A104" s="0" t="n">
        <v>31578207</v>
      </c>
      <c r="B104" s="0" t="s">
        <v>4241</v>
      </c>
      <c r="C104" s="0" t="n">
        <v>0.253696869168567</v>
      </c>
      <c r="D104" s="0" t="n">
        <v>481248</v>
      </c>
      <c r="E104" s="0" t="s">
        <v>4137</v>
      </c>
      <c r="F104" s="225"/>
    </row>
    <row r="105" customFormat="false" ht="14.25" hidden="false" customHeight="false" outlineLevel="0" collapsed="false">
      <c r="A105" s="0" t="n">
        <v>31579220</v>
      </c>
      <c r="B105" s="0" t="s">
        <v>4242</v>
      </c>
      <c r="C105" s="0" t="n">
        <v>0.458098350373968</v>
      </c>
      <c r="D105" s="0" t="n">
        <v>-154372.56</v>
      </c>
      <c r="E105" s="0" t="s">
        <v>4137</v>
      </c>
      <c r="F105" s="225"/>
    </row>
    <row r="106" customFormat="false" ht="14.25" hidden="false" customHeight="false" outlineLevel="0" collapsed="false">
      <c r="A106" s="0" t="n">
        <v>31579757</v>
      </c>
      <c r="B106" s="0" t="s">
        <v>4243</v>
      </c>
      <c r="C106" s="0" t="n">
        <v>0.49162623539982</v>
      </c>
      <c r="D106" s="0" t="n">
        <v>-207272</v>
      </c>
      <c r="E106" s="0" t="s">
        <v>4137</v>
      </c>
      <c r="F106" s="225"/>
    </row>
    <row r="107" customFormat="false" ht="14.25" hidden="false" customHeight="false" outlineLevel="0" collapsed="false">
      <c r="A107" s="0" t="n">
        <v>31583226</v>
      </c>
      <c r="B107" s="0" t="s">
        <v>4244</v>
      </c>
      <c r="C107" s="0" t="n">
        <v>0.110337178780907</v>
      </c>
      <c r="D107" s="0" t="n">
        <v>1911177</v>
      </c>
      <c r="E107" s="0" t="s">
        <v>4137</v>
      </c>
      <c r="F107" s="225"/>
    </row>
    <row r="108" customFormat="false" ht="14.25" hidden="false" customHeight="false" outlineLevel="0" collapsed="false">
      <c r="A108" s="0" t="n">
        <v>31584732</v>
      </c>
      <c r="B108" s="0" t="s">
        <v>4245</v>
      </c>
      <c r="C108" s="0" t="n">
        <v>0.11817982253443</v>
      </c>
      <c r="D108" s="0" t="n">
        <v>1306157</v>
      </c>
      <c r="E108" s="0" t="s">
        <v>4137</v>
      </c>
      <c r="F108" s="225"/>
    </row>
    <row r="109" customFormat="false" ht="14.25" hidden="false" customHeight="false" outlineLevel="0" collapsed="false">
      <c r="A109" s="0" t="n">
        <v>31629605</v>
      </c>
      <c r="B109" s="0" t="s">
        <v>4246</v>
      </c>
      <c r="C109" s="0" t="n">
        <v>0.419227671085559</v>
      </c>
      <c r="D109" s="0" t="n">
        <v>2457.07999999984</v>
      </c>
      <c r="E109" s="0" t="s">
        <v>4137</v>
      </c>
      <c r="F109" s="225"/>
    </row>
    <row r="110" customFormat="false" ht="14.25" hidden="false" customHeight="false" outlineLevel="0" collapsed="false">
      <c r="A110" s="0" t="n">
        <v>31711710</v>
      </c>
      <c r="B110" s="0" t="s">
        <v>4247</v>
      </c>
      <c r="C110" s="0" t="n">
        <v>0.414487705723623</v>
      </c>
      <c r="D110" s="0" t="n">
        <v>34212.7599999998</v>
      </c>
      <c r="E110" s="0" t="s">
        <v>4137</v>
      </c>
      <c r="F110" s="225"/>
    </row>
    <row r="111" customFormat="false" ht="14.25" hidden="false" customHeight="false" outlineLevel="0" collapsed="false">
      <c r="A111" s="0" t="n">
        <v>31712761</v>
      </c>
      <c r="B111" s="0" t="s">
        <v>4248</v>
      </c>
      <c r="C111" s="0" t="n">
        <v>0.246093807189835</v>
      </c>
      <c r="D111" s="0" t="n">
        <v>1389767.34</v>
      </c>
      <c r="E111" s="0" t="s">
        <v>4137</v>
      </c>
      <c r="F111" s="225"/>
    </row>
    <row r="112" customFormat="false" ht="14.25" hidden="false" customHeight="false" outlineLevel="0" collapsed="false">
      <c r="A112" s="0" t="n">
        <v>31713043</v>
      </c>
      <c r="B112" s="0" t="s">
        <v>4249</v>
      </c>
      <c r="C112" s="0" t="n">
        <v>0.171560196560197</v>
      </c>
      <c r="D112" s="0" t="n">
        <v>1314495</v>
      </c>
      <c r="E112" s="0" t="s">
        <v>4137</v>
      </c>
      <c r="F112" s="225"/>
    </row>
    <row r="113" customFormat="false" ht="14.25" hidden="false" customHeight="false" outlineLevel="0" collapsed="false">
      <c r="A113" s="0" t="n">
        <v>31955414</v>
      </c>
      <c r="B113" s="0" t="s">
        <v>4250</v>
      </c>
      <c r="C113" s="0" t="n">
        <v>0.26879193789719</v>
      </c>
      <c r="D113" s="0" t="n">
        <v>319712.26</v>
      </c>
      <c r="E113" s="0" t="s">
        <v>4137</v>
      </c>
      <c r="F113" s="225"/>
    </row>
    <row r="114" customFormat="false" ht="14.25" hidden="false" customHeight="false" outlineLevel="0" collapsed="false">
      <c r="A114" s="0" t="n">
        <v>31958544</v>
      </c>
      <c r="B114" s="0" t="s">
        <v>4251</v>
      </c>
      <c r="C114" s="0" t="n">
        <v>0.392888615479257</v>
      </c>
      <c r="D114" s="0" t="n">
        <v>70514</v>
      </c>
      <c r="E114" s="0" t="s">
        <v>4137</v>
      </c>
      <c r="F114" s="225"/>
    </row>
    <row r="115" customFormat="false" ht="14.25" hidden="false" customHeight="false" outlineLevel="0" collapsed="false">
      <c r="A115" s="0" t="n">
        <v>31970568</v>
      </c>
      <c r="B115" s="0" t="s">
        <v>4252</v>
      </c>
      <c r="C115" s="0" t="n">
        <v>0.335955390561122</v>
      </c>
      <c r="D115" s="0" t="n">
        <v>1654914</v>
      </c>
      <c r="E115" s="0" t="s">
        <v>4137</v>
      </c>
      <c r="F115" s="225"/>
    </row>
    <row r="116" customFormat="false" ht="14.25" hidden="false" customHeight="false" outlineLevel="0" collapsed="false">
      <c r="A116" s="0" t="n">
        <v>31992697</v>
      </c>
      <c r="B116" s="0" t="s">
        <v>4253</v>
      </c>
      <c r="C116" s="0" t="n">
        <v>0.312680450364526</v>
      </c>
      <c r="D116" s="0" t="n">
        <v>419335.4</v>
      </c>
      <c r="E116" s="0" t="s">
        <v>4137</v>
      </c>
      <c r="F116" s="225"/>
    </row>
    <row r="117" customFormat="false" ht="14.25" hidden="false" customHeight="false" outlineLevel="0" collapsed="false">
      <c r="A117" s="0" t="n">
        <v>31998651</v>
      </c>
      <c r="B117" s="0" t="s">
        <v>4254</v>
      </c>
      <c r="C117" s="0" t="n">
        <v>0.147986419605018</v>
      </c>
      <c r="D117" s="0" t="n">
        <v>847477.26</v>
      </c>
      <c r="E117" s="0" t="s">
        <v>4137</v>
      </c>
      <c r="F117" s="225"/>
    </row>
    <row r="118" customFormat="false" ht="14.25" hidden="false" customHeight="false" outlineLevel="0" collapsed="false">
      <c r="A118" s="0" t="n">
        <v>31998677</v>
      </c>
      <c r="B118" s="0" t="s">
        <v>4255</v>
      </c>
      <c r="C118" s="0" t="n">
        <v>0.292891587718398</v>
      </c>
      <c r="D118" s="0" t="n">
        <v>267214.38</v>
      </c>
      <c r="E118" s="0" t="s">
        <v>4137</v>
      </c>
      <c r="F118" s="225"/>
    </row>
    <row r="119" customFormat="false" ht="14.25" hidden="false" customHeight="false" outlineLevel="0" collapsed="false">
      <c r="A119" s="0" t="n">
        <v>32350689</v>
      </c>
      <c r="B119" s="0" t="s">
        <v>4256</v>
      </c>
      <c r="C119" s="0" t="n">
        <v>0.169188881157473</v>
      </c>
      <c r="D119" s="0" t="n">
        <v>2090611</v>
      </c>
      <c r="E119" s="0" t="s">
        <v>4137</v>
      </c>
      <c r="F119" s="225"/>
    </row>
    <row r="120" customFormat="false" ht="14.25" hidden="false" customHeight="false" outlineLevel="0" collapsed="false">
      <c r="A120" s="0" t="n">
        <v>34317987</v>
      </c>
      <c r="B120" s="0" t="s">
        <v>4257</v>
      </c>
      <c r="C120" s="0" t="n">
        <v>0.381454524365313</v>
      </c>
      <c r="D120" s="0" t="n">
        <v>132926</v>
      </c>
      <c r="E120" s="0" t="s">
        <v>4137</v>
      </c>
      <c r="F120" s="225"/>
    </row>
    <row r="121" customFormat="false" ht="14.25" hidden="false" customHeight="false" outlineLevel="0" collapsed="false">
      <c r="A121" s="0" t="n">
        <v>34318934</v>
      </c>
      <c r="B121" s="0" t="s">
        <v>4258</v>
      </c>
      <c r="C121" s="0" t="n">
        <v>0.284697656984105</v>
      </c>
      <c r="D121" s="0" t="n">
        <v>822624.58</v>
      </c>
      <c r="E121" s="0" t="s">
        <v>4137</v>
      </c>
      <c r="F121" s="225"/>
    </row>
    <row r="122" customFormat="false" ht="14.25" hidden="false" customHeight="false" outlineLevel="0" collapsed="false">
      <c r="A122" s="0" t="n">
        <v>34319092</v>
      </c>
      <c r="B122" s="0" t="s">
        <v>4259</v>
      </c>
      <c r="C122" s="0" t="n">
        <v>0.15293711918943</v>
      </c>
      <c r="D122" s="0" t="n">
        <v>1560395</v>
      </c>
      <c r="E122" s="0" t="s">
        <v>4137</v>
      </c>
      <c r="F122" s="225"/>
    </row>
    <row r="123" customFormat="false" ht="14.25" hidden="false" customHeight="false" outlineLevel="0" collapsed="false">
      <c r="A123" s="0" t="n">
        <v>34322996</v>
      </c>
      <c r="B123" s="0" t="s">
        <v>4260</v>
      </c>
      <c r="C123" s="0" t="n">
        <v>0.189261416746585</v>
      </c>
      <c r="D123" s="0" t="n">
        <v>1596612.24</v>
      </c>
      <c r="E123" s="0" t="s">
        <v>4137</v>
      </c>
      <c r="F123" s="225"/>
    </row>
    <row r="124" customFormat="false" ht="14.25" hidden="false" customHeight="false" outlineLevel="0" collapsed="false">
      <c r="A124" s="0" t="n">
        <v>34370826</v>
      </c>
      <c r="B124" s="0" t="s">
        <v>4261</v>
      </c>
      <c r="C124" s="0" t="n">
        <v>0.224782177047294</v>
      </c>
      <c r="D124" s="0" t="n">
        <v>685274.1</v>
      </c>
      <c r="E124" s="0" t="s">
        <v>4137</v>
      </c>
      <c r="F124" s="225"/>
    </row>
    <row r="125" customFormat="false" ht="14.25" hidden="false" customHeight="false" outlineLevel="0" collapsed="false">
      <c r="A125" s="0" t="n">
        <v>34374143</v>
      </c>
      <c r="B125" s="0" t="s">
        <v>4262</v>
      </c>
      <c r="C125" s="0" t="n">
        <v>0.423700139517387</v>
      </c>
      <c r="D125" s="0" t="n">
        <v>-28868.1000000001</v>
      </c>
      <c r="E125" s="0" t="s">
        <v>4137</v>
      </c>
      <c r="F125" s="225"/>
    </row>
    <row r="126" customFormat="false" ht="14.25" hidden="false" customHeight="false" outlineLevel="0" collapsed="false">
      <c r="A126" s="0" t="n">
        <v>34515352</v>
      </c>
      <c r="B126" s="0" t="s">
        <v>4263</v>
      </c>
      <c r="C126" s="0" t="n">
        <v>0.469128606831355</v>
      </c>
      <c r="D126" s="0" t="n">
        <v>-190412.9</v>
      </c>
      <c r="E126" s="0" t="s">
        <v>4137</v>
      </c>
      <c r="F126" s="225"/>
    </row>
    <row r="127" customFormat="false" ht="14.25" hidden="false" customHeight="false" outlineLevel="0" collapsed="false">
      <c r="A127" s="0" t="n">
        <v>34516193</v>
      </c>
      <c r="B127" s="0" t="s">
        <v>4264</v>
      </c>
      <c r="C127" s="0" t="n">
        <v>0.461716381527702</v>
      </c>
      <c r="D127" s="0" t="n">
        <v>-148886.6</v>
      </c>
      <c r="E127" s="0" t="s">
        <v>4137</v>
      </c>
      <c r="F127" s="225"/>
    </row>
    <row r="128" customFormat="false" ht="14.25" hidden="false" customHeight="false" outlineLevel="0" collapsed="false">
      <c r="A128" s="0" t="n">
        <v>34516353</v>
      </c>
      <c r="B128" s="0" t="s">
        <v>4265</v>
      </c>
      <c r="C128" s="0" t="s">
        <v>4266</v>
      </c>
      <c r="D128" s="0" t="n">
        <v>0</v>
      </c>
      <c r="E128" s="0" t="s">
        <v>4137</v>
      </c>
      <c r="F128" s="225"/>
    </row>
    <row r="129" customFormat="false" ht="14.25" hidden="false" customHeight="false" outlineLevel="0" collapsed="false">
      <c r="A129" s="0" t="n">
        <v>34558931</v>
      </c>
      <c r="B129" s="0" t="s">
        <v>4267</v>
      </c>
      <c r="C129" s="0" t="n">
        <v>0.31439015271928</v>
      </c>
      <c r="D129" s="0" t="n">
        <v>226464.3</v>
      </c>
      <c r="E129" s="0" t="s">
        <v>4137</v>
      </c>
      <c r="F129" s="225"/>
    </row>
    <row r="130" customFormat="false" ht="14.25" hidden="false" customHeight="false" outlineLevel="0" collapsed="false">
      <c r="A130" s="0" t="n">
        <v>34564166</v>
      </c>
      <c r="B130" s="0" t="s">
        <v>4268</v>
      </c>
      <c r="C130" s="0" t="n">
        <v>0.474970468993181</v>
      </c>
      <c r="D130" s="0" t="n">
        <v>-167545.94</v>
      </c>
      <c r="E130" s="0" t="s">
        <v>4137</v>
      </c>
      <c r="F130" s="225"/>
    </row>
    <row r="131" customFormat="false" ht="14.25" hidden="false" customHeight="false" outlineLevel="0" collapsed="false">
      <c r="A131" s="0" t="n">
        <v>34564544</v>
      </c>
      <c r="B131" s="0" t="s">
        <v>4269</v>
      </c>
      <c r="C131" s="0" t="n">
        <v>0.427092521867685</v>
      </c>
      <c r="D131" s="0" t="n">
        <v>-34542</v>
      </c>
      <c r="E131" s="0" t="s">
        <v>4137</v>
      </c>
      <c r="F131" s="225"/>
    </row>
    <row r="132" customFormat="false" ht="14.25" hidden="false" customHeight="false" outlineLevel="0" collapsed="false">
      <c r="A132" s="0" t="n">
        <v>34615367</v>
      </c>
      <c r="B132" s="0" t="s">
        <v>4270</v>
      </c>
      <c r="C132" s="0" t="n">
        <v>0.408856627319787</v>
      </c>
      <c r="D132" s="0" t="n">
        <v>101646.38</v>
      </c>
      <c r="E132" s="0" t="s">
        <v>4137</v>
      </c>
      <c r="F132" s="225"/>
    </row>
    <row r="133" customFormat="false" ht="14.25" hidden="false" customHeight="false" outlineLevel="0" collapsed="false">
      <c r="A133" s="0" t="n">
        <v>36175046</v>
      </c>
      <c r="B133" s="0" t="s">
        <v>4271</v>
      </c>
      <c r="C133" s="0" t="n">
        <v>0.175437071312684</v>
      </c>
      <c r="D133" s="0" t="n">
        <v>1817304.08</v>
      </c>
      <c r="E133" s="0" t="s">
        <v>4137</v>
      </c>
      <c r="F133" s="225"/>
    </row>
    <row r="134" customFormat="false" ht="14.25" hidden="false" customHeight="false" outlineLevel="0" collapsed="false">
      <c r="A134" s="0" t="n">
        <v>38287868</v>
      </c>
      <c r="B134" s="0" t="s">
        <v>4272</v>
      </c>
      <c r="C134" s="0" t="n">
        <v>0.14807780988146</v>
      </c>
      <c r="D134" s="0" t="n">
        <v>1120973.94</v>
      </c>
      <c r="E134" s="0" t="s">
        <v>4137</v>
      </c>
      <c r="F134" s="225"/>
    </row>
    <row r="135" customFormat="false" ht="14.25" hidden="false" customHeight="false" outlineLevel="0" collapsed="false">
      <c r="A135" s="0" t="n">
        <v>38462107</v>
      </c>
      <c r="B135" s="0" t="s">
        <v>4273</v>
      </c>
      <c r="C135" s="0" t="n">
        <v>0.29733519804346</v>
      </c>
      <c r="D135" s="0" t="n">
        <v>872711</v>
      </c>
      <c r="E135" s="0" t="s">
        <v>4137</v>
      </c>
      <c r="F135" s="225"/>
    </row>
    <row r="136" customFormat="false" ht="14.25" hidden="false" customHeight="false" outlineLevel="0" collapsed="false">
      <c r="A136" s="0" t="n">
        <v>38556029</v>
      </c>
      <c r="B136" s="0" t="s">
        <v>4274</v>
      </c>
      <c r="C136" s="0" t="n">
        <v>0.304262231936572</v>
      </c>
      <c r="D136" s="0" t="n">
        <v>950692.48</v>
      </c>
      <c r="E136" s="0" t="s">
        <v>4137</v>
      </c>
      <c r="F136" s="225"/>
    </row>
    <row r="137" customFormat="false" ht="14.25" hidden="false" customHeight="false" outlineLevel="0" collapsed="false">
      <c r="A137" s="0" t="n">
        <v>38557635</v>
      </c>
      <c r="B137" s="0" t="s">
        <v>4275</v>
      </c>
      <c r="C137" s="0" t="n">
        <v>0.531854558240634</v>
      </c>
      <c r="D137" s="0" t="n">
        <v>-499894</v>
      </c>
      <c r="E137" s="0" t="s">
        <v>4137</v>
      </c>
      <c r="F137" s="225"/>
    </row>
    <row r="138" customFormat="false" ht="14.25" hidden="false" customHeight="false" outlineLevel="0" collapsed="false">
      <c r="A138" s="0" t="n">
        <v>38558372</v>
      </c>
      <c r="B138" s="0" t="s">
        <v>4276</v>
      </c>
      <c r="C138" s="0" t="n">
        <v>0.435259306772162</v>
      </c>
      <c r="D138" s="0" t="n">
        <v>-59410.8799999999</v>
      </c>
      <c r="E138" s="0" t="s">
        <v>4137</v>
      </c>
      <c r="F138" s="225"/>
    </row>
    <row r="139" customFormat="false" ht="14.25" hidden="false" customHeight="false" outlineLevel="0" collapsed="false">
      <c r="A139" s="0" t="n">
        <v>38559970</v>
      </c>
      <c r="B139" s="0" t="s">
        <v>4277</v>
      </c>
      <c r="C139" s="0" t="n">
        <v>0.418030491837932</v>
      </c>
      <c r="D139" s="0" t="n">
        <v>6161.83999999985</v>
      </c>
      <c r="E139" s="0" t="s">
        <v>4137</v>
      </c>
      <c r="F139" s="225"/>
    </row>
    <row r="140" customFormat="false" ht="14.25" hidden="false" customHeight="false" outlineLevel="0" collapsed="false">
      <c r="A140" s="0" t="n">
        <v>38560478</v>
      </c>
      <c r="B140" s="0" t="s">
        <v>4278</v>
      </c>
      <c r="C140" s="0" t="n">
        <v>0.166541092465548</v>
      </c>
      <c r="D140" s="0" t="n">
        <v>2534437</v>
      </c>
      <c r="E140" s="0" t="s">
        <v>4137</v>
      </c>
      <c r="F140" s="225"/>
    </row>
    <row r="141" customFormat="false" ht="14.25" hidden="false" customHeight="false" outlineLevel="0" collapsed="false">
      <c r="A141" s="0" t="n">
        <v>38561313</v>
      </c>
      <c r="B141" s="0" t="s">
        <v>4279</v>
      </c>
      <c r="C141" s="0" t="n">
        <v>0.134184949704444</v>
      </c>
      <c r="D141" s="0" t="n">
        <v>1078815.1</v>
      </c>
      <c r="E141" s="0" t="s">
        <v>4137</v>
      </c>
      <c r="F141" s="225"/>
    </row>
    <row r="142" customFormat="false" ht="14.25" hidden="false" customHeight="false" outlineLevel="0" collapsed="false">
      <c r="A142" s="0" t="n">
        <v>38561807</v>
      </c>
      <c r="B142" s="0" t="s">
        <v>4280</v>
      </c>
      <c r="C142" s="0" t="n">
        <v>0.328612550971042</v>
      </c>
      <c r="D142" s="0" t="n">
        <v>264457</v>
      </c>
      <c r="E142" s="0" t="s">
        <v>4137</v>
      </c>
      <c r="F142" s="225"/>
    </row>
    <row r="143" customFormat="false" ht="14.25" hidden="false" customHeight="false" outlineLevel="0" collapsed="false">
      <c r="A143" s="0" t="n">
        <v>38562907</v>
      </c>
      <c r="B143" s="0" t="s">
        <v>4281</v>
      </c>
      <c r="C143" s="0" t="n">
        <v>0.198110562537355</v>
      </c>
      <c r="D143" s="0" t="n">
        <v>1381808.04</v>
      </c>
      <c r="E143" s="0" t="s">
        <v>4137</v>
      </c>
      <c r="F143" s="225"/>
    </row>
    <row r="144" customFormat="false" ht="14.25" hidden="false" customHeight="false" outlineLevel="0" collapsed="false">
      <c r="A144" s="0" t="n">
        <v>38563552</v>
      </c>
      <c r="B144" s="0" t="s">
        <v>4282</v>
      </c>
      <c r="C144" s="0" t="n">
        <v>0.345091855125594</v>
      </c>
      <c r="D144" s="0" t="n">
        <v>162758.12</v>
      </c>
      <c r="E144" s="0" t="s">
        <v>4147</v>
      </c>
      <c r="F144" s="225"/>
    </row>
    <row r="145" customFormat="false" ht="14.25" hidden="false" customHeight="false" outlineLevel="0" collapsed="false">
      <c r="A145" s="0" t="n">
        <v>38595744</v>
      </c>
      <c r="B145" s="0" t="s">
        <v>4283</v>
      </c>
      <c r="C145" s="0" t="n">
        <v>0.4049384725514</v>
      </c>
      <c r="D145" s="0" t="n">
        <v>81615.4199999999</v>
      </c>
      <c r="E145" s="0" t="s">
        <v>4137</v>
      </c>
      <c r="F145" s="225"/>
    </row>
    <row r="146" customFormat="false" ht="14.25" hidden="false" customHeight="false" outlineLevel="0" collapsed="false">
      <c r="A146" s="0" t="n">
        <v>38600460</v>
      </c>
      <c r="B146" s="0" t="s">
        <v>4284</v>
      </c>
      <c r="C146" s="0" t="n">
        <v>0.215752902785156</v>
      </c>
      <c r="D146" s="0" t="n">
        <v>1345682</v>
      </c>
      <c r="E146" s="0" t="s">
        <v>4137</v>
      </c>
      <c r="F146" s="225"/>
    </row>
    <row r="147" customFormat="false" ht="14.25" hidden="false" customHeight="false" outlineLevel="0" collapsed="false">
      <c r="A147" s="0" t="n">
        <v>38611423</v>
      </c>
      <c r="B147" s="0" t="s">
        <v>4285</v>
      </c>
      <c r="C147" s="0" t="n">
        <v>0.278750431957979</v>
      </c>
      <c r="D147" s="0" t="n">
        <v>408748</v>
      </c>
      <c r="E147" s="0" t="s">
        <v>4137</v>
      </c>
      <c r="F147" s="225"/>
    </row>
    <row r="148" customFormat="false" ht="14.25" hidden="false" customHeight="false" outlineLevel="0" collapsed="false">
      <c r="A148" s="0" t="n">
        <v>38641467</v>
      </c>
      <c r="B148" s="0" t="s">
        <v>4286</v>
      </c>
      <c r="C148" s="0" t="n">
        <v>0.304705336200156</v>
      </c>
      <c r="D148" s="0" t="n">
        <v>235939</v>
      </c>
      <c r="E148" s="0" t="s">
        <v>4137</v>
      </c>
      <c r="F148" s="225"/>
    </row>
    <row r="149" customFormat="false" ht="14.25" hidden="false" customHeight="false" outlineLevel="0" collapsed="false">
      <c r="A149" s="0" t="n">
        <v>38643849</v>
      </c>
      <c r="B149" s="0" t="s">
        <v>4287</v>
      </c>
      <c r="C149" s="0" t="n">
        <v>0.379279923846742</v>
      </c>
      <c r="D149" s="0" t="n">
        <v>174858.02</v>
      </c>
      <c r="E149" s="0" t="s">
        <v>4137</v>
      </c>
      <c r="F149" s="225"/>
    </row>
    <row r="150" customFormat="false" ht="14.25" hidden="false" customHeight="false" outlineLevel="0" collapsed="false">
      <c r="A150" s="0" t="n">
        <v>38668565</v>
      </c>
      <c r="B150" s="0" t="s">
        <v>4288</v>
      </c>
      <c r="C150" s="0" t="n">
        <v>0.383589142220001</v>
      </c>
      <c r="D150" s="0" t="n">
        <v>94701</v>
      </c>
      <c r="E150" s="0" t="s">
        <v>4137</v>
      </c>
      <c r="F150" s="225"/>
    </row>
    <row r="151" customFormat="false" ht="14.25" hidden="false" customHeight="false" outlineLevel="0" collapsed="false">
      <c r="A151" s="0" t="n">
        <v>38670692</v>
      </c>
      <c r="B151" s="0" t="s">
        <v>4289</v>
      </c>
      <c r="C151" s="0" t="n">
        <v>0.205800956328568</v>
      </c>
      <c r="D151" s="0" t="n">
        <v>756337.68</v>
      </c>
      <c r="E151" s="0" t="s">
        <v>4137</v>
      </c>
      <c r="F151" s="225"/>
    </row>
    <row r="152" customFormat="false" ht="14.25" hidden="false" customHeight="false" outlineLevel="0" collapsed="false">
      <c r="A152" s="0" t="n">
        <v>38681350</v>
      </c>
      <c r="B152" s="0" t="s">
        <v>4290</v>
      </c>
      <c r="C152" s="0" t="n">
        <v>0.312105190407077</v>
      </c>
      <c r="D152" s="0" t="n">
        <v>312226</v>
      </c>
      <c r="E152" s="0" t="s">
        <v>4137</v>
      </c>
      <c r="F152" s="225"/>
    </row>
    <row r="153" customFormat="false" ht="14.25" hidden="false" customHeight="false" outlineLevel="0" collapsed="false">
      <c r="A153" s="0" t="n">
        <v>38790124</v>
      </c>
      <c r="B153" s="0" t="s">
        <v>4291</v>
      </c>
      <c r="C153" s="0" t="n">
        <v>0.166570149827884</v>
      </c>
      <c r="D153" s="0" t="n">
        <v>1870560.74</v>
      </c>
      <c r="E153" s="0" t="s">
        <v>4137</v>
      </c>
      <c r="F153" s="225"/>
    </row>
    <row r="154" customFormat="false" ht="14.25" hidden="false" customHeight="false" outlineLevel="0" collapsed="false">
      <c r="A154" s="0" t="n">
        <v>38790788</v>
      </c>
      <c r="B154" s="0" t="s">
        <v>4292</v>
      </c>
      <c r="C154" s="0" t="n">
        <v>0.311781508865612</v>
      </c>
      <c r="D154" s="0" t="n">
        <v>632299</v>
      </c>
      <c r="E154" s="0" t="s">
        <v>4137</v>
      </c>
      <c r="F154" s="225"/>
    </row>
    <row r="155" customFormat="false" ht="14.25" hidden="false" customHeight="false" outlineLevel="0" collapsed="false">
      <c r="A155" s="0" t="n">
        <v>38872813</v>
      </c>
      <c r="B155" s="0" t="s">
        <v>4293</v>
      </c>
      <c r="C155" s="0" t="n">
        <v>0.44211414270715</v>
      </c>
      <c r="D155" s="0" t="n">
        <v>-102502</v>
      </c>
      <c r="E155" s="0" t="s">
        <v>4137</v>
      </c>
      <c r="F155" s="225"/>
    </row>
    <row r="156" customFormat="false" ht="14.25" hidden="false" customHeight="false" outlineLevel="0" collapsed="false">
      <c r="A156" s="0" t="n">
        <v>38873740</v>
      </c>
      <c r="B156" s="0" t="s">
        <v>4294</v>
      </c>
      <c r="C156" s="0" t="n">
        <v>0.344490207862976</v>
      </c>
      <c r="D156" s="0" t="n">
        <v>235822.14</v>
      </c>
      <c r="E156" s="0" t="s">
        <v>4137</v>
      </c>
      <c r="F156" s="225"/>
    </row>
    <row r="157" customFormat="false" ht="14.25" hidden="false" customHeight="false" outlineLevel="0" collapsed="false">
      <c r="A157" s="0" t="n">
        <v>38888433</v>
      </c>
      <c r="B157" s="0" t="s">
        <v>4295</v>
      </c>
      <c r="C157" s="0" t="n">
        <v>0.43598323083699</v>
      </c>
      <c r="D157" s="0" t="n">
        <v>-97982</v>
      </c>
      <c r="E157" s="0" t="s">
        <v>4137</v>
      </c>
      <c r="F157" s="225"/>
    </row>
    <row r="158" customFormat="false" ht="14.25" hidden="false" customHeight="false" outlineLevel="0" collapsed="false">
      <c r="A158" s="0" t="n">
        <v>40087405</v>
      </c>
      <c r="B158" s="0" t="s">
        <v>4296</v>
      </c>
      <c r="C158" s="0" t="n">
        <v>0.422169952178286</v>
      </c>
      <c r="D158" s="0" t="n">
        <v>-8610.97999999998</v>
      </c>
      <c r="E158" s="0" t="s">
        <v>4137</v>
      </c>
      <c r="F158" s="225"/>
    </row>
    <row r="159" customFormat="false" ht="14.25" hidden="false" customHeight="false" outlineLevel="0" collapsed="false">
      <c r="A159" s="0" t="n">
        <v>41119590</v>
      </c>
      <c r="B159" s="0" t="s">
        <v>4297</v>
      </c>
      <c r="C159" s="0" t="n">
        <v>0.362923617141545</v>
      </c>
      <c r="D159" s="0" t="n">
        <v>271146.76</v>
      </c>
      <c r="E159" s="0" t="s">
        <v>4137</v>
      </c>
      <c r="F159" s="225"/>
    </row>
    <row r="160" customFormat="false" ht="14.25" hidden="false" customHeight="false" outlineLevel="0" collapsed="false">
      <c r="A160" s="0" t="n">
        <v>41924675</v>
      </c>
      <c r="B160" s="0" t="s">
        <v>4298</v>
      </c>
      <c r="C160" s="0" t="n">
        <v>0.416654223533684</v>
      </c>
      <c r="D160" s="0" t="n">
        <v>14676.6599999999</v>
      </c>
      <c r="E160" s="0" t="s">
        <v>4137</v>
      </c>
      <c r="F160" s="225"/>
    </row>
    <row r="161" customFormat="false" ht="14.25" hidden="false" customHeight="false" outlineLevel="0" collapsed="false">
      <c r="A161" s="0" t="n">
        <v>42089913</v>
      </c>
      <c r="B161" s="0" t="s">
        <v>4299</v>
      </c>
      <c r="C161" s="0" t="n">
        <v>0.418336799686856</v>
      </c>
      <c r="D161" s="0" t="n">
        <v>9220.39999999991</v>
      </c>
      <c r="E161" s="0" t="s">
        <v>4137</v>
      </c>
      <c r="F161" s="225"/>
    </row>
    <row r="162" customFormat="false" ht="14.25" hidden="false" customHeight="false" outlineLevel="0" collapsed="false">
      <c r="A162" s="0" t="n">
        <v>42130016</v>
      </c>
      <c r="B162" s="0" t="s">
        <v>4300</v>
      </c>
      <c r="C162" s="0" t="n">
        <v>0.373552671654638</v>
      </c>
      <c r="D162" s="0" t="n">
        <v>350747</v>
      </c>
      <c r="E162" s="0" t="s">
        <v>4137</v>
      </c>
      <c r="F162" s="225"/>
    </row>
    <row r="163" customFormat="false" ht="14.25" hidden="false" customHeight="false" outlineLevel="0" collapsed="false">
      <c r="A163" s="0" t="n">
        <v>48657507</v>
      </c>
      <c r="B163" s="0" t="s">
        <v>4301</v>
      </c>
      <c r="C163" s="0" t="n">
        <v>0.145020412062096</v>
      </c>
      <c r="D163" s="0" t="n">
        <v>1099672.52</v>
      </c>
      <c r="E163" s="0" t="s">
        <v>4137</v>
      </c>
      <c r="F163" s="225"/>
    </row>
    <row r="164" customFormat="false" ht="14.25" hidden="false" customHeight="false" outlineLevel="0" collapsed="false">
      <c r="A164" s="0" t="n">
        <v>51968425</v>
      </c>
      <c r="B164" s="0" t="s">
        <v>4302</v>
      </c>
      <c r="C164" s="0" t="n">
        <v>0.207265482211927</v>
      </c>
      <c r="D164" s="0" t="n">
        <v>1001001</v>
      </c>
      <c r="E164" s="0" t="s">
        <v>4137</v>
      </c>
      <c r="F164" s="225"/>
    </row>
    <row r="165" customFormat="false" ht="14.25" hidden="false" customHeight="false" outlineLevel="0" collapsed="false">
      <c r="A165" s="0" t="n">
        <v>51997260</v>
      </c>
      <c r="B165" s="0" t="s">
        <v>4303</v>
      </c>
      <c r="C165" s="0" t="n">
        <v>0.298376101777659</v>
      </c>
      <c r="D165" s="0" t="n">
        <v>491207.1</v>
      </c>
      <c r="E165" s="0" t="s">
        <v>4137</v>
      </c>
      <c r="F165" s="225"/>
    </row>
    <row r="166" customFormat="false" ht="14.25" hidden="false" customHeight="false" outlineLevel="0" collapsed="false">
      <c r="A166" s="0" t="n">
        <v>52026283</v>
      </c>
      <c r="B166" s="0" t="s">
        <v>4304</v>
      </c>
      <c r="C166" s="0" t="n">
        <v>0.271751960731069</v>
      </c>
      <c r="D166" s="0" t="n">
        <v>565041.62</v>
      </c>
      <c r="E166" s="0" t="s">
        <v>4137</v>
      </c>
      <c r="F166" s="225"/>
    </row>
    <row r="167" customFormat="false" ht="14.25" hidden="false" customHeight="false" outlineLevel="0" collapsed="false">
      <c r="A167" s="0" t="n">
        <v>52316905</v>
      </c>
      <c r="B167" s="0" t="s">
        <v>4305</v>
      </c>
      <c r="C167" s="0" t="s">
        <v>4266</v>
      </c>
      <c r="D167" s="0" t="n">
        <v>0</v>
      </c>
      <c r="E167" s="0" t="s">
        <v>4137</v>
      </c>
      <c r="F167" s="225"/>
    </row>
    <row r="168" customFormat="false" ht="14.25" hidden="false" customHeight="false" outlineLevel="0" collapsed="false">
      <c r="A168" s="0" t="n">
        <v>55113244</v>
      </c>
      <c r="B168" s="0" t="s">
        <v>4306</v>
      </c>
      <c r="C168" s="0" t="n">
        <v>0.124709162238972</v>
      </c>
      <c r="D168" s="0" t="n">
        <v>1911831</v>
      </c>
      <c r="E168" s="0" t="s">
        <v>4137</v>
      </c>
      <c r="F168" s="225"/>
    </row>
    <row r="169" customFormat="false" ht="14.25" hidden="false" customHeight="false" outlineLevel="0" collapsed="false">
      <c r="A169" s="0" t="n">
        <v>59666004</v>
      </c>
      <c r="B169" s="0" t="s">
        <v>4307</v>
      </c>
      <c r="C169" s="0" t="n">
        <v>0.168131288242783</v>
      </c>
      <c r="D169" s="0" t="n">
        <v>1226651</v>
      </c>
      <c r="E169" s="0" t="s">
        <v>4137</v>
      </c>
      <c r="F169" s="225"/>
    </row>
    <row r="170" customFormat="false" ht="14.25" hidden="false" customHeight="false" outlineLevel="0" collapsed="false">
      <c r="A170" s="0" t="n">
        <v>59801808</v>
      </c>
      <c r="B170" s="0" t="s">
        <v>4308</v>
      </c>
      <c r="C170" s="0" t="n">
        <v>0.304460830455523</v>
      </c>
      <c r="D170" s="0" t="n">
        <v>391679.98</v>
      </c>
      <c r="E170" s="0" t="s">
        <v>4147</v>
      </c>
      <c r="F170" s="225"/>
    </row>
    <row r="171" customFormat="false" ht="14.25" hidden="false" customHeight="false" outlineLevel="0" collapsed="false">
      <c r="A171" s="0" t="n">
        <v>59816941</v>
      </c>
      <c r="B171" s="0" t="s">
        <v>4309</v>
      </c>
      <c r="C171" s="0" t="n">
        <v>0.20556673064147</v>
      </c>
      <c r="D171" s="0" t="n">
        <v>1161971</v>
      </c>
      <c r="E171" s="0" t="s">
        <v>4137</v>
      </c>
      <c r="F171" s="225"/>
    </row>
    <row r="172" customFormat="false" ht="14.25" hidden="false" customHeight="false" outlineLevel="0" collapsed="false">
      <c r="A172" s="0" t="n">
        <v>60328704</v>
      </c>
      <c r="B172" s="0" t="s">
        <v>4310</v>
      </c>
      <c r="C172" s="0" t="n">
        <v>0.406113884617079</v>
      </c>
      <c r="D172" s="0" t="n">
        <v>28792.24</v>
      </c>
      <c r="E172" s="0" t="s">
        <v>4137</v>
      </c>
      <c r="F172" s="225"/>
    </row>
    <row r="173" customFormat="false" ht="14.25" hidden="false" customHeight="false" outlineLevel="0" collapsed="false">
      <c r="A173" s="0" t="n">
        <v>60337190</v>
      </c>
      <c r="B173" s="0" t="s">
        <v>4311</v>
      </c>
      <c r="C173" s="0" t="n">
        <v>0.231620670821821</v>
      </c>
      <c r="D173" s="0" t="n">
        <v>1172699</v>
      </c>
      <c r="E173" s="0" t="s">
        <v>4137</v>
      </c>
      <c r="F173" s="225"/>
    </row>
    <row r="174" customFormat="false" ht="14.25" hidden="false" customHeight="false" outlineLevel="0" collapsed="false">
      <c r="A174" s="0" t="n">
        <v>60406095</v>
      </c>
      <c r="B174" s="0" t="s">
        <v>4312</v>
      </c>
      <c r="C174" s="0" t="n">
        <v>0.42961251454782</v>
      </c>
      <c r="D174" s="0" t="n">
        <v>-56164</v>
      </c>
      <c r="E174" s="0" t="s">
        <v>4147</v>
      </c>
      <c r="F174" s="225"/>
    </row>
    <row r="175" customFormat="false" ht="14.25" hidden="false" customHeight="false" outlineLevel="0" collapsed="false">
      <c r="A175" s="0" t="n">
        <v>66656138</v>
      </c>
      <c r="B175" s="0" t="s">
        <v>4313</v>
      </c>
      <c r="C175" s="0" t="n">
        <v>0.502544818766994</v>
      </c>
      <c r="D175" s="0" t="n">
        <v>-330105.48</v>
      </c>
      <c r="E175" s="0" t="s">
        <v>4137</v>
      </c>
      <c r="F175" s="225"/>
    </row>
    <row r="176" customFormat="false" ht="14.25" hidden="false" customHeight="false" outlineLevel="0" collapsed="false">
      <c r="A176" s="0" t="n">
        <v>66656378</v>
      </c>
      <c r="B176" s="0" t="s">
        <v>4314</v>
      </c>
      <c r="C176" s="0" t="n">
        <v>0.267446384260702</v>
      </c>
      <c r="D176" s="0" t="n">
        <v>682292.08</v>
      </c>
      <c r="E176" s="0" t="s">
        <v>4137</v>
      </c>
      <c r="F176" s="225"/>
    </row>
    <row r="177" customFormat="false" ht="14.25" hidden="false" customHeight="false" outlineLevel="0" collapsed="false">
      <c r="A177" s="0" t="n">
        <v>66702591</v>
      </c>
      <c r="B177" s="0" t="s">
        <v>4315</v>
      </c>
      <c r="C177" s="0" t="n">
        <v>0.319335901312557</v>
      </c>
      <c r="D177" s="0" t="n">
        <v>453662.86</v>
      </c>
      <c r="E177" s="0" t="s">
        <v>4137</v>
      </c>
      <c r="F177" s="225"/>
    </row>
    <row r="178" customFormat="false" ht="14.25" hidden="false" customHeight="false" outlineLevel="0" collapsed="false">
      <c r="A178" s="0" t="n">
        <v>66718924</v>
      </c>
      <c r="B178" s="0" t="s">
        <v>4316</v>
      </c>
      <c r="C178" s="0" t="n">
        <v>0.428538352774832</v>
      </c>
      <c r="D178" s="0" t="n">
        <v>-28986</v>
      </c>
      <c r="E178" s="0" t="s">
        <v>4137</v>
      </c>
      <c r="F178" s="225"/>
    </row>
    <row r="179" customFormat="false" ht="14.25" hidden="false" customHeight="false" outlineLevel="0" collapsed="false">
      <c r="A179" s="0" t="n">
        <v>66764802</v>
      </c>
      <c r="B179" s="0" t="s">
        <v>4317</v>
      </c>
      <c r="C179" s="0" t="n">
        <v>0.532983213321813</v>
      </c>
      <c r="D179" s="0" t="n">
        <v>-352241.666666667</v>
      </c>
      <c r="E179" s="0" t="s">
        <v>4137</v>
      </c>
      <c r="F179" s="225"/>
    </row>
    <row r="180" customFormat="false" ht="14.25" hidden="false" customHeight="false" outlineLevel="0" collapsed="false">
      <c r="A180" s="0" t="n">
        <v>66769609</v>
      </c>
      <c r="B180" s="0" t="s">
        <v>4318</v>
      </c>
      <c r="C180" s="0" t="n">
        <v>0.254881816296911</v>
      </c>
      <c r="D180" s="0" t="n">
        <v>477819</v>
      </c>
      <c r="E180" s="0" t="s">
        <v>4137</v>
      </c>
      <c r="F180" s="225"/>
    </row>
    <row r="181" customFormat="false" ht="14.25" hidden="false" customHeight="false" outlineLevel="0" collapsed="false">
      <c r="A181" s="0" t="n">
        <v>66783733</v>
      </c>
      <c r="B181" s="0" t="s">
        <v>4319</v>
      </c>
      <c r="C181" s="0" t="n">
        <v>0.384190481012212</v>
      </c>
      <c r="D181" s="0" t="n">
        <v>138159.94</v>
      </c>
      <c r="E181" s="0" t="s">
        <v>4137</v>
      </c>
      <c r="F181" s="225"/>
    </row>
    <row r="182" customFormat="false" ht="14.25" hidden="false" customHeight="false" outlineLevel="0" collapsed="false">
      <c r="A182" s="0" t="n">
        <v>66809436</v>
      </c>
      <c r="B182" s="0" t="s">
        <v>4320</v>
      </c>
      <c r="C182" s="0" t="n">
        <v>0.290937176031516</v>
      </c>
      <c r="D182" s="0" t="n">
        <v>373482</v>
      </c>
      <c r="E182" s="0" t="s">
        <v>4137</v>
      </c>
      <c r="F182" s="225"/>
    </row>
    <row r="183" customFormat="false" ht="14.25" hidden="false" customHeight="false" outlineLevel="0" collapsed="false">
      <c r="A183" s="0" t="n">
        <v>66810126</v>
      </c>
      <c r="B183" s="0" t="s">
        <v>4321</v>
      </c>
      <c r="C183" s="0" t="n">
        <v>0.253946950114012</v>
      </c>
      <c r="D183" s="0" t="n">
        <v>3269734</v>
      </c>
      <c r="E183" s="0" t="s">
        <v>4137</v>
      </c>
      <c r="F183" s="225"/>
    </row>
    <row r="184" customFormat="false" ht="14.25" hidden="false" customHeight="false" outlineLevel="0" collapsed="false">
      <c r="A184" s="0" t="n">
        <v>66813752</v>
      </c>
      <c r="B184" s="0" t="s">
        <v>4322</v>
      </c>
      <c r="C184" s="0" t="n">
        <v>0.297360274652947</v>
      </c>
      <c r="D184" s="0" t="n">
        <v>508682.6</v>
      </c>
      <c r="E184" s="0" t="s">
        <v>4137</v>
      </c>
      <c r="F184" s="225"/>
    </row>
    <row r="185" customFormat="false" ht="14.25" hidden="false" customHeight="false" outlineLevel="0" collapsed="false">
      <c r="A185" s="0" t="n">
        <v>66815650</v>
      </c>
      <c r="B185" s="0" t="s">
        <v>4323</v>
      </c>
      <c r="C185" s="0" t="n">
        <v>0.255520406927146</v>
      </c>
      <c r="D185" s="0" t="n">
        <v>514593.98</v>
      </c>
      <c r="E185" s="0" t="s">
        <v>4137</v>
      </c>
      <c r="F185" s="225"/>
    </row>
    <row r="186" customFormat="false" ht="14.25" hidden="false" customHeight="false" outlineLevel="0" collapsed="false">
      <c r="A186" s="0" t="n">
        <v>66820844</v>
      </c>
      <c r="B186" s="0" t="s">
        <v>4324</v>
      </c>
      <c r="C186" s="0" t="n">
        <v>0.457456117524498</v>
      </c>
      <c r="D186" s="0" t="n">
        <v>-113232.64</v>
      </c>
      <c r="E186" s="0" t="s">
        <v>4137</v>
      </c>
      <c r="F186" s="225"/>
    </row>
    <row r="187" customFormat="false" ht="14.25" hidden="false" customHeight="false" outlineLevel="0" collapsed="false">
      <c r="A187" s="0" t="n">
        <v>66822359</v>
      </c>
      <c r="B187" s="0" t="s">
        <v>4325</v>
      </c>
      <c r="C187" s="0" t="n">
        <v>0.475188588565497</v>
      </c>
      <c r="D187" s="0" t="n">
        <v>-143540</v>
      </c>
      <c r="E187" s="0" t="s">
        <v>4326</v>
      </c>
      <c r="F187" s="225"/>
    </row>
    <row r="188" customFormat="false" ht="14.25" hidden="false" customHeight="false" outlineLevel="0" collapsed="false">
      <c r="A188" s="0" t="n">
        <v>66828711</v>
      </c>
      <c r="B188" s="0" t="s">
        <v>4327</v>
      </c>
      <c r="C188" s="0" t="n">
        <v>0.341927409742781</v>
      </c>
      <c r="D188" s="0" t="n">
        <v>203059</v>
      </c>
      <c r="E188" s="0" t="s">
        <v>4137</v>
      </c>
      <c r="F188" s="225"/>
    </row>
    <row r="189" customFormat="false" ht="14.25" hidden="false" customHeight="false" outlineLevel="0" collapsed="false">
      <c r="A189" s="0" t="n">
        <v>66828792</v>
      </c>
      <c r="B189" s="0" t="s">
        <v>4328</v>
      </c>
      <c r="C189" s="0" t="n">
        <v>0.333632064894997</v>
      </c>
      <c r="D189" s="0" t="n">
        <v>243435.28</v>
      </c>
      <c r="E189" s="0" t="s">
        <v>4137</v>
      </c>
      <c r="F189" s="225"/>
    </row>
    <row r="190" customFormat="false" ht="14.25" hidden="false" customHeight="false" outlineLevel="0" collapsed="false">
      <c r="A190" s="0" t="n">
        <v>66833280</v>
      </c>
      <c r="B190" s="0" t="s">
        <v>4329</v>
      </c>
      <c r="C190" s="0" t="n">
        <v>0.437273251566765</v>
      </c>
      <c r="D190" s="0" t="n">
        <v>-44926</v>
      </c>
      <c r="E190" s="0" t="s">
        <v>4137</v>
      </c>
      <c r="F190" s="225"/>
    </row>
    <row r="191" customFormat="false" ht="14.25" hidden="false" customHeight="false" outlineLevel="0" collapsed="false">
      <c r="A191" s="0" t="n">
        <v>66847778</v>
      </c>
      <c r="B191" s="0" t="s">
        <v>4330</v>
      </c>
      <c r="C191" s="0" t="n">
        <v>0.544954914958436</v>
      </c>
      <c r="D191" s="0" t="n">
        <v>-661136.58</v>
      </c>
      <c r="E191" s="0" t="s">
        <v>4137</v>
      </c>
      <c r="F191" s="225"/>
    </row>
    <row r="192" customFormat="false" ht="14.25" hidden="false" customHeight="false" outlineLevel="0" collapsed="false">
      <c r="A192" s="0" t="n">
        <v>66852676</v>
      </c>
      <c r="B192" s="0" t="s">
        <v>4331</v>
      </c>
      <c r="C192" s="0" t="n">
        <v>0.370907919988606</v>
      </c>
      <c r="D192" s="0" t="n">
        <v>426731.04</v>
      </c>
      <c r="E192" s="0" t="s">
        <v>4137</v>
      </c>
      <c r="F192" s="225"/>
    </row>
    <row r="193" customFormat="false" ht="14.25" hidden="false" customHeight="false" outlineLevel="0" collapsed="false">
      <c r="A193" s="0" t="n">
        <v>66856977</v>
      </c>
      <c r="B193" s="0" t="s">
        <v>4332</v>
      </c>
      <c r="C193" s="0" t="n">
        <v>0.42329614087855</v>
      </c>
      <c r="D193" s="0" t="n">
        <v>-27178</v>
      </c>
      <c r="E193" s="0" t="s">
        <v>4137</v>
      </c>
      <c r="F193" s="225"/>
    </row>
    <row r="194" customFormat="false" ht="14.25" hidden="false" customHeight="false" outlineLevel="0" collapsed="false">
      <c r="A194" s="0" t="n">
        <v>66857765</v>
      </c>
      <c r="B194" s="0" t="s">
        <v>4333</v>
      </c>
      <c r="C194" s="0" t="n">
        <v>0.445872435116573</v>
      </c>
      <c r="D194" s="0" t="n">
        <v>-113832</v>
      </c>
      <c r="E194" s="0" t="s">
        <v>4137</v>
      </c>
      <c r="F194" s="225"/>
    </row>
    <row r="195" customFormat="false" ht="14.25" hidden="false" customHeight="false" outlineLevel="0" collapsed="false">
      <c r="A195" s="0" t="n">
        <v>66866459</v>
      </c>
      <c r="B195" s="0" t="s">
        <v>4334</v>
      </c>
      <c r="C195" s="0" t="n">
        <v>0.230508670075743</v>
      </c>
      <c r="D195" s="0" t="n">
        <v>492848</v>
      </c>
      <c r="E195" s="0" t="s">
        <v>4137</v>
      </c>
      <c r="F195" s="225"/>
    </row>
    <row r="196" customFormat="false" ht="14.25" hidden="false" customHeight="false" outlineLevel="0" collapsed="false">
      <c r="A196" s="0" t="n">
        <v>66877948</v>
      </c>
      <c r="B196" s="0" t="s">
        <v>4335</v>
      </c>
      <c r="C196" s="0" t="n">
        <v>0.542142259692644</v>
      </c>
      <c r="D196" s="0" t="n">
        <v>-437041</v>
      </c>
      <c r="E196" s="0" t="s">
        <v>4137</v>
      </c>
      <c r="F196" s="225"/>
    </row>
    <row r="197" customFormat="false" ht="14.25" hidden="false" customHeight="false" outlineLevel="0" collapsed="false">
      <c r="A197" s="0" t="n">
        <v>66900071</v>
      </c>
      <c r="B197" s="0" t="s">
        <v>4336</v>
      </c>
      <c r="C197" s="0" t="n">
        <v>0.320743554392017</v>
      </c>
      <c r="D197" s="0" t="n">
        <v>861170.56</v>
      </c>
      <c r="E197" s="0" t="s">
        <v>4137</v>
      </c>
      <c r="F197" s="225"/>
    </row>
    <row r="198" customFormat="false" ht="14.25" hidden="false" customHeight="false" outlineLevel="0" collapsed="false">
      <c r="A198" s="0" t="n">
        <v>66900521</v>
      </c>
      <c r="B198" s="0" t="s">
        <v>4337</v>
      </c>
      <c r="C198" s="0" t="n">
        <v>0.381060786650775</v>
      </c>
      <c r="D198" s="0" t="n">
        <v>101277</v>
      </c>
      <c r="E198" s="0" t="s">
        <v>4137</v>
      </c>
      <c r="F198" s="225"/>
    </row>
    <row r="199" customFormat="false" ht="14.25" hidden="false" customHeight="false" outlineLevel="0" collapsed="false">
      <c r="A199" s="0" t="n">
        <v>66904285</v>
      </c>
      <c r="B199" s="0" t="s">
        <v>4338</v>
      </c>
      <c r="C199" s="0" t="n">
        <v>0.118099510810331</v>
      </c>
      <c r="D199" s="0" t="n">
        <v>1191088</v>
      </c>
      <c r="E199" s="0" t="s">
        <v>4137</v>
      </c>
      <c r="F199" s="225"/>
    </row>
    <row r="200" customFormat="false" ht="14.25" hidden="false" customHeight="false" outlineLevel="0" collapsed="false">
      <c r="A200" s="0" t="n">
        <v>66907772</v>
      </c>
      <c r="B200" s="0" t="s">
        <v>4339</v>
      </c>
      <c r="C200" s="0" t="n">
        <v>0.241242291911606</v>
      </c>
      <c r="D200" s="0" t="n">
        <v>1490017</v>
      </c>
      <c r="E200" s="0" t="s">
        <v>4137</v>
      </c>
      <c r="F200" s="225"/>
    </row>
    <row r="201" customFormat="false" ht="14.25" hidden="false" customHeight="false" outlineLevel="0" collapsed="false">
      <c r="A201" s="0" t="n">
        <v>66915635</v>
      </c>
      <c r="B201" s="0" t="s">
        <v>4340</v>
      </c>
      <c r="C201" s="0" t="n">
        <v>0.468588070158601</v>
      </c>
      <c r="D201" s="0" t="n">
        <v>-405001</v>
      </c>
      <c r="E201" s="0" t="s">
        <v>4137</v>
      </c>
      <c r="F201" s="225"/>
    </row>
    <row r="202" customFormat="false" ht="14.25" hidden="false" customHeight="false" outlineLevel="0" collapsed="false">
      <c r="A202" s="0" t="n">
        <v>66918633</v>
      </c>
      <c r="B202" s="0" t="s">
        <v>4341</v>
      </c>
      <c r="C202" s="0" t="n">
        <v>0.295321509671533</v>
      </c>
      <c r="D202" s="0" t="n">
        <v>1144275.62</v>
      </c>
      <c r="E202" s="0" t="s">
        <v>4137</v>
      </c>
      <c r="F202" s="225"/>
    </row>
    <row r="203" customFormat="false" ht="14.25" hidden="false" customHeight="false" outlineLevel="0" collapsed="false">
      <c r="A203" s="0" t="n">
        <v>66922338</v>
      </c>
      <c r="B203" s="0" t="s">
        <v>4342</v>
      </c>
      <c r="C203" s="0" t="n">
        <v>0.473070315362025</v>
      </c>
      <c r="D203" s="0" t="n">
        <v>-245698.333333333</v>
      </c>
      <c r="E203" s="0" t="s">
        <v>4137</v>
      </c>
      <c r="F203" s="225"/>
    </row>
    <row r="204" customFormat="false" ht="14.25" hidden="false" customHeight="false" outlineLevel="0" collapsed="false">
      <c r="A204" s="0" t="n">
        <v>66927392</v>
      </c>
      <c r="B204" s="0" t="s">
        <v>4343</v>
      </c>
      <c r="C204" s="0" t="n">
        <v>0.279921120675547</v>
      </c>
      <c r="D204" s="0" t="n">
        <v>427983</v>
      </c>
      <c r="E204" s="0" t="s">
        <v>4137</v>
      </c>
      <c r="F204" s="225"/>
    </row>
    <row r="205" customFormat="false" ht="14.25" hidden="false" customHeight="false" outlineLevel="0" collapsed="false">
      <c r="A205" s="0" t="n">
        <v>66933857</v>
      </c>
      <c r="B205" s="0" t="s">
        <v>4344</v>
      </c>
      <c r="C205" s="0" t="n">
        <v>0.454029304029304</v>
      </c>
      <c r="D205" s="0" t="n">
        <v>-98474</v>
      </c>
      <c r="E205" s="0" t="s">
        <v>4137</v>
      </c>
      <c r="F205" s="225"/>
    </row>
    <row r="206" customFormat="false" ht="14.25" hidden="false" customHeight="false" outlineLevel="0" collapsed="false">
      <c r="A206" s="0" t="n">
        <v>66948369</v>
      </c>
      <c r="B206" s="0" t="s">
        <v>4345</v>
      </c>
      <c r="C206" s="0" t="n">
        <v>0.291093418085922</v>
      </c>
      <c r="D206" s="0" t="n">
        <v>521755.32</v>
      </c>
      <c r="E206" s="0" t="s">
        <v>4137</v>
      </c>
      <c r="F206" s="225"/>
    </row>
    <row r="207" customFormat="false" ht="14.25" hidden="false" customHeight="false" outlineLevel="0" collapsed="false">
      <c r="A207" s="0" t="n">
        <v>66949976</v>
      </c>
      <c r="B207" s="0" t="s">
        <v>4346</v>
      </c>
      <c r="C207" s="0" t="n">
        <v>0.436976294146105</v>
      </c>
      <c r="D207" s="0" t="n">
        <v>-49126</v>
      </c>
      <c r="E207" s="0" t="s">
        <v>4137</v>
      </c>
      <c r="F207" s="225"/>
    </row>
    <row r="208" customFormat="false" ht="14.25" hidden="false" customHeight="false" outlineLevel="0" collapsed="false">
      <c r="A208" s="0" t="n">
        <v>66951294</v>
      </c>
      <c r="B208" s="0" t="s">
        <v>4347</v>
      </c>
      <c r="C208" s="0" t="n">
        <v>0.154139282535771</v>
      </c>
      <c r="D208" s="0" t="n">
        <v>1553371</v>
      </c>
      <c r="E208" s="0" t="s">
        <v>4147</v>
      </c>
      <c r="F208" s="225"/>
    </row>
    <row r="209" customFormat="false" ht="14.25" hidden="false" customHeight="false" outlineLevel="0" collapsed="false">
      <c r="A209" s="0" t="n">
        <v>66952393</v>
      </c>
      <c r="B209" s="0" t="s">
        <v>4348</v>
      </c>
      <c r="C209" s="0" t="n">
        <v>0.433573658637311</v>
      </c>
      <c r="D209" s="0" t="n">
        <v>-49980.3333333333</v>
      </c>
      <c r="E209" s="0" t="s">
        <v>4137</v>
      </c>
      <c r="F209" s="225"/>
    </row>
    <row r="210" customFormat="false" ht="14.25" hidden="false" customHeight="false" outlineLevel="0" collapsed="false">
      <c r="A210" s="0" t="n">
        <v>66953774</v>
      </c>
      <c r="B210" s="0" t="s">
        <v>4349</v>
      </c>
      <c r="C210" s="0" t="n">
        <v>0.44311837629663</v>
      </c>
      <c r="D210" s="0" t="n">
        <v>-164478</v>
      </c>
      <c r="E210" s="0" t="s">
        <v>4137</v>
      </c>
      <c r="F210" s="225"/>
    </row>
    <row r="211" customFormat="false" ht="14.25" hidden="false" customHeight="false" outlineLevel="0" collapsed="false">
      <c r="A211" s="0" t="n">
        <v>66960048</v>
      </c>
      <c r="B211" s="0" t="s">
        <v>4350</v>
      </c>
      <c r="C211" s="0" t="n">
        <v>0.471116108679459</v>
      </c>
      <c r="D211" s="0" t="n">
        <v>-166666.56</v>
      </c>
      <c r="E211" s="0" t="s">
        <v>4137</v>
      </c>
      <c r="F211" s="225"/>
    </row>
    <row r="212" customFormat="false" ht="14.25" hidden="false" customHeight="false" outlineLevel="0" collapsed="false">
      <c r="A212" s="0" t="n">
        <v>66960289</v>
      </c>
      <c r="B212" s="0" t="s">
        <v>4351</v>
      </c>
      <c r="C212" s="0" t="n">
        <v>0.326630724994865</v>
      </c>
      <c r="D212" s="0" t="n">
        <v>545538</v>
      </c>
      <c r="E212" s="0" t="s">
        <v>4137</v>
      </c>
      <c r="F212" s="225"/>
    </row>
    <row r="213" customFormat="false" ht="14.25" hidden="false" customHeight="false" outlineLevel="0" collapsed="false">
      <c r="A213" s="0" t="n">
        <v>66974150</v>
      </c>
      <c r="B213" s="0" t="s">
        <v>4352</v>
      </c>
      <c r="C213" s="0" t="n">
        <v>0.414040848319586</v>
      </c>
      <c r="D213" s="0" t="n">
        <v>17019.7066666668</v>
      </c>
      <c r="E213" s="0" t="s">
        <v>4137</v>
      </c>
      <c r="F213" s="225"/>
    </row>
    <row r="214" customFormat="false" ht="14.25" hidden="false" customHeight="false" outlineLevel="0" collapsed="false">
      <c r="A214" s="0" t="n">
        <v>66974280</v>
      </c>
      <c r="B214" s="0" t="s">
        <v>4353</v>
      </c>
      <c r="C214" s="0" t="n">
        <v>0.302029261845924</v>
      </c>
      <c r="D214" s="0" t="n">
        <v>275529.9</v>
      </c>
      <c r="E214" s="0" t="s">
        <v>4137</v>
      </c>
      <c r="F214" s="225"/>
    </row>
    <row r="215" customFormat="false" ht="14.25" hidden="false" customHeight="false" outlineLevel="0" collapsed="false">
      <c r="A215" s="0" t="n">
        <v>66977276</v>
      </c>
      <c r="B215" s="0" t="s">
        <v>4354</v>
      </c>
      <c r="C215" s="0" t="n">
        <v>0.136192591192591</v>
      </c>
      <c r="D215" s="0" t="n">
        <v>1501625</v>
      </c>
      <c r="E215" s="0" t="s">
        <v>4137</v>
      </c>
      <c r="F215" s="225"/>
    </row>
    <row r="216" customFormat="false" ht="14.25" hidden="false" customHeight="false" outlineLevel="0" collapsed="false">
      <c r="A216" s="0" t="n">
        <v>66983355</v>
      </c>
      <c r="B216" s="0" t="s">
        <v>4355</v>
      </c>
      <c r="C216" s="0" t="n">
        <v>0.274697190094373</v>
      </c>
      <c r="D216" s="0" t="n">
        <v>819101</v>
      </c>
      <c r="E216" s="0" t="s">
        <v>4137</v>
      </c>
      <c r="F216" s="225"/>
    </row>
    <row r="217" customFormat="false" ht="14.25" hidden="false" customHeight="false" outlineLevel="0" collapsed="false">
      <c r="A217" s="0" t="n">
        <v>66993124</v>
      </c>
      <c r="B217" s="0" t="s">
        <v>4356</v>
      </c>
      <c r="C217" s="0" t="n">
        <v>0.333462936591761</v>
      </c>
      <c r="D217" s="0" t="n">
        <v>247793.66</v>
      </c>
      <c r="E217" s="0" t="s">
        <v>4137</v>
      </c>
      <c r="F217" s="225"/>
    </row>
    <row r="218" customFormat="false" ht="14.25" hidden="false" customHeight="false" outlineLevel="0" collapsed="false">
      <c r="A218" s="0" t="n">
        <v>67000068</v>
      </c>
      <c r="B218" s="0" t="s">
        <v>4357</v>
      </c>
      <c r="C218" s="0" t="n">
        <v>0.201710949045814</v>
      </c>
      <c r="D218" s="0" t="n">
        <v>1358893</v>
      </c>
      <c r="E218" s="0" t="s">
        <v>4137</v>
      </c>
      <c r="F218" s="225"/>
    </row>
    <row r="219" customFormat="false" ht="14.25" hidden="false" customHeight="false" outlineLevel="0" collapsed="false">
      <c r="A219" s="0" t="n">
        <v>67000591</v>
      </c>
      <c r="B219" s="0" t="s">
        <v>4358</v>
      </c>
      <c r="C219" s="0" t="n">
        <v>0.426110995922317</v>
      </c>
      <c r="D219" s="0" t="n">
        <v>-21220.8</v>
      </c>
      <c r="E219" s="0" t="s">
        <v>4326</v>
      </c>
      <c r="F219" s="225"/>
    </row>
    <row r="220" customFormat="false" ht="14.25" hidden="false" customHeight="false" outlineLevel="0" collapsed="false">
      <c r="A220" s="0" t="n">
        <v>67004483</v>
      </c>
      <c r="B220" s="0" t="s">
        <v>4359</v>
      </c>
      <c r="C220" s="0" t="n">
        <v>0.236834510070604</v>
      </c>
      <c r="D220" s="0" t="n">
        <v>1831545</v>
      </c>
      <c r="E220" s="0" t="s">
        <v>4137</v>
      </c>
      <c r="F220" s="225"/>
    </row>
    <row r="221" customFormat="false" ht="14.25" hidden="false" customHeight="false" outlineLevel="0" collapsed="false">
      <c r="A221" s="0" t="n">
        <v>67007157</v>
      </c>
      <c r="B221" s="0" t="s">
        <v>4360</v>
      </c>
      <c r="C221" s="0" t="n">
        <v>0.422359247311682</v>
      </c>
      <c r="D221" s="0" t="n">
        <v>-22628.9399999999</v>
      </c>
      <c r="E221" s="0" t="s">
        <v>4137</v>
      </c>
      <c r="F221" s="225"/>
    </row>
    <row r="222" customFormat="false" ht="14.25" hidden="false" customHeight="false" outlineLevel="0" collapsed="false">
      <c r="A222" s="0" t="n">
        <v>67011371</v>
      </c>
      <c r="B222" s="0" t="s">
        <v>4361</v>
      </c>
      <c r="C222" s="0" t="n">
        <v>0.356150178784267</v>
      </c>
      <c r="D222" s="0" t="n">
        <v>166067</v>
      </c>
      <c r="E222" s="0" t="s">
        <v>4137</v>
      </c>
      <c r="F222" s="225"/>
    </row>
    <row r="223" customFormat="false" ht="14.25" hidden="false" customHeight="false" outlineLevel="0" collapsed="false">
      <c r="A223" s="0" t="n">
        <v>67012661</v>
      </c>
      <c r="B223" s="0" t="s">
        <v>4362</v>
      </c>
      <c r="C223" s="0" t="n">
        <v>0.142329447227271</v>
      </c>
      <c r="D223" s="0" t="n">
        <v>626397</v>
      </c>
      <c r="E223" s="0" t="s">
        <v>4137</v>
      </c>
      <c r="F223" s="225"/>
    </row>
    <row r="224" customFormat="false" ht="14.25" hidden="false" customHeight="false" outlineLevel="0" collapsed="false">
      <c r="A224" s="0" t="n">
        <v>67019745</v>
      </c>
      <c r="B224" s="0" t="s">
        <v>4363</v>
      </c>
      <c r="C224" s="0" t="n">
        <v>0.277059921210865</v>
      </c>
      <c r="D224" s="0" t="n">
        <v>413640</v>
      </c>
      <c r="E224" s="0" t="s">
        <v>4137</v>
      </c>
      <c r="F224" s="225"/>
    </row>
    <row r="225" customFormat="false" ht="14.25" hidden="false" customHeight="false" outlineLevel="0" collapsed="false">
      <c r="A225" s="0" t="n">
        <v>67021850</v>
      </c>
      <c r="B225" s="0" t="s">
        <v>4364</v>
      </c>
      <c r="C225" s="0" t="n">
        <v>0.302984348268208</v>
      </c>
      <c r="D225" s="0" t="n">
        <v>394011.28</v>
      </c>
      <c r="E225" s="0" t="s">
        <v>4137</v>
      </c>
      <c r="F225" s="225"/>
    </row>
    <row r="226" customFormat="false" ht="14.25" hidden="false" customHeight="false" outlineLevel="0" collapsed="false">
      <c r="A226" s="0" t="n">
        <v>67022946</v>
      </c>
      <c r="B226" s="0" t="s">
        <v>4365</v>
      </c>
      <c r="C226" s="0" t="n">
        <v>0.379841772151899</v>
      </c>
      <c r="D226" s="0" t="n">
        <v>249993</v>
      </c>
      <c r="E226" s="0" t="s">
        <v>4137</v>
      </c>
      <c r="F226" s="225"/>
    </row>
    <row r="227" customFormat="false" ht="14.25" hidden="false" customHeight="false" outlineLevel="0" collapsed="false">
      <c r="A227" s="0" t="n">
        <v>67023981</v>
      </c>
      <c r="B227" s="0" t="s">
        <v>4366</v>
      </c>
      <c r="C227" s="0" t="n">
        <v>0.452874580303353</v>
      </c>
      <c r="D227" s="0" t="n">
        <v>-117846.56</v>
      </c>
      <c r="E227" s="0" t="s">
        <v>4137</v>
      </c>
      <c r="F227" s="225"/>
    </row>
    <row r="228" customFormat="false" ht="14.25" hidden="false" customHeight="false" outlineLevel="0" collapsed="false">
      <c r="A228" s="0" t="n">
        <v>67024309</v>
      </c>
      <c r="B228" s="0" t="s">
        <v>4367</v>
      </c>
      <c r="C228" s="0" t="n">
        <v>0.320579901051582</v>
      </c>
      <c r="D228" s="0" t="n">
        <v>438359.72</v>
      </c>
      <c r="E228" s="0" t="s">
        <v>4137</v>
      </c>
      <c r="F228" s="225"/>
    </row>
    <row r="229" customFormat="false" ht="14.25" hidden="false" customHeight="false" outlineLevel="0" collapsed="false">
      <c r="A229" s="0" t="n">
        <v>67027986</v>
      </c>
      <c r="B229" s="0" t="s">
        <v>4368</v>
      </c>
      <c r="C229" s="0" t="n">
        <v>0.249293994637124</v>
      </c>
      <c r="D229" s="0" t="n">
        <v>1387197.4</v>
      </c>
      <c r="E229" s="0" t="s">
        <v>4137</v>
      </c>
      <c r="F229" s="225"/>
    </row>
    <row r="230" customFormat="false" ht="14.25" hidden="false" customHeight="false" outlineLevel="0" collapsed="false">
      <c r="A230" s="0" t="n">
        <v>67028910</v>
      </c>
      <c r="B230" s="0" t="s">
        <v>4369</v>
      </c>
      <c r="C230" s="0" t="n">
        <v>0.112503959971151</v>
      </c>
      <c r="D230" s="0" t="n">
        <v>912400.2</v>
      </c>
      <c r="E230" s="0" t="s">
        <v>4137</v>
      </c>
      <c r="F230" s="225"/>
    </row>
    <row r="231" customFormat="false" ht="14.25" hidden="false" customHeight="false" outlineLevel="0" collapsed="false">
      <c r="A231" s="0" t="n">
        <v>67030192</v>
      </c>
      <c r="B231" s="0" t="s">
        <v>4370</v>
      </c>
      <c r="C231" s="0" t="n">
        <v>0.403450532007892</v>
      </c>
      <c r="D231" s="0" t="n">
        <v>51776.98</v>
      </c>
      <c r="E231" s="0" t="s">
        <v>4137</v>
      </c>
      <c r="F231" s="225"/>
    </row>
    <row r="232" customFormat="false" ht="14.25" hidden="false" customHeight="false" outlineLevel="0" collapsed="false">
      <c r="A232" s="0" t="n">
        <v>67032665</v>
      </c>
      <c r="B232" s="0" t="s">
        <v>4371</v>
      </c>
      <c r="C232" s="0" t="n">
        <v>0.359250387897595</v>
      </c>
      <c r="D232" s="0" t="n">
        <v>313225</v>
      </c>
      <c r="E232" s="0" t="s">
        <v>4137</v>
      </c>
      <c r="F232" s="225"/>
    </row>
    <row r="233" customFormat="false" ht="14.25" hidden="false" customHeight="false" outlineLevel="0" collapsed="false">
      <c r="A233" s="0" t="n">
        <v>67032841</v>
      </c>
      <c r="B233" s="0" t="s">
        <v>4372</v>
      </c>
      <c r="C233" s="0" t="n">
        <v>0.409560093994056</v>
      </c>
      <c r="D233" s="0" t="n">
        <v>30211</v>
      </c>
      <c r="E233" s="0" t="s">
        <v>4137</v>
      </c>
      <c r="F233" s="225"/>
    </row>
    <row r="234" customFormat="false" ht="14.25" hidden="false" customHeight="false" outlineLevel="0" collapsed="false">
      <c r="A234" s="0" t="n">
        <v>67039044</v>
      </c>
      <c r="B234" s="0" t="s">
        <v>4373</v>
      </c>
      <c r="C234" s="0" t="n">
        <v>0.327888421247393</v>
      </c>
      <c r="D234" s="0" t="n">
        <v>370392.08</v>
      </c>
      <c r="E234" s="0" t="s">
        <v>4137</v>
      </c>
      <c r="F234" s="225"/>
    </row>
    <row r="235" customFormat="false" ht="14.25" hidden="false" customHeight="false" outlineLevel="0" collapsed="false">
      <c r="A235" s="0" t="n">
        <v>67040256</v>
      </c>
      <c r="B235" s="0" t="s">
        <v>4374</v>
      </c>
      <c r="C235" s="0" t="n">
        <v>0.278480756520317</v>
      </c>
      <c r="D235" s="0" t="n">
        <v>498892.6</v>
      </c>
      <c r="E235" s="0" t="s">
        <v>4137</v>
      </c>
      <c r="F235" s="225"/>
    </row>
    <row r="236" customFormat="false" ht="14.25" hidden="false" customHeight="false" outlineLevel="0" collapsed="false">
      <c r="A236" s="0" t="n">
        <v>67040484</v>
      </c>
      <c r="B236" s="0" t="s">
        <v>4375</v>
      </c>
      <c r="C236" s="0" t="n">
        <v>0.313290904138085</v>
      </c>
      <c r="D236" s="0" t="n">
        <v>284395.32</v>
      </c>
      <c r="E236" s="0" t="s">
        <v>4137</v>
      </c>
      <c r="F236" s="225"/>
    </row>
    <row r="237" customFormat="false" ht="14.25" hidden="false" customHeight="false" outlineLevel="0" collapsed="false">
      <c r="A237" s="0" t="n">
        <v>67041595</v>
      </c>
      <c r="B237" s="0" t="s">
        <v>4376</v>
      </c>
      <c r="C237" s="0" t="n">
        <v>0.148025444490261</v>
      </c>
      <c r="D237" s="0" t="n">
        <v>2242539</v>
      </c>
      <c r="E237" s="0" t="s">
        <v>4137</v>
      </c>
      <c r="F237" s="225"/>
    </row>
    <row r="238" customFormat="false" ht="14.25" hidden="false" customHeight="false" outlineLevel="0" collapsed="false">
      <c r="A238" s="0" t="n">
        <v>67041835</v>
      </c>
      <c r="B238" s="0" t="s">
        <v>4377</v>
      </c>
      <c r="C238" s="0" t="n">
        <v>0.372034694864884</v>
      </c>
      <c r="D238" s="0" t="n">
        <v>138802</v>
      </c>
      <c r="E238" s="0" t="s">
        <v>4378</v>
      </c>
      <c r="F238" s="225"/>
    </row>
    <row r="239" customFormat="false" ht="14.25" hidden="false" customHeight="false" outlineLevel="0" collapsed="false">
      <c r="A239" s="0" t="n">
        <v>70094763</v>
      </c>
      <c r="B239" s="0" t="s">
        <v>4379</v>
      </c>
      <c r="C239" s="0" t="n">
        <v>0.297880394839957</v>
      </c>
      <c r="D239" s="0" t="n">
        <v>3007525</v>
      </c>
      <c r="E239" s="0" t="s">
        <v>4137</v>
      </c>
      <c r="F239" s="225"/>
    </row>
    <row r="240" customFormat="false" ht="14.25" hidden="false" customHeight="false" outlineLevel="0" collapsed="false">
      <c r="A240" s="0" t="n">
        <v>75063638</v>
      </c>
      <c r="B240" s="0" t="s">
        <v>4380</v>
      </c>
      <c r="C240" s="0" t="n">
        <v>0.19618769753167</v>
      </c>
      <c r="D240" s="0" t="n">
        <v>1428109</v>
      </c>
      <c r="E240" s="0" t="s">
        <v>4137</v>
      </c>
      <c r="F240" s="225"/>
    </row>
    <row r="241" customFormat="false" ht="14.25" hidden="false" customHeight="false" outlineLevel="0" collapsed="false">
      <c r="A241" s="0" t="n">
        <v>77167995</v>
      </c>
      <c r="B241" s="0" t="s">
        <v>4381</v>
      </c>
      <c r="C241" s="0" t="n">
        <v>0.118603654981877</v>
      </c>
      <c r="D241" s="0" t="n">
        <v>1189099</v>
      </c>
      <c r="E241" s="0" t="s">
        <v>4137</v>
      </c>
      <c r="F241" s="225"/>
    </row>
    <row r="242" customFormat="false" ht="14.25" hidden="false" customHeight="false" outlineLevel="0" collapsed="false">
      <c r="A242" s="0" t="n">
        <v>79486359</v>
      </c>
      <c r="B242" s="0" t="s">
        <v>4382</v>
      </c>
      <c r="C242" s="0" t="n">
        <v>0.287595063247337</v>
      </c>
      <c r="D242" s="0" t="n">
        <v>344372</v>
      </c>
      <c r="E242" s="0" t="s">
        <v>4137</v>
      </c>
      <c r="F242" s="225"/>
    </row>
    <row r="243" customFormat="false" ht="14.25" hidden="false" customHeight="false" outlineLevel="0" collapsed="false">
      <c r="A243" s="0" t="n">
        <v>91493134</v>
      </c>
      <c r="B243" s="0" t="s">
        <v>4383</v>
      </c>
      <c r="C243" s="0" t="n">
        <v>0.433606186777518</v>
      </c>
      <c r="D243" s="0" t="n">
        <v>-60487.8000000001</v>
      </c>
      <c r="E243" s="0" t="s">
        <v>4137</v>
      </c>
      <c r="F243" s="225"/>
    </row>
    <row r="244" customFormat="false" ht="14.25" hidden="false" customHeight="false" outlineLevel="0" collapsed="false">
      <c r="A244" s="0" t="n">
        <v>94041607</v>
      </c>
      <c r="B244" s="0" t="s">
        <v>4384</v>
      </c>
      <c r="C244" s="0" t="n">
        <v>0.422552565242236</v>
      </c>
      <c r="D244" s="0" t="n">
        <v>-10836.8800000001</v>
      </c>
      <c r="E244" s="0" t="s">
        <v>4137</v>
      </c>
      <c r="F244" s="225"/>
    </row>
    <row r="245" customFormat="false" ht="14.25" hidden="false" customHeight="false" outlineLevel="0" collapsed="false">
      <c r="A245" s="0" t="n">
        <v>94064042</v>
      </c>
      <c r="B245" s="0" t="s">
        <v>4385</v>
      </c>
      <c r="C245" s="0" t="n">
        <v>0.426086825117179</v>
      </c>
      <c r="D245" s="0" t="n">
        <v>-21348.0600000001</v>
      </c>
      <c r="E245" s="0" t="s">
        <v>4137</v>
      </c>
      <c r="F245" s="225"/>
    </row>
    <row r="246" customFormat="false" ht="14.25" hidden="false" customHeight="false" outlineLevel="0" collapsed="false">
      <c r="A246" s="0" t="n">
        <v>94071305</v>
      </c>
      <c r="B246" s="0" t="s">
        <v>4386</v>
      </c>
      <c r="C246" s="0" t="n">
        <v>0.379626485568761</v>
      </c>
      <c r="D246" s="0" t="n">
        <v>313658.2</v>
      </c>
      <c r="E246" s="0" t="s">
        <v>4137</v>
      </c>
      <c r="F246" s="225"/>
    </row>
    <row r="247" customFormat="false" ht="14.25" hidden="false" customHeight="false" outlineLevel="0" collapsed="false">
      <c r="A247" s="0" t="n">
        <v>94074218</v>
      </c>
      <c r="B247" s="0" t="s">
        <v>4387</v>
      </c>
      <c r="C247" s="0" t="n">
        <v>0.492014164295873</v>
      </c>
      <c r="D247" s="0" t="n">
        <v>-188969.68</v>
      </c>
      <c r="E247" s="0" t="s">
        <v>4137</v>
      </c>
      <c r="F247" s="225"/>
    </row>
    <row r="248" customFormat="false" ht="14.25" hidden="false" customHeight="false" outlineLevel="0" collapsed="false">
      <c r="A248" s="0" t="n">
        <v>94268470</v>
      </c>
      <c r="B248" s="0" t="s">
        <v>4388</v>
      </c>
      <c r="C248" s="0" t="n">
        <v>0.161545739197052</v>
      </c>
      <c r="D248" s="0" t="n">
        <v>739497.86</v>
      </c>
      <c r="E248" s="0" t="s">
        <v>4137</v>
      </c>
      <c r="F248" s="225"/>
    </row>
    <row r="249" customFormat="false" ht="14.25" hidden="false" customHeight="false" outlineLevel="0" collapsed="false">
      <c r="A249" s="0" t="n">
        <v>94282910</v>
      </c>
      <c r="B249" s="0" t="s">
        <v>4389</v>
      </c>
      <c r="C249" s="0" t="n">
        <v>0.257058363091397</v>
      </c>
      <c r="D249" s="0" t="n">
        <v>635117.66</v>
      </c>
      <c r="E249" s="0" t="s">
        <v>4137</v>
      </c>
      <c r="F249" s="225"/>
    </row>
    <row r="250" customFormat="false" ht="14.25" hidden="false" customHeight="false" outlineLevel="0" collapsed="false">
      <c r="A250" s="0" t="n">
        <v>94322572</v>
      </c>
      <c r="B250" s="0" t="s">
        <v>4390</v>
      </c>
      <c r="C250" s="0" t="n">
        <v>0.223621243621244</v>
      </c>
      <c r="D250" s="0" t="n">
        <v>1039040</v>
      </c>
      <c r="E250" s="0" t="s">
        <v>4137</v>
      </c>
      <c r="F250" s="225"/>
    </row>
    <row r="251" customFormat="false" ht="14.25" hidden="false" customHeight="false" outlineLevel="0" collapsed="false">
      <c r="A251" s="0" t="n">
        <v>94326822</v>
      </c>
      <c r="B251" s="0" t="s">
        <v>4391</v>
      </c>
      <c r="C251" s="0" t="n">
        <v>0.330653342394662</v>
      </c>
      <c r="D251" s="0" t="n">
        <v>578466</v>
      </c>
      <c r="E251" s="0" t="s">
        <v>4137</v>
      </c>
      <c r="F251" s="225"/>
    </row>
    <row r="252" customFormat="false" ht="14.25" hidden="false" customHeight="false" outlineLevel="0" collapsed="false">
      <c r="A252" s="0" t="n">
        <v>94378217</v>
      </c>
      <c r="B252" s="0" t="s">
        <v>4392</v>
      </c>
      <c r="C252" s="0" t="n">
        <v>0.344253928058048</v>
      </c>
      <c r="D252" s="0" t="n">
        <v>282124.88</v>
      </c>
      <c r="E252" s="0" t="s">
        <v>4137</v>
      </c>
      <c r="F252" s="225"/>
    </row>
    <row r="253" customFormat="false" ht="14.25" hidden="false" customHeight="false" outlineLevel="0" collapsed="false">
      <c r="A253" s="0" t="n">
        <v>94405422</v>
      </c>
      <c r="B253" s="0" t="s">
        <v>4393</v>
      </c>
      <c r="C253" s="0" t="n">
        <v>0.508261967599695</v>
      </c>
      <c r="D253" s="0" t="n">
        <v>-237522.34</v>
      </c>
      <c r="E253" s="0" t="s">
        <v>4137</v>
      </c>
      <c r="F253" s="225"/>
    </row>
    <row r="254" customFormat="false" ht="14.25" hidden="false" customHeight="false" outlineLevel="0" collapsed="false">
      <c r="A254" s="0" t="n">
        <v>94412295</v>
      </c>
      <c r="B254" s="0" t="s">
        <v>4394</v>
      </c>
      <c r="C254" s="0" t="n">
        <v>0.158499989947719</v>
      </c>
      <c r="D254" s="0" t="n">
        <v>897482.94</v>
      </c>
      <c r="E254" s="0" t="s">
        <v>4137</v>
      </c>
      <c r="F254" s="225"/>
    </row>
    <row r="255" customFormat="false" ht="14.25" hidden="false" customHeight="false" outlineLevel="0" collapsed="false">
      <c r="A255" s="0" t="n">
        <v>94412423</v>
      </c>
      <c r="B255" s="0" t="s">
        <v>4395</v>
      </c>
      <c r="C255" s="0" t="n">
        <v>0.473243345616215</v>
      </c>
      <c r="D255" s="0" t="n">
        <v>-192761.96</v>
      </c>
      <c r="E255" s="0" t="s">
        <v>4137</v>
      </c>
      <c r="F255" s="225"/>
    </row>
    <row r="256" customFormat="false" ht="14.25" hidden="false" customHeight="false" outlineLevel="0" collapsed="false">
      <c r="A256" s="0" t="n">
        <v>94413398</v>
      </c>
      <c r="B256" s="0" t="s">
        <v>4396</v>
      </c>
      <c r="C256" s="0" t="n">
        <v>0.338748127441421</v>
      </c>
      <c r="D256" s="0" t="n">
        <v>240493.68</v>
      </c>
      <c r="E256" s="0" t="s">
        <v>4137</v>
      </c>
      <c r="F256" s="225"/>
    </row>
    <row r="257" customFormat="false" ht="14.25" hidden="false" customHeight="false" outlineLevel="0" collapsed="false">
      <c r="A257" s="0" t="n">
        <v>94426762</v>
      </c>
      <c r="B257" s="0" t="s">
        <v>4397</v>
      </c>
      <c r="C257" s="0" t="n">
        <v>0.367710467627529</v>
      </c>
      <c r="D257" s="0" t="n">
        <v>166189.52</v>
      </c>
      <c r="E257" s="0" t="s">
        <v>4137</v>
      </c>
      <c r="F257" s="225"/>
    </row>
    <row r="258" customFormat="false" ht="14.25" hidden="false" customHeight="false" outlineLevel="0" collapsed="false">
      <c r="A258" s="0" t="n">
        <v>94433993</v>
      </c>
      <c r="B258" s="0" t="s">
        <v>4398</v>
      </c>
      <c r="C258" s="0" t="n">
        <v>0.213492418036382</v>
      </c>
      <c r="D258" s="0" t="n">
        <v>859358.38</v>
      </c>
      <c r="E258" s="0" t="s">
        <v>4137</v>
      </c>
      <c r="F258" s="225"/>
    </row>
    <row r="259" customFormat="false" ht="14.25" hidden="false" customHeight="false" outlineLevel="0" collapsed="false">
      <c r="A259" s="0" t="n">
        <v>94457631</v>
      </c>
      <c r="B259" s="0" t="s">
        <v>4399</v>
      </c>
      <c r="C259" s="0" t="n">
        <v>0.32166493883475</v>
      </c>
      <c r="D259" s="0" t="n">
        <v>284562</v>
      </c>
      <c r="E259" s="0" t="s">
        <v>4137</v>
      </c>
      <c r="F259" s="225"/>
    </row>
    <row r="260" customFormat="false" ht="14.25" hidden="false" customHeight="false" outlineLevel="0" collapsed="false">
      <c r="A260" s="0" t="n">
        <v>94459046</v>
      </c>
      <c r="B260" s="0" t="s">
        <v>4400</v>
      </c>
      <c r="C260" s="0" t="n">
        <v>0.327571145441913</v>
      </c>
      <c r="D260" s="0" t="n">
        <v>387781.1</v>
      </c>
      <c r="E260" s="0" t="s">
        <v>4137</v>
      </c>
      <c r="F260" s="225"/>
    </row>
    <row r="261" customFormat="false" ht="14.25" hidden="false" customHeight="false" outlineLevel="0" collapsed="false">
      <c r="A261" s="0" t="n">
        <v>94460501</v>
      </c>
      <c r="B261" s="0" t="s">
        <v>4401</v>
      </c>
      <c r="C261" s="0" t="n">
        <v>0.443682600303889</v>
      </c>
      <c r="D261" s="0" t="n">
        <v>-115339</v>
      </c>
      <c r="E261" s="0" t="s">
        <v>4137</v>
      </c>
      <c r="F261" s="225"/>
    </row>
    <row r="262" customFormat="false" ht="14.25" hidden="false" customHeight="false" outlineLevel="0" collapsed="false">
      <c r="A262" s="0" t="n">
        <v>94489748</v>
      </c>
      <c r="B262" s="0" t="s">
        <v>4402</v>
      </c>
      <c r="C262" s="0" t="n">
        <v>0.311301819470371</v>
      </c>
      <c r="D262" s="0" t="n">
        <v>422090.76</v>
      </c>
      <c r="E262" s="0" t="s">
        <v>4147</v>
      </c>
      <c r="F262" s="225"/>
    </row>
    <row r="263" customFormat="false" ht="14.25" hidden="false" customHeight="false" outlineLevel="0" collapsed="false">
      <c r="A263" s="0" t="n">
        <v>94491699</v>
      </c>
      <c r="B263" s="0" t="s">
        <v>4403</v>
      </c>
      <c r="C263" s="0" t="n">
        <v>0.234773766264213</v>
      </c>
      <c r="D263" s="0" t="n">
        <v>1896198</v>
      </c>
      <c r="E263" s="0" t="s">
        <v>4137</v>
      </c>
      <c r="F263" s="225"/>
    </row>
    <row r="264" customFormat="false" ht="14.25" hidden="false" customHeight="false" outlineLevel="0" collapsed="false">
      <c r="A264" s="0" t="n">
        <v>94492338</v>
      </c>
      <c r="B264" s="0" t="s">
        <v>4404</v>
      </c>
      <c r="C264" s="0" t="n">
        <v>0.298933692806627</v>
      </c>
      <c r="D264" s="0" t="n">
        <v>1239380</v>
      </c>
      <c r="E264" s="0" t="s">
        <v>4137</v>
      </c>
      <c r="F264" s="225"/>
    </row>
    <row r="265" customFormat="false" ht="14.25" hidden="false" customHeight="false" outlineLevel="0" collapsed="false">
      <c r="A265" s="0" t="n">
        <v>94494552</v>
      </c>
      <c r="B265" s="0" t="s">
        <v>4405</v>
      </c>
      <c r="C265" s="0" t="n">
        <v>0.49270778906628</v>
      </c>
      <c r="D265" s="0" t="n">
        <v>-300574</v>
      </c>
      <c r="E265" s="0" t="s">
        <v>4137</v>
      </c>
      <c r="F265" s="225"/>
    </row>
    <row r="266" customFormat="false" ht="14.25" hidden="false" customHeight="false" outlineLevel="0" collapsed="false">
      <c r="A266" s="0" t="n">
        <v>94501835</v>
      </c>
      <c r="B266" s="0" t="s">
        <v>4406</v>
      </c>
      <c r="C266" s="0" t="n">
        <v>0.400305493964031</v>
      </c>
      <c r="D266" s="0" t="n">
        <v>55958</v>
      </c>
      <c r="E266" s="0" t="s">
        <v>4137</v>
      </c>
      <c r="F266" s="225"/>
    </row>
    <row r="267" customFormat="false" ht="14.25" hidden="false" customHeight="false" outlineLevel="0" collapsed="false">
      <c r="A267" s="0" t="n">
        <v>94512277</v>
      </c>
      <c r="B267" s="0" t="s">
        <v>4407</v>
      </c>
      <c r="C267" s="0" t="n">
        <v>0.352338809074302</v>
      </c>
      <c r="D267" s="0" t="n">
        <v>391467.42</v>
      </c>
      <c r="E267" s="0" t="s">
        <v>4137</v>
      </c>
      <c r="F267" s="225"/>
    </row>
    <row r="268" customFormat="false" ht="14.25" hidden="false" customHeight="false" outlineLevel="0" collapsed="false">
      <c r="A268" s="0" t="n">
        <v>94516656</v>
      </c>
      <c r="B268" s="0" t="s">
        <v>4408</v>
      </c>
      <c r="C268" s="0" t="n">
        <v>0.365401954937563</v>
      </c>
      <c r="D268" s="0" t="n">
        <v>299737.48</v>
      </c>
      <c r="E268" s="0" t="s">
        <v>4137</v>
      </c>
      <c r="F268" s="225"/>
    </row>
    <row r="269" customFormat="false" ht="14.25" hidden="false" customHeight="false" outlineLevel="0" collapsed="false">
      <c r="A269" s="0" t="n">
        <v>94521503</v>
      </c>
      <c r="B269" s="0" t="s">
        <v>4409</v>
      </c>
      <c r="C269" s="0" t="n">
        <v>0.242137362394009</v>
      </c>
      <c r="D269" s="0" t="n">
        <v>448434.1</v>
      </c>
      <c r="E269" s="0" t="s">
        <v>4137</v>
      </c>
      <c r="F269" s="225"/>
    </row>
    <row r="270" customFormat="false" ht="14.25" hidden="false" customHeight="false" outlineLevel="0" collapsed="false">
      <c r="A270" s="0" t="n">
        <v>94522827</v>
      </c>
      <c r="B270" s="0" t="s">
        <v>4410</v>
      </c>
      <c r="C270" s="0" t="n">
        <v>0.125002499134915</v>
      </c>
      <c r="D270" s="0" t="n">
        <v>767259</v>
      </c>
      <c r="E270" s="0" t="s">
        <v>4137</v>
      </c>
      <c r="F270" s="225"/>
    </row>
    <row r="271" customFormat="false" ht="14.25" hidden="false" customHeight="false" outlineLevel="0" collapsed="false">
      <c r="A271" s="0" t="n">
        <v>94527022</v>
      </c>
      <c r="B271" s="0" t="s">
        <v>4411</v>
      </c>
      <c r="C271" s="0" t="n">
        <v>0.40564809094279</v>
      </c>
      <c r="D271" s="0" t="n">
        <v>92920</v>
      </c>
      <c r="E271" s="0" t="s">
        <v>4137</v>
      </c>
      <c r="F271" s="225"/>
    </row>
    <row r="272" customFormat="false" ht="14.25" hidden="false" customHeight="false" outlineLevel="0" collapsed="false">
      <c r="A272" s="0" t="n">
        <v>94533696</v>
      </c>
      <c r="B272" s="0" t="s">
        <v>4412</v>
      </c>
      <c r="C272" s="0" t="n">
        <v>0.458139820510732</v>
      </c>
      <c r="D272" s="0" t="n">
        <v>-212095.58</v>
      </c>
      <c r="E272" s="0" t="s">
        <v>4137</v>
      </c>
      <c r="F272" s="225"/>
    </row>
    <row r="273" customFormat="false" ht="14.25" hidden="false" customHeight="false" outlineLevel="0" collapsed="false">
      <c r="A273" s="0" t="n">
        <v>1062283228</v>
      </c>
      <c r="B273" s="0" t="s">
        <v>4413</v>
      </c>
      <c r="C273" s="0" t="n">
        <v>0.368157535554656</v>
      </c>
      <c r="D273" s="0" t="n">
        <v>295886.2</v>
      </c>
      <c r="E273" s="0" t="s">
        <v>4137</v>
      </c>
      <c r="F273" s="225"/>
    </row>
    <row r="274" customFormat="false" ht="14.25" hidden="false" customHeight="false" outlineLevel="0" collapsed="false">
      <c r="A274" s="0" t="n">
        <v>1085259520</v>
      </c>
      <c r="B274" s="0" t="s">
        <v>4414</v>
      </c>
      <c r="C274" s="0" t="n">
        <v>0.403237598680335</v>
      </c>
      <c r="D274" s="0" t="n">
        <v>56905</v>
      </c>
      <c r="E274" s="0" t="s">
        <v>4137</v>
      </c>
      <c r="F274" s="225"/>
    </row>
    <row r="275" customFormat="false" ht="14.25" hidden="false" customHeight="false" outlineLevel="0" collapsed="false">
      <c r="A275" s="0" t="n">
        <v>1086133211</v>
      </c>
      <c r="B275" s="0" t="s">
        <v>4415</v>
      </c>
      <c r="C275" s="0" t="n">
        <v>0.392469889158968</v>
      </c>
      <c r="D275" s="0" t="n">
        <v>107226.68</v>
      </c>
      <c r="E275" s="0" t="s">
        <v>4137</v>
      </c>
      <c r="F275" s="225"/>
    </row>
    <row r="276" customFormat="false" ht="14.25" hidden="false" customHeight="false" outlineLevel="0" collapsed="false">
      <c r="A276" s="0" t="n">
        <v>1107060490</v>
      </c>
      <c r="B276" s="0" t="s">
        <v>4416</v>
      </c>
      <c r="C276" s="0" t="n">
        <v>0.158129448192994</v>
      </c>
      <c r="D276" s="0" t="n">
        <v>1133271</v>
      </c>
      <c r="E276" s="0" t="s">
        <v>4137</v>
      </c>
      <c r="F276" s="225"/>
    </row>
    <row r="277" customFormat="false" ht="14.25" hidden="false" customHeight="false" outlineLevel="0" collapsed="false">
      <c r="A277" s="0" t="n">
        <v>1112218922</v>
      </c>
      <c r="B277" s="0" t="s">
        <v>4417</v>
      </c>
      <c r="C277" s="0" t="n">
        <v>0.374970626857419</v>
      </c>
      <c r="D277" s="0" t="n">
        <v>130306</v>
      </c>
      <c r="E277" s="0" t="s">
        <v>4137</v>
      </c>
      <c r="F277" s="225"/>
    </row>
    <row r="278" customFormat="false" ht="14.25" hidden="false" customHeight="false" outlineLevel="0" collapsed="false">
      <c r="A278" s="0" t="n">
        <v>1113624281</v>
      </c>
      <c r="B278" s="0" t="s">
        <v>4418</v>
      </c>
      <c r="C278" s="0" t="n">
        <v>0.439348138348138</v>
      </c>
      <c r="D278" s="0" t="n">
        <v>-102371</v>
      </c>
      <c r="E278" s="0" t="s">
        <v>4137</v>
      </c>
      <c r="F278" s="225"/>
    </row>
    <row r="279" customFormat="false" ht="14.25" hidden="false" customHeight="false" outlineLevel="0" collapsed="false">
      <c r="A279" s="0" t="n">
        <v>1113626506</v>
      </c>
      <c r="B279" s="0" t="s">
        <v>4419</v>
      </c>
      <c r="C279" s="0" t="n">
        <v>0.351751722576771</v>
      </c>
      <c r="D279" s="0" t="n">
        <v>377468.46</v>
      </c>
      <c r="E279" s="0" t="s">
        <v>4137</v>
      </c>
      <c r="F279" s="225"/>
    </row>
    <row r="280" customFormat="false" ht="14.25" hidden="false" customHeight="false" outlineLevel="0" collapsed="false">
      <c r="A280" s="0" t="n">
        <v>1116130515</v>
      </c>
      <c r="B280" s="0" t="s">
        <v>4420</v>
      </c>
      <c r="C280" s="0" t="n">
        <v>0.459112786295491</v>
      </c>
      <c r="D280" s="0" t="n">
        <v>-163822.38</v>
      </c>
      <c r="E280" s="0" t="s">
        <v>4147</v>
      </c>
      <c r="F280" s="225"/>
    </row>
    <row r="281" customFormat="false" ht="14.25" hidden="false" customHeight="false" outlineLevel="0" collapsed="false">
      <c r="A281" s="0" t="n">
        <v>1116234251</v>
      </c>
      <c r="B281" s="0" t="s">
        <v>4421</v>
      </c>
      <c r="C281" s="0" t="n">
        <v>0.409538671199677</v>
      </c>
      <c r="D281" s="0" t="n">
        <v>27466.02</v>
      </c>
      <c r="E281" s="0" t="s">
        <v>4137</v>
      </c>
      <c r="F281" s="225"/>
    </row>
    <row r="282" customFormat="false" ht="14.25" hidden="false" customHeight="false" outlineLevel="0" collapsed="false">
      <c r="A282" s="0" t="n">
        <v>1118257489</v>
      </c>
      <c r="B282" s="0" t="s">
        <v>4422</v>
      </c>
      <c r="C282" s="0" t="n">
        <v>0.452113162352284</v>
      </c>
      <c r="D282" s="0" t="n">
        <v>-114679.86</v>
      </c>
      <c r="E282" s="0" t="s">
        <v>4137</v>
      </c>
      <c r="F282" s="225"/>
    </row>
    <row r="283" customFormat="false" ht="14.25" hidden="false" customHeight="false" outlineLevel="0" collapsed="false">
      <c r="A283" s="0" t="n">
        <v>1130587720</v>
      </c>
      <c r="B283" s="0" t="s">
        <v>4423</v>
      </c>
      <c r="C283" s="0" t="n">
        <v>0.378447781294415</v>
      </c>
      <c r="D283" s="0" t="n">
        <v>165378.8</v>
      </c>
      <c r="E283" s="0" t="s">
        <v>4137</v>
      </c>
      <c r="F283" s="225"/>
    </row>
    <row r="284" customFormat="false" ht="14.25" hidden="false" customHeight="false" outlineLevel="0" collapsed="false">
      <c r="A284" s="0" t="n">
        <v>1130590645</v>
      </c>
      <c r="B284" s="0" t="s">
        <v>4424</v>
      </c>
      <c r="C284" s="0" t="n">
        <v>0.493922698922699</v>
      </c>
      <c r="D284" s="0" t="n">
        <v>-391125</v>
      </c>
      <c r="E284" s="0" t="s">
        <v>4137</v>
      </c>
      <c r="F284" s="225"/>
    </row>
    <row r="285" customFormat="false" ht="14.25" hidden="false" customHeight="false" outlineLevel="0" collapsed="false">
      <c r="A285" s="0" t="n">
        <v>1130593382</v>
      </c>
      <c r="B285" s="0" t="s">
        <v>4425</v>
      </c>
      <c r="C285" s="0" t="n">
        <v>0.400331425654253</v>
      </c>
      <c r="D285" s="0" t="n">
        <v>146405</v>
      </c>
      <c r="E285" s="0" t="s">
        <v>4137</v>
      </c>
      <c r="F285" s="225"/>
    </row>
    <row r="286" customFormat="false" ht="14.25" hidden="false" customHeight="false" outlineLevel="0" collapsed="false">
      <c r="A286" s="0" t="n">
        <v>1130594358</v>
      </c>
      <c r="B286" s="0" t="s">
        <v>4426</v>
      </c>
      <c r="C286" s="0" t="n">
        <v>0.347010496872379</v>
      </c>
      <c r="D286" s="0" t="n">
        <v>217645.38</v>
      </c>
      <c r="E286" s="0" t="s">
        <v>4137</v>
      </c>
      <c r="F286" s="225"/>
    </row>
    <row r="287" customFormat="false" ht="14.25" hidden="false" customHeight="false" outlineLevel="0" collapsed="false">
      <c r="A287" s="0" t="n">
        <v>1130598128</v>
      </c>
      <c r="B287" s="0" t="s">
        <v>4427</v>
      </c>
      <c r="C287" s="0" t="n">
        <v>0.307495828752506</v>
      </c>
      <c r="D287" s="0" t="n">
        <v>869826</v>
      </c>
      <c r="E287" s="0" t="s">
        <v>4137</v>
      </c>
      <c r="F287" s="225"/>
    </row>
    <row r="288" customFormat="false" ht="14.25" hidden="false" customHeight="false" outlineLevel="0" collapsed="false">
      <c r="A288" s="0" t="n">
        <v>1130599537</v>
      </c>
      <c r="B288" s="0" t="s">
        <v>4428</v>
      </c>
      <c r="C288" s="0" t="n">
        <v>0.380417852069434</v>
      </c>
      <c r="D288" s="0" t="n">
        <v>154226.1</v>
      </c>
      <c r="E288" s="0" t="s">
        <v>4137</v>
      </c>
      <c r="F288" s="225"/>
    </row>
    <row r="289" customFormat="false" ht="14.25" hidden="false" customHeight="false" outlineLevel="0" collapsed="false">
      <c r="A289" s="0" t="n">
        <v>1130605624</v>
      </c>
      <c r="B289" s="0" t="s">
        <v>4429</v>
      </c>
      <c r="C289" s="0" t="n">
        <v>0.405011577077952</v>
      </c>
      <c r="D289" s="0" t="n">
        <v>52899.96</v>
      </c>
      <c r="E289" s="0" t="s">
        <v>4137</v>
      </c>
      <c r="F289" s="225"/>
    </row>
    <row r="290" customFormat="false" ht="14.25" hidden="false" customHeight="false" outlineLevel="0" collapsed="false">
      <c r="A290" s="0" t="n">
        <v>1130608437</v>
      </c>
      <c r="B290" s="0" t="s">
        <v>4430</v>
      </c>
      <c r="C290" s="0" t="n">
        <v>0.415509019282604</v>
      </c>
      <c r="D290" s="0" t="n">
        <v>12996</v>
      </c>
      <c r="E290" s="0" t="s">
        <v>4137</v>
      </c>
      <c r="F290" s="225"/>
    </row>
    <row r="291" customFormat="false" ht="14.25" hidden="false" customHeight="false" outlineLevel="0" collapsed="false">
      <c r="A291" s="0" t="n">
        <v>1130611151</v>
      </c>
      <c r="B291" s="0" t="s">
        <v>4431</v>
      </c>
      <c r="C291" s="0" t="n">
        <v>0.320258615516931</v>
      </c>
      <c r="D291" s="0" t="n">
        <v>997354</v>
      </c>
      <c r="E291" s="0" t="s">
        <v>4137</v>
      </c>
      <c r="F291" s="225"/>
    </row>
    <row r="292" customFormat="false" ht="14.25" hidden="false" customHeight="false" outlineLevel="0" collapsed="false">
      <c r="A292" s="0" t="n">
        <v>1130611756</v>
      </c>
      <c r="B292" s="0" t="s">
        <v>4432</v>
      </c>
      <c r="C292" s="0" t="n">
        <v>0.34774077213859</v>
      </c>
      <c r="D292" s="0" t="n">
        <v>303927.78</v>
      </c>
      <c r="E292" s="0" t="s">
        <v>4137</v>
      </c>
      <c r="F292" s="225"/>
    </row>
    <row r="293" customFormat="false" ht="14.25" hidden="false" customHeight="false" outlineLevel="0" collapsed="false">
      <c r="A293" s="0" t="n">
        <v>1130618816</v>
      </c>
      <c r="B293" s="0" t="s">
        <v>4433</v>
      </c>
      <c r="C293" s="0" t="n">
        <v>0.353371627194533</v>
      </c>
      <c r="D293" s="0" t="n">
        <v>226190</v>
      </c>
      <c r="E293" s="0" t="s">
        <v>4137</v>
      </c>
      <c r="F293" s="225"/>
    </row>
    <row r="294" customFormat="false" ht="14.25" hidden="false" customHeight="false" outlineLevel="0" collapsed="false">
      <c r="A294" s="0" t="n">
        <v>1130620889</v>
      </c>
      <c r="B294" s="0" t="s">
        <v>4434</v>
      </c>
      <c r="C294" s="0" t="n">
        <v>0.451190555121188</v>
      </c>
      <c r="D294" s="0" t="n">
        <v>-142474</v>
      </c>
      <c r="E294" s="0" t="s">
        <v>4147</v>
      </c>
      <c r="F294" s="225"/>
    </row>
    <row r="295" customFormat="false" ht="14.25" hidden="false" customHeight="false" outlineLevel="0" collapsed="false">
      <c r="A295" s="0" t="n">
        <v>1130624012</v>
      </c>
      <c r="B295" s="0" t="s">
        <v>4435</v>
      </c>
      <c r="C295" s="0" t="n">
        <v>0.376686896137069</v>
      </c>
      <c r="D295" s="0" t="n">
        <v>333681.64</v>
      </c>
      <c r="E295" s="0" t="s">
        <v>4137</v>
      </c>
      <c r="F295" s="225"/>
    </row>
    <row r="296" customFormat="false" ht="14.25" hidden="false" customHeight="false" outlineLevel="0" collapsed="false">
      <c r="A296" s="0" t="n">
        <v>1130624827</v>
      </c>
      <c r="B296" s="0" t="s">
        <v>4436</v>
      </c>
      <c r="C296" s="0" t="n">
        <v>0.168940097715387</v>
      </c>
      <c r="D296" s="0" t="n">
        <v>1459361</v>
      </c>
      <c r="E296" s="0" t="s">
        <v>4137</v>
      </c>
      <c r="F296" s="225"/>
    </row>
    <row r="297" customFormat="false" ht="14.25" hidden="false" customHeight="false" outlineLevel="0" collapsed="false">
      <c r="A297" s="0" t="n">
        <v>1130629547</v>
      </c>
      <c r="B297" s="0" t="s">
        <v>4437</v>
      </c>
      <c r="C297" s="0" t="n">
        <v>0.338737234342461</v>
      </c>
      <c r="D297" s="0" t="n">
        <v>714871.8</v>
      </c>
      <c r="E297" s="0" t="s">
        <v>4137</v>
      </c>
      <c r="F297" s="225"/>
    </row>
    <row r="298" customFormat="false" ht="14.25" hidden="false" customHeight="false" outlineLevel="0" collapsed="false">
      <c r="A298" s="0" t="n">
        <v>1130632963</v>
      </c>
      <c r="B298" s="0" t="s">
        <v>4438</v>
      </c>
      <c r="C298" s="0" t="n">
        <v>0.361383266733358</v>
      </c>
      <c r="D298" s="0" t="n">
        <v>192856.36</v>
      </c>
      <c r="E298" s="0" t="s">
        <v>4137</v>
      </c>
      <c r="F298" s="225"/>
    </row>
    <row r="299" customFormat="false" ht="14.25" hidden="false" customHeight="false" outlineLevel="0" collapsed="false">
      <c r="A299" s="0" t="n">
        <v>1130635381</v>
      </c>
      <c r="B299" s="0" t="s">
        <v>4439</v>
      </c>
      <c r="C299" s="0" t="n">
        <v>0.313159311290053</v>
      </c>
      <c r="D299" s="0" t="n">
        <v>836202.86</v>
      </c>
      <c r="E299" s="0" t="s">
        <v>4147</v>
      </c>
      <c r="F299" s="225"/>
    </row>
    <row r="300" customFormat="false" ht="14.25" hidden="false" customHeight="false" outlineLevel="0" collapsed="false">
      <c r="A300" s="0" t="n">
        <v>1130635690</v>
      </c>
      <c r="B300" s="0" t="s">
        <v>4440</v>
      </c>
      <c r="C300" s="0" t="n">
        <v>0.319625973890243</v>
      </c>
      <c r="D300" s="0" t="n">
        <v>737584.88</v>
      </c>
      <c r="E300" s="0" t="s">
        <v>4137</v>
      </c>
      <c r="F300" s="225"/>
    </row>
    <row r="301" customFormat="false" ht="14.25" hidden="false" customHeight="false" outlineLevel="0" collapsed="false">
      <c r="A301" s="0" t="n">
        <v>1130638245</v>
      </c>
      <c r="B301" s="0" t="s">
        <v>4441</v>
      </c>
      <c r="C301" s="0" t="n">
        <v>0.278812280676345</v>
      </c>
      <c r="D301" s="0" t="n">
        <v>662892.72</v>
      </c>
      <c r="E301" s="0" t="s">
        <v>4137</v>
      </c>
      <c r="F301" s="225"/>
    </row>
    <row r="302" customFormat="false" ht="14.25" hidden="false" customHeight="false" outlineLevel="0" collapsed="false">
      <c r="A302" s="0" t="n">
        <v>1130639453</v>
      </c>
      <c r="B302" s="0" t="s">
        <v>4442</v>
      </c>
      <c r="C302" s="0" t="n">
        <v>0.265074964058328</v>
      </c>
      <c r="D302" s="0" t="n">
        <v>905196</v>
      </c>
      <c r="E302" s="0" t="s">
        <v>4137</v>
      </c>
      <c r="F302" s="225"/>
    </row>
    <row r="303" customFormat="false" ht="14.25" hidden="false" customHeight="false" outlineLevel="0" collapsed="false">
      <c r="A303" s="0" t="n">
        <v>1130648286</v>
      </c>
      <c r="B303" s="0" t="s">
        <v>4443</v>
      </c>
      <c r="C303" s="0" t="n">
        <v>0.305088810560509</v>
      </c>
      <c r="D303" s="0" t="n">
        <v>332530</v>
      </c>
      <c r="E303" s="0" t="s">
        <v>4137</v>
      </c>
      <c r="F303" s="225"/>
    </row>
    <row r="304" customFormat="false" ht="14.25" hidden="false" customHeight="false" outlineLevel="0" collapsed="false">
      <c r="A304" s="0" t="n">
        <v>1130656042</v>
      </c>
      <c r="B304" s="0" t="s">
        <v>4444</v>
      </c>
      <c r="C304" s="0" t="n">
        <v>0.144187582057548</v>
      </c>
      <c r="D304" s="0" t="n">
        <v>1105837.16</v>
      </c>
      <c r="E304" s="0" t="s">
        <v>4137</v>
      </c>
      <c r="F304" s="225"/>
    </row>
    <row r="305" customFormat="false" ht="14.25" hidden="false" customHeight="false" outlineLevel="0" collapsed="false">
      <c r="A305" s="0" t="n">
        <v>1130664985</v>
      </c>
      <c r="B305" s="0" t="s">
        <v>4445</v>
      </c>
      <c r="C305" s="0" t="n">
        <v>0.224631979695431</v>
      </c>
      <c r="D305" s="0" t="n">
        <v>1216205</v>
      </c>
      <c r="E305" s="0" t="s">
        <v>4147</v>
      </c>
      <c r="F305" s="225"/>
    </row>
    <row r="306" customFormat="false" ht="14.25" hidden="false" customHeight="false" outlineLevel="0" collapsed="false">
      <c r="A306" s="0" t="n">
        <v>1130670450</v>
      </c>
      <c r="B306" s="0" t="s">
        <v>4446</v>
      </c>
      <c r="C306" s="0" t="n">
        <v>0.419693441860316</v>
      </c>
      <c r="D306" s="0" t="n">
        <v>1050.17999999993</v>
      </c>
      <c r="E306" s="0" t="s">
        <v>4137</v>
      </c>
      <c r="F306" s="225"/>
    </row>
    <row r="307" customFormat="false" ht="14.25" hidden="false" customHeight="false" outlineLevel="0" collapsed="false">
      <c r="A307" s="0" t="n">
        <v>1130683219</v>
      </c>
      <c r="B307" s="0" t="s">
        <v>4447</v>
      </c>
      <c r="C307" s="0" t="n">
        <v>0.418549666777648</v>
      </c>
      <c r="D307" s="0" t="n">
        <v>4430.1399999999</v>
      </c>
      <c r="E307" s="0" t="s">
        <v>4137</v>
      </c>
      <c r="F307" s="225"/>
    </row>
    <row r="308" customFormat="false" ht="14.25" hidden="false" customHeight="false" outlineLevel="0" collapsed="false">
      <c r="A308" s="0" t="n">
        <v>1143925787</v>
      </c>
      <c r="B308" s="0" t="s">
        <v>4448</v>
      </c>
      <c r="C308" s="0" t="n">
        <v>0.380967067279368</v>
      </c>
      <c r="D308" s="0" t="n">
        <v>132509</v>
      </c>
      <c r="E308" s="0" t="s">
        <v>4137</v>
      </c>
      <c r="F308" s="225"/>
    </row>
    <row r="309" customFormat="false" ht="14.25" hidden="false" customHeight="false" outlineLevel="0" collapsed="false">
      <c r="A309" s="0" t="n">
        <v>1144035049</v>
      </c>
      <c r="B309" s="0" t="s">
        <v>4449</v>
      </c>
      <c r="C309" s="0" t="n">
        <v>0.445347764235457</v>
      </c>
      <c r="D309" s="0" t="n">
        <v>-65927</v>
      </c>
      <c r="E309" s="0" t="s">
        <v>4137</v>
      </c>
      <c r="F309" s="225"/>
    </row>
    <row r="310" customFormat="false" ht="14.25" hidden="false" customHeight="false" outlineLevel="0" collapsed="false">
      <c r="A310" s="0" t="n">
        <v>1144124288</v>
      </c>
      <c r="B310" s="0" t="s">
        <v>4450</v>
      </c>
      <c r="C310" s="0" t="n">
        <v>0.343986841759837</v>
      </c>
      <c r="D310" s="0" t="n">
        <v>227777.28</v>
      </c>
      <c r="E310" s="0" t="s">
        <v>4137</v>
      </c>
      <c r="F310" s="225"/>
    </row>
    <row r="311" customFormat="false" ht="14.25" hidden="false" customHeight="false" outlineLevel="0" collapsed="false">
      <c r="A311" s="0" t="n">
        <v>1144131412</v>
      </c>
      <c r="B311" s="0" t="s">
        <v>4451</v>
      </c>
      <c r="C311" s="0" t="n">
        <v>0.352048404206403</v>
      </c>
      <c r="D311" s="0" t="n">
        <v>232014.88</v>
      </c>
      <c r="E311" s="0" t="s">
        <v>4147</v>
      </c>
      <c r="F311" s="225"/>
    </row>
    <row r="312" customFormat="false" ht="14.25" hidden="false" customHeight="false" outlineLevel="0" collapsed="false">
      <c r="A312" s="0" t="n">
        <v>1144136795</v>
      </c>
      <c r="B312" s="0" t="s">
        <v>4452</v>
      </c>
      <c r="C312" s="0" t="n">
        <v>0.217996235328855</v>
      </c>
      <c r="D312" s="0" t="n">
        <v>1094618</v>
      </c>
      <c r="E312" s="0" t="s">
        <v>4137</v>
      </c>
      <c r="F312" s="225"/>
    </row>
    <row r="313" customFormat="false" ht="14.25" hidden="false" customHeight="false" outlineLevel="0" collapsed="false">
      <c r="A313" s="0" t="n">
        <v>1130626432</v>
      </c>
      <c r="B313" s="0" t="s">
        <v>4453</v>
      </c>
      <c r="C313" s="0" t="n">
        <v>0.320087016640443</v>
      </c>
      <c r="D313" s="0" t="n">
        <v>419095</v>
      </c>
      <c r="E313" s="0" t="s">
        <v>4137</v>
      </c>
      <c r="F313" s="225"/>
    </row>
    <row r="314" customFormat="false" ht="14.25" hidden="false" customHeight="false" outlineLevel="0" collapsed="false">
      <c r="A314" s="0" t="n">
        <v>31991267</v>
      </c>
      <c r="B314" s="0" t="s">
        <v>4454</v>
      </c>
      <c r="C314" s="0" t="n">
        <v>0.379734421666279</v>
      </c>
      <c r="D314" s="0" t="n">
        <v>84005.66</v>
      </c>
      <c r="E314" s="0" t="s">
        <v>4137</v>
      </c>
      <c r="F314" s="225"/>
    </row>
    <row r="315" customFormat="false" ht="14.25" hidden="false" customHeight="false" outlineLevel="0" collapsed="false">
      <c r="A315" s="0" t="n">
        <v>38888798</v>
      </c>
      <c r="B315" s="0" t="s">
        <v>4455</v>
      </c>
      <c r="C315" s="0" t="n">
        <v>0.421482983194355</v>
      </c>
      <c r="D315" s="0" t="n">
        <v>-6883.66666666674</v>
      </c>
      <c r="E315" s="0" t="s">
        <v>4137</v>
      </c>
      <c r="F315" s="225"/>
    </row>
    <row r="316" customFormat="false" ht="14.25" hidden="false" customHeight="false" outlineLevel="0" collapsed="false">
      <c r="A316" s="0" t="n">
        <v>66858279</v>
      </c>
      <c r="B316" s="0" t="s">
        <v>4456</v>
      </c>
      <c r="C316" s="0" t="n">
        <v>0.284380204640229</v>
      </c>
      <c r="D316" s="0" t="n">
        <v>329545.66</v>
      </c>
      <c r="E316" s="0" t="s">
        <v>4137</v>
      </c>
      <c r="F316" s="225"/>
    </row>
    <row r="317" customFormat="false" ht="14.25" hidden="false" customHeight="false" outlineLevel="0" collapsed="false">
      <c r="A317" s="0" t="n">
        <v>94073310</v>
      </c>
      <c r="B317" s="0" t="s">
        <v>4457</v>
      </c>
      <c r="C317" s="0" t="n">
        <v>0.145619266435716</v>
      </c>
      <c r="D317" s="0" t="n">
        <v>1801956.78</v>
      </c>
      <c r="E317" s="0" t="s">
        <v>4137</v>
      </c>
      <c r="F317" s="225"/>
    </row>
    <row r="318" customFormat="false" ht="14.25" hidden="false" customHeight="false" outlineLevel="0" collapsed="false">
      <c r="A318" s="0" t="n">
        <v>1144024281</v>
      </c>
      <c r="B318" s="0" t="s">
        <v>4458</v>
      </c>
      <c r="C318" s="0" t="n">
        <v>0.358597064861988</v>
      </c>
      <c r="D318" s="0" t="n">
        <v>242253</v>
      </c>
      <c r="E318" s="0" t="s">
        <v>4137</v>
      </c>
      <c r="F318" s="225"/>
    </row>
    <row r="319" customFormat="false" ht="14.25" hidden="false" customHeight="false" outlineLevel="0" collapsed="false">
      <c r="A319" s="0" t="n">
        <v>66986213</v>
      </c>
      <c r="B319" s="0" t="s">
        <v>4459</v>
      </c>
      <c r="C319" s="0" t="n">
        <v>0.136561772174888</v>
      </c>
      <c r="D319" s="0" t="n">
        <v>885429.94</v>
      </c>
      <c r="E319" s="0" t="s">
        <v>4137</v>
      </c>
      <c r="F319" s="225"/>
    </row>
    <row r="320" customFormat="false" ht="14.25" hidden="false" customHeight="false" outlineLevel="0" collapsed="false">
      <c r="A320" s="0" t="n">
        <v>1107064974</v>
      </c>
      <c r="B320" s="0" t="s">
        <v>4460</v>
      </c>
      <c r="C320" s="0" t="n">
        <v>0.378105171381951</v>
      </c>
      <c r="D320" s="0" t="n">
        <v>240578.4</v>
      </c>
      <c r="E320" s="0" t="s">
        <v>4137</v>
      </c>
      <c r="F320" s="225"/>
    </row>
    <row r="321" customFormat="false" ht="14.25" hidden="false" customHeight="false" outlineLevel="0" collapsed="false">
      <c r="A321" s="0" t="n">
        <v>1113622605</v>
      </c>
      <c r="B321" s="0" t="s">
        <v>4461</v>
      </c>
      <c r="C321" s="0" t="n">
        <v>0.126173543437694</v>
      </c>
      <c r="D321" s="0" t="n">
        <v>850275</v>
      </c>
      <c r="E321" s="0" t="s">
        <v>4137</v>
      </c>
      <c r="F321" s="225"/>
    </row>
    <row r="322" customFormat="false" ht="14.25" hidden="false" customHeight="false" outlineLevel="0" collapsed="false">
      <c r="A322" s="0" t="n">
        <v>38867456</v>
      </c>
      <c r="B322" s="0" t="s">
        <v>4462</v>
      </c>
      <c r="C322" s="0" t="n">
        <v>0.230255301458691</v>
      </c>
      <c r="D322" s="0" t="n">
        <v>744883.04</v>
      </c>
      <c r="E322" s="0" t="s">
        <v>4137</v>
      </c>
      <c r="F322" s="225"/>
    </row>
    <row r="323" customFormat="false" ht="14.25" hidden="false" customHeight="false" outlineLevel="0" collapsed="false">
      <c r="A323" s="0" t="n">
        <v>31658624</v>
      </c>
      <c r="B323" s="0" t="s">
        <v>4463</v>
      </c>
      <c r="C323" s="0" t="n">
        <v>0.338945962605301</v>
      </c>
      <c r="D323" s="0" t="n">
        <v>599624.8</v>
      </c>
      <c r="E323" s="0" t="s">
        <v>4137</v>
      </c>
      <c r="F323" s="225"/>
    </row>
    <row r="324" customFormat="false" ht="14.25" hidden="false" customHeight="false" outlineLevel="0" collapsed="false">
      <c r="A324" s="0" t="n">
        <v>66661771</v>
      </c>
      <c r="B324" s="0" t="s">
        <v>4464</v>
      </c>
      <c r="C324" s="0" t="n">
        <v>0.293206306911237</v>
      </c>
      <c r="D324" s="0" t="n">
        <v>523811.88</v>
      </c>
      <c r="E324" s="0" t="s">
        <v>4137</v>
      </c>
      <c r="F324" s="225"/>
    </row>
    <row r="325" customFormat="false" ht="14.25" hidden="false" customHeight="false" outlineLevel="0" collapsed="false">
      <c r="A325" s="0" t="n">
        <v>66717580</v>
      </c>
      <c r="B325" s="0" t="s">
        <v>4465</v>
      </c>
      <c r="C325" s="0" t="n">
        <v>0.4200262619555</v>
      </c>
      <c r="D325" s="0" t="n">
        <v>-88.6400000001304</v>
      </c>
      <c r="E325" s="0" t="s">
        <v>4137</v>
      </c>
      <c r="F325" s="225"/>
    </row>
    <row r="326" customFormat="false" ht="14.25" hidden="false" customHeight="false" outlineLevel="0" collapsed="false">
      <c r="A326" s="0" t="n">
        <v>1143828982</v>
      </c>
      <c r="B326" s="0" t="s">
        <v>4466</v>
      </c>
      <c r="C326" s="0" t="n">
        <v>0.469584752297115</v>
      </c>
      <c r="D326" s="0" t="n">
        <v>-308675</v>
      </c>
      <c r="E326" s="0" t="s">
        <v>4137</v>
      </c>
      <c r="F326" s="225"/>
    </row>
    <row r="327" customFormat="false" ht="14.25" hidden="false" customHeight="false" outlineLevel="0" collapsed="false">
      <c r="A327" s="0" t="n">
        <v>16282233</v>
      </c>
      <c r="B327" s="0" t="s">
        <v>4467</v>
      </c>
      <c r="C327" s="0" t="n">
        <v>0.166232814262063</v>
      </c>
      <c r="D327" s="0" t="n">
        <v>2115251</v>
      </c>
      <c r="E327" s="0" t="s">
        <v>4137</v>
      </c>
      <c r="F327" s="225"/>
    </row>
    <row r="328" customFormat="false" ht="14.25" hidden="false" customHeight="false" outlineLevel="0" collapsed="false">
      <c r="A328" s="0" t="n">
        <v>1062289306</v>
      </c>
      <c r="B328" s="0" t="s">
        <v>4468</v>
      </c>
      <c r="C328" s="0" t="n">
        <v>0.388945742974397</v>
      </c>
      <c r="D328" s="0" t="n">
        <v>119255.8</v>
      </c>
      <c r="E328" s="0" t="s">
        <v>4137</v>
      </c>
      <c r="F328" s="225"/>
    </row>
    <row r="329" customFormat="false" ht="14.25" hidden="false" customHeight="false" outlineLevel="0" collapsed="false">
      <c r="A329" s="0" t="n">
        <v>1143836705</v>
      </c>
      <c r="B329" s="0" t="s">
        <v>4469</v>
      </c>
      <c r="C329" s="0" t="n">
        <v>0.253329623932183</v>
      </c>
      <c r="D329" s="0" t="n">
        <v>509228</v>
      </c>
      <c r="E329" s="0" t="s">
        <v>4137</v>
      </c>
      <c r="F329" s="225"/>
    </row>
    <row r="330" customFormat="false" ht="14.25" hidden="false" customHeight="false" outlineLevel="0" collapsed="false">
      <c r="A330" s="0" t="n">
        <v>38642747</v>
      </c>
      <c r="B330" s="0" t="s">
        <v>4470</v>
      </c>
      <c r="C330" s="0" t="n">
        <v>0.152508899842541</v>
      </c>
      <c r="D330" s="0" t="n">
        <v>1562897</v>
      </c>
      <c r="E330" s="0" t="s">
        <v>4137</v>
      </c>
      <c r="F330" s="225"/>
    </row>
    <row r="331" customFormat="false" ht="14.25" hidden="false" customHeight="false" outlineLevel="0" collapsed="false">
      <c r="A331" s="0" t="n">
        <v>1130585077</v>
      </c>
      <c r="B331" s="0" t="s">
        <v>4471</v>
      </c>
      <c r="C331" s="0" t="s">
        <v>4266</v>
      </c>
      <c r="D331" s="0" t="n">
        <v>0</v>
      </c>
      <c r="E331" s="0" t="s">
        <v>4137</v>
      </c>
      <c r="F331" s="225"/>
    </row>
    <row r="332" customFormat="false" ht="14.25" hidden="false" customHeight="false" outlineLevel="0" collapsed="false">
      <c r="A332" s="0" t="n">
        <v>14607266</v>
      </c>
      <c r="B332" s="0" t="s">
        <v>4472</v>
      </c>
      <c r="C332" s="0" t="n">
        <v>0.17074915665917</v>
      </c>
      <c r="D332" s="0" t="n">
        <v>1794590.12</v>
      </c>
      <c r="E332" s="0" t="s">
        <v>4137</v>
      </c>
      <c r="F332" s="225"/>
    </row>
    <row r="333" customFormat="false" ht="14.25" hidden="false" customHeight="false" outlineLevel="0" collapsed="false">
      <c r="A333" s="0" t="n">
        <v>1143934493</v>
      </c>
      <c r="B333" s="0" t="s">
        <v>4473</v>
      </c>
      <c r="C333" s="0" t="n">
        <v>0.366479814847328</v>
      </c>
      <c r="D333" s="0" t="n">
        <v>218667.92</v>
      </c>
      <c r="E333" s="0" t="s">
        <v>4137</v>
      </c>
      <c r="F333" s="225"/>
    </row>
    <row r="334" customFormat="false" ht="14.25" hidden="false" customHeight="false" outlineLevel="0" collapsed="false">
      <c r="A334" s="0" t="n">
        <v>1006165643</v>
      </c>
      <c r="B334" s="0" t="s">
        <v>4474</v>
      </c>
      <c r="C334" s="0" t="n">
        <v>0.441640921212799</v>
      </c>
      <c r="D334" s="0" t="n">
        <v>-90870.5600000003</v>
      </c>
      <c r="E334" s="0" t="s">
        <v>4137</v>
      </c>
      <c r="F334" s="225"/>
    </row>
    <row r="335" customFormat="false" ht="14.25" hidden="false" customHeight="false" outlineLevel="0" collapsed="false">
      <c r="A335" s="0" t="n">
        <v>31974020</v>
      </c>
      <c r="B335" s="0" t="s">
        <v>4475</v>
      </c>
      <c r="C335" s="0" t="n">
        <v>0.248451084354926</v>
      </c>
      <c r="D335" s="0" t="n">
        <v>639688.58</v>
      </c>
      <c r="E335" s="0" t="s">
        <v>4137</v>
      </c>
      <c r="F335" s="225"/>
    </row>
    <row r="336" customFormat="false" ht="14.25" hidden="false" customHeight="false" outlineLevel="0" collapsed="false">
      <c r="A336" s="0" t="n">
        <v>1151943115</v>
      </c>
      <c r="B336" s="0" t="s">
        <v>4476</v>
      </c>
      <c r="C336" s="0" t="n">
        <v>0.11283441450871</v>
      </c>
      <c r="D336" s="0" t="n">
        <v>1625213.42</v>
      </c>
      <c r="E336" s="0" t="s">
        <v>4378</v>
      </c>
      <c r="F336" s="225"/>
    </row>
    <row r="337" customFormat="false" ht="14.25" hidden="false" customHeight="false" outlineLevel="0" collapsed="false">
      <c r="A337" s="0" t="n">
        <v>34613050</v>
      </c>
      <c r="B337" s="0" t="s">
        <v>4477</v>
      </c>
      <c r="C337" s="0" t="n">
        <v>0.345683855830023</v>
      </c>
      <c r="D337" s="0" t="n">
        <v>404867.12</v>
      </c>
      <c r="E337" s="0" t="s">
        <v>4137</v>
      </c>
      <c r="F337" s="225"/>
    </row>
    <row r="338" customFormat="false" ht="14.25" hidden="false" customHeight="false" outlineLevel="0" collapsed="false">
      <c r="A338" s="0" t="n">
        <v>38683545</v>
      </c>
      <c r="B338" s="0" t="s">
        <v>4478</v>
      </c>
      <c r="C338" s="0" t="n">
        <v>0.439026623219239</v>
      </c>
      <c r="D338" s="0" t="n">
        <v>-84109</v>
      </c>
      <c r="E338" s="0" t="s">
        <v>4137</v>
      </c>
      <c r="F338" s="225"/>
    </row>
    <row r="339" customFormat="false" ht="14.25" hidden="false" customHeight="false" outlineLevel="0" collapsed="false">
      <c r="A339" s="0" t="n">
        <v>67010687</v>
      </c>
      <c r="B339" s="0" t="s">
        <v>4479</v>
      </c>
      <c r="C339" s="0" t="n">
        <v>0.293912858337769</v>
      </c>
      <c r="D339" s="0" t="n">
        <v>414543</v>
      </c>
      <c r="E339" s="0" t="s">
        <v>4137</v>
      </c>
      <c r="F339" s="225"/>
    </row>
    <row r="340" customFormat="false" ht="14.25" hidden="false" customHeight="false" outlineLevel="0" collapsed="false">
      <c r="A340" s="0" t="n">
        <v>67004195</v>
      </c>
      <c r="B340" s="0" t="s">
        <v>4480</v>
      </c>
      <c r="C340" s="0" t="n">
        <v>0.395085215463489</v>
      </c>
      <c r="D340" s="0" t="n">
        <v>71924</v>
      </c>
      <c r="E340" s="0" t="s">
        <v>4137</v>
      </c>
      <c r="F340" s="225"/>
    </row>
    <row r="341" customFormat="false" ht="14.25" hidden="false" customHeight="false" outlineLevel="0" collapsed="false">
      <c r="A341" s="0" t="n">
        <v>66771259</v>
      </c>
      <c r="B341" s="0" t="s">
        <v>4481</v>
      </c>
      <c r="C341" s="0" t="n">
        <v>0.457935208437971</v>
      </c>
      <c r="D341" s="0" t="n">
        <v>-75529</v>
      </c>
      <c r="E341" s="0" t="s">
        <v>4137</v>
      </c>
      <c r="F341" s="225"/>
    </row>
    <row r="342" customFormat="false" ht="14.25" hidden="false" customHeight="false" outlineLevel="0" collapsed="false">
      <c r="A342" s="0" t="n">
        <v>6391199</v>
      </c>
      <c r="B342" s="0" t="s">
        <v>4482</v>
      </c>
      <c r="C342" s="0" t="n">
        <v>0.350001980533463</v>
      </c>
      <c r="D342" s="0" t="n">
        <v>276853.6</v>
      </c>
      <c r="E342" s="0" t="s">
        <v>4137</v>
      </c>
      <c r="F342" s="225"/>
    </row>
    <row r="343" customFormat="false" ht="14.25" hidden="false" customHeight="false" outlineLevel="0" collapsed="false">
      <c r="A343" s="0" t="n">
        <v>66899264</v>
      </c>
      <c r="B343" s="0" t="s">
        <v>4483</v>
      </c>
      <c r="C343" s="0" t="n">
        <v>0.390205313545311</v>
      </c>
      <c r="D343" s="0" t="n">
        <v>77493</v>
      </c>
      <c r="E343" s="0" t="s">
        <v>4137</v>
      </c>
      <c r="F343" s="225"/>
    </row>
    <row r="344" customFormat="false" ht="14.25" hidden="false" customHeight="false" outlineLevel="0" collapsed="false">
      <c r="A344" s="0" t="n">
        <v>1112768596</v>
      </c>
      <c r="B344" s="0" t="s">
        <v>4484</v>
      </c>
      <c r="C344" s="0" t="n">
        <v>0.466190642191809</v>
      </c>
      <c r="D344" s="0" t="n">
        <v>-158075.14</v>
      </c>
      <c r="E344" s="0" t="s">
        <v>4137</v>
      </c>
      <c r="F344" s="225"/>
    </row>
    <row r="345" customFormat="false" ht="14.25" hidden="false" customHeight="false" outlineLevel="0" collapsed="false">
      <c r="A345" s="0" t="n">
        <v>31488174</v>
      </c>
      <c r="B345" s="0" t="s">
        <v>4485</v>
      </c>
      <c r="C345" s="0" t="n">
        <v>0.458167461469348</v>
      </c>
      <c r="D345" s="0" t="n">
        <v>-110449</v>
      </c>
      <c r="E345" s="0" t="s">
        <v>4147</v>
      </c>
      <c r="F345" s="225"/>
    </row>
    <row r="346" customFormat="false" ht="14.25" hidden="false" customHeight="false" outlineLevel="0" collapsed="false">
      <c r="A346" s="0" t="n">
        <v>1130683767</v>
      </c>
      <c r="B346" s="0" t="s">
        <v>4486</v>
      </c>
      <c r="C346" s="0" t="n">
        <v>0.170263082440667</v>
      </c>
      <c r="D346" s="0" t="n">
        <v>2182136.92</v>
      </c>
      <c r="E346" s="0" t="s">
        <v>4137</v>
      </c>
      <c r="F346" s="225"/>
    </row>
    <row r="347" customFormat="false" ht="14.25" hidden="false" customHeight="false" outlineLevel="0" collapsed="false">
      <c r="A347" s="0" t="n">
        <v>38464115</v>
      </c>
      <c r="B347" s="0" t="s">
        <v>4487</v>
      </c>
      <c r="C347" s="0" t="n">
        <v>0.349791387920653</v>
      </c>
      <c r="D347" s="0" t="n">
        <v>297157.74</v>
      </c>
      <c r="E347" s="0" t="s">
        <v>4137</v>
      </c>
      <c r="F347" s="225"/>
    </row>
    <row r="348" customFormat="false" ht="14.25" hidden="false" customHeight="false" outlineLevel="0" collapsed="false">
      <c r="A348" s="0" t="n">
        <v>1144136212</v>
      </c>
      <c r="B348" s="0" t="s">
        <v>4488</v>
      </c>
      <c r="C348" s="0" t="n">
        <v>0.416283433547585</v>
      </c>
      <c r="D348" s="0" t="n">
        <v>10755</v>
      </c>
      <c r="E348" s="0" t="s">
        <v>4137</v>
      </c>
      <c r="F348" s="225"/>
    </row>
    <row r="349" customFormat="false" ht="14.25" hidden="false" customHeight="false" outlineLevel="0" collapsed="false">
      <c r="A349" s="0" t="n">
        <v>29664881</v>
      </c>
      <c r="B349" s="0" t="s">
        <v>4489</v>
      </c>
      <c r="C349" s="0" t="n">
        <v>0.200426946198111</v>
      </c>
      <c r="D349" s="0" t="n">
        <v>665213.62</v>
      </c>
      <c r="E349" s="0" t="s">
        <v>4137</v>
      </c>
      <c r="F349" s="225"/>
    </row>
    <row r="350" customFormat="false" ht="14.25" hidden="false" customHeight="false" outlineLevel="0" collapsed="false">
      <c r="A350" s="0" t="n">
        <v>66656655</v>
      </c>
      <c r="B350" s="0" t="s">
        <v>4490</v>
      </c>
      <c r="C350" s="0" t="n">
        <v>0.112134193117013</v>
      </c>
      <c r="D350" s="0" t="n">
        <v>1466048.66</v>
      </c>
      <c r="E350" s="0" t="s">
        <v>4137</v>
      </c>
      <c r="F350" s="225"/>
    </row>
    <row r="351" customFormat="false" ht="14.25" hidden="false" customHeight="false" outlineLevel="0" collapsed="false">
      <c r="A351" s="0" t="n">
        <v>94525897</v>
      </c>
      <c r="B351" s="0" t="s">
        <v>4491</v>
      </c>
      <c r="C351" s="0" t="n">
        <v>0.37088602578472</v>
      </c>
      <c r="D351" s="0" t="n">
        <v>358987.02</v>
      </c>
      <c r="E351" s="0" t="s">
        <v>4137</v>
      </c>
      <c r="F351" s="225"/>
    </row>
    <row r="352" customFormat="false" ht="14.25" hidden="false" customHeight="false" outlineLevel="0" collapsed="false">
      <c r="A352" s="0" t="n">
        <v>94531289</v>
      </c>
      <c r="B352" s="0" t="s">
        <v>4492</v>
      </c>
      <c r="C352" s="0" t="n">
        <v>0.255195420837068</v>
      </c>
      <c r="D352" s="0" t="n">
        <v>1161693.58</v>
      </c>
      <c r="E352" s="0" t="s">
        <v>4137</v>
      </c>
      <c r="F352" s="225"/>
    </row>
    <row r="353" customFormat="false" ht="14.25" hidden="false" customHeight="false" outlineLevel="0" collapsed="false">
      <c r="A353" s="0" t="n">
        <v>16283520</v>
      </c>
      <c r="B353" s="0" t="s">
        <v>4493</v>
      </c>
      <c r="C353" s="0" t="n">
        <v>0.142458244146485</v>
      </c>
      <c r="D353" s="0" t="n">
        <v>2165070.58</v>
      </c>
      <c r="E353" s="0" t="s">
        <v>4137</v>
      </c>
      <c r="F353" s="225"/>
    </row>
    <row r="354" customFormat="false" ht="14.25" hidden="false" customHeight="false" outlineLevel="0" collapsed="false">
      <c r="A354" s="0" t="n">
        <v>6199680</v>
      </c>
      <c r="B354" s="0" t="s">
        <v>4494</v>
      </c>
      <c r="C354" s="0" t="n">
        <v>0.378014361102488</v>
      </c>
      <c r="D354" s="0" t="n">
        <v>315230.64</v>
      </c>
      <c r="E354" s="0" t="s">
        <v>4137</v>
      </c>
      <c r="F354" s="225"/>
    </row>
    <row r="355" customFormat="false" ht="14.25" hidden="false" customHeight="false" outlineLevel="0" collapsed="false">
      <c r="A355" s="0" t="n">
        <v>94371222</v>
      </c>
      <c r="B355" s="0" t="s">
        <v>4495</v>
      </c>
      <c r="C355" s="0" t="n">
        <v>0.299333798739714</v>
      </c>
      <c r="D355" s="0" t="n">
        <v>436150.8</v>
      </c>
      <c r="E355" s="0" t="s">
        <v>4137</v>
      </c>
      <c r="F355" s="225"/>
    </row>
    <row r="356" customFormat="false" ht="14.25" hidden="false" customHeight="false" outlineLevel="0" collapsed="false">
      <c r="A356" s="0" t="n">
        <v>29974531</v>
      </c>
      <c r="B356" s="0" t="s">
        <v>4496</v>
      </c>
      <c r="C356" s="0" t="n">
        <v>0.23684741214629</v>
      </c>
      <c r="D356" s="0" t="n">
        <v>1052624.26</v>
      </c>
      <c r="E356" s="0" t="s">
        <v>4137</v>
      </c>
      <c r="F356" s="225"/>
    </row>
    <row r="357" customFormat="false" ht="14.25" hidden="false" customHeight="false" outlineLevel="0" collapsed="false">
      <c r="A357" s="0" t="n">
        <v>31305575</v>
      </c>
      <c r="B357" s="0" t="s">
        <v>4497</v>
      </c>
      <c r="C357" s="0" t="n">
        <v>0.324580174906339</v>
      </c>
      <c r="D357" s="0" t="n">
        <v>325848.62</v>
      </c>
      <c r="E357" s="0" t="s">
        <v>4147</v>
      </c>
      <c r="F357" s="225"/>
    </row>
    <row r="358" customFormat="false" ht="14.25" hidden="false" customHeight="false" outlineLevel="0" collapsed="false">
      <c r="A358" s="0" t="n">
        <v>29179426</v>
      </c>
      <c r="B358" s="0" t="s">
        <v>4498</v>
      </c>
      <c r="C358" s="0" t="n">
        <v>0.416606789536929</v>
      </c>
      <c r="D358" s="0" t="n">
        <v>9931.33999999985</v>
      </c>
      <c r="E358" s="0" t="s">
        <v>4137</v>
      </c>
      <c r="F358" s="225"/>
    </row>
    <row r="359" customFormat="false" ht="14.25" hidden="false" customHeight="false" outlineLevel="0" collapsed="false">
      <c r="A359" s="0" t="n">
        <v>31998747</v>
      </c>
      <c r="B359" s="0" t="s">
        <v>4499</v>
      </c>
      <c r="C359" s="0" t="n">
        <v>0.238578685465478</v>
      </c>
      <c r="D359" s="0" t="n">
        <v>524997</v>
      </c>
      <c r="E359" s="0" t="s">
        <v>4137</v>
      </c>
      <c r="F359" s="225"/>
    </row>
    <row r="360" customFormat="false" ht="14.25" hidden="false" customHeight="false" outlineLevel="0" collapsed="false">
      <c r="A360" s="0" t="n">
        <v>66991546</v>
      </c>
      <c r="B360" s="0" t="s">
        <v>4500</v>
      </c>
      <c r="C360" s="0" t="n">
        <v>0.404479577026747</v>
      </c>
      <c r="D360" s="0" t="n">
        <v>44913</v>
      </c>
      <c r="E360" s="0" t="s">
        <v>4137</v>
      </c>
      <c r="F360" s="225"/>
    </row>
    <row r="361" customFormat="false" ht="14.25" hidden="false" customHeight="false" outlineLevel="0" collapsed="false">
      <c r="A361" s="0" t="n">
        <v>67007578</v>
      </c>
      <c r="B361" s="0" t="s">
        <v>4501</v>
      </c>
      <c r="C361" s="0" t="n">
        <v>0.208110813167092</v>
      </c>
      <c r="D361" s="0" t="n">
        <v>1835690.74</v>
      </c>
      <c r="E361" s="0" t="s">
        <v>4137</v>
      </c>
      <c r="F361" s="225"/>
    </row>
    <row r="362" customFormat="false" ht="14.25" hidden="false" customHeight="false" outlineLevel="0" collapsed="false">
      <c r="A362" s="0" t="n">
        <v>67026757</v>
      </c>
      <c r="B362" s="0" t="s">
        <v>4502</v>
      </c>
      <c r="C362" s="0" t="n">
        <v>0.458605985209759</v>
      </c>
      <c r="D362" s="0" t="n">
        <v>-111718</v>
      </c>
      <c r="E362" s="0" t="s">
        <v>4137</v>
      </c>
      <c r="F362" s="225"/>
    </row>
    <row r="363" customFormat="false" ht="14.25" hidden="false" customHeight="false" outlineLevel="0" collapsed="false">
      <c r="A363" s="0" t="n">
        <v>67025059</v>
      </c>
      <c r="B363" s="0" t="s">
        <v>4503</v>
      </c>
      <c r="C363" s="0" t="n">
        <v>0.216024003259597</v>
      </c>
      <c r="D363" s="0" t="n">
        <v>1147413.12</v>
      </c>
      <c r="E363" s="0" t="s">
        <v>4137</v>
      </c>
      <c r="F363" s="225"/>
    </row>
    <row r="364" customFormat="false" ht="14.25" hidden="false" customHeight="false" outlineLevel="0" collapsed="false">
      <c r="A364" s="0" t="n">
        <v>67030981</v>
      </c>
      <c r="B364" s="0" t="s">
        <v>4504</v>
      </c>
      <c r="C364" s="0" t="n">
        <v>0.407365698775272</v>
      </c>
      <c r="D364" s="0" t="n">
        <v>69005.5</v>
      </c>
      <c r="E364" s="0" t="s">
        <v>4137</v>
      </c>
      <c r="F364" s="225"/>
    </row>
    <row r="365" customFormat="false" ht="14.25" hidden="false" customHeight="false" outlineLevel="0" collapsed="false">
      <c r="A365" s="0" t="n">
        <v>31571246</v>
      </c>
      <c r="B365" s="0" t="s">
        <v>4505</v>
      </c>
      <c r="C365" s="0" t="n">
        <v>0.147559648474395</v>
      </c>
      <c r="D365" s="0" t="n">
        <v>1326839</v>
      </c>
      <c r="E365" s="0" t="s">
        <v>4137</v>
      </c>
      <c r="F365" s="225"/>
    </row>
    <row r="366" customFormat="false" ht="14.25" hidden="false" customHeight="false" outlineLevel="0" collapsed="false">
      <c r="A366" s="0" t="n">
        <v>31308898</v>
      </c>
      <c r="B366" s="0" t="s">
        <v>4506</v>
      </c>
      <c r="C366" s="0" t="n">
        <v>0.274509891388673</v>
      </c>
      <c r="D366" s="0" t="n">
        <v>750147</v>
      </c>
      <c r="E366" s="0" t="s">
        <v>4137</v>
      </c>
      <c r="F366" s="225"/>
    </row>
    <row r="367" customFormat="false" ht="14.25" hidden="false" customHeight="false" outlineLevel="0" collapsed="false">
      <c r="A367" s="0" t="n">
        <v>41957474</v>
      </c>
      <c r="B367" s="0" t="s">
        <v>4507</v>
      </c>
      <c r="C367" s="0" t="n">
        <v>0.118390979761016</v>
      </c>
      <c r="D367" s="0" t="n">
        <v>1758157.9</v>
      </c>
      <c r="E367" s="0" t="s">
        <v>4137</v>
      </c>
      <c r="F367" s="225"/>
    </row>
    <row r="368" customFormat="false" ht="14.25" hidden="false" customHeight="false" outlineLevel="0" collapsed="false">
      <c r="A368" s="0" t="n">
        <v>38600890</v>
      </c>
      <c r="B368" s="0" t="s">
        <v>4508</v>
      </c>
      <c r="C368" s="0" t="n">
        <v>0.448905780552332</v>
      </c>
      <c r="D368" s="0" t="n">
        <v>-78131.6600000002</v>
      </c>
      <c r="E368" s="0" t="s">
        <v>4137</v>
      </c>
      <c r="F368" s="225"/>
    </row>
    <row r="369" customFormat="false" ht="14.25" hidden="false" customHeight="false" outlineLevel="0" collapsed="false">
      <c r="A369" s="0" t="n">
        <v>66852905</v>
      </c>
      <c r="B369" s="0" t="s">
        <v>4509</v>
      </c>
      <c r="C369" s="0" t="n">
        <v>0.27880910980911</v>
      </c>
      <c r="D369" s="0" t="n">
        <v>747041</v>
      </c>
      <c r="E369" s="0" t="s">
        <v>4137</v>
      </c>
      <c r="F369" s="225"/>
    </row>
    <row r="370" customFormat="false" ht="14.25" hidden="false" customHeight="false" outlineLevel="0" collapsed="false">
      <c r="A370" s="0" t="n">
        <v>75073905</v>
      </c>
      <c r="B370" s="0" t="s">
        <v>4510</v>
      </c>
      <c r="C370" s="0" t="n">
        <v>0.395486429185751</v>
      </c>
      <c r="D370" s="0" t="n">
        <v>245121</v>
      </c>
      <c r="E370" s="0" t="s">
        <v>4511</v>
      </c>
      <c r="F370" s="225"/>
    </row>
    <row r="371" customFormat="false" ht="14.25" hidden="false" customHeight="false" outlineLevel="0" collapsed="false">
      <c r="A371" s="0" t="n">
        <v>29567600</v>
      </c>
      <c r="B371" s="0" t="s">
        <v>4512</v>
      </c>
      <c r="C371" s="0" t="n">
        <v>0.21295274995275</v>
      </c>
      <c r="D371" s="0" t="n">
        <v>1095487</v>
      </c>
      <c r="E371" s="0" t="s">
        <v>4137</v>
      </c>
      <c r="F371" s="225"/>
    </row>
    <row r="372" customFormat="false" ht="14.25" hidden="false" customHeight="false" outlineLevel="0" collapsed="false">
      <c r="A372" s="0" t="n">
        <v>31982746</v>
      </c>
      <c r="B372" s="0" t="s">
        <v>4513</v>
      </c>
      <c r="C372" s="0" t="n">
        <v>0.502647899646583</v>
      </c>
      <c r="D372" s="0" t="n">
        <v>-2153796</v>
      </c>
      <c r="E372" s="0" t="s">
        <v>4137</v>
      </c>
      <c r="F372" s="225"/>
    </row>
    <row r="373" customFormat="false" ht="14.25" hidden="false" customHeight="false" outlineLevel="0" collapsed="false">
      <c r="A373" s="0" t="n">
        <v>9292583</v>
      </c>
      <c r="B373" s="0" t="s">
        <v>4514</v>
      </c>
      <c r="C373" s="0" t="n">
        <v>0.267605429694423</v>
      </c>
      <c r="D373" s="0" t="n">
        <v>1461723</v>
      </c>
      <c r="E373" s="0" t="s">
        <v>4137</v>
      </c>
      <c r="F373" s="225"/>
    </row>
    <row r="374" customFormat="false" ht="14.25" hidden="false" customHeight="false" outlineLevel="0" collapsed="false">
      <c r="A374" s="0" t="n">
        <v>1143828327</v>
      </c>
      <c r="B374" s="0" t="s">
        <v>4515</v>
      </c>
      <c r="C374" s="0" t="n">
        <v>0.282476302256482</v>
      </c>
      <c r="D374" s="0" t="n">
        <v>549769.96</v>
      </c>
      <c r="E374" s="0" t="s">
        <v>4137</v>
      </c>
      <c r="F374" s="225"/>
    </row>
    <row r="375" customFormat="false" ht="14.25" hidden="false" customHeight="false" outlineLevel="0" collapsed="false">
      <c r="A375" s="0" t="n">
        <v>1143830949</v>
      </c>
      <c r="B375" s="0" t="s">
        <v>4516</v>
      </c>
      <c r="C375" s="0" t="n">
        <v>0.44875844503971</v>
      </c>
      <c r="D375" s="0" t="n">
        <v>-91663.9200000002</v>
      </c>
      <c r="E375" s="0" t="s">
        <v>4137</v>
      </c>
      <c r="F375" s="225"/>
    </row>
    <row r="376" customFormat="false" ht="14.25" hidden="false" customHeight="false" outlineLevel="0" collapsed="false">
      <c r="A376" s="0" t="n">
        <v>66899613</v>
      </c>
      <c r="B376" s="0" t="s">
        <v>4517</v>
      </c>
      <c r="C376" s="0" t="n">
        <v>0.388883974490846</v>
      </c>
      <c r="D376" s="0" t="n">
        <v>90753</v>
      </c>
      <c r="E376" s="0" t="s">
        <v>4137</v>
      </c>
      <c r="F376" s="225"/>
    </row>
    <row r="377" customFormat="false" ht="14.25" hidden="false" customHeight="false" outlineLevel="0" collapsed="false">
      <c r="A377" s="0" t="n">
        <v>67041560</v>
      </c>
      <c r="B377" s="0" t="s">
        <v>4518</v>
      </c>
      <c r="C377" s="0" t="n">
        <v>0.351737817031132</v>
      </c>
      <c r="D377" s="0" t="n">
        <v>231410.12</v>
      </c>
      <c r="E377" s="0" t="s">
        <v>4137</v>
      </c>
      <c r="F377" s="225"/>
    </row>
    <row r="378" customFormat="false" ht="14.25" hidden="false" customHeight="false" outlineLevel="0" collapsed="false">
      <c r="A378" s="0" t="n">
        <v>34616482</v>
      </c>
      <c r="B378" s="0" t="s">
        <v>4519</v>
      </c>
      <c r="C378" s="0" t="n">
        <v>0.417521751305078</v>
      </c>
      <c r="D378" s="0" t="n">
        <v>24781</v>
      </c>
      <c r="E378" s="0" t="s">
        <v>4137</v>
      </c>
      <c r="F378" s="225"/>
    </row>
    <row r="379" customFormat="false" ht="14.25" hidden="false" customHeight="false" outlineLevel="0" collapsed="false">
      <c r="A379" s="0" t="n">
        <v>94043207</v>
      </c>
      <c r="B379" s="0" t="s">
        <v>4520</v>
      </c>
      <c r="C379" s="0" t="n">
        <v>0.394836738037723</v>
      </c>
      <c r="D379" s="0" t="n">
        <v>74945.3199999998</v>
      </c>
      <c r="E379" s="0" t="s">
        <v>4511</v>
      </c>
      <c r="F379" s="225"/>
    </row>
    <row r="380" customFormat="false" ht="14.25" hidden="false" customHeight="false" outlineLevel="0" collapsed="false">
      <c r="A380" s="0" t="n">
        <v>31986152</v>
      </c>
      <c r="B380" s="0" t="s">
        <v>4521</v>
      </c>
      <c r="C380" s="0" t="n">
        <v>0.438969935587546</v>
      </c>
      <c r="D380" s="0" t="n">
        <v>-74314</v>
      </c>
      <c r="E380" s="0" t="s">
        <v>4137</v>
      </c>
      <c r="F380" s="225"/>
    </row>
    <row r="381" customFormat="false" ht="14.25" hidden="false" customHeight="false" outlineLevel="0" collapsed="false">
      <c r="A381" s="0" t="n">
        <v>31568464</v>
      </c>
      <c r="B381" s="0" t="s">
        <v>4522</v>
      </c>
      <c r="C381" s="0" t="n">
        <v>0.29095268023502</v>
      </c>
      <c r="D381" s="0" t="n">
        <v>367194.9</v>
      </c>
      <c r="E381" s="0" t="s">
        <v>4137</v>
      </c>
      <c r="F381" s="225"/>
    </row>
    <row r="382" customFormat="false" ht="14.25" hidden="false" customHeight="false" outlineLevel="0" collapsed="false">
      <c r="A382" s="0" t="n">
        <v>1143927195</v>
      </c>
      <c r="B382" s="0" t="s">
        <v>4523</v>
      </c>
      <c r="C382" s="0" t="n">
        <v>0.240270578478126</v>
      </c>
      <c r="D382" s="0" t="n">
        <v>520101</v>
      </c>
      <c r="E382" s="0" t="s">
        <v>4137</v>
      </c>
      <c r="F382" s="225"/>
    </row>
    <row r="383" customFormat="false" ht="14.25" hidden="false" customHeight="false" outlineLevel="0" collapsed="false">
      <c r="A383" s="0" t="n">
        <v>1130661912</v>
      </c>
      <c r="B383" s="0" t="s">
        <v>4524</v>
      </c>
      <c r="C383" s="0" t="n">
        <v>0.183136472300651</v>
      </c>
      <c r="D383" s="0" t="n">
        <v>1176978.58</v>
      </c>
      <c r="E383" s="0" t="s">
        <v>4137</v>
      </c>
      <c r="F383" s="225"/>
    </row>
    <row r="384" customFormat="false" ht="14.25" hidden="false" customHeight="false" outlineLevel="0" collapsed="false">
      <c r="A384" s="0" t="n">
        <v>1144041996</v>
      </c>
      <c r="B384" s="0" t="s">
        <v>4525</v>
      </c>
      <c r="C384" s="0" t="n">
        <v>0.382077934699108</v>
      </c>
      <c r="D384" s="0" t="n">
        <v>155564.68</v>
      </c>
      <c r="E384" s="0" t="s">
        <v>4137</v>
      </c>
      <c r="F384" s="225"/>
    </row>
    <row r="385" customFormat="false" ht="14.25" hidden="false" customHeight="false" outlineLevel="0" collapsed="false">
      <c r="A385" s="0" t="n">
        <v>1130650243</v>
      </c>
      <c r="B385" s="0" t="s">
        <v>4526</v>
      </c>
      <c r="C385" s="0" t="n">
        <v>0.386027333419518</v>
      </c>
      <c r="D385" s="0" t="n">
        <v>152042</v>
      </c>
      <c r="E385" s="0" t="s">
        <v>4137</v>
      </c>
      <c r="F385" s="225"/>
    </row>
    <row r="386" customFormat="false" ht="14.25" hidden="false" customHeight="false" outlineLevel="0" collapsed="false">
      <c r="A386" s="0" t="n">
        <v>34555438</v>
      </c>
      <c r="B386" s="0" t="s">
        <v>4527</v>
      </c>
      <c r="C386" s="0" t="n">
        <v>0.176050203096745</v>
      </c>
      <c r="D386" s="0" t="n">
        <v>2477133.08</v>
      </c>
      <c r="E386" s="0" t="s">
        <v>4137</v>
      </c>
      <c r="F386" s="225"/>
    </row>
    <row r="387" customFormat="false" ht="14.25" hidden="false" customHeight="false" outlineLevel="0" collapsed="false">
      <c r="A387" s="0" t="n">
        <v>67041989</v>
      </c>
      <c r="B387" s="0" t="s">
        <v>4528</v>
      </c>
      <c r="C387" s="0" t="n">
        <v>0.483034334268907</v>
      </c>
      <c r="D387" s="0" t="n">
        <v>-163946</v>
      </c>
      <c r="E387" s="0" t="s">
        <v>4137</v>
      </c>
      <c r="F387" s="225"/>
    </row>
    <row r="388" customFormat="false" ht="14.25" hidden="false" customHeight="false" outlineLevel="0" collapsed="false">
      <c r="A388" s="0" t="n">
        <v>1144026406</v>
      </c>
      <c r="B388" s="0" t="s">
        <v>4529</v>
      </c>
      <c r="C388" s="0" t="s">
        <v>4266</v>
      </c>
      <c r="D388" s="0" t="n">
        <v>0</v>
      </c>
      <c r="E388" s="0" t="s">
        <v>4137</v>
      </c>
      <c r="F388" s="225"/>
    </row>
    <row r="389" customFormat="false" ht="14.25" hidden="false" customHeight="false" outlineLevel="0" collapsed="false">
      <c r="A389" s="0" t="n">
        <v>29545130</v>
      </c>
      <c r="B389" s="0" t="s">
        <v>4530</v>
      </c>
      <c r="C389" s="0" t="n">
        <v>0.14025597973371</v>
      </c>
      <c r="D389" s="0" t="n">
        <v>949675</v>
      </c>
      <c r="E389" s="0" t="s">
        <v>4137</v>
      </c>
      <c r="F389" s="225"/>
    </row>
    <row r="390" customFormat="false" ht="14.25" hidden="false" customHeight="false" outlineLevel="0" collapsed="false">
      <c r="A390" s="0" t="n">
        <v>34674541</v>
      </c>
      <c r="B390" s="0" t="s">
        <v>4531</v>
      </c>
      <c r="C390" s="0" t="n">
        <v>0.401529765153848</v>
      </c>
      <c r="D390" s="0" t="n">
        <v>67089.0399999998</v>
      </c>
      <c r="E390" s="0" t="s">
        <v>4137</v>
      </c>
      <c r="F390" s="225"/>
    </row>
    <row r="391" customFormat="false" ht="14.25" hidden="false" customHeight="false" outlineLevel="0" collapsed="false">
      <c r="A391" s="0" t="n">
        <v>1143844784</v>
      </c>
      <c r="B391" s="0" t="s">
        <v>4532</v>
      </c>
      <c r="C391" s="0" t="n">
        <v>0.290577095860115</v>
      </c>
      <c r="D391" s="0" t="n">
        <v>374524</v>
      </c>
      <c r="E391" s="0" t="s">
        <v>4147</v>
      </c>
      <c r="F391" s="225"/>
    </row>
    <row r="392" customFormat="false" ht="14.25" hidden="false" customHeight="false" outlineLevel="0" collapsed="false">
      <c r="A392" s="0" t="n">
        <v>16918740</v>
      </c>
      <c r="B392" s="0" t="s">
        <v>4533</v>
      </c>
      <c r="C392" s="0" t="n">
        <v>0.123272688760526</v>
      </c>
      <c r="D392" s="0" t="n">
        <v>1036640.6</v>
      </c>
      <c r="E392" s="0" t="s">
        <v>4137</v>
      </c>
      <c r="F392" s="225"/>
    </row>
    <row r="393" customFormat="false" ht="14.25" hidden="false" customHeight="false" outlineLevel="0" collapsed="false">
      <c r="A393" s="0" t="n">
        <v>67000840</v>
      </c>
      <c r="B393" s="0" t="s">
        <v>4534</v>
      </c>
      <c r="C393" s="0" t="n">
        <v>0.41647147020383</v>
      </c>
      <c r="D393" s="0" t="n">
        <v>14252.0599999998</v>
      </c>
      <c r="E393" s="0" t="s">
        <v>4137</v>
      </c>
      <c r="F393" s="225"/>
    </row>
    <row r="394" customFormat="false" ht="14.25" hidden="false" customHeight="false" outlineLevel="0" collapsed="false">
      <c r="A394" s="0" t="n">
        <v>66873270</v>
      </c>
      <c r="B394" s="0" t="s">
        <v>4535</v>
      </c>
      <c r="C394" s="0" t="n">
        <v>0.461833323428736</v>
      </c>
      <c r="D394" s="0" t="n">
        <v>-166833.26</v>
      </c>
      <c r="E394" s="0" t="s">
        <v>4378</v>
      </c>
      <c r="F394" s="225"/>
    </row>
    <row r="395" customFormat="false" ht="14.25" hidden="false" customHeight="false" outlineLevel="0" collapsed="false">
      <c r="A395" s="0" t="n">
        <v>1144063930</v>
      </c>
      <c r="B395" s="0" t="s">
        <v>4536</v>
      </c>
      <c r="C395" s="0" t="n">
        <v>0.124752268174856</v>
      </c>
      <c r="D395" s="0" t="n">
        <v>1002307</v>
      </c>
      <c r="E395" s="0" t="s">
        <v>4137</v>
      </c>
      <c r="F395" s="225"/>
    </row>
    <row r="396" customFormat="false" ht="14.25" hidden="false" customHeight="false" outlineLevel="0" collapsed="false">
      <c r="A396" s="0" t="n">
        <v>29508587</v>
      </c>
      <c r="B396" s="0" t="s">
        <v>4537</v>
      </c>
      <c r="C396" s="0" t="n">
        <v>0.42532189210343</v>
      </c>
      <c r="D396" s="0" t="n">
        <v>-16706.3400000001</v>
      </c>
      <c r="E396" s="0" t="s">
        <v>4137</v>
      </c>
      <c r="F396" s="225"/>
    </row>
    <row r="397" customFormat="false" ht="14.25" hidden="false" customHeight="false" outlineLevel="0" collapsed="false">
      <c r="A397" s="0" t="n">
        <v>1144170609</v>
      </c>
      <c r="B397" s="0" t="s">
        <v>4538</v>
      </c>
      <c r="C397" s="0" t="n">
        <v>0.387010159651669</v>
      </c>
      <c r="D397" s="0" t="n">
        <v>95466</v>
      </c>
      <c r="E397" s="0" t="s">
        <v>4137</v>
      </c>
      <c r="F397" s="225"/>
    </row>
    <row r="398" customFormat="false" ht="14.25" hidden="false" customHeight="false" outlineLevel="0" collapsed="false">
      <c r="A398" s="0" t="n">
        <v>94556574</v>
      </c>
      <c r="B398" s="0" t="s">
        <v>4539</v>
      </c>
      <c r="C398" s="0" t="n">
        <v>0.387636633830043</v>
      </c>
      <c r="D398" s="0" t="n">
        <v>96635.76</v>
      </c>
      <c r="E398" s="0" t="s">
        <v>4147</v>
      </c>
      <c r="F398" s="225"/>
    </row>
    <row r="399" customFormat="false" ht="14.25" hidden="false" customHeight="false" outlineLevel="0" collapsed="false">
      <c r="A399" s="0" t="n">
        <v>31711815</v>
      </c>
      <c r="B399" s="0" t="s">
        <v>4540</v>
      </c>
      <c r="C399" s="0" t="n">
        <v>0.226693063141596</v>
      </c>
      <c r="D399" s="0" t="n">
        <v>623351.66</v>
      </c>
      <c r="E399" s="0" t="s">
        <v>4137</v>
      </c>
      <c r="F399" s="225"/>
    </row>
    <row r="400" customFormat="false" ht="14.25" hidden="false" customHeight="false" outlineLevel="0" collapsed="false">
      <c r="A400" s="0" t="n">
        <v>1144167122</v>
      </c>
      <c r="B400" s="0" t="s">
        <v>4541</v>
      </c>
      <c r="C400" s="0" t="n">
        <v>0.328175939147902</v>
      </c>
      <c r="D400" s="0" t="n">
        <v>458485.8</v>
      </c>
      <c r="E400" s="0" t="s">
        <v>4137</v>
      </c>
      <c r="F400" s="225"/>
    </row>
    <row r="401" customFormat="false" ht="14.25" hidden="false" customHeight="false" outlineLevel="0" collapsed="false">
      <c r="A401" s="0" t="n">
        <v>1144156511</v>
      </c>
      <c r="B401" s="0" t="s">
        <v>4542</v>
      </c>
      <c r="C401" s="0" t="n">
        <v>0.264407678866602</v>
      </c>
      <c r="D401" s="0" t="n">
        <v>976023.94</v>
      </c>
      <c r="E401" s="0" t="s">
        <v>4137</v>
      </c>
      <c r="F401" s="225"/>
    </row>
    <row r="402" customFormat="false" ht="14.25" hidden="false" customHeight="false" outlineLevel="0" collapsed="false">
      <c r="A402" s="0" t="n">
        <v>67031598</v>
      </c>
      <c r="B402" s="0" t="s">
        <v>4543</v>
      </c>
      <c r="C402" s="0" t="n">
        <v>0.293642774529332</v>
      </c>
      <c r="D402" s="0" t="n">
        <v>786599</v>
      </c>
      <c r="E402" s="0" t="s">
        <v>4137</v>
      </c>
      <c r="F402" s="225"/>
    </row>
    <row r="403" customFormat="false" ht="14.25" hidden="false" customHeight="false" outlineLevel="0" collapsed="false">
      <c r="A403" s="0" t="n">
        <v>1144168040</v>
      </c>
      <c r="B403" s="0" t="s">
        <v>4544</v>
      </c>
      <c r="C403" s="0" t="n">
        <v>0.523512770312832</v>
      </c>
      <c r="D403" s="0" t="n">
        <v>-357221.666666667</v>
      </c>
      <c r="E403" s="0" t="s">
        <v>4137</v>
      </c>
      <c r="F403" s="225"/>
    </row>
    <row r="404" customFormat="false" ht="14.25" hidden="false" customHeight="false" outlineLevel="0" collapsed="false">
      <c r="A404" s="0" t="n">
        <v>66811253</v>
      </c>
      <c r="B404" s="0" t="s">
        <v>4545</v>
      </c>
      <c r="C404" s="0" t="n">
        <v>0.424022806304395</v>
      </c>
      <c r="D404" s="0" t="n">
        <v>-18885.5000000002</v>
      </c>
      <c r="E404" s="0" t="s">
        <v>4137</v>
      </c>
      <c r="F404" s="225"/>
    </row>
    <row r="405" customFormat="false" ht="14.25" hidden="false" customHeight="false" outlineLevel="0" collapsed="false">
      <c r="A405" s="0" t="n">
        <v>66654939</v>
      </c>
      <c r="B405" s="0" t="s">
        <v>4546</v>
      </c>
      <c r="C405" s="0" t="n">
        <v>0.174625014972992</v>
      </c>
      <c r="D405" s="0" t="n">
        <v>1560941.68</v>
      </c>
      <c r="E405" s="0" t="s">
        <v>4137</v>
      </c>
      <c r="F405" s="225"/>
    </row>
    <row r="406" customFormat="false" ht="14.25" hidden="false" customHeight="false" outlineLevel="0" collapsed="false">
      <c r="A406" s="0" t="n">
        <v>1061711132</v>
      </c>
      <c r="B406" s="0" t="s">
        <v>4547</v>
      </c>
      <c r="C406" s="0" t="n">
        <v>0.200479887151782</v>
      </c>
      <c r="D406" s="0" t="n">
        <v>1680089.72</v>
      </c>
      <c r="E406" s="0" t="s">
        <v>4137</v>
      </c>
      <c r="F406" s="225"/>
    </row>
    <row r="407" customFormat="false" ht="14.25" hidden="false" customHeight="false" outlineLevel="0" collapsed="false">
      <c r="A407" s="0" t="n">
        <v>1144128222</v>
      </c>
      <c r="B407" s="0" t="s">
        <v>4548</v>
      </c>
      <c r="C407" s="0" t="n">
        <v>0.459060411414537</v>
      </c>
      <c r="D407" s="0" t="n">
        <v>-132126.62</v>
      </c>
      <c r="E407" s="0" t="s">
        <v>4137</v>
      </c>
      <c r="F407" s="225"/>
    </row>
    <row r="408" customFormat="false" ht="14.25" hidden="false" customHeight="false" outlineLevel="0" collapsed="false">
      <c r="A408" s="0" t="n">
        <v>66997637</v>
      </c>
      <c r="B408" s="0" t="s">
        <v>4549</v>
      </c>
      <c r="C408" s="0" t="n">
        <v>0.441295320850475</v>
      </c>
      <c r="D408" s="0" t="n">
        <v>-55387</v>
      </c>
      <c r="E408" s="0" t="s">
        <v>4137</v>
      </c>
      <c r="F408" s="225"/>
    </row>
    <row r="409" customFormat="false" ht="14.25" hidden="false" customHeight="false" outlineLevel="0" collapsed="false">
      <c r="A409" s="0" t="n">
        <v>1144044745</v>
      </c>
      <c r="B409" s="0" t="s">
        <v>4550</v>
      </c>
      <c r="C409" s="0" t="n">
        <v>0.418967883110182</v>
      </c>
      <c r="D409" s="0" t="n">
        <v>2820.59999999986</v>
      </c>
      <c r="E409" s="0" t="s">
        <v>4137</v>
      </c>
      <c r="F409" s="225"/>
    </row>
    <row r="410" customFormat="false" ht="14.25" hidden="false" customHeight="false" outlineLevel="0" collapsed="false">
      <c r="A410" s="0" t="n">
        <v>38210639</v>
      </c>
      <c r="B410" s="0" t="s">
        <v>4551</v>
      </c>
      <c r="C410" s="0" t="n">
        <v>0.421338284486841</v>
      </c>
      <c r="D410" s="0" t="n">
        <v>-2870.92000000004</v>
      </c>
      <c r="E410" s="0" t="s">
        <v>4137</v>
      </c>
      <c r="F410" s="225"/>
    </row>
    <row r="411" customFormat="false" ht="14.25" hidden="false" customHeight="false" outlineLevel="0" collapsed="false">
      <c r="A411" s="0" t="n">
        <v>30323543</v>
      </c>
      <c r="B411" s="0" t="s">
        <v>4552</v>
      </c>
      <c r="C411" s="0" t="n">
        <v>0.259394331484905</v>
      </c>
      <c r="D411" s="0" t="n">
        <v>781989</v>
      </c>
      <c r="E411" s="0" t="s">
        <v>4137</v>
      </c>
      <c r="F411" s="225"/>
    </row>
    <row r="412" customFormat="false" ht="14.25" hidden="false" customHeight="false" outlineLevel="0" collapsed="false">
      <c r="A412" s="0" t="n">
        <v>1113624682</v>
      </c>
      <c r="B412" s="0" t="s">
        <v>4553</v>
      </c>
      <c r="C412" s="0" t="n">
        <v>0.176431675745406</v>
      </c>
      <c r="D412" s="0" t="n">
        <v>1598721.02</v>
      </c>
      <c r="E412" s="0" t="s">
        <v>4137</v>
      </c>
      <c r="F412" s="225"/>
    </row>
    <row r="413" customFormat="false" ht="14.25" hidden="false" customHeight="false" outlineLevel="0" collapsed="false">
      <c r="A413" s="0" t="n">
        <v>1118283599</v>
      </c>
      <c r="B413" s="0" t="s">
        <v>4554</v>
      </c>
      <c r="C413" s="0" t="n">
        <v>0.478541048842927</v>
      </c>
      <c r="D413" s="0" t="n">
        <v>-230962</v>
      </c>
      <c r="E413" s="0" t="s">
        <v>4137</v>
      </c>
      <c r="F413" s="225"/>
    </row>
    <row r="414" customFormat="false" ht="14.25" hidden="false" customHeight="false" outlineLevel="0" collapsed="false">
      <c r="A414" s="0" t="n">
        <v>1144137869</v>
      </c>
      <c r="B414" s="0" t="s">
        <v>4555</v>
      </c>
      <c r="C414" s="0" t="n">
        <v>0.324842755016844</v>
      </c>
      <c r="D414" s="0" t="n">
        <v>381801</v>
      </c>
      <c r="E414" s="0" t="s">
        <v>4137</v>
      </c>
      <c r="F414" s="225"/>
    </row>
    <row r="415" customFormat="false" ht="14.25" hidden="false" customHeight="false" outlineLevel="0" collapsed="false">
      <c r="A415" s="0" t="n">
        <v>1114339845</v>
      </c>
      <c r="B415" s="0" t="s">
        <v>4556</v>
      </c>
      <c r="C415" s="0" t="n">
        <v>0.473690021401284</v>
      </c>
      <c r="D415" s="0" t="n">
        <v>-536868</v>
      </c>
      <c r="E415" s="0" t="s">
        <v>4137</v>
      </c>
      <c r="F415" s="225"/>
    </row>
    <row r="416" customFormat="false" ht="14.25" hidden="false" customHeight="false" outlineLevel="0" collapsed="false">
      <c r="A416" s="0" t="n">
        <v>29680920</v>
      </c>
      <c r="B416" s="0" t="s">
        <v>4557</v>
      </c>
      <c r="C416" s="0" t="n">
        <v>0.539005142589438</v>
      </c>
      <c r="D416" s="0" t="n">
        <v>-399577.26</v>
      </c>
      <c r="E416" s="0" t="s">
        <v>4137</v>
      </c>
      <c r="F416" s="225"/>
    </row>
    <row r="417" customFormat="false" ht="14.25" hidden="false" customHeight="false" outlineLevel="0" collapsed="false">
      <c r="A417" s="0" t="n">
        <v>10723755</v>
      </c>
      <c r="B417" s="0" t="s">
        <v>4558</v>
      </c>
      <c r="C417" s="0" t="n">
        <v>0.222243711551183</v>
      </c>
      <c r="D417" s="0" t="n">
        <v>1086921.56</v>
      </c>
      <c r="E417" s="0" t="s">
        <v>4137</v>
      </c>
      <c r="F417" s="225"/>
    </row>
    <row r="418" customFormat="false" ht="14.25" hidden="false" customHeight="false" outlineLevel="0" collapsed="false">
      <c r="A418" s="0" t="n">
        <v>1002994011</v>
      </c>
      <c r="B418" s="0" t="s">
        <v>4559</v>
      </c>
      <c r="C418" s="0" t="n">
        <v>0.338120048993213</v>
      </c>
      <c r="D418" s="0" t="n">
        <v>335453.48</v>
      </c>
      <c r="E418" s="0" t="s">
        <v>4137</v>
      </c>
      <c r="F418" s="225"/>
    </row>
    <row r="419" customFormat="false" ht="14.25" hidden="false" customHeight="false" outlineLevel="0" collapsed="false">
      <c r="A419" s="0" t="n">
        <v>66872117</v>
      </c>
      <c r="B419" s="0" t="s">
        <v>4560</v>
      </c>
      <c r="C419" s="0" t="n">
        <v>0.183799302718693</v>
      </c>
      <c r="D419" s="0" t="n">
        <v>1341431</v>
      </c>
      <c r="E419" s="0" t="s">
        <v>4137</v>
      </c>
      <c r="F419" s="225"/>
    </row>
    <row r="420" customFormat="false" ht="14.25" hidden="false" customHeight="false" outlineLevel="0" collapsed="false">
      <c r="A420" s="0" t="n">
        <v>38613128</v>
      </c>
      <c r="B420" s="0" t="s">
        <v>4561</v>
      </c>
      <c r="C420" s="0" t="n">
        <v>0.380320658233688</v>
      </c>
      <c r="D420" s="0" t="n">
        <v>103202</v>
      </c>
      <c r="E420" s="0" t="s">
        <v>4137</v>
      </c>
      <c r="F420" s="225"/>
    </row>
    <row r="421" customFormat="false" ht="14.25" hidden="false" customHeight="false" outlineLevel="0" collapsed="false">
      <c r="A421" s="0" t="n">
        <v>1130612863</v>
      </c>
      <c r="B421" s="0" t="s">
        <v>4562</v>
      </c>
      <c r="C421" s="0" t="n">
        <v>0.34763161195265</v>
      </c>
      <c r="D421" s="0" t="n">
        <v>185219.58</v>
      </c>
      <c r="E421" s="0" t="s">
        <v>4137</v>
      </c>
      <c r="F421" s="225"/>
    </row>
    <row r="422" customFormat="false" ht="14.25" hidden="false" customHeight="false" outlineLevel="0" collapsed="false">
      <c r="A422" s="0" t="n">
        <v>14638857</v>
      </c>
      <c r="B422" s="0" t="s">
        <v>4563</v>
      </c>
      <c r="C422" s="0" t="n">
        <v>0.323022692451033</v>
      </c>
      <c r="D422" s="0" t="n">
        <v>530831.8</v>
      </c>
      <c r="E422" s="0" t="s">
        <v>4137</v>
      </c>
      <c r="F422" s="225"/>
    </row>
    <row r="423" customFormat="false" ht="14.25" hidden="false" customHeight="false" outlineLevel="0" collapsed="false">
      <c r="A423" s="0" t="n">
        <v>1144155708</v>
      </c>
      <c r="B423" s="0" t="s">
        <v>4564</v>
      </c>
      <c r="C423" s="0" t="n">
        <v>0.212149747706793</v>
      </c>
      <c r="D423" s="0" t="n">
        <v>809248.26</v>
      </c>
      <c r="E423" s="0" t="s">
        <v>4137</v>
      </c>
      <c r="F423" s="225"/>
    </row>
    <row r="424" customFormat="false" ht="14.25" hidden="false" customHeight="false" outlineLevel="0" collapsed="false">
      <c r="A424" s="0" t="n">
        <v>38886733</v>
      </c>
      <c r="B424" s="0" t="s">
        <v>4565</v>
      </c>
      <c r="C424" s="0" t="n">
        <v>0.525596106596107</v>
      </c>
      <c r="D424" s="0" t="n">
        <v>-558709</v>
      </c>
      <c r="E424" s="0" t="s">
        <v>4137</v>
      </c>
      <c r="F424" s="225"/>
    </row>
    <row r="425" customFormat="false" ht="14.25" hidden="false" customHeight="false" outlineLevel="0" collapsed="false">
      <c r="A425" s="0" t="n">
        <v>1144032127</v>
      </c>
      <c r="B425" s="0" t="s">
        <v>4566</v>
      </c>
      <c r="C425" s="0" t="n">
        <v>0.408230973647302</v>
      </c>
      <c r="D425" s="0" t="n">
        <v>63774</v>
      </c>
      <c r="E425" s="0" t="s">
        <v>4137</v>
      </c>
      <c r="F425" s="225"/>
    </row>
    <row r="426" customFormat="false" ht="14.25" hidden="false" customHeight="false" outlineLevel="0" collapsed="false">
      <c r="A426" s="0" t="n">
        <v>29352921</v>
      </c>
      <c r="B426" s="0" t="s">
        <v>4567</v>
      </c>
      <c r="C426" s="0" t="n">
        <v>0.383555317218437</v>
      </c>
      <c r="D426" s="0" t="n">
        <v>109213.38</v>
      </c>
      <c r="E426" s="0" t="s">
        <v>4137</v>
      </c>
      <c r="F426" s="225"/>
    </row>
    <row r="427" customFormat="false" ht="14.25" hidden="false" customHeight="false" outlineLevel="0" collapsed="false">
      <c r="A427" s="0" t="n">
        <v>1144137672</v>
      </c>
      <c r="B427" s="0" t="s">
        <v>4568</v>
      </c>
      <c r="C427" s="0" t="n">
        <v>0.52100248807796</v>
      </c>
      <c r="D427" s="0" t="n">
        <v>-292281</v>
      </c>
      <c r="E427" s="0" t="s">
        <v>4137</v>
      </c>
      <c r="F427" s="225"/>
    </row>
    <row r="428" customFormat="false" ht="14.25" hidden="false" customHeight="false" outlineLevel="0" collapsed="false">
      <c r="A428" s="0" t="n">
        <v>1144139342</v>
      </c>
      <c r="B428" s="0" t="s">
        <v>4569</v>
      </c>
      <c r="C428" s="0" t="n">
        <v>0.291259187233677</v>
      </c>
      <c r="D428" s="0" t="n">
        <v>450168</v>
      </c>
      <c r="E428" s="0" t="s">
        <v>4137</v>
      </c>
      <c r="F428" s="225"/>
    </row>
    <row r="429" customFormat="false" ht="14.25" hidden="false" customHeight="false" outlineLevel="0" collapsed="false">
      <c r="A429" s="0" t="n">
        <v>67043234</v>
      </c>
      <c r="B429" s="0" t="s">
        <v>4570</v>
      </c>
      <c r="C429" s="0" t="n">
        <v>0.325668639294483</v>
      </c>
      <c r="D429" s="0" t="n">
        <v>610865.24</v>
      </c>
      <c r="E429" s="0" t="s">
        <v>4147</v>
      </c>
      <c r="F429" s="225"/>
    </row>
    <row r="430" customFormat="false" ht="14.25" hidden="false" customHeight="false" outlineLevel="0" collapsed="false">
      <c r="A430" s="0" t="n">
        <v>16379970</v>
      </c>
      <c r="B430" s="0" t="s">
        <v>4571</v>
      </c>
      <c r="C430" s="0" t="n">
        <v>0.267365218767395</v>
      </c>
      <c r="D430" s="0" t="n">
        <v>551702.08</v>
      </c>
      <c r="E430" s="0" t="s">
        <v>4137</v>
      </c>
      <c r="F430" s="225"/>
    </row>
    <row r="431" customFormat="false" ht="14.25" hidden="false" customHeight="false" outlineLevel="0" collapsed="false">
      <c r="A431" s="0" t="n">
        <v>29117076</v>
      </c>
      <c r="B431" s="0" t="s">
        <v>4572</v>
      </c>
      <c r="C431" s="0" t="n">
        <v>0.269948339809255</v>
      </c>
      <c r="D431" s="0" t="n">
        <v>2039022</v>
      </c>
      <c r="E431" s="0" t="s">
        <v>4137</v>
      </c>
      <c r="F431" s="225"/>
    </row>
    <row r="432" customFormat="false" ht="14.25" hidden="false" customHeight="false" outlineLevel="0" collapsed="false">
      <c r="A432" s="0" t="n">
        <v>66848316</v>
      </c>
      <c r="B432" s="0" t="s">
        <v>4573</v>
      </c>
      <c r="C432" s="0" t="n">
        <v>0.481883615218867</v>
      </c>
      <c r="D432" s="0" t="n">
        <v>-419311</v>
      </c>
      <c r="E432" s="0" t="s">
        <v>4137</v>
      </c>
      <c r="F432" s="225"/>
    </row>
    <row r="433" customFormat="false" ht="14.25" hidden="false" customHeight="false" outlineLevel="0" collapsed="false">
      <c r="A433" s="0" t="n">
        <v>13069223</v>
      </c>
      <c r="B433" s="0" t="s">
        <v>4574</v>
      </c>
      <c r="C433" s="0" t="n">
        <v>0.229422318379842</v>
      </c>
      <c r="D433" s="0" t="n">
        <v>2589722</v>
      </c>
      <c r="E433" s="0" t="s">
        <v>4137</v>
      </c>
      <c r="F433" s="225"/>
    </row>
    <row r="434" customFormat="false" ht="14.25" hidden="false" customHeight="false" outlineLevel="0" collapsed="false">
      <c r="A434" s="0" t="n">
        <v>1107055498</v>
      </c>
      <c r="B434" s="0" t="s">
        <v>4575</v>
      </c>
      <c r="C434" s="0" t="n">
        <v>0.205810403023051</v>
      </c>
      <c r="D434" s="0" t="n">
        <v>1285390.04</v>
      </c>
      <c r="E434" s="0" t="s">
        <v>4137</v>
      </c>
      <c r="F434" s="225"/>
    </row>
    <row r="435" customFormat="false" ht="14.25" hidden="false" customHeight="false" outlineLevel="0" collapsed="false">
      <c r="A435" s="0" t="n">
        <v>31446402</v>
      </c>
      <c r="B435" s="0" t="s">
        <v>4576</v>
      </c>
      <c r="C435" s="0" t="n">
        <v>0.484282444437609</v>
      </c>
      <c r="D435" s="0" t="n">
        <v>-185301.56</v>
      </c>
      <c r="E435" s="0" t="s">
        <v>4137</v>
      </c>
      <c r="F435" s="225"/>
    </row>
    <row r="436" customFormat="false" ht="14.25" hidden="false" customHeight="false" outlineLevel="0" collapsed="false">
      <c r="A436" s="0" t="n">
        <v>16738073</v>
      </c>
      <c r="B436" s="0" t="s">
        <v>4577</v>
      </c>
      <c r="C436" s="0" t="n">
        <v>0.372049468417896</v>
      </c>
      <c r="D436" s="0" t="n">
        <v>192064.16</v>
      </c>
      <c r="E436" s="0" t="s">
        <v>4137</v>
      </c>
      <c r="F436" s="225"/>
    </row>
    <row r="437" customFormat="false" ht="14.25" hidden="false" customHeight="false" outlineLevel="0" collapsed="false">
      <c r="A437" s="0" t="n">
        <v>1085661638</v>
      </c>
      <c r="B437" s="0" t="s">
        <v>4578</v>
      </c>
      <c r="C437" s="0" t="n">
        <v>0.430288693803746</v>
      </c>
      <c r="D437" s="0" t="n">
        <v>-65593.8799999999</v>
      </c>
      <c r="E437" s="0" t="s">
        <v>4147</v>
      </c>
      <c r="F437" s="225"/>
    </row>
    <row r="438" customFormat="false" ht="14.25" hidden="false" customHeight="false" outlineLevel="0" collapsed="false">
      <c r="A438" s="0" t="n">
        <v>1128416021</v>
      </c>
      <c r="B438" s="0" t="s">
        <v>4579</v>
      </c>
      <c r="C438" s="0" t="n">
        <v>0.358474682293499</v>
      </c>
      <c r="D438" s="0" t="n">
        <v>391952.02</v>
      </c>
      <c r="E438" s="0" t="s">
        <v>4511</v>
      </c>
      <c r="F438" s="225"/>
    </row>
    <row r="439" customFormat="false" ht="14.25" hidden="false" customHeight="false" outlineLevel="0" collapsed="false">
      <c r="A439" s="0" t="n">
        <v>1087994517</v>
      </c>
      <c r="B439" s="0" t="s">
        <v>4580</v>
      </c>
      <c r="C439" s="0" t="n">
        <v>0.467793068809643</v>
      </c>
      <c r="D439" s="0" t="n">
        <v>-95156</v>
      </c>
      <c r="E439" s="0" t="s">
        <v>4137</v>
      </c>
      <c r="F439" s="225"/>
    </row>
    <row r="440" customFormat="false" ht="14.25" hidden="false" customHeight="false" outlineLevel="0" collapsed="false">
      <c r="A440" s="0" t="n">
        <v>1053788277</v>
      </c>
      <c r="B440" s="0" t="s">
        <v>4581</v>
      </c>
      <c r="C440" s="0" t="n">
        <v>0.380777325360766</v>
      </c>
      <c r="D440" s="0" t="n">
        <v>254950</v>
      </c>
      <c r="E440" s="0" t="s">
        <v>4137</v>
      </c>
      <c r="F440" s="225"/>
    </row>
    <row r="441" customFormat="false" ht="14.25" hidden="false" customHeight="false" outlineLevel="0" collapsed="false">
      <c r="A441" s="0" t="n">
        <v>16865656</v>
      </c>
      <c r="B441" s="0" t="s">
        <v>4582</v>
      </c>
      <c r="C441" s="0" t="n">
        <v>0.355823257903674</v>
      </c>
      <c r="D441" s="0" t="n">
        <v>142745.14</v>
      </c>
      <c r="E441" s="0" t="s">
        <v>4137</v>
      </c>
      <c r="F441" s="225"/>
    </row>
    <row r="442" customFormat="false" ht="14.25" hidden="false" customHeight="false" outlineLevel="0" collapsed="false">
      <c r="A442" s="0" t="n">
        <v>1144171386</v>
      </c>
      <c r="B442" s="0" t="s">
        <v>4583</v>
      </c>
      <c r="C442" s="0" t="n">
        <v>0.354383784468232</v>
      </c>
      <c r="D442" s="0" t="n">
        <v>224554</v>
      </c>
      <c r="E442" s="0" t="s">
        <v>4137</v>
      </c>
      <c r="F442" s="225"/>
    </row>
    <row r="443" customFormat="false" ht="14.25" hidden="false" customHeight="false" outlineLevel="0" collapsed="false">
      <c r="A443" s="0" t="n">
        <v>1113518076</v>
      </c>
      <c r="B443" s="0" t="s">
        <v>4584</v>
      </c>
      <c r="C443" s="0" t="n">
        <v>0.254015033724503</v>
      </c>
      <c r="D443" s="0" t="n">
        <v>577965.96</v>
      </c>
      <c r="E443" s="0" t="s">
        <v>4137</v>
      </c>
      <c r="F443" s="225"/>
    </row>
    <row r="444" customFormat="false" ht="14.25" hidden="false" customHeight="false" outlineLevel="0" collapsed="false">
      <c r="A444" s="0" t="n">
        <v>1144164758</v>
      </c>
      <c r="B444" s="0" t="s">
        <v>4585</v>
      </c>
      <c r="C444" s="0" t="n">
        <v>0.18043135204742</v>
      </c>
      <c r="D444" s="0" t="n">
        <v>989360.78</v>
      </c>
      <c r="E444" s="0" t="s">
        <v>4137</v>
      </c>
      <c r="F444" s="225"/>
    </row>
    <row r="445" customFormat="false" ht="14.25" hidden="false" customHeight="false" outlineLevel="0" collapsed="false">
      <c r="A445" s="0" t="n">
        <v>1130628436</v>
      </c>
      <c r="B445" s="0" t="s">
        <v>4586</v>
      </c>
      <c r="C445" s="0" t="n">
        <v>0.449730465581608</v>
      </c>
      <c r="D445" s="0" t="n">
        <v>-87823.28</v>
      </c>
      <c r="E445" s="0" t="s">
        <v>4137</v>
      </c>
      <c r="F445" s="225"/>
    </row>
    <row r="446" customFormat="false" ht="14.25" hidden="false" customHeight="false" outlineLevel="0" collapsed="false">
      <c r="A446" s="0" t="n">
        <v>31582244</v>
      </c>
      <c r="B446" s="0" t="s">
        <v>4587</v>
      </c>
      <c r="C446" s="0" t="n">
        <v>0.230719054530375</v>
      </c>
      <c r="D446" s="0" t="n">
        <v>456451</v>
      </c>
      <c r="E446" s="0" t="s">
        <v>4137</v>
      </c>
      <c r="F446" s="225"/>
    </row>
    <row r="447" customFormat="false" ht="14.25" hidden="false" customHeight="false" outlineLevel="0" collapsed="false">
      <c r="A447" s="0" t="n">
        <v>31585154</v>
      </c>
      <c r="B447" s="0" t="s">
        <v>4588</v>
      </c>
      <c r="C447" s="0" t="n">
        <v>0.311631742858241</v>
      </c>
      <c r="D447" s="0" t="n">
        <v>281855</v>
      </c>
      <c r="E447" s="0" t="s">
        <v>4137</v>
      </c>
      <c r="F447" s="225"/>
    </row>
    <row r="448" customFormat="false" ht="14.25" hidden="false" customHeight="false" outlineLevel="0" collapsed="false">
      <c r="A448" s="0" t="n">
        <v>1130670426</v>
      </c>
      <c r="B448" s="0" t="s">
        <v>4589</v>
      </c>
      <c r="C448" s="0" t="n">
        <v>0.320489321998756</v>
      </c>
      <c r="D448" s="0" t="n">
        <v>287964</v>
      </c>
      <c r="E448" s="0" t="s">
        <v>4147</v>
      </c>
      <c r="F448" s="225"/>
    </row>
    <row r="449" customFormat="false" ht="14.25" hidden="false" customHeight="false" outlineLevel="0" collapsed="false">
      <c r="A449" s="0" t="n">
        <v>1114388985</v>
      </c>
      <c r="B449" s="0" t="s">
        <v>4590</v>
      </c>
      <c r="C449" s="0" t="n">
        <v>0.488539911153832</v>
      </c>
      <c r="D449" s="0" t="n">
        <v>-290651</v>
      </c>
      <c r="E449" s="0" t="s">
        <v>4137</v>
      </c>
      <c r="F449" s="225"/>
    </row>
    <row r="450" customFormat="false" ht="14.25" hidden="false" customHeight="false" outlineLevel="0" collapsed="false">
      <c r="A450" s="0" t="n">
        <v>1112300302</v>
      </c>
      <c r="B450" s="0" t="s">
        <v>4591</v>
      </c>
      <c r="C450" s="0" t="n">
        <v>0.365786415342286</v>
      </c>
      <c r="D450" s="0" t="n">
        <v>264031</v>
      </c>
      <c r="E450" s="0" t="s">
        <v>4137</v>
      </c>
      <c r="F450" s="225"/>
    </row>
    <row r="451" customFormat="false" ht="14.25" hidden="false" customHeight="false" outlineLevel="0" collapsed="false">
      <c r="A451" s="0" t="n">
        <v>43190151</v>
      </c>
      <c r="B451" s="0" t="s">
        <v>4592</v>
      </c>
      <c r="C451" s="0" t="n">
        <v>0.318066710552318</v>
      </c>
      <c r="D451" s="0" t="n">
        <v>389439.7</v>
      </c>
      <c r="E451" s="0" t="s">
        <v>4137</v>
      </c>
      <c r="F451" s="225"/>
    </row>
    <row r="452" customFormat="false" ht="14.25" hidden="false" customHeight="false" outlineLevel="0" collapsed="false">
      <c r="A452" s="0" t="n">
        <v>1130606712</v>
      </c>
      <c r="B452" s="0" t="s">
        <v>4593</v>
      </c>
      <c r="C452" s="0" t="n">
        <v>0.325496620169578</v>
      </c>
      <c r="D452" s="0" t="n">
        <v>967450</v>
      </c>
      <c r="E452" s="0" t="s">
        <v>4137</v>
      </c>
      <c r="F452" s="225"/>
    </row>
    <row r="453" customFormat="false" ht="14.25" hidden="false" customHeight="false" outlineLevel="0" collapsed="false">
      <c r="A453" s="0" t="n">
        <v>1085661067</v>
      </c>
      <c r="B453" s="0" t="s">
        <v>4594</v>
      </c>
      <c r="C453" s="0" t="n">
        <v>0.266010502457689</v>
      </c>
      <c r="D453" s="0" t="n">
        <v>762954.26</v>
      </c>
      <c r="E453" s="0" t="s">
        <v>4137</v>
      </c>
      <c r="F453" s="225"/>
    </row>
    <row r="454" customFormat="false" ht="14.25" hidden="false" customHeight="false" outlineLevel="0" collapsed="false">
      <c r="A454" s="0" t="n">
        <v>6550905</v>
      </c>
      <c r="B454" s="0" t="s">
        <v>4595</v>
      </c>
      <c r="C454" s="0" t="n">
        <v>0.359959545547133</v>
      </c>
      <c r="D454" s="0" t="n">
        <v>391637.36</v>
      </c>
      <c r="E454" s="0" t="s">
        <v>4137</v>
      </c>
      <c r="F454" s="225"/>
    </row>
    <row r="455" customFormat="false" ht="14.25" hidden="false" customHeight="false" outlineLevel="0" collapsed="false">
      <c r="A455" s="0" t="n">
        <v>1075250228</v>
      </c>
      <c r="B455" s="0" t="s">
        <v>4596</v>
      </c>
      <c r="C455" s="0" t="n">
        <v>0.206193359975513</v>
      </c>
      <c r="D455" s="0" t="n">
        <v>1241967.28</v>
      </c>
      <c r="E455" s="0" t="s">
        <v>4137</v>
      </c>
      <c r="F455" s="225"/>
    </row>
    <row r="456" customFormat="false" ht="14.25" hidden="false" customHeight="false" outlineLevel="0" collapsed="false">
      <c r="A456" s="0" t="n">
        <v>22462719</v>
      </c>
      <c r="B456" s="0" t="s">
        <v>4597</v>
      </c>
      <c r="C456" s="0" t="n">
        <v>0.434433808574814</v>
      </c>
      <c r="D456" s="0" t="n">
        <v>-131171.58</v>
      </c>
      <c r="E456" s="0" t="s">
        <v>4147</v>
      </c>
      <c r="F456" s="225"/>
    </row>
    <row r="457" customFormat="false" ht="14.25" hidden="false" customHeight="false" outlineLevel="0" collapsed="false">
      <c r="A457" s="0" t="n">
        <v>67025436</v>
      </c>
      <c r="B457" s="0" t="s">
        <v>4598</v>
      </c>
      <c r="C457" s="0" t="n">
        <v>0.371241512397999</v>
      </c>
      <c r="D457" s="0" t="n">
        <v>164189.9</v>
      </c>
      <c r="E457" s="0" t="s">
        <v>4137</v>
      </c>
      <c r="F457" s="225"/>
    </row>
    <row r="458" customFormat="false" ht="14.25" hidden="false" customHeight="false" outlineLevel="0" collapsed="false">
      <c r="A458" s="0" t="n">
        <v>53006632</v>
      </c>
      <c r="B458" s="0" t="s">
        <v>4599</v>
      </c>
      <c r="C458" s="0" t="n">
        <v>0.424441979233698</v>
      </c>
      <c r="D458" s="0" t="n">
        <v>-25802.7200000002</v>
      </c>
      <c r="E458" s="0" t="s">
        <v>4137</v>
      </c>
      <c r="F458" s="225"/>
    </row>
    <row r="459" customFormat="false" ht="14.25" hidden="false" customHeight="false" outlineLevel="0" collapsed="false">
      <c r="A459" s="0" t="n">
        <v>1143840792</v>
      </c>
      <c r="B459" s="0" t="s">
        <v>4600</v>
      </c>
      <c r="C459" s="0" t="n">
        <v>0.508340618610564</v>
      </c>
      <c r="D459" s="0" t="n">
        <v>-364316.24</v>
      </c>
      <c r="E459" s="0" t="s">
        <v>4137</v>
      </c>
      <c r="F459" s="225"/>
    </row>
    <row r="460" customFormat="false" ht="14.25" hidden="false" customHeight="false" outlineLevel="0" collapsed="false">
      <c r="A460" s="0" t="n">
        <v>1130631347</v>
      </c>
      <c r="B460" s="0" t="s">
        <v>4601</v>
      </c>
      <c r="C460" s="0" t="n">
        <v>0.358324200695669</v>
      </c>
      <c r="D460" s="0" t="n">
        <v>491868.2</v>
      </c>
      <c r="E460" s="0" t="s">
        <v>4147</v>
      </c>
      <c r="F460" s="225"/>
    </row>
    <row r="461" customFormat="false" ht="14.25" hidden="false" customHeight="false" outlineLevel="0" collapsed="false">
      <c r="A461" s="0" t="n">
        <v>25733400</v>
      </c>
      <c r="B461" s="0" t="s">
        <v>4602</v>
      </c>
      <c r="C461" s="0" t="n">
        <v>0.370151247161227</v>
      </c>
      <c r="D461" s="0" t="n">
        <v>185521.04</v>
      </c>
      <c r="E461" s="0" t="s">
        <v>4137</v>
      </c>
      <c r="F461" s="225"/>
    </row>
    <row r="462" customFormat="false" ht="14.25" hidden="false" customHeight="false" outlineLevel="0" collapsed="false">
      <c r="A462" s="0" t="n">
        <v>35424880</v>
      </c>
      <c r="B462" s="0" t="s">
        <v>4603</v>
      </c>
      <c r="C462" s="0" t="n">
        <v>0.236740478575688</v>
      </c>
      <c r="D462" s="0" t="n">
        <v>775450.02</v>
      </c>
      <c r="E462" s="0" t="s">
        <v>4137</v>
      </c>
      <c r="F462" s="225"/>
    </row>
    <row r="463" customFormat="false" ht="14.25" hidden="false" customHeight="false" outlineLevel="0" collapsed="false">
      <c r="A463" s="0" t="n">
        <v>1130587208</v>
      </c>
      <c r="B463" s="0" t="s">
        <v>4604</v>
      </c>
      <c r="C463" s="0" t="n">
        <v>0.319737390579408</v>
      </c>
      <c r="D463" s="0" t="n">
        <v>1039089.6</v>
      </c>
      <c r="E463" s="0" t="s">
        <v>4137</v>
      </c>
      <c r="F463" s="225"/>
    </row>
    <row r="464" customFormat="false" ht="14.25" hidden="false" customHeight="false" outlineLevel="0" collapsed="false">
      <c r="A464" s="0" t="n">
        <v>1094898445</v>
      </c>
      <c r="B464" s="0" t="s">
        <v>4605</v>
      </c>
      <c r="C464" s="0" t="n">
        <v>0.137657122546887</v>
      </c>
      <c r="D464" s="0" t="n">
        <v>1858033.82</v>
      </c>
      <c r="E464" s="0" t="s">
        <v>4137</v>
      </c>
      <c r="F464" s="225"/>
    </row>
    <row r="465" customFormat="false" ht="14.25" hidden="false" customHeight="false" outlineLevel="0" collapsed="false">
      <c r="A465" s="0" t="n">
        <v>1058967701</v>
      </c>
      <c r="B465" s="0" t="s">
        <v>4606</v>
      </c>
      <c r="C465" s="0" t="n">
        <v>0.210199272019374</v>
      </c>
      <c r="D465" s="0" t="n">
        <v>1501901.94</v>
      </c>
      <c r="E465" s="0" t="s">
        <v>4137</v>
      </c>
      <c r="F465" s="225"/>
    </row>
    <row r="466" customFormat="false" ht="14.25" hidden="false" customHeight="false" outlineLevel="0" collapsed="false">
      <c r="A466" s="0" t="n">
        <v>38557612</v>
      </c>
      <c r="B466" s="0" t="s">
        <v>4607</v>
      </c>
      <c r="C466" s="0" t="n">
        <v>0.417442995868997</v>
      </c>
      <c r="D466" s="0" t="n">
        <v>15221.52</v>
      </c>
      <c r="E466" s="0" t="s">
        <v>4137</v>
      </c>
      <c r="F466" s="225"/>
    </row>
    <row r="467" customFormat="false" ht="14.25" hidden="false" customHeight="false" outlineLevel="0" collapsed="false">
      <c r="A467" s="0" t="n">
        <v>1047393865</v>
      </c>
      <c r="B467" s="0" t="s">
        <v>4608</v>
      </c>
      <c r="C467" s="0" t="n">
        <v>0.287676522667184</v>
      </c>
      <c r="D467" s="0" t="n">
        <v>1091060</v>
      </c>
      <c r="E467" s="0" t="s">
        <v>4147</v>
      </c>
      <c r="F467" s="225"/>
    </row>
    <row r="468" customFormat="false" ht="14.25" hidden="false" customHeight="false" outlineLevel="0" collapsed="false">
      <c r="A468" s="0" t="n">
        <v>1113673479</v>
      </c>
      <c r="B468" s="0" t="s">
        <v>4609</v>
      </c>
      <c r="C468" s="0" t="n">
        <v>0.271031181578246</v>
      </c>
      <c r="D468" s="0" t="n">
        <v>513346.3</v>
      </c>
      <c r="E468" s="0" t="s">
        <v>4137</v>
      </c>
      <c r="F468" s="225"/>
    </row>
    <row r="469" customFormat="false" ht="14.25" hidden="false" customHeight="false" outlineLevel="0" collapsed="false">
      <c r="A469" s="0" t="n">
        <v>16729841</v>
      </c>
      <c r="B469" s="0" t="s">
        <v>4610</v>
      </c>
      <c r="C469" s="0" t="n">
        <v>0.306898328034852</v>
      </c>
      <c r="D469" s="0" t="n">
        <v>1536916</v>
      </c>
      <c r="E469" s="0" t="s">
        <v>4137</v>
      </c>
      <c r="F469" s="225"/>
    </row>
    <row r="470" customFormat="false" ht="14.25" hidden="false" customHeight="false" outlineLevel="0" collapsed="false">
      <c r="A470" s="0" t="n">
        <v>1130637498</v>
      </c>
      <c r="B470" s="0" t="s">
        <v>4611</v>
      </c>
      <c r="C470" s="0" t="n">
        <v>0.311535711123478</v>
      </c>
      <c r="D470" s="0" t="n">
        <v>379340.22</v>
      </c>
      <c r="E470" s="0" t="s">
        <v>4137</v>
      </c>
      <c r="F470" s="225"/>
    </row>
    <row r="471" customFormat="false" ht="14.25" hidden="false" customHeight="false" outlineLevel="0" collapsed="false">
      <c r="A471" s="0" t="n">
        <v>27456572</v>
      </c>
      <c r="B471" s="0" t="s">
        <v>4612</v>
      </c>
      <c r="C471" s="0" t="n">
        <v>0.152367641970087</v>
      </c>
      <c r="D471" s="0" t="n">
        <v>696085</v>
      </c>
      <c r="E471" s="0" t="s">
        <v>4137</v>
      </c>
      <c r="F471" s="225"/>
    </row>
    <row r="472" customFormat="false" ht="14.25" hidden="false" customHeight="false" outlineLevel="0" collapsed="false">
      <c r="A472" s="0" t="n">
        <v>1130617701</v>
      </c>
      <c r="B472" s="0" t="s">
        <v>4613</v>
      </c>
      <c r="C472" s="0" t="n">
        <v>0.151931748182826</v>
      </c>
      <c r="D472" s="0" t="n">
        <v>1305546</v>
      </c>
      <c r="E472" s="0" t="s">
        <v>4137</v>
      </c>
      <c r="F472" s="225"/>
    </row>
    <row r="473" customFormat="false" ht="14.25" hidden="false" customHeight="false" outlineLevel="0" collapsed="false">
      <c r="A473" s="0" t="n">
        <v>1144026363</v>
      </c>
      <c r="B473" s="0" t="s">
        <v>4614</v>
      </c>
      <c r="C473" s="0" t="n">
        <v>0.194451892206254</v>
      </c>
      <c r="D473" s="0" t="n">
        <v>1343432.42</v>
      </c>
      <c r="E473" s="0" t="s">
        <v>4137</v>
      </c>
      <c r="F473" s="225"/>
    </row>
    <row r="474" customFormat="false" ht="14.25" hidden="false" customHeight="false" outlineLevel="0" collapsed="false">
      <c r="A474" s="0" t="n">
        <v>38642212</v>
      </c>
      <c r="B474" s="0" t="s">
        <v>4615</v>
      </c>
      <c r="C474" s="0" t="n">
        <v>0.259961833367564</v>
      </c>
      <c r="D474" s="0" t="n">
        <v>935071</v>
      </c>
      <c r="E474" s="0" t="s">
        <v>4137</v>
      </c>
      <c r="F474" s="225"/>
    </row>
    <row r="475" customFormat="false" ht="14.25" hidden="false" customHeight="false" outlineLevel="0" collapsed="false">
      <c r="A475" s="0" t="n">
        <v>1143969075</v>
      </c>
      <c r="B475" s="0" t="s">
        <v>4616</v>
      </c>
      <c r="C475" s="0" t="n">
        <v>0.158878895435143</v>
      </c>
      <c r="D475" s="0" t="n">
        <v>847264</v>
      </c>
      <c r="E475" s="0" t="s">
        <v>4137</v>
      </c>
      <c r="F475" s="225"/>
    </row>
    <row r="476" customFormat="false" ht="14.25" hidden="false" customHeight="false" outlineLevel="0" collapsed="false">
      <c r="A476" s="0" t="n">
        <v>29510817</v>
      </c>
      <c r="B476" s="0" t="s">
        <v>4617</v>
      </c>
      <c r="C476" s="0" t="n">
        <v>0.416697890891952</v>
      </c>
      <c r="D476" s="0" t="n">
        <v>11210</v>
      </c>
      <c r="E476" s="0" t="s">
        <v>4137</v>
      </c>
      <c r="F476" s="225"/>
    </row>
    <row r="477" customFormat="false" ht="14.25" hidden="false" customHeight="false" outlineLevel="0" collapsed="false">
      <c r="A477" s="0" t="n">
        <v>38604655</v>
      </c>
      <c r="B477" s="0" t="s">
        <v>4618</v>
      </c>
      <c r="C477" s="0" t="n">
        <v>0.147779119993896</v>
      </c>
      <c r="D477" s="0" t="n">
        <v>1075067.04</v>
      </c>
      <c r="E477" s="0" t="s">
        <v>4137</v>
      </c>
      <c r="F477" s="225"/>
    </row>
    <row r="478" customFormat="false" ht="14.25" hidden="false" customHeight="false" outlineLevel="0" collapsed="false">
      <c r="A478" s="0" t="n">
        <v>67040296</v>
      </c>
      <c r="B478" s="0" t="s">
        <v>4619</v>
      </c>
      <c r="C478" s="0" t="n">
        <v>0.348860326283488</v>
      </c>
      <c r="D478" s="0" t="n">
        <v>467618.22</v>
      </c>
      <c r="E478" s="0" t="s">
        <v>4137</v>
      </c>
      <c r="F478" s="225"/>
    </row>
    <row r="479" customFormat="false" ht="14.25" hidden="false" customHeight="false" outlineLevel="0" collapsed="false">
      <c r="A479" s="0" t="n">
        <v>38601357</v>
      </c>
      <c r="B479" s="0" t="s">
        <v>4620</v>
      </c>
      <c r="C479" s="0" t="n">
        <v>0.414325317289766</v>
      </c>
      <c r="D479" s="0" t="n">
        <v>20321.8199999998</v>
      </c>
      <c r="E479" s="0" t="s">
        <v>4137</v>
      </c>
      <c r="F479" s="225"/>
    </row>
    <row r="480" customFormat="false" ht="14.25" hidden="false" customHeight="false" outlineLevel="0" collapsed="false">
      <c r="A480" s="0" t="n">
        <v>1143843519</v>
      </c>
      <c r="B480" s="0" t="s">
        <v>4621</v>
      </c>
      <c r="C480" s="0" t="n">
        <v>0.426098243173197</v>
      </c>
      <c r="D480" s="0" t="n">
        <v>-22219.8800000001</v>
      </c>
      <c r="E480" s="0" t="s">
        <v>4137</v>
      </c>
      <c r="F480" s="225"/>
    </row>
    <row r="481" customFormat="false" ht="14.25" hidden="false" customHeight="false" outlineLevel="0" collapsed="false">
      <c r="A481" s="0" t="n">
        <v>1143939888</v>
      </c>
      <c r="B481" s="0" t="s">
        <v>4622</v>
      </c>
      <c r="C481" s="0" t="n">
        <v>0.218514755684567</v>
      </c>
      <c r="D481" s="0" t="n">
        <v>583058</v>
      </c>
      <c r="E481" s="0" t="s">
        <v>4137</v>
      </c>
      <c r="F481" s="225"/>
    </row>
    <row r="482" customFormat="false" ht="14.25" hidden="false" customHeight="false" outlineLevel="0" collapsed="false">
      <c r="A482" s="0" t="n">
        <v>1143947254</v>
      </c>
      <c r="B482" s="0" t="s">
        <v>4623</v>
      </c>
      <c r="C482" s="0" t="n">
        <v>0.168849243844264</v>
      </c>
      <c r="D482" s="0" t="n">
        <v>1868595.28</v>
      </c>
      <c r="E482" s="0" t="s">
        <v>4137</v>
      </c>
      <c r="F482" s="225"/>
    </row>
    <row r="483" customFormat="false" ht="14.25" hidden="false" customHeight="false" outlineLevel="0" collapsed="false">
      <c r="A483" s="0" t="n">
        <v>31308698</v>
      </c>
      <c r="B483" s="0" t="s">
        <v>4624</v>
      </c>
      <c r="C483" s="0" t="n">
        <v>0.145669678570729</v>
      </c>
      <c r="D483" s="0" t="n">
        <v>1274632.22</v>
      </c>
      <c r="E483" s="0" t="s">
        <v>4137</v>
      </c>
      <c r="F483" s="225"/>
    </row>
    <row r="484" customFormat="false" ht="14.25" hidden="false" customHeight="false" outlineLevel="0" collapsed="false">
      <c r="A484" s="0" t="n">
        <v>1144032392</v>
      </c>
      <c r="B484" s="0" t="s">
        <v>4625</v>
      </c>
      <c r="C484" s="0" t="n">
        <v>0.431452617405374</v>
      </c>
      <c r="D484" s="0" t="n">
        <v>-43015.3400000001</v>
      </c>
      <c r="E484" s="0" t="s">
        <v>4137</v>
      </c>
      <c r="F484" s="225"/>
    </row>
    <row r="485" customFormat="false" ht="14.25" hidden="false" customHeight="false" outlineLevel="0" collapsed="false">
      <c r="A485" s="0" t="n">
        <v>1130675029</v>
      </c>
      <c r="B485" s="0" t="s">
        <v>4626</v>
      </c>
      <c r="C485" s="0" t="n">
        <v>0.160637614986367</v>
      </c>
      <c r="D485" s="0" t="n">
        <v>2066291.88</v>
      </c>
      <c r="E485" s="0" t="s">
        <v>4137</v>
      </c>
      <c r="F485" s="225"/>
    </row>
    <row r="486" customFormat="false" ht="14.25" hidden="false" customHeight="false" outlineLevel="0" collapsed="false">
      <c r="A486" s="0" t="n">
        <v>31324832</v>
      </c>
      <c r="B486" s="0" t="s">
        <v>4627</v>
      </c>
      <c r="C486" s="0" t="n">
        <v>0.209329543225717</v>
      </c>
      <c r="D486" s="0" t="n">
        <v>1499441.92</v>
      </c>
      <c r="E486" s="0" t="s">
        <v>4137</v>
      </c>
      <c r="F486" s="225"/>
    </row>
    <row r="487" customFormat="false" ht="14.25" hidden="false" customHeight="false" outlineLevel="0" collapsed="false">
      <c r="A487" s="0" t="n">
        <v>67025218</v>
      </c>
      <c r="B487" s="0" t="s">
        <v>4628</v>
      </c>
      <c r="C487" s="0" t="n">
        <v>0.206427423405324</v>
      </c>
      <c r="D487" s="0" t="n">
        <v>425223</v>
      </c>
      <c r="E487" s="0" t="s">
        <v>4137</v>
      </c>
      <c r="F487" s="225"/>
    </row>
    <row r="488" customFormat="false" ht="14.25" hidden="false" customHeight="false" outlineLevel="0" collapsed="false">
      <c r="A488" s="0" t="n">
        <v>67028594</v>
      </c>
      <c r="B488" s="0" t="s">
        <v>4629</v>
      </c>
      <c r="C488" s="0" t="n">
        <v>0.370904618828797</v>
      </c>
      <c r="D488" s="0" t="n">
        <v>166669</v>
      </c>
      <c r="E488" s="0" t="s">
        <v>4137</v>
      </c>
      <c r="F488" s="225"/>
    </row>
    <row r="489" customFormat="false" ht="14.25" hidden="false" customHeight="false" outlineLevel="0" collapsed="false">
      <c r="A489" s="0" t="n">
        <v>67037333</v>
      </c>
      <c r="B489" s="0" t="s">
        <v>4630</v>
      </c>
      <c r="C489" s="0" t="n">
        <v>0.396785945880758</v>
      </c>
      <c r="D489" s="0" t="n">
        <v>75200.52</v>
      </c>
      <c r="E489" s="0" t="s">
        <v>4137</v>
      </c>
      <c r="F489" s="225"/>
    </row>
    <row r="490" customFormat="false" ht="14.25" hidden="false" customHeight="false" outlineLevel="0" collapsed="false">
      <c r="A490" s="0" t="n">
        <v>1130672449</v>
      </c>
      <c r="B490" s="0" t="s">
        <v>4631</v>
      </c>
      <c r="C490" s="0" t="n">
        <v>0.420328570273267</v>
      </c>
      <c r="D490" s="0" t="n">
        <v>-1224.28000000003</v>
      </c>
      <c r="E490" s="0" t="s">
        <v>4137</v>
      </c>
      <c r="F490" s="225"/>
    </row>
    <row r="491" customFormat="false" ht="14.25" hidden="false" customHeight="false" outlineLevel="0" collapsed="false">
      <c r="A491" s="0" t="n">
        <v>94270032</v>
      </c>
      <c r="B491" s="0" t="s">
        <v>4632</v>
      </c>
      <c r="C491" s="0" t="n">
        <v>0.460217694682441</v>
      </c>
      <c r="D491" s="0" t="n">
        <v>-102277.74</v>
      </c>
      <c r="E491" s="0" t="s">
        <v>4137</v>
      </c>
      <c r="F491" s="225"/>
    </row>
    <row r="492" customFormat="false" ht="14.25" hidden="false" customHeight="false" outlineLevel="0" collapsed="false">
      <c r="A492" s="0" t="n">
        <v>1130627078</v>
      </c>
      <c r="B492" s="0" t="s">
        <v>4633</v>
      </c>
      <c r="C492" s="0" t="n">
        <v>0.251238331298841</v>
      </c>
      <c r="D492" s="0" t="n">
        <v>1196142.88</v>
      </c>
      <c r="E492" s="0" t="s">
        <v>4137</v>
      </c>
      <c r="F492" s="225"/>
    </row>
    <row r="493" customFormat="false" ht="14.25" hidden="false" customHeight="false" outlineLevel="0" collapsed="false">
      <c r="A493" s="0" t="n">
        <v>31482745</v>
      </c>
      <c r="B493" s="0" t="s">
        <v>4634</v>
      </c>
      <c r="C493" s="0" t="n">
        <v>0.210253760854381</v>
      </c>
      <c r="D493" s="0" t="n">
        <v>750127.92</v>
      </c>
      <c r="E493" s="0" t="s">
        <v>4137</v>
      </c>
      <c r="F493" s="225"/>
    </row>
    <row r="494" customFormat="false" ht="14.25" hidden="false" customHeight="false" outlineLevel="0" collapsed="false">
      <c r="A494" s="0" t="n">
        <v>94193459</v>
      </c>
      <c r="B494" s="0" t="s">
        <v>4635</v>
      </c>
      <c r="C494" s="0" t="n">
        <v>0.357350110617122</v>
      </c>
      <c r="D494" s="0" t="n">
        <v>177197.36</v>
      </c>
      <c r="E494" s="0" t="s">
        <v>4137</v>
      </c>
      <c r="F494" s="225"/>
    </row>
    <row r="495" customFormat="false" ht="14.25" hidden="false" customHeight="false" outlineLevel="0" collapsed="false">
      <c r="A495" s="0" t="n">
        <v>1112478723</v>
      </c>
      <c r="B495" s="0" t="s">
        <v>4636</v>
      </c>
      <c r="C495" s="0" t="n">
        <v>0.153976432372659</v>
      </c>
      <c r="D495" s="0" t="n">
        <v>769819</v>
      </c>
      <c r="E495" s="0" t="s">
        <v>4137</v>
      </c>
      <c r="F495" s="225"/>
    </row>
    <row r="496" customFormat="false" ht="14.25" hidden="false" customHeight="false" outlineLevel="0" collapsed="false">
      <c r="A496" s="0" t="n">
        <v>52968326</v>
      </c>
      <c r="B496" s="0" t="s">
        <v>4637</v>
      </c>
      <c r="C496" s="0" t="n">
        <v>0.425018541303817</v>
      </c>
      <c r="D496" s="0" t="n">
        <v>-27484.1000000001</v>
      </c>
      <c r="E496" s="0" t="s">
        <v>4147</v>
      </c>
      <c r="F496" s="225"/>
    </row>
    <row r="497" customFormat="false" ht="14.25" hidden="false" customHeight="false" outlineLevel="0" collapsed="false">
      <c r="A497" s="0" t="n">
        <v>29684827</v>
      </c>
      <c r="B497" s="0" t="s">
        <v>4638</v>
      </c>
      <c r="C497" s="0" t="n">
        <v>0.440172779514773</v>
      </c>
      <c r="D497" s="0" t="n">
        <v>-55805.52</v>
      </c>
      <c r="E497" s="0" t="s">
        <v>4137</v>
      </c>
      <c r="F497" s="225"/>
    </row>
    <row r="498" customFormat="false" ht="14.25" hidden="false" customHeight="false" outlineLevel="0" collapsed="false">
      <c r="A498" s="0" t="n">
        <v>1143945334</v>
      </c>
      <c r="B498" s="0" t="s">
        <v>4639</v>
      </c>
      <c r="C498" s="0" t="n">
        <v>0.367482844990097</v>
      </c>
      <c r="D498" s="0" t="n">
        <v>280731.66</v>
      </c>
      <c r="E498" s="0" t="s">
        <v>4137</v>
      </c>
      <c r="F498" s="225"/>
    </row>
    <row r="499" customFormat="false" ht="14.25" hidden="false" customHeight="false" outlineLevel="0" collapsed="false">
      <c r="A499" s="0" t="n">
        <v>52290327</v>
      </c>
      <c r="B499" s="0" t="s">
        <v>4640</v>
      </c>
      <c r="C499" s="0" t="n">
        <v>0.355043638740436</v>
      </c>
      <c r="D499" s="0" t="n">
        <v>168945</v>
      </c>
      <c r="E499" s="0" t="s">
        <v>4378</v>
      </c>
      <c r="F499" s="225"/>
    </row>
    <row r="500" customFormat="false" ht="14.25" hidden="false" customHeight="false" outlineLevel="0" collapsed="false">
      <c r="A500" s="0" t="n">
        <v>1144079903</v>
      </c>
      <c r="B500" s="0" t="s">
        <v>4641</v>
      </c>
      <c r="C500" s="0" t="n">
        <v>0.361698427935778</v>
      </c>
      <c r="D500" s="0" t="n">
        <v>222852.24</v>
      </c>
      <c r="E500" s="0" t="s">
        <v>4137</v>
      </c>
      <c r="F500" s="225"/>
    </row>
    <row r="501" customFormat="false" ht="14.25" hidden="false" customHeight="false" outlineLevel="0" collapsed="false">
      <c r="A501" s="0" t="n">
        <v>1130640687</v>
      </c>
      <c r="B501" s="0" t="s">
        <v>4642</v>
      </c>
      <c r="C501" s="0" t="n">
        <v>0.271666288954573</v>
      </c>
      <c r="D501" s="0" t="n">
        <v>615255.6</v>
      </c>
      <c r="E501" s="0" t="s">
        <v>4137</v>
      </c>
      <c r="F501" s="225"/>
    </row>
    <row r="502" customFormat="false" ht="14.25" hidden="false" customHeight="false" outlineLevel="0" collapsed="false">
      <c r="A502" s="0" t="n">
        <v>1130622237</v>
      </c>
      <c r="B502" s="0" t="s">
        <v>4643</v>
      </c>
      <c r="C502" s="0" t="n">
        <v>0.174681989899392</v>
      </c>
      <c r="D502" s="0" t="n">
        <v>771126.5</v>
      </c>
      <c r="E502" s="0" t="s">
        <v>4137</v>
      </c>
      <c r="F502" s="225"/>
    </row>
    <row r="503" customFormat="false" ht="14.25" hidden="false" customHeight="false" outlineLevel="0" collapsed="false">
      <c r="A503" s="0" t="n">
        <v>1116243446</v>
      </c>
      <c r="B503" s="0" t="s">
        <v>4644</v>
      </c>
      <c r="C503" s="0" t="n">
        <v>0.099685262759133</v>
      </c>
      <c r="D503" s="0" t="n">
        <v>1664889.98</v>
      </c>
      <c r="E503" s="0" t="s">
        <v>4137</v>
      </c>
      <c r="F503" s="225"/>
    </row>
    <row r="504" customFormat="false" ht="14.25" hidden="false" customHeight="false" outlineLevel="0" collapsed="false">
      <c r="A504" s="0" t="n">
        <v>1144189200</v>
      </c>
      <c r="B504" s="0" t="s">
        <v>4645</v>
      </c>
      <c r="C504" s="0" t="n">
        <v>0.378447836232913</v>
      </c>
      <c r="D504" s="0" t="n">
        <v>140633.88</v>
      </c>
      <c r="E504" s="0" t="s">
        <v>4137</v>
      </c>
      <c r="F504" s="225"/>
    </row>
    <row r="505" customFormat="false" ht="14.25" hidden="false" customHeight="false" outlineLevel="0" collapsed="false">
      <c r="A505" s="0" t="n">
        <v>1114876803</v>
      </c>
      <c r="B505" s="0" t="s">
        <v>4646</v>
      </c>
      <c r="C505" s="0" t="n">
        <v>0.310166639549919</v>
      </c>
      <c r="D505" s="0" t="n">
        <v>342032.8</v>
      </c>
      <c r="E505" s="0" t="s">
        <v>4137</v>
      </c>
      <c r="F505" s="225"/>
    </row>
    <row r="506" customFormat="false" ht="14.25" hidden="false" customHeight="false" outlineLevel="0" collapsed="false">
      <c r="A506" s="0" t="n">
        <v>1061435339</v>
      </c>
      <c r="B506" s="0" t="s">
        <v>4647</v>
      </c>
      <c r="C506" s="0" t="s">
        <v>4266</v>
      </c>
      <c r="D506" s="0" t="n">
        <v>0</v>
      </c>
      <c r="E506" s="0" t="s">
        <v>4137</v>
      </c>
      <c r="F506" s="225"/>
    </row>
    <row r="507" customFormat="false" ht="14.25" hidden="false" customHeight="false" outlineLevel="0" collapsed="false">
      <c r="A507" s="0" t="n">
        <v>73432460</v>
      </c>
      <c r="B507" s="0" t="s">
        <v>4648</v>
      </c>
      <c r="C507" s="0" t="n">
        <v>0.326980560170632</v>
      </c>
      <c r="D507" s="0" t="n">
        <v>1343200.06</v>
      </c>
      <c r="E507" s="0" t="s">
        <v>4137</v>
      </c>
      <c r="F507" s="225"/>
    </row>
    <row r="508" customFormat="false" ht="14.25" hidden="false" customHeight="false" outlineLevel="0" collapsed="false">
      <c r="A508" s="0" t="n">
        <v>1130608171</v>
      </c>
      <c r="B508" s="0" t="s">
        <v>4649</v>
      </c>
      <c r="C508" s="0" t="n">
        <v>0.349426736898766</v>
      </c>
      <c r="D508" s="0" t="n">
        <v>183554</v>
      </c>
      <c r="E508" s="0" t="s">
        <v>4137</v>
      </c>
      <c r="F508" s="225"/>
    </row>
    <row r="509" customFormat="false" ht="14.25" hidden="false" customHeight="false" outlineLevel="0" collapsed="false">
      <c r="A509" s="0" t="n">
        <v>1143838419</v>
      </c>
      <c r="B509" s="0" t="s">
        <v>4650</v>
      </c>
      <c r="C509" s="0" t="n">
        <v>0.116756859492709</v>
      </c>
      <c r="D509" s="0" t="n">
        <v>877525</v>
      </c>
      <c r="E509" s="0" t="s">
        <v>4137</v>
      </c>
      <c r="F509" s="225"/>
    </row>
    <row r="510" customFormat="false" ht="14.25" hidden="false" customHeight="false" outlineLevel="0" collapsed="false">
      <c r="A510" s="0" t="n">
        <v>1144126183</v>
      </c>
      <c r="B510" s="0" t="s">
        <v>4651</v>
      </c>
      <c r="C510" s="0" t="n">
        <v>0.252223324612701</v>
      </c>
      <c r="D510" s="0" t="n">
        <v>589270.72</v>
      </c>
      <c r="E510" s="0" t="s">
        <v>4147</v>
      </c>
      <c r="F510" s="225"/>
    </row>
    <row r="511" customFormat="false" ht="14.25" hidden="false" customHeight="false" outlineLevel="0" collapsed="false">
      <c r="A511" s="0" t="n">
        <v>1130679196</v>
      </c>
      <c r="B511" s="0" t="s">
        <v>4652</v>
      </c>
      <c r="C511" s="0" t="n">
        <v>0.380428315210708</v>
      </c>
      <c r="D511" s="0" t="n">
        <v>389996.84</v>
      </c>
      <c r="E511" s="0" t="s">
        <v>4137</v>
      </c>
      <c r="F511" s="225"/>
    </row>
    <row r="512" customFormat="false" ht="14.25" hidden="false" customHeight="false" outlineLevel="0" collapsed="false">
      <c r="A512" s="0" t="n">
        <v>1107066677</v>
      </c>
      <c r="B512" s="0" t="s">
        <v>4653</v>
      </c>
      <c r="C512" s="0" t="n">
        <v>0.400699444558733</v>
      </c>
      <c r="D512" s="0" t="n">
        <v>60044.8000000001</v>
      </c>
      <c r="E512" s="0" t="s">
        <v>4137</v>
      </c>
      <c r="F512" s="225"/>
    </row>
    <row r="513" customFormat="false" ht="14.25" hidden="false" customHeight="false" outlineLevel="0" collapsed="false">
      <c r="A513" s="0" t="n">
        <v>31714200</v>
      </c>
      <c r="B513" s="0" t="s">
        <v>4654</v>
      </c>
      <c r="C513" s="0" t="n">
        <v>0.366523256617596</v>
      </c>
      <c r="D513" s="0" t="n">
        <v>154751</v>
      </c>
      <c r="E513" s="0" t="s">
        <v>4137</v>
      </c>
      <c r="F513" s="225"/>
    </row>
    <row r="514" customFormat="false" ht="14.25" hidden="false" customHeight="false" outlineLevel="0" collapsed="false">
      <c r="A514" s="0" t="n">
        <v>1044423154</v>
      </c>
      <c r="B514" s="0" t="s">
        <v>4655</v>
      </c>
      <c r="C514" s="0" t="n">
        <v>0.365452819693315</v>
      </c>
      <c r="D514" s="0" t="n">
        <v>348085.94</v>
      </c>
      <c r="E514" s="0" t="s">
        <v>4137</v>
      </c>
      <c r="F514" s="225"/>
    </row>
    <row r="515" customFormat="false" ht="14.25" hidden="false" customHeight="false" outlineLevel="0" collapsed="false">
      <c r="A515" s="0" t="n">
        <v>38552196</v>
      </c>
      <c r="B515" s="0" t="s">
        <v>4656</v>
      </c>
      <c r="C515" s="0" t="n">
        <v>0.237494811685289</v>
      </c>
      <c r="D515" s="0" t="n">
        <v>659114.02</v>
      </c>
      <c r="E515" s="0" t="s">
        <v>4137</v>
      </c>
      <c r="F515" s="225"/>
    </row>
    <row r="516" customFormat="false" ht="14.25" hidden="false" customHeight="false" outlineLevel="0" collapsed="false">
      <c r="A516" s="0" t="n">
        <v>1144136654</v>
      </c>
      <c r="B516" s="0" t="s">
        <v>4657</v>
      </c>
      <c r="C516" s="0" t="n">
        <v>0.163478383214115</v>
      </c>
      <c r="D516" s="0" t="n">
        <v>1285985.02</v>
      </c>
      <c r="E516" s="0" t="s">
        <v>4137</v>
      </c>
      <c r="F516" s="225"/>
    </row>
    <row r="517" customFormat="false" ht="14.25" hidden="false" customHeight="false" outlineLevel="0" collapsed="false">
      <c r="A517" s="0" t="n">
        <v>1143848340</v>
      </c>
      <c r="B517" s="0" t="s">
        <v>4658</v>
      </c>
      <c r="C517" s="0" t="n">
        <v>0.22949418702226</v>
      </c>
      <c r="D517" s="0" t="n">
        <v>665937.2</v>
      </c>
      <c r="E517" s="0" t="s">
        <v>4137</v>
      </c>
      <c r="F517" s="225"/>
    </row>
    <row r="518" customFormat="false" ht="14.25" hidden="false" customHeight="false" outlineLevel="0" collapsed="false">
      <c r="A518" s="0" t="n">
        <v>31305334</v>
      </c>
      <c r="B518" s="0" t="s">
        <v>4659</v>
      </c>
      <c r="C518" s="0" t="n">
        <v>0.400683964940493</v>
      </c>
      <c r="D518" s="0" t="n">
        <v>53108.6399999999</v>
      </c>
      <c r="E518" s="0" t="s">
        <v>4137</v>
      </c>
      <c r="F518" s="225"/>
    </row>
    <row r="519" customFormat="false" ht="14.25" hidden="false" customHeight="false" outlineLevel="0" collapsed="false">
      <c r="A519" s="0" t="n">
        <v>1144032064</v>
      </c>
      <c r="B519" s="0" t="s">
        <v>4660</v>
      </c>
      <c r="C519" s="0" t="n">
        <v>0.446850225142098</v>
      </c>
      <c r="D519" s="0" t="n">
        <v>-145496</v>
      </c>
      <c r="E519" s="0" t="s">
        <v>4137</v>
      </c>
      <c r="F519" s="225"/>
    </row>
    <row r="520" customFormat="false" ht="14.25" hidden="false" customHeight="false" outlineLevel="0" collapsed="false">
      <c r="A520" s="0" t="n">
        <v>1151953296</v>
      </c>
      <c r="B520" s="0" t="s">
        <v>4661</v>
      </c>
      <c r="C520" s="0" t="n">
        <v>0.153456714393293</v>
      </c>
      <c r="D520" s="0" t="n">
        <v>1336161.5</v>
      </c>
      <c r="E520" s="0" t="s">
        <v>4137</v>
      </c>
      <c r="F520" s="225"/>
    </row>
    <row r="521" customFormat="false" ht="14.25" hidden="false" customHeight="false" outlineLevel="0" collapsed="false">
      <c r="A521" s="0" t="n">
        <v>1144069289</v>
      </c>
      <c r="B521" s="0" t="s">
        <v>4662</v>
      </c>
      <c r="C521" s="0" t="n">
        <v>0.350975600792317</v>
      </c>
      <c r="D521" s="0" t="n">
        <v>242905.88</v>
      </c>
      <c r="E521" s="0" t="s">
        <v>4137</v>
      </c>
      <c r="F521" s="225"/>
    </row>
    <row r="522" customFormat="false" ht="14.25" hidden="false" customHeight="false" outlineLevel="0" collapsed="false">
      <c r="A522" s="0" t="n">
        <v>25338294</v>
      </c>
      <c r="B522" s="0" t="s">
        <v>4663</v>
      </c>
      <c r="C522" s="0" t="n">
        <v>0.381154974207232</v>
      </c>
      <c r="D522" s="0" t="n">
        <v>176392.333333333</v>
      </c>
      <c r="E522" s="0" t="s">
        <v>4137</v>
      </c>
      <c r="F522" s="225"/>
    </row>
    <row r="523" customFormat="false" ht="14.25" hidden="false" customHeight="false" outlineLevel="0" collapsed="false">
      <c r="A523" s="0" t="n">
        <v>1085297667</v>
      </c>
      <c r="B523" s="0" t="s">
        <v>4664</v>
      </c>
      <c r="C523" s="0" t="n">
        <v>0.454406616318588</v>
      </c>
      <c r="D523" s="0" t="n">
        <v>-84077.9</v>
      </c>
      <c r="E523" s="0" t="s">
        <v>4137</v>
      </c>
      <c r="F523" s="225"/>
    </row>
    <row r="524" customFormat="false" ht="14.25" hidden="false" customHeight="false" outlineLevel="0" collapsed="false">
      <c r="A524" s="0" t="n">
        <v>38641418</v>
      </c>
      <c r="B524" s="0" t="s">
        <v>4665</v>
      </c>
      <c r="C524" s="0" t="n">
        <v>0.430301818601253</v>
      </c>
      <c r="D524" s="0" t="n">
        <v>-26794</v>
      </c>
      <c r="E524" s="0" t="s">
        <v>4137</v>
      </c>
      <c r="F524" s="225"/>
    </row>
    <row r="525" customFormat="false" ht="14.25" hidden="false" customHeight="false" outlineLevel="0" collapsed="false">
      <c r="A525" s="0" t="n">
        <v>1113512751</v>
      </c>
      <c r="B525" s="0" t="s">
        <v>4666</v>
      </c>
      <c r="C525" s="0" t="n">
        <v>0.361435641797437</v>
      </c>
      <c r="D525" s="0" t="n">
        <v>177210.36</v>
      </c>
      <c r="E525" s="0" t="s">
        <v>4137</v>
      </c>
      <c r="F525" s="225"/>
    </row>
    <row r="526" customFormat="false" ht="14.25" hidden="false" customHeight="false" outlineLevel="0" collapsed="false">
      <c r="A526" s="0" t="n">
        <v>1130634955</v>
      </c>
      <c r="B526" s="0" t="s">
        <v>4667</v>
      </c>
      <c r="C526" s="0" t="n">
        <v>0.390487071484526</v>
      </c>
      <c r="D526" s="0" t="n">
        <v>209357.74</v>
      </c>
      <c r="E526" s="0" t="s">
        <v>4137</v>
      </c>
      <c r="F526" s="225"/>
    </row>
    <row r="527" customFormat="false" ht="14.25" hidden="false" customHeight="false" outlineLevel="0" collapsed="false">
      <c r="A527" s="0" t="n">
        <v>1143827019</v>
      </c>
      <c r="B527" s="0" t="s">
        <v>4668</v>
      </c>
      <c r="C527" s="0" t="n">
        <v>0.13327888016306</v>
      </c>
      <c r="D527" s="0" t="n">
        <v>956559</v>
      </c>
      <c r="E527" s="0" t="s">
        <v>4137</v>
      </c>
      <c r="F527" s="225"/>
    </row>
    <row r="528" customFormat="false" ht="14.25" hidden="false" customHeight="false" outlineLevel="0" collapsed="false">
      <c r="A528" s="0" t="n">
        <v>43400374</v>
      </c>
      <c r="B528" s="0" t="s">
        <v>4669</v>
      </c>
      <c r="C528" s="0" t="n">
        <v>0.356710384304051</v>
      </c>
      <c r="D528" s="0" t="n">
        <v>262707.6</v>
      </c>
      <c r="E528" s="0" t="s">
        <v>4137</v>
      </c>
      <c r="F528" s="225"/>
    </row>
    <row r="529" customFormat="false" ht="14.25" hidden="false" customHeight="false" outlineLevel="0" collapsed="false">
      <c r="A529" s="0" t="n">
        <v>1130614933</v>
      </c>
      <c r="B529" s="0" t="s">
        <v>4670</v>
      </c>
      <c r="C529" s="0" t="n">
        <v>0.318755638324688</v>
      </c>
      <c r="D529" s="0" t="n">
        <v>732623.64</v>
      </c>
      <c r="E529" s="0" t="s">
        <v>4137</v>
      </c>
      <c r="F529" s="225"/>
    </row>
    <row r="530" customFormat="false" ht="14.25" hidden="false" customHeight="false" outlineLevel="0" collapsed="false">
      <c r="A530" s="0" t="n">
        <v>1107066883</v>
      </c>
      <c r="B530" s="0" t="s">
        <v>4671</v>
      </c>
      <c r="C530" s="0" t="n">
        <v>0.339876389642564</v>
      </c>
      <c r="D530" s="0" t="n">
        <v>298899.98</v>
      </c>
      <c r="E530" s="0" t="s">
        <v>4137</v>
      </c>
      <c r="F530" s="225"/>
    </row>
    <row r="531" customFormat="false" ht="14.25" hidden="false" customHeight="false" outlineLevel="0" collapsed="false">
      <c r="A531" s="0" t="n">
        <v>1151944100</v>
      </c>
      <c r="B531" s="0" t="s">
        <v>4672</v>
      </c>
      <c r="C531" s="0" t="n">
        <v>0.339906351510125</v>
      </c>
      <c r="D531" s="0" t="n">
        <v>231775</v>
      </c>
      <c r="E531" s="0" t="s">
        <v>4137</v>
      </c>
      <c r="F531" s="225"/>
    </row>
    <row r="532" customFormat="false" ht="14.25" hidden="false" customHeight="false" outlineLevel="0" collapsed="false">
      <c r="A532" s="0" t="n">
        <v>1143847654</v>
      </c>
      <c r="B532" s="0" t="s">
        <v>4673</v>
      </c>
      <c r="C532" s="0" t="n">
        <v>0.17123194358869</v>
      </c>
      <c r="D532" s="0" t="n">
        <v>1453502</v>
      </c>
      <c r="E532" s="0" t="s">
        <v>4147</v>
      </c>
      <c r="F532" s="225"/>
    </row>
    <row r="533" customFormat="false" ht="14.25" hidden="false" customHeight="false" outlineLevel="0" collapsed="false">
      <c r="A533" s="0" t="n">
        <v>1111786165</v>
      </c>
      <c r="B533" s="0" t="s">
        <v>4674</v>
      </c>
      <c r="C533" s="0" t="n">
        <v>0.473765139498219</v>
      </c>
      <c r="D533" s="0" t="n">
        <v>-200668.58</v>
      </c>
      <c r="E533" s="0" t="s">
        <v>4137</v>
      </c>
      <c r="F533" s="225"/>
    </row>
    <row r="534" customFormat="false" ht="14.25" hidden="false" customHeight="false" outlineLevel="0" collapsed="false">
      <c r="A534" s="0" t="n">
        <v>1144151327</v>
      </c>
      <c r="B534" s="0" t="s">
        <v>4675</v>
      </c>
      <c r="C534" s="0" t="n">
        <v>0.441413794164449</v>
      </c>
      <c r="D534" s="0" t="n">
        <v>-93953.7</v>
      </c>
      <c r="E534" s="0" t="s">
        <v>4137</v>
      </c>
      <c r="F534" s="225"/>
    </row>
    <row r="535" customFormat="false" ht="14.25" hidden="false" customHeight="false" outlineLevel="0" collapsed="false">
      <c r="A535" s="0" t="n">
        <v>1064430974</v>
      </c>
      <c r="B535" s="0" t="s">
        <v>4676</v>
      </c>
      <c r="C535" s="0" t="n">
        <v>0.432615762314308</v>
      </c>
      <c r="D535" s="0" t="n">
        <v>-57627</v>
      </c>
      <c r="E535" s="0" t="s">
        <v>4137</v>
      </c>
      <c r="F535" s="225"/>
    </row>
    <row r="536" customFormat="false" ht="14.25" hidden="false" customHeight="false" outlineLevel="0" collapsed="false">
      <c r="A536" s="0" t="n">
        <v>1144181518</v>
      </c>
      <c r="B536" s="0" t="s">
        <v>4677</v>
      </c>
      <c r="C536" s="0" t="n">
        <v>0.256128274241482</v>
      </c>
      <c r="D536" s="0" t="n">
        <v>474212</v>
      </c>
      <c r="E536" s="0" t="s">
        <v>4137</v>
      </c>
      <c r="F536" s="225"/>
    </row>
    <row r="537" customFormat="false" ht="14.25" hidden="false" customHeight="false" outlineLevel="0" collapsed="false">
      <c r="A537" s="0" t="n">
        <v>1130632864</v>
      </c>
      <c r="B537" s="0" t="s">
        <v>4678</v>
      </c>
      <c r="C537" s="0" t="n">
        <v>0.35705217672613</v>
      </c>
      <c r="D537" s="0" t="n">
        <v>272413</v>
      </c>
      <c r="E537" s="0" t="s">
        <v>4137</v>
      </c>
      <c r="F537" s="225"/>
    </row>
    <row r="538" customFormat="false" ht="14.25" hidden="false" customHeight="false" outlineLevel="0" collapsed="false">
      <c r="A538" s="0" t="n">
        <v>1144189435</v>
      </c>
      <c r="B538" s="0" t="s">
        <v>4679</v>
      </c>
      <c r="C538" s="0" t="n">
        <v>0.283797877799747</v>
      </c>
      <c r="D538" s="0" t="n">
        <v>519495.96</v>
      </c>
      <c r="E538" s="0" t="s">
        <v>4137</v>
      </c>
      <c r="F538" s="225"/>
    </row>
    <row r="539" customFormat="false" ht="14.25" hidden="false" customHeight="false" outlineLevel="0" collapsed="false">
      <c r="A539" s="0" t="n">
        <v>1144085630</v>
      </c>
      <c r="B539" s="0" t="s">
        <v>4680</v>
      </c>
      <c r="C539" s="0" t="n">
        <v>0.40408584682996</v>
      </c>
      <c r="D539" s="0" t="n">
        <v>59928.1599999999</v>
      </c>
      <c r="E539" s="0" t="s">
        <v>4137</v>
      </c>
      <c r="F539" s="225"/>
    </row>
    <row r="540" customFormat="false" ht="14.25" hidden="false" customHeight="false" outlineLevel="0" collapsed="false">
      <c r="A540" s="0" t="n">
        <v>52066817</v>
      </c>
      <c r="B540" s="0" t="s">
        <v>4681</v>
      </c>
      <c r="C540" s="0" t="n">
        <v>0.377265170451179</v>
      </c>
      <c r="D540" s="0" t="n">
        <v>188967.12</v>
      </c>
      <c r="E540" s="0" t="s">
        <v>4137</v>
      </c>
      <c r="F540" s="225"/>
    </row>
    <row r="541" customFormat="false" ht="14.25" hidden="false" customHeight="false" outlineLevel="0" collapsed="false">
      <c r="A541" s="0" t="n">
        <v>1107092398</v>
      </c>
      <c r="B541" s="0" t="s">
        <v>4682</v>
      </c>
      <c r="C541" s="0" t="n">
        <v>0.122865033686234</v>
      </c>
      <c r="D541" s="0" t="n">
        <v>786538.64</v>
      </c>
      <c r="E541" s="0" t="s">
        <v>4137</v>
      </c>
      <c r="F541" s="225"/>
    </row>
    <row r="542" customFormat="false" ht="14.25" hidden="false" customHeight="false" outlineLevel="0" collapsed="false">
      <c r="A542" s="0" t="n">
        <v>16934229</v>
      </c>
      <c r="B542" s="0" t="s">
        <v>4683</v>
      </c>
      <c r="C542" s="0" t="n">
        <v>0.339516206111377</v>
      </c>
      <c r="D542" s="0" t="n">
        <v>572610</v>
      </c>
      <c r="E542" s="0" t="s">
        <v>4137</v>
      </c>
      <c r="F542" s="225"/>
    </row>
    <row r="543" customFormat="false" ht="14.25" hidden="false" customHeight="false" outlineLevel="0" collapsed="false">
      <c r="A543" s="0" t="n">
        <v>1144193830</v>
      </c>
      <c r="B543" s="0" t="s">
        <v>4684</v>
      </c>
      <c r="C543" s="0" t="n">
        <v>0.243727276156056</v>
      </c>
      <c r="D543" s="0" t="n">
        <v>704157.12</v>
      </c>
      <c r="E543" s="0" t="s">
        <v>4137</v>
      </c>
      <c r="F543" s="225"/>
    </row>
    <row r="544" customFormat="false" ht="14.25" hidden="false" customHeight="false" outlineLevel="0" collapsed="false">
      <c r="A544" s="0" t="n">
        <v>1130661444</v>
      </c>
      <c r="B544" s="0" t="s">
        <v>4685</v>
      </c>
      <c r="C544" s="0" t="n">
        <v>0.379137628246603</v>
      </c>
      <c r="D544" s="0" t="n">
        <v>176836</v>
      </c>
      <c r="E544" s="0" t="s">
        <v>4137</v>
      </c>
      <c r="F544" s="225"/>
    </row>
    <row r="545" customFormat="false" ht="14.25" hidden="false" customHeight="false" outlineLevel="0" collapsed="false">
      <c r="A545" s="0" t="n">
        <v>1116131228</v>
      </c>
      <c r="B545" s="0" t="s">
        <v>4686</v>
      </c>
      <c r="C545" s="0" t="n">
        <v>0.410044976033713</v>
      </c>
      <c r="D545" s="0" t="n">
        <v>35354.74</v>
      </c>
      <c r="E545" s="0" t="s">
        <v>4137</v>
      </c>
      <c r="F545" s="225"/>
    </row>
    <row r="546" customFormat="false" ht="14.25" hidden="false" customHeight="false" outlineLevel="0" collapsed="false">
      <c r="A546" s="0" t="n">
        <v>1016024410</v>
      </c>
      <c r="B546" s="0" t="s">
        <v>4687</v>
      </c>
      <c r="C546" s="0" t="n">
        <v>0.429966681333909</v>
      </c>
      <c r="D546" s="0" t="n">
        <v>-30880.3999999999</v>
      </c>
      <c r="E546" s="0" t="s">
        <v>4147</v>
      </c>
      <c r="F546" s="225"/>
    </row>
    <row r="547" customFormat="false" ht="14.25" hidden="false" customHeight="false" outlineLevel="0" collapsed="false">
      <c r="A547" s="0" t="n">
        <v>1151946155</v>
      </c>
      <c r="B547" s="0" t="s">
        <v>4688</v>
      </c>
      <c r="C547" s="0" t="n">
        <v>0.386699392407245</v>
      </c>
      <c r="D547" s="0" t="n">
        <v>148374.72</v>
      </c>
      <c r="E547" s="0" t="s">
        <v>4137</v>
      </c>
      <c r="F547" s="225"/>
    </row>
    <row r="548" customFormat="false" ht="14.25" hidden="false" customHeight="false" outlineLevel="0" collapsed="false">
      <c r="A548" s="0" t="n">
        <v>1130679836</v>
      </c>
      <c r="B548" s="0" t="s">
        <v>4689</v>
      </c>
      <c r="C548" s="0" t="n">
        <v>0.19363750550544</v>
      </c>
      <c r="D548" s="0" t="n">
        <v>1387670</v>
      </c>
      <c r="E548" s="0" t="s">
        <v>4137</v>
      </c>
      <c r="F548" s="225"/>
    </row>
    <row r="549" customFormat="false" ht="14.25" hidden="false" customHeight="false" outlineLevel="0" collapsed="false">
      <c r="A549" s="0" t="n">
        <v>1144167610</v>
      </c>
      <c r="B549" s="0" t="s">
        <v>4690</v>
      </c>
      <c r="C549" s="0" t="n">
        <v>0.353069650740913</v>
      </c>
      <c r="D549" s="0" t="n">
        <v>259408.96</v>
      </c>
      <c r="E549" s="0" t="s">
        <v>4137</v>
      </c>
      <c r="F549" s="225"/>
    </row>
    <row r="550" customFormat="false" ht="14.25" hidden="false" customHeight="false" outlineLevel="0" collapsed="false">
      <c r="A550" s="0" t="n">
        <v>67023387</v>
      </c>
      <c r="B550" s="0" t="s">
        <v>4691</v>
      </c>
      <c r="C550" s="0" t="n">
        <v>0.101171068697507</v>
      </c>
      <c r="D550" s="0" t="n">
        <v>1343195.68</v>
      </c>
      <c r="E550" s="0" t="s">
        <v>4137</v>
      </c>
      <c r="F550" s="225"/>
    </row>
    <row r="551" customFormat="false" ht="14.25" hidden="false" customHeight="false" outlineLevel="0" collapsed="false">
      <c r="A551" s="0" t="n">
        <v>94537451</v>
      </c>
      <c r="B551" s="0" t="s">
        <v>4692</v>
      </c>
      <c r="C551" s="0" t="n">
        <v>0.163447753481927</v>
      </c>
      <c r="D551" s="0" t="n">
        <v>2184645</v>
      </c>
      <c r="E551" s="0" t="s">
        <v>4137</v>
      </c>
      <c r="F551" s="225"/>
    </row>
    <row r="552" customFormat="false" ht="14.25" hidden="false" customHeight="false" outlineLevel="0" collapsed="false">
      <c r="A552" s="0" t="n">
        <v>1143933305</v>
      </c>
      <c r="B552" s="0" t="s">
        <v>4693</v>
      </c>
      <c r="C552" s="0" t="n">
        <v>0.39370959487974</v>
      </c>
      <c r="D552" s="0" t="n">
        <v>93757.5</v>
      </c>
      <c r="E552" s="0" t="s">
        <v>4137</v>
      </c>
      <c r="F552" s="225"/>
    </row>
    <row r="553" customFormat="false" ht="14.25" hidden="false" customHeight="false" outlineLevel="0" collapsed="false">
      <c r="A553" s="0" t="n">
        <v>1123201722</v>
      </c>
      <c r="B553" s="0" t="s">
        <v>4694</v>
      </c>
      <c r="C553" s="0" t="n">
        <v>0.335672434169658</v>
      </c>
      <c r="D553" s="0" t="n">
        <v>249687.12</v>
      </c>
      <c r="E553" s="0" t="s">
        <v>4137</v>
      </c>
      <c r="F553" s="225"/>
    </row>
    <row r="554" customFormat="false" ht="14.25" hidden="false" customHeight="false" outlineLevel="0" collapsed="false">
      <c r="A554" s="0" t="n">
        <v>1144140200</v>
      </c>
      <c r="B554" s="0" t="s">
        <v>4695</v>
      </c>
      <c r="C554" s="0" t="n">
        <v>0.383376045716979</v>
      </c>
      <c r="D554" s="0" t="n">
        <v>124331</v>
      </c>
      <c r="E554" s="0" t="s">
        <v>4137</v>
      </c>
      <c r="F554" s="225"/>
    </row>
    <row r="555" customFormat="false" ht="14.25" hidden="false" customHeight="false" outlineLevel="0" collapsed="false">
      <c r="A555" s="0" t="n">
        <v>1151958029</v>
      </c>
      <c r="B555" s="0" t="s">
        <v>4696</v>
      </c>
      <c r="C555" s="0" t="n">
        <v>0.207057847812565</v>
      </c>
      <c r="D555" s="0" t="n">
        <v>616212</v>
      </c>
      <c r="E555" s="0" t="s">
        <v>4137</v>
      </c>
      <c r="F555" s="225"/>
    </row>
    <row r="556" customFormat="false" ht="14.25" hidden="false" customHeight="false" outlineLevel="0" collapsed="false">
      <c r="A556" s="0" t="n">
        <v>1143948839</v>
      </c>
      <c r="B556" s="0" t="s">
        <v>4697</v>
      </c>
      <c r="C556" s="0" t="n">
        <v>0.328015144201924</v>
      </c>
      <c r="D556" s="0" t="n">
        <v>319909.96</v>
      </c>
      <c r="E556" s="0" t="s">
        <v>4137</v>
      </c>
      <c r="F556" s="225"/>
    </row>
    <row r="557" customFormat="false" ht="14.25" hidden="false" customHeight="false" outlineLevel="0" collapsed="false">
      <c r="A557" s="0" t="n">
        <v>6135820</v>
      </c>
      <c r="B557" s="0" t="s">
        <v>4698</v>
      </c>
      <c r="C557" s="0" t="n">
        <v>0.252861941272818</v>
      </c>
      <c r="D557" s="0" t="n">
        <v>1408205</v>
      </c>
      <c r="E557" s="0" t="s">
        <v>4137</v>
      </c>
      <c r="F557" s="225"/>
    </row>
    <row r="558" customFormat="false" ht="14.25" hidden="false" customHeight="false" outlineLevel="0" collapsed="false">
      <c r="A558" s="0" t="n">
        <v>1144175329</v>
      </c>
      <c r="B558" s="0" t="s">
        <v>4699</v>
      </c>
      <c r="C558" s="0" t="n">
        <v>0.171933283155013</v>
      </c>
      <c r="D558" s="0" t="n">
        <v>954903.72</v>
      </c>
      <c r="E558" s="0" t="s">
        <v>4137</v>
      </c>
      <c r="F558" s="225"/>
    </row>
    <row r="559" customFormat="false" ht="14.25" hidden="false" customHeight="false" outlineLevel="0" collapsed="false">
      <c r="A559" s="0" t="n">
        <v>16761455</v>
      </c>
      <c r="B559" s="0" t="s">
        <v>4700</v>
      </c>
      <c r="C559" s="0" t="n">
        <v>0.265482138454501</v>
      </c>
      <c r="D559" s="0" t="n">
        <v>844199.22</v>
      </c>
      <c r="E559" s="0" t="s">
        <v>4137</v>
      </c>
      <c r="F559" s="225"/>
    </row>
    <row r="560" customFormat="false" ht="14.25" hidden="false" customHeight="false" outlineLevel="0" collapsed="false">
      <c r="A560" s="0" t="n">
        <v>1085253482</v>
      </c>
      <c r="B560" s="0" t="s">
        <v>4701</v>
      </c>
      <c r="C560" s="0" t="n">
        <v>0.315964322665964</v>
      </c>
      <c r="D560" s="0" t="n">
        <v>578374.28</v>
      </c>
      <c r="E560" s="0" t="s">
        <v>4137</v>
      </c>
      <c r="F560" s="225"/>
    </row>
    <row r="561" customFormat="false" ht="14.25" hidden="false" customHeight="false" outlineLevel="0" collapsed="false">
      <c r="A561" s="0" t="n">
        <v>67023070</v>
      </c>
      <c r="B561" s="0" t="s">
        <v>4702</v>
      </c>
      <c r="C561" s="0" t="n">
        <v>0.23400069013727</v>
      </c>
      <c r="D561" s="0" t="n">
        <v>682400.84</v>
      </c>
      <c r="E561" s="0" t="s">
        <v>4147</v>
      </c>
      <c r="F561" s="225"/>
    </row>
    <row r="562" customFormat="false" ht="14.25" hidden="false" customHeight="false" outlineLevel="0" collapsed="false">
      <c r="A562" s="0" t="n">
        <v>67032503</v>
      </c>
      <c r="B562" s="0" t="s">
        <v>4703</v>
      </c>
      <c r="C562" s="0" t="n">
        <v>0.274379022502251</v>
      </c>
      <c r="D562" s="0" t="n">
        <v>888613.28</v>
      </c>
      <c r="E562" s="0" t="s">
        <v>4137</v>
      </c>
      <c r="F562" s="225"/>
    </row>
    <row r="563" customFormat="false" ht="14.25" hidden="false" customHeight="false" outlineLevel="0" collapsed="false">
      <c r="A563" s="0" t="n">
        <v>1144063824</v>
      </c>
      <c r="B563" s="0" t="s">
        <v>4704</v>
      </c>
      <c r="C563" s="0" t="n">
        <v>0.357803446381009</v>
      </c>
      <c r="D563" s="0" t="n">
        <v>262440.68</v>
      </c>
      <c r="E563" s="0" t="s">
        <v>4147</v>
      </c>
      <c r="F563" s="225"/>
    </row>
    <row r="564" customFormat="false" ht="14.25" hidden="false" customHeight="false" outlineLevel="0" collapsed="false">
      <c r="A564" s="0" t="n">
        <v>1144154965</v>
      </c>
      <c r="B564" s="0" t="s">
        <v>4705</v>
      </c>
      <c r="C564" s="0" t="n">
        <v>0.233947703735464</v>
      </c>
      <c r="D564" s="0" t="n">
        <v>476448.86</v>
      </c>
      <c r="E564" s="0" t="s">
        <v>4137</v>
      </c>
      <c r="F564" s="225"/>
    </row>
    <row r="565" customFormat="false" ht="14.25" hidden="false" customHeight="false" outlineLevel="0" collapsed="false">
      <c r="A565" s="0" t="n">
        <v>1143856655</v>
      </c>
      <c r="B565" s="0" t="s">
        <v>4706</v>
      </c>
      <c r="C565" s="0" t="n">
        <v>0.307181893873222</v>
      </c>
      <c r="D565" s="0" t="n">
        <v>478495.96</v>
      </c>
      <c r="E565" s="0" t="s">
        <v>4137</v>
      </c>
      <c r="F565" s="225"/>
    </row>
    <row r="566" customFormat="false" ht="14.25" hidden="false" customHeight="false" outlineLevel="0" collapsed="false">
      <c r="A566" s="0" t="n">
        <v>1144160285</v>
      </c>
      <c r="B566" s="0" t="s">
        <v>4707</v>
      </c>
      <c r="C566" s="0" t="n">
        <v>0.310623288079039</v>
      </c>
      <c r="D566" s="0" t="n">
        <v>446399.94</v>
      </c>
      <c r="E566" s="0" t="s">
        <v>4137</v>
      </c>
      <c r="F566" s="225"/>
    </row>
    <row r="567" customFormat="false" ht="14.25" hidden="false" customHeight="false" outlineLevel="0" collapsed="false">
      <c r="A567" s="0" t="n">
        <v>1143836437</v>
      </c>
      <c r="B567" s="0" t="s">
        <v>4708</v>
      </c>
      <c r="C567" s="0" t="n">
        <v>0.500192017180761</v>
      </c>
      <c r="D567" s="0" t="n">
        <v>-285380.08</v>
      </c>
      <c r="E567" s="0" t="s">
        <v>4137</v>
      </c>
      <c r="F567" s="225"/>
    </row>
    <row r="568" customFormat="false" ht="14.25" hidden="false" customHeight="false" outlineLevel="0" collapsed="false">
      <c r="A568" s="0" t="n">
        <v>1079655957</v>
      </c>
      <c r="B568" s="0" t="s">
        <v>4709</v>
      </c>
      <c r="C568" s="0" t="n">
        <v>0.159102307611757</v>
      </c>
      <c r="D568" s="0" t="n">
        <v>1798846.28</v>
      </c>
      <c r="E568" s="0" t="s">
        <v>4137</v>
      </c>
      <c r="F568" s="225"/>
    </row>
    <row r="569" customFormat="false" ht="14.25" hidden="false" customHeight="false" outlineLevel="0" collapsed="false">
      <c r="A569" s="0" t="n">
        <v>1144186814</v>
      </c>
      <c r="B569" s="0" t="s">
        <v>4710</v>
      </c>
      <c r="C569" s="0" t="n">
        <v>0.492566697509578</v>
      </c>
      <c r="D569" s="0" t="n">
        <v>-210652.56</v>
      </c>
      <c r="E569" s="0" t="s">
        <v>4147</v>
      </c>
      <c r="F569" s="225"/>
    </row>
    <row r="570" customFormat="false" ht="14.25" hidden="false" customHeight="false" outlineLevel="0" collapsed="false">
      <c r="A570" s="0" t="n">
        <v>94409720</v>
      </c>
      <c r="B570" s="0" t="s">
        <v>4711</v>
      </c>
      <c r="C570" s="0" t="n">
        <v>0.450635348542452</v>
      </c>
      <c r="D570" s="0" t="n">
        <v>-92976.7</v>
      </c>
      <c r="E570" s="0" t="s">
        <v>4137</v>
      </c>
      <c r="F570" s="225"/>
    </row>
    <row r="571" customFormat="false" ht="14.25" hidden="false" customHeight="false" outlineLevel="0" collapsed="false">
      <c r="A571" s="0" t="n">
        <v>6393613</v>
      </c>
      <c r="B571" s="0" t="s">
        <v>4712</v>
      </c>
      <c r="C571" s="0" t="n">
        <v>0.383887668886238</v>
      </c>
      <c r="D571" s="0" t="n">
        <v>755956.4</v>
      </c>
      <c r="E571" s="0" t="s">
        <v>4137</v>
      </c>
      <c r="F571" s="225"/>
    </row>
    <row r="572" customFormat="false" ht="14.25" hidden="false" customHeight="false" outlineLevel="0" collapsed="false">
      <c r="A572" s="0" t="n">
        <v>1130597766</v>
      </c>
      <c r="B572" s="0" t="s">
        <v>4713</v>
      </c>
      <c r="C572" s="0" t="n">
        <v>0.280052180523879</v>
      </c>
      <c r="D572" s="0" t="n">
        <v>404981</v>
      </c>
      <c r="E572" s="0" t="s">
        <v>4137</v>
      </c>
      <c r="F572" s="225"/>
    </row>
    <row r="573" customFormat="false" ht="14.25" hidden="false" customHeight="false" outlineLevel="0" collapsed="false">
      <c r="A573" s="0" t="n">
        <v>1143826134</v>
      </c>
      <c r="B573" s="0" t="s">
        <v>4714</v>
      </c>
      <c r="C573" s="0" t="n">
        <v>0.489307139401479</v>
      </c>
      <c r="D573" s="0" t="n">
        <v>-200561</v>
      </c>
      <c r="E573" s="0" t="s">
        <v>4137</v>
      </c>
      <c r="F573" s="225"/>
    </row>
    <row r="574" customFormat="false" ht="14.25" hidden="false" customHeight="false" outlineLevel="0" collapsed="false">
      <c r="A574" s="0" t="n">
        <v>1144151772</v>
      </c>
      <c r="B574" s="0" t="s">
        <v>4715</v>
      </c>
      <c r="C574" s="0" t="n">
        <v>0.364703992975321</v>
      </c>
      <c r="D574" s="0" t="n">
        <v>239299</v>
      </c>
      <c r="E574" s="0" t="s">
        <v>4137</v>
      </c>
      <c r="F574" s="225"/>
    </row>
    <row r="575" customFormat="false" ht="14.25" hidden="false" customHeight="false" outlineLevel="0" collapsed="false">
      <c r="A575" s="0" t="n">
        <v>14797927</v>
      </c>
      <c r="B575" s="0" t="s">
        <v>4716</v>
      </c>
      <c r="C575" s="0" t="n">
        <v>0.299163366526971</v>
      </c>
      <c r="D575" s="0" t="n">
        <v>314284</v>
      </c>
      <c r="E575" s="0" t="s">
        <v>4137</v>
      </c>
      <c r="F575" s="225"/>
    </row>
    <row r="576" customFormat="false" ht="14.25" hidden="false" customHeight="false" outlineLevel="0" collapsed="false">
      <c r="A576" s="0" t="n">
        <v>29113301</v>
      </c>
      <c r="B576" s="0" t="s">
        <v>4717</v>
      </c>
      <c r="C576" s="0" t="n">
        <v>0.390682115289767</v>
      </c>
      <c r="D576" s="0" t="n">
        <v>108859.28</v>
      </c>
      <c r="E576" s="0" t="s">
        <v>4137</v>
      </c>
      <c r="F576" s="225"/>
    </row>
    <row r="577" customFormat="false" ht="14.25" hidden="false" customHeight="false" outlineLevel="0" collapsed="false">
      <c r="A577" s="0" t="n">
        <v>1152443072</v>
      </c>
      <c r="B577" s="0" t="s">
        <v>4718</v>
      </c>
      <c r="C577" s="0" t="n">
        <v>0.116992661714079</v>
      </c>
      <c r="D577" s="0" t="n">
        <v>2006757</v>
      </c>
      <c r="E577" s="0" t="s">
        <v>4137</v>
      </c>
      <c r="F577" s="225"/>
    </row>
    <row r="578" customFormat="false" ht="14.25" hidden="false" customHeight="false" outlineLevel="0" collapsed="false">
      <c r="A578" s="0" t="n">
        <v>1143840210</v>
      </c>
      <c r="B578" s="0" t="s">
        <v>4719</v>
      </c>
      <c r="C578" s="0" t="n">
        <v>0.254035910881531</v>
      </c>
      <c r="D578" s="0" t="n">
        <v>649091.14</v>
      </c>
      <c r="E578" s="0" t="s">
        <v>4137</v>
      </c>
      <c r="F578" s="225"/>
    </row>
    <row r="579" customFormat="false" ht="14.25" hidden="false" customHeight="false" outlineLevel="0" collapsed="false">
      <c r="A579" s="0" t="n">
        <v>1130594176</v>
      </c>
      <c r="B579" s="0" t="s">
        <v>4720</v>
      </c>
      <c r="C579" s="0" t="n">
        <v>0.300894263024577</v>
      </c>
      <c r="D579" s="0" t="n">
        <v>695911</v>
      </c>
      <c r="E579" s="0" t="s">
        <v>4147</v>
      </c>
      <c r="F579" s="225"/>
    </row>
    <row r="580" customFormat="false" ht="14.25" hidden="false" customHeight="false" outlineLevel="0" collapsed="false">
      <c r="A580" s="0" t="n">
        <v>1088281354</v>
      </c>
      <c r="B580" s="0" t="s">
        <v>4721</v>
      </c>
      <c r="C580" s="0" t="n">
        <v>0.161475662353666</v>
      </c>
      <c r="D580" s="0" t="n">
        <v>1510506</v>
      </c>
      <c r="E580" s="0" t="s">
        <v>4137</v>
      </c>
      <c r="F580" s="225"/>
    </row>
    <row r="581" customFormat="false" ht="14.25" hidden="false" customHeight="false" outlineLevel="0" collapsed="false">
      <c r="A581" s="0" t="n">
        <v>1116262680</v>
      </c>
      <c r="B581" s="0" t="s">
        <v>4722</v>
      </c>
      <c r="C581" s="0" t="n">
        <v>0.306291052466239</v>
      </c>
      <c r="D581" s="0" t="n">
        <v>441715.18</v>
      </c>
      <c r="E581" s="0" t="s">
        <v>4137</v>
      </c>
      <c r="F581" s="225"/>
    </row>
    <row r="582" customFormat="false" ht="14.25" hidden="false" customHeight="false" outlineLevel="0" collapsed="false">
      <c r="A582" s="0" t="n">
        <v>1061738970</v>
      </c>
      <c r="B582" s="0" t="s">
        <v>4723</v>
      </c>
      <c r="C582" s="0" t="n">
        <v>0.429425485186443</v>
      </c>
      <c r="D582" s="0" t="n">
        <v>-81218.0800000001</v>
      </c>
      <c r="E582" s="0" t="s">
        <v>4137</v>
      </c>
      <c r="F582" s="225"/>
    </row>
    <row r="583" customFormat="false" ht="14.25" hidden="false" customHeight="false" outlineLevel="0" collapsed="false">
      <c r="A583" s="0" t="n">
        <v>29510656</v>
      </c>
      <c r="B583" s="0" t="s">
        <v>4724</v>
      </c>
      <c r="C583" s="0" t="n">
        <v>0.216751474068337</v>
      </c>
      <c r="D583" s="0" t="n">
        <v>708165.56</v>
      </c>
      <c r="E583" s="0" t="s">
        <v>4137</v>
      </c>
      <c r="F583" s="225"/>
    </row>
    <row r="584" customFormat="false" ht="14.25" hidden="false" customHeight="false" outlineLevel="0" collapsed="false">
      <c r="A584" s="0" t="n">
        <v>1144141714</v>
      </c>
      <c r="B584" s="0" t="s">
        <v>4725</v>
      </c>
      <c r="C584" s="0" t="n">
        <v>0.416481097518833</v>
      </c>
      <c r="D584" s="0" t="n">
        <v>10183</v>
      </c>
      <c r="E584" s="0" t="s">
        <v>4137</v>
      </c>
      <c r="F584" s="225"/>
    </row>
    <row r="585" customFormat="false" ht="14.25" hidden="false" customHeight="false" outlineLevel="0" collapsed="false">
      <c r="A585" s="0" t="n">
        <v>1144171571</v>
      </c>
      <c r="B585" s="0" t="s">
        <v>4726</v>
      </c>
      <c r="C585" s="0" t="n">
        <v>0.193566534685712</v>
      </c>
      <c r="D585" s="0" t="n">
        <v>874620.62</v>
      </c>
      <c r="E585" s="0" t="s">
        <v>4137</v>
      </c>
      <c r="F585" s="225"/>
    </row>
    <row r="586" customFormat="false" ht="14.25" hidden="false" customHeight="false" outlineLevel="0" collapsed="false">
      <c r="A586" s="0" t="n">
        <v>66902081</v>
      </c>
      <c r="B586" s="0" t="s">
        <v>4727</v>
      </c>
      <c r="C586" s="0" t="n">
        <v>0.125762010180547</v>
      </c>
      <c r="D586" s="0" t="n">
        <v>1837144.82</v>
      </c>
      <c r="E586" s="0" t="s">
        <v>4137</v>
      </c>
      <c r="F586" s="225"/>
    </row>
    <row r="587" customFormat="false" ht="14.25" hidden="false" customHeight="false" outlineLevel="0" collapsed="false">
      <c r="A587" s="0" t="n">
        <v>66929175</v>
      </c>
      <c r="B587" s="0" t="s">
        <v>4728</v>
      </c>
      <c r="C587" s="0" t="n">
        <v>0.203082433953519</v>
      </c>
      <c r="D587" s="0" t="n">
        <v>1638053</v>
      </c>
      <c r="E587" s="0" t="s">
        <v>4137</v>
      </c>
      <c r="F587" s="225"/>
    </row>
    <row r="588" customFormat="false" ht="14.25" hidden="false" customHeight="false" outlineLevel="0" collapsed="false">
      <c r="A588" s="0" t="n">
        <v>38601463</v>
      </c>
      <c r="B588" s="0" t="s">
        <v>4729</v>
      </c>
      <c r="C588" s="0" t="n">
        <v>0.395320771290228</v>
      </c>
      <c r="D588" s="0" t="n">
        <v>87435.48</v>
      </c>
      <c r="E588" s="0" t="s">
        <v>4137</v>
      </c>
      <c r="F588" s="225"/>
    </row>
    <row r="589" customFormat="false" ht="14.25" hidden="false" customHeight="false" outlineLevel="0" collapsed="false">
      <c r="A589" s="0" t="n">
        <v>66999723</v>
      </c>
      <c r="B589" s="0" t="s">
        <v>4730</v>
      </c>
      <c r="C589" s="0" t="n">
        <v>0.483944296734433</v>
      </c>
      <c r="D589" s="0" t="n">
        <v>-180929.94</v>
      </c>
      <c r="E589" s="0" t="s">
        <v>4137</v>
      </c>
      <c r="F589" s="225"/>
    </row>
    <row r="590" customFormat="false" ht="14.25" hidden="false" customHeight="false" outlineLevel="0" collapsed="false">
      <c r="A590" s="0" t="n">
        <v>67020375</v>
      </c>
      <c r="B590" s="0" t="s">
        <v>4731</v>
      </c>
      <c r="C590" s="0" t="n">
        <v>0.118239677591058</v>
      </c>
      <c r="D590" s="0" t="n">
        <v>1190535</v>
      </c>
      <c r="E590" s="0" t="s">
        <v>4137</v>
      </c>
      <c r="F590" s="225"/>
    </row>
    <row r="591" customFormat="false" ht="14.25" hidden="false" customHeight="false" outlineLevel="0" collapsed="false">
      <c r="A591" s="0" t="n">
        <v>29360157</v>
      </c>
      <c r="B591" s="0" t="s">
        <v>4732</v>
      </c>
      <c r="C591" s="0" t="n">
        <v>0.306152493229719</v>
      </c>
      <c r="D591" s="0" t="n">
        <v>1547051</v>
      </c>
      <c r="E591" s="0" t="s">
        <v>4137</v>
      </c>
      <c r="F591" s="225"/>
    </row>
    <row r="592" customFormat="false" ht="14.25" hidden="false" customHeight="false" outlineLevel="0" collapsed="false">
      <c r="A592" s="0" t="n">
        <v>1114884602</v>
      </c>
      <c r="B592" s="0" t="s">
        <v>4733</v>
      </c>
      <c r="C592" s="0" t="n">
        <v>0.405228844460948</v>
      </c>
      <c r="D592" s="0" t="n">
        <v>47363.0800000001</v>
      </c>
      <c r="E592" s="0" t="s">
        <v>4137</v>
      </c>
      <c r="F592" s="225"/>
    </row>
    <row r="593" customFormat="false" ht="14.25" hidden="false" customHeight="false" outlineLevel="0" collapsed="false">
      <c r="A593" s="0" t="n">
        <v>1130614258</v>
      </c>
      <c r="B593" s="0" t="s">
        <v>4734</v>
      </c>
      <c r="C593" s="0" t="n">
        <v>0.334138691723692</v>
      </c>
      <c r="D593" s="0" t="n">
        <v>219207.24</v>
      </c>
      <c r="E593" s="0" t="s">
        <v>4137</v>
      </c>
      <c r="F593" s="225"/>
    </row>
    <row r="594" customFormat="false" ht="14.25" hidden="false" customHeight="false" outlineLevel="0" collapsed="false">
      <c r="A594" s="0" t="n">
        <v>1113654850</v>
      </c>
      <c r="B594" s="0" t="s">
        <v>4735</v>
      </c>
      <c r="C594" s="0" t="n">
        <v>0.353825180735746</v>
      </c>
      <c r="D594" s="0" t="n">
        <v>279326.14</v>
      </c>
      <c r="E594" s="0" t="s">
        <v>4137</v>
      </c>
      <c r="F594" s="225"/>
    </row>
    <row r="595" customFormat="false" ht="14.25" hidden="false" customHeight="false" outlineLevel="0" collapsed="false">
      <c r="A595" s="0" t="n">
        <v>1144069656</v>
      </c>
      <c r="B595" s="0" t="s">
        <v>4736</v>
      </c>
      <c r="C595" s="0" t="n">
        <v>0.392001844949934</v>
      </c>
      <c r="D595" s="0" t="n">
        <v>99268.4199999999</v>
      </c>
      <c r="E595" s="0" t="s">
        <v>4137</v>
      </c>
      <c r="F595" s="225"/>
    </row>
    <row r="596" customFormat="false" ht="14.25" hidden="false" customHeight="false" outlineLevel="0" collapsed="false">
      <c r="A596" s="0" t="n">
        <v>1112478456</v>
      </c>
      <c r="B596" s="0" t="s">
        <v>4737</v>
      </c>
      <c r="C596" s="0" t="n">
        <v>0.507026876168402</v>
      </c>
      <c r="D596" s="0" t="n">
        <v>-348412.94</v>
      </c>
      <c r="E596" s="0" t="s">
        <v>4137</v>
      </c>
      <c r="F596" s="225"/>
    </row>
    <row r="597" customFormat="false" ht="14.25" hidden="false" customHeight="false" outlineLevel="0" collapsed="false">
      <c r="A597" s="0" t="n">
        <v>1114726971</v>
      </c>
      <c r="B597" s="0" t="s">
        <v>4738</v>
      </c>
      <c r="C597" s="0" t="n">
        <v>0.185028728028728</v>
      </c>
      <c r="D597" s="0" t="n">
        <v>1243233</v>
      </c>
      <c r="E597" s="0" t="s">
        <v>4137</v>
      </c>
      <c r="F597" s="225"/>
    </row>
    <row r="598" customFormat="false" ht="14.25" hidden="false" customHeight="false" outlineLevel="0" collapsed="false">
      <c r="A598" s="0" t="n">
        <v>1144154389</v>
      </c>
      <c r="B598" s="0" t="s">
        <v>4739</v>
      </c>
      <c r="C598" s="0" t="n">
        <v>0.454431619401136</v>
      </c>
      <c r="D598" s="0" t="n">
        <v>-105955.86</v>
      </c>
      <c r="E598" s="0" t="s">
        <v>4137</v>
      </c>
      <c r="F598" s="225"/>
    </row>
    <row r="599" customFormat="false" ht="14.25" hidden="false" customHeight="false" outlineLevel="0" collapsed="false">
      <c r="A599" s="0" t="n">
        <v>38683813</v>
      </c>
      <c r="B599" s="0" t="s">
        <v>4740</v>
      </c>
      <c r="C599" s="0" t="n">
        <v>0.160169377946206</v>
      </c>
      <c r="D599" s="0" t="n">
        <v>1124443</v>
      </c>
      <c r="E599" s="0" t="s">
        <v>4137</v>
      </c>
      <c r="F599" s="225"/>
    </row>
    <row r="600" customFormat="false" ht="14.25" hidden="false" customHeight="false" outlineLevel="0" collapsed="false">
      <c r="A600" s="0" t="n">
        <v>1144057584</v>
      </c>
      <c r="B600" s="0" t="s">
        <v>4741</v>
      </c>
      <c r="C600" s="0" t="n">
        <v>0.323466263999735</v>
      </c>
      <c r="D600" s="0" t="n">
        <v>755370.66</v>
      </c>
      <c r="E600" s="0" t="s">
        <v>4137</v>
      </c>
      <c r="F600" s="225"/>
    </row>
    <row r="601" customFormat="false" ht="14.25" hidden="false" customHeight="false" outlineLevel="0" collapsed="false">
      <c r="A601" s="0" t="n">
        <v>1151947582</v>
      </c>
      <c r="B601" s="0" t="s">
        <v>4742</v>
      </c>
      <c r="C601" s="0" t="n">
        <v>0.300865105039933</v>
      </c>
      <c r="D601" s="0" t="n">
        <v>299068.02</v>
      </c>
      <c r="E601" s="0" t="s">
        <v>4137</v>
      </c>
      <c r="F601" s="225"/>
    </row>
    <row r="602" customFormat="false" ht="14.25" hidden="false" customHeight="false" outlineLevel="0" collapsed="false">
      <c r="A602" s="0" t="n">
        <v>52318074</v>
      </c>
      <c r="B602" s="0" t="s">
        <v>4743</v>
      </c>
      <c r="C602" s="0" t="n">
        <v>0.279889305685952</v>
      </c>
      <c r="D602" s="0" t="n">
        <v>659621.533333333</v>
      </c>
      <c r="E602" s="0" t="s">
        <v>4378</v>
      </c>
      <c r="F602" s="225"/>
    </row>
    <row r="603" customFormat="false" ht="14.25" hidden="false" customHeight="false" outlineLevel="0" collapsed="false">
      <c r="A603" s="0" t="n">
        <v>1151939341</v>
      </c>
      <c r="B603" s="0" t="s">
        <v>4744</v>
      </c>
      <c r="C603" s="0" t="n">
        <v>0.137823534922706</v>
      </c>
      <c r="D603" s="0" t="n">
        <v>716841.28</v>
      </c>
      <c r="E603" s="0" t="s">
        <v>4137</v>
      </c>
      <c r="F603" s="225"/>
    </row>
    <row r="604" customFormat="false" ht="14.25" hidden="false" customHeight="false" outlineLevel="0" collapsed="false">
      <c r="A604" s="0" t="n">
        <v>67024289</v>
      </c>
      <c r="B604" s="0" t="s">
        <v>4745</v>
      </c>
      <c r="C604" s="0" t="n">
        <v>0.486740963439077</v>
      </c>
      <c r="D604" s="0" t="n">
        <v>-193135</v>
      </c>
      <c r="E604" s="0" t="s">
        <v>4137</v>
      </c>
      <c r="F604" s="225"/>
    </row>
    <row r="605" customFormat="false" ht="14.25" hidden="false" customHeight="false" outlineLevel="0" collapsed="false">
      <c r="A605" s="0" t="n">
        <v>1144194544</v>
      </c>
      <c r="B605" s="0" t="s">
        <v>4746</v>
      </c>
      <c r="C605" s="0" t="n">
        <v>0.436369070097866</v>
      </c>
      <c r="D605" s="0" t="n">
        <v>-61371.3333333333</v>
      </c>
      <c r="E605" s="0" t="s">
        <v>4137</v>
      </c>
      <c r="F605" s="225"/>
    </row>
    <row r="606" customFormat="false" ht="14.25" hidden="false" customHeight="false" outlineLevel="0" collapsed="false">
      <c r="A606" s="0" t="n">
        <v>1143945724</v>
      </c>
      <c r="B606" s="0" t="s">
        <v>4747</v>
      </c>
      <c r="C606" s="0" t="n">
        <v>0.457375523857126</v>
      </c>
      <c r="D606" s="0" t="n">
        <v>-97210</v>
      </c>
      <c r="E606" s="0" t="s">
        <v>4137</v>
      </c>
      <c r="F606" s="225"/>
    </row>
    <row r="607" customFormat="false" ht="14.25" hidden="false" customHeight="false" outlineLevel="0" collapsed="false">
      <c r="A607" s="0" t="n">
        <v>1143836074</v>
      </c>
      <c r="B607" s="0" t="s">
        <v>4748</v>
      </c>
      <c r="C607" s="0" t="n">
        <v>0.408373827376246</v>
      </c>
      <c r="D607" s="0" t="n">
        <v>68362.8599999999</v>
      </c>
      <c r="E607" s="0" t="s">
        <v>4137</v>
      </c>
      <c r="F607" s="225"/>
    </row>
    <row r="608" customFormat="false" ht="14.25" hidden="false" customHeight="false" outlineLevel="0" collapsed="false">
      <c r="A608" s="0" t="n">
        <v>67037654</v>
      </c>
      <c r="B608" s="0" t="s">
        <v>4749</v>
      </c>
      <c r="C608" s="0" t="n">
        <v>0.474799876965666</v>
      </c>
      <c r="D608" s="0" t="n">
        <v>-142529</v>
      </c>
      <c r="E608" s="0" t="s">
        <v>4137</v>
      </c>
      <c r="F608" s="225"/>
    </row>
    <row r="609" customFormat="false" ht="14.25" hidden="false" customHeight="false" outlineLevel="0" collapsed="false">
      <c r="A609" s="0" t="n">
        <v>1143836561</v>
      </c>
      <c r="B609" s="0" t="s">
        <v>4750</v>
      </c>
      <c r="C609" s="0" t="n">
        <v>0.302821203953279</v>
      </c>
      <c r="D609" s="0" t="n">
        <v>339092</v>
      </c>
      <c r="E609" s="0" t="s">
        <v>4137</v>
      </c>
      <c r="F609" s="225"/>
    </row>
    <row r="610" customFormat="false" ht="14.25" hidden="false" customHeight="false" outlineLevel="0" collapsed="false">
      <c r="A610" s="0" t="n">
        <v>1143962645</v>
      </c>
      <c r="B610" s="0" t="s">
        <v>4751</v>
      </c>
      <c r="C610" s="0" t="n">
        <v>0.26337057773192</v>
      </c>
      <c r="D610" s="0" t="n">
        <v>424941.94</v>
      </c>
      <c r="E610" s="0" t="s">
        <v>4137</v>
      </c>
      <c r="F610" s="225"/>
    </row>
    <row r="611" customFormat="false" ht="14.25" hidden="false" customHeight="false" outlineLevel="0" collapsed="false">
      <c r="A611" s="0" t="n">
        <v>16896487</v>
      </c>
      <c r="B611" s="0" t="s">
        <v>4752</v>
      </c>
      <c r="C611" s="0" t="n">
        <v>0.48175627490372</v>
      </c>
      <c r="D611" s="0" t="n">
        <v>-282225</v>
      </c>
      <c r="E611" s="0" t="s">
        <v>4137</v>
      </c>
      <c r="F611" s="225"/>
    </row>
    <row r="612" customFormat="false" ht="14.25" hidden="false" customHeight="false" outlineLevel="0" collapsed="false">
      <c r="A612" s="0" t="n">
        <v>1144158639</v>
      </c>
      <c r="B612" s="0" t="s">
        <v>4753</v>
      </c>
      <c r="C612" s="0" t="n">
        <v>0.264384667742683</v>
      </c>
      <c r="D612" s="0" t="n">
        <v>883639.1</v>
      </c>
      <c r="E612" s="0" t="s">
        <v>4137</v>
      </c>
      <c r="F612" s="225"/>
    </row>
    <row r="613" customFormat="false" ht="14.25" hidden="false" customHeight="false" outlineLevel="0" collapsed="false">
      <c r="A613" s="0" t="n">
        <v>94493424</v>
      </c>
      <c r="B613" s="0" t="s">
        <v>4754</v>
      </c>
      <c r="C613" s="0" t="n">
        <v>0.314725227265725</v>
      </c>
      <c r="D613" s="0" t="n">
        <v>1910089.58</v>
      </c>
      <c r="E613" s="0" t="s">
        <v>4137</v>
      </c>
      <c r="F613" s="225"/>
    </row>
    <row r="614" customFormat="false" ht="14.25" hidden="false" customHeight="false" outlineLevel="0" collapsed="false">
      <c r="A614" s="0" t="n">
        <v>1151934960</v>
      </c>
      <c r="B614" s="0" t="s">
        <v>4755</v>
      </c>
      <c r="C614" s="0" t="n">
        <v>0.229856865441572</v>
      </c>
      <c r="D614" s="0" t="n">
        <v>649571.92</v>
      </c>
      <c r="E614" s="0" t="s">
        <v>4137</v>
      </c>
      <c r="F614" s="225"/>
    </row>
    <row r="615" customFormat="false" ht="14.25" hidden="false" customHeight="false" outlineLevel="0" collapsed="false">
      <c r="A615" s="0" t="n">
        <v>1144179107</v>
      </c>
      <c r="B615" s="0" t="s">
        <v>4756</v>
      </c>
      <c r="C615" s="0" t="n">
        <v>0.375171055359735</v>
      </c>
      <c r="D615" s="0" t="n">
        <v>129726</v>
      </c>
      <c r="E615" s="0" t="s">
        <v>4137</v>
      </c>
      <c r="F615" s="225"/>
    </row>
    <row r="616" customFormat="false" ht="14.25" hidden="false" customHeight="false" outlineLevel="0" collapsed="false">
      <c r="A616" s="0" t="n">
        <v>1143851066</v>
      </c>
      <c r="B616" s="0" t="s">
        <v>4757</v>
      </c>
      <c r="C616" s="0" t="n">
        <v>0.440080969507428</v>
      </c>
      <c r="D616" s="0" t="n">
        <v>-91727</v>
      </c>
      <c r="E616" s="0" t="s">
        <v>4137</v>
      </c>
      <c r="F616" s="225"/>
    </row>
    <row r="617" customFormat="false" ht="14.25" hidden="false" customHeight="false" outlineLevel="0" collapsed="false">
      <c r="A617" s="0" t="n">
        <v>1144061341</v>
      </c>
      <c r="B617" s="0" t="s">
        <v>4758</v>
      </c>
      <c r="C617" s="0" t="n">
        <v>0.282949649814608</v>
      </c>
      <c r="D617" s="0" t="n">
        <v>931449</v>
      </c>
      <c r="E617" s="0" t="s">
        <v>4137</v>
      </c>
      <c r="F617" s="225"/>
    </row>
    <row r="618" customFormat="false" ht="14.25" hidden="false" customHeight="false" outlineLevel="0" collapsed="false">
      <c r="A618" s="0" t="n">
        <v>67031447</v>
      </c>
      <c r="B618" s="0" t="s">
        <v>4759</v>
      </c>
      <c r="C618" s="0" t="n">
        <v>0.289003421892422</v>
      </c>
      <c r="D618" s="0" t="n">
        <v>340709</v>
      </c>
      <c r="E618" s="0" t="s">
        <v>4137</v>
      </c>
      <c r="F618" s="225"/>
    </row>
    <row r="619" customFormat="false" ht="14.25" hidden="false" customHeight="false" outlineLevel="0" collapsed="false">
      <c r="A619" s="0" t="n">
        <v>1144191800</v>
      </c>
      <c r="B619" s="0" t="s">
        <v>4760</v>
      </c>
      <c r="C619" s="0" t="n">
        <v>0.36066245075679</v>
      </c>
      <c r="D619" s="0" t="n">
        <v>171711</v>
      </c>
      <c r="E619" s="0" t="s">
        <v>4137</v>
      </c>
      <c r="F619" s="225"/>
    </row>
    <row r="620" customFormat="false" ht="14.25" hidden="false" customHeight="false" outlineLevel="0" collapsed="false">
      <c r="A620" s="0" t="n">
        <v>1143851441</v>
      </c>
      <c r="B620" s="0" t="s">
        <v>4761</v>
      </c>
      <c r="C620" s="0" t="n">
        <v>0.269172518612221</v>
      </c>
      <c r="D620" s="0" t="n">
        <v>412625.88</v>
      </c>
      <c r="E620" s="0" t="s">
        <v>4137</v>
      </c>
      <c r="F620" s="225"/>
    </row>
    <row r="621" customFormat="false" ht="14.25" hidden="false" customHeight="false" outlineLevel="0" collapsed="false">
      <c r="A621" s="0" t="n">
        <v>16846278</v>
      </c>
      <c r="B621" s="0" t="s">
        <v>4762</v>
      </c>
      <c r="C621" s="0" t="n">
        <v>0.399134579258738</v>
      </c>
      <c r="D621" s="0" t="n">
        <v>66328.6199999999</v>
      </c>
      <c r="E621" s="0" t="s">
        <v>4137</v>
      </c>
      <c r="F621" s="225"/>
    </row>
    <row r="622" customFormat="false" ht="14.25" hidden="false" customHeight="false" outlineLevel="0" collapsed="false">
      <c r="A622" s="0" t="n">
        <v>1151949440</v>
      </c>
      <c r="B622" s="0" t="s">
        <v>4763</v>
      </c>
      <c r="C622" s="0" t="n">
        <v>0.265611480956823</v>
      </c>
      <c r="D622" s="0" t="n">
        <v>544535.46</v>
      </c>
      <c r="E622" s="0" t="s">
        <v>4137</v>
      </c>
      <c r="F622" s="225"/>
    </row>
    <row r="623" customFormat="false" ht="14.25" hidden="false" customHeight="false" outlineLevel="0" collapsed="false">
      <c r="A623" s="0" t="n">
        <v>1113660222</v>
      </c>
      <c r="B623" s="0" t="s">
        <v>4764</v>
      </c>
      <c r="C623" s="0" t="n">
        <v>0.420681580113659</v>
      </c>
      <c r="D623" s="0" t="n">
        <v>-2522.65999999992</v>
      </c>
      <c r="E623" s="0" t="s">
        <v>4137</v>
      </c>
      <c r="F623" s="225"/>
    </row>
    <row r="624" customFormat="false" ht="14.25" hidden="false" customHeight="false" outlineLevel="0" collapsed="false">
      <c r="A624" s="0" t="n">
        <v>1112485702</v>
      </c>
      <c r="B624" s="0" t="s">
        <v>4765</v>
      </c>
      <c r="C624" s="0" t="n">
        <v>0.356819921920252</v>
      </c>
      <c r="D624" s="0" t="n">
        <v>267965.96</v>
      </c>
      <c r="E624" s="0" t="s">
        <v>4137</v>
      </c>
      <c r="F624" s="225"/>
    </row>
    <row r="625" customFormat="false" ht="14.25" hidden="false" customHeight="false" outlineLevel="0" collapsed="false">
      <c r="A625" s="0" t="n">
        <v>1144056448</v>
      </c>
      <c r="B625" s="0" t="s">
        <v>4766</v>
      </c>
      <c r="C625" s="0" t="n">
        <v>0.136616634044532</v>
      </c>
      <c r="D625" s="0" t="n">
        <v>2096424.8</v>
      </c>
      <c r="E625" s="0" t="s">
        <v>4137</v>
      </c>
      <c r="F625" s="225"/>
    </row>
    <row r="626" customFormat="false" ht="14.25" hidden="false" customHeight="false" outlineLevel="0" collapsed="false">
      <c r="A626" s="0" t="n">
        <v>1144152822</v>
      </c>
      <c r="B626" s="0" t="s">
        <v>4767</v>
      </c>
      <c r="C626" s="0" t="n">
        <v>0.395191268191268</v>
      </c>
      <c r="D626" s="0" t="n">
        <v>131263</v>
      </c>
      <c r="E626" s="0" t="s">
        <v>4137</v>
      </c>
      <c r="F626" s="225"/>
    </row>
    <row r="627" customFormat="false" ht="14.25" hidden="false" customHeight="false" outlineLevel="0" collapsed="false">
      <c r="A627" s="0" t="n">
        <v>1107075855</v>
      </c>
      <c r="B627" s="0" t="s">
        <v>4768</v>
      </c>
      <c r="C627" s="0" t="n">
        <v>0.206472287306721</v>
      </c>
      <c r="D627" s="0" t="n">
        <v>831069.36</v>
      </c>
      <c r="E627" s="0" t="s">
        <v>4137</v>
      </c>
      <c r="F627" s="225"/>
    </row>
    <row r="628" customFormat="false" ht="14.25" hidden="false" customHeight="false" outlineLevel="0" collapsed="false">
      <c r="A628" s="0" t="n">
        <v>1144185994</v>
      </c>
      <c r="B628" s="0" t="s">
        <v>4769</v>
      </c>
      <c r="C628" s="0" t="n">
        <v>0.193842854532596</v>
      </c>
      <c r="D628" s="0" t="n">
        <v>639910.06</v>
      </c>
      <c r="E628" s="0" t="s">
        <v>4147</v>
      </c>
      <c r="F628" s="225"/>
    </row>
    <row r="629" customFormat="false" ht="14.25" hidden="false" customHeight="false" outlineLevel="0" collapsed="false">
      <c r="A629" s="0" t="n">
        <v>1143830119</v>
      </c>
      <c r="B629" s="0" t="s">
        <v>4770</v>
      </c>
      <c r="C629" s="0" t="n">
        <v>0.231702742657929</v>
      </c>
      <c r="D629" s="0" t="n">
        <v>640036.5</v>
      </c>
      <c r="E629" s="0" t="s">
        <v>4137</v>
      </c>
      <c r="F629" s="225"/>
    </row>
    <row r="630" customFormat="false" ht="14.25" hidden="false" customHeight="false" outlineLevel="0" collapsed="false">
      <c r="A630" s="0" t="n">
        <v>31487155</v>
      </c>
      <c r="B630" s="0" t="s">
        <v>4771</v>
      </c>
      <c r="C630" s="0" t="n">
        <v>0.368426631564362</v>
      </c>
      <c r="D630" s="0" t="n">
        <v>148882</v>
      </c>
      <c r="E630" s="0" t="s">
        <v>4137</v>
      </c>
      <c r="F630" s="225"/>
    </row>
    <row r="631" customFormat="false" ht="14.25" hidden="false" customHeight="false" outlineLevel="0" collapsed="false">
      <c r="A631" s="0" t="n">
        <v>1130616226</v>
      </c>
      <c r="B631" s="0" t="s">
        <v>4772</v>
      </c>
      <c r="C631" s="0" t="n">
        <v>0.313403052789419</v>
      </c>
      <c r="D631" s="0" t="n">
        <v>277248</v>
      </c>
      <c r="E631" s="0" t="s">
        <v>4137</v>
      </c>
      <c r="F631" s="225"/>
    </row>
    <row r="632" customFormat="false" ht="14.25" hidden="false" customHeight="false" outlineLevel="0" collapsed="false">
      <c r="A632" s="0" t="n">
        <v>1130637122</v>
      </c>
      <c r="B632" s="0" t="s">
        <v>4773</v>
      </c>
      <c r="C632" s="0" t="n">
        <v>0.412201173382877</v>
      </c>
      <c r="D632" s="0" t="n">
        <v>20294.26</v>
      </c>
      <c r="E632" s="0" t="s">
        <v>4137</v>
      </c>
      <c r="F632" s="225"/>
    </row>
    <row r="633" customFormat="false" ht="14.25" hidden="false" customHeight="false" outlineLevel="0" collapsed="false">
      <c r="A633" s="0" t="n">
        <v>1130679086</v>
      </c>
      <c r="B633" s="0" t="s">
        <v>4774</v>
      </c>
      <c r="C633" s="0" t="n">
        <v>0.38881558585984</v>
      </c>
      <c r="D633" s="0" t="n">
        <v>118896.4</v>
      </c>
      <c r="E633" s="0" t="s">
        <v>4137</v>
      </c>
      <c r="F633" s="225"/>
    </row>
    <row r="634" customFormat="false" ht="14.25" hidden="false" customHeight="false" outlineLevel="0" collapsed="false">
      <c r="A634" s="0" t="n">
        <v>1087184710</v>
      </c>
      <c r="B634" s="0" t="s">
        <v>4775</v>
      </c>
      <c r="C634" s="0" t="n">
        <v>0.328180260438893</v>
      </c>
      <c r="D634" s="0" t="n">
        <v>700720.2</v>
      </c>
      <c r="E634" s="0" t="s">
        <v>4137</v>
      </c>
      <c r="F634" s="225"/>
    </row>
    <row r="635" customFormat="false" ht="14.25" hidden="false" customHeight="false" outlineLevel="0" collapsed="false">
      <c r="A635" s="0" t="n">
        <v>1032378479</v>
      </c>
      <c r="B635" s="0" t="s">
        <v>4776</v>
      </c>
      <c r="C635" s="0" t="n">
        <v>0.250160823604221</v>
      </c>
      <c r="D635" s="0" t="n">
        <v>1160256.56</v>
      </c>
      <c r="E635" s="0" t="s">
        <v>4137</v>
      </c>
      <c r="F635" s="225"/>
    </row>
    <row r="636" customFormat="false" ht="14.25" hidden="false" customHeight="false" outlineLevel="0" collapsed="false">
      <c r="A636" s="0" t="n">
        <v>16375423</v>
      </c>
      <c r="B636" s="0" t="s">
        <v>4777</v>
      </c>
      <c r="C636" s="0" t="n">
        <v>0.37958856342013</v>
      </c>
      <c r="D636" s="0" t="n">
        <v>106727.52</v>
      </c>
      <c r="E636" s="0" t="s">
        <v>4137</v>
      </c>
      <c r="F636" s="225"/>
    </row>
    <row r="637" customFormat="false" ht="14.25" hidden="false" customHeight="false" outlineLevel="0" collapsed="false">
      <c r="A637" s="0" t="n">
        <v>1112482367</v>
      </c>
      <c r="B637" s="0" t="s">
        <v>4778</v>
      </c>
      <c r="C637" s="0" t="n">
        <v>0.386718157018621</v>
      </c>
      <c r="D637" s="0" t="n">
        <v>86162.6199999999</v>
      </c>
      <c r="E637" s="0" t="s">
        <v>4137</v>
      </c>
      <c r="F637" s="225"/>
    </row>
    <row r="638" customFormat="false" ht="14.25" hidden="false" customHeight="false" outlineLevel="0" collapsed="false">
      <c r="A638" s="0" t="n">
        <v>1144143740</v>
      </c>
      <c r="B638" s="0" t="s">
        <v>4779</v>
      </c>
      <c r="C638" s="0" t="n">
        <v>0.298257097789196</v>
      </c>
      <c r="D638" s="0" t="n">
        <v>246000.12</v>
      </c>
      <c r="E638" s="0" t="s">
        <v>4137</v>
      </c>
      <c r="F638" s="225"/>
    </row>
    <row r="639" customFormat="false" ht="14.25" hidden="false" customHeight="false" outlineLevel="0" collapsed="false">
      <c r="A639" s="0" t="n">
        <v>1144072721</v>
      </c>
      <c r="B639" s="0" t="s">
        <v>4780</v>
      </c>
      <c r="C639" s="0" t="n">
        <v>0.1250410520606</v>
      </c>
      <c r="D639" s="0" t="n">
        <v>850823.44</v>
      </c>
      <c r="E639" s="0" t="s">
        <v>4137</v>
      </c>
      <c r="F639" s="225"/>
    </row>
    <row r="640" customFormat="false" ht="14.25" hidden="false" customHeight="false" outlineLevel="0" collapsed="false">
      <c r="A640" s="0" t="n">
        <v>1144095055</v>
      </c>
      <c r="B640" s="0" t="s">
        <v>4781</v>
      </c>
      <c r="C640" s="0" t="n">
        <v>0.339757776154408</v>
      </c>
      <c r="D640" s="0" t="n">
        <v>208702</v>
      </c>
      <c r="E640" s="0" t="s">
        <v>4137</v>
      </c>
      <c r="F640" s="225"/>
    </row>
    <row r="641" customFormat="false" ht="14.25" hidden="false" customHeight="false" outlineLevel="0" collapsed="false">
      <c r="A641" s="0" t="n">
        <v>1107509351</v>
      </c>
      <c r="B641" s="0" t="s">
        <v>4782</v>
      </c>
      <c r="C641" s="0" t="n">
        <v>0.267179832745871</v>
      </c>
      <c r="D641" s="0" t="n">
        <v>442231</v>
      </c>
      <c r="E641" s="0" t="s">
        <v>4137</v>
      </c>
      <c r="F641" s="225"/>
    </row>
    <row r="642" customFormat="false" ht="14.25" hidden="false" customHeight="false" outlineLevel="0" collapsed="false">
      <c r="A642" s="0" t="n">
        <v>1144189605</v>
      </c>
      <c r="B642" s="0" t="s">
        <v>4783</v>
      </c>
      <c r="C642" s="0" t="n">
        <v>0.25927801316059</v>
      </c>
      <c r="D642" s="0" t="n">
        <v>576204.02</v>
      </c>
      <c r="E642" s="0" t="s">
        <v>4137</v>
      </c>
      <c r="F642" s="225"/>
    </row>
    <row r="643" customFormat="false" ht="14.25" hidden="false" customHeight="false" outlineLevel="0" collapsed="false">
      <c r="A643" s="0" t="n">
        <v>67030243</v>
      </c>
      <c r="B643" s="0" t="s">
        <v>4784</v>
      </c>
      <c r="C643" s="0" t="n">
        <v>0.263063863722067</v>
      </c>
      <c r="D643" s="0" t="n">
        <v>556005.48</v>
      </c>
      <c r="E643" s="0" t="s">
        <v>4137</v>
      </c>
      <c r="F643" s="225"/>
    </row>
    <row r="644" customFormat="false" ht="14.25" hidden="false" customHeight="false" outlineLevel="0" collapsed="false">
      <c r="A644" s="0" t="n">
        <v>31574768</v>
      </c>
      <c r="B644" s="0" t="s">
        <v>4785</v>
      </c>
      <c r="C644" s="0" t="n">
        <v>0.28347282558462</v>
      </c>
      <c r="D644" s="0" t="n">
        <v>590835</v>
      </c>
      <c r="E644" s="0" t="s">
        <v>4137</v>
      </c>
      <c r="F644" s="225"/>
    </row>
    <row r="645" customFormat="false" ht="14.25" hidden="false" customHeight="false" outlineLevel="0" collapsed="false">
      <c r="A645" s="0" t="n">
        <v>67005575</v>
      </c>
      <c r="B645" s="0" t="s">
        <v>4786</v>
      </c>
      <c r="C645" s="0" t="n">
        <v>0.397794026224783</v>
      </c>
      <c r="D645" s="0" t="n">
        <v>144188.88</v>
      </c>
      <c r="E645" s="0" t="s">
        <v>4147</v>
      </c>
      <c r="F645" s="225"/>
    </row>
    <row r="646" customFormat="false" ht="14.25" hidden="false" customHeight="false" outlineLevel="0" collapsed="false">
      <c r="A646" s="0" t="n">
        <v>1130602580</v>
      </c>
      <c r="B646" s="0" t="s">
        <v>4787</v>
      </c>
      <c r="C646" s="0" t="n">
        <v>0.29444629101927</v>
      </c>
      <c r="D646" s="0" t="n">
        <v>443715.68</v>
      </c>
      <c r="E646" s="0" t="s">
        <v>4137</v>
      </c>
      <c r="F646" s="225"/>
    </row>
    <row r="647" customFormat="false" ht="14.25" hidden="false" customHeight="false" outlineLevel="0" collapsed="false">
      <c r="A647" s="0" t="n">
        <v>34322592</v>
      </c>
      <c r="B647" s="0" t="s">
        <v>4788</v>
      </c>
      <c r="C647" s="0" t="n">
        <v>0.310729921423997</v>
      </c>
      <c r="D647" s="0" t="n">
        <v>339990.28</v>
      </c>
      <c r="E647" s="0" t="s">
        <v>4137</v>
      </c>
      <c r="F647" s="225"/>
    </row>
    <row r="648" customFormat="false" ht="14.25" hidden="false" customHeight="false" outlineLevel="0" collapsed="false">
      <c r="A648" s="0" t="n">
        <v>38640081</v>
      </c>
      <c r="B648" s="0" t="s">
        <v>4789</v>
      </c>
      <c r="C648" s="0" t="n">
        <v>0.143337804793845</v>
      </c>
      <c r="D648" s="0" t="n">
        <v>1767021.06</v>
      </c>
      <c r="E648" s="0" t="s">
        <v>4137</v>
      </c>
      <c r="F648" s="225"/>
    </row>
    <row r="649" customFormat="false" ht="14.25" hidden="false" customHeight="false" outlineLevel="0" collapsed="false">
      <c r="A649" s="0" t="n">
        <v>1143866189</v>
      </c>
      <c r="B649" s="0" t="s">
        <v>4790</v>
      </c>
      <c r="C649" s="0" t="n">
        <v>0.429446579437026</v>
      </c>
      <c r="D649" s="0" t="n">
        <v>-35531.52</v>
      </c>
      <c r="E649" s="0" t="s">
        <v>4137</v>
      </c>
      <c r="F649" s="225"/>
    </row>
    <row r="650" customFormat="false" ht="14.25" hidden="false" customHeight="false" outlineLevel="0" collapsed="false">
      <c r="A650" s="0" t="n">
        <v>24338540</v>
      </c>
      <c r="B650" s="0" t="s">
        <v>4791</v>
      </c>
      <c r="C650" s="0" t="n">
        <v>0.347803925978282</v>
      </c>
      <c r="D650" s="0" t="n">
        <v>449435</v>
      </c>
      <c r="E650" s="0" t="s">
        <v>4137</v>
      </c>
      <c r="F650" s="225"/>
    </row>
    <row r="651" customFormat="false" ht="14.25" hidden="false" customHeight="false" outlineLevel="0" collapsed="false">
      <c r="A651" s="0" t="n">
        <v>1144157555</v>
      </c>
      <c r="B651" s="0" t="s">
        <v>4792</v>
      </c>
      <c r="C651" s="0" t="n">
        <v>0.305740755409779</v>
      </c>
      <c r="D651" s="0" t="n">
        <v>434653.44</v>
      </c>
      <c r="E651" s="0" t="s">
        <v>4137</v>
      </c>
      <c r="F651" s="225"/>
    </row>
    <row r="652" customFormat="false" ht="14.25" hidden="false" customHeight="false" outlineLevel="0" collapsed="false">
      <c r="A652" s="0" t="n">
        <v>67030084</v>
      </c>
      <c r="B652" s="0" t="s">
        <v>4793</v>
      </c>
      <c r="C652" s="0" t="n">
        <v>0.403412664846784</v>
      </c>
      <c r="D652" s="0" t="n">
        <v>43142</v>
      </c>
      <c r="E652" s="0" t="s">
        <v>4378</v>
      </c>
      <c r="F652" s="225"/>
    </row>
    <row r="653" customFormat="false" ht="14.25" hidden="false" customHeight="false" outlineLevel="0" collapsed="false">
      <c r="A653" s="0" t="n">
        <v>67022295</v>
      </c>
      <c r="B653" s="0" t="s">
        <v>4794</v>
      </c>
      <c r="C653" s="0" t="n">
        <v>0.287624922966517</v>
      </c>
      <c r="D653" s="0" t="n">
        <v>493613.16</v>
      </c>
      <c r="E653" s="0" t="s">
        <v>4137</v>
      </c>
      <c r="F653" s="225"/>
    </row>
    <row r="654" customFormat="false" ht="14.25" hidden="false" customHeight="false" outlineLevel="0" collapsed="false">
      <c r="A654" s="0" t="n">
        <v>1130641134</v>
      </c>
      <c r="B654" s="0" t="s">
        <v>4795</v>
      </c>
      <c r="C654" s="0" t="n">
        <v>0.300529169141745</v>
      </c>
      <c r="D654" s="0" t="n">
        <v>372814.98</v>
      </c>
      <c r="E654" s="0" t="s">
        <v>4137</v>
      </c>
      <c r="F654" s="225"/>
    </row>
    <row r="655" customFormat="false" ht="14.25" hidden="false" customHeight="false" outlineLevel="0" collapsed="false">
      <c r="A655" s="0" t="n">
        <v>67025009</v>
      </c>
      <c r="B655" s="0" t="s">
        <v>4796</v>
      </c>
      <c r="C655" s="0" t="n">
        <v>0.38027170860986</v>
      </c>
      <c r="D655" s="0" t="n">
        <v>136559.42</v>
      </c>
      <c r="E655" s="0" t="s">
        <v>4147</v>
      </c>
      <c r="F655" s="225"/>
    </row>
    <row r="656" customFormat="false" ht="14.25" hidden="false" customHeight="false" outlineLevel="0" collapsed="false">
      <c r="A656" s="0" t="n">
        <v>1130591110</v>
      </c>
      <c r="B656" s="0" t="s">
        <v>4797</v>
      </c>
      <c r="C656" s="0" t="n">
        <v>0.286925762723517</v>
      </c>
      <c r="D656" s="0" t="n">
        <v>667123.02</v>
      </c>
      <c r="E656" s="0" t="s">
        <v>4137</v>
      </c>
      <c r="F656" s="225"/>
    </row>
    <row r="657" customFormat="false" ht="14.25" hidden="false" customHeight="false" outlineLevel="0" collapsed="false">
      <c r="A657" s="0" t="n">
        <v>16942315</v>
      </c>
      <c r="B657" s="0" t="s">
        <v>4798</v>
      </c>
      <c r="C657" s="0" t="n">
        <v>0.175261906864477</v>
      </c>
      <c r="D657" s="0" t="n">
        <v>3325697</v>
      </c>
      <c r="E657" s="0" t="s">
        <v>4137</v>
      </c>
      <c r="F657" s="225"/>
    </row>
    <row r="658" customFormat="false" ht="14.25" hidden="false" customHeight="false" outlineLevel="0" collapsed="false">
      <c r="A658" s="0" t="n">
        <v>38561848</v>
      </c>
      <c r="B658" s="0" t="s">
        <v>4799</v>
      </c>
      <c r="C658" s="0" t="n">
        <v>0.467222507986909</v>
      </c>
      <c r="D658" s="0" t="n">
        <v>-173359.1</v>
      </c>
      <c r="E658" s="0" t="s">
        <v>4137</v>
      </c>
      <c r="F658" s="225"/>
    </row>
    <row r="659" customFormat="false" ht="14.25" hidden="false" customHeight="false" outlineLevel="0" collapsed="false">
      <c r="A659" s="0" t="n">
        <v>1082689692</v>
      </c>
      <c r="B659" s="0" t="s">
        <v>4800</v>
      </c>
      <c r="C659" s="0" t="n">
        <v>0.168186299354098</v>
      </c>
      <c r="D659" s="0" t="n">
        <v>634307.8</v>
      </c>
      <c r="E659" s="0" t="s">
        <v>4137</v>
      </c>
      <c r="F659" s="225"/>
    </row>
    <row r="660" customFormat="false" ht="14.25" hidden="false" customHeight="false" outlineLevel="0" collapsed="false">
      <c r="A660" s="0" t="n">
        <v>34611636</v>
      </c>
      <c r="B660" s="0" t="s">
        <v>4801</v>
      </c>
      <c r="C660" s="0" t="n">
        <v>0.287797849296676</v>
      </c>
      <c r="D660" s="0" t="n">
        <v>374065.06</v>
      </c>
      <c r="E660" s="0" t="s">
        <v>4137</v>
      </c>
      <c r="F660" s="225"/>
    </row>
    <row r="661" customFormat="false" ht="14.25" hidden="false" customHeight="false" outlineLevel="0" collapsed="false">
      <c r="A661" s="0" t="n">
        <v>1136059863</v>
      </c>
      <c r="B661" s="0" t="s">
        <v>4802</v>
      </c>
      <c r="C661" s="0" t="n">
        <v>0.404713262224507</v>
      </c>
      <c r="D661" s="0" t="n">
        <v>95163</v>
      </c>
      <c r="E661" s="0" t="s">
        <v>4137</v>
      </c>
      <c r="F661" s="225"/>
    </row>
    <row r="662" customFormat="false" ht="14.25" hidden="false" customHeight="false" outlineLevel="0" collapsed="false">
      <c r="A662" s="0" t="n">
        <v>1143868606</v>
      </c>
      <c r="B662" s="0" t="s">
        <v>4803</v>
      </c>
      <c r="C662" s="0" t="n">
        <v>0.321673667734985</v>
      </c>
      <c r="D662" s="0" t="n">
        <v>310609.18</v>
      </c>
      <c r="E662" s="0" t="s">
        <v>4137</v>
      </c>
      <c r="F662" s="225"/>
    </row>
    <row r="663" customFormat="false" ht="14.25" hidden="false" customHeight="false" outlineLevel="0" collapsed="false">
      <c r="A663" s="0" t="n">
        <v>1143871269</v>
      </c>
      <c r="B663" s="0" t="s">
        <v>4804</v>
      </c>
      <c r="C663" s="0" t="n">
        <v>0.115860222430833</v>
      </c>
      <c r="D663" s="0" t="n">
        <v>1174768.48</v>
      </c>
      <c r="E663" s="0" t="s">
        <v>4137</v>
      </c>
      <c r="F663" s="225"/>
    </row>
    <row r="664" customFormat="false" ht="14.25" hidden="false" customHeight="false" outlineLevel="0" collapsed="false">
      <c r="A664" s="0" t="n">
        <v>1144181904</v>
      </c>
      <c r="B664" s="0" t="s">
        <v>4805</v>
      </c>
      <c r="C664" s="0" t="n">
        <v>0.418802851841284</v>
      </c>
      <c r="D664" s="0" t="n">
        <v>3952.31999999983</v>
      </c>
      <c r="E664" s="0" t="s">
        <v>4137</v>
      </c>
      <c r="F664" s="225"/>
    </row>
    <row r="665" customFormat="false" ht="14.25" hidden="false" customHeight="false" outlineLevel="0" collapsed="false">
      <c r="A665" s="0" t="n">
        <v>1144082255</v>
      </c>
      <c r="B665" s="0" t="s">
        <v>4806</v>
      </c>
      <c r="C665" s="0" t="n">
        <v>0.424049956474993</v>
      </c>
      <c r="D665" s="0" t="n">
        <v>-16041.6400000001</v>
      </c>
      <c r="E665" s="0" t="s">
        <v>4137</v>
      </c>
      <c r="F665" s="225"/>
    </row>
    <row r="666" customFormat="false" ht="14.25" hidden="false" customHeight="false" outlineLevel="0" collapsed="false">
      <c r="A666" s="0" t="n">
        <v>1130625054</v>
      </c>
      <c r="B666" s="0" t="s">
        <v>4807</v>
      </c>
      <c r="C666" s="0" t="n">
        <v>0.105505921612988</v>
      </c>
      <c r="D666" s="0" t="n">
        <v>1188449.64</v>
      </c>
      <c r="E666" s="0" t="s">
        <v>4137</v>
      </c>
      <c r="F666" s="225"/>
    </row>
    <row r="667" customFormat="false" ht="14.25" hidden="false" customHeight="false" outlineLevel="0" collapsed="false">
      <c r="A667" s="0" t="n">
        <v>1082844316</v>
      </c>
      <c r="B667" s="0" t="s">
        <v>4808</v>
      </c>
      <c r="C667" s="0" t="n">
        <v>0.434699933564627</v>
      </c>
      <c r="D667" s="0" t="n">
        <v>-79656</v>
      </c>
      <c r="E667" s="0" t="s">
        <v>4137</v>
      </c>
      <c r="F667" s="225"/>
    </row>
    <row r="668" customFormat="false" ht="14.25" hidden="false" customHeight="false" outlineLevel="0" collapsed="false">
      <c r="A668" s="0" t="n">
        <v>1144154240</v>
      </c>
      <c r="B668" s="0" t="s">
        <v>4809</v>
      </c>
      <c r="C668" s="0" t="n">
        <v>0.446641383812395</v>
      </c>
      <c r="D668" s="0" t="n">
        <v>-99619.9399999999</v>
      </c>
      <c r="E668" s="0" t="s">
        <v>4137</v>
      </c>
      <c r="F668" s="225"/>
    </row>
    <row r="669" customFormat="false" ht="14.25" hidden="false" customHeight="false" outlineLevel="0" collapsed="false">
      <c r="A669" s="0" t="n">
        <v>1143938085</v>
      </c>
      <c r="B669" s="0" t="s">
        <v>4810</v>
      </c>
      <c r="C669" s="0" t="n">
        <v>0.116859991675865</v>
      </c>
      <c r="D669" s="0" t="n">
        <v>809671.3</v>
      </c>
      <c r="E669" s="0" t="s">
        <v>4137</v>
      </c>
      <c r="F669" s="225"/>
    </row>
    <row r="670" customFormat="false" ht="14.25" hidden="false" customHeight="false" outlineLevel="0" collapsed="false">
      <c r="A670" s="0" t="n">
        <v>1143842513</v>
      </c>
      <c r="B670" s="0" t="s">
        <v>4811</v>
      </c>
      <c r="C670" s="0" t="n">
        <v>0.209991877892838</v>
      </c>
      <c r="D670" s="0" t="n">
        <v>871876.44</v>
      </c>
      <c r="E670" s="0" t="s">
        <v>4137</v>
      </c>
      <c r="F670" s="225"/>
    </row>
    <row r="671" customFormat="false" ht="14.25" hidden="false" customHeight="false" outlineLevel="0" collapsed="false">
      <c r="A671" s="0" t="n">
        <v>31710423</v>
      </c>
      <c r="B671" s="0" t="s">
        <v>4812</v>
      </c>
      <c r="C671" s="0" t="n">
        <v>0.17439139328118</v>
      </c>
      <c r="D671" s="0" t="n">
        <v>2356823.84</v>
      </c>
      <c r="E671" s="0" t="s">
        <v>4137</v>
      </c>
      <c r="F671" s="225"/>
    </row>
    <row r="672" customFormat="false" ht="14.25" hidden="false" customHeight="false" outlineLevel="0" collapsed="false">
      <c r="A672" s="0" t="n">
        <v>1130640618</v>
      </c>
      <c r="B672" s="0" t="s">
        <v>4813</v>
      </c>
      <c r="C672" s="0" t="n">
        <v>0.389187817112596</v>
      </c>
      <c r="D672" s="0" t="n">
        <v>127283</v>
      </c>
      <c r="E672" s="0" t="s">
        <v>4137</v>
      </c>
      <c r="F672" s="225"/>
    </row>
    <row r="673" customFormat="false" ht="14.25" hidden="false" customHeight="false" outlineLevel="0" collapsed="false">
      <c r="A673" s="0" t="n">
        <v>1143840738</v>
      </c>
      <c r="B673" s="0" t="s">
        <v>4814</v>
      </c>
      <c r="C673" s="0" t="n">
        <v>0.400259141066554</v>
      </c>
      <c r="D673" s="0" t="n">
        <v>51344</v>
      </c>
      <c r="E673" s="0" t="s">
        <v>4137</v>
      </c>
      <c r="F673" s="225"/>
    </row>
    <row r="674" customFormat="false" ht="14.25" hidden="false" customHeight="false" outlineLevel="0" collapsed="false">
      <c r="A674" s="0" t="n">
        <v>1144067925</v>
      </c>
      <c r="B674" s="0" t="s">
        <v>4815</v>
      </c>
      <c r="C674" s="0" t="n">
        <v>0.376563479570702</v>
      </c>
      <c r="D674" s="0" t="n">
        <v>240303.5</v>
      </c>
      <c r="E674" s="0" t="s">
        <v>4137</v>
      </c>
      <c r="F674" s="225"/>
    </row>
    <row r="675" customFormat="false" ht="14.25" hidden="false" customHeight="false" outlineLevel="0" collapsed="false">
      <c r="A675" s="0" t="n">
        <v>1143860494</v>
      </c>
      <c r="B675" s="0" t="s">
        <v>4816</v>
      </c>
      <c r="C675" s="0" t="n">
        <v>0.404887439543672</v>
      </c>
      <c r="D675" s="0" t="n">
        <v>51351.0800000001</v>
      </c>
      <c r="E675" s="0" t="s">
        <v>4137</v>
      </c>
      <c r="F675" s="225"/>
    </row>
    <row r="676" customFormat="false" ht="14.25" hidden="false" customHeight="false" outlineLevel="0" collapsed="false">
      <c r="A676" s="0" t="n">
        <v>1112882571</v>
      </c>
      <c r="B676" s="0" t="s">
        <v>4817</v>
      </c>
      <c r="C676" s="0" t="n">
        <v>0.124757757625478</v>
      </c>
      <c r="D676" s="0" t="n">
        <v>1760540.12</v>
      </c>
      <c r="E676" s="0" t="s">
        <v>4137</v>
      </c>
      <c r="F676" s="225"/>
    </row>
    <row r="677" customFormat="false" ht="14.25" hidden="false" customHeight="false" outlineLevel="0" collapsed="false">
      <c r="A677" s="0" t="n">
        <v>29507012</v>
      </c>
      <c r="B677" s="0" t="s">
        <v>4818</v>
      </c>
      <c r="C677" s="0" t="n">
        <v>0.355490768228875</v>
      </c>
      <c r="D677" s="0" t="n">
        <v>466064.9</v>
      </c>
      <c r="E677" s="0" t="s">
        <v>4137</v>
      </c>
      <c r="F677" s="225"/>
    </row>
    <row r="678" customFormat="false" ht="14.25" hidden="false" customHeight="false" outlineLevel="0" collapsed="false">
      <c r="A678" s="0" t="n">
        <v>1144145645</v>
      </c>
      <c r="B678" s="0" t="s">
        <v>4819</v>
      </c>
      <c r="C678" s="0" t="n">
        <v>0.273715300252755</v>
      </c>
      <c r="D678" s="0" t="n">
        <v>439568.7</v>
      </c>
      <c r="E678" s="0" t="s">
        <v>4137</v>
      </c>
      <c r="F678" s="225"/>
    </row>
    <row r="679" customFormat="false" ht="14.25" hidden="false" customHeight="false" outlineLevel="0" collapsed="false">
      <c r="A679" s="0" t="n">
        <v>67002023</v>
      </c>
      <c r="B679" s="0" t="s">
        <v>4820</v>
      </c>
      <c r="C679" s="0" t="n">
        <v>0.400894007417529</v>
      </c>
      <c r="D679" s="0" t="n">
        <v>58728</v>
      </c>
      <c r="E679" s="0" t="s">
        <v>4137</v>
      </c>
      <c r="F679" s="225"/>
    </row>
    <row r="680" customFormat="false" ht="14.25" hidden="false" customHeight="false" outlineLevel="0" collapsed="false">
      <c r="A680" s="0" t="n">
        <v>1144071455</v>
      </c>
      <c r="B680" s="0" t="s">
        <v>4821</v>
      </c>
      <c r="C680" s="0" t="n">
        <v>0.382400662391432</v>
      </c>
      <c r="D680" s="0" t="n">
        <v>120246.78</v>
      </c>
      <c r="E680" s="0" t="s">
        <v>4137</v>
      </c>
      <c r="F680" s="225"/>
    </row>
    <row r="681" customFormat="false" ht="14.25" hidden="false" customHeight="false" outlineLevel="0" collapsed="false">
      <c r="A681" s="0" t="n">
        <v>1143849676</v>
      </c>
      <c r="B681" s="0" t="s">
        <v>4822</v>
      </c>
      <c r="C681" s="0" t="n">
        <v>0.123356880869008</v>
      </c>
      <c r="D681" s="0" t="n">
        <v>875843.16</v>
      </c>
      <c r="E681" s="0" t="s">
        <v>4137</v>
      </c>
      <c r="F681" s="225"/>
    </row>
    <row r="682" customFormat="false" ht="14.25" hidden="false" customHeight="false" outlineLevel="0" collapsed="false">
      <c r="A682" s="0" t="n">
        <v>1144174417</v>
      </c>
      <c r="B682" s="0" t="s">
        <v>4823</v>
      </c>
      <c r="C682" s="0" t="n">
        <v>0.116233959816655</v>
      </c>
      <c r="D682" s="0" t="n">
        <v>1779420.86</v>
      </c>
      <c r="E682" s="0" t="s">
        <v>4137</v>
      </c>
      <c r="F682" s="225"/>
    </row>
    <row r="683" customFormat="false" ht="14.25" hidden="false" customHeight="false" outlineLevel="0" collapsed="false">
      <c r="A683" s="0" t="n">
        <v>65706563</v>
      </c>
      <c r="B683" s="0" t="s">
        <v>4824</v>
      </c>
      <c r="C683" s="0" t="n">
        <v>0.473280993876923</v>
      </c>
      <c r="D683" s="0" t="n">
        <v>-185069.333333333</v>
      </c>
      <c r="E683" s="0" t="s">
        <v>4137</v>
      </c>
      <c r="F683" s="225"/>
    </row>
    <row r="684" customFormat="false" ht="14.25" hidden="false" customHeight="false" outlineLevel="0" collapsed="false">
      <c r="A684" s="0" t="n">
        <v>29180645</v>
      </c>
      <c r="B684" s="0" t="s">
        <v>4825</v>
      </c>
      <c r="C684" s="0" t="n">
        <v>0.337991968237201</v>
      </c>
      <c r="D684" s="0" t="n">
        <v>252157.64</v>
      </c>
      <c r="E684" s="0" t="s">
        <v>4137</v>
      </c>
      <c r="F684" s="225"/>
    </row>
    <row r="685" customFormat="false" ht="14.25" hidden="false" customHeight="false" outlineLevel="0" collapsed="false">
      <c r="A685" s="0" t="n">
        <v>1112100422</v>
      </c>
      <c r="B685" s="0" t="s">
        <v>4826</v>
      </c>
      <c r="C685" s="0" t="n">
        <v>0.351622699056442</v>
      </c>
      <c r="D685" s="0" t="n">
        <v>514736.8</v>
      </c>
      <c r="E685" s="0" t="s">
        <v>4137</v>
      </c>
      <c r="F685" s="225"/>
    </row>
    <row r="686" customFormat="false" ht="14.25" hidden="false" customHeight="false" outlineLevel="0" collapsed="false">
      <c r="A686" s="0" t="n">
        <v>1130649843</v>
      </c>
      <c r="B686" s="0" t="s">
        <v>4827</v>
      </c>
      <c r="C686" s="0" t="n">
        <v>0.315079825834543</v>
      </c>
      <c r="D686" s="0" t="n">
        <v>303618</v>
      </c>
      <c r="E686" s="0" t="s">
        <v>4137</v>
      </c>
      <c r="F686" s="225"/>
    </row>
    <row r="687" customFormat="false" ht="14.25" hidden="false" customHeight="false" outlineLevel="0" collapsed="false">
      <c r="A687" s="0" t="n">
        <v>1144050163</v>
      </c>
      <c r="B687" s="0" t="s">
        <v>4828</v>
      </c>
      <c r="C687" s="0" t="n">
        <v>0.264771855959472</v>
      </c>
      <c r="D687" s="0" t="n">
        <v>906967</v>
      </c>
      <c r="E687" s="0" t="s">
        <v>4511</v>
      </c>
      <c r="F687" s="225"/>
    </row>
    <row r="688" customFormat="false" ht="14.25" hidden="false" customHeight="false" outlineLevel="0" collapsed="false">
      <c r="A688" s="0" t="n">
        <v>1081592572</v>
      </c>
      <c r="B688" s="0" t="s">
        <v>4829</v>
      </c>
      <c r="C688" s="0" t="n">
        <v>0.450898357521253</v>
      </c>
      <c r="D688" s="0" t="n">
        <v>-65027.54</v>
      </c>
      <c r="E688" s="0" t="s">
        <v>4137</v>
      </c>
      <c r="F688" s="225"/>
    </row>
    <row r="689" customFormat="false" ht="14.25" hidden="false" customHeight="false" outlineLevel="0" collapsed="false">
      <c r="A689" s="0" t="n">
        <v>1143840832</v>
      </c>
      <c r="B689" s="0" t="s">
        <v>4830</v>
      </c>
      <c r="C689" s="0" t="n">
        <v>0.240821662040695</v>
      </c>
      <c r="D689" s="0" t="n">
        <v>838550.62</v>
      </c>
      <c r="E689" s="0" t="s">
        <v>4137</v>
      </c>
      <c r="F689" s="225"/>
    </row>
    <row r="690" customFormat="false" ht="14.25" hidden="false" customHeight="false" outlineLevel="0" collapsed="false">
      <c r="A690" s="0" t="n">
        <v>19601683</v>
      </c>
      <c r="B690" s="0" t="s">
        <v>4831</v>
      </c>
      <c r="C690" s="0" t="n">
        <v>0.124545789903344</v>
      </c>
      <c r="D690" s="0" t="n">
        <v>1892840.2</v>
      </c>
      <c r="E690" s="0" t="s">
        <v>4137</v>
      </c>
      <c r="F690" s="225"/>
    </row>
    <row r="691" customFormat="false" ht="14.25" hidden="false" customHeight="false" outlineLevel="0" collapsed="false">
      <c r="A691" s="0" t="n">
        <v>1107095074</v>
      </c>
      <c r="B691" s="0" t="s">
        <v>4832</v>
      </c>
      <c r="C691" s="0" t="n">
        <v>0.210001657104994</v>
      </c>
      <c r="D691" s="0" t="n">
        <v>605750.44</v>
      </c>
      <c r="E691" s="0" t="s">
        <v>4137</v>
      </c>
      <c r="F691" s="225"/>
    </row>
    <row r="692" customFormat="false" ht="14.25" hidden="false" customHeight="false" outlineLevel="0" collapsed="false">
      <c r="A692" s="0" t="n">
        <v>94154735</v>
      </c>
      <c r="B692" s="0" t="s">
        <v>4833</v>
      </c>
      <c r="C692" s="0" t="n">
        <v>0.164003294711212</v>
      </c>
      <c r="D692" s="0" t="n">
        <v>967097.1</v>
      </c>
      <c r="E692" s="0" t="s">
        <v>4137</v>
      </c>
      <c r="F692" s="225"/>
    </row>
    <row r="693" customFormat="false" ht="14.25" hidden="false" customHeight="false" outlineLevel="0" collapsed="false">
      <c r="A693" s="0" t="n">
        <v>1144161715</v>
      </c>
      <c r="B693" s="0" t="s">
        <v>4834</v>
      </c>
      <c r="C693" s="0" t="n">
        <v>0.410104472615139</v>
      </c>
      <c r="D693" s="0" t="n">
        <v>30828.7799999998</v>
      </c>
      <c r="E693" s="0" t="s">
        <v>4137</v>
      </c>
      <c r="F693" s="225"/>
    </row>
    <row r="694" customFormat="false" ht="14.25" hidden="false" customHeight="false" outlineLevel="0" collapsed="false">
      <c r="A694" s="0" t="n">
        <v>1143849905</v>
      </c>
      <c r="B694" s="0" t="s">
        <v>4835</v>
      </c>
      <c r="C694" s="0" t="n">
        <v>0.234454225638461</v>
      </c>
      <c r="D694" s="0" t="n">
        <v>1038124.34</v>
      </c>
      <c r="E694" s="0" t="s">
        <v>4137</v>
      </c>
      <c r="F694" s="225"/>
    </row>
    <row r="695" customFormat="false" ht="14.25" hidden="false" customHeight="false" outlineLevel="0" collapsed="false">
      <c r="A695" s="0" t="n">
        <v>1144166828</v>
      </c>
      <c r="B695" s="0" t="s">
        <v>4836</v>
      </c>
      <c r="C695" s="0" t="n">
        <v>0.206032263745103</v>
      </c>
      <c r="D695" s="0" t="n">
        <v>1472638.08</v>
      </c>
      <c r="E695" s="0" t="s">
        <v>4137</v>
      </c>
      <c r="F695" s="225"/>
    </row>
    <row r="696" customFormat="false" ht="14.25" hidden="false" customHeight="false" outlineLevel="0" collapsed="false">
      <c r="A696" s="0" t="n">
        <v>1053805598</v>
      </c>
      <c r="B696" s="0" t="s">
        <v>4837</v>
      </c>
      <c r="C696" s="0" t="n">
        <v>0.29564604324278</v>
      </c>
      <c r="D696" s="0" t="n">
        <v>592466.52</v>
      </c>
      <c r="E696" s="0" t="s">
        <v>4137</v>
      </c>
      <c r="F696" s="225"/>
    </row>
    <row r="697" customFormat="false" ht="14.25" hidden="false" customHeight="false" outlineLevel="0" collapsed="false">
      <c r="A697" s="0" t="n">
        <v>1006098868</v>
      </c>
      <c r="B697" s="0" t="s">
        <v>4838</v>
      </c>
      <c r="C697" s="0" t="n">
        <v>0.13999258133749</v>
      </c>
      <c r="D697" s="0" t="n">
        <v>948875.42</v>
      </c>
      <c r="E697" s="0" t="s">
        <v>4137</v>
      </c>
      <c r="F697" s="225"/>
    </row>
    <row r="698" customFormat="false" ht="14.25" hidden="false" customHeight="false" outlineLevel="0" collapsed="false">
      <c r="A698" s="0" t="n">
        <v>1123998038</v>
      </c>
      <c r="B698" s="0" t="s">
        <v>4839</v>
      </c>
      <c r="C698" s="0" t="n">
        <v>0.123456828910994</v>
      </c>
      <c r="D698" s="0" t="n">
        <v>1164102.36</v>
      </c>
      <c r="E698" s="0" t="s">
        <v>4137</v>
      </c>
      <c r="F698" s="225"/>
    </row>
    <row r="699" customFormat="false" ht="14.25" hidden="false" customHeight="false" outlineLevel="0" collapsed="false">
      <c r="A699" s="0" t="n">
        <v>1010109955</v>
      </c>
      <c r="B699" s="0" t="s">
        <v>4840</v>
      </c>
      <c r="C699" s="0" t="n">
        <v>0.358049625101267</v>
      </c>
      <c r="D699" s="0" t="n">
        <v>206160.44</v>
      </c>
      <c r="E699" s="0" t="s">
        <v>4137</v>
      </c>
      <c r="F699" s="225"/>
    </row>
    <row r="700" customFormat="false" ht="14.25" hidden="false" customHeight="false" outlineLevel="0" collapsed="false">
      <c r="A700" s="0" t="n">
        <v>1113308071</v>
      </c>
      <c r="B700" s="0" t="s">
        <v>4841</v>
      </c>
      <c r="C700" s="0" t="n">
        <v>0.414349613342454</v>
      </c>
      <c r="D700" s="0" t="n">
        <v>19809.7</v>
      </c>
      <c r="E700" s="0" t="s">
        <v>4137</v>
      </c>
      <c r="F700" s="225"/>
    </row>
    <row r="701" customFormat="false" ht="14.25" hidden="false" customHeight="false" outlineLevel="0" collapsed="false">
      <c r="A701" s="0" t="n">
        <v>22665545</v>
      </c>
      <c r="B701" s="0" t="s">
        <v>4842</v>
      </c>
      <c r="C701" s="0" t="n">
        <v>0.121615492572054</v>
      </c>
      <c r="D701" s="0" t="n">
        <v>1743401</v>
      </c>
      <c r="E701" s="0" t="s">
        <v>4137</v>
      </c>
      <c r="F701" s="225"/>
    </row>
    <row r="702" customFormat="false" ht="14.25" hidden="false" customHeight="false" outlineLevel="0" collapsed="false">
      <c r="A702" s="0" t="n">
        <v>55232585</v>
      </c>
      <c r="B702" s="0" t="s">
        <v>4843</v>
      </c>
      <c r="C702" s="0" t="n">
        <v>0.292546741580167</v>
      </c>
      <c r="D702" s="0" t="n">
        <v>642425.6</v>
      </c>
      <c r="E702" s="0" t="s">
        <v>4137</v>
      </c>
      <c r="F702" s="225"/>
    </row>
    <row r="703" customFormat="false" ht="14.25" hidden="false" customHeight="false" outlineLevel="0" collapsed="false">
      <c r="A703" s="0" t="n">
        <v>29820520</v>
      </c>
      <c r="B703" s="0" t="s">
        <v>4844</v>
      </c>
      <c r="C703" s="0" t="n">
        <v>0.379001562761085</v>
      </c>
      <c r="D703" s="0" t="n">
        <v>306210.44</v>
      </c>
      <c r="E703" s="0" t="s">
        <v>4137</v>
      </c>
      <c r="F703" s="225"/>
    </row>
    <row r="704" customFormat="false" ht="14.25" hidden="false" customHeight="false" outlineLevel="0" collapsed="false">
      <c r="A704" s="0" t="n">
        <v>1060649843</v>
      </c>
      <c r="B704" s="0" t="s">
        <v>4845</v>
      </c>
      <c r="C704" s="0" t="n">
        <v>0.294510425315607</v>
      </c>
      <c r="D704" s="0" t="n">
        <v>651857.98</v>
      </c>
      <c r="E704" s="0" t="s">
        <v>4137</v>
      </c>
      <c r="F704" s="225"/>
    </row>
    <row r="705" customFormat="false" ht="14.25" hidden="false" customHeight="false" outlineLevel="0" collapsed="false">
      <c r="A705" s="0" t="n">
        <v>52899917</v>
      </c>
      <c r="B705" s="0" t="s">
        <v>4846</v>
      </c>
      <c r="C705" s="0" t="n">
        <v>0.42117053235054</v>
      </c>
      <c r="D705" s="0" t="n">
        <v>-4012.69999999995</v>
      </c>
      <c r="E705" s="0" t="s">
        <v>4137</v>
      </c>
      <c r="F705" s="225"/>
    </row>
    <row r="706" customFormat="false" ht="14.25" hidden="false" customHeight="false" outlineLevel="0" collapsed="false">
      <c r="A706" s="0" t="n">
        <v>1143864409</v>
      </c>
      <c r="B706" s="0" t="s">
        <v>4847</v>
      </c>
      <c r="C706" s="0" t="n">
        <v>0.441091578245228</v>
      </c>
      <c r="D706" s="0" t="n">
        <v>-50939.7400000001</v>
      </c>
      <c r="E706" s="0" t="s">
        <v>4137</v>
      </c>
      <c r="F706" s="225"/>
    </row>
    <row r="707" customFormat="false" ht="14.25" hidden="false" customHeight="false" outlineLevel="0" collapsed="false">
      <c r="A707" s="0" t="n">
        <v>1107066742</v>
      </c>
      <c r="B707" s="0" t="s">
        <v>4848</v>
      </c>
      <c r="C707" s="0" t="n">
        <v>0.187373727506634</v>
      </c>
      <c r="D707" s="0" t="n">
        <v>750143.66</v>
      </c>
      <c r="E707" s="0" t="s">
        <v>4137</v>
      </c>
      <c r="F707" s="225"/>
    </row>
    <row r="708" customFormat="false" ht="14.25" hidden="false" customHeight="false" outlineLevel="0" collapsed="false">
      <c r="A708" s="0" t="n">
        <v>16777879</v>
      </c>
      <c r="B708" s="0" t="s">
        <v>4849</v>
      </c>
      <c r="C708" s="0" t="n">
        <v>0.280094626231294</v>
      </c>
      <c r="D708" s="0" t="n">
        <v>332565.1</v>
      </c>
      <c r="E708" s="0" t="s">
        <v>4137</v>
      </c>
      <c r="F708" s="225"/>
    </row>
    <row r="709" customFormat="false" ht="14.25" hidden="false" customHeight="false" outlineLevel="0" collapsed="false">
      <c r="A709" s="0" t="n">
        <v>1094902945</v>
      </c>
      <c r="B709" s="0" t="s">
        <v>4850</v>
      </c>
      <c r="C709" s="0" t="n">
        <v>0.176213471591079</v>
      </c>
      <c r="D709" s="0" t="n">
        <v>987810.58</v>
      </c>
      <c r="E709" s="0" t="s">
        <v>4137</v>
      </c>
      <c r="F709" s="225"/>
    </row>
    <row r="710" customFormat="false" ht="14.25" hidden="false" customHeight="false" outlineLevel="0" collapsed="false">
      <c r="A710" s="0" t="n">
        <v>66847351</v>
      </c>
      <c r="B710" s="0" t="s">
        <v>4851</v>
      </c>
      <c r="C710" s="0" t="n">
        <v>0.273820202729211</v>
      </c>
      <c r="D710" s="0" t="n">
        <v>1463216.94</v>
      </c>
      <c r="E710" s="0" t="s">
        <v>4137</v>
      </c>
      <c r="F710" s="225"/>
    </row>
    <row r="711" customFormat="false" ht="14.25" hidden="false" customHeight="false" outlineLevel="0" collapsed="false">
      <c r="A711" s="0" t="n">
        <v>1107514466</v>
      </c>
      <c r="B711" s="0" t="s">
        <v>4852</v>
      </c>
      <c r="C711" s="0" t="n">
        <v>0.198214987416147</v>
      </c>
      <c r="D711" s="0" t="n">
        <v>884988.44</v>
      </c>
      <c r="E711" s="0" t="s">
        <v>4137</v>
      </c>
      <c r="F711" s="225"/>
    </row>
    <row r="712" customFormat="false" ht="14.25" hidden="false" customHeight="false" outlineLevel="0" collapsed="false">
      <c r="A712" s="0" t="n">
        <v>67026638</v>
      </c>
      <c r="B712" s="0" t="s">
        <v>4853</v>
      </c>
      <c r="C712" s="0" t="n">
        <v>0.369956632464752</v>
      </c>
      <c r="D712" s="0" t="n">
        <v>271175</v>
      </c>
      <c r="E712" s="0" t="s">
        <v>4511</v>
      </c>
      <c r="F712" s="225"/>
    </row>
    <row r="713" customFormat="false" ht="14.25" hidden="false" customHeight="false" outlineLevel="0" collapsed="false">
      <c r="A713" s="0" t="n">
        <v>1113644857</v>
      </c>
      <c r="B713" s="0" t="s">
        <v>4854</v>
      </c>
      <c r="C713" s="0" t="n">
        <v>0.107917783528977</v>
      </c>
      <c r="D713" s="0" t="n">
        <v>1350567</v>
      </c>
      <c r="E713" s="0" t="s">
        <v>4137</v>
      </c>
      <c r="F713" s="225"/>
    </row>
    <row r="714" customFormat="false" ht="14.25" hidden="false" customHeight="false" outlineLevel="0" collapsed="false">
      <c r="A714" s="0" t="n">
        <v>1143944202</v>
      </c>
      <c r="B714" s="0" t="s">
        <v>4855</v>
      </c>
      <c r="C714" s="0" t="n">
        <v>0.261457472983057</v>
      </c>
      <c r="D714" s="0" t="n">
        <v>334065.54</v>
      </c>
      <c r="E714" s="0" t="s">
        <v>4137</v>
      </c>
      <c r="F714" s="225"/>
    </row>
    <row r="715" customFormat="false" ht="14.25" hidden="false" customHeight="false" outlineLevel="0" collapsed="false">
      <c r="A715" s="0" t="n">
        <v>16755647</v>
      </c>
      <c r="B715" s="0" t="s">
        <v>4856</v>
      </c>
      <c r="C715" s="0" t="n">
        <v>0.256080113382068</v>
      </c>
      <c r="D715" s="0" t="n">
        <v>439502</v>
      </c>
      <c r="E715" s="0" t="s">
        <v>4137</v>
      </c>
      <c r="F715" s="225"/>
    </row>
    <row r="716" customFormat="false" ht="14.25" hidden="false" customHeight="false" outlineLevel="0" collapsed="false">
      <c r="A716" s="0" t="n">
        <v>10567677</v>
      </c>
      <c r="B716" s="0" t="s">
        <v>4857</v>
      </c>
      <c r="C716" s="0" t="n">
        <v>0.360133040425401</v>
      </c>
      <c r="D716" s="0" t="n">
        <v>131217.3</v>
      </c>
      <c r="E716" s="0" t="s">
        <v>4137</v>
      </c>
      <c r="F716" s="225"/>
    </row>
    <row r="717" customFormat="false" ht="14.25" hidden="false" customHeight="false" outlineLevel="0" collapsed="false">
      <c r="A717" s="0" t="n">
        <v>1107101151</v>
      </c>
      <c r="B717" s="0" t="s">
        <v>4858</v>
      </c>
      <c r="C717" s="0" t="n">
        <v>0.126777580534808</v>
      </c>
      <c r="D717" s="0" t="n">
        <v>1010561.16</v>
      </c>
      <c r="E717" s="0" t="s">
        <v>4137</v>
      </c>
      <c r="F717" s="225"/>
    </row>
    <row r="718" customFormat="false" ht="14.25" hidden="false" customHeight="false" outlineLevel="0" collapsed="false">
      <c r="A718" s="0" t="n">
        <v>1130668382</v>
      </c>
      <c r="B718" s="0" t="s">
        <v>4859</v>
      </c>
      <c r="C718" s="0" t="n">
        <v>0.338217416229924</v>
      </c>
      <c r="D718" s="0" t="n">
        <v>563202.96</v>
      </c>
      <c r="E718" s="0" t="s">
        <v>4137</v>
      </c>
      <c r="F718" s="225"/>
    </row>
    <row r="719" customFormat="false" ht="14.25" hidden="false" customHeight="false" outlineLevel="0" collapsed="false">
      <c r="A719" s="0" t="n">
        <v>1112479971</v>
      </c>
      <c r="B719" s="0" t="s">
        <v>4860</v>
      </c>
      <c r="C719" s="0" t="n">
        <v>0.349911774824081</v>
      </c>
      <c r="D719" s="0" t="n">
        <v>320153</v>
      </c>
      <c r="E719" s="0" t="s">
        <v>4137</v>
      </c>
      <c r="F719" s="225"/>
    </row>
    <row r="720" customFormat="false" ht="14.25" hidden="false" customHeight="false" outlineLevel="0" collapsed="false">
      <c r="A720" s="0" t="n">
        <v>1107509624</v>
      </c>
      <c r="B720" s="0" t="s">
        <v>4861</v>
      </c>
      <c r="C720" s="0" t="s">
        <v>4266</v>
      </c>
      <c r="D720" s="0" t="n">
        <v>0</v>
      </c>
      <c r="E720" s="0" t="s">
        <v>4137</v>
      </c>
      <c r="F720" s="225"/>
    </row>
    <row r="721" customFormat="false" ht="14.25" hidden="false" customHeight="false" outlineLevel="0" collapsed="false">
      <c r="A721" s="0" t="n">
        <v>31097169</v>
      </c>
      <c r="B721" s="0" t="s">
        <v>4862</v>
      </c>
      <c r="C721" s="0" t="n">
        <v>0.262469192852742</v>
      </c>
      <c r="D721" s="0" t="n">
        <v>920421</v>
      </c>
      <c r="E721" s="0" t="s">
        <v>4137</v>
      </c>
      <c r="F721" s="225"/>
    </row>
    <row r="722" customFormat="false" ht="14.25" hidden="false" customHeight="false" outlineLevel="0" collapsed="false">
      <c r="A722" s="0" t="n">
        <v>1144043829</v>
      </c>
      <c r="B722" s="0" t="s">
        <v>4863</v>
      </c>
      <c r="C722" s="0" t="n">
        <v>0.316791711420802</v>
      </c>
      <c r="D722" s="0" t="n">
        <v>399694.98</v>
      </c>
      <c r="E722" s="0" t="s">
        <v>4137</v>
      </c>
      <c r="F722" s="225"/>
    </row>
    <row r="723" customFormat="false" ht="14.25" hidden="false" customHeight="false" outlineLevel="0" collapsed="false">
      <c r="A723" s="0" t="n">
        <v>1144031120</v>
      </c>
      <c r="B723" s="0" t="s">
        <v>4864</v>
      </c>
      <c r="C723" s="0" t="n">
        <v>0.323956886363765</v>
      </c>
      <c r="D723" s="0" t="n">
        <v>412057.26</v>
      </c>
      <c r="E723" s="0" t="s">
        <v>4137</v>
      </c>
      <c r="F723" s="225"/>
    </row>
    <row r="724" customFormat="false" ht="14.25" hidden="false" customHeight="false" outlineLevel="0" collapsed="false">
      <c r="A724" s="0" t="n">
        <v>1144155514</v>
      </c>
      <c r="B724" s="0" t="s">
        <v>4865</v>
      </c>
      <c r="C724" s="0" t="n">
        <v>0.409453732991094</v>
      </c>
      <c r="D724" s="0" t="n">
        <v>38630.28</v>
      </c>
      <c r="E724" s="0" t="s">
        <v>4137</v>
      </c>
      <c r="F724" s="225"/>
    </row>
    <row r="725" customFormat="false" ht="14.25" hidden="false" customHeight="false" outlineLevel="0" collapsed="false">
      <c r="A725" s="0" t="n">
        <v>1144067354</v>
      </c>
      <c r="B725" s="0" t="s">
        <v>4866</v>
      </c>
      <c r="C725" s="0" t="n">
        <v>0.200983054826926</v>
      </c>
      <c r="D725" s="0" t="n">
        <v>1160435.44</v>
      </c>
      <c r="E725" s="0" t="s">
        <v>4147</v>
      </c>
      <c r="F725" s="225"/>
    </row>
    <row r="726" customFormat="false" ht="14.25" hidden="false" customHeight="false" outlineLevel="0" collapsed="false">
      <c r="A726" s="0" t="n">
        <v>29352680</v>
      </c>
      <c r="B726" s="0" t="s">
        <v>4867</v>
      </c>
      <c r="C726" s="0" t="n">
        <v>0.161338408726399</v>
      </c>
      <c r="D726" s="0" t="n">
        <v>1518360.44</v>
      </c>
      <c r="E726" s="0" t="s">
        <v>4137</v>
      </c>
      <c r="F726" s="225"/>
    </row>
    <row r="727" customFormat="false" ht="14.25" hidden="false" customHeight="false" outlineLevel="0" collapsed="false">
      <c r="A727" s="0" t="n">
        <v>31324094</v>
      </c>
      <c r="B727" s="0" t="s">
        <v>4868</v>
      </c>
      <c r="C727" s="0" t="n">
        <v>0.413263323224743</v>
      </c>
      <c r="D727" s="0" t="n">
        <v>22395.04</v>
      </c>
      <c r="E727" s="0" t="s">
        <v>4137</v>
      </c>
      <c r="F727" s="225"/>
    </row>
    <row r="728" customFormat="false" ht="14.25" hidden="false" customHeight="false" outlineLevel="0" collapsed="false">
      <c r="A728" s="0" t="n">
        <v>1085293834</v>
      </c>
      <c r="B728" s="0" t="s">
        <v>4869</v>
      </c>
      <c r="C728" s="0" t="n">
        <v>0.164709278026381</v>
      </c>
      <c r="D728" s="0" t="n">
        <v>1208205.72</v>
      </c>
      <c r="E728" s="0" t="s">
        <v>4147</v>
      </c>
      <c r="F728" s="225"/>
    </row>
    <row r="729" customFormat="false" ht="14.25" hidden="false" customHeight="false" outlineLevel="0" collapsed="false">
      <c r="A729" s="0" t="n">
        <v>1144054574</v>
      </c>
      <c r="B729" s="0" t="s">
        <v>4870</v>
      </c>
      <c r="C729" s="0" t="n">
        <v>0.254647138414793</v>
      </c>
      <c r="D729" s="0" t="n">
        <v>1393164</v>
      </c>
      <c r="E729" s="0" t="s">
        <v>4137</v>
      </c>
      <c r="F729" s="225"/>
    </row>
    <row r="730" customFormat="false" ht="14.25" hidden="false" customHeight="false" outlineLevel="0" collapsed="false">
      <c r="A730" s="0" t="n">
        <v>1130675011</v>
      </c>
      <c r="B730" s="0" t="s">
        <v>4871</v>
      </c>
      <c r="C730" s="0" t="n">
        <v>0.476460665317638</v>
      </c>
      <c r="D730" s="0" t="n">
        <v>-154297.4</v>
      </c>
      <c r="E730" s="0" t="s">
        <v>4137</v>
      </c>
      <c r="F730" s="225"/>
    </row>
    <row r="731" customFormat="false" ht="14.25" hidden="false" customHeight="false" outlineLevel="0" collapsed="false">
      <c r="A731" s="0" t="n">
        <v>1112479726</v>
      </c>
      <c r="B731" s="0" t="s">
        <v>4872</v>
      </c>
      <c r="C731" s="0" t="n">
        <v>0.317956204748189</v>
      </c>
      <c r="D731" s="0" t="n">
        <v>323294.88</v>
      </c>
      <c r="E731" s="0" t="s">
        <v>4147</v>
      </c>
      <c r="F731" s="225"/>
    </row>
    <row r="732" customFormat="false" ht="14.25" hidden="false" customHeight="false" outlineLevel="0" collapsed="false">
      <c r="A732" s="0" t="n">
        <v>1062290251</v>
      </c>
      <c r="B732" s="0" t="s">
        <v>4873</v>
      </c>
      <c r="C732" s="0" t="n">
        <v>0.21396516590411</v>
      </c>
      <c r="D732" s="0" t="n">
        <v>535876</v>
      </c>
      <c r="E732" s="0" t="s">
        <v>4137</v>
      </c>
      <c r="F732" s="225"/>
    </row>
    <row r="733" customFormat="false" ht="14.25" hidden="false" customHeight="false" outlineLevel="0" collapsed="false">
      <c r="A733" s="0" t="n">
        <v>1112480962</v>
      </c>
      <c r="B733" s="0" t="s">
        <v>4874</v>
      </c>
      <c r="C733" s="0" t="n">
        <v>0.454024687681878</v>
      </c>
      <c r="D733" s="0" t="n">
        <v>-145041.38</v>
      </c>
      <c r="E733" s="0" t="s">
        <v>4137</v>
      </c>
      <c r="F733" s="225"/>
    </row>
    <row r="734" customFormat="false" ht="14.25" hidden="false" customHeight="false" outlineLevel="0" collapsed="false">
      <c r="A734" s="0" t="n">
        <v>1144148505</v>
      </c>
      <c r="B734" s="0" t="s">
        <v>4875</v>
      </c>
      <c r="C734" s="0" t="n">
        <v>0.336500139991635</v>
      </c>
      <c r="D734" s="0" t="n">
        <v>289881.12</v>
      </c>
      <c r="E734" s="0" t="s">
        <v>4137</v>
      </c>
      <c r="F734" s="225"/>
    </row>
    <row r="735" customFormat="false" ht="14.25" hidden="false" customHeight="false" outlineLevel="0" collapsed="false">
      <c r="A735" s="0" t="n">
        <v>1144186978</v>
      </c>
      <c r="B735" s="0" t="s">
        <v>4876</v>
      </c>
      <c r="C735" s="0" t="n">
        <v>0.460184335103047</v>
      </c>
      <c r="D735" s="0" t="n">
        <v>-120249.56</v>
      </c>
      <c r="E735" s="0" t="s">
        <v>4137</v>
      </c>
      <c r="F735" s="225"/>
    </row>
    <row r="736" customFormat="false" ht="14.25" hidden="false" customHeight="false" outlineLevel="0" collapsed="false">
      <c r="A736" s="0" t="n">
        <v>1144148406</v>
      </c>
      <c r="B736" s="0" t="s">
        <v>4877</v>
      </c>
      <c r="C736" s="0" t="n">
        <v>0.274441923949402</v>
      </c>
      <c r="D736" s="0" t="n">
        <v>378582</v>
      </c>
      <c r="E736" s="0" t="s">
        <v>4137</v>
      </c>
      <c r="F736" s="225"/>
    </row>
    <row r="737" customFormat="false" ht="14.25" hidden="false" customHeight="false" outlineLevel="0" collapsed="false">
      <c r="A737" s="0" t="n">
        <v>67039508</v>
      </c>
      <c r="B737" s="0" t="s">
        <v>4878</v>
      </c>
      <c r="C737" s="0" t="n">
        <v>0.14694945060276</v>
      </c>
      <c r="D737" s="0" t="n">
        <v>2251411</v>
      </c>
      <c r="E737" s="0" t="s">
        <v>4137</v>
      </c>
      <c r="F737" s="225"/>
    </row>
    <row r="738" customFormat="false" ht="14.25" hidden="false" customHeight="false" outlineLevel="0" collapsed="false">
      <c r="A738" s="0" t="n">
        <v>1117517012</v>
      </c>
      <c r="B738" s="0" t="s">
        <v>4879</v>
      </c>
      <c r="C738" s="0" t="n">
        <v>0.388006214458814</v>
      </c>
      <c r="D738" s="0" t="n">
        <v>266681</v>
      </c>
      <c r="E738" s="0" t="s">
        <v>4137</v>
      </c>
      <c r="F738" s="225"/>
    </row>
    <row r="739" customFormat="false" ht="14.25" hidden="false" customHeight="false" outlineLevel="0" collapsed="false">
      <c r="A739" s="0" t="n">
        <v>1144125219</v>
      </c>
      <c r="B739" s="0" t="s">
        <v>4880</v>
      </c>
      <c r="C739" s="0" t="n">
        <v>0.340596684910086</v>
      </c>
      <c r="D739" s="0" t="n">
        <v>362703</v>
      </c>
      <c r="E739" s="0" t="s">
        <v>4137</v>
      </c>
      <c r="F739" s="225"/>
    </row>
    <row r="740" customFormat="false" ht="14.25" hidden="false" customHeight="false" outlineLevel="0" collapsed="false">
      <c r="A740" s="0" t="n">
        <v>1130679405</v>
      </c>
      <c r="B740" s="0" t="s">
        <v>4881</v>
      </c>
      <c r="C740" s="0" t="n">
        <v>0.21633224585895</v>
      </c>
      <c r="D740" s="0" t="n">
        <v>665736.12</v>
      </c>
      <c r="E740" s="0" t="s">
        <v>4137</v>
      </c>
      <c r="F740" s="225"/>
    </row>
    <row r="741" customFormat="false" ht="14.25" hidden="false" customHeight="false" outlineLevel="0" collapsed="false">
      <c r="A741" s="0" t="n">
        <v>1062308316</v>
      </c>
      <c r="B741" s="0" t="s">
        <v>4882</v>
      </c>
      <c r="C741" s="0" t="n">
        <v>0.12645199738552</v>
      </c>
      <c r="D741" s="0" t="n">
        <v>763489</v>
      </c>
      <c r="E741" s="0" t="s">
        <v>4137</v>
      </c>
      <c r="F741" s="225"/>
    </row>
    <row r="742" customFormat="false" ht="14.25" hidden="false" customHeight="false" outlineLevel="0" collapsed="false">
      <c r="A742" s="0" t="n">
        <v>1107094442</v>
      </c>
      <c r="B742" s="0" t="s">
        <v>4883</v>
      </c>
      <c r="C742" s="0" t="n">
        <v>0.141724030686295</v>
      </c>
      <c r="D742" s="0" t="n">
        <v>805275</v>
      </c>
      <c r="E742" s="0" t="s">
        <v>4137</v>
      </c>
      <c r="F742" s="225"/>
    </row>
    <row r="743" customFormat="false" ht="14.25" hidden="false" customHeight="false" outlineLevel="0" collapsed="false">
      <c r="A743" s="0" t="n">
        <v>1144060563</v>
      </c>
      <c r="B743" s="0" t="s">
        <v>4884</v>
      </c>
      <c r="C743" s="0" t="n">
        <v>0.26559333748013</v>
      </c>
      <c r="D743" s="0" t="n">
        <v>446822</v>
      </c>
      <c r="E743" s="0" t="s">
        <v>4147</v>
      </c>
      <c r="F743" s="225"/>
    </row>
    <row r="744" customFormat="false" ht="14.25" hidden="false" customHeight="false" outlineLevel="0" collapsed="false">
      <c r="A744" s="0" t="n">
        <v>1143860441</v>
      </c>
      <c r="B744" s="0" t="s">
        <v>4885</v>
      </c>
      <c r="C744" s="0" t="s">
        <v>4266</v>
      </c>
      <c r="D744" s="0" t="n">
        <v>0</v>
      </c>
      <c r="E744" s="0" t="s">
        <v>4137</v>
      </c>
      <c r="F744" s="225"/>
    </row>
    <row r="745" customFormat="false" ht="14.25" hidden="false" customHeight="false" outlineLevel="0" collapsed="false">
      <c r="A745" s="0" t="n">
        <v>1234196269</v>
      </c>
      <c r="B745" s="0" t="s">
        <v>4886</v>
      </c>
      <c r="C745" s="0" t="n">
        <v>0.182201603428019</v>
      </c>
      <c r="D745" s="0" t="n">
        <v>688141</v>
      </c>
      <c r="E745" s="0" t="s">
        <v>4137</v>
      </c>
      <c r="F745" s="225"/>
    </row>
    <row r="746" customFormat="false" ht="14.25" hidden="false" customHeight="false" outlineLevel="0" collapsed="false">
      <c r="A746" s="0" t="n">
        <v>1062324690</v>
      </c>
      <c r="B746" s="0" t="s">
        <v>4887</v>
      </c>
      <c r="C746" s="0" t="n">
        <v>0.392480795749477</v>
      </c>
      <c r="D746" s="0" t="n">
        <v>114110.16</v>
      </c>
      <c r="E746" s="0" t="s">
        <v>4137</v>
      </c>
      <c r="F746" s="225"/>
    </row>
    <row r="747" customFormat="false" ht="14.25" hidden="false" customHeight="false" outlineLevel="0" collapsed="false">
      <c r="A747" s="0" t="n">
        <v>1144024028</v>
      </c>
      <c r="B747" s="0" t="s">
        <v>4888</v>
      </c>
      <c r="C747" s="0" t="n">
        <v>0.278019685003078</v>
      </c>
      <c r="D747" s="0" t="n">
        <v>369651.24</v>
      </c>
      <c r="E747" s="0" t="s">
        <v>4137</v>
      </c>
      <c r="F747" s="225"/>
    </row>
    <row r="748" customFormat="false" ht="14.25" hidden="false" customHeight="false" outlineLevel="0" collapsed="false">
      <c r="A748" s="0" t="n">
        <v>1151953867</v>
      </c>
      <c r="B748" s="0" t="s">
        <v>4889</v>
      </c>
      <c r="C748" s="0" t="n">
        <v>0.386819579537616</v>
      </c>
      <c r="D748" s="0" t="n">
        <v>126701.36</v>
      </c>
      <c r="E748" s="0" t="s">
        <v>4137</v>
      </c>
      <c r="F748" s="225"/>
    </row>
    <row r="749" customFormat="false" ht="14.25" hidden="false" customHeight="false" outlineLevel="0" collapsed="false">
      <c r="A749" s="0" t="n">
        <v>1144150087</v>
      </c>
      <c r="B749" s="0" t="s">
        <v>4890</v>
      </c>
      <c r="C749" s="0" t="n">
        <v>0.271039554189527</v>
      </c>
      <c r="D749" s="0" t="n">
        <v>985294.4</v>
      </c>
      <c r="E749" s="0" t="s">
        <v>4137</v>
      </c>
      <c r="F749" s="225"/>
    </row>
    <row r="750" customFormat="false" ht="14.25" hidden="false" customHeight="false" outlineLevel="0" collapsed="false">
      <c r="A750" s="0" t="n">
        <v>1143959417</v>
      </c>
      <c r="B750" s="0" t="s">
        <v>4891</v>
      </c>
      <c r="C750" s="0" t="n">
        <v>0.262315809870204</v>
      </c>
      <c r="D750" s="0" t="n">
        <v>577243.24</v>
      </c>
      <c r="E750" s="0" t="s">
        <v>4137</v>
      </c>
      <c r="F750" s="225"/>
    </row>
    <row r="751" customFormat="false" ht="14.25" hidden="false" customHeight="false" outlineLevel="0" collapsed="false">
      <c r="A751" s="0" t="n">
        <v>1113690647</v>
      </c>
      <c r="B751" s="0" t="s">
        <v>4892</v>
      </c>
      <c r="C751" s="0" t="n">
        <v>0.142704526189095</v>
      </c>
      <c r="D751" s="0" t="n">
        <v>1123994.28</v>
      </c>
      <c r="E751" s="0" t="s">
        <v>4137</v>
      </c>
      <c r="F751" s="225"/>
    </row>
    <row r="752" customFormat="false" ht="14.25" hidden="false" customHeight="false" outlineLevel="0" collapsed="false">
      <c r="A752" s="0" t="n">
        <v>1130609026</v>
      </c>
      <c r="B752" s="0" t="s">
        <v>4893</v>
      </c>
      <c r="C752" s="0" t="n">
        <v>0.365891215702536</v>
      </c>
      <c r="D752" s="0" t="n">
        <v>156580</v>
      </c>
      <c r="E752" s="0" t="s">
        <v>4137</v>
      </c>
      <c r="F752" s="225"/>
    </row>
    <row r="753" customFormat="false" ht="14.25" hidden="false" customHeight="false" outlineLevel="0" collapsed="false">
      <c r="A753" s="0" t="n">
        <v>1107034723</v>
      </c>
      <c r="B753" s="0" t="s">
        <v>4894</v>
      </c>
      <c r="C753" s="0" t="n">
        <v>0.267276745354093</v>
      </c>
      <c r="D753" s="0" t="n">
        <v>304072</v>
      </c>
      <c r="E753" s="0" t="s">
        <v>4137</v>
      </c>
      <c r="F753" s="225"/>
    </row>
    <row r="754" customFormat="false" ht="14.25" hidden="false" customHeight="false" outlineLevel="0" collapsed="false">
      <c r="A754" s="0" t="n">
        <v>29106583</v>
      </c>
      <c r="B754" s="0" t="s">
        <v>4895</v>
      </c>
      <c r="C754" s="0" t="n">
        <v>0.134433450527373</v>
      </c>
      <c r="D754" s="0" t="n">
        <v>568563</v>
      </c>
      <c r="E754" s="0" t="s">
        <v>4137</v>
      </c>
      <c r="F754" s="225"/>
    </row>
    <row r="755" customFormat="false" ht="14.25" hidden="false" customHeight="false" outlineLevel="0" collapsed="false">
      <c r="A755" s="0" t="n">
        <v>1062317237</v>
      </c>
      <c r="B755" s="0" t="s">
        <v>4896</v>
      </c>
      <c r="C755" s="0" t="n">
        <v>0.407613333195467</v>
      </c>
      <c r="D755" s="0" t="n">
        <v>47119.1200000001</v>
      </c>
      <c r="E755" s="0" t="s">
        <v>4137</v>
      </c>
      <c r="F755" s="225"/>
    </row>
    <row r="756" customFormat="false" ht="14.25" hidden="false" customHeight="false" outlineLevel="0" collapsed="false">
      <c r="A756" s="0" t="n">
        <v>1144065325</v>
      </c>
      <c r="B756" s="0" t="s">
        <v>4897</v>
      </c>
      <c r="C756" s="0" t="n">
        <v>0.420514275834166</v>
      </c>
      <c r="D756" s="0" t="n">
        <v>-2073.14000000013</v>
      </c>
      <c r="E756" s="0" t="s">
        <v>4137</v>
      </c>
      <c r="F756" s="225"/>
    </row>
    <row r="757" customFormat="false" ht="14.25" hidden="false" customHeight="false" outlineLevel="0" collapsed="false">
      <c r="A757" s="0" t="n">
        <v>66834463</v>
      </c>
      <c r="B757" s="0" t="s">
        <v>4898</v>
      </c>
      <c r="C757" s="0" t="n">
        <v>0.273571569287522</v>
      </c>
      <c r="D757" s="0" t="n">
        <v>338193.3</v>
      </c>
      <c r="E757" s="0" t="s">
        <v>4137</v>
      </c>
      <c r="F757" s="225"/>
    </row>
    <row r="758" customFormat="false" ht="14.25" hidden="false" customHeight="false" outlineLevel="0" collapsed="false">
      <c r="A758" s="0" t="n">
        <v>1144165348</v>
      </c>
      <c r="B758" s="0" t="s">
        <v>4899</v>
      </c>
      <c r="C758" s="0" t="n">
        <v>0.367923662175373</v>
      </c>
      <c r="D758" s="0" t="n">
        <v>122520</v>
      </c>
      <c r="E758" s="0" t="s">
        <v>4137</v>
      </c>
      <c r="F758" s="225"/>
    </row>
    <row r="759" customFormat="false" ht="14.25" hidden="false" customHeight="false" outlineLevel="0" collapsed="false">
      <c r="A759" s="0" t="n">
        <v>1144080755</v>
      </c>
      <c r="B759" s="0" t="s">
        <v>4900</v>
      </c>
      <c r="C759" s="0" t="n">
        <v>0.33517682348424</v>
      </c>
      <c r="D759" s="0" t="n">
        <v>283732.14</v>
      </c>
      <c r="E759" s="0" t="s">
        <v>4137</v>
      </c>
      <c r="F759" s="225"/>
    </row>
    <row r="760" customFormat="false" ht="14.25" hidden="false" customHeight="false" outlineLevel="0" collapsed="false">
      <c r="A760" s="0" t="n">
        <v>29106695</v>
      </c>
      <c r="B760" s="0" t="s">
        <v>4901</v>
      </c>
      <c r="C760" s="0" t="n">
        <v>0.395888346341651</v>
      </c>
      <c r="D760" s="0" t="n">
        <v>62712</v>
      </c>
      <c r="E760" s="0" t="s">
        <v>4137</v>
      </c>
      <c r="F760" s="225"/>
    </row>
    <row r="761" customFormat="false" ht="14.25" hidden="false" customHeight="false" outlineLevel="0" collapsed="false">
      <c r="A761" s="0" t="n">
        <v>1143864842</v>
      </c>
      <c r="B761" s="0" t="s">
        <v>4902</v>
      </c>
      <c r="C761" s="0" t="n">
        <v>0.371965555603579</v>
      </c>
      <c r="D761" s="0" t="n">
        <v>162258.72</v>
      </c>
      <c r="E761" s="0" t="s">
        <v>4137</v>
      </c>
      <c r="F761" s="225"/>
    </row>
    <row r="762" customFormat="false" ht="14.25" hidden="false" customHeight="false" outlineLevel="0" collapsed="false">
      <c r="A762" s="0" t="n">
        <v>1047342178</v>
      </c>
      <c r="B762" s="0" t="s">
        <v>4903</v>
      </c>
      <c r="C762" s="0" t="n">
        <v>0.205298280932384</v>
      </c>
      <c r="D762" s="0" t="n">
        <v>1577564.68</v>
      </c>
      <c r="E762" s="0" t="s">
        <v>4137</v>
      </c>
      <c r="F762" s="225"/>
    </row>
    <row r="763" customFormat="false" ht="14.25" hidden="false" customHeight="false" outlineLevel="0" collapsed="false">
      <c r="A763" s="0" t="n">
        <v>1143854728</v>
      </c>
      <c r="B763" s="0" t="s">
        <v>4904</v>
      </c>
      <c r="C763" s="0" t="n">
        <v>0.291693695073645</v>
      </c>
      <c r="D763" s="0" t="n">
        <v>916386.34</v>
      </c>
      <c r="E763" s="0" t="s">
        <v>4137</v>
      </c>
      <c r="F763" s="225"/>
    </row>
    <row r="764" customFormat="false" ht="14.25" hidden="false" customHeight="false" outlineLevel="0" collapsed="false">
      <c r="A764" s="0" t="n">
        <v>1116261599</v>
      </c>
      <c r="B764" s="0" t="s">
        <v>4905</v>
      </c>
      <c r="C764" s="0" t="n">
        <v>0.360717066717067</v>
      </c>
      <c r="D764" s="0" t="n">
        <v>313666</v>
      </c>
      <c r="E764" s="0" t="s">
        <v>4137</v>
      </c>
      <c r="F764" s="225"/>
    </row>
    <row r="765" customFormat="false" ht="14.25" hidden="false" customHeight="false" outlineLevel="0" collapsed="false">
      <c r="A765" s="0" t="n">
        <v>94506736</v>
      </c>
      <c r="B765" s="0" t="s">
        <v>4906</v>
      </c>
      <c r="C765" s="0" t="n">
        <v>0.235314670905452</v>
      </c>
      <c r="D765" s="0" t="n">
        <v>2509652</v>
      </c>
      <c r="E765" s="0" t="s">
        <v>4137</v>
      </c>
      <c r="F765" s="225"/>
    </row>
    <row r="766" customFormat="false" ht="14.25" hidden="false" customHeight="false" outlineLevel="0" collapsed="false">
      <c r="A766" s="0" t="n">
        <v>67026976</v>
      </c>
      <c r="B766" s="0" t="s">
        <v>4907</v>
      </c>
      <c r="C766" s="0" t="n">
        <v>0.353266130309947</v>
      </c>
      <c r="D766" s="0" t="n">
        <v>522301.44</v>
      </c>
      <c r="E766" s="0" t="s">
        <v>4137</v>
      </c>
      <c r="F766" s="225"/>
    </row>
    <row r="767" customFormat="false" ht="14.25" hidden="false" customHeight="false" outlineLevel="0" collapsed="false">
      <c r="A767" s="0" t="n">
        <v>1151963191</v>
      </c>
      <c r="B767" s="0" t="s">
        <v>4908</v>
      </c>
      <c r="C767" s="0" t="n">
        <v>0.398289033562755</v>
      </c>
      <c r="D767" s="0" t="n">
        <v>80705.6399999999</v>
      </c>
      <c r="E767" s="0" t="s">
        <v>4137</v>
      </c>
      <c r="F767" s="225"/>
    </row>
    <row r="768" customFormat="false" ht="14.25" hidden="false" customHeight="false" outlineLevel="0" collapsed="false">
      <c r="A768" s="0" t="n">
        <v>1010086359</v>
      </c>
      <c r="B768" s="0" t="s">
        <v>4909</v>
      </c>
      <c r="C768" s="0" t="n">
        <v>0.470877833422158</v>
      </c>
      <c r="D768" s="0" t="n">
        <v>-187334.54</v>
      </c>
      <c r="E768" s="0" t="s">
        <v>4137</v>
      </c>
      <c r="F768" s="225"/>
    </row>
    <row r="769" customFormat="false" ht="14.25" hidden="false" customHeight="false" outlineLevel="0" collapsed="false">
      <c r="A769" s="0" t="n">
        <v>1143840552</v>
      </c>
      <c r="B769" s="0" t="s">
        <v>4910</v>
      </c>
      <c r="C769" s="0" t="n">
        <v>0.352598858803699</v>
      </c>
      <c r="D769" s="0" t="n">
        <v>219284.76</v>
      </c>
      <c r="E769" s="0" t="s">
        <v>4137</v>
      </c>
      <c r="F769" s="225"/>
    </row>
    <row r="770" customFormat="false" ht="14.25" hidden="false" customHeight="false" outlineLevel="0" collapsed="false">
      <c r="A770" s="0" t="n">
        <v>1005024520</v>
      </c>
      <c r="B770" s="0" t="s">
        <v>4911</v>
      </c>
      <c r="C770" s="0" t="n">
        <v>0.360565787176316</v>
      </c>
      <c r="D770" s="0" t="n">
        <v>228523.32</v>
      </c>
      <c r="E770" s="0" t="s">
        <v>4137</v>
      </c>
      <c r="F770" s="225"/>
    </row>
    <row r="771" customFormat="false" ht="14.25" hidden="false" customHeight="false" outlineLevel="0" collapsed="false">
      <c r="A771" s="0" t="n">
        <v>1144158585</v>
      </c>
      <c r="B771" s="0" t="s">
        <v>4912</v>
      </c>
      <c r="C771" s="0" t="n">
        <v>0.403727189110641</v>
      </c>
      <c r="D771" s="0" t="n">
        <v>66443.3333333335</v>
      </c>
      <c r="E771" s="0" t="s">
        <v>4137</v>
      </c>
      <c r="F771" s="225"/>
    </row>
    <row r="772" customFormat="false" ht="14.25" hidden="false" customHeight="false" outlineLevel="0" collapsed="false">
      <c r="A772" s="0" t="n">
        <v>1114816139</v>
      </c>
      <c r="B772" s="0" t="s">
        <v>4913</v>
      </c>
      <c r="C772" s="0" t="n">
        <v>0.477259642062947</v>
      </c>
      <c r="D772" s="0" t="n">
        <v>-265339</v>
      </c>
      <c r="E772" s="0" t="s">
        <v>4137</v>
      </c>
      <c r="F772" s="225"/>
    </row>
    <row r="773" customFormat="false" ht="14.25" hidden="false" customHeight="false" outlineLevel="0" collapsed="false">
      <c r="A773" s="0" t="n">
        <v>43976423</v>
      </c>
      <c r="B773" s="0" t="s">
        <v>4914</v>
      </c>
      <c r="C773" s="0" t="n">
        <v>0.346951386435888</v>
      </c>
      <c r="D773" s="0" t="n">
        <v>992643</v>
      </c>
      <c r="E773" s="0" t="s">
        <v>4137</v>
      </c>
      <c r="F773" s="225"/>
    </row>
    <row r="774" customFormat="false" ht="14.25" hidden="false" customHeight="false" outlineLevel="0" collapsed="false">
      <c r="A774" s="0" t="n">
        <v>1144059077</v>
      </c>
      <c r="B774" s="0" t="s">
        <v>4915</v>
      </c>
      <c r="C774" s="0" t="n">
        <v>0.39458981270302</v>
      </c>
      <c r="D774" s="0" t="n">
        <v>73532</v>
      </c>
      <c r="E774" s="0" t="s">
        <v>4137</v>
      </c>
      <c r="F774" s="225"/>
    </row>
    <row r="775" customFormat="false" ht="14.25" hidden="false" customHeight="false" outlineLevel="0" collapsed="false">
      <c r="A775" s="0" t="n">
        <v>1113531485</v>
      </c>
      <c r="B775" s="0" t="s">
        <v>4916</v>
      </c>
      <c r="C775" s="0" t="n">
        <v>0.343149591508746</v>
      </c>
      <c r="D775" s="0" t="n">
        <v>657879.92</v>
      </c>
      <c r="E775" s="0" t="s">
        <v>4137</v>
      </c>
      <c r="F775" s="225"/>
    </row>
    <row r="776" customFormat="false" ht="14.25" hidden="false" customHeight="false" outlineLevel="0" collapsed="false">
      <c r="A776" s="0" t="n">
        <v>1130588719</v>
      </c>
      <c r="B776" s="0" t="s">
        <v>4917</v>
      </c>
      <c r="C776" s="0" t="n">
        <v>0.437700018994948</v>
      </c>
      <c r="D776" s="0" t="n">
        <v>-65880.22</v>
      </c>
      <c r="E776" s="0" t="s">
        <v>4137</v>
      </c>
      <c r="F776" s="225"/>
    </row>
    <row r="777" customFormat="false" ht="14.25" hidden="false" customHeight="false" outlineLevel="0" collapsed="false">
      <c r="A777" s="0" t="n">
        <v>1114063207</v>
      </c>
      <c r="B777" s="0" t="s">
        <v>4918</v>
      </c>
      <c r="C777" s="0" t="n">
        <v>0.329382127306656</v>
      </c>
      <c r="D777" s="0" t="n">
        <v>262230</v>
      </c>
      <c r="E777" s="0" t="s">
        <v>4137</v>
      </c>
      <c r="F777" s="225"/>
    </row>
    <row r="778" customFormat="false" ht="14.25" hidden="false" customHeight="false" outlineLevel="0" collapsed="false">
      <c r="A778" s="0" t="n">
        <v>1088345243</v>
      </c>
      <c r="B778" s="0" t="s">
        <v>4919</v>
      </c>
      <c r="C778" s="0" t="n">
        <v>0.336919571181582</v>
      </c>
      <c r="D778" s="0" t="n">
        <v>201983.2</v>
      </c>
      <c r="E778" s="0" t="s">
        <v>4137</v>
      </c>
      <c r="F778" s="225"/>
    </row>
    <row r="779" customFormat="false" ht="14.25" hidden="false" customHeight="false" outlineLevel="0" collapsed="false">
      <c r="A779" s="0" t="n">
        <v>1112491402</v>
      </c>
      <c r="B779" s="0" t="s">
        <v>4920</v>
      </c>
      <c r="C779" s="0" t="n">
        <v>0.362750066967168</v>
      </c>
      <c r="D779" s="0" t="n">
        <v>217855.88</v>
      </c>
      <c r="E779" s="0" t="s">
        <v>4137</v>
      </c>
      <c r="F779" s="225"/>
    </row>
    <row r="780" customFormat="false" ht="14.25" hidden="false" customHeight="false" outlineLevel="0" collapsed="false">
      <c r="A780" s="0" t="n">
        <v>1118301073</v>
      </c>
      <c r="B780" s="0" t="s">
        <v>4921</v>
      </c>
      <c r="C780" s="0" t="n">
        <v>0.382414071106352</v>
      </c>
      <c r="D780" s="0" t="n">
        <v>152682.5</v>
      </c>
      <c r="E780" s="0" t="s">
        <v>4137</v>
      </c>
      <c r="F780" s="225"/>
    </row>
    <row r="781" customFormat="false" ht="14.25" hidden="false" customHeight="false" outlineLevel="0" collapsed="false">
      <c r="A781" s="0" t="n">
        <v>1143867413</v>
      </c>
      <c r="B781" s="0" t="s">
        <v>4922</v>
      </c>
      <c r="C781" s="0" t="n">
        <v>0.185611613748272</v>
      </c>
      <c r="D781" s="0" t="n">
        <v>1932626</v>
      </c>
      <c r="E781" s="0" t="s">
        <v>4137</v>
      </c>
      <c r="F781" s="225"/>
    </row>
    <row r="782" customFormat="false" ht="14.25" hidden="false" customHeight="false" outlineLevel="0" collapsed="false">
      <c r="A782" s="0" t="n">
        <v>1144205254</v>
      </c>
      <c r="B782" s="0" t="s">
        <v>4923</v>
      </c>
      <c r="C782" s="0" t="n">
        <v>0.469104453326484</v>
      </c>
      <c r="D782" s="0" t="n">
        <v>-201191</v>
      </c>
      <c r="E782" s="0" t="s">
        <v>4137</v>
      </c>
      <c r="F782" s="225"/>
    </row>
    <row r="783" customFormat="false" ht="14.25" hidden="false" customHeight="false" outlineLevel="0" collapsed="false">
      <c r="A783" s="0" t="n">
        <v>1059986707</v>
      </c>
      <c r="B783" s="0" t="s">
        <v>4924</v>
      </c>
      <c r="C783" s="0" t="n">
        <v>0.44704287724785</v>
      </c>
      <c r="D783" s="0" t="n">
        <v>-123528</v>
      </c>
      <c r="E783" s="0" t="s">
        <v>4137</v>
      </c>
      <c r="F783" s="225"/>
    </row>
    <row r="784" customFormat="false" ht="14.25" hidden="false" customHeight="false" outlineLevel="0" collapsed="false">
      <c r="A784" s="0" t="n">
        <v>1144036466</v>
      </c>
      <c r="B784" s="0" t="s">
        <v>4925</v>
      </c>
      <c r="C784" s="0" t="n">
        <v>0.138663456054331</v>
      </c>
      <c r="D784" s="0" t="n">
        <v>1022549.46</v>
      </c>
      <c r="E784" s="0" t="s">
        <v>4137</v>
      </c>
      <c r="F784" s="225"/>
    </row>
    <row r="785" customFormat="false" ht="14.25" hidden="false" customHeight="false" outlineLevel="0" collapsed="false">
      <c r="A785" s="0" t="n">
        <v>1151952941</v>
      </c>
      <c r="B785" s="0" t="s">
        <v>4926</v>
      </c>
      <c r="C785" s="0" t="n">
        <v>0.446136506317124</v>
      </c>
      <c r="D785" s="0" t="n">
        <v>-98307.52</v>
      </c>
      <c r="E785" s="0" t="s">
        <v>4137</v>
      </c>
      <c r="F785" s="225"/>
    </row>
    <row r="786" customFormat="false" ht="14.25" hidden="false" customHeight="false" outlineLevel="0" collapsed="false">
      <c r="A786" s="0" t="n">
        <v>29177571</v>
      </c>
      <c r="B786" s="0" t="s">
        <v>4927</v>
      </c>
      <c r="C786" s="0" t="n">
        <v>0.378060169265372</v>
      </c>
      <c r="D786" s="0" t="n">
        <v>313376.68</v>
      </c>
      <c r="E786" s="0" t="s">
        <v>4137</v>
      </c>
      <c r="F786" s="225"/>
    </row>
    <row r="787" customFormat="false" ht="14.25" hidden="false" customHeight="false" outlineLevel="0" collapsed="false">
      <c r="A787" s="0" t="n">
        <v>1062294892</v>
      </c>
      <c r="B787" s="0" t="s">
        <v>4928</v>
      </c>
      <c r="C787" s="0" t="n">
        <v>0.112473182849804</v>
      </c>
      <c r="D787" s="0" t="n">
        <v>1081245.94</v>
      </c>
      <c r="E787" s="0" t="s">
        <v>4137</v>
      </c>
      <c r="F787" s="225"/>
    </row>
    <row r="788" customFormat="false" ht="14.25" hidden="false" customHeight="false" outlineLevel="0" collapsed="false">
      <c r="A788" s="0" t="n">
        <v>1130635783</v>
      </c>
      <c r="B788" s="0" t="s">
        <v>4929</v>
      </c>
      <c r="C788" s="0" t="n">
        <v>0.339823468270693</v>
      </c>
      <c r="D788" s="0" t="n">
        <v>241543.08</v>
      </c>
      <c r="E788" s="0" t="s">
        <v>4137</v>
      </c>
      <c r="F788" s="225"/>
    </row>
    <row r="789" customFormat="false" ht="14.25" hidden="false" customHeight="false" outlineLevel="0" collapsed="false">
      <c r="A789" s="0" t="n">
        <v>38644539</v>
      </c>
      <c r="B789" s="0" t="s">
        <v>4930</v>
      </c>
      <c r="C789" s="0" t="n">
        <v>0.235862586027913</v>
      </c>
      <c r="D789" s="0" t="n">
        <v>478923</v>
      </c>
      <c r="E789" s="0" t="s">
        <v>4137</v>
      </c>
      <c r="F789" s="225"/>
    </row>
    <row r="790" customFormat="false" ht="14.25" hidden="false" customHeight="false" outlineLevel="0" collapsed="false">
      <c r="A790" s="0" t="n">
        <v>1144101138</v>
      </c>
      <c r="B790" s="0" t="s">
        <v>4931</v>
      </c>
      <c r="C790" s="0" t="n">
        <v>0.16630455994886</v>
      </c>
      <c r="D790" s="0" t="n">
        <v>1081585.52</v>
      </c>
      <c r="E790" s="0" t="s">
        <v>4137</v>
      </c>
      <c r="F790" s="225"/>
    </row>
    <row r="791" customFormat="false" ht="14.25" hidden="false" customHeight="false" outlineLevel="0" collapsed="false">
      <c r="A791" s="0" t="n">
        <v>1112483089</v>
      </c>
      <c r="B791" s="0" t="s">
        <v>4932</v>
      </c>
      <c r="C791" s="0" t="n">
        <v>0.285831877362306</v>
      </c>
      <c r="D791" s="0" t="n">
        <v>408737.64</v>
      </c>
      <c r="E791" s="0" t="s">
        <v>4137</v>
      </c>
      <c r="F791" s="225"/>
    </row>
    <row r="792" customFormat="false" ht="14.25" hidden="false" customHeight="false" outlineLevel="0" collapsed="false">
      <c r="A792" s="0" t="n">
        <v>1144104260</v>
      </c>
      <c r="B792" s="0" t="s">
        <v>4933</v>
      </c>
      <c r="C792" s="0" t="n">
        <v>0.201359185236815</v>
      </c>
      <c r="D792" s="0" t="n">
        <v>1064035.64</v>
      </c>
      <c r="E792" s="0" t="s">
        <v>4137</v>
      </c>
      <c r="F792" s="225"/>
    </row>
    <row r="793" customFormat="false" ht="14.25" hidden="false" customHeight="false" outlineLevel="0" collapsed="false">
      <c r="A793" s="0" t="n">
        <v>1114210448</v>
      </c>
      <c r="B793" s="0" t="s">
        <v>4934</v>
      </c>
      <c r="C793" s="0" t="n">
        <v>0.145907601362205</v>
      </c>
      <c r="D793" s="0" t="n">
        <v>1706280</v>
      </c>
      <c r="E793" s="0" t="s">
        <v>4137</v>
      </c>
      <c r="F793" s="225"/>
    </row>
    <row r="794" customFormat="false" ht="14.25" hidden="false" customHeight="false" outlineLevel="0" collapsed="false">
      <c r="A794" s="0" t="n">
        <v>31309999</v>
      </c>
      <c r="B794" s="0" t="s">
        <v>4935</v>
      </c>
      <c r="C794" s="0" t="n">
        <v>0.328416068746871</v>
      </c>
      <c r="D794" s="0" t="n">
        <v>219545</v>
      </c>
      <c r="E794" s="0" t="s">
        <v>4137</v>
      </c>
      <c r="F794" s="225"/>
    </row>
    <row r="795" customFormat="false" ht="14.25" hidden="false" customHeight="false" outlineLevel="0" collapsed="false">
      <c r="A795" s="0" t="n">
        <v>11830463</v>
      </c>
      <c r="B795" s="0" t="s">
        <v>4936</v>
      </c>
      <c r="C795" s="0" t="n">
        <v>0.403184237685692</v>
      </c>
      <c r="D795" s="0" t="n">
        <v>76812</v>
      </c>
      <c r="E795" s="0" t="s">
        <v>4137</v>
      </c>
      <c r="F795" s="225"/>
    </row>
    <row r="796" customFormat="false" ht="14.25" hidden="false" customHeight="false" outlineLevel="0" collapsed="false">
      <c r="A796" s="0" t="n">
        <v>1075239620</v>
      </c>
      <c r="B796" s="0" t="s">
        <v>4937</v>
      </c>
      <c r="C796" s="0" t="n">
        <v>0.355941146652132</v>
      </c>
      <c r="D796" s="0" t="n">
        <v>216219.62</v>
      </c>
      <c r="E796" s="0" t="s">
        <v>4137</v>
      </c>
      <c r="F796" s="225"/>
    </row>
    <row r="797" customFormat="false" ht="14.25" hidden="false" customHeight="false" outlineLevel="0" collapsed="false">
      <c r="A797" s="0" t="n">
        <v>1107081228</v>
      </c>
      <c r="B797" s="0" t="s">
        <v>4938</v>
      </c>
      <c r="C797" s="0" t="n">
        <v>0.424475220018664</v>
      </c>
      <c r="D797" s="0" t="n">
        <v>-15288.3600000001</v>
      </c>
      <c r="E797" s="0" t="s">
        <v>4137</v>
      </c>
      <c r="F797" s="225"/>
    </row>
    <row r="798" customFormat="false" ht="14.25" hidden="false" customHeight="false" outlineLevel="0" collapsed="false">
      <c r="A798" s="0" t="n">
        <v>1085251971</v>
      </c>
      <c r="B798" s="0" t="s">
        <v>4939</v>
      </c>
      <c r="C798" s="0" t="n">
        <v>0.160244242012403</v>
      </c>
      <c r="D798" s="0" t="n">
        <v>1586612.76</v>
      </c>
      <c r="E798" s="0" t="s">
        <v>4137</v>
      </c>
      <c r="F798" s="225"/>
    </row>
    <row r="799" customFormat="false" ht="14.25" hidden="false" customHeight="false" outlineLevel="0" collapsed="false">
      <c r="A799" s="0" t="n">
        <v>34679469</v>
      </c>
      <c r="B799" s="0" t="s">
        <v>4940</v>
      </c>
      <c r="C799" s="0" t="n">
        <v>0.151417664160634</v>
      </c>
      <c r="D799" s="0" t="n">
        <v>1603994.48</v>
      </c>
      <c r="E799" s="0" t="s">
        <v>4137</v>
      </c>
      <c r="F799" s="225"/>
    </row>
    <row r="800" customFormat="false" ht="14.25" hidden="false" customHeight="false" outlineLevel="0" collapsed="false">
      <c r="A800" s="0" t="n">
        <v>1130631035</v>
      </c>
      <c r="B800" s="0" t="s">
        <v>4941</v>
      </c>
      <c r="C800" s="0" t="n">
        <v>0.177931926649254</v>
      </c>
      <c r="D800" s="0" t="n">
        <v>1541132.36</v>
      </c>
      <c r="E800" s="0" t="s">
        <v>4137</v>
      </c>
      <c r="F800" s="225"/>
    </row>
    <row r="801" customFormat="false" ht="14.25" hidden="false" customHeight="false" outlineLevel="0" collapsed="false">
      <c r="A801" s="0" t="n">
        <v>1144173564</v>
      </c>
      <c r="B801" s="0" t="s">
        <v>4942</v>
      </c>
      <c r="C801" s="0" t="n">
        <v>0.347927315432267</v>
      </c>
      <c r="D801" s="0" t="n">
        <v>277476.28</v>
      </c>
      <c r="E801" s="0" t="s">
        <v>4137</v>
      </c>
      <c r="F801" s="225"/>
    </row>
    <row r="802" customFormat="false" ht="14.25" hidden="false" customHeight="false" outlineLevel="0" collapsed="false">
      <c r="A802" s="0" t="n">
        <v>1143858755</v>
      </c>
      <c r="B802" s="0" t="s">
        <v>4943</v>
      </c>
      <c r="C802" s="0" t="n">
        <v>0.308044400242039</v>
      </c>
      <c r="D802" s="0" t="n">
        <v>549635.12</v>
      </c>
      <c r="E802" s="0" t="s">
        <v>4137</v>
      </c>
      <c r="F802" s="225"/>
    </row>
    <row r="803" customFormat="false" ht="14.25" hidden="false" customHeight="false" outlineLevel="0" collapsed="false">
      <c r="A803" s="0" t="n">
        <v>1143876942</v>
      </c>
      <c r="B803" s="0" t="s">
        <v>4944</v>
      </c>
      <c r="C803" s="0" t="n">
        <v>0.274481650425047</v>
      </c>
      <c r="D803" s="0" t="n">
        <v>421101</v>
      </c>
      <c r="E803" s="0" t="s">
        <v>4137</v>
      </c>
      <c r="F803" s="225"/>
    </row>
    <row r="804" customFormat="false" ht="14.25" hidden="false" customHeight="false" outlineLevel="0" collapsed="false">
      <c r="A804" s="0" t="n">
        <v>29117851</v>
      </c>
      <c r="B804" s="0" t="s">
        <v>4945</v>
      </c>
      <c r="C804" s="0" t="n">
        <v>0.385450977326036</v>
      </c>
      <c r="D804" s="0" t="n">
        <v>157815</v>
      </c>
      <c r="E804" s="0" t="s">
        <v>4137</v>
      </c>
      <c r="F804" s="225"/>
    </row>
    <row r="805" customFormat="false" ht="14.25" hidden="false" customHeight="false" outlineLevel="0" collapsed="false">
      <c r="A805" s="0" t="n">
        <v>1107523319</v>
      </c>
      <c r="B805" s="0" t="s">
        <v>4946</v>
      </c>
      <c r="C805" s="0" t="n">
        <v>0.344574570341036</v>
      </c>
      <c r="D805" s="0" t="n">
        <v>196174</v>
      </c>
      <c r="E805" s="0" t="s">
        <v>4137</v>
      </c>
      <c r="F805" s="225"/>
    </row>
    <row r="806" customFormat="false" ht="14.25" hidden="false" customHeight="false" outlineLevel="0" collapsed="false">
      <c r="A806" s="0" t="n">
        <v>1144195001</v>
      </c>
      <c r="B806" s="0" t="s">
        <v>4947</v>
      </c>
      <c r="C806" s="0" t="n">
        <v>0.200066229550309</v>
      </c>
      <c r="D806" s="0" t="n">
        <v>737434.56</v>
      </c>
      <c r="E806" s="0" t="s">
        <v>4137</v>
      </c>
      <c r="F806" s="225"/>
    </row>
    <row r="807" customFormat="false" ht="14.25" hidden="false" customHeight="false" outlineLevel="0" collapsed="false">
      <c r="A807" s="0" t="n">
        <v>1143844901</v>
      </c>
      <c r="B807" s="0" t="s">
        <v>4948</v>
      </c>
      <c r="C807" s="0" t="n">
        <v>0.254526365937383</v>
      </c>
      <c r="D807" s="0" t="n">
        <v>346643.38</v>
      </c>
      <c r="E807" s="0" t="s">
        <v>4378</v>
      </c>
      <c r="F807" s="225"/>
    </row>
    <row r="808" customFormat="false" ht="14.25" hidden="false" customHeight="false" outlineLevel="0" collapsed="false">
      <c r="A808" s="0" t="n">
        <v>1112223503</v>
      </c>
      <c r="B808" s="0" t="s">
        <v>4949</v>
      </c>
      <c r="C808" s="0" t="n">
        <v>0.271181098576099</v>
      </c>
      <c r="D808" s="0" t="n">
        <v>544721.18</v>
      </c>
      <c r="E808" s="0" t="s">
        <v>4137</v>
      </c>
      <c r="F808" s="225"/>
    </row>
    <row r="809" customFormat="false" ht="14.25" hidden="false" customHeight="false" outlineLevel="0" collapsed="false">
      <c r="A809" s="0" t="n">
        <v>31528300</v>
      </c>
      <c r="B809" s="0" t="s">
        <v>4950</v>
      </c>
      <c r="C809" s="0" t="n">
        <v>0.336984487881157</v>
      </c>
      <c r="D809" s="0" t="n">
        <v>379203</v>
      </c>
      <c r="E809" s="0" t="s">
        <v>4137</v>
      </c>
      <c r="F809" s="225"/>
    </row>
    <row r="810" customFormat="false" ht="14.25" hidden="false" customHeight="false" outlineLevel="0" collapsed="false">
      <c r="A810" s="0" t="n">
        <v>52932360</v>
      </c>
      <c r="B810" s="0" t="s">
        <v>4951</v>
      </c>
      <c r="C810" s="0" t="n">
        <v>0.404573244901699</v>
      </c>
      <c r="D810" s="0" t="n">
        <v>79857.04</v>
      </c>
      <c r="E810" s="0" t="s">
        <v>4137</v>
      </c>
      <c r="F810" s="225"/>
    </row>
    <row r="811" customFormat="false" ht="14.25" hidden="false" customHeight="false" outlineLevel="0" collapsed="false">
      <c r="A811" s="0" t="n">
        <v>1062314112</v>
      </c>
      <c r="B811" s="0" t="s">
        <v>4952</v>
      </c>
      <c r="C811" s="0" t="n">
        <v>0.333950654000745</v>
      </c>
      <c r="D811" s="0" t="n">
        <v>352986.12</v>
      </c>
      <c r="E811" s="0" t="s">
        <v>4137</v>
      </c>
      <c r="F811" s="225"/>
    </row>
    <row r="812" customFormat="false" ht="14.25" hidden="false" customHeight="false" outlineLevel="0" collapsed="false">
      <c r="A812" s="0" t="n">
        <v>1144169857</v>
      </c>
      <c r="B812" s="0" t="s">
        <v>4953</v>
      </c>
      <c r="C812" s="0" t="n">
        <v>0.384343235055292</v>
      </c>
      <c r="D812" s="0" t="n">
        <v>72893.6</v>
      </c>
      <c r="E812" s="0" t="s">
        <v>4137</v>
      </c>
      <c r="F812" s="225"/>
    </row>
    <row r="813" customFormat="false" ht="14.25" hidden="false" customHeight="false" outlineLevel="0" collapsed="false">
      <c r="A813" s="0" t="n">
        <v>1010057277</v>
      </c>
      <c r="B813" s="0" t="s">
        <v>4954</v>
      </c>
      <c r="C813" s="0" t="n">
        <v>0.303901697774685</v>
      </c>
      <c r="D813" s="0" t="n">
        <v>398540.82</v>
      </c>
      <c r="E813" s="0" t="s">
        <v>4137</v>
      </c>
      <c r="F813" s="225"/>
    </row>
    <row r="814" customFormat="false" ht="14.25" hidden="false" customHeight="false" outlineLevel="0" collapsed="false">
      <c r="A814" s="0" t="n">
        <v>1193153919</v>
      </c>
      <c r="B814" s="0" t="s">
        <v>4955</v>
      </c>
      <c r="C814" s="0" t="n">
        <v>0.439603849638863</v>
      </c>
      <c r="D814" s="0" t="n">
        <v>-87623</v>
      </c>
      <c r="E814" s="0" t="s">
        <v>4137</v>
      </c>
      <c r="F814" s="225"/>
    </row>
    <row r="815" customFormat="false" ht="14.25" hidden="false" customHeight="false" outlineLevel="0" collapsed="false">
      <c r="A815" s="0" t="n">
        <v>1193439718</v>
      </c>
      <c r="B815" s="0" t="s">
        <v>4956</v>
      </c>
      <c r="C815" s="0" t="s">
        <v>4266</v>
      </c>
      <c r="D815" s="0" t="n">
        <v>0</v>
      </c>
      <c r="E815" s="0" t="s">
        <v>4137</v>
      </c>
      <c r="F815" s="225"/>
    </row>
    <row r="816" customFormat="false" ht="14.25" hidden="false" customHeight="false" outlineLevel="0" collapsed="false">
      <c r="A816" s="0" t="n">
        <v>1114457956</v>
      </c>
      <c r="B816" s="0" t="s">
        <v>4957</v>
      </c>
      <c r="C816" s="0" t="n">
        <v>0.101589291829184</v>
      </c>
      <c r="D816" s="0" t="n">
        <v>1016630.2</v>
      </c>
      <c r="E816" s="0" t="s">
        <v>4137</v>
      </c>
      <c r="F816" s="225"/>
    </row>
    <row r="817" customFormat="false" ht="14.25" hidden="false" customHeight="false" outlineLevel="0" collapsed="false">
      <c r="A817" s="0" t="n">
        <v>1007145804</v>
      </c>
      <c r="B817" s="0" t="s">
        <v>4958</v>
      </c>
      <c r="C817" s="0" t="n">
        <v>0.244685175186856</v>
      </c>
      <c r="D817" s="0" t="n">
        <v>704190.68</v>
      </c>
      <c r="E817" s="0" t="s">
        <v>4137</v>
      </c>
      <c r="F817" s="225"/>
    </row>
    <row r="818" customFormat="false" ht="14.25" hidden="false" customHeight="false" outlineLevel="0" collapsed="false">
      <c r="A818" s="0" t="n">
        <v>1112880193</v>
      </c>
      <c r="B818" s="0" t="s">
        <v>4959</v>
      </c>
      <c r="C818" s="0" t="n">
        <v>0.345339931660186</v>
      </c>
      <c r="D818" s="0" t="n">
        <v>253456</v>
      </c>
      <c r="E818" s="0" t="s">
        <v>4137</v>
      </c>
      <c r="F818" s="225"/>
    </row>
    <row r="819" customFormat="false" ht="14.25" hidden="false" customHeight="false" outlineLevel="0" collapsed="false">
      <c r="A819" s="0" t="n">
        <v>1151965144</v>
      </c>
      <c r="B819" s="0" t="s">
        <v>4960</v>
      </c>
      <c r="C819" s="0" t="n">
        <v>0.24078189080325</v>
      </c>
      <c r="D819" s="0" t="n">
        <v>622179.98</v>
      </c>
      <c r="E819" s="0" t="s">
        <v>4147</v>
      </c>
      <c r="F819" s="225"/>
    </row>
    <row r="820" customFormat="false" ht="14.25" hidden="false" customHeight="false" outlineLevel="0" collapsed="false">
      <c r="A820" s="0" t="n">
        <v>1234188409</v>
      </c>
      <c r="B820" s="0" t="s">
        <v>4961</v>
      </c>
      <c r="C820" s="0" t="n">
        <v>0.479789143317383</v>
      </c>
      <c r="D820" s="0" t="n">
        <v>-228045.04</v>
      </c>
      <c r="E820" s="0" t="s">
        <v>4137</v>
      </c>
      <c r="F820" s="225"/>
    </row>
    <row r="821" customFormat="false" ht="14.25" hidden="false" customHeight="false" outlineLevel="0" collapsed="false">
      <c r="A821" s="0" t="n">
        <v>1130651554</v>
      </c>
      <c r="B821" s="0" t="s">
        <v>4962</v>
      </c>
      <c r="C821" s="0" t="n">
        <v>0.35561438459672</v>
      </c>
      <c r="D821" s="0" t="n">
        <v>219531.04</v>
      </c>
      <c r="E821" s="0" t="s">
        <v>4137</v>
      </c>
      <c r="F821" s="225"/>
    </row>
    <row r="822" customFormat="false" ht="14.25" hidden="false" customHeight="false" outlineLevel="0" collapsed="false">
      <c r="A822" s="0" t="n">
        <v>1114888786</v>
      </c>
      <c r="B822" s="0" t="s">
        <v>4963</v>
      </c>
      <c r="C822" s="0" t="n">
        <v>0.110742938812523</v>
      </c>
      <c r="D822" s="0" t="n">
        <v>1636279.42</v>
      </c>
      <c r="E822" s="0" t="s">
        <v>4137</v>
      </c>
      <c r="F822" s="225"/>
    </row>
    <row r="823" customFormat="false" ht="14.25" hidden="false" customHeight="false" outlineLevel="0" collapsed="false">
      <c r="A823" s="0" t="n">
        <v>1144057157</v>
      </c>
      <c r="B823" s="0" t="s">
        <v>4964</v>
      </c>
      <c r="C823" s="0" t="n">
        <v>0.258188372307977</v>
      </c>
      <c r="D823" s="0" t="n">
        <v>700256</v>
      </c>
      <c r="E823" s="0" t="s">
        <v>4137</v>
      </c>
      <c r="F823" s="225"/>
    </row>
    <row r="824" customFormat="false" ht="14.25" hidden="false" customHeight="false" outlineLevel="0" collapsed="false">
      <c r="A824" s="0" t="n">
        <v>1112484884</v>
      </c>
      <c r="B824" s="0" t="s">
        <v>4965</v>
      </c>
      <c r="C824" s="0" t="n">
        <v>0.435675667164692</v>
      </c>
      <c r="D824" s="0" t="n">
        <v>-54424.8400000001</v>
      </c>
      <c r="E824" s="0" t="s">
        <v>4137</v>
      </c>
      <c r="F824" s="225"/>
    </row>
    <row r="825" customFormat="false" ht="14.25" hidden="false" customHeight="false" outlineLevel="0" collapsed="false">
      <c r="A825" s="0" t="n">
        <v>1143972657</v>
      </c>
      <c r="B825" s="0" t="s">
        <v>4966</v>
      </c>
      <c r="C825" s="0" t="n">
        <v>0.302024180770678</v>
      </c>
      <c r="D825" s="0" t="n">
        <v>601605.46</v>
      </c>
      <c r="E825" s="0" t="s">
        <v>4137</v>
      </c>
      <c r="F825" s="225"/>
    </row>
    <row r="826" customFormat="false" ht="14.25" hidden="false" customHeight="false" outlineLevel="0" collapsed="false">
      <c r="A826" s="0" t="n">
        <v>1144164907</v>
      </c>
      <c r="B826" s="0" t="s">
        <v>4967</v>
      </c>
      <c r="C826" s="0" t="n">
        <v>0.339087251790064</v>
      </c>
      <c r="D826" s="0" t="n">
        <v>438450</v>
      </c>
      <c r="E826" s="0" t="s">
        <v>4137</v>
      </c>
      <c r="F826" s="225"/>
    </row>
    <row r="827" customFormat="false" ht="14.25" hidden="false" customHeight="false" outlineLevel="0" collapsed="false">
      <c r="A827" s="0" t="n">
        <v>1114833076</v>
      </c>
      <c r="B827" s="0" t="s">
        <v>4968</v>
      </c>
      <c r="C827" s="0" t="n">
        <v>0.107454872968282</v>
      </c>
      <c r="D827" s="0" t="n">
        <v>1101257.86</v>
      </c>
      <c r="E827" s="0" t="s">
        <v>4137</v>
      </c>
      <c r="F827" s="225"/>
    </row>
    <row r="828" customFormat="false" ht="14.25" hidden="false" customHeight="false" outlineLevel="0" collapsed="false">
      <c r="A828" s="0" t="n">
        <v>1144165820</v>
      </c>
      <c r="B828" s="0" t="s">
        <v>4969</v>
      </c>
      <c r="C828" s="0" t="n">
        <v>0.125174078730934</v>
      </c>
      <c r="D828" s="0" t="n">
        <v>1075176.28</v>
      </c>
      <c r="E828" s="0" t="s">
        <v>4137</v>
      </c>
      <c r="F828" s="225"/>
    </row>
    <row r="829" customFormat="false" ht="14.25" hidden="false" customHeight="false" outlineLevel="0" collapsed="false">
      <c r="A829" s="0" t="n">
        <v>1053797527</v>
      </c>
      <c r="B829" s="0" t="s">
        <v>4970</v>
      </c>
      <c r="C829" s="0" t="n">
        <v>0.376273421294823</v>
      </c>
      <c r="D829" s="0" t="n">
        <v>285261.88</v>
      </c>
      <c r="E829" s="0" t="s">
        <v>4137</v>
      </c>
      <c r="F829" s="225"/>
    </row>
    <row r="830" customFormat="false" ht="14.25" hidden="false" customHeight="false" outlineLevel="0" collapsed="false">
      <c r="A830" s="0" t="n">
        <v>1002858305</v>
      </c>
      <c r="B830" s="0" t="s">
        <v>4971</v>
      </c>
      <c r="C830" s="0" t="n">
        <v>0.319517297696445</v>
      </c>
      <c r="D830" s="0" t="n">
        <v>394171.2</v>
      </c>
      <c r="E830" s="0" t="s">
        <v>4137</v>
      </c>
      <c r="F830" s="225"/>
    </row>
    <row r="831" customFormat="false" ht="14.25" hidden="false" customHeight="false" outlineLevel="0" collapsed="false">
      <c r="A831" s="0" t="n">
        <v>1144063991</v>
      </c>
      <c r="B831" s="0" t="s">
        <v>4972</v>
      </c>
      <c r="C831" s="0" t="n">
        <v>0.281105990299024</v>
      </c>
      <c r="D831" s="0" t="n">
        <v>440464.48</v>
      </c>
      <c r="E831" s="0" t="s">
        <v>4137</v>
      </c>
      <c r="F831" s="225"/>
    </row>
    <row r="832" customFormat="false" ht="14.25" hidden="false" customHeight="false" outlineLevel="0" collapsed="false">
      <c r="A832" s="0" t="n">
        <v>1144176050</v>
      </c>
      <c r="B832" s="0" t="s">
        <v>4973</v>
      </c>
      <c r="C832" s="0" t="n">
        <v>0.126734523153518</v>
      </c>
      <c r="D832" s="0" t="n">
        <v>1131277.54</v>
      </c>
      <c r="E832" s="0" t="s">
        <v>4137</v>
      </c>
      <c r="F832" s="225"/>
    </row>
    <row r="833" customFormat="false" ht="14.25" hidden="false" customHeight="false" outlineLevel="0" collapsed="false">
      <c r="A833" s="0" t="n">
        <v>1114818603</v>
      </c>
      <c r="B833" s="0" t="s">
        <v>4974</v>
      </c>
      <c r="C833" s="0" t="n">
        <v>0.220446608786673</v>
      </c>
      <c r="D833" s="0" t="n">
        <v>683267.02</v>
      </c>
      <c r="E833" s="0" t="s">
        <v>4137</v>
      </c>
      <c r="F833" s="225"/>
    </row>
    <row r="834" customFormat="false" ht="14.25" hidden="false" customHeight="false" outlineLevel="0" collapsed="false">
      <c r="A834" s="0" t="n">
        <v>1143970362</v>
      </c>
      <c r="B834" s="0" t="s">
        <v>4975</v>
      </c>
      <c r="C834" s="0" t="n">
        <v>0.371838987878254</v>
      </c>
      <c r="D834" s="0" t="n">
        <v>115998.88</v>
      </c>
      <c r="E834" s="0" t="s">
        <v>4137</v>
      </c>
      <c r="F834" s="225"/>
    </row>
    <row r="835" customFormat="false" ht="14.25" hidden="false" customHeight="false" outlineLevel="0" collapsed="false">
      <c r="A835" s="0" t="n">
        <v>1006011753</v>
      </c>
      <c r="B835" s="0" t="s">
        <v>4976</v>
      </c>
      <c r="C835" s="0" t="n">
        <v>0.135593285867546</v>
      </c>
      <c r="D835" s="0" t="n">
        <v>1152481.04</v>
      </c>
      <c r="E835" s="0" t="s">
        <v>4137</v>
      </c>
      <c r="F835" s="225"/>
    </row>
    <row r="836" customFormat="false" ht="14.25" hidden="false" customHeight="false" outlineLevel="0" collapsed="false">
      <c r="A836" s="0" t="n">
        <v>1006181772</v>
      </c>
      <c r="B836" s="0" t="s">
        <v>4977</v>
      </c>
      <c r="C836" s="0" t="n">
        <v>0.131539318258522</v>
      </c>
      <c r="D836" s="0" t="n">
        <v>1139612</v>
      </c>
      <c r="E836" s="0" t="s">
        <v>4137</v>
      </c>
      <c r="F836" s="225"/>
    </row>
    <row r="837" customFormat="false" ht="14.25" hidden="false" customHeight="false" outlineLevel="0" collapsed="false">
      <c r="A837" s="0" t="n">
        <v>1144106737</v>
      </c>
      <c r="B837" s="0" t="s">
        <v>4978</v>
      </c>
      <c r="C837" s="0" t="n">
        <v>0.166332439390273</v>
      </c>
      <c r="D837" s="0" t="n">
        <v>763478.9</v>
      </c>
      <c r="E837" s="0" t="s">
        <v>4137</v>
      </c>
      <c r="F837" s="225"/>
    </row>
    <row r="838" customFormat="false" ht="14.25" hidden="false" customHeight="false" outlineLevel="0" collapsed="false">
      <c r="A838" s="0" t="n">
        <v>1192747716</v>
      </c>
      <c r="B838" s="0" t="s">
        <v>4979</v>
      </c>
      <c r="C838" s="0" t="n">
        <v>0.417843211989587</v>
      </c>
      <c r="D838" s="0" t="n">
        <v>9997</v>
      </c>
      <c r="E838" s="0" t="s">
        <v>4137</v>
      </c>
      <c r="F838" s="225"/>
    </row>
    <row r="839" customFormat="false" ht="14.25" hidden="false" customHeight="false" outlineLevel="0" collapsed="false">
      <c r="A839" s="0" t="n">
        <v>1144212141</v>
      </c>
      <c r="B839" s="0" t="s">
        <v>4980</v>
      </c>
      <c r="C839" s="0" t="n">
        <v>0.302520438320556</v>
      </c>
      <c r="D839" s="0" t="n">
        <v>469295.84</v>
      </c>
      <c r="E839" s="0" t="s">
        <v>4137</v>
      </c>
      <c r="F839" s="225"/>
    </row>
    <row r="840" customFormat="false" ht="14.25" hidden="false" customHeight="false" outlineLevel="0" collapsed="false">
      <c r="A840" s="0" t="n">
        <v>1118282261</v>
      </c>
      <c r="B840" s="0" t="s">
        <v>4981</v>
      </c>
      <c r="C840" s="0" t="n">
        <v>0.418931523703334</v>
      </c>
      <c r="D840" s="0" t="n">
        <v>2779</v>
      </c>
      <c r="E840" s="0" t="s">
        <v>4137</v>
      </c>
      <c r="F840" s="225"/>
    </row>
    <row r="841" customFormat="false" ht="14.25" hidden="false" customHeight="false" outlineLevel="0" collapsed="false">
      <c r="A841" s="0" t="n">
        <v>1112480121</v>
      </c>
      <c r="B841" s="0" t="s">
        <v>4982</v>
      </c>
      <c r="C841" s="0" t="n">
        <v>0.41345242489112</v>
      </c>
      <c r="D841" s="0" t="n">
        <v>35480</v>
      </c>
      <c r="E841" s="0" t="s">
        <v>4137</v>
      </c>
      <c r="F841" s="225"/>
    </row>
    <row r="842" customFormat="false" ht="14.25" hidden="false" customHeight="false" outlineLevel="0" collapsed="false">
      <c r="A842" s="0" t="n">
        <v>1130668875</v>
      </c>
      <c r="B842" s="0" t="s">
        <v>4983</v>
      </c>
      <c r="C842" s="0" t="n">
        <v>0.141431719683459</v>
      </c>
      <c r="D842" s="0" t="n">
        <v>1476787.86</v>
      </c>
      <c r="E842" s="0" t="s">
        <v>4137</v>
      </c>
      <c r="F842" s="225"/>
    </row>
    <row r="843" customFormat="false" ht="14.25" hidden="false" customHeight="false" outlineLevel="0" collapsed="false">
      <c r="A843" s="0" t="n">
        <v>1107067602</v>
      </c>
      <c r="B843" s="0" t="s">
        <v>4984</v>
      </c>
      <c r="C843" s="0" t="n">
        <v>0.488810946555055</v>
      </c>
      <c r="D843" s="0" t="n">
        <v>-228993</v>
      </c>
      <c r="E843" s="0" t="s">
        <v>4137</v>
      </c>
      <c r="F843" s="225"/>
    </row>
    <row r="844" customFormat="false" ht="14.25" hidden="false" customHeight="false" outlineLevel="0" collapsed="false">
      <c r="A844" s="0" t="n">
        <v>1144106381</v>
      </c>
      <c r="B844" s="0" t="s">
        <v>4985</v>
      </c>
      <c r="C844" s="0" t="n">
        <v>0.381982838367743</v>
      </c>
      <c r="D844" s="0" t="n">
        <v>78946.7799999999</v>
      </c>
      <c r="E844" s="0" t="s">
        <v>4137</v>
      </c>
      <c r="F844" s="225"/>
    </row>
    <row r="845" customFormat="false" ht="14.25" hidden="false" customHeight="false" outlineLevel="0" collapsed="false">
      <c r="A845" s="0" t="n">
        <v>1113518404</v>
      </c>
      <c r="B845" s="0" t="s">
        <v>4986</v>
      </c>
      <c r="C845" s="0" t="n">
        <v>0.375392815321316</v>
      </c>
      <c r="D845" s="0" t="n">
        <v>148334.68</v>
      </c>
      <c r="E845" s="0" t="s">
        <v>4137</v>
      </c>
      <c r="F845" s="225"/>
    </row>
    <row r="846" customFormat="false" ht="14.25" hidden="false" customHeight="false" outlineLevel="0" collapsed="false">
      <c r="A846" s="0" t="n">
        <v>1107045504</v>
      </c>
      <c r="B846" s="0" t="s">
        <v>4987</v>
      </c>
      <c r="C846" s="0" t="n">
        <v>0.247138867031523</v>
      </c>
      <c r="D846" s="0" t="n">
        <v>1148723.94</v>
      </c>
      <c r="E846" s="0" t="s">
        <v>4137</v>
      </c>
      <c r="F846" s="225"/>
    </row>
    <row r="847" customFormat="false" ht="14.25" hidden="false" customHeight="false" outlineLevel="0" collapsed="false">
      <c r="A847" s="0" t="n">
        <v>1144088175</v>
      </c>
      <c r="B847" s="0" t="s">
        <v>4988</v>
      </c>
      <c r="C847" s="0" t="n">
        <v>0.17258675721562</v>
      </c>
      <c r="D847" s="0" t="n">
        <v>728632</v>
      </c>
      <c r="E847" s="0" t="s">
        <v>4137</v>
      </c>
      <c r="F847" s="225"/>
    </row>
    <row r="848" customFormat="false" ht="14.25" hidden="false" customHeight="false" outlineLevel="0" collapsed="false">
      <c r="A848" s="0" t="n">
        <v>1143874200</v>
      </c>
      <c r="B848" s="0" t="s">
        <v>4989</v>
      </c>
      <c r="C848" s="0" t="n">
        <v>0.117799994079683</v>
      </c>
      <c r="D848" s="0" t="n">
        <v>1259099.2</v>
      </c>
      <c r="E848" s="0" t="s">
        <v>4137</v>
      </c>
      <c r="F848" s="225"/>
    </row>
    <row r="849" customFormat="false" ht="14.25" hidden="false" customHeight="false" outlineLevel="0" collapsed="false">
      <c r="A849" s="0" t="n">
        <v>1130608230</v>
      </c>
      <c r="B849" s="0" t="s">
        <v>4990</v>
      </c>
      <c r="C849" s="0" t="n">
        <v>0.182871509613566</v>
      </c>
      <c r="D849" s="0" t="n">
        <v>839006.76</v>
      </c>
      <c r="E849" s="0" t="s">
        <v>4137</v>
      </c>
      <c r="F849" s="225"/>
    </row>
    <row r="850" customFormat="false" ht="14.25" hidden="false" customHeight="false" outlineLevel="0" collapsed="false">
      <c r="A850" s="0" t="n">
        <v>1112466938</v>
      </c>
      <c r="B850" s="0" t="s">
        <v>4991</v>
      </c>
      <c r="C850" s="0" t="n">
        <v>0.371438314873237</v>
      </c>
      <c r="D850" s="0" t="n">
        <v>232208.64</v>
      </c>
      <c r="E850" s="0" t="s">
        <v>4137</v>
      </c>
      <c r="F850" s="225"/>
    </row>
    <row r="851" customFormat="false" ht="14.25" hidden="false" customHeight="false" outlineLevel="0" collapsed="false">
      <c r="A851" s="0" t="n">
        <v>1107069840</v>
      </c>
      <c r="B851" s="0" t="s">
        <v>4992</v>
      </c>
      <c r="C851" s="0" t="n">
        <v>0.528148340891631</v>
      </c>
      <c r="D851" s="0" t="n">
        <v>-436411</v>
      </c>
      <c r="E851" s="0" t="s">
        <v>4137</v>
      </c>
      <c r="F851" s="225"/>
    </row>
    <row r="852" customFormat="false" ht="14.25" hidden="false" customHeight="false" outlineLevel="0" collapsed="false">
      <c r="A852" s="0" t="n">
        <v>1107089150</v>
      </c>
      <c r="B852" s="0" t="s">
        <v>4993</v>
      </c>
      <c r="C852" s="0" t="n">
        <v>0.272540274520358</v>
      </c>
      <c r="D852" s="0" t="n">
        <v>383528</v>
      </c>
      <c r="E852" s="0" t="s">
        <v>4137</v>
      </c>
      <c r="F852" s="225"/>
    </row>
    <row r="853" customFormat="false" ht="14.25" hidden="false" customHeight="false" outlineLevel="0" collapsed="false">
      <c r="A853" s="0" t="n">
        <v>1130650454</v>
      </c>
      <c r="B853" s="0" t="s">
        <v>4994</v>
      </c>
      <c r="C853" s="0" t="n">
        <v>0.447627427501481</v>
      </c>
      <c r="D853" s="0" t="n">
        <v>-79145.9400000002</v>
      </c>
      <c r="E853" s="0" t="s">
        <v>4137</v>
      </c>
      <c r="F853" s="225"/>
    </row>
    <row r="854" customFormat="false" ht="14.25" hidden="false" customHeight="false" outlineLevel="0" collapsed="false">
      <c r="A854" s="0" t="n">
        <v>1143959792</v>
      </c>
      <c r="B854" s="0" t="s">
        <v>4995</v>
      </c>
      <c r="C854" s="0" t="n">
        <v>0.466592167515181</v>
      </c>
      <c r="D854" s="0" t="n">
        <v>-177601.22</v>
      </c>
      <c r="E854" s="0" t="s">
        <v>4137</v>
      </c>
      <c r="F854" s="225"/>
    </row>
    <row r="855" customFormat="false" ht="14.25" hidden="false" customHeight="false" outlineLevel="0" collapsed="false">
      <c r="A855" s="0" t="n">
        <v>1144025831</v>
      </c>
      <c r="B855" s="0" t="s">
        <v>4996</v>
      </c>
      <c r="C855" s="0" t="n">
        <v>0.482750481062281</v>
      </c>
      <c r="D855" s="0" t="n">
        <v>-399020.52</v>
      </c>
      <c r="E855" s="0" t="s">
        <v>4137</v>
      </c>
      <c r="F855" s="225"/>
    </row>
    <row r="856" customFormat="false" ht="14.25" hidden="false" customHeight="false" outlineLevel="0" collapsed="false">
      <c r="A856" s="0" t="n">
        <v>59856422</v>
      </c>
      <c r="B856" s="0" t="s">
        <v>4997</v>
      </c>
      <c r="C856" s="0" t="n">
        <v>0.363743924145957</v>
      </c>
      <c r="D856" s="0" t="n">
        <v>328693</v>
      </c>
      <c r="E856" s="0" t="s">
        <v>4137</v>
      </c>
      <c r="F856" s="225"/>
    </row>
    <row r="857" customFormat="false" ht="14.25" hidden="false" customHeight="false" outlineLevel="0" collapsed="false">
      <c r="A857" s="0" t="n">
        <v>1107083838</v>
      </c>
      <c r="B857" s="0" t="s">
        <v>4998</v>
      </c>
      <c r="C857" s="0" t="n">
        <v>0.392114520699426</v>
      </c>
      <c r="D857" s="0" t="n">
        <v>80695</v>
      </c>
      <c r="E857" s="0" t="s">
        <v>4137</v>
      </c>
      <c r="F857" s="225"/>
    </row>
    <row r="858" customFormat="false" ht="14.25" hidden="false" customHeight="false" outlineLevel="0" collapsed="false">
      <c r="A858" s="0" t="n">
        <v>5208653</v>
      </c>
      <c r="B858" s="0" t="s">
        <v>4999</v>
      </c>
      <c r="C858" s="0" t="n">
        <v>0.162654613435926</v>
      </c>
      <c r="D858" s="0" t="n">
        <v>2163256.9</v>
      </c>
      <c r="E858" s="0" t="s">
        <v>4137</v>
      </c>
      <c r="F858" s="225"/>
    </row>
    <row r="859" customFormat="false" ht="14.25" hidden="false" customHeight="false" outlineLevel="0" collapsed="false">
      <c r="A859" s="0" t="n">
        <v>1144046545</v>
      </c>
      <c r="B859" s="0" t="s">
        <v>5000</v>
      </c>
      <c r="C859" s="0" t="n">
        <v>0.228402300940517</v>
      </c>
      <c r="D859" s="0" t="n">
        <v>672993.56</v>
      </c>
      <c r="E859" s="0" t="s">
        <v>4137</v>
      </c>
      <c r="F859" s="225"/>
    </row>
    <row r="860" customFormat="false" ht="14.25" hidden="false" customHeight="false" outlineLevel="0" collapsed="false">
      <c r="A860" s="0" t="n">
        <v>1118295742</v>
      </c>
      <c r="B860" s="0" t="s">
        <v>5001</v>
      </c>
      <c r="C860" s="0" t="n">
        <v>0.306037127307946</v>
      </c>
      <c r="D860" s="0" t="n">
        <v>778840.62</v>
      </c>
      <c r="E860" s="0" t="s">
        <v>4137</v>
      </c>
      <c r="F860" s="225"/>
    </row>
    <row r="861" customFormat="false" ht="14.25" hidden="false" customHeight="false" outlineLevel="0" collapsed="false">
      <c r="A861" s="0" t="n">
        <v>66727385</v>
      </c>
      <c r="B861" s="0" t="s">
        <v>5002</v>
      </c>
      <c r="C861" s="0" t="n">
        <v>0.22958720136742</v>
      </c>
      <c r="D861" s="0" t="n">
        <v>1091717.5</v>
      </c>
      <c r="E861" s="0" t="s">
        <v>4137</v>
      </c>
      <c r="F861" s="225"/>
    </row>
    <row r="862" customFormat="false" ht="14.25" hidden="false" customHeight="false" outlineLevel="0" collapsed="false">
      <c r="A862" s="0" t="n">
        <v>1107509891</v>
      </c>
      <c r="B862" s="0" t="s">
        <v>5003</v>
      </c>
      <c r="C862" s="0" t="n">
        <v>0.197716087367657</v>
      </c>
      <c r="D862" s="0" t="n">
        <v>861529.1</v>
      </c>
      <c r="E862" s="0" t="s">
        <v>4137</v>
      </c>
      <c r="F862" s="225"/>
    </row>
    <row r="863" customFormat="false" ht="14.25" hidden="false" customHeight="false" outlineLevel="0" collapsed="false">
      <c r="A863" s="0" t="n">
        <v>1107102212</v>
      </c>
      <c r="B863" s="0" t="s">
        <v>5004</v>
      </c>
      <c r="C863" s="0" t="n">
        <v>0.450190784031972</v>
      </c>
      <c r="D863" s="0" t="n">
        <v>-95849.52</v>
      </c>
      <c r="E863" s="0" t="s">
        <v>4147</v>
      </c>
      <c r="F863" s="225"/>
    </row>
    <row r="864" customFormat="false" ht="14.25" hidden="false" customHeight="false" outlineLevel="0" collapsed="false">
      <c r="A864" s="0" t="n">
        <v>38613482</v>
      </c>
      <c r="B864" s="0" t="s">
        <v>5005</v>
      </c>
      <c r="C864" s="0" t="n">
        <v>0.459773729212936</v>
      </c>
      <c r="D864" s="0" t="n">
        <v>-83441.2799999999</v>
      </c>
      <c r="E864" s="0" t="s">
        <v>4137</v>
      </c>
      <c r="F864" s="225"/>
    </row>
    <row r="865" customFormat="false" ht="14.25" hidden="false" customHeight="false" outlineLevel="0" collapsed="false">
      <c r="A865" s="0" t="n">
        <v>1144084984</v>
      </c>
      <c r="B865" s="0" t="s">
        <v>5006</v>
      </c>
      <c r="C865" s="0" t="n">
        <v>0.39282016146055</v>
      </c>
      <c r="D865" s="0" t="n">
        <v>196365.5</v>
      </c>
      <c r="E865" s="0" t="s">
        <v>4137</v>
      </c>
      <c r="F865" s="225"/>
    </row>
    <row r="866" customFormat="false" ht="14.25" hidden="false" customHeight="false" outlineLevel="0" collapsed="false">
      <c r="A866" s="0" t="n">
        <v>1118307622</v>
      </c>
      <c r="B866" s="0" t="s">
        <v>5007</v>
      </c>
      <c r="C866" s="0" t="n">
        <v>0.302983903348671</v>
      </c>
      <c r="D866" s="0" t="n">
        <v>671746.7</v>
      </c>
      <c r="E866" s="0" t="s">
        <v>4137</v>
      </c>
      <c r="F866" s="225"/>
    </row>
    <row r="867" customFormat="false" ht="14.25" hidden="false" customHeight="false" outlineLevel="0" collapsed="false">
      <c r="A867" s="0" t="n">
        <v>1143863088</v>
      </c>
      <c r="B867" s="0" t="s">
        <v>5008</v>
      </c>
      <c r="C867" s="0" t="n">
        <v>0.195795962278362</v>
      </c>
      <c r="D867" s="0" t="n">
        <v>1653260.62</v>
      </c>
      <c r="E867" s="0" t="s">
        <v>4137</v>
      </c>
      <c r="F867" s="225"/>
    </row>
    <row r="868" customFormat="false" ht="14.25" hidden="false" customHeight="false" outlineLevel="0" collapsed="false">
      <c r="A868" s="0" t="n">
        <v>1143973263</v>
      </c>
      <c r="B868" s="0" t="s">
        <v>5009</v>
      </c>
      <c r="C868" s="0" t="n">
        <v>0.387699875294444</v>
      </c>
      <c r="D868" s="0" t="n">
        <v>93244</v>
      </c>
      <c r="E868" s="0" t="s">
        <v>4137</v>
      </c>
      <c r="F868" s="225"/>
    </row>
    <row r="869" customFormat="false" ht="14.25" hidden="false" customHeight="false" outlineLevel="0" collapsed="false">
      <c r="A869" s="0" t="n">
        <v>1143984654</v>
      </c>
      <c r="B869" s="0" t="s">
        <v>5010</v>
      </c>
      <c r="C869" s="0" t="n">
        <v>0.438128419758766</v>
      </c>
      <c r="D869" s="0" t="n">
        <v>-70900.8600000001</v>
      </c>
      <c r="E869" s="0" t="s">
        <v>4137</v>
      </c>
      <c r="F869" s="225"/>
    </row>
    <row r="870" customFormat="false" ht="14.25" hidden="false" customHeight="false" outlineLevel="0" collapsed="false">
      <c r="A870" s="0" t="n">
        <v>94062275</v>
      </c>
      <c r="B870" s="0" t="s">
        <v>5011</v>
      </c>
      <c r="C870" s="0" t="n">
        <v>0.151900458684193</v>
      </c>
      <c r="D870" s="0" t="n">
        <v>1566452</v>
      </c>
      <c r="E870" s="0" t="s">
        <v>4137</v>
      </c>
      <c r="F870" s="225"/>
    </row>
    <row r="871" customFormat="false" ht="14.25" hidden="false" customHeight="false" outlineLevel="0" collapsed="false">
      <c r="A871" s="0" t="n">
        <v>1118312185</v>
      </c>
      <c r="B871" s="0" t="s">
        <v>5012</v>
      </c>
      <c r="C871" s="0" t="n">
        <v>0.1382289097027</v>
      </c>
      <c r="D871" s="0" t="n">
        <v>1122696.34</v>
      </c>
      <c r="E871" s="0" t="s">
        <v>4137</v>
      </c>
      <c r="F871" s="225"/>
    </row>
    <row r="872" customFormat="false" ht="14.25" hidden="false" customHeight="false" outlineLevel="0" collapsed="false">
      <c r="A872" s="0" t="n">
        <v>1059606598</v>
      </c>
      <c r="B872" s="0" t="s">
        <v>5013</v>
      </c>
      <c r="C872" s="0" t="n">
        <v>0.235237853845949</v>
      </c>
      <c r="D872" s="0" t="n">
        <v>692507</v>
      </c>
      <c r="E872" s="0" t="s">
        <v>4137</v>
      </c>
      <c r="F872" s="225"/>
    </row>
    <row r="873" customFormat="false" ht="14.25" hidden="false" customHeight="false" outlineLevel="0" collapsed="false">
      <c r="A873" s="0" t="n">
        <v>1143991760</v>
      </c>
      <c r="B873" s="0" t="s">
        <v>5014</v>
      </c>
      <c r="C873" s="0" t="n">
        <v>0.409409435195509</v>
      </c>
      <c r="D873" s="0" t="n">
        <v>27545</v>
      </c>
      <c r="E873" s="0" t="s">
        <v>4137</v>
      </c>
      <c r="F873" s="225"/>
    </row>
    <row r="874" customFormat="false" ht="14.25" hidden="false" customHeight="false" outlineLevel="0" collapsed="false">
      <c r="A874" s="0" t="n">
        <v>1033654195</v>
      </c>
      <c r="B874" s="0" t="s">
        <v>5015</v>
      </c>
      <c r="C874" s="0" t="n">
        <v>0.32496143683287</v>
      </c>
      <c r="D874" s="0" t="n">
        <v>480801.58</v>
      </c>
      <c r="E874" s="0" t="s">
        <v>4137</v>
      </c>
      <c r="F874" s="225"/>
    </row>
    <row r="875" customFormat="false" ht="14.25" hidden="false" customHeight="false" outlineLevel="0" collapsed="false">
      <c r="A875" s="0" t="n">
        <v>1151968713</v>
      </c>
      <c r="B875" s="0" t="s">
        <v>5016</v>
      </c>
      <c r="C875" s="0" t="n">
        <v>0.140919951754905</v>
      </c>
      <c r="D875" s="0" t="n">
        <v>1195953.08</v>
      </c>
      <c r="E875" s="0" t="s">
        <v>4137</v>
      </c>
      <c r="F875" s="225"/>
    </row>
    <row r="876" customFormat="false" ht="14.25" hidden="false" customHeight="false" outlineLevel="0" collapsed="false">
      <c r="A876" s="0" t="n">
        <v>1010058542</v>
      </c>
      <c r="B876" s="0" t="s">
        <v>5017</v>
      </c>
      <c r="C876" s="0" t="n">
        <v>0.105369848565159</v>
      </c>
      <c r="D876" s="0" t="n">
        <v>1213485.18</v>
      </c>
      <c r="E876" s="0" t="s">
        <v>4137</v>
      </c>
      <c r="F876" s="225"/>
    </row>
    <row r="877" customFormat="false" ht="14.25" hidden="false" customHeight="false" outlineLevel="0" collapsed="false">
      <c r="A877" s="0" t="n">
        <v>1130589667</v>
      </c>
      <c r="B877" s="0" t="s">
        <v>5018</v>
      </c>
      <c r="C877" s="0" t="n">
        <v>0.483701155198393</v>
      </c>
      <c r="D877" s="0" t="n">
        <v>-126829</v>
      </c>
      <c r="E877" s="0" t="s">
        <v>4137</v>
      </c>
      <c r="F877" s="225"/>
    </row>
    <row r="878" customFormat="false" ht="14.25" hidden="false" customHeight="false" outlineLevel="0" collapsed="false">
      <c r="A878" s="0" t="n">
        <v>34319217</v>
      </c>
      <c r="B878" s="0" t="s">
        <v>5019</v>
      </c>
      <c r="C878" s="0" t="n">
        <v>0.343306755217484</v>
      </c>
      <c r="D878" s="0" t="n">
        <v>794496</v>
      </c>
      <c r="E878" s="0" t="s">
        <v>4137</v>
      </c>
      <c r="F878" s="225"/>
    </row>
    <row r="879" customFormat="false" ht="14.25" hidden="false" customHeight="false" outlineLevel="0" collapsed="false">
      <c r="A879" s="0" t="n">
        <v>1144066909</v>
      </c>
      <c r="B879" s="0" t="s">
        <v>5020</v>
      </c>
      <c r="C879" s="0" t="n">
        <v>0.365801692916111</v>
      </c>
      <c r="D879" s="0" t="n">
        <v>271705.02</v>
      </c>
      <c r="E879" s="0" t="s">
        <v>4137</v>
      </c>
      <c r="F879" s="225"/>
    </row>
    <row r="880" customFormat="false" ht="14.25" hidden="false" customHeight="false" outlineLevel="0" collapsed="false">
      <c r="A880" s="0" t="n">
        <v>1130601788</v>
      </c>
      <c r="B880" s="0" t="s">
        <v>5021</v>
      </c>
      <c r="C880" s="0" t="n">
        <v>0.180350911872012</v>
      </c>
      <c r="D880" s="0" t="n">
        <v>1092746.48</v>
      </c>
      <c r="E880" s="0" t="s">
        <v>4137</v>
      </c>
      <c r="F880" s="225"/>
    </row>
    <row r="881" customFormat="false" ht="14.25" hidden="false" customHeight="false" outlineLevel="0" collapsed="false">
      <c r="A881" s="0" t="n">
        <v>13070516</v>
      </c>
      <c r="B881" s="0" t="s">
        <v>5022</v>
      </c>
      <c r="C881" s="0" t="n">
        <v>0.0827198387048589</v>
      </c>
      <c r="D881" s="0" t="n">
        <v>1102637.54</v>
      </c>
      <c r="E881" s="0" t="s">
        <v>4137</v>
      </c>
      <c r="F881" s="225"/>
    </row>
    <row r="882" customFormat="false" ht="14.25" hidden="false" customHeight="false" outlineLevel="0" collapsed="false">
      <c r="A882" s="0" t="n">
        <v>1113515582</v>
      </c>
      <c r="B882" s="0" t="s">
        <v>5023</v>
      </c>
      <c r="C882" s="0" t="n">
        <v>0.297829710829711</v>
      </c>
      <c r="D882" s="0" t="n">
        <v>646403</v>
      </c>
      <c r="E882" s="0" t="s">
        <v>4137</v>
      </c>
      <c r="F882" s="225"/>
    </row>
    <row r="883" customFormat="false" ht="14.25" hidden="false" customHeight="false" outlineLevel="0" collapsed="false">
      <c r="A883" s="0" t="n">
        <v>1130624354</v>
      </c>
      <c r="B883" s="0" t="s">
        <v>5024</v>
      </c>
      <c r="C883" s="0" t="n">
        <v>0.104687649756966</v>
      </c>
      <c r="D883" s="0" t="n">
        <v>1842307</v>
      </c>
      <c r="E883" s="0" t="s">
        <v>4137</v>
      </c>
      <c r="F883" s="225"/>
    </row>
    <row r="884" customFormat="false" ht="14.25" hidden="false" customHeight="false" outlineLevel="0" collapsed="false">
      <c r="A884" s="0" t="n">
        <v>45556004</v>
      </c>
      <c r="B884" s="0" t="s">
        <v>5025</v>
      </c>
      <c r="C884" s="0" t="n">
        <v>0.254345176969946</v>
      </c>
      <c r="D884" s="0" t="n">
        <v>967888</v>
      </c>
      <c r="E884" s="0" t="s">
        <v>4137</v>
      </c>
      <c r="F884" s="225"/>
    </row>
    <row r="885" customFormat="false" ht="14.25" hidden="false" customHeight="false" outlineLevel="0" collapsed="false">
      <c r="A885" s="0" t="n">
        <v>45558893</v>
      </c>
      <c r="B885" s="0" t="s">
        <v>5026</v>
      </c>
      <c r="C885" s="0" t="n">
        <v>0.250758339896233</v>
      </c>
      <c r="D885" s="0" t="n">
        <v>1132793.44</v>
      </c>
      <c r="E885" s="0" t="s">
        <v>4137</v>
      </c>
      <c r="F885" s="225"/>
    </row>
    <row r="886" customFormat="false" ht="14.25" hidden="false" customHeight="false" outlineLevel="0" collapsed="false">
      <c r="A886" s="0" t="n">
        <v>1006170029</v>
      </c>
      <c r="B886" s="0" t="s">
        <v>5027</v>
      </c>
      <c r="C886" s="0" t="n">
        <v>0.213280502392345</v>
      </c>
      <c r="D886" s="0" t="n">
        <v>483889</v>
      </c>
      <c r="E886" s="0" t="s">
        <v>4137</v>
      </c>
      <c r="F886" s="225"/>
    </row>
    <row r="887" customFormat="false" ht="14.25" hidden="false" customHeight="false" outlineLevel="0" collapsed="false">
      <c r="A887" s="0" t="n">
        <v>29705663</v>
      </c>
      <c r="B887" s="0" t="s">
        <v>5028</v>
      </c>
      <c r="C887" s="0" t="n">
        <v>0.285402201241303</v>
      </c>
      <c r="D887" s="0" t="n">
        <v>1230378.04</v>
      </c>
      <c r="E887" s="0" t="s">
        <v>4137</v>
      </c>
      <c r="F887" s="225"/>
    </row>
    <row r="888" customFormat="false" ht="14.25" hidden="false" customHeight="false" outlineLevel="0" collapsed="false">
      <c r="A888" s="0" t="n">
        <v>71738242</v>
      </c>
      <c r="B888" s="0" t="s">
        <v>5029</v>
      </c>
      <c r="C888" s="0" t="n">
        <v>0.438145092715989</v>
      </c>
      <c r="D888" s="0" t="n">
        <v>-586825</v>
      </c>
      <c r="E888" s="0" t="s">
        <v>4137</v>
      </c>
      <c r="F888" s="225"/>
    </row>
    <row r="889" customFormat="false" ht="14.25" hidden="false" customHeight="false" outlineLevel="0" collapsed="false">
      <c r="A889" s="0" t="n">
        <v>1053796916</v>
      </c>
      <c r="B889" s="0" t="s">
        <v>5030</v>
      </c>
      <c r="C889" s="0" t="n">
        <v>0.120999780606301</v>
      </c>
      <c r="D889" s="0" t="n">
        <v>1954778.02</v>
      </c>
      <c r="E889" s="0" t="s">
        <v>4137</v>
      </c>
      <c r="F889" s="225"/>
    </row>
    <row r="890" customFormat="false" ht="14.25" hidden="false" customHeight="false" outlineLevel="0" collapsed="false">
      <c r="A890" s="0" t="n">
        <v>1144104785</v>
      </c>
      <c r="B890" s="0" t="s">
        <v>5031</v>
      </c>
      <c r="C890" s="0" t="n">
        <v>0.322932138518731</v>
      </c>
      <c r="D890" s="0" t="n">
        <v>265026</v>
      </c>
      <c r="E890" s="0" t="s">
        <v>4137</v>
      </c>
      <c r="F890" s="225"/>
    </row>
    <row r="891" customFormat="false" ht="14.25" hidden="false" customHeight="false" outlineLevel="0" collapsed="false">
      <c r="A891" s="0" t="n">
        <v>67039923</v>
      </c>
      <c r="B891" s="0" t="s">
        <v>5032</v>
      </c>
      <c r="C891" s="0" t="n">
        <v>0.392502284314375</v>
      </c>
      <c r="D891" s="0" t="n">
        <v>207649</v>
      </c>
      <c r="E891" s="0" t="s">
        <v>4137</v>
      </c>
      <c r="F891" s="225"/>
    </row>
    <row r="892" customFormat="false" ht="14.25" hidden="false" customHeight="false" outlineLevel="0" collapsed="false">
      <c r="A892" s="0" t="n">
        <v>1151953084</v>
      </c>
      <c r="B892" s="0" t="s">
        <v>5033</v>
      </c>
      <c r="C892" s="0" t="n">
        <v>0.197955115399328</v>
      </c>
      <c r="D892" s="0" t="n">
        <v>1044810</v>
      </c>
      <c r="E892" s="0" t="s">
        <v>4137</v>
      </c>
      <c r="F892" s="225"/>
    </row>
    <row r="893" customFormat="false" ht="14.25" hidden="false" customHeight="false" outlineLevel="0" collapsed="false">
      <c r="A893" s="0" t="n">
        <v>1107083078</v>
      </c>
      <c r="B893" s="0" t="s">
        <v>5034</v>
      </c>
      <c r="C893" s="0" t="n">
        <v>0.198199083758164</v>
      </c>
      <c r="D893" s="0" t="n">
        <v>658126.2</v>
      </c>
      <c r="E893" s="0" t="s">
        <v>4137</v>
      </c>
      <c r="F893" s="225"/>
    </row>
    <row r="894" customFormat="false" ht="14.25" hidden="false" customHeight="false" outlineLevel="0" collapsed="false">
      <c r="A894" s="0" t="n">
        <v>1112472484</v>
      </c>
      <c r="B894" s="0" t="s">
        <v>5035</v>
      </c>
      <c r="C894" s="0" t="n">
        <v>0.388902842912867</v>
      </c>
      <c r="D894" s="0" t="n">
        <v>122735</v>
      </c>
      <c r="E894" s="0" t="s">
        <v>4378</v>
      </c>
      <c r="F894" s="225"/>
    </row>
    <row r="895" customFormat="false" ht="14.25" hidden="false" customHeight="false" outlineLevel="0" collapsed="false">
      <c r="A895" s="0" t="n">
        <v>1113308797</v>
      </c>
      <c r="B895" s="0" t="s">
        <v>5036</v>
      </c>
      <c r="C895" s="0" t="n">
        <v>0.141249312381314</v>
      </c>
      <c r="D895" s="0" t="n">
        <v>1120891.08</v>
      </c>
      <c r="E895" s="0" t="s">
        <v>4137</v>
      </c>
      <c r="F895" s="225"/>
    </row>
    <row r="896" customFormat="false" ht="14.25" hidden="false" customHeight="false" outlineLevel="0" collapsed="false">
      <c r="A896" s="0" t="n">
        <v>1107523849</v>
      </c>
      <c r="B896" s="0" t="s">
        <v>5037</v>
      </c>
      <c r="C896" s="0" t="n">
        <v>0.392935218156839</v>
      </c>
      <c r="D896" s="0" t="n">
        <v>109689.88</v>
      </c>
      <c r="E896" s="0" t="s">
        <v>4137</v>
      </c>
      <c r="F896" s="225"/>
    </row>
    <row r="897" customFormat="false" ht="14.25" hidden="false" customHeight="false" outlineLevel="0" collapsed="false">
      <c r="A897" s="0" t="n">
        <v>1151936475</v>
      </c>
      <c r="B897" s="0" t="s">
        <v>5038</v>
      </c>
      <c r="C897" s="0" t="n">
        <v>0.182980717395812</v>
      </c>
      <c r="D897" s="0" t="n">
        <v>571572</v>
      </c>
      <c r="E897" s="0" t="s">
        <v>4137</v>
      </c>
      <c r="F897" s="225"/>
    </row>
    <row r="898" customFormat="false" ht="14.25" hidden="false" customHeight="false" outlineLevel="0" collapsed="false">
      <c r="A898" s="0" t="n">
        <v>1004342204</v>
      </c>
      <c r="B898" s="0" t="s">
        <v>5039</v>
      </c>
      <c r="C898" s="0" t="n">
        <v>0.529805417960325</v>
      </c>
      <c r="D898" s="0" t="n">
        <v>-419178</v>
      </c>
      <c r="E898" s="0" t="s">
        <v>4137</v>
      </c>
      <c r="F898" s="225"/>
    </row>
    <row r="899" customFormat="false" ht="14.25" hidden="false" customHeight="false" outlineLevel="0" collapsed="false">
      <c r="A899" s="0" t="n">
        <v>1112107715</v>
      </c>
      <c r="B899" s="0" t="s">
        <v>5040</v>
      </c>
      <c r="C899" s="0" t="n">
        <v>0.205922949748164</v>
      </c>
      <c r="D899" s="0" t="n">
        <v>556793</v>
      </c>
      <c r="E899" s="0" t="s">
        <v>4137</v>
      </c>
      <c r="F899" s="225"/>
    </row>
    <row r="900" customFormat="false" ht="14.25" hidden="false" customHeight="false" outlineLevel="0" collapsed="false">
      <c r="A900" s="0" t="n">
        <v>1151965024</v>
      </c>
      <c r="B900" s="0" t="s">
        <v>5041</v>
      </c>
      <c r="C900" s="0" t="n">
        <v>0.257800598724342</v>
      </c>
      <c r="D900" s="0" t="n">
        <v>492764.16</v>
      </c>
      <c r="E900" s="0" t="s">
        <v>4137</v>
      </c>
      <c r="F900" s="225"/>
    </row>
    <row r="901" customFormat="false" ht="14.25" hidden="false" customHeight="false" outlineLevel="0" collapsed="false">
      <c r="A901" s="0" t="n">
        <v>1143844512</v>
      </c>
      <c r="B901" s="0" t="s">
        <v>5042</v>
      </c>
      <c r="C901" s="0" t="n">
        <v>0.195462956405424</v>
      </c>
      <c r="D901" s="0" t="n">
        <v>702787.1</v>
      </c>
      <c r="E901" s="0" t="s">
        <v>4137</v>
      </c>
      <c r="F901" s="225"/>
    </row>
    <row r="902" customFormat="false" ht="14.25" hidden="false" customHeight="false" outlineLevel="0" collapsed="false">
      <c r="A902" s="0" t="n">
        <v>1053830288</v>
      </c>
      <c r="B902" s="0" t="s">
        <v>5043</v>
      </c>
      <c r="C902" s="0" t="n">
        <v>0.360418822929846</v>
      </c>
      <c r="D902" s="0" t="n">
        <v>397339.74</v>
      </c>
      <c r="E902" s="0" t="s">
        <v>4137</v>
      </c>
      <c r="F902" s="225"/>
    </row>
    <row r="903" customFormat="false" ht="14.25" hidden="false" customHeight="false" outlineLevel="0" collapsed="false">
      <c r="A903" s="0" t="n">
        <v>1067945423</v>
      </c>
      <c r="B903" s="0" t="s">
        <v>5044</v>
      </c>
      <c r="C903" s="0" t="n">
        <v>0.362431953632478</v>
      </c>
      <c r="D903" s="0" t="n">
        <v>368826</v>
      </c>
      <c r="E903" s="0" t="s">
        <v>4137</v>
      </c>
      <c r="F903" s="225"/>
    </row>
    <row r="904" customFormat="false" ht="14.25" hidden="false" customHeight="false" outlineLevel="0" collapsed="false">
      <c r="A904" s="0" t="n">
        <v>31532035</v>
      </c>
      <c r="B904" s="0" t="s">
        <v>5045</v>
      </c>
      <c r="C904" s="0" t="n">
        <v>0.219825799405872</v>
      </c>
      <c r="D904" s="0" t="n">
        <v>1240049.28</v>
      </c>
      <c r="E904" s="0" t="s">
        <v>4137</v>
      </c>
      <c r="F904" s="225"/>
    </row>
    <row r="905" customFormat="false" ht="14.25" hidden="false" customHeight="false" outlineLevel="0" collapsed="false">
      <c r="A905" s="0" t="n">
        <v>1144131694</v>
      </c>
      <c r="B905" s="0" t="s">
        <v>5046</v>
      </c>
      <c r="C905" s="0" t="n">
        <v>0.387874766742691</v>
      </c>
      <c r="D905" s="0" t="n">
        <v>92964</v>
      </c>
      <c r="E905" s="0" t="s">
        <v>4137</v>
      </c>
      <c r="F905" s="225"/>
    </row>
    <row r="906" customFormat="false" ht="14.25" hidden="false" customHeight="false" outlineLevel="0" collapsed="false">
      <c r="A906" s="0" t="n">
        <v>67028441</v>
      </c>
      <c r="B906" s="0" t="s">
        <v>5047</v>
      </c>
      <c r="C906" s="0" t="n">
        <v>0.302475493781044</v>
      </c>
      <c r="D906" s="0" t="n">
        <v>358091.02</v>
      </c>
      <c r="E906" s="0" t="s">
        <v>4137</v>
      </c>
      <c r="F906" s="225"/>
    </row>
    <row r="907" customFormat="false" ht="14.25" hidden="false" customHeight="false" outlineLevel="0" collapsed="false">
      <c r="A907" s="0" t="n">
        <v>1144188314</v>
      </c>
      <c r="B907" s="0" t="s">
        <v>5048</v>
      </c>
      <c r="C907" s="0" t="n">
        <v>0.417596478895601</v>
      </c>
      <c r="D907" s="0" t="n">
        <v>10032.3333333333</v>
      </c>
      <c r="E907" s="0" t="s">
        <v>4137</v>
      </c>
      <c r="F907" s="225"/>
    </row>
    <row r="908" customFormat="false" ht="14.25" hidden="false" customHeight="false" outlineLevel="0" collapsed="false">
      <c r="A908" s="0" t="n">
        <v>66859571</v>
      </c>
      <c r="B908" s="0" t="s">
        <v>5049</v>
      </c>
      <c r="C908" s="0" t="n">
        <v>0.35769079933869</v>
      </c>
      <c r="D908" s="0" t="n">
        <v>162060</v>
      </c>
      <c r="E908" s="0" t="s">
        <v>4137</v>
      </c>
      <c r="F908" s="225"/>
    </row>
    <row r="909" customFormat="false" ht="14.25" hidden="false" customHeight="false" outlineLevel="0" collapsed="false">
      <c r="A909" s="0" t="n">
        <v>1143964209</v>
      </c>
      <c r="B909" s="0" t="s">
        <v>5050</v>
      </c>
      <c r="C909" s="0" t="n">
        <v>0.123102461074837</v>
      </c>
      <c r="D909" s="0" t="n">
        <v>591123</v>
      </c>
      <c r="E909" s="0" t="s">
        <v>4137</v>
      </c>
      <c r="F909" s="225"/>
    </row>
    <row r="910" customFormat="false" ht="14.25" hidden="false" customHeight="false" outlineLevel="0" collapsed="false">
      <c r="A910" s="0" t="n">
        <v>1006537246</v>
      </c>
      <c r="B910" s="0" t="s">
        <v>5051</v>
      </c>
      <c r="C910" s="0" t="n">
        <v>0.116345725660054</v>
      </c>
      <c r="D910" s="0" t="n">
        <v>1057382.08</v>
      </c>
      <c r="E910" s="0" t="s">
        <v>4147</v>
      </c>
      <c r="F910" s="225"/>
    </row>
    <row r="911" customFormat="false" ht="14.25" hidden="false" customHeight="false" outlineLevel="0" collapsed="false">
      <c r="A911" s="0" t="n">
        <v>1151963823</v>
      </c>
      <c r="B911" s="0" t="s">
        <v>5052</v>
      </c>
      <c r="C911" s="0" t="n">
        <v>0.26978592153318</v>
      </c>
      <c r="D911" s="0" t="n">
        <v>633376.36</v>
      </c>
      <c r="E911" s="0" t="s">
        <v>4137</v>
      </c>
      <c r="F911" s="225"/>
    </row>
    <row r="912" customFormat="false" ht="14.25" hidden="false" customHeight="false" outlineLevel="0" collapsed="false">
      <c r="A912" s="0" t="n">
        <v>1118308415</v>
      </c>
      <c r="B912" s="0" t="s">
        <v>5053</v>
      </c>
      <c r="C912" s="0" t="n">
        <v>0.117726621643636</v>
      </c>
      <c r="D912" s="0" t="n">
        <v>1170221.56</v>
      </c>
      <c r="E912" s="0" t="s">
        <v>4137</v>
      </c>
      <c r="F912" s="225"/>
    </row>
    <row r="913" customFormat="false" ht="14.25" hidden="false" customHeight="false" outlineLevel="0" collapsed="false">
      <c r="A913" s="0" t="n">
        <v>1130617415</v>
      </c>
      <c r="B913" s="0" t="s">
        <v>5054</v>
      </c>
      <c r="C913" s="0" t="n">
        <v>0.331885172974375</v>
      </c>
      <c r="D913" s="0" t="n">
        <v>178630.46</v>
      </c>
      <c r="E913" s="0" t="s">
        <v>4137</v>
      </c>
      <c r="F913" s="225"/>
    </row>
    <row r="914" customFormat="false" ht="14.25" hidden="false" customHeight="false" outlineLevel="0" collapsed="false">
      <c r="A914" s="0" t="n">
        <v>1144139928</v>
      </c>
      <c r="B914" s="0" t="s">
        <v>5055</v>
      </c>
      <c r="C914" s="0" t="n">
        <v>0.186324663094698</v>
      </c>
      <c r="D914" s="0" t="n">
        <v>771466.74</v>
      </c>
      <c r="E914" s="0" t="s">
        <v>4137</v>
      </c>
      <c r="F914" s="225"/>
    </row>
    <row r="915" customFormat="false" ht="14.25" hidden="false" customHeight="false" outlineLevel="0" collapsed="false">
      <c r="A915" s="0" t="n">
        <v>1112104835</v>
      </c>
      <c r="B915" s="0" t="s">
        <v>5056</v>
      </c>
      <c r="C915" s="0" t="n">
        <v>0.397336998731208</v>
      </c>
      <c r="D915" s="0" t="n">
        <v>84206</v>
      </c>
      <c r="E915" s="0" t="s">
        <v>4137</v>
      </c>
      <c r="F915" s="225"/>
    </row>
    <row r="916" customFormat="false" ht="14.25" hidden="false" customHeight="false" outlineLevel="0" collapsed="false">
      <c r="A916" s="0" t="n">
        <v>1112620305</v>
      </c>
      <c r="B916" s="0" t="s">
        <v>5057</v>
      </c>
      <c r="C916" s="0" t="n">
        <v>0.326005830964656</v>
      </c>
      <c r="D916" s="0" t="n">
        <v>540272.28</v>
      </c>
      <c r="E916" s="0" t="s">
        <v>4137</v>
      </c>
      <c r="F916" s="225"/>
    </row>
    <row r="917" customFormat="false" ht="14.25" hidden="false" customHeight="false" outlineLevel="0" collapsed="false">
      <c r="A917" s="0" t="n">
        <v>1113539552</v>
      </c>
      <c r="B917" s="0" t="s">
        <v>5058</v>
      </c>
      <c r="C917" s="0" t="n">
        <v>0.239845410009087</v>
      </c>
      <c r="D917" s="0" t="n">
        <v>697450.84</v>
      </c>
      <c r="E917" s="0" t="s">
        <v>4137</v>
      </c>
      <c r="F917" s="225"/>
    </row>
    <row r="918" customFormat="false" ht="14.25" hidden="false" customHeight="false" outlineLevel="0" collapsed="false">
      <c r="A918" s="0" t="n">
        <v>1114832698</v>
      </c>
      <c r="B918" s="0" t="s">
        <v>5059</v>
      </c>
      <c r="C918" s="0" t="n">
        <v>0.241149854785011</v>
      </c>
      <c r="D918" s="0" t="n">
        <v>1252314.44</v>
      </c>
      <c r="E918" s="0" t="s">
        <v>4137</v>
      </c>
      <c r="F918" s="225"/>
    </row>
    <row r="919" customFormat="false" ht="14.25" hidden="false" customHeight="false" outlineLevel="0" collapsed="false">
      <c r="A919" s="0" t="n">
        <v>1144169886</v>
      </c>
      <c r="B919" s="0" t="s">
        <v>5060</v>
      </c>
      <c r="C919" s="0" t="n">
        <v>0.451179137146135</v>
      </c>
      <c r="D919" s="0" t="n">
        <v>-101414.28</v>
      </c>
      <c r="E919" s="0" t="s">
        <v>4137</v>
      </c>
      <c r="F919" s="225"/>
    </row>
    <row r="920" customFormat="false" ht="14.25" hidden="false" customHeight="false" outlineLevel="0" collapsed="false">
      <c r="A920" s="0" t="n">
        <v>1144175696</v>
      </c>
      <c r="B920" s="0" t="s">
        <v>5061</v>
      </c>
      <c r="C920" s="0" t="n">
        <v>0.249389442116191</v>
      </c>
      <c r="D920" s="0" t="n">
        <v>443741</v>
      </c>
      <c r="E920" s="0" t="s">
        <v>4137</v>
      </c>
      <c r="F920" s="225"/>
    </row>
    <row r="921" customFormat="false" ht="14.25" hidden="false" customHeight="false" outlineLevel="0" collapsed="false">
      <c r="A921" s="0" t="n">
        <v>1004063412</v>
      </c>
      <c r="B921" s="0" t="s">
        <v>5062</v>
      </c>
      <c r="C921" s="0" t="n">
        <v>0.303857557536803</v>
      </c>
      <c r="D921" s="0" t="n">
        <v>336093</v>
      </c>
      <c r="E921" s="0" t="s">
        <v>4137</v>
      </c>
      <c r="F921" s="225"/>
    </row>
    <row r="922" customFormat="false" ht="14.25" hidden="false" customHeight="false" outlineLevel="0" collapsed="false">
      <c r="A922" s="0" t="n">
        <v>1006217412</v>
      </c>
      <c r="B922" s="0" t="s">
        <v>5063</v>
      </c>
      <c r="C922" s="0" t="n">
        <v>0.104708147124562</v>
      </c>
      <c r="D922" s="0" t="n">
        <v>1291430.7</v>
      </c>
      <c r="E922" s="0" t="s">
        <v>4137</v>
      </c>
      <c r="F922" s="225"/>
    </row>
    <row r="923" customFormat="false" ht="14.25" hidden="false" customHeight="false" outlineLevel="0" collapsed="false">
      <c r="A923" s="0" t="n">
        <v>1144179414</v>
      </c>
      <c r="B923" s="0" t="s">
        <v>5064</v>
      </c>
      <c r="C923" s="0" t="n">
        <v>0.377030836591087</v>
      </c>
      <c r="D923" s="0" t="n">
        <v>196277</v>
      </c>
      <c r="E923" s="0" t="s">
        <v>4147</v>
      </c>
      <c r="F923" s="225"/>
    </row>
    <row r="924" customFormat="false" ht="14.25" hidden="false" customHeight="false" outlineLevel="0" collapsed="false">
      <c r="A924" s="0" t="n">
        <v>1143996665</v>
      </c>
      <c r="B924" s="0" t="s">
        <v>5065</v>
      </c>
      <c r="C924" s="0" t="n">
        <v>0.212891842367322</v>
      </c>
      <c r="D924" s="0" t="n">
        <v>773882.62</v>
      </c>
      <c r="E924" s="0" t="s">
        <v>4137</v>
      </c>
      <c r="F924" s="225"/>
    </row>
    <row r="925" customFormat="false" ht="14.25" hidden="false" customHeight="false" outlineLevel="0" collapsed="false">
      <c r="A925" s="0" t="n">
        <v>1118308441</v>
      </c>
      <c r="B925" s="0" t="s">
        <v>5066</v>
      </c>
      <c r="C925" s="0" t="s">
        <v>4266</v>
      </c>
      <c r="D925" s="0" t="n">
        <v>0</v>
      </c>
      <c r="E925" s="0" t="s">
        <v>4511</v>
      </c>
      <c r="F925" s="225"/>
    </row>
    <row r="926" customFormat="false" ht="14.25" hidden="false" customHeight="false" outlineLevel="0" collapsed="false">
      <c r="A926" s="0" t="n">
        <v>1143978965</v>
      </c>
      <c r="B926" s="0" t="s">
        <v>5067</v>
      </c>
      <c r="C926" s="0" t="n">
        <v>0.371503213767365</v>
      </c>
      <c r="D926" s="0" t="n">
        <v>140340</v>
      </c>
      <c r="E926" s="0" t="s">
        <v>4378</v>
      </c>
      <c r="F926" s="225"/>
    </row>
    <row r="927" customFormat="false" ht="14.25" hidden="false" customHeight="false" outlineLevel="0" collapsed="false">
      <c r="A927" s="0" t="n">
        <v>1143967386</v>
      </c>
      <c r="B927" s="0" t="s">
        <v>5068</v>
      </c>
      <c r="C927" s="0" t="n">
        <v>0.201832959559438</v>
      </c>
      <c r="D927" s="0" t="n">
        <v>617800.48</v>
      </c>
      <c r="E927" s="0" t="s">
        <v>4137</v>
      </c>
      <c r="F927" s="225"/>
    </row>
    <row r="928" customFormat="false" ht="14.25" hidden="false" customHeight="false" outlineLevel="0" collapsed="false">
      <c r="A928" s="0" t="n">
        <v>1006344358</v>
      </c>
      <c r="B928" s="0" t="s">
        <v>5069</v>
      </c>
      <c r="C928" s="0" t="n">
        <v>0.218928559084086</v>
      </c>
      <c r="D928" s="0" t="n">
        <v>399452.68</v>
      </c>
      <c r="E928" s="0" t="s">
        <v>4137</v>
      </c>
      <c r="F928" s="225"/>
    </row>
    <row r="929" customFormat="false" ht="14.25" hidden="false" customHeight="false" outlineLevel="0" collapsed="false">
      <c r="A929" s="0" t="n">
        <v>1144157995</v>
      </c>
      <c r="B929" s="0" t="s">
        <v>5070</v>
      </c>
      <c r="C929" s="0" t="n">
        <v>0.295314692777674</v>
      </c>
      <c r="D929" s="0" t="n">
        <v>467333</v>
      </c>
      <c r="E929" s="0" t="s">
        <v>4137</v>
      </c>
      <c r="F929" s="225"/>
    </row>
    <row r="930" customFormat="false" ht="14.25" hidden="false" customHeight="false" outlineLevel="0" collapsed="false">
      <c r="A930" s="0" t="n">
        <v>1144169695</v>
      </c>
      <c r="B930" s="0" t="s">
        <v>5071</v>
      </c>
      <c r="C930" s="0" t="n">
        <v>0.361564225521934</v>
      </c>
      <c r="D930" s="0" t="n">
        <v>195023.32</v>
      </c>
      <c r="E930" s="0" t="s">
        <v>4137</v>
      </c>
      <c r="F930" s="225"/>
    </row>
    <row r="931" customFormat="false" ht="14.25" hidden="false" customHeight="false" outlineLevel="0" collapsed="false">
      <c r="A931" s="0" t="n">
        <v>1130641716</v>
      </c>
      <c r="B931" s="0" t="s">
        <v>5072</v>
      </c>
      <c r="C931" s="0" t="n">
        <v>0.413177297840281</v>
      </c>
      <c r="D931" s="0" t="n">
        <v>13584</v>
      </c>
      <c r="E931" s="0" t="s">
        <v>4137</v>
      </c>
      <c r="F931" s="225"/>
    </row>
    <row r="932" customFormat="false" ht="14.25" hidden="false" customHeight="false" outlineLevel="0" collapsed="false">
      <c r="A932" s="0" t="n">
        <v>1143875698</v>
      </c>
      <c r="B932" s="0" t="s">
        <v>5073</v>
      </c>
      <c r="C932" s="0" t="n">
        <v>0.240688480144417</v>
      </c>
      <c r="D932" s="0" t="n">
        <v>530423.2</v>
      </c>
      <c r="E932" s="0" t="s">
        <v>4137</v>
      </c>
      <c r="F932" s="225"/>
    </row>
    <row r="933" customFormat="false" ht="14.25" hidden="false" customHeight="false" outlineLevel="0" collapsed="false">
      <c r="A933" s="0" t="n">
        <v>1116267571</v>
      </c>
      <c r="B933" s="0" t="s">
        <v>5074</v>
      </c>
      <c r="C933" s="0" t="n">
        <v>0.403098819340859</v>
      </c>
      <c r="D933" s="0" t="n">
        <v>72837.2999999998</v>
      </c>
      <c r="E933" s="0" t="s">
        <v>4137</v>
      </c>
      <c r="F933" s="225"/>
    </row>
    <row r="934" customFormat="false" ht="14.25" hidden="false" customHeight="false" outlineLevel="0" collapsed="false">
      <c r="A934" s="0" t="n">
        <v>1107090337</v>
      </c>
      <c r="B934" s="0" t="s">
        <v>5075</v>
      </c>
      <c r="C934" s="0" t="n">
        <v>0.345661117305548</v>
      </c>
      <c r="D934" s="0" t="n">
        <v>193348</v>
      </c>
      <c r="E934" s="0" t="s">
        <v>4137</v>
      </c>
      <c r="F934" s="225"/>
    </row>
    <row r="935" customFormat="false" ht="14.25" hidden="false" customHeight="false" outlineLevel="0" collapsed="false">
      <c r="A935" s="0" t="n">
        <v>1005975868</v>
      </c>
      <c r="B935" s="0" t="s">
        <v>5076</v>
      </c>
      <c r="C935" s="0" t="n">
        <v>0.21535800336003</v>
      </c>
      <c r="D935" s="0" t="n">
        <v>526339.42</v>
      </c>
      <c r="E935" s="0" t="s">
        <v>4326</v>
      </c>
      <c r="F935" s="225"/>
    </row>
    <row r="936" customFormat="false" ht="14.25" hidden="false" customHeight="false" outlineLevel="0" collapsed="false">
      <c r="A936" s="0" t="n">
        <v>1010134134</v>
      </c>
      <c r="B936" s="0" t="s">
        <v>5077</v>
      </c>
      <c r="C936" s="0" t="n">
        <v>0.192427693709736</v>
      </c>
      <c r="D936" s="0" t="n">
        <v>642932.88</v>
      </c>
      <c r="E936" s="0" t="s">
        <v>4147</v>
      </c>
      <c r="F936" s="225"/>
    </row>
    <row r="937" customFormat="false" ht="14.25" hidden="false" customHeight="false" outlineLevel="0" collapsed="false">
      <c r="A937" s="0" t="n">
        <v>1107526099</v>
      </c>
      <c r="B937" s="0" t="s">
        <v>5078</v>
      </c>
      <c r="C937" s="0" t="n">
        <v>0.133836661452798</v>
      </c>
      <c r="D937" s="0" t="n">
        <v>1363831.96</v>
      </c>
      <c r="E937" s="0" t="s">
        <v>4137</v>
      </c>
      <c r="F937" s="225"/>
    </row>
    <row r="938" customFormat="false" ht="14.25" hidden="false" customHeight="false" outlineLevel="0" collapsed="false">
      <c r="A938" s="0" t="n">
        <v>1192767362</v>
      </c>
      <c r="B938" s="0" t="s">
        <v>5079</v>
      </c>
      <c r="C938" s="0" t="n">
        <v>0.230605939090522</v>
      </c>
      <c r="D938" s="0" t="n">
        <v>499539.02</v>
      </c>
      <c r="E938" s="0" t="s">
        <v>4137</v>
      </c>
      <c r="F938" s="225"/>
    </row>
    <row r="939" customFormat="false" ht="14.25" hidden="false" customHeight="false" outlineLevel="0" collapsed="false">
      <c r="A939" s="0" t="n">
        <v>1143854954</v>
      </c>
      <c r="B939" s="0" t="s">
        <v>5080</v>
      </c>
      <c r="C939" s="0" t="n">
        <v>0.344646724003127</v>
      </c>
      <c r="D939" s="0" t="n">
        <v>344203</v>
      </c>
      <c r="E939" s="0" t="s">
        <v>4137</v>
      </c>
      <c r="F939" s="225"/>
    </row>
    <row r="940" customFormat="false" ht="14.25" hidden="false" customHeight="false" outlineLevel="0" collapsed="false">
      <c r="A940" s="0" t="n">
        <v>1107064750</v>
      </c>
      <c r="B940" s="0" t="s">
        <v>5081</v>
      </c>
      <c r="C940" s="0" t="n">
        <v>0.424118808622676</v>
      </c>
      <c r="D940" s="0" t="n">
        <v>-10012</v>
      </c>
      <c r="E940" s="0" t="s">
        <v>4137</v>
      </c>
      <c r="F940" s="225"/>
    </row>
    <row r="941" customFormat="false" ht="14.25" hidden="false" customHeight="false" outlineLevel="0" collapsed="false">
      <c r="A941" s="0" t="n">
        <v>1107531297</v>
      </c>
      <c r="B941" s="0" t="s">
        <v>5082</v>
      </c>
      <c r="C941" s="0" t="n">
        <v>0.322905533089272</v>
      </c>
      <c r="D941" s="0" t="n">
        <v>375179.04</v>
      </c>
      <c r="E941" s="0" t="s">
        <v>4137</v>
      </c>
      <c r="F941" s="225"/>
    </row>
    <row r="942" customFormat="false" ht="14.25" hidden="false" customHeight="false" outlineLevel="0" collapsed="false">
      <c r="A942" s="0" t="n">
        <v>1144153454</v>
      </c>
      <c r="B942" s="0" t="s">
        <v>5083</v>
      </c>
      <c r="C942" s="0" t="n">
        <v>0.317314788024214</v>
      </c>
      <c r="D942" s="0" t="n">
        <v>399495.14</v>
      </c>
      <c r="E942" s="0" t="s">
        <v>4137</v>
      </c>
      <c r="F942" s="225"/>
    </row>
    <row r="943" customFormat="false" ht="14.25" hidden="false" customHeight="false" outlineLevel="0" collapsed="false">
      <c r="A943" s="0" t="n">
        <v>1114728183</v>
      </c>
      <c r="B943" s="0" t="s">
        <v>5084</v>
      </c>
      <c r="C943" s="0" t="n">
        <v>0.427061962141664</v>
      </c>
      <c r="D943" s="0" t="n">
        <v>-21317.02</v>
      </c>
      <c r="E943" s="0" t="s">
        <v>4137</v>
      </c>
      <c r="F943" s="225"/>
    </row>
    <row r="944" customFormat="false" ht="14.25" hidden="false" customHeight="false" outlineLevel="0" collapsed="false">
      <c r="A944" s="0" t="n">
        <v>1130671780</v>
      </c>
      <c r="B944" s="0" t="s">
        <v>5085</v>
      </c>
      <c r="C944" s="0" t="n">
        <v>0.207989662573597</v>
      </c>
      <c r="D944" s="0" t="n">
        <v>733784.88</v>
      </c>
      <c r="E944" s="0" t="s">
        <v>4137</v>
      </c>
      <c r="F944" s="225"/>
    </row>
    <row r="945" customFormat="false" ht="14.25" hidden="false" customHeight="false" outlineLevel="0" collapsed="false">
      <c r="A945" s="0" t="n">
        <v>1005979495</v>
      </c>
      <c r="B945" s="0" t="s">
        <v>5086</v>
      </c>
      <c r="C945" s="0" t="n">
        <v>0.123977806220228</v>
      </c>
      <c r="D945" s="0" t="n">
        <v>1062439.54</v>
      </c>
      <c r="E945" s="0" t="s">
        <v>4137</v>
      </c>
      <c r="F945" s="225"/>
    </row>
    <row r="946" customFormat="false" ht="14.25" hidden="false" customHeight="false" outlineLevel="0" collapsed="false">
      <c r="A946" s="0" t="n">
        <v>1062300651</v>
      </c>
      <c r="B946" s="0" t="s">
        <v>5087</v>
      </c>
      <c r="C946" s="0" t="n">
        <v>0.139028612896537</v>
      </c>
      <c r="D946" s="0" t="n">
        <v>813075</v>
      </c>
      <c r="E946" s="0" t="s">
        <v>4137</v>
      </c>
      <c r="F946" s="225"/>
    </row>
    <row r="947" customFormat="false" ht="14.25" hidden="false" customHeight="false" outlineLevel="0" collapsed="false">
      <c r="A947" s="0" t="n">
        <v>1129583672</v>
      </c>
      <c r="B947" s="0" t="s">
        <v>5088</v>
      </c>
      <c r="C947" s="0" t="n">
        <v>0.365431017407954</v>
      </c>
      <c r="D947" s="0" t="n">
        <v>495912</v>
      </c>
      <c r="E947" s="0" t="s">
        <v>4137</v>
      </c>
      <c r="F947" s="225"/>
    </row>
    <row r="948" customFormat="false" ht="14.25" hidden="false" customHeight="false" outlineLevel="0" collapsed="false">
      <c r="A948" s="0" t="n">
        <v>1115949491</v>
      </c>
      <c r="B948" s="0" t="s">
        <v>5089</v>
      </c>
      <c r="C948" s="0" t="n">
        <v>0.388810346750785</v>
      </c>
      <c r="D948" s="0" t="n">
        <v>127157.666666667</v>
      </c>
      <c r="E948" s="0" t="s">
        <v>4137</v>
      </c>
      <c r="F948" s="225"/>
    </row>
    <row r="949" customFormat="false" ht="14.25" hidden="false" customHeight="false" outlineLevel="0" collapsed="false">
      <c r="A949" s="0" t="n">
        <v>1006433995</v>
      </c>
      <c r="B949" s="0" t="s">
        <v>5090</v>
      </c>
      <c r="C949" s="0" t="n">
        <v>0.17208389403668</v>
      </c>
      <c r="D949" s="0" t="n">
        <v>644805</v>
      </c>
      <c r="E949" s="0" t="s">
        <v>4137</v>
      </c>
      <c r="F949" s="225"/>
    </row>
    <row r="950" customFormat="false" ht="14.25" hidden="false" customHeight="false" outlineLevel="0" collapsed="false">
      <c r="A950" s="0" t="n">
        <v>1143997891</v>
      </c>
      <c r="B950" s="0" t="s">
        <v>5091</v>
      </c>
      <c r="C950" s="0" t="n">
        <v>0.329613226965384</v>
      </c>
      <c r="D950" s="0" t="n">
        <v>202173.88</v>
      </c>
      <c r="E950" s="0" t="s">
        <v>4137</v>
      </c>
      <c r="F950" s="225"/>
    </row>
    <row r="951" customFormat="false" ht="14.25" hidden="false" customHeight="false" outlineLevel="0" collapsed="false">
      <c r="A951" s="0" t="n">
        <v>1143931949</v>
      </c>
      <c r="B951" s="0" t="s">
        <v>5092</v>
      </c>
      <c r="C951" s="0" t="n">
        <v>0.596253895125346</v>
      </c>
      <c r="D951" s="0" t="n">
        <v>-441638.68</v>
      </c>
      <c r="E951" s="0" t="s">
        <v>4137</v>
      </c>
      <c r="F951" s="225"/>
    </row>
    <row r="952" customFormat="false" ht="14.25" hidden="false" customHeight="false" outlineLevel="0" collapsed="false">
      <c r="A952" s="0" t="n">
        <v>1002839789</v>
      </c>
      <c r="B952" s="0" t="s">
        <v>5093</v>
      </c>
      <c r="C952" s="0" t="n">
        <v>0.377360969507428</v>
      </c>
      <c r="D952" s="0" t="n">
        <v>194769</v>
      </c>
      <c r="E952" s="0" t="s">
        <v>4137</v>
      </c>
      <c r="F952" s="225"/>
    </row>
    <row r="953" customFormat="false" ht="14.25" hidden="false" customHeight="false" outlineLevel="0" collapsed="false">
      <c r="A953" s="0" t="n">
        <v>1072524175</v>
      </c>
      <c r="B953" s="0" t="s">
        <v>5094</v>
      </c>
      <c r="C953" s="0" t="n">
        <v>0.416606569874359</v>
      </c>
      <c r="D953" s="0" t="n">
        <v>22252.3399999999</v>
      </c>
      <c r="E953" s="0" t="s">
        <v>4137</v>
      </c>
      <c r="F953" s="225"/>
    </row>
    <row r="954" customFormat="false" ht="14.25" hidden="false" customHeight="false" outlineLevel="0" collapsed="false">
      <c r="A954" s="0" t="n">
        <v>1052981175</v>
      </c>
      <c r="B954" s="0" t="s">
        <v>5095</v>
      </c>
      <c r="C954" s="0" t="n">
        <v>0.250920632298715</v>
      </c>
      <c r="D954" s="0" t="n">
        <v>1165540.28</v>
      </c>
      <c r="E954" s="0" t="s">
        <v>4147</v>
      </c>
      <c r="F954" s="225"/>
    </row>
    <row r="955" customFormat="false" ht="14.25" hidden="false" customHeight="false" outlineLevel="0" collapsed="false">
      <c r="A955" s="0" t="n">
        <v>1144078618</v>
      </c>
      <c r="B955" s="0" t="s">
        <v>5096</v>
      </c>
      <c r="C955" s="0" t="n">
        <v>0.311827313798964</v>
      </c>
      <c r="D955" s="0" t="n">
        <v>313456.5</v>
      </c>
      <c r="E955" s="0" t="s">
        <v>4137</v>
      </c>
      <c r="F955" s="225"/>
    </row>
    <row r="956" customFormat="false" ht="14.25" hidden="false" customHeight="false" outlineLevel="0" collapsed="false">
      <c r="A956" s="0" t="n">
        <v>1144052978</v>
      </c>
      <c r="B956" s="0" t="s">
        <v>5097</v>
      </c>
      <c r="C956" s="0" t="n">
        <v>0.503495372844459</v>
      </c>
      <c r="D956" s="0" t="n">
        <v>-358981</v>
      </c>
      <c r="E956" s="0" t="s">
        <v>4137</v>
      </c>
      <c r="F956" s="225"/>
    </row>
    <row r="957" customFormat="false" ht="14.25" hidden="false" customHeight="false" outlineLevel="0" collapsed="false">
      <c r="A957" s="0" t="n">
        <v>31309662</v>
      </c>
      <c r="B957" s="0" t="s">
        <v>5098</v>
      </c>
      <c r="C957" s="0" t="n">
        <v>0.329688276864205</v>
      </c>
      <c r="D957" s="0" t="n">
        <v>234682.96</v>
      </c>
      <c r="E957" s="0" t="s">
        <v>4147</v>
      </c>
      <c r="F957" s="225"/>
    </row>
    <row r="958" customFormat="false" ht="14.25" hidden="false" customHeight="false" outlineLevel="0" collapsed="false">
      <c r="A958" s="0" t="n">
        <v>1130653364</v>
      </c>
      <c r="B958" s="0" t="s">
        <v>5099</v>
      </c>
      <c r="C958" s="0" t="n">
        <v>0.138695112180321</v>
      </c>
      <c r="D958" s="0" t="n">
        <v>1711253.96</v>
      </c>
      <c r="E958" s="0" t="s">
        <v>4137</v>
      </c>
      <c r="F958" s="225"/>
    </row>
    <row r="959" customFormat="false" ht="14.25" hidden="false" customHeight="false" outlineLevel="0" collapsed="false">
      <c r="A959" s="0" t="n">
        <v>1118302952</v>
      </c>
      <c r="B959" s="0" t="s">
        <v>5100</v>
      </c>
      <c r="C959" s="0" t="n">
        <v>0.23204121650198</v>
      </c>
      <c r="D959" s="0" t="n">
        <v>488862</v>
      </c>
      <c r="E959" s="0" t="s">
        <v>4147</v>
      </c>
      <c r="F959" s="225"/>
    </row>
    <row r="960" customFormat="false" ht="14.25" hidden="false" customHeight="false" outlineLevel="0" collapsed="false">
      <c r="A960" s="0" t="n">
        <v>1059906715</v>
      </c>
      <c r="B960" s="0" t="s">
        <v>5101</v>
      </c>
      <c r="C960" s="0" t="n">
        <v>0.296045905586616</v>
      </c>
      <c r="D960" s="0" t="n">
        <v>329056.72</v>
      </c>
      <c r="E960" s="0" t="s">
        <v>4137</v>
      </c>
      <c r="F960" s="225"/>
    </row>
    <row r="961" customFormat="false" ht="14.25" hidden="false" customHeight="false" outlineLevel="0" collapsed="false">
      <c r="A961" s="0" t="n">
        <v>1144075435</v>
      </c>
      <c r="B961" s="0" t="s">
        <v>5102</v>
      </c>
      <c r="C961" s="0" t="n">
        <v>0.323580511371405</v>
      </c>
      <c r="D961" s="0" t="n">
        <v>211554</v>
      </c>
      <c r="E961" s="0" t="s">
        <v>4137</v>
      </c>
      <c r="F961" s="225"/>
    </row>
    <row r="962" customFormat="false" ht="14.25" hidden="false" customHeight="false" outlineLevel="0" collapsed="false">
      <c r="A962" s="0" t="n">
        <v>94043124</v>
      </c>
      <c r="B962" s="0" t="s">
        <v>5103</v>
      </c>
      <c r="C962" s="0" t="n">
        <v>0.421841872607073</v>
      </c>
      <c r="D962" s="0" t="n">
        <v>-12350.0800000001</v>
      </c>
      <c r="E962" s="0" t="s">
        <v>4137</v>
      </c>
      <c r="F962" s="225"/>
    </row>
    <row r="963" customFormat="false" ht="14.25" hidden="false" customHeight="false" outlineLevel="0" collapsed="false">
      <c r="A963" s="0" t="n">
        <v>1144180163</v>
      </c>
      <c r="B963" s="0" t="s">
        <v>5104</v>
      </c>
      <c r="C963" s="0" t="n">
        <v>0.343544926756123</v>
      </c>
      <c r="D963" s="0" t="n">
        <v>198852</v>
      </c>
      <c r="E963" s="0" t="s">
        <v>4137</v>
      </c>
      <c r="F963" s="225"/>
    </row>
    <row r="964" customFormat="false" ht="14.25" hidden="false" customHeight="false" outlineLevel="0" collapsed="false">
      <c r="A964" s="0" t="n">
        <v>1144190402</v>
      </c>
      <c r="B964" s="0" t="s">
        <v>5105</v>
      </c>
      <c r="C964" s="0" t="n">
        <v>0.179500557499327</v>
      </c>
      <c r="D964" s="0" t="n">
        <v>625515</v>
      </c>
      <c r="E964" s="0" t="s">
        <v>4137</v>
      </c>
      <c r="F964" s="225"/>
    </row>
    <row r="965" customFormat="false" ht="14.25" hidden="false" customHeight="false" outlineLevel="0" collapsed="false">
      <c r="A965" s="0" t="n">
        <v>1005894749</v>
      </c>
      <c r="B965" s="0" t="s">
        <v>5106</v>
      </c>
      <c r="C965" s="0" t="n">
        <v>0.397117658774898</v>
      </c>
      <c r="D965" s="0" t="n">
        <v>84058.7</v>
      </c>
      <c r="E965" s="0" t="s">
        <v>4147</v>
      </c>
      <c r="F965" s="225"/>
    </row>
    <row r="966" customFormat="false" ht="14.25" hidden="false" customHeight="false" outlineLevel="0" collapsed="false">
      <c r="A966" s="0" t="n">
        <v>1144078356</v>
      </c>
      <c r="B966" s="0" t="s">
        <v>5107</v>
      </c>
      <c r="C966" s="0" t="n">
        <v>0.335905114356487</v>
      </c>
      <c r="D966" s="0" t="n">
        <v>621889.36</v>
      </c>
      <c r="E966" s="0" t="s">
        <v>4137</v>
      </c>
      <c r="F966" s="225"/>
    </row>
    <row r="967" customFormat="false" ht="14.25" hidden="false" customHeight="false" outlineLevel="0" collapsed="false">
      <c r="A967" s="0" t="n">
        <v>1107509818</v>
      </c>
      <c r="B967" s="0" t="s">
        <v>5108</v>
      </c>
      <c r="C967" s="0" t="n">
        <v>0.242661731819929</v>
      </c>
      <c r="D967" s="0" t="n">
        <v>692014.06</v>
      </c>
      <c r="E967" s="0" t="s">
        <v>4137</v>
      </c>
      <c r="F967" s="225"/>
    </row>
    <row r="968" customFormat="false" ht="14.25" hidden="false" customHeight="false" outlineLevel="0" collapsed="false">
      <c r="A968" s="0" t="n">
        <v>1193595791</v>
      </c>
      <c r="B968" s="0" t="s">
        <v>5109</v>
      </c>
      <c r="C968" s="0" t="n">
        <v>0.117622547358752</v>
      </c>
      <c r="D968" s="0" t="n">
        <v>1285138.04</v>
      </c>
      <c r="E968" s="0" t="s">
        <v>4137</v>
      </c>
      <c r="F968" s="225"/>
    </row>
    <row r="969" customFormat="false" ht="14.25" hidden="false" customHeight="false" outlineLevel="0" collapsed="false">
      <c r="A969" s="0" t="n">
        <v>1130598197</v>
      </c>
      <c r="B969" s="0" t="s">
        <v>5110</v>
      </c>
      <c r="C969" s="0" t="n">
        <v>0.191806606357287</v>
      </c>
      <c r="D969" s="0" t="n">
        <v>710589.74</v>
      </c>
      <c r="E969" s="0" t="s">
        <v>4137</v>
      </c>
      <c r="F969" s="225"/>
    </row>
    <row r="970" customFormat="false" ht="14.25" hidden="false" customHeight="false" outlineLevel="0" collapsed="false">
      <c r="A970" s="0" t="n">
        <v>1113516050</v>
      </c>
      <c r="B970" s="0" t="s">
        <v>5111</v>
      </c>
      <c r="C970" s="0" t="n">
        <v>0.276390453445229</v>
      </c>
      <c r="D970" s="0" t="n">
        <v>1229211.84</v>
      </c>
      <c r="E970" s="0" t="s">
        <v>4137</v>
      </c>
      <c r="F970" s="225"/>
    </row>
    <row r="971" customFormat="false" ht="14.25" hidden="false" customHeight="false" outlineLevel="0" collapsed="false">
      <c r="A971" s="0" t="n">
        <v>1143836520</v>
      </c>
      <c r="B971" s="0" t="s">
        <v>5112</v>
      </c>
      <c r="C971" s="0" t="n">
        <v>0.458545785389512</v>
      </c>
      <c r="D971" s="0" t="n">
        <v>-406391.98</v>
      </c>
      <c r="E971" s="0" t="s">
        <v>4137</v>
      </c>
      <c r="F971" s="225"/>
    </row>
    <row r="972" customFormat="false" ht="14.25" hidden="false" customHeight="false" outlineLevel="0" collapsed="false">
      <c r="A972" s="0" t="n">
        <v>1144198209</v>
      </c>
      <c r="B972" s="0" t="s">
        <v>5113</v>
      </c>
      <c r="C972" s="0" t="n">
        <v>0.147863887493722</v>
      </c>
      <c r="D972" s="0" t="n">
        <v>541823</v>
      </c>
      <c r="E972" s="0" t="s">
        <v>4137</v>
      </c>
      <c r="F972" s="225"/>
    </row>
    <row r="973" customFormat="false" ht="14.25" hidden="false" customHeight="false" outlineLevel="0" collapsed="false">
      <c r="A973" s="0" t="n">
        <v>1012409708</v>
      </c>
      <c r="B973" s="0" t="s">
        <v>5114</v>
      </c>
      <c r="C973" s="0" t="n">
        <v>0.199866441536792</v>
      </c>
      <c r="D973" s="0" t="n">
        <v>799715.72</v>
      </c>
      <c r="E973" s="0" t="s">
        <v>4137</v>
      </c>
      <c r="F973" s="225"/>
    </row>
    <row r="974" customFormat="false" ht="14.25" hidden="false" customHeight="false" outlineLevel="0" collapsed="false">
      <c r="A974" s="0" t="n">
        <v>1053849731</v>
      </c>
      <c r="B974" s="0" t="s">
        <v>5115</v>
      </c>
      <c r="C974" s="0" t="n">
        <v>0.126946527122942</v>
      </c>
      <c r="D974" s="0" t="n">
        <v>1660494.02</v>
      </c>
      <c r="E974" s="0" t="s">
        <v>4137</v>
      </c>
      <c r="F974" s="225"/>
    </row>
    <row r="975" customFormat="false" ht="14.25" hidden="false" customHeight="false" outlineLevel="0" collapsed="false">
      <c r="A975" s="0" t="n">
        <v>1130667500</v>
      </c>
      <c r="B975" s="0" t="s">
        <v>5116</v>
      </c>
      <c r="C975" s="0" t="n">
        <v>0.38777760220321</v>
      </c>
      <c r="D975" s="0" t="n">
        <v>71371</v>
      </c>
      <c r="E975" s="0" t="s">
        <v>4137</v>
      </c>
      <c r="F975" s="225"/>
    </row>
    <row r="976" customFormat="false" ht="14.25" hidden="false" customHeight="false" outlineLevel="0" collapsed="false">
      <c r="A976" s="0" t="n">
        <v>1107044508</v>
      </c>
      <c r="B976" s="0" t="s">
        <v>5117</v>
      </c>
      <c r="C976" s="0" t="n">
        <v>0.238776552220731</v>
      </c>
      <c r="D976" s="0" t="n">
        <v>553692</v>
      </c>
      <c r="E976" s="0" t="s">
        <v>4137</v>
      </c>
      <c r="F976" s="225"/>
    </row>
    <row r="977" customFormat="false" ht="14.25" hidden="false" customHeight="false" outlineLevel="0" collapsed="false">
      <c r="A977" s="0" t="n">
        <v>29126389</v>
      </c>
      <c r="B977" s="0" t="s">
        <v>5118</v>
      </c>
      <c r="C977" s="0" t="n">
        <v>0.239123298085562</v>
      </c>
      <c r="D977" s="0" t="n">
        <v>523421</v>
      </c>
      <c r="E977" s="0" t="s">
        <v>4137</v>
      </c>
      <c r="F977" s="225"/>
    </row>
    <row r="978" customFormat="false" ht="14.25" hidden="false" customHeight="false" outlineLevel="0" collapsed="false">
      <c r="A978" s="0" t="n">
        <v>1144155696</v>
      </c>
      <c r="B978" s="0" t="s">
        <v>5119</v>
      </c>
      <c r="C978" s="0" t="n">
        <v>0.185283097066851</v>
      </c>
      <c r="D978" s="0" t="n">
        <v>596909.26</v>
      </c>
      <c r="E978" s="0" t="s">
        <v>4147</v>
      </c>
      <c r="F978" s="225"/>
    </row>
    <row r="979" customFormat="false" ht="14.25" hidden="false" customHeight="false" outlineLevel="0" collapsed="false">
      <c r="A979" s="0" t="n">
        <v>1144070516</v>
      </c>
      <c r="B979" s="0" t="s">
        <v>5120</v>
      </c>
      <c r="C979" s="0" t="n">
        <v>0.138996003064025</v>
      </c>
      <c r="D979" s="0" t="n">
        <v>790179.68</v>
      </c>
      <c r="E979" s="0" t="s">
        <v>4137</v>
      </c>
      <c r="F979" s="225"/>
    </row>
    <row r="980" customFormat="false" ht="14.25" hidden="false" customHeight="false" outlineLevel="0" collapsed="false">
      <c r="A980" s="0" t="n">
        <v>1144038379</v>
      </c>
      <c r="B980" s="0" t="s">
        <v>5121</v>
      </c>
      <c r="C980" s="0" t="n">
        <v>0.151814997669207</v>
      </c>
      <c r="D980" s="0" t="n">
        <v>1935337.76</v>
      </c>
      <c r="E980" s="0" t="s">
        <v>4137</v>
      </c>
      <c r="F980" s="225"/>
    </row>
    <row r="981" customFormat="false" ht="14.25" hidden="false" customHeight="false" outlineLevel="0" collapsed="false">
      <c r="A981" s="0" t="n">
        <v>1143863483</v>
      </c>
      <c r="B981" s="0" t="s">
        <v>5122</v>
      </c>
      <c r="C981" s="0" t="n">
        <v>0.366144774144774</v>
      </c>
      <c r="D981" s="0" t="n">
        <v>284948</v>
      </c>
      <c r="E981" s="0" t="s">
        <v>4137</v>
      </c>
      <c r="F981" s="225"/>
    </row>
    <row r="982" customFormat="false" ht="14.25" hidden="false" customHeight="false" outlineLevel="0" collapsed="false">
      <c r="A982" s="0" t="n">
        <v>1143836746</v>
      </c>
      <c r="B982" s="0" t="s">
        <v>5123</v>
      </c>
      <c r="C982" s="0" t="n">
        <v>0.22212029163101</v>
      </c>
      <c r="D982" s="0" t="n">
        <v>562119.46</v>
      </c>
      <c r="E982" s="0" t="s">
        <v>4137</v>
      </c>
      <c r="F982" s="225"/>
    </row>
    <row r="983" customFormat="false" ht="14.25" hidden="false" customHeight="false" outlineLevel="0" collapsed="false">
      <c r="A983" s="0" t="n">
        <v>1130628345</v>
      </c>
      <c r="B983" s="0" t="s">
        <v>5124</v>
      </c>
      <c r="C983" s="0" t="n">
        <v>0.372264188849824</v>
      </c>
      <c r="D983" s="0" t="n">
        <v>95042</v>
      </c>
      <c r="E983" s="0" t="s">
        <v>4137</v>
      </c>
      <c r="F983" s="225"/>
    </row>
    <row r="984" customFormat="false" ht="14.25" hidden="false" customHeight="false" outlineLevel="0" collapsed="false">
      <c r="A984" s="0" t="n">
        <v>1114821052</v>
      </c>
      <c r="B984" s="0" t="s">
        <v>5125</v>
      </c>
      <c r="C984" s="0" t="n">
        <v>0.240212807342284</v>
      </c>
      <c r="D984" s="0" t="n">
        <v>470167.84</v>
      </c>
      <c r="E984" s="0" t="s">
        <v>4137</v>
      </c>
      <c r="F984" s="225"/>
    </row>
    <row r="985" customFormat="false" ht="14.25" hidden="false" customHeight="false" outlineLevel="0" collapsed="false">
      <c r="A985" s="0" t="n">
        <v>1143865665</v>
      </c>
      <c r="B985" s="0" t="s">
        <v>5126</v>
      </c>
      <c r="C985" s="0" t="n">
        <v>0.157455532024769</v>
      </c>
      <c r="D985" s="0" t="n">
        <v>856481.84</v>
      </c>
      <c r="E985" s="0" t="s">
        <v>4147</v>
      </c>
      <c r="F985" s="225"/>
    </row>
    <row r="986" customFormat="false" ht="14.25" hidden="false" customHeight="false" outlineLevel="0" collapsed="false">
      <c r="A986" s="0" t="n">
        <v>1107521462</v>
      </c>
      <c r="B986" s="0" t="s">
        <v>5127</v>
      </c>
      <c r="C986" s="0" t="n">
        <v>0.471997336278492</v>
      </c>
      <c r="D986" s="0" t="n">
        <v>-107076.78</v>
      </c>
      <c r="E986" s="0" t="s">
        <v>4137</v>
      </c>
      <c r="F986" s="225"/>
    </row>
    <row r="987" customFormat="false" ht="14.25" hidden="false" customHeight="false" outlineLevel="0" collapsed="false">
      <c r="A987" s="0" t="n">
        <v>1151967554</v>
      </c>
      <c r="B987" s="0" t="s">
        <v>5128</v>
      </c>
      <c r="C987" s="0" t="n">
        <v>0.344646724003127</v>
      </c>
      <c r="D987" s="0" t="n">
        <v>344203</v>
      </c>
      <c r="E987" s="0" t="s">
        <v>4137</v>
      </c>
      <c r="F987" s="225"/>
    </row>
    <row r="988" customFormat="false" ht="14.25" hidden="false" customHeight="false" outlineLevel="0" collapsed="false">
      <c r="A988" s="0" t="n">
        <v>1006168795</v>
      </c>
      <c r="B988" s="0" t="s">
        <v>5129</v>
      </c>
      <c r="C988" s="0" t="n">
        <v>0.387634912121403</v>
      </c>
      <c r="D988" s="0" t="n">
        <v>113384.58</v>
      </c>
      <c r="E988" s="0" t="s">
        <v>4137</v>
      </c>
      <c r="F988" s="225"/>
    </row>
    <row r="989" customFormat="false" ht="14.25" hidden="false" customHeight="false" outlineLevel="0" collapsed="false">
      <c r="A989" s="0" t="n">
        <v>1143880251</v>
      </c>
      <c r="B989" s="0" t="s">
        <v>5130</v>
      </c>
      <c r="C989" s="0" t="n">
        <v>0.336529365856391</v>
      </c>
      <c r="D989" s="0" t="n">
        <v>262249.04</v>
      </c>
      <c r="E989" s="0" t="s">
        <v>4137</v>
      </c>
      <c r="F989" s="225"/>
    </row>
    <row r="990" customFormat="false" ht="14.25" hidden="false" customHeight="false" outlineLevel="0" collapsed="false">
      <c r="A990" s="0" t="n">
        <v>1143992553</v>
      </c>
      <c r="B990" s="0" t="s">
        <v>5131</v>
      </c>
      <c r="C990" s="0" t="n">
        <v>0.456814274438339</v>
      </c>
      <c r="D990" s="0" t="n">
        <v>-98178.7</v>
      </c>
      <c r="E990" s="0" t="s">
        <v>4137</v>
      </c>
      <c r="F990" s="225"/>
    </row>
    <row r="991" customFormat="false" ht="14.25" hidden="false" customHeight="false" outlineLevel="0" collapsed="false">
      <c r="A991" s="0" t="n">
        <v>1012413660</v>
      </c>
      <c r="B991" s="0" t="s">
        <v>5132</v>
      </c>
      <c r="C991" s="0" t="n">
        <v>0.171218987181241</v>
      </c>
      <c r="D991" s="0" t="n">
        <v>932456.28</v>
      </c>
      <c r="E991" s="0" t="s">
        <v>4137</v>
      </c>
      <c r="F991" s="225"/>
    </row>
    <row r="992" customFormat="false" ht="14.25" hidden="false" customHeight="false" outlineLevel="0" collapsed="false">
      <c r="A992" s="0" t="n">
        <v>1143990307</v>
      </c>
      <c r="B992" s="0" t="s">
        <v>5133</v>
      </c>
      <c r="C992" s="0" t="n">
        <v>0.143352026720232</v>
      </c>
      <c r="D992" s="0" t="n">
        <v>723419.88</v>
      </c>
      <c r="E992" s="0" t="s">
        <v>4147</v>
      </c>
      <c r="F992" s="225"/>
    </row>
    <row r="993" customFormat="false" ht="14.25" hidden="false" customHeight="false" outlineLevel="0" collapsed="false">
      <c r="A993" s="0" t="n">
        <v>1088356182</v>
      </c>
      <c r="B993" s="0" t="s">
        <v>5134</v>
      </c>
      <c r="C993" s="0" t="n">
        <v>0.240482248037437</v>
      </c>
      <c r="D993" s="0" t="n">
        <v>1118051.16</v>
      </c>
      <c r="E993" s="0" t="s">
        <v>4137</v>
      </c>
      <c r="F993" s="225"/>
    </row>
    <row r="994" customFormat="false" ht="14.25" hidden="false" customHeight="false" outlineLevel="0" collapsed="false">
      <c r="A994" s="0" t="n">
        <v>1006341887</v>
      </c>
      <c r="B994" s="0" t="s">
        <v>5135</v>
      </c>
      <c r="C994" s="0" t="n">
        <v>0.48826696597046</v>
      </c>
      <c r="D994" s="0" t="n">
        <v>-209839</v>
      </c>
      <c r="E994" s="0" t="s">
        <v>4137</v>
      </c>
      <c r="F994" s="225"/>
    </row>
    <row r="995" customFormat="false" ht="14.25" hidden="false" customHeight="false" outlineLevel="0" collapsed="false">
      <c r="A995" s="0" t="n">
        <v>1107516779</v>
      </c>
      <c r="B995" s="0" t="s">
        <v>5136</v>
      </c>
      <c r="C995" s="0" t="n">
        <v>0.457759280688038</v>
      </c>
      <c r="D995" s="0" t="n">
        <v>-172479</v>
      </c>
      <c r="E995" s="0" t="s">
        <v>4137</v>
      </c>
      <c r="F995" s="225"/>
    </row>
    <row r="996" customFormat="false" ht="14.25" hidden="false" customHeight="false" outlineLevel="0" collapsed="false">
      <c r="A996" s="0" t="n">
        <v>1130635450</v>
      </c>
      <c r="B996" s="0" t="s">
        <v>5137</v>
      </c>
      <c r="C996" s="0" t="n">
        <v>0.331812026002167</v>
      </c>
      <c r="D996" s="0" t="n">
        <v>520944</v>
      </c>
      <c r="E996" s="0" t="s">
        <v>4137</v>
      </c>
      <c r="F996" s="225"/>
    </row>
    <row r="997" customFormat="false" ht="14.25" hidden="false" customHeight="false" outlineLevel="0" collapsed="false">
      <c r="A997" s="0" t="n">
        <v>1107035395</v>
      </c>
      <c r="B997" s="0" t="s">
        <v>5138</v>
      </c>
      <c r="C997" s="0" t="n">
        <v>0.414408305073076</v>
      </c>
      <c r="D997" s="0" t="n">
        <v>20465.76</v>
      </c>
      <c r="E997" s="0" t="s">
        <v>4147</v>
      </c>
      <c r="F997" s="225"/>
    </row>
    <row r="998" customFormat="false" ht="14.25" hidden="false" customHeight="false" outlineLevel="0" collapsed="false">
      <c r="A998" s="0" t="n">
        <v>1061439749</v>
      </c>
      <c r="B998" s="0" t="s">
        <v>5139</v>
      </c>
      <c r="C998" s="0" t="n">
        <v>0.320212800517777</v>
      </c>
      <c r="D998" s="0" t="n">
        <v>370643.52</v>
      </c>
      <c r="E998" s="0" t="s">
        <v>4137</v>
      </c>
      <c r="F998" s="225"/>
    </row>
    <row r="999" customFormat="false" ht="14.25" hidden="false" customHeight="false" outlineLevel="0" collapsed="false">
      <c r="A999" s="0" t="n">
        <v>1005966107</v>
      </c>
      <c r="B999" s="0" t="s">
        <v>5140</v>
      </c>
      <c r="C999" s="0" t="n">
        <v>0.362796988409411</v>
      </c>
      <c r="D999" s="0" t="n">
        <v>125909.32</v>
      </c>
      <c r="E999" s="0" t="s">
        <v>4137</v>
      </c>
      <c r="F999" s="225"/>
    </row>
    <row r="1000" customFormat="false" ht="14.25" hidden="false" customHeight="false" outlineLevel="0" collapsed="false">
      <c r="A1000" s="0" t="n">
        <v>1193485143</v>
      </c>
      <c r="B1000" s="0" t="s">
        <v>5141</v>
      </c>
      <c r="C1000" s="0" t="n">
        <v>0.0984134428336113</v>
      </c>
      <c r="D1000" s="0" t="n">
        <v>1339872.06</v>
      </c>
      <c r="E1000" s="0" t="s">
        <v>4147</v>
      </c>
      <c r="F1000" s="225"/>
    </row>
    <row r="1001" customFormat="false" ht="14.25" hidden="false" customHeight="false" outlineLevel="0" collapsed="false">
      <c r="A1001" s="0" t="n">
        <v>1143859617</v>
      </c>
      <c r="B1001" s="0" t="s">
        <v>5142</v>
      </c>
      <c r="C1001" s="0" t="n">
        <v>0.231851598514721</v>
      </c>
      <c r="D1001" s="0" t="n">
        <v>654658.6</v>
      </c>
      <c r="E1001" s="0" t="s">
        <v>4147</v>
      </c>
      <c r="F1001" s="225"/>
    </row>
    <row r="1002" customFormat="false" ht="14.25" hidden="false" customHeight="false" outlineLevel="0" collapsed="false">
      <c r="A1002" s="0" t="n">
        <v>1002927469</v>
      </c>
      <c r="B1002" s="0" t="s">
        <v>5143</v>
      </c>
      <c r="C1002" s="0" t="n">
        <v>0.11319665009874</v>
      </c>
      <c r="D1002" s="0" t="n">
        <v>1299895.42</v>
      </c>
      <c r="E1002" s="0" t="s">
        <v>4137</v>
      </c>
      <c r="F1002" s="225"/>
    </row>
    <row r="1003" customFormat="false" ht="14.25" hidden="false" customHeight="false" outlineLevel="0" collapsed="false">
      <c r="A1003" s="0" t="n">
        <v>1144192371</v>
      </c>
      <c r="B1003" s="0" t="s">
        <v>5144</v>
      </c>
      <c r="C1003" s="0" t="n">
        <v>0.16933901303762</v>
      </c>
      <c r="D1003" s="0" t="n">
        <v>1519127.82</v>
      </c>
      <c r="E1003" s="0" t="s">
        <v>4137</v>
      </c>
      <c r="F1003" s="225"/>
    </row>
    <row r="1004" customFormat="false" ht="14.25" hidden="false" customHeight="false" outlineLevel="0" collapsed="false">
      <c r="A1004" s="0" t="n">
        <v>1143837031</v>
      </c>
      <c r="B1004" s="0" t="s">
        <v>5145</v>
      </c>
      <c r="C1004" s="0" t="n">
        <v>0.239616072561409</v>
      </c>
      <c r="D1004" s="0" t="n">
        <v>510395.06</v>
      </c>
      <c r="E1004" s="0" t="s">
        <v>4137</v>
      </c>
      <c r="F1004" s="225"/>
    </row>
    <row r="1005" customFormat="false" ht="14.25" hidden="false" customHeight="false" outlineLevel="0" collapsed="false">
      <c r="A1005" s="0" t="n">
        <v>1110489892</v>
      </c>
      <c r="B1005" s="0" t="s">
        <v>5146</v>
      </c>
      <c r="C1005" s="0" t="n">
        <v>0.131950094198162</v>
      </c>
      <c r="D1005" s="0" t="n">
        <v>749189</v>
      </c>
      <c r="E1005" s="0" t="s">
        <v>4137</v>
      </c>
      <c r="F1005" s="225"/>
    </row>
    <row r="1006" customFormat="false" ht="14.25" hidden="false" customHeight="false" outlineLevel="0" collapsed="false">
      <c r="A1006" s="0" t="n">
        <v>1143970117</v>
      </c>
      <c r="B1006" s="0" t="s">
        <v>5147</v>
      </c>
      <c r="C1006" s="0" t="n">
        <v>0.450466869801512</v>
      </c>
      <c r="D1006" s="0" t="n">
        <v>-67039.2799999999</v>
      </c>
      <c r="E1006" s="0" t="s">
        <v>4147</v>
      </c>
      <c r="F1006" s="225"/>
    </row>
    <row r="1007" customFormat="false" ht="14.25" hidden="false" customHeight="false" outlineLevel="0" collapsed="false">
      <c r="A1007" s="0" t="n">
        <v>38463310</v>
      </c>
      <c r="B1007" s="0" t="s">
        <v>5148</v>
      </c>
      <c r="C1007" s="0" t="n">
        <v>0.134994711736547</v>
      </c>
      <c r="D1007" s="0" t="n">
        <v>559149.5</v>
      </c>
      <c r="E1007" s="0" t="s">
        <v>4137</v>
      </c>
      <c r="F1007" s="225"/>
    </row>
    <row r="1008" customFormat="false" ht="14.25" hidden="false" customHeight="false" outlineLevel="0" collapsed="false">
      <c r="A1008" s="0" t="n">
        <v>1143832776</v>
      </c>
      <c r="B1008" s="0" t="s">
        <v>5149</v>
      </c>
      <c r="C1008" s="0" t="n">
        <v>0.275076467236467</v>
      </c>
      <c r="D1008" s="0" t="n">
        <v>317926</v>
      </c>
      <c r="E1008" s="0" t="s">
        <v>4137</v>
      </c>
      <c r="F1008" s="225"/>
    </row>
    <row r="1009" customFormat="false" ht="14.25" hidden="false" customHeight="false" outlineLevel="0" collapsed="false">
      <c r="A1009" s="0" t="n">
        <v>1144148264</v>
      </c>
      <c r="B1009" s="0" t="s">
        <v>5150</v>
      </c>
      <c r="C1009" s="0" t="n">
        <v>0.377739029008546</v>
      </c>
      <c r="D1009" s="0" t="n">
        <v>200290.04</v>
      </c>
      <c r="E1009" s="0" t="s">
        <v>4137</v>
      </c>
      <c r="F1009" s="225"/>
    </row>
    <row r="1010" customFormat="false" ht="14.25" hidden="false" customHeight="false" outlineLevel="0" collapsed="false">
      <c r="A1010" s="0" t="n">
        <v>1116267848</v>
      </c>
      <c r="B1010" s="0" t="s">
        <v>5151</v>
      </c>
      <c r="C1010" s="0" t="n">
        <v>0.25078519722238</v>
      </c>
      <c r="D1010" s="0" t="n">
        <v>495107.34</v>
      </c>
      <c r="E1010" s="0" t="s">
        <v>4137</v>
      </c>
      <c r="F1010" s="225"/>
    </row>
    <row r="1011" customFormat="false" ht="14.25" hidden="false" customHeight="false" outlineLevel="0" collapsed="false">
      <c r="A1011" s="0" t="n">
        <v>1075240800</v>
      </c>
      <c r="B1011" s="0" t="s">
        <v>5152</v>
      </c>
      <c r="C1011" s="0" t="n">
        <v>0.222225324466256</v>
      </c>
      <c r="D1011" s="0" t="n">
        <v>559602.06</v>
      </c>
      <c r="E1011" s="0" t="s">
        <v>4137</v>
      </c>
      <c r="F1011" s="225"/>
    </row>
    <row r="1012" customFormat="false" ht="14.25" hidden="false" customHeight="false" outlineLevel="0" collapsed="false">
      <c r="A1012" s="0" t="n">
        <v>1059842557</v>
      </c>
      <c r="B1012" s="0" t="s">
        <v>5153</v>
      </c>
      <c r="C1012" s="0" t="n">
        <v>0.496196758345635</v>
      </c>
      <c r="D1012" s="0" t="n">
        <v>-249595</v>
      </c>
      <c r="E1012" s="0" t="s">
        <v>4511</v>
      </c>
      <c r="F1012" s="225"/>
    </row>
    <row r="1013" customFormat="false" ht="14.25" hidden="false" customHeight="false" outlineLevel="0" collapsed="false">
      <c r="A1013" s="0" t="n">
        <v>1113790401</v>
      </c>
      <c r="B1013" s="0" t="s">
        <v>5154</v>
      </c>
      <c r="C1013" s="0" t="n">
        <v>0.199157855859676</v>
      </c>
      <c r="D1013" s="0" t="n">
        <v>1455805.18</v>
      </c>
      <c r="E1013" s="0" t="s">
        <v>4137</v>
      </c>
      <c r="F1013" s="225"/>
    </row>
    <row r="1014" customFormat="false" ht="14.25" hidden="false" customHeight="false" outlineLevel="0" collapsed="false">
      <c r="A1014" s="0" t="n">
        <v>1053863018</v>
      </c>
      <c r="B1014" s="0" t="s">
        <v>5155</v>
      </c>
      <c r="C1014" s="0" t="n">
        <v>0.112834435834436</v>
      </c>
      <c r="D1014" s="0" t="n">
        <v>1625213</v>
      </c>
      <c r="E1014" s="0" t="s">
        <v>4137</v>
      </c>
      <c r="F1014" s="225"/>
    </row>
    <row r="1015" customFormat="false" ht="14.25" hidden="false" customHeight="false" outlineLevel="0" collapsed="false">
      <c r="A1015" s="0" t="n">
        <v>1151966279</v>
      </c>
      <c r="B1015" s="0" t="s">
        <v>5156</v>
      </c>
      <c r="C1015" s="0" t="n">
        <v>0.330312609125416</v>
      </c>
      <c r="D1015" s="0" t="n">
        <v>262828.6</v>
      </c>
      <c r="E1015" s="0" t="s">
        <v>4137</v>
      </c>
      <c r="F1015" s="225"/>
    </row>
    <row r="1016" customFormat="false" ht="14.25" hidden="false" customHeight="false" outlineLevel="0" collapsed="false">
      <c r="A1016" s="0" t="n">
        <v>14638297</v>
      </c>
      <c r="B1016" s="0" t="s">
        <v>5157</v>
      </c>
      <c r="C1016" s="0" t="n">
        <v>0.389924528055946</v>
      </c>
      <c r="D1016" s="0" t="n">
        <v>221501.52</v>
      </c>
      <c r="E1016" s="0" t="s">
        <v>4137</v>
      </c>
      <c r="F1016" s="225"/>
    </row>
    <row r="1017" customFormat="false" ht="14.25" hidden="false" customHeight="false" outlineLevel="0" collapsed="false">
      <c r="A1017" s="0" t="n">
        <v>1144074598</v>
      </c>
      <c r="B1017" s="0" t="s">
        <v>5158</v>
      </c>
      <c r="C1017" s="0" t="n">
        <v>0.305795456437075</v>
      </c>
      <c r="D1017" s="0" t="n">
        <v>281287.58</v>
      </c>
      <c r="E1017" s="0" t="s">
        <v>4137</v>
      </c>
      <c r="F1017" s="225"/>
    </row>
    <row r="1018" customFormat="false" ht="14.25" hidden="false" customHeight="false" outlineLevel="0" collapsed="false">
      <c r="A1018" s="0" t="n">
        <v>1144075418</v>
      </c>
      <c r="B1018" s="0" t="s">
        <v>5159</v>
      </c>
      <c r="C1018" s="0" t="n">
        <v>0.396360028736615</v>
      </c>
      <c r="D1018" s="0" t="n">
        <v>134748.9</v>
      </c>
      <c r="E1018" s="0" t="s">
        <v>4137</v>
      </c>
      <c r="F1018" s="225"/>
    </row>
    <row r="1019" customFormat="false" ht="14.25" hidden="false" customHeight="false" outlineLevel="0" collapsed="false">
      <c r="A1019" s="0" t="n">
        <v>1143855035</v>
      </c>
      <c r="B1019" s="0" t="s">
        <v>5160</v>
      </c>
      <c r="C1019" s="0" t="n">
        <v>0.296349012259883</v>
      </c>
      <c r="D1019" s="0" t="n">
        <v>843376.4</v>
      </c>
      <c r="E1019" s="0" t="s">
        <v>4137</v>
      </c>
      <c r="F1019" s="225"/>
    </row>
    <row r="1020" customFormat="false" ht="14.25" hidden="false" customHeight="false" outlineLevel="0" collapsed="false">
      <c r="A1020" s="0" t="n">
        <v>1144062341</v>
      </c>
      <c r="B1020" s="0" t="s">
        <v>5161</v>
      </c>
      <c r="C1020" s="0" t="n">
        <v>0.373654366880207</v>
      </c>
      <c r="D1020" s="0" t="n">
        <v>152278.82</v>
      </c>
      <c r="E1020" s="0" t="s">
        <v>4147</v>
      </c>
      <c r="F1020" s="225"/>
    </row>
    <row r="1021" customFormat="false" ht="14.25" hidden="false" customHeight="false" outlineLevel="0" collapsed="false">
      <c r="A1021" s="0" t="n">
        <v>1151948942</v>
      </c>
      <c r="B1021" s="0" t="s">
        <v>5162</v>
      </c>
      <c r="C1021" s="0" t="n">
        <v>0.53489484409243</v>
      </c>
      <c r="D1021" s="0" t="n">
        <v>-298830</v>
      </c>
      <c r="E1021" s="0" t="s">
        <v>4511</v>
      </c>
      <c r="F1021" s="225"/>
    </row>
    <row r="1022" customFormat="false" ht="14.25" hidden="false" customHeight="false" outlineLevel="0" collapsed="false">
      <c r="A1022" s="0" t="n">
        <v>1062287599</v>
      </c>
      <c r="B1022" s="0" t="s">
        <v>5163</v>
      </c>
      <c r="C1022" s="0" t="n">
        <v>0.228425497504024</v>
      </c>
      <c r="D1022" s="0" t="n">
        <v>405897.2</v>
      </c>
      <c r="E1022" s="0" t="s">
        <v>4147</v>
      </c>
      <c r="F1022" s="225"/>
    </row>
    <row r="1023" customFormat="false" ht="14.25" hidden="false" customHeight="false" outlineLevel="0" collapsed="false">
      <c r="A1023" s="0" t="n">
        <v>1144168142</v>
      </c>
      <c r="B1023" s="0" t="s">
        <v>5164</v>
      </c>
      <c r="C1023" s="0" t="n">
        <v>0.108950229368855</v>
      </c>
      <c r="D1023" s="0" t="n">
        <v>2232476.16</v>
      </c>
      <c r="E1023" s="0" t="s">
        <v>4147</v>
      </c>
      <c r="F1023" s="225"/>
    </row>
    <row r="1024" customFormat="false" ht="14.25" hidden="false" customHeight="false" outlineLevel="0" collapsed="false">
      <c r="A1024" s="0" t="n">
        <v>1002839691</v>
      </c>
      <c r="B1024" s="0" t="s">
        <v>5165</v>
      </c>
      <c r="C1024" s="0" t="n">
        <v>0.323446103787752</v>
      </c>
      <c r="D1024" s="0" t="n">
        <v>231459</v>
      </c>
      <c r="E1024" s="0" t="s">
        <v>4137</v>
      </c>
      <c r="F1024" s="225"/>
    </row>
    <row r="1025" customFormat="false" ht="14.25" hidden="false" customHeight="false" outlineLevel="0" collapsed="false">
      <c r="A1025" s="0" t="n">
        <v>1062312895</v>
      </c>
      <c r="B1025" s="0" t="s">
        <v>5166</v>
      </c>
      <c r="C1025" s="0" t="n">
        <v>0.441185041672997</v>
      </c>
      <c r="D1025" s="0" t="n">
        <v>-73714.4399999999</v>
      </c>
      <c r="E1025" s="0" t="s">
        <v>4137</v>
      </c>
      <c r="F1025" s="225"/>
    </row>
    <row r="1026" customFormat="false" ht="14.25" hidden="false" customHeight="false" outlineLevel="0" collapsed="false">
      <c r="A1026" s="0" t="n">
        <v>1107087302</v>
      </c>
      <c r="B1026" s="0" t="s">
        <v>5167</v>
      </c>
      <c r="C1026" s="0" t="n">
        <v>0.338677567970145</v>
      </c>
      <c r="D1026" s="0" t="n">
        <v>268993.38</v>
      </c>
      <c r="E1026" s="0" t="s">
        <v>4137</v>
      </c>
      <c r="F1026" s="225"/>
    </row>
    <row r="1027" customFormat="false" ht="14.25" hidden="false" customHeight="false" outlineLevel="0" collapsed="false">
      <c r="A1027" s="0" t="n">
        <v>1054986842</v>
      </c>
      <c r="B1027" s="0" t="s">
        <v>5168</v>
      </c>
      <c r="C1027" s="0" t="n">
        <v>0.149096324279774</v>
      </c>
      <c r="D1027" s="0" t="n">
        <v>919034.76</v>
      </c>
      <c r="E1027" s="0" t="s">
        <v>4147</v>
      </c>
      <c r="F1027" s="225"/>
    </row>
    <row r="1028" customFormat="false" ht="14.25" hidden="false" customHeight="false" outlineLevel="0" collapsed="false">
      <c r="A1028" s="0" t="n">
        <v>94529453</v>
      </c>
      <c r="B1028" s="0" t="s">
        <v>5169</v>
      </c>
      <c r="C1028" s="0" t="n">
        <v>0.257619131070505</v>
      </c>
      <c r="D1028" s="0" t="n">
        <v>543283.14</v>
      </c>
      <c r="E1028" s="0" t="s">
        <v>4137</v>
      </c>
      <c r="F1028" s="225"/>
    </row>
    <row r="1029" customFormat="false" ht="14.25" hidden="false" customHeight="false" outlineLevel="0" collapsed="false">
      <c r="A1029" s="0" t="n">
        <v>1130612767</v>
      </c>
      <c r="B1029" s="0" t="s">
        <v>5170</v>
      </c>
      <c r="C1029" s="0" t="n">
        <v>0.25254797640304</v>
      </c>
      <c r="D1029" s="0" t="n">
        <v>971242.78</v>
      </c>
      <c r="E1029" s="0" t="s">
        <v>4137</v>
      </c>
      <c r="F1029" s="225"/>
    </row>
    <row r="1030" customFormat="false" ht="14.25" hidden="false" customHeight="false" outlineLevel="0" collapsed="false">
      <c r="A1030" s="0" t="n">
        <v>52057091</v>
      </c>
      <c r="B1030" s="0" t="s">
        <v>5171</v>
      </c>
      <c r="C1030" s="0" t="n">
        <v>0.410632820879514</v>
      </c>
      <c r="D1030" s="0" t="n">
        <v>62880</v>
      </c>
      <c r="E1030" s="0" t="s">
        <v>4137</v>
      </c>
      <c r="F1030" s="225"/>
    </row>
    <row r="1031" customFormat="false" ht="14.25" hidden="false" customHeight="false" outlineLevel="0" collapsed="false">
      <c r="A1031" s="0" t="n">
        <v>1060590276</v>
      </c>
      <c r="B1031" s="0" t="s">
        <v>5172</v>
      </c>
      <c r="C1031" s="0" t="n">
        <v>0.160249025198533</v>
      </c>
      <c r="D1031" s="0" t="n">
        <v>1526847.4</v>
      </c>
      <c r="E1031" s="0" t="s">
        <v>4137</v>
      </c>
      <c r="F1031" s="225"/>
    </row>
    <row r="1032" customFormat="false" ht="14.25" hidden="false" customHeight="false" outlineLevel="0" collapsed="false">
      <c r="A1032" s="0" t="n">
        <v>1143967622</v>
      </c>
      <c r="B1032" s="0" t="s">
        <v>5173</v>
      </c>
      <c r="C1032" s="0" t="n">
        <v>0.298252989915485</v>
      </c>
      <c r="D1032" s="0" t="n">
        <v>335237.9</v>
      </c>
      <c r="E1032" s="0" t="s">
        <v>4137</v>
      </c>
      <c r="F1032" s="225"/>
    </row>
    <row r="1033" customFormat="false" ht="14.25" hidden="false" customHeight="false" outlineLevel="0" collapsed="false">
      <c r="A1033" s="0" t="n">
        <v>1144053209</v>
      </c>
      <c r="B1033" s="0" t="s">
        <v>5174</v>
      </c>
      <c r="C1033" s="0" t="n">
        <v>0.119623664973738</v>
      </c>
      <c r="D1033" s="0" t="n">
        <v>1990488.44</v>
      </c>
      <c r="E1033" s="0" t="s">
        <v>4137</v>
      </c>
      <c r="F1033" s="225"/>
    </row>
    <row r="1034" customFormat="false" ht="14.25" hidden="false" customHeight="false" outlineLevel="0" collapsed="false">
      <c r="A1034" s="0" t="n">
        <v>1112481844</v>
      </c>
      <c r="B1034" s="0" t="s">
        <v>5175</v>
      </c>
      <c r="C1034" s="0" t="n">
        <v>0.117069511830771</v>
      </c>
      <c r="D1034" s="0" t="n">
        <v>1439786.2</v>
      </c>
      <c r="E1034" s="0" t="s">
        <v>4137</v>
      </c>
      <c r="F1034" s="225"/>
    </row>
    <row r="1035" customFormat="false" ht="14.25" hidden="false" customHeight="false" outlineLevel="0" collapsed="false">
      <c r="A1035" s="0" t="n">
        <v>1144143175</v>
      </c>
      <c r="B1035" s="0" t="s">
        <v>5176</v>
      </c>
      <c r="C1035" s="0" t="n">
        <v>0.450789154515138</v>
      </c>
      <c r="D1035" s="0" t="n">
        <v>-99208.28</v>
      </c>
      <c r="E1035" s="0" t="s">
        <v>4137</v>
      </c>
      <c r="F1035" s="225"/>
    </row>
    <row r="1036" customFormat="false" ht="14.25" hidden="false" customHeight="false" outlineLevel="0" collapsed="false">
      <c r="A1036" s="0" t="n">
        <v>1143981400</v>
      </c>
      <c r="B1036" s="0" t="s">
        <v>5177</v>
      </c>
      <c r="C1036" s="0" t="n">
        <v>0.183855203967857</v>
      </c>
      <c r="D1036" s="0" t="n">
        <v>614189</v>
      </c>
      <c r="E1036" s="0" t="s">
        <v>4137</v>
      </c>
      <c r="F1036" s="225"/>
    </row>
    <row r="1037" customFormat="false" ht="14.25" hidden="false" customHeight="false" outlineLevel="0" collapsed="false">
      <c r="A1037" s="0" t="n">
        <v>1143949762</v>
      </c>
      <c r="B1037" s="0" t="s">
        <v>5178</v>
      </c>
      <c r="C1037" s="0" t="n">
        <v>0.138778218374756</v>
      </c>
      <c r="D1037" s="0" t="n">
        <v>629409.5</v>
      </c>
      <c r="E1037" s="0" t="s">
        <v>4137</v>
      </c>
      <c r="F1037" s="225"/>
    </row>
    <row r="1038" customFormat="false" ht="14.25" hidden="false" customHeight="false" outlineLevel="0" collapsed="false">
      <c r="A1038" s="0" t="n">
        <v>38684312</v>
      </c>
      <c r="B1038" s="0" t="s">
        <v>5179</v>
      </c>
      <c r="C1038" s="0" t="n">
        <v>0.377519175990729</v>
      </c>
      <c r="D1038" s="0" t="n">
        <v>177080</v>
      </c>
      <c r="E1038" s="0" t="s">
        <v>4137</v>
      </c>
      <c r="F1038" s="225"/>
    </row>
    <row r="1039" customFormat="false" ht="14.25" hidden="false" customHeight="false" outlineLevel="0" collapsed="false">
      <c r="A1039" s="0" t="n">
        <v>1107081197</v>
      </c>
      <c r="B1039" s="0" t="s">
        <v>5180</v>
      </c>
      <c r="C1039" s="0" t="n">
        <v>0.380171514284044</v>
      </c>
      <c r="D1039" s="0" t="n">
        <v>294754.24</v>
      </c>
      <c r="E1039" s="0" t="s">
        <v>4147</v>
      </c>
      <c r="F1039" s="225"/>
    </row>
    <row r="1040" customFormat="false" ht="14.25" hidden="false" customHeight="false" outlineLevel="0" collapsed="false">
      <c r="A1040" s="0" t="n">
        <v>1130600614</v>
      </c>
      <c r="B1040" s="0" t="s">
        <v>5181</v>
      </c>
      <c r="C1040" s="0" t="n">
        <v>0.264037785419001</v>
      </c>
      <c r="D1040" s="0" t="n">
        <v>403677</v>
      </c>
      <c r="E1040" s="0" t="s">
        <v>4137</v>
      </c>
      <c r="F1040" s="225"/>
    </row>
    <row r="1041" customFormat="false" ht="14.25" hidden="false" customHeight="false" outlineLevel="0" collapsed="false">
      <c r="A1041" s="0" t="n">
        <v>1144167005</v>
      </c>
      <c r="B1041" s="0" t="s">
        <v>5182</v>
      </c>
      <c r="C1041" s="0" t="n">
        <v>0.28690858864892</v>
      </c>
      <c r="D1041" s="0" t="n">
        <v>264985</v>
      </c>
      <c r="E1041" s="0" t="s">
        <v>4137</v>
      </c>
      <c r="F1041" s="225"/>
    </row>
    <row r="1042" customFormat="false" ht="14.25" hidden="false" customHeight="false" outlineLevel="0" collapsed="false">
      <c r="A1042" s="0" t="n">
        <v>66980789</v>
      </c>
      <c r="B1042" s="0" t="s">
        <v>5183</v>
      </c>
      <c r="C1042" s="0" t="n">
        <v>0.462591086786552</v>
      </c>
      <c r="D1042" s="0" t="n">
        <v>-194550</v>
      </c>
      <c r="E1042" s="0" t="s">
        <v>4137</v>
      </c>
      <c r="F1042" s="225"/>
    </row>
    <row r="1043" customFormat="false" ht="14.25" hidden="false" customHeight="false" outlineLevel="0" collapsed="false">
      <c r="A1043" s="0" t="n">
        <v>1005966722</v>
      </c>
      <c r="B1043" s="0" t="s">
        <v>5184</v>
      </c>
      <c r="C1043" s="0" t="n">
        <v>0.148919502493958</v>
      </c>
      <c r="D1043" s="0" t="n">
        <v>802693.66</v>
      </c>
      <c r="E1043" s="0" t="s">
        <v>4137</v>
      </c>
      <c r="F1043" s="225"/>
    </row>
    <row r="1044" customFormat="false" ht="14.25" hidden="false" customHeight="false" outlineLevel="0" collapsed="false">
      <c r="A1044" s="0" t="n">
        <v>1144193504</v>
      </c>
      <c r="B1044" s="0" t="s">
        <v>5185</v>
      </c>
      <c r="C1044" s="0" t="n">
        <v>0.147729046686727</v>
      </c>
      <c r="D1044" s="0" t="n">
        <v>1796437.76</v>
      </c>
      <c r="E1044" s="0" t="s">
        <v>4137</v>
      </c>
      <c r="F1044" s="225"/>
    </row>
    <row r="1045" customFormat="false" ht="14.25" hidden="false" customHeight="false" outlineLevel="0" collapsed="false">
      <c r="A1045" s="0" t="n">
        <v>1143987282</v>
      </c>
      <c r="B1045" s="0" t="s">
        <v>5186</v>
      </c>
      <c r="C1045" s="0" t="n">
        <v>0.144873481745841</v>
      </c>
      <c r="D1045" s="0" t="n">
        <v>613849.54</v>
      </c>
      <c r="E1045" s="0" t="s">
        <v>4137</v>
      </c>
      <c r="F1045" s="225"/>
    </row>
    <row r="1046" customFormat="false" ht="14.25" hidden="false" customHeight="false" outlineLevel="0" collapsed="false">
      <c r="A1046" s="0" t="n">
        <v>1143940744</v>
      </c>
      <c r="B1046" s="0" t="s">
        <v>5187</v>
      </c>
      <c r="C1046" s="0" t="n">
        <v>0.45244788113148</v>
      </c>
      <c r="D1046" s="0" t="n">
        <v>-242452.32</v>
      </c>
      <c r="E1046" s="0" t="s">
        <v>4137</v>
      </c>
      <c r="F1046" s="225"/>
    </row>
    <row r="1047" customFormat="false" ht="14.25" hidden="false" customHeight="false" outlineLevel="0" collapsed="false">
      <c r="A1047" s="0" t="n">
        <v>1114899235</v>
      </c>
      <c r="B1047" s="0" t="s">
        <v>5188</v>
      </c>
      <c r="C1047" s="0" t="n">
        <v>0.404824897250077</v>
      </c>
      <c r="D1047" s="0" t="n">
        <v>53937.4999999998</v>
      </c>
      <c r="E1047" s="0" t="s">
        <v>4137</v>
      </c>
      <c r="F1047" s="225"/>
    </row>
    <row r="1048" customFormat="false" ht="14.25" hidden="false" customHeight="false" outlineLevel="0" collapsed="false">
      <c r="A1048" s="0" t="n">
        <v>1059981078</v>
      </c>
      <c r="B1048" s="0" t="s">
        <v>5189</v>
      </c>
      <c r="C1048" s="0" t="n">
        <v>0.446057058431879</v>
      </c>
      <c r="D1048" s="0" t="n">
        <v>-103804</v>
      </c>
      <c r="E1048" s="0" t="s">
        <v>4137</v>
      </c>
      <c r="F1048" s="225"/>
    </row>
    <row r="1049" customFormat="false" ht="14.25" hidden="false" customHeight="false" outlineLevel="0" collapsed="false">
      <c r="A1049" s="0" t="n">
        <v>1144057759</v>
      </c>
      <c r="B1049" s="0" t="s">
        <v>5190</v>
      </c>
      <c r="C1049" s="0" t="n">
        <v>0.450661803357617</v>
      </c>
      <c r="D1049" s="0" t="n">
        <v>-123325.666666667</v>
      </c>
      <c r="E1049" s="0" t="s">
        <v>4137</v>
      </c>
      <c r="F1049" s="225"/>
    </row>
    <row r="1050" customFormat="false" ht="14.25" hidden="false" customHeight="false" outlineLevel="0" collapsed="false">
      <c r="A1050" s="0" t="n">
        <v>1144108811</v>
      </c>
      <c r="B1050" s="0" t="s">
        <v>5191</v>
      </c>
      <c r="C1050" s="0" t="n">
        <v>0.364515846245095</v>
      </c>
      <c r="D1050" s="0" t="n">
        <v>156752.74</v>
      </c>
      <c r="E1050" s="0" t="s">
        <v>4147</v>
      </c>
      <c r="F1050" s="225"/>
    </row>
    <row r="1051" customFormat="false" ht="14.25" hidden="false" customHeight="false" outlineLevel="0" collapsed="false">
      <c r="A1051" s="0" t="n">
        <v>1192766509</v>
      </c>
      <c r="B1051" s="0" t="s">
        <v>5192</v>
      </c>
      <c r="C1051" s="0" t="n">
        <v>0.180912376485063</v>
      </c>
      <c r="D1051" s="0" t="n">
        <v>621843</v>
      </c>
      <c r="E1051" s="0" t="s">
        <v>4137</v>
      </c>
      <c r="F1051" s="225"/>
    </row>
    <row r="1052" customFormat="false" ht="14.25" hidden="false" customHeight="false" outlineLevel="0" collapsed="false">
      <c r="A1052" s="0" t="n">
        <v>1061773444</v>
      </c>
      <c r="B1052" s="0" t="s">
        <v>5193</v>
      </c>
      <c r="C1052" s="0" t="n">
        <v>0.232453842835717</v>
      </c>
      <c r="D1052" s="0" t="n">
        <v>1553476.14</v>
      </c>
      <c r="E1052" s="0" t="s">
        <v>4137</v>
      </c>
      <c r="F1052" s="225"/>
    </row>
    <row r="1053" customFormat="false" ht="14.25" hidden="false" customHeight="false" outlineLevel="0" collapsed="false">
      <c r="A1053" s="0" t="n">
        <v>1116266821</v>
      </c>
      <c r="B1053" s="0" t="s">
        <v>5194</v>
      </c>
      <c r="C1053" s="0" t="n">
        <v>0.193192325965181</v>
      </c>
      <c r="D1053" s="0" t="n">
        <v>1147179.38</v>
      </c>
      <c r="E1053" s="0" t="s">
        <v>4137</v>
      </c>
      <c r="F1053" s="225"/>
    </row>
    <row r="1054" customFormat="false" ht="14.25" hidden="false" customHeight="false" outlineLevel="0" collapsed="false">
      <c r="A1054" s="0" t="n">
        <v>1143981268</v>
      </c>
      <c r="B1054" s="0" t="s">
        <v>5195</v>
      </c>
      <c r="C1054" s="0" t="n">
        <v>0.129815417332944</v>
      </c>
      <c r="D1054" s="0" t="n">
        <v>674891.86</v>
      </c>
      <c r="E1054" s="0" t="s">
        <v>4137</v>
      </c>
      <c r="F1054" s="225"/>
    </row>
    <row r="1055" customFormat="false" ht="14.25" hidden="false" customHeight="false" outlineLevel="0" collapsed="false">
      <c r="A1055" s="0" t="n">
        <v>1139694040</v>
      </c>
      <c r="B1055" s="0" t="s">
        <v>5196</v>
      </c>
      <c r="C1055" s="0" t="n">
        <v>0.190302498238233</v>
      </c>
      <c r="D1055" s="0" t="n">
        <v>681665.16</v>
      </c>
      <c r="E1055" s="0" t="s">
        <v>4147</v>
      </c>
      <c r="F1055" s="225"/>
    </row>
    <row r="1056" customFormat="false" ht="14.25" hidden="false" customHeight="false" outlineLevel="0" collapsed="false">
      <c r="A1056" s="0" t="n">
        <v>38554945</v>
      </c>
      <c r="B1056" s="0" t="s">
        <v>5197</v>
      </c>
      <c r="C1056" s="0" t="n">
        <v>0.551589872955785</v>
      </c>
      <c r="D1056" s="0" t="n">
        <v>-600020.52</v>
      </c>
      <c r="E1056" s="0" t="s">
        <v>4137</v>
      </c>
      <c r="F1056" s="225"/>
    </row>
    <row r="1057" customFormat="false" ht="14.25" hidden="false" customHeight="false" outlineLevel="0" collapsed="false">
      <c r="A1057" s="0" t="n">
        <v>1143873178</v>
      </c>
      <c r="B1057" s="0" t="s">
        <v>5198</v>
      </c>
      <c r="C1057" s="0" t="n">
        <v>0.309325233058372</v>
      </c>
      <c r="D1057" s="0" t="n">
        <v>748482.16</v>
      </c>
      <c r="E1057" s="0" t="s">
        <v>4137</v>
      </c>
      <c r="F1057" s="225"/>
    </row>
    <row r="1058" customFormat="false" ht="14.25" hidden="false" customHeight="false" outlineLevel="0" collapsed="false">
      <c r="A1058" s="0" t="n">
        <v>1143835632</v>
      </c>
      <c r="B1058" s="0" t="s">
        <v>5199</v>
      </c>
      <c r="C1058" s="0" t="n">
        <v>0.298949800831885</v>
      </c>
      <c r="D1058" s="0" t="n">
        <v>1100080</v>
      </c>
      <c r="E1058" s="0" t="s">
        <v>4137</v>
      </c>
      <c r="F1058" s="225"/>
    </row>
    <row r="1059" customFormat="false" ht="14.25" hidden="false" customHeight="false" outlineLevel="0" collapsed="false">
      <c r="A1059" s="0" t="n">
        <v>1118305334</v>
      </c>
      <c r="B1059" s="0" t="s">
        <v>5200</v>
      </c>
      <c r="C1059" s="0" t="n">
        <v>0.539266645823854</v>
      </c>
      <c r="D1059" s="0" t="n">
        <v>-301623.28</v>
      </c>
      <c r="E1059" s="0" t="s">
        <v>4137</v>
      </c>
      <c r="F1059" s="225"/>
    </row>
    <row r="1060" customFormat="false" ht="14.25" hidden="false" customHeight="false" outlineLevel="0" collapsed="false">
      <c r="A1060" s="0" t="n">
        <v>1005785010</v>
      </c>
      <c r="B1060" s="0" t="s">
        <v>5201</v>
      </c>
      <c r="C1060" s="0" t="n">
        <v>0.202540848767454</v>
      </c>
      <c r="D1060" s="0" t="n">
        <v>776754.52</v>
      </c>
      <c r="E1060" s="0" t="s">
        <v>4137</v>
      </c>
      <c r="F1060" s="225"/>
    </row>
    <row r="1061" customFormat="false" ht="14.25" hidden="false" customHeight="false" outlineLevel="0" collapsed="false">
      <c r="A1061" s="0" t="n">
        <v>1144056291</v>
      </c>
      <c r="B1061" s="0" t="s">
        <v>5202</v>
      </c>
      <c r="C1061" s="0" t="n">
        <v>0.318161810327806</v>
      </c>
      <c r="D1061" s="0" t="n">
        <v>589349.96</v>
      </c>
      <c r="E1061" s="0" t="s">
        <v>4137</v>
      </c>
      <c r="F1061" s="225"/>
    </row>
    <row r="1062" customFormat="false" ht="14.25" hidden="false" customHeight="false" outlineLevel="0" collapsed="false">
      <c r="A1062" s="0" t="n">
        <v>24341885</v>
      </c>
      <c r="B1062" s="0" t="s">
        <v>5203</v>
      </c>
      <c r="C1062" s="0" t="n">
        <v>0.203462209899363</v>
      </c>
      <c r="D1062" s="0" t="n">
        <v>1265187</v>
      </c>
      <c r="E1062" s="0" t="s">
        <v>4137</v>
      </c>
      <c r="F1062" s="225"/>
    </row>
    <row r="1063" customFormat="false" ht="14.25" hidden="false" customHeight="false" outlineLevel="0" collapsed="false">
      <c r="A1063" s="0" t="n">
        <v>1234191313</v>
      </c>
      <c r="B1063" s="0" t="s">
        <v>5204</v>
      </c>
      <c r="C1063" s="0" t="n">
        <v>0.264853917485873</v>
      </c>
      <c r="D1063" s="0" t="n">
        <v>526329.62</v>
      </c>
      <c r="E1063" s="0" t="s">
        <v>4147</v>
      </c>
      <c r="F1063" s="225"/>
    </row>
    <row r="1064" customFormat="false" ht="14.25" hidden="false" customHeight="false" outlineLevel="0" collapsed="false">
      <c r="A1064" s="0" t="n">
        <v>14479754</v>
      </c>
      <c r="B1064" s="0" t="s">
        <v>5205</v>
      </c>
      <c r="C1064" s="0" t="n">
        <v>0.361146281816617</v>
      </c>
      <c r="D1064" s="0" t="n">
        <v>129546.98</v>
      </c>
      <c r="E1064" s="0" t="s">
        <v>4147</v>
      </c>
      <c r="F1064" s="225"/>
    </row>
    <row r="1065" customFormat="false" ht="14.25" hidden="false" customHeight="false" outlineLevel="0" collapsed="false">
      <c r="A1065" s="0" t="n">
        <v>1059710734</v>
      </c>
      <c r="B1065" s="0" t="s">
        <v>5206</v>
      </c>
      <c r="C1065" s="0" t="n">
        <v>0.209118133747911</v>
      </c>
      <c r="D1065" s="0" t="n">
        <v>483255.76</v>
      </c>
      <c r="E1065" s="0" t="s">
        <v>4137</v>
      </c>
      <c r="F1065" s="225"/>
    </row>
    <row r="1066" customFormat="false" ht="14.25" hidden="false" customHeight="false" outlineLevel="0" collapsed="false">
      <c r="A1066" s="0" t="n">
        <v>38551369</v>
      </c>
      <c r="B1066" s="0" t="s">
        <v>5207</v>
      </c>
      <c r="C1066" s="0" t="n">
        <v>0.403844070903928</v>
      </c>
      <c r="D1066" s="0" t="n">
        <v>121117.64</v>
      </c>
      <c r="E1066" s="0" t="s">
        <v>4137</v>
      </c>
      <c r="F1066" s="225"/>
    </row>
    <row r="1067" customFormat="false" ht="14.25" hidden="false" customHeight="false" outlineLevel="0" collapsed="false">
      <c r="A1067" s="0" t="n">
        <v>1144193870</v>
      </c>
      <c r="B1067" s="0" t="s">
        <v>5208</v>
      </c>
      <c r="C1067" s="0" t="n">
        <v>0.200125214568035</v>
      </c>
      <c r="D1067" s="0" t="n">
        <v>618340.52</v>
      </c>
      <c r="E1067" s="0" t="s">
        <v>4137</v>
      </c>
      <c r="F1067" s="225"/>
    </row>
    <row r="1068" customFormat="false" ht="14.25" hidden="false" customHeight="false" outlineLevel="0" collapsed="false">
      <c r="A1068" s="0" t="n">
        <v>1130588075</v>
      </c>
      <c r="B1068" s="0" t="s">
        <v>5209</v>
      </c>
      <c r="C1068" s="0" t="n">
        <v>0.203742228030573</v>
      </c>
      <c r="D1068" s="0" t="n">
        <v>1092145</v>
      </c>
      <c r="E1068" s="0" t="s">
        <v>4137</v>
      </c>
      <c r="F1068" s="225"/>
    </row>
    <row r="1069" customFormat="false" ht="14.25" hidden="false" customHeight="false" outlineLevel="0" collapsed="false">
      <c r="A1069" s="0" t="n">
        <v>24713592</v>
      </c>
      <c r="B1069" s="0" t="s">
        <v>5210</v>
      </c>
      <c r="C1069" s="0" t="n">
        <v>0.146207663121025</v>
      </c>
      <c r="D1069" s="0" t="n">
        <v>763760.06</v>
      </c>
      <c r="E1069" s="0" t="s">
        <v>4137</v>
      </c>
      <c r="F1069" s="225"/>
    </row>
    <row r="1070" customFormat="false" ht="14.25" hidden="false" customHeight="false" outlineLevel="0" collapsed="false">
      <c r="A1070" s="0" t="n">
        <v>24343891</v>
      </c>
      <c r="B1070" s="0" t="s">
        <v>5211</v>
      </c>
      <c r="C1070" s="0" t="n">
        <v>0.322254253690469</v>
      </c>
      <c r="D1070" s="0" t="n">
        <v>735379.24</v>
      </c>
      <c r="E1070" s="0" t="s">
        <v>4147</v>
      </c>
      <c r="F1070" s="225"/>
    </row>
    <row r="1071" customFormat="false" ht="14.25" hidden="false" customHeight="false" outlineLevel="0" collapsed="false">
      <c r="A1071" s="0" t="n">
        <v>1087118163</v>
      </c>
      <c r="B1071" s="0" t="s">
        <v>5212</v>
      </c>
      <c r="C1071" s="0" t="n">
        <v>0.155354388736448</v>
      </c>
      <c r="D1071" s="0" t="n">
        <v>1984789.42</v>
      </c>
      <c r="E1071" s="0" t="s">
        <v>4147</v>
      </c>
      <c r="F1071" s="225"/>
    </row>
    <row r="1072" customFormat="false" ht="14.25" hidden="false" customHeight="false" outlineLevel="0" collapsed="false">
      <c r="A1072" s="0" t="n">
        <v>38562452</v>
      </c>
      <c r="B1072" s="0" t="s">
        <v>5213</v>
      </c>
      <c r="C1072" s="0" t="n">
        <v>0.325445785219271</v>
      </c>
      <c r="D1072" s="0" t="n">
        <v>340658.16</v>
      </c>
      <c r="E1072" s="0" t="s">
        <v>4147</v>
      </c>
      <c r="F1072" s="225"/>
    </row>
    <row r="1073" customFormat="false" ht="14.25" hidden="false" customHeight="false" outlineLevel="0" collapsed="false">
      <c r="A1073" s="0" t="n">
        <v>1111752015</v>
      </c>
      <c r="B1073" s="0" t="s">
        <v>5214</v>
      </c>
      <c r="C1073" s="0" t="n">
        <v>0.4052958219532</v>
      </c>
      <c r="D1073" s="0" t="n">
        <v>79679</v>
      </c>
      <c r="E1073" s="0" t="s">
        <v>4137</v>
      </c>
      <c r="F1073" s="225"/>
    </row>
    <row r="1074" customFormat="false" ht="14.25" hidden="false" customHeight="false" outlineLevel="0" collapsed="false">
      <c r="A1074" s="0" t="n">
        <v>67031135</v>
      </c>
      <c r="B1074" s="0" t="s">
        <v>5215</v>
      </c>
      <c r="C1074" s="0" t="n">
        <v>0.329835744224994</v>
      </c>
      <c r="D1074" s="0" t="n">
        <v>935759.54</v>
      </c>
      <c r="E1074" s="0" t="s">
        <v>4137</v>
      </c>
      <c r="F1074" s="225"/>
    </row>
    <row r="1075" customFormat="false" ht="14.25" hidden="false" customHeight="false" outlineLevel="0" collapsed="false">
      <c r="A1075" s="0" t="n">
        <v>38595275</v>
      </c>
      <c r="B1075" s="0" t="s">
        <v>5216</v>
      </c>
      <c r="C1075" s="0" t="n">
        <v>0.247770881146402</v>
      </c>
      <c r="D1075" s="0" t="n">
        <v>662217.46</v>
      </c>
      <c r="E1075" s="0" t="s">
        <v>4147</v>
      </c>
      <c r="F1075" s="225"/>
    </row>
    <row r="1076" customFormat="false" ht="14.25" hidden="false" customHeight="false" outlineLevel="0" collapsed="false">
      <c r="A1076" s="0" t="n">
        <v>34513804</v>
      </c>
      <c r="B1076" s="0" t="s">
        <v>5217</v>
      </c>
      <c r="C1076" s="0" t="n">
        <v>0.347097767360634</v>
      </c>
      <c r="D1076" s="0" t="n">
        <v>308912.333333334</v>
      </c>
      <c r="E1076" s="0" t="s">
        <v>4147</v>
      </c>
      <c r="F1076" s="225"/>
    </row>
    <row r="1077" customFormat="false" ht="14.25" hidden="false" customHeight="false" outlineLevel="0" collapsed="false">
      <c r="A1077" s="0" t="n">
        <v>31997137</v>
      </c>
      <c r="B1077" s="0" t="s">
        <v>5218</v>
      </c>
      <c r="C1077" s="0" t="n">
        <v>0.435784016690856</v>
      </c>
      <c r="D1077" s="0" t="n">
        <v>-58001</v>
      </c>
      <c r="E1077" s="0" t="s">
        <v>4147</v>
      </c>
      <c r="F1077" s="225"/>
    </row>
    <row r="1078" customFormat="false" ht="14.25" hidden="false" customHeight="false" outlineLevel="0" collapsed="false">
      <c r="A1078" s="0" t="n">
        <v>66993132</v>
      </c>
      <c r="B1078" s="0" t="s">
        <v>5219</v>
      </c>
      <c r="C1078" s="0" t="n">
        <v>0.414633258825758</v>
      </c>
      <c r="D1078" s="0" t="n">
        <v>17255.8599999999</v>
      </c>
      <c r="E1078" s="0" t="s">
        <v>4147</v>
      </c>
      <c r="F1078" s="225"/>
    </row>
    <row r="1079" customFormat="false" ht="14.25" hidden="false" customHeight="false" outlineLevel="0" collapsed="false">
      <c r="A1079" s="0" t="n">
        <v>38610903</v>
      </c>
      <c r="B1079" s="0" t="s">
        <v>5220</v>
      </c>
      <c r="C1079" s="0" t="n">
        <v>0.350691076314818</v>
      </c>
      <c r="D1079" s="0" t="n">
        <v>542455.44</v>
      </c>
      <c r="E1079" s="0" t="s">
        <v>4137</v>
      </c>
      <c r="F1079" s="225"/>
    </row>
    <row r="1080" customFormat="false" ht="14.25" hidden="false" customHeight="false" outlineLevel="0" collapsed="false">
      <c r="A1080" s="0" t="n">
        <v>1130609348</v>
      </c>
      <c r="B1080" s="0" t="s">
        <v>5221</v>
      </c>
      <c r="C1080" s="0" t="n">
        <v>0.440979824961783</v>
      </c>
      <c r="D1080" s="0" t="n">
        <v>-71613.0800000001</v>
      </c>
      <c r="E1080" s="0" t="s">
        <v>4147</v>
      </c>
      <c r="F1080" s="225"/>
    </row>
    <row r="1081" customFormat="false" ht="14.25" hidden="false" customHeight="false" outlineLevel="0" collapsed="false">
      <c r="A1081" s="0" t="n">
        <v>66846381</v>
      </c>
      <c r="B1081" s="0" t="s">
        <v>5222</v>
      </c>
      <c r="C1081" s="0" t="n">
        <v>0.187516330717669</v>
      </c>
      <c r="D1081" s="0" t="n">
        <v>723365.42</v>
      </c>
      <c r="E1081" s="0" t="s">
        <v>4147</v>
      </c>
      <c r="F1081" s="225"/>
    </row>
    <row r="1082" customFormat="false" ht="14.25" hidden="false" customHeight="false" outlineLevel="0" collapsed="false">
      <c r="A1082" s="0" t="n">
        <v>16285644</v>
      </c>
      <c r="B1082" s="0" t="s">
        <v>5223</v>
      </c>
      <c r="C1082" s="0" t="n">
        <v>0.133852970051751</v>
      </c>
      <c r="D1082" s="0" t="n">
        <v>2778521.14</v>
      </c>
      <c r="E1082" s="0" t="s">
        <v>4147</v>
      </c>
      <c r="F1082" s="225"/>
    </row>
    <row r="1083" customFormat="false" ht="14.25" hidden="false" customHeight="false" outlineLevel="0" collapsed="false">
      <c r="A1083" s="0" t="n">
        <v>1089905168</v>
      </c>
      <c r="B1083" s="0" t="s">
        <v>5224</v>
      </c>
      <c r="C1083" s="0" t="n">
        <v>0.11594781676331</v>
      </c>
      <c r="D1083" s="0" t="n">
        <v>1282883.12</v>
      </c>
      <c r="E1083" s="0" t="s">
        <v>4137</v>
      </c>
      <c r="F1083" s="225"/>
    </row>
    <row r="1084" customFormat="false" ht="14.25" hidden="false" customHeight="false" outlineLevel="0" collapsed="false">
      <c r="A1084" s="0" t="n">
        <v>67032722</v>
      </c>
      <c r="B1084" s="0" t="s">
        <v>5225</v>
      </c>
      <c r="C1084" s="0" t="n">
        <v>0.20444880251865</v>
      </c>
      <c r="D1084" s="0" t="n">
        <v>1000488.14</v>
      </c>
      <c r="E1084" s="0" t="s">
        <v>4147</v>
      </c>
      <c r="F1084" s="225"/>
    </row>
    <row r="1085" customFormat="false" ht="14.25" hidden="false" customHeight="false" outlineLevel="0" collapsed="false">
      <c r="A1085" s="0" t="n">
        <v>1130591493</v>
      </c>
      <c r="B1085" s="0" t="s">
        <v>5226</v>
      </c>
      <c r="C1085" s="0" t="n">
        <v>0.440987313993954</v>
      </c>
      <c r="D1085" s="0" t="n">
        <v>-59881.4800000002</v>
      </c>
      <c r="E1085" s="0" t="s">
        <v>4147</v>
      </c>
      <c r="F1085" s="225"/>
    </row>
    <row r="1086" customFormat="false" ht="14.25" hidden="false" customHeight="false" outlineLevel="0" collapsed="false">
      <c r="A1086" s="0" t="n">
        <v>1130589547</v>
      </c>
      <c r="B1086" s="0" t="s">
        <v>5227</v>
      </c>
      <c r="C1086" s="0" t="n">
        <v>0.25812543404094</v>
      </c>
      <c r="D1086" s="0" t="n">
        <v>531994.34</v>
      </c>
      <c r="E1086" s="0" t="s">
        <v>4137</v>
      </c>
      <c r="F1086" s="225"/>
    </row>
    <row r="1087" customFormat="false" ht="14.25" hidden="false" customHeight="false" outlineLevel="0" collapsed="false">
      <c r="A1087" s="0" t="n">
        <v>38462926</v>
      </c>
      <c r="B1087" s="0" t="s">
        <v>5228</v>
      </c>
      <c r="C1087" s="0" t="n">
        <v>0.410346901422501</v>
      </c>
      <c r="D1087" s="0" t="n">
        <v>33867</v>
      </c>
      <c r="E1087" s="0" t="s">
        <v>4147</v>
      </c>
      <c r="F1087" s="225"/>
    </row>
    <row r="1088" customFormat="false" ht="14.25" hidden="false" customHeight="false" outlineLevel="0" collapsed="false">
      <c r="A1088" s="0" t="n">
        <v>29107314</v>
      </c>
      <c r="B1088" s="0" t="s">
        <v>5229</v>
      </c>
      <c r="C1088" s="0" t="n">
        <v>0.147678761888433</v>
      </c>
      <c r="D1088" s="0" t="n">
        <v>923843.9</v>
      </c>
      <c r="E1088" s="0" t="s">
        <v>4147</v>
      </c>
      <c r="F1088" s="225"/>
    </row>
    <row r="1089" customFormat="false" ht="14.25" hidden="false" customHeight="false" outlineLevel="0" collapsed="false">
      <c r="A1089" s="0" t="n">
        <v>34315645</v>
      </c>
      <c r="B1089" s="0" t="s">
        <v>5230</v>
      </c>
      <c r="C1089" s="0" t="n">
        <v>0.345146761274573</v>
      </c>
      <c r="D1089" s="0" t="n">
        <v>738975.5</v>
      </c>
      <c r="E1089" s="0" t="s">
        <v>4147</v>
      </c>
      <c r="F1089" s="225"/>
    </row>
    <row r="1090" customFormat="false" ht="14.25" hidden="false" customHeight="false" outlineLevel="0" collapsed="false">
      <c r="A1090" s="0" t="n">
        <v>1143966842</v>
      </c>
      <c r="B1090" s="0" t="s">
        <v>5231</v>
      </c>
      <c r="C1090" s="0" t="n">
        <v>0.182149877865397</v>
      </c>
      <c r="D1090" s="0" t="n">
        <v>652036.22</v>
      </c>
      <c r="E1090" s="0" t="s">
        <v>4147</v>
      </c>
      <c r="F1090" s="225"/>
    </row>
    <row r="1091" customFormat="false" ht="14.25" hidden="false" customHeight="false" outlineLevel="0" collapsed="false">
      <c r="A1091" s="0" t="n">
        <v>66656118</v>
      </c>
      <c r="B1091" s="0" t="s">
        <v>5232</v>
      </c>
      <c r="C1091" s="0" t="n">
        <v>0.143900174759171</v>
      </c>
      <c r="D1091" s="0" t="n">
        <v>2616609.64</v>
      </c>
      <c r="E1091" s="0" t="s">
        <v>4147</v>
      </c>
      <c r="F1091" s="225"/>
    </row>
    <row r="1092" customFormat="false" ht="14.25" hidden="false" customHeight="false" outlineLevel="0" collapsed="false">
      <c r="A1092" s="0" t="n">
        <v>31482381</v>
      </c>
      <c r="B1092" s="0" t="s">
        <v>5233</v>
      </c>
      <c r="C1092" s="0" t="n">
        <v>0.290869220535291</v>
      </c>
      <c r="D1092" s="0" t="n">
        <v>961677.72</v>
      </c>
      <c r="E1092" s="0" t="s">
        <v>4137</v>
      </c>
      <c r="F1092" s="225"/>
    </row>
    <row r="1093" customFormat="false" ht="14.25" hidden="false" customHeight="false" outlineLevel="0" collapsed="false">
      <c r="A1093" s="0" t="n">
        <v>38671608</v>
      </c>
      <c r="B1093" s="0" t="s">
        <v>5234</v>
      </c>
      <c r="C1093" s="0" t="n">
        <v>0.254251962486662</v>
      </c>
      <c r="D1093" s="0" t="n">
        <v>675982.1</v>
      </c>
      <c r="E1093" s="0" t="s">
        <v>4147</v>
      </c>
      <c r="F1093" s="225"/>
    </row>
    <row r="1094" customFormat="false" ht="14.25" hidden="false" customHeight="false" outlineLevel="0" collapsed="false">
      <c r="A1094" s="0" t="n">
        <v>31712755</v>
      </c>
      <c r="B1094" s="0" t="s">
        <v>5235</v>
      </c>
      <c r="C1094" s="0" t="n">
        <v>0.0998015228781544</v>
      </c>
      <c r="D1094" s="0" t="n">
        <v>1478245.26</v>
      </c>
      <c r="E1094" s="0" t="s">
        <v>4147</v>
      </c>
      <c r="F1094" s="225"/>
    </row>
    <row r="1095" customFormat="false" ht="14.25" hidden="false" customHeight="false" outlineLevel="0" collapsed="false">
      <c r="A1095" s="0" t="n">
        <v>67002983</v>
      </c>
      <c r="B1095" s="0" t="s">
        <v>5236</v>
      </c>
      <c r="C1095" s="0" t="n">
        <v>0.10967256296866</v>
      </c>
      <c r="D1095" s="0" t="n">
        <v>1614013</v>
      </c>
      <c r="E1095" s="0" t="s">
        <v>4137</v>
      </c>
      <c r="F1095" s="225"/>
    </row>
    <row r="1096" customFormat="false" ht="14.25" hidden="false" customHeight="false" outlineLevel="0" collapsed="false">
      <c r="A1096" s="0" t="n">
        <v>1151945599</v>
      </c>
      <c r="B1096" s="0" t="s">
        <v>5237</v>
      </c>
      <c r="C1096" s="0" t="n">
        <v>0.232091170294797</v>
      </c>
      <c r="D1096" s="0" t="n">
        <v>578524.56</v>
      </c>
      <c r="E1096" s="0" t="s">
        <v>4137</v>
      </c>
      <c r="F1096" s="225"/>
    </row>
    <row r="1097" customFormat="false" ht="14.25" hidden="false" customHeight="false" outlineLevel="0" collapsed="false">
      <c r="A1097" s="0" t="n">
        <v>30330090</v>
      </c>
      <c r="B1097" s="0" t="s">
        <v>5238</v>
      </c>
      <c r="C1097" s="0" t="n">
        <v>0.145462046645754</v>
      </c>
      <c r="D1097" s="0" t="n">
        <v>1762974.66</v>
      </c>
      <c r="E1097" s="0" t="s">
        <v>4147</v>
      </c>
      <c r="F1097" s="225"/>
    </row>
    <row r="1098" customFormat="false" ht="14.25" hidden="false" customHeight="false" outlineLevel="0" collapsed="false">
      <c r="A1098" s="0" t="n">
        <v>38551037</v>
      </c>
      <c r="B1098" s="0" t="s">
        <v>5239</v>
      </c>
      <c r="C1098" s="0" t="n">
        <v>0.112370511295629</v>
      </c>
      <c r="D1098" s="0" t="n">
        <v>982748.14</v>
      </c>
      <c r="E1098" s="0" t="s">
        <v>4147</v>
      </c>
      <c r="F1098" s="225"/>
    </row>
    <row r="1099" customFormat="false" ht="14.25" hidden="false" customHeight="false" outlineLevel="0" collapsed="false">
      <c r="A1099" s="0" t="n">
        <v>31713687</v>
      </c>
      <c r="B1099" s="0" t="s">
        <v>5240</v>
      </c>
      <c r="C1099" s="0" t="n">
        <v>0.353773122120534</v>
      </c>
      <c r="D1099" s="0" t="n">
        <v>261909.2</v>
      </c>
      <c r="E1099" s="0" t="s">
        <v>4137</v>
      </c>
      <c r="F1099" s="225"/>
    </row>
    <row r="1100" customFormat="false" ht="14.25" hidden="false" customHeight="false" outlineLevel="0" collapsed="false">
      <c r="A1100" s="0" t="n">
        <v>29360578</v>
      </c>
      <c r="B1100" s="0" t="s">
        <v>5241</v>
      </c>
      <c r="C1100" s="0" t="n">
        <v>0.27678216915986</v>
      </c>
      <c r="D1100" s="0" t="n">
        <v>515562.04</v>
      </c>
      <c r="E1100" s="0" t="s">
        <v>4137</v>
      </c>
      <c r="F1100" s="225"/>
    </row>
    <row r="1101" customFormat="false" ht="14.25" hidden="false" customHeight="false" outlineLevel="0" collapsed="false">
      <c r="A1101" s="0" t="n">
        <v>94423089</v>
      </c>
      <c r="B1101" s="0" t="s">
        <v>5242</v>
      </c>
      <c r="C1101" s="0" t="n">
        <v>0.111720877476012</v>
      </c>
      <c r="D1101" s="0" t="n">
        <v>860478.86</v>
      </c>
      <c r="E1101" s="0" t="s">
        <v>4147</v>
      </c>
      <c r="F1101" s="225"/>
    </row>
    <row r="1102" customFormat="false" ht="14.25" hidden="false" customHeight="false" outlineLevel="0" collapsed="false">
      <c r="A1102" s="0" t="n">
        <v>38681207</v>
      </c>
      <c r="B1102" s="0" t="s">
        <v>5243</v>
      </c>
      <c r="C1102" s="0" t="n">
        <v>0.299373881383774</v>
      </c>
      <c r="D1102" s="0" t="n">
        <v>288638.68</v>
      </c>
      <c r="E1102" s="0" t="s">
        <v>4147</v>
      </c>
      <c r="F1102" s="225"/>
    </row>
    <row r="1103" customFormat="false" ht="14.25" hidden="false" customHeight="false" outlineLevel="0" collapsed="false">
      <c r="A1103" s="0" t="n">
        <v>1143925006</v>
      </c>
      <c r="B1103" s="0" t="s">
        <v>5244</v>
      </c>
      <c r="C1103" s="0" t="n">
        <v>0.352941235113546</v>
      </c>
      <c r="D1103" s="0" t="n">
        <v>269061</v>
      </c>
      <c r="E1103" s="0" t="s">
        <v>4137</v>
      </c>
      <c r="F1103" s="225"/>
    </row>
    <row r="1104" customFormat="false" ht="14.25" hidden="false" customHeight="false" outlineLevel="0" collapsed="false">
      <c r="A1104" s="0" t="n">
        <v>66773669</v>
      </c>
      <c r="B1104" s="0" t="s">
        <v>5245</v>
      </c>
      <c r="C1104" s="0" t="n">
        <v>0.155056789576566</v>
      </c>
      <c r="D1104" s="0" t="n">
        <v>874807.42</v>
      </c>
      <c r="E1104" s="0" t="s">
        <v>4137</v>
      </c>
      <c r="F1104" s="225"/>
    </row>
    <row r="1105" customFormat="false" ht="14.25" hidden="false" customHeight="false" outlineLevel="0" collapsed="false">
      <c r="A1105" s="0" t="n">
        <v>38889968</v>
      </c>
      <c r="B1105" s="0" t="s">
        <v>5246</v>
      </c>
      <c r="C1105" s="0" t="n">
        <v>0.0968163499935789</v>
      </c>
      <c r="D1105" s="0" t="n">
        <v>1585438.8</v>
      </c>
      <c r="E1105" s="0" t="s">
        <v>4147</v>
      </c>
      <c r="F1105" s="225"/>
    </row>
    <row r="1106" customFormat="false" ht="14.25" hidden="false" customHeight="false" outlineLevel="0" collapsed="false">
      <c r="A1106" s="0" t="n">
        <v>1113779883</v>
      </c>
      <c r="B1106" s="0" t="s">
        <v>5247</v>
      </c>
      <c r="C1106" s="0" t="n">
        <v>0.153681656416661</v>
      </c>
      <c r="D1106" s="0" t="n">
        <v>992435.84</v>
      </c>
      <c r="E1106" s="0" t="s">
        <v>4137</v>
      </c>
      <c r="F1106" s="225"/>
    </row>
    <row r="1107" customFormat="false" ht="14.25" hidden="false" customHeight="false" outlineLevel="0" collapsed="false">
      <c r="A1107" s="0" t="n">
        <v>38601336</v>
      </c>
      <c r="B1107" s="0" t="s">
        <v>5248</v>
      </c>
      <c r="C1107" s="0" t="n">
        <v>0.24594694953254</v>
      </c>
      <c r="D1107" s="0" t="n">
        <v>641382.3</v>
      </c>
      <c r="E1107" s="0" t="s">
        <v>4147</v>
      </c>
      <c r="F1107" s="225"/>
    </row>
    <row r="1108" customFormat="false" ht="14.25" hidden="false" customHeight="false" outlineLevel="0" collapsed="false">
      <c r="A1108" s="0" t="n">
        <v>38670313</v>
      </c>
      <c r="B1108" s="0" t="s">
        <v>5249</v>
      </c>
      <c r="C1108" s="0" t="n">
        <v>0.305828594156268</v>
      </c>
      <c r="D1108" s="0" t="n">
        <v>769305.2</v>
      </c>
      <c r="E1108" s="0" t="s">
        <v>4147</v>
      </c>
      <c r="F1108" s="225"/>
    </row>
    <row r="1109" customFormat="false" ht="14.25" hidden="false" customHeight="false" outlineLevel="0" collapsed="false">
      <c r="A1109" s="0" t="n">
        <v>38602057</v>
      </c>
      <c r="B1109" s="0" t="s">
        <v>5250</v>
      </c>
      <c r="C1109" s="0" t="n">
        <v>0.150453826165191</v>
      </c>
      <c r="D1109" s="0" t="n">
        <v>829082.88</v>
      </c>
      <c r="E1109" s="0" t="s">
        <v>4147</v>
      </c>
      <c r="F1109" s="225"/>
    </row>
    <row r="1110" customFormat="false" ht="14.25" hidden="false" customHeight="false" outlineLevel="0" collapsed="false">
      <c r="A1110" s="0" t="n">
        <v>1130627726</v>
      </c>
      <c r="B1110" s="0" t="s">
        <v>5251</v>
      </c>
      <c r="C1110" s="0" t="n">
        <v>0.458324663303891</v>
      </c>
      <c r="D1110" s="0" t="n">
        <v>-85460.3200000001</v>
      </c>
      <c r="E1110" s="0" t="s">
        <v>4147</v>
      </c>
      <c r="F1110" s="225"/>
    </row>
    <row r="1111" customFormat="false" ht="14.25" hidden="false" customHeight="false" outlineLevel="0" collapsed="false">
      <c r="A1111" s="0" t="n">
        <v>67015173</v>
      </c>
      <c r="B1111" s="0" t="s">
        <v>5252</v>
      </c>
      <c r="C1111" s="0" t="n">
        <v>0.138714899146104</v>
      </c>
      <c r="D1111" s="0" t="n">
        <v>1001022.04</v>
      </c>
      <c r="E1111" s="0" t="s">
        <v>4147</v>
      </c>
      <c r="F1111" s="225"/>
    </row>
    <row r="1112" customFormat="false" ht="14.25" hidden="false" customHeight="false" outlineLevel="0" collapsed="false">
      <c r="A1112" s="0" t="n">
        <v>66981726</v>
      </c>
      <c r="B1112" s="0" t="s">
        <v>5253</v>
      </c>
      <c r="C1112" s="0" t="n">
        <v>0.253988041987306</v>
      </c>
      <c r="D1112" s="0" t="n">
        <v>359817.14</v>
      </c>
      <c r="E1112" s="0" t="s">
        <v>4147</v>
      </c>
      <c r="F1112" s="225"/>
    </row>
    <row r="1113" customFormat="false" ht="14.25" hidden="false" customHeight="false" outlineLevel="0" collapsed="false">
      <c r="A1113" s="0" t="n">
        <v>67041428</v>
      </c>
      <c r="B1113" s="0" t="s">
        <v>5254</v>
      </c>
      <c r="C1113" s="0" t="n">
        <v>0.342063169140555</v>
      </c>
      <c r="D1113" s="0" t="n">
        <v>307559.18</v>
      </c>
      <c r="E1113" s="0" t="s">
        <v>4147</v>
      </c>
      <c r="F1113" s="225"/>
    </row>
    <row r="1114" customFormat="false" ht="14.25" hidden="false" customHeight="false" outlineLevel="0" collapsed="false">
      <c r="A1114" s="0" t="n">
        <v>38879179</v>
      </c>
      <c r="B1114" s="0" t="s">
        <v>5255</v>
      </c>
      <c r="C1114" s="0" t="n">
        <v>0.210992253885059</v>
      </c>
      <c r="D1114" s="0" t="n">
        <v>740123.6</v>
      </c>
      <c r="E1114" s="0" t="s">
        <v>4147</v>
      </c>
      <c r="F1114" s="225"/>
    </row>
    <row r="1115" customFormat="false" ht="14.25" hidden="false" customHeight="false" outlineLevel="0" collapsed="false">
      <c r="A1115" s="0" t="n">
        <v>29182666</v>
      </c>
      <c r="B1115" s="0" t="s">
        <v>5256</v>
      </c>
      <c r="C1115" s="0" t="n">
        <v>0.225954153143351</v>
      </c>
      <c r="D1115" s="0" t="n">
        <v>921503.74</v>
      </c>
      <c r="E1115" s="0" t="s">
        <v>4147</v>
      </c>
      <c r="F1115" s="225"/>
    </row>
    <row r="1116" customFormat="false" ht="14.25" hidden="false" customHeight="false" outlineLevel="0" collapsed="false">
      <c r="A1116" s="0" t="n">
        <v>31570062</v>
      </c>
      <c r="B1116" s="0" t="s">
        <v>5257</v>
      </c>
      <c r="C1116" s="0" t="n">
        <v>0.421435957457826</v>
      </c>
      <c r="D1116" s="0" t="n">
        <v>-5480</v>
      </c>
      <c r="E1116" s="0" t="s">
        <v>4147</v>
      </c>
      <c r="F1116" s="225"/>
    </row>
    <row r="1117" customFormat="false" ht="14.25" hidden="false" customHeight="false" outlineLevel="0" collapsed="false">
      <c r="A1117" s="0" t="n">
        <v>38681087</v>
      </c>
      <c r="B1117" s="0" t="s">
        <v>5258</v>
      </c>
      <c r="C1117" s="0" t="n">
        <v>0.169379134669349</v>
      </c>
      <c r="D1117" s="0" t="n">
        <v>1152571.86</v>
      </c>
      <c r="E1117" s="0" t="s">
        <v>4147</v>
      </c>
      <c r="F1117" s="225"/>
    </row>
    <row r="1118" customFormat="false" ht="14.25" hidden="false" customHeight="false" outlineLevel="0" collapsed="false">
      <c r="A1118" s="0" t="n">
        <v>1061986499</v>
      </c>
      <c r="B1118" s="0" t="s">
        <v>5259</v>
      </c>
      <c r="C1118" s="0" t="n">
        <v>0.153285861570416</v>
      </c>
      <c r="D1118" s="0" t="n">
        <v>739440.5</v>
      </c>
      <c r="E1118" s="0" t="s">
        <v>4137</v>
      </c>
      <c r="F1118" s="225"/>
    </row>
    <row r="1119" customFormat="false" ht="14.25" hidden="false" customHeight="false" outlineLevel="0" collapsed="false">
      <c r="A1119" s="0" t="n">
        <v>29111443</v>
      </c>
      <c r="B1119" s="0" t="s">
        <v>5260</v>
      </c>
      <c r="C1119" s="0" t="n">
        <v>0.286611923149658</v>
      </c>
      <c r="D1119" s="0" t="n">
        <v>335741.88</v>
      </c>
      <c r="E1119" s="0" t="s">
        <v>4147</v>
      </c>
      <c r="F1119" s="225"/>
    </row>
    <row r="1120" customFormat="false" ht="14.25" hidden="false" customHeight="false" outlineLevel="0" collapsed="false">
      <c r="A1120" s="0" t="n">
        <v>94506781</v>
      </c>
      <c r="B1120" s="0" t="s">
        <v>5261</v>
      </c>
      <c r="C1120" s="0" t="n">
        <v>0.311330331795817</v>
      </c>
      <c r="D1120" s="0" t="n">
        <v>837204.78</v>
      </c>
      <c r="E1120" s="0" t="s">
        <v>4147</v>
      </c>
      <c r="F1120" s="225"/>
    </row>
    <row r="1121" customFormat="false" ht="14.25" hidden="false" customHeight="false" outlineLevel="0" collapsed="false">
      <c r="A1121" s="0" t="n">
        <v>38568611</v>
      </c>
      <c r="B1121" s="0" t="s">
        <v>5262</v>
      </c>
      <c r="C1121" s="0" t="n">
        <v>0.370043023481482</v>
      </c>
      <c r="D1121" s="0" t="n">
        <v>268737.96</v>
      </c>
      <c r="E1121" s="0" t="s">
        <v>4147</v>
      </c>
      <c r="F1121" s="225"/>
    </row>
    <row r="1122" customFormat="false" ht="14.25" hidden="false" customHeight="false" outlineLevel="0" collapsed="false">
      <c r="A1122" s="0" t="n">
        <v>66848167</v>
      </c>
      <c r="B1122" s="0" t="s">
        <v>5263</v>
      </c>
      <c r="C1122" s="0" t="n">
        <v>0.23351699175548</v>
      </c>
      <c r="D1122" s="0" t="n">
        <v>556428</v>
      </c>
      <c r="E1122" s="0" t="s">
        <v>4147</v>
      </c>
      <c r="F1122" s="225"/>
    </row>
    <row r="1123" customFormat="false" ht="14.25" hidden="false" customHeight="false" outlineLevel="0" collapsed="false">
      <c r="A1123" s="0" t="n">
        <v>1130605643</v>
      </c>
      <c r="B1123" s="0" t="s">
        <v>5264</v>
      </c>
      <c r="C1123" s="0" t="n">
        <v>0.202914573731986</v>
      </c>
      <c r="D1123" s="0" t="n">
        <v>955519.16</v>
      </c>
      <c r="E1123" s="0" t="s">
        <v>4147</v>
      </c>
      <c r="F1123" s="225"/>
    </row>
    <row r="1124" customFormat="false" ht="14.25" hidden="false" customHeight="false" outlineLevel="0" collapsed="false">
      <c r="A1124" s="0" t="n">
        <v>29182965</v>
      </c>
      <c r="B1124" s="0" t="s">
        <v>5265</v>
      </c>
      <c r="C1124" s="0" t="n">
        <v>0.166667575962421</v>
      </c>
      <c r="D1124" s="0" t="n">
        <v>1439448.26</v>
      </c>
      <c r="E1124" s="0" t="s">
        <v>4137</v>
      </c>
      <c r="F1124" s="225"/>
    </row>
    <row r="1125" customFormat="false" ht="14.25" hidden="false" customHeight="false" outlineLevel="0" collapsed="false">
      <c r="A1125" s="0" t="n">
        <v>1116235969</v>
      </c>
      <c r="B1125" s="0" t="s">
        <v>5266</v>
      </c>
      <c r="C1125" s="0" t="n">
        <v>0.167152656270086</v>
      </c>
      <c r="D1125" s="0" t="n">
        <v>1592527.22</v>
      </c>
      <c r="E1125" s="0" t="s">
        <v>4147</v>
      </c>
      <c r="F1125" s="225"/>
    </row>
    <row r="1126" customFormat="false" ht="14.25" hidden="false" customHeight="false" outlineLevel="0" collapsed="false">
      <c r="A1126" s="0" t="n">
        <v>1143836852</v>
      </c>
      <c r="B1126" s="0" t="s">
        <v>5267</v>
      </c>
      <c r="C1126" s="0" t="n">
        <v>0.121998326641389</v>
      </c>
      <c r="D1126" s="0" t="n">
        <v>977810.64</v>
      </c>
      <c r="E1126" s="0" t="s">
        <v>4147</v>
      </c>
      <c r="F1126" s="225"/>
    </row>
    <row r="1127" customFormat="false" ht="14.25" hidden="false" customHeight="false" outlineLevel="0" collapsed="false">
      <c r="A1127" s="0" t="n">
        <v>1144046495</v>
      </c>
      <c r="B1127" s="0" t="s">
        <v>5268</v>
      </c>
      <c r="C1127" s="0" t="n">
        <v>0.338003618599174</v>
      </c>
      <c r="D1127" s="0" t="n">
        <v>508090.96</v>
      </c>
      <c r="E1127" s="0" t="s">
        <v>4137</v>
      </c>
      <c r="F1127" s="225"/>
    </row>
    <row r="1128" customFormat="false" ht="14.25" hidden="false" customHeight="false" outlineLevel="0" collapsed="false">
      <c r="A1128" s="0" t="n">
        <v>76140409</v>
      </c>
      <c r="B1128" s="0" t="s">
        <v>5269</v>
      </c>
      <c r="C1128" s="0" t="n">
        <v>0.368082597452624</v>
      </c>
      <c r="D1128" s="0" t="n">
        <v>214209.68</v>
      </c>
      <c r="E1128" s="0" t="s">
        <v>4137</v>
      </c>
      <c r="F1128" s="225"/>
    </row>
    <row r="1129" customFormat="false" ht="14.25" hidden="false" customHeight="false" outlineLevel="0" collapsed="false">
      <c r="A1129" s="0" t="n">
        <v>1065654814</v>
      </c>
      <c r="B1129" s="0" t="s">
        <v>5270</v>
      </c>
      <c r="C1129" s="0" t="n">
        <v>0.377942755492624</v>
      </c>
      <c r="D1129" s="0" t="n">
        <v>222728.62</v>
      </c>
      <c r="E1129" s="0" t="s">
        <v>4147</v>
      </c>
      <c r="F1129" s="225"/>
    </row>
    <row r="1130" customFormat="false" ht="14.25" hidden="false" customHeight="false" outlineLevel="0" collapsed="false">
      <c r="A1130" s="0" t="n">
        <v>53098371</v>
      </c>
      <c r="B1130" s="0" t="s">
        <v>5271</v>
      </c>
      <c r="C1130" s="0" t="n">
        <v>0.29512286365497</v>
      </c>
      <c r="D1130" s="0" t="n">
        <v>1041592.66</v>
      </c>
      <c r="E1130" s="0" t="s">
        <v>4137</v>
      </c>
      <c r="F1130" s="225"/>
    </row>
    <row r="1131" customFormat="false" ht="14.25" hidden="false" customHeight="false" outlineLevel="0" collapsed="false">
      <c r="A1131" s="0" t="n">
        <v>66816184</v>
      </c>
      <c r="B1131" s="0" t="s">
        <v>5272</v>
      </c>
      <c r="C1131" s="0" t="n">
        <v>0.403952340706844</v>
      </c>
      <c r="D1131" s="0" t="n">
        <v>36703.4199999999</v>
      </c>
      <c r="E1131" s="0" t="s">
        <v>4147</v>
      </c>
      <c r="F1131" s="225"/>
    </row>
    <row r="1132" customFormat="false" ht="14.25" hidden="false" customHeight="false" outlineLevel="0" collapsed="false">
      <c r="A1132" s="0" t="n">
        <v>94475821</v>
      </c>
      <c r="B1132" s="0" t="s">
        <v>5273</v>
      </c>
      <c r="C1132" s="0" t="n">
        <v>0.140388357316852</v>
      </c>
      <c r="D1132" s="0" t="n">
        <v>1315187.94</v>
      </c>
      <c r="E1132" s="0" t="s">
        <v>4147</v>
      </c>
      <c r="F1132" s="225"/>
    </row>
    <row r="1133" customFormat="false" ht="14.25" hidden="false" customHeight="false" outlineLevel="0" collapsed="false">
      <c r="A1133" s="0" t="n">
        <v>1114727465</v>
      </c>
      <c r="B1133" s="0" t="s">
        <v>5274</v>
      </c>
      <c r="C1133" s="0" t="n">
        <v>0.415169554119986</v>
      </c>
      <c r="D1133" s="0" t="n">
        <v>20367</v>
      </c>
      <c r="E1133" s="0" t="s">
        <v>4147</v>
      </c>
      <c r="F1133" s="225"/>
    </row>
    <row r="1134" customFormat="false" ht="14.25" hidden="false" customHeight="false" outlineLevel="0" collapsed="false">
      <c r="A1134" s="0" t="n">
        <v>1062204134</v>
      </c>
      <c r="B1134" s="0" t="s">
        <v>5275</v>
      </c>
      <c r="C1134" s="0" t="n">
        <v>0.383158772505899</v>
      </c>
      <c r="D1134" s="0" t="n">
        <v>188827.28</v>
      </c>
      <c r="E1134" s="0" t="s">
        <v>4147</v>
      </c>
      <c r="F1134" s="225"/>
    </row>
    <row r="1135" customFormat="false" ht="14.25" hidden="false" customHeight="false" outlineLevel="0" collapsed="false">
      <c r="A1135" s="0" t="n">
        <v>1113514036</v>
      </c>
      <c r="B1135" s="0" t="s">
        <v>5276</v>
      </c>
      <c r="C1135" s="0" t="n">
        <v>0.297568005375073</v>
      </c>
      <c r="D1135" s="0" t="n">
        <v>418867.36</v>
      </c>
      <c r="E1135" s="0" t="s">
        <v>4147</v>
      </c>
      <c r="F1135" s="225"/>
    </row>
    <row r="1136" customFormat="false" ht="14.25" hidden="false" customHeight="false" outlineLevel="0" collapsed="false">
      <c r="A1136" s="0" t="n">
        <v>1116242064</v>
      </c>
      <c r="B1136" s="0" t="s">
        <v>5277</v>
      </c>
      <c r="C1136" s="0" t="n">
        <v>0.166580405474868</v>
      </c>
      <c r="D1136" s="0" t="n">
        <v>667210.88</v>
      </c>
      <c r="E1136" s="0" t="s">
        <v>4137</v>
      </c>
      <c r="F1136" s="225"/>
    </row>
    <row r="1137" customFormat="false" ht="14.25" hidden="false" customHeight="false" outlineLevel="0" collapsed="false">
      <c r="A1137" s="0" t="n">
        <v>1107057969</v>
      </c>
      <c r="B1137" s="0" t="s">
        <v>5278</v>
      </c>
      <c r="C1137" s="0" t="n">
        <v>0.505318154271478</v>
      </c>
      <c r="D1137" s="0" t="n">
        <v>-333297.333333333</v>
      </c>
      <c r="E1137" s="0" t="s">
        <v>4137</v>
      </c>
      <c r="F1137" s="225"/>
    </row>
    <row r="1138" customFormat="false" ht="14.25" hidden="false" customHeight="false" outlineLevel="0" collapsed="false">
      <c r="A1138" s="0" t="n">
        <v>1113635046</v>
      </c>
      <c r="B1138" s="0" t="s">
        <v>5279</v>
      </c>
      <c r="C1138" s="0" t="n">
        <v>0.20805136663525</v>
      </c>
      <c r="D1138" s="0" t="n">
        <v>1169363</v>
      </c>
      <c r="E1138" s="0" t="s">
        <v>4137</v>
      </c>
      <c r="F1138" s="225"/>
    </row>
    <row r="1139" customFormat="false" ht="14.25" hidden="false" customHeight="false" outlineLevel="0" collapsed="false">
      <c r="A1139" s="0" t="n">
        <v>29177722</v>
      </c>
      <c r="B1139" s="0" t="s">
        <v>5280</v>
      </c>
      <c r="C1139" s="0" t="n">
        <v>0.265587508875866</v>
      </c>
      <c r="D1139" s="0" t="n">
        <v>567428.64</v>
      </c>
      <c r="E1139" s="0" t="s">
        <v>4147</v>
      </c>
      <c r="F1139" s="225"/>
    </row>
    <row r="1140" customFormat="false" ht="14.25" hidden="false" customHeight="false" outlineLevel="0" collapsed="false">
      <c r="A1140" s="0" t="n">
        <v>29672981</v>
      </c>
      <c r="B1140" s="0" t="s">
        <v>5281</v>
      </c>
      <c r="C1140" s="0" t="n">
        <v>0.1997227882656</v>
      </c>
      <c r="D1140" s="0" t="n">
        <v>572919</v>
      </c>
      <c r="E1140" s="0" t="s">
        <v>4147</v>
      </c>
      <c r="F1140" s="225"/>
    </row>
    <row r="1141" customFormat="false" ht="14.25" hidden="false" customHeight="false" outlineLevel="0" collapsed="false">
      <c r="A1141" s="0" t="n">
        <v>31576144</v>
      </c>
      <c r="B1141" s="0" t="s">
        <v>5282</v>
      </c>
      <c r="C1141" s="0" t="n">
        <v>0.443655790950026</v>
      </c>
      <c r="D1141" s="0" t="n">
        <v>-128186</v>
      </c>
      <c r="E1141" s="0" t="s">
        <v>4137</v>
      </c>
      <c r="F1141" s="225"/>
    </row>
    <row r="1142" customFormat="false" ht="14.25" hidden="false" customHeight="false" outlineLevel="0" collapsed="false">
      <c r="A1142" s="0" t="n">
        <v>38656658</v>
      </c>
      <c r="B1142" s="0" t="s">
        <v>5283</v>
      </c>
      <c r="C1142" s="0" t="n">
        <v>0.420521572134799</v>
      </c>
      <c r="D1142" s="0" t="n">
        <v>-1969.56000000006</v>
      </c>
      <c r="E1142" s="0" t="s">
        <v>4137</v>
      </c>
      <c r="F1142" s="225"/>
    </row>
    <row r="1143" customFormat="false" ht="14.25" hidden="false" customHeight="false" outlineLevel="0" collapsed="false">
      <c r="A1143" s="0" t="n">
        <v>35850665</v>
      </c>
      <c r="B1143" s="0" t="s">
        <v>5284</v>
      </c>
      <c r="C1143" s="0" t="n">
        <v>0.111008724764846</v>
      </c>
      <c r="D1143" s="0" t="n">
        <v>1351346.46</v>
      </c>
      <c r="E1143" s="0" t="s">
        <v>4147</v>
      </c>
      <c r="F1143" s="225"/>
    </row>
    <row r="1144" customFormat="false" ht="14.25" hidden="false" customHeight="false" outlineLevel="0" collapsed="false">
      <c r="A1144" s="0" t="n">
        <v>31306157</v>
      </c>
      <c r="B1144" s="0" t="s">
        <v>5285</v>
      </c>
      <c r="C1144" s="0" t="n">
        <v>0.172111731688335</v>
      </c>
      <c r="D1144" s="0" t="n">
        <v>1284580.06</v>
      </c>
      <c r="E1144" s="0" t="s">
        <v>4147</v>
      </c>
      <c r="F1144" s="225"/>
    </row>
    <row r="1145" customFormat="false" ht="14.25" hidden="false" customHeight="false" outlineLevel="0" collapsed="false">
      <c r="A1145" s="0" t="n">
        <v>1130592120</v>
      </c>
      <c r="B1145" s="0" t="s">
        <v>5286</v>
      </c>
      <c r="C1145" s="0" t="n">
        <v>0.367547566561614</v>
      </c>
      <c r="D1145" s="0" t="n">
        <v>242559.04</v>
      </c>
      <c r="E1145" s="0" t="s">
        <v>4147</v>
      </c>
      <c r="F1145" s="225"/>
    </row>
    <row r="1146" customFormat="false" ht="14.25" hidden="false" customHeight="false" outlineLevel="0" collapsed="false">
      <c r="A1146" s="0" t="n">
        <v>1144163849</v>
      </c>
      <c r="B1146" s="0" t="s">
        <v>5287</v>
      </c>
      <c r="C1146" s="0" t="n">
        <v>0.349279647885903</v>
      </c>
      <c r="D1146" s="0" t="n">
        <v>476500.72</v>
      </c>
      <c r="E1146" s="0" t="s">
        <v>4137</v>
      </c>
      <c r="F1146" s="225"/>
    </row>
    <row r="1147" customFormat="false" ht="14.25" hidden="false" customHeight="false" outlineLevel="0" collapsed="false">
      <c r="A1147" s="0" t="n">
        <v>16889110</v>
      </c>
      <c r="B1147" s="0" t="s">
        <v>5288</v>
      </c>
      <c r="C1147" s="0" t="n">
        <v>0.415068365910868</v>
      </c>
      <c r="D1147" s="0" t="n">
        <v>22527</v>
      </c>
      <c r="E1147" s="0" t="s">
        <v>4147</v>
      </c>
      <c r="F1147" s="225"/>
    </row>
    <row r="1148" customFormat="false" ht="14.25" hidden="false" customHeight="false" outlineLevel="0" collapsed="false">
      <c r="A1148" s="0" t="n">
        <v>1144187352</v>
      </c>
      <c r="B1148" s="0" t="s">
        <v>5289</v>
      </c>
      <c r="C1148" s="0" t="n">
        <v>0.358589450860157</v>
      </c>
      <c r="D1148" s="0" t="n">
        <v>296891.92</v>
      </c>
      <c r="E1148" s="0" t="s">
        <v>4147</v>
      </c>
      <c r="F1148" s="225"/>
    </row>
    <row r="1149" customFormat="false" ht="14.25" hidden="false" customHeight="false" outlineLevel="0" collapsed="false">
      <c r="A1149" s="0" t="n">
        <v>1087185676</v>
      </c>
      <c r="B1149" s="0" t="s">
        <v>5290</v>
      </c>
      <c r="C1149" s="0" t="n">
        <v>0.380333573042577</v>
      </c>
      <c r="D1149" s="0" t="n">
        <v>207986.52</v>
      </c>
      <c r="E1149" s="0" t="s">
        <v>4137</v>
      </c>
      <c r="F1149" s="225"/>
    </row>
    <row r="1150" customFormat="false" ht="14.25" hidden="false" customHeight="false" outlineLevel="0" collapsed="false">
      <c r="A1150" s="0" t="n">
        <v>34515070</v>
      </c>
      <c r="B1150" s="0" t="s">
        <v>5291</v>
      </c>
      <c r="C1150" s="0" t="n">
        <v>0.471165515439982</v>
      </c>
      <c r="D1150" s="0" t="n">
        <v>-195884.333333334</v>
      </c>
      <c r="E1150" s="0" t="s">
        <v>4147</v>
      </c>
      <c r="F1150" s="225"/>
    </row>
    <row r="1151" customFormat="false" ht="14.25" hidden="false" customHeight="false" outlineLevel="0" collapsed="false">
      <c r="A1151" s="0" t="n">
        <v>1113673170</v>
      </c>
      <c r="B1151" s="0" t="s">
        <v>5292</v>
      </c>
      <c r="C1151" s="0" t="n">
        <v>0.278617017186359</v>
      </c>
      <c r="D1151" s="0" t="n">
        <v>367723</v>
      </c>
      <c r="E1151" s="0" t="s">
        <v>4147</v>
      </c>
      <c r="F1151" s="225"/>
    </row>
    <row r="1152" customFormat="false" ht="14.25" hidden="false" customHeight="false" outlineLevel="0" collapsed="false">
      <c r="A1152" s="0" t="n">
        <v>1107045080</v>
      </c>
      <c r="B1152" s="0" t="s">
        <v>5293</v>
      </c>
      <c r="C1152" s="0" t="n">
        <v>0.448246292578826</v>
      </c>
      <c r="D1152" s="0" t="n">
        <v>-233773.04</v>
      </c>
      <c r="E1152" s="0" t="s">
        <v>4147</v>
      </c>
      <c r="F1152" s="225"/>
    </row>
    <row r="1153" customFormat="false" ht="14.25" hidden="false" customHeight="false" outlineLevel="0" collapsed="false">
      <c r="A1153" s="0" t="n">
        <v>1143926064</v>
      </c>
      <c r="B1153" s="0" t="s">
        <v>5294</v>
      </c>
      <c r="C1153" s="0" t="n">
        <v>0.350254951205091</v>
      </c>
      <c r="D1153" s="0" t="n">
        <v>190618.24</v>
      </c>
      <c r="E1153" s="0" t="s">
        <v>4147</v>
      </c>
      <c r="F1153" s="225"/>
    </row>
    <row r="1154" customFormat="false" ht="14.25" hidden="false" customHeight="false" outlineLevel="0" collapsed="false">
      <c r="A1154" s="0" t="n">
        <v>1042353451</v>
      </c>
      <c r="B1154" s="0" t="s">
        <v>5295</v>
      </c>
      <c r="C1154" s="0" t="n">
        <v>0.141477617513887</v>
      </c>
      <c r="D1154" s="0" t="n">
        <v>1193357</v>
      </c>
      <c r="E1154" s="0" t="s">
        <v>4147</v>
      </c>
      <c r="F1154" s="225"/>
    </row>
    <row r="1155" customFormat="false" ht="14.25" hidden="false" customHeight="false" outlineLevel="0" collapsed="false">
      <c r="A1155" s="0" t="n">
        <v>38613192</v>
      </c>
      <c r="B1155" s="0" t="s">
        <v>5296</v>
      </c>
      <c r="C1155" s="0" t="n">
        <v>0.329989125571107</v>
      </c>
      <c r="D1155" s="0" t="n">
        <v>338955.3</v>
      </c>
      <c r="E1155" s="0" t="s">
        <v>4137</v>
      </c>
      <c r="F1155" s="225"/>
    </row>
    <row r="1156" customFormat="false" ht="14.25" hidden="false" customHeight="false" outlineLevel="0" collapsed="false">
      <c r="A1156" s="0" t="n">
        <v>1144047802</v>
      </c>
      <c r="B1156" s="0" t="s">
        <v>5297</v>
      </c>
      <c r="C1156" s="0" t="n">
        <v>0.237654066870319</v>
      </c>
      <c r="D1156" s="0" t="n">
        <v>1038698.78</v>
      </c>
      <c r="E1156" s="0" t="s">
        <v>4147</v>
      </c>
      <c r="F1156" s="225"/>
    </row>
    <row r="1157" customFormat="false" ht="14.25" hidden="false" customHeight="false" outlineLevel="0" collapsed="false">
      <c r="A1157" s="0" t="n">
        <v>25331605</v>
      </c>
      <c r="B1157" s="0" t="s">
        <v>5298</v>
      </c>
      <c r="C1157" s="0" t="n">
        <v>0.116207203215897</v>
      </c>
      <c r="D1157" s="0" t="n">
        <v>1244330.84</v>
      </c>
      <c r="E1157" s="0" t="s">
        <v>4147</v>
      </c>
      <c r="F1157" s="225"/>
    </row>
    <row r="1158" customFormat="false" ht="14.25" hidden="false" customHeight="false" outlineLevel="0" collapsed="false">
      <c r="A1158" s="0" t="n">
        <v>1143938768</v>
      </c>
      <c r="B1158" s="0" t="s">
        <v>5299</v>
      </c>
      <c r="C1158" s="0" t="n">
        <v>0.301063626698703</v>
      </c>
      <c r="D1158" s="0" t="n">
        <v>368619.7</v>
      </c>
      <c r="E1158" s="0" t="s">
        <v>4137</v>
      </c>
      <c r="F1158" s="225"/>
    </row>
    <row r="1159" customFormat="false" ht="14.25" hidden="false" customHeight="false" outlineLevel="0" collapsed="false">
      <c r="A1159" s="0" t="n">
        <v>38640849</v>
      </c>
      <c r="B1159" s="0" t="s">
        <v>5300</v>
      </c>
      <c r="C1159" s="0" t="n">
        <v>0.153189701541057</v>
      </c>
      <c r="D1159" s="0" t="n">
        <v>1176120.34</v>
      </c>
      <c r="E1159" s="0" t="s">
        <v>4147</v>
      </c>
      <c r="F1159" s="225"/>
    </row>
    <row r="1160" customFormat="false" ht="14.25" hidden="false" customHeight="false" outlineLevel="0" collapsed="false">
      <c r="A1160" s="0" t="n">
        <v>1130616273</v>
      </c>
      <c r="B1160" s="0" t="s">
        <v>5301</v>
      </c>
      <c r="C1160" s="0" t="n">
        <v>0.141646175381016</v>
      </c>
      <c r="D1160" s="0" t="n">
        <v>1278255.32</v>
      </c>
      <c r="E1160" s="0" t="s">
        <v>4147</v>
      </c>
      <c r="F1160" s="225"/>
    </row>
    <row r="1161" customFormat="false" ht="14.25" hidden="false" customHeight="false" outlineLevel="0" collapsed="false">
      <c r="A1161" s="0" t="n">
        <v>1130595126</v>
      </c>
      <c r="B1161" s="0" t="s">
        <v>5302</v>
      </c>
      <c r="C1161" s="0" t="n">
        <v>0.158083005611405</v>
      </c>
      <c r="D1161" s="0" t="n">
        <v>1057814.38</v>
      </c>
      <c r="E1161" s="0" t="s">
        <v>4147</v>
      </c>
      <c r="F1161" s="225"/>
    </row>
    <row r="1162" customFormat="false" ht="14.25" hidden="false" customHeight="false" outlineLevel="0" collapsed="false">
      <c r="A1162" s="0" t="n">
        <v>1143840442</v>
      </c>
      <c r="B1162" s="0" t="s">
        <v>5303</v>
      </c>
      <c r="C1162" s="0" t="n">
        <v>0.224240983740595</v>
      </c>
      <c r="D1162" s="0" t="n">
        <v>1029518.2</v>
      </c>
      <c r="E1162" s="0" t="s">
        <v>4137</v>
      </c>
      <c r="F1162" s="225"/>
    </row>
    <row r="1163" customFormat="false" ht="14.25" hidden="false" customHeight="false" outlineLevel="0" collapsed="false">
      <c r="A1163" s="0" t="n">
        <v>16285415</v>
      </c>
      <c r="B1163" s="0" t="s">
        <v>5304</v>
      </c>
      <c r="C1163" s="0" t="n">
        <v>0.401660138493621</v>
      </c>
      <c r="D1163" s="0" t="n">
        <v>55072.4399999999</v>
      </c>
      <c r="E1163" s="0" t="s">
        <v>4137</v>
      </c>
      <c r="F1163" s="225"/>
    </row>
    <row r="1164" customFormat="false" ht="14.25" hidden="false" customHeight="false" outlineLevel="0" collapsed="false">
      <c r="A1164" s="0" t="n">
        <v>38889981</v>
      </c>
      <c r="B1164" s="0" t="s">
        <v>5305</v>
      </c>
      <c r="C1164" s="0" t="n">
        <v>0.260986997707079</v>
      </c>
      <c r="D1164" s="0" t="n">
        <v>506367.1</v>
      </c>
      <c r="E1164" s="0" t="s">
        <v>4147</v>
      </c>
      <c r="F1164" s="225"/>
    </row>
    <row r="1165" customFormat="false" ht="14.25" hidden="false" customHeight="false" outlineLevel="0" collapsed="false">
      <c r="A1165" s="0" t="n">
        <v>25601528</v>
      </c>
      <c r="B1165" s="0" t="s">
        <v>5306</v>
      </c>
      <c r="C1165" s="0" t="n">
        <v>0.454377211516432</v>
      </c>
      <c r="D1165" s="0" t="n">
        <v>-115752</v>
      </c>
      <c r="E1165" s="0" t="s">
        <v>4147</v>
      </c>
      <c r="F1165" s="225"/>
    </row>
    <row r="1166" customFormat="false" ht="14.25" hidden="false" customHeight="false" outlineLevel="0" collapsed="false">
      <c r="A1166" s="0" t="n">
        <v>1143834819</v>
      </c>
      <c r="B1166" s="0" t="s">
        <v>5307</v>
      </c>
      <c r="C1166" s="0" t="n">
        <v>0.40184209625522</v>
      </c>
      <c r="D1166" s="0" t="n">
        <v>106093</v>
      </c>
      <c r="E1166" s="0" t="s">
        <v>4147</v>
      </c>
      <c r="F1166" s="225"/>
    </row>
    <row r="1167" customFormat="false" ht="14.25" hidden="false" customHeight="false" outlineLevel="0" collapsed="false">
      <c r="A1167" s="0" t="n">
        <v>1087994232</v>
      </c>
      <c r="B1167" s="0" t="s">
        <v>5308</v>
      </c>
      <c r="C1167" s="0" t="n">
        <v>0.18606580025569</v>
      </c>
      <c r="D1167" s="0" t="n">
        <v>656421.08</v>
      </c>
      <c r="E1167" s="0" t="s">
        <v>4147</v>
      </c>
      <c r="F1167" s="225"/>
    </row>
    <row r="1168" customFormat="false" ht="14.25" hidden="false" customHeight="false" outlineLevel="0" collapsed="false">
      <c r="A1168" s="0" t="n">
        <v>66959438</v>
      </c>
      <c r="B1168" s="0" t="s">
        <v>5309</v>
      </c>
      <c r="C1168" s="0" t="s">
        <v>4266</v>
      </c>
      <c r="D1168" s="0" t="n">
        <v>0</v>
      </c>
      <c r="E1168" s="0" t="s">
        <v>4147</v>
      </c>
      <c r="F1168" s="225"/>
    </row>
    <row r="1169" customFormat="false" ht="14.25" hidden="false" customHeight="false" outlineLevel="0" collapsed="false">
      <c r="A1169" s="0" t="n">
        <v>31177120</v>
      </c>
      <c r="B1169" s="0" t="s">
        <v>5310</v>
      </c>
      <c r="C1169" s="0" t="n">
        <v>0.220559929991435</v>
      </c>
      <c r="D1169" s="0" t="n">
        <v>671859.88</v>
      </c>
      <c r="E1169" s="0" t="s">
        <v>4147</v>
      </c>
      <c r="F1169" s="225"/>
    </row>
    <row r="1170" customFormat="false" ht="14.25" hidden="false" customHeight="false" outlineLevel="0" collapsed="false">
      <c r="A1170" s="0" t="n">
        <v>66772628</v>
      </c>
      <c r="B1170" s="0" t="s">
        <v>5311</v>
      </c>
      <c r="C1170" s="0" t="n">
        <v>0.353518652089245</v>
      </c>
      <c r="D1170" s="0" t="n">
        <v>403740.14</v>
      </c>
      <c r="E1170" s="0" t="s">
        <v>4147</v>
      </c>
      <c r="F1170" s="225"/>
    </row>
    <row r="1171" customFormat="false" ht="14.25" hidden="false" customHeight="false" outlineLevel="0" collapsed="false">
      <c r="A1171" s="0" t="n">
        <v>16917362</v>
      </c>
      <c r="B1171" s="0" t="s">
        <v>5312</v>
      </c>
      <c r="C1171" s="0" t="n">
        <v>0.119459506198865</v>
      </c>
      <c r="D1171" s="0" t="n">
        <v>1904709.04</v>
      </c>
      <c r="E1171" s="0" t="s">
        <v>4147</v>
      </c>
      <c r="F1171" s="225"/>
    </row>
    <row r="1172" customFormat="false" ht="14.25" hidden="false" customHeight="false" outlineLevel="0" collapsed="false">
      <c r="A1172" s="0" t="n">
        <v>66905882</v>
      </c>
      <c r="B1172" s="0" t="s">
        <v>5313</v>
      </c>
      <c r="C1172" s="0" t="n">
        <v>0.320389328136183</v>
      </c>
      <c r="D1172" s="0" t="n">
        <v>391335.3</v>
      </c>
      <c r="E1172" s="0" t="s">
        <v>4137</v>
      </c>
      <c r="F1172" s="225"/>
    </row>
    <row r="1173" customFormat="false" ht="14.25" hidden="false" customHeight="false" outlineLevel="0" collapsed="false">
      <c r="A1173" s="0" t="n">
        <v>1114877587</v>
      </c>
      <c r="B1173" s="0" t="s">
        <v>5314</v>
      </c>
      <c r="C1173" s="0" t="n">
        <v>0.298372266150488</v>
      </c>
      <c r="D1173" s="0" t="n">
        <v>296915.84</v>
      </c>
      <c r="E1173" s="0" t="s">
        <v>4147</v>
      </c>
      <c r="F1173" s="225"/>
    </row>
    <row r="1174" customFormat="false" ht="14.25" hidden="false" customHeight="false" outlineLevel="0" collapsed="false">
      <c r="A1174" s="0" t="n">
        <v>1144077310</v>
      </c>
      <c r="B1174" s="0" t="s">
        <v>5315</v>
      </c>
      <c r="C1174" s="0" t="n">
        <v>0.478503965285052</v>
      </c>
      <c r="D1174" s="0" t="n">
        <v>-195491</v>
      </c>
      <c r="E1174" s="0" t="s">
        <v>4137</v>
      </c>
      <c r="F1174" s="225"/>
    </row>
    <row r="1175" customFormat="false" ht="14.25" hidden="false" customHeight="false" outlineLevel="0" collapsed="false">
      <c r="A1175" s="0" t="n">
        <v>29106642</v>
      </c>
      <c r="B1175" s="0" t="s">
        <v>5316</v>
      </c>
      <c r="C1175" s="0" t="n">
        <v>0.486903184580403</v>
      </c>
      <c r="D1175" s="0" t="n">
        <v>-363410.94</v>
      </c>
      <c r="E1175" s="0" t="s">
        <v>4137</v>
      </c>
      <c r="F1175" s="225"/>
    </row>
    <row r="1176" customFormat="false" ht="14.25" hidden="false" customHeight="false" outlineLevel="0" collapsed="false">
      <c r="A1176" s="0" t="n">
        <v>38600399</v>
      </c>
      <c r="B1176" s="0" t="s">
        <v>5317</v>
      </c>
      <c r="C1176" s="0" t="n">
        <v>0.397670662979458</v>
      </c>
      <c r="D1176" s="0" t="n">
        <v>86445.8399999999</v>
      </c>
      <c r="E1176" s="0" t="s">
        <v>4147</v>
      </c>
      <c r="F1176" s="225"/>
    </row>
    <row r="1177" customFormat="false" ht="14.25" hidden="false" customHeight="false" outlineLevel="0" collapsed="false">
      <c r="A1177" s="0" t="n">
        <v>1128047242</v>
      </c>
      <c r="B1177" s="0" t="s">
        <v>5318</v>
      </c>
      <c r="C1177" s="0" t="n">
        <v>0.114594400845009</v>
      </c>
      <c r="D1177" s="0" t="n">
        <v>1571178.04</v>
      </c>
      <c r="E1177" s="0" t="s">
        <v>4147</v>
      </c>
      <c r="F1177" s="225"/>
    </row>
    <row r="1178" customFormat="false" ht="14.25" hidden="false" customHeight="false" outlineLevel="0" collapsed="false">
      <c r="A1178" s="0" t="n">
        <v>1151942037</v>
      </c>
      <c r="B1178" s="0" t="s">
        <v>5319</v>
      </c>
      <c r="C1178" s="0" t="n">
        <v>0.181492220183259</v>
      </c>
      <c r="D1178" s="0" t="n">
        <v>796383.36</v>
      </c>
      <c r="E1178" s="0" t="s">
        <v>4147</v>
      </c>
      <c r="F1178" s="225"/>
    </row>
    <row r="1179" customFormat="false" ht="14.25" hidden="false" customHeight="false" outlineLevel="0" collapsed="false">
      <c r="A1179" s="0" t="n">
        <v>1144152032</v>
      </c>
      <c r="B1179" s="0" t="s">
        <v>5320</v>
      </c>
      <c r="C1179" s="0" t="n">
        <v>0.347311430805317</v>
      </c>
      <c r="D1179" s="0" t="n">
        <v>332031</v>
      </c>
      <c r="E1179" s="0" t="s">
        <v>4147</v>
      </c>
      <c r="F1179" s="225"/>
    </row>
    <row r="1180" customFormat="false" ht="14.25" hidden="false" customHeight="false" outlineLevel="0" collapsed="false">
      <c r="A1180" s="0" t="n">
        <v>1144075368</v>
      </c>
      <c r="B1180" s="0" t="s">
        <v>5321</v>
      </c>
      <c r="C1180" s="0" t="n">
        <v>0.348871869254379</v>
      </c>
      <c r="D1180" s="0" t="n">
        <v>386667.1</v>
      </c>
      <c r="E1180" s="0" t="s">
        <v>4147</v>
      </c>
      <c r="F1180" s="225"/>
    </row>
    <row r="1181" customFormat="false" ht="14.25" hidden="false" customHeight="false" outlineLevel="0" collapsed="false">
      <c r="A1181" s="0" t="n">
        <v>1144149654</v>
      </c>
      <c r="B1181" s="0" t="s">
        <v>5322</v>
      </c>
      <c r="C1181" s="0" t="n">
        <v>0.39852103669147</v>
      </c>
      <c r="D1181" s="0" t="n">
        <v>78813.3399999999</v>
      </c>
      <c r="E1181" s="0" t="s">
        <v>4147</v>
      </c>
      <c r="F1181" s="225"/>
    </row>
    <row r="1182" customFormat="false" ht="14.25" hidden="false" customHeight="false" outlineLevel="0" collapsed="false">
      <c r="A1182" s="0" t="n">
        <v>94400085</v>
      </c>
      <c r="B1182" s="0" t="s">
        <v>5323</v>
      </c>
      <c r="C1182" s="0" t="s">
        <v>4266</v>
      </c>
      <c r="D1182" s="0" t="n">
        <v>0</v>
      </c>
      <c r="E1182" s="0" t="s">
        <v>4137</v>
      </c>
      <c r="F1182" s="225"/>
    </row>
    <row r="1183" customFormat="false" ht="14.25" hidden="false" customHeight="false" outlineLevel="0" collapsed="false">
      <c r="A1183" s="0" t="n">
        <v>1143963761</v>
      </c>
      <c r="B1183" s="0" t="s">
        <v>5324</v>
      </c>
      <c r="C1183" s="0" t="n">
        <v>0.369678895696464</v>
      </c>
      <c r="D1183" s="0" t="n">
        <v>272680</v>
      </c>
      <c r="E1183" s="0" t="s">
        <v>4137</v>
      </c>
      <c r="F1183" s="225"/>
    </row>
    <row r="1184" customFormat="false" ht="14.25" hidden="false" customHeight="false" outlineLevel="0" collapsed="false">
      <c r="A1184" s="0" t="n">
        <v>1107078179</v>
      </c>
      <c r="B1184" s="0" t="s">
        <v>5325</v>
      </c>
      <c r="C1184" s="0" t="n">
        <v>0.31857544112089</v>
      </c>
      <c r="D1184" s="0" t="n">
        <v>630813.56</v>
      </c>
      <c r="E1184" s="0" t="s">
        <v>4137</v>
      </c>
      <c r="F1184" s="225"/>
    </row>
    <row r="1185" customFormat="false" ht="14.25" hidden="false" customHeight="false" outlineLevel="0" collapsed="false">
      <c r="A1185" s="0" t="n">
        <v>1107101778</v>
      </c>
      <c r="B1185" s="0" t="s">
        <v>5326</v>
      </c>
      <c r="C1185" s="0" t="n">
        <v>0.291496791729026</v>
      </c>
      <c r="D1185" s="0" t="n">
        <v>403381.08</v>
      </c>
      <c r="E1185" s="0" t="s">
        <v>4147</v>
      </c>
      <c r="F1185" s="225"/>
    </row>
    <row r="1186" customFormat="false" ht="14.25" hidden="false" customHeight="false" outlineLevel="0" collapsed="false">
      <c r="A1186" s="0" t="n">
        <v>1107059303</v>
      </c>
      <c r="B1186" s="0" t="s">
        <v>5327</v>
      </c>
      <c r="C1186" s="0" t="n">
        <v>0.4535726966723</v>
      </c>
      <c r="D1186" s="0" t="n">
        <v>-118191</v>
      </c>
      <c r="E1186" s="0" t="s">
        <v>4147</v>
      </c>
      <c r="F1186" s="225"/>
    </row>
    <row r="1187" customFormat="false" ht="14.25" hidden="false" customHeight="false" outlineLevel="0" collapsed="false">
      <c r="A1187" s="0" t="n">
        <v>1130671304</v>
      </c>
      <c r="B1187" s="0" t="s">
        <v>5328</v>
      </c>
      <c r="C1187" s="0" t="n">
        <v>0.430006592313161</v>
      </c>
      <c r="D1187" s="0" t="n">
        <v>-29700.6000000001</v>
      </c>
      <c r="E1187" s="0" t="s">
        <v>4137</v>
      </c>
      <c r="F1187" s="225"/>
    </row>
    <row r="1188" customFormat="false" ht="14.25" hidden="false" customHeight="false" outlineLevel="0" collapsed="false">
      <c r="A1188" s="0" t="n">
        <v>1086921055</v>
      </c>
      <c r="B1188" s="0" t="s">
        <v>5329</v>
      </c>
      <c r="C1188" s="0" t="n">
        <v>0.301647375954163</v>
      </c>
      <c r="D1188" s="0" t="n">
        <v>419621.28</v>
      </c>
      <c r="E1188" s="0" t="s">
        <v>4147</v>
      </c>
      <c r="F1188" s="225"/>
    </row>
    <row r="1189" customFormat="false" ht="14.25" hidden="false" customHeight="false" outlineLevel="0" collapsed="false">
      <c r="A1189" s="0" t="n">
        <v>29105840</v>
      </c>
      <c r="B1189" s="0" t="s">
        <v>5330</v>
      </c>
      <c r="C1189" s="0" t="n">
        <v>0.197811974287602</v>
      </c>
      <c r="D1189" s="0" t="n">
        <v>613623.04</v>
      </c>
      <c r="E1189" s="0" t="s">
        <v>4147</v>
      </c>
      <c r="F1189" s="225"/>
    </row>
    <row r="1190" customFormat="false" ht="14.25" hidden="false" customHeight="false" outlineLevel="0" collapsed="false">
      <c r="A1190" s="0" t="n">
        <v>24340972</v>
      </c>
      <c r="B1190" s="0" t="s">
        <v>5331</v>
      </c>
      <c r="C1190" s="0" t="n">
        <v>0.320188672107175</v>
      </c>
      <c r="D1190" s="0" t="n">
        <v>532053.1</v>
      </c>
      <c r="E1190" s="0" t="s">
        <v>4147</v>
      </c>
      <c r="F1190" s="225"/>
    </row>
    <row r="1191" customFormat="false" ht="14.25" hidden="false" customHeight="false" outlineLevel="0" collapsed="false">
      <c r="A1191" s="0" t="n">
        <v>1144147981</v>
      </c>
      <c r="B1191" s="0" t="s">
        <v>5332</v>
      </c>
      <c r="C1191" s="0" t="n">
        <v>0.149841928743516</v>
      </c>
      <c r="D1191" s="0" t="n">
        <v>1740708.6</v>
      </c>
      <c r="E1191" s="0" t="s">
        <v>4137</v>
      </c>
      <c r="F1191" s="225"/>
    </row>
    <row r="1192" customFormat="false" ht="14.25" hidden="false" customHeight="false" outlineLevel="0" collapsed="false">
      <c r="A1192" s="0" t="n">
        <v>1144160460</v>
      </c>
      <c r="B1192" s="0" t="s">
        <v>5333</v>
      </c>
      <c r="C1192" s="0" t="n">
        <v>0.281696226251165</v>
      </c>
      <c r="D1192" s="0" t="n">
        <v>569351.78</v>
      </c>
      <c r="E1192" s="0" t="s">
        <v>4137</v>
      </c>
      <c r="F1192" s="225"/>
    </row>
    <row r="1193" customFormat="false" ht="14.25" hidden="false" customHeight="false" outlineLevel="0" collapsed="false">
      <c r="A1193" s="0" t="n">
        <v>66974012</v>
      </c>
      <c r="B1193" s="0" t="s">
        <v>5334</v>
      </c>
      <c r="C1193" s="0" t="n">
        <v>0.133128578603717</v>
      </c>
      <c r="D1193" s="0" t="n">
        <v>571161</v>
      </c>
      <c r="E1193" s="0" t="s">
        <v>4137</v>
      </c>
      <c r="F1193" s="225"/>
    </row>
    <row r="1194" customFormat="false" ht="14.25" hidden="false" customHeight="false" outlineLevel="0" collapsed="false">
      <c r="A1194" s="0" t="n">
        <v>1234193404</v>
      </c>
      <c r="B1194" s="0" t="s">
        <v>5335</v>
      </c>
      <c r="C1194" s="0" t="n">
        <v>0.189539588457311</v>
      </c>
      <c r="D1194" s="0" t="n">
        <v>1147534.6</v>
      </c>
      <c r="E1194" s="0" t="s">
        <v>4137</v>
      </c>
      <c r="F1194" s="225"/>
    </row>
    <row r="1195" customFormat="false" ht="14.25" hidden="false" customHeight="false" outlineLevel="0" collapsed="false">
      <c r="A1195" s="0" t="n">
        <v>1114894351</v>
      </c>
      <c r="B1195" s="0" t="s">
        <v>5336</v>
      </c>
      <c r="C1195" s="0" t="n">
        <v>0.367276833111587</v>
      </c>
      <c r="D1195" s="0" t="n">
        <v>166341.82</v>
      </c>
      <c r="E1195" s="0" t="s">
        <v>4147</v>
      </c>
      <c r="F1195" s="225"/>
    </row>
    <row r="1196" customFormat="false" ht="14.25" hidden="false" customHeight="false" outlineLevel="0" collapsed="false">
      <c r="A1196" s="0" t="n">
        <v>1143853616</v>
      </c>
      <c r="B1196" s="0" t="s">
        <v>5337</v>
      </c>
      <c r="C1196" s="0" t="n">
        <v>0.1778815332197</v>
      </c>
      <c r="D1196" s="0" t="n">
        <v>1877003.56</v>
      </c>
      <c r="E1196" s="0" t="s">
        <v>4137</v>
      </c>
      <c r="F1196" s="225"/>
    </row>
    <row r="1197" customFormat="false" ht="14.25" hidden="false" customHeight="false" outlineLevel="0" collapsed="false">
      <c r="A1197" s="0" t="n">
        <v>1151947795</v>
      </c>
      <c r="B1197" s="0" t="s">
        <v>5338</v>
      </c>
      <c r="C1197" s="0" t="n">
        <v>0.188660081573707</v>
      </c>
      <c r="D1197" s="0" t="n">
        <v>762495.6</v>
      </c>
      <c r="E1197" s="0" t="s">
        <v>4137</v>
      </c>
      <c r="F1197" s="225"/>
    </row>
    <row r="1198" customFormat="false" ht="14.25" hidden="false" customHeight="false" outlineLevel="0" collapsed="false">
      <c r="A1198" s="0" t="n">
        <v>1144052271</v>
      </c>
      <c r="B1198" s="0" t="s">
        <v>5339</v>
      </c>
      <c r="C1198" s="0" t="n">
        <v>0.142902672870213</v>
      </c>
      <c r="D1198" s="0" t="n">
        <v>2731471.2</v>
      </c>
      <c r="E1198" s="0" t="s">
        <v>4147</v>
      </c>
      <c r="F1198" s="225"/>
    </row>
    <row r="1199" customFormat="false" ht="14.25" hidden="false" customHeight="false" outlineLevel="0" collapsed="false">
      <c r="A1199" s="0" t="n">
        <v>66847766</v>
      </c>
      <c r="B1199" s="0" t="s">
        <v>5340</v>
      </c>
      <c r="C1199" s="0" t="n">
        <v>0.209798527662101</v>
      </c>
      <c r="D1199" s="0" t="n">
        <v>666237.14</v>
      </c>
      <c r="E1199" s="0" t="s">
        <v>4137</v>
      </c>
      <c r="F1199" s="225"/>
    </row>
    <row r="1200" customFormat="false" ht="14.25" hidden="false" customHeight="false" outlineLevel="0" collapsed="false">
      <c r="A1200" s="0" t="n">
        <v>1118256005</v>
      </c>
      <c r="B1200" s="0" t="s">
        <v>5341</v>
      </c>
      <c r="C1200" s="0" t="n">
        <v>0.410075594058918</v>
      </c>
      <c r="D1200" s="0" t="n">
        <v>76528.96</v>
      </c>
      <c r="E1200" s="0" t="s">
        <v>4137</v>
      </c>
      <c r="F1200" s="225"/>
    </row>
    <row r="1201" customFormat="false" ht="14.25" hidden="false" customHeight="false" outlineLevel="0" collapsed="false">
      <c r="A1201" s="0" t="n">
        <v>1143924806</v>
      </c>
      <c r="B1201" s="0" t="s">
        <v>5342</v>
      </c>
      <c r="C1201" s="0" t="n">
        <v>0.341834072378311</v>
      </c>
      <c r="D1201" s="0" t="n">
        <v>306433.86</v>
      </c>
      <c r="E1201" s="0" t="s">
        <v>4137</v>
      </c>
      <c r="F1201" s="225"/>
    </row>
    <row r="1202" customFormat="false" ht="14.25" hidden="false" customHeight="false" outlineLevel="0" collapsed="false">
      <c r="A1202" s="0" t="n">
        <v>31323722</v>
      </c>
      <c r="B1202" s="0" t="s">
        <v>5343</v>
      </c>
      <c r="C1202" s="0" t="n">
        <v>0.454276031710043</v>
      </c>
      <c r="D1202" s="0" t="n">
        <v>-108141.04</v>
      </c>
      <c r="E1202" s="0" t="s">
        <v>4147</v>
      </c>
      <c r="F1202" s="225"/>
    </row>
    <row r="1203" customFormat="false" ht="14.25" hidden="false" customHeight="false" outlineLevel="0" collapsed="false">
      <c r="A1203" s="0" t="n">
        <v>1130594758</v>
      </c>
      <c r="B1203" s="0" t="s">
        <v>5344</v>
      </c>
      <c r="C1203" s="0" t="n">
        <v>0.318836883890423</v>
      </c>
      <c r="D1203" s="0" t="n">
        <v>337988.5</v>
      </c>
      <c r="E1203" s="0" t="s">
        <v>4137</v>
      </c>
      <c r="F1203" s="225"/>
    </row>
    <row r="1204" customFormat="false" ht="14.25" hidden="false" customHeight="false" outlineLevel="0" collapsed="false">
      <c r="A1204" s="0" t="n">
        <v>1130655620</v>
      </c>
      <c r="B1204" s="0" t="s">
        <v>5345</v>
      </c>
      <c r="C1204" s="0" t="n">
        <v>0.532902288227245</v>
      </c>
      <c r="D1204" s="0" t="n">
        <v>-389743</v>
      </c>
      <c r="E1204" s="0" t="s">
        <v>4137</v>
      </c>
      <c r="F1204" s="225"/>
    </row>
    <row r="1205" customFormat="false" ht="14.25" hidden="false" customHeight="false" outlineLevel="0" collapsed="false">
      <c r="A1205" s="0" t="n">
        <v>16839283</v>
      </c>
      <c r="B1205" s="0" t="s">
        <v>5346</v>
      </c>
      <c r="C1205" s="0" t="n">
        <v>0.547186589146717</v>
      </c>
      <c r="D1205" s="0" t="n">
        <v>-398159.333333333</v>
      </c>
      <c r="E1205" s="0" t="s">
        <v>4137</v>
      </c>
      <c r="F1205" s="225"/>
    </row>
    <row r="1206" customFormat="false" ht="14.25" hidden="false" customHeight="false" outlineLevel="0" collapsed="false">
      <c r="A1206" s="0" t="n">
        <v>1018504659</v>
      </c>
      <c r="B1206" s="0" t="s">
        <v>5347</v>
      </c>
      <c r="C1206" s="0" t="n">
        <v>0.35283589121497</v>
      </c>
      <c r="D1206" s="0" t="n">
        <v>360953.04</v>
      </c>
      <c r="E1206" s="0" t="s">
        <v>4137</v>
      </c>
      <c r="F1206" s="225"/>
    </row>
    <row r="1207" customFormat="false" ht="14.25" hidden="false" customHeight="false" outlineLevel="0" collapsed="false">
      <c r="A1207" s="0" t="n">
        <v>1130590528</v>
      </c>
      <c r="B1207" s="0" t="s">
        <v>5348</v>
      </c>
      <c r="C1207" s="0" t="n">
        <v>0.175277918966018</v>
      </c>
      <c r="D1207" s="0" t="n">
        <v>1348125</v>
      </c>
      <c r="E1207" s="0" t="s">
        <v>4137</v>
      </c>
      <c r="F1207" s="225"/>
    </row>
    <row r="1208" customFormat="false" ht="14.25" hidden="false" customHeight="false" outlineLevel="0" collapsed="false">
      <c r="A1208" s="0" t="n">
        <v>1144059839</v>
      </c>
      <c r="B1208" s="0" t="s">
        <v>5349</v>
      </c>
      <c r="C1208" s="0" t="n">
        <v>0.139548633756275</v>
      </c>
      <c r="D1208" s="0" t="n">
        <v>823920.12</v>
      </c>
      <c r="E1208" s="0" t="s">
        <v>4137</v>
      </c>
      <c r="F1208" s="225"/>
    </row>
    <row r="1209" customFormat="false" ht="14.25" hidden="false" customHeight="false" outlineLevel="0" collapsed="false">
      <c r="A1209" s="0" t="n">
        <v>1112469097</v>
      </c>
      <c r="B1209" s="0" t="s">
        <v>5350</v>
      </c>
      <c r="C1209" s="0" t="n">
        <v>0.492806031178124</v>
      </c>
      <c r="D1209" s="0" t="n">
        <v>-301983.4</v>
      </c>
      <c r="E1209" s="0" t="s">
        <v>4137</v>
      </c>
      <c r="F1209" s="225"/>
    </row>
    <row r="1210" customFormat="false" ht="14.25" hidden="false" customHeight="false" outlineLevel="0" collapsed="false">
      <c r="A1210" s="0" t="n">
        <v>1144078650</v>
      </c>
      <c r="B1210" s="0" t="s">
        <v>5351</v>
      </c>
      <c r="C1210" s="0" t="n">
        <v>0.281790750891632</v>
      </c>
      <c r="D1210" s="0" t="n">
        <v>296489.66</v>
      </c>
      <c r="E1210" s="0" t="s">
        <v>4137</v>
      </c>
      <c r="F1210" s="225"/>
    </row>
    <row r="1211" customFormat="false" ht="14.25" hidden="false" customHeight="false" outlineLevel="0" collapsed="false">
      <c r="A1211" s="0" t="n">
        <v>1144097364</v>
      </c>
      <c r="B1211" s="0" t="s">
        <v>5352</v>
      </c>
      <c r="C1211" s="0" t="n">
        <v>0.501496813226126</v>
      </c>
      <c r="D1211" s="0" t="n">
        <v>-171308.04</v>
      </c>
      <c r="E1211" s="0" t="s">
        <v>4137</v>
      </c>
      <c r="F1211" s="225"/>
    </row>
    <row r="1212" customFormat="false" ht="14.25" hidden="false" customHeight="false" outlineLevel="0" collapsed="false">
      <c r="A1212" s="0" t="n">
        <v>1006171145</v>
      </c>
      <c r="B1212" s="0" t="s">
        <v>5353</v>
      </c>
      <c r="C1212" s="0" t="n">
        <v>0.11738181800272</v>
      </c>
      <c r="D1212" s="0" t="n">
        <v>1228858.8</v>
      </c>
      <c r="E1212" s="0" t="s">
        <v>4137</v>
      </c>
      <c r="F1212" s="225"/>
    </row>
    <row r="1213" customFormat="false" ht="14.25" hidden="false" customHeight="false" outlineLevel="0" collapsed="false">
      <c r="A1213" s="0" t="n">
        <v>1006103549</v>
      </c>
      <c r="B1213" s="0" t="s">
        <v>5354</v>
      </c>
      <c r="C1213" s="0" t="n">
        <v>0.315271902532419</v>
      </c>
      <c r="D1213" s="0" t="n">
        <v>386074.86</v>
      </c>
      <c r="E1213" s="0" t="s">
        <v>4137</v>
      </c>
      <c r="F1213" s="225"/>
    </row>
    <row r="1214" customFormat="false" ht="14.25" hidden="false" customHeight="false" outlineLevel="0" collapsed="false">
      <c r="A1214" s="0" t="n">
        <v>1006179442</v>
      </c>
      <c r="B1214" s="0" t="s">
        <v>5355</v>
      </c>
      <c r="C1214" s="0" t="n">
        <v>0.488529169039496</v>
      </c>
      <c r="D1214" s="0" t="n">
        <v>-264700.38</v>
      </c>
      <c r="E1214" s="0" t="s">
        <v>4147</v>
      </c>
      <c r="F1214" s="225"/>
    </row>
    <row r="1215" customFormat="false" ht="14.25" hidden="false" customHeight="false" outlineLevel="0" collapsed="false">
      <c r="A1215" s="0" t="n">
        <v>59834435</v>
      </c>
      <c r="B1215" s="0" t="s">
        <v>5356</v>
      </c>
      <c r="C1215" s="0" t="n">
        <v>0.339265181624919</v>
      </c>
      <c r="D1215" s="0" t="n">
        <v>349388</v>
      </c>
      <c r="E1215" s="0" t="s">
        <v>4147</v>
      </c>
      <c r="F1215" s="225"/>
    </row>
    <row r="1216" customFormat="false" ht="14.25" hidden="false" customHeight="false" outlineLevel="0" collapsed="false">
      <c r="A1216" s="0" t="n">
        <v>37081443</v>
      </c>
      <c r="B1216" s="0" t="s">
        <v>5357</v>
      </c>
      <c r="C1216" s="0" t="n">
        <v>0.139852059431788</v>
      </c>
      <c r="D1216" s="0" t="n">
        <v>1056746.14</v>
      </c>
      <c r="E1216" s="0" t="s">
        <v>4137</v>
      </c>
      <c r="F1216" s="225"/>
    </row>
    <row r="1217" customFormat="false" ht="14.25" hidden="false" customHeight="false" outlineLevel="0" collapsed="false">
      <c r="A1217" s="0" t="n">
        <v>1144109929</v>
      </c>
      <c r="B1217" s="0" t="s">
        <v>5358</v>
      </c>
      <c r="C1217" s="0" t="n">
        <v>0.199011856473424</v>
      </c>
      <c r="D1217" s="0" t="n">
        <v>825752.4</v>
      </c>
      <c r="E1217" s="0" t="s">
        <v>4137</v>
      </c>
      <c r="F1217" s="225"/>
    </row>
    <row r="1218" customFormat="false" ht="14.25" hidden="false" customHeight="false" outlineLevel="0" collapsed="false">
      <c r="A1218" s="0" t="n">
        <v>67039425</v>
      </c>
      <c r="B1218" s="0" t="s">
        <v>5359</v>
      </c>
      <c r="C1218" s="0" t="n">
        <v>0.219296106084306</v>
      </c>
      <c r="D1218" s="0" t="n">
        <v>1094694.9</v>
      </c>
      <c r="E1218" s="0" t="s">
        <v>4137</v>
      </c>
      <c r="F1218" s="225"/>
    </row>
    <row r="1219" customFormat="false" ht="14.25" hidden="false" customHeight="false" outlineLevel="0" collapsed="false">
      <c r="A1219" s="0" t="n">
        <v>1107055420</v>
      </c>
      <c r="B1219" s="0" t="s">
        <v>5360</v>
      </c>
      <c r="C1219" s="0" t="n">
        <v>0.337209737783578</v>
      </c>
      <c r="D1219" s="0" t="n">
        <v>632267.08</v>
      </c>
      <c r="E1219" s="0" t="s">
        <v>4137</v>
      </c>
      <c r="F1219" s="225"/>
    </row>
    <row r="1220" customFormat="false" ht="14.25" hidden="false" customHeight="false" outlineLevel="0" collapsed="false">
      <c r="A1220" s="0" t="n">
        <v>10294212</v>
      </c>
      <c r="B1220" s="0" t="s">
        <v>5361</v>
      </c>
      <c r="C1220" s="0" t="n">
        <v>0.152541045559191</v>
      </c>
      <c r="D1220" s="0" t="n">
        <v>1642759.02</v>
      </c>
      <c r="E1220" s="0" t="s">
        <v>4137</v>
      </c>
      <c r="F1220" s="225"/>
    </row>
    <row r="1221" customFormat="false" ht="14.25" hidden="false" customHeight="false" outlineLevel="0" collapsed="false">
      <c r="A1221" s="0" t="n">
        <v>1114821862</v>
      </c>
      <c r="B1221" s="0" t="s">
        <v>5362</v>
      </c>
      <c r="C1221" s="0" t="n">
        <v>0.411192238226344</v>
      </c>
      <c r="D1221" s="0" t="n">
        <v>64873.8599999999</v>
      </c>
      <c r="E1221" s="0" t="s">
        <v>4137</v>
      </c>
      <c r="F1221" s="225"/>
    </row>
    <row r="1222" customFormat="false" ht="14.25" hidden="false" customHeight="false" outlineLevel="0" collapsed="false">
      <c r="A1222" s="0" t="n">
        <v>1192806606</v>
      </c>
      <c r="B1222" s="0" t="s">
        <v>5363</v>
      </c>
      <c r="C1222" s="0" t="s">
        <v>4266</v>
      </c>
      <c r="D1222" s="0" t="n">
        <v>0</v>
      </c>
      <c r="E1222" s="0" t="s">
        <v>4137</v>
      </c>
      <c r="F1222" s="225"/>
    </row>
    <row r="1223" customFormat="false" ht="14.25" hidden="false" customHeight="false" outlineLevel="0" collapsed="false">
      <c r="A1223" s="0" t="n">
        <v>1005975258</v>
      </c>
      <c r="B1223" s="0" t="s">
        <v>5364</v>
      </c>
      <c r="C1223" s="0" t="n">
        <v>0.413536356528538</v>
      </c>
      <c r="D1223" s="0" t="n">
        <v>29525</v>
      </c>
      <c r="E1223" s="0" t="s">
        <v>4137</v>
      </c>
      <c r="F1223" s="225"/>
    </row>
    <row r="1224" customFormat="false" ht="14.25" hidden="false" customHeight="false" outlineLevel="0" collapsed="false">
      <c r="A1224" s="0" t="n">
        <v>1151947941</v>
      </c>
      <c r="B1224" s="0" t="s">
        <v>5365</v>
      </c>
      <c r="C1224" s="0" t="n">
        <v>0.225135610246107</v>
      </c>
      <c r="D1224" s="0" t="n">
        <v>387975</v>
      </c>
      <c r="E1224" s="0" t="s">
        <v>4137</v>
      </c>
      <c r="F1224" s="225"/>
    </row>
    <row r="1225" customFormat="false" ht="14.25" hidden="false" customHeight="false" outlineLevel="0" collapsed="false">
      <c r="A1225" s="0" t="n">
        <v>1144044681</v>
      </c>
      <c r="B1225" s="0" t="s">
        <v>5366</v>
      </c>
      <c r="C1225" s="0" t="n">
        <v>0.267788548468106</v>
      </c>
      <c r="D1225" s="0" t="n">
        <v>303053</v>
      </c>
      <c r="E1225" s="0" t="s">
        <v>4137</v>
      </c>
      <c r="F1225" s="225"/>
    </row>
    <row r="1226" customFormat="false" ht="14.25" hidden="false" customHeight="false" outlineLevel="0" collapsed="false">
      <c r="A1226" s="0" t="n">
        <v>1144051013</v>
      </c>
      <c r="B1226" s="0" t="s">
        <v>5367</v>
      </c>
      <c r="C1226" s="0" t="n">
        <v>0.281248745688984</v>
      </c>
      <c r="D1226" s="0" t="n">
        <v>394081.96</v>
      </c>
      <c r="E1226" s="0" t="s">
        <v>4147</v>
      </c>
      <c r="F1226" s="225"/>
    </row>
    <row r="1227" customFormat="false" ht="14.25" hidden="false" customHeight="false" outlineLevel="0" collapsed="false">
      <c r="A1227" s="0" t="n">
        <v>1143872802</v>
      </c>
      <c r="B1227" s="0" t="s">
        <v>5368</v>
      </c>
      <c r="C1227" s="0" t="n">
        <v>0.292213178914347</v>
      </c>
      <c r="D1227" s="0" t="n">
        <v>788238.14</v>
      </c>
      <c r="E1227" s="0" t="s">
        <v>4137</v>
      </c>
      <c r="F1227" s="225"/>
    </row>
    <row r="1228" customFormat="false" ht="14.25" hidden="false" customHeight="false" outlineLevel="0" collapsed="false">
      <c r="A1228" s="0" t="n">
        <v>1112969479</v>
      </c>
      <c r="B1228" s="0" t="s">
        <v>5369</v>
      </c>
      <c r="C1228" s="0" t="n">
        <v>0.116455208741518</v>
      </c>
      <c r="D1228" s="0" t="n">
        <v>1181827.26</v>
      </c>
      <c r="E1228" s="0" t="s">
        <v>4137</v>
      </c>
      <c r="F1228" s="225"/>
    </row>
    <row r="1229" customFormat="false" ht="14.25" hidden="false" customHeight="false" outlineLevel="0" collapsed="false">
      <c r="A1229" s="0" t="n">
        <v>1130655308</v>
      </c>
      <c r="B1229" s="0" t="s">
        <v>5370</v>
      </c>
      <c r="C1229" s="0" t="n">
        <v>0.430627323972655</v>
      </c>
      <c r="D1229" s="0" t="n">
        <v>-63809.2800000003</v>
      </c>
      <c r="E1229" s="0" t="s">
        <v>4147</v>
      </c>
      <c r="F1229" s="225"/>
    </row>
    <row r="1230" customFormat="false" ht="14.25" hidden="false" customHeight="false" outlineLevel="0" collapsed="false">
      <c r="A1230" s="0" t="n">
        <v>1005934372</v>
      </c>
      <c r="B1230" s="0" t="s">
        <v>5371</v>
      </c>
      <c r="C1230" s="0" t="n">
        <v>0.410843497005988</v>
      </c>
      <c r="D1230" s="0" t="n">
        <v>36408</v>
      </c>
      <c r="E1230" s="0" t="s">
        <v>4137</v>
      </c>
      <c r="F1230" s="225"/>
    </row>
    <row r="1231" customFormat="false" ht="14.25" hidden="false" customHeight="false" outlineLevel="0" collapsed="false">
      <c r="A1231" s="0" t="n">
        <v>1143944093</v>
      </c>
      <c r="B1231" s="0" t="s">
        <v>5372</v>
      </c>
      <c r="C1231" s="0" t="n">
        <v>0.253372376908551</v>
      </c>
      <c r="D1231" s="0" t="n">
        <v>427816.7</v>
      </c>
      <c r="E1231" s="0" t="s">
        <v>4137</v>
      </c>
      <c r="F1231" s="225"/>
    </row>
    <row r="1232" customFormat="false" ht="14.25" hidden="false" customHeight="false" outlineLevel="0" collapsed="false">
      <c r="A1232" s="0" t="n">
        <v>1107096680</v>
      </c>
      <c r="B1232" s="0" t="s">
        <v>5373</v>
      </c>
      <c r="C1232" s="0" t="n">
        <v>0.473366910179641</v>
      </c>
      <c r="D1232" s="0" t="n">
        <v>-212197</v>
      </c>
      <c r="E1232" s="0" t="s">
        <v>4137</v>
      </c>
      <c r="F1232" s="225"/>
    </row>
    <row r="1233" customFormat="false" ht="14.25" hidden="false" customHeight="false" outlineLevel="0" collapsed="false">
      <c r="A1233" s="0" t="n">
        <v>1089242531</v>
      </c>
      <c r="B1233" s="0" t="s">
        <v>5374</v>
      </c>
      <c r="C1233" s="0" t="n">
        <v>0.109412140885242</v>
      </c>
      <c r="D1233" s="0" t="n">
        <v>1416211.48</v>
      </c>
      <c r="E1233" s="0" t="s">
        <v>4137</v>
      </c>
      <c r="F1233" s="225"/>
    </row>
    <row r="1234" customFormat="false" ht="14.25" hidden="false" customHeight="false" outlineLevel="0" collapsed="false">
      <c r="A1234" s="0" t="n">
        <v>1107528932</v>
      </c>
      <c r="B1234" s="0" t="s">
        <v>5375</v>
      </c>
      <c r="C1234" s="0" t="n">
        <v>0.232247744703893</v>
      </c>
      <c r="D1234" s="0" t="n">
        <v>785014.96</v>
      </c>
      <c r="E1234" s="0" t="s">
        <v>4137</v>
      </c>
      <c r="F1234" s="225"/>
    </row>
    <row r="1235" customFormat="false" ht="14.25" hidden="false" customHeight="false" outlineLevel="0" collapsed="false">
      <c r="A1235" s="0" t="n">
        <v>31656034</v>
      </c>
      <c r="B1235" s="0" t="s">
        <v>5376</v>
      </c>
      <c r="C1235" s="0" t="n">
        <v>0.167027281440405</v>
      </c>
      <c r="D1235" s="0" t="n">
        <v>1478069</v>
      </c>
      <c r="E1235" s="0" t="s">
        <v>4137</v>
      </c>
      <c r="F1235" s="225"/>
    </row>
    <row r="1236" customFormat="false" ht="14.25" hidden="false" customHeight="false" outlineLevel="0" collapsed="false">
      <c r="A1236" s="0" t="n">
        <v>1143944530</v>
      </c>
      <c r="B1236" s="0" t="s">
        <v>5377</v>
      </c>
      <c r="C1236" s="0" t="n">
        <v>0.182427373821277</v>
      </c>
      <c r="D1236" s="0" t="n">
        <v>649245.6</v>
      </c>
      <c r="E1236" s="0" t="s">
        <v>4137</v>
      </c>
      <c r="F1236" s="225"/>
    </row>
    <row r="1237" customFormat="false" ht="14.25" hidden="false" customHeight="false" outlineLevel="0" collapsed="false">
      <c r="A1237" s="0" t="n">
        <v>14609734</v>
      </c>
      <c r="B1237" s="0" t="s">
        <v>5378</v>
      </c>
      <c r="C1237" s="0" t="n">
        <v>0.273814848080318</v>
      </c>
      <c r="D1237" s="0" t="n">
        <v>316837.8</v>
      </c>
      <c r="E1237" s="0" t="s">
        <v>4137</v>
      </c>
      <c r="F1237" s="225"/>
    </row>
    <row r="1238" customFormat="false" ht="14.25" hidden="false" customHeight="false" outlineLevel="0" collapsed="false">
      <c r="A1238" s="0" t="n">
        <v>1144076746</v>
      </c>
      <c r="B1238" s="0" t="s">
        <v>5379</v>
      </c>
      <c r="C1238" s="0" t="n">
        <v>0.5907622095911</v>
      </c>
      <c r="D1238" s="0" t="n">
        <v>-345059.14</v>
      </c>
      <c r="E1238" s="0" t="s">
        <v>4137</v>
      </c>
      <c r="F1238" s="225"/>
    </row>
    <row r="1239" customFormat="false" ht="14.25" hidden="false" customHeight="false" outlineLevel="0" collapsed="false">
      <c r="A1239" s="0" t="n">
        <v>38561292</v>
      </c>
      <c r="B1239" s="0" t="s">
        <v>5380</v>
      </c>
      <c r="C1239" s="0" t="n">
        <v>0.127283679044234</v>
      </c>
      <c r="D1239" s="0" t="n">
        <v>1467435.02</v>
      </c>
      <c r="E1239" s="0" t="s">
        <v>4137</v>
      </c>
      <c r="F1239" s="225"/>
    </row>
    <row r="1240" customFormat="false" ht="14.25" hidden="false" customHeight="false" outlineLevel="0" collapsed="false">
      <c r="A1240" s="0" t="n">
        <v>1151966662</v>
      </c>
      <c r="B1240" s="0" t="s">
        <v>5381</v>
      </c>
      <c r="C1240" s="0" t="n">
        <v>0.227466246836359</v>
      </c>
      <c r="D1240" s="0" t="n">
        <v>732657.74</v>
      </c>
      <c r="E1240" s="0" t="s">
        <v>4137</v>
      </c>
      <c r="F1240" s="225"/>
    </row>
    <row r="1241" customFormat="false" ht="14.25" hidden="false" customHeight="false" outlineLevel="0" collapsed="false">
      <c r="A1241" s="0" t="n">
        <v>1193399281</v>
      </c>
      <c r="B1241" s="0" t="s">
        <v>5382</v>
      </c>
      <c r="C1241" s="0" t="n">
        <v>0.406724472673178</v>
      </c>
      <c r="D1241" s="0" t="n">
        <v>54282.6399999999</v>
      </c>
      <c r="E1241" s="0" t="s">
        <v>4137</v>
      </c>
      <c r="F1241" s="225"/>
    </row>
    <row r="1242" customFormat="false" ht="14.25" hidden="false" customHeight="false" outlineLevel="0" collapsed="false">
      <c r="A1242" s="0" t="n">
        <v>1143833980</v>
      </c>
      <c r="B1242" s="0" t="s">
        <v>5383</v>
      </c>
      <c r="C1242" s="0" t="n">
        <v>0.158934121661998</v>
      </c>
      <c r="D1242" s="0" t="n">
        <v>1015745.46</v>
      </c>
      <c r="E1242" s="0" t="s">
        <v>4137</v>
      </c>
      <c r="F1242" s="225"/>
    </row>
    <row r="1243" customFormat="false" ht="14.25" hidden="false" customHeight="false" outlineLevel="0" collapsed="false">
      <c r="A1243" s="0" t="n">
        <v>1143995184</v>
      </c>
      <c r="B1243" s="0" t="s">
        <v>5384</v>
      </c>
      <c r="C1243" s="0" t="n">
        <v>0.163313521263504</v>
      </c>
      <c r="D1243" s="0" t="n">
        <v>1091735.68</v>
      </c>
      <c r="E1243" s="0" t="s">
        <v>4137</v>
      </c>
      <c r="F1243" s="225"/>
    </row>
    <row r="1244" customFormat="false" ht="14.25" hidden="false" customHeight="false" outlineLevel="0" collapsed="false">
      <c r="A1244" s="0" t="n">
        <v>1143941016</v>
      </c>
      <c r="B1244" s="0" t="s">
        <v>5385</v>
      </c>
      <c r="C1244" s="0" t="n">
        <v>0.325359714307345</v>
      </c>
      <c r="D1244" s="0" t="n">
        <v>442518.48</v>
      </c>
      <c r="E1244" s="0" t="s">
        <v>4137</v>
      </c>
      <c r="F1244" s="225"/>
    </row>
    <row r="1245" customFormat="false" ht="14.25" hidden="false" customHeight="false" outlineLevel="0" collapsed="false">
      <c r="A1245" s="0" t="n">
        <v>1107100321</v>
      </c>
      <c r="B1245" s="0" t="s">
        <v>5386</v>
      </c>
      <c r="C1245" s="0" t="n">
        <v>0.185111694213758</v>
      </c>
      <c r="D1245" s="0" t="n">
        <v>723593</v>
      </c>
      <c r="E1245" s="0" t="s">
        <v>4137</v>
      </c>
      <c r="F1245" s="225"/>
    </row>
    <row r="1246" customFormat="false" ht="14.25" hidden="false" customHeight="false" outlineLevel="0" collapsed="false">
      <c r="A1246" s="0" t="n">
        <v>1130667239</v>
      </c>
      <c r="B1246" s="0" t="s">
        <v>5387</v>
      </c>
      <c r="C1246" s="0" t="n">
        <v>0.385909918064768</v>
      </c>
      <c r="D1246" s="0" t="n">
        <v>156023</v>
      </c>
      <c r="E1246" s="0" t="s">
        <v>4137</v>
      </c>
      <c r="F1246" s="225"/>
    </row>
    <row r="1247" customFormat="false" ht="14.25" hidden="false" customHeight="false" outlineLevel="0" collapsed="false">
      <c r="A1247" s="0" t="n">
        <v>1143858820</v>
      </c>
      <c r="B1247" s="0" t="s">
        <v>5388</v>
      </c>
      <c r="C1247" s="0" t="n">
        <v>0.221762933199397</v>
      </c>
      <c r="D1247" s="0" t="n">
        <v>394690</v>
      </c>
      <c r="E1247" s="0" t="s">
        <v>4137</v>
      </c>
      <c r="F1247" s="225"/>
    </row>
    <row r="1248" customFormat="false" ht="14.25" hidden="false" customHeight="false" outlineLevel="0" collapsed="false">
      <c r="A1248" s="0" t="n">
        <v>1143946545</v>
      </c>
      <c r="B1248" s="0" t="s">
        <v>5389</v>
      </c>
      <c r="C1248" s="0" t="n">
        <v>0.134657170023947</v>
      </c>
      <c r="D1248" s="0" t="n">
        <v>1620519</v>
      </c>
      <c r="E1248" s="0" t="s">
        <v>4147</v>
      </c>
      <c r="F1248" s="225"/>
    </row>
    <row r="1249" customFormat="false" ht="14.25" hidden="false" customHeight="false" outlineLevel="0" collapsed="false">
      <c r="A1249" s="0" t="n">
        <v>94072107</v>
      </c>
      <c r="B1249" s="0" t="s">
        <v>5390</v>
      </c>
      <c r="C1249" s="0" t="n">
        <v>0.247539427423405</v>
      </c>
      <c r="D1249" s="0" t="n">
        <v>343369</v>
      </c>
      <c r="E1249" s="0" t="s">
        <v>4137</v>
      </c>
      <c r="F1249" s="225"/>
    </row>
    <row r="1250" customFormat="false" ht="14.25" hidden="false" customHeight="false" outlineLevel="0" collapsed="false">
      <c r="A1250" s="0" t="n">
        <v>1107073161</v>
      </c>
      <c r="B1250" s="0" t="s">
        <v>5391</v>
      </c>
      <c r="C1250" s="0" t="n">
        <v>0.261187343043697</v>
      </c>
      <c r="D1250" s="0" t="n">
        <v>316196</v>
      </c>
      <c r="E1250" s="0" t="s">
        <v>4137</v>
      </c>
      <c r="F1250" s="225"/>
    </row>
    <row r="1251" customFormat="false" ht="14.25" hidden="false" customHeight="false" outlineLevel="0" collapsed="false">
      <c r="A1251" s="0" t="n">
        <v>1144161155</v>
      </c>
      <c r="B1251" s="0" t="s">
        <v>5392</v>
      </c>
      <c r="C1251" s="0" t="n">
        <v>0.387960321446509</v>
      </c>
      <c r="D1251" s="0" t="n">
        <v>63791</v>
      </c>
      <c r="E1251" s="0" t="s">
        <v>4137</v>
      </c>
      <c r="F1251" s="225"/>
    </row>
    <row r="1252" customFormat="false" ht="14.25" hidden="false" customHeight="false" outlineLevel="0" collapsed="false">
      <c r="A1252" s="0" t="n">
        <v>1047396862</v>
      </c>
      <c r="B1252" s="0" t="s">
        <v>5393</v>
      </c>
      <c r="C1252" s="0" t="n">
        <v>0.408584724538147</v>
      </c>
      <c r="D1252" s="0" t="n">
        <v>70907.3799999999</v>
      </c>
      <c r="E1252" s="0" t="s">
        <v>4147</v>
      </c>
      <c r="F1252" s="225"/>
    </row>
    <row r="1253" customFormat="false" ht="14.25" hidden="false" customHeight="false" outlineLevel="0" collapsed="false">
      <c r="A1253" s="0" t="n">
        <v>1143950540</v>
      </c>
      <c r="B1253" s="0" t="s">
        <v>5394</v>
      </c>
      <c r="C1253" s="0" t="n">
        <v>0.116738894697361</v>
      </c>
      <c r="D1253" s="0" t="n">
        <v>780251.4</v>
      </c>
      <c r="E1253" s="0" t="s">
        <v>4137</v>
      </c>
      <c r="F1253" s="225"/>
    </row>
    <row r="1254" customFormat="false" ht="14.25" hidden="false" customHeight="false" outlineLevel="0" collapsed="false">
      <c r="A1254" s="0" t="n">
        <v>1128428566</v>
      </c>
      <c r="B1254" s="0" t="s">
        <v>5395</v>
      </c>
      <c r="C1254" s="0" t="n">
        <v>0.503346777771034</v>
      </c>
      <c r="D1254" s="0" t="n">
        <v>-467830.52</v>
      </c>
      <c r="E1254" s="0" t="s">
        <v>4137</v>
      </c>
      <c r="F1254" s="225"/>
    </row>
    <row r="1255" customFormat="false" ht="14.25" hidden="false" customHeight="false" outlineLevel="0" collapsed="false">
      <c r="A1255" s="0" t="n">
        <v>1124868351</v>
      </c>
      <c r="B1255" s="0" t="s">
        <v>5396</v>
      </c>
      <c r="C1255" s="0" t="n">
        <v>0.170775191693294</v>
      </c>
      <c r="D1255" s="0" t="n">
        <v>1324597.54</v>
      </c>
      <c r="E1255" s="0" t="s">
        <v>4137</v>
      </c>
      <c r="F1255" s="225"/>
    </row>
    <row r="1256" customFormat="false" ht="14.25" hidden="false" customHeight="false" outlineLevel="0" collapsed="false">
      <c r="A1256" s="0" t="n">
        <v>1144212406</v>
      </c>
      <c r="B1256" s="0" t="s">
        <v>5397</v>
      </c>
      <c r="C1256" s="0" t="n">
        <v>0.140763212294823</v>
      </c>
      <c r="D1256" s="0" t="n">
        <v>1891518.26</v>
      </c>
      <c r="E1256" s="0" t="s">
        <v>4137</v>
      </c>
      <c r="F1256" s="225"/>
    </row>
    <row r="1257" customFormat="false" ht="14.25" hidden="false" customHeight="false" outlineLevel="0" collapsed="false">
      <c r="A1257" s="0" t="n">
        <v>1005707315</v>
      </c>
      <c r="B1257" s="0" t="s">
        <v>5398</v>
      </c>
      <c r="C1257" s="0" t="n">
        <v>0.137368251256951</v>
      </c>
      <c r="D1257" s="0" t="n">
        <v>1132763.46</v>
      </c>
      <c r="E1257" s="0" t="s">
        <v>4137</v>
      </c>
      <c r="F1257" s="225"/>
    </row>
    <row r="1258" customFormat="false" ht="14.25" hidden="false" customHeight="false" outlineLevel="0" collapsed="false">
      <c r="A1258" s="0" t="n">
        <v>1054997916</v>
      </c>
      <c r="B1258" s="0" t="s">
        <v>5399</v>
      </c>
      <c r="C1258" s="0" t="n">
        <v>0.374518998951782</v>
      </c>
      <c r="D1258" s="0" t="n">
        <v>347111</v>
      </c>
      <c r="E1258" s="0" t="s">
        <v>4137</v>
      </c>
      <c r="F1258" s="225"/>
    </row>
    <row r="1259" customFormat="false" ht="14.25" hidden="false" customHeight="false" outlineLevel="0" collapsed="false">
      <c r="A1259" s="0" t="n">
        <v>29363921</v>
      </c>
      <c r="B1259" s="0" t="s">
        <v>5400</v>
      </c>
      <c r="C1259" s="0" t="n">
        <v>0.456305576173392</v>
      </c>
      <c r="D1259" s="0" t="n">
        <v>-110185.56</v>
      </c>
      <c r="E1259" s="0" t="s">
        <v>4147</v>
      </c>
      <c r="F1259" s="225"/>
    </row>
    <row r="1260" customFormat="false" ht="14.25" hidden="false" customHeight="false" outlineLevel="0" collapsed="false">
      <c r="A1260" s="0" t="n">
        <v>1107083585</v>
      </c>
      <c r="B1260" s="0" t="s">
        <v>5401</v>
      </c>
      <c r="C1260" s="0" t="n">
        <v>0.326423190683058</v>
      </c>
      <c r="D1260" s="0" t="n">
        <v>404963</v>
      </c>
      <c r="E1260" s="0" t="s">
        <v>4137</v>
      </c>
      <c r="F1260" s="225"/>
    </row>
    <row r="1261" customFormat="false" ht="14.25" hidden="false" customHeight="false" outlineLevel="0" collapsed="false">
      <c r="A1261" s="0" t="n">
        <v>1002806316</v>
      </c>
      <c r="B1261" s="0" t="s">
        <v>5402</v>
      </c>
      <c r="C1261" s="0" t="n">
        <v>0.114369634497761</v>
      </c>
      <c r="D1261" s="0" t="n">
        <v>1077972.46</v>
      </c>
      <c r="E1261" s="0" t="s">
        <v>4137</v>
      </c>
      <c r="F1261" s="225"/>
    </row>
    <row r="1262" customFormat="false" ht="14.25" hidden="false" customHeight="false" outlineLevel="0" collapsed="false">
      <c r="A1262" s="0" t="n">
        <v>16849166</v>
      </c>
      <c r="B1262" s="0" t="s">
        <v>5403</v>
      </c>
      <c r="C1262" s="0" t="n">
        <v>0.251193928336332</v>
      </c>
      <c r="D1262" s="0" t="n">
        <v>360124.74</v>
      </c>
      <c r="E1262" s="0" t="s">
        <v>4137</v>
      </c>
      <c r="F1262" s="225"/>
    </row>
    <row r="1263" customFormat="false" ht="14.25" hidden="false" customHeight="false" outlineLevel="0" collapsed="false">
      <c r="A1263" s="0" t="n">
        <v>1151947279</v>
      </c>
      <c r="B1263" s="0" t="s">
        <v>5404</v>
      </c>
      <c r="C1263" s="0" t="n">
        <v>0.4259461289723</v>
      </c>
      <c r="D1263" s="0" t="n">
        <v>-11601.96</v>
      </c>
      <c r="E1263" s="0" t="s">
        <v>4137</v>
      </c>
      <c r="F1263" s="225"/>
    </row>
    <row r="1264" customFormat="false" ht="14.25" hidden="false" customHeight="false" outlineLevel="0" collapsed="false">
      <c r="A1264" s="0" t="n">
        <v>1143827561</v>
      </c>
      <c r="B1264" s="0" t="s">
        <v>5405</v>
      </c>
      <c r="C1264" s="0" t="n">
        <v>0.316238280309325</v>
      </c>
      <c r="D1264" s="0" t="n">
        <v>325315.3</v>
      </c>
      <c r="E1264" s="0" t="s">
        <v>4137</v>
      </c>
      <c r="F1264" s="225"/>
    </row>
    <row r="1265" customFormat="false" ht="14.25" hidden="false" customHeight="false" outlineLevel="0" collapsed="false">
      <c r="A1265" s="0" t="n">
        <v>1114878389</v>
      </c>
      <c r="B1265" s="0" t="s">
        <v>5406</v>
      </c>
      <c r="C1265" s="0" t="n">
        <v>0.256361828779926</v>
      </c>
      <c r="D1265" s="0" t="n">
        <v>463013.06</v>
      </c>
      <c r="E1265" s="0" t="s">
        <v>4147</v>
      </c>
      <c r="F1265" s="225"/>
    </row>
    <row r="1266" customFormat="false" ht="14.25" hidden="false" customHeight="false" outlineLevel="0" collapsed="false">
      <c r="A1266" s="0" t="n">
        <v>1010130898</v>
      </c>
      <c r="B1266" s="0" t="s">
        <v>5407</v>
      </c>
      <c r="C1266" s="0" t="n">
        <v>0.192563162641153</v>
      </c>
      <c r="D1266" s="0" t="n">
        <v>821408.38</v>
      </c>
      <c r="E1266" s="0" t="s">
        <v>4137</v>
      </c>
      <c r="F1266" s="225"/>
    </row>
    <row r="1267" customFormat="false" ht="14.25" hidden="false" customHeight="false" outlineLevel="0" collapsed="false">
      <c r="A1267" s="0" t="n">
        <v>1005891368</v>
      </c>
      <c r="B1267" s="0" t="s">
        <v>5408</v>
      </c>
      <c r="C1267" s="0" t="n">
        <v>0.335512671923113</v>
      </c>
      <c r="D1267" s="0" t="n">
        <v>326115.82</v>
      </c>
      <c r="E1267" s="0" t="s">
        <v>4137</v>
      </c>
      <c r="F1267" s="225"/>
    </row>
    <row r="1268" customFormat="false" ht="14.25" hidden="false" customHeight="false" outlineLevel="0" collapsed="false">
      <c r="A1268" s="0" t="n">
        <v>1144130897</v>
      </c>
      <c r="B1268" s="0" t="s">
        <v>5409</v>
      </c>
      <c r="C1268" s="0" t="n">
        <v>0.347722564503518</v>
      </c>
      <c r="D1268" s="0" t="n">
        <v>330153</v>
      </c>
      <c r="E1268" s="0" t="s">
        <v>4137</v>
      </c>
      <c r="F1268" s="225"/>
    </row>
    <row r="1269" customFormat="false" ht="14.25" hidden="false" customHeight="false" outlineLevel="0" collapsed="false">
      <c r="A1269" s="0" t="n">
        <v>1148207872</v>
      </c>
      <c r="B1269" s="0" t="s">
        <v>5410</v>
      </c>
      <c r="C1269" s="0" t="n">
        <v>0.128130924134074</v>
      </c>
      <c r="D1269" s="0" t="n">
        <v>1040987.64</v>
      </c>
      <c r="E1269" s="0" t="s">
        <v>4137</v>
      </c>
      <c r="F1269" s="225"/>
    </row>
    <row r="1270" customFormat="false" ht="14.25" hidden="false" customHeight="false" outlineLevel="0" collapsed="false">
      <c r="A1270" s="0" t="n">
        <v>1107083747</v>
      </c>
      <c r="B1270" s="0" t="s">
        <v>5411</v>
      </c>
      <c r="C1270" s="0" t="n">
        <v>0.428486478592024</v>
      </c>
      <c r="D1270" s="0" t="n">
        <v>-43813.1600000002</v>
      </c>
      <c r="E1270" s="0" t="s">
        <v>4137</v>
      </c>
      <c r="F1270" s="225"/>
    </row>
    <row r="1271" customFormat="false" ht="14.25" hidden="false" customHeight="false" outlineLevel="0" collapsed="false">
      <c r="A1271" s="0" t="n">
        <v>1144053183</v>
      </c>
      <c r="B1271" s="0" t="s">
        <v>5412</v>
      </c>
      <c r="C1271" s="0" t="n">
        <v>0.30444450025113</v>
      </c>
      <c r="D1271" s="0" t="n">
        <v>230071</v>
      </c>
      <c r="E1271" s="0" t="s">
        <v>4137</v>
      </c>
      <c r="F1271" s="225"/>
    </row>
    <row r="1272" customFormat="false" ht="14.25" hidden="false" customHeight="false" outlineLevel="0" collapsed="false">
      <c r="A1272" s="0" t="n">
        <v>29785277</v>
      </c>
      <c r="B1272" s="0" t="s">
        <v>5413</v>
      </c>
      <c r="C1272" s="0" t="n">
        <v>0.109655470315848</v>
      </c>
      <c r="D1272" s="0" t="n">
        <v>898075</v>
      </c>
      <c r="E1272" s="0" t="s">
        <v>4137</v>
      </c>
      <c r="F1272" s="225"/>
    </row>
    <row r="1273" customFormat="false" ht="14.25" hidden="false" customHeight="false" outlineLevel="0" collapsed="false">
      <c r="A1273" s="0" t="n">
        <v>1143855852</v>
      </c>
      <c r="B1273" s="0" t="s">
        <v>5414</v>
      </c>
      <c r="C1273" s="0" t="n">
        <v>0.307914495733236</v>
      </c>
      <c r="D1273" s="0" t="n">
        <v>397982</v>
      </c>
      <c r="E1273" s="0" t="s">
        <v>4137</v>
      </c>
      <c r="F1273" s="225"/>
    </row>
    <row r="1274" customFormat="false" ht="14.25" hidden="false" customHeight="false" outlineLevel="0" collapsed="false">
      <c r="A1274" s="0" t="n">
        <v>1112469685</v>
      </c>
      <c r="B1274" s="0" t="s">
        <v>5415</v>
      </c>
      <c r="C1274" s="0" t="n">
        <v>0.121262639855435</v>
      </c>
      <c r="D1274" s="0" t="n">
        <v>776986</v>
      </c>
      <c r="E1274" s="0" t="s">
        <v>4137</v>
      </c>
      <c r="F1274" s="225"/>
    </row>
    <row r="1275" customFormat="false" ht="14.25" hidden="false" customHeight="false" outlineLevel="0" collapsed="false">
      <c r="A1275" s="0" t="n">
        <v>1144070112</v>
      </c>
      <c r="B1275" s="0" t="s">
        <v>5416</v>
      </c>
      <c r="C1275" s="0" t="n">
        <v>0.418412813601493</v>
      </c>
      <c r="D1275" s="0" t="n">
        <v>4593</v>
      </c>
      <c r="E1275" s="0" t="s">
        <v>4137</v>
      </c>
      <c r="F1275" s="225"/>
    </row>
    <row r="1276" customFormat="false" ht="14.25" hidden="false" customHeight="false" outlineLevel="0" collapsed="false">
      <c r="A1276" s="0" t="n">
        <v>1112461387</v>
      </c>
      <c r="B1276" s="0" t="s">
        <v>5417</v>
      </c>
      <c r="C1276" s="0" t="n">
        <v>0.233198214034594</v>
      </c>
      <c r="D1276" s="0" t="n">
        <v>1062678</v>
      </c>
      <c r="E1276" s="0" t="s">
        <v>4137</v>
      </c>
      <c r="F1276" s="225"/>
    </row>
    <row r="1277" customFormat="false" ht="14.25" hidden="false" customHeight="false" outlineLevel="0" collapsed="false">
      <c r="A1277" s="0" t="n">
        <v>1143971906</v>
      </c>
      <c r="B1277" s="0" t="s">
        <v>5418</v>
      </c>
      <c r="C1277" s="0" t="n">
        <v>0.235180311401306</v>
      </c>
      <c r="D1277" s="0" t="n">
        <v>367976</v>
      </c>
      <c r="E1277" s="0" t="s">
        <v>4137</v>
      </c>
      <c r="F1277" s="225"/>
    </row>
    <row r="1278" customFormat="false" ht="14.25" hidden="false" customHeight="false" outlineLevel="0" collapsed="false">
      <c r="A1278" s="0" t="n">
        <v>1144024737</v>
      </c>
      <c r="B1278" s="0" t="s">
        <v>5419</v>
      </c>
      <c r="C1278" s="0" t="n">
        <v>0.210974278134492</v>
      </c>
      <c r="D1278" s="0" t="n">
        <v>543655</v>
      </c>
      <c r="E1278" s="0" t="s">
        <v>4137</v>
      </c>
      <c r="F1278" s="225"/>
    </row>
    <row r="1279" customFormat="false" ht="14.25" hidden="false" customHeight="false" outlineLevel="0" collapsed="false">
      <c r="A1279" s="0" t="n">
        <v>1143874967</v>
      </c>
      <c r="B1279" s="0" t="s">
        <v>5420</v>
      </c>
      <c r="C1279" s="0" t="n">
        <v>0.327284483284822</v>
      </c>
      <c r="D1279" s="0" t="n">
        <v>212652.68</v>
      </c>
      <c r="E1279" s="0" t="s">
        <v>4137</v>
      </c>
      <c r="F1279" s="225"/>
    </row>
    <row r="1280" customFormat="false" ht="14.25" hidden="false" customHeight="false" outlineLevel="0" collapsed="false">
      <c r="A1280" s="0" t="n">
        <v>1144106610</v>
      </c>
      <c r="B1280" s="0" t="s">
        <v>5421</v>
      </c>
      <c r="C1280" s="0" t="n">
        <v>0.421538698142951</v>
      </c>
      <c r="D1280" s="0" t="n">
        <v>-4002</v>
      </c>
      <c r="E1280" s="0" t="s">
        <v>4137</v>
      </c>
      <c r="F1280" s="225"/>
    </row>
    <row r="1281" customFormat="false" ht="14.25" hidden="false" customHeight="false" outlineLevel="0" collapsed="false">
      <c r="A1281" s="0" t="n">
        <v>1143844762</v>
      </c>
      <c r="B1281" s="0" t="s">
        <v>5422</v>
      </c>
      <c r="C1281" s="0" t="n">
        <v>0.126448283523485</v>
      </c>
      <c r="D1281" s="0" t="n">
        <v>1206280.62</v>
      </c>
      <c r="E1281" s="0" t="s">
        <v>4137</v>
      </c>
      <c r="F1281" s="225"/>
    </row>
    <row r="1282" customFormat="false" ht="14.25" hidden="false" customHeight="false" outlineLevel="0" collapsed="false">
      <c r="A1282" s="0" t="n">
        <v>1114456188</v>
      </c>
      <c r="B1282" s="0" t="s">
        <v>5423</v>
      </c>
      <c r="C1282" s="0" t="n">
        <v>0.250905383924252</v>
      </c>
      <c r="D1282" s="0" t="n">
        <v>489326</v>
      </c>
      <c r="E1282" s="0" t="s">
        <v>4137</v>
      </c>
      <c r="F1282" s="225"/>
    </row>
    <row r="1283" customFormat="false" ht="14.25" hidden="false" customHeight="false" outlineLevel="0" collapsed="false">
      <c r="A1283" s="0" t="n">
        <v>1005870761</v>
      </c>
      <c r="B1283" s="0" t="s">
        <v>5424</v>
      </c>
      <c r="C1283" s="0" t="n">
        <v>0.535780076698349</v>
      </c>
      <c r="D1283" s="0" t="n">
        <v>-405398.333333333</v>
      </c>
      <c r="E1283" s="0" t="s">
        <v>4147</v>
      </c>
      <c r="F1283" s="225"/>
    </row>
    <row r="1284" customFormat="false" ht="14.25" hidden="false" customHeight="false" outlineLevel="0" collapsed="false">
      <c r="A1284" s="0" t="n">
        <v>1087115616</v>
      </c>
      <c r="B1284" s="0" t="s">
        <v>5425</v>
      </c>
      <c r="C1284" s="0" t="n">
        <v>0.273522350577599</v>
      </c>
      <c r="D1284" s="0" t="n">
        <v>291637</v>
      </c>
      <c r="E1284" s="0" t="s">
        <v>4137</v>
      </c>
      <c r="F1284" s="225"/>
    </row>
    <row r="1285" customFormat="false" ht="14.25" hidden="false" customHeight="false" outlineLevel="0" collapsed="false">
      <c r="A1285" s="0" t="n">
        <v>1059985209</v>
      </c>
      <c r="B1285" s="0" t="s">
        <v>5426</v>
      </c>
      <c r="C1285" s="0" t="n">
        <v>0.37557810703946</v>
      </c>
      <c r="D1285" s="0" t="n">
        <v>100516.66</v>
      </c>
      <c r="E1285" s="0" t="s">
        <v>4378</v>
      </c>
      <c r="F1285" s="225"/>
    </row>
    <row r="1286" customFormat="false" ht="14.25" hidden="false" customHeight="false" outlineLevel="0" collapsed="false">
      <c r="A1286" s="0" t="n">
        <v>1005967595</v>
      </c>
      <c r="B1286" s="0" t="s">
        <v>5427</v>
      </c>
      <c r="C1286" s="0" t="n">
        <v>0.429214098953312</v>
      </c>
      <c r="D1286" s="0" t="n">
        <v>-30952.6666666665</v>
      </c>
      <c r="E1286" s="0" t="s">
        <v>4137</v>
      </c>
      <c r="F1286" s="225"/>
    </row>
    <row r="1287" customFormat="false" ht="14.25" hidden="false" customHeight="false" outlineLevel="0" collapsed="false">
      <c r="A1287" s="0" t="n">
        <v>1115421594</v>
      </c>
      <c r="B1287" s="0" t="s">
        <v>5428</v>
      </c>
      <c r="C1287" s="0" t="n">
        <v>0.104187923912724</v>
      </c>
      <c r="D1287" s="0" t="n">
        <v>1783420.48</v>
      </c>
      <c r="E1287" s="0" t="s">
        <v>4137</v>
      </c>
      <c r="F1287" s="225"/>
    </row>
    <row r="1288" customFormat="false" ht="14.25" hidden="false" customHeight="false" outlineLevel="0" collapsed="false">
      <c r="A1288" s="0" t="n">
        <v>1144094459</v>
      </c>
      <c r="B1288" s="0" t="s">
        <v>5429</v>
      </c>
      <c r="C1288" s="0" t="n">
        <v>0.428927794634363</v>
      </c>
      <c r="D1288" s="0" t="n">
        <v>-39190</v>
      </c>
      <c r="E1288" s="0" t="s">
        <v>4137</v>
      </c>
      <c r="F1288" s="225"/>
    </row>
    <row r="1289" customFormat="false" ht="14.25" hidden="false" customHeight="false" outlineLevel="0" collapsed="false">
      <c r="A1289" s="0" t="n">
        <v>31322862</v>
      </c>
      <c r="B1289" s="0" t="s">
        <v>5430</v>
      </c>
      <c r="C1289" s="0" t="n">
        <v>0.384499001582645</v>
      </c>
      <c r="D1289" s="0" t="n">
        <v>160812</v>
      </c>
      <c r="E1289" s="0" t="s">
        <v>4137</v>
      </c>
      <c r="F1289" s="225"/>
    </row>
    <row r="1290" customFormat="false" ht="14.25" hidden="false" customHeight="false" outlineLevel="0" collapsed="false">
      <c r="A1290" s="0" t="n">
        <v>1144160528</v>
      </c>
      <c r="B1290" s="0" t="s">
        <v>5431</v>
      </c>
      <c r="C1290" s="0" t="n">
        <v>0.389763721657545</v>
      </c>
      <c r="D1290" s="0" t="n">
        <v>138115</v>
      </c>
      <c r="E1290" s="0" t="s">
        <v>4137</v>
      </c>
      <c r="F1290" s="225"/>
    </row>
    <row r="1291" customFormat="false" ht="14.25" hidden="false" customHeight="false" outlineLevel="0" collapsed="false">
      <c r="A1291" s="0" t="n">
        <v>1144155126</v>
      </c>
      <c r="B1291" s="0" t="s">
        <v>5432</v>
      </c>
      <c r="C1291" s="0" t="n">
        <v>0.475183643471462</v>
      </c>
      <c r="D1291" s="0" t="n">
        <v>-252071</v>
      </c>
      <c r="E1291" s="0" t="s">
        <v>4137</v>
      </c>
      <c r="F1291" s="225"/>
    </row>
    <row r="1292" customFormat="false" ht="14.25" hidden="false" customHeight="false" outlineLevel="0" collapsed="false">
      <c r="A1292" s="0" t="n">
        <v>1193037577</v>
      </c>
      <c r="B1292" s="0" t="s">
        <v>5433</v>
      </c>
      <c r="C1292" s="0" t="s">
        <v>4266</v>
      </c>
      <c r="D1292" s="0" t="n">
        <v>0</v>
      </c>
      <c r="E1292" s="0" t="s">
        <v>4137</v>
      </c>
      <c r="F1292" s="225"/>
    </row>
    <row r="1293" customFormat="false" ht="14.25" hidden="false" customHeight="false" outlineLevel="0" collapsed="false">
      <c r="A1293" s="0" t="n">
        <v>1113592659</v>
      </c>
      <c r="B1293" s="0" t="s">
        <v>5434</v>
      </c>
      <c r="C1293" s="0" t="n">
        <v>0.178554973658909</v>
      </c>
      <c r="D1293" s="0" t="n">
        <v>682125.74</v>
      </c>
      <c r="E1293" s="0" t="s">
        <v>4137</v>
      </c>
      <c r="F1293" s="225"/>
    </row>
    <row r="1294" customFormat="false" ht="14.25" hidden="false" customHeight="false" outlineLevel="0" collapsed="false">
      <c r="A1294" s="0" t="n">
        <v>1144140877</v>
      </c>
      <c r="B1294" s="0" t="s">
        <v>5435</v>
      </c>
      <c r="C1294" s="0" t="n">
        <v>0.14225333130328</v>
      </c>
      <c r="D1294" s="0" t="n">
        <v>2012736.6</v>
      </c>
      <c r="E1294" s="0" t="s">
        <v>4137</v>
      </c>
      <c r="F1294" s="225"/>
    </row>
    <row r="1295" customFormat="false" ht="14.25" hidden="false" customHeight="false" outlineLevel="0" collapsed="false">
      <c r="A1295" s="0" t="n">
        <v>1002993980</v>
      </c>
      <c r="B1295" s="0" t="s">
        <v>5436</v>
      </c>
      <c r="C1295" s="0" t="s">
        <v>4266</v>
      </c>
      <c r="D1295" s="0" t="n">
        <v>0</v>
      </c>
      <c r="E1295" s="0" t="s">
        <v>4137</v>
      </c>
      <c r="F1295" s="225"/>
    </row>
    <row r="1296" customFormat="false" ht="14.25" hidden="false" customHeight="false" outlineLevel="0" collapsed="false">
      <c r="A1296" s="0" t="n">
        <v>1143841250</v>
      </c>
      <c r="B1296" s="0" t="s">
        <v>5437</v>
      </c>
      <c r="C1296" s="0" t="n">
        <v>0.414862036298466</v>
      </c>
      <c r="D1296" s="0" t="n">
        <v>22654.1399999999</v>
      </c>
      <c r="E1296" s="0" t="s">
        <v>4137</v>
      </c>
      <c r="F1296" s="225"/>
    </row>
    <row r="1297" customFormat="false" ht="14.25" hidden="false" customHeight="false" outlineLevel="0" collapsed="false">
      <c r="A1297" s="0" t="n">
        <v>1113514976</v>
      </c>
      <c r="B1297" s="0" t="s">
        <v>5438</v>
      </c>
      <c r="C1297" s="0" t="n">
        <v>0.281429754913483</v>
      </c>
      <c r="D1297" s="0" t="n">
        <v>301247.14</v>
      </c>
      <c r="E1297" s="0" t="s">
        <v>4137</v>
      </c>
      <c r="F1297" s="225"/>
    </row>
    <row r="1298" customFormat="false" ht="14.25" hidden="false" customHeight="false" outlineLevel="0" collapsed="false">
      <c r="A1298" s="0" t="n">
        <v>1059596418</v>
      </c>
      <c r="B1298" s="0" t="s">
        <v>5439</v>
      </c>
      <c r="C1298" s="0" t="n">
        <v>0.388302606815848</v>
      </c>
      <c r="D1298" s="0" t="n">
        <v>243204.8</v>
      </c>
      <c r="E1298" s="0" t="s">
        <v>4147</v>
      </c>
      <c r="F1298" s="225"/>
    </row>
    <row r="1299" customFormat="false" ht="14.25" hidden="false" customHeight="false" outlineLevel="0" collapsed="false">
      <c r="A1299" s="0" t="n">
        <v>1143972695</v>
      </c>
      <c r="B1299" s="0" t="s">
        <v>5440</v>
      </c>
      <c r="C1299" s="0" t="n">
        <v>0.125606136337422</v>
      </c>
      <c r="D1299" s="0" t="n">
        <v>765689</v>
      </c>
      <c r="E1299" s="0" t="s">
        <v>4137</v>
      </c>
      <c r="F1299" s="225"/>
    </row>
    <row r="1300" customFormat="false" ht="14.25" hidden="false" customHeight="false" outlineLevel="0" collapsed="false">
      <c r="A1300" s="0" t="n">
        <v>34613504</v>
      </c>
      <c r="B1300" s="0" t="s">
        <v>5441</v>
      </c>
      <c r="C1300" s="0" t="n">
        <v>0.392474563583899</v>
      </c>
      <c r="D1300" s="0" t="n">
        <v>206215.56</v>
      </c>
      <c r="E1300" s="0" t="s">
        <v>4137</v>
      </c>
      <c r="F1300" s="225"/>
    </row>
    <row r="1301" customFormat="false" ht="14.25" hidden="false" customHeight="false" outlineLevel="0" collapsed="false">
      <c r="A1301" s="0" t="n">
        <v>1143970754</v>
      </c>
      <c r="B1301" s="0" t="s">
        <v>5442</v>
      </c>
      <c r="C1301" s="0" t="n">
        <v>0.121024260832789</v>
      </c>
      <c r="D1301" s="0" t="n">
        <v>777606</v>
      </c>
      <c r="E1301" s="0" t="s">
        <v>4137</v>
      </c>
      <c r="F1301" s="225"/>
    </row>
    <row r="1302" customFormat="false" ht="14.25" hidden="false" customHeight="false" outlineLevel="0" collapsed="false">
      <c r="A1302" s="0" t="n">
        <v>31711209</v>
      </c>
      <c r="B1302" s="0" t="s">
        <v>5443</v>
      </c>
      <c r="C1302" s="0" t="n">
        <v>0.294264391087575</v>
      </c>
      <c r="D1302" s="0" t="n">
        <v>392431.02</v>
      </c>
      <c r="E1302" s="0" t="s">
        <v>4137</v>
      </c>
      <c r="F1302" s="225"/>
    </row>
    <row r="1303" customFormat="false" ht="14.25" hidden="false" customHeight="false" outlineLevel="0" collapsed="false">
      <c r="A1303" s="0" t="n">
        <v>1010149247</v>
      </c>
      <c r="B1303" s="0" t="s">
        <v>5444</v>
      </c>
      <c r="C1303" s="0" t="n">
        <v>0.458464249031788</v>
      </c>
      <c r="D1303" s="0" t="n">
        <v>-98940.28</v>
      </c>
      <c r="E1303" s="0" t="s">
        <v>4137</v>
      </c>
      <c r="F1303" s="225"/>
    </row>
    <row r="1304" customFormat="false" ht="14.25" hidden="false" customHeight="false" outlineLevel="0" collapsed="false">
      <c r="A1304" s="0" t="n">
        <v>1061720192</v>
      </c>
      <c r="B1304" s="0" t="s">
        <v>5445</v>
      </c>
      <c r="C1304" s="0" t="n">
        <v>0.239073486331355</v>
      </c>
      <c r="D1304" s="0" t="n">
        <v>546954.36</v>
      </c>
      <c r="E1304" s="0" t="s">
        <v>4137</v>
      </c>
      <c r="F1304" s="225"/>
    </row>
    <row r="1305" customFormat="false" ht="14.25" hidden="false" customHeight="false" outlineLevel="0" collapsed="false">
      <c r="A1305" s="0" t="n">
        <v>1110282293</v>
      </c>
      <c r="B1305" s="0" t="s">
        <v>5446</v>
      </c>
      <c r="C1305" s="0" t="n">
        <v>0.439907253221027</v>
      </c>
      <c r="D1305" s="0" t="n">
        <v>-67783.6000000001</v>
      </c>
      <c r="E1305" s="0" t="s">
        <v>4147</v>
      </c>
      <c r="F1305" s="225"/>
    </row>
    <row r="1306" customFormat="false" ht="14.25" hidden="false" customHeight="false" outlineLevel="0" collapsed="false">
      <c r="A1306" s="0" t="n">
        <v>1005895375</v>
      </c>
      <c r="B1306" s="0" t="s">
        <v>5447</v>
      </c>
      <c r="C1306" s="0" t="n">
        <v>0.0980054905587972</v>
      </c>
      <c r="D1306" s="0" t="n">
        <v>1308959.2</v>
      </c>
      <c r="E1306" s="0" t="s">
        <v>4147</v>
      </c>
      <c r="F1306" s="225"/>
    </row>
    <row r="1307" customFormat="false" ht="14.25" hidden="false" customHeight="false" outlineLevel="0" collapsed="false">
      <c r="A1307" s="0" t="n">
        <v>1193034560</v>
      </c>
      <c r="B1307" s="0" t="s">
        <v>5448</v>
      </c>
      <c r="C1307" s="0" t="n">
        <v>0.232451643321953</v>
      </c>
      <c r="D1307" s="0" t="n">
        <v>648377.8</v>
      </c>
      <c r="E1307" s="0" t="s">
        <v>4137</v>
      </c>
      <c r="F1307" s="225"/>
    </row>
    <row r="1308" customFormat="false" ht="14.25" hidden="false" customHeight="false" outlineLevel="0" collapsed="false">
      <c r="A1308" s="0" t="n">
        <v>1144188979</v>
      </c>
      <c r="B1308" s="0" t="s">
        <v>5449</v>
      </c>
      <c r="C1308" s="0" t="n">
        <v>0.240232605122452</v>
      </c>
      <c r="D1308" s="0" t="n">
        <v>366606.12</v>
      </c>
      <c r="E1308" s="0" t="s">
        <v>4137</v>
      </c>
      <c r="F1308" s="225"/>
    </row>
    <row r="1309" customFormat="false" ht="14.25" hidden="false" customHeight="false" outlineLevel="0" collapsed="false">
      <c r="A1309" s="0" t="n">
        <v>1193123792</v>
      </c>
      <c r="B1309" s="0" t="s">
        <v>5450</v>
      </c>
      <c r="C1309" s="0" t="n">
        <v>0.448387730690362</v>
      </c>
      <c r="D1309" s="0" t="n">
        <v>-66450</v>
      </c>
      <c r="E1309" s="0" t="s">
        <v>4147</v>
      </c>
      <c r="F1309" s="225"/>
    </row>
    <row r="1310" customFormat="false" ht="14.25" hidden="false" customHeight="false" outlineLevel="0" collapsed="false">
      <c r="A1310" s="0" t="n">
        <v>1144143403</v>
      </c>
      <c r="B1310" s="0" t="s">
        <v>5451</v>
      </c>
      <c r="C1310" s="0" t="n">
        <v>0.227128578603717</v>
      </c>
      <c r="D1310" s="0" t="n">
        <v>384007</v>
      </c>
      <c r="E1310" s="0" t="s">
        <v>4137</v>
      </c>
      <c r="F1310" s="225"/>
    </row>
    <row r="1311" customFormat="false" ht="14.25" hidden="false" customHeight="false" outlineLevel="0" collapsed="false">
      <c r="A1311" s="0" t="n">
        <v>1006184267</v>
      </c>
      <c r="B1311" s="0" t="s">
        <v>5452</v>
      </c>
      <c r="C1311" s="0" t="n">
        <v>0.400170170322853</v>
      </c>
      <c r="D1311" s="0" t="n">
        <v>39868.5600000001</v>
      </c>
      <c r="E1311" s="0" t="s">
        <v>4137</v>
      </c>
      <c r="F1311" s="225"/>
    </row>
    <row r="1312" customFormat="false" ht="14.25" hidden="false" customHeight="false" outlineLevel="0" collapsed="false">
      <c r="A1312" s="0" t="n">
        <v>1118300104</v>
      </c>
      <c r="B1312" s="0" t="s">
        <v>5453</v>
      </c>
      <c r="C1312" s="0" t="n">
        <v>0.151608337170861</v>
      </c>
      <c r="D1312" s="0" t="n">
        <v>1927976.48</v>
      </c>
      <c r="E1312" s="0" t="s">
        <v>4137</v>
      </c>
      <c r="F1312" s="225"/>
    </row>
    <row r="1313" customFormat="false" ht="14.25" hidden="false" customHeight="false" outlineLevel="0" collapsed="false">
      <c r="A1313" s="0" t="n">
        <v>1063813519</v>
      </c>
      <c r="B1313" s="0" t="s">
        <v>5454</v>
      </c>
      <c r="C1313" s="0" t="n">
        <v>0.237020048755578</v>
      </c>
      <c r="D1313" s="0" t="n">
        <v>577987.86</v>
      </c>
      <c r="E1313" s="0" t="s">
        <v>4147</v>
      </c>
      <c r="F1313" s="225"/>
    </row>
    <row r="1314" customFormat="false" ht="14.25" hidden="false" customHeight="false" outlineLevel="0" collapsed="false">
      <c r="A1314" s="0" t="n">
        <v>66939312</v>
      </c>
      <c r="B1314" s="0" t="s">
        <v>5455</v>
      </c>
      <c r="C1314" s="0" t="n">
        <v>0.127111111449334</v>
      </c>
      <c r="D1314" s="0" t="n">
        <v>2309239.68</v>
      </c>
      <c r="E1314" s="0" t="s">
        <v>4137</v>
      </c>
      <c r="F1314" s="225"/>
    </row>
    <row r="1315" customFormat="false" ht="14.25" hidden="false" customHeight="false" outlineLevel="0" collapsed="false">
      <c r="A1315" s="0" t="n">
        <v>94526922</v>
      </c>
      <c r="B1315" s="0" t="s">
        <v>5456</v>
      </c>
      <c r="C1315" s="0" t="n">
        <v>0.144964848717518</v>
      </c>
      <c r="D1315" s="0" t="n">
        <v>2292528</v>
      </c>
      <c r="E1315" s="0" t="s">
        <v>4137</v>
      </c>
      <c r="F1315" s="225"/>
    </row>
    <row r="1316" customFormat="false" ht="14.25" hidden="false" customHeight="false" outlineLevel="0" collapsed="false">
      <c r="A1316" s="0" t="n">
        <v>1144083299</v>
      </c>
      <c r="B1316" s="0" t="s">
        <v>5457</v>
      </c>
      <c r="C1316" s="0" t="n">
        <v>0.144125273522887</v>
      </c>
      <c r="D1316" s="0" t="n">
        <v>564268.74</v>
      </c>
      <c r="E1316" s="0" t="s">
        <v>4137</v>
      </c>
      <c r="F1316" s="225"/>
    </row>
    <row r="1317" customFormat="false" ht="14.25" hidden="false" customHeight="false" outlineLevel="0" collapsed="false">
      <c r="A1317" s="0" t="n">
        <v>16537560</v>
      </c>
      <c r="B1317" s="0" t="s">
        <v>5458</v>
      </c>
      <c r="C1317" s="0" t="n">
        <v>0.350368024390235</v>
      </c>
      <c r="D1317" s="0" t="n">
        <v>198762.78</v>
      </c>
      <c r="E1317" s="0" t="s">
        <v>4147</v>
      </c>
      <c r="F1317" s="225"/>
    </row>
    <row r="1318" customFormat="false" ht="14.25" hidden="false" customHeight="false" outlineLevel="0" collapsed="false">
      <c r="A1318" s="0" t="n">
        <v>1002924623</v>
      </c>
      <c r="B1318" s="0" t="s">
        <v>5459</v>
      </c>
      <c r="C1318" s="0" t="n">
        <v>0.274583797916106</v>
      </c>
      <c r="D1318" s="0" t="n">
        <v>378213</v>
      </c>
      <c r="E1318" s="0" t="s">
        <v>4137</v>
      </c>
      <c r="F1318" s="225"/>
    </row>
    <row r="1319" customFormat="false" ht="14.25" hidden="false" customHeight="false" outlineLevel="0" collapsed="false">
      <c r="A1319" s="0" t="n">
        <v>1130680403</v>
      </c>
      <c r="B1319" s="0" t="s">
        <v>5460</v>
      </c>
      <c r="C1319" s="0" t="n">
        <v>0.180806693925762</v>
      </c>
      <c r="D1319" s="0" t="n">
        <v>998748.54</v>
      </c>
      <c r="E1319" s="0" t="s">
        <v>4137</v>
      </c>
      <c r="F1319" s="225"/>
    </row>
    <row r="1320" customFormat="false" ht="14.25" hidden="false" customHeight="false" outlineLevel="0" collapsed="false">
      <c r="A1320" s="0" t="n">
        <v>1144197594</v>
      </c>
      <c r="B1320" s="0" t="s">
        <v>5461</v>
      </c>
      <c r="C1320" s="0" t="n">
        <v>0.150538016580329</v>
      </c>
      <c r="D1320" s="0" t="n">
        <v>1849889.66</v>
      </c>
      <c r="E1320" s="0" t="s">
        <v>4137</v>
      </c>
      <c r="F1320" s="225"/>
    </row>
    <row r="1321" customFormat="false" ht="14.25" hidden="false" customHeight="false" outlineLevel="0" collapsed="false">
      <c r="A1321" s="0" t="n">
        <v>1107513488</v>
      </c>
      <c r="B1321" s="0" t="s">
        <v>5462</v>
      </c>
      <c r="C1321" s="0" t="n">
        <v>0.442482723732829</v>
      </c>
      <c r="D1321" s="0" t="n">
        <v>-120708.08</v>
      </c>
      <c r="E1321" s="0" t="s">
        <v>4137</v>
      </c>
      <c r="F1321" s="225"/>
    </row>
    <row r="1322" customFormat="false" ht="14.25" hidden="false" customHeight="false" outlineLevel="0" collapsed="false">
      <c r="A1322" s="0" t="n">
        <v>1234191678</v>
      </c>
      <c r="B1322" s="0" t="s">
        <v>5463</v>
      </c>
      <c r="C1322" s="0" t="n">
        <v>0.256756897396246</v>
      </c>
      <c r="D1322" s="0" t="n">
        <v>481019.2</v>
      </c>
      <c r="E1322" s="0" t="s">
        <v>4137</v>
      </c>
      <c r="F1322" s="225"/>
    </row>
    <row r="1323" customFormat="false" ht="14.25" hidden="false" customHeight="false" outlineLevel="0" collapsed="false">
      <c r="A1323" s="0" t="n">
        <v>34328720</v>
      </c>
      <c r="B1323" s="0" t="s">
        <v>5464</v>
      </c>
      <c r="C1323" s="0" t="n">
        <v>0.18385410187297</v>
      </c>
      <c r="D1323" s="0" t="n">
        <v>683359</v>
      </c>
      <c r="E1323" s="0" t="s">
        <v>4137</v>
      </c>
      <c r="F1323" s="225"/>
    </row>
    <row r="1324" customFormat="false" ht="14.25" hidden="false" customHeight="false" outlineLevel="0" collapsed="false">
      <c r="A1324" s="0" t="n">
        <v>1144159356</v>
      </c>
      <c r="B1324" s="0" t="s">
        <v>5465</v>
      </c>
      <c r="C1324" s="0" t="n">
        <v>0.464171772978403</v>
      </c>
      <c r="D1324" s="0" t="n">
        <v>-87946</v>
      </c>
      <c r="E1324" s="0" t="s">
        <v>4137</v>
      </c>
      <c r="F1324" s="225"/>
    </row>
    <row r="1325" customFormat="false" ht="14.25" hidden="false" customHeight="false" outlineLevel="0" collapsed="false">
      <c r="A1325" s="0" t="n">
        <v>1193575066</v>
      </c>
      <c r="B1325" s="0" t="s">
        <v>5466</v>
      </c>
      <c r="C1325" s="0" t="n">
        <v>0.322640883977901</v>
      </c>
      <c r="D1325" s="0" t="n">
        <v>193842</v>
      </c>
      <c r="E1325" s="0" t="s">
        <v>4137</v>
      </c>
      <c r="F1325" s="225"/>
    </row>
    <row r="1326" customFormat="false" ht="14.25" hidden="false" customHeight="false" outlineLevel="0" collapsed="false">
      <c r="A1326" s="0" t="n">
        <v>14608276</v>
      </c>
      <c r="B1326" s="0" t="s">
        <v>5467</v>
      </c>
      <c r="C1326" s="0" t="n">
        <v>0.119339074935599</v>
      </c>
      <c r="D1326" s="0" t="n">
        <v>781989</v>
      </c>
      <c r="E1326" s="0" t="s">
        <v>4137</v>
      </c>
      <c r="F1326" s="225"/>
    </row>
    <row r="1327" customFormat="false" ht="14.25" hidden="false" customHeight="false" outlineLevel="0" collapsed="false">
      <c r="A1327" s="0" t="n">
        <v>1107096171</v>
      </c>
      <c r="B1327" s="0" t="s">
        <v>5468</v>
      </c>
      <c r="C1327" s="0" t="n">
        <v>0.152134527663331</v>
      </c>
      <c r="D1327" s="0" t="n">
        <v>932051.84</v>
      </c>
      <c r="E1327" s="0" t="s">
        <v>4137</v>
      </c>
      <c r="F1327" s="225"/>
    </row>
    <row r="1328" customFormat="false" ht="14.25" hidden="false" customHeight="false" outlineLevel="0" collapsed="false">
      <c r="A1328" s="0" t="n">
        <v>66968191</v>
      </c>
      <c r="B1328" s="0" t="s">
        <v>5469</v>
      </c>
      <c r="C1328" s="0" t="n">
        <v>0.518324426160175</v>
      </c>
      <c r="D1328" s="0" t="n">
        <v>-255732</v>
      </c>
      <c r="E1328" s="0" t="s">
        <v>4137</v>
      </c>
      <c r="F1328" s="225"/>
    </row>
    <row r="1329" customFormat="false" ht="14.25" hidden="false" customHeight="false" outlineLevel="0" collapsed="false">
      <c r="A1329" s="0" t="n">
        <v>1144168203</v>
      </c>
      <c r="B1329" s="0" t="s">
        <v>5470</v>
      </c>
      <c r="C1329" s="0" t="n">
        <v>0.537217905344417</v>
      </c>
      <c r="D1329" s="0" t="n">
        <v>-240247.24</v>
      </c>
      <c r="E1329" s="0" t="s">
        <v>4137</v>
      </c>
      <c r="F1329" s="225"/>
    </row>
    <row r="1330" customFormat="false" ht="14.25" hidden="false" customHeight="false" outlineLevel="0" collapsed="false">
      <c r="A1330" s="0" t="n">
        <v>14839121</v>
      </c>
      <c r="B1330" s="0" t="s">
        <v>5471</v>
      </c>
      <c r="C1330" s="0" t="n">
        <v>0.495026864738077</v>
      </c>
      <c r="D1330" s="0" t="n">
        <v>-342712</v>
      </c>
      <c r="E1330" s="0" t="s">
        <v>4137</v>
      </c>
      <c r="F1330" s="225"/>
    </row>
    <row r="1331" customFormat="false" ht="14.25" hidden="false" customHeight="false" outlineLevel="0" collapsed="false">
      <c r="A1331" s="0" t="n">
        <v>1026588570</v>
      </c>
      <c r="B1331" s="0" t="s">
        <v>5472</v>
      </c>
      <c r="C1331" s="0" t="n">
        <v>0.434067307413215</v>
      </c>
      <c r="D1331" s="0" t="n">
        <v>-45718.6600000002</v>
      </c>
      <c r="E1331" s="0" t="s">
        <v>4147</v>
      </c>
      <c r="F1331" s="225"/>
    </row>
    <row r="1332" customFormat="false" ht="14.25" hidden="false" customHeight="false" outlineLevel="0" collapsed="false">
      <c r="A1332" s="0" t="n">
        <v>1151969735</v>
      </c>
      <c r="B1332" s="0" t="s">
        <v>5473</v>
      </c>
      <c r="C1332" s="0" t="n">
        <v>0.432435809225958</v>
      </c>
      <c r="D1332" s="0" t="n">
        <v>-56805</v>
      </c>
      <c r="E1332" s="0" t="s">
        <v>4137</v>
      </c>
      <c r="F1332" s="225"/>
    </row>
    <row r="1333" customFormat="false" ht="14.25" hidden="false" customHeight="false" outlineLevel="0" collapsed="false">
      <c r="A1333" s="0" t="n">
        <v>1143938596</v>
      </c>
      <c r="B1333" s="0" t="s">
        <v>5474</v>
      </c>
      <c r="C1333" s="0" t="n">
        <v>0.124899394787291</v>
      </c>
      <c r="D1333" s="0" t="n">
        <v>640671.48</v>
      </c>
      <c r="E1333" s="0" t="s">
        <v>4137</v>
      </c>
      <c r="F1333" s="225"/>
    </row>
    <row r="1334" customFormat="false" ht="14.25" hidden="false" customHeight="false" outlineLevel="0" collapsed="false">
      <c r="A1334" s="0" t="n">
        <v>67006115</v>
      </c>
      <c r="B1334" s="0" t="s">
        <v>5475</v>
      </c>
      <c r="C1334" s="0" t="n">
        <v>0.264782361120307</v>
      </c>
      <c r="D1334" s="0" t="n">
        <v>1172126</v>
      </c>
      <c r="E1334" s="0" t="s">
        <v>4137</v>
      </c>
      <c r="F1334" s="225"/>
    </row>
    <row r="1335" customFormat="false" ht="14.25" hidden="false" customHeight="false" outlineLevel="0" collapsed="false">
      <c r="A1335" s="0" t="n">
        <v>1130643699</v>
      </c>
      <c r="B1335" s="0" t="s">
        <v>5476</v>
      </c>
      <c r="C1335" s="0" t="n">
        <v>0.339742936970061</v>
      </c>
      <c r="D1335" s="0" t="n">
        <v>286352.76</v>
      </c>
      <c r="E1335" s="0" t="s">
        <v>4147</v>
      </c>
      <c r="F1335" s="225"/>
    </row>
    <row r="1336" customFormat="false" ht="14.25" hidden="false" customHeight="false" outlineLevel="0" collapsed="false">
      <c r="A1336" s="0" t="n">
        <v>1085265939</v>
      </c>
      <c r="B1336" s="0" t="s">
        <v>5477</v>
      </c>
      <c r="C1336" s="0" t="n">
        <v>0.257501927648911</v>
      </c>
      <c r="D1336" s="0" t="n">
        <v>1011583</v>
      </c>
      <c r="E1336" s="0" t="s">
        <v>4137</v>
      </c>
      <c r="F1336" s="225"/>
    </row>
    <row r="1337" customFormat="false" ht="14.25" hidden="false" customHeight="false" outlineLevel="0" collapsed="false">
      <c r="A1337" s="0" t="n">
        <v>38551019</v>
      </c>
      <c r="B1337" s="0" t="s">
        <v>5478</v>
      </c>
      <c r="C1337" s="0" t="n">
        <v>0.344244161282048</v>
      </c>
      <c r="D1337" s="0" t="n">
        <v>236068.88</v>
      </c>
      <c r="E1337" s="0" t="s">
        <v>4147</v>
      </c>
      <c r="F1337" s="225"/>
    </row>
    <row r="1338" customFormat="false" ht="14.25" hidden="false" customHeight="false" outlineLevel="0" collapsed="false">
      <c r="A1338" s="0" t="n">
        <v>1006182264</v>
      </c>
      <c r="B1338" s="0" t="s">
        <v>5479</v>
      </c>
      <c r="C1338" s="0" t="n">
        <v>0.373295405221448</v>
      </c>
      <c r="D1338" s="0" t="n">
        <v>98993.4400000001</v>
      </c>
      <c r="E1338" s="0" t="s">
        <v>4137</v>
      </c>
      <c r="F1338" s="225"/>
    </row>
    <row r="1339" customFormat="false" ht="14.25" hidden="false" customHeight="false" outlineLevel="0" collapsed="false">
      <c r="A1339" s="0" t="n">
        <v>1060416900</v>
      </c>
      <c r="B1339" s="0" t="s">
        <v>5480</v>
      </c>
      <c r="C1339" s="0" t="n">
        <v>0.172624768946396</v>
      </c>
      <c r="D1339" s="0" t="n">
        <v>1445364</v>
      </c>
      <c r="E1339" s="0" t="s">
        <v>4137</v>
      </c>
      <c r="F1339" s="225"/>
    </row>
    <row r="1340" customFormat="false" ht="14.25" hidden="false" customHeight="false" outlineLevel="0" collapsed="false">
      <c r="A1340" s="0" t="n">
        <v>1006208137</v>
      </c>
      <c r="B1340" s="0" t="s">
        <v>5481</v>
      </c>
      <c r="C1340" s="0" t="n">
        <v>0.115709290112045</v>
      </c>
      <c r="D1340" s="0" t="n">
        <v>1157931.74</v>
      </c>
      <c r="E1340" s="0" t="s">
        <v>4137</v>
      </c>
      <c r="F1340" s="225"/>
    </row>
    <row r="1341" customFormat="false" ht="14.25" hidden="false" customHeight="false" outlineLevel="0" collapsed="false">
      <c r="A1341" s="0" t="n">
        <v>1144203070</v>
      </c>
      <c r="B1341" s="0" t="s">
        <v>5482</v>
      </c>
      <c r="C1341" s="0" t="n">
        <v>0.1555720534674</v>
      </c>
      <c r="D1341" s="0" t="n">
        <v>1095125.52</v>
      </c>
      <c r="E1341" s="0" t="s">
        <v>4137</v>
      </c>
      <c r="F1341" s="225"/>
    </row>
    <row r="1342" customFormat="false" ht="14.25" hidden="false" customHeight="false" outlineLevel="0" collapsed="false">
      <c r="A1342" s="0" t="n">
        <v>1112631258</v>
      </c>
      <c r="B1342" s="0" t="s">
        <v>5483</v>
      </c>
      <c r="C1342" s="0" t="n">
        <v>0.340416649147876</v>
      </c>
      <c r="D1342" s="0" t="n">
        <v>537557.84</v>
      </c>
      <c r="E1342" s="0" t="s">
        <v>4137</v>
      </c>
      <c r="F1342" s="225"/>
    </row>
    <row r="1343" customFormat="false" ht="14.25" hidden="false" customHeight="false" outlineLevel="0" collapsed="false">
      <c r="A1343" s="0" t="n">
        <v>1143874908</v>
      </c>
      <c r="B1343" s="0" t="s">
        <v>5484</v>
      </c>
      <c r="C1343" s="0" t="n">
        <v>0.435798981164957</v>
      </c>
      <c r="D1343" s="0" t="n">
        <v>-47141</v>
      </c>
      <c r="E1343" s="0" t="s">
        <v>4137</v>
      </c>
      <c r="F1343" s="225"/>
    </row>
    <row r="1344" customFormat="false" ht="14.25" hidden="false" customHeight="false" outlineLevel="0" collapsed="false">
      <c r="A1344" s="0" t="n">
        <v>1014210301</v>
      </c>
      <c r="B1344" s="0" t="s">
        <v>5485</v>
      </c>
      <c r="C1344" s="0" t="n">
        <v>0.335757665230883</v>
      </c>
      <c r="D1344" s="0" t="n">
        <v>1455101</v>
      </c>
      <c r="E1344" s="0" t="s">
        <v>4137</v>
      </c>
      <c r="F1344" s="225"/>
    </row>
    <row r="1345" customFormat="false" ht="14.25" hidden="false" customHeight="false" outlineLevel="0" collapsed="false">
      <c r="A1345" s="0" t="n">
        <v>76330389</v>
      </c>
      <c r="B1345" s="0" t="s">
        <v>5486</v>
      </c>
      <c r="C1345" s="0" t="n">
        <v>0.104355950349627</v>
      </c>
      <c r="D1345" s="0" t="n">
        <v>1886857</v>
      </c>
      <c r="E1345" s="0" t="s">
        <v>4137</v>
      </c>
      <c r="F1345" s="225"/>
    </row>
    <row r="1346" customFormat="false" ht="14.25" hidden="false" customHeight="false" outlineLevel="0" collapsed="false">
      <c r="A1346" s="0" t="n">
        <v>1143872319</v>
      </c>
      <c r="B1346" s="0" t="s">
        <v>5487</v>
      </c>
      <c r="C1346" s="0" t="n">
        <v>0.12117509271911</v>
      </c>
      <c r="D1346" s="0" t="n">
        <v>918528</v>
      </c>
      <c r="E1346" s="0" t="s">
        <v>4137</v>
      </c>
      <c r="F1346" s="225"/>
    </row>
    <row r="1347" customFormat="false" ht="14.25" hidden="false" customHeight="false" outlineLevel="0" collapsed="false">
      <c r="A1347" s="0" t="n">
        <v>1115079127</v>
      </c>
      <c r="B1347" s="0" t="s">
        <v>5488</v>
      </c>
      <c r="C1347" s="0" t="n">
        <v>0.144914250323953</v>
      </c>
      <c r="D1347" s="0" t="n">
        <v>1771334.36</v>
      </c>
      <c r="E1347" s="0" t="s">
        <v>4137</v>
      </c>
      <c r="F1347" s="225"/>
    </row>
    <row r="1348" customFormat="false" ht="14.25" hidden="false" customHeight="false" outlineLevel="0" collapsed="false">
      <c r="A1348" s="0" t="n">
        <v>1130948079</v>
      </c>
      <c r="B1348" s="0" t="s">
        <v>5489</v>
      </c>
      <c r="C1348" s="0" t="n">
        <v>0.251845117210602</v>
      </c>
      <c r="D1348" s="0" t="n">
        <v>559174.4</v>
      </c>
      <c r="E1348" s="0" t="s">
        <v>4137</v>
      </c>
      <c r="F1348" s="225"/>
    </row>
    <row r="1349" customFormat="false" ht="14.25" hidden="false" customHeight="false" outlineLevel="0" collapsed="false">
      <c r="A1349" s="0" t="n">
        <v>1116442637</v>
      </c>
      <c r="B1349" s="0" t="s">
        <v>5490</v>
      </c>
      <c r="C1349" s="0" t="n">
        <v>0.261642155940873</v>
      </c>
      <c r="D1349" s="0" t="n">
        <v>1684104</v>
      </c>
      <c r="E1349" s="0" t="s">
        <v>4137</v>
      </c>
      <c r="F1349" s="225"/>
    </row>
    <row r="1350" customFormat="false" ht="14.25" hidden="false" customHeight="false" outlineLevel="0" collapsed="false">
      <c r="A1350" s="0" t="n">
        <v>1151957438</v>
      </c>
      <c r="B1350" s="0" t="s">
        <v>5491</v>
      </c>
      <c r="C1350" s="0" t="n">
        <v>0.379432888615479</v>
      </c>
      <c r="D1350" s="0" t="n">
        <v>105511</v>
      </c>
      <c r="E1350" s="0" t="s">
        <v>4137</v>
      </c>
      <c r="F1350" s="225"/>
    </row>
    <row r="1351" customFormat="false" ht="14.25" hidden="false" customHeight="false" outlineLevel="0" collapsed="false">
      <c r="A1351" s="0" t="n">
        <v>1144108263</v>
      </c>
      <c r="B1351" s="0" t="s">
        <v>5492</v>
      </c>
      <c r="C1351" s="0" t="n">
        <v>0.241232484620643</v>
      </c>
      <c r="D1351" s="0" t="n">
        <v>418459</v>
      </c>
      <c r="E1351" s="0" t="s">
        <v>4137</v>
      </c>
      <c r="F1351" s="225"/>
    </row>
    <row r="1352" customFormat="false" ht="14.25" hidden="false" customHeight="false" outlineLevel="0" collapsed="false">
      <c r="A1352" s="0" t="n">
        <v>1006035627</v>
      </c>
      <c r="B1352" s="0" t="s">
        <v>5493</v>
      </c>
      <c r="C1352" s="0" t="n">
        <v>0.486389928143713</v>
      </c>
      <c r="D1352" s="0" t="n">
        <v>-263979</v>
      </c>
      <c r="E1352" s="0" t="s">
        <v>4137</v>
      </c>
      <c r="F1352" s="225"/>
    </row>
    <row r="1353" customFormat="false" ht="14.25" hidden="false" customHeight="false" outlineLevel="0" collapsed="false">
      <c r="A1353" s="0" t="n">
        <v>1234189691</v>
      </c>
      <c r="B1353" s="0" t="s">
        <v>5494</v>
      </c>
      <c r="C1353" s="0" t="n">
        <v>0.372874271821823</v>
      </c>
      <c r="D1353" s="0" t="n">
        <v>121207.42</v>
      </c>
      <c r="E1353" s="0" t="s">
        <v>4137</v>
      </c>
      <c r="F1353" s="225"/>
    </row>
    <row r="1354" customFormat="false" ht="14.25" hidden="false" customHeight="false" outlineLevel="0" collapsed="false">
      <c r="A1354" s="0" t="n">
        <v>1109541401</v>
      </c>
      <c r="B1354" s="0" t="s">
        <v>5495</v>
      </c>
      <c r="C1354" s="0" t="n">
        <v>0.413371071149335</v>
      </c>
      <c r="D1354" s="0" t="n">
        <v>30280</v>
      </c>
      <c r="E1354" s="0" t="s">
        <v>4137</v>
      </c>
      <c r="F1354" s="225"/>
    </row>
    <row r="1355" customFormat="false" ht="14.25" hidden="false" customHeight="false" outlineLevel="0" collapsed="false">
      <c r="A1355" s="0" t="n">
        <v>1144156406</v>
      </c>
      <c r="B1355" s="0" t="s">
        <v>5496</v>
      </c>
      <c r="C1355" s="0" t="n">
        <v>0.463108926135297</v>
      </c>
      <c r="D1355" s="0" t="n">
        <v>-104435.9</v>
      </c>
      <c r="E1355" s="0" t="s">
        <v>4147</v>
      </c>
      <c r="F1355" s="225"/>
    </row>
    <row r="1356" customFormat="false" ht="14.25" hidden="false" customHeight="false" outlineLevel="0" collapsed="false">
      <c r="A1356" s="0" t="n">
        <v>1144170930</v>
      </c>
      <c r="B1356" s="0" t="s">
        <v>5497</v>
      </c>
      <c r="C1356" s="0" t="n">
        <v>0.2845375966715</v>
      </c>
      <c r="D1356" s="0" t="n">
        <v>404329.22</v>
      </c>
      <c r="E1356" s="0" t="s">
        <v>4137</v>
      </c>
      <c r="F1356" s="225"/>
    </row>
    <row r="1357" customFormat="false" ht="14.25" hidden="false" customHeight="false" outlineLevel="0" collapsed="false">
      <c r="A1357" s="0" t="n">
        <v>1114874046</v>
      </c>
      <c r="B1357" s="0" t="s">
        <v>5498</v>
      </c>
      <c r="C1357" s="0" t="n">
        <v>0.331784198944295</v>
      </c>
      <c r="D1357" s="0" t="n">
        <v>408892</v>
      </c>
      <c r="E1357" s="0" t="s">
        <v>4137</v>
      </c>
      <c r="F1357" s="225"/>
    </row>
    <row r="1358" customFormat="false" ht="14.25" hidden="false" customHeight="false" outlineLevel="0" collapsed="false">
      <c r="A1358" s="0" t="n">
        <v>1118302328</v>
      </c>
      <c r="B1358" s="0" t="s">
        <v>5499</v>
      </c>
      <c r="C1358" s="0" t="n">
        <v>0.282207132490151</v>
      </c>
      <c r="D1358" s="0" t="n">
        <v>398745</v>
      </c>
      <c r="E1358" s="0" t="s">
        <v>4137</v>
      </c>
      <c r="F1358" s="225"/>
    </row>
    <row r="1359" customFormat="false" ht="14.25" hidden="false" customHeight="false" outlineLevel="0" collapsed="false">
      <c r="A1359" s="0" t="n">
        <v>1107510749</v>
      </c>
      <c r="B1359" s="0" t="s">
        <v>5500</v>
      </c>
      <c r="C1359" s="0" t="n">
        <v>0.137618597629245</v>
      </c>
      <c r="D1359" s="0" t="n">
        <v>668367.6</v>
      </c>
      <c r="E1359" s="0" t="s">
        <v>4137</v>
      </c>
      <c r="F1359" s="225"/>
    </row>
    <row r="1360" customFormat="false" ht="14.25" hidden="false" customHeight="false" outlineLevel="0" collapsed="false">
      <c r="A1360" s="0" t="n">
        <v>1097389965</v>
      </c>
      <c r="B1360" s="0" t="s">
        <v>5501</v>
      </c>
      <c r="C1360" s="0" t="n">
        <v>0.365555866901854</v>
      </c>
      <c r="D1360" s="0" t="n">
        <v>143844.14</v>
      </c>
      <c r="E1360" s="0" t="s">
        <v>4137</v>
      </c>
      <c r="F1360" s="225"/>
    </row>
    <row r="1361" customFormat="false" ht="14.25" hidden="false" customHeight="false" outlineLevel="0" collapsed="false">
      <c r="A1361" s="0" t="n">
        <v>1002954062</v>
      </c>
      <c r="B1361" s="0" t="s">
        <v>5502</v>
      </c>
      <c r="C1361" s="0" t="n">
        <v>0.161573642484822</v>
      </c>
      <c r="D1361" s="0" t="n">
        <v>1047769.94</v>
      </c>
      <c r="E1361" s="0" t="s">
        <v>4137</v>
      </c>
      <c r="F1361" s="225"/>
    </row>
    <row r="1362" customFormat="false" ht="14.25" hidden="false" customHeight="false" outlineLevel="0" collapsed="false">
      <c r="A1362" s="0" t="n">
        <v>1144161138</v>
      </c>
      <c r="B1362" s="0" t="s">
        <v>5503</v>
      </c>
      <c r="C1362" s="0" t="n">
        <v>0.137991848975355</v>
      </c>
      <c r="D1362" s="0" t="n">
        <v>733475</v>
      </c>
      <c r="E1362" s="0" t="s">
        <v>4137</v>
      </c>
      <c r="F1362" s="225"/>
    </row>
    <row r="1363" customFormat="false" ht="14.25" hidden="false" customHeight="false" outlineLevel="0" collapsed="false">
      <c r="A1363" s="0" t="n">
        <v>1110282743</v>
      </c>
      <c r="B1363" s="0" t="s">
        <v>5504</v>
      </c>
      <c r="C1363" s="0" t="n">
        <v>0.118274410462265</v>
      </c>
      <c r="D1363" s="0" t="n">
        <v>938411.44</v>
      </c>
      <c r="E1363" s="0" t="s">
        <v>4137</v>
      </c>
      <c r="F1363" s="225"/>
    </row>
    <row r="1364" customFormat="false" ht="14.25" hidden="false" customHeight="false" outlineLevel="0" collapsed="false">
      <c r="A1364" s="0" t="n">
        <v>1144144325</v>
      </c>
      <c r="B1364" s="0" t="s">
        <v>5505</v>
      </c>
      <c r="C1364" s="0" t="n">
        <v>0.170737715115074</v>
      </c>
      <c r="D1364" s="0" t="n">
        <v>601096</v>
      </c>
      <c r="E1364" s="0" t="s">
        <v>4137</v>
      </c>
      <c r="F1364" s="225"/>
    </row>
    <row r="1365" customFormat="false" ht="14.25" hidden="false" customHeight="false" outlineLevel="0" collapsed="false">
      <c r="A1365" s="0" t="n">
        <v>1144188603</v>
      </c>
      <c r="B1365" s="0" t="s">
        <v>5506</v>
      </c>
      <c r="C1365" s="0" t="n">
        <v>0.372719907489728</v>
      </c>
      <c r="D1365" s="0" t="n">
        <v>170618.74</v>
      </c>
      <c r="E1365" s="0" t="s">
        <v>4137</v>
      </c>
      <c r="F1365" s="225"/>
    </row>
    <row r="1366" customFormat="false" ht="14.25" hidden="false" customHeight="false" outlineLevel="0" collapsed="false">
      <c r="A1366" s="0" t="n">
        <v>1085252948</v>
      </c>
      <c r="B1366" s="0" t="s">
        <v>5507</v>
      </c>
      <c r="C1366" s="0" t="n">
        <v>0.155937712839181</v>
      </c>
      <c r="D1366" s="0" t="n">
        <v>804881.92</v>
      </c>
      <c r="E1366" s="0" t="s">
        <v>4137</v>
      </c>
      <c r="F1366" s="225"/>
    </row>
    <row r="1367" customFormat="false" ht="14.25" hidden="false" customHeight="false" outlineLevel="0" collapsed="false">
      <c r="A1367" s="0" t="n">
        <v>1130674192</v>
      </c>
      <c r="B1367" s="0" t="s">
        <v>5508</v>
      </c>
      <c r="C1367" s="0" t="n">
        <v>0.402397865213667</v>
      </c>
      <c r="D1367" s="0" t="n">
        <v>67711.0999999999</v>
      </c>
      <c r="E1367" s="0" t="s">
        <v>4147</v>
      </c>
      <c r="F1367" s="225"/>
    </row>
    <row r="1368" customFormat="false" ht="14.25" hidden="false" customHeight="false" outlineLevel="0" collapsed="false">
      <c r="A1368" s="0" t="n">
        <v>1016102174</v>
      </c>
      <c r="B1368" s="0" t="s">
        <v>5509</v>
      </c>
      <c r="C1368" s="0" t="n">
        <v>0.201470730527334</v>
      </c>
      <c r="D1368" s="0" t="n">
        <v>632380</v>
      </c>
      <c r="E1368" s="0" t="s">
        <v>4137</v>
      </c>
      <c r="F1368" s="225"/>
    </row>
    <row r="1369" customFormat="false" ht="14.25" hidden="false" customHeight="false" outlineLevel="0" collapsed="false">
      <c r="A1369" s="0" t="n">
        <v>1144182000</v>
      </c>
      <c r="B1369" s="0" t="s">
        <v>5510</v>
      </c>
      <c r="C1369" s="0" t="n">
        <v>0.356393539728445</v>
      </c>
      <c r="D1369" s="0" t="n">
        <v>295798.96</v>
      </c>
      <c r="E1369" s="0" t="s">
        <v>4137</v>
      </c>
      <c r="F1369" s="225"/>
    </row>
    <row r="1370" customFormat="false" ht="14.25" hidden="false" customHeight="false" outlineLevel="0" collapsed="false">
      <c r="A1370" s="0" t="n">
        <v>1005868325</v>
      </c>
      <c r="B1370" s="0" t="s">
        <v>5511</v>
      </c>
      <c r="C1370" s="0" t="n">
        <v>0.114270509364849</v>
      </c>
      <c r="D1370" s="0" t="n">
        <v>884720</v>
      </c>
      <c r="E1370" s="0" t="s">
        <v>4137</v>
      </c>
      <c r="F1370" s="225"/>
    </row>
    <row r="1371" customFormat="false" ht="14.25" hidden="false" customHeight="false" outlineLevel="0" collapsed="false">
      <c r="A1371" s="0" t="n">
        <v>1150934479</v>
      </c>
      <c r="B1371" s="0" t="s">
        <v>5512</v>
      </c>
      <c r="C1371" s="0" t="n">
        <v>0.417374622754491</v>
      </c>
      <c r="D1371" s="0" t="n">
        <v>10439</v>
      </c>
      <c r="E1371" s="0" t="s">
        <v>4137</v>
      </c>
      <c r="F1371" s="225"/>
    </row>
    <row r="1372" customFormat="false" ht="14.25" hidden="false" customHeight="false" outlineLevel="0" collapsed="false">
      <c r="A1372" s="0" t="n">
        <v>38657055</v>
      </c>
      <c r="B1372" s="0" t="s">
        <v>5513</v>
      </c>
      <c r="C1372" s="0" t="n">
        <v>0.12865329512894</v>
      </c>
      <c r="D1372" s="0" t="n">
        <v>1260832</v>
      </c>
      <c r="E1372" s="0" t="s">
        <v>4137</v>
      </c>
      <c r="F1372" s="225"/>
    </row>
    <row r="1373" customFormat="false" ht="14.25" hidden="false" customHeight="false" outlineLevel="0" collapsed="false">
      <c r="A1373" s="0" t="n">
        <v>38554243</v>
      </c>
      <c r="B1373" s="0" t="s">
        <v>5514</v>
      </c>
      <c r="C1373" s="0" t="n">
        <v>0.23248993211099</v>
      </c>
      <c r="D1373" s="0" t="n">
        <v>587884.44</v>
      </c>
      <c r="E1373" s="0" t="s">
        <v>4137</v>
      </c>
      <c r="F1373" s="225"/>
    </row>
    <row r="1374" customFormat="false" ht="14.25" hidden="false" customHeight="false" outlineLevel="0" collapsed="false">
      <c r="A1374" s="0" t="n">
        <v>1062326783</v>
      </c>
      <c r="B1374" s="0" t="s">
        <v>5515</v>
      </c>
      <c r="C1374" s="0" t="n">
        <v>0.355287201552923</v>
      </c>
      <c r="D1374" s="0" t="n">
        <v>126959.5</v>
      </c>
      <c r="E1374" s="0" t="s">
        <v>4137</v>
      </c>
      <c r="F1374" s="225"/>
    </row>
    <row r="1375" customFormat="false" ht="14.25" hidden="false" customHeight="false" outlineLevel="0" collapsed="false">
      <c r="A1375" s="0" t="n">
        <v>1144045043</v>
      </c>
      <c r="B1375" s="0" t="s">
        <v>5516</v>
      </c>
      <c r="C1375" s="0" t="n">
        <v>0.148854063449587</v>
      </c>
      <c r="D1375" s="0" t="n">
        <v>1286748.62</v>
      </c>
      <c r="E1375" s="0" t="s">
        <v>4137</v>
      </c>
      <c r="F1375" s="225"/>
    </row>
    <row r="1376" customFormat="false" ht="14.25" hidden="false" customHeight="false" outlineLevel="0" collapsed="false">
      <c r="A1376" s="0" t="n">
        <v>1143934911</v>
      </c>
      <c r="B1376" s="0" t="s">
        <v>5517</v>
      </c>
      <c r="C1376" s="0" t="n">
        <v>0.385252634870993</v>
      </c>
      <c r="D1376" s="0" t="n">
        <v>158721</v>
      </c>
      <c r="E1376" s="0" t="s">
        <v>4137</v>
      </c>
      <c r="F1376" s="225"/>
    </row>
    <row r="1377" customFormat="false" ht="14.25" hidden="false" customHeight="false" outlineLevel="0" collapsed="false">
      <c r="A1377" s="0" t="n">
        <v>1005976508</v>
      </c>
      <c r="B1377" s="0" t="s">
        <v>5518</v>
      </c>
      <c r="C1377" s="0" t="n">
        <v>0.43506824560729</v>
      </c>
      <c r="D1377" s="0" t="n">
        <v>-39191</v>
      </c>
      <c r="E1377" s="0" t="s">
        <v>4137</v>
      </c>
      <c r="F1377" s="225"/>
    </row>
    <row r="1378" customFormat="false" ht="14.25" hidden="false" customHeight="false" outlineLevel="0" collapsed="false">
      <c r="A1378" s="0" t="n">
        <v>1144042462</v>
      </c>
      <c r="B1378" s="0" t="s">
        <v>5519</v>
      </c>
      <c r="C1378" s="0" t="n">
        <v>0.14592817679558</v>
      </c>
      <c r="D1378" s="0" t="n">
        <v>545677</v>
      </c>
      <c r="E1378" s="0" t="s">
        <v>4137</v>
      </c>
      <c r="F1378" s="225"/>
    </row>
    <row r="1379" customFormat="false" ht="14.25" hidden="false" customHeight="false" outlineLevel="0" collapsed="false">
      <c r="A1379" s="0" t="n">
        <v>1113538766</v>
      </c>
      <c r="B1379" s="0" t="s">
        <v>5520</v>
      </c>
      <c r="C1379" s="0" t="n">
        <v>0.344646724003127</v>
      </c>
      <c r="D1379" s="0" t="n">
        <v>344203</v>
      </c>
      <c r="E1379" s="0" t="s">
        <v>4137</v>
      </c>
      <c r="F1379" s="225"/>
    </row>
    <row r="1380" customFormat="false" ht="14.25" hidden="false" customHeight="false" outlineLevel="0" collapsed="false">
      <c r="A1380" s="0" t="n">
        <v>1143160920</v>
      </c>
      <c r="B1380" s="0" t="s">
        <v>5521</v>
      </c>
      <c r="C1380" s="0" t="n">
        <v>0.158214339049783</v>
      </c>
      <c r="D1380" s="0" t="n">
        <v>1887935.62</v>
      </c>
      <c r="E1380" s="0" t="s">
        <v>4137</v>
      </c>
      <c r="F1380" s="225"/>
    </row>
    <row r="1381" customFormat="false" ht="14.25" hidden="false" customHeight="false" outlineLevel="0" collapsed="false">
      <c r="A1381" s="0" t="n">
        <v>31324780</v>
      </c>
      <c r="B1381" s="0" t="s">
        <v>5522</v>
      </c>
      <c r="C1381" s="0" t="n">
        <v>0.185908672385027</v>
      </c>
      <c r="D1381" s="0" t="n">
        <v>1352551.6</v>
      </c>
      <c r="E1381" s="0" t="s">
        <v>4137</v>
      </c>
      <c r="F1381" s="225"/>
    </row>
    <row r="1382" customFormat="false" ht="14.25" hidden="false" customHeight="false" outlineLevel="0" collapsed="false">
      <c r="A1382" s="0" t="n">
        <v>1113687930</v>
      </c>
      <c r="B1382" s="0" t="s">
        <v>5523</v>
      </c>
      <c r="C1382" s="0" t="n">
        <v>0.131831240582622</v>
      </c>
      <c r="D1382" s="0" t="n">
        <v>573744</v>
      </c>
      <c r="E1382" s="0" t="s">
        <v>4137</v>
      </c>
      <c r="F1382" s="225"/>
    </row>
    <row r="1383" customFormat="false" ht="14.25" hidden="false" customHeight="false" outlineLevel="0" collapsed="false">
      <c r="A1383" s="0" t="n">
        <v>1004629086</v>
      </c>
      <c r="B1383" s="0" t="s">
        <v>5524</v>
      </c>
      <c r="C1383" s="0" t="n">
        <v>0.40769621636738</v>
      </c>
      <c r="D1383" s="0" t="n">
        <v>26925.9199999999</v>
      </c>
      <c r="E1383" s="0" t="s">
        <v>4137</v>
      </c>
      <c r="F1383" s="225"/>
    </row>
    <row r="1384" customFormat="false" ht="14.25" hidden="false" customHeight="false" outlineLevel="0" collapsed="false">
      <c r="A1384" s="0" t="n">
        <v>1143966322</v>
      </c>
      <c r="B1384" s="0" t="s">
        <v>5525</v>
      </c>
      <c r="C1384" s="0" t="n">
        <v>0.397302401400361</v>
      </c>
      <c r="D1384" s="0" t="n">
        <v>98794</v>
      </c>
      <c r="E1384" s="0" t="s">
        <v>4137</v>
      </c>
      <c r="F1384" s="225"/>
    </row>
    <row r="1385" customFormat="false" ht="14.25" hidden="false" customHeight="false" outlineLevel="0" collapsed="false">
      <c r="A1385" s="0" t="n">
        <v>1143968126</v>
      </c>
      <c r="B1385" s="0" t="s">
        <v>5526</v>
      </c>
      <c r="C1385" s="0" t="n">
        <v>0.237304753208055</v>
      </c>
      <c r="D1385" s="0" t="n">
        <v>380134</v>
      </c>
      <c r="E1385" s="0" t="s">
        <v>4137</v>
      </c>
      <c r="F1385" s="225"/>
    </row>
    <row r="1386" customFormat="false" ht="14.25" hidden="false" customHeight="false" outlineLevel="0" collapsed="false">
      <c r="A1386" s="0" t="n">
        <v>1107058643</v>
      </c>
      <c r="B1386" s="0" t="s">
        <v>5527</v>
      </c>
      <c r="C1386" s="0" t="n">
        <v>0.273623610847574</v>
      </c>
      <c r="D1386" s="0" t="n">
        <v>609171.74</v>
      </c>
      <c r="E1386" s="0" t="s">
        <v>4137</v>
      </c>
      <c r="F1386" s="225"/>
    </row>
    <row r="1387" customFormat="false" ht="14.25" hidden="false" customHeight="false" outlineLevel="0" collapsed="false">
      <c r="A1387" s="0" t="n">
        <v>1144093488</v>
      </c>
      <c r="B1387" s="0" t="s">
        <v>5528</v>
      </c>
      <c r="C1387" s="0" t="n">
        <v>0.514046120435299</v>
      </c>
      <c r="D1387" s="0" t="n">
        <v>-204313.88</v>
      </c>
      <c r="E1387" s="0" t="s">
        <v>4137</v>
      </c>
      <c r="F1387" s="225"/>
    </row>
    <row r="1388" customFormat="false" ht="14.25" hidden="false" customHeight="false" outlineLevel="0" collapsed="false">
      <c r="A1388" s="0" t="n">
        <v>1144163128</v>
      </c>
      <c r="B1388" s="0" t="s">
        <v>5529</v>
      </c>
      <c r="C1388" s="0" t="n">
        <v>0.173678368876458</v>
      </c>
      <c r="D1388" s="0" t="n">
        <v>917453.16</v>
      </c>
      <c r="E1388" s="0" t="s">
        <v>4137</v>
      </c>
      <c r="F1388" s="225"/>
    </row>
    <row r="1389" customFormat="false" ht="14.25" hidden="false" customHeight="false" outlineLevel="0" collapsed="false">
      <c r="A1389" s="0" t="n">
        <v>1144094043</v>
      </c>
      <c r="B1389" s="0" t="s">
        <v>5530</v>
      </c>
      <c r="C1389" s="0" t="n">
        <v>0.264188201549441</v>
      </c>
      <c r="D1389" s="0" t="n">
        <v>552201.74</v>
      </c>
      <c r="E1389" s="0" t="s">
        <v>4137</v>
      </c>
      <c r="F1389" s="225"/>
    </row>
    <row r="1390" customFormat="false" ht="14.25" hidden="false" customHeight="false" outlineLevel="0" collapsed="false">
      <c r="A1390" s="0" t="n">
        <v>1107102260</v>
      </c>
      <c r="B1390" s="0" t="s">
        <v>5531</v>
      </c>
      <c r="C1390" s="0" t="n">
        <v>0.409313987885618</v>
      </c>
      <c r="D1390" s="0" t="n">
        <v>60688</v>
      </c>
      <c r="E1390" s="0" t="s">
        <v>4147</v>
      </c>
      <c r="F1390" s="225"/>
    </row>
    <row r="1391" customFormat="false" ht="14.25" hidden="false" customHeight="false" outlineLevel="0" collapsed="false">
      <c r="A1391" s="0" t="n">
        <v>1144129364</v>
      </c>
      <c r="B1391" s="0" t="s">
        <v>5532</v>
      </c>
      <c r="C1391" s="0" t="n">
        <v>0.115357315640335</v>
      </c>
      <c r="D1391" s="0" t="n">
        <v>881575</v>
      </c>
      <c r="E1391" s="0" t="s">
        <v>4137</v>
      </c>
      <c r="F1391" s="225"/>
    </row>
    <row r="1392" customFormat="false" ht="14.25" hidden="false" customHeight="false" outlineLevel="0" collapsed="false">
      <c r="A1392" s="0" t="n">
        <v>1113651975</v>
      </c>
      <c r="B1392" s="0" t="s">
        <v>5533</v>
      </c>
      <c r="C1392" s="0" t="n">
        <v>0.389932325902928</v>
      </c>
      <c r="D1392" s="0" t="n">
        <v>247920</v>
      </c>
      <c r="E1392" s="0" t="s">
        <v>4137</v>
      </c>
      <c r="F1392" s="225"/>
    </row>
    <row r="1393" customFormat="false" ht="14.25" hidden="false" customHeight="false" outlineLevel="0" collapsed="false">
      <c r="A1393" s="0" t="n">
        <v>67043166</v>
      </c>
      <c r="B1393" s="0" t="s">
        <v>5534</v>
      </c>
      <c r="C1393" s="0" t="n">
        <v>0.415412597134099</v>
      </c>
      <c r="D1393" s="0" t="n">
        <v>18385</v>
      </c>
      <c r="E1393" s="0" t="s">
        <v>4147</v>
      </c>
      <c r="F1393" s="225"/>
    </row>
    <row r="1394" customFormat="false" ht="14.25" hidden="false" customHeight="false" outlineLevel="0" collapsed="false">
      <c r="A1394" s="0" t="n">
        <v>1144086307</v>
      </c>
      <c r="B1394" s="0" t="s">
        <v>5535</v>
      </c>
      <c r="C1394" s="0" t="n">
        <v>0.0998301599038728</v>
      </c>
      <c r="D1394" s="0" t="n">
        <v>1385567</v>
      </c>
      <c r="E1394" s="0" t="s">
        <v>4137</v>
      </c>
      <c r="F1394" s="225"/>
    </row>
    <row r="1395" customFormat="false" ht="14.25" hidden="false" customHeight="false" outlineLevel="0" collapsed="false">
      <c r="A1395" s="0" t="n">
        <v>29547783</v>
      </c>
      <c r="B1395" s="0" t="s">
        <v>5536</v>
      </c>
      <c r="C1395" s="0" t="n">
        <v>0.153760112916982</v>
      </c>
      <c r="D1395" s="0" t="n">
        <v>565629.48</v>
      </c>
      <c r="E1395" s="0" t="s">
        <v>4147</v>
      </c>
      <c r="F1395" s="225"/>
    </row>
    <row r="1396" customFormat="false" ht="14.25" hidden="false" customHeight="false" outlineLevel="0" collapsed="false">
      <c r="A1396" s="0" t="n">
        <v>1107084296</v>
      </c>
      <c r="B1396" s="0" t="s">
        <v>5537</v>
      </c>
      <c r="C1396" s="0" t="n">
        <v>0.116706649697741</v>
      </c>
      <c r="D1396" s="0" t="n">
        <v>2859753</v>
      </c>
      <c r="E1396" s="0" t="s">
        <v>4137</v>
      </c>
      <c r="F1396" s="225"/>
    </row>
    <row r="1397" customFormat="false" ht="14.25" hidden="false" customHeight="false" outlineLevel="0" collapsed="false">
      <c r="A1397" s="0" t="n">
        <v>1077465702</v>
      </c>
      <c r="B1397" s="0" t="s">
        <v>5538</v>
      </c>
      <c r="C1397" s="0" t="n">
        <v>0.240223310048952</v>
      </c>
      <c r="D1397" s="0" t="n">
        <v>398759.44</v>
      </c>
      <c r="E1397" s="0" t="s">
        <v>4137</v>
      </c>
      <c r="F1397" s="225"/>
    </row>
    <row r="1398" customFormat="false" ht="14.25" hidden="false" customHeight="false" outlineLevel="0" collapsed="false">
      <c r="A1398" s="0" t="n">
        <v>1085267594</v>
      </c>
      <c r="B1398" s="0" t="s">
        <v>5539</v>
      </c>
      <c r="C1398" s="0" t="n">
        <v>0.190215327382539</v>
      </c>
      <c r="D1398" s="0" t="n">
        <v>1472956.9</v>
      </c>
      <c r="E1398" s="0" t="s">
        <v>4137</v>
      </c>
      <c r="F1398" s="225"/>
    </row>
    <row r="1399" customFormat="false" ht="14.25" hidden="false" customHeight="false" outlineLevel="0" collapsed="false">
      <c r="A1399" s="0" t="n">
        <v>1152458312</v>
      </c>
      <c r="B1399" s="0" t="s">
        <v>5540</v>
      </c>
      <c r="C1399" s="0" t="n">
        <v>0.158836257697146</v>
      </c>
      <c r="D1399" s="0" t="n">
        <v>1972178</v>
      </c>
      <c r="E1399" s="0" t="s">
        <v>4137</v>
      </c>
      <c r="F1399" s="225"/>
    </row>
    <row r="1400" customFormat="false" ht="14.25" hidden="false" customHeight="false" outlineLevel="0" collapsed="false">
      <c r="A1400" s="0" t="n">
        <v>1130643308</v>
      </c>
      <c r="B1400" s="0" t="s">
        <v>5541</v>
      </c>
      <c r="C1400" s="0" t="n">
        <v>0.448269253880107</v>
      </c>
      <c r="D1400" s="0" t="n">
        <v>-55514.52</v>
      </c>
      <c r="E1400" s="0" t="s">
        <v>4137</v>
      </c>
      <c r="F1400" s="225"/>
    </row>
    <row r="1401" customFormat="false" ht="14.25" hidden="false" customHeight="false" outlineLevel="0" collapsed="false">
      <c r="A1401" s="0" t="n">
        <v>1144103604</v>
      </c>
      <c r="B1401" s="0" t="s">
        <v>5542</v>
      </c>
      <c r="C1401" s="0" t="n">
        <v>0.243437370098379</v>
      </c>
      <c r="D1401" s="0" t="n">
        <v>509701</v>
      </c>
      <c r="E1401" s="0" t="s">
        <v>4137</v>
      </c>
      <c r="F1401" s="225"/>
    </row>
    <row r="1402" customFormat="false" ht="14.25" hidden="false" customHeight="false" outlineLevel="0" collapsed="false">
      <c r="A1402" s="0" t="n">
        <v>1130636523</v>
      </c>
      <c r="B1402" s="0" t="s">
        <v>5543</v>
      </c>
      <c r="C1402" s="0" t="n">
        <v>0.410783735863112</v>
      </c>
      <c r="D1402" s="0" t="n">
        <v>89490.9999999995</v>
      </c>
      <c r="E1402" s="0" t="s">
        <v>4137</v>
      </c>
      <c r="F1402" s="225"/>
    </row>
    <row r="1403" customFormat="false" ht="14.25" hidden="false" customHeight="false" outlineLevel="0" collapsed="false">
      <c r="A1403" s="0" t="n">
        <v>1115076657</v>
      </c>
      <c r="B1403" s="0" t="s">
        <v>5544</v>
      </c>
      <c r="C1403" s="0" t="n">
        <v>0.128227116031131</v>
      </c>
      <c r="D1403" s="0" t="n">
        <v>1372908.42</v>
      </c>
      <c r="E1403" s="0" t="s">
        <v>4137</v>
      </c>
      <c r="F1403" s="225"/>
    </row>
    <row r="1404" customFormat="false" ht="14.25" hidden="false" customHeight="false" outlineLevel="0" collapsed="false">
      <c r="A1404" s="0" t="n">
        <v>1144194647</v>
      </c>
      <c r="B1404" s="0" t="s">
        <v>5545</v>
      </c>
      <c r="C1404" s="0" t="n">
        <v>0.142491156821556</v>
      </c>
      <c r="D1404" s="0" t="n">
        <v>586199.32</v>
      </c>
      <c r="E1404" s="0" t="s">
        <v>4137</v>
      </c>
      <c r="F1404" s="225"/>
    </row>
    <row r="1405" customFormat="false" ht="14.25" hidden="false" customHeight="false" outlineLevel="0" collapsed="false">
      <c r="A1405" s="0" t="n">
        <v>1107510180</v>
      </c>
      <c r="B1405" s="0" t="s">
        <v>5546</v>
      </c>
      <c r="C1405" s="0" t="n">
        <v>0.362709191361125</v>
      </c>
      <c r="D1405" s="0" t="n">
        <v>114066</v>
      </c>
      <c r="E1405" s="0" t="s">
        <v>4137</v>
      </c>
      <c r="F1405" s="225"/>
    </row>
    <row r="1406" customFormat="false" ht="14.25" hidden="false" customHeight="false" outlineLevel="0" collapsed="false">
      <c r="A1406" s="0" t="n">
        <v>1059913076</v>
      </c>
      <c r="B1406" s="0" t="s">
        <v>5547</v>
      </c>
      <c r="C1406" s="0" t="n">
        <v>0.166040763760851</v>
      </c>
      <c r="D1406" s="0" t="n">
        <v>908674.02</v>
      </c>
      <c r="E1406" s="0" t="s">
        <v>4147</v>
      </c>
      <c r="F1406" s="225"/>
    </row>
    <row r="1407" customFormat="false" ht="14.25" hidden="false" customHeight="false" outlineLevel="0" collapsed="false">
      <c r="A1407" s="0" t="n">
        <v>1107087915</v>
      </c>
      <c r="B1407" s="0" t="s">
        <v>5548</v>
      </c>
      <c r="C1407" s="0" t="n">
        <v>0.127015067805123</v>
      </c>
      <c r="D1407" s="0" t="n">
        <v>583333</v>
      </c>
      <c r="E1407" s="0" t="s">
        <v>4137</v>
      </c>
      <c r="F1407" s="225"/>
    </row>
    <row r="1408" customFormat="false" ht="14.25" hidden="false" customHeight="false" outlineLevel="0" collapsed="false">
      <c r="A1408" s="0" t="n">
        <v>1107522576</v>
      </c>
      <c r="B1408" s="0" t="s">
        <v>5549</v>
      </c>
      <c r="C1408" s="0" t="n">
        <v>0.226435647144553</v>
      </c>
      <c r="D1408" s="0" t="n">
        <v>387200.26</v>
      </c>
      <c r="E1408" s="0" t="s">
        <v>4147</v>
      </c>
      <c r="F1408" s="225"/>
    </row>
    <row r="1409" customFormat="false" ht="14.25" hidden="false" customHeight="false" outlineLevel="0" collapsed="false">
      <c r="A1409" s="0" t="n">
        <v>1005873030</v>
      </c>
      <c r="B1409" s="0" t="s">
        <v>5550</v>
      </c>
      <c r="C1409" s="0" t="n">
        <v>0.35686965687125</v>
      </c>
      <c r="D1409" s="0" t="n">
        <v>213944.44</v>
      </c>
      <c r="E1409" s="0" t="s">
        <v>4147</v>
      </c>
      <c r="F1409" s="225"/>
    </row>
    <row r="1410" customFormat="false" ht="14.25" hidden="false" customHeight="false" outlineLevel="0" collapsed="false">
      <c r="A1410" s="0" t="n">
        <v>1107099311</v>
      </c>
      <c r="B1410" s="0" t="s">
        <v>5551</v>
      </c>
      <c r="C1410" s="0" t="n">
        <v>0.15144825347339</v>
      </c>
      <c r="D1410" s="0" t="n">
        <v>1763675.64</v>
      </c>
      <c r="E1410" s="0" t="s">
        <v>4137</v>
      </c>
      <c r="F1410" s="225"/>
    </row>
    <row r="1411" customFormat="false" ht="14.25" hidden="false" customHeight="false" outlineLevel="0" collapsed="false">
      <c r="A1411" s="0" t="n">
        <v>1031163412</v>
      </c>
      <c r="B1411" s="0" t="s">
        <v>5552</v>
      </c>
      <c r="C1411" s="0" t="n">
        <v>0.139473273262161</v>
      </c>
      <c r="D1411" s="0" t="n">
        <v>631734.5</v>
      </c>
      <c r="E1411" s="0" t="s">
        <v>4137</v>
      </c>
      <c r="F1411" s="225"/>
    </row>
    <row r="1412" customFormat="false" ht="14.25" hidden="false" customHeight="false" outlineLevel="0" collapsed="false">
      <c r="A1412" s="0" t="n">
        <v>1006233140</v>
      </c>
      <c r="B1412" s="0" t="s">
        <v>5553</v>
      </c>
      <c r="C1412" s="0" t="n">
        <v>0.456838246155247</v>
      </c>
      <c r="D1412" s="0" t="n">
        <v>-79307.12</v>
      </c>
      <c r="E1412" s="0" t="s">
        <v>4137</v>
      </c>
      <c r="F1412" s="225"/>
    </row>
    <row r="1413" customFormat="false" ht="14.25" hidden="false" customHeight="false" outlineLevel="0" collapsed="false">
      <c r="A1413" s="0" t="n">
        <v>1085244836</v>
      </c>
      <c r="B1413" s="0" t="s">
        <v>5554</v>
      </c>
      <c r="C1413" s="0" t="n">
        <v>0.11480266310673</v>
      </c>
      <c r="D1413" s="0" t="n">
        <v>1783207</v>
      </c>
      <c r="E1413" s="0" t="s">
        <v>4137</v>
      </c>
      <c r="F1413" s="225"/>
    </row>
    <row r="1414" customFormat="false" ht="14.25" hidden="false" customHeight="false" outlineLevel="0" collapsed="false">
      <c r="A1414" s="0" t="n">
        <v>1144063311</v>
      </c>
      <c r="B1414" s="0" t="s">
        <v>5555</v>
      </c>
      <c r="C1414" s="0" t="n">
        <v>0.144191895459936</v>
      </c>
      <c r="D1414" s="0" t="n">
        <v>1232614</v>
      </c>
      <c r="E1414" s="0" t="s">
        <v>4137</v>
      </c>
      <c r="F1414" s="225"/>
    </row>
    <row r="1415" customFormat="false" ht="14.25" hidden="false" customHeight="false" outlineLevel="0" collapsed="false">
      <c r="A1415" s="0" t="n">
        <v>1002936067</v>
      </c>
      <c r="B1415" s="0" t="s">
        <v>5556</v>
      </c>
      <c r="C1415" s="0" t="n">
        <v>0.422881757131538</v>
      </c>
      <c r="D1415" s="0" t="n">
        <v>-13318.3333333333</v>
      </c>
      <c r="E1415" s="0" t="s">
        <v>4137</v>
      </c>
      <c r="F1415" s="225"/>
    </row>
    <row r="1416" customFormat="false" ht="14.25" hidden="false" customHeight="false" outlineLevel="0" collapsed="false">
      <c r="A1416" s="0" t="n">
        <v>1143987647</v>
      </c>
      <c r="B1416" s="0" t="s">
        <v>5557</v>
      </c>
      <c r="C1416" s="0" t="n">
        <v>0.299869914615771</v>
      </c>
      <c r="D1416" s="0" t="n">
        <v>239179</v>
      </c>
      <c r="E1416" s="0" t="s">
        <v>4137</v>
      </c>
      <c r="F1416" s="225"/>
    </row>
    <row r="1417" customFormat="false" ht="14.25" hidden="false" customHeight="false" outlineLevel="0" collapsed="false">
      <c r="A1417" s="0" t="n">
        <v>1144029540</v>
      </c>
      <c r="B1417" s="0" t="s">
        <v>5558</v>
      </c>
      <c r="C1417" s="0" t="n">
        <v>0.132410126950228</v>
      </c>
      <c r="D1417" s="0" t="n">
        <v>914176.98</v>
      </c>
      <c r="E1417" s="0" t="s">
        <v>4137</v>
      </c>
      <c r="F1417" s="225"/>
    </row>
    <row r="1418" customFormat="false" ht="14.25" hidden="false" customHeight="false" outlineLevel="0" collapsed="false">
      <c r="A1418" s="0" t="n">
        <v>1143991158</v>
      </c>
      <c r="B1418" s="0" t="s">
        <v>5559</v>
      </c>
      <c r="C1418" s="0" t="n">
        <v>0.115909203947994</v>
      </c>
      <c r="D1418" s="0" t="n">
        <v>966005.84</v>
      </c>
      <c r="E1418" s="0" t="s">
        <v>4147</v>
      </c>
      <c r="F1418" s="225"/>
    </row>
    <row r="1419" customFormat="false" ht="14.25" hidden="false" customHeight="false" outlineLevel="0" collapsed="false">
      <c r="A1419" s="0" t="n">
        <v>1107057805</v>
      </c>
      <c r="B1419" s="0" t="s">
        <v>5560</v>
      </c>
      <c r="C1419" s="0" t="n">
        <v>0.358993949597666</v>
      </c>
      <c r="D1419" s="0" t="n">
        <v>129166.26</v>
      </c>
      <c r="E1419" s="0" t="s">
        <v>4137</v>
      </c>
      <c r="F1419" s="225"/>
    </row>
    <row r="1420" customFormat="false" ht="14.25" hidden="false" customHeight="false" outlineLevel="0" collapsed="false">
      <c r="A1420" s="0" t="n">
        <v>66829967</v>
      </c>
      <c r="B1420" s="0" t="s">
        <v>5561</v>
      </c>
      <c r="C1420" s="0" t="n">
        <v>0.231382219989955</v>
      </c>
      <c r="D1420" s="0" t="n">
        <v>375538</v>
      </c>
      <c r="E1420" s="0" t="s">
        <v>4137</v>
      </c>
      <c r="F1420" s="225"/>
    </row>
    <row r="1421" customFormat="false" ht="14.25" hidden="false" customHeight="false" outlineLevel="0" collapsed="false">
      <c r="A1421" s="0" t="n">
        <v>1107085530</v>
      </c>
      <c r="B1421" s="0" t="s">
        <v>5562</v>
      </c>
      <c r="C1421" s="0" t="n">
        <v>0.228200635842145</v>
      </c>
      <c r="D1421" s="0" t="n">
        <v>555029</v>
      </c>
      <c r="E1421" s="0" t="s">
        <v>4137</v>
      </c>
      <c r="F1421" s="225"/>
    </row>
    <row r="1422" customFormat="false" ht="14.25" hidden="false" customHeight="false" outlineLevel="0" collapsed="false">
      <c r="A1422" s="0" t="n">
        <v>1005863887</v>
      </c>
      <c r="B1422" s="0" t="s">
        <v>5563</v>
      </c>
      <c r="C1422" s="0" t="n">
        <v>0.17433503799831</v>
      </c>
      <c r="D1422" s="0" t="n">
        <v>728989.32</v>
      </c>
      <c r="E1422" s="0" t="s">
        <v>4137</v>
      </c>
      <c r="F1422" s="225"/>
    </row>
    <row r="1423" customFormat="false" ht="14.25" hidden="false" customHeight="false" outlineLevel="0" collapsed="false">
      <c r="A1423" s="0" t="n">
        <v>1130590776</v>
      </c>
      <c r="B1423" s="0" t="s">
        <v>5564</v>
      </c>
      <c r="C1423" s="0" t="n">
        <v>0.138423131213169</v>
      </c>
      <c r="D1423" s="0" t="n">
        <v>1438861.46</v>
      </c>
      <c r="E1423" s="0" t="s">
        <v>4137</v>
      </c>
      <c r="F1423" s="225"/>
    </row>
    <row r="1424" customFormat="false" ht="14.25" hidden="false" customHeight="false" outlineLevel="0" collapsed="false">
      <c r="A1424" s="0" t="n">
        <v>1118287786</v>
      </c>
      <c r="B1424" s="0" t="s">
        <v>5565</v>
      </c>
      <c r="C1424" s="0" t="n">
        <v>0.104687649756966</v>
      </c>
      <c r="D1424" s="0" t="n">
        <v>1842307</v>
      </c>
      <c r="E1424" s="0" t="s">
        <v>4137</v>
      </c>
      <c r="F1424" s="225"/>
    </row>
    <row r="1425" customFormat="false" ht="14.25" hidden="false" customHeight="false" outlineLevel="0" collapsed="false">
      <c r="A1425" s="0" t="n">
        <v>1144083873</v>
      </c>
      <c r="B1425" s="0" t="s">
        <v>5566</v>
      </c>
      <c r="C1425" s="0" t="n">
        <v>0.131295202736282</v>
      </c>
      <c r="D1425" s="0" t="n">
        <v>1975145</v>
      </c>
      <c r="E1425" s="0" t="s">
        <v>4137</v>
      </c>
      <c r="F1425" s="225"/>
    </row>
    <row r="1426" customFormat="false" ht="14.25" hidden="false" customHeight="false" outlineLevel="0" collapsed="false">
      <c r="A1426" s="0" t="n">
        <v>1144090100</v>
      </c>
      <c r="B1426" s="0" t="s">
        <v>5567</v>
      </c>
      <c r="C1426" s="0" t="n">
        <v>0.0984469994026482</v>
      </c>
      <c r="D1426" s="0" t="n">
        <v>1693125.32</v>
      </c>
      <c r="E1426" s="0" t="s">
        <v>4137</v>
      </c>
      <c r="F1426" s="225"/>
    </row>
    <row r="1427" customFormat="false" ht="14.25" hidden="false" customHeight="false" outlineLevel="0" collapsed="false">
      <c r="A1427" s="0" t="n">
        <v>1107097817</v>
      </c>
      <c r="B1427" s="0" t="s">
        <v>5568</v>
      </c>
      <c r="C1427" s="0" t="n">
        <v>0.354269689841912</v>
      </c>
      <c r="D1427" s="0" t="n">
        <v>286099</v>
      </c>
      <c r="E1427" s="0" t="s">
        <v>4137</v>
      </c>
      <c r="F1427" s="225"/>
    </row>
    <row r="1428" customFormat="false" ht="14.25" hidden="false" customHeight="false" outlineLevel="0" collapsed="false">
      <c r="A1428" s="0" t="n">
        <v>1130602719</v>
      </c>
      <c r="B1428" s="0" t="s">
        <v>5569</v>
      </c>
      <c r="C1428" s="0" t="n">
        <v>0.125915158357995</v>
      </c>
      <c r="D1428" s="0" t="n">
        <v>892532.3</v>
      </c>
      <c r="E1428" s="0" t="s">
        <v>4137</v>
      </c>
      <c r="F1428" s="225"/>
    </row>
    <row r="1429" customFormat="false" ht="14.25" hidden="false" customHeight="false" outlineLevel="0" collapsed="false">
      <c r="A1429" s="0" t="n">
        <v>25341987</v>
      </c>
      <c r="B1429" s="0" t="s">
        <v>5570</v>
      </c>
      <c r="C1429" s="0" t="n">
        <v>0.431134095895609</v>
      </c>
      <c r="D1429" s="0" t="n">
        <v>-22231.98</v>
      </c>
      <c r="E1429" s="0" t="s">
        <v>4137</v>
      </c>
      <c r="F1429" s="225"/>
    </row>
    <row r="1430" customFormat="false" ht="14.25" hidden="false" customHeight="false" outlineLevel="0" collapsed="false">
      <c r="A1430" s="0" t="n">
        <v>1113538911</v>
      </c>
      <c r="B1430" s="0" t="s">
        <v>5571</v>
      </c>
      <c r="C1430" s="0" t="n">
        <v>0.191917824071224</v>
      </c>
      <c r="D1430" s="0" t="n">
        <v>463181.3</v>
      </c>
      <c r="E1430" s="0" t="s">
        <v>4137</v>
      </c>
      <c r="F1430" s="225"/>
    </row>
    <row r="1431" customFormat="false" ht="14.25" hidden="false" customHeight="false" outlineLevel="0" collapsed="false">
      <c r="A1431" s="0" t="n">
        <v>1144026358</v>
      </c>
      <c r="B1431" s="0" t="s">
        <v>5572</v>
      </c>
      <c r="C1431" s="0" t="n">
        <v>0.516137689770995</v>
      </c>
      <c r="D1431" s="0" t="n">
        <v>-399348.333333333</v>
      </c>
      <c r="E1431" s="0" t="s">
        <v>4137</v>
      </c>
      <c r="F1431" s="225"/>
    </row>
    <row r="1432" customFormat="false" ht="14.25" hidden="false" customHeight="false" outlineLevel="0" collapsed="false">
      <c r="A1432" s="0" t="n">
        <v>1234197111</v>
      </c>
      <c r="B1432" s="0" t="s">
        <v>5573</v>
      </c>
      <c r="C1432" s="0" t="n">
        <v>0.125101666707412</v>
      </c>
      <c r="D1432" s="0" t="n">
        <v>956968.88</v>
      </c>
      <c r="E1432" s="0" t="s">
        <v>4147</v>
      </c>
      <c r="F1432" s="225"/>
    </row>
    <row r="1433" customFormat="false" ht="14.25" hidden="false" customHeight="false" outlineLevel="0" collapsed="false">
      <c r="A1433" s="0" t="n">
        <v>1144146146</v>
      </c>
      <c r="B1433" s="0" t="s">
        <v>5574</v>
      </c>
      <c r="C1433" s="0" t="n">
        <v>0.447570903592214</v>
      </c>
      <c r="D1433" s="0" t="n">
        <v>-62721.6000000001</v>
      </c>
      <c r="E1433" s="0" t="s">
        <v>4137</v>
      </c>
      <c r="F1433" s="225"/>
    </row>
    <row r="1434" customFormat="false" ht="14.25" hidden="false" customHeight="false" outlineLevel="0" collapsed="false">
      <c r="A1434" s="0" t="n">
        <v>1112470207</v>
      </c>
      <c r="B1434" s="0" t="s">
        <v>5575</v>
      </c>
      <c r="C1434" s="0" t="n">
        <v>0.182739459818198</v>
      </c>
      <c r="D1434" s="0" t="n">
        <v>510986.76</v>
      </c>
      <c r="E1434" s="0" t="s">
        <v>4137</v>
      </c>
      <c r="F1434" s="225"/>
    </row>
    <row r="1435" customFormat="false" ht="14.25" hidden="false" customHeight="false" outlineLevel="0" collapsed="false">
      <c r="A1435" s="0" t="n">
        <v>1116266613</v>
      </c>
      <c r="B1435" s="0" t="s">
        <v>5576</v>
      </c>
      <c r="C1435" s="0" t="n">
        <v>0.276663029678951</v>
      </c>
      <c r="D1435" s="0" t="n">
        <v>1097812.6</v>
      </c>
      <c r="E1435" s="0" t="s">
        <v>4147</v>
      </c>
      <c r="F1435" s="225"/>
    </row>
    <row r="1436" customFormat="false" ht="14.25" hidden="false" customHeight="false" outlineLevel="0" collapsed="false">
      <c r="A1436" s="0" t="n">
        <v>1144108067</v>
      </c>
      <c r="B1436" s="0" t="s">
        <v>5577</v>
      </c>
      <c r="C1436" s="0" t="n">
        <v>0.108539954377508</v>
      </c>
      <c r="D1436" s="0" t="n">
        <v>1014340.34</v>
      </c>
      <c r="E1436" s="0" t="s">
        <v>4147</v>
      </c>
      <c r="F1436" s="225"/>
    </row>
    <row r="1437" customFormat="false" ht="14.25" hidden="false" customHeight="false" outlineLevel="0" collapsed="false">
      <c r="A1437" s="0" t="n">
        <v>1005784128</v>
      </c>
      <c r="B1437" s="0" t="s">
        <v>5578</v>
      </c>
      <c r="C1437" s="0" t="n">
        <v>0.385276020318866</v>
      </c>
      <c r="D1437" s="0" t="n">
        <v>137488.66</v>
      </c>
      <c r="E1437" s="0" t="s">
        <v>4147</v>
      </c>
      <c r="F1437" s="225"/>
    </row>
    <row r="1438" customFormat="false" ht="14.25" hidden="false" customHeight="false" outlineLevel="0" collapsed="false">
      <c r="A1438" s="0" t="n">
        <v>1005966057</v>
      </c>
      <c r="B1438" s="0" t="s">
        <v>5579</v>
      </c>
      <c r="C1438" s="0" t="n">
        <v>0.256895056643996</v>
      </c>
      <c r="D1438" s="0" t="n">
        <v>490235.34</v>
      </c>
      <c r="E1438" s="0" t="s">
        <v>4147</v>
      </c>
      <c r="F1438" s="225"/>
    </row>
    <row r="1439" customFormat="false" ht="14.25" hidden="false" customHeight="false" outlineLevel="0" collapsed="false">
      <c r="A1439" s="0" t="n">
        <v>1107507036</v>
      </c>
      <c r="B1439" s="0" t="s">
        <v>5580</v>
      </c>
      <c r="C1439" s="0" t="n">
        <v>0.177038182324712</v>
      </c>
      <c r="D1439" s="0" t="n">
        <v>796233.74</v>
      </c>
      <c r="E1439" s="0" t="s">
        <v>4147</v>
      </c>
      <c r="F1439" s="225"/>
    </row>
    <row r="1440" customFormat="false" ht="14.25" hidden="false" customHeight="false" outlineLevel="0" collapsed="false">
      <c r="A1440" s="0" t="n">
        <v>67026475</v>
      </c>
      <c r="B1440" s="0" t="s">
        <v>5581</v>
      </c>
      <c r="C1440" s="0" t="n">
        <v>0.311312449911305</v>
      </c>
      <c r="D1440" s="0" t="n">
        <v>286562.66</v>
      </c>
      <c r="E1440" s="0" t="s">
        <v>4137</v>
      </c>
      <c r="F1440" s="225"/>
    </row>
    <row r="1441" customFormat="false" ht="14.25" hidden="false" customHeight="false" outlineLevel="0" collapsed="false">
      <c r="A1441" s="0" t="n">
        <v>1130611040</v>
      </c>
      <c r="B1441" s="0" t="s">
        <v>5582</v>
      </c>
      <c r="C1441" s="0" t="n">
        <v>0.370649253323122</v>
      </c>
      <c r="D1441" s="0" t="n">
        <v>214805</v>
      </c>
      <c r="E1441" s="0" t="s">
        <v>4137</v>
      </c>
      <c r="F1441" s="225"/>
    </row>
    <row r="1442" customFormat="false" ht="14.25" hidden="false" customHeight="false" outlineLevel="0" collapsed="false">
      <c r="A1442" s="0" t="n">
        <v>1144193840</v>
      </c>
      <c r="B1442" s="0" t="s">
        <v>5583</v>
      </c>
      <c r="C1442" s="0" t="n">
        <v>0.21619638372677</v>
      </c>
      <c r="D1442" s="0" t="n">
        <v>405773</v>
      </c>
      <c r="E1442" s="0" t="s">
        <v>4137</v>
      </c>
      <c r="F1442" s="225"/>
    </row>
    <row r="1443" customFormat="false" ht="14.25" hidden="false" customHeight="false" outlineLevel="0" collapsed="false">
      <c r="A1443" s="0" t="n">
        <v>1130596820</v>
      </c>
      <c r="B1443" s="0" t="s">
        <v>5584</v>
      </c>
      <c r="C1443" s="0" t="n">
        <v>0.104224217789744</v>
      </c>
      <c r="D1443" s="0" t="n">
        <v>1468500.96</v>
      </c>
      <c r="E1443" s="0" t="s">
        <v>4137</v>
      </c>
      <c r="F1443" s="225"/>
    </row>
    <row r="1444" customFormat="false" ht="14.25" hidden="false" customHeight="false" outlineLevel="0" collapsed="false">
      <c r="A1444" s="0" t="n">
        <v>1107055122</v>
      </c>
      <c r="B1444" s="0" t="s">
        <v>5585</v>
      </c>
      <c r="C1444" s="0" t="n">
        <v>0.154344273774517</v>
      </c>
      <c r="D1444" s="0" t="n">
        <v>1499796.24</v>
      </c>
      <c r="E1444" s="0" t="s">
        <v>4137</v>
      </c>
      <c r="F1444" s="225"/>
    </row>
    <row r="1445" customFormat="false" ht="14.25" hidden="false" customHeight="false" outlineLevel="0" collapsed="false">
      <c r="A1445" s="0" t="n">
        <v>1144207702</v>
      </c>
      <c r="B1445" s="0" t="s">
        <v>5586</v>
      </c>
      <c r="C1445" s="0" t="n">
        <v>0.167854746180204</v>
      </c>
      <c r="D1445" s="0" t="n">
        <v>879348.42</v>
      </c>
      <c r="E1445" s="0" t="s">
        <v>4137</v>
      </c>
      <c r="F1445" s="225"/>
    </row>
    <row r="1446" customFormat="false" ht="14.25" hidden="false" customHeight="false" outlineLevel="0" collapsed="false">
      <c r="A1446" s="0" t="n">
        <v>1143948073</v>
      </c>
      <c r="B1446" s="0" t="s">
        <v>5587</v>
      </c>
      <c r="C1446" s="0" t="n">
        <v>0.217149531758058</v>
      </c>
      <c r="D1446" s="0" t="n">
        <v>527593.58</v>
      </c>
      <c r="E1446" s="0" t="s">
        <v>4137</v>
      </c>
      <c r="F1446" s="225"/>
    </row>
    <row r="1447" customFormat="false" ht="14.25" hidden="false" customHeight="false" outlineLevel="0" collapsed="false">
      <c r="A1447" s="0" t="n">
        <v>1006054314</v>
      </c>
      <c r="B1447" s="0" t="s">
        <v>5588</v>
      </c>
      <c r="C1447" s="0" t="n">
        <v>0.513265000390552</v>
      </c>
      <c r="D1447" s="0" t="n">
        <v>-380948</v>
      </c>
      <c r="E1447" s="0" t="s">
        <v>4137</v>
      </c>
      <c r="F1447" s="225"/>
    </row>
    <row r="1448" customFormat="false" ht="14.25" hidden="false" customHeight="false" outlineLevel="0" collapsed="false">
      <c r="A1448" s="0" t="n">
        <v>1116254546</v>
      </c>
      <c r="B1448" s="0" t="s">
        <v>5589</v>
      </c>
      <c r="C1448" s="0" t="n">
        <v>0.125825086986592</v>
      </c>
      <c r="D1448" s="0" t="n">
        <v>1065900.24</v>
      </c>
      <c r="E1448" s="0" t="s">
        <v>4137</v>
      </c>
      <c r="F1448" s="225"/>
    </row>
    <row r="1449" customFormat="false" ht="14.25" hidden="false" customHeight="false" outlineLevel="0" collapsed="false">
      <c r="A1449" s="0" t="n">
        <v>1113637168</v>
      </c>
      <c r="B1449" s="0" t="s">
        <v>5590</v>
      </c>
      <c r="C1449" s="0" t="n">
        <v>0.427890024646471</v>
      </c>
      <c r="D1449" s="0" t="n">
        <v>-31170.8600000001</v>
      </c>
      <c r="E1449" s="0" t="s">
        <v>4137</v>
      </c>
      <c r="F1449" s="225"/>
    </row>
    <row r="1450" customFormat="false" ht="14.25" hidden="false" customHeight="false" outlineLevel="0" collapsed="false">
      <c r="A1450" s="0" t="n">
        <v>1144135850</v>
      </c>
      <c r="B1450" s="0" t="s">
        <v>5591</v>
      </c>
      <c r="C1450" s="0" t="n">
        <v>0.291292677165119</v>
      </c>
      <c r="D1450" s="0" t="n">
        <v>430422.6</v>
      </c>
      <c r="E1450" s="0" t="s">
        <v>4137</v>
      </c>
      <c r="F1450" s="225"/>
    </row>
    <row r="1451" customFormat="false" ht="14.25" hidden="false" customHeight="false" outlineLevel="0" collapsed="false">
      <c r="A1451" s="0" t="n">
        <v>1112465080</v>
      </c>
      <c r="B1451" s="0" t="s">
        <v>5592</v>
      </c>
      <c r="C1451" s="0" t="n">
        <v>0.207492693588248</v>
      </c>
      <c r="D1451" s="0" t="n">
        <v>715879.88</v>
      </c>
      <c r="E1451" s="0" t="s">
        <v>4137</v>
      </c>
      <c r="F1451" s="225"/>
    </row>
    <row r="1452" customFormat="false" ht="14.25" hidden="false" customHeight="false" outlineLevel="0" collapsed="false">
      <c r="A1452" s="0" t="n">
        <v>1144143150</v>
      </c>
      <c r="B1452" s="0" t="s">
        <v>5593</v>
      </c>
      <c r="C1452" s="0" t="n">
        <v>0.298128609701006</v>
      </c>
      <c r="D1452" s="0" t="n">
        <v>385817.36</v>
      </c>
      <c r="E1452" s="0" t="s">
        <v>4137</v>
      </c>
      <c r="F1452" s="225"/>
    </row>
    <row r="1453" customFormat="false" ht="14.25" hidden="false" customHeight="false" outlineLevel="0" collapsed="false">
      <c r="A1453" s="0" t="n">
        <v>1075289825</v>
      </c>
      <c r="B1453" s="0" t="s">
        <v>5594</v>
      </c>
      <c r="C1453" s="0" t="n">
        <v>0.400984995118593</v>
      </c>
      <c r="D1453" s="0" t="n">
        <v>64884.28</v>
      </c>
      <c r="E1453" s="0" t="s">
        <v>4137</v>
      </c>
      <c r="F1453" s="225"/>
    </row>
    <row r="1454" customFormat="false" ht="14.25" hidden="false" customHeight="false" outlineLevel="0" collapsed="false">
      <c r="A1454" s="0" t="n">
        <v>1113647946</v>
      </c>
      <c r="B1454" s="0" t="s">
        <v>5595</v>
      </c>
      <c r="C1454" s="0" t="n">
        <v>0.300884978290926</v>
      </c>
      <c r="D1454" s="0" t="n">
        <v>982151</v>
      </c>
      <c r="E1454" s="0" t="s">
        <v>4137</v>
      </c>
      <c r="F1454" s="225"/>
    </row>
    <row r="1455" customFormat="false" ht="14.25" hidden="false" customHeight="false" outlineLevel="0" collapsed="false">
      <c r="A1455" s="0" t="n">
        <v>1085662084</v>
      </c>
      <c r="B1455" s="0" t="s">
        <v>5596</v>
      </c>
      <c r="C1455" s="0" t="n">
        <v>0.281280703904734</v>
      </c>
      <c r="D1455" s="0" t="n">
        <v>423277.24</v>
      </c>
      <c r="E1455" s="0" t="s">
        <v>4137</v>
      </c>
      <c r="F1455" s="225"/>
    </row>
    <row r="1456" customFormat="false" ht="14.25" hidden="false" customHeight="false" outlineLevel="0" collapsed="false">
      <c r="A1456" s="0" t="n">
        <v>1107048198</v>
      </c>
      <c r="B1456" s="0" t="s">
        <v>5597</v>
      </c>
      <c r="C1456" s="0" t="n">
        <v>0.293628829733802</v>
      </c>
      <c r="D1456" s="0" t="n">
        <v>251605</v>
      </c>
      <c r="E1456" s="0" t="s">
        <v>4137</v>
      </c>
      <c r="F1456" s="225"/>
    </row>
    <row r="1457" customFormat="false" ht="14.25" hidden="false" customHeight="false" outlineLevel="0" collapsed="false">
      <c r="A1457" s="0" t="n">
        <v>1086753676</v>
      </c>
      <c r="B1457" s="0" t="s">
        <v>5598</v>
      </c>
      <c r="C1457" s="0" t="n">
        <v>0.349065377073856</v>
      </c>
      <c r="D1457" s="0" t="n">
        <v>291171.92</v>
      </c>
      <c r="E1457" s="0" t="s">
        <v>4137</v>
      </c>
      <c r="F1457" s="225"/>
    </row>
    <row r="1458" customFormat="false" ht="14.25" hidden="false" customHeight="false" outlineLevel="0" collapsed="false">
      <c r="A1458" s="0" t="n">
        <v>94064181</v>
      </c>
      <c r="B1458" s="0" t="s">
        <v>5599</v>
      </c>
      <c r="C1458" s="0" t="n">
        <v>0.286224874862283</v>
      </c>
      <c r="D1458" s="0" t="n">
        <v>277571.88</v>
      </c>
      <c r="E1458" s="0" t="s">
        <v>4137</v>
      </c>
      <c r="F1458" s="225"/>
    </row>
    <row r="1459" customFormat="false" ht="14.25" hidden="false" customHeight="false" outlineLevel="0" collapsed="false">
      <c r="A1459" s="0" t="n">
        <v>1143847468</v>
      </c>
      <c r="B1459" s="0" t="s">
        <v>5600</v>
      </c>
      <c r="C1459" s="0" t="n">
        <v>0.238397502920618</v>
      </c>
      <c r="D1459" s="0" t="n">
        <v>730246.22</v>
      </c>
      <c r="E1459" s="0" t="s">
        <v>4137</v>
      </c>
      <c r="F1459" s="225"/>
    </row>
    <row r="1460" customFormat="false" ht="14.25" hidden="false" customHeight="false" outlineLevel="0" collapsed="false">
      <c r="A1460" s="0" t="n">
        <v>1003336271</v>
      </c>
      <c r="B1460" s="0" t="s">
        <v>5601</v>
      </c>
      <c r="C1460" s="0" t="n">
        <v>0.267873932697137</v>
      </c>
      <c r="D1460" s="0" t="n">
        <v>302883</v>
      </c>
      <c r="E1460" s="0" t="s">
        <v>4137</v>
      </c>
      <c r="F1460" s="225"/>
    </row>
    <row r="1461" customFormat="false" ht="14.25" hidden="false" customHeight="false" outlineLevel="0" collapsed="false">
      <c r="A1461" s="0" t="n">
        <v>38683726</v>
      </c>
      <c r="B1461" s="0" t="s">
        <v>5602</v>
      </c>
      <c r="C1461" s="0" t="n">
        <v>0.236642920006422</v>
      </c>
      <c r="D1461" s="0" t="n">
        <v>550431.72</v>
      </c>
      <c r="E1461" s="0" t="s">
        <v>4137</v>
      </c>
      <c r="F1461" s="225"/>
    </row>
    <row r="1462" customFormat="false" ht="14.25" hidden="false" customHeight="false" outlineLevel="0" collapsed="false">
      <c r="A1462" s="0" t="n">
        <v>1144157341</v>
      </c>
      <c r="B1462" s="0" t="s">
        <v>5603</v>
      </c>
      <c r="C1462" s="0" t="n">
        <v>0.150487672717421</v>
      </c>
      <c r="D1462" s="0" t="n">
        <v>1067719.8</v>
      </c>
      <c r="E1462" s="0" t="s">
        <v>4137</v>
      </c>
      <c r="F1462" s="225"/>
    </row>
    <row r="1463" customFormat="false" ht="14.25" hidden="false" customHeight="false" outlineLevel="0" collapsed="false">
      <c r="A1463" s="0" t="n">
        <v>1107085921</v>
      </c>
      <c r="B1463" s="0" t="s">
        <v>5604</v>
      </c>
      <c r="C1463" s="0" t="n">
        <v>0.201872537692386</v>
      </c>
      <c r="D1463" s="0" t="n">
        <v>1896177.74</v>
      </c>
      <c r="E1463" s="0" t="s">
        <v>4137</v>
      </c>
      <c r="F1463" s="225"/>
    </row>
    <row r="1464" customFormat="false" ht="14.25" hidden="false" customHeight="false" outlineLevel="0" collapsed="false">
      <c r="A1464" s="0" t="n">
        <v>1010081233</v>
      </c>
      <c r="B1464" s="0" t="s">
        <v>5605</v>
      </c>
      <c r="C1464" s="0" t="n">
        <v>0.12265380478493</v>
      </c>
      <c r="D1464" s="0" t="n">
        <v>2332123.08</v>
      </c>
      <c r="E1464" s="0" t="s">
        <v>4137</v>
      </c>
      <c r="F1464" s="225"/>
    </row>
    <row r="1465" customFormat="false" ht="14.25" hidden="false" customHeight="false" outlineLevel="0" collapsed="false">
      <c r="A1465" s="0" t="n">
        <v>67038777</v>
      </c>
      <c r="B1465" s="0" t="s">
        <v>5606</v>
      </c>
      <c r="C1465" s="0" t="n">
        <v>0.141913842682272</v>
      </c>
      <c r="D1465" s="0" t="n">
        <v>756179.48</v>
      </c>
      <c r="E1465" s="0" t="s">
        <v>4137</v>
      </c>
      <c r="F1465" s="225"/>
    </row>
    <row r="1466" customFormat="false" ht="14.25" hidden="false" customHeight="false" outlineLevel="0" collapsed="false">
      <c r="A1466" s="0" t="n">
        <v>1143861430</v>
      </c>
      <c r="B1466" s="0" t="s">
        <v>5607</v>
      </c>
      <c r="C1466" s="0" t="n">
        <v>0.359413560144055</v>
      </c>
      <c r="D1466" s="0" t="n">
        <v>201541.6</v>
      </c>
      <c r="E1466" s="0" t="s">
        <v>4137</v>
      </c>
      <c r="F1466" s="225"/>
    </row>
    <row r="1467" customFormat="false" ht="14.25" hidden="false" customHeight="false" outlineLevel="0" collapsed="false">
      <c r="A1467" s="0" t="n">
        <v>1006052439</v>
      </c>
      <c r="B1467" s="0" t="s">
        <v>5608</v>
      </c>
      <c r="C1467" s="0" t="n">
        <v>0.233303489404033</v>
      </c>
      <c r="D1467" s="0" t="n">
        <v>650112.66</v>
      </c>
      <c r="E1467" s="0" t="s">
        <v>4137</v>
      </c>
      <c r="F1467" s="225"/>
    </row>
    <row r="1468" customFormat="false" ht="14.25" hidden="false" customHeight="false" outlineLevel="0" collapsed="false">
      <c r="A1468" s="0" t="n">
        <v>11620559</v>
      </c>
      <c r="B1468" s="0" t="s">
        <v>5609</v>
      </c>
      <c r="C1468" s="0" t="n">
        <v>0.389653802133952</v>
      </c>
      <c r="D1468" s="0" t="n">
        <v>81558.3200000001</v>
      </c>
      <c r="E1468" s="0" t="s">
        <v>4137</v>
      </c>
      <c r="F1468" s="225"/>
    </row>
    <row r="1469" customFormat="false" ht="14.25" hidden="false" customHeight="false" outlineLevel="0" collapsed="false">
      <c r="A1469" s="0" t="n">
        <v>1130589776</v>
      </c>
      <c r="B1469" s="0" t="s">
        <v>5610</v>
      </c>
      <c r="C1469" s="0" t="n">
        <v>0.127076853963646</v>
      </c>
      <c r="D1469" s="0" t="n">
        <v>847661</v>
      </c>
      <c r="E1469" s="0" t="s">
        <v>4137</v>
      </c>
      <c r="F1469" s="225"/>
    </row>
    <row r="1470" customFormat="false" ht="14.25" hidden="false" customHeight="false" outlineLevel="0" collapsed="false">
      <c r="A1470" s="0" t="n">
        <v>1151944121</v>
      </c>
      <c r="B1470" s="0" t="s">
        <v>5611</v>
      </c>
      <c r="C1470" s="0" t="n">
        <v>0.393491430947732</v>
      </c>
      <c r="D1470" s="0" t="n">
        <v>80212.5</v>
      </c>
      <c r="E1470" s="0" t="s">
        <v>4147</v>
      </c>
      <c r="F1470" s="225"/>
    </row>
    <row r="1471" customFormat="false" ht="14.25" hidden="false" customHeight="false" outlineLevel="0" collapsed="false">
      <c r="A1471" s="0" t="n">
        <v>1130650735</v>
      </c>
      <c r="B1471" s="0" t="s">
        <v>5612</v>
      </c>
      <c r="C1471" s="0" t="n">
        <v>0.107124660218724</v>
      </c>
      <c r="D1471" s="0" t="n">
        <v>989875</v>
      </c>
      <c r="E1471" s="0" t="s">
        <v>4137</v>
      </c>
      <c r="F1471" s="225"/>
    </row>
    <row r="1472" customFormat="false" ht="14.25" hidden="false" customHeight="false" outlineLevel="0" collapsed="false">
      <c r="A1472" s="0" t="n">
        <v>1107063637</v>
      </c>
      <c r="B1472" s="0" t="s">
        <v>5613</v>
      </c>
      <c r="C1472" s="0" t="n">
        <v>0.439491144924846</v>
      </c>
      <c r="D1472" s="0" t="n">
        <v>-83425.3333333333</v>
      </c>
      <c r="E1472" s="0" t="s">
        <v>4137</v>
      </c>
      <c r="F1472" s="225"/>
    </row>
    <row r="1473" customFormat="false" ht="14.25" hidden="false" customHeight="false" outlineLevel="0" collapsed="false">
      <c r="A1473" s="0" t="n">
        <v>1112465088</v>
      </c>
      <c r="B1473" s="0" t="s">
        <v>5614</v>
      </c>
      <c r="C1473" s="0" t="s">
        <v>4266</v>
      </c>
      <c r="D1473" s="0" t="n">
        <v>0</v>
      </c>
      <c r="E1473" s="0" t="s">
        <v>4137</v>
      </c>
      <c r="F1473" s="225"/>
    </row>
    <row r="1474" customFormat="false" ht="14.25" hidden="false" customHeight="false" outlineLevel="0" collapsed="false">
      <c r="A1474" s="0" t="n">
        <v>1107080128</v>
      </c>
      <c r="B1474" s="0" t="s">
        <v>5615</v>
      </c>
      <c r="C1474" s="0" t="n">
        <v>0.268441436706301</v>
      </c>
      <c r="D1474" s="0" t="n">
        <v>876016.68</v>
      </c>
      <c r="E1474" s="0" t="s">
        <v>4137</v>
      </c>
      <c r="F1474" s="225"/>
    </row>
    <row r="1475" customFormat="false" ht="14.25" hidden="false" customHeight="false" outlineLevel="0" collapsed="false">
      <c r="A1475" s="0" t="n">
        <v>1007544660</v>
      </c>
      <c r="B1475" s="0" t="s">
        <v>5616</v>
      </c>
      <c r="C1475" s="0" t="n">
        <v>0.344941302454467</v>
      </c>
      <c r="D1475" s="0" t="n">
        <v>230274.88</v>
      </c>
      <c r="E1475" s="0" t="s">
        <v>4137</v>
      </c>
      <c r="F1475" s="225"/>
    </row>
    <row r="1476" customFormat="false" ht="14.25" hidden="false" customHeight="false" outlineLevel="0" collapsed="false">
      <c r="A1476" s="0" t="n">
        <v>38669398</v>
      </c>
      <c r="B1476" s="0" t="s">
        <v>5617</v>
      </c>
      <c r="C1476" s="0" t="n">
        <v>0.187574914810792</v>
      </c>
      <c r="D1476" s="0" t="n">
        <v>454132.12</v>
      </c>
      <c r="E1476" s="0" t="s">
        <v>4137</v>
      </c>
      <c r="F1476" s="225"/>
    </row>
    <row r="1477" customFormat="false" ht="14.25" hidden="false" customHeight="false" outlineLevel="0" collapsed="false">
      <c r="A1477" s="0" t="n">
        <v>1144199664</v>
      </c>
      <c r="B1477" s="0" t="s">
        <v>5618</v>
      </c>
      <c r="C1477" s="0" t="n">
        <v>0.348517822132476</v>
      </c>
      <c r="D1477" s="0" t="n">
        <v>330481</v>
      </c>
      <c r="E1477" s="0" t="s">
        <v>4137</v>
      </c>
      <c r="F1477" s="225"/>
    </row>
    <row r="1478" customFormat="false" ht="14.25" hidden="false" customHeight="false" outlineLevel="0" collapsed="false">
      <c r="A1478" s="0" t="n">
        <v>1143868887</v>
      </c>
      <c r="B1478" s="0" t="s">
        <v>5619</v>
      </c>
      <c r="C1478" s="0" t="n">
        <v>0.417782803722872</v>
      </c>
      <c r="D1478" s="0" t="n">
        <v>8816</v>
      </c>
      <c r="E1478" s="0" t="s">
        <v>4326</v>
      </c>
      <c r="F1478" s="225"/>
    </row>
    <row r="1479" customFormat="false" ht="14.25" hidden="false" customHeight="false" outlineLevel="0" collapsed="false">
      <c r="A1479" s="0" t="n">
        <v>38614218</v>
      </c>
      <c r="B1479" s="0" t="s">
        <v>5620</v>
      </c>
      <c r="C1479" s="0" t="n">
        <v>0.381233751114471</v>
      </c>
      <c r="D1479" s="0" t="n">
        <v>133862.08</v>
      </c>
      <c r="E1479" s="0" t="s">
        <v>4137</v>
      </c>
      <c r="F1479" s="225"/>
    </row>
    <row r="1480" customFormat="false" ht="14.25" hidden="false" customHeight="false" outlineLevel="0" collapsed="false">
      <c r="A1480" s="0" t="n">
        <v>1116449750</v>
      </c>
      <c r="B1480" s="0" t="s">
        <v>5621</v>
      </c>
      <c r="C1480" s="0" t="n">
        <v>0.379131736526946</v>
      </c>
      <c r="D1480" s="0" t="n">
        <v>162500</v>
      </c>
      <c r="E1480" s="0" t="s">
        <v>4326</v>
      </c>
      <c r="F1480" s="225"/>
    </row>
    <row r="1481" customFormat="false" ht="14.25" hidden="false" customHeight="false" outlineLevel="0" collapsed="false">
      <c r="A1481" s="0" t="n">
        <v>1107099090</v>
      </c>
      <c r="B1481" s="0" t="s">
        <v>5622</v>
      </c>
      <c r="C1481" s="0" t="n">
        <v>0.320728750396056</v>
      </c>
      <c r="D1481" s="0" t="n">
        <v>375138.64</v>
      </c>
      <c r="E1481" s="0" t="s">
        <v>4137</v>
      </c>
      <c r="F1481" s="225"/>
    </row>
    <row r="1482" customFormat="false" ht="14.25" hidden="false" customHeight="false" outlineLevel="0" collapsed="false">
      <c r="A1482" s="0" t="n">
        <v>1113520752</v>
      </c>
      <c r="B1482" s="0" t="s">
        <v>5623</v>
      </c>
      <c r="C1482" s="0" t="n">
        <v>0.306645906579608</v>
      </c>
      <c r="D1482" s="0" t="n">
        <v>225688</v>
      </c>
      <c r="E1482" s="0" t="s">
        <v>4137</v>
      </c>
      <c r="F1482" s="225"/>
    </row>
    <row r="1483" customFormat="false" ht="14.25" hidden="false" customHeight="false" outlineLevel="0" collapsed="false">
      <c r="A1483" s="0" t="n">
        <v>1123626223</v>
      </c>
      <c r="B1483" s="0" t="s">
        <v>5624</v>
      </c>
      <c r="C1483" s="0" t="n">
        <v>0.284683782807824</v>
      </c>
      <c r="D1483" s="0" t="n">
        <v>567713.1</v>
      </c>
      <c r="E1483" s="0" t="s">
        <v>4147</v>
      </c>
      <c r="F1483" s="225"/>
    </row>
    <row r="1484" customFormat="false" ht="14.25" hidden="false" customHeight="false" outlineLevel="0" collapsed="false">
      <c r="A1484" s="0" t="n">
        <v>38665738</v>
      </c>
      <c r="B1484" s="0" t="s">
        <v>5625</v>
      </c>
      <c r="C1484" s="0" t="n">
        <v>0.111643800955731</v>
      </c>
      <c r="D1484" s="0" t="n">
        <v>1328369.52</v>
      </c>
      <c r="E1484" s="0" t="s">
        <v>4147</v>
      </c>
      <c r="F1484" s="225"/>
    </row>
    <row r="1485" customFormat="false" ht="14.25" hidden="false" customHeight="false" outlineLevel="0" collapsed="false">
      <c r="A1485" s="0" t="n">
        <v>1130617413</v>
      </c>
      <c r="B1485" s="0" t="s">
        <v>5626</v>
      </c>
      <c r="C1485" s="0" t="n">
        <v>0.367063921125768</v>
      </c>
      <c r="D1485" s="0" t="n">
        <v>132188.8</v>
      </c>
      <c r="E1485" s="0" t="s">
        <v>4137</v>
      </c>
      <c r="F1485" s="225"/>
    </row>
    <row r="1486" customFormat="false" ht="14.25" hidden="false" customHeight="false" outlineLevel="0" collapsed="false">
      <c r="A1486" s="0" t="n">
        <v>1144052596</v>
      </c>
      <c r="B1486" s="0" t="s">
        <v>5627</v>
      </c>
      <c r="C1486" s="0" t="n">
        <v>0.243324424273916</v>
      </c>
      <c r="D1486" s="0" t="n">
        <v>426146.2</v>
      </c>
      <c r="E1486" s="0" t="s">
        <v>4137</v>
      </c>
      <c r="F1486" s="225"/>
    </row>
    <row r="1487" customFormat="false" ht="14.25" hidden="false" customHeight="false" outlineLevel="0" collapsed="false">
      <c r="A1487" s="0" t="n">
        <v>1112478961</v>
      </c>
      <c r="B1487" s="0" t="s">
        <v>5628</v>
      </c>
      <c r="C1487" s="0" t="n">
        <v>0.332955731903559</v>
      </c>
      <c r="D1487" s="0" t="n">
        <v>202088.24</v>
      </c>
      <c r="E1487" s="0" t="s">
        <v>4137</v>
      </c>
      <c r="F1487" s="225"/>
    </row>
    <row r="1488" customFormat="false" ht="14.25" hidden="false" customHeight="false" outlineLevel="0" collapsed="false">
      <c r="A1488" s="0" t="n">
        <v>1193461219</v>
      </c>
      <c r="B1488" s="0" t="s">
        <v>5629</v>
      </c>
      <c r="C1488" s="0" t="n">
        <v>0.406450074974047</v>
      </c>
      <c r="D1488" s="0" t="n">
        <v>35242</v>
      </c>
      <c r="E1488" s="0" t="s">
        <v>4147</v>
      </c>
      <c r="F1488" s="225"/>
    </row>
    <row r="1489" customFormat="false" ht="14.25" hidden="false" customHeight="false" outlineLevel="0" collapsed="false">
      <c r="A1489" s="0" t="n">
        <v>1006361753</v>
      </c>
      <c r="B1489" s="0" t="s">
        <v>5630</v>
      </c>
      <c r="C1489" s="0" t="n">
        <v>0.506701266967593</v>
      </c>
      <c r="D1489" s="0" t="n">
        <v>-181954.14</v>
      </c>
      <c r="E1489" s="0" t="s">
        <v>4137</v>
      </c>
      <c r="F1489" s="225"/>
    </row>
    <row r="1490" customFormat="false" ht="14.25" hidden="false" customHeight="false" outlineLevel="0" collapsed="false">
      <c r="A1490" s="0" t="n">
        <v>1089486387</v>
      </c>
      <c r="B1490" s="0" t="s">
        <v>5631</v>
      </c>
      <c r="C1490" s="0" t="n">
        <v>0.156396676798309</v>
      </c>
      <c r="D1490" s="0" t="n">
        <v>820052.98</v>
      </c>
      <c r="E1490" s="0" t="s">
        <v>4137</v>
      </c>
      <c r="F1490" s="225"/>
    </row>
    <row r="1491" customFormat="false" ht="14.25" hidden="false" customHeight="false" outlineLevel="0" collapsed="false">
      <c r="A1491" s="0" t="n">
        <v>1144212725</v>
      </c>
      <c r="B1491" s="0" t="s">
        <v>5632</v>
      </c>
      <c r="C1491" s="0" t="n">
        <v>0.111753124890457</v>
      </c>
      <c r="D1491" s="0" t="n">
        <v>1178333.48</v>
      </c>
      <c r="E1491" s="0" t="s">
        <v>4137</v>
      </c>
      <c r="F1491" s="225"/>
    </row>
    <row r="1492" customFormat="false" ht="14.25" hidden="false" customHeight="false" outlineLevel="0" collapsed="false">
      <c r="A1492" s="0" t="n">
        <v>1144202165</v>
      </c>
      <c r="B1492" s="0" t="s">
        <v>5633</v>
      </c>
      <c r="C1492" s="0" t="n">
        <v>0.121067046524457</v>
      </c>
      <c r="D1492" s="0" t="n">
        <v>2036443.08</v>
      </c>
      <c r="E1492" s="0" t="s">
        <v>4137</v>
      </c>
      <c r="F1492" s="225"/>
    </row>
    <row r="1493" customFormat="false" ht="14.25" hidden="false" customHeight="false" outlineLevel="0" collapsed="false">
      <c r="A1493" s="0" t="n">
        <v>1144202961</v>
      </c>
      <c r="B1493" s="0" t="s">
        <v>5634</v>
      </c>
      <c r="C1493" s="0" t="n">
        <v>0.336984487881157</v>
      </c>
      <c r="D1493" s="0" t="n">
        <v>379203</v>
      </c>
      <c r="E1493" s="0" t="s">
        <v>4137</v>
      </c>
      <c r="F1493" s="225"/>
    </row>
    <row r="1494" customFormat="false" ht="14.25" hidden="false" customHeight="false" outlineLevel="0" collapsed="false">
      <c r="A1494" s="0" t="n">
        <v>1054990766</v>
      </c>
      <c r="B1494" s="0" t="s">
        <v>5635</v>
      </c>
      <c r="C1494" s="0" t="n">
        <v>0.477684848893293</v>
      </c>
      <c r="D1494" s="0" t="n">
        <v>-168906.16</v>
      </c>
      <c r="E1494" s="0" t="s">
        <v>4137</v>
      </c>
      <c r="F1494" s="225"/>
    </row>
    <row r="1495" customFormat="false" ht="14.25" hidden="false" customHeight="false" outlineLevel="0" collapsed="false">
      <c r="A1495" s="0" t="n">
        <v>14893690</v>
      </c>
      <c r="B1495" s="0" t="s">
        <v>5636</v>
      </c>
      <c r="C1495" s="0" t="n">
        <v>0.146247509084515</v>
      </c>
      <c r="D1495" s="0" t="n">
        <v>2802459</v>
      </c>
      <c r="E1495" s="0" t="s">
        <v>4137</v>
      </c>
      <c r="F1495" s="225"/>
    </row>
    <row r="1496" customFormat="false" ht="14.25" hidden="false" customHeight="false" outlineLevel="0" collapsed="false">
      <c r="A1496" s="0" t="n">
        <v>1144067909</v>
      </c>
      <c r="B1496" s="0" t="s">
        <v>5637</v>
      </c>
      <c r="C1496" s="0" t="n">
        <v>0.144830055047537</v>
      </c>
      <c r="D1496" s="0" t="n">
        <v>2477423.44</v>
      </c>
      <c r="E1496" s="0" t="s">
        <v>4147</v>
      </c>
      <c r="F1496" s="225"/>
    </row>
    <row r="1497" customFormat="false" ht="14.25" hidden="false" customHeight="false" outlineLevel="0" collapsed="false">
      <c r="A1497" s="0" t="n">
        <v>1005945934</v>
      </c>
      <c r="B1497" s="0" t="s">
        <v>5638</v>
      </c>
      <c r="C1497" s="0" t="n">
        <v>0.143580844009604</v>
      </c>
      <c r="D1497" s="0" t="n">
        <v>884328.18</v>
      </c>
      <c r="E1497" s="0" t="s">
        <v>4137</v>
      </c>
      <c r="F1497" s="225"/>
    </row>
    <row r="1498" customFormat="false" ht="14.25" hidden="false" customHeight="false" outlineLevel="0" collapsed="false">
      <c r="A1498" s="0" t="n">
        <v>1061818745</v>
      </c>
      <c r="B1498" s="0" t="s">
        <v>5639</v>
      </c>
      <c r="C1498" s="0" t="n">
        <v>0.108926721681164</v>
      </c>
      <c r="D1498" s="0" t="n">
        <v>1255274</v>
      </c>
      <c r="E1498" s="0" t="s">
        <v>4137</v>
      </c>
      <c r="F1498" s="225"/>
    </row>
    <row r="1499" customFormat="false" ht="14.25" hidden="false" customHeight="false" outlineLevel="0" collapsed="false">
      <c r="A1499" s="0" t="n">
        <v>1144069010</v>
      </c>
      <c r="B1499" s="0" t="s">
        <v>5640</v>
      </c>
      <c r="C1499" s="0" t="n">
        <v>0.243132124926755</v>
      </c>
      <c r="D1499" s="0" t="n">
        <v>366135.78</v>
      </c>
      <c r="E1499" s="0" t="s">
        <v>4137</v>
      </c>
      <c r="F1499" s="225"/>
    </row>
    <row r="1500" customFormat="false" ht="14.25" hidden="false" customHeight="false" outlineLevel="0" collapsed="false">
      <c r="A1500" s="0" t="n">
        <v>1002956858</v>
      </c>
      <c r="B1500" s="0" t="s">
        <v>5641</v>
      </c>
      <c r="C1500" s="0" t="n">
        <v>0.275871421396283</v>
      </c>
      <c r="D1500" s="0" t="n">
        <v>286960</v>
      </c>
      <c r="E1500" s="0" t="s">
        <v>4137</v>
      </c>
      <c r="F1500" s="225"/>
    </row>
    <row r="1501" customFormat="false" ht="14.25" hidden="false" customHeight="false" outlineLevel="0" collapsed="false">
      <c r="A1501" s="0" t="n">
        <v>1143854553</v>
      </c>
      <c r="B1501" s="0" t="s">
        <v>5642</v>
      </c>
      <c r="C1501" s="0" t="n">
        <v>0.442900147580084</v>
      </c>
      <c r="D1501" s="0" t="n">
        <v>-60439.1000000001</v>
      </c>
      <c r="E1501" s="0" t="s">
        <v>4137</v>
      </c>
      <c r="F1501" s="225"/>
    </row>
    <row r="1502" customFormat="false" ht="14.25" hidden="false" customHeight="false" outlineLevel="0" collapsed="false">
      <c r="A1502" s="0" t="n">
        <v>1087129438</v>
      </c>
      <c r="B1502" s="0" t="s">
        <v>5643</v>
      </c>
      <c r="C1502" s="0" t="n">
        <v>0.306024560995182</v>
      </c>
      <c r="D1502" s="0" t="n">
        <v>676437.24</v>
      </c>
      <c r="E1502" s="0" t="s">
        <v>4137</v>
      </c>
      <c r="F1502" s="225"/>
    </row>
    <row r="1503" customFormat="false" ht="14.25" hidden="false" customHeight="false" outlineLevel="0" collapsed="false">
      <c r="A1503" s="0" t="n">
        <v>1060590809</v>
      </c>
      <c r="B1503" s="0" t="s">
        <v>5644</v>
      </c>
      <c r="C1503" s="0" t="n">
        <v>0.294389604409458</v>
      </c>
      <c r="D1503" s="0" t="n">
        <v>266239.44</v>
      </c>
      <c r="E1503" s="0" t="s">
        <v>4137</v>
      </c>
      <c r="F1503" s="225"/>
    </row>
    <row r="1504" customFormat="false" ht="14.25" hidden="false" customHeight="false" outlineLevel="0" collapsed="false">
      <c r="A1504" s="0" t="n">
        <v>1144129380</v>
      </c>
      <c r="B1504" s="0" t="s">
        <v>5645</v>
      </c>
      <c r="C1504" s="0" t="n">
        <v>0.351557597466094</v>
      </c>
      <c r="D1504" s="0" t="n">
        <v>306635</v>
      </c>
      <c r="E1504" s="0" t="s">
        <v>4137</v>
      </c>
      <c r="F1504" s="225"/>
    </row>
    <row r="1505" customFormat="false" ht="14.25" hidden="false" customHeight="false" outlineLevel="0" collapsed="false">
      <c r="A1505" s="0" t="n">
        <v>1130683942</v>
      </c>
      <c r="B1505" s="0" t="s">
        <v>5646</v>
      </c>
      <c r="C1505" s="0" t="n">
        <v>0.395234335329341</v>
      </c>
      <c r="D1505" s="0" t="n">
        <v>98473</v>
      </c>
      <c r="E1505" s="0" t="s">
        <v>4511</v>
      </c>
      <c r="F1505" s="225"/>
    </row>
    <row r="1506" customFormat="false" ht="14.25" hidden="false" customHeight="false" outlineLevel="0" collapsed="false">
      <c r="A1506" s="0" t="n">
        <v>1143935417</v>
      </c>
      <c r="B1506" s="0" t="s">
        <v>5647</v>
      </c>
      <c r="C1506" s="0" t="n">
        <v>0.143008281611563</v>
      </c>
      <c r="D1506" s="0" t="n">
        <v>929090.7</v>
      </c>
      <c r="E1506" s="0" t="s">
        <v>4137</v>
      </c>
      <c r="F1506" s="225"/>
    </row>
    <row r="1507" customFormat="false" ht="14.25" hidden="false" customHeight="false" outlineLevel="0" collapsed="false">
      <c r="A1507" s="0" t="n">
        <v>1143990240</v>
      </c>
      <c r="B1507" s="0" t="s">
        <v>5648</v>
      </c>
      <c r="C1507" s="0" t="n">
        <v>0.259577795152463</v>
      </c>
      <c r="D1507" s="0" t="n">
        <v>328288</v>
      </c>
      <c r="E1507" s="0" t="s">
        <v>4147</v>
      </c>
      <c r="F1507" s="225"/>
    </row>
    <row r="1508" customFormat="false" ht="14.25" hidden="false" customHeight="false" outlineLevel="0" collapsed="false">
      <c r="A1508" s="0" t="n">
        <v>1144041392</v>
      </c>
      <c r="B1508" s="0" t="s">
        <v>5649</v>
      </c>
      <c r="C1508" s="0" t="n">
        <v>0.258285288158466</v>
      </c>
      <c r="D1508" s="0" t="n">
        <v>423737.34</v>
      </c>
      <c r="E1508" s="0" t="s">
        <v>4137</v>
      </c>
      <c r="F1508" s="225"/>
    </row>
    <row r="1509" customFormat="false" ht="14.25" hidden="false" customHeight="false" outlineLevel="0" collapsed="false">
      <c r="A1509" s="0" t="n">
        <v>1111540042</v>
      </c>
      <c r="B1509" s="0" t="s">
        <v>5650</v>
      </c>
      <c r="C1509" s="0" t="n">
        <v>0.41335056</v>
      </c>
      <c r="D1509" s="0" t="n">
        <v>25727</v>
      </c>
      <c r="E1509" s="0" t="s">
        <v>4137</v>
      </c>
      <c r="F1509" s="225"/>
    </row>
    <row r="1510" customFormat="false" ht="14.25" hidden="false" customHeight="false" outlineLevel="0" collapsed="false">
      <c r="A1510" s="0" t="n">
        <v>1192910903</v>
      </c>
      <c r="B1510" s="0" t="s">
        <v>5651</v>
      </c>
      <c r="C1510" s="0" t="n">
        <v>0.411468850096044</v>
      </c>
      <c r="D1510" s="0" t="n">
        <v>33426</v>
      </c>
      <c r="E1510" s="0" t="s">
        <v>4137</v>
      </c>
      <c r="F1510" s="225"/>
    </row>
    <row r="1511" customFormat="false" ht="14.25" hidden="false" customHeight="false" outlineLevel="0" collapsed="false">
      <c r="A1511" s="0" t="n">
        <v>1010058582</v>
      </c>
      <c r="B1511" s="0" t="s">
        <v>5652</v>
      </c>
      <c r="C1511" s="0" t="n">
        <v>0.343712140671738</v>
      </c>
      <c r="D1511" s="0" t="n">
        <v>170375.38</v>
      </c>
      <c r="E1511" s="0" t="s">
        <v>4137</v>
      </c>
      <c r="F1511" s="225"/>
    </row>
    <row r="1512" customFormat="false" ht="14.25" hidden="false" customHeight="false" outlineLevel="0" collapsed="false">
      <c r="A1512" s="0" t="n">
        <v>1143944797</v>
      </c>
      <c r="B1512" s="0" t="s">
        <v>5653</v>
      </c>
      <c r="C1512" s="0" t="n">
        <v>0.434912900703675</v>
      </c>
      <c r="D1512" s="0" t="n">
        <v>-68120</v>
      </c>
      <c r="E1512" s="0" t="s">
        <v>4137</v>
      </c>
      <c r="F1512" s="225"/>
    </row>
    <row r="1513" customFormat="false" ht="14.25" hidden="false" customHeight="false" outlineLevel="0" collapsed="false">
      <c r="A1513" s="0" t="n">
        <v>1144043402</v>
      </c>
      <c r="B1513" s="0" t="s">
        <v>5654</v>
      </c>
      <c r="C1513" s="0" t="n">
        <v>0.112834435834436</v>
      </c>
      <c r="D1513" s="0" t="n">
        <v>1625213</v>
      </c>
      <c r="E1513" s="0" t="s">
        <v>4137</v>
      </c>
      <c r="F1513" s="225"/>
    </row>
    <row r="1514" customFormat="false" ht="14.25" hidden="false" customHeight="false" outlineLevel="0" collapsed="false">
      <c r="A1514" s="0" t="n">
        <v>1111540665</v>
      </c>
      <c r="B1514" s="0" t="s">
        <v>5655</v>
      </c>
      <c r="C1514" s="0" t="n">
        <v>0.339235450670935</v>
      </c>
      <c r="D1514" s="0" t="n">
        <v>216978</v>
      </c>
      <c r="E1514" s="0" t="s">
        <v>4137</v>
      </c>
      <c r="F1514" s="225"/>
    </row>
    <row r="1515" customFormat="false" ht="14.25" hidden="false" customHeight="false" outlineLevel="0" collapsed="false">
      <c r="A1515" s="0" t="n">
        <v>1061755509</v>
      </c>
      <c r="B1515" s="0" t="s">
        <v>5656</v>
      </c>
      <c r="C1515" s="0" t="n">
        <v>0.253904438420763</v>
      </c>
      <c r="D1515" s="0" t="n">
        <v>1033730.22</v>
      </c>
      <c r="E1515" s="0" t="s">
        <v>4137</v>
      </c>
      <c r="F1515" s="225"/>
    </row>
    <row r="1516" customFormat="false" ht="14.25" hidden="false" customHeight="false" outlineLevel="0" collapsed="false">
      <c r="A1516" s="0" t="n">
        <v>1007619449</v>
      </c>
      <c r="B1516" s="0" t="s">
        <v>5657</v>
      </c>
      <c r="C1516" s="0" t="n">
        <v>0.438576406153846</v>
      </c>
      <c r="D1516" s="0" t="n">
        <v>-71873</v>
      </c>
      <c r="E1516" s="0" t="s">
        <v>4137</v>
      </c>
      <c r="F1516" s="225"/>
    </row>
    <row r="1517" customFormat="false" ht="14.25" hidden="false" customHeight="false" outlineLevel="0" collapsed="false">
      <c r="A1517" s="0" t="n">
        <v>1234197935</v>
      </c>
      <c r="B1517" s="0" t="s">
        <v>5658</v>
      </c>
      <c r="C1517" s="0" t="n">
        <v>0.210618632011996</v>
      </c>
      <c r="D1517" s="0" t="n">
        <v>544580</v>
      </c>
      <c r="E1517" s="0" t="s">
        <v>4137</v>
      </c>
      <c r="F1517" s="225"/>
    </row>
    <row r="1518" customFormat="false" ht="14.25" hidden="false" customHeight="false" outlineLevel="0" collapsed="false">
      <c r="A1518" s="0" t="n">
        <v>1143992567</v>
      </c>
      <c r="B1518" s="0" t="s">
        <v>5659</v>
      </c>
      <c r="C1518" s="0" t="n">
        <v>0.126795879275315</v>
      </c>
      <c r="D1518" s="0" t="n">
        <v>686052.88</v>
      </c>
      <c r="E1518" s="0" t="s">
        <v>4147</v>
      </c>
      <c r="F1518" s="225"/>
    </row>
    <row r="1519" customFormat="false" ht="14.25" hidden="false" customHeight="false" outlineLevel="0" collapsed="false">
      <c r="A1519" s="0" t="n">
        <v>67033351</v>
      </c>
      <c r="B1519" s="0" t="s">
        <v>5660</v>
      </c>
      <c r="C1519" s="0" t="n">
        <v>0.462380003670286</v>
      </c>
      <c r="D1519" s="0" t="n">
        <v>-193912.666666667</v>
      </c>
      <c r="E1519" s="0" t="s">
        <v>4137</v>
      </c>
      <c r="F1519" s="225"/>
    </row>
    <row r="1520" customFormat="false" ht="14.25" hidden="false" customHeight="false" outlineLevel="0" collapsed="false">
      <c r="A1520" s="0" t="n">
        <v>67031395</v>
      </c>
      <c r="B1520" s="0" t="s">
        <v>5661</v>
      </c>
      <c r="C1520" s="0" t="n">
        <v>0.208497341862951</v>
      </c>
      <c r="D1520" s="0" t="n">
        <v>630695.78</v>
      </c>
      <c r="E1520" s="0" t="s">
        <v>4137</v>
      </c>
      <c r="F1520" s="225"/>
    </row>
    <row r="1521" customFormat="false" ht="14.25" hidden="false" customHeight="false" outlineLevel="0" collapsed="false">
      <c r="A1521" s="0" t="n">
        <v>1144097450</v>
      </c>
      <c r="B1521" s="0" t="s">
        <v>5662</v>
      </c>
      <c r="C1521" s="0" t="n">
        <v>0.186262895932304</v>
      </c>
      <c r="D1521" s="0" t="n">
        <v>802199.22</v>
      </c>
      <c r="E1521" s="0" t="s">
        <v>4137</v>
      </c>
      <c r="F1521" s="225"/>
    </row>
    <row r="1522" customFormat="false" ht="14.25" hidden="false" customHeight="false" outlineLevel="0" collapsed="false">
      <c r="A1522" s="0" t="n">
        <v>1112878165</v>
      </c>
      <c r="B1522" s="0" t="s">
        <v>5663</v>
      </c>
      <c r="C1522" s="0" t="n">
        <v>0.298342325151174</v>
      </c>
      <c r="D1522" s="0" t="n">
        <v>267259.04</v>
      </c>
      <c r="E1522" s="0" t="s">
        <v>4137</v>
      </c>
      <c r="F1522" s="225"/>
    </row>
    <row r="1523" customFormat="false" ht="14.25" hidden="false" customHeight="false" outlineLevel="0" collapsed="false">
      <c r="A1523" s="0" t="n">
        <v>1130588194</v>
      </c>
      <c r="B1523" s="0" t="s">
        <v>5664</v>
      </c>
      <c r="C1523" s="0" t="n">
        <v>0.141454496520435</v>
      </c>
      <c r="D1523" s="0" t="n">
        <v>724469</v>
      </c>
      <c r="E1523" s="0" t="s">
        <v>4137</v>
      </c>
      <c r="F1523" s="225"/>
    </row>
    <row r="1524" customFormat="false" ht="14.25" hidden="false" customHeight="false" outlineLevel="0" collapsed="false">
      <c r="A1524" s="0" t="n">
        <v>38612512</v>
      </c>
      <c r="B1524" s="0" t="s">
        <v>5665</v>
      </c>
      <c r="C1524" s="0" t="n">
        <v>0.143150909392815</v>
      </c>
      <c r="D1524" s="0" t="n">
        <v>568543.66</v>
      </c>
      <c r="E1524" s="0" t="s">
        <v>4137</v>
      </c>
      <c r="F1524" s="225"/>
    </row>
    <row r="1525" customFormat="false" ht="14.25" hidden="false" customHeight="false" outlineLevel="0" collapsed="false">
      <c r="A1525" s="0" t="n">
        <v>1130622606</v>
      </c>
      <c r="B1525" s="0" t="s">
        <v>5666</v>
      </c>
      <c r="C1525" s="0" t="n">
        <v>0.180585187400014</v>
      </c>
      <c r="D1525" s="0" t="n">
        <v>851691.94</v>
      </c>
      <c r="E1525" s="0" t="s">
        <v>4137</v>
      </c>
      <c r="F1525" s="225"/>
    </row>
    <row r="1526" customFormat="false" ht="14.25" hidden="false" customHeight="false" outlineLevel="0" collapsed="false">
      <c r="A1526" s="0" t="n">
        <v>1143844261</v>
      </c>
      <c r="B1526" s="0" t="s">
        <v>5667</v>
      </c>
      <c r="C1526" s="0" t="n">
        <v>0.343744785322044</v>
      </c>
      <c r="D1526" s="0" t="n">
        <v>348911</v>
      </c>
      <c r="E1526" s="0" t="s">
        <v>4137</v>
      </c>
      <c r="F1526" s="225"/>
    </row>
    <row r="1527" customFormat="false" ht="14.25" hidden="false" customHeight="false" outlineLevel="0" collapsed="false">
      <c r="A1527" s="0" t="n">
        <v>1130647826</v>
      </c>
      <c r="B1527" s="0" t="s">
        <v>5668</v>
      </c>
      <c r="C1527" s="0" t="n">
        <v>0.116291675224208</v>
      </c>
      <c r="D1527" s="0" t="n">
        <v>1774507</v>
      </c>
      <c r="E1527" s="0" t="s">
        <v>4147</v>
      </c>
      <c r="F1527" s="225"/>
    </row>
    <row r="1528" customFormat="false" ht="14.25" hidden="false" customHeight="false" outlineLevel="0" collapsed="false">
      <c r="A1528" s="0" t="n">
        <v>1144149618</v>
      </c>
      <c r="B1528" s="0" t="s">
        <v>5669</v>
      </c>
      <c r="C1528" s="0" t="n">
        <v>0.337464976734128</v>
      </c>
      <c r="D1528" s="0" t="n">
        <v>378946</v>
      </c>
      <c r="E1528" s="0" t="s">
        <v>4137</v>
      </c>
      <c r="F1528" s="225"/>
    </row>
    <row r="1529" customFormat="false" ht="14.25" hidden="false" customHeight="false" outlineLevel="0" collapsed="false">
      <c r="A1529" s="0" t="n">
        <v>1108638170</v>
      </c>
      <c r="B1529" s="0" t="s">
        <v>5670</v>
      </c>
      <c r="C1529" s="0" t="n">
        <v>0.15341156431294</v>
      </c>
      <c r="D1529" s="0" t="n">
        <v>562181.16</v>
      </c>
      <c r="E1529" s="0" t="s">
        <v>4137</v>
      </c>
      <c r="F1529" s="225"/>
    </row>
    <row r="1530" customFormat="false" ht="14.25" hidden="false" customHeight="false" outlineLevel="0" collapsed="false">
      <c r="A1530" s="0" t="n">
        <v>1143932401</v>
      </c>
      <c r="B1530" s="0" t="s">
        <v>5671</v>
      </c>
      <c r="C1530" s="0" t="n">
        <v>0.231107427700273</v>
      </c>
      <c r="D1530" s="0" t="n">
        <v>369230.2</v>
      </c>
      <c r="E1530" s="0" t="s">
        <v>4137</v>
      </c>
      <c r="F1530" s="225"/>
    </row>
    <row r="1531" customFormat="false" ht="14.25" hidden="false" customHeight="false" outlineLevel="0" collapsed="false">
      <c r="A1531" s="0" t="n">
        <v>1130623897</v>
      </c>
      <c r="B1531" s="0" t="s">
        <v>5672</v>
      </c>
      <c r="C1531" s="0" t="n">
        <v>0.440950150803396</v>
      </c>
      <c r="D1531" s="0" t="n">
        <v>-46472.26</v>
      </c>
      <c r="E1531" s="0" t="s">
        <v>4137</v>
      </c>
      <c r="F1531" s="225"/>
    </row>
    <row r="1532" customFormat="false" ht="14.25" hidden="false" customHeight="false" outlineLevel="0" collapsed="false">
      <c r="A1532" s="0" t="n">
        <v>1193586630</v>
      </c>
      <c r="B1532" s="0" t="s">
        <v>5673</v>
      </c>
      <c r="C1532" s="0" t="n">
        <v>0.349249034516711</v>
      </c>
      <c r="D1532" s="0" t="n">
        <v>307952</v>
      </c>
      <c r="E1532" s="0" t="s">
        <v>4137</v>
      </c>
      <c r="F1532" s="225"/>
    </row>
    <row r="1533" customFormat="false" ht="14.25" hidden="false" customHeight="false" outlineLevel="0" collapsed="false">
      <c r="A1533" s="0" t="n">
        <v>1143838291</v>
      </c>
      <c r="B1533" s="0" t="s">
        <v>5674</v>
      </c>
      <c r="C1533" s="0" t="n">
        <v>0.11523350991575</v>
      </c>
      <c r="D1533" s="0" t="n">
        <v>1090606.58</v>
      </c>
      <c r="E1533" s="0" t="s">
        <v>4137</v>
      </c>
      <c r="F1533" s="225"/>
    </row>
    <row r="1534" customFormat="false" ht="14.25" hidden="false" customHeight="false" outlineLevel="0" collapsed="false">
      <c r="A1534" s="0" t="n">
        <v>1107513864</v>
      </c>
      <c r="B1534" s="0" t="s">
        <v>5675</v>
      </c>
      <c r="C1534" s="0" t="n">
        <v>0.195294294288796</v>
      </c>
      <c r="D1534" s="0" t="n">
        <v>1022667.5</v>
      </c>
      <c r="E1534" s="0" t="s">
        <v>4147</v>
      </c>
      <c r="F1534" s="225"/>
    </row>
    <row r="1535" customFormat="false" ht="14.25" hidden="false" customHeight="false" outlineLevel="0" collapsed="false">
      <c r="A1535" s="0" t="n">
        <v>1113692973</v>
      </c>
      <c r="B1535" s="0" t="s">
        <v>5676</v>
      </c>
      <c r="C1535" s="0" t="n">
        <v>0.150366106091475</v>
      </c>
      <c r="D1535" s="0" t="n">
        <v>1351719.02</v>
      </c>
      <c r="E1535" s="0" t="s">
        <v>4147</v>
      </c>
      <c r="F1535" s="225"/>
    </row>
    <row r="1536" customFormat="false" ht="14.25" hidden="false" customHeight="false" outlineLevel="0" collapsed="false">
      <c r="A1536" s="0" t="n">
        <v>1144040148</v>
      </c>
      <c r="B1536" s="0" t="s">
        <v>5677</v>
      </c>
      <c r="C1536" s="0" t="s">
        <v>4266</v>
      </c>
      <c r="D1536" s="0" t="n">
        <v>0</v>
      </c>
      <c r="E1536" s="0" t="s">
        <v>4137</v>
      </c>
      <c r="F1536" s="225"/>
    </row>
    <row r="1537" customFormat="false" ht="14.25" hidden="false" customHeight="false" outlineLevel="0" collapsed="false">
      <c r="A1537" s="0" t="n">
        <v>1193238666</v>
      </c>
      <c r="B1537" s="0" t="s">
        <v>5678</v>
      </c>
      <c r="C1537" s="0" t="n">
        <v>0.179582836710369</v>
      </c>
      <c r="D1537" s="0" t="n">
        <v>625301</v>
      </c>
      <c r="E1537" s="0" t="s">
        <v>4511</v>
      </c>
      <c r="F1537" s="225"/>
    </row>
    <row r="1538" customFormat="false" ht="14.25" hidden="false" customHeight="false" outlineLevel="0" collapsed="false">
      <c r="A1538" s="0" t="n">
        <v>1144056300</v>
      </c>
      <c r="B1538" s="0" t="s">
        <v>5679</v>
      </c>
      <c r="C1538" s="0" t="n">
        <v>0.149725813389426</v>
      </c>
      <c r="D1538" s="0" t="n">
        <v>554818.58</v>
      </c>
      <c r="E1538" s="0" t="s">
        <v>4137</v>
      </c>
      <c r="F1538" s="225"/>
    </row>
    <row r="1539" customFormat="false" ht="14.25" hidden="false" customHeight="false" outlineLevel="0" collapsed="false">
      <c r="A1539" s="0" t="n">
        <v>1130590061</v>
      </c>
      <c r="B1539" s="0" t="s">
        <v>5680</v>
      </c>
      <c r="C1539" s="0" t="n">
        <v>0.297963516970533</v>
      </c>
      <c r="D1539" s="0" t="n">
        <v>255646.54</v>
      </c>
      <c r="E1539" s="0" t="s">
        <v>4137</v>
      </c>
      <c r="F1539" s="225"/>
    </row>
    <row r="1540" customFormat="false" ht="14.25" hidden="false" customHeight="false" outlineLevel="0" collapsed="false">
      <c r="A1540" s="0" t="n">
        <v>1144033001</v>
      </c>
      <c r="B1540" s="0" t="s">
        <v>5681</v>
      </c>
      <c r="C1540" s="0" t="n">
        <v>0.240530705220196</v>
      </c>
      <c r="D1540" s="0" t="n">
        <v>400029.64</v>
      </c>
      <c r="E1540" s="0" t="s">
        <v>4137</v>
      </c>
      <c r="F1540" s="225"/>
    </row>
    <row r="1541" customFormat="false" ht="14.25" hidden="false" customHeight="false" outlineLevel="0" collapsed="false">
      <c r="A1541" s="0" t="n">
        <v>1144028170</v>
      </c>
      <c r="B1541" s="0" t="s">
        <v>5682</v>
      </c>
      <c r="C1541" s="0" t="n">
        <v>0.222553346918374</v>
      </c>
      <c r="D1541" s="0" t="n">
        <v>513539</v>
      </c>
      <c r="E1541" s="0" t="s">
        <v>4137</v>
      </c>
      <c r="F1541" s="225"/>
    </row>
    <row r="1542" customFormat="false" ht="14.25" hidden="false" customHeight="false" outlineLevel="0" collapsed="false">
      <c r="A1542" s="0" t="n">
        <v>1107527319</v>
      </c>
      <c r="B1542" s="0" t="s">
        <v>5683</v>
      </c>
      <c r="C1542" s="0" t="n">
        <v>0.11518185631832</v>
      </c>
      <c r="D1542" s="0" t="n">
        <v>1264318.6</v>
      </c>
      <c r="E1542" s="0" t="s">
        <v>4137</v>
      </c>
      <c r="F1542" s="225"/>
    </row>
    <row r="1543" customFormat="false" ht="14.25" hidden="false" customHeight="false" outlineLevel="0" collapsed="false">
      <c r="A1543" s="0" t="n">
        <v>1115091457</v>
      </c>
      <c r="B1543" s="0" t="s">
        <v>5684</v>
      </c>
      <c r="C1543" s="0" t="n">
        <v>0.159632305629048</v>
      </c>
      <c r="D1543" s="0" t="n">
        <v>558546.94</v>
      </c>
      <c r="E1543" s="0" t="s">
        <v>4137</v>
      </c>
      <c r="F1543" s="225"/>
    </row>
    <row r="1544" customFormat="false" ht="14.25" hidden="false" customHeight="false" outlineLevel="0" collapsed="false">
      <c r="A1544" s="0" t="n">
        <v>1144165375</v>
      </c>
      <c r="B1544" s="0" t="s">
        <v>5685</v>
      </c>
      <c r="C1544" s="0" t="n">
        <v>0.346338987348987</v>
      </c>
      <c r="D1544" s="0" t="n">
        <v>178350.18</v>
      </c>
      <c r="E1544" s="0" t="s">
        <v>4137</v>
      </c>
      <c r="F1544" s="225"/>
    </row>
    <row r="1545" customFormat="false" ht="14.25" hidden="false" customHeight="false" outlineLevel="0" collapsed="false">
      <c r="A1545" s="0" t="n">
        <v>1151942706</v>
      </c>
      <c r="B1545" s="0" t="s">
        <v>5686</v>
      </c>
      <c r="C1545" s="0" t="n">
        <v>0.135463950772941</v>
      </c>
      <c r="D1545" s="0" t="n">
        <v>702302.12</v>
      </c>
      <c r="E1545" s="0" t="s">
        <v>4137</v>
      </c>
      <c r="F1545" s="225"/>
    </row>
    <row r="1546" customFormat="false" ht="14.25" hidden="false" customHeight="false" outlineLevel="0" collapsed="false">
      <c r="A1546" s="0" t="n">
        <v>1143986684</v>
      </c>
      <c r="B1546" s="0" t="s">
        <v>5687</v>
      </c>
      <c r="C1546" s="0" t="n">
        <v>0.238333269252951</v>
      </c>
      <c r="D1546" s="0" t="n">
        <v>472497</v>
      </c>
      <c r="E1546" s="0" t="s">
        <v>4137</v>
      </c>
      <c r="F1546" s="225"/>
    </row>
    <row r="1547" customFormat="false" ht="14.25" hidden="false" customHeight="false" outlineLevel="0" collapsed="false">
      <c r="A1547" s="0" t="n">
        <v>1113695768</v>
      </c>
      <c r="B1547" s="0" t="s">
        <v>5688</v>
      </c>
      <c r="C1547" s="0" t="n">
        <v>0.540258372101965</v>
      </c>
      <c r="D1547" s="0" t="n">
        <v>-312780</v>
      </c>
      <c r="E1547" s="0" t="s">
        <v>4137</v>
      </c>
      <c r="F1547" s="225"/>
    </row>
    <row r="1548" customFormat="false" ht="14.25" hidden="false" customHeight="false" outlineLevel="0" collapsed="false">
      <c r="A1548" s="0" t="n">
        <v>1006049428</v>
      </c>
      <c r="B1548" s="0" t="s">
        <v>5689</v>
      </c>
      <c r="C1548" s="0" t="n">
        <v>0.397259796716185</v>
      </c>
      <c r="D1548" s="0" t="n">
        <v>103874</v>
      </c>
      <c r="E1548" s="0" t="s">
        <v>4137</v>
      </c>
      <c r="F1548" s="225"/>
    </row>
    <row r="1549" customFormat="false" ht="14.25" hidden="false" customHeight="false" outlineLevel="0" collapsed="false">
      <c r="A1549" s="0" t="n">
        <v>1116723361</v>
      </c>
      <c r="B1549" s="0" t="s">
        <v>5690</v>
      </c>
      <c r="C1549" s="0" t="n">
        <v>0.209810592069374</v>
      </c>
      <c r="D1549" s="0" t="n">
        <v>718331.62</v>
      </c>
      <c r="E1549" s="0" t="s">
        <v>4137</v>
      </c>
      <c r="F1549" s="225"/>
    </row>
    <row r="1550" customFormat="false" ht="14.25" hidden="false" customHeight="false" outlineLevel="0" collapsed="false">
      <c r="A1550" s="0" t="n">
        <v>1007854889</v>
      </c>
      <c r="B1550" s="0" t="s">
        <v>5691</v>
      </c>
      <c r="C1550" s="0" t="n">
        <v>0.105115900211791</v>
      </c>
      <c r="D1550" s="0" t="n">
        <v>1342452.52</v>
      </c>
      <c r="E1550" s="0" t="s">
        <v>4137</v>
      </c>
      <c r="F1550" s="225"/>
    </row>
    <row r="1551" customFormat="false" ht="14.25" hidden="false" customHeight="false" outlineLevel="0" collapsed="false">
      <c r="A1551" s="0" t="n">
        <v>1144093972</v>
      </c>
      <c r="B1551" s="0" t="s">
        <v>5692</v>
      </c>
      <c r="C1551" s="0" t="n">
        <v>0.114757754980942</v>
      </c>
      <c r="D1551" s="0" t="n">
        <v>1284992.32</v>
      </c>
      <c r="E1551" s="0" t="s">
        <v>4137</v>
      </c>
      <c r="F1551" s="225"/>
    </row>
    <row r="1552" customFormat="false" ht="14.25" hidden="false" customHeight="false" outlineLevel="0" collapsed="false">
      <c r="A1552" s="0" t="n">
        <v>1006168646</v>
      </c>
      <c r="B1552" s="0" t="s">
        <v>5693</v>
      </c>
      <c r="C1552" s="0" t="n">
        <v>0.120695456693252</v>
      </c>
      <c r="D1552" s="0" t="n">
        <v>752512.68</v>
      </c>
      <c r="E1552" s="0" t="s">
        <v>4137</v>
      </c>
      <c r="F1552" s="225"/>
    </row>
    <row r="1553" customFormat="false" ht="14.25" hidden="false" customHeight="false" outlineLevel="0" collapsed="false">
      <c r="A1553" s="0" t="n">
        <v>1143863607</v>
      </c>
      <c r="B1553" s="0" t="s">
        <v>5694</v>
      </c>
      <c r="C1553" s="0" t="n">
        <v>0.156399602493755</v>
      </c>
      <c r="D1553" s="0" t="n">
        <v>1997893.84</v>
      </c>
      <c r="E1553" s="0" t="s">
        <v>4137</v>
      </c>
      <c r="F1553" s="225"/>
    </row>
    <row r="1554" customFormat="false" ht="14.25" hidden="false" customHeight="false" outlineLevel="0" collapsed="false">
      <c r="A1554" s="0" t="n">
        <v>1010091223</v>
      </c>
      <c r="B1554" s="0" t="s">
        <v>5695</v>
      </c>
      <c r="C1554" s="0" t="n">
        <v>0.274900365392877</v>
      </c>
      <c r="D1554" s="0" t="n">
        <v>525318.04</v>
      </c>
      <c r="E1554" s="0" t="s">
        <v>4137</v>
      </c>
      <c r="F1554" s="225"/>
    </row>
    <row r="1555" customFormat="false" ht="14.25" hidden="false" customHeight="false" outlineLevel="0" collapsed="false">
      <c r="A1555" s="0" t="n">
        <v>38604103</v>
      </c>
      <c r="B1555" s="0" t="s">
        <v>5696</v>
      </c>
      <c r="C1555" s="0" t="n">
        <v>0.265647852110742</v>
      </c>
      <c r="D1555" s="0" t="n">
        <v>1466758.76</v>
      </c>
      <c r="E1555" s="0" t="s">
        <v>4137</v>
      </c>
      <c r="F1555" s="225"/>
    </row>
    <row r="1556" customFormat="false" ht="14.25" hidden="false" customHeight="false" outlineLevel="0" collapsed="false">
      <c r="A1556" s="0" t="n">
        <v>1116157019</v>
      </c>
      <c r="B1556" s="0" t="s">
        <v>5697</v>
      </c>
      <c r="C1556" s="0" t="n">
        <v>0.274093754585025</v>
      </c>
      <c r="D1556" s="0" t="n">
        <v>1193338</v>
      </c>
      <c r="E1556" s="0" t="s">
        <v>4137</v>
      </c>
      <c r="F1556" s="225"/>
    </row>
    <row r="1557" customFormat="false" ht="14.25" hidden="false" customHeight="false" outlineLevel="0" collapsed="false">
      <c r="A1557" s="0" t="n">
        <v>1143939334</v>
      </c>
      <c r="B1557" s="0" t="s">
        <v>5698</v>
      </c>
      <c r="C1557" s="0" t="n">
        <v>0.369615491265366</v>
      </c>
      <c r="D1557" s="0" t="n">
        <v>218044</v>
      </c>
      <c r="E1557" s="0" t="s">
        <v>4147</v>
      </c>
      <c r="F1557" s="225"/>
    </row>
    <row r="1558" customFormat="false" ht="14.25" hidden="false" customHeight="false" outlineLevel="0" collapsed="false">
      <c r="A1558" s="0" t="n">
        <v>1144102705</v>
      </c>
      <c r="B1558" s="0" t="s">
        <v>5699</v>
      </c>
      <c r="C1558" s="0" t="n">
        <v>0.170164507978019</v>
      </c>
      <c r="D1558" s="0" t="n">
        <v>2474314.5</v>
      </c>
      <c r="E1558" s="0" t="s">
        <v>4137</v>
      </c>
      <c r="F1558" s="225"/>
    </row>
    <row r="1559" customFormat="false" ht="14.25" hidden="false" customHeight="false" outlineLevel="0" collapsed="false">
      <c r="A1559" s="0" t="n">
        <v>67030093</v>
      </c>
      <c r="B1559" s="0" t="s">
        <v>5700</v>
      </c>
      <c r="C1559" s="0" t="n">
        <v>0.131063129109247</v>
      </c>
      <c r="D1559" s="0" t="n">
        <v>2770057.14</v>
      </c>
      <c r="E1559" s="0" t="s">
        <v>4137</v>
      </c>
      <c r="F1559" s="225"/>
    </row>
    <row r="1560" customFormat="false" ht="14.25" hidden="false" customHeight="false" outlineLevel="0" collapsed="false">
      <c r="A1560" s="0" t="n">
        <v>31656172</v>
      </c>
      <c r="B1560" s="0" t="s">
        <v>5701</v>
      </c>
      <c r="C1560" s="0" t="n">
        <v>0.343757895200159</v>
      </c>
      <c r="D1560" s="0" t="n">
        <v>692873</v>
      </c>
      <c r="E1560" s="0" t="s">
        <v>4137</v>
      </c>
      <c r="F1560" s="225"/>
    </row>
    <row r="1561" customFormat="false" ht="14.25" hidden="false" customHeight="false" outlineLevel="0" collapsed="false">
      <c r="A1561" s="0" t="n">
        <v>1151966415</v>
      </c>
      <c r="B1561" s="0" t="s">
        <v>5702</v>
      </c>
      <c r="C1561" s="0" t="n">
        <v>0.187038647988446</v>
      </c>
      <c r="D1561" s="0" t="n">
        <v>1090920.66</v>
      </c>
      <c r="E1561" s="0" t="s">
        <v>4137</v>
      </c>
      <c r="F1561" s="225"/>
    </row>
    <row r="1562" customFormat="false" ht="14.25" hidden="false" customHeight="false" outlineLevel="0" collapsed="false">
      <c r="A1562" s="0" t="n">
        <v>1144101567</v>
      </c>
      <c r="B1562" s="0" t="s">
        <v>5703</v>
      </c>
      <c r="C1562" s="0" t="n">
        <v>0.13244096764652</v>
      </c>
      <c r="D1562" s="0" t="n">
        <v>1334796.98</v>
      </c>
      <c r="E1562" s="0" t="s">
        <v>4137</v>
      </c>
      <c r="F1562" s="225"/>
    </row>
    <row r="1563" customFormat="false" ht="14.25" hidden="false" customHeight="false" outlineLevel="0" collapsed="false">
      <c r="A1563" s="0" t="n">
        <v>1126601736</v>
      </c>
      <c r="B1563" s="0" t="s">
        <v>5704</v>
      </c>
      <c r="C1563" s="0" t="n">
        <v>0.417299441987109</v>
      </c>
      <c r="D1563" s="0" t="n">
        <v>8376.85999999987</v>
      </c>
      <c r="E1563" s="0" t="s">
        <v>4137</v>
      </c>
      <c r="F1563" s="225"/>
    </row>
    <row r="1564" customFormat="false" ht="14.25" hidden="false" customHeight="false" outlineLevel="0" collapsed="false">
      <c r="A1564" s="0" t="n">
        <v>1006207247</v>
      </c>
      <c r="B1564" s="0" t="s">
        <v>5705</v>
      </c>
      <c r="C1564" s="0" t="n">
        <v>0.135017053907136</v>
      </c>
      <c r="D1564" s="0" t="n">
        <v>597491.54</v>
      </c>
      <c r="E1564" s="0" t="s">
        <v>4137</v>
      </c>
      <c r="F1564" s="225"/>
    </row>
    <row r="1565" customFormat="false" ht="14.25" hidden="false" customHeight="false" outlineLevel="0" collapsed="false">
      <c r="A1565" s="0" t="n">
        <v>1143941664</v>
      </c>
      <c r="B1565" s="0" t="s">
        <v>5706</v>
      </c>
      <c r="C1565" s="0" t="n">
        <v>0.418978812635267</v>
      </c>
      <c r="D1565" s="0" t="n">
        <v>3134.2799999998</v>
      </c>
      <c r="E1565" s="0" t="s">
        <v>4137</v>
      </c>
      <c r="F1565" s="225"/>
    </row>
    <row r="1566" customFormat="false" ht="14.25" hidden="false" customHeight="false" outlineLevel="0" collapsed="false">
      <c r="A1566" s="0" t="n">
        <v>6098612</v>
      </c>
      <c r="B1566" s="0" t="s">
        <v>5707</v>
      </c>
      <c r="C1566" s="0" t="n">
        <v>0.401997895384615</v>
      </c>
      <c r="D1566" s="0" t="n">
        <v>69651</v>
      </c>
      <c r="E1566" s="0" t="s">
        <v>4137</v>
      </c>
      <c r="F1566" s="225"/>
    </row>
    <row r="1567" customFormat="false" ht="14.25" hidden="false" customHeight="false" outlineLevel="0" collapsed="false">
      <c r="A1567" s="0" t="n">
        <v>1005935480</v>
      </c>
      <c r="B1567" s="0" t="s">
        <v>5708</v>
      </c>
      <c r="C1567" s="0" t="n">
        <v>0.196976956383484</v>
      </c>
      <c r="D1567" s="0" t="n">
        <v>694811.64</v>
      </c>
      <c r="E1567" s="0" t="s">
        <v>4137</v>
      </c>
      <c r="F1567" s="225"/>
    </row>
    <row r="1568" customFormat="false" ht="14.25" hidden="false" customHeight="false" outlineLevel="0" collapsed="false">
      <c r="A1568" s="0" t="n">
        <v>1118289237</v>
      </c>
      <c r="B1568" s="0" t="s">
        <v>5709</v>
      </c>
      <c r="C1568" s="0" t="n">
        <v>0.0998301599038728</v>
      </c>
      <c r="D1568" s="0" t="n">
        <v>1385567</v>
      </c>
      <c r="E1568" s="0" t="s">
        <v>4137</v>
      </c>
      <c r="F1568" s="225"/>
    </row>
    <row r="1569" customFormat="false" ht="14.25" hidden="false" customHeight="false" outlineLevel="0" collapsed="false">
      <c r="A1569" s="0" t="n">
        <v>1107529610</v>
      </c>
      <c r="B1569" s="0" t="s">
        <v>5710</v>
      </c>
      <c r="C1569" s="0" t="n">
        <v>0.150543019254546</v>
      </c>
      <c r="D1569" s="0" t="n">
        <v>766560.56</v>
      </c>
      <c r="E1569" s="0" t="s">
        <v>4137</v>
      </c>
      <c r="F1569" s="225"/>
    </row>
    <row r="1570" customFormat="false" ht="14.25" hidden="false" customHeight="false" outlineLevel="0" collapsed="false">
      <c r="A1570" s="0" t="n">
        <v>1144051429</v>
      </c>
      <c r="B1570" s="0" t="s">
        <v>5711</v>
      </c>
      <c r="C1570" s="0" t="n">
        <v>0.352325701736343</v>
      </c>
      <c r="D1570" s="0" t="n">
        <v>138626.92</v>
      </c>
      <c r="E1570" s="0" t="s">
        <v>4137</v>
      </c>
      <c r="F1570" s="225"/>
    </row>
    <row r="1571" customFormat="false" ht="14.25" hidden="false" customHeight="false" outlineLevel="0" collapsed="false">
      <c r="A1571" s="0" t="n">
        <v>1144140986</v>
      </c>
      <c r="B1571" s="0" t="s">
        <v>5712</v>
      </c>
      <c r="C1571" s="0" t="n">
        <v>0.427338928538665</v>
      </c>
      <c r="D1571" s="0" t="n">
        <v>-16479.52</v>
      </c>
      <c r="E1571" s="0" t="s">
        <v>4137</v>
      </c>
      <c r="F1571" s="225"/>
    </row>
    <row r="1572" customFormat="false" ht="14.25" hidden="false" customHeight="false" outlineLevel="0" collapsed="false">
      <c r="A1572" s="0" t="n">
        <v>1143994538</v>
      </c>
      <c r="B1572" s="0" t="s">
        <v>5713</v>
      </c>
      <c r="C1572" s="0" t="n">
        <v>0.285388933976241</v>
      </c>
      <c r="D1572" s="0" t="n">
        <v>287332.66</v>
      </c>
      <c r="E1572" s="0" t="s">
        <v>4137</v>
      </c>
      <c r="F1572" s="225"/>
    </row>
    <row r="1573" customFormat="false" ht="14.25" hidden="false" customHeight="false" outlineLevel="0" collapsed="false">
      <c r="A1573" s="0" t="n">
        <v>1144076969</v>
      </c>
      <c r="B1573" s="0" t="s">
        <v>5714</v>
      </c>
      <c r="C1573" s="0" t="n">
        <v>0.122704035716903</v>
      </c>
      <c r="D1573" s="0" t="n">
        <v>2284904.8</v>
      </c>
      <c r="E1573" s="0" t="s">
        <v>4137</v>
      </c>
      <c r="F1573" s="225"/>
    </row>
    <row r="1574" customFormat="false" ht="14.25" hidden="false" customHeight="false" outlineLevel="0" collapsed="false">
      <c r="A1574" s="0" t="n">
        <v>1113658300</v>
      </c>
      <c r="B1574" s="0" t="s">
        <v>5715</v>
      </c>
      <c r="C1574" s="0" t="n">
        <v>0.358496632714015</v>
      </c>
      <c r="D1574" s="0" t="n">
        <v>233618.06</v>
      </c>
      <c r="E1574" s="0" t="s">
        <v>4137</v>
      </c>
      <c r="F1574" s="225"/>
    </row>
    <row r="1575" customFormat="false" ht="14.25" hidden="false" customHeight="false" outlineLevel="0" collapsed="false">
      <c r="A1575" s="0" t="n">
        <v>1143832224</v>
      </c>
      <c r="B1575" s="0" t="s">
        <v>5716</v>
      </c>
      <c r="C1575" s="0" t="n">
        <v>0.130196174482774</v>
      </c>
      <c r="D1575" s="0" t="n">
        <v>643663.86</v>
      </c>
      <c r="E1575" s="0" t="s">
        <v>4137</v>
      </c>
      <c r="F1575" s="225"/>
    </row>
    <row r="1576" customFormat="false" ht="14.25" hidden="false" customHeight="false" outlineLevel="0" collapsed="false">
      <c r="A1576" s="0" t="n">
        <v>1130654674</v>
      </c>
      <c r="B1576" s="0" t="s">
        <v>5717</v>
      </c>
      <c r="C1576" s="0" t="n">
        <v>0.370779712611345</v>
      </c>
      <c r="D1576" s="0" t="n">
        <v>100378.64</v>
      </c>
      <c r="E1576" s="0" t="s">
        <v>4137</v>
      </c>
      <c r="F1576" s="225"/>
    </row>
    <row r="1577" customFormat="false" ht="14.25" hidden="false" customHeight="false" outlineLevel="0" collapsed="false">
      <c r="A1577" s="0" t="n">
        <v>1144052717</v>
      </c>
      <c r="B1577" s="0" t="s">
        <v>5718</v>
      </c>
      <c r="C1577" s="0" t="n">
        <v>0.243048456135496</v>
      </c>
      <c r="D1577" s="0" t="n">
        <v>382353.18</v>
      </c>
      <c r="E1577" s="0" t="s">
        <v>4137</v>
      </c>
      <c r="F1577" s="225"/>
    </row>
    <row r="1578" customFormat="false" ht="14.25" hidden="false" customHeight="false" outlineLevel="0" collapsed="false">
      <c r="A1578" s="0" t="n">
        <v>1144062811</v>
      </c>
      <c r="B1578" s="0" t="s">
        <v>5719</v>
      </c>
      <c r="C1578" s="0" t="n">
        <v>0.147922375460322</v>
      </c>
      <c r="D1578" s="0" t="n">
        <v>2745147.78</v>
      </c>
      <c r="E1578" s="0" t="s">
        <v>4147</v>
      </c>
      <c r="F1578" s="225"/>
    </row>
    <row r="1579" customFormat="false" ht="14.25" hidden="false" customHeight="false" outlineLevel="0" collapsed="false">
      <c r="A1579" s="0" t="n">
        <v>1144024343</v>
      </c>
      <c r="B1579" s="0" t="s">
        <v>5720</v>
      </c>
      <c r="C1579" s="0" t="n">
        <v>0.455848761008698</v>
      </c>
      <c r="D1579" s="0" t="n">
        <v>-156036</v>
      </c>
      <c r="E1579" s="0" t="s">
        <v>4137</v>
      </c>
      <c r="F1579" s="225"/>
    </row>
    <row r="1580" customFormat="false" ht="14.25" hidden="false" customHeight="false" outlineLevel="0" collapsed="false">
      <c r="A1580" s="0" t="n">
        <v>1110363150</v>
      </c>
      <c r="B1580" s="0" t="s">
        <v>5721</v>
      </c>
      <c r="C1580" s="0" t="n">
        <v>0.116987819529673</v>
      </c>
      <c r="D1580" s="0" t="n">
        <v>987313.88</v>
      </c>
      <c r="E1580" s="0" t="s">
        <v>4137</v>
      </c>
      <c r="F1580" s="225"/>
    </row>
    <row r="1581" customFormat="false" ht="14.25" hidden="false" customHeight="false" outlineLevel="0" collapsed="false">
      <c r="A1581" s="0" t="n">
        <v>1130649272</v>
      </c>
      <c r="B1581" s="0" t="s">
        <v>5722</v>
      </c>
      <c r="C1581" s="0" t="n">
        <v>0.132795955246261</v>
      </c>
      <c r="D1581" s="0" t="n">
        <v>746989</v>
      </c>
      <c r="E1581" s="0" t="s">
        <v>4137</v>
      </c>
      <c r="F1581" s="225"/>
    </row>
    <row r="1582" customFormat="false" ht="14.25" hidden="false" customHeight="false" outlineLevel="0" collapsed="false">
      <c r="A1582" s="0" t="n">
        <v>1005830283</v>
      </c>
      <c r="B1582" s="0" t="s">
        <v>5723</v>
      </c>
      <c r="C1582" s="0" t="n">
        <v>0.23494920160187</v>
      </c>
      <c r="D1582" s="0" t="n">
        <v>691697.74</v>
      </c>
      <c r="E1582" s="0" t="s">
        <v>4137</v>
      </c>
      <c r="F1582" s="225"/>
    </row>
    <row r="1583" customFormat="false" ht="14.25" hidden="false" customHeight="false" outlineLevel="0" collapsed="false">
      <c r="A1583" s="0" t="n">
        <v>1143867339</v>
      </c>
      <c r="B1583" s="0" t="s">
        <v>5724</v>
      </c>
      <c r="C1583" s="0" t="n">
        <v>0.109184844091529</v>
      </c>
      <c r="D1583" s="0" t="n">
        <v>1092937.36</v>
      </c>
      <c r="E1583" s="0" t="s">
        <v>4137</v>
      </c>
      <c r="F1583" s="225"/>
    </row>
    <row r="1584" customFormat="false" ht="14.25" hidden="false" customHeight="false" outlineLevel="0" collapsed="false">
      <c r="A1584" s="0" t="n">
        <v>1144209482</v>
      </c>
      <c r="B1584" s="0" t="s">
        <v>5725</v>
      </c>
      <c r="C1584" s="0" t="n">
        <v>0.259493558339483</v>
      </c>
      <c r="D1584" s="0" t="n">
        <v>349011.52</v>
      </c>
      <c r="E1584" s="0" t="s">
        <v>4137</v>
      </c>
      <c r="F1584" s="225"/>
    </row>
    <row r="1585" customFormat="false" ht="14.25" hidden="false" customHeight="false" outlineLevel="0" collapsed="false">
      <c r="A1585" s="0" t="n">
        <v>94410958</v>
      </c>
      <c r="B1585" s="0" t="s">
        <v>5726</v>
      </c>
      <c r="C1585" s="0" t="n">
        <v>0.419903382851186</v>
      </c>
      <c r="D1585" s="0" t="n">
        <v>441.333333333372</v>
      </c>
      <c r="E1585" s="0" t="s">
        <v>4137</v>
      </c>
      <c r="F1585" s="225"/>
    </row>
    <row r="1586" customFormat="false" ht="14.25" hidden="false" customHeight="false" outlineLevel="0" collapsed="false">
      <c r="A1586" s="0" t="n">
        <v>1107074454</v>
      </c>
      <c r="B1586" s="0" t="s">
        <v>5727</v>
      </c>
      <c r="C1586" s="0" t="n">
        <v>0.404852335329341</v>
      </c>
      <c r="D1586" s="0" t="n">
        <v>60230</v>
      </c>
      <c r="E1586" s="0" t="s">
        <v>4137</v>
      </c>
      <c r="F1586" s="225"/>
    </row>
    <row r="1587" customFormat="false" ht="14.25" hidden="false" customHeight="false" outlineLevel="0" collapsed="false">
      <c r="A1587" s="0" t="n">
        <v>1006008209</v>
      </c>
      <c r="B1587" s="0" t="s">
        <v>5728</v>
      </c>
      <c r="C1587" s="0" t="n">
        <v>0.365708779607242</v>
      </c>
      <c r="D1587" s="0" t="n">
        <v>236309</v>
      </c>
      <c r="E1587" s="0" t="s">
        <v>4137</v>
      </c>
      <c r="F1587" s="225"/>
    </row>
    <row r="1588" customFormat="false" ht="14.25" hidden="false" customHeight="false" outlineLevel="0" collapsed="false">
      <c r="A1588" s="0" t="n">
        <v>1090396671</v>
      </c>
      <c r="B1588" s="0" t="s">
        <v>5729</v>
      </c>
      <c r="C1588" s="0" t="n">
        <v>0.264540502030629</v>
      </c>
      <c r="D1588" s="0" t="n">
        <v>853779.78</v>
      </c>
      <c r="E1588" s="0" t="s">
        <v>4137</v>
      </c>
      <c r="F1588" s="225"/>
    </row>
    <row r="1589" customFormat="false" ht="14.25" hidden="false" customHeight="false" outlineLevel="0" collapsed="false">
      <c r="A1589" s="0" t="n">
        <v>1193101208</v>
      </c>
      <c r="B1589" s="0" t="s">
        <v>5730</v>
      </c>
      <c r="C1589" s="0" t="n">
        <v>0.446662093942667</v>
      </c>
      <c r="D1589" s="0" t="n">
        <v>-113652</v>
      </c>
      <c r="E1589" s="0" t="s">
        <v>4137</v>
      </c>
      <c r="F1589" s="225"/>
    </row>
    <row r="1590" customFormat="false" ht="14.25" hidden="false" customHeight="false" outlineLevel="0" collapsed="false">
      <c r="A1590" s="0" t="n">
        <v>1006172329</v>
      </c>
      <c r="B1590" s="0" t="s">
        <v>5731</v>
      </c>
      <c r="C1590" s="0" t="n">
        <v>0.426699499414083</v>
      </c>
      <c r="D1590" s="0" t="n">
        <v>-18235.6600000002</v>
      </c>
      <c r="E1590" s="0" t="s">
        <v>4147</v>
      </c>
      <c r="F1590" s="225"/>
    </row>
    <row r="1591" customFormat="false" ht="14.25" hidden="false" customHeight="false" outlineLevel="0" collapsed="false">
      <c r="A1591" s="0" t="n">
        <v>1107526302</v>
      </c>
      <c r="B1591" s="0" t="s">
        <v>5732</v>
      </c>
      <c r="C1591" s="0" t="n">
        <v>0.153953026855388</v>
      </c>
      <c r="D1591" s="0" t="n">
        <v>1543667.68</v>
      </c>
      <c r="E1591" s="0" t="s">
        <v>4137</v>
      </c>
      <c r="F1591" s="225"/>
    </row>
    <row r="1592" customFormat="false" ht="14.25" hidden="false" customHeight="false" outlineLevel="0" collapsed="false">
      <c r="A1592" s="0" t="n">
        <v>1127218494</v>
      </c>
      <c r="B1592" s="0" t="s">
        <v>5733</v>
      </c>
      <c r="C1592" s="0" t="n">
        <v>0.514139006368766</v>
      </c>
      <c r="D1592" s="0" t="n">
        <v>-217803.3</v>
      </c>
      <c r="E1592" s="0" t="s">
        <v>4137</v>
      </c>
      <c r="F1592" s="225"/>
    </row>
    <row r="1593" customFormat="false" ht="14.25" hidden="false" customHeight="false" outlineLevel="0" collapsed="false">
      <c r="A1593" s="0" t="n">
        <v>1114733895</v>
      </c>
      <c r="B1593" s="0" t="s">
        <v>5734</v>
      </c>
      <c r="C1593" s="0" t="n">
        <v>0.14186111363968</v>
      </c>
      <c r="D1593" s="0" t="n">
        <v>962487.1</v>
      </c>
      <c r="E1593" s="0" t="s">
        <v>4147</v>
      </c>
      <c r="F1593" s="225"/>
    </row>
    <row r="1594" customFormat="false" ht="14.25" hidden="false" customHeight="false" outlineLevel="0" collapsed="false">
      <c r="A1594" s="0" t="n">
        <v>1143851108</v>
      </c>
      <c r="B1594" s="0" t="s">
        <v>5735</v>
      </c>
      <c r="C1594" s="0" t="n">
        <v>0.374578459750093</v>
      </c>
      <c r="D1594" s="0" t="n">
        <v>135874.48</v>
      </c>
      <c r="E1594" s="0" t="s">
        <v>4137</v>
      </c>
      <c r="F1594" s="225"/>
    </row>
    <row r="1595" customFormat="false" ht="14.25" hidden="false" customHeight="false" outlineLevel="0" collapsed="false">
      <c r="A1595" s="0" t="n">
        <v>1107530583</v>
      </c>
      <c r="B1595" s="0" t="s">
        <v>5736</v>
      </c>
      <c r="C1595" s="0" t="n">
        <v>0.390363644342624</v>
      </c>
      <c r="D1595" s="0" t="n">
        <v>145420.48</v>
      </c>
      <c r="E1595" s="0" t="s">
        <v>4147</v>
      </c>
      <c r="F1595" s="225"/>
    </row>
    <row r="1596" customFormat="false" ht="14.25" hidden="false" customHeight="false" outlineLevel="0" collapsed="false">
      <c r="A1596" s="0" t="n">
        <v>1144185524</v>
      </c>
      <c r="B1596" s="0" t="s">
        <v>5737</v>
      </c>
      <c r="C1596" s="0" t="n">
        <v>0.289732890399487</v>
      </c>
      <c r="D1596" s="0" t="n">
        <v>284807.02</v>
      </c>
      <c r="E1596" s="0" t="s">
        <v>4137</v>
      </c>
      <c r="F1596" s="225"/>
    </row>
    <row r="1597" customFormat="false" ht="14.25" hidden="false" customHeight="false" outlineLevel="0" collapsed="false">
      <c r="A1597" s="0" t="n">
        <v>1087800366</v>
      </c>
      <c r="B1597" s="0" t="s">
        <v>5738</v>
      </c>
      <c r="C1597" s="0" t="n">
        <v>0.346723219824927</v>
      </c>
      <c r="D1597" s="0" t="n">
        <v>330249.666666667</v>
      </c>
      <c r="E1597" s="0" t="s">
        <v>4137</v>
      </c>
      <c r="F1597" s="225"/>
    </row>
    <row r="1598" customFormat="false" ht="14.25" hidden="false" customHeight="false" outlineLevel="0" collapsed="false">
      <c r="A1598" s="0" t="n">
        <v>1143842328</v>
      </c>
      <c r="B1598" s="0" t="s">
        <v>5739</v>
      </c>
      <c r="C1598" s="0" t="n">
        <v>0.135733348372755</v>
      </c>
      <c r="D1598" s="0" t="n">
        <v>566202.98</v>
      </c>
      <c r="E1598" s="0" t="s">
        <v>4137</v>
      </c>
      <c r="F1598" s="225"/>
    </row>
    <row r="1599" customFormat="false" ht="14.25" hidden="false" customHeight="false" outlineLevel="0" collapsed="false">
      <c r="A1599" s="0" t="n">
        <v>1143993996</v>
      </c>
      <c r="B1599" s="0" t="s">
        <v>5740</v>
      </c>
      <c r="C1599" s="0" t="n">
        <v>0.388700307692308</v>
      </c>
      <c r="D1599" s="0" t="n">
        <v>121100</v>
      </c>
      <c r="E1599" s="0" t="s">
        <v>4147</v>
      </c>
      <c r="F1599" s="225"/>
    </row>
    <row r="1600" customFormat="false" ht="14.25" hidden="false" customHeight="false" outlineLevel="0" collapsed="false">
      <c r="A1600" s="0" t="n">
        <v>1112476291</v>
      </c>
      <c r="B1600" s="0" t="s">
        <v>5741</v>
      </c>
      <c r="C1600" s="0" t="n">
        <v>0.215310293521106</v>
      </c>
      <c r="D1600" s="0" t="n">
        <v>709130.84</v>
      </c>
      <c r="E1600" s="0" t="s">
        <v>4137</v>
      </c>
      <c r="F1600" s="225"/>
    </row>
    <row r="1601" customFormat="false" ht="14.25" hidden="false" customHeight="false" outlineLevel="0" collapsed="false">
      <c r="A1601" s="0" t="n">
        <v>1003864478</v>
      </c>
      <c r="B1601" s="0" t="s">
        <v>5742</v>
      </c>
      <c r="C1601" s="0" t="n">
        <v>0.411122113567521</v>
      </c>
      <c r="D1601" s="0" t="n">
        <v>33433</v>
      </c>
      <c r="E1601" s="0" t="s">
        <v>4137</v>
      </c>
      <c r="F1601" s="225"/>
    </row>
    <row r="1602" customFormat="false" ht="14.25" hidden="false" customHeight="false" outlineLevel="0" collapsed="false">
      <c r="A1602" s="0" t="n">
        <v>1114825987</v>
      </c>
      <c r="B1602" s="0" t="s">
        <v>5743</v>
      </c>
      <c r="C1602" s="0" t="n">
        <v>0.21233265127484</v>
      </c>
      <c r="D1602" s="0" t="n">
        <v>1109832.32</v>
      </c>
      <c r="E1602" s="0" t="s">
        <v>4137</v>
      </c>
      <c r="F1602" s="225"/>
    </row>
    <row r="1603" customFormat="false" ht="14.25" hidden="false" customHeight="false" outlineLevel="0" collapsed="false">
      <c r="A1603" s="0" t="n">
        <v>1143942944</v>
      </c>
      <c r="B1603" s="0" t="s">
        <v>5744</v>
      </c>
      <c r="C1603" s="0" t="n">
        <v>0.301147410199037</v>
      </c>
      <c r="D1603" s="0" t="n">
        <v>273076.78</v>
      </c>
      <c r="E1603" s="0" t="s">
        <v>4137</v>
      </c>
      <c r="F1603" s="225"/>
    </row>
    <row r="1604" customFormat="false" ht="14.25" hidden="false" customHeight="false" outlineLevel="0" collapsed="false">
      <c r="A1604" s="0" t="n">
        <v>1005866675</v>
      </c>
      <c r="B1604" s="0" t="s">
        <v>5745</v>
      </c>
      <c r="C1604" s="0" t="n">
        <v>0.336984487881157</v>
      </c>
      <c r="D1604" s="0" t="n">
        <v>379203</v>
      </c>
      <c r="E1604" s="0" t="s">
        <v>4137</v>
      </c>
      <c r="F1604" s="225"/>
    </row>
    <row r="1605" customFormat="false" ht="14.25" hidden="false" customHeight="false" outlineLevel="0" collapsed="false">
      <c r="A1605" s="0" t="n">
        <v>1118293988</v>
      </c>
      <c r="B1605" s="0" t="s">
        <v>5746</v>
      </c>
      <c r="C1605" s="0" t="n">
        <v>0.143802278353281</v>
      </c>
      <c r="D1605" s="0" t="n">
        <v>654722.28</v>
      </c>
      <c r="E1605" s="0" t="s">
        <v>4137</v>
      </c>
      <c r="F1605" s="225"/>
    </row>
    <row r="1606" customFormat="false" ht="14.25" hidden="false" customHeight="false" outlineLevel="0" collapsed="false">
      <c r="A1606" s="0" t="n">
        <v>1005967323</v>
      </c>
      <c r="B1606" s="0" t="s">
        <v>5747</v>
      </c>
      <c r="C1606" s="0" t="n">
        <v>0.396160100650949</v>
      </c>
      <c r="D1606" s="0" t="n">
        <v>103766</v>
      </c>
      <c r="E1606" s="0" t="s">
        <v>4137</v>
      </c>
      <c r="F1606" s="225"/>
    </row>
    <row r="1607" customFormat="false" ht="14.25" hidden="false" customHeight="false" outlineLevel="0" collapsed="false">
      <c r="A1607" s="0" t="n">
        <v>1006169153</v>
      </c>
      <c r="B1607" s="0" t="s">
        <v>5748</v>
      </c>
      <c r="C1607" s="0" t="n">
        <v>0.430128588516746</v>
      </c>
      <c r="D1607" s="0" t="n">
        <v>-23709</v>
      </c>
      <c r="E1607" s="0" t="s">
        <v>4147</v>
      </c>
      <c r="F1607" s="225"/>
    </row>
    <row r="1608" customFormat="false" ht="14.25" hidden="false" customHeight="false" outlineLevel="0" collapsed="false">
      <c r="A1608" s="0" t="n">
        <v>1006814476</v>
      </c>
      <c r="B1608" s="0" t="s">
        <v>5749</v>
      </c>
      <c r="C1608" s="0" t="n">
        <v>0.368049163408913</v>
      </c>
      <c r="D1608" s="0" t="n">
        <v>237304</v>
      </c>
      <c r="E1608" s="0" t="s">
        <v>4137</v>
      </c>
      <c r="F1608" s="225"/>
    </row>
    <row r="1609" customFormat="false" ht="14.25" hidden="false" customHeight="false" outlineLevel="0" collapsed="false">
      <c r="A1609" s="0" t="n">
        <v>1193236208</v>
      </c>
      <c r="B1609" s="0" t="s">
        <v>5750</v>
      </c>
      <c r="C1609" s="0" t="n">
        <v>0.378861779990154</v>
      </c>
      <c r="D1609" s="0" t="n">
        <v>179059</v>
      </c>
      <c r="E1609" s="0" t="s">
        <v>4137</v>
      </c>
      <c r="F1609" s="225"/>
    </row>
    <row r="1610" customFormat="false" ht="14.25" hidden="false" customHeight="false" outlineLevel="0" collapsed="false">
      <c r="A1610" s="0" t="n">
        <v>1114826443</v>
      </c>
      <c r="B1610" s="0" t="s">
        <v>5751</v>
      </c>
      <c r="C1610" s="0" t="n">
        <v>0.149974833613097</v>
      </c>
      <c r="D1610" s="0" t="n">
        <v>657724.24</v>
      </c>
      <c r="E1610" s="0" t="s">
        <v>4147</v>
      </c>
      <c r="F1610" s="225"/>
    </row>
    <row r="1611" customFormat="false" ht="14.25" hidden="false" customHeight="false" outlineLevel="0" collapsed="false">
      <c r="A1611" s="0" t="n">
        <v>1144085140</v>
      </c>
      <c r="B1611" s="0" t="s">
        <v>5752</v>
      </c>
      <c r="C1611" s="0" t="n">
        <v>0.158988283272876</v>
      </c>
      <c r="D1611" s="0" t="n">
        <v>855831.84</v>
      </c>
      <c r="E1611" s="0" t="s">
        <v>4137</v>
      </c>
      <c r="F1611" s="225"/>
    </row>
    <row r="1612" customFormat="false" ht="14.25" hidden="false" customHeight="false" outlineLevel="0" collapsed="false">
      <c r="A1612" s="0" t="n">
        <v>1065664139</v>
      </c>
      <c r="B1612" s="0" t="s">
        <v>5753</v>
      </c>
      <c r="C1612" s="0" t="n">
        <v>0.174211095921622</v>
      </c>
      <c r="D1612" s="0" t="n">
        <v>690411.2</v>
      </c>
      <c r="E1612" s="0" t="s">
        <v>4137</v>
      </c>
      <c r="F1612" s="225"/>
    </row>
    <row r="1613" customFormat="false" ht="14.25" hidden="false" customHeight="false" outlineLevel="0" collapsed="false">
      <c r="A1613" s="0" t="n">
        <v>1143935173</v>
      </c>
      <c r="B1613" s="0" t="s">
        <v>5754</v>
      </c>
      <c r="C1613" s="0" t="n">
        <v>0.391919541878607</v>
      </c>
      <c r="D1613" s="0" t="n">
        <v>127248</v>
      </c>
      <c r="E1613" s="0" t="s">
        <v>4147</v>
      </c>
      <c r="F1613" s="225"/>
    </row>
    <row r="1614" customFormat="false" ht="14.25" hidden="false" customHeight="false" outlineLevel="0" collapsed="false">
      <c r="A1614" s="0" t="n">
        <v>1005877422</v>
      </c>
      <c r="B1614" s="0" t="s">
        <v>5755</v>
      </c>
      <c r="C1614" s="0" t="s">
        <v>4266</v>
      </c>
      <c r="D1614" s="0" t="n">
        <v>0</v>
      </c>
      <c r="E1614" s="0" t="s">
        <v>4137</v>
      </c>
      <c r="F1614" s="225"/>
    </row>
    <row r="1615" customFormat="false" ht="14.25" hidden="false" customHeight="false" outlineLevel="0" collapsed="false">
      <c r="A1615" s="0" t="n">
        <v>1143938057</v>
      </c>
      <c r="B1615" s="0" t="s">
        <v>5756</v>
      </c>
      <c r="C1615" s="0" t="n">
        <v>0.418140346169328</v>
      </c>
      <c r="D1615" s="0" t="n">
        <v>8217</v>
      </c>
      <c r="E1615" s="0" t="s">
        <v>4137</v>
      </c>
      <c r="F1615" s="225"/>
    </row>
    <row r="1616" customFormat="false" ht="14.25" hidden="false" customHeight="false" outlineLevel="0" collapsed="false">
      <c r="A1616" s="0" t="n">
        <v>1144076114</v>
      </c>
      <c r="B1616" s="0" t="s">
        <v>5757</v>
      </c>
      <c r="C1616" s="0" t="n">
        <v>0.258810614689254</v>
      </c>
      <c r="D1616" s="0" t="n">
        <v>469140.9</v>
      </c>
      <c r="E1616" s="0" t="s">
        <v>4147</v>
      </c>
      <c r="F1616" s="225"/>
    </row>
    <row r="1617" customFormat="false" ht="14.25" hidden="false" customHeight="false" outlineLevel="0" collapsed="false">
      <c r="A1617" s="0" t="n">
        <v>1107510274</v>
      </c>
      <c r="B1617" s="0" t="s">
        <v>5758</v>
      </c>
      <c r="C1617" s="0" t="n">
        <v>0.348524569238584</v>
      </c>
      <c r="D1617" s="0" t="n">
        <v>325308</v>
      </c>
      <c r="E1617" s="0" t="s">
        <v>4137</v>
      </c>
      <c r="F1617" s="225"/>
    </row>
    <row r="1618" customFormat="false" ht="14.25" hidden="false" customHeight="false" outlineLevel="0" collapsed="false">
      <c r="A1618" s="0" t="n">
        <v>94071991</v>
      </c>
      <c r="B1618" s="0" t="s">
        <v>5759</v>
      </c>
      <c r="C1618" s="0" t="n">
        <v>0.144356918384324</v>
      </c>
      <c r="D1618" s="0" t="n">
        <v>1192873</v>
      </c>
      <c r="E1618" s="0" t="s">
        <v>4137</v>
      </c>
      <c r="F1618" s="225"/>
    </row>
    <row r="1619" customFormat="false" ht="14.25" hidden="false" customHeight="false" outlineLevel="0" collapsed="false">
      <c r="A1619" s="0" t="n">
        <v>1143993556</v>
      </c>
      <c r="B1619" s="0" t="s">
        <v>5760</v>
      </c>
      <c r="C1619" s="0" t="n">
        <v>0.249207635662262</v>
      </c>
      <c r="D1619" s="0" t="n">
        <v>588086.16</v>
      </c>
      <c r="E1619" s="0" t="s">
        <v>4137</v>
      </c>
      <c r="F1619" s="225"/>
    </row>
    <row r="1620" customFormat="false" ht="14.25" hidden="false" customHeight="false" outlineLevel="0" collapsed="false">
      <c r="A1620" s="0" t="n">
        <v>1143831754</v>
      </c>
      <c r="B1620" s="0" t="s">
        <v>5761</v>
      </c>
      <c r="C1620" s="0" t="n">
        <v>0.400826547692308</v>
      </c>
      <c r="D1620" s="0" t="n">
        <v>74183</v>
      </c>
      <c r="E1620" s="0" t="s">
        <v>4137</v>
      </c>
      <c r="F1620" s="225"/>
    </row>
    <row r="1621" customFormat="false" ht="14.25" hidden="false" customHeight="false" outlineLevel="0" collapsed="false">
      <c r="A1621" s="0" t="n">
        <v>1005965608</v>
      </c>
      <c r="B1621" s="0" t="s">
        <v>5762</v>
      </c>
      <c r="C1621" s="0" t="n">
        <v>0.162259184217435</v>
      </c>
      <c r="D1621" s="0" t="n">
        <v>514431.08</v>
      </c>
      <c r="E1621" s="0" t="s">
        <v>4137</v>
      </c>
      <c r="F1621" s="225"/>
    </row>
    <row r="1622" customFormat="false" ht="14.25" hidden="false" customHeight="false" outlineLevel="0" collapsed="false">
      <c r="A1622" s="0" t="n">
        <v>1062312939</v>
      </c>
      <c r="B1622" s="0" t="s">
        <v>5763</v>
      </c>
      <c r="C1622" s="0" t="n">
        <v>0.144439996850928</v>
      </c>
      <c r="D1622" s="0" t="n">
        <v>2154959.78</v>
      </c>
      <c r="E1622" s="0" t="s">
        <v>4137</v>
      </c>
      <c r="F1622" s="225"/>
    </row>
    <row r="1623" customFormat="false" ht="14.25" hidden="false" customHeight="false" outlineLevel="0" collapsed="false">
      <c r="A1623" s="0" t="n">
        <v>1130661546</v>
      </c>
      <c r="B1623" s="0" t="s">
        <v>5764</v>
      </c>
      <c r="C1623" s="0" t="n">
        <v>0.228635252443332</v>
      </c>
      <c r="D1623" s="0" t="n">
        <v>505974.58</v>
      </c>
      <c r="E1623" s="0" t="s">
        <v>4137</v>
      </c>
      <c r="F1623" s="225"/>
    </row>
    <row r="1624" customFormat="false" ht="14.25" hidden="false" customHeight="false" outlineLevel="0" collapsed="false">
      <c r="A1624" s="0" t="n">
        <v>1143117018</v>
      </c>
      <c r="B1624" s="0" t="s">
        <v>5765</v>
      </c>
      <c r="C1624" s="0" t="n">
        <v>0.367927685251091</v>
      </c>
      <c r="D1624" s="0" t="n">
        <v>325844.28</v>
      </c>
      <c r="E1624" s="0" t="s">
        <v>4137</v>
      </c>
      <c r="F1624" s="225"/>
    </row>
    <row r="1625" customFormat="false" ht="14.25" hidden="false" customHeight="false" outlineLevel="0" collapsed="false">
      <c r="A1625" s="0" t="n">
        <v>1151963609</v>
      </c>
      <c r="B1625" s="0" t="s">
        <v>5766</v>
      </c>
      <c r="C1625" s="0" t="n">
        <v>0.121839905492501</v>
      </c>
      <c r="D1625" s="0" t="n">
        <v>897248.7</v>
      </c>
      <c r="E1625" s="0" t="s">
        <v>4137</v>
      </c>
      <c r="F1625" s="225"/>
    </row>
    <row r="1626" customFormat="false" ht="14.25" hidden="false" customHeight="false" outlineLevel="0" collapsed="false">
      <c r="A1626" s="0" t="n">
        <v>31446403</v>
      </c>
      <c r="B1626" s="0" t="s">
        <v>5767</v>
      </c>
      <c r="C1626" s="0" t="n">
        <v>0.355199759843454</v>
      </c>
      <c r="D1626" s="0" t="n">
        <v>291411</v>
      </c>
      <c r="E1626" s="0" t="s">
        <v>4137</v>
      </c>
      <c r="F1626" s="225"/>
    </row>
    <row r="1627" customFormat="false" ht="14.25" hidden="false" customHeight="false" outlineLevel="0" collapsed="false">
      <c r="A1627" s="0" t="n">
        <v>1130643922</v>
      </c>
      <c r="B1627" s="0" t="s">
        <v>5768</v>
      </c>
      <c r="C1627" s="0" t="n">
        <v>0.364117553744325</v>
      </c>
      <c r="D1627" s="0" t="n">
        <v>243235</v>
      </c>
      <c r="E1627" s="0" t="s">
        <v>4137</v>
      </c>
      <c r="F1627" s="225"/>
    </row>
    <row r="1628" customFormat="false" ht="14.25" hidden="false" customHeight="false" outlineLevel="0" collapsed="false">
      <c r="A1628" s="0" t="n">
        <v>1143949801</v>
      </c>
      <c r="B1628" s="0" t="s">
        <v>5769</v>
      </c>
      <c r="C1628" s="0" t="n">
        <v>0.407095126087194</v>
      </c>
      <c r="D1628" s="0" t="n">
        <v>56170</v>
      </c>
      <c r="E1628" s="0" t="s">
        <v>4137</v>
      </c>
      <c r="F1628" s="225"/>
    </row>
    <row r="1629" customFormat="false" ht="14.25" hidden="false" customHeight="false" outlineLevel="0" collapsed="false">
      <c r="A1629" s="0" t="n">
        <v>1010048219</v>
      </c>
      <c r="B1629" s="0" t="s">
        <v>5770</v>
      </c>
      <c r="C1629" s="0" t="n">
        <v>0.400120723990094</v>
      </c>
      <c r="D1629" s="0" t="n">
        <v>90959</v>
      </c>
      <c r="E1629" s="0" t="s">
        <v>4137</v>
      </c>
      <c r="F1629" s="225"/>
    </row>
    <row r="1630" customFormat="false" ht="14.25" hidden="false" customHeight="false" outlineLevel="0" collapsed="false">
      <c r="A1630" s="0" t="n">
        <v>1005828550</v>
      </c>
      <c r="B1630" s="0" t="s">
        <v>5771</v>
      </c>
      <c r="C1630" s="0" t="n">
        <v>0.123452242321463</v>
      </c>
      <c r="D1630" s="0" t="n">
        <v>925507.66</v>
      </c>
      <c r="E1630" s="0" t="s">
        <v>4137</v>
      </c>
      <c r="F1630" s="225"/>
    </row>
    <row r="1631" customFormat="false" ht="14.25" hidden="false" customHeight="false" outlineLevel="0" collapsed="false">
      <c r="A1631" s="0" t="n">
        <v>66997808</v>
      </c>
      <c r="B1631" s="0" t="s">
        <v>5772</v>
      </c>
      <c r="C1631" s="0" t="n">
        <v>0.147758753493695</v>
      </c>
      <c r="D1631" s="0" t="n">
        <v>2474074</v>
      </c>
      <c r="E1631" s="0" t="s">
        <v>4137</v>
      </c>
      <c r="F1631" s="225"/>
    </row>
    <row r="1632" customFormat="false" ht="14.25" hidden="false" customHeight="false" outlineLevel="0" collapsed="false">
      <c r="A1632" s="0" t="n">
        <v>1127939089</v>
      </c>
      <c r="B1632" s="0" t="s">
        <v>5773</v>
      </c>
      <c r="C1632" s="0" t="n">
        <v>0.107412023923253</v>
      </c>
      <c r="D1632" s="0" t="n">
        <v>1397935.42</v>
      </c>
      <c r="E1632" s="0" t="s">
        <v>4147</v>
      </c>
      <c r="F1632" s="225"/>
    </row>
    <row r="1633" customFormat="false" ht="14.25" hidden="false" customHeight="false" outlineLevel="0" collapsed="false">
      <c r="A1633" s="0" t="n">
        <v>1107075404</v>
      </c>
      <c r="B1633" s="0" t="s">
        <v>5774</v>
      </c>
      <c r="C1633" s="0" t="n">
        <v>0.222927755130293</v>
      </c>
      <c r="D1633" s="0" t="n">
        <v>432765.92</v>
      </c>
      <c r="E1633" s="0" t="s">
        <v>4137</v>
      </c>
      <c r="F1633" s="225"/>
    </row>
    <row r="1634" customFormat="false" ht="14.25" hidden="false" customHeight="false" outlineLevel="0" collapsed="false">
      <c r="A1634" s="0" t="n">
        <v>1144077600</v>
      </c>
      <c r="B1634" s="0" t="s">
        <v>5775</v>
      </c>
      <c r="C1634" s="0" t="n">
        <v>0.3526952354904</v>
      </c>
      <c r="D1634" s="0" t="n">
        <v>292952</v>
      </c>
      <c r="E1634" s="0" t="s">
        <v>4137</v>
      </c>
      <c r="F1634" s="225"/>
    </row>
    <row r="1635" customFormat="false" ht="14.25" hidden="false" customHeight="false" outlineLevel="0" collapsed="false">
      <c r="A1635" s="0" t="n">
        <v>1143941511</v>
      </c>
      <c r="B1635" s="0" t="s">
        <v>5776</v>
      </c>
      <c r="C1635" s="0" t="s">
        <v>4266</v>
      </c>
      <c r="D1635" s="0" t="n">
        <v>0</v>
      </c>
      <c r="E1635" s="0" t="s">
        <v>4137</v>
      </c>
      <c r="F1635" s="225"/>
    </row>
    <row r="1636" customFormat="false" ht="14.25" hidden="false" customHeight="false" outlineLevel="0" collapsed="false">
      <c r="A1636" s="0" t="n">
        <v>1193226482</v>
      </c>
      <c r="B1636" s="0" t="s">
        <v>5777</v>
      </c>
      <c r="C1636" s="0" t="n">
        <v>0.243897661043929</v>
      </c>
      <c r="D1636" s="0" t="n">
        <v>685901</v>
      </c>
      <c r="E1636" s="0" t="s">
        <v>4147</v>
      </c>
      <c r="F1636" s="225"/>
    </row>
    <row r="1637" customFormat="false" ht="14.25" hidden="false" customHeight="false" outlineLevel="0" collapsed="false">
      <c r="A1637" s="0" t="n">
        <v>1107530279</v>
      </c>
      <c r="B1637" s="0" t="s">
        <v>5778</v>
      </c>
      <c r="C1637" s="0" t="n">
        <v>0.355986983680004</v>
      </c>
      <c r="D1637" s="0" t="n">
        <v>216833.68</v>
      </c>
      <c r="E1637" s="0" t="s">
        <v>4137</v>
      </c>
      <c r="F1637" s="225"/>
    </row>
    <row r="1638" customFormat="false" ht="14.25" hidden="false" customHeight="false" outlineLevel="0" collapsed="false">
      <c r="A1638" s="0" t="n">
        <v>1151939688</v>
      </c>
      <c r="B1638" s="0" t="s">
        <v>5779</v>
      </c>
      <c r="C1638" s="0" t="n">
        <v>0.122763892852774</v>
      </c>
      <c r="D1638" s="0" t="n">
        <v>729031</v>
      </c>
      <c r="E1638" s="0" t="s">
        <v>4137</v>
      </c>
      <c r="F1638" s="225"/>
    </row>
    <row r="1639" customFormat="false" ht="14.25" hidden="false" customHeight="false" outlineLevel="0" collapsed="false">
      <c r="A1639" s="0" t="n">
        <v>1006099186</v>
      </c>
      <c r="B1639" s="0" t="s">
        <v>5780</v>
      </c>
      <c r="C1639" s="0" t="n">
        <v>0.131119902330719</v>
      </c>
      <c r="D1639" s="0" t="n">
        <v>834791.84</v>
      </c>
      <c r="E1639" s="0" t="s">
        <v>4147</v>
      </c>
      <c r="F1639" s="225"/>
    </row>
    <row r="1640" customFormat="false" ht="14.25" hidden="false" customHeight="false" outlineLevel="0" collapsed="false">
      <c r="A1640" s="0" t="n">
        <v>25273899</v>
      </c>
      <c r="B1640" s="0" t="s">
        <v>5781</v>
      </c>
      <c r="C1640" s="0" t="n">
        <v>0.23333950335053</v>
      </c>
      <c r="D1640" s="0" t="n">
        <v>1061874.42</v>
      </c>
      <c r="E1640" s="0" t="s">
        <v>4137</v>
      </c>
      <c r="F1640" s="225"/>
    </row>
    <row r="1641" customFormat="false" ht="14.25" hidden="false" customHeight="false" outlineLevel="0" collapsed="false">
      <c r="A1641" s="0" t="n">
        <v>1010113787</v>
      </c>
      <c r="B1641" s="0" t="s">
        <v>5782</v>
      </c>
      <c r="C1641" s="0" t="n">
        <v>0.231851146542432</v>
      </c>
      <c r="D1641" s="0" t="n">
        <v>389075.46</v>
      </c>
      <c r="E1641" s="0" t="s">
        <v>4147</v>
      </c>
      <c r="F1641" s="225"/>
    </row>
    <row r="1642" customFormat="false" ht="14.25" hidden="false" customHeight="false" outlineLevel="0" collapsed="false">
      <c r="A1642" s="0" t="n">
        <v>1144171743</v>
      </c>
      <c r="B1642" s="0" t="s">
        <v>5783</v>
      </c>
      <c r="C1642" s="0" t="n">
        <v>0.129218208426404</v>
      </c>
      <c r="D1642" s="0" t="n">
        <v>1132566</v>
      </c>
      <c r="E1642" s="0" t="s">
        <v>4137</v>
      </c>
      <c r="F1642" s="225"/>
    </row>
    <row r="1643" customFormat="false" ht="14.25" hidden="false" customHeight="false" outlineLevel="0" collapsed="false">
      <c r="A1643" s="0" t="n">
        <v>1143944606</v>
      </c>
      <c r="B1643" s="0" t="s">
        <v>5784</v>
      </c>
      <c r="C1643" s="0" t="n">
        <v>0.132607068685496</v>
      </c>
      <c r="D1643" s="0" t="n">
        <v>711053.7</v>
      </c>
      <c r="E1643" s="0" t="s">
        <v>4137</v>
      </c>
      <c r="F1643" s="225"/>
    </row>
    <row r="1644" customFormat="false" ht="14.25" hidden="false" customHeight="false" outlineLevel="0" collapsed="false">
      <c r="A1644" s="0" t="n">
        <v>1144133482</v>
      </c>
      <c r="B1644" s="0" t="s">
        <v>5785</v>
      </c>
      <c r="C1644" s="0" t="n">
        <v>0.356756698211258</v>
      </c>
      <c r="D1644" s="0" t="n">
        <v>275274</v>
      </c>
      <c r="E1644" s="0" t="s">
        <v>4137</v>
      </c>
      <c r="F1644" s="225"/>
    </row>
    <row r="1645" customFormat="false" ht="14.25" hidden="false" customHeight="false" outlineLevel="0" collapsed="false">
      <c r="A1645" s="0" t="n">
        <v>1060804184</v>
      </c>
      <c r="B1645" s="0" t="s">
        <v>5786</v>
      </c>
      <c r="C1645" s="0" t="n">
        <v>0.503996977656244</v>
      </c>
      <c r="D1645" s="0" t="n">
        <v>-361296</v>
      </c>
      <c r="E1645" s="0" t="s">
        <v>4137</v>
      </c>
      <c r="F1645" s="225"/>
    </row>
    <row r="1646" customFormat="false" ht="14.25" hidden="false" customHeight="false" outlineLevel="0" collapsed="false">
      <c r="A1646" s="0" t="n">
        <v>1151953406</v>
      </c>
      <c r="B1646" s="0" t="s">
        <v>5787</v>
      </c>
      <c r="C1646" s="0" t="n">
        <v>0.400344516923077</v>
      </c>
      <c r="D1646" s="0" t="n">
        <v>76048</v>
      </c>
      <c r="E1646" s="0" t="s">
        <v>4137</v>
      </c>
      <c r="F1646" s="225"/>
    </row>
    <row r="1647" customFormat="false" ht="14.25" hidden="false" customHeight="false" outlineLevel="0" collapsed="false">
      <c r="A1647" s="0" t="n">
        <v>1107039601</v>
      </c>
      <c r="B1647" s="0" t="s">
        <v>5788</v>
      </c>
      <c r="C1647" s="0" t="n">
        <v>0.408527596958591</v>
      </c>
      <c r="D1647" s="0" t="n">
        <v>49935</v>
      </c>
      <c r="E1647" s="0" t="s">
        <v>4137</v>
      </c>
      <c r="F1647" s="225"/>
    </row>
    <row r="1648" customFormat="false" ht="14.25" hidden="false" customHeight="false" outlineLevel="0" collapsed="false">
      <c r="A1648" s="0" t="n">
        <v>94371756</v>
      </c>
      <c r="B1648" s="0" t="s">
        <v>5789</v>
      </c>
      <c r="C1648" s="0" t="n">
        <v>0.125190460066873</v>
      </c>
      <c r="D1648" s="0" t="n">
        <v>612960.92</v>
      </c>
      <c r="E1648" s="0" t="s">
        <v>4137</v>
      </c>
      <c r="F1648" s="225"/>
    </row>
    <row r="1649" customFormat="false" ht="14.25" hidden="false" customHeight="false" outlineLevel="0" collapsed="false">
      <c r="A1649" s="0" t="n">
        <v>66995724</v>
      </c>
      <c r="B1649" s="0" t="s">
        <v>5790</v>
      </c>
      <c r="C1649" s="0" t="n">
        <v>0.407988258461538</v>
      </c>
      <c r="D1649" s="0" t="n">
        <v>46474</v>
      </c>
      <c r="E1649" s="0" t="s">
        <v>4137</v>
      </c>
      <c r="F1649" s="225"/>
    </row>
    <row r="1650" customFormat="false" ht="14.25" hidden="false" customHeight="false" outlineLevel="0" collapsed="false">
      <c r="A1650" s="0" t="n">
        <v>1144179372</v>
      </c>
      <c r="B1650" s="0" t="s">
        <v>5791</v>
      </c>
      <c r="C1650" s="0" t="n">
        <v>0.396045009230769</v>
      </c>
      <c r="D1650" s="0" t="n">
        <v>92683</v>
      </c>
      <c r="E1650" s="0" t="s">
        <v>4137</v>
      </c>
      <c r="F1650" s="225"/>
    </row>
    <row r="1651" customFormat="false" ht="14.25" hidden="false" customHeight="false" outlineLevel="0" collapsed="false">
      <c r="A1651" s="0" t="n">
        <v>5100634</v>
      </c>
      <c r="B1651" s="0" t="s">
        <v>5792</v>
      </c>
      <c r="C1651" s="0" t="n">
        <v>0.131460146979415</v>
      </c>
      <c r="D1651" s="0" t="n">
        <v>584227.8</v>
      </c>
      <c r="E1651" s="0" t="s">
        <v>4147</v>
      </c>
      <c r="F1651" s="225"/>
    </row>
    <row r="1652" customFormat="false" ht="14.25" hidden="false" customHeight="false" outlineLevel="0" collapsed="false">
      <c r="A1652" s="0" t="n">
        <v>1112477211</v>
      </c>
      <c r="B1652" s="0" t="s">
        <v>5793</v>
      </c>
      <c r="C1652" s="0" t="n">
        <v>0.455684233846154</v>
      </c>
      <c r="D1652" s="0" t="n">
        <v>-138064</v>
      </c>
      <c r="E1652" s="0" t="s">
        <v>4137</v>
      </c>
      <c r="F1652" s="225"/>
    </row>
    <row r="1653" customFormat="false" ht="14.25" hidden="false" customHeight="false" outlineLevel="0" collapsed="false">
      <c r="A1653" s="0" t="n">
        <v>1144175317</v>
      </c>
      <c r="B1653" s="0" t="s">
        <v>5794</v>
      </c>
      <c r="C1653" s="0" t="n">
        <v>0.367026231856178</v>
      </c>
      <c r="D1653" s="0" t="n">
        <v>234068</v>
      </c>
      <c r="E1653" s="0" t="s">
        <v>4137</v>
      </c>
      <c r="F1653" s="225"/>
    </row>
    <row r="1654" customFormat="false" ht="14.25" hidden="false" customHeight="false" outlineLevel="0" collapsed="false">
      <c r="A1654" s="0" t="n">
        <v>1107839628</v>
      </c>
      <c r="B1654" s="0" t="s">
        <v>5795</v>
      </c>
      <c r="C1654" s="0" t="n">
        <v>0.202412827048849</v>
      </c>
      <c r="D1654" s="0" t="n">
        <v>535406.82</v>
      </c>
      <c r="E1654" s="0" t="s">
        <v>4147</v>
      </c>
      <c r="F1654" s="225"/>
    </row>
    <row r="1655" customFormat="false" ht="14.25" hidden="false" customHeight="false" outlineLevel="0" collapsed="false">
      <c r="A1655" s="0" t="n">
        <v>16945354</v>
      </c>
      <c r="B1655" s="0" t="s">
        <v>5796</v>
      </c>
      <c r="C1655" s="0" t="n">
        <v>0.433984836923077</v>
      </c>
      <c r="D1655" s="0" t="n">
        <v>-54108</v>
      </c>
      <c r="E1655" s="0" t="s">
        <v>4137</v>
      </c>
      <c r="F1655" s="225"/>
    </row>
    <row r="1656" customFormat="false" ht="14.25" hidden="false" customHeight="false" outlineLevel="0" collapsed="false">
      <c r="A1656" s="0" t="n">
        <v>1193471979</v>
      </c>
      <c r="B1656" s="0" t="s">
        <v>5797</v>
      </c>
      <c r="C1656" s="0" t="n">
        <v>0.109040745364618</v>
      </c>
      <c r="D1656" s="0" t="n">
        <v>1887504.64</v>
      </c>
      <c r="E1656" s="0" t="s">
        <v>4137</v>
      </c>
      <c r="F1656" s="225"/>
    </row>
    <row r="1657" customFormat="false" ht="14.25" hidden="false" customHeight="false" outlineLevel="0" collapsed="false">
      <c r="A1657" s="0" t="n">
        <v>1144151651</v>
      </c>
      <c r="B1657" s="0" t="s">
        <v>5798</v>
      </c>
      <c r="C1657" s="0" t="n">
        <v>0.357225650825475</v>
      </c>
      <c r="D1657" s="0" t="n">
        <v>200382</v>
      </c>
      <c r="E1657" s="0" t="s">
        <v>4137</v>
      </c>
      <c r="F1657" s="225"/>
    </row>
    <row r="1658" customFormat="false" ht="14.25" hidden="false" customHeight="false" outlineLevel="0" collapsed="false">
      <c r="A1658" s="0" t="n">
        <v>1112481386</v>
      </c>
      <c r="B1658" s="0" t="s">
        <v>5799</v>
      </c>
      <c r="C1658" s="0" t="n">
        <v>0.131326075259017</v>
      </c>
      <c r="D1658" s="0" t="n">
        <v>636090.78</v>
      </c>
      <c r="E1658" s="0" t="s">
        <v>4137</v>
      </c>
      <c r="F1658" s="225"/>
    </row>
    <row r="1659" customFormat="false" ht="14.25" hidden="false" customHeight="false" outlineLevel="0" collapsed="false">
      <c r="A1659" s="0" t="n">
        <v>1065814814</v>
      </c>
      <c r="B1659" s="0" t="s">
        <v>5800</v>
      </c>
      <c r="C1659" s="0" t="n">
        <v>0.11168844157143</v>
      </c>
      <c r="D1659" s="0" t="n">
        <v>1424256.96</v>
      </c>
      <c r="E1659" s="0" t="s">
        <v>4137</v>
      </c>
      <c r="F1659" s="225"/>
    </row>
    <row r="1660" customFormat="false" ht="14.25" hidden="false" customHeight="false" outlineLevel="0" collapsed="false">
      <c r="A1660" s="0" t="n">
        <v>1143962597</v>
      </c>
      <c r="B1660" s="0" t="s">
        <v>5801</v>
      </c>
      <c r="C1660" s="0" t="n">
        <v>0.153044924406048</v>
      </c>
      <c r="D1660" s="0" t="n">
        <v>618001</v>
      </c>
      <c r="E1660" s="0" t="s">
        <v>4137</v>
      </c>
      <c r="F1660" s="225"/>
    </row>
    <row r="1661" customFormat="false" ht="14.25" hidden="false" customHeight="false" outlineLevel="0" collapsed="false">
      <c r="A1661" s="0" t="n">
        <v>1107519632</v>
      </c>
      <c r="B1661" s="0" t="s">
        <v>5802</v>
      </c>
      <c r="C1661" s="0" t="n">
        <v>0.359028348802829</v>
      </c>
      <c r="D1661" s="0" t="n">
        <v>278980</v>
      </c>
      <c r="E1661" s="0" t="s">
        <v>4137</v>
      </c>
      <c r="F1661" s="225"/>
    </row>
    <row r="1662" customFormat="false" ht="14.25" hidden="false" customHeight="false" outlineLevel="0" collapsed="false">
      <c r="A1662" s="0" t="n">
        <v>1085336173</v>
      </c>
      <c r="B1662" s="0" t="s">
        <v>5803</v>
      </c>
      <c r="C1662" s="0" t="n">
        <v>0.170251622513033</v>
      </c>
      <c r="D1662" s="0" t="n">
        <v>938954</v>
      </c>
      <c r="E1662" s="0" t="s">
        <v>4137</v>
      </c>
      <c r="F1662" s="225"/>
    </row>
    <row r="1663" customFormat="false" ht="14.25" hidden="false" customHeight="false" outlineLevel="0" collapsed="false">
      <c r="A1663" s="0" t="n">
        <v>1107093208</v>
      </c>
      <c r="B1663" s="0" t="s">
        <v>5804</v>
      </c>
      <c r="C1663" s="0" t="n">
        <v>0.11218621045392</v>
      </c>
      <c r="D1663" s="0" t="n">
        <v>1074147</v>
      </c>
      <c r="E1663" s="0" t="s">
        <v>4137</v>
      </c>
      <c r="F1663" s="225"/>
    </row>
    <row r="1664" customFormat="false" ht="14.25" hidden="false" customHeight="false" outlineLevel="0" collapsed="false">
      <c r="A1664" s="0" t="n">
        <v>1144128860</v>
      </c>
      <c r="B1664" s="0" t="s">
        <v>5805</v>
      </c>
      <c r="C1664" s="0" t="n">
        <v>0.208599509780362</v>
      </c>
      <c r="D1664" s="0" t="n">
        <v>439861</v>
      </c>
      <c r="E1664" s="0" t="s">
        <v>4137</v>
      </c>
      <c r="F1664" s="225"/>
    </row>
    <row r="1665" customFormat="false" ht="14.25" hidden="false" customHeight="false" outlineLevel="0" collapsed="false">
      <c r="A1665" s="0" t="n">
        <v>1192898686</v>
      </c>
      <c r="B1665" s="0" t="s">
        <v>5806</v>
      </c>
      <c r="C1665" s="0" t="n">
        <v>0.467586648423931</v>
      </c>
      <c r="D1665" s="0" t="n">
        <v>-206529</v>
      </c>
      <c r="E1665" s="0" t="s">
        <v>4137</v>
      </c>
      <c r="F1665" s="225"/>
    </row>
    <row r="1666" customFormat="false" ht="14.25" hidden="false" customHeight="false" outlineLevel="0" collapsed="false">
      <c r="A1666" s="0" t="n">
        <v>1001349725</v>
      </c>
      <c r="B1666" s="0" t="s">
        <v>5807</v>
      </c>
      <c r="C1666" s="0" t="n">
        <v>0.104592216872994</v>
      </c>
      <c r="D1666" s="0" t="n">
        <v>1100647</v>
      </c>
      <c r="E1666" s="0" t="s">
        <v>4137</v>
      </c>
      <c r="F1666" s="225"/>
    </row>
    <row r="1667" customFormat="false" ht="14.25" hidden="false" customHeight="false" outlineLevel="0" collapsed="false">
      <c r="A1667" s="0" t="n">
        <v>1113533532</v>
      </c>
      <c r="B1667" s="0" t="s">
        <v>5808</v>
      </c>
      <c r="C1667" s="0" t="n">
        <v>0.396620329887597</v>
      </c>
      <c r="D1667" s="0" t="n">
        <v>89251</v>
      </c>
      <c r="E1667" s="0" t="s">
        <v>4137</v>
      </c>
      <c r="F1667" s="225"/>
    </row>
    <row r="1668" customFormat="false" ht="14.25" hidden="false" customHeight="false" outlineLevel="0" collapsed="false">
      <c r="A1668" s="0" t="n">
        <v>1144212279</v>
      </c>
      <c r="B1668" s="0" t="s">
        <v>5809</v>
      </c>
      <c r="C1668" s="0" t="n">
        <v>0.361327194954881</v>
      </c>
      <c r="D1668" s="0" t="n">
        <v>264579.333333333</v>
      </c>
      <c r="E1668" s="0" t="s">
        <v>4137</v>
      </c>
      <c r="F1668" s="225"/>
    </row>
    <row r="1669" customFormat="false" ht="14.25" hidden="false" customHeight="false" outlineLevel="0" collapsed="false">
      <c r="A1669" s="0" t="n">
        <v>1151960223</v>
      </c>
      <c r="B1669" s="0" t="s">
        <v>5810</v>
      </c>
      <c r="C1669" s="0" t="n">
        <v>0.120621561399065</v>
      </c>
      <c r="D1669" s="0" t="n">
        <v>776447.86</v>
      </c>
      <c r="E1669" s="0" t="s">
        <v>4137</v>
      </c>
      <c r="F1669" s="225"/>
    </row>
    <row r="1670" customFormat="false" ht="14.25" hidden="false" customHeight="false" outlineLevel="0" collapsed="false">
      <c r="A1670" s="0" t="n">
        <v>1116253405</v>
      </c>
      <c r="B1670" s="0" t="s">
        <v>5811</v>
      </c>
      <c r="C1670" s="0" t="n">
        <v>0.13138708189158</v>
      </c>
      <c r="D1670" s="0" t="n">
        <v>1251137</v>
      </c>
      <c r="E1670" s="0" t="s">
        <v>4137</v>
      </c>
      <c r="F1670" s="225"/>
    </row>
    <row r="1671" customFormat="false" ht="14.25" hidden="false" customHeight="false" outlineLevel="0" collapsed="false">
      <c r="A1671" s="0" t="n">
        <v>1005830733</v>
      </c>
      <c r="B1671" s="0" t="s">
        <v>5812</v>
      </c>
      <c r="C1671" s="0" t="n">
        <v>0.131280818955159</v>
      </c>
      <c r="D1671" s="0" t="n">
        <v>600738</v>
      </c>
      <c r="E1671" s="0" t="s">
        <v>4137</v>
      </c>
      <c r="F1671" s="225"/>
    </row>
    <row r="1672" customFormat="false" ht="14.25" hidden="false" customHeight="false" outlineLevel="0" collapsed="false">
      <c r="C1672" s="428"/>
      <c r="D1672" s="225"/>
      <c r="E1672" s="429"/>
      <c r="F1672" s="225"/>
    </row>
    <row r="1673" customFormat="false" ht="14.25" hidden="false" customHeight="false" outlineLevel="0" collapsed="false">
      <c r="C1673" s="428"/>
      <c r="D1673" s="225"/>
      <c r="E1673" s="429"/>
      <c r="F1673" s="225"/>
    </row>
    <row r="1674" customFormat="false" ht="14.25" hidden="false" customHeight="false" outlineLevel="0" collapsed="false">
      <c r="C1674" s="428"/>
      <c r="D1674" s="225"/>
      <c r="E1674" s="429"/>
      <c r="F1674" s="225"/>
    </row>
    <row r="1675" customFormat="false" ht="14.25" hidden="false" customHeight="false" outlineLevel="0" collapsed="false">
      <c r="C1675" s="428"/>
      <c r="D1675" s="225"/>
      <c r="E1675" s="429"/>
      <c r="F1675" s="225"/>
    </row>
    <row r="1676" customFormat="false" ht="14.25" hidden="false" customHeight="false" outlineLevel="0" collapsed="false">
      <c r="C1676" s="428"/>
      <c r="D1676" s="225"/>
      <c r="E1676" s="429"/>
      <c r="F1676" s="225"/>
    </row>
    <row r="1677" customFormat="false" ht="14.25" hidden="false" customHeight="false" outlineLevel="0" collapsed="false">
      <c r="C1677" s="428"/>
      <c r="D1677" s="225"/>
      <c r="E1677" s="429"/>
      <c r="F1677" s="225"/>
    </row>
    <row r="1678" customFormat="false" ht="14.25" hidden="false" customHeight="false" outlineLevel="0" collapsed="false">
      <c r="C1678" s="428"/>
      <c r="D1678" s="225"/>
      <c r="E1678" s="429"/>
      <c r="F1678" s="225"/>
    </row>
    <row r="1679" customFormat="false" ht="14.25" hidden="false" customHeight="false" outlineLevel="0" collapsed="false">
      <c r="C1679" s="428"/>
      <c r="D1679" s="225"/>
      <c r="E1679" s="429"/>
      <c r="F1679" s="225"/>
    </row>
    <row r="1680" customFormat="false" ht="14.25" hidden="false" customHeight="false" outlineLevel="0" collapsed="false">
      <c r="C1680" s="428"/>
      <c r="D1680" s="225"/>
      <c r="E1680" s="429"/>
      <c r="F1680" s="225"/>
    </row>
    <row r="1681" customFormat="false" ht="14.25" hidden="false" customHeight="false" outlineLevel="0" collapsed="false">
      <c r="C1681" s="428"/>
      <c r="D1681" s="225"/>
      <c r="E1681" s="429"/>
      <c r="F1681" s="225"/>
    </row>
    <row r="1682" customFormat="false" ht="14.25" hidden="false" customHeight="false" outlineLevel="0" collapsed="false">
      <c r="C1682" s="428"/>
      <c r="D1682" s="225"/>
      <c r="E1682" s="429"/>
      <c r="F1682" s="225"/>
    </row>
    <row r="1683" customFormat="false" ht="14.25" hidden="false" customHeight="false" outlineLevel="0" collapsed="false">
      <c r="C1683" s="428"/>
      <c r="D1683" s="225"/>
      <c r="E1683" s="429"/>
      <c r="F1683" s="225"/>
    </row>
    <row r="1684" customFormat="false" ht="14.25" hidden="false" customHeight="false" outlineLevel="0" collapsed="false">
      <c r="C1684" s="428"/>
      <c r="D1684" s="225"/>
      <c r="E1684" s="429"/>
      <c r="F1684" s="225"/>
    </row>
    <row r="1685" customFormat="false" ht="14.25" hidden="false" customHeight="false" outlineLevel="0" collapsed="false">
      <c r="C1685" s="428"/>
      <c r="D1685" s="225"/>
      <c r="E1685" s="429"/>
      <c r="F1685" s="225"/>
    </row>
    <row r="1686" customFormat="false" ht="14.25" hidden="false" customHeight="false" outlineLevel="0" collapsed="false">
      <c r="C1686" s="428"/>
      <c r="D1686" s="225"/>
      <c r="E1686" s="429"/>
      <c r="F1686" s="225"/>
    </row>
    <row r="1687" customFormat="false" ht="14.25" hidden="false" customHeight="false" outlineLevel="0" collapsed="false">
      <c r="C1687" s="428"/>
      <c r="D1687" s="225"/>
      <c r="E1687" s="429"/>
      <c r="F1687" s="225"/>
    </row>
    <row r="1688" customFormat="false" ht="14.25" hidden="false" customHeight="false" outlineLevel="0" collapsed="false">
      <c r="C1688" s="428"/>
      <c r="D1688" s="225"/>
      <c r="E1688" s="429"/>
      <c r="F1688" s="225"/>
    </row>
    <row r="1689" customFormat="false" ht="14.25" hidden="false" customHeight="false" outlineLevel="0" collapsed="false">
      <c r="C1689" s="428"/>
      <c r="D1689" s="225"/>
      <c r="E1689" s="429"/>
      <c r="F1689" s="225"/>
    </row>
    <row r="1690" customFormat="false" ht="14.25" hidden="false" customHeight="false" outlineLevel="0" collapsed="false">
      <c r="C1690" s="428"/>
      <c r="D1690" s="225"/>
      <c r="E1690" s="429"/>
      <c r="F1690" s="225"/>
    </row>
    <row r="1691" customFormat="false" ht="14.25" hidden="false" customHeight="false" outlineLevel="0" collapsed="false">
      <c r="C1691" s="428"/>
      <c r="D1691" s="225"/>
      <c r="E1691" s="429"/>
      <c r="F1691" s="225"/>
    </row>
    <row r="1692" customFormat="false" ht="14.25" hidden="false" customHeight="false" outlineLevel="0" collapsed="false">
      <c r="C1692" s="428"/>
      <c r="D1692" s="225"/>
      <c r="E1692" s="429"/>
      <c r="F1692" s="225"/>
    </row>
    <row r="1693" customFormat="false" ht="14.25" hidden="false" customHeight="false" outlineLevel="0" collapsed="false">
      <c r="C1693" s="428"/>
      <c r="D1693" s="225"/>
      <c r="E1693" s="429"/>
      <c r="F1693" s="225"/>
    </row>
    <row r="1694" customFormat="false" ht="14.25" hidden="false" customHeight="false" outlineLevel="0" collapsed="false">
      <c r="C1694" s="428"/>
      <c r="D1694" s="225"/>
      <c r="E1694" s="429"/>
      <c r="F1694" s="225"/>
    </row>
    <row r="1695" customFormat="false" ht="14.25" hidden="false" customHeight="false" outlineLevel="0" collapsed="false">
      <c r="C1695" s="428"/>
      <c r="D1695" s="225"/>
      <c r="E1695" s="429"/>
      <c r="F1695" s="225"/>
    </row>
    <row r="1696" customFormat="false" ht="14.25" hidden="false" customHeight="false" outlineLevel="0" collapsed="false">
      <c r="C1696" s="428"/>
      <c r="D1696" s="225"/>
      <c r="E1696" s="429"/>
      <c r="F1696" s="225"/>
    </row>
    <row r="1697" customFormat="false" ht="14.25" hidden="false" customHeight="false" outlineLevel="0" collapsed="false">
      <c r="C1697" s="428"/>
      <c r="D1697" s="225"/>
      <c r="E1697" s="429"/>
      <c r="F1697" s="225"/>
    </row>
    <row r="1698" customFormat="false" ht="14.25" hidden="false" customHeight="false" outlineLevel="0" collapsed="false">
      <c r="C1698" s="428"/>
      <c r="D1698" s="225"/>
      <c r="E1698" s="429"/>
      <c r="F1698" s="225"/>
    </row>
    <row r="1699" customFormat="false" ht="14.25" hidden="false" customHeight="false" outlineLevel="0" collapsed="false">
      <c r="C1699" s="428"/>
      <c r="D1699" s="225"/>
      <c r="E1699" s="429"/>
      <c r="F1699" s="225"/>
    </row>
    <row r="1700" customFormat="false" ht="14.25" hidden="false" customHeight="false" outlineLevel="0" collapsed="false">
      <c r="C1700" s="428"/>
      <c r="D1700" s="225"/>
      <c r="E1700" s="429"/>
      <c r="F1700" s="225"/>
    </row>
    <row r="1701" customFormat="false" ht="14.25" hidden="false" customHeight="false" outlineLevel="0" collapsed="false">
      <c r="C1701" s="428"/>
      <c r="D1701" s="225"/>
      <c r="E1701" s="429"/>
      <c r="F1701" s="225"/>
    </row>
    <row r="1702" customFormat="false" ht="14.25" hidden="false" customHeight="false" outlineLevel="0" collapsed="false">
      <c r="C1702" s="428"/>
      <c r="D1702" s="225"/>
      <c r="E1702" s="429"/>
      <c r="F1702" s="225"/>
    </row>
    <row r="1703" customFormat="false" ht="14.25" hidden="false" customHeight="false" outlineLevel="0" collapsed="false">
      <c r="C1703" s="428"/>
      <c r="D1703" s="225"/>
      <c r="E1703" s="429"/>
      <c r="F1703" s="225"/>
    </row>
    <row r="1704" customFormat="false" ht="14.25" hidden="false" customHeight="false" outlineLevel="0" collapsed="false">
      <c r="C1704" s="428"/>
      <c r="D1704" s="225"/>
      <c r="E1704" s="429"/>
      <c r="F1704" s="225"/>
    </row>
    <row r="1705" customFormat="false" ht="14.25" hidden="false" customHeight="false" outlineLevel="0" collapsed="false">
      <c r="C1705" s="428"/>
      <c r="D1705" s="225"/>
      <c r="E1705" s="429"/>
      <c r="F1705" s="225"/>
    </row>
    <row r="1706" customFormat="false" ht="14.25" hidden="false" customHeight="false" outlineLevel="0" collapsed="false">
      <c r="C1706" s="428"/>
      <c r="D1706" s="225"/>
      <c r="E1706" s="429"/>
      <c r="F1706" s="225"/>
    </row>
    <row r="1707" customFormat="false" ht="14.25" hidden="false" customHeight="false" outlineLevel="0" collapsed="false">
      <c r="E1707" s="429"/>
      <c r="F1707" s="225"/>
    </row>
    <row r="1708" customFormat="false" ht="14.25" hidden="false" customHeight="false" outlineLevel="0" collapsed="false">
      <c r="E1708" s="429"/>
      <c r="F1708" s="225"/>
    </row>
    <row r="1709" customFormat="false" ht="14.25" hidden="false" customHeight="false" outlineLevel="0" collapsed="false">
      <c r="E1709" s="429"/>
      <c r="F1709" s="225"/>
    </row>
    <row r="1710" customFormat="false" ht="14.25" hidden="false" customHeight="false" outlineLevel="0" collapsed="false">
      <c r="E1710" s="429"/>
      <c r="F1710" s="225"/>
    </row>
    <row r="1711" customFormat="false" ht="14.25" hidden="false" customHeight="false" outlineLevel="0" collapsed="false">
      <c r="E1711" s="429"/>
      <c r="F1711" s="225"/>
    </row>
    <row r="1712" customFormat="false" ht="14.25" hidden="false" customHeight="false" outlineLevel="0" collapsed="false">
      <c r="E1712" s="429"/>
      <c r="F1712" s="225"/>
    </row>
    <row r="1713" customFormat="false" ht="14.25" hidden="false" customHeight="false" outlineLevel="0" collapsed="false">
      <c r="E1713" s="429"/>
      <c r="F1713" s="225"/>
    </row>
    <row r="1714" customFormat="false" ht="14.25" hidden="false" customHeight="false" outlineLevel="0" collapsed="false">
      <c r="E1714" s="429"/>
      <c r="F1714" s="225"/>
    </row>
    <row r="1715" customFormat="false" ht="14.25" hidden="false" customHeight="false" outlineLevel="0" collapsed="false">
      <c r="E1715" s="429"/>
      <c r="F1715" s="225"/>
    </row>
    <row r="1716" customFormat="false" ht="14.25" hidden="false" customHeight="false" outlineLevel="0" collapsed="false">
      <c r="E1716" s="429"/>
      <c r="F1716" s="225"/>
    </row>
    <row r="1717" customFormat="false" ht="14.25" hidden="false" customHeight="false" outlineLevel="0" collapsed="false">
      <c r="E1717" s="429"/>
      <c r="F1717" s="225"/>
    </row>
    <row r="1718" customFormat="false" ht="14.25" hidden="false" customHeight="false" outlineLevel="0" collapsed="false">
      <c r="E1718" s="429"/>
      <c r="F1718" s="225"/>
    </row>
    <row r="1719" customFormat="false" ht="14.25" hidden="false" customHeight="false" outlineLevel="0" collapsed="false">
      <c r="E1719" s="429"/>
      <c r="F1719" s="225"/>
    </row>
    <row r="1720" customFormat="false" ht="14.25" hidden="false" customHeight="false" outlineLevel="0" collapsed="false">
      <c r="E1720" s="429"/>
      <c r="F1720" s="225"/>
    </row>
    <row r="1721" customFormat="false" ht="14.25" hidden="false" customHeight="false" outlineLevel="0" collapsed="false">
      <c r="E1721" s="429"/>
      <c r="F1721" s="225"/>
    </row>
    <row r="1722" customFormat="false" ht="14.25" hidden="false" customHeight="false" outlineLevel="0" collapsed="false">
      <c r="E1722" s="429"/>
      <c r="F1722" s="225"/>
    </row>
    <row r="1723" customFormat="false" ht="14.25" hidden="false" customHeight="false" outlineLevel="0" collapsed="false">
      <c r="E1723" s="429"/>
      <c r="F1723" s="225"/>
    </row>
    <row r="1724" customFormat="false" ht="14.25" hidden="false" customHeight="false" outlineLevel="0" collapsed="false">
      <c r="E1724" s="429"/>
      <c r="F1724" s="225"/>
    </row>
    <row r="1725" customFormat="false" ht="14.25" hidden="false" customHeight="false" outlineLevel="0" collapsed="false">
      <c r="E1725" s="429"/>
      <c r="F1725" s="225"/>
    </row>
    <row r="1726" customFormat="false" ht="14.25" hidden="false" customHeight="false" outlineLevel="0" collapsed="false">
      <c r="E1726" s="429"/>
      <c r="F1726" s="225"/>
    </row>
    <row r="1727" customFormat="false" ht="14.25" hidden="false" customHeight="false" outlineLevel="0" collapsed="false">
      <c r="E1727" s="429"/>
      <c r="F1727" s="225"/>
    </row>
    <row r="1728" customFormat="false" ht="14.25" hidden="false" customHeight="false" outlineLevel="0" collapsed="false">
      <c r="E1728" s="429"/>
      <c r="F1728" s="225"/>
    </row>
    <row r="1729" customFormat="false" ht="14.25" hidden="false" customHeight="false" outlineLevel="0" collapsed="false">
      <c r="E1729" s="429"/>
      <c r="F1729" s="225"/>
    </row>
    <row r="1730" customFormat="false" ht="14.25" hidden="false" customHeight="false" outlineLevel="0" collapsed="false">
      <c r="E1730" s="429"/>
      <c r="F1730" s="225"/>
    </row>
    <row r="1731" customFormat="false" ht="14.25" hidden="false" customHeight="false" outlineLevel="0" collapsed="false">
      <c r="E1731" s="429"/>
      <c r="F1731" s="225"/>
    </row>
    <row r="1732" customFormat="false" ht="14.25" hidden="false" customHeight="false" outlineLevel="0" collapsed="false">
      <c r="E1732" s="429"/>
      <c r="F1732" s="225"/>
    </row>
    <row r="1733" customFormat="false" ht="14.25" hidden="false" customHeight="false" outlineLevel="0" collapsed="false">
      <c r="E1733" s="429"/>
      <c r="F1733" s="225"/>
    </row>
    <row r="1734" customFormat="false" ht="14.25" hidden="false" customHeight="false" outlineLevel="0" collapsed="false">
      <c r="E1734" s="429"/>
      <c r="F1734" s="225"/>
    </row>
    <row r="1735" customFormat="false" ht="14.25" hidden="false" customHeight="false" outlineLevel="0" collapsed="false">
      <c r="E1735" s="429"/>
      <c r="F1735" s="225"/>
    </row>
    <row r="1736" customFormat="false" ht="14.25" hidden="false" customHeight="false" outlineLevel="0" collapsed="false">
      <c r="E1736" s="429"/>
      <c r="F1736" s="225"/>
    </row>
    <row r="1737" customFormat="false" ht="14.25" hidden="false" customHeight="false" outlineLevel="0" collapsed="false">
      <c r="E1737" s="429"/>
      <c r="F1737" s="225"/>
    </row>
    <row r="1738" customFormat="false" ht="14.25" hidden="false" customHeight="false" outlineLevel="0" collapsed="false">
      <c r="E1738" s="429"/>
      <c r="F1738" s="225"/>
    </row>
    <row r="1739" customFormat="false" ht="14.25" hidden="false" customHeight="false" outlineLevel="0" collapsed="false">
      <c r="E1739" s="429"/>
      <c r="F1739" s="225"/>
    </row>
    <row r="1740" customFormat="false" ht="14.25" hidden="false" customHeight="false" outlineLevel="0" collapsed="false">
      <c r="E1740" s="429"/>
      <c r="F1740" s="225"/>
    </row>
    <row r="1741" customFormat="false" ht="14.25" hidden="false" customHeight="false" outlineLevel="0" collapsed="false">
      <c r="E1741" s="429"/>
      <c r="F1741" s="225"/>
    </row>
    <row r="1742" customFormat="false" ht="14.25" hidden="false" customHeight="false" outlineLevel="0" collapsed="false">
      <c r="E1742" s="429"/>
      <c r="F1742" s="225"/>
    </row>
    <row r="1743" customFormat="false" ht="14.25" hidden="false" customHeight="false" outlineLevel="0" collapsed="false">
      <c r="E1743" s="429"/>
      <c r="F1743" s="225"/>
    </row>
    <row r="1744" customFormat="false" ht="14.25" hidden="false" customHeight="false" outlineLevel="0" collapsed="false">
      <c r="E1744" s="429"/>
      <c r="F1744" s="225"/>
    </row>
    <row r="1745" customFormat="false" ht="14.25" hidden="false" customHeight="false" outlineLevel="0" collapsed="false">
      <c r="E1745" s="429"/>
      <c r="F1745" s="225"/>
    </row>
    <row r="1746" customFormat="false" ht="14.25" hidden="false" customHeight="false" outlineLevel="0" collapsed="false">
      <c r="E1746" s="429"/>
      <c r="F1746" s="225"/>
    </row>
    <row r="1747" customFormat="false" ht="14.25" hidden="false" customHeight="false" outlineLevel="0" collapsed="false">
      <c r="E1747" s="429"/>
      <c r="F1747" s="225"/>
    </row>
    <row r="1748" customFormat="false" ht="14.25" hidden="false" customHeight="false" outlineLevel="0" collapsed="false">
      <c r="E1748" s="429"/>
      <c r="F1748" s="225"/>
    </row>
    <row r="1749" customFormat="false" ht="14.25" hidden="false" customHeight="false" outlineLevel="0" collapsed="false">
      <c r="E1749" s="429"/>
      <c r="F1749" s="225"/>
    </row>
    <row r="1750" customFormat="false" ht="14.25" hidden="false" customHeight="false" outlineLevel="0" collapsed="false">
      <c r="E1750" s="429"/>
      <c r="F1750" s="225"/>
    </row>
    <row r="1751" customFormat="false" ht="14.25" hidden="false" customHeight="false" outlineLevel="0" collapsed="false">
      <c r="E1751" s="429"/>
      <c r="F1751" s="225"/>
    </row>
    <row r="1752" customFormat="false" ht="14.25" hidden="false" customHeight="false" outlineLevel="0" collapsed="false">
      <c r="E1752" s="429"/>
      <c r="F1752" s="225"/>
    </row>
    <row r="1753" customFormat="false" ht="14.25" hidden="false" customHeight="false" outlineLevel="0" collapsed="false">
      <c r="E1753" s="429"/>
      <c r="F1753" s="225"/>
    </row>
    <row r="1754" customFormat="false" ht="14.25" hidden="false" customHeight="false" outlineLevel="0" collapsed="false">
      <c r="E1754" s="429"/>
      <c r="F1754" s="225"/>
    </row>
    <row r="1755" customFormat="false" ht="14.25" hidden="false" customHeight="false" outlineLevel="0" collapsed="false">
      <c r="E1755" s="429"/>
      <c r="F1755" s="225"/>
    </row>
    <row r="1756" customFormat="false" ht="14.25" hidden="false" customHeight="false" outlineLevel="0" collapsed="false">
      <c r="E1756" s="429"/>
      <c r="F1756" s="225"/>
    </row>
    <row r="1757" customFormat="false" ht="14.25" hidden="false" customHeight="false" outlineLevel="0" collapsed="false">
      <c r="E1757" s="429"/>
      <c r="F1757" s="225"/>
    </row>
    <row r="1758" customFormat="false" ht="14.25" hidden="false" customHeight="false" outlineLevel="0" collapsed="false">
      <c r="E1758" s="429"/>
      <c r="F1758" s="225"/>
    </row>
    <row r="1759" customFormat="false" ht="14.25" hidden="false" customHeight="false" outlineLevel="0" collapsed="false">
      <c r="E1759" s="429"/>
      <c r="F1759" s="225"/>
    </row>
    <row r="1760" customFormat="false" ht="14.25" hidden="false" customHeight="false" outlineLevel="0" collapsed="false">
      <c r="E1760" s="429"/>
      <c r="F1760" s="225"/>
    </row>
    <row r="1761" customFormat="false" ht="14.25" hidden="false" customHeight="false" outlineLevel="0" collapsed="false">
      <c r="E1761" s="429"/>
      <c r="F1761" s="225"/>
    </row>
    <row r="1762" customFormat="false" ht="14.25" hidden="false" customHeight="false" outlineLevel="0" collapsed="false">
      <c r="E1762" s="429"/>
      <c r="F1762" s="225"/>
    </row>
    <row r="1763" customFormat="false" ht="14.25" hidden="false" customHeight="false" outlineLevel="0" collapsed="false">
      <c r="E1763" s="429"/>
      <c r="F1763" s="225"/>
    </row>
    <row r="1764" customFormat="false" ht="14.25" hidden="false" customHeight="false" outlineLevel="0" collapsed="false">
      <c r="E1764" s="429"/>
      <c r="F1764" s="225"/>
    </row>
    <row r="1765" customFormat="false" ht="14.25" hidden="false" customHeight="false" outlineLevel="0" collapsed="false">
      <c r="E1765" s="429"/>
      <c r="F1765" s="225"/>
    </row>
    <row r="1766" customFormat="false" ht="14.25" hidden="false" customHeight="false" outlineLevel="0" collapsed="false">
      <c r="E1766" s="429"/>
      <c r="F1766" s="225"/>
    </row>
    <row r="1767" customFormat="false" ht="14.25" hidden="false" customHeight="false" outlineLevel="0" collapsed="false">
      <c r="E1767" s="429"/>
      <c r="F1767" s="225"/>
    </row>
    <row r="1768" customFormat="false" ht="14.25" hidden="false" customHeight="false" outlineLevel="0" collapsed="false">
      <c r="E1768" s="429"/>
      <c r="F1768" s="225"/>
    </row>
    <row r="1769" customFormat="false" ht="14.25" hidden="false" customHeight="false" outlineLevel="0" collapsed="false">
      <c r="E1769" s="429"/>
      <c r="F1769" s="225"/>
    </row>
    <row r="1770" customFormat="false" ht="14.25" hidden="false" customHeight="false" outlineLevel="0" collapsed="false">
      <c r="E1770" s="429"/>
      <c r="F1770" s="225"/>
    </row>
    <row r="1771" customFormat="false" ht="14.25" hidden="false" customHeight="false" outlineLevel="0" collapsed="false">
      <c r="E1771" s="429"/>
      <c r="F1771" s="225"/>
    </row>
    <row r="1772" customFormat="false" ht="14.25" hidden="false" customHeight="false" outlineLevel="0" collapsed="false">
      <c r="E1772" s="429"/>
      <c r="F1772" s="225"/>
    </row>
    <row r="1773" customFormat="false" ht="14.25" hidden="false" customHeight="false" outlineLevel="0" collapsed="false">
      <c r="E1773" s="429"/>
      <c r="F1773" s="225"/>
    </row>
    <row r="1774" customFormat="false" ht="14.25" hidden="false" customHeight="false" outlineLevel="0" collapsed="false">
      <c r="E1774" s="429"/>
      <c r="F1774" s="225"/>
    </row>
    <row r="1775" customFormat="false" ht="14.25" hidden="false" customHeight="false" outlineLevel="0" collapsed="false">
      <c r="E1775" s="429"/>
      <c r="F1775" s="225"/>
    </row>
    <row r="1776" customFormat="false" ht="14.25" hidden="false" customHeight="false" outlineLevel="0" collapsed="false">
      <c r="E1776" s="429"/>
      <c r="F1776" s="225"/>
    </row>
    <row r="1777" customFormat="false" ht="14.25" hidden="false" customHeight="false" outlineLevel="0" collapsed="false">
      <c r="E1777" s="429"/>
      <c r="F1777" s="225"/>
    </row>
    <row r="1778" customFormat="false" ht="14.25" hidden="false" customHeight="false" outlineLevel="0" collapsed="false">
      <c r="E1778" s="429"/>
      <c r="F1778" s="225"/>
    </row>
    <row r="1779" customFormat="false" ht="14.25" hidden="false" customHeight="false" outlineLevel="0" collapsed="false">
      <c r="E1779" s="429"/>
      <c r="F1779" s="225"/>
    </row>
    <row r="1780" customFormat="false" ht="14.25" hidden="false" customHeight="false" outlineLevel="0" collapsed="false">
      <c r="E1780" s="429"/>
      <c r="F1780" s="225"/>
    </row>
    <row r="1781" customFormat="false" ht="14.25" hidden="false" customHeight="false" outlineLevel="0" collapsed="false">
      <c r="E1781" s="429"/>
      <c r="F1781" s="225"/>
    </row>
    <row r="1782" customFormat="false" ht="14.25" hidden="false" customHeight="false" outlineLevel="0" collapsed="false">
      <c r="E1782" s="429"/>
      <c r="F1782" s="225"/>
    </row>
    <row r="1783" customFormat="false" ht="14.25" hidden="false" customHeight="false" outlineLevel="0" collapsed="false">
      <c r="E1783" s="429"/>
      <c r="F1783" s="225"/>
    </row>
    <row r="1784" customFormat="false" ht="14.25" hidden="false" customHeight="false" outlineLevel="0" collapsed="false">
      <c r="E1784" s="429"/>
      <c r="F1784" s="225"/>
    </row>
    <row r="1785" customFormat="false" ht="14.25" hidden="false" customHeight="false" outlineLevel="0" collapsed="false">
      <c r="E1785" s="429"/>
      <c r="F1785" s="225"/>
    </row>
    <row r="1786" customFormat="false" ht="14.25" hidden="false" customHeight="false" outlineLevel="0" collapsed="false">
      <c r="E1786" s="429"/>
      <c r="F1786" s="225"/>
    </row>
    <row r="1787" customFormat="false" ht="14.25" hidden="false" customHeight="false" outlineLevel="0" collapsed="false">
      <c r="E1787" s="429"/>
      <c r="F1787" s="225"/>
    </row>
    <row r="1788" customFormat="false" ht="14.25" hidden="false" customHeight="false" outlineLevel="0" collapsed="false">
      <c r="E1788" s="429"/>
      <c r="F1788" s="225"/>
    </row>
    <row r="1789" customFormat="false" ht="14.25" hidden="false" customHeight="false" outlineLevel="0" collapsed="false">
      <c r="E1789" s="429"/>
      <c r="F1789" s="225"/>
    </row>
    <row r="1790" customFormat="false" ht="14.25" hidden="false" customHeight="false" outlineLevel="0" collapsed="false">
      <c r="E1790" s="429"/>
      <c r="F1790" s="225"/>
    </row>
    <row r="1791" customFormat="false" ht="14.25" hidden="false" customHeight="false" outlineLevel="0" collapsed="false">
      <c r="E1791" s="429"/>
      <c r="F1791" s="225"/>
    </row>
    <row r="1792" customFormat="false" ht="14.25" hidden="false" customHeight="false" outlineLevel="0" collapsed="false">
      <c r="E1792" s="429"/>
      <c r="F1792" s="225"/>
    </row>
    <row r="1793" customFormat="false" ht="14.25" hidden="false" customHeight="false" outlineLevel="0" collapsed="false">
      <c r="E1793" s="429"/>
      <c r="F1793" s="225"/>
    </row>
    <row r="1794" customFormat="false" ht="14.25" hidden="false" customHeight="false" outlineLevel="0" collapsed="false">
      <c r="E1794" s="429"/>
      <c r="F1794" s="225"/>
    </row>
    <row r="1795" customFormat="false" ht="14.25" hidden="false" customHeight="false" outlineLevel="0" collapsed="false">
      <c r="E1795" s="429"/>
      <c r="F1795" s="225"/>
    </row>
    <row r="1796" customFormat="false" ht="14.25" hidden="false" customHeight="false" outlineLevel="0" collapsed="false">
      <c r="E1796" s="429"/>
      <c r="F1796" s="225"/>
    </row>
    <row r="1797" customFormat="false" ht="14.25" hidden="false" customHeight="false" outlineLevel="0" collapsed="false">
      <c r="E1797" s="429"/>
      <c r="F1797" s="225"/>
    </row>
    <row r="1798" customFormat="false" ht="14.25" hidden="false" customHeight="false" outlineLevel="0" collapsed="false">
      <c r="E1798" s="429"/>
      <c r="F1798" s="225"/>
    </row>
    <row r="1799" customFormat="false" ht="14.25" hidden="false" customHeight="false" outlineLevel="0" collapsed="false">
      <c r="E1799" s="429"/>
      <c r="F1799" s="225"/>
    </row>
    <row r="1800" customFormat="false" ht="14.25" hidden="false" customHeight="false" outlineLevel="0" collapsed="false">
      <c r="E1800" s="429"/>
      <c r="F1800" s="225"/>
    </row>
    <row r="1801" customFormat="false" ht="14.25" hidden="false" customHeight="false" outlineLevel="0" collapsed="false">
      <c r="E1801" s="429"/>
      <c r="F1801" s="225"/>
    </row>
    <row r="1802" customFormat="false" ht="14.25" hidden="false" customHeight="false" outlineLevel="0" collapsed="false">
      <c r="E1802" s="429"/>
      <c r="F1802" s="225"/>
    </row>
    <row r="1803" customFormat="false" ht="14.25" hidden="false" customHeight="false" outlineLevel="0" collapsed="false">
      <c r="E1803" s="429"/>
      <c r="F1803" s="225"/>
    </row>
    <row r="1804" customFormat="false" ht="14.25" hidden="false" customHeight="false" outlineLevel="0" collapsed="false">
      <c r="E1804" s="429"/>
      <c r="F1804" s="225"/>
    </row>
    <row r="1805" customFormat="false" ht="14.25" hidden="false" customHeight="false" outlineLevel="0" collapsed="false">
      <c r="E1805" s="429"/>
      <c r="F1805" s="225"/>
    </row>
    <row r="1806" customFormat="false" ht="14.25" hidden="false" customHeight="false" outlineLevel="0" collapsed="false">
      <c r="E1806" s="429"/>
      <c r="F1806" s="225"/>
    </row>
    <row r="1807" customFormat="false" ht="14.25" hidden="false" customHeight="false" outlineLevel="0" collapsed="false">
      <c r="E1807" s="429"/>
      <c r="F1807" s="225"/>
    </row>
    <row r="1808" customFormat="false" ht="14.25" hidden="false" customHeight="false" outlineLevel="0" collapsed="false">
      <c r="E1808" s="429"/>
      <c r="F1808" s="225"/>
    </row>
    <row r="1809" customFormat="false" ht="14.25" hidden="false" customHeight="false" outlineLevel="0" collapsed="false">
      <c r="E1809" s="429"/>
      <c r="F1809" s="225"/>
    </row>
    <row r="1810" customFormat="false" ht="14.25" hidden="false" customHeight="false" outlineLevel="0" collapsed="false">
      <c r="E1810" s="429"/>
      <c r="F1810" s="225"/>
    </row>
    <row r="1811" customFormat="false" ht="14.25" hidden="false" customHeight="false" outlineLevel="0" collapsed="false">
      <c r="E1811" s="429"/>
      <c r="F1811" s="225"/>
    </row>
    <row r="1812" customFormat="false" ht="14.25" hidden="false" customHeight="false" outlineLevel="0" collapsed="false">
      <c r="E1812" s="429"/>
      <c r="F1812" s="225"/>
    </row>
    <row r="1813" customFormat="false" ht="14.25" hidden="false" customHeight="false" outlineLevel="0" collapsed="false">
      <c r="E1813" s="429"/>
      <c r="F1813" s="225"/>
    </row>
    <row r="1814" customFormat="false" ht="14.25" hidden="false" customHeight="false" outlineLevel="0" collapsed="false">
      <c r="E1814" s="429"/>
      <c r="F1814" s="225"/>
    </row>
    <row r="1815" customFormat="false" ht="14.25" hidden="false" customHeight="false" outlineLevel="0" collapsed="false">
      <c r="E1815" s="429"/>
      <c r="F1815" s="225"/>
    </row>
    <row r="1816" customFormat="false" ht="14.25" hidden="false" customHeight="false" outlineLevel="0" collapsed="false">
      <c r="E1816" s="429"/>
      <c r="F1816" s="225"/>
    </row>
    <row r="1817" customFormat="false" ht="14.25" hidden="false" customHeight="false" outlineLevel="0" collapsed="false">
      <c r="E1817" s="429"/>
      <c r="F1817" s="225"/>
    </row>
    <row r="1818" customFormat="false" ht="14.25" hidden="false" customHeight="false" outlineLevel="0" collapsed="false">
      <c r="E1818" s="429"/>
      <c r="F1818" s="225"/>
    </row>
    <row r="1819" customFormat="false" ht="14.25" hidden="false" customHeight="false" outlineLevel="0" collapsed="false">
      <c r="E1819" s="429"/>
      <c r="F1819" s="225"/>
    </row>
    <row r="1820" customFormat="false" ht="14.25" hidden="false" customHeight="false" outlineLevel="0" collapsed="false">
      <c r="E1820" s="429"/>
      <c r="F1820" s="225"/>
    </row>
    <row r="1821" customFormat="false" ht="14.25" hidden="false" customHeight="false" outlineLevel="0" collapsed="false">
      <c r="E1821" s="429"/>
      <c r="F1821" s="225"/>
    </row>
    <row r="1822" customFormat="false" ht="14.25" hidden="false" customHeight="false" outlineLevel="0" collapsed="false">
      <c r="E1822" s="429"/>
      <c r="F1822" s="225"/>
    </row>
    <row r="1823" customFormat="false" ht="14.25" hidden="false" customHeight="false" outlineLevel="0" collapsed="false">
      <c r="E1823" s="429"/>
      <c r="F1823" s="225"/>
    </row>
    <row r="1824" customFormat="false" ht="14.25" hidden="false" customHeight="false" outlineLevel="0" collapsed="false">
      <c r="E1824" s="429"/>
      <c r="F1824" s="225"/>
    </row>
    <row r="1825" customFormat="false" ht="14.25" hidden="false" customHeight="false" outlineLevel="0" collapsed="false">
      <c r="E1825" s="429"/>
      <c r="F1825" s="225"/>
    </row>
    <row r="1826" customFormat="false" ht="14.25" hidden="false" customHeight="false" outlineLevel="0" collapsed="false">
      <c r="E1826" s="429"/>
      <c r="F1826" s="225"/>
    </row>
    <row r="1827" customFormat="false" ht="14.25" hidden="false" customHeight="false" outlineLevel="0" collapsed="false">
      <c r="E1827" s="429"/>
      <c r="F1827" s="225"/>
    </row>
    <row r="1828" customFormat="false" ht="14.25" hidden="false" customHeight="false" outlineLevel="0" collapsed="false">
      <c r="E1828" s="429"/>
      <c r="F1828" s="225"/>
    </row>
    <row r="1829" customFormat="false" ht="14.25" hidden="false" customHeight="false" outlineLevel="0" collapsed="false">
      <c r="E1829" s="429"/>
      <c r="F1829" s="225"/>
    </row>
    <row r="1830" customFormat="false" ht="14.25" hidden="false" customHeight="false" outlineLevel="0" collapsed="false">
      <c r="E1830" s="429"/>
      <c r="F1830" s="225"/>
    </row>
    <row r="1831" customFormat="false" ht="14.25" hidden="false" customHeight="false" outlineLevel="0" collapsed="false">
      <c r="E1831" s="429"/>
      <c r="F1831" s="225"/>
    </row>
    <row r="1832" customFormat="false" ht="14.25" hidden="false" customHeight="false" outlineLevel="0" collapsed="false">
      <c r="E1832" s="429"/>
      <c r="F1832" s="225"/>
    </row>
    <row r="1833" customFormat="false" ht="14.25" hidden="false" customHeight="false" outlineLevel="0" collapsed="false">
      <c r="E1833" s="429"/>
      <c r="F1833" s="225"/>
    </row>
    <row r="1834" customFormat="false" ht="14.25" hidden="false" customHeight="false" outlineLevel="0" collapsed="false">
      <c r="E1834" s="429"/>
      <c r="F1834" s="225"/>
    </row>
    <row r="1835" customFormat="false" ht="14.25" hidden="false" customHeight="false" outlineLevel="0" collapsed="false">
      <c r="E1835" s="429"/>
      <c r="F1835" s="225"/>
    </row>
    <row r="1836" customFormat="false" ht="14.25" hidden="false" customHeight="false" outlineLevel="0" collapsed="false">
      <c r="E1836" s="429"/>
      <c r="F1836" s="225"/>
    </row>
    <row r="1837" customFormat="false" ht="14.25" hidden="false" customHeight="false" outlineLevel="0" collapsed="false">
      <c r="E1837" s="429"/>
      <c r="F1837" s="225"/>
    </row>
    <row r="1838" customFormat="false" ht="14.25" hidden="false" customHeight="false" outlineLevel="0" collapsed="false">
      <c r="E1838" s="429"/>
      <c r="F1838" s="225"/>
    </row>
    <row r="1839" customFormat="false" ht="14.25" hidden="false" customHeight="false" outlineLevel="0" collapsed="false">
      <c r="E1839" s="429"/>
      <c r="F1839" s="225"/>
    </row>
    <row r="1840" customFormat="false" ht="14.25" hidden="false" customHeight="false" outlineLevel="0" collapsed="false">
      <c r="E1840" s="429"/>
      <c r="F1840" s="225"/>
    </row>
    <row r="1841" customFormat="false" ht="14.25" hidden="false" customHeight="false" outlineLevel="0" collapsed="false">
      <c r="E1841" s="429"/>
      <c r="F1841" s="225"/>
    </row>
    <row r="1842" customFormat="false" ht="14.25" hidden="false" customHeight="false" outlineLevel="0" collapsed="false">
      <c r="E1842" s="429"/>
      <c r="F1842" s="225"/>
    </row>
    <row r="1843" customFormat="false" ht="14.25" hidden="false" customHeight="false" outlineLevel="0" collapsed="false">
      <c r="E1843" s="429"/>
      <c r="F1843" s="2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2015-07-07T20:40:33Z</dcterms:created>
  <dc:creator>Hledesma</dc:creator>
  <dc:description/>
  <dc:language>es-CO</dc:language>
  <cp:lastModifiedBy>ASUS</cp:lastModifiedBy>
  <cp:lastPrinted>2025-01-10T16:00:12Z</cp:lastPrinted>
  <dcterms:modified xsi:type="dcterms:W3CDTF">2026-05-11T19:31:57Z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